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a19c80613524014" /></Relationships>
</file>

<file path=xl/workbook.xml><?xml version="1.0" encoding="utf-8"?>
<x:workbook xmlns:x="http://schemas.openxmlformats.org/spreadsheetml/2006/main">
  <x:sheets>
    <x:sheet xmlns:r="http://schemas.openxmlformats.org/officeDocument/2006/relationships" name="비교요약" sheetId="1" r:id="Rdb8692d7f2cf4703"/>
    <x:sheet xmlns:r="http://schemas.openxmlformats.org/officeDocument/2006/relationships" name="계산기준" sheetId="2" r:id="Rbeab6d913ae14497"/>
    <x:sheet xmlns:r="http://schemas.openxmlformats.org/officeDocument/2006/relationships" name="첫응답" sheetId="3" r:id="R44cba9eb94bb45e9"/>
    <x:sheet xmlns:r="http://schemas.openxmlformats.org/officeDocument/2006/relationships" name="지칭판정" sheetId="4" r:id="Re09b29bb87ff4cc0"/>
    <x:sheet xmlns:r="http://schemas.openxmlformats.org/officeDocument/2006/relationships" name="의미판정" sheetId="5" r:id="R9d93efda77734677"/>
    <x:sheet xmlns:r="http://schemas.openxmlformats.org/officeDocument/2006/relationships" name="목표시간" sheetId="6" r:id="Rc19ef19f3d9f4a99"/>
    <x:sheet xmlns:r="http://schemas.openxmlformats.org/officeDocument/2006/relationships" name="비용계산" sheetId="7" r:id="R6de110d543844fae"/>
    <x:sheet xmlns:r="http://schemas.openxmlformats.org/officeDocument/2006/relationships" name="메모리상태" sheetId="8" r:id="Rd12582fa765b4947"/>
    <x:sheet xmlns:r="http://schemas.openxmlformats.org/officeDocument/2006/relationships" name="변경과제" sheetId="9" r:id="R13bd5184a7314c4a"/>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000"/>
    <x:numFmt numFmtId="201" formatCode="$0.000000"/>
    <x:numFmt numFmtId="202" formatCode="0.00"/>
    <x:numFmt numFmtId="203" formatCode="0.00%"/>
  </x:numFmts>
  <x:fonts count="10">
    <x:font>
      <x:sz val="11"/>
      <x:name val="Carlito"/>
    </x:font>
    <x:font>
      <x:sz val="10"/>
      <x:color rgb="FF233548"/>
      <x:name val="Arial"/>
    </x:font>
    <x:font>
      <x:b/>
      <x:sz val="15"/>
      <x:color rgb="FF263C55"/>
      <x:name val="Arial"/>
    </x:font>
    <x:font>
      <x:sz val="10"/>
      <x:color rgb="FF627185"/>
      <x:name val="Arial"/>
    </x:font>
    <x:font>
      <x:b/>
      <x:sz val="10"/>
      <x:color rgb="FFFFFFFF"/>
      <x:name val="Arial"/>
    </x:font>
    <x:font>
      <x:sz val="10"/>
      <x:color rgb="FF1E5D96"/>
      <x:name val="Arial"/>
    </x:font>
    <x:font>
      <x:sz val="11"/>
      <x:color rgb="FF233548"/>
      <x:name val="Arial"/>
    </x:font>
    <x:font>
      <x:b/>
      <x:sz val="16"/>
      <x:color rgb="FF263C55"/>
      <x:name val="Arial"/>
    </x:font>
    <x:font>
      <x:b/>
      <x:sz val="11"/>
      <x:color rgb="FF263C55"/>
      <x:name val="Arial"/>
    </x:font>
    <x:font>
      <x:b/>
      <x:sz val="11"/>
      <x:color rgb="FF233548"/>
      <x:name val="Arial"/>
    </x:font>
  </x:fonts>
  <x:fills count="3">
    <x:fill>
      <x:patternFill patternType="none"/>
    </x:fill>
    <x:fill>
      <x:patternFill patternType="gray125"/>
    </x:fill>
    <x:fill>
      <x:patternFill patternType="solid">
        <x:fgColor rgb="FF263C55"/>
      </x:patternFill>
    </x:fill>
  </x:fills>
  <x:borders count="1">
    <x:border>
      <x:left/>
      <x:right/>
      <x:top/>
      <x:bottom/>
      <x:diagonal/>
    </x:border>
  </x:borders>
  <x:cellStyleXfs count="1">
    <x:xf numFmtId="0" fontId="0" fillId="0" borderId="0"/>
  </x:cellStyleXfs>
  <x:cellXfs count="34">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1" fillId="2" borderId="0" xfId="0" applyNumberFormat="1" applyFont="1" applyFill="1" applyBorder="1"/>
    <x:xf numFmtId="0" fontId="4" fillId="2" borderId="0" xfId="0" applyNumberFormat="1" applyFont="1" applyFill="1" applyBorder="1"/>
    <x:xf numFmtId="0" fontId="4" fillId="2" borderId="0" xfId="0" applyNumberFormat="1" applyFont="1" applyFill="1" applyBorder="1" applyAlignment="1">
      <x:alignment wrapText="1"/>
    </x:xf>
    <x:xf numFmtId="0" fontId="4" fillId="2" borderId="0" xfId="0" applyNumberFormat="1" applyFont="1" applyFill="1" applyBorder="1" applyAlignment="1">
      <x:alignment horizontal="center" wrapText="1"/>
    </x:xf>
    <x:xf numFmtId="0" fontId="4" fillId="2" borderId="0" xfId="0" applyNumberFormat="1" applyFont="1" applyFill="1" applyBorder="1" applyAlignment="1">
      <x:alignment horizontal="center" vertical="center" wrapText="1"/>
    </x:xf>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xf numFmtId="0" fontId="5" fillId="0" borderId="0" xfId="0" applyNumberFormat="1" applyFont="1" applyFill="1" applyBorder="1" applyAlignment="1">
      <x:alignment vertical="top" wrapText="1"/>
    </x:xf>
    <x:xf numFmtId="201" fontId="5" fillId="0" borderId="0" xfId="0" applyNumberFormat="1" applyFont="1" applyFill="1" applyBorder="1" applyAlignment="1">
      <x:alignment vertical="top" wrapText="1"/>
    </x:xf>
    <x:xf numFmtId="202" fontId="1" fillId="0" borderId="0" xfId="0" applyNumberFormat="1" applyFont="1" applyFill="1" applyBorder="1" applyAlignment="1">
      <x:alignment vertical="top" wrapText="1"/>
    </x:xf>
    <x:xf numFmtId="0" fontId="6" fillId="0" borderId="0" xfId="0" applyNumberFormat="1" applyFont="1" applyFill="1" applyBorder="1"/>
    <x:xf numFmtId="0" fontId="7" fillId="0" borderId="0" xfId="0" applyNumberFormat="1" applyFont="1" applyFill="1" applyBorder="1"/>
    <x:xf numFmtId="0" fontId="8" fillId="0" borderId="0" xfId="0" applyNumberFormat="1" applyFont="1" applyFill="1" applyBorder="1"/>
    <x:xf numFmtId="0" fontId="6" fillId="2" borderId="0" xfId="0" applyNumberFormat="1" applyFont="1" applyFill="1" applyBorder="1"/>
    <x:xf numFmtId="200" fontId="6" fillId="0" borderId="0" xfId="0" applyNumberFormat="1" applyFont="1" applyFill="1" applyBorder="1"/>
    <x:xf numFmtId="203" fontId="6" fillId="0" borderId="0" xfId="0" applyNumberFormat="1" applyFont="1" applyFill="1" applyBorder="1"/>
    <x:xf numFmtId="201" fontId="6" fillId="0" borderId="0" xfId="0" applyNumberFormat="1" applyFont="1" applyFill="1" applyBorder="1"/>
    <x:xf numFmtId="0" fontId="6" fillId="0" borderId="0" xfId="0" applyNumberFormat="1" applyFont="1" applyFill="1" applyBorder="1" applyAlignment="1">
      <x:alignment wrapText="1"/>
    </x:xf>
    <x:xf numFmtId="200" fontId="6" fillId="0" borderId="0" xfId="0" applyNumberFormat="1" applyFont="1" applyFill="1" applyBorder="1" applyAlignment="1">
      <x:alignment wrapText="1"/>
    </x:xf>
    <x:xf numFmtId="203" fontId="6" fillId="0" borderId="0" xfId="0" applyNumberFormat="1" applyFont="1" applyFill="1" applyBorder="1" applyAlignment="1">
      <x:alignment wrapText="1"/>
    </x:xf>
    <x:xf numFmtId="201" fontId="6" fillId="0" borderId="0" xfId="0" applyNumberFormat="1" applyFont="1" applyFill="1" applyBorder="1" applyAlignment="1">
      <x:alignment wrapText="1"/>
    </x:xf>
    <x:xf numFmtId="0" fontId="6" fillId="0" borderId="0" xfId="0" applyNumberFormat="1" applyFont="1" applyFill="1" applyBorder="1" applyAlignment="1">
      <x:alignment vertical="center" wrapText="1"/>
    </x:xf>
    <x:xf numFmtId="200" fontId="6" fillId="0" borderId="0" xfId="0" applyNumberFormat="1" applyFont="1" applyFill="1" applyBorder="1" applyAlignment="1">
      <x:alignment vertical="center" wrapText="1"/>
    </x:xf>
    <x:xf numFmtId="203" fontId="6" fillId="0" borderId="0" xfId="0" applyNumberFormat="1" applyFont="1" applyFill="1" applyBorder="1" applyAlignment="1">
      <x:alignment vertical="center" wrapText="1"/>
    </x:xf>
    <x:xf numFmtId="201" fontId="6" fillId="0" borderId="0" xfId="0" applyNumberFormat="1" applyFont="1" applyFill="1" applyBorder="1" applyAlignment="1">
      <x:alignment vertical="center" wrapText="1"/>
    </x:xf>
    <x:xf numFmtId="0" fontId="9" fillId="0" borderId="0" xfId="0" applyNumberFormat="1" applyFont="1" applyFill="1" applyBorder="1"/>
    <x:xf numFmtId="0" fontId="9" fillId="0" borderId="0" xfId="0" applyNumberFormat="1" applyFont="1" applyFill="1" applyBorder="1" applyAlignment="1">
      <x:alignment wrapText="1"/>
    </x:xf>
    <x:xf numFmtId="0" fontId="9" fillId="0"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9ed7c4770b1477a" /><Relationship Type="http://schemas.openxmlformats.org/officeDocument/2006/relationships/theme" Target="/xl/theme/theme1.xml" Id="R65091f929107499b" /><Relationship Type="http://schemas.openxmlformats.org/officeDocument/2006/relationships/sharedStrings" Target="/xl/sharedStrings.xml" Id="R04c95a612ef2405e" /><Relationship Type="http://schemas.openxmlformats.org/officeDocument/2006/relationships/worksheet" Target="/xl/worksheets/sheet1.xml" Id="Rdb8692d7f2cf4703" /><Relationship Type="http://schemas.openxmlformats.org/officeDocument/2006/relationships/worksheet" Target="/xl/worksheets/sheet2.xml" Id="Rbeab6d913ae14497" /><Relationship Type="http://schemas.openxmlformats.org/officeDocument/2006/relationships/worksheet" Target="/xl/worksheets/sheet3.xml" Id="R44cba9eb94bb45e9" /><Relationship Type="http://schemas.openxmlformats.org/officeDocument/2006/relationships/worksheet" Target="/xl/worksheets/sheet4.xml" Id="Re09b29bb87ff4cc0" /><Relationship Type="http://schemas.openxmlformats.org/officeDocument/2006/relationships/worksheet" Target="/xl/worksheets/sheet5.xml" Id="R9d93efda77734677" /><Relationship Type="http://schemas.openxmlformats.org/officeDocument/2006/relationships/worksheet" Target="/xl/worksheets/sheet6.xml" Id="Rc19ef19f3d9f4a99" /><Relationship Type="http://schemas.openxmlformats.org/officeDocument/2006/relationships/worksheet" Target="/xl/worksheets/sheet7.xml" Id="R6de110d543844fae" /><Relationship Type="http://schemas.openxmlformats.org/officeDocument/2006/relationships/worksheet" Target="/xl/worksheets/sheet8.xml" Id="Rd12582fa765b4947" /><Relationship Type="http://schemas.openxmlformats.org/officeDocument/2006/relationships/worksheet" Target="/xl/worksheets/sheet9.xml" Id="R13bd5184a7314c4a" /></Relationships>
</file>

<file path=xl/tables/table1.xml><?xml version="1.0" encoding="utf-8"?>
<x:table xmlns:x="http://schemas.openxmlformats.org/spreadsheetml/2006/main" id="8" name="Stratified1" displayName="Stratified1" ref="A5:E103" headerRowCount="1" totalsRowCount="0" totalsRowShown="0">
  <x:tableColumns count="5">
    <x:tableColumn id="1" name="층"/>
    <x:tableColumn id="2" name="항목"/>
    <x:tableColumn id="3" name="값"/>
    <x:tableColumn id="4" name="상태"/>
    <x:tableColumn id="5" name="설명 및 출처"/>
  </x:tableColumns>
  <x:tableStyleInfo name="TableStyleMedium2" showFirstColumn="0" showLastColumn="0" showRowStripes="1" showColumnStripes="0"/>
</x:table>
</file>

<file path=xl/tables/table2.xml><?xml version="1.0" encoding="utf-8"?>
<x:table xmlns:x="http://schemas.openxmlformats.org/spreadsheetml/2006/main" id="1" name="Stratified2" displayName="Stratified2" ref="A5:N1365" headerRowCount="1" totalsRowCount="0" totalsRowShown="0">
  <x:tableColumns count="14">
    <x:tableColumn id="1" name="구성"/>
    <x:tableColumn id="2" name="층"/>
    <x:tableColumn id="3" name="사례"/>
    <x:tableColumn id="4" name="입력 ID"/>
    <x:tableColumn id="5" name="유형"/>
    <x:tableColumn id="6" name="revision"/>
    <x:tableColumn id="7" name="입력 t"/>
    <x:tableColumn id="8" name="첫 표시 t"/>
    <x:tableColumn id="9" name="QA01 화면 초"/>
    <x:tableColumn id="10" name="사용자 입력"/>
    <x:tableColumn id="11" name="최초 표시 내용"/>
    <x:tableColumn id="12" name="첫 음성 t"/>
    <x:tableColumn id="13" name="음성 진단 초"/>
    <x:tableColumn id="14" name="음성 근거 상태"/>
  </x:tableColumns>
  <x:tableStyleInfo name="TableStyleMedium2" showFirstColumn="0" showLastColumn="0" showRowStripes="1" showColumnStripes="0"/>
</x:table>
</file>

<file path=xl/tables/table3.xml><?xml version="1.0" encoding="utf-8"?>
<x:table xmlns:x="http://schemas.openxmlformats.org/spreadsheetml/2006/main" id="2" name="Stratified3" displayName="Stratified3" ref="A5:G1475" headerRowCount="1" totalsRowCount="0" totalsRowShown="0">
  <x:tableColumns count="7">
    <x:tableColumn id="1" name="구성"/>
    <x:tableColumn id="2" name="층"/>
    <x:tableColumn id="3" name="입력 ID"/>
    <x:tableColumn id="4" name="표현 ID"/>
    <x:tableColumn id="5" name="정답 집합"/>
    <x:tableColumn id="6" name="채택 집합"/>
    <x:tableColumn id="7" name="QA02 성공"/>
  </x:tableColumns>
  <x:tableStyleInfo name="TableStyleMedium2" showFirstColumn="0" showLastColumn="0" showRowStripes="1" showColumnStripes="0"/>
</x:table>
</file>

<file path=xl/tables/table4.xml><?xml version="1.0" encoding="utf-8"?>
<x:table xmlns:x="http://schemas.openxmlformats.org/spreadsheetml/2006/main" id="3" name="Stratified4" displayName="Stratified4" ref="A5:G1365" headerRowCount="1" totalsRowCount="0" totalsRowShown="0">
  <x:tableColumns count="7">
    <x:tableColumn id="1" name="구성"/>
    <x:tableColumn id="2" name="층"/>
    <x:tableColumn id="3" name="입력 ID"/>
    <x:tableColumn id="4" name="정답 의미"/>
    <x:tableColumn id="5" name="채택 의미"/>
    <x:tableColumn id="6" name="QA07 성공"/>
    <x:tableColumn id="7" name="오류 설명"/>
  </x:tableColumns>
  <x:tableStyleInfo name="TableStyleMedium2" showFirstColumn="0" showLastColumn="0" showRowStripes="1" showColumnStripes="0"/>
</x:table>
</file>

<file path=xl/tables/table5.xml><?xml version="1.0" encoding="utf-8"?>
<x:table xmlns:x="http://schemas.openxmlformats.org/spreadsheetml/2006/main" id="4" name="Stratified5" displayName="Stratified5" ref="A5:L1205" headerRowCount="1" totalsRowCount="0" totalsRowShown="0">
  <x:tableColumns count="12">
    <x:tableColumn id="1" name="구성"/>
    <x:tableColumn id="2" name="층"/>
    <x:tableColumn id="3" name="사례"/>
    <x:tableColumn id="4" name="목표 ID"/>
    <x:tableColumn id="5" name="VIA 초"/>
    <x:tableColumn id="6" name="전체 경과 초"/>
    <x:tableColumn id="7" name="경과와 투영의 차이"/>
    <x:tableColumn id="8" name="최종 의미 일치"/>
    <x:tableColumn id="9" name="종료 종류"/>
    <x:tableColumn id="10" name="QA03 종료 노드"/>
    <x:tableColumn id="11" name="입력 ID"/>
    <x:tableColumn id="12" name="전체 terminal 목록"/>
  </x:tableColumns>
  <x:tableStyleInfo name="TableStyleMedium2" showFirstColumn="0" showLastColumn="0" showRowStripes="1" showColumnStripes="0"/>
</x:table>
</file>

<file path=xl/tables/table6.xml><?xml version="1.0" encoding="utf-8"?>
<x:table xmlns:x="http://schemas.openxmlformats.org/spreadsheetml/2006/main" id="5" name="Stratified6" displayName="Stratified6" ref="A5:J96" headerRowCount="1" totalsRowCount="0" totalsRowShown="0">
  <x:tableColumns count="10">
    <x:tableColumn id="1" name="구성"/>
    <x:tableColumn id="2" name="층"/>
    <x:tableColumn id="3" name="구간"/>
    <x:tableColumn id="4" name="역할"/>
    <x:tableColumn id="5" name="bucket"/>
    <x:tableColumn id="6" name="합계 사용량"/>
    <x:tableColumn id="7" name="USD/단위"/>
    <x:tableColumn id="8" name="비용 USD"/>
    <x:tableColumn id="9" name="원장 행 수"/>
    <x:tableColumn id="10" name="원본 위치"/>
  </x:tableColumns>
  <x:tableStyleInfo name="TableStyleMedium2" showFirstColumn="0" showLastColumn="0" showRowStripes="1" showColumnStripes="0"/>
</x:table>
</file>

<file path=xl/tables/table7.xml><?xml version="1.0" encoding="utf-8"?>
<x:table xmlns:x="http://schemas.openxmlformats.org/spreadsheetml/2006/main" id="6" name="Stratified7" displayName="Stratified7" ref="A5:AB1005" headerRowCount="1" totalsRowCount="0" totalsRowShown="0">
  <x:tableColumns count="28">
    <x:tableColumn id="1" name="구성"/>
    <x:tableColumn id="2" name="층"/>
    <x:tableColumn id="3" name="사례"/>
    <x:tableColumn id="4" name="상태 ID"/>
    <x:tableColumn id="5" name="가상 t"/>
    <x:tableColumn id="6" name="구간"/>
    <x:tableColumn id="7" name="core_mb"/>
    <x:tableColumn id="8" name="state_mb"/>
    <x:tableColumn id="9" name="model_buffers_mb"/>
    <x:tableColumn id="10" name="read_mb"/>
    <x:tableColumn id="11" name="relation_mb"/>
    <x:tableColumn id="12" name="producer_mb"/>
    <x:tableColumn id="13" name="core_ui"/>
    <x:tableColumn id="14" name="local_asr_audio"/>
    <x:tableColumn id="15" name="compressed_source_ring"/>
    <x:tableColumn id="16" name="common_request_history"/>
    <x:tableColumn id="17" name="input_or_ipc"/>
    <x:tableColumn id="18" name="runtime_shared"/>
    <x:tableColumn id="19" name="runtime_private"/>
    <x:tableColumn id="20" name="ui_model"/>
    <x:tableColumn id="21" name="sam_model"/>
    <x:tableColumn id="22" name="retained_episode"/>
    <x:tableColumn id="23" name="load_temporary"/>
    <x:tableColumn id="24" name="workspace"/>
    <x:tableColumn id="25" name="base_mb"/>
    <x:tableColumn id="26" name="audio_mb"/>
    <x:tableColumn id="27" name="metadata_mb"/>
    <x:tableColumn id="28" name="동시 합계 MB"/>
  </x:tableColumns>
  <x:tableStyleInfo name="TableStyleMedium2" showFirstColumn="0" showLastColumn="0" showRowStripes="1" showColumnStripes="0"/>
</x:table>
</file>

<file path=xl/tables/table8.xml><?xml version="1.0" encoding="utf-8"?>
<x:table xmlns:x="http://schemas.openxmlformats.org/spreadsheetml/2006/main" id="7" name="Stratified8" displayName="Stratified8" ref="A5:I59" headerRowCount="1" totalsRowCount="0" totalsRowShown="0">
  <x:tableColumns count="9">
    <x:tableColumn id="1" name="구성"/>
    <x:tableColumn id="2" name="층"/>
    <x:tableColumn id="3" name="과제"/>
    <x:tableColumn id="4" name="변경 요구"/>
    <x:tableColumn id="5" name="예상 모듈 수"/>
    <x:tableColumn id="6" name="모듈 목록"/>
    <x:tableColumn id="7" name="수용 조건"/>
    <x:tableColumn id="8" name="범위 이유"/>
    <x:tableColumn id="9" name="근거 종류"/>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6f25945e53c480e" /></Relationships>
</file>

<file path=xl/worksheets/_rels/sheet3.xml.rels>&#65279;<?xml version="1.0" encoding="utf-8"?><Relationships xmlns="http://schemas.openxmlformats.org/package/2006/relationships"><Relationship Type="http://schemas.openxmlformats.org/officeDocument/2006/relationships/table" Target="/xl/tables/table2.xml" Id="Ra493f93aa2f24ae1" /></Relationships>
</file>

<file path=xl/worksheets/_rels/sheet4.xml.rels>&#65279;<?xml version="1.0" encoding="utf-8"?><Relationships xmlns="http://schemas.openxmlformats.org/package/2006/relationships"><Relationship Type="http://schemas.openxmlformats.org/officeDocument/2006/relationships/table" Target="/xl/tables/table3.xml" Id="Rb40a9419d3e04b14" /></Relationships>
</file>

<file path=xl/worksheets/_rels/sheet5.xml.rels>&#65279;<?xml version="1.0" encoding="utf-8"?><Relationships xmlns="http://schemas.openxmlformats.org/package/2006/relationships"><Relationship Type="http://schemas.openxmlformats.org/officeDocument/2006/relationships/table" Target="/xl/tables/table4.xml" Id="Rb069565e9b1f471a" /></Relationships>
</file>

<file path=xl/worksheets/_rels/sheet6.xml.rels>&#65279;<?xml version="1.0" encoding="utf-8"?><Relationships xmlns="http://schemas.openxmlformats.org/package/2006/relationships"><Relationship Type="http://schemas.openxmlformats.org/officeDocument/2006/relationships/table" Target="/xl/tables/table5.xml" Id="R568d2e8d63a4443e" /></Relationships>
</file>

<file path=xl/worksheets/_rels/sheet7.xml.rels>&#65279;<?xml version="1.0" encoding="utf-8"?><Relationships xmlns="http://schemas.openxmlformats.org/package/2006/relationships"><Relationship Type="http://schemas.openxmlformats.org/officeDocument/2006/relationships/table" Target="/xl/tables/table6.xml" Id="R917954f44a1544d5" /></Relationships>
</file>

<file path=xl/worksheets/_rels/sheet8.xml.rels>&#65279;<?xml version="1.0" encoding="utf-8"?><Relationships xmlns="http://schemas.openxmlformats.org/package/2006/relationships"><Relationship Type="http://schemas.openxmlformats.org/officeDocument/2006/relationships/table" Target="/xl/tables/table7.xml" Id="Rb58020fc51ba40e0" /></Relationships>
</file>

<file path=xl/worksheets/_rels/sheet9.xml.rels>&#65279;<?xml version="1.0" encoding="utf-8"?><Relationships xmlns="http://schemas.openxmlformats.org/package/2006/relationships"><Relationship Type="http://schemas.openxmlformats.org/officeDocument/2006/relationships/table" Target="/xl/tables/table8.xml" Id="Rf42900b7e83f45ee" /></Relationships>
</file>

<file path=xl/worksheets/sheet1.xml><?xml version="1.0" encoding="utf-8"?>
<x:worksheet xmlns:x="http://schemas.openxmlformats.org/spreadsheetml/2006/main">
  <x:sheetPr>
    <x:tabColor rgb="FF263C55"/>
  </x:sheetPr>
  <x:sheetViews>
    <x:sheetView showGridLines="0" workbookViewId="0"/>
  </x:sheetViews>
  <x:sheetFormatPr defaultRowHeight="15"/>
  <x:cols>
    <x:col min="1" max="1" width="23.329999923706055" hidden="0" customWidth="1"/>
    <x:col min="2" max="2" width="16.110000610351562" hidden="0" customWidth="1"/>
    <x:col min="3" max="3" width="13.890000343322754" hidden="0" customWidth="1"/>
    <x:col min="4" max="4" width="13.890000343322754" hidden="0" customWidth="1"/>
    <x:col min="5" max="5" width="13.890000343322754" hidden="0" customWidth="1"/>
    <x:col min="6" max="6" width="14.4399995803833" hidden="0" customWidth="1"/>
    <x:col min="7" max="7" width="18.329999923706055" hidden="0" customWidth="1"/>
    <x:col min="8" max="8" width="33.33000183105469" hidden="0" customWidth="1"/>
  </x:cols>
  <x:sheetData>
    <x:row r="1">
      <x:c r="A1" s="16"/>
      <x:c r="B1" s="16"/>
      <x:c r="C1" s="16"/>
      <x:c r="D1" s="16"/>
      <x:c r="E1" s="16"/>
      <x:c r="F1" s="16"/>
      <x:c r="G1" s="16"/>
      <x:c r="H1" s="16"/>
    </x:row>
    <x:row r="2">
      <x:c r="A2" s="17" t="str">
        <x:v>DP 공통 QA 비교 v3</x:v>
      </x:c>
      <x:c r="B2" s="16"/>
      <x:c r="C2" s="16"/>
      <x:c r="D2" s="16"/>
      <x:c r="E2" s="16"/>
      <x:c r="F2" s="16"/>
      <x:c r="G2" s="16"/>
      <x:c r="H2" s="16"/>
    </x:row>
    <x:row r="3">
      <x:c r="A3" s="16" t="str">
        <x:v>TEXT, VOICE, DELIVERY를 같은 층 안에서 비교한다. QA01은 화면이고 음성은 별도 진단이다.</x:v>
      </x:c>
      <x:c r="B3" s="16"/>
      <x:c r="C3" s="16"/>
      <x:c r="D3" s="16"/>
      <x:c r="E3" s="16"/>
      <x:c r="F3" s="16"/>
      <x:c r="G3" s="16"/>
      <x:c r="H3" s="16"/>
    </x:row>
    <x:row r="4">
      <x:c r="A4" s="3" t="str">
        <x:v>근거: SYNTHETIC_AUTHORED_NOT_MEASURED</x:v>
      </x:c>
      <x:c r="B4" s="16"/>
      <x:c r="C4" s="16"/>
      <x:c r="D4" s="16"/>
      <x:c r="E4" s="16"/>
      <x:c r="F4" s="16"/>
      <x:c r="G4" s="16"/>
      <x:c r="H4" s="16"/>
    </x:row>
    <x:row r="5">
      <x:c r="A5" s="16"/>
      <x:c r="B5" s="16"/>
      <x:c r="C5" s="16"/>
      <x:c r="D5" s="16"/>
      <x:c r="E5" s="16"/>
      <x:c r="F5" s="16"/>
      <x:c r="G5" s="16"/>
      <x:c r="H5" s="16"/>
    </x:row>
    <x:row r="6">
      <x:c r="A6" s="18" t="str">
        <x:v>TEXT 이력: DP2와 DP5</x:v>
      </x:c>
      <x:c r="B6" s="16"/>
      <x:c r="C6" s="16"/>
      <x:c r="D6" s="16"/>
      <x:c r="E6" s="16"/>
      <x:c r="F6" s="16"/>
      <x:c r="G6" s="16"/>
      <x:c r="H6" s="16"/>
    </x:row>
    <x:row r="7">
      <x:c r="A7" s="16"/>
      <x:c r="B7" s="16"/>
      <x:c r="C7" s="16"/>
      <x:c r="D7" s="16"/>
      <x:c r="E7" s="16"/>
      <x:c r="F7" s="16"/>
      <x:c r="G7" s="16"/>
      <x:c r="H7" s="16"/>
    </x:row>
    <x:row r="8" ht="34" customHeight="1">
      <x:c r="A8" s="8" t="str">
        <x:v>QA</x:v>
      </x:c>
      <x:c r="B8" s="8" t="str">
        <x:v>단위</x:v>
      </x:c>
      <x:c r="C8" s="8" t="str">
        <x:v>T-BASE</x:v>
      </x:c>
      <x:c r="D8" s="8" t="str">
        <x:v>T-EXEC</x:v>
      </x:c>
      <x:c r="E8" s="8" t="str">
        <x:v>T-REL</x:v>
      </x:c>
      <x:c r="F8" s="8" t="str"/>
      <x:c r="G8" s="8" t="str">
        <x:v>분모/관측 범위</x:v>
      </x:c>
      <x:c r="H8" s="8" t="str">
        <x:v>해석</x:v>
      </x:c>
    </x:row>
    <x:row r="9" ht="38" customHeight="1">
      <x:c r="A9" s="27" t="str">
        <x:v>QA01 화면 첫 응답</x:v>
      </x:c>
      <x:c r="B9" s="27" t="str">
        <x:v>초</x:v>
      </x:c>
      <x:c r="C9" s="28" t="n">
        <x:f>AVERAGEIFS('첫응답'!$I$6:$I$1365,'첫응답'!$A$6:$A$1365,"T-BASE")</x:f>
        <x:v>2.4571949416666663</x:v>
      </x:c>
      <x:c r="D9" s="28" t="n">
        <x:f>AVERAGEIFS('첫응답'!$I$6:$I$1365,'첫응답'!$A$6:$A$1365,"T-EXEC")</x:f>
        <x:v>2.1316503166666667</x:v>
      </x:c>
      <x:c r="E9" s="28" t="n">
        <x:f>AVERAGEIFS('첫응답'!$I$6:$I$1365,'첫응답'!$A$6:$A$1365,"T-REL")</x:f>
        <x:v>1.9884479000000008</x:v>
      </x:c>
      <x:c r="F9" s="27"/>
      <x:c r="G9" s="27" t="str">
        <x:v>240 입력</x:v>
      </x:c>
      <x:c r="H9" s="27" t="str">
        <x:v>구체적인 최초 채택 표시</x:v>
      </x:c>
    </x:row>
    <x:row r="10" ht="38" customHeight="1">
      <x:c r="A10" s="27" t="str">
        <x:v>QA02 지칭 집합</x:v>
      </x:c>
      <x:c r="B10" s="27" t="str">
        <x:v>정확도</x:v>
      </x:c>
      <x:c r="C10" s="29" t="n">
        <x:f>AVERAGEIFS('지칭판정'!$G$6:$G$1475,'지칭판정'!$A$6:$A$1475,"T-BASE")</x:f>
        <x:v>0.952</x:v>
      </x:c>
      <x:c r="D10" s="29" t="n">
        <x:f>AVERAGEIFS('지칭판정'!$G$6:$G$1475,'지칭판정'!$A$6:$A$1475,"T-EXEC")</x:f>
        <x:v>0.936</x:v>
      </x:c>
      <x:c r="E10" s="29" t="n">
        <x:f>AVERAGEIFS('지칭판정'!$G$6:$G$1475,'지칭판정'!$A$6:$A$1475,"T-REL")</x:f>
        <x:v>0.972</x:v>
      </x:c>
      <x:c r="F10" s="27"/>
      <x:c r="G10" s="27" t="str">
        <x:v>250 표현</x:v>
      </x:c>
      <x:c r="H10" s="27" t="str">
        <x:v>표현별 완전 일치</x:v>
      </x:c>
    </x:row>
    <x:row r="11" ht="38" customHeight="1">
      <x:c r="A11" s="27" t="str">
        <x:v>QA03 VIA 처리</x:v>
      </x:c>
      <x:c r="B11" s="27" t="str">
        <x:v>초</x:v>
      </x:c>
      <x:c r="C11" s="28" t="n">
        <x:f>AVERAGEIFS('목표시간'!$E$6:$E$1205,'목표시간'!$A$6:$A$1205,"T-BASE")</x:f>
        <x:v>6.64968450555556</x:v>
      </x:c>
      <x:c r="D11" s="28" t="n">
        <x:f>AVERAGEIFS('목표시간'!$E$6:$E$1205,'목표시간'!$A$6:$A$1205,"T-EXEC")</x:f>
        <x:v>5.8042658722222225</x:v>
      </x:c>
      <x:c r="E11" s="28" t="n">
        <x:f>AVERAGEIFS('목표시간'!$E$6:$E$1205,'목표시간'!$A$6:$A$1205,"T-REL")</x:f>
        <x:v>5.874581305555553</x:v>
      </x:c>
      <x:c r="F11" s="27"/>
      <x:c r="G11" s="27" t="str">
        <x:v>180 목표</x:v>
      </x:c>
      <x:c r="H11" s="27" t="str">
        <x:v>외부 Agent 업무 제외</x:v>
      </x:c>
    </x:row>
    <x:row r="12" ht="38" customHeight="1">
      <x:c r="A12" s="27" t="str">
        <x:v>QA04 예상 변경 모듈</x:v>
      </x:c>
      <x:c r="B12" s="27" t="str">
        <x:v>모듈</x:v>
      </x:c>
      <x:c r="C12" s="28" t="n">
        <x:f>AVERAGEIFS('변경과제'!$E$6:$E$59,'변경과제'!$A$6:$A$59,"T-BASE")</x:f>
        <x:v>1.8333333333333333</x:v>
      </x:c>
      <x:c r="D12" s="28" t="n">
        <x:f>AVERAGEIFS('변경과제'!$E$6:$E$59,'변경과제'!$A$6:$A$59,"T-EXEC")</x:f>
        <x:v>1.8333333333333333</x:v>
      </x:c>
      <x:c r="E12" s="28" t="n">
        <x:f>AVERAGEIFS('변경과제'!$E$6:$E$59,'변경과제'!$A$6:$A$59,"T-REL")</x:f>
        <x:v>2</x:v>
      </x:c>
      <x:c r="F12" s="27"/>
      <x:c r="G12" s="27" t="str">
        <x:v>6 과제</x:v>
      </x:c>
      <x:c r="H12" s="27" t="str">
        <x:v>설계 예상 운영 모듈</x:v>
      </x:c>
    </x:row>
    <x:row r="13" ht="38" customHeight="1">
      <x:c r="A13" s="27" t="str">
        <x:v>QA05 VIA 비용</x:v>
      </x:c>
      <x:c r="B13" s="27" t="str">
        <x:v>USD/활동 묶음</x:v>
      </x:c>
      <x:c r="C13" s="30" t="n">
        <x:f>SUMIFS('비용계산'!$H$6:$H$96,'비용계산'!$A$6:$A$96,"T-BASE",'비용계산'!$D$6:$D$96,"VIA")</x:f>
        <x:v>2.451601</x:v>
      </x:c>
      <x:c r="D13" s="30" t="n">
        <x:f>SUMIFS('비용계산'!$H$6:$H$96,'비용계산'!$A$6:$A$96,"T-EXEC",'비용계산'!$D$6:$D$96,"VIA")</x:f>
        <x:v>2.573512</x:v>
      </x:c>
      <x:c r="E13" s="30" t="n">
        <x:f>SUMIFS('비용계산'!$H$6:$H$96,'비용계산'!$A$6:$A$96,"T-REL",'비용계산'!$D$6:$D$96,"VIA")</x:f>
        <x:v>3.3557910000000004</x:v>
      </x:c>
      <x:c r="F13" s="27"/>
      <x:c r="G13" s="27" t="str">
        <x:v>120 에피소드</x:v>
      </x:c>
      <x:c r="H13" s="27" t="str">
        <x:v>준비와 후속 갱신 포함</x:v>
      </x:c>
    </x:row>
    <x:row r="14" ht="38" customHeight="1">
      <x:c r="A14" s="27" t="str">
        <x:v>QA06 최대 RAM</x:v>
      </x:c>
      <x:c r="B14" s="27" t="str">
        <x:v>MB</x:v>
      </x:c>
      <x:c r="C14" s="28" t="n">
        <x:f>_xlfn.MAXIFS('메모리상태'!$AB$6:$AB$1005,'메모리상태'!$A$6:$A$1005,"T-BASE")</x:f>
        <x:v>278.788</x:v>
      </x:c>
      <x:c r="D14" s="28" t="n">
        <x:f>_xlfn.MAXIFS('메모리상태'!$AB$6:$AB$1005,'메모리상태'!$A$6:$A$1005,"T-EXEC")</x:f>
        <x:v>306.08</x:v>
      </x:c>
      <x:c r="E14" s="28" t="n">
        <x:f>_xlfn.MAXIFS('메모리상태'!$AB$6:$AB$1005,'메모리상태'!$A$6:$A$1005,"T-REL")</x:f>
        <x:v>329.68</x:v>
      </x:c>
      <x:c r="F14" s="27"/>
      <x:c r="G14" s="27" t="str">
        <x:v>전체 동시 구간</x:v>
      </x:c>
      <x:c r="H14" s="27" t="str">
        <x:v>같은 시점의 합계 중 최대</x:v>
      </x:c>
    </x:row>
    <x:row r="15" ht="38" customHeight="1">
      <x:c r="A15" s="27" t="str">
        <x:v>QA07 요청 의미</x:v>
      </x:c>
      <x:c r="B15" s="27" t="str">
        <x:v>정확도</x:v>
      </x:c>
      <x:c r="C15" s="29" t="n">
        <x:f>AVERAGEIFS('의미판정'!$F$6:$F$1365,'의미판정'!$A$6:$A$1365,"T-BASE")</x:f>
        <x:v>0.9333333333333333</x:v>
      </x:c>
      <x:c r="D15" s="29" t="n">
        <x:f>AVERAGEIFS('의미판정'!$F$6:$F$1365,'의미판정'!$A$6:$A$1365,"T-EXEC")</x:f>
        <x:v>0.8875</x:v>
      </x:c>
      <x:c r="E15" s="29" t="n">
        <x:f>AVERAGEIFS('의미판정'!$F$6:$F$1365,'의미판정'!$A$6:$A$1365,"T-REL")</x:f>
        <x:v>0.9041666666666667</x:v>
      </x:c>
      <x:c r="F15" s="27"/>
      <x:c r="G15" s="27" t="str">
        <x:v>240 입력</x:v>
      </x:c>
      <x:c r="H15" s="27" t="str">
        <x:v>필수 의미 전체 일치</x:v>
      </x:c>
    </x:row>
    <x:row r="16">
      <x:c r="A16" s="16"/>
      <x:c r="B16" s="16"/>
      <x:c r="C16" s="16"/>
      <x:c r="D16" s="16"/>
      <x:c r="E16" s="16"/>
      <x:c r="F16" s="16"/>
      <x:c r="G16" s="16"/>
      <x:c r="H16" s="16"/>
    </x:row>
    <x:row r="17">
      <x:c r="A17" s="16"/>
      <x:c r="B17" s="16"/>
      <x:c r="C17" s="16"/>
      <x:c r="D17" s="16"/>
      <x:c r="E17" s="16"/>
      <x:c r="F17" s="16"/>
      <x:c r="G17" s="16"/>
      <x:c r="H17" s="16"/>
    </x:row>
    <x:row r="18">
      <x:c r="A18" s="18" t="str">
        <x:v>VOICE 화면: DP3</x:v>
      </x:c>
      <x:c r="B18" s="16"/>
      <x:c r="C18" s="16"/>
      <x:c r="D18" s="16"/>
      <x:c r="E18" s="16"/>
      <x:c r="F18" s="16"/>
      <x:c r="G18" s="16"/>
      <x:c r="H18" s="16"/>
    </x:row>
    <x:row r="19">
      <x:c r="A19" s="16"/>
      <x:c r="B19" s="16"/>
      <x:c r="C19" s="16"/>
      <x:c r="D19" s="16"/>
      <x:c r="E19" s="16"/>
      <x:c r="F19" s="16"/>
      <x:c r="G19" s="16"/>
      <x:c r="H19" s="16"/>
    </x:row>
    <x:row r="20" ht="34" customHeight="1">
      <x:c r="A20" s="8" t="str">
        <x:v>QA</x:v>
      </x:c>
      <x:c r="B20" s="8" t="str">
        <x:v>단위</x:v>
      </x:c>
      <x:c r="C20" s="8" t="str">
        <x:v>V-A</x:v>
      </x:c>
      <x:c r="D20" s="8" t="str">
        <x:v>V-R1</x:v>
      </x:c>
      <x:c r="E20" s="8" t="str">
        <x:v>V-R2</x:v>
      </x:c>
      <x:c r="F20" s="8" t="str">
        <x:v>V-R3</x:v>
      </x:c>
      <x:c r="G20" s="8" t="str">
        <x:v>분모/관측 범위</x:v>
      </x:c>
      <x:c r="H20" s="8" t="str">
        <x:v>해석</x:v>
      </x:c>
    </x:row>
    <x:row r="21" ht="38" customHeight="1">
      <x:c r="A21" s="27" t="str">
        <x:v>QA01 화면 첫 응답</x:v>
      </x:c>
      <x:c r="B21" s="27" t="str">
        <x:v>초</x:v>
      </x:c>
      <x:c r="C21" s="28" t="n">
        <x:f>AVERAGEIFS('첫응답'!$I$6:$I$1365,'첫응답'!$A$6:$A$1365,"V-A")</x:f>
        <x:v>3.4666666666666566</x:v>
      </x:c>
      <x:c r="D21" s="28" t="n">
        <x:f>AVERAGEIFS('첫응답'!$I$6:$I$1365,'첫응답'!$A$6:$A$1365,"V-R1")</x:f>
        <x:v>5.783333333333339</x:v>
      </x:c>
      <x:c r="E21" s="28" t="n">
        <x:f>AVERAGEIFS('첫응답'!$I$6:$I$1365,'첫응답'!$A$6:$A$1365,"V-R2")</x:f>
        <x:v>5.283333333333338</x:v>
      </x:c>
      <x:c r="F21" s="28" t="n">
        <x:f>AVERAGEIFS('첫응답'!$I$6:$I$1365,'첫응답'!$A$6:$A$1365,"V-R3")</x:f>
        <x:v>5.3233333333333315</x:v>
      </x:c>
      <x:c r="G21" s="27" t="str">
        <x:v>120 입력</x:v>
      </x:c>
      <x:c r="H21" s="27" t="str">
        <x:v>구체적인 최초 채택 표시</x:v>
      </x:c>
    </x:row>
    <x:row r="22" ht="38" customHeight="1">
      <x:c r="A22" s="27" t="str">
        <x:v>QA02 지칭 집합</x:v>
      </x:c>
      <x:c r="B22" s="27" t="str">
        <x:v>정확도</x:v>
      </x:c>
      <x:c r="C22" s="29" t="n">
        <x:f>AVERAGEIFS('지칭판정'!$G$6:$G$1475,'지칭판정'!$A$6:$A$1475,"V-A")</x:f>
        <x:v>0.8916666666666667</x:v>
      </x:c>
      <x:c r="D22" s="29" t="n">
        <x:f>AVERAGEIFS('지칭판정'!$G$6:$G$1475,'지칭판정'!$A$6:$A$1475,"V-R1")</x:f>
        <x:v>0.9583333333333334</x:v>
      </x:c>
      <x:c r="E22" s="29" t="n">
        <x:f>AVERAGEIFS('지칭판정'!$G$6:$G$1475,'지칭판정'!$A$6:$A$1475,"V-R2")</x:f>
        <x:v>0.9583333333333334</x:v>
      </x:c>
      <x:c r="F22" s="29" t="n">
        <x:f>AVERAGEIFS('지칭판정'!$G$6:$G$1475,'지칭판정'!$A$6:$A$1475,"V-R3")</x:f>
        <x:v>0.9583333333333334</x:v>
      </x:c>
      <x:c r="G22" s="27" t="str">
        <x:v>120 표현</x:v>
      </x:c>
      <x:c r="H22" s="27" t="str">
        <x:v>표현별 완전 일치</x:v>
      </x:c>
    </x:row>
    <x:row r="23" ht="38" customHeight="1">
      <x:c r="A23" s="27" t="str">
        <x:v>QA03 VIA 처리</x:v>
      </x:c>
      <x:c r="B23" s="27" t="str">
        <x:v>초</x:v>
      </x:c>
      <x:c r="C23" s="28" t="n">
        <x:f>AVERAGEIFS('목표시간'!$E$6:$E$1205,'목표시간'!$A$6:$A$1205,"V-A")</x:f>
        <x:v>5.98333333333334</x:v>
      </x:c>
      <x:c r="D23" s="28" t="n">
        <x:f>AVERAGEIFS('목표시간'!$E$6:$E$1205,'목표시간'!$A$6:$A$1205,"V-R1")</x:f>
        <x:v>8.299999999999985</x:v>
      </x:c>
      <x:c r="E23" s="28" t="n">
        <x:f>AVERAGEIFS('목표시간'!$E$6:$E$1205,'목표시간'!$A$6:$A$1205,"V-R2")</x:f>
        <x:v>7.8000000000000025</x:v>
      </x:c>
      <x:c r="F23" s="28" t="n">
        <x:f>AVERAGEIFS('목표시간'!$E$6:$E$1205,'목표시간'!$A$6:$A$1205,"V-R3")</x:f>
        <x:v>7.839999999999986</x:v>
      </x:c>
      <x:c r="G23" s="27" t="str">
        <x:v>120 목표</x:v>
      </x:c>
      <x:c r="H23" s="27" t="str">
        <x:v>외부 Agent 업무 제외</x:v>
      </x:c>
    </x:row>
    <x:row r="24" ht="38" customHeight="1">
      <x:c r="A24" s="27" t="str">
        <x:v>QA04 예상 변경 모듈</x:v>
      </x:c>
      <x:c r="B24" s="27" t="str">
        <x:v>모듈</x:v>
      </x:c>
      <x:c r="C24" s="28" t="n">
        <x:f>AVERAGEIFS('변경과제'!$E$6:$E$59,'변경과제'!$A$6:$A$59,"V-A")</x:f>
        <x:v>1.8333333333333333</x:v>
      </x:c>
      <x:c r="D24" s="28" t="n">
        <x:f>AVERAGEIFS('변경과제'!$E$6:$E$59,'변경과제'!$A$6:$A$59,"V-R1")</x:f>
        <x:v>2</x:v>
      </x:c>
      <x:c r="E24" s="28" t="n">
        <x:f>AVERAGEIFS('변경과제'!$E$6:$E$59,'변경과제'!$A$6:$A$59,"V-R2")</x:f>
        <x:v>2</x:v>
      </x:c>
      <x:c r="F24" s="28" t="n">
        <x:f>AVERAGEIFS('변경과제'!$E$6:$E$59,'변경과제'!$A$6:$A$59,"V-R3")</x:f>
        <x:v>2</x:v>
      </x:c>
      <x:c r="G24" s="27" t="str">
        <x:v>6 과제</x:v>
      </x:c>
      <x:c r="H24" s="27" t="str">
        <x:v>설계 예상 운영 모듈</x:v>
      </x:c>
    </x:row>
    <x:row r="25" ht="38" customHeight="1">
      <x:c r="A25" s="27" t="str">
        <x:v>QA05 VIA 비용</x:v>
      </x:c>
      <x:c r="B25" s="27" t="str">
        <x:v>USD/활동 묶음</x:v>
      </x:c>
      <x:c r="C25" s="30" t="n">
        <x:f>SUMIFS('비용계산'!$H$6:$H$96,'비용계산'!$A$6:$A$96,"V-A",'비용계산'!$D$6:$D$96,"VIA")</x:f>
        <x:v>3.9052</x:v>
      </x:c>
      <x:c r="D25" s="30" t="n">
        <x:f>SUMIFS('비용계산'!$H$6:$H$96,'비용계산'!$A$6:$A$96,"V-R1",'비용계산'!$D$6:$D$96,"VIA")</x:f>
        <x:v>3.4188</x:v>
      </x:c>
      <x:c r="E25" s="30" t="n">
        <x:f>SUMIFS('비용계산'!$H$6:$H$96,'비용계산'!$A$6:$A$96,"V-R2",'비용계산'!$D$6:$D$96,"VIA")</x:f>
        <x:v>3.4188</x:v>
      </x:c>
      <x:c r="F25" s="30" t="n">
        <x:f>SUMIFS('비용계산'!$H$6:$H$96,'비용계산'!$A$6:$A$96,"V-R3",'비용계산'!$D$6:$D$96,"VIA")</x:f>
        <x:v>3.4188</x:v>
      </x:c>
      <x:c r="G25" s="27" t="str">
        <x:v>120 평가 + 60 준비</x:v>
      </x:c>
      <x:c r="H25" s="27" t="str">
        <x:v>준비와 후속 갱신 포함</x:v>
      </x:c>
    </x:row>
    <x:row r="26" ht="38" customHeight="1">
      <x:c r="A26" s="27" t="str">
        <x:v>QA06 최대 RAM</x:v>
      </x:c>
      <x:c r="B26" s="27" t="str">
        <x:v>MB</x:v>
      </x:c>
      <x:c r="C26" s="28" t="n">
        <x:f>_xlfn.MAXIFS('메모리상태'!$AB$6:$AB$1005,'메모리상태'!$A$6:$A$1005,"V-A")</x:f>
        <x:v>592</x:v>
      </x:c>
      <x:c r="D26" s="28" t="n">
        <x:f>_xlfn.MAXIFS('메모리상태'!$AB$6:$AB$1005,'메모리상태'!$A$6:$A$1005,"V-R1")</x:f>
        <x:v>1954</x:v>
      </x:c>
      <x:c r="E26" s="28" t="n">
        <x:f>_xlfn.MAXIFS('메모리상태'!$AB$6:$AB$1005,'메모리상태'!$A$6:$A$1005,"V-R2")</x:f>
        <x:v>2374</x:v>
      </x:c>
      <x:c r="F26" s="28" t="n">
        <x:f>_xlfn.MAXIFS('메모리상태'!$AB$6:$AB$1005,'메모리상태'!$A$6:$A$1005,"V-R3")</x:f>
        <x:v>2662</x:v>
      </x:c>
      <x:c r="G26" s="27" t="str">
        <x:v>전체 동시 구간</x:v>
      </x:c>
      <x:c r="H26" s="27" t="str">
        <x:v>같은 시점의 합계 중 최대</x:v>
      </x:c>
    </x:row>
    <x:row r="27" ht="38" customHeight="1">
      <x:c r="A27" s="27" t="str">
        <x:v>QA07 요청 의미</x:v>
      </x:c>
      <x:c r="B27" s="27" t="str">
        <x:v>정확도</x:v>
      </x:c>
      <x:c r="C27" s="29" t="n">
        <x:f>AVERAGEIFS('의미판정'!$F$6:$F$1365,'의미판정'!$A$6:$A$1365,"V-A")</x:f>
        <x:v>0.85</x:v>
      </x:c>
      <x:c r="D27" s="29" t="n">
        <x:f>AVERAGEIFS('의미판정'!$F$6:$F$1365,'의미판정'!$A$6:$A$1365,"V-R1")</x:f>
        <x:v>0.9166666666666666</x:v>
      </x:c>
      <x:c r="E27" s="29" t="n">
        <x:f>AVERAGEIFS('의미판정'!$F$6:$F$1365,'의미판정'!$A$6:$A$1365,"V-R2")</x:f>
        <x:v>0.9166666666666666</x:v>
      </x:c>
      <x:c r="F27" s="29" t="n">
        <x:f>AVERAGEIFS('의미판정'!$F$6:$F$1365,'의미판정'!$A$6:$A$1365,"V-R3")</x:f>
        <x:v>0.9166666666666666</x:v>
      </x:c>
      <x:c r="G27" s="27" t="str">
        <x:v>120 입력</x:v>
      </x:c>
      <x:c r="H27" s="27" t="str">
        <x:v>필수 의미 전체 일치</x:v>
      </x:c>
    </x:row>
    <x:row r="28">
      <x:c r="A28" s="16"/>
      <x:c r="B28" s="16"/>
      <x:c r="C28" s="16"/>
      <x:c r="D28" s="16"/>
      <x:c r="E28" s="16"/>
      <x:c r="F28" s="16"/>
      <x:c r="G28" s="16"/>
      <x:c r="H28" s="16"/>
    </x:row>
    <x:row r="29">
      <x:c r="A29" s="16"/>
      <x:c r="B29" s="16"/>
      <x:c r="C29" s="16"/>
      <x:c r="D29" s="16"/>
      <x:c r="E29" s="16"/>
      <x:c r="F29" s="16"/>
      <x:c r="G29" s="16"/>
      <x:c r="H29" s="16"/>
    </x:row>
    <x:row r="30">
      <x:c r="A30" s="18" t="str">
        <x:v>DELIVERY 음성 전달: DP44</x:v>
      </x:c>
      <x:c r="B30" s="16"/>
      <x:c r="C30" s="16"/>
      <x:c r="D30" s="16"/>
      <x:c r="E30" s="16"/>
      <x:c r="F30" s="16"/>
      <x:c r="G30" s="16"/>
      <x:c r="H30" s="16"/>
    </x:row>
    <x:row r="31">
      <x:c r="A31" s="16"/>
      <x:c r="B31" s="16"/>
      <x:c r="C31" s="16"/>
      <x:c r="D31" s="16"/>
      <x:c r="E31" s="16"/>
      <x:c r="F31" s="16"/>
      <x:c r="G31" s="16"/>
      <x:c r="H31" s="16"/>
    </x:row>
    <x:row r="32" ht="34" customHeight="1">
      <x:c r="A32" s="8" t="str">
        <x:v>QA</x:v>
      </x:c>
      <x:c r="B32" s="8" t="str">
        <x:v>단위</x:v>
      </x:c>
      <x:c r="C32" s="8" t="str">
        <x:v>D-A</x:v>
      </x:c>
      <x:c r="D32" s="8" t="str">
        <x:v>D-B</x:v>
      </x:c>
      <x:c r="E32" s="8" t="str"/>
      <x:c r="F32" s="8" t="str"/>
      <x:c r="G32" s="8" t="str">
        <x:v>분모/관측 범위</x:v>
      </x:c>
      <x:c r="H32" s="8" t="str">
        <x:v>해석</x:v>
      </x:c>
    </x:row>
    <x:row r="33" ht="38" customHeight="1">
      <x:c r="A33" s="27" t="str">
        <x:v>QA01 화면 첫 응답</x:v>
      </x:c>
      <x:c r="B33" s="27" t="str">
        <x:v>초</x:v>
      </x:c>
      <x:c r="C33" s="28" t="n">
        <x:f>AVERAGEIFS('첫응답'!$I$6:$I$1365,'첫응답'!$A$6:$A$1365,"D-A")</x:f>
        <x:v>0.9233333332999999</x:v>
      </x:c>
      <x:c r="D33" s="28" t="n">
        <x:f>AVERAGEIFS('첫응답'!$I$6:$I$1365,'첫응답'!$A$6:$A$1365,"D-B")</x:f>
        <x:v>0.9233333332999999</x:v>
      </x:c>
      <x:c r="E33" s="27"/>
      <x:c r="F33" s="27"/>
      <x:c r="G33" s="27" t="str">
        <x:v>80 입력</x:v>
      </x:c>
      <x:c r="H33" s="27" t="str">
        <x:v>화면 표시. 음성과 구분</x:v>
      </x:c>
    </x:row>
    <x:row r="34" ht="38" customHeight="1">
      <x:c r="A34" s="27" t="str">
        <x:v>QA02 지칭 집합</x:v>
      </x:c>
      <x:c r="B34" s="27" t="str">
        <x:v>정확도</x:v>
      </x:c>
      <x:c r="C34" s="29" t="n">
        <x:f>AVERAGEIFS('지칭판정'!$G$6:$G$1475,'지칭판정'!$A$6:$A$1475,"D-A")</x:f>
        <x:v>1</x:v>
      </x:c>
      <x:c r="D34" s="29" t="n">
        <x:f>AVERAGEIFS('지칭판정'!$G$6:$G$1475,'지칭판정'!$A$6:$A$1475,"D-B")</x:f>
        <x:v>1</x:v>
      </x:c>
      <x:c r="E34" s="27"/>
      <x:c r="F34" s="27"/>
      <x:c r="G34" s="27" t="str">
        <x:v>120 표현</x:v>
      </x:c>
      <x:c r="H34" s="27" t="str">
        <x:v>고정 정답 제어 fixture</x:v>
      </x:c>
    </x:row>
    <x:row r="35" ht="38" customHeight="1">
      <x:c r="A35" s="27" t="str">
        <x:v>QA03 VIA 처리</x:v>
      </x:c>
      <x:c r="B35" s="27" t="str">
        <x:v>초</x:v>
      </x:c>
      <x:c r="C35" s="28" t="n">
        <x:f>AVERAGEIFS('목표시간'!$E$6:$E$1205,'목표시간'!$A$6:$A$1205,"D-A")</x:f>
        <x:v>1.9652592591999993</x:v>
      </x:c>
      <x:c r="D35" s="28" t="n">
        <x:f>AVERAGEIFS('목표시간'!$E$6:$E$1205,'목표시간'!$A$6:$A$1205,"D-B")</x:f>
        <x:v>2.7101851850444443</x:v>
      </x:c>
      <x:c r="E35" s="27"/>
      <x:c r="F35" s="27"/>
      <x:c r="G35" s="27" t="str">
        <x:v>90 목표</x:v>
      </x:c>
      <x:c r="H35" s="27" t="str">
        <x:v>외부 duration=0 인과 경로</x:v>
      </x:c>
    </x:row>
    <x:row r="36" ht="38" customHeight="1">
      <x:c r="A36" s="27" t="str">
        <x:v>QA04 예상 변경 모듈</x:v>
      </x:c>
      <x:c r="B36" s="27" t="str">
        <x:v>모듈</x:v>
      </x:c>
      <x:c r="C36" s="28" t="n">
        <x:f>AVERAGEIFS('변경과제'!$E$6:$E$59,'변경과제'!$A$6:$A$59,"D-A")</x:f>
        <x:v>2.3333333333333335</x:v>
      </x:c>
      <x:c r="D36" s="28" t="n">
        <x:f>AVERAGEIFS('변경과제'!$E$6:$E$59,'변경과제'!$A$6:$A$59,"D-B")</x:f>
        <x:v>2</x:v>
      </x:c>
      <x:c r="E36" s="27"/>
      <x:c r="F36" s="27"/>
      <x:c r="G36" s="27" t="str">
        <x:v>6 과제</x:v>
      </x:c>
      <x:c r="H36" s="27" t="str">
        <x:v>예상. 인터페이스 동점 가능</x:v>
      </x:c>
    </x:row>
    <x:row r="37" ht="38" customHeight="1">
      <x:c r="A37" s="27" t="str">
        <x:v>QA05 VIA 비용</x:v>
      </x:c>
      <x:c r="B37" s="27" t="str">
        <x:v>USD/활동 묶음</x:v>
      </x:c>
      <x:c r="C37" s="30" t="n">
        <x:f>SUMIFS('비용계산'!$H$6:$H$96,'비용계산'!$A$6:$A$96,"D-A",'비용계산'!$D$6:$D$96,"VIA")</x:f>
        <x:v>2.4798733332879994</x:v>
      </x:c>
      <x:c r="D37" s="30" t="n">
        <x:f>SUMIFS('비용계산'!$H$6:$H$96,'비용계산'!$A$6:$A$96,"D-B",'비용계산'!$D$6:$D$96,"VIA")</x:f>
        <x:v>2.22465999996</x:v>
      </x:c>
      <x:c r="E37" s="27"/>
      <x:c r="F37" s="27"/>
      <x:c r="G37" s="27" t="str">
        <x:v>80 평가 + 80 준비</x:v>
      </x:c>
      <x:c r="H37" s="27" t="str">
        <x:v>준비/폐기/재개 문맥 포함</x:v>
      </x:c>
    </x:row>
    <x:row r="38" ht="38" customHeight="1">
      <x:c r="A38" s="27" t="str">
        <x:v>QA06 최대 RAM</x:v>
      </x:c>
      <x:c r="B38" s="27" t="str">
        <x:v>MB</x:v>
      </x:c>
      <x:c r="C38" s="28" t="n">
        <x:f>_xlfn.MAXIFS('메모리상태'!$AB$6:$AB$1005,'메모리상태'!$A$6:$A$1005,"D-A")</x:f>
        <x:v>561.659272</x:v>
      </x:c>
      <x:c r="D38" s="28" t="n">
        <x:f>_xlfn.MAXIFS('메모리상태'!$AB$6:$AB$1005,'메모리상태'!$A$6:$A$1005,"D-B")</x:f>
        <x:v>561.506936</x:v>
      </x:c>
      <x:c r="E38" s="27"/>
      <x:c r="F38" s="27"/>
      <x:c r="G38" s="27" t="str">
        <x:v>전체 동시 구간</x:v>
      </x:c>
      <x:c r="H38" s="27" t="str">
        <x:v>로컬 동시 합계. decimal MB</x:v>
      </x:c>
    </x:row>
    <x:row r="39" ht="38" customHeight="1">
      <x:c r="A39" s="27" t="str">
        <x:v>QA07 요청 의미</x:v>
      </x:c>
      <x:c r="B39" s="27" t="str">
        <x:v>정확도</x:v>
      </x:c>
      <x:c r="C39" s="29" t="n">
        <x:f>AVERAGEIFS('의미판정'!$F$6:$F$1365,'의미판정'!$A$6:$A$1365,"D-A")</x:f>
        <x:v>1</x:v>
      </x:c>
      <x:c r="D39" s="29" t="n">
        <x:f>AVERAGEIFS('의미판정'!$F$6:$F$1365,'의미판정'!$A$6:$A$1365,"D-B")</x:f>
        <x:v>1</x:v>
      </x:c>
      <x:c r="E39" s="27"/>
      <x:c r="F39" s="27"/>
      <x:c r="G39" s="27" t="str">
        <x:v>80 입력</x:v>
      </x:c>
      <x:c r="H39" s="27" t="str">
        <x:v>고정 정답 제어 fixture</x:v>
      </x:c>
    </x:row>
    <x:row r="40">
      <x:c r="A40" s="16"/>
      <x:c r="B40" s="16"/>
      <x:c r="C40" s="16"/>
      <x:c r="D40" s="16"/>
      <x:c r="E40" s="16"/>
      <x:c r="F40" s="16"/>
      <x:c r="G40" s="16"/>
      <x:c r="H40" s="16"/>
    </x:row>
    <x:row r="41" ht="38" customHeight="1">
      <x:c r="A41" s="27" t="str">
        <x:v>QA01 음성 진단</x:v>
      </x:c>
      <x:c r="B41" s="27" t="str">
        <x:v>초</x:v>
      </x:c>
      <x:c r="C41" s="28" t="n">
        <x:f>SUMIFS('첫응답'!$M$6:$M$1365,'첫응답'!$A$6:$A$1365,"D-A")/COUNTIFS('첫응답'!$A$6:$A$1365,"D-A")</x:f>
        <x:v>1.0687083333</x:v>
      </x:c>
      <x:c r="D41" s="28" t="n">
        <x:f>SUMIFS('첫응답'!$M$6:$M$1365,'첫응답'!$A$6:$A$1365,"D-B")/COUNTIFS('첫응답'!$A$6:$A$1365,"D-B")</x:f>
        <x:v>1.275624999925</x:v>
      </x:c>
      <x:c r="E41" s="27"/>
      <x:c r="F41" s="27"/>
      <x:c r="G41" s="27" t="str">
        <x:v>80 입력</x:v>
      </x:c>
      <x:c r="H41" s="27" t="str">
        <x:v>화면 QA01과 평균/대체 안 함</x:v>
      </x:c>
    </x:row>
    <x:row r="42">
      <x:c r="A42" s="16"/>
      <x:c r="B42" s="16"/>
      <x:c r="C42" s="16"/>
      <x:c r="D42" s="16"/>
      <x:c r="E42" s="16"/>
      <x:c r="F42" s="16"/>
      <x:c r="G42" s="16"/>
      <x:c r="H42" s="16"/>
    </x:row>
    <x:row r="43">
      <x:c r="A43" s="18" t="str">
        <x:v>비용과 분모를 함께 읽기</x:v>
      </x:c>
      <x:c r="B43" s="16"/>
      <x:c r="C43" s="16"/>
      <x:c r="D43" s="16"/>
      <x:c r="E43" s="16"/>
      <x:c r="F43" s="16"/>
      <x:c r="G43" s="16"/>
      <x:c r="H43" s="16"/>
    </x:row>
    <x:row r="44">
      <x:c r="A44" s="16"/>
      <x:c r="B44" s="16"/>
      <x:c r="C44" s="16"/>
      <x:c r="D44" s="16"/>
      <x:c r="E44" s="16"/>
      <x:c r="F44" s="16"/>
      <x:c r="G44" s="16"/>
      <x:c r="H44" s="16"/>
    </x:row>
    <x:row r="45" ht="36" customHeight="1">
      <x:c r="A45" s="7" t="str">
        <x:v>구성</x:v>
      </x:c>
      <x:c r="B45" s="7" t="str">
        <x:v>평가 VIA USD</x:v>
      </x:c>
      <x:c r="C45" s="7" t="str">
        <x:v>준비 VIA USD</x:v>
      </x:c>
      <x:c r="D45" s="7" t="str">
        <x:v>유지 VIA USD</x:v>
      </x:c>
      <x:c r="E45" s="7" t="str">
        <x:v>VIA 총 USD</x:v>
      </x:c>
      <x:c r="F45" s="7" t="str">
        <x:v>수신 Agent USD</x:v>
      </x:c>
      <x:c r="G45" s="7" t="str">
        <x:v>전체 USD</x:v>
      </x:c>
      <x:c r="H45" s="7" t="str">
        <x:v>활동 묶음</x:v>
      </x:c>
    </x:row>
    <x:row r="46" ht="38" customHeight="1">
      <x:c r="A46" s="27" t="str">
        <x:v>T-BASE</x:v>
      </x:c>
      <x:c r="B46" s="30" t="n">
        <x:f>SUMIFS('비용계산'!$H$6:$H$96,'비용계산'!$A$6:$A$96,A46,'비용계산'!$C$6:$C$96,"scored",'비용계산'!$D$6:$D$96,"VIA")</x:f>
        <x:v>2.451601</x:v>
      </x:c>
      <x:c r="C46" s="30" t="n">
        <x:f>SUMIFS('비용계산'!$H$6:$H$96,'비용계산'!$A$6:$A$96,A46,'비용계산'!$C$6:$C$96,"preparation",'비용계산'!$D$6:$D$96,"VIA")</x:f>
        <x:v>0</x:v>
      </x:c>
      <x:c r="D46" s="30" t="n">
        <x:f>SUMIFS('비용계산'!$H$6:$H$96,'비용계산'!$A$6:$A$96,A46,'비용계산'!$C$6:$C$96,"maintenance",'비용계산'!$D$6:$D$96,"VIA")</x:f>
        <x:v>0</x:v>
      </x:c>
      <x:c r="E46" s="30" t="n">
        <x:f>SUM(B46:D46)</x:f>
        <x:v>2.451601</x:v>
      </x:c>
      <x:c r="F46" s="30" t="n">
        <x:f>SUMIFS('비용계산'!$H$6:$H$96,'비용계산'!$A$6:$A$96,A46,'비용계산'!$D$6:$D$96,"RECEIVER")</x:f>
        <x:v>0.42343</x:v>
      </x:c>
      <x:c r="G46" s="30" t="n">
        <x:f>SUM(E46:F46)</x:f>
        <x:v>2.875031</x:v>
      </x:c>
      <x:c r="H46" s="27" t="str">
        <x:v>120 에피소드</x:v>
      </x:c>
    </x:row>
    <x:row r="47" ht="38" customHeight="1">
      <x:c r="A47" s="27" t="str">
        <x:v>T-EXEC</x:v>
      </x:c>
      <x:c r="B47" s="30" t="n">
        <x:f>SUMIFS('비용계산'!$H$6:$H$96,'비용계산'!$A$6:$A$96,A47,'비용계산'!$C$6:$C$96,"scored",'비용계산'!$D$6:$D$96,"VIA")</x:f>
        <x:v>2.573512</x:v>
      </x:c>
      <x:c r="C47" s="30" t="n">
        <x:f>SUMIFS('비용계산'!$H$6:$H$96,'비용계산'!$A$6:$A$96,A47,'비용계산'!$C$6:$C$96,"preparation",'비용계산'!$D$6:$D$96,"VIA")</x:f>
        <x:v>0</x:v>
      </x:c>
      <x:c r="D47" s="30" t="n">
        <x:f>SUMIFS('비용계산'!$H$6:$H$96,'비용계산'!$A$6:$A$96,A47,'비용계산'!$C$6:$C$96,"maintenance",'비용계산'!$D$6:$D$96,"VIA")</x:f>
        <x:v>0</x:v>
      </x:c>
      <x:c r="E47" s="30" t="n">
        <x:f>SUM(B47:D47)</x:f>
        <x:v>2.573512</x:v>
      </x:c>
      <x:c r="F47" s="30" t="n">
        <x:f>SUMIFS('비용계산'!$H$6:$H$96,'비용계산'!$A$6:$A$96,A47,'비용계산'!$D$6:$D$96,"RECEIVER")</x:f>
        <x:v>0.42343</x:v>
      </x:c>
      <x:c r="G47" s="30" t="n">
        <x:f>SUM(E47:F47)</x:f>
        <x:v>2.9969419999999998</x:v>
      </x:c>
      <x:c r="H47" s="27" t="str">
        <x:v>120 에피소드</x:v>
      </x:c>
    </x:row>
    <x:row r="48" ht="38" customHeight="1">
      <x:c r="A48" s="27" t="str">
        <x:v>T-REL</x:v>
      </x:c>
      <x:c r="B48" s="30" t="n">
        <x:f>SUMIFS('비용계산'!$H$6:$H$96,'비용계산'!$A$6:$A$96,A48,'비용계산'!$C$6:$C$96,"scored",'비용계산'!$D$6:$D$96,"VIA")</x:f>
        <x:v>2.208411</x:v>
      </x:c>
      <x:c r="C48" s="30" t="n">
        <x:f>SUMIFS('비용계산'!$H$6:$H$96,'비용계산'!$A$6:$A$96,A48,'비용계산'!$C$6:$C$96,"preparation",'비용계산'!$D$6:$D$96,"VIA")</x:f>
        <x:v>1.08588</x:v>
      </x:c>
      <x:c r="D48" s="30" t="n">
        <x:f>SUMIFS('비용계산'!$H$6:$H$96,'비용계산'!$A$6:$A$96,A48,'비용계산'!$C$6:$C$96,"maintenance",'비용계산'!$D$6:$D$96,"VIA")</x:f>
        <x:v>0.0615</x:v>
      </x:c>
      <x:c r="E48" s="30" t="n">
        <x:f>SUM(B48:D48)</x:f>
        <x:v>3.355791</x:v>
      </x:c>
      <x:c r="F48" s="30" t="n">
        <x:f>SUMIFS('비용계산'!$H$6:$H$96,'비용계산'!$A$6:$A$96,A48,'비용계산'!$D$6:$D$96,"RECEIVER")</x:f>
        <x:v>0.42343</x:v>
      </x:c>
      <x:c r="G48" s="30" t="n">
        <x:f>SUM(E48:F48)</x:f>
        <x:v>3.7792209999999997</x:v>
      </x:c>
      <x:c r="H48" s="27" t="str">
        <x:v>120 에피소드</x:v>
      </x:c>
    </x:row>
    <x:row r="49" ht="38" customHeight="1">
      <x:c r="A49" s="27" t="str">
        <x:v>V-A</x:v>
      </x:c>
      <x:c r="B49" s="30" t="n">
        <x:f>SUMIFS('비용계산'!$H$6:$H$96,'비용계산'!$A$6:$A$96,A49,'비용계산'!$C$6:$C$96,"scored",'비용계산'!$D$6:$D$96,"VIA")</x:f>
        <x:v>2.6036799999999998</x:v>
      </x:c>
      <x:c r="C49" s="30" t="n">
        <x:f>SUMIFS('비용계산'!$H$6:$H$96,'비용계산'!$A$6:$A$96,A49,'비용계산'!$C$6:$C$96,"preparation",'비용계산'!$D$6:$D$96,"VIA")</x:f>
        <x:v>1.30152</x:v>
      </x:c>
      <x:c r="D49" s="30" t="n">
        <x:f>SUMIFS('비용계산'!$H$6:$H$96,'비용계산'!$A$6:$A$96,A49,'비용계산'!$C$6:$C$96,"maintenance",'비용계산'!$D$6:$D$96,"VIA")</x:f>
        <x:v>0</x:v>
      </x:c>
      <x:c r="E49" s="30" t="n">
        <x:f>SUM(B49:D49)</x:f>
        <x:v>3.9052</x:v>
      </x:c>
      <x:c r="F49" s="30" t="n">
        <x:f>SUMIFS('비용계산'!$H$6:$H$96,'비용계산'!$A$6:$A$96,A49,'비용계산'!$D$6:$D$96,"RECEIVER")</x:f>
        <x:v>0.324</x:v>
      </x:c>
      <x:c r="G49" s="30" t="n">
        <x:f>SUM(E49:F49)</x:f>
        <x:v>4.2292</x:v>
      </x:c>
      <x:c r="H49" s="27" t="str">
        <x:v>120 평가 + 60 준비</x:v>
      </x:c>
    </x:row>
    <x:row r="50" ht="38" customHeight="1">
      <x:c r="A50" s="27" t="str">
        <x:v>V-R1</x:v>
      </x:c>
      <x:c r="B50" s="30" t="n">
        <x:f>SUMIFS('비용계산'!$H$6:$H$96,'비용계산'!$A$6:$A$96,A50,'비용계산'!$C$6:$C$96,"scored",'비용계산'!$D$6:$D$96,"VIA")</x:f>
        <x:v>2.24928</x:v>
      </x:c>
      <x:c r="C50" s="30" t="n">
        <x:f>SUMIFS('비용계산'!$H$6:$H$96,'비용계산'!$A$6:$A$96,A50,'비용계산'!$C$6:$C$96,"preparation",'비용계산'!$D$6:$D$96,"VIA")</x:f>
        <x:v>1.16952</x:v>
      </x:c>
      <x:c r="D50" s="30" t="n">
        <x:f>SUMIFS('비용계산'!$H$6:$H$96,'비용계산'!$A$6:$A$96,A50,'비용계산'!$C$6:$C$96,"maintenance",'비용계산'!$D$6:$D$96,"VIA")</x:f>
        <x:v>0</x:v>
      </x:c>
      <x:c r="E50" s="30" t="n">
        <x:f>SUM(B50:D50)</x:f>
        <x:v>3.4188</x:v>
      </x:c>
      <x:c r="F50" s="30" t="n">
        <x:f>SUMIFS('비용계산'!$H$6:$H$96,'비용계산'!$A$6:$A$96,A50,'비용계산'!$D$6:$D$96,"RECEIVER")</x:f>
        <x:v>0.324</x:v>
      </x:c>
      <x:c r="G50" s="30" t="n">
        <x:f>SUM(E50:F50)</x:f>
        <x:v>3.7428</x:v>
      </x:c>
      <x:c r="H50" s="27" t="str">
        <x:v>120 평가 + 60 준비</x:v>
      </x:c>
    </x:row>
    <x:row r="51" ht="38" customHeight="1">
      <x:c r="A51" s="27" t="str">
        <x:v>V-R2</x:v>
      </x:c>
      <x:c r="B51" s="30" t="n">
        <x:f>SUMIFS('비용계산'!$H$6:$H$96,'비용계산'!$A$6:$A$96,A51,'비용계산'!$C$6:$C$96,"scored",'비용계산'!$D$6:$D$96,"VIA")</x:f>
        <x:v>2.24928</x:v>
      </x:c>
      <x:c r="C51" s="30" t="n">
        <x:f>SUMIFS('비용계산'!$H$6:$H$96,'비용계산'!$A$6:$A$96,A51,'비용계산'!$C$6:$C$96,"preparation",'비용계산'!$D$6:$D$96,"VIA")</x:f>
        <x:v>1.16952</x:v>
      </x:c>
      <x:c r="D51" s="30" t="n">
        <x:f>SUMIFS('비용계산'!$H$6:$H$96,'비용계산'!$A$6:$A$96,A51,'비용계산'!$C$6:$C$96,"maintenance",'비용계산'!$D$6:$D$96,"VIA")</x:f>
        <x:v>0</x:v>
      </x:c>
      <x:c r="E51" s="30" t="n">
        <x:f>SUM(B51:D51)</x:f>
        <x:v>3.4188</x:v>
      </x:c>
      <x:c r="F51" s="30" t="n">
        <x:f>SUMIFS('비용계산'!$H$6:$H$96,'비용계산'!$A$6:$A$96,A51,'비용계산'!$D$6:$D$96,"RECEIVER")</x:f>
        <x:v>0.324</x:v>
      </x:c>
      <x:c r="G51" s="30" t="n">
        <x:f>SUM(E51:F51)</x:f>
        <x:v>3.7428</x:v>
      </x:c>
      <x:c r="H51" s="27" t="str">
        <x:v>120 평가 + 60 준비</x:v>
      </x:c>
    </x:row>
    <x:row r="52" ht="38" customHeight="1">
      <x:c r="A52" s="27" t="str">
        <x:v>V-R3</x:v>
      </x:c>
      <x:c r="B52" s="30" t="n">
        <x:f>SUMIFS('비용계산'!$H$6:$H$96,'비용계산'!$A$6:$A$96,A52,'비용계산'!$C$6:$C$96,"scored",'비용계산'!$D$6:$D$96,"VIA")</x:f>
        <x:v>2.24928</x:v>
      </x:c>
      <x:c r="C52" s="30" t="n">
        <x:f>SUMIFS('비용계산'!$H$6:$H$96,'비용계산'!$A$6:$A$96,A52,'비용계산'!$C$6:$C$96,"preparation",'비용계산'!$D$6:$D$96,"VIA")</x:f>
        <x:v>1.16952</x:v>
      </x:c>
      <x:c r="D52" s="30" t="n">
        <x:f>SUMIFS('비용계산'!$H$6:$H$96,'비용계산'!$A$6:$A$96,A52,'비용계산'!$C$6:$C$96,"maintenance",'비용계산'!$D$6:$D$96,"VIA")</x:f>
        <x:v>0</x:v>
      </x:c>
      <x:c r="E52" s="30" t="n">
        <x:f>SUM(B52:D52)</x:f>
        <x:v>3.4188</x:v>
      </x:c>
      <x:c r="F52" s="30" t="n">
        <x:f>SUMIFS('비용계산'!$H$6:$H$96,'비용계산'!$A$6:$A$96,A52,'비용계산'!$D$6:$D$96,"RECEIVER")</x:f>
        <x:v>0.324</x:v>
      </x:c>
      <x:c r="G52" s="30" t="n">
        <x:f>SUM(E52:F52)</x:f>
        <x:v>3.7428</x:v>
      </x:c>
      <x:c r="H52" s="27" t="str">
        <x:v>120 평가 + 60 준비</x:v>
      </x:c>
    </x:row>
    <x:row r="53" ht="38" customHeight="1">
      <x:c r="A53" s="27" t="str">
        <x:v>D-A</x:v>
      </x:c>
      <x:c r="B53" s="30" t="n">
        <x:f>SUMIFS('비용계산'!$H$6:$H$96,'비용계산'!$A$6:$A$96,A53,'비용계산'!$C$6:$C$96,"scored",'비용계산'!$D$6:$D$96,"VIA")</x:f>
        <x:v>0.65967999998</x:v>
      </x:c>
      <x:c r="C53" s="30" t="n">
        <x:f>SUMIFS('비용계산'!$H$6:$H$96,'비용계산'!$A$6:$A$96,A53,'비용계산'!$C$6:$C$96,"preparation",'비용계산'!$D$6:$D$96,"VIA")</x:f>
        <x:v>1.8201933333079996</x:v>
      </x:c>
      <x:c r="D53" s="30" t="n">
        <x:f>SUMIFS('비용계산'!$H$6:$H$96,'비용계산'!$A$6:$A$96,A53,'비용계산'!$C$6:$C$96,"maintenance",'비용계산'!$D$6:$D$96,"VIA")</x:f>
        <x:v>0</x:v>
      </x:c>
      <x:c r="E53" s="30" t="n">
        <x:f>SUM(B53:D53)</x:f>
        <x:v>2.4798733332879994</x:v>
      </x:c>
      <x:c r="F53" s="30"/>
      <x:c r="G53" s="30"/>
      <x:c r="H53" s="27" t="str">
        <x:v>80 평가 + 80 준비; 수신/전체 미모델링</x:v>
      </x:c>
    </x:row>
    <x:row r="54" ht="38" customHeight="1">
      <x:c r="A54" s="27" t="str">
        <x:v>D-B</x:v>
      </x:c>
      <x:c r="B54" s="30" t="n">
        <x:f>SUMIFS('비용계산'!$H$6:$H$96,'비용계산'!$A$6:$A$96,A54,'비용계산'!$C$6:$C$96,"scored",'비용계산'!$D$6:$D$96,"VIA")</x:f>
        <x:v>1.4156399999559999</x:v>
      </x:c>
      <x:c r="C54" s="30" t="n">
        <x:f>SUMIFS('비용계산'!$H$6:$H$96,'비용계산'!$A$6:$A$96,A54,'비용계산'!$C$6:$C$96,"preparation",'비용계산'!$D$6:$D$96,"VIA")</x:f>
        <x:v>0.809020000004</x:v>
      </x:c>
      <x:c r="D54" s="30" t="n">
        <x:f>SUMIFS('비용계산'!$H$6:$H$96,'비용계산'!$A$6:$A$96,A54,'비용계산'!$C$6:$C$96,"maintenance",'비용계산'!$D$6:$D$96,"VIA")</x:f>
        <x:v>0</x:v>
      </x:c>
      <x:c r="E54" s="30" t="n">
        <x:f>SUM(B54:D54)</x:f>
        <x:v>2.22465999996</x:v>
      </x:c>
      <x:c r="F54" s="30"/>
      <x:c r="G54" s="30"/>
      <x:c r="H54" s="27" t="str">
        <x:v>80 평가 + 80 준비; 수신/전체 미모델링</x:v>
      </x:c>
    </x:row>
    <x:row r="55">
      <x:c r="A55" s="16"/>
      <x:c r="B55" s="16"/>
      <x:c r="C55" s="16"/>
      <x:c r="D55" s="16"/>
      <x:c r="E55" s="16"/>
      <x:c r="F55" s="16"/>
      <x:c r="G55" s="16"/>
      <x:c r="H55" s="16"/>
    </x:row>
    <x:row r="56">
      <x:c r="A56" s="16"/>
      <x:c r="B56" s="16"/>
      <x:c r="C56" s="16"/>
      <x:c r="D56" s="16"/>
      <x:c r="E56" s="16"/>
      <x:c r="F56" s="16"/>
      <x:c r="G56" s="16"/>
      <x:c r="H56" s="16"/>
    </x:row>
    <x:row r="57" ht="34" customHeight="1">
      <x:c r="A57" s="33" t="str">
        <x:v>개별 조건부 권고</x:v>
      </x:c>
      <x:c r="B57" s="27" t="str">
        <x:v>DP2 B, DP3 A, DP5 B, DP44 A. 각 층의 독립 비교에 대한 권고이며 결합 구성의 성능 권고가 아니다.</x:v>
      </x:c>
      <x:c r="C57" s="27"/>
      <x:c r="D57" s="27"/>
      <x:c r="E57" s="27"/>
      <x:c r="F57" s="27"/>
      <x:c r="G57" s="27"/>
      <x:c r="H57" s="27"/>
    </x:row>
    <x:row r="58" ht="34" customHeight="1">
      <x:c r="A58" s="33" t="str">
        <x:v>구성</x:v>
      </x:c>
      <x:c r="B58" s="27" t="str">
        <x:v>T-BASE는 두 비교의 같은 기준 행. T-EXEC는 DP2만, T-REL은 DP5만 바꾼다.</x:v>
      </x:c>
      <x:c r="C58" s="27"/>
      <x:c r="D58" s="27"/>
      <x:c r="E58" s="27"/>
      <x:c r="F58" s="27"/>
      <x:c r="G58" s="27"/>
      <x:c r="H58" s="27"/>
    </x:row>
    <x:row r="59" ht="34" customHeight="1">
      <x:c r="A59" s="33" t="str">
        <x:v>VOICE의 주변 조건</x:v>
      </x:c>
      <x:c r="B59" s="27" t="str">
        <x:v>V-A를 2A+3A+5A라고 표시하지 않는다. DP2/DP5는 FIXED_UNMAPPED다.</x:v>
      </x:c>
      <x:c r="C59" s="27"/>
      <x:c r="D59" s="27"/>
      <x:c r="E59" s="27"/>
      <x:c r="F59" s="27"/>
      <x:c r="G59" s="27"/>
      <x:c r="H59" s="27"/>
    </x:row>
    <x:row r="60" ht="34" customHeight="1">
      <x:c r="A60" s="33" t="str">
        <x:v>메모리</x:v>
      </x:c>
      <x:c r="B60" s="27" t="str">
        <x:v>TEXT 공통 기반 238MB와 VOICE 공통 기반 560MB는 별도 profile이다.</x:v>
      </x:c>
      <x:c r="C60" s="27"/>
      <x:c r="D60" s="27"/>
      <x:c r="E60" s="27"/>
      <x:c r="F60" s="27"/>
      <x:c r="G60" s="27"/>
      <x:c r="H60" s="27"/>
    </x:row>
    <x:row r="61" ht="34" customHeight="1">
      <x:c r="A61" s="33" t="str">
        <x:v>정확도</x:v>
      </x:c>
      <x:c r="B61" s="27" t="str">
        <x:v>QA02와 QA07의 같은 대상 오류는 중복될 수 있다. 독립 효과로 합산하지 않는다.</x:v>
      </x:c>
      <x:c r="C61" s="27"/>
      <x:c r="D61" s="27"/>
      <x:c r="E61" s="27"/>
      <x:c r="F61" s="27"/>
      <x:c r="G61" s="27"/>
      <x:c r="H61" s="27"/>
    </x:row>
    <x:row r="62" ht="34" customHeight="1">
      <x:c r="A62" s="33" t="str">
        <x:v>준비 활동</x:v>
      </x:c>
      <x:c r="B62" s="27" t="str">
        <x:v>VOICE의 60개 준비 활동은 평가 분모 밖이며 비용과 RAM에는 포함한다.</x:v>
      </x:c>
      <x:c r="C62" s="27"/>
      <x:c r="D62" s="27"/>
      <x:c r="E62" s="27"/>
      <x:c r="F62" s="27"/>
      <x:c r="G62" s="27"/>
      <x:c r="H62" s="27"/>
    </x:row>
    <x:row r="63" ht="34" customHeight="1">
      <x:c r="A63" s="33" t="str">
        <x:v>재계산 범위</x:v>
      </x:c>
      <x:c r="B63" s="27" t="str">
        <x:v>비용은 사용량×단가, RAM은 동시 항목합, 시간과 정확도는 해당 원장의 평균으로 계산한다.</x:v>
      </x:c>
      <x:c r="C63" s="27"/>
      <x:c r="D63" s="27"/>
      <x:c r="E63" s="27"/>
      <x:c r="F63" s="27"/>
      <x:c r="G63" s="27"/>
      <x:c r="H63" s="27"/>
    </x:row>
    <x:row r="64" ht="34" customHeight="1">
      <x:c r="A64" s="33" t="str">
        <x:v>시간 원장</x:v>
      </x:c>
      <x:c r="B64" s="27" t="str">
        <x:v>QA03은 원본 DAG에서 계산한 VIA 경로다. 이 파일에서 부모 DAG 전체를 재실행하지 않는다.</x:v>
      </x:c>
      <x:c r="C64" s="27"/>
      <x:c r="D64" s="27"/>
      <x:c r="E64" s="27"/>
      <x:c r="F64" s="27"/>
      <x:c r="G64" s="27"/>
      <x:c r="H64" s="27"/>
    </x:row>
    <x:row r="65" ht="34" customHeight="1">
      <x:c r="A65" s="33" t="str">
        <x:v>DP44 권고</x:v>
      </x:c>
      <x:c r="B65" s="27" t="str">
        <x:v>A는 화면/고정 정확도 동점 후 QA03 이익과 음성 진단 이익을 조건부 권고 근거로 삼는다.</x:v>
      </x:c>
      <x:c r="C65" s="27"/>
      <x:c r="D65" s="27"/>
      <x:c r="E65" s="27"/>
      <x:c r="F65" s="27"/>
      <x:c r="G65" s="27"/>
      <x:c r="H65" s="27"/>
    </x:row>
    <x:row r="66" ht="34" customHeight="1">
      <x:c r="A66" s="33" t="str">
        <x:v>DP44 가정</x:v>
      </x:c>
      <x:c r="B66" s="27" t="str">
        <x:v>QA02/07은 고정 정답 제어 fixture. QA04는 인터페이스에 따라 A=2.00 동점 가능.</x:v>
      </x:c>
      <x:c r="C66" s="27"/>
      <x:c r="D66" s="27"/>
      <x:c r="E66" s="27"/>
      <x:c r="F66" s="27"/>
      <x:c r="G66" s="27"/>
      <x:c r="H66" s="27"/>
    </x:row>
    <x:row r="67" ht="34" customHeight="1">
      <x:c r="A67" s="33" t="str">
        <x:v>DP44 비용</x:v>
      </x:c>
      <x:c r="B67" s="27" t="str">
        <x:v>수신 Agent/전체 비용은 NOT_MODELED 빈칸. 무과금 자체 모델에는 청구액 차이가 적용되지 않는다.</x:v>
      </x:c>
      <x:c r="C67" s="27"/>
      <x:c r="D67" s="27"/>
      <x:c r="E67" s="27"/>
      <x:c r="F67" s="27"/>
      <x:c r="G67" s="27"/>
      <x:c r="H67" s="27"/>
    </x:row>
    <x:row r="68" ht="34" customHeight="1">
      <x:c r="A68" s="33" t="str">
        <x:v>근거 한계</x:v>
      </x:c>
      <x:c r="B68" s="27" t="str">
        <x:v>SYNTHETIC_AUTHORED_NOT_MEASURED. 실제 모델/제품 실행 0회. Windows Excel 미검증.</x:v>
      </x:c>
      <x:c r="C68" s="27"/>
      <x:c r="D68" s="27"/>
      <x:c r="E68" s="27"/>
      <x:c r="F68" s="27"/>
      <x:c r="G68" s="27"/>
      <x:c r="H68" s="27"/>
    </x:row>
  </x:sheetData>
  <x:mergeCells>
    <x:mergeCell ref="B57:H57"/>
    <x:mergeCell ref="B58:H58"/>
    <x:mergeCell ref="B59:H59"/>
    <x:mergeCell ref="B60:H60"/>
    <x:mergeCell ref="B61:H61"/>
    <x:mergeCell ref="B62:H62"/>
    <x:mergeCell ref="B63:H63"/>
    <x:mergeCell ref="B64:H64"/>
    <x:mergeCell ref="B65:H65"/>
    <x:mergeCell ref="B66:H66"/>
    <x:mergeCell ref="B67:H67"/>
    <x:mergeCell ref="B68:H68"/>
  </x:mergeCells>
  <x:pageMargins left="0.7" right="0.7" top="0.75" bottom="0.75" header="0.3" footer="0.3"/>
</x:worksheet>
</file>

<file path=xl/worksheets/sheet2.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0" hidden="0" customWidth="1"/>
    <x:col min="2" max="2" width="33.33000183105469" hidden="0" customWidth="1"/>
    <x:col min="3" max="3" width="84.44000244140625" hidden="0" customWidth="1"/>
    <x:col min="4" max="4" width="15" hidden="0" customWidth="1"/>
    <x:col min="5" max="5" width="81.11000061035156" hidden="0" customWidth="1"/>
  </x:cols>
  <x:sheetData>
    <x:row r="1">
      <x:c r="A1" s="1"/>
      <x:c r="B1" s="1"/>
      <x:c r="C1" s="1"/>
      <x:c r="D1" s="1"/>
      <x:c r="E1" s="1"/>
    </x:row>
    <x:row r="2">
      <x:c r="A2" s="2" t="str">
        <x:v>세 profile과 계산 근거</x:v>
      </x:c>
      <x:c r="B2" s="1"/>
      <x:c r="C2" s="1"/>
      <x:c r="D2" s="1"/>
      <x:c r="E2" s="1"/>
    </x:row>
    <x:row r="3">
      <x:c r="A3" s="3" t="str">
        <x:v>각 profile 안에서만 비교한다. VOICE와 DELIVERY의 주변 DP는 FIXED_UNMAPPED이며 기존 A/B로 자동 대응하지 않는다.</x:v>
      </x:c>
      <x:c r="B3" s="1"/>
      <x:c r="C3" s="1"/>
      <x:c r="D3" s="1"/>
      <x:c r="E3" s="1"/>
    </x:row>
    <x:row r="4">
      <x:c r="A4" s="1"/>
      <x:c r="B4" s="1"/>
      <x:c r="C4" s="1"/>
      <x:c r="D4" s="1"/>
      <x:c r="E4" s="1"/>
    </x:row>
    <x:row r="5" ht="35" customHeight="1">
      <x:c r="A5" s="8" t="str">
        <x:v>층</x:v>
      </x:c>
      <x:c r="B5" s="8" t="str">
        <x:v>항목</x:v>
      </x:c>
      <x:c r="C5" s="8" t="str">
        <x:v>값</x:v>
      </x:c>
      <x:c r="D5" s="8" t="str">
        <x:v>상태</x:v>
      </x:c>
      <x:c r="E5" s="8" t="str">
        <x:v>설명 및 출처</x:v>
      </x:c>
    </x:row>
    <x:row r="6" ht="52" customHeight="1">
      <x:c r="A6" s="10" t="str">
        <x:v>TEXT</x:v>
      </x:c>
      <x:c r="B6" s="10" t="str">
        <x:v>profile</x:v>
      </x:c>
      <x:c r="C6" s="10" t="str">
        <x:v>TEXT-HISTORY-SYN-1.0</x:v>
      </x:c>
      <x:c r="D6" s="10" t="str">
        <x:v>고정</x:v>
      </x:c>
      <x:c r="E6" s="10" t="str">
        <x:v>COMMON-QA-SYN-1.0</x:v>
      </x:c>
    </x:row>
    <x:row r="7" ht="52" customHeight="1">
      <x:c r="A7" s="10" t="str">
        <x:v>TEXT</x:v>
      </x:c>
      <x:c r="B7" s="10" t="str">
        <x:v>QA01 시작</x:v>
      </x:c>
      <x:c r="C7" s="10" t="str">
        <x:v>TEXT_SUBMITTED</x:v>
      </x:c>
      <x:c r="D7" s="10" t="str">
        <x:v>고정</x:v>
      </x:c>
      <x:c r="E7" s="10" t="str">
        <x:v>TEXT 제출과 발화 종료는 서로 다른 시작 사건</x:v>
      </x:c>
    </x:row>
    <x:row r="8" ht="52" customHeight="1">
      <x:c r="A8" s="10" t="str">
        <x:v>TEXT</x:v>
      </x:c>
      <x:c r="B8" s="10" t="str">
        <x:v>episodes</x:v>
      </x:c>
      <x:c r="C8" s="10" t="n">
        <x:v>120</x:v>
      </x:c>
      <x:c r="D8" s="10" t="str">
        <x:v>고정</x:v>
      </x:c>
      <x:c r="E8" s="10" t="str">
        <x:v>평가 준비 활동은 QA01/02/03/07 분모 밖, 비용과 RAM 포함</x:v>
      </x:c>
    </x:row>
    <x:row r="9" ht="52" customHeight="1">
      <x:c r="A9" s="10" t="str">
        <x:v>TEXT</x:v>
      </x:c>
      <x:c r="B9" s="10" t="str">
        <x:v>inputs</x:v>
      </x:c>
      <x:c r="C9" s="10" t="n">
        <x:v>240</x:v>
      </x:c>
      <x:c r="D9" s="10" t="str">
        <x:v>고정</x:v>
      </x:c>
      <x:c r="E9" s="10" t="str">
        <x:v>평가 준비 활동은 QA01/02/03/07 분모 밖, 비용과 RAM 포함</x:v>
      </x:c>
    </x:row>
    <x:row r="10" ht="52" customHeight="1">
      <x:c r="A10" s="10" t="str">
        <x:v>TEXT</x:v>
      </x:c>
      <x:c r="B10" s="10" t="str">
        <x:v>referents</x:v>
      </x:c>
      <x:c r="C10" s="10" t="n">
        <x:v>250</x:v>
      </x:c>
      <x:c r="D10" s="10" t="str">
        <x:v>고정</x:v>
      </x:c>
      <x:c r="E10" s="10" t="str">
        <x:v>평가 준비 활동은 QA01/02/03/07 분모 밖, 비용과 RAM 포함</x:v>
      </x:c>
    </x:row>
    <x:row r="11" ht="52" customHeight="1">
      <x:c r="A11" s="10" t="str">
        <x:v>TEXT</x:v>
      </x:c>
      <x:c r="B11" s="10" t="str">
        <x:v>goals</x:v>
      </x:c>
      <x:c r="C11" s="10" t="n">
        <x:v>180</x:v>
      </x:c>
      <x:c r="D11" s="10" t="str">
        <x:v>고정</x:v>
      </x:c>
      <x:c r="E11" s="10" t="str">
        <x:v>평가 준비 활동은 QA01/02/03/07 분모 밖, 비용과 RAM 포함</x:v>
      </x:c>
    </x:row>
    <x:row r="12" ht="52" customHeight="1">
      <x:c r="A12" s="10" t="str">
        <x:v>TEXT</x:v>
      </x:c>
      <x:c r="B12" s="10" t="str">
        <x:v>prior_user_activities</x:v>
      </x:c>
      <x:c r="C12" s="10" t="n">
        <x:v>0</x:v>
      </x:c>
      <x:c r="D12" s="10" t="str">
        <x:v>고정</x:v>
      </x:c>
      <x:c r="E12" s="10" t="str">
        <x:v>평가 준비 활동은 QA01/02/03/07 분모 밖, 비용과 RAM 포함</x:v>
      </x:c>
    </x:row>
    <x:row r="13" ht="52" customHeight="1">
      <x:c r="A13" s="10" t="str">
        <x:v>TEXT</x:v>
      </x:c>
      <x:c r="B13" s="10" t="str">
        <x:v>model_name</x:v>
      </x:c>
      <x:c r="C13" s="10" t="str">
        <x:v>공통 가상 cloud 의미 모델</x:v>
      </x:c>
      <x:c r="D13" s="10" t="str">
        <x:v>작성 가정</x:v>
      </x:c>
      <x:c r="E13" s="10" t="str">
        <x:v>부모 profile 보존</x:v>
      </x:c>
    </x:row>
    <x:row r="14" ht="52" customHeight="1">
      <x:c r="A14" s="10" t="str">
        <x:v>TEXT</x:v>
      </x:c>
      <x:c r="B14" s="10" t="str">
        <x:v>input_usd_per_million</x:v>
      </x:c>
      <x:c r="C14" s="10" t="n">
        <x:v>1</x:v>
      </x:c>
      <x:c r="D14" s="10" t="str">
        <x:v>작성 가정</x:v>
      </x:c>
      <x:c r="E14" s="10" t="str">
        <x:v>부모 profile 보존</x:v>
      </x:c>
    </x:row>
    <x:row r="15" ht="52" customHeight="1">
      <x:c r="A15" s="10" t="str">
        <x:v>TEXT</x:v>
      </x:c>
      <x:c r="B15" s="10" t="str">
        <x:v>output_usd_per_million</x:v>
      </x:c>
      <x:c r="C15" s="10" t="n">
        <x:v>4</x:v>
      </x:c>
      <x:c r="D15" s="10" t="str">
        <x:v>작성 가정</x:v>
      </x:c>
      <x:c r="E15" s="10" t="str">
        <x:v>부모 profile 보존</x:v>
      </x:c>
    </x:row>
    <x:row r="16" ht="52" customHeight="1">
      <x:c r="A16" s="10" t="str">
        <x:v>TEXT</x:v>
      </x:c>
      <x:c r="B16" s="10" t="str">
        <x:v>audio_usd_per_second</x:v>
      </x:c>
      <x:c r="C16" s="10" t="n">
        <x:v>0.002</x:v>
      </x:c>
      <x:c r="D16" s="10" t="str">
        <x:v>작성 가정</x:v>
      </x:c>
      <x:c r="E16" s="10" t="str">
        <x:v>부모 profile 보존</x:v>
      </x:c>
    </x:row>
    <x:row r="17" ht="52" customHeight="1">
      <x:c r="A17" s="10" t="str">
        <x:v>TEXT</x:v>
      </x:c>
      <x:c r="B17" s="10" t="str">
        <x:v>call_startup_s</x:v>
      </x:c>
      <x:c r="C17" s="10" t="n">
        <x:v>0.16</x:v>
      </x:c>
      <x:c r="D17" s="10" t="str">
        <x:v>작성 가정</x:v>
      </x:c>
      <x:c r="E17" s="10" t="str">
        <x:v>부모 profile 보존</x:v>
      </x:c>
    </x:row>
    <x:row r="18" ht="52" customHeight="1">
      <x:c r="A18" s="10" t="str">
        <x:v>TEXT</x:v>
      </x:c>
      <x:c r="B18" s="10" t="str">
        <x:v>prefill_tokens_per_second</x:v>
      </x:c>
      <x:c r="C18" s="10" t="n">
        <x:v>3500</x:v>
      </x:c>
      <x:c r="D18" s="10" t="str">
        <x:v>작성 가정</x:v>
      </x:c>
      <x:c r="E18" s="10" t="str">
        <x:v>부모 profile 보존</x:v>
      </x:c>
    </x:row>
    <x:row r="19" ht="52" customHeight="1">
      <x:c r="A19" s="10" t="str">
        <x:v>TEXT</x:v>
      </x:c>
      <x:c r="B19" s="10" t="str">
        <x:v>decode_tokens_per_second</x:v>
      </x:c>
      <x:c r="C19" s="10" t="n">
        <x:v>160</x:v>
      </x:c>
      <x:c r="D19" s="10" t="str">
        <x:v>작성 가정</x:v>
      </x:c>
      <x:c r="E19" s="10" t="str">
        <x:v>부모 profile 보존</x:v>
      </x:c>
    </x:row>
    <x:row r="20" ht="52" customHeight="1">
      <x:c r="A20" s="10" t="str">
        <x:v>TEXT</x:v>
      </x:c>
      <x:c r="B20" s="10" t="str">
        <x:v>intake_s</x:v>
      </x:c>
      <x:c r="C20" s="10" t="n">
        <x:v>0.06</x:v>
      </x:c>
      <x:c r="D20" s="10" t="str">
        <x:v>작성 가정</x:v>
      </x:c>
      <x:c r="E20" s="10" t="str">
        <x:v>부모 profile 보존</x:v>
      </x:c>
    </x:row>
    <x:row r="21" ht="52" customHeight="1">
      <x:c r="A21" s="10" t="str">
        <x:v>TEXT</x:v>
      </x:c>
      <x:c r="B21" s="10" t="str">
        <x:v>publish_s</x:v>
      </x:c>
      <x:c r="C21" s="10" t="n">
        <x:v>0.06</x:v>
      </x:c>
      <x:c r="D21" s="10" t="str">
        <x:v>작성 가정</x:v>
      </x:c>
      <x:c r="E21" s="10" t="str">
        <x:v>부모 profile 보존</x:v>
      </x:c>
    </x:row>
    <x:row r="22" ht="52" customHeight="1">
      <x:c r="A22" s="10" t="str">
        <x:v>TEXT</x:v>
      </x:c>
      <x:c r="B22" s="10" t="str">
        <x:v>external_agent_s</x:v>
      </x:c>
      <x:c r="C22" s="10" t="n">
        <x:v>8</x:v>
      </x:c>
      <x:c r="D22" s="10" t="str">
        <x:v>작성 가정</x:v>
      </x:c>
      <x:c r="E22" s="10" t="str">
        <x:v>부모 profile 보존</x:v>
      </x:c>
    </x:row>
    <x:row r="23" ht="52" customHeight="1">
      <x:c r="A23" s="10" t="str">
        <x:v>TEXT</x:v>
      </x:c>
      <x:c r="B23" s="10" t="str">
        <x:v>overlap_input_gap_s</x:v>
      </x:c>
      <x:c r="C23" s="10" t="n">
        <x:v>0.35</x:v>
      </x:c>
      <x:c r="D23" s="10" t="str">
        <x:v>작성 가정</x:v>
      </x:c>
      <x:c r="E23" s="10" t="str">
        <x:v>부모 profile 보존</x:v>
      </x:c>
    </x:row>
    <x:row r="24" ht="52" customHeight="1">
      <x:c r="A24" s="10" t="str">
        <x:v>TEXT</x:v>
      </x:c>
      <x:c r="B24" s="10" t="str">
        <x:v>sequential_input_gap_s</x:v>
      </x:c>
      <x:c r="C24" s="10" t="n">
        <x:v>1.5</x:v>
      </x:c>
      <x:c r="D24" s="10" t="str">
        <x:v>작성 가정</x:v>
      </x:c>
      <x:c r="E24" s="10" t="str">
        <x:v>부모 profile 보존</x:v>
      </x:c>
    </x:row>
    <x:row r="25" ht="52" customHeight="1">
      <x:c r="A25" s="10" t="str">
        <x:v>TEXT</x:v>
      </x:c>
      <x:c r="B25" s="10" t="str">
        <x:v>max_concurrent_semantic_calls</x:v>
      </x:c>
      <x:c r="C25" s="10" t="n">
        <x:v>2</x:v>
      </x:c>
      <x:c r="D25" s="10" t="str">
        <x:v>작성 가정</x:v>
      </x:c>
      <x:c r="E25" s="10" t="str">
        <x:v>부모 profile 보존</x:v>
      </x:c>
    </x:row>
    <x:row r="26" ht="52" customHeight="1">
      <x:c r="A26" s="10" t="str">
        <x:v>TEXT</x:v>
      </x:c>
      <x:c r="B26" s="10" t="str">
        <x:v>source_read_base_s</x:v>
      </x:c>
      <x:c r="C26" s="10" t="n">
        <x:v>1.85</x:v>
      </x:c>
      <x:c r="D26" s="10" t="str">
        <x:v>작성 가정</x:v>
      </x:c>
      <x:c r="E26" s="10" t="str">
        <x:v>부모 profile 보존</x:v>
      </x:c>
    </x:row>
    <x:row r="27" ht="52" customHeight="1">
      <x:c r="A27" s="10" t="str">
        <x:v>TEXT</x:v>
      </x:c>
      <x:c r="B27" s="10" t="str">
        <x:v>source_read_variant_s</x:v>
      </x:c>
      <x:c r="C27" s="10" t="n">
        <x:v>0.045</x:v>
      </x:c>
      <x:c r="D27" s="10" t="str">
        <x:v>작성 가정</x:v>
      </x:c>
      <x:c r="E27" s="10" t="str">
        <x:v>부모 profile 보존</x:v>
      </x:c>
    </x:row>
    <x:row r="28" ht="52" customHeight="1">
      <x:c r="A28" s="10" t="str">
        <x:v>TEXT</x:v>
      </x:c>
      <x:c r="B28" s="10" t="str">
        <x:v>audio_generation_fixed_s</x:v>
      </x:c>
      <x:c r="C28" s="10" t="n">
        <x:v>0.18</x:v>
      </x:c>
      <x:c r="D28" s="10" t="str">
        <x:v>작성 가정</x:v>
      </x:c>
      <x:c r="E28" s="10" t="str">
        <x:v>부모 profile 보존</x:v>
      </x:c>
    </x:row>
    <x:row r="29" ht="52" customHeight="1">
      <x:c r="A29" s="10" t="str">
        <x:v>TEXT</x:v>
      </x:c>
      <x:c r="B29" s="10" t="str">
        <x:v>audio_generation_s_per_audio_second</x:v>
      </x:c>
      <x:c r="C29" s="10" t="n">
        <x:v>0.055</x:v>
      </x:c>
      <x:c r="D29" s="10" t="str">
        <x:v>작성 가정</x:v>
      </x:c>
      <x:c r="E29" s="10" t="str">
        <x:v>부모 profile 보존</x:v>
      </x:c>
    </x:row>
    <x:row r="30" ht="52" customHeight="1">
      <x:c r="A30" s="10" t="str">
        <x:v>TEXT</x:v>
      </x:c>
      <x:c r="B30" s="10" t="str">
        <x:v>core_resident_mb</x:v>
      </x:c>
      <x:c r="C30" s="10" t="n">
        <x:v>238</x:v>
      </x:c>
      <x:c r="D30" s="10" t="str">
        <x:v>작성 가정</x:v>
      </x:c>
      <x:c r="E30" s="10" t="str">
        <x:v>부모 profile 보존</x:v>
      </x:c>
    </x:row>
    <x:row r="31" ht="52" customHeight="1">
      <x:c r="A31" s="10" t="str">
        <x:v>TEXT</x:v>
      </x:c>
      <x:c r="B31" s="10" t="str">
        <x:v>request_state_mb</x:v>
      </x:c>
      <x:c r="C31" s="10" t="n">
        <x:v>11</x:v>
      </x:c>
      <x:c r="D31" s="10" t="str">
        <x:v>작성 가정</x:v>
      </x:c>
      <x:c r="E31" s="10" t="str">
        <x:v>부모 profile 보존</x:v>
      </x:c>
    </x:row>
    <x:row r="32" ht="52" customHeight="1">
      <x:c r="A32" s="10" t="str">
        <x:v>TEXT</x:v>
      </x:c>
      <x:c r="B32" s="10" t="str">
        <x:v>client_call_base_mb</x:v>
      </x:c>
      <x:c r="C32" s="10" t="n">
        <x:v>15</x:v>
      </x:c>
      <x:c r="D32" s="10" t="str">
        <x:v>작성 가정</x:v>
      </x:c>
      <x:c r="E32" s="10" t="str">
        <x:v>부모 profile 보존</x:v>
      </x:c>
    </x:row>
    <x:row r="33" ht="52" customHeight="1">
      <x:c r="A33" s="10" t="str">
        <x:v>TEXT</x:v>
      </x:c>
      <x:c r="B33" s="10" t="str">
        <x:v>client_mb_per_1000_input_tokens</x:v>
      </x:c>
      <x:c r="C33" s="10" t="n">
        <x:v>4</x:v>
      </x:c>
      <x:c r="D33" s="10" t="str">
        <x:v>작성 가정</x:v>
      </x:c>
      <x:c r="E33" s="10" t="str">
        <x:v>부모 profile 보존</x:v>
      </x:c>
    </x:row>
    <x:row r="34" ht="52" customHeight="1">
      <x:c r="A34" s="10" t="str">
        <x:v>TEXT</x:v>
      </x:c>
      <x:c r="B34" s="10" t="str">
        <x:v>local_read_buffer_mb</x:v>
      </x:c>
      <x:c r="C34" s="10" t="n">
        <x:v>7</x:v>
      </x:c>
      <x:c r="D34" s="10" t="str">
        <x:v>작성 가정</x:v>
      </x:c>
      <x:c r="E34" s="10" t="str">
        <x:v>부모 profile 보존</x:v>
      </x:c>
    </x:row>
    <x:row r="35" ht="52" customHeight="1">
      <x:c r="A35" s="10" t="str">
        <x:v>TEXT</x:v>
      </x:c>
      <x:c r="B35" s="10" t="str">
        <x:v>relation_cache_mb</x:v>
      </x:c>
      <x:c r="C35" s="10" t="n">
        <x:v>38</x:v>
      </x:c>
      <x:c r="D35" s="10" t="str">
        <x:v>작성 가정</x:v>
      </x:c>
      <x:c r="E35" s="10" t="str">
        <x:v>부모 profile 보존</x:v>
      </x:c>
    </x:row>
    <x:row r="36" ht="52" customHeight="1">
      <x:c r="A36" s="10" t="str">
        <x:v>TEXT</x:v>
      </x:c>
      <x:c r="B36" s="10" t="str">
        <x:v>relation_producer_state_mb</x:v>
      </x:c>
      <x:c r="C36" s="10" t="n">
        <x:v>19</x:v>
      </x:c>
      <x:c r="D36" s="10" t="str">
        <x:v>작성 가정</x:v>
      </x:c>
      <x:c r="E36" s="10" t="str">
        <x:v>부모 profile 보존</x:v>
      </x:c>
    </x:row>
    <x:row r="37" ht="52" customHeight="1">
      <x:c r="A37" s="10" t="str">
        <x:v>TEXT</x:v>
      </x:c>
      <x:c r="B37" s="10" t="str">
        <x:v>production_start_s</x:v>
      </x:c>
      <x:c r="C37" s="10" t="n">
        <x:v>-8</x:v>
      </x:c>
      <x:c r="D37" s="10" t="str">
        <x:v>작성 가정</x:v>
      </x:c>
      <x:c r="E37" s="10" t="str">
        <x:v>부모 profile 보존</x:v>
      </x:c>
    </x:row>
    <x:row r="38" ht="52" customHeight="1">
      <x:c r="A38" s="10" t="str">
        <x:v>TEXT</x:v>
      </x:c>
      <x:c r="B38" s="10" t="str">
        <x:v>update_policy</x:v>
      </x:c>
      <x:c r="C38" s="10" t="str">
        <x:v>관계 갱신은 두 입력의 모든 목표 처리 종료 후 유휴 구간에서 실행. 준비와 갱신의 비용 및 RAM은 포함.</x:v>
      </x:c>
      <x:c r="D38" s="10" t="str">
        <x:v>작성 가정</x:v>
      </x:c>
      <x:c r="E38" s="10" t="str">
        <x:v>부모 profile 보존</x:v>
      </x:c>
    </x:row>
    <x:row r="39" ht="52" customHeight="1">
      <x:c r="A39" s="10" t="str">
        <x:v>TEXT</x:v>
      </x:c>
      <x:c r="B39" s="10" t="str">
        <x:v>source_status</x:v>
      </x:c>
      <x:c r="C39" s="10" t="str">
        <x:v>모든 지연, 사용량, 단가, 상태 크기는 작성 가정. 실제 모델 속도, 청구서, RAM 관측이 아님.</x:v>
      </x:c>
      <x:c r="D39" s="10" t="str">
        <x:v>작성 가정</x:v>
      </x:c>
      <x:c r="E39" s="10" t="str">
        <x:v>부모 profile 보존</x:v>
      </x:c>
    </x:row>
    <x:row r="40" ht="52" customHeight="1">
      <x:c r="A40" s="10" t="str">
        <x:v>VOICE</x:v>
      </x:c>
      <x:c r="B40" s="10" t="str">
        <x:v>profile</x:v>
      </x:c>
      <x:c r="C40" s="10" t="str">
        <x:v>VOICE-SCREEN-CPU-SYN-1.0</x:v>
      </x:c>
      <x:c r="D40" s="10" t="str">
        <x:v>고정</x:v>
      </x:c>
      <x:c r="E40" s="10" t="str">
        <x:v>DP3-GROUNDING-CPU-SYN-1.0</x:v>
      </x:c>
    </x:row>
    <x:row r="41" ht="52" customHeight="1">
      <x:c r="A41" s="10" t="str">
        <x:v>VOICE</x:v>
      </x:c>
      <x:c r="B41" s="10" t="str">
        <x:v>QA01 시작</x:v>
      </x:c>
      <x:c r="C41" s="10" t="str">
        <x:v>ACOUSTIC_UTTERANCE_END</x:v>
      </x:c>
      <x:c r="D41" s="10" t="str">
        <x:v>고정</x:v>
      </x:c>
      <x:c r="E41" s="10" t="str">
        <x:v>TEXT 제출과 발화 종료는 서로 다른 시작 사건</x:v>
      </x:c>
    </x:row>
    <x:row r="42" ht="52" customHeight="1">
      <x:c r="A42" s="10" t="str">
        <x:v>VOICE</x:v>
      </x:c>
      <x:c r="B42" s="10" t="str">
        <x:v>episodes</x:v>
      </x:c>
      <x:c r="C42" s="10" t="n">
        <x:v>120</x:v>
      </x:c>
      <x:c r="D42" s="10" t="str">
        <x:v>고정</x:v>
      </x:c>
      <x:c r="E42" s="10" t="str">
        <x:v>평가 준비 활동은 QA01/02/03/07 분모 밖, 비용과 RAM 포함</x:v>
      </x:c>
    </x:row>
    <x:row r="43" ht="52" customHeight="1">
      <x:c r="A43" s="10" t="str">
        <x:v>VOICE</x:v>
      </x:c>
      <x:c r="B43" s="10" t="str">
        <x:v>inputs</x:v>
      </x:c>
      <x:c r="C43" s="10" t="n">
        <x:v>120</x:v>
      </x:c>
      <x:c r="D43" s="10" t="str">
        <x:v>고정</x:v>
      </x:c>
      <x:c r="E43" s="10" t="str">
        <x:v>평가 준비 활동은 QA01/02/03/07 분모 밖, 비용과 RAM 포함</x:v>
      </x:c>
    </x:row>
    <x:row r="44" ht="52" customHeight="1">
      <x:c r="A44" s="10" t="str">
        <x:v>VOICE</x:v>
      </x:c>
      <x:c r="B44" s="10" t="str">
        <x:v>referents</x:v>
      </x:c>
      <x:c r="C44" s="10" t="n">
        <x:v>120</x:v>
      </x:c>
      <x:c r="D44" s="10" t="str">
        <x:v>고정</x:v>
      </x:c>
      <x:c r="E44" s="10" t="str">
        <x:v>평가 준비 활동은 QA01/02/03/07 분모 밖, 비용과 RAM 포함</x:v>
      </x:c>
    </x:row>
    <x:row r="45" ht="52" customHeight="1">
      <x:c r="A45" s="10" t="str">
        <x:v>VOICE</x:v>
      </x:c>
      <x:c r="B45" s="10" t="str">
        <x:v>goals</x:v>
      </x:c>
      <x:c r="C45" s="10" t="n">
        <x:v>120</x:v>
      </x:c>
      <x:c r="D45" s="10" t="str">
        <x:v>고정</x:v>
      </x:c>
      <x:c r="E45" s="10" t="str">
        <x:v>평가 준비 활동은 QA01/02/03/07 분모 밖, 비용과 RAM 포함</x:v>
      </x:c>
    </x:row>
    <x:row r="46" ht="52" customHeight="1">
      <x:c r="A46" s="10" t="str">
        <x:v>VOICE</x:v>
      </x:c>
      <x:c r="B46" s="10" t="str">
        <x:v>prior_user_activities</x:v>
      </x:c>
      <x:c r="C46" s="10" t="n">
        <x:v>60</x:v>
      </x:c>
      <x:c r="D46" s="10" t="str">
        <x:v>고정</x:v>
      </x:c>
      <x:c r="E46" s="10" t="str">
        <x:v>평가 준비 활동은 QA01/02/03/07 분모 밖, 비용과 RAM 포함</x:v>
      </x:c>
    </x:row>
    <x:row r="47" ht="52" customHeight="1">
      <x:c r="A47" s="10" t="str">
        <x:v>VOICE</x:v>
      </x:c>
      <x:c r="B47" s="10" t="str">
        <x:v>id</x:v>
      </x:c>
      <x:c r="C47" s="10" t="str">
        <x:v>VOICE-SCREEN-CPU-SYN-1.0</x:v>
      </x:c>
      <x:c r="D47" s="10" t="str">
        <x:v>작성 가정</x:v>
      </x:c>
      <x:c r="E47" s="10" t="str">
        <x:v>부모 profile 보존</x:v>
      </x:c>
    </x:row>
    <x:row r="48" ht="52" customHeight="1">
      <x:c r="A48" s="10" t="str">
        <x:v>VOICE</x:v>
      </x:c>
      <x:c r="B48" s="10" t="str">
        <x:v>evidence_kind</x:v>
      </x:c>
      <x:c r="C48" s="10" t="str">
        <x:v>SYNTHETIC_AUTHORED_NOT_MEASURED</x:v>
      </x:c>
      <x:c r="D48" s="10" t="str">
        <x:v>작성 가정</x:v>
      </x:c>
      <x:c r="E48" s="10" t="str">
        <x:v>부모 profile 보존</x:v>
      </x:c>
    </x:row>
    <x:row r="49" ht="52" customHeight="1">
      <x:c r="A49" s="10" t="str">
        <x:v>VOICE</x:v>
      </x:c>
      <x:c r="B49" s="10" t="str">
        <x:v>device</x:v>
      </x:c>
      <x:c r="C49" s="10" t="str">
        <x:v>Authored 8 physical CPU cores, 16 GB RAM, SSD; no GPU</x:v>
      </x:c>
      <x:c r="D49" s="10" t="str">
        <x:v>작성 가정</x:v>
      </x:c>
      <x:c r="E49" s="10" t="str">
        <x:v>부모 profile 보존</x:v>
      </x:c>
    </x:row>
    <x:row r="50" ht="52" customHeight="1">
      <x:c r="A50" s="10" t="str">
        <x:v>VOICE</x:v>
      </x:c>
      <x:c r="B50" s="10" t="str">
        <x:v>visual_cpu_threads_total</x:v>
      </x:c>
      <x:c r="C50" s="10" t="n">
        <x:v>4</x:v>
      </x:c>
      <x:c r="D50" s="10" t="str">
        <x:v>작성 가정</x:v>
      </x:c>
      <x:c r="E50" s="10" t="str">
        <x:v>부모 profile 보존</x:v>
      </x:c>
    </x:row>
    <x:row r="51" ht="52" customHeight="1">
      <x:c r="A51" s="10" t="str">
        <x:v>VOICE</x:v>
      </x:c>
      <x:c r="B51" s="10" t="str">
        <x:v>cpu_admission</x:v>
      </x:c>
      <x:c r="C51" s="10" t="str">
        <x:v>one heavy visual stage at a time in all B main profiles</x:v>
      </x:c>
      <x:c r="D51" s="10" t="str">
        <x:v>작성 가정</x:v>
      </x:c>
      <x:c r="E51" s="10" t="str">
        <x:v>부모 profile 보존</x:v>
      </x:c>
    </x:row>
    <x:row r="52" ht="52" customHeight="1">
      <x:c r="A52" s="10" t="str">
        <x:v>VOICE</x:v>
      </x:c>
      <x:c r="B52" s="10" t="str">
        <x:v>common_surroundings</x:v>
      </x:c>
      <x:c r="C52" s="10" t="str">
        <x:v>Same request execution and history policies; not a reuse of COMMON-QA-SYN-1.0 BASE</x:v>
      </x:c>
      <x:c r="D52" s="10" t="str">
        <x:v>작성 가정</x:v>
      </x:c>
      <x:c r="E52" s="10" t="str">
        <x:v>부모 profile 보존</x:v>
      </x:c>
    </x:row>
    <x:row r="53" ht="52" customHeight="1">
      <x:c r="A53" s="10" t="str">
        <x:v>VOICE</x:v>
      </x:c>
      <x:c r="B53" s="10" t="str">
        <x:v>qa01</x:v>
      </x:c>
      <x:c r="C53" s="10" t="str">
        <x:v>Acoustic utterance end to first adopted concrete text, including incorrect text</x:v>
      </x:c>
      <x:c r="D53" s="10" t="str">
        <x:v>작성 가정</x:v>
      </x:c>
      <x:c r="E53" s="10" t="str">
        <x:v>부모 profile 보존</x:v>
      </x:c>
    </x:row>
    <x:row r="54" ht="52" customHeight="1">
      <x:c r="A54" s="10" t="str">
        <x:v>VOICE</x:v>
      </x:c>
      <x:c r="B54" s="10" t="str">
        <x:v>qa03</x:v>
      </x:c>
      <x:c r="C54" s="10" t="str">
        <x:v>One new scored goal per input; full causal completion excludes external Agent work</x:v>
      </x:c>
      <x:c r="D54" s="10" t="str">
        <x:v>작성 가정</x:v>
      </x:c>
      <x:c r="E54" s="10" t="str">
        <x:v>부모 profile 보존</x:v>
      </x:c>
    </x:row>
    <x:row r="55" ht="52" customHeight="1">
      <x:c r="A55" s="10" t="str">
        <x:v>VOICE</x:v>
      </x:c>
      <x:c r="B55" s="10" t="str">
        <x:v>cloud_seconds</x:v>
      </x:c>
      <x:c r="C55" s="10" t="str">
        <x:v>{"setup":0.2,"input_tokens_per_second":6000,"output_tokens_per_second":80}</x:v>
      </x:c>
      <x:c r="D55" s="10" t="str">
        <x:v>작성 가정</x:v>
      </x:c>
      <x:c r="E55" s="10" t="str">
        <x:v>부모 profile 보존</x:v>
      </x:c>
    </x:row>
    <x:row r="56" ht="52" customHeight="1">
      <x:c r="A56" s="10" t="str">
        <x:v>VOICE</x:v>
      </x:c>
      <x:c r="B56" s="10" t="str">
        <x:v>local_seconds</x:v>
      </x:c>
      <x:c r="C56" s="10" t="str">
        <x:v>{"final_s2s_text":0.3,"source_read":0.08,"adopt_display":0.07,"runtime_boot":1.2,"second_runtime_overlap_extra":0.3,"ui_load":1.1,"sam_load":0.65,"ui_inference":1.6,"sam_new_frame":2.05,"release":0.15,"extra_r3_ipc":0.06,"raw_expansion_read":0.1}</x:v>
      </x:c>
      <x:c r="D56" s="10" t="str">
        <x:v>작성 가정</x:v>
      </x:c>
      <x:c r="E56" s="10" t="str">
        <x:v>부모 profile 보존</x:v>
      </x:c>
    </x:row>
    <x:row r="57" ht="52" customHeight="1">
      <x:c r="A57" s="10" t="str">
        <x:v>VOICE</x:v>
      </x:c>
      <x:c r="B57" s="10" t="str">
        <x:v>tariff</x:v>
      </x:c>
      <x:c r="C57" s="10" t="str">
        <x:v>{"text_input_per_million":1,"image_equivalent_input_per_million":1,"text_output_per_million":4,"audio_input_per_second":0.001,"audio_generation_per_second":0.002}</x:v>
      </x:c>
      <x:c r="D57" s="10" t="str">
        <x:v>작성 가정</x:v>
      </x:c>
      <x:c r="E57" s="10" t="str">
        <x:v>부모 profile 보존</x:v>
      </x:c>
    </x:row>
    <x:row r="58" ht="52" customHeight="1">
      <x:c r="A58" s="10" t="str">
        <x:v>VOICE</x:v>
      </x:c>
      <x:c r="B58" s="10" t="str">
        <x:v>memory_mb</x:v>
      </x:c>
      <x:c r="C58" s="10" t="str">
        <x:v>{"core_ui":180,"local_asr_audio":220,"compressed_source_ring":96,"common_request_history":64,"cloud_input_buffer":32,"runtime_shared":60,"runtime_private_per_process":280,"ui_model_objects":420,"sam_model_objects":170,"ui_workspace":260,"sam_workspace":680,"ui_load_temporary":380,"sam_load_temporary":156,"ipc_one_worker":24,"ipc_two_workers":32}</x:v>
      </x:c>
      <x:c r="D58" s="10" t="str">
        <x:v>작성 가정</x:v>
      </x:c>
      <x:c r="E58" s="10" t="str">
        <x:v>부모 profile 보존</x:v>
      </x:c>
    </x:row>
    <x:row r="59" ht="52" customHeight="1">
      <x:c r="A59" s="10" t="str">
        <x:v>VOICE</x:v>
      </x:c>
      <x:c r="B59" s="10" t="str">
        <x:v>notes</x:v>
      </x:c>
      <x:c r="C59" s="10" t="str">
        <x:v>["All durations, resident bytes, token quantities and error frequencies are authored assumptions.","Image-equivalent tokens are a fictional accounting bucket, not a provider tokenizer.","120 scored new goals; 60 unscored prior setup activities for S3/S4/S5 are cost and RAM included.","R1 retains the same compatible episode records as R2/R3 even after model unload.","The six family weights are design coverage weights, not observed usage frequency.","No real images, audio or model runs; sources are authored fixture specifications."]</x:v>
      </x:c>
      <x:c r="D59" s="10" t="str">
        <x:v>작성 가정</x:v>
      </x:c>
      <x:c r="E59" s="10" t="str">
        <x:v>부모 profile 보존</x:v>
      </x:c>
    </x:row>
    <x:row r="60" ht="52" customHeight="1">
      <x:c r="A60" s="10" t="str">
        <x:v>DELIVERY</x:v>
      </x:c>
      <x:c r="B60" s="10" t="str">
        <x:v>profile</x:v>
      </x:c>
      <x:c r="C60" s="10" t="str">
        <x:v>VOICE-DELIVERY-CLOUD-SYN-1.0</x:v>
      </x:c>
      <x:c r="D60" s="10" t="str">
        <x:v>고정</x:v>
      </x:c>
      <x:c r="E60" s="10" t="str">
        <x:v>DP44-DELIVERY-SYN-1.0</x:v>
      </x:c>
    </x:row>
    <x:row r="61" ht="52" customHeight="1">
      <x:c r="A61" s="10" t="str">
        <x:v>DELIVERY</x:v>
      </x:c>
      <x:c r="B61" s="10" t="str">
        <x:v>QA01 시작</x:v>
      </x:c>
      <x:c r="C61" s="10" t="str">
        <x:v>ACOUSTIC_UTTERANCE_END</x:v>
      </x:c>
      <x:c r="D61" s="10" t="str">
        <x:v>고정</x:v>
      </x:c>
      <x:c r="E61" s="10" t="str">
        <x:v>TEXT 제출과 발화 종료는 서로 다른 시작 사건</x:v>
      </x:c>
    </x:row>
    <x:row r="62" ht="52" customHeight="1">
      <x:c r="A62" s="10" t="str">
        <x:v>DELIVERY</x:v>
      </x:c>
      <x:c r="B62" s="10" t="str">
        <x:v>episodes</x:v>
      </x:c>
      <x:c r="C62" s="10" t="n">
        <x:v>80</x:v>
      </x:c>
      <x:c r="D62" s="10" t="str">
        <x:v>고정</x:v>
      </x:c>
      <x:c r="E62" s="10" t="str">
        <x:v>평가 준비 활동은 QA01/02/03/07 분모 밖, 비용과 RAM 포함</x:v>
      </x:c>
    </x:row>
    <x:row r="63" ht="52" customHeight="1">
      <x:c r="A63" s="10" t="str">
        <x:v>DELIVERY</x:v>
      </x:c>
      <x:c r="B63" s="10" t="str">
        <x:v>inputs</x:v>
      </x:c>
      <x:c r="C63" s="10" t="n">
        <x:v>80</x:v>
      </x:c>
      <x:c r="D63" s="10" t="str">
        <x:v>고정</x:v>
      </x:c>
      <x:c r="E63" s="10" t="str">
        <x:v>평가 준비 활동은 QA01/02/03/07 분모 밖, 비용과 RAM 포함</x:v>
      </x:c>
    </x:row>
    <x:row r="64" ht="52" customHeight="1">
      <x:c r="A64" s="10" t="str">
        <x:v>DELIVERY</x:v>
      </x:c>
      <x:c r="B64" s="10" t="str">
        <x:v>referents</x:v>
      </x:c>
      <x:c r="C64" s="10" t="n">
        <x:v>120</x:v>
      </x:c>
      <x:c r="D64" s="10" t="str">
        <x:v>고정</x:v>
      </x:c>
      <x:c r="E64" s="10" t="str">
        <x:v>평가 준비 활동은 QA01/02/03/07 분모 밖, 비용과 RAM 포함</x:v>
      </x:c>
    </x:row>
    <x:row r="65" ht="52" customHeight="1">
      <x:c r="A65" s="10" t="str">
        <x:v>DELIVERY</x:v>
      </x:c>
      <x:c r="B65" s="10" t="str">
        <x:v>goals</x:v>
      </x:c>
      <x:c r="C65" s="10" t="n">
        <x:v>90</x:v>
      </x:c>
      <x:c r="D65" s="10" t="str">
        <x:v>고정</x:v>
      </x:c>
      <x:c r="E65" s="10" t="str">
        <x:v>평가 준비 활동은 QA01/02/03/07 분모 밖, 비용과 RAM 포함</x:v>
      </x:c>
    </x:row>
    <x:row r="66" ht="52" customHeight="1">
      <x:c r="A66" s="10" t="str">
        <x:v>DELIVERY</x:v>
      </x:c>
      <x:c r="B66" s="10" t="str">
        <x:v>prior_user_activities</x:v>
      </x:c>
      <x:c r="C66" s="10" t="n">
        <x:v>80</x:v>
      </x:c>
      <x:c r="D66" s="10" t="str">
        <x:v>고정</x:v>
      </x:c>
      <x:c r="E66" s="10" t="str">
        <x:v>평가 준비 활동은 QA01/02/03/07 분모 밖, 비용과 RAM 포함</x:v>
      </x:c>
    </x:row>
    <x:row r="67" ht="52" customHeight="1">
      <x:c r="A67" s="10" t="str">
        <x:v>DELIVERY</x:v>
      </x:c>
      <x:c r="B67" s="10" t="str">
        <x:v>profile</x:v>
      </x:c>
      <x:c r="C67" s="10" t="str">
        <x:v>VOICE-DELIVERY-CLOUD-SYN-1.0</x:v>
      </x:c>
      <x:c r="D67" s="10" t="str">
        <x:v>작성 가정</x:v>
      </x:c>
      <x:c r="E67" s="10" t="str">
        <x:v>부모 profile 보존</x:v>
      </x:c>
    </x:row>
    <x:row r="68" ht="52" customHeight="1">
      <x:c r="A68" s="10" t="str">
        <x:v>DELIVERY</x:v>
      </x:c>
      <x:c r="B68" s="10" t="str">
        <x:v>base_ram_mb</x:v>
      </x:c>
      <x:c r="C68" s="10" t="n">
        <x:v>560</x:v>
      </x:c>
      <x:c r="D68" s="10" t="str">
        <x:v>작성 가정</x:v>
      </x:c>
      <x:c r="E68" s="10" t="str">
        <x:v>부모 profile 보존</x:v>
      </x:c>
    </x:row>
    <x:row r="69" ht="52" customHeight="1">
      <x:c r="A69" s="10" t="str">
        <x:v>DELIVERY</x:v>
      </x:c>
      <x:c r="B69" s="10" t="str">
        <x:v>pcm_bytes_per_second</x:v>
      </x:c>
      <x:c r="C69" s="10" t="n">
        <x:v>48000</x:v>
      </x:c>
      <x:c r="D69" s="10" t="str">
        <x:v>작성 가정</x:v>
      </x:c>
      <x:c r="E69" s="10" t="str">
        <x:v>부모 profile 보존</x:v>
      </x:c>
    </x:row>
    <x:row r="70" ht="52" customHeight="1">
      <x:c r="A70" s="10" t="str">
        <x:v>DELIVERY</x:v>
      </x:c>
      <x:c r="B70" s="10" t="str">
        <x:v>job_metadata_bytes</x:v>
      </x:c>
      <x:c r="C70" s="10" t="n">
        <x:v>4096</x:v>
      </x:c>
      <x:c r="D70" s="10" t="str">
        <x:v>작성 가정</x:v>
      </x:c>
      <x:c r="E70" s="10" t="str">
        <x:v>부모 profile 보존</x:v>
      </x:c>
    </x:row>
    <x:row r="71" ht="52" customHeight="1">
      <x:c r="A71" s="10" t="str">
        <x:v>DELIVERY</x:v>
      </x:c>
      <x:c r="B71" s="10" t="str">
        <x:v>generation_rate</x:v>
      </x:c>
      <x:c r="C71" s="10" t="n">
        <x:v>4</x:v>
      </x:c>
      <x:c r="D71" s="10" t="str">
        <x:v>작성 가정</x:v>
      </x:c>
      <x:c r="E71" s="10" t="str">
        <x:v>부모 profile 보존</x:v>
      </x:c>
    </x:row>
    <x:row r="72" ht="52" customHeight="1">
      <x:c r="A72" s="10" t="str">
        <x:v>DELIVERY</x:v>
      </x:c>
      <x:c r="B72" s="10" t="str">
        <x:v>first_audio_seconds</x:v>
      </x:c>
      <x:c r="C72" s="10" t="n">
        <x:v>0.2</x:v>
      </x:c>
      <x:c r="D72" s="10" t="str">
        <x:v>작성 가정</x:v>
      </x:c>
      <x:c r="E72" s="10" t="str">
        <x:v>부모 profile 보존</x:v>
      </x:c>
    </x:row>
    <x:row r="73" ht="52" customHeight="1">
      <x:c r="A73" s="10" t="str">
        <x:v>DELIVERY</x:v>
      </x:c>
      <x:c r="B73" s="10" t="str">
        <x:v>first_latency_base</x:v>
      </x:c>
      <x:c r="C73" s="10" t="n">
        <x:v>0.38</x:v>
      </x:c>
      <x:c r="D73" s="10" t="str">
        <x:v>작성 가정</x:v>
      </x:c>
      <x:c r="E73" s="10" t="str">
        <x:v>부모 profile 보존</x:v>
      </x:c>
    </x:row>
    <x:row r="74" ht="52" customHeight="1">
      <x:c r="A74" s="10" t="str">
        <x:v>DELIVERY</x:v>
      </x:c>
      <x:c r="B74" s="10" t="str">
        <x:v>text_input_rate</x:v>
      </x:c>
      <x:c r="C74" s="10" t="n">
        <x:v>0.000001</x:v>
      </x:c>
      <x:c r="D74" s="10" t="str">
        <x:v>작성 가정</x:v>
      </x:c>
      <x:c r="E74" s="10" t="str">
        <x:v>부모 profile 보존</x:v>
      </x:c>
    </x:row>
    <x:row r="75" ht="52" customHeight="1">
      <x:c r="A75" s="10" t="str">
        <x:v>DELIVERY</x:v>
      </x:c>
      <x:c r="B75" s="10" t="str">
        <x:v>text_output_rate</x:v>
      </x:c>
      <x:c r="C75" s="10" t="n">
        <x:v>0.000004</x:v>
      </x:c>
      <x:c r="D75" s="10" t="str">
        <x:v>작성 가정</x:v>
      </x:c>
      <x:c r="E75" s="10" t="str">
        <x:v>부모 profile 보존</x:v>
      </x:c>
    </x:row>
    <x:row r="76" ht="52" customHeight="1">
      <x:c r="A76" s="10" t="str">
        <x:v>DELIVERY</x:v>
      </x:c>
      <x:c r="B76" s="10" t="str">
        <x:v>audio_input_rate</x:v>
      </x:c>
      <x:c r="C76" s="10" t="n">
        <x:v>0.001</x:v>
      </x:c>
      <x:c r="D76" s="10" t="str">
        <x:v>작성 가정</x:v>
      </x:c>
      <x:c r="E76" s="10" t="str">
        <x:v>부모 profile 보존</x:v>
      </x:c>
    </x:row>
    <x:row r="77" ht="52" customHeight="1">
      <x:c r="A77" s="10" t="str">
        <x:v>DELIVERY</x:v>
      </x:c>
      <x:c r="B77" s="10" t="str">
        <x:v>audio_output_rate</x:v>
      </x:c>
      <x:c r="C77" s="10" t="n">
        <x:v>0.002</x:v>
      </x:c>
      <x:c r="D77" s="10" t="str">
        <x:v>작성 가정</x:v>
      </x:c>
      <x:c r="E77" s="10" t="str">
        <x:v>부모 profile 보존</x:v>
      </x:c>
    </x:row>
    <x:row r="78" ht="52" customHeight="1">
      <x:c r="A78" s="10" t="str">
        <x:v>DELIVERY</x:v>
      </x:c>
      <x:c r="B78" s="10" t="str">
        <x:v>output_device_seconds</x:v>
      </x:c>
      <x:c r="C78" s="10" t="n">
        <x:v>0.04</x:v>
      </x:c>
      <x:c r="D78" s="10" t="str">
        <x:v>작성 가정</x:v>
      </x:c>
      <x:c r="E78" s="10" t="str">
        <x:v>부모 profile 보존</x:v>
      </x:c>
    </x:row>
    <x:row r="79" ht="52" customHeight="1">
      <x:c r="A79" s="10" t="str">
        <x:v>DELIVERY</x:v>
      </x:c>
      <x:c r="B79" s="10" t="str">
        <x:v>cancel_tail_seconds</x:v>
      </x:c>
      <x:c r="C79" s="10" t="n">
        <x:v>0.1</x:v>
      </x:c>
      <x:c r="D79" s="10" t="str">
        <x:v>작성 가정</x:v>
      </x:c>
      <x:c r="E79" s="10" t="str">
        <x:v>부모 profile 보존</x:v>
      </x:c>
    </x:row>
    <x:row r="80" ht="52" customHeight="1">
      <x:c r="A80" s="10" t="str">
        <x:v>DELIVERY</x:v>
      </x:c>
      <x:c r="B80" s="10" t="str">
        <x:v>interruption_seconds</x:v>
      </x:c>
      <x:c r="C80" s="10" t="n">
        <x:v>0.08</x:v>
      </x:c>
      <x:c r="D80" s="10" t="str">
        <x:v>작성 가정</x:v>
      </x:c>
      <x:c r="E80" s="10" t="str">
        <x:v>부모 profile 보존</x:v>
      </x:c>
    </x:row>
    <x:row r="81" ht="52" customHeight="1">
      <x:c r="A81" s="10" t="str">
        <x:v>DELIVERY</x:v>
      </x:c>
      <x:c r="B81" s="10" t="str">
        <x:v>output_generation_slots</x:v>
      </x:c>
      <x:c r="C81" s="10" t="n">
        <x:v>4</x:v>
      </x:c>
      <x:c r="D81" s="10" t="str">
        <x:v>작성 가정</x:v>
      </x:c>
      <x:c r="E81" s="10" t="str">
        <x:v>부모 profile 보존</x:v>
      </x:c>
    </x:row>
    <x:row r="82" ht="52" customHeight="1">
      <x:c r="A82" s="10" t="str">
        <x:v>DELIVERY</x:v>
      </x:c>
      <x:c r="B82" s="10" t="str">
        <x:v>audio_ram_cap_mb</x:v>
      </x:c>
      <x:c r="C82" s="10" t="n">
        <x:v>16</x:v>
      </x:c>
      <x:c r="D82" s="10" t="str">
        <x:v>작성 가정</x:v>
      </x:c>
      <x:c r="E82" s="10" t="str">
        <x:v>부모 profile 보존</x:v>
      </x:c>
    </x:row>
    <x:row r="83" ht="52" customHeight="1">
      <x:c r="A83" s="10" t="str">
        <x:v>DELIVERY</x:v>
      </x:c>
      <x:c r="B83" s="10" t="str">
        <x:v>local_model_weights_mb</x:v>
      </x:c>
      <x:c r="C83" s="10" t="n">
        <x:v>0</x:v>
      </x:c>
      <x:c r="D83" s="10" t="str">
        <x:v>작성 가정</x:v>
      </x:c>
      <x:c r="E83" s="10" t="str">
        <x:v>부모 profile 보존</x:v>
      </x:c>
    </x:row>
    <x:row r="84" ht="52" customHeight="1">
      <x:c r="A84" s="10" t="str">
        <x:v>DELIVERY</x:v>
      </x:c>
      <x:c r="B84" s="10" t="str">
        <x:v>semantic_model</x:v>
      </x:c>
      <x:c r="C84" s="10" t="str">
        <x:v>fixed common semantic fixture; no model inference</x:v>
      </x:c>
      <x:c r="D84" s="10" t="str">
        <x:v>작성 가정</x:v>
      </x:c>
      <x:c r="E84" s="10" t="str">
        <x:v>부모 profile 보존</x:v>
      </x:c>
    </x:row>
    <x:row r="85" ht="52" customHeight="1">
      <x:c r="A85" s="10" t="str">
        <x:v>DELIVERY</x:v>
      </x:c>
      <x:c r="B85" s="10" t="str">
        <x:v>rates_status</x:v>
      </x:c>
      <x:c r="C85" s="10" t="str">
        <x:v>authored hypothetical rates, same as common v2 where applicable</x:v>
      </x:c>
      <x:c r="D85" s="10" t="str">
        <x:v>작성 가정</x:v>
      </x:c>
      <x:c r="E85" s="10" t="str">
        <x:v>부모 profile 보존</x:v>
      </x:c>
    </x:row>
    <x:row r="86" ht="52" customHeight="1">
      <x:c r="A86" s="10" t="str">
        <x:v>TEXT</x:v>
      </x:c>
      <x:c r="B86" s="10" t="str">
        <x:v>T-BASE</x:v>
      </x:c>
      <x:c r="C86" s="10" t="str">
        <x:v>DP2 A + DP5 A</x:v>
      </x:c>
      <x:c r="D86" s="10" t="str">
        <x:v>구성</x:v>
      </x:c>
      <x:c r="E86" s="10" t="str">
        <x:v>DP2=A; DP3=NOT_EXERCISED; DP5=A; DP44=FIXED_UNMAPPED</x:v>
      </x:c>
    </x:row>
    <x:row r="87" ht="52" customHeight="1">
      <x:c r="A87" s="10" t="str">
        <x:v>TEXT</x:v>
      </x:c>
      <x:c r="B87" s="10" t="str">
        <x:v>T-EXEC</x:v>
      </x:c>
      <x:c r="C87" s="10" t="str">
        <x:v>DP2 B + DP5 A</x:v>
      </x:c>
      <x:c r="D87" s="10" t="str">
        <x:v>구성</x:v>
      </x:c>
      <x:c r="E87" s="10" t="str">
        <x:v>DP2=B; DP3=NOT_EXERCISED; DP5=A; DP44=FIXED_UNMAPPED</x:v>
      </x:c>
    </x:row>
    <x:row r="88" ht="52" customHeight="1">
      <x:c r="A88" s="10" t="str">
        <x:v>TEXT</x:v>
      </x:c>
      <x:c r="B88" s="10" t="str">
        <x:v>T-REL</x:v>
      </x:c>
      <x:c r="C88" s="10" t="str">
        <x:v>DP2 A + DP5 B</x:v>
      </x:c>
      <x:c r="D88" s="10" t="str">
        <x:v>구성</x:v>
      </x:c>
      <x:c r="E88" s="10" t="str">
        <x:v>DP2=A; DP3=NOT_EXERCISED; DP5=B; DP44=FIXED_UNMAPPED</x:v>
      </x:c>
    </x:row>
    <x:row r="89" ht="52" customHeight="1">
      <x:c r="A89" s="10" t="str">
        <x:v>VOICE</x:v>
      </x:c>
      <x:c r="B89" s="10" t="str">
        <x:v>V-A</x:v>
      </x:c>
      <x:c r="C89" s="10" t="str">
        <x:v>DP3 A 원본 직접 해석</x:v>
      </x:c>
      <x:c r="D89" s="10" t="str">
        <x:v>구성</x:v>
      </x:c>
      <x:c r="E89" s="10" t="str">
        <x:v>DP2=FIXED_UNMAPPED; DP3=A; DP5=FIXED_UNMAPPED; DP44=FIXED_UNMAPPED</x:v>
      </x:c>
    </x:row>
    <x:row r="90" ht="52" customHeight="1">
      <x:c r="A90" s="10" t="str">
        <x:v>VOICE</x:v>
      </x:c>
      <x:c r="B90" s="10" t="str">
        <x:v>V-R1</x:v>
      </x:c>
      <x:c r="C90" s="10" t="str">
        <x:v>DP3 B-R1 모델 회수</x:v>
      </x:c>
      <x:c r="D90" s="10" t="str">
        <x:v>구성</x:v>
      </x:c>
      <x:c r="E90" s="10" t="str">
        <x:v>DP2=FIXED_UNMAPPED; DP3=B-R1; DP5=FIXED_UNMAPPED; DP44=FIXED_UNMAPPED</x:v>
      </x:c>
    </x:row>
    <x:row r="91" ht="52" customHeight="1">
      <x:c r="A91" s="10" t="str">
        <x:v>VOICE</x:v>
      </x:c>
      <x:c r="B91" s="10" t="str">
        <x:v>V-R2</x:v>
      </x:c>
      <x:c r="C91" s="10" t="str">
        <x:v>DP3 B-R2 모델 상주</x:v>
      </x:c>
      <x:c r="D91" s="10" t="str">
        <x:v>구성</x:v>
      </x:c>
      <x:c r="E91" s="10" t="str">
        <x:v>DP2=FIXED_UNMAPPED; DP3=B-R2; DP5=FIXED_UNMAPPED; DP44=FIXED_UNMAPPED</x:v>
      </x:c>
    </x:row>
    <x:row r="92" ht="52" customHeight="1">
      <x:c r="A92" s="10" t="str">
        <x:v>VOICE</x:v>
      </x:c>
      <x:c r="B92" s="10" t="str">
        <x:v>V-R3</x:v>
      </x:c>
      <x:c r="C92" s="10" t="str">
        <x:v>DP3 B-R3 worker 분리</x:v>
      </x:c>
      <x:c r="D92" s="10" t="str">
        <x:v>구성</x:v>
      </x:c>
      <x:c r="E92" s="10" t="str">
        <x:v>DP2=FIXED_UNMAPPED; DP3=B-R3; DP5=FIXED_UNMAPPED; DP44=FIXED_UNMAPPED</x:v>
      </x:c>
    </x:row>
    <x:row r="93" ht="52" customHeight="1">
      <x:c r="A93" s="10" t="str">
        <x:v>DELIVERY</x:v>
      </x:c>
      <x:c r="B93" s="10" t="str">
        <x:v>D-A</x:v>
      </x:c>
      <x:c r="C93" s="10" t="str">
        <x:v>DP44 A 응답별 생성 유지</x:v>
      </x:c>
      <x:c r="D93" s="10" t="str">
        <x:v>구성</x:v>
      </x:c>
      <x:c r="E93" s="10" t="str">
        <x:v>DP2=FIXED_UNMAPPED; DP3=FIXED_UNMAPPED; DP5=FIXED_UNMAPPED; DP44=A</x:v>
      </x:c>
    </x:row>
    <x:row r="94" ht="52" customHeight="1">
      <x:c r="A94" s="10" t="str">
        <x:v>DELIVERY</x:v>
      </x:c>
      <x:c r="B94" s="10" t="str">
        <x:v>D-B</x:v>
      </x:c>
      <x:c r="C94" s="10" t="str">
        <x:v>DP44 B 현재 발화에 생성 연결</x:v>
      </x:c>
      <x:c r="D94" s="10" t="str">
        <x:v>구성</x:v>
      </x:c>
      <x:c r="E94" s="10" t="str">
        <x:v>DP2=FIXED_UNMAPPED; DP3=FIXED_UNMAPPED; DP5=FIXED_UNMAPPED; DP44=B</x:v>
      </x:c>
    </x:row>
    <x:row r="95" ht="52" customHeight="1">
      <x:c r="A95" s="10" t="str">
        <x:v>TEXT</x:v>
      </x:c>
      <x:c r="B95" s="10" t="str">
        <x:v>원본 SHA-256</x:v>
      </x:c>
      <x:c r="C95" s="10" t="str">
        <x:v>e7058f7e9ea4710a549ccf754ecd62f4d5659002a4b98642ecb8835699b57a18</x:v>
      </x:c>
      <x:c r="D95" s="10" t="str">
        <x:v>보존본</x:v>
      </x:c>
      <x:c r="E95" s="10" t="str">
        <x:v>parents/text.json</x:v>
      </x:c>
    </x:row>
    <x:row r="96" ht="52" customHeight="1">
      <x:c r="A96" s="10" t="str">
        <x:v>VOICE</x:v>
      </x:c>
      <x:c r="B96" s="10" t="str">
        <x:v>원본 SHA-256</x:v>
      </x:c>
      <x:c r="C96" s="10" t="str">
        <x:v>fb12a76dec39d7a6215ddd18c24284660a71eaa9d53645af9b7770615251c2f2</x:v>
      </x:c>
      <x:c r="D96" s="10" t="str">
        <x:v>보존본</x:v>
      </x:c>
      <x:c r="E96" s="10" t="str">
        <x:v>parents/voice.json</x:v>
      </x:c>
    </x:row>
    <x:row r="97" ht="52" customHeight="1">
      <x:c r="A97" s="10" t="str">
        <x:v>DELIVERY</x:v>
      </x:c>
      <x:c r="B97" s="10" t="str">
        <x:v>원본 SHA-256</x:v>
      </x:c>
      <x:c r="C97" s="10" t="str">
        <x:v>95e85719a807c9bce2185662da7fe8bc39106b334b633ad9ddfbb4210f7672ee</x:v>
      </x:c>
      <x:c r="D97" s="10" t="str">
        <x:v>보존본</x:v>
      </x:c>
      <x:c r="E97" s="10" t="str">
        <x:v>parents/delivery.json</x:v>
      </x:c>
    </x:row>
    <x:row r="98" ht="52" customHeight="1">
      <x:c r="A98" s="10" t="str">
        <x:v>V2_SUMMARY</x:v>
      </x:c>
      <x:c r="B98" s="10" t="str">
        <x:v>원본 SHA-256</x:v>
      </x:c>
      <x:c r="C98" s="10" t="str">
        <x:v>9557bfd3331eae2a4e7da677764a4795e1fd51b4a897ecf622e4d48220699900</x:v>
      </x:c>
      <x:c r="D98" s="10" t="str">
        <x:v>보존본</x:v>
      </x:c>
      <x:c r="E98" s="10" t="str">
        <x:v>parents/v2_summary.json</x:v>
      </x:c>
    </x:row>
    <x:row r="99" ht="52" customHeight="1">
      <x:c r="A99" s="10" t="str">
        <x:v>V2_MANIFEST</x:v>
      </x:c>
      <x:c r="B99" s="10" t="str">
        <x:v>원본 SHA-256</x:v>
      </x:c>
      <x:c r="C99" s="10" t="str">
        <x:v>84d6f9be71996bd08c5511296953e19ef04bda46a207d942967725623ce1ac6e</x:v>
      </x:c>
      <x:c r="D99" s="10" t="str">
        <x:v>보존본</x:v>
      </x:c>
      <x:c r="E99" s="10" t="str">
        <x:v>parents/v2_manifest.json</x:v>
      </x:c>
    </x:row>
    <x:row r="100" ht="52" customHeight="1">
      <x:c r="A100" s="10" t="str">
        <x:v>공통</x:v>
      </x:c>
      <x:c r="B100" s="10" t="str">
        <x:v>근거 종류</x:v>
      </x:c>
      <x:c r="C100" s="10" t="str">
        <x:v>SYNTHETIC_AUTHORED_NOT_MEASURED</x:v>
      </x:c>
      <x:c r="D100" s="10" t="str">
        <x:v>고정</x:v>
      </x:c>
      <x:c r="E100" s="10" t="str">
        <x:v>통합 평균, 층 사이 절대 순위, 실측 차이 주장을 생성하지 않음</x:v>
      </x:c>
    </x:row>
    <x:row r="101" ht="52" customHeight="1">
      <x:c r="A101" s="10" t="str">
        <x:v>DELIVERY</x:v>
      </x:c>
      <x:c r="B101" s="10" t="str">
        <x:v>QA02/07</x:v>
      </x:c>
      <x:c r="C101" s="10" t="str">
        <x:v>FIXED_CORRECT_SEMANTIC_FIXTURE</x:v>
      </x:c>
      <x:c r="D101" s="10" t="str">
        <x:v>제어 fixture</x:v>
      </x:c>
      <x:c r="E101" s="10" t="str">
        <x:v>같은 정답 의미를 고정한 제어 fixture. 모델 정확도나 차별화 coverage 근거가 아니다.</x:v>
      </x:c>
    </x:row>
    <x:row r="102" ht="52" customHeight="1">
      <x:c r="A102" s="10" t="str">
        <x:v>DELIVERY</x:v>
      </x:c>
      <x:c r="B102" s="10" t="str">
        <x:v>QA04</x:v>
      </x:c>
      <x:c r="C102" s="10" t="str">
        <x:v>DESIGN_CHANGE_REVIEW_NOT_RUST_DIFF</x:v>
      </x:c>
      <x:c r="D102" s="10" t="str">
        <x:v>예상</x:v>
      </x:c>
      <x:c r="E102" s="10" t="str">
        <x:v>공통 인터페이스에 따라 A도 2.00이 되어 B와 동점 가능. 실제 Rust diff가 아니다.</x:v>
      </x:c>
    </x:row>
    <x:row r="103" ht="52" customHeight="1">
      <x:c r="A103" s="10" t="str">
        <x:v>DELIVERY</x:v>
      </x:c>
      <x:c r="B103" s="10" t="str">
        <x:v>receiver / total</x:v>
      </x:c>
      <x:c r="C103" s="10" t="str">
        <x:v>NOT_MODELED</x:v>
      </x:c>
      <x:c r="D103" s="10" t="str">
        <x:v>결측</x:v>
      </x:c>
      <x:c r="E103" s="10" t="str">
        <x:v>수신 Agent 내부 비용 미모델링. 합계 0 또는 VIA만의 전체 비용으로 채우지 않는다.</x:v>
      </x:c>
    </x:row>
  </x:sheetData>
  <x:pageMargins left="0.7" right="0.7" top="0.75" bottom="0.75" header="0.3" footer="0.3"/>
  <x:tableParts count="1">
    <x:tablePart xmlns:r="http://schemas.openxmlformats.org/officeDocument/2006/relationships" r:id="R06f25945e53c480e"/>
  </x:tableParts>
</x:worksheet>
</file>

<file path=xl/worksheets/sheet3.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0.5600004196167" hidden="0" customWidth="1"/>
    <x:col min="2" max="2" width="10" hidden="0" customWidth="1"/>
    <x:col min="3" max="3" width="21.110000610351562" hidden="0" customWidth="1"/>
    <x:col min="4" max="4" width="27.219999313354492" hidden="0" customWidth="1"/>
    <x:col min="5" max="5" width="9.4399995803833" hidden="0" customWidth="1"/>
    <x:col min="6" max="6" width="8.329999923706055" hidden="0" customWidth="1"/>
    <x:col min="7" max="7" width="11.109999656677246" hidden="0" customWidth="1"/>
    <x:col min="8" max="8" width="11.109999656677246" hidden="0" customWidth="1"/>
    <x:col min="9" max="9" width="12.220000267028809" hidden="0" customWidth="1"/>
    <x:col min="10" max="10" width="70" hidden="0" customWidth="1"/>
    <x:col min="11" max="11" width="76.66999816894531" hidden="0" customWidth="1"/>
    <x:col min="12" max="12" width="12.220000267028809" hidden="0" customWidth="1"/>
    <x:col min="13" max="13" width="12.220000267028809" hidden="0" customWidth="1"/>
    <x:col min="14" max="14" width="21.110000610351562" hidden="0" customWidth="1"/>
  </x:cols>
  <x:sheetData>
    <x:row r="1">
      <x:c r="A1" s="1"/>
      <x:c r="B1" s="1"/>
      <x:c r="C1" s="1"/>
      <x:c r="D1" s="1"/>
      <x:c r="E1" s="1"/>
      <x:c r="F1" s="1"/>
      <x:c r="G1" s="1"/>
      <x:c r="H1" s="1"/>
      <x:c r="I1" s="1"/>
      <x:c r="J1" s="1"/>
      <x:c r="K1" s="1"/>
      <x:c r="L1" s="1"/>
      <x:c r="M1" s="1"/>
      <x:c r="N1" s="1"/>
    </x:row>
    <x:row r="2">
      <x:c r="A2" s="2" t="str">
        <x:v>화면 첫 응답과 별도 음성 진단</x:v>
      </x:c>
      <x:c r="B2" s="1"/>
      <x:c r="C2" s="1"/>
      <x:c r="D2" s="1"/>
      <x:c r="E2" s="1"/>
      <x:c r="F2" s="1"/>
      <x:c r="G2" s="1"/>
      <x:c r="H2" s="1"/>
      <x:c r="I2" s="1"/>
      <x:c r="J2" s="1"/>
      <x:c r="K2" s="1"/>
      <x:c r="L2" s="1"/>
      <x:c r="M2" s="1"/>
      <x:c r="N2" s="1"/>
    </x:row>
    <x:row r="3">
      <x:c r="A3" s="3" t="str">
        <x:v>QA01 대표값은 화면 표시다. 음성은 DELIVERY만 별도 계산하며 나머지 층의 빈칸은 NOT_MODELED다.</x:v>
      </x:c>
      <x:c r="B3" s="1"/>
      <x:c r="C3" s="1"/>
      <x:c r="D3" s="1"/>
      <x:c r="E3" s="1"/>
      <x:c r="F3" s="1"/>
      <x:c r="G3" s="1"/>
      <x:c r="H3" s="1"/>
      <x:c r="I3" s="1"/>
      <x:c r="J3" s="1"/>
      <x:c r="K3" s="1"/>
      <x:c r="L3" s="1"/>
      <x:c r="M3" s="1"/>
      <x:c r="N3" s="1"/>
    </x:row>
    <x:row r="4">
      <x:c r="A4" s="1"/>
      <x:c r="B4" s="1"/>
      <x:c r="C4" s="1"/>
      <x:c r="D4" s="1"/>
      <x:c r="E4" s="1"/>
      <x:c r="F4" s="1"/>
      <x:c r="G4" s="1"/>
      <x:c r="H4" s="1"/>
      <x:c r="I4" s="1"/>
      <x:c r="J4" s="1"/>
      <x:c r="K4" s="1"/>
      <x:c r="L4" s="1"/>
      <x:c r="M4" s="1"/>
      <x:c r="N4" s="1"/>
    </x:row>
    <x:row r="5" ht="35" customHeight="1">
      <x:c r="A5" s="8" t="str">
        <x:v>구성</x:v>
      </x:c>
      <x:c r="B5" s="8" t="str">
        <x:v>층</x:v>
      </x:c>
      <x:c r="C5" s="8" t="str">
        <x:v>사례</x:v>
      </x:c>
      <x:c r="D5" s="8" t="str">
        <x:v>입력 ID</x:v>
      </x:c>
      <x:c r="E5" s="8" t="str">
        <x:v>유형</x:v>
      </x:c>
      <x:c r="F5" s="8" t="str">
        <x:v>revision</x:v>
      </x:c>
      <x:c r="G5" s="8" t="str">
        <x:v>입력 t</x:v>
      </x:c>
      <x:c r="H5" s="8" t="str">
        <x:v>첫 표시 t</x:v>
      </x:c>
      <x:c r="I5" s="8" t="str">
        <x:v>QA01 화면 초</x:v>
      </x:c>
      <x:c r="J5" s="8" t="str">
        <x:v>사용자 입력</x:v>
      </x:c>
      <x:c r="K5" s="8" t="str">
        <x:v>최초 표시 내용</x:v>
      </x:c>
      <x:c r="L5" s="8" t="str">
        <x:v>첫 음성 t</x:v>
      </x:c>
      <x:c r="M5" s="8" t="str">
        <x:v>음성 진단 초</x:v>
      </x:c>
      <x:c r="N5" s="8" t="str">
        <x:v>음성 근거 상태</x:v>
      </x:c>
    </x:row>
    <x:row r="6" ht="85" customHeight="1">
      <x:c r="A6" s="10" t="str">
        <x:v>T-BASE</x:v>
      </x:c>
      <x:c r="B6" s="10" t="str">
        <x:v>TEXT</x:v>
      </x:c>
      <x:c r="C6" s="10" t="str">
        <x:v>TEXT:SYN-F01-01</x:v>
      </x:c>
      <x:c r="D6" s="10" t="str">
        <x:v>TEXT:SYN-F01-01-U01</x:v>
      </x:c>
      <x:c r="E6" s="10" t="str">
        <x:v>T-F01</x:v>
      </x:c>
      <x:c r="F6" s="10" t="n">
        <x:v>1</x:v>
      </x:c>
      <x:c r="G6" s="11" t="n">
        <x:v>0</x:v>
      </x:c>
      <x:c r="H6" s="11" t="n">
        <x:v>1.1675</x:v>
      </x:c>
      <x:c r="I6" s="11" t="n">
        <x:f>H6-G6</x:f>
        <x:v>1.1675</x:v>
      </x:c>
      <x:c r="J6" s="10" t="str">
        <x:v>SYN-F01-01:D2@v1를 기준으로 서비스 운영위원회용 전환 검토 발표자료를 5장 이내로 만들어줘. 월 운영비 240만원 이하, 첫 12개월 기준이야. 외부 발송은 하지 마.</x:v>
      </x:c>
      <x:c r="K6" s="10" t="str">
        <x:v>SYN-F01-01:D2@v1의 구성을 기준으로 서비스 운영위원회용 전환 검토 발표자료를 5장 이내로 작성하도록 준비하겠습니다.</x:v>
      </x:c>
      <x:c r="L6" s="11"/>
      <x:c r="M6" s="11"/>
      <x:c r="N6" s="10" t="str">
        <x:v>NOT_MODELED</x:v>
      </x:c>
    </x:row>
    <x:row r="7" ht="85" customHeight="1">
      <x:c r="A7" s="10" t="str">
        <x:v>T-BASE</x:v>
      </x:c>
      <x:c r="B7" s="10" t="str">
        <x:v>TEXT</x:v>
      </x:c>
      <x:c r="C7" s="10" t="str">
        <x:v>TEXT:SYN-F01-01</x:v>
      </x:c>
      <x:c r="D7" s="10" t="str">
        <x:v>TEXT:SYN-F01-01-U02</x:v>
      </x:c>
      <x:c r="E7" s="10" t="str">
        <x:v>T-F01</x:v>
      </x:c>
      <x:c r="F7" s="10" t="n">
        <x:v>2</x:v>
      </x:c>
      <x:c r="G7" s="11" t="n">
        <x:v>14.203857</x:v>
      </x:c>
      <x:c r="H7" s="11" t="n">
        <x:v>15.390607</x:v>
      </x:c>
      <x:c r="I7" s="11" t="n">
        <x:f>H7-G7</x:f>
        <x:v>1.18675</x:v>
      </x:c>
      <x:c r="J7" s="10" t="str">
        <x:v>방금 요청은 같은 자료로 3장 이내로 바꿔줘. 초기 설치비는 제외하고 나머지 조건은 유지해.</x:v>
      </x:c>
      <x:c r="K7" s="10" t="str">
        <x:v>SYN-F01-01:D2@v1 기준의 기존 요청을 3장 이내와 초기 설치비 제외 조건으로 수정하겠습니다.</x:v>
      </x:c>
      <x:c r="L7" s="11"/>
      <x:c r="M7" s="11"/>
      <x:c r="N7" s="10" t="str">
        <x:v>NOT_MODELED</x:v>
      </x:c>
    </x:row>
    <x:row r="8" ht="85" customHeight="1">
      <x:c r="A8" s="10" t="str">
        <x:v>T-EXEC</x:v>
      </x:c>
      <x:c r="B8" s="10" t="str">
        <x:v>TEXT</x:v>
      </x:c>
      <x:c r="C8" s="10" t="str">
        <x:v>TEXT:SYN-F01-01</x:v>
      </x:c>
      <x:c r="D8" s="10" t="str">
        <x:v>TEXT:SYN-F01-01-U01</x:v>
      </x:c>
      <x:c r="E8" s="10" t="str">
        <x:v>T-F01</x:v>
      </x:c>
      <x:c r="F8" s="10" t="n">
        <x:v>1</x:v>
      </x:c>
      <x:c r="G8" s="11" t="n">
        <x:v>0</x:v>
      </x:c>
      <x:c r="H8" s="11" t="n">
        <x:v>1.1675</x:v>
      </x:c>
      <x:c r="I8" s="11" t="n">
        <x:f>H8-G8</x:f>
        <x:v>1.1675</x:v>
      </x:c>
      <x:c r="J8" s="10" t="str">
        <x:v>SYN-F01-01:D2@v1를 기준으로 서비스 운영위원회용 전환 검토 발표자료를 5장 이내로 만들어줘. 월 운영비 240만원 이하, 첫 12개월 기준이야. 외부 발송은 하지 마.</x:v>
      </x:c>
      <x:c r="K8" s="10" t="str">
        <x:v>SYN-F01-01:D2@v1의 구성을 기준으로 서비스 운영위원회용 전환 검토 발표자료를 5장 이내로 작성하도록 준비하겠습니다.</x:v>
      </x:c>
      <x:c r="L8" s="11"/>
      <x:c r="M8" s="11"/>
      <x:c r="N8" s="10" t="str">
        <x:v>NOT_MODELED</x:v>
      </x:c>
    </x:row>
    <x:row r="9" ht="85" customHeight="1">
      <x:c r="A9" s="10" t="str">
        <x:v>T-EXEC</x:v>
      </x:c>
      <x:c r="B9" s="10" t="str">
        <x:v>TEXT</x:v>
      </x:c>
      <x:c r="C9" s="10" t="str">
        <x:v>TEXT:SYN-F01-01</x:v>
      </x:c>
      <x:c r="D9" s="10" t="str">
        <x:v>TEXT:SYN-F01-01-U02</x:v>
      </x:c>
      <x:c r="E9" s="10" t="str">
        <x:v>T-F01</x:v>
      </x:c>
      <x:c r="F9" s="10" t="n">
        <x:v>2</x:v>
      </x:c>
      <x:c r="G9" s="11" t="n">
        <x:v>14.203857</x:v>
      </x:c>
      <x:c r="H9" s="11" t="n">
        <x:v>15.845607</x:v>
      </x:c>
      <x:c r="I9" s="11" t="n">
        <x:f>H9-G9</x:f>
        <x:v>1.64175</x:v>
      </x:c>
      <x:c r="J9" s="10" t="str">
        <x:v>방금 요청은 같은 자료로 3장 이내로 바꿔줘. 초기 설치비는 제외하고 나머지 조건은 유지해.</x:v>
      </x:c>
      <x:c r="K9" s="10" t="str">
        <x:v>SYN-F01-01:D2@v1 기준의 기존 요청을 3장 이내와 초기 설치비 제외 조건으로 수정하겠습니다.</x:v>
      </x:c>
      <x:c r="L9" s="11"/>
      <x:c r="M9" s="11"/>
      <x:c r="N9" s="10" t="str">
        <x:v>NOT_MODELED</x:v>
      </x:c>
    </x:row>
    <x:row r="10" ht="85" customHeight="1">
      <x:c r="A10" s="10" t="str">
        <x:v>T-REL</x:v>
      </x:c>
      <x:c r="B10" s="10" t="str">
        <x:v>TEXT</x:v>
      </x:c>
      <x:c r="C10" s="10" t="str">
        <x:v>TEXT:SYN-F01-01</x:v>
      </x:c>
      <x:c r="D10" s="10" t="str">
        <x:v>TEXT:SYN-F01-01-U01</x:v>
      </x:c>
      <x:c r="E10" s="10" t="str">
        <x:v>T-F01</x:v>
      </x:c>
      <x:c r="F10" s="10" t="n">
        <x:v>1</x:v>
      </x:c>
      <x:c r="G10" s="11" t="n">
        <x:v>0</x:v>
      </x:c>
      <x:c r="H10" s="11" t="n">
        <x:v>1.1675</x:v>
      </x:c>
      <x:c r="I10" s="11" t="n">
        <x:f>H10-G10</x:f>
        <x:v>1.1675</x:v>
      </x:c>
      <x:c r="J10" s="10" t="str">
        <x:v>SYN-F01-01:D2@v1를 기준으로 서비스 운영위원회용 전환 검토 발표자료를 5장 이내로 만들어줘. 월 운영비 240만원 이하, 첫 12개월 기준이야. 외부 발송은 하지 마.</x:v>
      </x:c>
      <x:c r="K10" s="10" t="str">
        <x:v>SYN-F01-01:D2@v1의 구성을 기준으로 서비스 운영위원회용 전환 검토 발표자료를 5장 이내로 작성하도록 준비하겠습니다.</x:v>
      </x:c>
      <x:c r="L10" s="11"/>
      <x:c r="M10" s="11"/>
      <x:c r="N10" s="10" t="str">
        <x:v>NOT_MODELED</x:v>
      </x:c>
    </x:row>
    <x:row r="11" ht="85" customHeight="1">
      <x:c r="A11" s="10" t="str">
        <x:v>T-REL</x:v>
      </x:c>
      <x:c r="B11" s="10" t="str">
        <x:v>TEXT</x:v>
      </x:c>
      <x:c r="C11" s="10" t="str">
        <x:v>TEXT:SYN-F01-01</x:v>
      </x:c>
      <x:c r="D11" s="10" t="str">
        <x:v>TEXT:SYN-F01-01-U02</x:v>
      </x:c>
      <x:c r="E11" s="10" t="str">
        <x:v>T-F01</x:v>
      </x:c>
      <x:c r="F11" s="10" t="n">
        <x:v>2</x:v>
      </x:c>
      <x:c r="G11" s="11" t="n">
        <x:v>14.203857</x:v>
      </x:c>
      <x:c r="H11" s="11" t="n">
        <x:v>15.390607</x:v>
      </x:c>
      <x:c r="I11" s="11" t="n">
        <x:f>H11-G11</x:f>
        <x:v>1.18675</x:v>
      </x:c>
      <x:c r="J11" s="10" t="str">
        <x:v>방금 요청은 같은 자료로 3장 이내로 바꿔줘. 초기 설치비는 제외하고 나머지 조건은 유지해.</x:v>
      </x:c>
      <x:c r="K11" s="10" t="str">
        <x:v>SYN-F01-01:D2@v1 기준의 기존 요청을 3장 이내와 초기 설치비 제외 조건으로 수정하겠습니다.</x:v>
      </x:c>
      <x:c r="L11" s="11"/>
      <x:c r="M11" s="11"/>
      <x:c r="N11" s="10" t="str">
        <x:v>NOT_MODELED</x:v>
      </x:c>
    </x:row>
    <x:row r="12" ht="85" customHeight="1">
      <x:c r="A12" s="10" t="str">
        <x:v>T-BASE</x:v>
      </x:c>
      <x:c r="B12" s="10" t="str">
        <x:v>TEXT</x:v>
      </x:c>
      <x:c r="C12" s="10" t="str">
        <x:v>TEXT:SYN-F01-02</x:v>
      </x:c>
      <x:c r="D12" s="10" t="str">
        <x:v>TEXT:SYN-F01-02-U01</x:v>
      </x:c>
      <x:c r="E12" s="10" t="str">
        <x:v>T-F01</x:v>
      </x:c>
      <x:c r="F12" s="10" t="n">
        <x:v>1</x:v>
      </x:c>
      <x:c r="G12" s="11" t="n">
        <x:v>0</x:v>
      </x:c>
      <x:c r="H12" s="11" t="n">
        <x:v>1.180321</x:v>
      </x:c>
      <x:c r="I12" s="11" t="n">
        <x:f>H12-G12</x:f>
        <x:v>1.180321</x:v>
      </x:c>
      <x:c r="J12" s="10" t="str">
        <x:v>SYN-F01-02:D1@v1를 기준으로 참가업체 설명회용 운영 제안 발표자료를 4장 이내로 만들어줘. 주말 운영 인력 12명 이하, 전시 4주 기준이야. 외부 발송은 하지 마.</x:v>
      </x:c>
      <x:c r="K12" s="10" t="str">
        <x:v>SYN-F01-02:D1@v1의 구성을 기준으로 참가업체 설명회용 운영 제안 발표자료를 4장 이내로 작성하도록 준비하겠습니다.</x:v>
      </x:c>
      <x:c r="L12" s="11"/>
      <x:c r="M12" s="11"/>
      <x:c r="N12" s="10" t="str">
        <x:v>NOT_MODELED</x:v>
      </x:c>
    </x:row>
    <x:row r="13" ht="85" customHeight="1">
      <x:c r="A13" s="10" t="str">
        <x:v>T-BASE</x:v>
      </x:c>
      <x:c r="B13" s="10" t="str">
        <x:v>TEXT</x:v>
      </x:c>
      <x:c r="C13" s="10" t="str">
        <x:v>TEXT:SYN-F01-02</x:v>
      </x:c>
      <x:c r="D13" s="10" t="str">
        <x:v>TEXT:SYN-F01-02-U02</x:v>
      </x:c>
      <x:c r="E13" s="10" t="str">
        <x:v>T-F01</x:v>
      </x:c>
      <x:c r="F13" s="10" t="n">
        <x:v>2</x:v>
      </x:c>
      <x:c r="G13" s="11" t="n">
        <x:v>14.289857</x:v>
      </x:c>
      <x:c r="H13" s="11" t="n">
        <x:v>15.489428</x:v>
      </x:c>
      <x:c r="I13" s="11" t="n">
        <x:f>H13-G13</x:f>
        <x:v>1.1995710000000006</x:v>
      </x:c>
      <x:c r="J13" s="10" t="str">
        <x:v>방금 요청은 같은 자료로 2장 이내로 바꿔줘. 일회성 장식비는 제외하고 나머지 조건은 유지해.</x:v>
      </x:c>
      <x:c r="K13" s="10" t="str">
        <x:v>SYN-F01-02:D1@v1 기준의 기존 요청을 2장 이내와 일회성 장식비 제외 조건으로 수정하겠습니다.</x:v>
      </x:c>
      <x:c r="L13" s="11"/>
      <x:c r="M13" s="11"/>
      <x:c r="N13" s="10" t="str">
        <x:v>NOT_MODELED</x:v>
      </x:c>
    </x:row>
    <x:row r="14" ht="85" customHeight="1">
      <x:c r="A14" s="10" t="str">
        <x:v>T-EXEC</x:v>
      </x:c>
      <x:c r="B14" s="10" t="str">
        <x:v>TEXT</x:v>
      </x:c>
      <x:c r="C14" s="10" t="str">
        <x:v>TEXT:SYN-F01-02</x:v>
      </x:c>
      <x:c r="D14" s="10" t="str">
        <x:v>TEXT:SYN-F01-02-U01</x:v>
      </x:c>
      <x:c r="E14" s="10" t="str">
        <x:v>T-F01</x:v>
      </x:c>
      <x:c r="F14" s="10" t="n">
        <x:v>1</x:v>
      </x:c>
      <x:c r="G14" s="11" t="n">
        <x:v>0</x:v>
      </x:c>
      <x:c r="H14" s="11" t="n">
        <x:v>1.180321</x:v>
      </x:c>
      <x:c r="I14" s="11" t="n">
        <x:f>H14-G14</x:f>
        <x:v>1.180321</x:v>
      </x:c>
      <x:c r="J14" s="10" t="str">
        <x:v>SYN-F01-02:D1@v1를 기준으로 참가업체 설명회용 운영 제안 발표자료를 4장 이내로 만들어줘. 주말 운영 인력 12명 이하, 전시 4주 기준이야. 외부 발송은 하지 마.</x:v>
      </x:c>
      <x:c r="K14" s="10" t="str">
        <x:v>SYN-F01-02:D1@v1의 구성을 기준으로 참가업체 설명회용 운영 제안 발표자료를 4장 이내로 작성하도록 준비하겠습니다.</x:v>
      </x:c>
      <x:c r="L14" s="11"/>
      <x:c r="M14" s="11"/>
      <x:c r="N14" s="10" t="str">
        <x:v>NOT_MODELED</x:v>
      </x:c>
    </x:row>
    <x:row r="15" ht="85" customHeight="1">
      <x:c r="A15" s="10" t="str">
        <x:v>T-EXEC</x:v>
      </x:c>
      <x:c r="B15" s="10" t="str">
        <x:v>TEXT</x:v>
      </x:c>
      <x:c r="C15" s="10" t="str">
        <x:v>TEXT:SYN-F01-02</x:v>
      </x:c>
      <x:c r="D15" s="10" t="str">
        <x:v>TEXT:SYN-F01-02-U02</x:v>
      </x:c>
      <x:c r="E15" s="10" t="str">
        <x:v>T-F01</x:v>
      </x:c>
      <x:c r="F15" s="10" t="n">
        <x:v>2</x:v>
      </x:c>
      <x:c r="G15" s="11" t="n">
        <x:v>14.289857</x:v>
      </x:c>
      <x:c r="H15" s="11" t="n">
        <x:v>15.954107</x:v>
      </x:c>
      <x:c r="I15" s="11" t="n">
        <x:f>H15-G15</x:f>
        <x:v>1.664250000000001</x:v>
      </x:c>
      <x:c r="J15" s="10" t="str">
        <x:v>방금 요청은 같은 자료로 2장 이내로 바꿔줘. 일회성 장식비는 제외하고 나머지 조건은 유지해.</x:v>
      </x:c>
      <x:c r="K15" s="10" t="str">
        <x:v>SYN-F01-02:D1@v1 기준의 기존 요청을 2장 이내와 일회성 장식비 제외 조건으로 수정하겠습니다.</x:v>
      </x:c>
      <x:c r="L15" s="11"/>
      <x:c r="M15" s="11"/>
      <x:c r="N15" s="10" t="str">
        <x:v>NOT_MODELED</x:v>
      </x:c>
    </x:row>
    <x:row r="16" ht="85" customHeight="1">
      <x:c r="A16" s="10" t="str">
        <x:v>T-REL</x:v>
      </x:c>
      <x:c r="B16" s="10" t="str">
        <x:v>TEXT</x:v>
      </x:c>
      <x:c r="C16" s="10" t="str">
        <x:v>TEXT:SYN-F01-02</x:v>
      </x:c>
      <x:c r="D16" s="10" t="str">
        <x:v>TEXT:SYN-F01-02-U01</x:v>
      </x:c>
      <x:c r="E16" s="10" t="str">
        <x:v>T-F01</x:v>
      </x:c>
      <x:c r="F16" s="10" t="n">
        <x:v>1</x:v>
      </x:c>
      <x:c r="G16" s="11" t="n">
        <x:v>0</x:v>
      </x:c>
      <x:c r="H16" s="11" t="n">
        <x:v>1.180321</x:v>
      </x:c>
      <x:c r="I16" s="11" t="n">
        <x:f>H16-G16</x:f>
        <x:v>1.180321</x:v>
      </x:c>
      <x:c r="J16" s="10" t="str">
        <x:v>SYN-F01-02:D1@v1를 기준으로 참가업체 설명회용 운영 제안 발표자료를 4장 이내로 만들어줘. 주말 운영 인력 12명 이하, 전시 4주 기준이야. 외부 발송은 하지 마.</x:v>
      </x:c>
      <x:c r="K16" s="10" t="str">
        <x:v>SYN-F01-02:D1@v1의 구성을 기준으로 참가업체 설명회용 운영 제안 발표자료를 4장 이내로 작성하도록 준비하겠습니다.</x:v>
      </x:c>
      <x:c r="L16" s="11"/>
      <x:c r="M16" s="11"/>
      <x:c r="N16" s="10" t="str">
        <x:v>NOT_MODELED</x:v>
      </x:c>
    </x:row>
    <x:row r="17" ht="85" customHeight="1">
      <x:c r="A17" s="10" t="str">
        <x:v>T-REL</x:v>
      </x:c>
      <x:c r="B17" s="10" t="str">
        <x:v>TEXT</x:v>
      </x:c>
      <x:c r="C17" s="10" t="str">
        <x:v>TEXT:SYN-F01-02</x:v>
      </x:c>
      <x:c r="D17" s="10" t="str">
        <x:v>TEXT:SYN-F01-02-U02</x:v>
      </x:c>
      <x:c r="E17" s="10" t="str">
        <x:v>T-F01</x:v>
      </x:c>
      <x:c r="F17" s="10" t="n">
        <x:v>2</x:v>
      </x:c>
      <x:c r="G17" s="11" t="n">
        <x:v>14.289857</x:v>
      </x:c>
      <x:c r="H17" s="11" t="n">
        <x:v>15.489428</x:v>
      </x:c>
      <x:c r="I17" s="11" t="n">
        <x:f>H17-G17</x:f>
        <x:v>1.1995710000000006</x:v>
      </x:c>
      <x:c r="J17" s="10" t="str">
        <x:v>방금 요청은 같은 자료로 2장 이내로 바꿔줘. 일회성 장식비는 제외하고 나머지 조건은 유지해.</x:v>
      </x:c>
      <x:c r="K17" s="10" t="str">
        <x:v>SYN-F01-02:D1@v1 기준의 기존 요청을 2장 이내와 일회성 장식비 제외 조건으로 수정하겠습니다.</x:v>
      </x:c>
      <x:c r="L17" s="11"/>
      <x:c r="M17" s="11"/>
      <x:c r="N17" s="10" t="str">
        <x:v>NOT_MODELED</x:v>
      </x:c>
    </x:row>
    <x:row r="18" ht="85" customHeight="1">
      <x:c r="A18" s="10" t="str">
        <x:v>T-BASE</x:v>
      </x:c>
      <x:c r="B18" s="10" t="str">
        <x:v>TEXT</x:v>
      </x:c>
      <x:c r="C18" s="10" t="str">
        <x:v>TEXT:SYN-F01-03</x:v>
      </x:c>
      <x:c r="D18" s="10" t="str">
        <x:v>TEXT:SYN-F01-03-U01</x:v>
      </x:c>
      <x:c r="E18" s="10" t="str">
        <x:v>T-F01</x:v>
      </x:c>
      <x:c r="F18" s="10" t="n">
        <x:v>1</x:v>
      </x:c>
      <x:c r="G18" s="11" t="n">
        <x:v>0</x:v>
      </x:c>
      <x:c r="H18" s="11" t="n">
        <x:v>1.193143</x:v>
      </x:c>
      <x:c r="I18" s="11" t="n">
        <x:f>H18-G18</x:f>
        <x:v>1.193143</x:v>
      </x:c>
      <x:c r="J18" s="10" t="str">
        <x:v>SYN-F01-03:D3@v1를 기준으로 교육 승인위원회용 교육 개편 발표자료를 6장 이내로 만들어줘. 참가자당 교육시간 18시간 이하, 입사 후 3주 기준이야. 외부 발송은 하지 마.</x:v>
      </x:c>
      <x:c r="K18" s="10" t="str">
        <x:v>SYN-F01-03:D3@v1의 구성을 기준으로 교육 승인위원회용 교육 개편 발표자료를 6장 이내로 작성하도록 준비하겠습니다.</x:v>
      </x:c>
      <x:c r="L18" s="11"/>
      <x:c r="M18" s="11"/>
      <x:c r="N18" s="10" t="str">
        <x:v>NOT_MODELED</x:v>
      </x:c>
    </x:row>
    <x:row r="19" ht="85" customHeight="1">
      <x:c r="A19" s="10" t="str">
        <x:v>T-BASE</x:v>
      </x:c>
      <x:c r="B19" s="10" t="str">
        <x:v>TEXT</x:v>
      </x:c>
      <x:c r="C19" s="10" t="str">
        <x:v>TEXT:SYN-F01-03</x:v>
      </x:c>
      <x:c r="D19" s="10" t="str">
        <x:v>TEXT:SYN-F01-03-U02</x:v>
      </x:c>
      <x:c r="E19" s="10" t="str">
        <x:v>T-F01</x:v>
      </x:c>
      <x:c r="F19" s="10" t="n">
        <x:v>2</x:v>
      </x:c>
      <x:c r="G19" s="11" t="n">
        <x:v>14.375857</x:v>
      </x:c>
      <x:c r="H19" s="11" t="n">
        <x:v>15.58825</x:v>
      </x:c>
      <x:c r="I19" s="11" t="n">
        <x:f>H19-G19</x:f>
        <x:v>1.2123930000000005</x:v>
      </x:c>
      <x:c r="J19" s="10" t="str">
        <x:v>방금 요청은 같은 자료로 4장 이내로 바꿔줘. 숙박비는 제외하고 나머지 조건은 유지해.</x:v>
      </x:c>
      <x:c r="K19" s="10" t="str">
        <x:v>SYN-F01-03:D3@v1 기준의 기존 요청을 4장 이내와 숙박비 제외 조건으로 수정하겠습니다.</x:v>
      </x:c>
      <x:c r="L19" s="11"/>
      <x:c r="M19" s="11"/>
      <x:c r="N19" s="10" t="str">
        <x:v>NOT_MODELED</x:v>
      </x:c>
    </x:row>
    <x:row r="20" ht="85" customHeight="1">
      <x:c r="A20" s="10" t="str">
        <x:v>T-EXEC</x:v>
      </x:c>
      <x:c r="B20" s="10" t="str">
        <x:v>TEXT</x:v>
      </x:c>
      <x:c r="C20" s="10" t="str">
        <x:v>TEXT:SYN-F01-03</x:v>
      </x:c>
      <x:c r="D20" s="10" t="str">
        <x:v>TEXT:SYN-F01-03-U01</x:v>
      </x:c>
      <x:c r="E20" s="10" t="str">
        <x:v>T-F01</x:v>
      </x:c>
      <x:c r="F20" s="10" t="n">
        <x:v>1</x:v>
      </x:c>
      <x:c r="G20" s="11" t="n">
        <x:v>0</x:v>
      </x:c>
      <x:c r="H20" s="11" t="n">
        <x:v>1.193143</x:v>
      </x:c>
      <x:c r="I20" s="11" t="n">
        <x:f>H20-G20</x:f>
        <x:v>1.193143</x:v>
      </x:c>
      <x:c r="J20" s="10" t="str">
        <x:v>SYN-F01-03:D3@v1를 기준으로 교육 승인위원회용 교육 개편 발표자료를 6장 이내로 만들어줘. 참가자당 교육시간 18시간 이하, 입사 후 3주 기준이야. 외부 발송은 하지 마.</x:v>
      </x:c>
      <x:c r="K20" s="10" t="str">
        <x:v>SYN-F01-03:D3@v1의 구성을 기준으로 교육 승인위원회용 교육 개편 발표자료를 6장 이내로 작성하도록 준비하겠습니다.</x:v>
      </x:c>
      <x:c r="L20" s="11"/>
      <x:c r="M20" s="11"/>
      <x:c r="N20" s="10" t="str">
        <x:v>NOT_MODELED</x:v>
      </x:c>
    </x:row>
    <x:row r="21" ht="85" customHeight="1">
      <x:c r="A21" s="10" t="str">
        <x:v>T-EXEC</x:v>
      </x:c>
      <x:c r="B21" s="10" t="str">
        <x:v>TEXT</x:v>
      </x:c>
      <x:c r="C21" s="10" t="str">
        <x:v>TEXT:SYN-F01-03</x:v>
      </x:c>
      <x:c r="D21" s="10" t="str">
        <x:v>TEXT:SYN-F01-03-U02</x:v>
      </x:c>
      <x:c r="E21" s="10" t="str">
        <x:v>T-F01</x:v>
      </x:c>
      <x:c r="F21" s="10" t="n">
        <x:v>2</x:v>
      </x:c>
      <x:c r="G21" s="11" t="n">
        <x:v>14.375857</x:v>
      </x:c>
      <x:c r="H21" s="11" t="n">
        <x:v>16.062607</x:v>
      </x:c>
      <x:c r="I21" s="11" t="n">
        <x:f>H21-G21</x:f>
        <x:v>1.68675</x:v>
      </x:c>
      <x:c r="J21" s="10" t="str">
        <x:v>방금 요청은 같은 자료로 4장 이내로 바꿔줘. 숙박비는 제외하고 나머지 조건은 유지해.</x:v>
      </x:c>
      <x:c r="K21" s="10" t="str">
        <x:v>SYN-F01-03:D3@v1 기준의 기존 요청을 4장 이내와 숙박비 제외 조건으로 수정하겠습니다.</x:v>
      </x:c>
      <x:c r="L21" s="11"/>
      <x:c r="M21" s="11"/>
      <x:c r="N21" s="10" t="str">
        <x:v>NOT_MODELED</x:v>
      </x:c>
    </x:row>
    <x:row r="22" ht="85" customHeight="1">
      <x:c r="A22" s="10" t="str">
        <x:v>T-REL</x:v>
      </x:c>
      <x:c r="B22" s="10" t="str">
        <x:v>TEXT</x:v>
      </x:c>
      <x:c r="C22" s="10" t="str">
        <x:v>TEXT:SYN-F01-03</x:v>
      </x:c>
      <x:c r="D22" s="10" t="str">
        <x:v>TEXT:SYN-F01-03-U01</x:v>
      </x:c>
      <x:c r="E22" s="10" t="str">
        <x:v>T-F01</x:v>
      </x:c>
      <x:c r="F22" s="10" t="n">
        <x:v>1</x:v>
      </x:c>
      <x:c r="G22" s="11" t="n">
        <x:v>0</x:v>
      </x:c>
      <x:c r="H22" s="11" t="n">
        <x:v>1.193143</x:v>
      </x:c>
      <x:c r="I22" s="11" t="n">
        <x:f>H22-G22</x:f>
        <x:v>1.193143</x:v>
      </x:c>
      <x:c r="J22" s="10" t="str">
        <x:v>SYN-F01-03:D3@v1를 기준으로 교육 승인위원회용 교육 개편 발표자료를 6장 이내로 만들어줘. 참가자당 교육시간 18시간 이하, 입사 후 3주 기준이야. 외부 발송은 하지 마.</x:v>
      </x:c>
      <x:c r="K22" s="10" t="str">
        <x:v>SYN-F01-03:D3@v1의 구성을 기준으로 교육 승인위원회용 교육 개편 발표자료를 6장 이내로 작성하도록 준비하겠습니다.</x:v>
      </x:c>
      <x:c r="L22" s="11"/>
      <x:c r="M22" s="11"/>
      <x:c r="N22" s="10" t="str">
        <x:v>NOT_MODELED</x:v>
      </x:c>
    </x:row>
    <x:row r="23" ht="85" customHeight="1">
      <x:c r="A23" s="10" t="str">
        <x:v>T-REL</x:v>
      </x:c>
      <x:c r="B23" s="10" t="str">
        <x:v>TEXT</x:v>
      </x:c>
      <x:c r="C23" s="10" t="str">
        <x:v>TEXT:SYN-F01-03</x:v>
      </x:c>
      <x:c r="D23" s="10" t="str">
        <x:v>TEXT:SYN-F01-03-U02</x:v>
      </x:c>
      <x:c r="E23" s="10" t="str">
        <x:v>T-F01</x:v>
      </x:c>
      <x:c r="F23" s="10" t="n">
        <x:v>2</x:v>
      </x:c>
      <x:c r="G23" s="11" t="n">
        <x:v>14.375857</x:v>
      </x:c>
      <x:c r="H23" s="11" t="n">
        <x:v>15.58825</x:v>
      </x:c>
      <x:c r="I23" s="11" t="n">
        <x:f>H23-G23</x:f>
        <x:v>1.2123930000000005</x:v>
      </x:c>
      <x:c r="J23" s="10" t="str">
        <x:v>방금 요청은 같은 자료로 4장 이내로 바꿔줘. 숙박비는 제외하고 나머지 조건은 유지해.</x:v>
      </x:c>
      <x:c r="K23" s="10" t="str">
        <x:v>SYN-F01-03:D3@v1 기준의 기존 요청을 4장 이내와 숙박비 제외 조건으로 수정하겠습니다.</x:v>
      </x:c>
      <x:c r="L23" s="11"/>
      <x:c r="M23" s="11"/>
      <x:c r="N23" s="10" t="str">
        <x:v>NOT_MODELED</x:v>
      </x:c>
    </x:row>
    <x:row r="24" ht="85" customHeight="1">
      <x:c r="A24" s="10" t="str">
        <x:v>T-BASE</x:v>
      </x:c>
      <x:c r="B24" s="10" t="str">
        <x:v>TEXT</x:v>
      </x:c>
      <x:c r="C24" s="10" t="str">
        <x:v>TEXT:SYN-F01-04</x:v>
      </x:c>
      <x:c r="D24" s="10" t="str">
        <x:v>TEXT:SYN-F01-04-U01</x:v>
      </x:c>
      <x:c r="E24" s="10" t="str">
        <x:v>T-F01</x:v>
      </x:c>
      <x:c r="F24" s="10" t="n">
        <x:v>1</x:v>
      </x:c>
      <x:c r="G24" s="11" t="n">
        <x:v>0</x:v>
      </x:c>
      <x:c r="H24" s="11" t="n">
        <x:v>1.205964</x:v>
      </x:c>
      <x:c r="I24" s="11" t="n">
        <x:f>H24-G24</x:f>
        <x:v>1.205964</x:v>
      </x:c>
      <x:c r="J24" s="10" t="str">
        <x:v>SYN-F01-04:D2@v1를 기준으로 협력사 운영설명회용 거점 개선 발표자료를 7장 이내로 만들어줘. 일일 추가 운행 8회 이하, 평일 20일 기준이야. 외부 발송은 하지 마.</x:v>
      </x:c>
      <x:c r="K24" s="10" t="str">
        <x:v>SYN-F01-04:D2@v1의 구성을 기준으로 협력사 운영설명회용 거점 개선 발표자료를 7장 이내로 작성하도록 준비하겠습니다.</x:v>
      </x:c>
      <x:c r="L24" s="11"/>
      <x:c r="M24" s="11"/>
      <x:c r="N24" s="10" t="str">
        <x:v>NOT_MODELED</x:v>
      </x:c>
    </x:row>
    <x:row r="25" ht="85" customHeight="1">
      <x:c r="A25" s="10" t="str">
        <x:v>T-BASE</x:v>
      </x:c>
      <x:c r="B25" s="10" t="str">
        <x:v>TEXT</x:v>
      </x:c>
      <x:c r="C25" s="10" t="str">
        <x:v>TEXT:SYN-F01-04</x:v>
      </x:c>
      <x:c r="D25" s="10" t="str">
        <x:v>TEXT:SYN-F01-04-U02</x:v>
      </x:c>
      <x:c r="E25" s="10" t="str">
        <x:v>T-F01</x:v>
      </x:c>
      <x:c r="F25" s="10" t="n">
        <x:v>2</x:v>
      </x:c>
      <x:c r="G25" s="11" t="n">
        <x:v>14.461857</x:v>
      </x:c>
      <x:c r="H25" s="11" t="n">
        <x:v>15.687071</x:v>
      </x:c>
      <x:c r="I25" s="11" t="n">
        <x:f>H25-G25</x:f>
        <x:v>1.2252139999999994</x:v>
      </x:c>
      <x:c r="J25" s="10" t="str">
        <x:v>방금 요청은 같은 자료로 3장 이내로 바꿔줘. 차량 구매비는 제외하고 나머지 조건은 유지해.</x:v>
      </x:c>
      <x:c r="K25" s="10" t="str">
        <x:v>SYN-F01-04:D2@v1 기준의 기존 요청을 3장 이내와 차량 구매비 제외 조건으로 수정하겠습니다.</x:v>
      </x:c>
      <x:c r="L25" s="11"/>
      <x:c r="M25" s="11"/>
      <x:c r="N25" s="10" t="str">
        <x:v>NOT_MODELED</x:v>
      </x:c>
    </x:row>
    <x:row r="26" ht="85" customHeight="1">
      <x:c r="A26" s="10" t="str">
        <x:v>T-EXEC</x:v>
      </x:c>
      <x:c r="B26" s="10" t="str">
        <x:v>TEXT</x:v>
      </x:c>
      <x:c r="C26" s="10" t="str">
        <x:v>TEXT:SYN-F01-04</x:v>
      </x:c>
      <x:c r="D26" s="10" t="str">
        <x:v>TEXT:SYN-F01-04-U01</x:v>
      </x:c>
      <x:c r="E26" s="10" t="str">
        <x:v>T-F01</x:v>
      </x:c>
      <x:c r="F26" s="10" t="n">
        <x:v>1</x:v>
      </x:c>
      <x:c r="G26" s="11" t="n">
        <x:v>0</x:v>
      </x:c>
      <x:c r="H26" s="11" t="n">
        <x:v>1.205964</x:v>
      </x:c>
      <x:c r="I26" s="11" t="n">
        <x:f>H26-G26</x:f>
        <x:v>1.205964</x:v>
      </x:c>
      <x:c r="J26" s="10" t="str">
        <x:v>SYN-F01-04:D2@v1를 기준으로 협력사 운영설명회용 거점 개선 발표자료를 7장 이내로 만들어줘. 일일 추가 운행 8회 이하, 평일 20일 기준이야. 외부 발송은 하지 마.</x:v>
      </x:c>
      <x:c r="K26" s="10" t="str">
        <x:v>SYN-F01-04:D2@v1의 구성을 기준으로 협력사 운영설명회용 거점 개선 발표자료를 7장 이내로 작성하도록 준비하겠습니다.</x:v>
      </x:c>
      <x:c r="L26" s="11"/>
      <x:c r="M26" s="11"/>
      <x:c r="N26" s="10" t="str">
        <x:v>NOT_MODELED</x:v>
      </x:c>
    </x:row>
    <x:row r="27" ht="85" customHeight="1">
      <x:c r="A27" s="10" t="str">
        <x:v>T-EXEC</x:v>
      </x:c>
      <x:c r="B27" s="10" t="str">
        <x:v>TEXT</x:v>
      </x:c>
      <x:c r="C27" s="10" t="str">
        <x:v>TEXT:SYN-F01-04</x:v>
      </x:c>
      <x:c r="D27" s="10" t="str">
        <x:v>TEXT:SYN-F01-04-U02</x:v>
      </x:c>
      <x:c r="E27" s="10" t="str">
        <x:v>T-F01</x:v>
      </x:c>
      <x:c r="F27" s="10" t="n">
        <x:v>2</x:v>
      </x:c>
      <x:c r="G27" s="11" t="n">
        <x:v>14.461857</x:v>
      </x:c>
      <x:c r="H27" s="11" t="n">
        <x:v>16.152357</x:v>
      </x:c>
      <x:c r="I27" s="11" t="n">
        <x:f>H27-G27</x:f>
        <x:v>1.6904999999999983</x:v>
      </x:c>
      <x:c r="J27" s="10" t="str">
        <x:v>방금 요청은 같은 자료로 3장 이내로 바꿔줘. 차량 구매비는 제외하고 나머지 조건은 유지해.</x:v>
      </x:c>
      <x:c r="K27" s="10" t="str">
        <x:v>SYN-F01-04:D2@v1 기준의 기존 요청을 3장 이내와 차량 구매비 제외 조건으로 수정하겠습니다.</x:v>
      </x:c>
      <x:c r="L27" s="11"/>
      <x:c r="M27" s="11"/>
      <x:c r="N27" s="10" t="str">
        <x:v>NOT_MODELED</x:v>
      </x:c>
    </x:row>
    <x:row r="28" ht="85" customHeight="1">
      <x:c r="A28" s="10" t="str">
        <x:v>T-REL</x:v>
      </x:c>
      <x:c r="B28" s="10" t="str">
        <x:v>TEXT</x:v>
      </x:c>
      <x:c r="C28" s="10" t="str">
        <x:v>TEXT:SYN-F01-04</x:v>
      </x:c>
      <x:c r="D28" s="10" t="str">
        <x:v>TEXT:SYN-F01-04-U01</x:v>
      </x:c>
      <x:c r="E28" s="10" t="str">
        <x:v>T-F01</x:v>
      </x:c>
      <x:c r="F28" s="10" t="n">
        <x:v>1</x:v>
      </x:c>
      <x:c r="G28" s="11" t="n">
        <x:v>0</x:v>
      </x:c>
      <x:c r="H28" s="11" t="n">
        <x:v>1.205964</x:v>
      </x:c>
      <x:c r="I28" s="11" t="n">
        <x:f>H28-G28</x:f>
        <x:v>1.205964</x:v>
      </x:c>
      <x:c r="J28" s="10" t="str">
        <x:v>SYN-F01-04:D2@v1를 기준으로 협력사 운영설명회용 거점 개선 발표자료를 7장 이내로 만들어줘. 일일 추가 운행 8회 이하, 평일 20일 기준이야. 외부 발송은 하지 마.</x:v>
      </x:c>
      <x:c r="K28" s="10" t="str">
        <x:v>SYN-F01-04:D2@v1의 구성을 기준으로 협력사 운영설명회용 거점 개선 발표자료를 7장 이내로 작성하도록 준비하겠습니다.</x:v>
      </x:c>
      <x:c r="L28" s="11"/>
      <x:c r="M28" s="11"/>
      <x:c r="N28" s="10" t="str">
        <x:v>NOT_MODELED</x:v>
      </x:c>
    </x:row>
    <x:row r="29" ht="85" customHeight="1">
      <x:c r="A29" s="10" t="str">
        <x:v>T-REL</x:v>
      </x:c>
      <x:c r="B29" s="10" t="str">
        <x:v>TEXT</x:v>
      </x:c>
      <x:c r="C29" s="10" t="str">
        <x:v>TEXT:SYN-F01-04</x:v>
      </x:c>
      <x:c r="D29" s="10" t="str">
        <x:v>TEXT:SYN-F01-04-U02</x:v>
      </x:c>
      <x:c r="E29" s="10" t="str">
        <x:v>T-F01</x:v>
      </x:c>
      <x:c r="F29" s="10" t="n">
        <x:v>2</x:v>
      </x:c>
      <x:c r="G29" s="11" t="n">
        <x:v>14.461857</x:v>
      </x:c>
      <x:c r="H29" s="11" t="n">
        <x:v>15.687071</x:v>
      </x:c>
      <x:c r="I29" s="11" t="n">
        <x:f>H29-G29</x:f>
        <x:v>1.2252139999999994</x:v>
      </x:c>
      <x:c r="J29" s="10" t="str">
        <x:v>방금 요청은 같은 자료로 3장 이내로 바꿔줘. 차량 구매비는 제외하고 나머지 조건은 유지해.</x:v>
      </x:c>
      <x:c r="K29" s="10" t="str">
        <x:v>SYN-F01-04:D2@v1 기준의 기존 요청을 3장 이내와 차량 구매비 제외 조건으로 수정하겠습니다.</x:v>
      </x:c>
      <x:c r="L29" s="11"/>
      <x:c r="M29" s="11"/>
      <x:c r="N29" s="10" t="str">
        <x:v>NOT_MODELED</x:v>
      </x:c>
    </x:row>
    <x:row r="30" ht="85" customHeight="1">
      <x:c r="A30" s="10" t="str">
        <x:v>T-BASE</x:v>
      </x:c>
      <x:c r="B30" s="10" t="str">
        <x:v>TEXT</x:v>
      </x:c>
      <x:c r="C30" s="10" t="str">
        <x:v>TEXT:SYN-F01-05</x:v>
      </x:c>
      <x:c r="D30" s="10" t="str">
        <x:v>TEXT:SYN-F01-05-U01</x:v>
      </x:c>
      <x:c r="E30" s="10" t="str">
        <x:v>T-F01</x:v>
      </x:c>
      <x:c r="F30" s="10" t="n">
        <x:v>1</x:v>
      </x:c>
      <x:c r="G30" s="11" t="n">
        <x:v>0</x:v>
      </x:c>
      <x:c r="H30" s="11" t="n">
        <x:v>1.193786</x:v>
      </x:c>
      <x:c r="I30" s="11" t="n">
        <x:f>H30-G30</x:f>
        <x:v>1.193786</x:v>
      </x:c>
      <x:c r="J30" s="10" t="str">
        <x:v>SYN-F01-05:D1@v1를 기준으로 입주사 설명회용 조명 교체 검토자료를 5장 이내로 만들어줘. 층별 정전 30분 이하, 교체 후 6개월 기준이야. 외부 발송은 하지 마.</x:v>
      </x:c>
      <x:c r="K30" s="10" t="str">
        <x:v>SYN-F01-05:D1@v1의 구성을 기준으로 입주사 설명회용 조명 교체 검토자료를 5장 이내로 작성하도록 준비하겠습니다.</x:v>
      </x:c>
      <x:c r="L30" s="11"/>
      <x:c r="M30" s="11"/>
      <x:c r="N30" s="10" t="str">
        <x:v>NOT_MODELED</x:v>
      </x:c>
    </x:row>
    <x:row r="31" ht="85" customHeight="1">
      <x:c r="A31" s="10" t="str">
        <x:v>T-BASE</x:v>
      </x:c>
      <x:c r="B31" s="10" t="str">
        <x:v>TEXT</x:v>
      </x:c>
      <x:c r="C31" s="10" t="str">
        <x:v>TEXT:SYN-F01-05</x:v>
      </x:c>
      <x:c r="D31" s="10" t="str">
        <x:v>TEXT:SYN-F01-05-U02</x:v>
      </x:c>
      <x:c r="E31" s="10" t="str">
        <x:v>T-F01</x:v>
      </x:c>
      <x:c r="F31" s="10" t="n">
        <x:v>2</x:v>
      </x:c>
      <x:c r="G31" s="11" t="n">
        <x:v>14.497857</x:v>
      </x:c>
      <x:c r="H31" s="11" t="n">
        <x:v>15.710893</x:v>
      </x:c>
      <x:c r="I31" s="11" t="n">
        <x:f>H31-G31</x:f>
        <x:v>1.2130360000000007</x:v>
      </x:c>
      <x:c r="J31" s="10" t="str">
        <x:v>방금 요청은 같은 자료로 2장 이내로 바꿔줘. 철거비는 제외하고 나머지 조건은 유지해.</x:v>
      </x:c>
      <x:c r="K31" s="10" t="str">
        <x:v>SYN-F01-05:D1@v1 기준의 기존 요청을 2장 이내와 철거비 제외 조건으로 수정하겠습니다.</x:v>
      </x:c>
      <x:c r="L31" s="11"/>
      <x:c r="M31" s="11"/>
      <x:c r="N31" s="10" t="str">
        <x:v>NOT_MODELED</x:v>
      </x:c>
    </x:row>
    <x:row r="32" ht="85" customHeight="1">
      <x:c r="A32" s="10" t="str">
        <x:v>T-EXEC</x:v>
      </x:c>
      <x:c r="B32" s="10" t="str">
        <x:v>TEXT</x:v>
      </x:c>
      <x:c r="C32" s="10" t="str">
        <x:v>TEXT:SYN-F01-05</x:v>
      </x:c>
      <x:c r="D32" s="10" t="str">
        <x:v>TEXT:SYN-F01-05-U01</x:v>
      </x:c>
      <x:c r="E32" s="10" t="str">
        <x:v>T-F01</x:v>
      </x:c>
      <x:c r="F32" s="10" t="n">
        <x:v>1</x:v>
      </x:c>
      <x:c r="G32" s="11" t="n">
        <x:v>0</x:v>
      </x:c>
      <x:c r="H32" s="11" t="n">
        <x:v>1.193786</x:v>
      </x:c>
      <x:c r="I32" s="11" t="n">
        <x:f>H32-G32</x:f>
        <x:v>1.193786</x:v>
      </x:c>
      <x:c r="J32" s="10" t="str">
        <x:v>SYN-F01-05:D1@v1를 기준으로 입주사 설명회용 조명 교체 검토자료를 5장 이내로 만들어줘. 층별 정전 30분 이하, 교체 후 6개월 기준이야. 외부 발송은 하지 마.</x:v>
      </x:c>
      <x:c r="K32" s="10" t="str">
        <x:v>SYN-F01-05:D1@v1의 구성을 기준으로 입주사 설명회용 조명 교체 검토자료를 5장 이내로 작성하도록 준비하겠습니다.</x:v>
      </x:c>
      <x:c r="L32" s="11"/>
      <x:c r="M32" s="11"/>
      <x:c r="N32" s="10" t="str">
        <x:v>NOT_MODELED</x:v>
      </x:c>
    </x:row>
    <x:row r="33" ht="85" customHeight="1">
      <x:c r="A33" s="10" t="str">
        <x:v>T-EXEC</x:v>
      </x:c>
      <x:c r="B33" s="10" t="str">
        <x:v>TEXT</x:v>
      </x:c>
      <x:c r="C33" s="10" t="str">
        <x:v>TEXT:SYN-F01-05</x:v>
      </x:c>
      <x:c r="D33" s="10" t="str">
        <x:v>TEXT:SYN-F01-05-U02</x:v>
      </x:c>
      <x:c r="E33" s="10" t="str">
        <x:v>T-F01</x:v>
      </x:c>
      <x:c r="F33" s="10" t="n">
        <x:v>2</x:v>
      </x:c>
      <x:c r="G33" s="11" t="n">
        <x:v>14.497857</x:v>
      </x:c>
      <x:c r="H33" s="11" t="n">
        <x:v>16.185857</x:v>
      </x:c>
      <x:c r="I33" s="11" t="n">
        <x:f>H33-G33</x:f>
        <x:v>1.6879999999999988</x:v>
      </x:c>
      <x:c r="J33" s="10" t="str">
        <x:v>방금 요청은 같은 자료로 2장 이내로 바꿔줘. 철거비는 제외하고 나머지 조건은 유지해.</x:v>
      </x:c>
      <x:c r="K33" s="10" t="str">
        <x:v>SYN-F01-05:D1@v1 기준의 기존 요청을 2장 이내와 철거비 제외 조건으로 수정하겠습니다.</x:v>
      </x:c>
      <x:c r="L33" s="11"/>
      <x:c r="M33" s="11"/>
      <x:c r="N33" s="10" t="str">
        <x:v>NOT_MODELED</x:v>
      </x:c>
    </x:row>
    <x:row r="34" ht="85" customHeight="1">
      <x:c r="A34" s="10" t="str">
        <x:v>T-REL</x:v>
      </x:c>
      <x:c r="B34" s="10" t="str">
        <x:v>TEXT</x:v>
      </x:c>
      <x:c r="C34" s="10" t="str">
        <x:v>TEXT:SYN-F01-05</x:v>
      </x:c>
      <x:c r="D34" s="10" t="str">
        <x:v>TEXT:SYN-F01-05-U01</x:v>
      </x:c>
      <x:c r="E34" s="10" t="str">
        <x:v>T-F01</x:v>
      </x:c>
      <x:c r="F34" s="10" t="n">
        <x:v>1</x:v>
      </x:c>
      <x:c r="G34" s="11" t="n">
        <x:v>0</x:v>
      </x:c>
      <x:c r="H34" s="11" t="n">
        <x:v>1.193786</x:v>
      </x:c>
      <x:c r="I34" s="11" t="n">
        <x:f>H34-G34</x:f>
        <x:v>1.193786</x:v>
      </x:c>
      <x:c r="J34" s="10" t="str">
        <x:v>SYN-F01-05:D1@v1를 기준으로 입주사 설명회용 조명 교체 검토자료를 5장 이내로 만들어줘. 층별 정전 30분 이하, 교체 후 6개월 기준이야. 외부 발송은 하지 마.</x:v>
      </x:c>
      <x:c r="K34" s="10" t="str">
        <x:v>SYN-F01-05:D1@v1의 구성을 기준으로 입주사 설명회용 조명 교체 검토자료를 5장 이내로 작성하도록 준비하겠습니다.</x:v>
      </x:c>
      <x:c r="L34" s="11"/>
      <x:c r="M34" s="11"/>
      <x:c r="N34" s="10" t="str">
        <x:v>NOT_MODELED</x:v>
      </x:c>
    </x:row>
    <x:row r="35" ht="85" customHeight="1">
      <x:c r="A35" s="10" t="str">
        <x:v>T-REL</x:v>
      </x:c>
      <x:c r="B35" s="10" t="str">
        <x:v>TEXT</x:v>
      </x:c>
      <x:c r="C35" s="10" t="str">
        <x:v>TEXT:SYN-F01-05</x:v>
      </x:c>
      <x:c r="D35" s="10" t="str">
        <x:v>TEXT:SYN-F01-05-U02</x:v>
      </x:c>
      <x:c r="E35" s="10" t="str">
        <x:v>T-F01</x:v>
      </x:c>
      <x:c r="F35" s="10" t="n">
        <x:v>2</x:v>
      </x:c>
      <x:c r="G35" s="11" t="n">
        <x:v>14.497857</x:v>
      </x:c>
      <x:c r="H35" s="11" t="n">
        <x:v>15.710893</x:v>
      </x:c>
      <x:c r="I35" s="11" t="n">
        <x:f>H35-G35</x:f>
        <x:v>1.2130360000000007</x:v>
      </x:c>
      <x:c r="J35" s="10" t="str">
        <x:v>방금 요청은 같은 자료로 2장 이내로 바꿔줘. 철거비는 제외하고 나머지 조건은 유지해.</x:v>
      </x:c>
      <x:c r="K35" s="10" t="str">
        <x:v>SYN-F01-05:D1@v1 기준의 기존 요청을 2장 이내와 철거비 제외 조건으로 수정하겠습니다.</x:v>
      </x:c>
      <x:c r="L35" s="11"/>
      <x:c r="M35" s="11"/>
      <x:c r="N35" s="10" t="str">
        <x:v>NOT_MODELED</x:v>
      </x:c>
    </x:row>
    <x:row r="36" ht="85" customHeight="1">
      <x:c r="A36" s="10" t="str">
        <x:v>T-BASE</x:v>
      </x:c>
      <x:c r="B36" s="10" t="str">
        <x:v>TEXT</x:v>
      </x:c>
      <x:c r="C36" s="10" t="str">
        <x:v>TEXT:SYN-F01-06</x:v>
      </x:c>
      <x:c r="D36" s="10" t="str">
        <x:v>TEXT:SYN-F01-06-U01</x:v>
      </x:c>
      <x:c r="E36" s="10" t="str">
        <x:v>T-F01</x:v>
      </x:c>
      <x:c r="F36" s="10" t="n">
        <x:v>1</x:v>
      </x:c>
      <x:c r="G36" s="11" t="n">
        <x:v>0</x:v>
      </x:c>
      <x:c r="H36" s="11" t="n">
        <x:v>1.206607</x:v>
      </x:c>
      <x:c r="I36" s="11" t="n">
        <x:f>H36-G36</x:f>
        <x:v>1.206607</x:v>
      </x:c>
      <x:c r="J36" s="10" t="str">
        <x:v>SYN-F01-06:D3@v1를 기준으로 참여기업 안내회용 행사 운영 발표자료를 8장 이내로 만들어줘. 현장 대기 20분 이하, 행사 2일 기준이야. 외부 발송은 하지 마.</x:v>
      </x:c>
      <x:c r="K36" s="10" t="str">
        <x:v>SYN-F01-06:D3@v1의 구성을 기준으로 참여기업 안내회용 행사 운영 발표자료를 8장 이내로 작성하도록 준비하겠습니다.</x:v>
      </x:c>
      <x:c r="L36" s="11"/>
      <x:c r="M36" s="11"/>
      <x:c r="N36" s="10" t="str">
        <x:v>NOT_MODELED</x:v>
      </x:c>
    </x:row>
    <x:row r="37" ht="85" customHeight="1">
      <x:c r="A37" s="10" t="str">
        <x:v>T-BASE</x:v>
      </x:c>
      <x:c r="B37" s="10" t="str">
        <x:v>TEXT</x:v>
      </x:c>
      <x:c r="C37" s="10" t="str">
        <x:v>TEXT:SYN-F01-06</x:v>
      </x:c>
      <x:c r="D37" s="10" t="str">
        <x:v>TEXT:SYN-F01-06-U02</x:v>
      </x:c>
      <x:c r="E37" s="10" t="str">
        <x:v>T-F01</x:v>
      </x:c>
      <x:c r="F37" s="10" t="n">
        <x:v>2</x:v>
      </x:c>
      <x:c r="G37" s="11" t="n">
        <x:v>14.501357</x:v>
      </x:c>
      <x:c r="H37" s="11" t="n">
        <x:v>15.727214</x:v>
      </x:c>
      <x:c r="I37" s="11" t="n">
        <x:f>H37-G37</x:f>
        <x:v>1.2258569999999995</x:v>
      </x:c>
      <x:c r="J37" s="10" t="str">
        <x:v>방금 요청은 같은 자료로 4장 이내로 바꿔줘. 홍보물 인쇄비는 제외하고 나머지 조건은 유지해.</x:v>
      </x:c>
      <x:c r="K37" s="10" t="str">
        <x:v>SYN-F01-06:D3@v1 기준의 기존 요청을 4장 이내와 홍보물 인쇄비 제외 조건으로 수정하겠습니다.</x:v>
      </x:c>
      <x:c r="L37" s="11"/>
      <x:c r="M37" s="11"/>
      <x:c r="N37" s="10" t="str">
        <x:v>NOT_MODELED</x:v>
      </x:c>
    </x:row>
    <x:row r="38" ht="85" customHeight="1">
      <x:c r="A38" s="10" t="str">
        <x:v>T-EXEC</x:v>
      </x:c>
      <x:c r="B38" s="10" t="str">
        <x:v>TEXT</x:v>
      </x:c>
      <x:c r="C38" s="10" t="str">
        <x:v>TEXT:SYN-F01-06</x:v>
      </x:c>
      <x:c r="D38" s="10" t="str">
        <x:v>TEXT:SYN-F01-06-U01</x:v>
      </x:c>
      <x:c r="E38" s="10" t="str">
        <x:v>T-F01</x:v>
      </x:c>
      <x:c r="F38" s="10" t="n">
        <x:v>1</x:v>
      </x:c>
      <x:c r="G38" s="11" t="n">
        <x:v>0</x:v>
      </x:c>
      <x:c r="H38" s="11" t="n">
        <x:v>1.206607</x:v>
      </x:c>
      <x:c r="I38" s="11" t="n">
        <x:f>H38-G38</x:f>
        <x:v>1.206607</x:v>
      </x:c>
      <x:c r="J38" s="10" t="str">
        <x:v>SYN-F01-06:D3@v1를 기준으로 참여기업 안내회용 행사 운영 발표자료를 8장 이내로 만들어줘. 현장 대기 20분 이하, 행사 2일 기준이야. 외부 발송은 하지 마.</x:v>
      </x:c>
      <x:c r="K38" s="10" t="str">
        <x:v>SYN-F01-06:D3@v1의 구성을 기준으로 참여기업 안내회용 행사 운영 발표자료를 8장 이내로 작성하도록 준비하겠습니다.</x:v>
      </x:c>
      <x:c r="L38" s="11"/>
      <x:c r="M38" s="11"/>
      <x:c r="N38" s="10" t="str">
        <x:v>NOT_MODELED</x:v>
      </x:c>
    </x:row>
    <x:row r="39" ht="85" customHeight="1">
      <x:c r="A39" s="10" t="str">
        <x:v>T-EXEC</x:v>
      </x:c>
      <x:c r="B39" s="10" t="str">
        <x:v>TEXT</x:v>
      </x:c>
      <x:c r="C39" s="10" t="str">
        <x:v>TEXT:SYN-F01-06</x:v>
      </x:c>
      <x:c r="D39" s="10" t="str">
        <x:v>TEXT:SYN-F01-06-U02</x:v>
      </x:c>
      <x:c r="E39" s="10" t="str">
        <x:v>T-F01</x:v>
      </x:c>
      <x:c r="F39" s="10" t="n">
        <x:v>2</x:v>
      </x:c>
      <x:c r="G39" s="11" t="n">
        <x:v>14.501357</x:v>
      </x:c>
      <x:c r="H39" s="11" t="n">
        <x:v>16.211857</x:v>
      </x:c>
      <x:c r="I39" s="11" t="n">
        <x:f>H39-G39</x:f>
        <x:v>1.710499999999998</x:v>
      </x:c>
      <x:c r="J39" s="10" t="str">
        <x:v>방금 요청은 같은 자료로 4장 이내로 바꿔줘. 홍보물 인쇄비는 제외하고 나머지 조건은 유지해.</x:v>
      </x:c>
      <x:c r="K39" s="10" t="str">
        <x:v>SYN-F01-06:D3@v1 기준의 기존 요청을 4장 이내와 홍보물 인쇄비 제외 조건으로 수정하겠습니다.</x:v>
      </x:c>
      <x:c r="L39" s="11"/>
      <x:c r="M39" s="11"/>
      <x:c r="N39" s="10" t="str">
        <x:v>NOT_MODELED</x:v>
      </x:c>
    </x:row>
    <x:row r="40" ht="85" customHeight="1">
      <x:c r="A40" s="10" t="str">
        <x:v>T-REL</x:v>
      </x:c>
      <x:c r="B40" s="10" t="str">
        <x:v>TEXT</x:v>
      </x:c>
      <x:c r="C40" s="10" t="str">
        <x:v>TEXT:SYN-F01-06</x:v>
      </x:c>
      <x:c r="D40" s="10" t="str">
        <x:v>TEXT:SYN-F01-06-U01</x:v>
      </x:c>
      <x:c r="E40" s="10" t="str">
        <x:v>T-F01</x:v>
      </x:c>
      <x:c r="F40" s="10" t="n">
        <x:v>1</x:v>
      </x:c>
      <x:c r="G40" s="11" t="n">
        <x:v>0</x:v>
      </x:c>
      <x:c r="H40" s="11" t="n">
        <x:v>1.206607</x:v>
      </x:c>
      <x:c r="I40" s="11" t="n">
        <x:f>H40-G40</x:f>
        <x:v>1.206607</x:v>
      </x:c>
      <x:c r="J40" s="10" t="str">
        <x:v>SYN-F01-06:D3@v1를 기준으로 참여기업 안내회용 행사 운영 발표자료를 8장 이내로 만들어줘. 현장 대기 20분 이하, 행사 2일 기준이야. 외부 발송은 하지 마.</x:v>
      </x:c>
      <x:c r="K40" s="10" t="str">
        <x:v>SYN-F01-06:D3@v1의 구성을 기준으로 참여기업 안내회용 행사 운영 발표자료를 8장 이내로 작성하도록 준비하겠습니다.</x:v>
      </x:c>
      <x:c r="L40" s="11"/>
      <x:c r="M40" s="11"/>
      <x:c r="N40" s="10" t="str">
        <x:v>NOT_MODELED</x:v>
      </x:c>
    </x:row>
    <x:row r="41" ht="85" customHeight="1">
      <x:c r="A41" s="10" t="str">
        <x:v>T-REL</x:v>
      </x:c>
      <x:c r="B41" s="10" t="str">
        <x:v>TEXT</x:v>
      </x:c>
      <x:c r="C41" s="10" t="str">
        <x:v>TEXT:SYN-F01-06</x:v>
      </x:c>
      <x:c r="D41" s="10" t="str">
        <x:v>TEXT:SYN-F01-06-U02</x:v>
      </x:c>
      <x:c r="E41" s="10" t="str">
        <x:v>T-F01</x:v>
      </x:c>
      <x:c r="F41" s="10" t="n">
        <x:v>2</x:v>
      </x:c>
      <x:c r="G41" s="11" t="n">
        <x:v>14.501357</x:v>
      </x:c>
      <x:c r="H41" s="11" t="n">
        <x:v>15.727214</x:v>
      </x:c>
      <x:c r="I41" s="11" t="n">
        <x:f>H41-G41</x:f>
        <x:v>1.2258569999999995</x:v>
      </x:c>
      <x:c r="J41" s="10" t="str">
        <x:v>방금 요청은 같은 자료로 4장 이내로 바꿔줘. 홍보물 인쇄비는 제외하고 나머지 조건은 유지해.</x:v>
      </x:c>
      <x:c r="K41" s="10" t="str">
        <x:v>SYN-F01-06:D3@v1 기준의 기존 요청을 4장 이내와 홍보물 인쇄비 제외 조건으로 수정하겠습니다.</x:v>
      </x:c>
      <x:c r="L41" s="11"/>
      <x:c r="M41" s="11"/>
      <x:c r="N41" s="10" t="str">
        <x:v>NOT_MODELED</x:v>
      </x:c>
    </x:row>
    <x:row r="42" ht="85" customHeight="1">
      <x:c r="A42" s="10" t="str">
        <x:v>T-BASE</x:v>
      </x:c>
      <x:c r="B42" s="10" t="str">
        <x:v>TEXT</x:v>
      </x:c>
      <x:c r="C42" s="10" t="str">
        <x:v>TEXT:SYN-F01-07</x:v>
      </x:c>
      <x:c r="D42" s="10" t="str">
        <x:v>TEXT:SYN-F01-07-U01</x:v>
      </x:c>
      <x:c r="E42" s="10" t="str">
        <x:v>T-F01</x:v>
      </x:c>
      <x:c r="F42" s="10" t="n">
        <x:v>1</x:v>
      </x:c>
      <x:c r="G42" s="11" t="n">
        <x:v>0</x:v>
      </x:c>
      <x:c r="H42" s="11" t="n">
        <x:v>1.219429</x:v>
      </x:c>
      <x:c r="I42" s="11" t="n">
        <x:f>H42-G42</x:f>
        <x:v>1.219429</x:v>
      </x:c>
      <x:c r="J42" s="10" t="str">
        <x:v>SYN-F01-07:D2@v1를 기준으로 납품처 품질설명회용 검사 개선 발표자료를 6장 이내로 만들어줘. 샘플 검사 45분 이하, 다음 8주 기준이야. 외부 발송은 하지 마.</x:v>
      </x:c>
      <x:c r="K42" s="10" t="str">
        <x:v>SYN-F01-07:D2@v1의 구성을 기준으로 납품처 품질설명회용 검사 개선 발표자료를 6장 이내로 작성하도록 준비하겠습니다.</x:v>
      </x:c>
      <x:c r="L42" s="11"/>
      <x:c r="M42" s="11"/>
      <x:c r="N42" s="10" t="str">
        <x:v>NOT_MODELED</x:v>
      </x:c>
    </x:row>
    <x:row r="43" ht="85" customHeight="1">
      <x:c r="A43" s="10" t="str">
        <x:v>T-BASE</x:v>
      </x:c>
      <x:c r="B43" s="10" t="str">
        <x:v>TEXT</x:v>
      </x:c>
      <x:c r="C43" s="10" t="str">
        <x:v>TEXT:SYN-F01-07</x:v>
      </x:c>
      <x:c r="D43" s="10" t="str">
        <x:v>TEXT:SYN-F01-07-U02</x:v>
      </x:c>
      <x:c r="E43" s="10" t="str">
        <x:v>T-F01</x:v>
      </x:c>
      <x:c r="F43" s="10" t="n">
        <x:v>2</x:v>
      </x:c>
      <x:c r="G43" s="11" t="n">
        <x:v>14.587358</x:v>
      </x:c>
      <x:c r="H43" s="11" t="n">
        <x:v>15.826037</x:v>
      </x:c>
      <x:c r="I43" s="11" t="n">
        <x:f>H43-G43</x:f>
        <x:v>1.2386789999999994</x:v>
      </x:c>
      <x:c r="J43" s="10" t="str">
        <x:v>방금 요청은 같은 자료로 3장 이내로 바꿔줘. 검사장비 구입비는 제외하고 나머지 조건은 유지해.</x:v>
      </x:c>
      <x:c r="K43" s="10" t="str">
        <x:v>SYN-F01-07:D2@v1 기준의 기존 요청을 3장 이내와 검사장비 구입비 제외 조건으로 수정하겠습니다.</x:v>
      </x:c>
      <x:c r="L43" s="11"/>
      <x:c r="M43" s="11"/>
      <x:c r="N43" s="10" t="str">
        <x:v>NOT_MODELED</x:v>
      </x:c>
    </x:row>
    <x:row r="44" ht="85" customHeight="1">
      <x:c r="A44" s="10" t="str">
        <x:v>T-EXEC</x:v>
      </x:c>
      <x:c r="B44" s="10" t="str">
        <x:v>TEXT</x:v>
      </x:c>
      <x:c r="C44" s="10" t="str">
        <x:v>TEXT:SYN-F01-07</x:v>
      </x:c>
      <x:c r="D44" s="10" t="str">
        <x:v>TEXT:SYN-F01-07-U01</x:v>
      </x:c>
      <x:c r="E44" s="10" t="str">
        <x:v>T-F01</x:v>
      </x:c>
      <x:c r="F44" s="10" t="n">
        <x:v>1</x:v>
      </x:c>
      <x:c r="G44" s="11" t="n">
        <x:v>0</x:v>
      </x:c>
      <x:c r="H44" s="11" t="n">
        <x:v>1.219429</x:v>
      </x:c>
      <x:c r="I44" s="11" t="n">
        <x:f>H44-G44</x:f>
        <x:v>1.219429</x:v>
      </x:c>
      <x:c r="J44" s="10" t="str">
        <x:v>SYN-F01-07:D2@v1를 기준으로 납품처 품질설명회용 검사 개선 발표자료를 6장 이내로 만들어줘. 샘플 검사 45분 이하, 다음 8주 기준이야. 외부 발송은 하지 마.</x:v>
      </x:c>
      <x:c r="K44" s="10" t="str">
        <x:v>SYN-F01-07:D2@v1의 구성을 기준으로 납품처 품질설명회용 검사 개선 발표자료를 6장 이내로 작성하도록 준비하겠습니다.</x:v>
      </x:c>
      <x:c r="L44" s="11"/>
      <x:c r="M44" s="11"/>
      <x:c r="N44" s="10" t="str">
        <x:v>NOT_MODELED</x:v>
      </x:c>
    </x:row>
    <x:row r="45" ht="85" customHeight="1">
      <x:c r="A45" s="10" t="str">
        <x:v>T-EXEC</x:v>
      </x:c>
      <x:c r="B45" s="10" t="str">
        <x:v>TEXT</x:v>
      </x:c>
      <x:c r="C45" s="10" t="str">
        <x:v>TEXT:SYN-F01-07</x:v>
      </x:c>
      <x:c r="D45" s="10" t="str">
        <x:v>TEXT:SYN-F01-07-U02</x:v>
      </x:c>
      <x:c r="E45" s="10" t="str">
        <x:v>T-F01</x:v>
      </x:c>
      <x:c r="F45" s="10" t="n">
        <x:v>2</x:v>
      </x:c>
      <x:c r="G45" s="11" t="n">
        <x:v>14.587358</x:v>
      </x:c>
      <x:c r="H45" s="11" t="n">
        <x:v>16.301608</x:v>
      </x:c>
      <x:c r="I45" s="11" t="n">
        <x:f>H45-G45</x:f>
        <x:v>1.7142500000000016</x:v>
      </x:c>
      <x:c r="J45" s="10" t="str">
        <x:v>방금 요청은 같은 자료로 3장 이내로 바꿔줘. 검사장비 구입비는 제외하고 나머지 조건은 유지해.</x:v>
      </x:c>
      <x:c r="K45" s="10" t="str">
        <x:v>SYN-F01-07:D2@v1 기준의 기존 요청을 3장 이내와 검사장비 구입비 제외 조건으로 수정하겠습니다.</x:v>
      </x:c>
      <x:c r="L45" s="11"/>
      <x:c r="M45" s="11"/>
      <x:c r="N45" s="10" t="str">
        <x:v>NOT_MODELED</x:v>
      </x:c>
    </x:row>
    <x:row r="46" ht="85" customHeight="1">
      <x:c r="A46" s="10" t="str">
        <x:v>T-REL</x:v>
      </x:c>
      <x:c r="B46" s="10" t="str">
        <x:v>TEXT</x:v>
      </x:c>
      <x:c r="C46" s="10" t="str">
        <x:v>TEXT:SYN-F01-07</x:v>
      </x:c>
      <x:c r="D46" s="10" t="str">
        <x:v>TEXT:SYN-F01-07-U01</x:v>
      </x:c>
      <x:c r="E46" s="10" t="str">
        <x:v>T-F01</x:v>
      </x:c>
      <x:c r="F46" s="10" t="n">
        <x:v>1</x:v>
      </x:c>
      <x:c r="G46" s="11" t="n">
        <x:v>0</x:v>
      </x:c>
      <x:c r="H46" s="11" t="n">
        <x:v>1.219429</x:v>
      </x:c>
      <x:c r="I46" s="11" t="n">
        <x:f>H46-G46</x:f>
        <x:v>1.219429</x:v>
      </x:c>
      <x:c r="J46" s="10" t="str">
        <x:v>SYN-F01-07:D2@v1를 기준으로 납품처 품질설명회용 검사 개선 발표자료를 6장 이내로 만들어줘. 샘플 검사 45분 이하, 다음 8주 기준이야. 외부 발송은 하지 마.</x:v>
      </x:c>
      <x:c r="K46" s="10" t="str">
        <x:v>SYN-F01-07:D2@v1의 구성을 기준으로 납품처 품질설명회용 검사 개선 발표자료를 6장 이내로 작성하도록 준비하겠습니다.</x:v>
      </x:c>
      <x:c r="L46" s="11"/>
      <x:c r="M46" s="11"/>
      <x:c r="N46" s="10" t="str">
        <x:v>NOT_MODELED</x:v>
      </x:c>
    </x:row>
    <x:row r="47" ht="85" customHeight="1">
      <x:c r="A47" s="10" t="str">
        <x:v>T-REL</x:v>
      </x:c>
      <x:c r="B47" s="10" t="str">
        <x:v>TEXT</x:v>
      </x:c>
      <x:c r="C47" s="10" t="str">
        <x:v>TEXT:SYN-F01-07</x:v>
      </x:c>
      <x:c r="D47" s="10" t="str">
        <x:v>TEXT:SYN-F01-07-U02</x:v>
      </x:c>
      <x:c r="E47" s="10" t="str">
        <x:v>T-F01</x:v>
      </x:c>
      <x:c r="F47" s="10" t="n">
        <x:v>2</x:v>
      </x:c>
      <x:c r="G47" s="11" t="n">
        <x:v>14.587358</x:v>
      </x:c>
      <x:c r="H47" s="11" t="n">
        <x:v>15.826037</x:v>
      </x:c>
      <x:c r="I47" s="11" t="n">
        <x:f>H47-G47</x:f>
        <x:v>1.2386789999999994</x:v>
      </x:c>
      <x:c r="J47" s="10" t="str">
        <x:v>방금 요청은 같은 자료로 3장 이내로 바꿔줘. 검사장비 구입비는 제외하고 나머지 조건은 유지해.</x:v>
      </x:c>
      <x:c r="K47" s="10" t="str">
        <x:v>SYN-F01-07:D2@v1 기준의 기존 요청을 3장 이내와 검사장비 구입비 제외 조건으로 수정하겠습니다.</x:v>
      </x:c>
      <x:c r="L47" s="11"/>
      <x:c r="M47" s="11"/>
      <x:c r="N47" s="10" t="str">
        <x:v>NOT_MODELED</x:v>
      </x:c>
    </x:row>
    <x:row r="48" ht="85" customHeight="1">
      <x:c r="A48" s="10" t="str">
        <x:v>T-BASE</x:v>
      </x:c>
      <x:c r="B48" s="10" t="str">
        <x:v>TEXT</x:v>
      </x:c>
      <x:c r="C48" s="10" t="str">
        <x:v>TEXT:SYN-F01-08</x:v>
      </x:c>
      <x:c r="D48" s="10" t="str">
        <x:v>TEXT:SYN-F01-08-U01</x:v>
      </x:c>
      <x:c r="E48" s="10" t="str">
        <x:v>T-F01</x:v>
      </x:c>
      <x:c r="F48" s="10" t="n">
        <x:v>1</x:v>
      </x:c>
      <x:c r="G48" s="11" t="n">
        <x:v>0</x:v>
      </x:c>
      <x:c r="H48" s="11" t="n">
        <x:v>1.23225</x:v>
      </x:c>
      <x:c r="I48" s="11" t="n">
        <x:f>H48-G48</x:f>
        <x:v>1.23225</x:v>
      </x:c>
      <x:c r="J48" s="10" t="str">
        <x:v>SYN-F01-08:D1@v1를 기준으로 지역 파트너 설명회용 캠페인 계획 발표자료를 4장 이내로 만들어줘. 안내문 500자 이하, 운영 5주 기준이야. 외부 발송은 하지 마.</x:v>
      </x:c>
      <x:c r="K48" s="10" t="str">
        <x:v>SYN-F01-08:D1@v1의 구성을 기준으로 지역 파트너 설명회용 캠페인 계획 발표자료를 4장 이내로 작성하도록 준비하겠습니다.</x:v>
      </x:c>
      <x:c r="L48" s="11"/>
      <x:c r="M48" s="11"/>
      <x:c r="N48" s="10" t="str">
        <x:v>NOT_MODELED</x:v>
      </x:c>
    </x:row>
    <x:row r="49" ht="85" customHeight="1">
      <x:c r="A49" s="10" t="str">
        <x:v>T-BASE</x:v>
      </x:c>
      <x:c r="B49" s="10" t="str">
        <x:v>TEXT</x:v>
      </x:c>
      <x:c r="C49" s="10" t="str">
        <x:v>TEXT:SYN-F01-08</x:v>
      </x:c>
      <x:c r="D49" s="10" t="str">
        <x:v>TEXT:SYN-F01-08-U02</x:v>
      </x:c>
      <x:c r="E49" s="10" t="str">
        <x:v>T-F01</x:v>
      </x:c>
      <x:c r="F49" s="10" t="n">
        <x:v>2</x:v>
      </x:c>
      <x:c r="G49" s="11" t="n">
        <x:v>14.673357</x:v>
      </x:c>
      <x:c r="H49" s="11" t="n">
        <x:v>15.924857</x:v>
      </x:c>
      <x:c r="I49" s="11" t="n">
        <x:f>H49-G49</x:f>
        <x:v>1.2515</x:v>
      </x:c>
      <x:c r="J49" s="10" t="str">
        <x:v>방금 요청은 같은 자료로 2장 이내로 바꿔줘. 일회성 촬영비는 제외하고 나머지 조건은 유지해.</x:v>
      </x:c>
      <x:c r="K49" s="10" t="str">
        <x:v>SYN-F01-08:D1@v1 기준의 기존 요청을 2장 이내와 일회성 촬영비 제외 조건으로 수정하겠습니다.</x:v>
      </x:c>
      <x:c r="L49" s="11"/>
      <x:c r="M49" s="11"/>
      <x:c r="N49" s="10" t="str">
        <x:v>NOT_MODELED</x:v>
      </x:c>
    </x:row>
    <x:row r="50" ht="85" customHeight="1">
      <x:c r="A50" s="10" t="str">
        <x:v>T-EXEC</x:v>
      </x:c>
      <x:c r="B50" s="10" t="str">
        <x:v>TEXT</x:v>
      </x:c>
      <x:c r="C50" s="10" t="str">
        <x:v>TEXT:SYN-F01-08</x:v>
      </x:c>
      <x:c r="D50" s="10" t="str">
        <x:v>TEXT:SYN-F01-08-U01</x:v>
      </x:c>
      <x:c r="E50" s="10" t="str">
        <x:v>T-F01</x:v>
      </x:c>
      <x:c r="F50" s="10" t="n">
        <x:v>1</x:v>
      </x:c>
      <x:c r="G50" s="11" t="n">
        <x:v>0</x:v>
      </x:c>
      <x:c r="H50" s="11" t="n">
        <x:v>1.23225</x:v>
      </x:c>
      <x:c r="I50" s="11" t="n">
        <x:f>H50-G50</x:f>
        <x:v>1.23225</x:v>
      </x:c>
      <x:c r="J50" s="10" t="str">
        <x:v>SYN-F01-08:D1@v1를 기준으로 지역 파트너 설명회용 캠페인 계획 발표자료를 4장 이내로 만들어줘. 안내문 500자 이하, 운영 5주 기준이야. 외부 발송은 하지 마.</x:v>
      </x:c>
      <x:c r="K50" s="10" t="str">
        <x:v>SYN-F01-08:D1@v1의 구성을 기준으로 지역 파트너 설명회용 캠페인 계획 발표자료를 4장 이내로 작성하도록 준비하겠습니다.</x:v>
      </x:c>
      <x:c r="L50" s="11"/>
      <x:c r="M50" s="11"/>
      <x:c r="N50" s="10" t="str">
        <x:v>NOT_MODELED</x:v>
      </x:c>
    </x:row>
    <x:row r="51" ht="85" customHeight="1">
      <x:c r="A51" s="10" t="str">
        <x:v>T-EXEC</x:v>
      </x:c>
      <x:c r="B51" s="10" t="str">
        <x:v>TEXT</x:v>
      </x:c>
      <x:c r="C51" s="10" t="str">
        <x:v>TEXT:SYN-F01-08</x:v>
      </x:c>
      <x:c r="D51" s="10" t="str">
        <x:v>TEXT:SYN-F01-08-U02</x:v>
      </x:c>
      <x:c r="E51" s="10" t="str">
        <x:v>T-F01</x:v>
      </x:c>
      <x:c r="F51" s="10" t="n">
        <x:v>2</x:v>
      </x:c>
      <x:c r="G51" s="11" t="n">
        <x:v>14.673357</x:v>
      </x:c>
      <x:c r="H51" s="11" t="n">
        <x:v>16.410107</x:v>
      </x:c>
      <x:c r="I51" s="11" t="n">
        <x:f>H51-G51</x:f>
        <x:v>1.7367500000000007</x:v>
      </x:c>
      <x:c r="J51" s="10" t="str">
        <x:v>방금 요청은 같은 자료로 2장 이내로 바꿔줘. 일회성 촬영비는 제외하고 나머지 조건은 유지해.</x:v>
      </x:c>
      <x:c r="K51" s="10" t="str">
        <x:v>SYN-F01-08:D1@v1 기준의 기존 요청을 2장 이내와 일회성 촬영비 제외 조건으로 수정하겠습니다.</x:v>
      </x:c>
      <x:c r="L51" s="11"/>
      <x:c r="M51" s="11"/>
      <x:c r="N51" s="10" t="str">
        <x:v>NOT_MODELED</x:v>
      </x:c>
    </x:row>
    <x:row r="52" ht="85" customHeight="1">
      <x:c r="A52" s="10" t="str">
        <x:v>T-REL</x:v>
      </x:c>
      <x:c r="B52" s="10" t="str">
        <x:v>TEXT</x:v>
      </x:c>
      <x:c r="C52" s="10" t="str">
        <x:v>TEXT:SYN-F01-08</x:v>
      </x:c>
      <x:c r="D52" s="10" t="str">
        <x:v>TEXT:SYN-F01-08-U01</x:v>
      </x:c>
      <x:c r="E52" s="10" t="str">
        <x:v>T-F01</x:v>
      </x:c>
      <x:c r="F52" s="10" t="n">
        <x:v>1</x:v>
      </x:c>
      <x:c r="G52" s="11" t="n">
        <x:v>0</x:v>
      </x:c>
      <x:c r="H52" s="11" t="n">
        <x:v>1.23225</x:v>
      </x:c>
      <x:c r="I52" s="11" t="n">
        <x:f>H52-G52</x:f>
        <x:v>1.23225</x:v>
      </x:c>
      <x:c r="J52" s="10" t="str">
        <x:v>SYN-F01-08:D1@v1를 기준으로 지역 파트너 설명회용 캠페인 계획 발표자료를 4장 이내로 만들어줘. 안내문 500자 이하, 운영 5주 기준이야. 외부 발송은 하지 마.</x:v>
      </x:c>
      <x:c r="K52" s="10" t="str">
        <x:v>SYN-F01-08:D1@v1의 구성을 기준으로 지역 파트너 설명회용 캠페인 계획 발표자료를 4장 이내로 작성하도록 준비하겠습니다.</x:v>
      </x:c>
      <x:c r="L52" s="11"/>
      <x:c r="M52" s="11"/>
      <x:c r="N52" s="10" t="str">
        <x:v>NOT_MODELED</x:v>
      </x:c>
    </x:row>
    <x:row r="53" ht="85" customHeight="1">
      <x:c r="A53" s="10" t="str">
        <x:v>T-REL</x:v>
      </x:c>
      <x:c r="B53" s="10" t="str">
        <x:v>TEXT</x:v>
      </x:c>
      <x:c r="C53" s="10" t="str">
        <x:v>TEXT:SYN-F01-08</x:v>
      </x:c>
      <x:c r="D53" s="10" t="str">
        <x:v>TEXT:SYN-F01-08-U02</x:v>
      </x:c>
      <x:c r="E53" s="10" t="str">
        <x:v>T-F01</x:v>
      </x:c>
      <x:c r="F53" s="10" t="n">
        <x:v>2</x:v>
      </x:c>
      <x:c r="G53" s="11" t="n">
        <x:v>14.673357</x:v>
      </x:c>
      <x:c r="H53" s="11" t="n">
        <x:v>15.924857</x:v>
      </x:c>
      <x:c r="I53" s="11" t="n">
        <x:f>H53-G53</x:f>
        <x:v>1.2515</x:v>
      </x:c>
      <x:c r="J53" s="10" t="str">
        <x:v>방금 요청은 같은 자료로 2장 이내로 바꿔줘. 일회성 촬영비는 제외하고 나머지 조건은 유지해.</x:v>
      </x:c>
      <x:c r="K53" s="10" t="str">
        <x:v>SYN-F01-08:D1@v1 기준의 기존 요청을 2장 이내와 일회성 촬영비 제외 조건으로 수정하겠습니다.</x:v>
      </x:c>
      <x:c r="L53" s="11"/>
      <x:c r="M53" s="11"/>
      <x:c r="N53" s="10" t="str">
        <x:v>NOT_MODELED</x:v>
      </x:c>
    </x:row>
    <x:row r="54" ht="85" customHeight="1">
      <x:c r="A54" s="10" t="str">
        <x:v>T-BASE</x:v>
      </x:c>
      <x:c r="B54" s="10" t="str">
        <x:v>TEXT</x:v>
      </x:c>
      <x:c r="C54" s="10" t="str">
        <x:v>TEXT:SYN-F01-09</x:v>
      </x:c>
      <x:c r="D54" s="10" t="str">
        <x:v>TEXT:SYN-F01-09-U01</x:v>
      </x:c>
      <x:c r="E54" s="10" t="str">
        <x:v>T-F01</x:v>
      </x:c>
      <x:c r="F54" s="10" t="n">
        <x:v>1</x:v>
      </x:c>
      <x:c r="G54" s="11" t="n">
        <x:v>0</x:v>
      </x:c>
      <x:c r="H54" s="11" t="n">
        <x:v>1.220071</x:v>
      </x:c>
      <x:c r="I54" s="11" t="n">
        <x:f>H54-G54</x:f>
        <x:v>1.220071</x:v>
      </x:c>
      <x:c r="J54" s="10" t="str">
        <x:v>SYN-F01-09:D3@v1를 기준으로 배송 협력사 설명회용 배치 변경 발표자료를 7장 이내로 만들어줘. 주문당 이동 180m 이하, 적용 후 4주 기준이야. 외부 발송은 하지 마.</x:v>
      </x:c>
      <x:c r="K54" s="10" t="str">
        <x:v>SYN-F01-09:D3@v1의 구성을 기준으로 배송 협력사 설명회용 배치 변경 발표자료를 7장 이내로 작성하도록 준비하겠습니다.</x:v>
      </x:c>
      <x:c r="L54" s="11"/>
      <x:c r="M54" s="11"/>
      <x:c r="N54" s="10" t="str">
        <x:v>NOT_MODELED</x:v>
      </x:c>
    </x:row>
    <x:row r="55" ht="85" customHeight="1">
      <x:c r="A55" s="10" t="str">
        <x:v>T-BASE</x:v>
      </x:c>
      <x:c r="B55" s="10" t="str">
        <x:v>TEXT</x:v>
      </x:c>
      <x:c r="C55" s="10" t="str">
        <x:v>TEXT:SYN-F01-09</x:v>
      </x:c>
      <x:c r="D55" s="10" t="str">
        <x:v>TEXT:SYN-F01-09-U02</x:v>
      </x:c>
      <x:c r="E55" s="10" t="str">
        <x:v>T-F01</x:v>
      </x:c>
      <x:c r="F55" s="10" t="n">
        <x:v>2</x:v>
      </x:c>
      <x:c r="G55" s="11" t="n">
        <x:v>14.709357</x:v>
      </x:c>
      <x:c r="H55" s="11" t="n">
        <x:v>15.948678</x:v>
      </x:c>
      <x:c r="I55" s="11" t="n">
        <x:f>H55-G55</x:f>
        <x:v>1.2393209999999986</x:v>
      </x:c>
      <x:c r="J55" s="10" t="str">
        <x:v>방금 요청은 같은 자료로 4장 이내로 바꿔줘. 선반 구매비는 제외하고 나머지 조건은 유지해.</x:v>
      </x:c>
      <x:c r="K55" s="10" t="str">
        <x:v>SYN-F01-09:D3@v1 기준의 기존 요청을 4장 이내와 선반 구매비 제외 조건으로 수정하겠습니다.</x:v>
      </x:c>
      <x:c r="L55" s="11"/>
      <x:c r="M55" s="11"/>
      <x:c r="N55" s="10" t="str">
        <x:v>NOT_MODELED</x:v>
      </x:c>
    </x:row>
    <x:row r="56" ht="85" customHeight="1">
      <x:c r="A56" s="10" t="str">
        <x:v>T-EXEC</x:v>
      </x:c>
      <x:c r="B56" s="10" t="str">
        <x:v>TEXT</x:v>
      </x:c>
      <x:c r="C56" s="10" t="str">
        <x:v>TEXT:SYN-F01-09</x:v>
      </x:c>
      <x:c r="D56" s="10" t="str">
        <x:v>TEXT:SYN-F01-09-U01</x:v>
      </x:c>
      <x:c r="E56" s="10" t="str">
        <x:v>T-F01</x:v>
      </x:c>
      <x:c r="F56" s="10" t="n">
        <x:v>1</x:v>
      </x:c>
      <x:c r="G56" s="11" t="n">
        <x:v>0</x:v>
      </x:c>
      <x:c r="H56" s="11" t="n">
        <x:v>1.220071</x:v>
      </x:c>
      <x:c r="I56" s="11" t="n">
        <x:f>H56-G56</x:f>
        <x:v>1.220071</x:v>
      </x:c>
      <x:c r="J56" s="10" t="str">
        <x:v>SYN-F01-09:D3@v1를 기준으로 배송 협력사 설명회용 배치 변경 발표자료를 7장 이내로 만들어줘. 주문당 이동 180m 이하, 적용 후 4주 기준이야. 외부 발송은 하지 마.</x:v>
      </x:c>
      <x:c r="K56" s="10" t="str">
        <x:v>SYN-F01-09:D3@v1의 구성을 기준으로 배송 협력사 설명회용 배치 변경 발표자료를 7장 이내로 작성하도록 준비하겠습니다.</x:v>
      </x:c>
      <x:c r="L56" s="11"/>
      <x:c r="M56" s="11"/>
      <x:c r="N56" s="10" t="str">
        <x:v>NOT_MODELED</x:v>
      </x:c>
    </x:row>
    <x:row r="57" ht="85" customHeight="1">
      <x:c r="A57" s="10" t="str">
        <x:v>T-EXEC</x:v>
      </x:c>
      <x:c r="B57" s="10" t="str">
        <x:v>TEXT</x:v>
      </x:c>
      <x:c r="C57" s="10" t="str">
        <x:v>TEXT:SYN-F01-09</x:v>
      </x:c>
      <x:c r="D57" s="10" t="str">
        <x:v>TEXT:SYN-F01-09-U02</x:v>
      </x:c>
      <x:c r="E57" s="10" t="str">
        <x:v>T-F01</x:v>
      </x:c>
      <x:c r="F57" s="10" t="n">
        <x:v>2</x:v>
      </x:c>
      <x:c r="G57" s="11" t="n">
        <x:v>14.709357</x:v>
      </x:c>
      <x:c r="H57" s="11" t="n">
        <x:v>16.443607</x:v>
      </x:c>
      <x:c r="I57" s="11" t="n">
        <x:f>H57-G57</x:f>
        <x:v>1.7342499999999994</x:v>
      </x:c>
      <x:c r="J57" s="10" t="str">
        <x:v>방금 요청은 같은 자료로 4장 이내로 바꿔줘. 선반 구매비는 제외하고 나머지 조건은 유지해.</x:v>
      </x:c>
      <x:c r="K57" s="10" t="str">
        <x:v>SYN-F01-09:D3@v1 기준의 기존 요청을 4장 이내와 선반 구매비 제외 조건으로 수정하겠습니다.</x:v>
      </x:c>
      <x:c r="L57" s="11"/>
      <x:c r="M57" s="11"/>
      <x:c r="N57" s="10" t="str">
        <x:v>NOT_MODELED</x:v>
      </x:c>
    </x:row>
    <x:row r="58" ht="85" customHeight="1">
      <x:c r="A58" s="10" t="str">
        <x:v>T-REL</x:v>
      </x:c>
      <x:c r="B58" s="10" t="str">
        <x:v>TEXT</x:v>
      </x:c>
      <x:c r="C58" s="10" t="str">
        <x:v>TEXT:SYN-F01-09</x:v>
      </x:c>
      <x:c r="D58" s="10" t="str">
        <x:v>TEXT:SYN-F01-09-U01</x:v>
      </x:c>
      <x:c r="E58" s="10" t="str">
        <x:v>T-F01</x:v>
      </x:c>
      <x:c r="F58" s="10" t="n">
        <x:v>1</x:v>
      </x:c>
      <x:c r="G58" s="11" t="n">
        <x:v>0</x:v>
      </x:c>
      <x:c r="H58" s="11" t="n">
        <x:v>1.220071</x:v>
      </x:c>
      <x:c r="I58" s="11" t="n">
        <x:f>H58-G58</x:f>
        <x:v>1.220071</x:v>
      </x:c>
      <x:c r="J58" s="10" t="str">
        <x:v>SYN-F01-09:D3@v1를 기준으로 배송 협력사 설명회용 배치 변경 발표자료를 7장 이내로 만들어줘. 주문당 이동 180m 이하, 적용 후 4주 기준이야. 외부 발송은 하지 마.</x:v>
      </x:c>
      <x:c r="K58" s="10" t="str">
        <x:v>SYN-F01-09:D3@v1의 구성을 기준으로 배송 협력사 설명회용 배치 변경 발표자료를 7장 이내로 작성하도록 준비하겠습니다.</x:v>
      </x:c>
      <x:c r="L58" s="11"/>
      <x:c r="M58" s="11"/>
      <x:c r="N58" s="10" t="str">
        <x:v>NOT_MODELED</x:v>
      </x:c>
    </x:row>
    <x:row r="59" ht="85" customHeight="1">
      <x:c r="A59" s="10" t="str">
        <x:v>T-REL</x:v>
      </x:c>
      <x:c r="B59" s="10" t="str">
        <x:v>TEXT</x:v>
      </x:c>
      <x:c r="C59" s="10" t="str">
        <x:v>TEXT:SYN-F01-09</x:v>
      </x:c>
      <x:c r="D59" s="10" t="str">
        <x:v>TEXT:SYN-F01-09-U02</x:v>
      </x:c>
      <x:c r="E59" s="10" t="str">
        <x:v>T-F01</x:v>
      </x:c>
      <x:c r="F59" s="10" t="n">
        <x:v>2</x:v>
      </x:c>
      <x:c r="G59" s="11" t="n">
        <x:v>14.709357</x:v>
      </x:c>
      <x:c r="H59" s="11" t="n">
        <x:v>15.948678</x:v>
      </x:c>
      <x:c r="I59" s="11" t="n">
        <x:f>H59-G59</x:f>
        <x:v>1.2393209999999986</x:v>
      </x:c>
      <x:c r="J59" s="10" t="str">
        <x:v>방금 요청은 같은 자료로 4장 이내로 바꿔줘. 선반 구매비는 제외하고 나머지 조건은 유지해.</x:v>
      </x:c>
      <x:c r="K59" s="10" t="str">
        <x:v>SYN-F01-09:D3@v1 기준의 기존 요청을 4장 이내와 선반 구매비 제외 조건으로 수정하겠습니다.</x:v>
      </x:c>
      <x:c r="L59" s="11"/>
      <x:c r="M59" s="11"/>
      <x:c r="N59" s="10" t="str">
        <x:v>NOT_MODELED</x:v>
      </x:c>
    </x:row>
    <x:row r="60" ht="85" customHeight="1">
      <x:c r="A60" s="10" t="str">
        <x:v>T-BASE</x:v>
      </x:c>
      <x:c r="B60" s="10" t="str">
        <x:v>TEXT</x:v>
      </x:c>
      <x:c r="C60" s="10" t="str">
        <x:v>TEXT:SYN-F01-10</x:v>
      </x:c>
      <x:c r="D60" s="10" t="str">
        <x:v>TEXT:SYN-F01-10-U01</x:v>
      </x:c>
      <x:c r="E60" s="10" t="str">
        <x:v>T-F01</x:v>
      </x:c>
      <x:c r="F60" s="10" t="n">
        <x:v>1</x:v>
      </x:c>
      <x:c r="G60" s="11" t="n">
        <x:v>0</x:v>
      </x:c>
      <x:c r="H60" s="11" t="n">
        <x:v>1.232893</x:v>
      </x:c>
      <x:c r="I60" s="11" t="n">
        <x:f>H60-G60</x:f>
        <x:v>1.232893</x:v>
      </x:c>
      <x:c r="J60" s="10" t="str">
        <x:v>SYN-F01-10:D2@v1를 기준으로 부서대표 설명회용 포털 개선 발표자료를 5장 이내로 만들어줘. 첫 화면 메뉴 9개 이하, 출시 후 2개월 기준이야. 외부 발송은 하지 마.</x:v>
      </x:c>
      <x:c r="K60" s="10" t="str">
        <x:v>SYN-F01-10:D2@v1의 구성을 기준으로 부서대표 설명회용 포털 개선 발표자료를 5장 이내로 작성하도록 준비하겠습니다.</x:v>
      </x:c>
      <x:c r="L60" s="11"/>
      <x:c r="M60" s="11"/>
      <x:c r="N60" s="10" t="str">
        <x:v>NOT_MODELED</x:v>
      </x:c>
    </x:row>
    <x:row r="61" ht="85" customHeight="1">
      <x:c r="A61" s="10" t="str">
        <x:v>T-BASE</x:v>
      </x:c>
      <x:c r="B61" s="10" t="str">
        <x:v>TEXT</x:v>
      </x:c>
      <x:c r="C61" s="10" t="str">
        <x:v>TEXT:SYN-F01-10</x:v>
      </x:c>
      <x:c r="D61" s="10" t="str">
        <x:v>TEXT:SYN-F01-10-U02</x:v>
      </x:c>
      <x:c r="E61" s="10" t="str">
        <x:v>T-F01</x:v>
      </x:c>
      <x:c r="F61" s="10" t="n">
        <x:v>2</x:v>
      </x:c>
      <x:c r="G61" s="11" t="n">
        <x:v>14.795357</x:v>
      </x:c>
      <x:c r="H61" s="11" t="n">
        <x:v>16.0475</x:v>
      </x:c>
      <x:c r="I61" s="11" t="n">
        <x:f>H61-G61</x:f>
        <x:v>1.2521430000000002</x:v>
      </x:c>
      <x:c r="J61" s="10" t="str">
        <x:v>방금 요청은 같은 자료로 3장 이내로 바꿔줘. 초기 이전비는 제외하고 나머지 조건은 유지해.</x:v>
      </x:c>
      <x:c r="K61" s="10" t="str">
        <x:v>SYN-F01-10:D2@v1 기준의 기존 요청을 3장 이내와 초기 이전비 제외 조건으로 수정하겠습니다.</x:v>
      </x:c>
      <x:c r="L61" s="11"/>
      <x:c r="M61" s="11"/>
      <x:c r="N61" s="10" t="str">
        <x:v>NOT_MODELED</x:v>
      </x:c>
    </x:row>
    <x:row r="62" ht="85" customHeight="1">
      <x:c r="A62" s="10" t="str">
        <x:v>T-EXEC</x:v>
      </x:c>
      <x:c r="B62" s="10" t="str">
        <x:v>TEXT</x:v>
      </x:c>
      <x:c r="C62" s="10" t="str">
        <x:v>TEXT:SYN-F01-10</x:v>
      </x:c>
      <x:c r="D62" s="10" t="str">
        <x:v>TEXT:SYN-F01-10-U01</x:v>
      </x:c>
      <x:c r="E62" s="10" t="str">
        <x:v>T-F01</x:v>
      </x:c>
      <x:c r="F62" s="10" t="n">
        <x:v>1</x:v>
      </x:c>
      <x:c r="G62" s="11" t="n">
        <x:v>0</x:v>
      </x:c>
      <x:c r="H62" s="11" t="n">
        <x:v>1.232893</x:v>
      </x:c>
      <x:c r="I62" s="11" t="n">
        <x:f>H62-G62</x:f>
        <x:v>1.232893</x:v>
      </x:c>
      <x:c r="J62" s="10" t="str">
        <x:v>SYN-F01-10:D2@v1를 기준으로 부서대표 설명회용 포털 개선 발표자료를 5장 이내로 만들어줘. 첫 화면 메뉴 9개 이하, 출시 후 2개월 기준이야. 외부 발송은 하지 마.</x:v>
      </x:c>
      <x:c r="K62" s="10" t="str">
        <x:v>SYN-F01-10:D2@v1의 구성을 기준으로 부서대표 설명회용 포털 개선 발표자료를 5장 이내로 작성하도록 준비하겠습니다.</x:v>
      </x:c>
      <x:c r="L62" s="11"/>
      <x:c r="M62" s="11"/>
      <x:c r="N62" s="10" t="str">
        <x:v>NOT_MODELED</x:v>
      </x:c>
    </x:row>
    <x:row r="63" ht="85" customHeight="1">
      <x:c r="A63" s="10" t="str">
        <x:v>T-EXEC</x:v>
      </x:c>
      <x:c r="B63" s="10" t="str">
        <x:v>TEXT</x:v>
      </x:c>
      <x:c r="C63" s="10" t="str">
        <x:v>TEXT:SYN-F01-10</x:v>
      </x:c>
      <x:c r="D63" s="10" t="str">
        <x:v>TEXT:SYN-F01-10-U02</x:v>
      </x:c>
      <x:c r="E63" s="10" t="str">
        <x:v>T-F01</x:v>
      </x:c>
      <x:c r="F63" s="10" t="n">
        <x:v>2</x:v>
      </x:c>
      <x:c r="G63" s="11" t="n">
        <x:v>14.795357</x:v>
      </x:c>
      <x:c r="H63" s="11" t="n">
        <x:v>16.533357</x:v>
      </x:c>
      <x:c r="I63" s="11" t="n">
        <x:f>H63-G63</x:f>
        <x:v>1.7379999999999995</x:v>
      </x:c>
      <x:c r="J63" s="10" t="str">
        <x:v>방금 요청은 같은 자료로 3장 이내로 바꿔줘. 초기 이전비는 제외하고 나머지 조건은 유지해.</x:v>
      </x:c>
      <x:c r="K63" s="10" t="str">
        <x:v>SYN-F01-10:D2@v1 기준의 기존 요청을 3장 이내와 초기 이전비 제외 조건으로 수정하겠습니다.</x:v>
      </x:c>
      <x:c r="L63" s="11"/>
      <x:c r="M63" s="11"/>
      <x:c r="N63" s="10" t="str">
        <x:v>NOT_MODELED</x:v>
      </x:c>
    </x:row>
    <x:row r="64" ht="85" customHeight="1">
      <x:c r="A64" s="10" t="str">
        <x:v>T-REL</x:v>
      </x:c>
      <x:c r="B64" s="10" t="str">
        <x:v>TEXT</x:v>
      </x:c>
      <x:c r="C64" s="10" t="str">
        <x:v>TEXT:SYN-F01-10</x:v>
      </x:c>
      <x:c r="D64" s="10" t="str">
        <x:v>TEXT:SYN-F01-10-U01</x:v>
      </x:c>
      <x:c r="E64" s="10" t="str">
        <x:v>T-F01</x:v>
      </x:c>
      <x:c r="F64" s="10" t="n">
        <x:v>1</x:v>
      </x:c>
      <x:c r="G64" s="11" t="n">
        <x:v>0</x:v>
      </x:c>
      <x:c r="H64" s="11" t="n">
        <x:v>1.232893</x:v>
      </x:c>
      <x:c r="I64" s="11" t="n">
        <x:f>H64-G64</x:f>
        <x:v>1.232893</x:v>
      </x:c>
      <x:c r="J64" s="10" t="str">
        <x:v>SYN-F01-10:D2@v1를 기준으로 부서대표 설명회용 포털 개선 발표자료를 5장 이내로 만들어줘. 첫 화면 메뉴 9개 이하, 출시 후 2개월 기준이야. 외부 발송은 하지 마.</x:v>
      </x:c>
      <x:c r="K64" s="10" t="str">
        <x:v>SYN-F01-10:D2@v1의 구성을 기준으로 부서대표 설명회용 포털 개선 발표자료를 5장 이내로 작성하도록 준비하겠습니다.</x:v>
      </x:c>
      <x:c r="L64" s="11"/>
      <x:c r="M64" s="11"/>
      <x:c r="N64" s="10" t="str">
        <x:v>NOT_MODELED</x:v>
      </x:c>
    </x:row>
    <x:row r="65" ht="85" customHeight="1">
      <x:c r="A65" s="10" t="str">
        <x:v>T-REL</x:v>
      </x:c>
      <x:c r="B65" s="10" t="str">
        <x:v>TEXT</x:v>
      </x:c>
      <x:c r="C65" s="10" t="str">
        <x:v>TEXT:SYN-F01-10</x:v>
      </x:c>
      <x:c r="D65" s="10" t="str">
        <x:v>TEXT:SYN-F01-10-U02</x:v>
      </x:c>
      <x:c r="E65" s="10" t="str">
        <x:v>T-F01</x:v>
      </x:c>
      <x:c r="F65" s="10" t="n">
        <x:v>2</x:v>
      </x:c>
      <x:c r="G65" s="11" t="n">
        <x:v>14.795357</x:v>
      </x:c>
      <x:c r="H65" s="11" t="n">
        <x:v>16.0475</x:v>
      </x:c>
      <x:c r="I65" s="11" t="n">
        <x:f>H65-G65</x:f>
        <x:v>1.2521430000000002</x:v>
      </x:c>
      <x:c r="J65" s="10" t="str">
        <x:v>방금 요청은 같은 자료로 3장 이내로 바꿔줘. 초기 이전비는 제외하고 나머지 조건은 유지해.</x:v>
      </x:c>
      <x:c r="K65" s="10" t="str">
        <x:v>SYN-F01-10:D2@v1 기준의 기존 요청을 3장 이내와 초기 이전비 제외 조건으로 수정하겠습니다.</x:v>
      </x:c>
      <x:c r="L65" s="11"/>
      <x:c r="M65" s="11"/>
      <x:c r="N65" s="10" t="str">
        <x:v>NOT_MODELED</x:v>
      </x:c>
    </x:row>
    <x:row r="66" ht="85" customHeight="1">
      <x:c r="A66" s="10" t="str">
        <x:v>T-BASE</x:v>
      </x:c>
      <x:c r="B66" s="10" t="str">
        <x:v>TEXT</x:v>
      </x:c>
      <x:c r="C66" s="10" t="str">
        <x:v>TEXT:SYN-F02-01</x:v>
      </x:c>
      <x:c r="D66" s="10" t="str">
        <x:v>TEXT:SYN-F02-01-U01</x:v>
      </x:c>
      <x:c r="E66" s="10" t="str">
        <x:v>T-F02</x:v>
      </x:c>
      <x:c r="F66" s="10" t="n">
        <x:v>1</x:v>
      </x:c>
      <x:c r="G66" s="11" t="n">
        <x:v>0</x:v>
      </x:c>
      <x:c r="H66" s="11" t="n">
        <x:v>2.202143</x:v>
      </x:c>
      <x:c r="I66" s="11" t="n">
        <x:f>H66-G66</x:f>
        <x:v>2.202143</x:v>
      </x:c>
      <x:c r="J66" s="10" t="str">
        <x:v>예전에 서비스 운영위원회에서 설명하기 좋은 구성이라고 했던 자료로 전환 검토 발표자료를 5장 이내로 만들어줘. 월 운영비 240만원 이하, 첫 12개월 기준으로 하고 외부 발송은 하지 마.</x:v>
      </x:c>
      <x:c r="K66" s="10" t="str">
        <x:v>SYN-F02-01:D2@v1의 구성을 기준으로 서비스 운영위원회용 전환 검토 발표자료를 5장 이내로 작성하도록 준비하겠습니다.</x:v>
      </x:c>
      <x:c r="L66" s="11"/>
      <x:c r="M66" s="11"/>
      <x:c r="N66" s="10" t="str">
        <x:v>NOT_MODELED</x:v>
      </x:c>
    </x:row>
    <x:row r="67" ht="85" customHeight="1">
      <x:c r="A67" s="10" t="str">
        <x:v>T-BASE</x:v>
      </x:c>
      <x:c r="B67" s="10" t="str">
        <x:v>TEXT</x:v>
      </x:c>
      <x:c r="C67" s="10" t="str">
        <x:v>TEXT:SYN-F02-01</x:v>
      </x:c>
      <x:c r="D67" s="10" t="str">
        <x:v>TEXT:SYN-F02-01-U02</x:v>
      </x:c>
      <x:c r="E67" s="10" t="str">
        <x:v>T-F02</x:v>
      </x:c>
      <x:c r="F67" s="10" t="n">
        <x:v>1</x:v>
      </x:c>
      <x:c r="G67" s="11" t="n">
        <x:v>2.552143</x:v>
      </x:c>
      <x:c r="H67" s="11" t="n">
        <x:v>6.065536</x:v>
      </x:c>
      <x:c r="I67" s="11" t="n">
        <x:f>H67-G67</x:f>
        <x:v>3.5133929999999998</x:v>
      </x:c>
      <x:c r="J67" s="10" t="str">
        <x:v>발표자료 작성은 계속하고, 그 자료의 일정 표만 따로 3문장으로 요약해줘. 준비와 적용 날짜를 구분해줘.</x:v>
      </x:c>
      <x:c r="K67" s="10" t="str">
        <x:v>발표자료 작성은 유지하고 SYN-F02-01:D2@v1의 일정 표를 준비와 적용 단계로 나누어 별도로 요약하겠습니다.</x:v>
      </x:c>
      <x:c r="L67" s="11"/>
      <x:c r="M67" s="11"/>
      <x:c r="N67" s="10" t="str">
        <x:v>NOT_MODELED</x:v>
      </x:c>
    </x:row>
    <x:row r="68" ht="85" customHeight="1">
      <x:c r="A68" s="10" t="str">
        <x:v>T-EXEC</x:v>
      </x:c>
      <x:c r="B68" s="10" t="str">
        <x:v>TEXT</x:v>
      </x:c>
      <x:c r="C68" s="10" t="str">
        <x:v>TEXT:SYN-F02-01</x:v>
      </x:c>
      <x:c r="D68" s="10" t="str">
        <x:v>TEXT:SYN-F02-01-U01</x:v>
      </x:c>
      <x:c r="E68" s="10" t="str">
        <x:v>T-F02</x:v>
      </x:c>
      <x:c r="F68" s="10" t="n">
        <x:v>1</x:v>
      </x:c>
      <x:c r="G68" s="11" t="n">
        <x:v>0</x:v>
      </x:c>
      <x:c r="H68" s="11" t="n">
        <x:v>2.202143</x:v>
      </x:c>
      <x:c r="I68" s="11" t="n">
        <x:f>H68-G68</x:f>
        <x:v>2.202143</x:v>
      </x:c>
      <x:c r="J68" s="10" t="str">
        <x:v>예전에 서비스 운영위원회에서 설명하기 좋은 구성이라고 했던 자료로 전환 검토 발표자료를 5장 이내로 만들어줘. 월 운영비 240만원 이하, 첫 12개월 기준으로 하고 외부 발송은 하지 마.</x:v>
      </x:c>
      <x:c r="K68" s="10" t="str">
        <x:v>SYN-F02-01:D2@v1의 구성을 기준으로 서비스 운영위원회용 전환 검토 발표자료를 5장 이내로 작성하도록 준비하겠습니다.</x:v>
      </x:c>
      <x:c r="L68" s="11"/>
      <x:c r="M68" s="11"/>
      <x:c r="N68" s="10" t="str">
        <x:v>NOT_MODELED</x:v>
      </x:c>
    </x:row>
    <x:row r="69" ht="85" customHeight="1">
      <x:c r="A69" s="10" t="str">
        <x:v>T-EXEC</x:v>
      </x:c>
      <x:c r="B69" s="10" t="str">
        <x:v>TEXT</x:v>
      </x:c>
      <x:c r="C69" s="10" t="str">
        <x:v>TEXT:SYN-F02-01</x:v>
      </x:c>
      <x:c r="D69" s="10" t="str">
        <x:v>TEXT:SYN-F02-01-U02</x:v>
      </x:c>
      <x:c r="E69" s="10" t="str">
        <x:v>T-F02</x:v>
      </x:c>
      <x:c r="F69" s="10" t="n">
        <x:v>1</x:v>
      </x:c>
      <x:c r="G69" s="11" t="n">
        <x:v>2.552143</x:v>
      </x:c>
      <x:c r="H69" s="11" t="n">
        <x:v>5.080536</x:v>
      </x:c>
      <x:c r="I69" s="11" t="n">
        <x:f>H69-G69</x:f>
        <x:v>2.5283930000000003</x:v>
      </x:c>
      <x:c r="J69" s="10" t="str">
        <x:v>발표자료 작성은 계속하고, 그 자료의 일정 표만 따로 3문장으로 요약해줘. 준비와 적용 날짜를 구분해줘.</x:v>
      </x:c>
      <x:c r="K69" s="10" t="str">
        <x:v>원래 자료의 일정 표 별도 요약에 이번 조건을 적용하겠습니다: 3문장, 준비와 적용 일정 구분, 기존 발표자료 작성 유지. 대상의 최종 연결은 현재 조회 결과와 함께 확정합니다.</x:v>
      </x:c>
      <x:c r="L69" s="11"/>
      <x:c r="M69" s="11"/>
      <x:c r="N69" s="10" t="str">
        <x:v>NOT_MODELED</x:v>
      </x:c>
    </x:row>
    <x:row r="70" ht="85" customHeight="1">
      <x:c r="A70" s="10" t="str">
        <x:v>T-REL</x:v>
      </x:c>
      <x:c r="B70" s="10" t="str">
        <x:v>TEXT</x:v>
      </x:c>
      <x:c r="C70" s="10" t="str">
        <x:v>TEXT:SYN-F02-01</x:v>
      </x:c>
      <x:c r="D70" s="10" t="str">
        <x:v>TEXT:SYN-F02-01-U01</x:v>
      </x:c>
      <x:c r="E70" s="10" t="str">
        <x:v>T-F02</x:v>
      </x:c>
      <x:c r="F70" s="10" t="n">
        <x:v>1</x:v>
      </x:c>
      <x:c r="G70" s="11" t="n">
        <x:v>0</x:v>
      </x:c>
      <x:c r="H70" s="11" t="n">
        <x:v>1.288929</x:v>
      </x:c>
      <x:c r="I70" s="11" t="n">
        <x:f>H70-G70</x:f>
        <x:v>1.288929</x:v>
      </x:c>
      <x:c r="J70" s="10" t="str">
        <x:v>예전에 서비스 운영위원회에서 설명하기 좋은 구성이라고 했던 자료로 전환 검토 발표자료를 5장 이내로 만들어줘. 월 운영비 240만원 이하, 첫 12개월 기준으로 하고 외부 발송은 하지 마.</x:v>
      </x:c>
      <x:c r="K70" s="10" t="str">
        <x:v>SYN-F02-01:D2@v1의 구성을 기준으로 서비스 운영위원회용 전환 검토 발표자료를 5장 이내로 작성하도록 준비하겠습니다.</x:v>
      </x:c>
      <x:c r="L70" s="11"/>
      <x:c r="M70" s="11"/>
      <x:c r="N70" s="10" t="str">
        <x:v>NOT_MODELED</x:v>
      </x:c>
    </x:row>
    <x:row r="71" ht="85" customHeight="1">
      <x:c r="A71" s="10" t="str">
        <x:v>T-REL</x:v>
      </x:c>
      <x:c r="B71" s="10" t="str">
        <x:v>TEXT</x:v>
      </x:c>
      <x:c r="C71" s="10" t="str">
        <x:v>TEXT:SYN-F02-01</x:v>
      </x:c>
      <x:c r="D71" s="10" t="str">
        <x:v>TEXT:SYN-F02-01-U02</x:v>
      </x:c>
      <x:c r="E71" s="10" t="str">
        <x:v>T-F02</x:v>
      </x:c>
      <x:c r="F71" s="10" t="n">
        <x:v>1</x:v>
      </x:c>
      <x:c r="G71" s="11" t="n">
        <x:v>1.638929</x:v>
      </x:c>
      <x:c r="H71" s="11" t="n">
        <x:v>4.374822</x:v>
      </x:c>
      <x:c r="I71" s="11" t="n">
        <x:f>H71-G71</x:f>
        <x:v>2.735893</x:v>
      </x:c>
      <x:c r="J71" s="10" t="str">
        <x:v>발표자료 작성은 계속하고, 그 자료의 일정 표만 따로 3문장으로 요약해줘. 준비와 적용 날짜를 구분해줘.</x:v>
      </x:c>
      <x:c r="K71" s="10" t="str">
        <x:v>발표자료 작성은 유지하고 SYN-F02-01:D2@v1의 일정 표를 준비와 적용 단계로 나누어 별도로 요약하겠습니다.</x:v>
      </x:c>
      <x:c r="L71" s="11"/>
      <x:c r="M71" s="11"/>
      <x:c r="N71" s="10" t="str">
        <x:v>NOT_MODELED</x:v>
      </x:c>
    </x:row>
    <x:row r="72" ht="85" customHeight="1">
      <x:c r="A72" s="10" t="str">
        <x:v>T-BASE</x:v>
      </x:c>
      <x:c r="B72" s="10" t="str">
        <x:v>TEXT</x:v>
      </x:c>
      <x:c r="C72" s="10" t="str">
        <x:v>TEXT:SYN-F02-02</x:v>
      </x:c>
      <x:c r="D72" s="10" t="str">
        <x:v>TEXT:SYN-F02-02-U01</x:v>
      </x:c>
      <x:c r="E72" s="10" t="str">
        <x:v>T-F02</x:v>
      </x:c>
      <x:c r="F72" s="10" t="n">
        <x:v>1</x:v>
      </x:c>
      <x:c r="G72" s="11" t="n">
        <x:v>0</x:v>
      </x:c>
      <x:c r="H72" s="11" t="n">
        <x:v>2.239964</x:v>
      </x:c>
      <x:c r="I72" s="11" t="n">
        <x:f>H72-G72</x:f>
        <x:v>2.239964</x:v>
      </x:c>
      <x:c r="J72" s="10" t="str">
        <x:v>예전에 참가업체 설명회에서 설명하기 좋은 구성이라고 했던 자료로 운영 제안 발표자료를 4장 이내로 만들어줘. 주말 운영 인력 12명 이하, 전시 4주 기준으로 하고 외부 발송은 하지 마.</x:v>
      </x:c>
      <x:c r="K72" s="10" t="str">
        <x:v>SYN-F02-02:D2@v1에 대해 봄길 지역전시 준비 운영 제안 발표자료 작성 위임을 진행하겠습니다. 적용 조건: 참가업체 설명회용, 4장 이내, 주말 운영 인력 12명 이하, 대상 기간 전시 4주, 외부 발송 없음. 내용 출처: SYN-F02-02:D2@v1.</x:v>
      </x:c>
      <x:c r="L72" s="11"/>
      <x:c r="M72" s="11"/>
      <x:c r="N72" s="10" t="str">
        <x:v>NOT_MODELED</x:v>
      </x:c>
    </x:row>
    <x:row r="73" ht="85" customHeight="1">
      <x:c r="A73" s="10" t="str">
        <x:v>T-BASE</x:v>
      </x:c>
      <x:c r="B73" s="10" t="str">
        <x:v>TEXT</x:v>
      </x:c>
      <x:c r="C73" s="10" t="str">
        <x:v>TEXT:SYN-F02-02</x:v>
      </x:c>
      <x:c r="D73" s="10" t="str">
        <x:v>TEXT:SYN-F02-02-U02</x:v>
      </x:c>
      <x:c r="E73" s="10" t="str">
        <x:v>T-F02</x:v>
      </x:c>
      <x:c r="F73" s="10" t="n">
        <x:v>1</x:v>
      </x:c>
      <x:c r="G73" s="11" t="n">
        <x:v>2.589964</x:v>
      </x:c>
      <x:c r="H73" s="11" t="n">
        <x:v>6.186178</x:v>
      </x:c>
      <x:c r="I73" s="11" t="n">
        <x:f>H73-G73</x:f>
        <x:v>3.596214</x:v>
      </x:c>
      <x:c r="J73" s="10" t="str">
        <x:v>발표자료 작성은 계속하고, 그 자료의 일정 표만 따로 2문장으로 요약해줘. 준비와 적용 날짜를 구분해줘.</x:v>
      </x:c>
      <x:c r="K73" s="10" t="str">
        <x:v>발표자료 작성은 유지하고 SYN-F02-02:D1@v1의 일정 표를 준비와 적용 단계로 나누어 별도로 요약하겠습니다.</x:v>
      </x:c>
      <x:c r="L73" s="11"/>
      <x:c r="M73" s="11"/>
      <x:c r="N73" s="10" t="str">
        <x:v>NOT_MODELED</x:v>
      </x:c>
    </x:row>
    <x:row r="74" ht="85" customHeight="1">
      <x:c r="A74" s="10" t="str">
        <x:v>T-EXEC</x:v>
      </x:c>
      <x:c r="B74" s="10" t="str">
        <x:v>TEXT</x:v>
      </x:c>
      <x:c r="C74" s="10" t="str">
        <x:v>TEXT:SYN-F02-02</x:v>
      </x:c>
      <x:c r="D74" s="10" t="str">
        <x:v>TEXT:SYN-F02-02-U01</x:v>
      </x:c>
      <x:c r="E74" s="10" t="str">
        <x:v>T-F02</x:v>
      </x:c>
      <x:c r="F74" s="10" t="n">
        <x:v>1</x:v>
      </x:c>
      <x:c r="G74" s="11" t="n">
        <x:v>0</x:v>
      </x:c>
      <x:c r="H74" s="11" t="n">
        <x:v>2.239964</x:v>
      </x:c>
      <x:c r="I74" s="11" t="n">
        <x:f>H74-G74</x:f>
        <x:v>2.239964</x:v>
      </x:c>
      <x:c r="J74" s="10" t="str">
        <x:v>예전에 참가업체 설명회에서 설명하기 좋은 구성이라고 했던 자료로 운영 제안 발표자료를 4장 이내로 만들어줘. 주말 운영 인력 12명 이하, 전시 4주 기준으로 하고 외부 발송은 하지 마.</x:v>
      </x:c>
      <x:c r="K74" s="10" t="str">
        <x:v>SYN-F02-02:D2@v1에 대해 봄길 지역전시 준비 운영 제안 발표자료 작성 위임을 진행하겠습니다. 적용 조건: 참가업체 설명회용, 4장 이내, 주말 운영 인력 12명 이하, 대상 기간 전시 4주, 외부 발송 없음. 내용 출처: SYN-F02-02:D2@v1.</x:v>
      </x:c>
      <x:c r="L74" s="11"/>
      <x:c r="M74" s="11"/>
      <x:c r="N74" s="10" t="str">
        <x:v>NOT_MODELED</x:v>
      </x:c>
    </x:row>
    <x:row r="75" ht="85" customHeight="1">
      <x:c r="A75" s="10" t="str">
        <x:v>T-EXEC</x:v>
      </x:c>
      <x:c r="B75" s="10" t="str">
        <x:v>TEXT</x:v>
      </x:c>
      <x:c r="C75" s="10" t="str">
        <x:v>TEXT:SYN-F02-02</x:v>
      </x:c>
      <x:c r="D75" s="10" t="str">
        <x:v>TEXT:SYN-F02-02-U02</x:v>
      </x:c>
      <x:c r="E75" s="10" t="str">
        <x:v>T-F02</x:v>
      </x:c>
      <x:c r="F75" s="10" t="n">
        <x:v>1</x:v>
      </x:c>
      <x:c r="G75" s="11" t="n">
        <x:v>2.589964</x:v>
      </x:c>
      <x:c r="H75" s="11" t="n">
        <x:v>5.165857</x:v>
      </x:c>
      <x:c r="I75" s="11" t="n">
        <x:f>H75-G75</x:f>
        <x:v>2.5758929999999998</x:v>
      </x:c>
      <x:c r="J75" s="10" t="str">
        <x:v>발표자료 작성은 계속하고, 그 자료의 일정 표만 따로 2문장으로 요약해줘. 준비와 적용 날짜를 구분해줘.</x:v>
      </x:c>
      <x:c r="K75" s="10" t="str">
        <x:v>원래 자료의 일정 표 별도 요약에 이번 조건을 적용하겠습니다: 2문장, 준비와 적용 일정 구분, 기존 발표자료 작성 유지. 대상의 최종 연결은 현재 조회 결과와 함께 확정합니다.</x:v>
      </x:c>
      <x:c r="L75" s="11"/>
      <x:c r="M75" s="11"/>
      <x:c r="N75" s="10" t="str">
        <x:v>NOT_MODELED</x:v>
      </x:c>
    </x:row>
    <x:row r="76" ht="85" customHeight="1">
      <x:c r="A76" s="10" t="str">
        <x:v>T-REL</x:v>
      </x:c>
      <x:c r="B76" s="10" t="str">
        <x:v>TEXT</x:v>
      </x:c>
      <x:c r="C76" s="10" t="str">
        <x:v>TEXT:SYN-F02-02</x:v>
      </x:c>
      <x:c r="D76" s="10" t="str">
        <x:v>TEXT:SYN-F02-02-U01</x:v>
      </x:c>
      <x:c r="E76" s="10" t="str">
        <x:v>T-F02</x:v>
      </x:c>
      <x:c r="F76" s="10" t="n">
        <x:v>1</x:v>
      </x:c>
      <x:c r="G76" s="11" t="n">
        <x:v>0</x:v>
      </x:c>
      <x:c r="H76" s="11" t="n">
        <x:v>1.30175</x:v>
      </x:c>
      <x:c r="I76" s="11" t="n">
        <x:f>H76-G76</x:f>
        <x:v>1.30175</x:v>
      </x:c>
      <x:c r="J76" s="10" t="str">
        <x:v>예전에 참가업체 설명회에서 설명하기 좋은 구성이라고 했던 자료로 운영 제안 발표자료를 4장 이내로 만들어줘. 주말 운영 인력 12명 이하, 전시 4주 기준으로 하고 외부 발송은 하지 마.</x:v>
      </x:c>
      <x:c r="K76" s="10" t="str">
        <x:v>SYN-F02-02:D1@v1의 구성을 기준으로 참가업체 설명회용 운영 제안 발표자료를 4장 이내로 작성하도록 준비하겠습니다.</x:v>
      </x:c>
      <x:c r="L76" s="11"/>
      <x:c r="M76" s="11"/>
      <x:c r="N76" s="10" t="str">
        <x:v>NOT_MODELED</x:v>
      </x:c>
    </x:row>
    <x:row r="77" ht="85" customHeight="1">
      <x:c r="A77" s="10" t="str">
        <x:v>T-REL</x:v>
      </x:c>
      <x:c r="B77" s="10" t="str">
        <x:v>TEXT</x:v>
      </x:c>
      <x:c r="C77" s="10" t="str">
        <x:v>TEXT:SYN-F02-02</x:v>
      </x:c>
      <x:c r="D77" s="10" t="str">
        <x:v>TEXT:SYN-F02-02-U02</x:v>
      </x:c>
      <x:c r="E77" s="10" t="str">
        <x:v>T-F02</x:v>
      </x:c>
      <x:c r="F77" s="10" t="n">
        <x:v>1</x:v>
      </x:c>
      <x:c r="G77" s="11" t="n">
        <x:v>1.65175</x:v>
      </x:c>
      <x:c r="H77" s="11" t="n">
        <x:v>4.445464</x:v>
      </x:c>
      <x:c r="I77" s="11" t="n">
        <x:f>H77-G77</x:f>
        <x:v>2.7937140000000005</x:v>
      </x:c>
      <x:c r="J77" s="10" t="str">
        <x:v>발표자료 작성은 계속하고, 그 자료의 일정 표만 따로 2문장으로 요약해줘. 준비와 적용 날짜를 구분해줘.</x:v>
      </x:c>
      <x:c r="K77" s="10" t="str">
        <x:v>발표자료 작성은 유지하고 SYN-F02-02:D1@v1의 일정 표를 준비와 적용 단계로 나누어 별도로 요약하겠습니다.</x:v>
      </x:c>
      <x:c r="L77" s="11"/>
      <x:c r="M77" s="11"/>
      <x:c r="N77" s="10" t="str">
        <x:v>NOT_MODELED</x:v>
      </x:c>
    </x:row>
    <x:row r="78" ht="85" customHeight="1">
      <x:c r="A78" s="10" t="str">
        <x:v>T-BASE</x:v>
      </x:c>
      <x:c r="B78" s="10" t="str">
        <x:v>TEXT</x:v>
      </x:c>
      <x:c r="C78" s="10" t="str">
        <x:v>TEXT:SYN-F02-03</x:v>
      </x:c>
      <x:c r="D78" s="10" t="str">
        <x:v>TEXT:SYN-F02-03-U01</x:v>
      </x:c>
      <x:c r="E78" s="10" t="str">
        <x:v>T-F02</x:v>
      </x:c>
      <x:c r="F78" s="10" t="n">
        <x:v>1</x:v>
      </x:c>
      <x:c r="G78" s="11" t="n">
        <x:v>0</x:v>
      </x:c>
      <x:c r="H78" s="11" t="n">
        <x:v>2.277786</x:v>
      </x:c>
      <x:c r="I78" s="11" t="n">
        <x:f>H78-G78</x:f>
        <x:v>2.277786</x:v>
      </x:c>
      <x:c r="J78" s="10" t="str">
        <x:v>예전에 교육 승인위원회에서 설명하기 좋은 구성이라고 했던 자료로 교육 개편 발표자료를 6장 이내로 만들어줘. 참가자당 교육시간 18시간 이하, 입사 후 3주 기준으로 하고 외부 발송은 하지 마.</x:v>
      </x:c>
      <x:c r="K78" s="10" t="str">
        <x:v>SYN-F02-03:D3@v1의 구성을 기준으로 교육 승인위원회용 교육 개편 발표자료를 6장 이내로 작성하도록 준비하겠습니다.</x:v>
      </x:c>
      <x:c r="L78" s="11"/>
      <x:c r="M78" s="11"/>
      <x:c r="N78" s="10" t="str">
        <x:v>NOT_MODELED</x:v>
      </x:c>
    </x:row>
    <x:row r="79" ht="85" customHeight="1">
      <x:c r="A79" s="10" t="str">
        <x:v>T-BASE</x:v>
      </x:c>
      <x:c r="B79" s="10" t="str">
        <x:v>TEXT</x:v>
      </x:c>
      <x:c r="C79" s="10" t="str">
        <x:v>TEXT:SYN-F02-03</x:v>
      </x:c>
      <x:c r="D79" s="10" t="str">
        <x:v>TEXT:SYN-F02-03-U02</x:v>
      </x:c>
      <x:c r="E79" s="10" t="str">
        <x:v>T-F02</x:v>
      </x:c>
      <x:c r="F79" s="10" t="n">
        <x:v>1</x:v>
      </x:c>
      <x:c r="G79" s="11" t="n">
        <x:v>2.627786</x:v>
      </x:c>
      <x:c r="H79" s="11" t="n">
        <x:v>6.306822</x:v>
      </x:c>
      <x:c r="I79" s="11" t="n">
        <x:f>H79-G79</x:f>
        <x:v>3.6790360000000004</x:v>
      </x:c>
      <x:c r="J79" s="10" t="str">
        <x:v>발표자료 작성은 계속하고, 그 자료의 일정 표만 따로 4문장으로 요약해줘. 준비와 적용 날짜를 구분해줘.</x:v>
      </x:c>
      <x:c r="K79" s="10" t="str">
        <x:v>발표자료 작성은 유지하고 SYN-F02-03:D3@v1의 일정 표를 준비와 적용 단계로 나누어 별도로 요약하겠습니다.</x:v>
      </x:c>
      <x:c r="L79" s="11"/>
      <x:c r="M79" s="11"/>
      <x:c r="N79" s="10" t="str">
        <x:v>NOT_MODELED</x:v>
      </x:c>
    </x:row>
    <x:row r="80" ht="85" customHeight="1">
      <x:c r="A80" s="10" t="str">
        <x:v>T-EXEC</x:v>
      </x:c>
      <x:c r="B80" s="10" t="str">
        <x:v>TEXT</x:v>
      </x:c>
      <x:c r="C80" s="10" t="str">
        <x:v>TEXT:SYN-F02-03</x:v>
      </x:c>
      <x:c r="D80" s="10" t="str">
        <x:v>TEXT:SYN-F02-03-U01</x:v>
      </x:c>
      <x:c r="E80" s="10" t="str">
        <x:v>T-F02</x:v>
      </x:c>
      <x:c r="F80" s="10" t="n">
        <x:v>1</x:v>
      </x:c>
      <x:c r="G80" s="11" t="n">
        <x:v>0</x:v>
      </x:c>
      <x:c r="H80" s="11" t="n">
        <x:v>2.277786</x:v>
      </x:c>
      <x:c r="I80" s="11" t="n">
        <x:f>H80-G80</x:f>
        <x:v>2.277786</x:v>
      </x:c>
      <x:c r="J80" s="10" t="str">
        <x:v>예전에 교육 승인위원회에서 설명하기 좋은 구성이라고 했던 자료로 교육 개편 발표자료를 6장 이내로 만들어줘. 참가자당 교육시간 18시간 이하, 입사 후 3주 기준으로 하고 외부 발송은 하지 마.</x:v>
      </x:c>
      <x:c r="K80" s="10" t="str">
        <x:v>SYN-F02-03:D3@v1의 구성을 기준으로 교육 승인위원회용 교육 개편 발표자료를 6장 이내로 작성하도록 준비하겠습니다.</x:v>
      </x:c>
      <x:c r="L80" s="11"/>
      <x:c r="M80" s="11"/>
      <x:c r="N80" s="10" t="str">
        <x:v>NOT_MODELED</x:v>
      </x:c>
    </x:row>
    <x:row r="81" ht="85" customHeight="1">
      <x:c r="A81" s="10" t="str">
        <x:v>T-EXEC</x:v>
      </x:c>
      <x:c r="B81" s="10" t="str">
        <x:v>TEXT</x:v>
      </x:c>
      <x:c r="C81" s="10" t="str">
        <x:v>TEXT:SYN-F02-03</x:v>
      </x:c>
      <x:c r="D81" s="10" t="str">
        <x:v>TEXT:SYN-F02-03-U02</x:v>
      </x:c>
      <x:c r="E81" s="10" t="str">
        <x:v>T-F02</x:v>
      </x:c>
      <x:c r="F81" s="10" t="n">
        <x:v>1</x:v>
      </x:c>
      <x:c r="G81" s="11" t="n">
        <x:v>2.627786</x:v>
      </x:c>
      <x:c r="H81" s="11" t="n">
        <x:v>5.251179</x:v>
      </x:c>
      <x:c r="I81" s="11" t="n">
        <x:f>H81-G81</x:f>
        <x:v>2.6233929999999996</x:v>
      </x:c>
      <x:c r="J81" s="10" t="str">
        <x:v>발표자료 작성은 계속하고, 그 자료의 일정 표만 따로 4문장으로 요약해줘. 준비와 적용 날짜를 구분해줘.</x:v>
      </x:c>
      <x:c r="K81" s="10" t="str">
        <x:v>원래 자료의 일정 표 별도 요약에 이번 조건을 적용하겠습니다: 4문장, 준비와 적용 일정 구분, 기존 발표자료 작성 유지. 대상의 최종 연결은 현재 조회 결과와 함께 확정합니다.</x:v>
      </x:c>
      <x:c r="L81" s="11"/>
      <x:c r="M81" s="11"/>
      <x:c r="N81" s="10" t="str">
        <x:v>NOT_MODELED</x:v>
      </x:c>
    </x:row>
    <x:row r="82" ht="85" customHeight="1">
      <x:c r="A82" s="10" t="str">
        <x:v>T-REL</x:v>
      </x:c>
      <x:c r="B82" s="10" t="str">
        <x:v>TEXT</x:v>
      </x:c>
      <x:c r="C82" s="10" t="str">
        <x:v>TEXT:SYN-F02-03</x:v>
      </x:c>
      <x:c r="D82" s="10" t="str">
        <x:v>TEXT:SYN-F02-03-U01</x:v>
      </x:c>
      <x:c r="E82" s="10" t="str">
        <x:v>T-F02</x:v>
      </x:c>
      <x:c r="F82" s="10" t="n">
        <x:v>1</x:v>
      </x:c>
      <x:c r="G82" s="11" t="n">
        <x:v>0</x:v>
      </x:c>
      <x:c r="H82" s="11" t="n">
        <x:v>1.314571</x:v>
      </x:c>
      <x:c r="I82" s="11" t="n">
        <x:f>H82-G82</x:f>
        <x:v>1.314571</x:v>
      </x:c>
      <x:c r="J82" s="10" t="str">
        <x:v>예전에 교육 승인위원회에서 설명하기 좋은 구성이라고 했던 자료로 교육 개편 발표자료를 6장 이내로 만들어줘. 참가자당 교육시간 18시간 이하, 입사 후 3주 기준으로 하고 외부 발송은 하지 마.</x:v>
      </x:c>
      <x:c r="K82" s="10" t="str">
        <x:v>SYN-F02-03:D3@v1의 구성을 기준으로 교육 승인위원회용 교육 개편 발표자료를 6장 이내로 작성하도록 준비하겠습니다.</x:v>
      </x:c>
      <x:c r="L82" s="11"/>
      <x:c r="M82" s="11"/>
      <x:c r="N82" s="10" t="str">
        <x:v>NOT_MODELED</x:v>
      </x:c>
    </x:row>
    <x:row r="83" ht="85" customHeight="1">
      <x:c r="A83" s="10" t="str">
        <x:v>T-REL</x:v>
      </x:c>
      <x:c r="B83" s="10" t="str">
        <x:v>TEXT</x:v>
      </x:c>
      <x:c r="C83" s="10" t="str">
        <x:v>TEXT:SYN-F02-03</x:v>
      </x:c>
      <x:c r="D83" s="10" t="str">
        <x:v>TEXT:SYN-F02-03-U02</x:v>
      </x:c>
      <x:c r="E83" s="10" t="str">
        <x:v>T-F02</x:v>
      </x:c>
      <x:c r="F83" s="10" t="n">
        <x:v>1</x:v>
      </x:c>
      <x:c r="G83" s="11" t="n">
        <x:v>1.664571</x:v>
      </x:c>
      <x:c r="H83" s="11" t="n">
        <x:v>4.516107</x:v>
      </x:c>
      <x:c r="I83" s="11" t="n">
        <x:f>H83-G83</x:f>
        <x:v>2.851536</x:v>
      </x:c>
      <x:c r="J83" s="10" t="str">
        <x:v>발표자료 작성은 계속하고, 그 자료의 일정 표만 따로 4문장으로 요약해줘. 준비와 적용 날짜를 구분해줘.</x:v>
      </x:c>
      <x:c r="K83" s="10" t="str">
        <x:v>발표자료 작성은 유지하고 SYN-F02-03:D3@v1의 일정 표를 준비와 적용 단계로 나누어 별도로 요약하겠습니다.</x:v>
      </x:c>
      <x:c r="L83" s="11"/>
      <x:c r="M83" s="11"/>
      <x:c r="N83" s="10" t="str">
        <x:v>NOT_MODELED</x:v>
      </x:c>
    </x:row>
    <x:row r="84" ht="85" customHeight="1">
      <x:c r="A84" s="10" t="str">
        <x:v>T-BASE</x:v>
      </x:c>
      <x:c r="B84" s="10" t="str">
        <x:v>TEXT</x:v>
      </x:c>
      <x:c r="C84" s="10" t="str">
        <x:v>TEXT:SYN-F02-04</x:v>
      </x:c>
      <x:c r="D84" s="10" t="str">
        <x:v>TEXT:SYN-F02-04-U01</x:v>
      </x:c>
      <x:c r="E84" s="10" t="str">
        <x:v>T-F02</x:v>
      </x:c>
      <x:c r="F84" s="10" t="n">
        <x:v>1</x:v>
      </x:c>
      <x:c r="G84" s="11" t="n">
        <x:v>0</x:v>
      </x:c>
      <x:c r="H84" s="11" t="n">
        <x:v>2.240607</x:v>
      </x:c>
      <x:c r="I84" s="11" t="n">
        <x:f>H84-G84</x:f>
        <x:v>2.240607</x:v>
      </x:c>
      <x:c r="J84" s="10" t="str">
        <x:v>예전에 협력사 운영설명회에서 설명하기 좋은 구성이라고 했던 자료로 거점 개선 발표자료를 7장 이내로 만들어줘. 일일 추가 운행 8회 이하, 평일 20일 기준으로 하고 외부 발송은 하지 마.</x:v>
      </x:c>
      <x:c r="K84" s="10" t="str">
        <x:v>SYN-F02-04:D2@v1의 구성을 기준으로 협력사 운영설명회용 거점 개선 발표자료를 7장 이내로 작성하도록 준비하겠습니다.</x:v>
      </x:c>
      <x:c r="L84" s="11"/>
      <x:c r="M84" s="11"/>
      <x:c r="N84" s="10" t="str">
        <x:v>NOT_MODELED</x:v>
      </x:c>
    </x:row>
    <x:row r="85" ht="85" customHeight="1">
      <x:c r="A85" s="10" t="str">
        <x:v>T-BASE</x:v>
      </x:c>
      <x:c r="B85" s="10" t="str">
        <x:v>TEXT</x:v>
      </x:c>
      <x:c r="C85" s="10" t="str">
        <x:v>TEXT:SYN-F02-04</x:v>
      </x:c>
      <x:c r="D85" s="10" t="str">
        <x:v>TEXT:SYN-F02-04-U02</x:v>
      </x:c>
      <x:c r="E85" s="10" t="str">
        <x:v>T-F02</x:v>
      </x:c>
      <x:c r="F85" s="10" t="n">
        <x:v>1</x:v>
      </x:c>
      <x:c r="G85" s="11" t="n">
        <x:v>2.590607</x:v>
      </x:c>
      <x:c r="H85" s="11" t="n">
        <x:v>6.277464</x:v>
      </x:c>
      <x:c r="I85" s="11" t="n">
        <x:f>H85-G85</x:f>
        <x:v>3.6868570000000003</x:v>
      </x:c>
      <x:c r="J85" s="10" t="str">
        <x:v>발표자료 작성은 계속하고, 그 자료의 일정 표만 따로 3문장으로 요약해줘. 준비와 적용 날짜를 구분해줘.</x:v>
      </x:c>
      <x:c r="K85" s="10" t="str">
        <x:v>발표자료 작성은 유지하고 SYN-F02-04:D2@v1의 일정 표를 준비와 적용 단계로 나누어 별도로 요약하겠습니다.</x:v>
      </x:c>
      <x:c r="L85" s="11"/>
      <x:c r="M85" s="11"/>
      <x:c r="N85" s="10" t="str">
        <x:v>NOT_MODELED</x:v>
      </x:c>
    </x:row>
    <x:row r="86" ht="85" customHeight="1">
      <x:c r="A86" s="10" t="str">
        <x:v>T-EXEC</x:v>
      </x:c>
      <x:c r="B86" s="10" t="str">
        <x:v>TEXT</x:v>
      </x:c>
      <x:c r="C86" s="10" t="str">
        <x:v>TEXT:SYN-F02-04</x:v>
      </x:c>
      <x:c r="D86" s="10" t="str">
        <x:v>TEXT:SYN-F02-04-U01</x:v>
      </x:c>
      <x:c r="E86" s="10" t="str">
        <x:v>T-F02</x:v>
      </x:c>
      <x:c r="F86" s="10" t="n">
        <x:v>1</x:v>
      </x:c>
      <x:c r="G86" s="11" t="n">
        <x:v>0</x:v>
      </x:c>
      <x:c r="H86" s="11" t="n">
        <x:v>2.240607</x:v>
      </x:c>
      <x:c r="I86" s="11" t="n">
        <x:f>H86-G86</x:f>
        <x:v>2.240607</x:v>
      </x:c>
      <x:c r="J86" s="10" t="str">
        <x:v>예전에 협력사 운영설명회에서 설명하기 좋은 구성이라고 했던 자료로 거점 개선 발표자료를 7장 이내로 만들어줘. 일일 추가 운행 8회 이하, 평일 20일 기준으로 하고 외부 발송은 하지 마.</x:v>
      </x:c>
      <x:c r="K86" s="10" t="str">
        <x:v>SYN-F02-04:D2@v1의 구성을 기준으로 협력사 운영설명회용 거점 개선 발표자료를 7장 이내로 작성하도록 준비하겠습니다.</x:v>
      </x:c>
      <x:c r="L86" s="11"/>
      <x:c r="M86" s="11"/>
      <x:c r="N86" s="10" t="str">
        <x:v>NOT_MODELED</x:v>
      </x:c>
    </x:row>
    <x:row r="87" ht="85" customHeight="1">
      <x:c r="A87" s="10" t="str">
        <x:v>T-EXEC</x:v>
      </x:c>
      <x:c r="B87" s="10" t="str">
        <x:v>TEXT</x:v>
      </x:c>
      <x:c r="C87" s="10" t="str">
        <x:v>TEXT:SYN-F02-04</x:v>
      </x:c>
      <x:c r="D87" s="10" t="str">
        <x:v>TEXT:SYN-F02-04-U02</x:v>
      </x:c>
      <x:c r="E87" s="10" t="str">
        <x:v>T-F02</x:v>
      </x:c>
      <x:c r="F87" s="10" t="n">
        <x:v>1</x:v>
      </x:c>
      <x:c r="G87" s="11" t="n">
        <x:v>2.590607</x:v>
      </x:c>
      <x:c r="H87" s="11" t="n">
        <x:v>5.16775</x:v>
      </x:c>
      <x:c r="I87" s="11" t="n">
        <x:f>H87-G87</x:f>
        <x:v>2.577143</x:v>
      </x:c>
      <x:c r="J87" s="10" t="str">
        <x:v>발표자료 작성은 계속하고, 그 자료의 일정 표만 따로 3문장으로 요약해줘. 준비와 적용 날짜를 구분해줘.</x:v>
      </x:c>
      <x:c r="K87" s="10" t="str">
        <x:v>원래 자료의 일정 표 별도 요약에 이번 조건을 적용하겠습니다: 3문장, 준비와 적용 일정 구분, 기존 발표자료 작성 유지. 대상의 최종 연결은 현재 조회 결과와 함께 확정합니다.</x:v>
      </x:c>
      <x:c r="L87" s="11"/>
      <x:c r="M87" s="11"/>
      <x:c r="N87" s="10" t="str">
        <x:v>NOT_MODELED</x:v>
      </x:c>
    </x:row>
    <x:row r="88" ht="85" customHeight="1">
      <x:c r="A88" s="10" t="str">
        <x:v>T-REL</x:v>
      </x:c>
      <x:c r="B88" s="10" t="str">
        <x:v>TEXT</x:v>
      </x:c>
      <x:c r="C88" s="10" t="str">
        <x:v>TEXT:SYN-F02-04</x:v>
      </x:c>
      <x:c r="D88" s="10" t="str">
        <x:v>TEXT:SYN-F02-04-U01</x:v>
      </x:c>
      <x:c r="E88" s="10" t="str">
        <x:v>T-F02</x:v>
      </x:c>
      <x:c r="F88" s="10" t="n">
        <x:v>1</x:v>
      </x:c>
      <x:c r="G88" s="11" t="n">
        <x:v>0</x:v>
      </x:c>
      <x:c r="H88" s="11" t="n">
        <x:v>1.327393</x:v>
      </x:c>
      <x:c r="I88" s="11" t="n">
        <x:f>H88-G88</x:f>
        <x:v>1.327393</x:v>
      </x:c>
      <x:c r="J88" s="10" t="str">
        <x:v>예전에 협력사 운영설명회에서 설명하기 좋은 구성이라고 했던 자료로 거점 개선 발표자료를 7장 이내로 만들어줘. 일일 추가 운행 8회 이하, 평일 20일 기준으로 하고 외부 발송은 하지 마.</x:v>
      </x:c>
      <x:c r="K88" s="10" t="str">
        <x:v>SYN-F02-04:D2@v1의 구성을 기준으로 협력사 운영설명회용 거점 개선 발표자료를 7장 이내로 작성하도록 준비하겠습니다.</x:v>
      </x:c>
      <x:c r="L88" s="11"/>
      <x:c r="M88" s="11"/>
      <x:c r="N88" s="10" t="str">
        <x:v>NOT_MODELED</x:v>
      </x:c>
    </x:row>
    <x:row r="89" ht="85" customHeight="1">
      <x:c r="A89" s="10" t="str">
        <x:v>T-REL</x:v>
      </x:c>
      <x:c r="B89" s="10" t="str">
        <x:v>TEXT</x:v>
      </x:c>
      <x:c r="C89" s="10" t="str">
        <x:v>TEXT:SYN-F02-04</x:v>
      </x:c>
      <x:c r="D89" s="10" t="str">
        <x:v>TEXT:SYN-F02-04-U02</x:v>
      </x:c>
      <x:c r="E89" s="10" t="str">
        <x:v>T-F02</x:v>
      </x:c>
      <x:c r="F89" s="10" t="n">
        <x:v>1</x:v>
      </x:c>
      <x:c r="G89" s="11" t="n">
        <x:v>1.677393</x:v>
      </x:c>
      <x:c r="H89" s="11" t="n">
        <x:v>4.58675</x:v>
      </x:c>
      <x:c r="I89" s="11" t="n">
        <x:f>H89-G89</x:f>
        <x:v>2.9093570000000004</x:v>
      </x:c>
      <x:c r="J89" s="10" t="str">
        <x:v>발표자료 작성은 계속하고, 그 자료의 일정 표만 따로 3문장으로 요약해줘. 준비와 적용 날짜를 구분해줘.</x:v>
      </x:c>
      <x:c r="K89" s="10" t="str">
        <x:v>발표자료 작성은 유지하고 SYN-F02-04:D2@v1의 일정 표를 준비와 적용 단계로 나누어 별도로 요약하겠습니다.</x:v>
      </x:c>
      <x:c r="L89" s="11"/>
      <x:c r="M89" s="11"/>
      <x:c r="N89" s="10" t="str">
        <x:v>NOT_MODELED</x:v>
      </x:c>
    </x:row>
    <x:row r="90" ht="85" customHeight="1">
      <x:c r="A90" s="10" t="str">
        <x:v>T-BASE</x:v>
      </x:c>
      <x:c r="B90" s="10" t="str">
        <x:v>TEXT</x:v>
      </x:c>
      <x:c r="C90" s="10" t="str">
        <x:v>TEXT:SYN-F02-05</x:v>
      </x:c>
      <x:c r="D90" s="10" t="str">
        <x:v>TEXT:SYN-F02-05-U01</x:v>
      </x:c>
      <x:c r="E90" s="10" t="str">
        <x:v>T-F02</x:v>
      </x:c>
      <x:c r="F90" s="10" t="n">
        <x:v>1</x:v>
      </x:c>
      <x:c r="G90" s="11" t="n">
        <x:v>0</x:v>
      </x:c>
      <x:c r="H90" s="11" t="n">
        <x:v>2.253429</x:v>
      </x:c>
      <x:c r="I90" s="11" t="n">
        <x:f>H90-G90</x:f>
        <x:v>2.253429</x:v>
      </x:c>
      <x:c r="J90" s="10" t="str">
        <x:v>예전에 입주사 설명회에서 설명하기 좋은 구성이라고 했던 자료로 조명 교체 검토자료를 5장 이내로 만들어줘. 층별 정전 30분 이하, 교체 후 6개월 기준으로 하고 외부 발송은 하지 마.</x:v>
      </x:c>
      <x:c r="K90" s="10" t="str">
        <x:v>SYN-F02-05:D1@v1의 구성을 기준으로 입주사 설명회용 조명 교체 검토자료를 5장 이내로 작성하도록 준비하겠습니다.</x:v>
      </x:c>
      <x:c r="L90" s="11"/>
      <x:c r="M90" s="11"/>
      <x:c r="N90" s="10" t="str">
        <x:v>NOT_MODELED</x:v>
      </x:c>
    </x:row>
    <x:row r="91" ht="85" customHeight="1">
      <x:c r="A91" s="10" t="str">
        <x:v>T-BASE</x:v>
      </x:c>
      <x:c r="B91" s="10" t="str">
        <x:v>TEXT</x:v>
      </x:c>
      <x:c r="C91" s="10" t="str">
        <x:v>TEXT:SYN-F02-05</x:v>
      </x:c>
      <x:c r="D91" s="10" t="str">
        <x:v>TEXT:SYN-F02-05-U02</x:v>
      </x:c>
      <x:c r="E91" s="10" t="str">
        <x:v>T-F02</x:v>
      </x:c>
      <x:c r="F91" s="10" t="n">
        <x:v>1</x:v>
      </x:c>
      <x:c r="G91" s="11" t="n">
        <x:v>2.603429</x:v>
      </x:c>
      <x:c r="H91" s="11" t="n">
        <x:v>6.348108</x:v>
      </x:c>
      <x:c r="I91" s="11" t="n">
        <x:f>H91-G91</x:f>
        <x:v>3.7446789999999996</x:v>
      </x:c>
      <x:c r="J91" s="10" t="str">
        <x:v>발표자료 작성은 계속하고, 그 자료의 일정 표만 따로 2문장으로 요약해줘. 준비와 적용 날짜를 구분해줘.</x:v>
      </x:c>
      <x:c r="K91" s="10" t="str">
        <x:v>발표자료 작성은 유지하고 SYN-F02-05:D1@v1의 일정 표를 준비와 적용 단계로 나누어 별도로 요약하겠습니다.</x:v>
      </x:c>
      <x:c r="L91" s="11"/>
      <x:c r="M91" s="11"/>
      <x:c r="N91" s="10" t="str">
        <x:v>NOT_MODELED</x:v>
      </x:c>
    </x:row>
    <x:row r="92" ht="85" customHeight="1">
      <x:c r="A92" s="10" t="str">
        <x:v>T-EXEC</x:v>
      </x:c>
      <x:c r="B92" s="10" t="str">
        <x:v>TEXT</x:v>
      </x:c>
      <x:c r="C92" s="10" t="str">
        <x:v>TEXT:SYN-F02-05</x:v>
      </x:c>
      <x:c r="D92" s="10" t="str">
        <x:v>TEXT:SYN-F02-05-U01</x:v>
      </x:c>
      <x:c r="E92" s="10" t="str">
        <x:v>T-F02</x:v>
      </x:c>
      <x:c r="F92" s="10" t="n">
        <x:v>1</x:v>
      </x:c>
      <x:c r="G92" s="11" t="n">
        <x:v>0</x:v>
      </x:c>
      <x:c r="H92" s="11" t="n">
        <x:v>2.253429</x:v>
      </x:c>
      <x:c r="I92" s="11" t="n">
        <x:f>H92-G92</x:f>
        <x:v>2.253429</x:v>
      </x:c>
      <x:c r="J92" s="10" t="str">
        <x:v>예전에 입주사 설명회에서 설명하기 좋은 구성이라고 했던 자료로 조명 교체 검토자료를 5장 이내로 만들어줘. 층별 정전 30분 이하, 교체 후 6개월 기준으로 하고 외부 발송은 하지 마.</x:v>
      </x:c>
      <x:c r="K92" s="10" t="str">
        <x:v>SYN-F02-05:D1@v1의 구성을 기준으로 입주사 설명회용 조명 교체 검토자료를 5장 이내로 작성하도록 준비하겠습니다.</x:v>
      </x:c>
      <x:c r="L92" s="11"/>
      <x:c r="M92" s="11"/>
      <x:c r="N92" s="10" t="str">
        <x:v>NOT_MODELED</x:v>
      </x:c>
    </x:row>
    <x:row r="93" ht="85" customHeight="1">
      <x:c r="A93" s="10" t="str">
        <x:v>T-EXEC</x:v>
      </x:c>
      <x:c r="B93" s="10" t="str">
        <x:v>TEXT</x:v>
      </x:c>
      <x:c r="C93" s="10" t="str">
        <x:v>TEXT:SYN-F02-05</x:v>
      </x:c>
      <x:c r="D93" s="10" t="str">
        <x:v>TEXT:SYN-F02-05-U02</x:v>
      </x:c>
      <x:c r="E93" s="10" t="str">
        <x:v>T-F02</x:v>
      </x:c>
      <x:c r="F93" s="10" t="n">
        <x:v>1</x:v>
      </x:c>
      <x:c r="G93" s="11" t="n">
        <x:v>2.603429</x:v>
      </x:c>
      <x:c r="H93" s="11" t="n">
        <x:v>5.203072</x:v>
      </x:c>
      <x:c r="I93" s="11" t="n">
        <x:f>H93-G93</x:f>
        <x:v>2.5996429999999995</x:v>
      </x:c>
      <x:c r="J93" s="10" t="str">
        <x:v>발표자료 작성은 계속하고, 그 자료의 일정 표만 따로 2문장으로 요약해줘. 준비와 적용 날짜를 구분해줘.</x:v>
      </x:c>
      <x:c r="K93" s="10" t="str">
        <x:v>원래 자료의 일정 표 별도 요약에 이번 조건을 적용하겠습니다: 2문장, 준비와 적용 일정 구분, 기존 발표자료 작성 유지. 대상의 최종 연결은 현재 조회 결과와 함께 확정합니다.</x:v>
      </x:c>
      <x:c r="L93" s="11"/>
      <x:c r="M93" s="11"/>
      <x:c r="N93" s="10" t="str">
        <x:v>NOT_MODELED</x:v>
      </x:c>
    </x:row>
    <x:row r="94" ht="85" customHeight="1">
      <x:c r="A94" s="10" t="str">
        <x:v>T-REL</x:v>
      </x:c>
      <x:c r="B94" s="10" t="str">
        <x:v>TEXT</x:v>
      </x:c>
      <x:c r="C94" s="10" t="str">
        <x:v>TEXT:SYN-F02-05</x:v>
      </x:c>
      <x:c r="D94" s="10" t="str">
        <x:v>TEXT:SYN-F02-05-U01</x:v>
      </x:c>
      <x:c r="E94" s="10" t="str">
        <x:v>T-F02</x:v>
      </x:c>
      <x:c r="F94" s="10" t="n">
        <x:v>1</x:v>
      </x:c>
      <x:c r="G94" s="11" t="n">
        <x:v>0</x:v>
      </x:c>
      <x:c r="H94" s="11" t="n">
        <x:v>1.315214</x:v>
      </x:c>
      <x:c r="I94" s="11" t="n">
        <x:f>H94-G94</x:f>
        <x:v>1.315214</x:v>
      </x:c>
      <x:c r="J94" s="10" t="str">
        <x:v>예전에 입주사 설명회에서 설명하기 좋은 구성이라고 했던 자료로 조명 교체 검토자료를 5장 이내로 만들어줘. 층별 정전 30분 이하, 교체 후 6개월 기준으로 하고 외부 발송은 하지 마.</x:v>
      </x:c>
      <x:c r="K94" s="10" t="str">
        <x:v>SYN-F02-05:D1@v1의 구성을 기준으로 입주사 설명회용 조명 교체 검토자료를 5장 이내로 작성하도록 준비하겠습니다.</x:v>
      </x:c>
      <x:c r="L94" s="11"/>
      <x:c r="M94" s="11"/>
      <x:c r="N94" s="10" t="str">
        <x:v>NOT_MODELED</x:v>
      </x:c>
    </x:row>
    <x:row r="95" ht="85" customHeight="1">
      <x:c r="A95" s="10" t="str">
        <x:v>T-REL</x:v>
      </x:c>
      <x:c r="B95" s="10" t="str">
        <x:v>TEXT</x:v>
      </x:c>
      <x:c r="C95" s="10" t="str">
        <x:v>TEXT:SYN-F02-05</x:v>
      </x:c>
      <x:c r="D95" s="10" t="str">
        <x:v>TEXT:SYN-F02-05-U02</x:v>
      </x:c>
      <x:c r="E95" s="10" t="str">
        <x:v>T-F02</x:v>
      </x:c>
      <x:c r="F95" s="10" t="n">
        <x:v>1</x:v>
      </x:c>
      <x:c r="G95" s="11" t="n">
        <x:v>1.665214</x:v>
      </x:c>
      <x:c r="H95" s="11" t="n">
        <x:v>4.607393</x:v>
      </x:c>
      <x:c r="I95" s="11" t="n">
        <x:f>H95-G95</x:f>
        <x:v>2.9421790000000003</x:v>
      </x:c>
      <x:c r="J95" s="10" t="str">
        <x:v>발표자료 작성은 계속하고, 그 자료의 일정 표만 따로 2문장으로 요약해줘. 준비와 적용 날짜를 구분해줘.</x:v>
      </x:c>
      <x:c r="K95" s="10" t="str">
        <x:v>발표자료 작성은 유지하고 SYN-F02-05:D1@v1의 일정 표를 준비와 적용 단계로 나누어 별도로 요약하겠습니다.</x:v>
      </x:c>
      <x:c r="L95" s="11"/>
      <x:c r="M95" s="11"/>
      <x:c r="N95" s="10" t="str">
        <x:v>NOT_MODELED</x:v>
      </x:c>
    </x:row>
    <x:row r="96" ht="85" customHeight="1">
      <x:c r="A96" s="10" t="str">
        <x:v>T-BASE</x:v>
      </x:c>
      <x:c r="B96" s="10" t="str">
        <x:v>TEXT</x:v>
      </x:c>
      <x:c r="C96" s="10" t="str">
        <x:v>TEXT:SYN-F02-06</x:v>
      </x:c>
      <x:c r="D96" s="10" t="str">
        <x:v>TEXT:SYN-F02-06-U01</x:v>
      </x:c>
      <x:c r="E96" s="10" t="str">
        <x:v>T-F02</x:v>
      </x:c>
      <x:c r="F96" s="10" t="n">
        <x:v>1</x:v>
      </x:c>
      <x:c r="G96" s="11" t="n">
        <x:v>0</x:v>
      </x:c>
      <x:c r="H96" s="11" t="n">
        <x:v>2.29125</x:v>
      </x:c>
      <x:c r="I96" s="11" t="n">
        <x:f>H96-G96</x:f>
        <x:v>2.29125</x:v>
      </x:c>
      <x:c r="J96" s="10" t="str">
        <x:v>예전에 참여기업 안내회에서 설명하기 좋은 구성이라고 했던 자료로 행사 운영 발표자료를 8장 이내로 만들어줘. 현장 대기 20분 이하, 행사 2일 기준으로 하고 외부 발송은 하지 마.</x:v>
      </x:c>
      <x:c r="K96" s="10" t="str">
        <x:v>SYN-F02-06:D3@v1의 구성을 기준으로 참여기업 안내회용 행사 운영 발표자료를 8장 이내로 작성하도록 준비하겠습니다.</x:v>
      </x:c>
      <x:c r="L96" s="11"/>
      <x:c r="M96" s="11"/>
      <x:c r="N96" s="10" t="str">
        <x:v>NOT_MODELED</x:v>
      </x:c>
    </x:row>
    <x:row r="97" ht="85" customHeight="1">
      <x:c r="A97" s="10" t="str">
        <x:v>T-BASE</x:v>
      </x:c>
      <x:c r="B97" s="10" t="str">
        <x:v>TEXT</x:v>
      </x:c>
      <x:c r="C97" s="10" t="str">
        <x:v>TEXT:SYN-F02-06</x:v>
      </x:c>
      <x:c r="D97" s="10" t="str">
        <x:v>TEXT:SYN-F02-06-U02</x:v>
      </x:c>
      <x:c r="E97" s="10" t="str">
        <x:v>T-F02</x:v>
      </x:c>
      <x:c r="F97" s="10" t="n">
        <x:v>1</x:v>
      </x:c>
      <x:c r="G97" s="11" t="n">
        <x:v>2.64125</x:v>
      </x:c>
      <x:c r="H97" s="11" t="n">
        <x:v>6.46875</x:v>
      </x:c>
      <x:c r="I97" s="11" t="n">
        <x:f>H97-G97</x:f>
        <x:v>3.8275</x:v>
      </x:c>
      <x:c r="J97" s="10" t="str">
        <x:v>발표자료 작성은 계속하고, 그 자료의 일정 표만 따로 4문장으로 요약해줘. 준비와 적용 날짜를 구분해줘.</x:v>
      </x:c>
      <x:c r="K97" s="10" t="str">
        <x:v>발표자료 작성은 유지하고 SYN-F02-06:D3@v1의 일정 표를 준비와 적용 단계로 나누어 별도로 요약하겠습니다.</x:v>
      </x:c>
      <x:c r="L97" s="11"/>
      <x:c r="M97" s="11"/>
      <x:c r="N97" s="10" t="str">
        <x:v>NOT_MODELED</x:v>
      </x:c>
    </x:row>
    <x:row r="98" ht="85" customHeight="1">
      <x:c r="A98" s="10" t="str">
        <x:v>T-EXEC</x:v>
      </x:c>
      <x:c r="B98" s="10" t="str">
        <x:v>TEXT</x:v>
      </x:c>
      <x:c r="C98" s="10" t="str">
        <x:v>TEXT:SYN-F02-06</x:v>
      </x:c>
      <x:c r="D98" s="10" t="str">
        <x:v>TEXT:SYN-F02-06-U01</x:v>
      </x:c>
      <x:c r="E98" s="10" t="str">
        <x:v>T-F02</x:v>
      </x:c>
      <x:c r="F98" s="10" t="n">
        <x:v>1</x:v>
      </x:c>
      <x:c r="G98" s="11" t="n">
        <x:v>0</x:v>
      </x:c>
      <x:c r="H98" s="11" t="n">
        <x:v>2.29125</x:v>
      </x:c>
      <x:c r="I98" s="11" t="n">
        <x:f>H98-G98</x:f>
        <x:v>2.29125</x:v>
      </x:c>
      <x:c r="J98" s="10" t="str">
        <x:v>예전에 참여기업 안내회에서 설명하기 좋은 구성이라고 했던 자료로 행사 운영 발표자료를 8장 이내로 만들어줘. 현장 대기 20분 이하, 행사 2일 기준으로 하고 외부 발송은 하지 마.</x:v>
      </x:c>
      <x:c r="K98" s="10" t="str">
        <x:v>SYN-F02-06:D3@v1의 구성을 기준으로 참여기업 안내회용 행사 운영 발표자료를 8장 이내로 작성하도록 준비하겠습니다.</x:v>
      </x:c>
      <x:c r="L98" s="11"/>
      <x:c r="M98" s="11"/>
      <x:c r="N98" s="10" t="str">
        <x:v>NOT_MODELED</x:v>
      </x:c>
    </x:row>
    <x:row r="99" ht="85" customHeight="1">
      <x:c r="A99" s="10" t="str">
        <x:v>T-EXEC</x:v>
      </x:c>
      <x:c r="B99" s="10" t="str">
        <x:v>TEXT</x:v>
      </x:c>
      <x:c r="C99" s="10" t="str">
        <x:v>TEXT:SYN-F02-06</x:v>
      </x:c>
      <x:c r="D99" s="10" t="str">
        <x:v>TEXT:SYN-F02-06-U02</x:v>
      </x:c>
      <x:c r="E99" s="10" t="str">
        <x:v>T-F02</x:v>
      </x:c>
      <x:c r="F99" s="10" t="n">
        <x:v>1</x:v>
      </x:c>
      <x:c r="G99" s="11" t="n">
        <x:v>2.64125</x:v>
      </x:c>
      <x:c r="H99" s="11" t="n">
        <x:v>5.288393</x:v>
      </x:c>
      <x:c r="I99" s="11" t="n">
        <x:f>H99-G99</x:f>
        <x:v>2.6471430000000002</x:v>
      </x:c>
      <x:c r="J99" s="10" t="str">
        <x:v>발표자료 작성은 계속하고, 그 자료의 일정 표만 따로 4문장으로 요약해줘. 준비와 적용 날짜를 구분해줘.</x:v>
      </x:c>
      <x:c r="K99" s="10" t="str">
        <x:v>원래 자료의 일정 표 별도 요약에 이번 조건을 적용하겠습니다: 4문장, 준비와 적용 일정 구분, 기존 발표자료 작성 유지. 대상의 최종 연결은 현재 조회 결과와 함께 확정합니다.</x:v>
      </x:c>
      <x:c r="L99" s="11"/>
      <x:c r="M99" s="11"/>
      <x:c r="N99" s="10" t="str">
        <x:v>NOT_MODELED</x:v>
      </x:c>
    </x:row>
    <x:row r="100" ht="85" customHeight="1">
      <x:c r="A100" s="10" t="str">
        <x:v>T-REL</x:v>
      </x:c>
      <x:c r="B100" s="10" t="str">
        <x:v>TEXT</x:v>
      </x:c>
      <x:c r="C100" s="10" t="str">
        <x:v>TEXT:SYN-F02-06</x:v>
      </x:c>
      <x:c r="D100" s="10" t="str">
        <x:v>TEXT:SYN-F02-06-U01</x:v>
      </x:c>
      <x:c r="E100" s="10" t="str">
        <x:v>T-F02</x:v>
      </x:c>
      <x:c r="F100" s="10" t="n">
        <x:v>1</x:v>
      </x:c>
      <x:c r="G100" s="11" t="n">
        <x:v>0</x:v>
      </x:c>
      <x:c r="H100" s="11" t="n">
        <x:v>1.328036</x:v>
      </x:c>
      <x:c r="I100" s="11" t="n">
        <x:f>H100-G100</x:f>
        <x:v>1.328036</x:v>
      </x:c>
      <x:c r="J100" s="10" t="str">
        <x:v>예전에 참여기업 안내회에서 설명하기 좋은 구성이라고 했던 자료로 행사 운영 발표자료를 8장 이내로 만들어줘. 현장 대기 20분 이하, 행사 2일 기준으로 하고 외부 발송은 하지 마.</x:v>
      </x:c>
      <x:c r="K100" s="10" t="str">
        <x:v>SYN-F02-06:D3@v1의 구성을 기준으로 참여기업 안내회용 행사 운영 발표자료를 8장 이내로 작성하도록 준비하겠습니다.</x:v>
      </x:c>
      <x:c r="L100" s="11"/>
      <x:c r="M100" s="11"/>
      <x:c r="N100" s="10" t="str">
        <x:v>NOT_MODELED</x:v>
      </x:c>
    </x:row>
    <x:row r="101" ht="85" customHeight="1">
      <x:c r="A101" s="10" t="str">
        <x:v>T-REL</x:v>
      </x:c>
      <x:c r="B101" s="10" t="str">
        <x:v>TEXT</x:v>
      </x:c>
      <x:c r="C101" s="10" t="str">
        <x:v>TEXT:SYN-F02-06</x:v>
      </x:c>
      <x:c r="D101" s="10" t="str">
        <x:v>TEXT:SYN-F02-06-U02</x:v>
      </x:c>
      <x:c r="E101" s="10" t="str">
        <x:v>T-F02</x:v>
      </x:c>
      <x:c r="F101" s="10" t="n">
        <x:v>1</x:v>
      </x:c>
      <x:c r="G101" s="11" t="n">
        <x:v>1.678036</x:v>
      </x:c>
      <x:c r="H101" s="11" t="n">
        <x:v>4.678036</x:v>
      </x:c>
      <x:c r="I101" s="11" t="n">
        <x:f>H101-G101</x:f>
        <x:v>2.9999999999999996</x:v>
      </x:c>
      <x:c r="J101" s="10" t="str">
        <x:v>발표자료 작성은 계속하고, 그 자료의 일정 표만 따로 4문장으로 요약해줘. 준비와 적용 날짜를 구분해줘.</x:v>
      </x:c>
      <x:c r="K101" s="10" t="str">
        <x:v>발표자료 작성은 유지하고 SYN-F02-06:D3@v1의 일정 표를 준비와 적용 단계로 나누어 별도로 요약하겠습니다.</x:v>
      </x:c>
      <x:c r="L101" s="11"/>
      <x:c r="M101" s="11"/>
      <x:c r="N101" s="10" t="str">
        <x:v>NOT_MODELED</x:v>
      </x:c>
    </x:row>
    <x:row r="102" ht="85" customHeight="1">
      <x:c r="A102" s="10" t="str">
        <x:v>T-BASE</x:v>
      </x:c>
      <x:c r="B102" s="10" t="str">
        <x:v>TEXT</x:v>
      </x:c>
      <x:c r="C102" s="10" t="str">
        <x:v>TEXT:SYN-F02-07</x:v>
      </x:c>
      <x:c r="D102" s="10" t="str">
        <x:v>TEXT:SYN-F02-07-U01</x:v>
      </x:c>
      <x:c r="E102" s="10" t="str">
        <x:v>T-F02</x:v>
      </x:c>
      <x:c r="F102" s="10" t="n">
        <x:v>1</x:v>
      </x:c>
      <x:c r="G102" s="11" t="n">
        <x:v>0</x:v>
      </x:c>
      <x:c r="H102" s="11" t="n">
        <x:v>2.254071</x:v>
      </x:c>
      <x:c r="I102" s="11" t="n">
        <x:f>H102-G102</x:f>
        <x:v>2.254071</x:v>
      </x:c>
      <x:c r="J102" s="10" t="str">
        <x:v>예전에 납품처 품질설명회에서 설명하기 좋은 구성이라고 했던 자료로 검사 개선 발표자료를 6장 이내로 만들어줘. 샘플 검사 45분 이하, 다음 8주 기준으로 하고 외부 발송은 하지 마.</x:v>
      </x:c>
      <x:c r="K102" s="10" t="str">
        <x:v>SYN-F02-07:D2@v1의 구성을 기준으로 납품처 품질설명회용 검사 개선 발표자료를 6장 이내로 작성하도록 준비하겠습니다.</x:v>
      </x:c>
      <x:c r="L102" s="11"/>
      <x:c r="M102" s="11"/>
      <x:c r="N102" s="10" t="str">
        <x:v>NOT_MODELED</x:v>
      </x:c>
    </x:row>
    <x:row r="103" ht="85" customHeight="1">
      <x:c r="A103" s="10" t="str">
        <x:v>T-BASE</x:v>
      </x:c>
      <x:c r="B103" s="10" t="str">
        <x:v>TEXT</x:v>
      </x:c>
      <x:c r="C103" s="10" t="str">
        <x:v>TEXT:SYN-F02-07</x:v>
      </x:c>
      <x:c r="D103" s="10" t="str">
        <x:v>TEXT:SYN-F02-07-U02</x:v>
      </x:c>
      <x:c r="E103" s="10" t="str">
        <x:v>T-F02</x:v>
      </x:c>
      <x:c r="F103" s="10" t="n">
        <x:v>1</x:v>
      </x:c>
      <x:c r="G103" s="11" t="n">
        <x:v>2.604071</x:v>
      </x:c>
      <x:c r="H103" s="11" t="n">
        <x:v>6.439392</x:v>
      </x:c>
      <x:c r="I103" s="11" t="n">
        <x:f>H103-G103</x:f>
        <x:v>3.835321</x:v>
      </x:c>
      <x:c r="J103" s="10" t="str">
        <x:v>발표자료 작성은 계속하고, 그 자료의 일정 표만 따로 3문장으로 요약해줘. 준비와 적용 날짜를 구분해줘.</x:v>
      </x:c>
      <x:c r="K103" s="10" t="str">
        <x:v>발표자료 작성은 유지하고 SYN-F02-07:D2@v1의 일정 표를 준비와 적용 단계로 나누어 별도로 요약하겠습니다.</x:v>
      </x:c>
      <x:c r="L103" s="11"/>
      <x:c r="M103" s="11"/>
      <x:c r="N103" s="10" t="str">
        <x:v>NOT_MODELED</x:v>
      </x:c>
    </x:row>
    <x:row r="104" ht="85" customHeight="1">
      <x:c r="A104" s="10" t="str">
        <x:v>T-EXEC</x:v>
      </x:c>
      <x:c r="B104" s="10" t="str">
        <x:v>TEXT</x:v>
      </x:c>
      <x:c r="C104" s="10" t="str">
        <x:v>TEXT:SYN-F02-07</x:v>
      </x:c>
      <x:c r="D104" s="10" t="str">
        <x:v>TEXT:SYN-F02-07-U01</x:v>
      </x:c>
      <x:c r="E104" s="10" t="str">
        <x:v>T-F02</x:v>
      </x:c>
      <x:c r="F104" s="10" t="n">
        <x:v>1</x:v>
      </x:c>
      <x:c r="G104" s="11" t="n">
        <x:v>0</x:v>
      </x:c>
      <x:c r="H104" s="11" t="n">
        <x:v>2.254071</x:v>
      </x:c>
      <x:c r="I104" s="11" t="n">
        <x:f>H104-G104</x:f>
        <x:v>2.254071</x:v>
      </x:c>
      <x:c r="J104" s="10" t="str">
        <x:v>예전에 납품처 품질설명회에서 설명하기 좋은 구성이라고 했던 자료로 검사 개선 발표자료를 6장 이내로 만들어줘. 샘플 검사 45분 이하, 다음 8주 기준으로 하고 외부 발송은 하지 마.</x:v>
      </x:c>
      <x:c r="K104" s="10" t="str">
        <x:v>SYN-F02-07:D2@v1의 구성을 기준으로 납품처 품질설명회용 검사 개선 발표자료를 6장 이내로 작성하도록 준비하겠습니다.</x:v>
      </x:c>
      <x:c r="L104" s="11"/>
      <x:c r="M104" s="11"/>
      <x:c r="N104" s="10" t="str">
        <x:v>NOT_MODELED</x:v>
      </x:c>
    </x:row>
    <x:row r="105" ht="85" customHeight="1">
      <x:c r="A105" s="10" t="str">
        <x:v>T-EXEC</x:v>
      </x:c>
      <x:c r="B105" s="10" t="str">
        <x:v>TEXT</x:v>
      </x:c>
      <x:c r="C105" s="10" t="str">
        <x:v>TEXT:SYN-F02-07</x:v>
      </x:c>
      <x:c r="D105" s="10" t="str">
        <x:v>TEXT:SYN-F02-07-U02</x:v>
      </x:c>
      <x:c r="E105" s="10" t="str">
        <x:v>T-F02</x:v>
      </x:c>
      <x:c r="F105" s="10" t="n">
        <x:v>1</x:v>
      </x:c>
      <x:c r="G105" s="11" t="n">
        <x:v>2.604071</x:v>
      </x:c>
      <x:c r="H105" s="11" t="n">
        <x:v>5.204963</x:v>
      </x:c>
      <x:c r="I105" s="11" t="n">
        <x:f>H105-G105</x:f>
        <x:v>2.6008920000000004</x:v>
      </x:c>
      <x:c r="J105" s="10" t="str">
        <x:v>발표자료 작성은 계속하고, 그 자료의 일정 표만 따로 3문장으로 요약해줘. 준비와 적용 날짜를 구분해줘.</x:v>
      </x:c>
      <x:c r="K105" s="10" t="str">
        <x:v>원래 자료의 일정 표 별도 요약에 이번 조건을 적용하겠습니다: 3문장, 준비와 적용 일정 구분, 기존 발표자료 작성 유지. 대상의 최종 연결은 현재 조회 결과와 함께 확정합니다.</x:v>
      </x:c>
      <x:c r="L105" s="11"/>
      <x:c r="M105" s="11"/>
      <x:c r="N105" s="10" t="str">
        <x:v>NOT_MODELED</x:v>
      </x:c>
    </x:row>
    <x:row r="106" ht="85" customHeight="1">
      <x:c r="A106" s="10" t="str">
        <x:v>T-REL</x:v>
      </x:c>
      <x:c r="B106" s="10" t="str">
        <x:v>TEXT</x:v>
      </x:c>
      <x:c r="C106" s="10" t="str">
        <x:v>TEXT:SYN-F02-07</x:v>
      </x:c>
      <x:c r="D106" s="10" t="str">
        <x:v>TEXT:SYN-F02-07-U01</x:v>
      </x:c>
      <x:c r="E106" s="10" t="str">
        <x:v>T-F02</x:v>
      </x:c>
      <x:c r="F106" s="10" t="n">
        <x:v>1</x:v>
      </x:c>
      <x:c r="G106" s="11" t="n">
        <x:v>0</x:v>
      </x:c>
      <x:c r="H106" s="11" t="n">
        <x:v>1.340857</x:v>
      </x:c>
      <x:c r="I106" s="11" t="n">
        <x:f>H106-G106</x:f>
        <x:v>1.340857</x:v>
      </x:c>
      <x:c r="J106" s="10" t="str">
        <x:v>예전에 납품처 품질설명회에서 설명하기 좋은 구성이라고 했던 자료로 검사 개선 발표자료를 6장 이내로 만들어줘. 샘플 검사 45분 이하, 다음 8주 기준으로 하고 외부 발송은 하지 마.</x:v>
      </x:c>
      <x:c r="K106" s="10" t="str">
        <x:v>SYN-F02-07:D2@v1의 구성을 기준으로 납품처 품질설명회용 검사 개선 발표자료를 6장 이내로 작성하도록 준비하겠습니다.</x:v>
      </x:c>
      <x:c r="L106" s="11"/>
      <x:c r="M106" s="11"/>
      <x:c r="N106" s="10" t="str">
        <x:v>NOT_MODELED</x:v>
      </x:c>
    </x:row>
    <x:row r="107" ht="85" customHeight="1">
      <x:c r="A107" s="10" t="str">
        <x:v>T-REL</x:v>
      </x:c>
      <x:c r="B107" s="10" t="str">
        <x:v>TEXT</x:v>
      </x:c>
      <x:c r="C107" s="10" t="str">
        <x:v>TEXT:SYN-F02-07</x:v>
      </x:c>
      <x:c r="D107" s="10" t="str">
        <x:v>TEXT:SYN-F02-07-U02</x:v>
      </x:c>
      <x:c r="E107" s="10" t="str">
        <x:v>T-F02</x:v>
      </x:c>
      <x:c r="F107" s="10" t="n">
        <x:v>1</x:v>
      </x:c>
      <x:c r="G107" s="11" t="n">
        <x:v>1.690857</x:v>
      </x:c>
      <x:c r="H107" s="11" t="n">
        <x:v>4.748678</x:v>
      </x:c>
      <x:c r="I107" s="11" t="n">
        <x:f>H107-G107</x:f>
        <x:v>3.0578209999999997</x:v>
      </x:c>
      <x:c r="J107" s="10" t="str">
        <x:v>발표자료 작성은 계속하고, 그 자료의 일정 표만 따로 3문장으로 요약해줘. 준비와 적용 날짜를 구분해줘.</x:v>
      </x:c>
      <x:c r="K107" s="10" t="str">
        <x:v>발표자료 작성은 유지하고 SYN-F02-07:D2@v1의 일정 표를 준비와 적용 단계로 나누어 별도로 요약하겠습니다.</x:v>
      </x:c>
      <x:c r="L107" s="11"/>
      <x:c r="M107" s="11"/>
      <x:c r="N107" s="10" t="str">
        <x:v>NOT_MODELED</x:v>
      </x:c>
    </x:row>
    <x:row r="108" ht="85" customHeight="1">
      <x:c r="A108" s="10" t="str">
        <x:v>T-BASE</x:v>
      </x:c>
      <x:c r="B108" s="10" t="str">
        <x:v>TEXT</x:v>
      </x:c>
      <x:c r="C108" s="10" t="str">
        <x:v>TEXT:SYN-F02-08</x:v>
      </x:c>
      <x:c r="D108" s="10" t="str">
        <x:v>TEXT:SYN-F02-08-U01</x:v>
      </x:c>
      <x:c r="E108" s="10" t="str">
        <x:v>T-F02</x:v>
      </x:c>
      <x:c r="F108" s="10" t="n">
        <x:v>1</x:v>
      </x:c>
      <x:c r="G108" s="11" t="n">
        <x:v>0</x:v>
      </x:c>
      <x:c r="H108" s="11" t="n">
        <x:v>2.291893</x:v>
      </x:c>
      <x:c r="I108" s="11" t="n">
        <x:f>H108-G108</x:f>
        <x:v>2.291893</x:v>
      </x:c>
      <x:c r="J108" s="10" t="str">
        <x:v>예전에 지역 파트너 설명회에서 설명하기 좋은 구성이라고 했던 자료로 캠페인 계획 발표자료를 4장 이내로 만들어줘. 안내문 500자 이하, 운영 5주 기준으로 하고 외부 발송은 하지 마.</x:v>
      </x:c>
      <x:c r="K108" s="10" t="str">
        <x:v>SYN-F02-08:D2@v1에 대해 노을 서비스 캠페인 캠페인 계획 발표자료 작성 위임을 진행하겠습니다. 적용 조건: 지역 파트너 설명회용, 4장 이내, 안내문 500자 이하, 대상 기간 운영 5주, 외부 발송 없음. 내용 출처: SYN-F02-08:D2@v1.</x:v>
      </x:c>
      <x:c r="L108" s="11"/>
      <x:c r="M108" s="11"/>
      <x:c r="N108" s="10" t="str">
        <x:v>NOT_MODELED</x:v>
      </x:c>
    </x:row>
    <x:row r="109" ht="85" customHeight="1">
      <x:c r="A109" s="10" t="str">
        <x:v>T-BASE</x:v>
      </x:c>
      <x:c r="B109" s="10" t="str">
        <x:v>TEXT</x:v>
      </x:c>
      <x:c r="C109" s="10" t="str">
        <x:v>TEXT:SYN-F02-08</x:v>
      </x:c>
      <x:c r="D109" s="10" t="str">
        <x:v>TEXT:SYN-F02-08-U02</x:v>
      </x:c>
      <x:c r="E109" s="10" t="str">
        <x:v>T-F02</x:v>
      </x:c>
      <x:c r="F109" s="10" t="n">
        <x:v>1</x:v>
      </x:c>
      <x:c r="G109" s="11" t="n">
        <x:v>2.641893</x:v>
      </x:c>
      <x:c r="H109" s="11" t="n">
        <x:v>6.560036</x:v>
      </x:c>
      <x:c r="I109" s="11" t="n">
        <x:f>H109-G109</x:f>
        <x:v>3.918143</x:v>
      </x:c>
      <x:c r="J109" s="10" t="str">
        <x:v>발표자료 작성은 계속하고, 그 자료의 일정 표만 따로 2문장으로 요약해줘. 준비와 적용 날짜를 구분해줘.</x:v>
      </x:c>
      <x:c r="K109" s="10" t="str">
        <x:v>발표자료 작성은 유지하고 SYN-F02-08:D1@v1의 일정 표를 준비와 적용 단계로 나누어 별도로 요약하겠습니다.</x:v>
      </x:c>
      <x:c r="L109" s="11"/>
      <x:c r="M109" s="11"/>
      <x:c r="N109" s="10" t="str">
        <x:v>NOT_MODELED</x:v>
      </x:c>
    </x:row>
    <x:row r="110" ht="85" customHeight="1">
      <x:c r="A110" s="10" t="str">
        <x:v>T-EXEC</x:v>
      </x:c>
      <x:c r="B110" s="10" t="str">
        <x:v>TEXT</x:v>
      </x:c>
      <x:c r="C110" s="10" t="str">
        <x:v>TEXT:SYN-F02-08</x:v>
      </x:c>
      <x:c r="D110" s="10" t="str">
        <x:v>TEXT:SYN-F02-08-U01</x:v>
      </x:c>
      <x:c r="E110" s="10" t="str">
        <x:v>T-F02</x:v>
      </x:c>
      <x:c r="F110" s="10" t="n">
        <x:v>1</x:v>
      </x:c>
      <x:c r="G110" s="11" t="n">
        <x:v>0</x:v>
      </x:c>
      <x:c r="H110" s="11" t="n">
        <x:v>2.291893</x:v>
      </x:c>
      <x:c r="I110" s="11" t="n">
        <x:f>H110-G110</x:f>
        <x:v>2.291893</x:v>
      </x:c>
      <x:c r="J110" s="10" t="str">
        <x:v>예전에 지역 파트너 설명회에서 설명하기 좋은 구성이라고 했던 자료로 캠페인 계획 발표자료를 4장 이내로 만들어줘. 안내문 500자 이하, 운영 5주 기준으로 하고 외부 발송은 하지 마.</x:v>
      </x:c>
      <x:c r="K110" s="10" t="str">
        <x:v>SYN-F02-08:D2@v1에 대해 노을 서비스 캠페인 캠페인 계획 발표자료 작성 위임을 진행하겠습니다. 적용 조건: 지역 파트너 설명회용, 4장 이내, 안내문 500자 이하, 대상 기간 운영 5주, 외부 발송 없음. 내용 출처: SYN-F02-08:D2@v1.</x:v>
      </x:c>
      <x:c r="L110" s="11"/>
      <x:c r="M110" s="11"/>
      <x:c r="N110" s="10" t="str">
        <x:v>NOT_MODELED</x:v>
      </x:c>
    </x:row>
    <x:row r="111" ht="85" customHeight="1">
      <x:c r="A111" s="10" t="str">
        <x:v>T-EXEC</x:v>
      </x:c>
      <x:c r="B111" s="10" t="str">
        <x:v>TEXT</x:v>
      </x:c>
      <x:c r="C111" s="10" t="str">
        <x:v>TEXT:SYN-F02-08</x:v>
      </x:c>
      <x:c r="D111" s="10" t="str">
        <x:v>TEXT:SYN-F02-08-U02</x:v>
      </x:c>
      <x:c r="E111" s="10" t="str">
        <x:v>T-F02</x:v>
      </x:c>
      <x:c r="F111" s="10" t="n">
        <x:v>1</x:v>
      </x:c>
      <x:c r="G111" s="11" t="n">
        <x:v>2.641893</x:v>
      </x:c>
      <x:c r="H111" s="11" t="n">
        <x:v>5.290286</x:v>
      </x:c>
      <x:c r="I111" s="11" t="n">
        <x:f>H111-G111</x:f>
        <x:v>2.648393</x:v>
      </x:c>
      <x:c r="J111" s="10" t="str">
        <x:v>발표자료 작성은 계속하고, 그 자료의 일정 표만 따로 2문장으로 요약해줘. 준비와 적용 날짜를 구분해줘.</x:v>
      </x:c>
      <x:c r="K111" s="10" t="str">
        <x:v>원래 자료의 일정 표 별도 요약에 이번 조건을 적용하겠습니다: 2문장, 준비와 적용 일정 구분, 기존 발표자료 작성 유지. 대상의 최종 연결은 현재 조회 결과와 함께 확정합니다.</x:v>
      </x:c>
      <x:c r="L111" s="11"/>
      <x:c r="M111" s="11"/>
      <x:c r="N111" s="10" t="str">
        <x:v>NOT_MODELED</x:v>
      </x:c>
    </x:row>
    <x:row r="112" ht="85" customHeight="1">
      <x:c r="A112" s="10" t="str">
        <x:v>T-REL</x:v>
      </x:c>
      <x:c r="B112" s="10" t="str">
        <x:v>TEXT</x:v>
      </x:c>
      <x:c r="C112" s="10" t="str">
        <x:v>TEXT:SYN-F02-08</x:v>
      </x:c>
      <x:c r="D112" s="10" t="str">
        <x:v>TEXT:SYN-F02-08-U01</x:v>
      </x:c>
      <x:c r="E112" s="10" t="str">
        <x:v>T-F02</x:v>
      </x:c>
      <x:c r="F112" s="10" t="n">
        <x:v>1</x:v>
      </x:c>
      <x:c r="G112" s="11" t="n">
        <x:v>0</x:v>
      </x:c>
      <x:c r="H112" s="11" t="n">
        <x:v>1.353679</x:v>
      </x:c>
      <x:c r="I112" s="11" t="n">
        <x:f>H112-G112</x:f>
        <x:v>1.353679</x:v>
      </x:c>
      <x:c r="J112" s="10" t="str">
        <x:v>예전에 지역 파트너 설명회에서 설명하기 좋은 구성이라고 했던 자료로 캠페인 계획 발표자료를 4장 이내로 만들어줘. 안내문 500자 이하, 운영 5주 기준으로 하고 외부 발송은 하지 마.</x:v>
      </x:c>
      <x:c r="K112" s="10" t="str">
        <x:v>SYN-F02-08:D1@v1의 구성을 기준으로 지역 파트너 설명회용 캠페인 계획 발표자료를 4장 이내로 작성하도록 준비하겠습니다.</x:v>
      </x:c>
      <x:c r="L112" s="11"/>
      <x:c r="M112" s="11"/>
      <x:c r="N112" s="10" t="str">
        <x:v>NOT_MODELED</x:v>
      </x:c>
    </x:row>
    <x:row r="113" ht="85" customHeight="1">
      <x:c r="A113" s="10" t="str">
        <x:v>T-REL</x:v>
      </x:c>
      <x:c r="B113" s="10" t="str">
        <x:v>TEXT</x:v>
      </x:c>
      <x:c r="C113" s="10" t="str">
        <x:v>TEXT:SYN-F02-08</x:v>
      </x:c>
      <x:c r="D113" s="10" t="str">
        <x:v>TEXT:SYN-F02-08-U02</x:v>
      </x:c>
      <x:c r="E113" s="10" t="str">
        <x:v>T-F02</x:v>
      </x:c>
      <x:c r="F113" s="10" t="n">
        <x:v>1</x:v>
      </x:c>
      <x:c r="G113" s="11" t="n">
        <x:v>1.703679</x:v>
      </x:c>
      <x:c r="H113" s="11" t="n">
        <x:v>4.819322</x:v>
      </x:c>
      <x:c r="I113" s="11" t="n">
        <x:f>H113-G113</x:f>
        <x:v>3.1156429999999995</x:v>
      </x:c>
      <x:c r="J113" s="10" t="str">
        <x:v>발표자료 작성은 계속하고, 그 자료의 일정 표만 따로 2문장으로 요약해줘. 준비와 적용 날짜를 구분해줘.</x:v>
      </x:c>
      <x:c r="K113" s="10" t="str">
        <x:v>발표자료 작성은 유지하고 SYN-F02-08:D1@v1의 일정 표를 준비와 적용 단계로 나누어 별도로 요약하겠습니다.</x:v>
      </x:c>
      <x:c r="L113" s="11"/>
      <x:c r="M113" s="11"/>
      <x:c r="N113" s="10" t="str">
        <x:v>NOT_MODELED</x:v>
      </x:c>
    </x:row>
    <x:row r="114" ht="85" customHeight="1">
      <x:c r="A114" s="10" t="str">
        <x:v>T-BASE</x:v>
      </x:c>
      <x:c r="B114" s="10" t="str">
        <x:v>TEXT</x:v>
      </x:c>
      <x:c r="C114" s="10" t="str">
        <x:v>TEXT:SYN-F02-09</x:v>
      </x:c>
      <x:c r="D114" s="10" t="str">
        <x:v>TEXT:SYN-F02-09-U01</x:v>
      </x:c>
      <x:c r="E114" s="10" t="str">
        <x:v>T-F02</x:v>
      </x:c>
      <x:c r="F114" s="10" t="n">
        <x:v>1</x:v>
      </x:c>
      <x:c r="G114" s="11" t="n">
        <x:v>0</x:v>
      </x:c>
      <x:c r="H114" s="11" t="n">
        <x:v>2.304714</x:v>
      </x:c>
      <x:c r="I114" s="11" t="n">
        <x:f>H114-G114</x:f>
        <x:v>2.304714</x:v>
      </x:c>
      <x:c r="J114" s="10" t="str">
        <x:v>예전에 배송 협력사 설명회에서 설명하기 좋은 구성이라고 했던 자료로 배치 변경 발표자료를 7장 이내로 만들어줘. 주문당 이동 180m 이하, 적용 후 4주 기준으로 하고 외부 발송은 하지 마.</x:v>
      </x:c>
      <x:c r="K114" s="10" t="str">
        <x:v>SYN-F02-09:D3@v1의 구성을 기준으로 배송 협력사 설명회용 배치 변경 발표자료를 7장 이내로 작성하도록 준비하겠습니다.</x:v>
      </x:c>
      <x:c r="L114" s="11"/>
      <x:c r="M114" s="11"/>
      <x:c r="N114" s="10" t="str">
        <x:v>NOT_MODELED</x:v>
      </x:c>
    </x:row>
    <x:row r="115" ht="85" customHeight="1">
      <x:c r="A115" s="10" t="str">
        <x:v>T-BASE</x:v>
      </x:c>
      <x:c r="B115" s="10" t="str">
        <x:v>TEXT</x:v>
      </x:c>
      <x:c r="C115" s="10" t="str">
        <x:v>TEXT:SYN-F02-09</x:v>
      </x:c>
      <x:c r="D115" s="10" t="str">
        <x:v>TEXT:SYN-F02-09-U02</x:v>
      </x:c>
      <x:c r="E115" s="10" t="str">
        <x:v>T-F02</x:v>
      </x:c>
      <x:c r="F115" s="10" t="n">
        <x:v>1</x:v>
      </x:c>
      <x:c r="G115" s="11" t="n">
        <x:v>2.654714</x:v>
      </x:c>
      <x:c r="H115" s="11" t="n">
        <x:v>6.630678</x:v>
      </x:c>
      <x:c r="I115" s="11" t="n">
        <x:f>H115-G115</x:f>
        <x:v>3.975964</x:v>
      </x:c>
      <x:c r="J115" s="10" t="str">
        <x:v>발표자료 작성은 계속하고, 그 자료의 일정 표만 따로 4문장으로 요약해줘. 준비와 적용 날짜를 구분해줘.</x:v>
      </x:c>
      <x:c r="K115" s="10" t="str">
        <x:v>발표자료 작성은 유지하고 SYN-F02-09:D3@v1의 일정 표를 준비와 적용 단계로 나누어 별도로 요약하겠습니다.</x:v>
      </x:c>
      <x:c r="L115" s="11"/>
      <x:c r="M115" s="11"/>
      <x:c r="N115" s="10" t="str">
        <x:v>NOT_MODELED</x:v>
      </x:c>
    </x:row>
    <x:row r="116" ht="85" customHeight="1">
      <x:c r="A116" s="10" t="str">
        <x:v>T-EXEC</x:v>
      </x:c>
      <x:c r="B116" s="10" t="str">
        <x:v>TEXT</x:v>
      </x:c>
      <x:c r="C116" s="10" t="str">
        <x:v>TEXT:SYN-F02-09</x:v>
      </x:c>
      <x:c r="D116" s="10" t="str">
        <x:v>TEXT:SYN-F02-09-U01</x:v>
      </x:c>
      <x:c r="E116" s="10" t="str">
        <x:v>T-F02</x:v>
      </x:c>
      <x:c r="F116" s="10" t="n">
        <x:v>1</x:v>
      </x:c>
      <x:c r="G116" s="11" t="n">
        <x:v>0</x:v>
      </x:c>
      <x:c r="H116" s="11" t="n">
        <x:v>2.304714</x:v>
      </x:c>
      <x:c r="I116" s="11" t="n">
        <x:f>H116-G116</x:f>
        <x:v>2.304714</x:v>
      </x:c>
      <x:c r="J116" s="10" t="str">
        <x:v>예전에 배송 협력사 설명회에서 설명하기 좋은 구성이라고 했던 자료로 배치 변경 발표자료를 7장 이내로 만들어줘. 주문당 이동 180m 이하, 적용 후 4주 기준으로 하고 외부 발송은 하지 마.</x:v>
      </x:c>
      <x:c r="K116" s="10" t="str">
        <x:v>SYN-F02-09:D3@v1의 구성을 기준으로 배송 협력사 설명회용 배치 변경 발표자료를 7장 이내로 작성하도록 준비하겠습니다.</x:v>
      </x:c>
      <x:c r="L116" s="11"/>
      <x:c r="M116" s="11"/>
      <x:c r="N116" s="10" t="str">
        <x:v>NOT_MODELED</x:v>
      </x:c>
    </x:row>
    <x:row r="117" ht="85" customHeight="1">
      <x:c r="A117" s="10" t="str">
        <x:v>T-EXEC</x:v>
      </x:c>
      <x:c r="B117" s="10" t="str">
        <x:v>TEXT</x:v>
      </x:c>
      <x:c r="C117" s="10" t="str">
        <x:v>TEXT:SYN-F02-09</x:v>
      </x:c>
      <x:c r="D117" s="10" t="str">
        <x:v>TEXT:SYN-F02-09-U02</x:v>
      </x:c>
      <x:c r="E117" s="10" t="str">
        <x:v>T-F02</x:v>
      </x:c>
      <x:c r="F117" s="10" t="n">
        <x:v>1</x:v>
      </x:c>
      <x:c r="G117" s="11" t="n">
        <x:v>2.654714</x:v>
      </x:c>
      <x:c r="H117" s="11" t="n">
        <x:v>5.325607</x:v>
      </x:c>
      <x:c r="I117" s="11" t="n">
        <x:f>H117-G117</x:f>
        <x:v>2.670893</x:v>
      </x:c>
      <x:c r="J117" s="10" t="str">
        <x:v>발표자료 작성은 계속하고, 그 자료의 일정 표만 따로 4문장으로 요약해줘. 준비와 적용 날짜를 구분해줘.</x:v>
      </x:c>
      <x:c r="K117" s="10" t="str">
        <x:v>원래 자료의 일정 표 별도 요약에 이번 조건을 적용하겠습니다: 4문장, 준비와 적용 일정 구분, 기존 발표자료 작성 유지. 대상의 최종 연결은 현재 조회 결과와 함께 확정합니다.</x:v>
      </x:c>
      <x:c r="L117" s="11"/>
      <x:c r="M117" s="11"/>
      <x:c r="N117" s="10" t="str">
        <x:v>NOT_MODELED</x:v>
      </x:c>
    </x:row>
    <x:row r="118" ht="85" customHeight="1">
      <x:c r="A118" s="10" t="str">
        <x:v>T-REL</x:v>
      </x:c>
      <x:c r="B118" s="10" t="str">
        <x:v>TEXT</x:v>
      </x:c>
      <x:c r="C118" s="10" t="str">
        <x:v>TEXT:SYN-F02-09</x:v>
      </x:c>
      <x:c r="D118" s="10" t="str">
        <x:v>TEXT:SYN-F02-09-U01</x:v>
      </x:c>
      <x:c r="E118" s="10" t="str">
        <x:v>T-F02</x:v>
      </x:c>
      <x:c r="F118" s="10" t="n">
        <x:v>1</x:v>
      </x:c>
      <x:c r="G118" s="11" t="n">
        <x:v>0</x:v>
      </x:c>
      <x:c r="H118" s="11" t="n">
        <x:v>1.3415</x:v>
      </x:c>
      <x:c r="I118" s="11" t="n">
        <x:f>H118-G118</x:f>
        <x:v>1.3415</x:v>
      </x:c>
      <x:c r="J118" s="10" t="str">
        <x:v>예전에 배송 협력사 설명회에서 설명하기 좋은 구성이라고 했던 자료로 배치 변경 발표자료를 7장 이내로 만들어줘. 주문당 이동 180m 이하, 적용 후 4주 기준으로 하고 외부 발송은 하지 마.</x:v>
      </x:c>
      <x:c r="K118" s="10" t="str">
        <x:v>SYN-F02-09:D3@v1의 구성을 기준으로 배송 협력사 설명회용 배치 변경 발표자료를 7장 이내로 작성하도록 준비하겠습니다.</x:v>
      </x:c>
      <x:c r="L118" s="11"/>
      <x:c r="M118" s="11"/>
      <x:c r="N118" s="10" t="str">
        <x:v>NOT_MODELED</x:v>
      </x:c>
    </x:row>
    <x:row r="119" ht="85" customHeight="1">
      <x:c r="A119" s="10" t="str">
        <x:v>T-REL</x:v>
      </x:c>
      <x:c r="B119" s="10" t="str">
        <x:v>TEXT</x:v>
      </x:c>
      <x:c r="C119" s="10" t="str">
        <x:v>TEXT:SYN-F02-09</x:v>
      </x:c>
      <x:c r="D119" s="10" t="str">
        <x:v>TEXT:SYN-F02-09-U02</x:v>
      </x:c>
      <x:c r="E119" s="10" t="str">
        <x:v>T-F02</x:v>
      </x:c>
      <x:c r="F119" s="10" t="n">
        <x:v>1</x:v>
      </x:c>
      <x:c r="G119" s="11" t="n">
        <x:v>1.6915</x:v>
      </x:c>
      <x:c r="H119" s="11" t="n">
        <x:v>4.839964</x:v>
      </x:c>
      <x:c r="I119" s="11" t="n">
        <x:f>H119-G119</x:f>
        <x:v>3.148464</x:v>
      </x:c>
      <x:c r="J119" s="10" t="str">
        <x:v>발표자료 작성은 계속하고, 그 자료의 일정 표만 따로 4문장으로 요약해줘. 준비와 적용 날짜를 구분해줘.</x:v>
      </x:c>
      <x:c r="K119" s="10" t="str">
        <x:v>발표자료 작성은 유지하고 SYN-F02-09:D3@v1의 일정 표를 준비와 적용 단계로 나누어 별도로 요약하겠습니다.</x:v>
      </x:c>
      <x:c r="L119" s="11"/>
      <x:c r="M119" s="11"/>
      <x:c r="N119" s="10" t="str">
        <x:v>NOT_MODELED</x:v>
      </x:c>
    </x:row>
    <x:row r="120" ht="85" customHeight="1">
      <x:c r="A120" s="10" t="str">
        <x:v>T-BASE</x:v>
      </x:c>
      <x:c r="B120" s="10" t="str">
        <x:v>TEXT</x:v>
      </x:c>
      <x:c r="C120" s="10" t="str">
        <x:v>TEXT:SYN-F02-10</x:v>
      </x:c>
      <x:c r="D120" s="10" t="str">
        <x:v>TEXT:SYN-F02-10-U01</x:v>
      </x:c>
      <x:c r="E120" s="10" t="str">
        <x:v>T-F02</x:v>
      </x:c>
      <x:c r="F120" s="10" t="n">
        <x:v>1</x:v>
      </x:c>
      <x:c r="G120" s="11" t="n">
        <x:v>0</x:v>
      </x:c>
      <x:c r="H120" s="11" t="n">
        <x:v>2.267536</x:v>
      </x:c>
      <x:c r="I120" s="11" t="n">
        <x:f>H120-G120</x:f>
        <x:v>2.267536</x:v>
      </x:c>
      <x:c r="J120" s="10" t="str">
        <x:v>예전에 부서대표 설명회에서 설명하기 좋은 구성이라고 했던 자료로 포털 개선 발표자료를 5장 이내로 만들어줘. 첫 화면 메뉴 9개 이하, 출시 후 2개월 기준으로 하고 외부 발송은 하지 마.</x:v>
      </x:c>
      <x:c r="K120" s="10" t="str">
        <x:v>SYN-F02-10:D2@v1의 구성을 기준으로 부서대표 설명회용 포털 개선 발표자료를 5장 이내로 작성하도록 준비하겠습니다.</x:v>
      </x:c>
      <x:c r="L120" s="11"/>
      <x:c r="M120" s="11"/>
      <x:c r="N120" s="10" t="str">
        <x:v>NOT_MODELED</x:v>
      </x:c>
    </x:row>
    <x:row r="121" ht="85" customHeight="1">
      <x:c r="A121" s="10" t="str">
        <x:v>T-BASE</x:v>
      </x:c>
      <x:c r="B121" s="10" t="str">
        <x:v>TEXT</x:v>
      </x:c>
      <x:c r="C121" s="10" t="str">
        <x:v>TEXT:SYN-F02-10</x:v>
      </x:c>
      <x:c r="D121" s="10" t="str">
        <x:v>TEXT:SYN-F02-10-U02</x:v>
      </x:c>
      <x:c r="E121" s="10" t="str">
        <x:v>T-F02</x:v>
      </x:c>
      <x:c r="F121" s="10" t="n">
        <x:v>1</x:v>
      </x:c>
      <x:c r="G121" s="11" t="n">
        <x:v>2.617536</x:v>
      </x:c>
      <x:c r="H121" s="11" t="n">
        <x:v>6.601322</x:v>
      </x:c>
      <x:c r="I121" s="11" t="n">
        <x:f>H121-G121</x:f>
        <x:v>3.983786</x:v>
      </x:c>
      <x:c r="J121" s="10" t="str">
        <x:v>발표자료 작성은 계속하고, 그 자료의 일정 표만 따로 3문장으로 요약해줘. 준비와 적용 날짜를 구분해줘.</x:v>
      </x:c>
      <x:c r="K121" s="10" t="str">
        <x:v>발표자료 작성은 유지하고 SYN-F02-10:D2@v1의 일정 표를 준비와 적용 단계로 나누어 별도로 요약하겠습니다.</x:v>
      </x:c>
      <x:c r="L121" s="11"/>
      <x:c r="M121" s="11"/>
      <x:c r="N121" s="10" t="str">
        <x:v>NOT_MODELED</x:v>
      </x:c>
    </x:row>
    <x:row r="122" ht="85" customHeight="1">
      <x:c r="A122" s="10" t="str">
        <x:v>T-EXEC</x:v>
      </x:c>
      <x:c r="B122" s="10" t="str">
        <x:v>TEXT</x:v>
      </x:c>
      <x:c r="C122" s="10" t="str">
        <x:v>TEXT:SYN-F02-10</x:v>
      </x:c>
      <x:c r="D122" s="10" t="str">
        <x:v>TEXT:SYN-F02-10-U01</x:v>
      </x:c>
      <x:c r="E122" s="10" t="str">
        <x:v>T-F02</x:v>
      </x:c>
      <x:c r="F122" s="10" t="n">
        <x:v>1</x:v>
      </x:c>
      <x:c r="G122" s="11" t="n">
        <x:v>0</x:v>
      </x:c>
      <x:c r="H122" s="11" t="n">
        <x:v>2.267536</x:v>
      </x:c>
      <x:c r="I122" s="11" t="n">
        <x:f>H122-G122</x:f>
        <x:v>2.267536</x:v>
      </x:c>
      <x:c r="J122" s="10" t="str">
        <x:v>예전에 부서대표 설명회에서 설명하기 좋은 구성이라고 했던 자료로 포털 개선 발표자료를 5장 이내로 만들어줘. 첫 화면 메뉴 9개 이하, 출시 후 2개월 기준으로 하고 외부 발송은 하지 마.</x:v>
      </x:c>
      <x:c r="K122" s="10" t="str">
        <x:v>SYN-F02-10:D2@v1의 구성을 기준으로 부서대표 설명회용 포털 개선 발표자료를 5장 이내로 작성하도록 준비하겠습니다.</x:v>
      </x:c>
      <x:c r="L122" s="11"/>
      <x:c r="M122" s="11"/>
      <x:c r="N122" s="10" t="str">
        <x:v>NOT_MODELED</x:v>
      </x:c>
    </x:row>
    <x:row r="123" ht="85" customHeight="1">
      <x:c r="A123" s="10" t="str">
        <x:v>T-EXEC</x:v>
      </x:c>
      <x:c r="B123" s="10" t="str">
        <x:v>TEXT</x:v>
      </x:c>
      <x:c r="C123" s="10" t="str">
        <x:v>TEXT:SYN-F02-10</x:v>
      </x:c>
      <x:c r="D123" s="10" t="str">
        <x:v>TEXT:SYN-F02-10-U02</x:v>
      </x:c>
      <x:c r="E123" s="10" t="str">
        <x:v>T-F02</x:v>
      </x:c>
      <x:c r="F123" s="10" t="n">
        <x:v>1</x:v>
      </x:c>
      <x:c r="G123" s="11" t="n">
        <x:v>2.617536</x:v>
      </x:c>
      <x:c r="H123" s="11" t="n">
        <x:v>5.242179</x:v>
      </x:c>
      <x:c r="I123" s="11" t="n">
        <x:f>H123-G123</x:f>
        <x:v>2.6246430000000003</x:v>
      </x:c>
      <x:c r="J123" s="10" t="str">
        <x:v>발표자료 작성은 계속하고, 그 자료의 일정 표만 따로 3문장으로 요약해줘. 준비와 적용 날짜를 구분해줘.</x:v>
      </x:c>
      <x:c r="K123" s="10" t="str">
        <x:v>원래 자료의 일정 표 별도 요약에 이번 조건을 적용하겠습니다: 3문장, 준비와 적용 일정 구분, 기존 발표자료 작성 유지. 대상의 최종 연결은 현재 조회 결과와 함께 확정합니다.</x:v>
      </x:c>
      <x:c r="L123" s="11"/>
      <x:c r="M123" s="11"/>
      <x:c r="N123" s="10" t="str">
        <x:v>NOT_MODELED</x:v>
      </x:c>
    </x:row>
    <x:row r="124" ht="85" customHeight="1">
      <x:c r="A124" s="10" t="str">
        <x:v>T-REL</x:v>
      </x:c>
      <x:c r="B124" s="10" t="str">
        <x:v>TEXT</x:v>
      </x:c>
      <x:c r="C124" s="10" t="str">
        <x:v>TEXT:SYN-F02-10</x:v>
      </x:c>
      <x:c r="D124" s="10" t="str">
        <x:v>TEXT:SYN-F02-10-U01</x:v>
      </x:c>
      <x:c r="E124" s="10" t="str">
        <x:v>T-F02</x:v>
      </x:c>
      <x:c r="F124" s="10" t="n">
        <x:v>1</x:v>
      </x:c>
      <x:c r="G124" s="11" t="n">
        <x:v>0</x:v>
      </x:c>
      <x:c r="H124" s="11" t="n">
        <x:v>1.354321</x:v>
      </x:c>
      <x:c r="I124" s="11" t="n">
        <x:f>H124-G124</x:f>
        <x:v>1.354321</x:v>
      </x:c>
      <x:c r="J124" s="10" t="str">
        <x:v>예전에 부서대표 설명회에서 설명하기 좋은 구성이라고 했던 자료로 포털 개선 발표자료를 5장 이내로 만들어줘. 첫 화면 메뉴 9개 이하, 출시 후 2개월 기준으로 하고 외부 발송은 하지 마.</x:v>
      </x:c>
      <x:c r="K124" s="10" t="str">
        <x:v>SYN-F02-10:D2@v1의 구성을 기준으로 부서대표 설명회용 포털 개선 발표자료를 5장 이내로 작성하도록 준비하겠습니다.</x:v>
      </x:c>
      <x:c r="L124" s="11"/>
      <x:c r="M124" s="11"/>
      <x:c r="N124" s="10" t="str">
        <x:v>NOT_MODELED</x:v>
      </x:c>
    </x:row>
    <x:row r="125" ht="85" customHeight="1">
      <x:c r="A125" s="10" t="str">
        <x:v>T-REL</x:v>
      </x:c>
      <x:c r="B125" s="10" t="str">
        <x:v>TEXT</x:v>
      </x:c>
      <x:c r="C125" s="10" t="str">
        <x:v>TEXT:SYN-F02-10</x:v>
      </x:c>
      <x:c r="D125" s="10" t="str">
        <x:v>TEXT:SYN-F02-10-U02</x:v>
      </x:c>
      <x:c r="E125" s="10" t="str">
        <x:v>T-F02</x:v>
      </x:c>
      <x:c r="F125" s="10" t="n">
        <x:v>1</x:v>
      </x:c>
      <x:c r="G125" s="11" t="n">
        <x:v>1.704321</x:v>
      </x:c>
      <x:c r="H125" s="11" t="n">
        <x:v>4.910607</x:v>
      </x:c>
      <x:c r="I125" s="11" t="n">
        <x:f>H125-G125</x:f>
        <x:v>3.2062859999999995</x:v>
      </x:c>
      <x:c r="J125" s="10" t="str">
        <x:v>발표자료 작성은 계속하고, 그 자료의 일정 표만 따로 3문장으로 요약해줘. 준비와 적용 날짜를 구분해줘.</x:v>
      </x:c>
      <x:c r="K125" s="10" t="str">
        <x:v>발표자료 작성은 유지하고 SYN-F02-10:D2@v1의 일정 표를 준비와 적용 단계로 나누어 별도로 요약하겠습니다.</x:v>
      </x:c>
      <x:c r="L125" s="11"/>
      <x:c r="M125" s="11"/>
      <x:c r="N125" s="10" t="str">
        <x:v>NOT_MODELED</x:v>
      </x:c>
    </x:row>
    <x:row r="126" ht="85" customHeight="1">
      <x:c r="A126" s="10" t="str">
        <x:v>T-BASE</x:v>
      </x:c>
      <x:c r="B126" s="10" t="str">
        <x:v>TEXT</x:v>
      </x:c>
      <x:c r="C126" s="10" t="str">
        <x:v>TEXT:SYN-F03-01</x:v>
      </x:c>
      <x:c r="D126" s="10" t="str">
        <x:v>TEXT:SYN-F03-01-U01</x:v>
      </x:c>
      <x:c r="E126" s="10" t="str">
        <x:v>T-F03</x:v>
      </x:c>
      <x:c r="F126" s="10" t="n">
        <x:v>1</x:v>
      </x:c>
      <x:c r="G126" s="11" t="n">
        <x:v>0</x:v>
      </x:c>
      <x:c r="H126" s="11" t="n">
        <x:v>2.282143</x:v>
      </x:c>
      <x:c r="I126" s="11" t="n">
        <x:f>H126-G126</x:f>
        <x:v>2.282143</x:v>
      </x:c>
      <x:c r="J126" s="10" t="str">
        <x:v>같은 제목인 자료가 여럿 있는데, 내가 서비스 운영위원회용 구성을 좋다고 했던 쪽으로 전환 검토 발표자료 5장 이내를 만들어줘. 월 운영비 240만원 이하, 첫 12개월 기준이야. 외부 발송은 하지 마.</x:v>
      </x:c>
      <x:c r="K126" s="10" t="str">
        <x:v>SYN-F03-01:D2@v1의 구성을 기준으로 서비스 운영위원회용 전환 검토 발표자료를 5장 이내로 작성하도록 준비하겠습니다.</x:v>
      </x:c>
      <x:c r="L126" s="11"/>
      <x:c r="M126" s="11"/>
      <x:c r="N126" s="10" t="str">
        <x:v>NOT_MODELED</x:v>
      </x:c>
    </x:row>
    <x:row r="127" ht="85" customHeight="1">
      <x:c r="A127" s="10" t="str">
        <x:v>T-BASE</x:v>
      </x:c>
      <x:c r="B127" s="10" t="str">
        <x:v>TEXT</x:v>
      </x:c>
      <x:c r="C127" s="10" t="str">
        <x:v>TEXT:SYN-F03-01</x:v>
      </x:c>
      <x:c r="D127" s="10" t="str">
        <x:v>TEXT:SYN-F03-01-U02</x:v>
      </x:c>
      <x:c r="E127" s="10" t="str">
        <x:v>T-F03</x:v>
      </x:c>
      <x:c r="F127" s="10" t="n">
        <x:v>1</x:v>
      </x:c>
      <x:c r="G127" s="11" t="n">
        <x:v>2.632143</x:v>
      </x:c>
      <x:c r="H127" s="11" t="n">
        <x:v>6.206107</x:v>
      </x:c>
      <x:c r="I127" s="11" t="n">
        <x:f>H127-G127</x:f>
        <x:v>3.573964</x:v>
      </x:c>
      <x:c r="J127" s="10" t="str">
        <x:v>작성은 계속해. 그 고객 설명용 자료와 내부 검토에 두자고 했던 자료의 일정 차이만 3문장으로 따로 알려줘.</x:v>
      </x:c>
      <x:c r="K127" s="10" t="str">
        <x:v>기존 작성은 유지하고 SYN-F03-01:D2@v1와 SYN-F03-01:D3@v1의 일정 차이를 별도로 정리하겠습니다.</x:v>
      </x:c>
      <x:c r="L127" s="11"/>
      <x:c r="M127" s="11"/>
      <x:c r="N127" s="10" t="str">
        <x:v>NOT_MODELED</x:v>
      </x:c>
    </x:row>
    <x:row r="128" ht="85" customHeight="1">
      <x:c r="A128" s="10" t="str">
        <x:v>T-EXEC</x:v>
      </x:c>
      <x:c r="B128" s="10" t="str">
        <x:v>TEXT</x:v>
      </x:c>
      <x:c r="C128" s="10" t="str">
        <x:v>TEXT:SYN-F03-01</x:v>
      </x:c>
      <x:c r="D128" s="10" t="str">
        <x:v>TEXT:SYN-F03-01-U01</x:v>
      </x:c>
      <x:c r="E128" s="10" t="str">
        <x:v>T-F03</x:v>
      </x:c>
      <x:c r="F128" s="10" t="n">
        <x:v>1</x:v>
      </x:c>
      <x:c r="G128" s="11" t="n">
        <x:v>0</x:v>
      </x:c>
      <x:c r="H128" s="11" t="n">
        <x:v>2.282143</x:v>
      </x:c>
      <x:c r="I128" s="11" t="n">
        <x:f>H128-G128</x:f>
        <x:v>2.282143</x:v>
      </x:c>
      <x:c r="J128" s="10" t="str">
        <x:v>같은 제목인 자료가 여럿 있는데, 내가 서비스 운영위원회용 구성을 좋다고 했던 쪽으로 전환 검토 발표자료 5장 이내를 만들어줘. 월 운영비 240만원 이하, 첫 12개월 기준이야. 외부 발송은 하지 마.</x:v>
      </x:c>
      <x:c r="K128" s="10" t="str">
        <x:v>SYN-F03-01:D2@v1의 구성을 기준으로 서비스 운영위원회용 전환 검토 발표자료를 5장 이내로 작성하도록 준비하겠습니다.</x:v>
      </x:c>
      <x:c r="L128" s="11"/>
      <x:c r="M128" s="11"/>
      <x:c r="N128" s="10" t="str">
        <x:v>NOT_MODELED</x:v>
      </x:c>
    </x:row>
    <x:row r="129" ht="85" customHeight="1">
      <x:c r="A129" s="10" t="str">
        <x:v>T-EXEC</x:v>
      </x:c>
      <x:c r="B129" s="10" t="str">
        <x:v>TEXT</x:v>
      </x:c>
      <x:c r="C129" s="10" t="str">
        <x:v>TEXT:SYN-F03-01</x:v>
      </x:c>
      <x:c r="D129" s="10" t="str">
        <x:v>TEXT:SYN-F03-01-U02</x:v>
      </x:c>
      <x:c r="E129" s="10" t="str">
        <x:v>T-F03</x:v>
      </x:c>
      <x:c r="F129" s="10" t="n">
        <x:v>1</x:v>
      </x:c>
      <x:c r="G129" s="11" t="n">
        <x:v>2.632143</x:v>
      </x:c>
      <x:c r="H129" s="11" t="n">
        <x:v>5.221107</x:v>
      </x:c>
      <x:c r="I129" s="11" t="n">
        <x:f>H129-G129</x:f>
        <x:v>2.588964</x:v>
      </x:c>
      <x:c r="J129" s="10" t="str">
        <x:v>작성은 계속해. 그 고객 설명용 자료와 내부 검토에 두자고 했던 자료의 일정 차이만 3문장으로 따로 알려줘.</x:v>
      </x:c>
      <x:c r="K129" s="10" t="str">
        <x:v>서로 다른 업무 자료의 일정 차이 설명에 이번 조건을 적용하겠습니다: 일정 차이만, 3문장, 기존 발표자료 작성 유지. 대상의 최종 연결은 현재 조회 결과와 함께 확정합니다.</x:v>
      </x:c>
      <x:c r="L129" s="11"/>
      <x:c r="M129" s="11"/>
      <x:c r="N129" s="10" t="str">
        <x:v>NOT_MODELED</x:v>
      </x:c>
    </x:row>
    <x:row r="130" ht="85" customHeight="1">
      <x:c r="A130" s="10" t="str">
        <x:v>T-REL</x:v>
      </x:c>
      <x:c r="B130" s="10" t="str">
        <x:v>TEXT</x:v>
      </x:c>
      <x:c r="C130" s="10" t="str">
        <x:v>TEXT:SYN-F03-01</x:v>
      </x:c>
      <x:c r="D130" s="10" t="str">
        <x:v>TEXT:SYN-F03-01-U01</x:v>
      </x:c>
      <x:c r="E130" s="10" t="str">
        <x:v>T-F03</x:v>
      </x:c>
      <x:c r="F130" s="10" t="n">
        <x:v>1</x:v>
      </x:c>
      <x:c r="G130" s="11" t="n">
        <x:v>0</x:v>
      </x:c>
      <x:c r="H130" s="11" t="n">
        <x:v>1.2375</x:v>
      </x:c>
      <x:c r="I130" s="11" t="n">
        <x:f>H130-G130</x:f>
        <x:v>1.2375</x:v>
      </x:c>
      <x:c r="J130" s="10" t="str">
        <x:v>같은 제목인 자료가 여럿 있는데, 내가 서비스 운영위원회용 구성을 좋다고 했던 쪽으로 전환 검토 발표자료 5장 이내를 만들어줘. 월 운영비 240만원 이하, 첫 12개월 기준이야. 외부 발송은 하지 마.</x:v>
      </x:c>
      <x:c r="K130" s="10" t="str">
        <x:v>SYN-F03-01:D2@v1의 구성을 기준으로 서비스 운영위원회용 전환 검토 발표자료를 5장 이내로 작성하도록 준비하겠습니다.</x:v>
      </x:c>
      <x:c r="L130" s="11"/>
      <x:c r="M130" s="11"/>
      <x:c r="N130" s="10" t="str">
        <x:v>NOT_MODELED</x:v>
      </x:c>
    </x:row>
    <x:row r="131" ht="85" customHeight="1">
      <x:c r="A131" s="10" t="str">
        <x:v>T-REL</x:v>
      </x:c>
      <x:c r="B131" s="10" t="str">
        <x:v>TEXT</x:v>
      </x:c>
      <x:c r="C131" s="10" t="str">
        <x:v>TEXT:SYN-F03-01</x:v>
      </x:c>
      <x:c r="D131" s="10" t="str">
        <x:v>TEXT:SYN-F03-01-U02</x:v>
      </x:c>
      <x:c r="E131" s="10" t="str">
        <x:v>T-F03</x:v>
      </x:c>
      <x:c r="F131" s="10" t="n">
        <x:v>1</x:v>
      </x:c>
      <x:c r="G131" s="11" t="n">
        <x:v>1.5875</x:v>
      </x:c>
      <x:c r="H131" s="11" t="n">
        <x:v>4.28425</x:v>
      </x:c>
      <x:c r="I131" s="11" t="n">
        <x:f>H131-G131</x:f>
        <x:v>2.69675</x:v>
      </x:c>
      <x:c r="J131" s="10" t="str">
        <x:v>작성은 계속해. 그 고객 설명용 자료와 내부 검토에 두자고 했던 자료의 일정 차이만 3문장으로 따로 알려줘.</x:v>
      </x:c>
      <x:c r="K131" s="10" t="str">
        <x:v>기존 작성은 유지하고 SYN-F03-01:D2@v1와 SYN-F03-01:D3@v1의 일정 차이를 별도로 정리하겠습니다.</x:v>
      </x:c>
      <x:c r="L131" s="11"/>
      <x:c r="M131" s="11"/>
      <x:c r="N131" s="10" t="str">
        <x:v>NOT_MODELED</x:v>
      </x:c>
    </x:row>
    <x:row r="132" ht="85" customHeight="1">
      <x:c r="A132" s="10" t="str">
        <x:v>T-BASE</x:v>
      </x:c>
      <x:c r="B132" s="10" t="str">
        <x:v>TEXT</x:v>
      </x:c>
      <x:c r="C132" s="10" t="str">
        <x:v>TEXT:SYN-F03-02</x:v>
      </x:c>
      <x:c r="D132" s="10" t="str">
        <x:v>TEXT:SYN-F03-02-U01</x:v>
      </x:c>
      <x:c r="E132" s="10" t="str">
        <x:v>T-F03</x:v>
      </x:c>
      <x:c r="F132" s="10" t="n">
        <x:v>1</x:v>
      </x:c>
      <x:c r="G132" s="11" t="n">
        <x:v>0</x:v>
      </x:c>
      <x:c r="H132" s="11" t="n">
        <x:v>2.319964</x:v>
      </x:c>
      <x:c r="I132" s="11" t="n">
        <x:f>H132-G132</x:f>
        <x:v>2.319964</x:v>
      </x:c>
      <x:c r="J132" s="10" t="str">
        <x:v>같은 제목인 자료가 여럿 있는데, 내가 참가업체 설명회용 구성을 좋다고 했던 쪽으로 운영 제안 발표자료 4장 이내를 만들어줘. 주말 운영 인력 12명 이하, 전시 4주 기준이야. 외부 발송은 하지 마.</x:v>
      </x:c>
      <x:c r="K132" s="10" t="str">
        <x:v>SYN-F03-02:D1@v1의 구성을 기준으로 참가업체 설명회용 운영 제안 발표자료를 4장 이내로 작성하도록 준비하겠습니다.</x:v>
      </x:c>
      <x:c r="L132" s="11"/>
      <x:c r="M132" s="11"/>
      <x:c r="N132" s="10" t="str">
        <x:v>NOT_MODELED</x:v>
      </x:c>
    </x:row>
    <x:row r="133" ht="85" customHeight="1">
      <x:c r="A133" s="10" t="str">
        <x:v>T-BASE</x:v>
      </x:c>
      <x:c r="B133" s="10" t="str">
        <x:v>TEXT</x:v>
      </x:c>
      <x:c r="C133" s="10" t="str">
        <x:v>TEXT:SYN-F03-02</x:v>
      </x:c>
      <x:c r="D133" s="10" t="str">
        <x:v>TEXT:SYN-F03-02-U02</x:v>
      </x:c>
      <x:c r="E133" s="10" t="str">
        <x:v>T-F03</x:v>
      </x:c>
      <x:c r="F133" s="10" t="n">
        <x:v>1</x:v>
      </x:c>
      <x:c r="G133" s="11" t="n">
        <x:v>2.669964</x:v>
      </x:c>
      <x:c r="H133" s="11" t="n">
        <x:v>6.32675</x:v>
      </x:c>
      <x:c r="I133" s="11" t="n">
        <x:f>H133-G133</x:f>
        <x:v>3.656786</x:v>
      </x:c>
      <x:c r="J133" s="10" t="str">
        <x:v>작성은 계속해. 그 고객 설명용 자료와 내부 검토에 두자고 했던 자료의 일정 차이만 2문장으로 따로 알려줘.</x:v>
      </x:c>
      <x:c r="K133" s="10" t="str">
        <x:v>기존 작성은 유지하고 SYN-F03-02:D1@v1와 SYN-F03-02:D2@v1의 일정 차이를 별도로 정리하겠습니다.</x:v>
      </x:c>
      <x:c r="L133" s="11"/>
      <x:c r="M133" s="11"/>
      <x:c r="N133" s="10" t="str">
        <x:v>NOT_MODELED</x:v>
      </x:c>
    </x:row>
    <x:row r="134" ht="85" customHeight="1">
      <x:c r="A134" s="10" t="str">
        <x:v>T-EXEC</x:v>
      </x:c>
      <x:c r="B134" s="10" t="str">
        <x:v>TEXT</x:v>
      </x:c>
      <x:c r="C134" s="10" t="str">
        <x:v>TEXT:SYN-F03-02</x:v>
      </x:c>
      <x:c r="D134" s="10" t="str">
        <x:v>TEXT:SYN-F03-02-U01</x:v>
      </x:c>
      <x:c r="E134" s="10" t="str">
        <x:v>T-F03</x:v>
      </x:c>
      <x:c r="F134" s="10" t="n">
        <x:v>1</x:v>
      </x:c>
      <x:c r="G134" s="11" t="n">
        <x:v>0</x:v>
      </x:c>
      <x:c r="H134" s="11" t="n">
        <x:v>2.319964</x:v>
      </x:c>
      <x:c r="I134" s="11" t="n">
        <x:f>H134-G134</x:f>
        <x:v>2.319964</x:v>
      </x:c>
      <x:c r="J134" s="10" t="str">
        <x:v>같은 제목인 자료가 여럿 있는데, 내가 참가업체 설명회용 구성을 좋다고 했던 쪽으로 운영 제안 발표자료 4장 이내를 만들어줘. 주말 운영 인력 12명 이하, 전시 4주 기준이야. 외부 발송은 하지 마.</x:v>
      </x:c>
      <x:c r="K134" s="10" t="str">
        <x:v>SYN-F03-02:D1@v1의 구성을 기준으로 참가업체 설명회용 운영 제안 발표자료를 4장 이내로 작성하도록 준비하겠습니다.</x:v>
      </x:c>
      <x:c r="L134" s="11"/>
      <x:c r="M134" s="11"/>
      <x:c r="N134" s="10" t="str">
        <x:v>NOT_MODELED</x:v>
      </x:c>
    </x:row>
    <x:row r="135" ht="85" customHeight="1">
      <x:c r="A135" s="10" t="str">
        <x:v>T-EXEC</x:v>
      </x:c>
      <x:c r="B135" s="10" t="str">
        <x:v>TEXT</x:v>
      </x:c>
      <x:c r="C135" s="10" t="str">
        <x:v>TEXT:SYN-F03-02</x:v>
      </x:c>
      <x:c r="D135" s="10" t="str">
        <x:v>TEXT:SYN-F03-02-U02</x:v>
      </x:c>
      <x:c r="E135" s="10" t="str">
        <x:v>T-F03</x:v>
      </x:c>
      <x:c r="F135" s="10" t="n">
        <x:v>1</x:v>
      </x:c>
      <x:c r="G135" s="11" t="n">
        <x:v>2.669964</x:v>
      </x:c>
      <x:c r="H135" s="11" t="n">
        <x:v>5.306429</x:v>
      </x:c>
      <x:c r="I135" s="11" t="n">
        <x:f>H135-G135</x:f>
        <x:v>2.636465</x:v>
      </x:c>
      <x:c r="J135" s="10" t="str">
        <x:v>작성은 계속해. 그 고객 설명용 자료와 내부 검토에 두자고 했던 자료의 일정 차이만 2문장으로 따로 알려줘.</x:v>
      </x:c>
      <x:c r="K135" s="10" t="str">
        <x:v>서로 다른 업무 자료의 일정 차이 설명에 이번 조건을 적용하겠습니다: 일정 차이만, 2문장, 기존 발표자료 작성 유지. 대상의 최종 연결은 현재 조회 결과와 함께 확정합니다.</x:v>
      </x:c>
      <x:c r="L135" s="11"/>
      <x:c r="M135" s="11"/>
      <x:c r="N135" s="10" t="str">
        <x:v>NOT_MODELED</x:v>
      </x:c>
    </x:row>
    <x:row r="136" ht="85" customHeight="1">
      <x:c r="A136" s="10" t="str">
        <x:v>T-REL</x:v>
      </x:c>
      <x:c r="B136" s="10" t="str">
        <x:v>TEXT</x:v>
      </x:c>
      <x:c r="C136" s="10" t="str">
        <x:v>TEXT:SYN-F03-02</x:v>
      </x:c>
      <x:c r="D136" s="10" t="str">
        <x:v>TEXT:SYN-F03-02-U01</x:v>
      </x:c>
      <x:c r="E136" s="10" t="str">
        <x:v>T-F03</x:v>
      </x:c>
      <x:c r="F136" s="10" t="n">
        <x:v>1</x:v>
      </x:c>
      <x:c r="G136" s="11" t="n">
        <x:v>0</x:v>
      </x:c>
      <x:c r="H136" s="11" t="n">
        <x:v>1.250321</x:v>
      </x:c>
      <x:c r="I136" s="11" t="n">
        <x:f>H136-G136</x:f>
        <x:v>1.250321</x:v>
      </x:c>
      <x:c r="J136" s="10" t="str">
        <x:v>같은 제목인 자료가 여럿 있는데, 내가 참가업체 설명회용 구성을 좋다고 했던 쪽으로 운영 제안 발표자료 4장 이내를 만들어줘. 주말 운영 인력 12명 이하, 전시 4주 기준이야. 외부 발송은 하지 마.</x:v>
      </x:c>
      <x:c r="K136" s="10" t="str">
        <x:v>SYN-F03-02:D1@v1의 구성을 기준으로 참가업체 설명회용 운영 제안 발표자료를 4장 이내로 작성하도록 준비하겠습니다.</x:v>
      </x:c>
      <x:c r="L136" s="11"/>
      <x:c r="M136" s="11"/>
      <x:c r="N136" s="10" t="str">
        <x:v>NOT_MODELED</x:v>
      </x:c>
    </x:row>
    <x:row r="137" ht="85" customHeight="1">
      <x:c r="A137" s="10" t="str">
        <x:v>T-REL</x:v>
      </x:c>
      <x:c r="B137" s="10" t="str">
        <x:v>TEXT</x:v>
      </x:c>
      <x:c r="C137" s="10" t="str">
        <x:v>TEXT:SYN-F03-02</x:v>
      </x:c>
      <x:c r="D137" s="10" t="str">
        <x:v>TEXT:SYN-F03-02-U02</x:v>
      </x:c>
      <x:c r="E137" s="10" t="str">
        <x:v>T-F03</x:v>
      </x:c>
      <x:c r="F137" s="10" t="n">
        <x:v>1</x:v>
      </x:c>
      <x:c r="G137" s="11" t="n">
        <x:v>1.600321</x:v>
      </x:c>
      <x:c r="H137" s="11" t="n">
        <x:v>4.354892</x:v>
      </x:c>
      <x:c r="I137" s="11" t="n">
        <x:f>H137-G137</x:f>
        <x:v>2.7545710000000003</x:v>
      </x:c>
      <x:c r="J137" s="10" t="str">
        <x:v>작성은 계속해. 그 고객 설명용 자료와 내부 검토에 두자고 했던 자료의 일정 차이만 2문장으로 따로 알려줘.</x:v>
      </x:c>
      <x:c r="K137" s="10" t="str">
        <x:v>기존 작성은 유지하고 SYN-F03-02:D1@v1와 SYN-F03-02:D2@v1의 일정 차이를 별도로 정리하겠습니다.</x:v>
      </x:c>
      <x:c r="L137" s="11"/>
      <x:c r="M137" s="11"/>
      <x:c r="N137" s="10" t="str">
        <x:v>NOT_MODELED</x:v>
      </x:c>
    </x:row>
    <x:row r="138" ht="85" customHeight="1">
      <x:c r="A138" s="10" t="str">
        <x:v>T-BASE</x:v>
      </x:c>
      <x:c r="B138" s="10" t="str">
        <x:v>TEXT</x:v>
      </x:c>
      <x:c r="C138" s="10" t="str">
        <x:v>TEXT:SYN-F03-03</x:v>
      </x:c>
      <x:c r="D138" s="10" t="str">
        <x:v>TEXT:SYN-F03-03-U01</x:v>
      </x:c>
      <x:c r="E138" s="10" t="str">
        <x:v>T-F03</x:v>
      </x:c>
      <x:c r="F138" s="10" t="n">
        <x:v>1</x:v>
      </x:c>
      <x:c r="G138" s="11" t="n">
        <x:v>0</x:v>
      </x:c>
      <x:c r="H138" s="11" t="n">
        <x:v>2.357786</x:v>
      </x:c>
      <x:c r="I138" s="11" t="n">
        <x:f>H138-G138</x:f>
        <x:v>2.357786</x:v>
      </x:c>
      <x:c r="J138" s="10" t="str">
        <x:v>같은 제목인 자료가 여럿 있는데, 내가 교육 승인위원회용 구성을 좋다고 했던 쪽으로 교육 개편 발표자료 6장 이내를 만들어줘. 참가자당 교육시간 18시간 이하, 입사 후 3주 기준이야. 외부 발송은 하지 마.</x:v>
      </x:c>
      <x:c r="K138" s="10" t="str">
        <x:v>SYN-F03-03:D1@v1에 대해 해온 신입교육 개편 교육 개편 발표자료 작성 위임을 진행하겠습니다. 적용 조건: 교육 승인위원회용, 6장 이내, 참가자당 교육시간 18시간 이하, 대상 기간 입사 후 3주, 외부 발송 없음. 내용 출처: SYN-F03-03:D1@v1.</x:v>
      </x:c>
      <x:c r="L138" s="11"/>
      <x:c r="M138" s="11"/>
      <x:c r="N138" s="10" t="str">
        <x:v>NOT_MODELED</x:v>
      </x:c>
    </x:row>
    <x:row r="139" ht="85" customHeight="1">
      <x:c r="A139" s="10" t="str">
        <x:v>T-BASE</x:v>
      </x:c>
      <x:c r="B139" s="10" t="str">
        <x:v>TEXT</x:v>
      </x:c>
      <x:c r="C139" s="10" t="str">
        <x:v>TEXT:SYN-F03-03</x:v>
      </x:c>
      <x:c r="D139" s="10" t="str">
        <x:v>TEXT:SYN-F03-03-U02</x:v>
      </x:c>
      <x:c r="E139" s="10" t="str">
        <x:v>T-F03</x:v>
      </x:c>
      <x:c r="F139" s="10" t="n">
        <x:v>1</x:v>
      </x:c>
      <x:c r="G139" s="11" t="n">
        <x:v>2.707786</x:v>
      </x:c>
      <x:c r="H139" s="11" t="n">
        <x:v>6.447393</x:v>
      </x:c>
      <x:c r="I139" s="11" t="n">
        <x:f>H139-G139</x:f>
        <x:v>3.739607</x:v>
      </x:c>
      <x:c r="J139" s="10" t="str">
        <x:v>작성은 계속해. 그 고객 설명용 자료와 내부 검토에 두자고 했던 자료의 일정 차이만 4문장으로 따로 알려줘.</x:v>
      </x:c>
      <x:c r="K139" s="10" t="str">
        <x:v>기존 작성은 유지하고 SYN-F03-03:D3@v1와 SYN-F03-03:D1@v1의 일정 차이를 별도로 정리하겠습니다.</x:v>
      </x:c>
      <x:c r="L139" s="11"/>
      <x:c r="M139" s="11"/>
      <x:c r="N139" s="10" t="str">
        <x:v>NOT_MODELED</x:v>
      </x:c>
    </x:row>
    <x:row r="140" ht="85" customHeight="1">
      <x:c r="A140" s="10" t="str">
        <x:v>T-EXEC</x:v>
      </x:c>
      <x:c r="B140" s="10" t="str">
        <x:v>TEXT</x:v>
      </x:c>
      <x:c r="C140" s="10" t="str">
        <x:v>TEXT:SYN-F03-03</x:v>
      </x:c>
      <x:c r="D140" s="10" t="str">
        <x:v>TEXT:SYN-F03-03-U01</x:v>
      </x:c>
      <x:c r="E140" s="10" t="str">
        <x:v>T-F03</x:v>
      </x:c>
      <x:c r="F140" s="10" t="n">
        <x:v>1</x:v>
      </x:c>
      <x:c r="G140" s="11" t="n">
        <x:v>0</x:v>
      </x:c>
      <x:c r="H140" s="11" t="n">
        <x:v>2.357786</x:v>
      </x:c>
      <x:c r="I140" s="11" t="n">
        <x:f>H140-G140</x:f>
        <x:v>2.357786</x:v>
      </x:c>
      <x:c r="J140" s="10" t="str">
        <x:v>같은 제목인 자료가 여럿 있는데, 내가 교육 승인위원회용 구성을 좋다고 했던 쪽으로 교육 개편 발표자료 6장 이내를 만들어줘. 참가자당 교육시간 18시간 이하, 입사 후 3주 기준이야. 외부 발송은 하지 마.</x:v>
      </x:c>
      <x:c r="K140" s="10" t="str">
        <x:v>SYN-F03-03:D1@v1에 대해 해온 신입교육 개편 교육 개편 발표자료 작성 위임을 진행하겠습니다. 적용 조건: 교육 승인위원회용, 6장 이내, 참가자당 교육시간 18시간 이하, 대상 기간 입사 후 3주, 외부 발송 없음. 내용 출처: SYN-F03-03:D1@v1.</x:v>
      </x:c>
      <x:c r="L140" s="11"/>
      <x:c r="M140" s="11"/>
      <x:c r="N140" s="10" t="str">
        <x:v>NOT_MODELED</x:v>
      </x:c>
    </x:row>
    <x:row r="141" ht="85" customHeight="1">
      <x:c r="A141" s="10" t="str">
        <x:v>T-EXEC</x:v>
      </x:c>
      <x:c r="B141" s="10" t="str">
        <x:v>TEXT</x:v>
      </x:c>
      <x:c r="C141" s="10" t="str">
        <x:v>TEXT:SYN-F03-03</x:v>
      </x:c>
      <x:c r="D141" s="10" t="str">
        <x:v>TEXT:SYN-F03-03-U02</x:v>
      </x:c>
      <x:c r="E141" s="10" t="str">
        <x:v>T-F03</x:v>
      </x:c>
      <x:c r="F141" s="10" t="n">
        <x:v>1</x:v>
      </x:c>
      <x:c r="G141" s="11" t="n">
        <x:v>2.707786</x:v>
      </x:c>
      <x:c r="H141" s="11" t="n">
        <x:v>5.39175</x:v>
      </x:c>
      <x:c r="I141" s="11" t="n">
        <x:f>H141-G141</x:f>
        <x:v>2.683964</x:v>
      </x:c>
      <x:c r="J141" s="10" t="str">
        <x:v>작성은 계속해. 그 고객 설명용 자료와 내부 검토에 두자고 했던 자료의 일정 차이만 4문장으로 따로 알려줘.</x:v>
      </x:c>
      <x:c r="K141" s="10" t="str">
        <x:v>서로 다른 업무 자료의 일정 차이 설명에 이번 조건을 적용하겠습니다: 일정 차이만, 4문장, 기존 발표자료 작성 유지. 대상의 최종 연결은 현재 조회 결과와 함께 확정합니다.</x:v>
      </x:c>
      <x:c r="L141" s="11"/>
      <x:c r="M141" s="11"/>
      <x:c r="N141" s="10" t="str">
        <x:v>NOT_MODELED</x:v>
      </x:c>
    </x:row>
    <x:row r="142" ht="85" customHeight="1">
      <x:c r="A142" s="10" t="str">
        <x:v>T-REL</x:v>
      </x:c>
      <x:c r="B142" s="10" t="str">
        <x:v>TEXT</x:v>
      </x:c>
      <x:c r="C142" s="10" t="str">
        <x:v>TEXT:SYN-F03-03</x:v>
      </x:c>
      <x:c r="D142" s="10" t="str">
        <x:v>TEXT:SYN-F03-03-U01</x:v>
      </x:c>
      <x:c r="E142" s="10" t="str">
        <x:v>T-F03</x:v>
      </x:c>
      <x:c r="F142" s="10" t="n">
        <x:v>1</x:v>
      </x:c>
      <x:c r="G142" s="11" t="n">
        <x:v>0</x:v>
      </x:c>
      <x:c r="H142" s="11" t="n">
        <x:v>1.263143</x:v>
      </x:c>
      <x:c r="I142" s="11" t="n">
        <x:f>H142-G142</x:f>
        <x:v>1.263143</x:v>
      </x:c>
      <x:c r="J142" s="10" t="str">
        <x:v>같은 제목인 자료가 여럿 있는데, 내가 교육 승인위원회용 구성을 좋다고 했던 쪽으로 교육 개편 발표자료 6장 이내를 만들어줘. 참가자당 교육시간 18시간 이하, 입사 후 3주 기준이야. 외부 발송은 하지 마.</x:v>
      </x:c>
      <x:c r="K142" s="10" t="str">
        <x:v>SYN-F03-03:D3@v1의 구성을 기준으로 교육 승인위원회용 교육 개편 발표자료를 6장 이내로 작성하도록 준비하겠습니다.</x:v>
      </x:c>
      <x:c r="L142" s="11"/>
      <x:c r="M142" s="11"/>
      <x:c r="N142" s="10" t="str">
        <x:v>NOT_MODELED</x:v>
      </x:c>
    </x:row>
    <x:row r="143" ht="85" customHeight="1">
      <x:c r="A143" s="10" t="str">
        <x:v>T-REL</x:v>
      </x:c>
      <x:c r="B143" s="10" t="str">
        <x:v>TEXT</x:v>
      </x:c>
      <x:c r="C143" s="10" t="str">
        <x:v>TEXT:SYN-F03-03</x:v>
      </x:c>
      <x:c r="D143" s="10" t="str">
        <x:v>TEXT:SYN-F03-03-U02</x:v>
      </x:c>
      <x:c r="E143" s="10" t="str">
        <x:v>T-F03</x:v>
      </x:c>
      <x:c r="F143" s="10" t="n">
        <x:v>1</x:v>
      </x:c>
      <x:c r="G143" s="11" t="n">
        <x:v>1.613143</x:v>
      </x:c>
      <x:c r="H143" s="11" t="n">
        <x:v>4.425536</x:v>
      </x:c>
      <x:c r="I143" s="11" t="n">
        <x:f>H143-G143</x:f>
        <x:v>2.812393</x:v>
      </x:c>
      <x:c r="J143" s="10" t="str">
        <x:v>작성은 계속해. 그 고객 설명용 자료와 내부 검토에 두자고 했던 자료의 일정 차이만 4문장으로 따로 알려줘.</x:v>
      </x:c>
      <x:c r="K143" s="10" t="str">
        <x:v>기존 작성은 유지하고 SYN-F03-03:D3@v1와 SYN-F03-03:D1@v1의 일정 차이를 별도로 정리하겠습니다.</x:v>
      </x:c>
      <x:c r="L143" s="11"/>
      <x:c r="M143" s="11"/>
      <x:c r="N143" s="10" t="str">
        <x:v>NOT_MODELED</x:v>
      </x:c>
    </x:row>
    <x:row r="144" ht="85" customHeight="1">
      <x:c r="A144" s="10" t="str">
        <x:v>T-BASE</x:v>
      </x:c>
      <x:c r="B144" s="10" t="str">
        <x:v>TEXT</x:v>
      </x:c>
      <x:c r="C144" s="10" t="str">
        <x:v>TEXT:SYN-F03-04</x:v>
      </x:c>
      <x:c r="D144" s="10" t="str">
        <x:v>TEXT:SYN-F03-04-U01</x:v>
      </x:c>
      <x:c r="E144" s="10" t="str">
        <x:v>T-F03</x:v>
      </x:c>
      <x:c r="F144" s="10" t="n">
        <x:v>1</x:v>
      </x:c>
      <x:c r="G144" s="11" t="n">
        <x:v>0</x:v>
      </x:c>
      <x:c r="H144" s="11" t="n">
        <x:v>2.320607</x:v>
      </x:c>
      <x:c r="I144" s="11" t="n">
        <x:f>H144-G144</x:f>
        <x:v>2.320607</x:v>
      </x:c>
      <x:c r="J144" s="10" t="str">
        <x:v>같은 제목인 자료가 여럿 있는데, 내가 협력사 운영설명회용 구성을 좋다고 했던 쪽으로 거점 개선 발표자료 7장 이내를 만들어줘. 일일 추가 운행 8회 이하, 평일 20일 기준이야. 외부 발송은 하지 마.</x:v>
      </x:c>
      <x:c r="K144" s="10" t="str">
        <x:v>SYN-F03-04:D2@v1의 구성을 기준으로 협력사 운영설명회용 거점 개선 발표자료를 7장 이내로 작성하도록 준비하겠습니다.</x:v>
      </x:c>
      <x:c r="L144" s="11"/>
      <x:c r="M144" s="11"/>
      <x:c r="N144" s="10" t="str">
        <x:v>NOT_MODELED</x:v>
      </x:c>
    </x:row>
    <x:row r="145" ht="85" customHeight="1">
      <x:c r="A145" s="10" t="str">
        <x:v>T-BASE</x:v>
      </x:c>
      <x:c r="B145" s="10" t="str">
        <x:v>TEXT</x:v>
      </x:c>
      <x:c r="C145" s="10" t="str">
        <x:v>TEXT:SYN-F03-04</x:v>
      </x:c>
      <x:c r="D145" s="10" t="str">
        <x:v>TEXT:SYN-F03-04-U02</x:v>
      </x:c>
      <x:c r="E145" s="10" t="str">
        <x:v>T-F03</x:v>
      </x:c>
      <x:c r="F145" s="10" t="n">
        <x:v>1</x:v>
      </x:c>
      <x:c r="G145" s="11" t="n">
        <x:v>2.670607</x:v>
      </x:c>
      <x:c r="H145" s="11" t="n">
        <x:v>6.418036</x:v>
      </x:c>
      <x:c r="I145" s="11" t="n">
        <x:f>H145-G145</x:f>
        <x:v>3.747429</x:v>
      </x:c>
      <x:c r="J145" s="10" t="str">
        <x:v>작성은 계속해. 그 고객 설명용 자료와 내부 검토에 두자고 했던 자료의 일정 차이만 3문장으로 따로 알려줘.</x:v>
      </x:c>
      <x:c r="K145" s="10" t="str">
        <x:v>기존 작성은 유지하고 SYN-F03-04:D2@v1와 SYN-F03-04:D3@v1의 일정 차이를 별도로 정리하겠습니다.</x:v>
      </x:c>
      <x:c r="L145" s="11"/>
      <x:c r="M145" s="11"/>
      <x:c r="N145" s="10" t="str">
        <x:v>NOT_MODELED</x:v>
      </x:c>
    </x:row>
    <x:row r="146" ht="85" customHeight="1">
      <x:c r="A146" s="10" t="str">
        <x:v>T-EXEC</x:v>
      </x:c>
      <x:c r="B146" s="10" t="str">
        <x:v>TEXT</x:v>
      </x:c>
      <x:c r="C146" s="10" t="str">
        <x:v>TEXT:SYN-F03-04</x:v>
      </x:c>
      <x:c r="D146" s="10" t="str">
        <x:v>TEXT:SYN-F03-04-U01</x:v>
      </x:c>
      <x:c r="E146" s="10" t="str">
        <x:v>T-F03</x:v>
      </x:c>
      <x:c r="F146" s="10" t="n">
        <x:v>1</x:v>
      </x:c>
      <x:c r="G146" s="11" t="n">
        <x:v>0</x:v>
      </x:c>
      <x:c r="H146" s="11" t="n">
        <x:v>2.320607</x:v>
      </x:c>
      <x:c r="I146" s="11" t="n">
        <x:f>H146-G146</x:f>
        <x:v>2.320607</x:v>
      </x:c>
      <x:c r="J146" s="10" t="str">
        <x:v>같은 제목인 자료가 여럿 있는데, 내가 협력사 운영설명회용 구성을 좋다고 했던 쪽으로 거점 개선 발표자료 7장 이내를 만들어줘. 일일 추가 운행 8회 이하, 평일 20일 기준이야. 외부 발송은 하지 마.</x:v>
      </x:c>
      <x:c r="K146" s="10" t="str">
        <x:v>SYN-F03-04:D2@v1의 구성을 기준으로 협력사 운영설명회용 거점 개선 발표자료를 7장 이내로 작성하도록 준비하겠습니다.</x:v>
      </x:c>
      <x:c r="L146" s="11"/>
      <x:c r="M146" s="11"/>
      <x:c r="N146" s="10" t="str">
        <x:v>NOT_MODELED</x:v>
      </x:c>
    </x:row>
    <x:row r="147" ht="85" customHeight="1">
      <x:c r="A147" s="10" t="str">
        <x:v>T-EXEC</x:v>
      </x:c>
      <x:c r="B147" s="10" t="str">
        <x:v>TEXT</x:v>
      </x:c>
      <x:c r="C147" s="10" t="str">
        <x:v>TEXT:SYN-F03-04</x:v>
      </x:c>
      <x:c r="D147" s="10" t="str">
        <x:v>TEXT:SYN-F03-04-U02</x:v>
      </x:c>
      <x:c r="E147" s="10" t="str">
        <x:v>T-F03</x:v>
      </x:c>
      <x:c r="F147" s="10" t="n">
        <x:v>1</x:v>
      </x:c>
      <x:c r="G147" s="11" t="n">
        <x:v>2.670607</x:v>
      </x:c>
      <x:c r="H147" s="11" t="n">
        <x:v>5.308322</x:v>
      </x:c>
      <x:c r="I147" s="11" t="n">
        <x:f>H147-G147</x:f>
        <x:v>2.6377150000000005</x:v>
      </x:c>
      <x:c r="J147" s="10" t="str">
        <x:v>작성은 계속해. 그 고객 설명용 자료와 내부 검토에 두자고 했던 자료의 일정 차이만 3문장으로 따로 알려줘.</x:v>
      </x:c>
      <x:c r="K147" s="10" t="str">
        <x:v>서로 다른 업무 자료의 일정 차이 설명에 이번 조건을 적용하겠습니다: 일정 차이만, 3문장, 기존 발표자료 작성 유지. 대상의 최종 연결은 현재 조회 결과와 함께 확정합니다.</x:v>
      </x:c>
      <x:c r="L147" s="11"/>
      <x:c r="M147" s="11"/>
      <x:c r="N147" s="10" t="str">
        <x:v>NOT_MODELED</x:v>
      </x:c>
    </x:row>
    <x:row r="148" ht="85" customHeight="1">
      <x:c r="A148" s="10" t="str">
        <x:v>T-REL</x:v>
      </x:c>
      <x:c r="B148" s="10" t="str">
        <x:v>TEXT</x:v>
      </x:c>
      <x:c r="C148" s="10" t="str">
        <x:v>TEXT:SYN-F03-04</x:v>
      </x:c>
      <x:c r="D148" s="10" t="str">
        <x:v>TEXT:SYN-F03-04-U01</x:v>
      </x:c>
      <x:c r="E148" s="10" t="str">
        <x:v>T-F03</x:v>
      </x:c>
      <x:c r="F148" s="10" t="n">
        <x:v>1</x:v>
      </x:c>
      <x:c r="G148" s="11" t="n">
        <x:v>0</x:v>
      </x:c>
      <x:c r="H148" s="11" t="n">
        <x:v>1.275964</x:v>
      </x:c>
      <x:c r="I148" s="11" t="n">
        <x:f>H148-G148</x:f>
        <x:v>1.275964</x:v>
      </x:c>
      <x:c r="J148" s="10" t="str">
        <x:v>같은 제목인 자료가 여럿 있는데, 내가 협력사 운영설명회용 구성을 좋다고 했던 쪽으로 거점 개선 발표자료 7장 이내를 만들어줘. 일일 추가 운행 8회 이하, 평일 20일 기준이야. 외부 발송은 하지 마.</x:v>
      </x:c>
      <x:c r="K148" s="10" t="str">
        <x:v>SYN-F03-04:D2@v1의 구성을 기준으로 협력사 운영설명회용 거점 개선 발표자료를 7장 이내로 작성하도록 준비하겠습니다.</x:v>
      </x:c>
      <x:c r="L148" s="11"/>
      <x:c r="M148" s="11"/>
      <x:c r="N148" s="10" t="str">
        <x:v>NOT_MODELED</x:v>
      </x:c>
    </x:row>
    <x:row r="149" ht="85" customHeight="1">
      <x:c r="A149" s="10" t="str">
        <x:v>T-REL</x:v>
      </x:c>
      <x:c r="B149" s="10" t="str">
        <x:v>TEXT</x:v>
      </x:c>
      <x:c r="C149" s="10" t="str">
        <x:v>TEXT:SYN-F03-04</x:v>
      </x:c>
      <x:c r="D149" s="10" t="str">
        <x:v>TEXT:SYN-F03-04-U02</x:v>
      </x:c>
      <x:c r="E149" s="10" t="str">
        <x:v>T-F03</x:v>
      </x:c>
      <x:c r="F149" s="10" t="n">
        <x:v>1</x:v>
      </x:c>
      <x:c r="G149" s="11" t="n">
        <x:v>1.625964</x:v>
      </x:c>
      <x:c r="H149" s="11" t="n">
        <x:v>4.496178</x:v>
      </x:c>
      <x:c r="I149" s="11" t="n">
        <x:f>H149-G149</x:f>
        <x:v>2.870214</x:v>
      </x:c>
      <x:c r="J149" s="10" t="str">
        <x:v>작성은 계속해. 그 고객 설명용 자료와 내부 검토에 두자고 했던 자료의 일정 차이만 3문장으로 따로 알려줘.</x:v>
      </x:c>
      <x:c r="K149" s="10" t="str">
        <x:v>기존 작성은 유지하고 SYN-F03-04:D2@v1와 SYN-F03-04:D3@v1의 일정 차이를 별도로 정리하겠습니다.</x:v>
      </x:c>
      <x:c r="L149" s="11"/>
      <x:c r="M149" s="11"/>
      <x:c r="N149" s="10" t="str">
        <x:v>NOT_MODELED</x:v>
      </x:c>
    </x:row>
    <x:row r="150" ht="85" customHeight="1">
      <x:c r="A150" s="10" t="str">
        <x:v>T-BASE</x:v>
      </x:c>
      <x:c r="B150" s="10" t="str">
        <x:v>TEXT</x:v>
      </x:c>
      <x:c r="C150" s="10" t="str">
        <x:v>TEXT:SYN-F03-05</x:v>
      </x:c>
      <x:c r="D150" s="10" t="str">
        <x:v>TEXT:SYN-F03-05-U01</x:v>
      </x:c>
      <x:c r="E150" s="10" t="str">
        <x:v>T-F03</x:v>
      </x:c>
      <x:c r="F150" s="10" t="n">
        <x:v>1</x:v>
      </x:c>
      <x:c r="G150" s="11" t="n">
        <x:v>0</x:v>
      </x:c>
      <x:c r="H150" s="11" t="n">
        <x:v>2.333429</x:v>
      </x:c>
      <x:c r="I150" s="11" t="n">
        <x:f>H150-G150</x:f>
        <x:v>2.333429</x:v>
      </x:c>
      <x:c r="J150" s="10" t="str">
        <x:v>같은 제목인 자료가 여럿 있는데, 내가 입주사 설명회용 구성을 좋다고 했던 쪽으로 조명 교체 검토자료 5장 이내를 만들어줘. 층별 정전 30분 이하, 교체 후 6개월 기준이야. 외부 발송은 하지 마.</x:v>
      </x:c>
      <x:c r="K150" s="10" t="str">
        <x:v>SYN-F03-05:D1@v1의 구성을 기준으로 입주사 설명회용 조명 교체 검토자료를 5장 이내로 작성하도록 준비하겠습니다.</x:v>
      </x:c>
      <x:c r="L150" s="11"/>
      <x:c r="M150" s="11"/>
      <x:c r="N150" s="10" t="str">
        <x:v>NOT_MODELED</x:v>
      </x:c>
    </x:row>
    <x:row r="151" ht="85" customHeight="1">
      <x:c r="A151" s="10" t="str">
        <x:v>T-BASE</x:v>
      </x:c>
      <x:c r="B151" s="10" t="str">
        <x:v>TEXT</x:v>
      </x:c>
      <x:c r="C151" s="10" t="str">
        <x:v>TEXT:SYN-F03-05</x:v>
      </x:c>
      <x:c r="D151" s="10" t="str">
        <x:v>TEXT:SYN-F03-05-U02</x:v>
      </x:c>
      <x:c r="E151" s="10" t="str">
        <x:v>T-F03</x:v>
      </x:c>
      <x:c r="F151" s="10" t="n">
        <x:v>1</x:v>
      </x:c>
      <x:c r="G151" s="11" t="n">
        <x:v>2.683429</x:v>
      </x:c>
      <x:c r="H151" s="11" t="n">
        <x:v>6.488679</x:v>
      </x:c>
      <x:c r="I151" s="11" t="n">
        <x:f>H151-G151</x:f>
        <x:v>3.8052500000000005</x:v>
      </x:c>
      <x:c r="J151" s="10" t="str">
        <x:v>작성은 계속해. 그 고객 설명용 자료와 내부 검토에 두자고 했던 자료의 일정 차이만 2문장으로 따로 알려줘.</x:v>
      </x:c>
      <x:c r="K151" s="10" t="str">
        <x:v>기존 작성은 유지하고 SYN-F03-05:D1@v1와 SYN-F03-05:D2@v1의 일정 차이를 별도로 정리하겠습니다.</x:v>
      </x:c>
      <x:c r="L151" s="11"/>
      <x:c r="M151" s="11"/>
      <x:c r="N151" s="10" t="str">
        <x:v>NOT_MODELED</x:v>
      </x:c>
    </x:row>
    <x:row r="152" ht="85" customHeight="1">
      <x:c r="A152" s="10" t="str">
        <x:v>T-EXEC</x:v>
      </x:c>
      <x:c r="B152" s="10" t="str">
        <x:v>TEXT</x:v>
      </x:c>
      <x:c r="C152" s="10" t="str">
        <x:v>TEXT:SYN-F03-05</x:v>
      </x:c>
      <x:c r="D152" s="10" t="str">
        <x:v>TEXT:SYN-F03-05-U01</x:v>
      </x:c>
      <x:c r="E152" s="10" t="str">
        <x:v>T-F03</x:v>
      </x:c>
      <x:c r="F152" s="10" t="n">
        <x:v>1</x:v>
      </x:c>
      <x:c r="G152" s="11" t="n">
        <x:v>0</x:v>
      </x:c>
      <x:c r="H152" s="11" t="n">
        <x:v>2.333429</x:v>
      </x:c>
      <x:c r="I152" s="11" t="n">
        <x:f>H152-G152</x:f>
        <x:v>2.333429</x:v>
      </x:c>
      <x:c r="J152" s="10" t="str">
        <x:v>같은 제목인 자료가 여럿 있는데, 내가 입주사 설명회용 구성을 좋다고 했던 쪽으로 조명 교체 검토자료 5장 이내를 만들어줘. 층별 정전 30분 이하, 교체 후 6개월 기준이야. 외부 발송은 하지 마.</x:v>
      </x:c>
      <x:c r="K152" s="10" t="str">
        <x:v>SYN-F03-05:D1@v1의 구성을 기준으로 입주사 설명회용 조명 교체 검토자료를 5장 이내로 작성하도록 준비하겠습니다.</x:v>
      </x:c>
      <x:c r="L152" s="11"/>
      <x:c r="M152" s="11"/>
      <x:c r="N152" s="10" t="str">
        <x:v>NOT_MODELED</x:v>
      </x:c>
    </x:row>
    <x:row r="153" ht="85" customHeight="1">
      <x:c r="A153" s="10" t="str">
        <x:v>T-EXEC</x:v>
      </x:c>
      <x:c r="B153" s="10" t="str">
        <x:v>TEXT</x:v>
      </x:c>
      <x:c r="C153" s="10" t="str">
        <x:v>TEXT:SYN-F03-05</x:v>
      </x:c>
      <x:c r="D153" s="10" t="str">
        <x:v>TEXT:SYN-F03-05-U02</x:v>
      </x:c>
      <x:c r="E153" s="10" t="str">
        <x:v>T-F03</x:v>
      </x:c>
      <x:c r="F153" s="10" t="n">
        <x:v>1</x:v>
      </x:c>
      <x:c r="G153" s="11" t="n">
        <x:v>2.683429</x:v>
      </x:c>
      <x:c r="H153" s="11" t="n">
        <x:v>5.343643</x:v>
      </x:c>
      <x:c r="I153" s="11" t="n">
        <x:f>H153-G153</x:f>
        <x:v>2.6602140000000003</x:v>
      </x:c>
      <x:c r="J153" s="10" t="str">
        <x:v>작성은 계속해. 그 고객 설명용 자료와 내부 검토에 두자고 했던 자료의 일정 차이만 2문장으로 따로 알려줘.</x:v>
      </x:c>
      <x:c r="K153" s="10" t="str">
        <x:v>서로 다른 업무 자료의 일정 차이 설명에 이번 조건을 적용하겠습니다: 일정 차이만, 2문장, 기존 발표자료 작성 유지. 대상의 최종 연결은 현재 조회 결과와 함께 확정합니다.</x:v>
      </x:c>
      <x:c r="L153" s="11"/>
      <x:c r="M153" s="11"/>
      <x:c r="N153" s="10" t="str">
        <x:v>NOT_MODELED</x:v>
      </x:c>
    </x:row>
    <x:row r="154" ht="85" customHeight="1">
      <x:c r="A154" s="10" t="str">
        <x:v>T-REL</x:v>
      </x:c>
      <x:c r="B154" s="10" t="str">
        <x:v>TEXT</x:v>
      </x:c>
      <x:c r="C154" s="10" t="str">
        <x:v>TEXT:SYN-F03-05</x:v>
      </x:c>
      <x:c r="D154" s="10" t="str">
        <x:v>TEXT:SYN-F03-05-U01</x:v>
      </x:c>
      <x:c r="E154" s="10" t="str">
        <x:v>T-F03</x:v>
      </x:c>
      <x:c r="F154" s="10" t="n">
        <x:v>1</x:v>
      </x:c>
      <x:c r="G154" s="11" t="n">
        <x:v>0</x:v>
      </x:c>
      <x:c r="H154" s="11" t="n">
        <x:v>1.263786</x:v>
      </x:c>
      <x:c r="I154" s="11" t="n">
        <x:f>H154-G154</x:f>
        <x:v>1.263786</x:v>
      </x:c>
      <x:c r="J154" s="10" t="str">
        <x:v>같은 제목인 자료가 여럿 있는데, 내가 입주사 설명회용 구성을 좋다고 했던 쪽으로 조명 교체 검토자료 5장 이내를 만들어줘. 층별 정전 30분 이하, 교체 후 6개월 기준이야. 외부 발송은 하지 마.</x:v>
      </x:c>
      <x:c r="K154" s="10" t="str">
        <x:v>SYN-F03-05:D1@v1의 구성을 기준으로 입주사 설명회용 조명 교체 검토자료를 5장 이내로 작성하도록 준비하겠습니다.</x:v>
      </x:c>
      <x:c r="L154" s="11"/>
      <x:c r="M154" s="11"/>
      <x:c r="N154" s="10" t="str">
        <x:v>NOT_MODELED</x:v>
      </x:c>
    </x:row>
    <x:row r="155" ht="85" customHeight="1">
      <x:c r="A155" s="10" t="str">
        <x:v>T-REL</x:v>
      </x:c>
      <x:c r="B155" s="10" t="str">
        <x:v>TEXT</x:v>
      </x:c>
      <x:c r="C155" s="10" t="str">
        <x:v>TEXT:SYN-F03-05</x:v>
      </x:c>
      <x:c r="D155" s="10" t="str">
        <x:v>TEXT:SYN-F03-05-U02</x:v>
      </x:c>
      <x:c r="E155" s="10" t="str">
        <x:v>T-F03</x:v>
      </x:c>
      <x:c r="F155" s="10" t="n">
        <x:v>1</x:v>
      </x:c>
      <x:c r="G155" s="11" t="n">
        <x:v>1.613786</x:v>
      </x:c>
      <x:c r="H155" s="11" t="n">
        <x:v>4.516822</x:v>
      </x:c>
      <x:c r="I155" s="11" t="n">
        <x:f>H155-G155</x:f>
        <x:v>2.903036</x:v>
      </x:c>
      <x:c r="J155" s="10" t="str">
        <x:v>작성은 계속해. 그 고객 설명용 자료와 내부 검토에 두자고 했던 자료의 일정 차이만 2문장으로 따로 알려줘.</x:v>
      </x:c>
      <x:c r="K155" s="10" t="str">
        <x:v>기존 작성은 유지하고 SYN-F03-05:D1@v1와 SYN-F03-05:D2@v1의 일정 차이를 별도로 정리하겠습니다.</x:v>
      </x:c>
      <x:c r="L155" s="11"/>
      <x:c r="M155" s="11"/>
      <x:c r="N155" s="10" t="str">
        <x:v>NOT_MODELED</x:v>
      </x:c>
    </x:row>
    <x:row r="156" ht="85" customHeight="1">
      <x:c r="A156" s="10" t="str">
        <x:v>T-BASE</x:v>
      </x:c>
      <x:c r="B156" s="10" t="str">
        <x:v>TEXT</x:v>
      </x:c>
      <x:c r="C156" s="10" t="str">
        <x:v>TEXT:SYN-F03-06</x:v>
      </x:c>
      <x:c r="D156" s="10" t="str">
        <x:v>TEXT:SYN-F03-06-U01</x:v>
      </x:c>
      <x:c r="E156" s="10" t="str">
        <x:v>T-F03</x:v>
      </x:c>
      <x:c r="F156" s="10" t="n">
        <x:v>1</x:v>
      </x:c>
      <x:c r="G156" s="11" t="n">
        <x:v>0</x:v>
      </x:c>
      <x:c r="H156" s="11" t="n">
        <x:v>2.37125</x:v>
      </x:c>
      <x:c r="I156" s="11" t="n">
        <x:f>H156-G156</x:f>
        <x:v>2.37125</x:v>
      </x:c>
      <x:c r="J156" s="10" t="str">
        <x:v>같은 제목인 자료가 여럿 있는데, 내가 참여기업 안내회용 구성을 좋다고 했던 쪽으로 행사 운영 발표자료 8장 이내를 만들어줘. 현장 대기 20분 이하, 행사 2일 기준이야. 외부 발송은 하지 마.</x:v>
      </x:c>
      <x:c r="K156" s="10" t="str">
        <x:v>SYN-F03-06:D3@v1의 구성을 기준으로 참여기업 안내회용 행사 운영 발표자료를 8장 이내로 작성하도록 준비하겠습니다.</x:v>
      </x:c>
      <x:c r="L156" s="11"/>
      <x:c r="M156" s="11"/>
      <x:c r="N156" s="10" t="str">
        <x:v>NOT_MODELED</x:v>
      </x:c>
    </x:row>
    <x:row r="157" ht="85" customHeight="1">
      <x:c r="A157" s="10" t="str">
        <x:v>T-BASE</x:v>
      </x:c>
      <x:c r="B157" s="10" t="str">
        <x:v>TEXT</x:v>
      </x:c>
      <x:c r="C157" s="10" t="str">
        <x:v>TEXT:SYN-F03-06</x:v>
      </x:c>
      <x:c r="D157" s="10" t="str">
        <x:v>TEXT:SYN-F03-06-U02</x:v>
      </x:c>
      <x:c r="E157" s="10" t="str">
        <x:v>T-F03</x:v>
      </x:c>
      <x:c r="F157" s="10" t="n">
        <x:v>1</x:v>
      </x:c>
      <x:c r="G157" s="11" t="n">
        <x:v>2.72125</x:v>
      </x:c>
      <x:c r="H157" s="11" t="n">
        <x:v>6.609321</x:v>
      </x:c>
      <x:c r="I157" s="11" t="n">
        <x:f>H157-G157</x:f>
        <x:v>3.8880709999999996</x:v>
      </x:c>
      <x:c r="J157" s="10" t="str">
        <x:v>작성은 계속해. 그 고객 설명용 자료와 내부 검토에 두자고 했던 자료의 일정 차이만 4문장으로 따로 알려줘.</x:v>
      </x:c>
      <x:c r="K157" s="10" t="str">
        <x:v>기존 작성은 유지하고 SYN-F03-06:D3@v1와 SYN-F03-06:D1@v1의 일정 차이를 별도로 정리하겠습니다.</x:v>
      </x:c>
      <x:c r="L157" s="11"/>
      <x:c r="M157" s="11"/>
      <x:c r="N157" s="10" t="str">
        <x:v>NOT_MODELED</x:v>
      </x:c>
    </x:row>
    <x:row r="158" ht="85" customHeight="1">
      <x:c r="A158" s="10" t="str">
        <x:v>T-EXEC</x:v>
      </x:c>
      <x:c r="B158" s="10" t="str">
        <x:v>TEXT</x:v>
      </x:c>
      <x:c r="C158" s="10" t="str">
        <x:v>TEXT:SYN-F03-06</x:v>
      </x:c>
      <x:c r="D158" s="10" t="str">
        <x:v>TEXT:SYN-F03-06-U01</x:v>
      </x:c>
      <x:c r="E158" s="10" t="str">
        <x:v>T-F03</x:v>
      </x:c>
      <x:c r="F158" s="10" t="n">
        <x:v>1</x:v>
      </x:c>
      <x:c r="G158" s="11" t="n">
        <x:v>0</x:v>
      </x:c>
      <x:c r="H158" s="11" t="n">
        <x:v>2.37125</x:v>
      </x:c>
      <x:c r="I158" s="11" t="n">
        <x:f>H158-G158</x:f>
        <x:v>2.37125</x:v>
      </x:c>
      <x:c r="J158" s="10" t="str">
        <x:v>같은 제목인 자료가 여럿 있는데, 내가 참여기업 안내회용 구성을 좋다고 했던 쪽으로 행사 운영 발표자료 8장 이내를 만들어줘. 현장 대기 20분 이하, 행사 2일 기준이야. 외부 발송은 하지 마.</x:v>
      </x:c>
      <x:c r="K158" s="10" t="str">
        <x:v>SYN-F03-06:D3@v1의 구성을 기준으로 참여기업 안내회용 행사 운영 발표자료를 8장 이내로 작성하도록 준비하겠습니다.</x:v>
      </x:c>
      <x:c r="L158" s="11"/>
      <x:c r="M158" s="11"/>
      <x:c r="N158" s="10" t="str">
        <x:v>NOT_MODELED</x:v>
      </x:c>
    </x:row>
    <x:row r="159" ht="85" customHeight="1">
      <x:c r="A159" s="10" t="str">
        <x:v>T-EXEC</x:v>
      </x:c>
      <x:c r="B159" s="10" t="str">
        <x:v>TEXT</x:v>
      </x:c>
      <x:c r="C159" s="10" t="str">
        <x:v>TEXT:SYN-F03-06</x:v>
      </x:c>
      <x:c r="D159" s="10" t="str">
        <x:v>TEXT:SYN-F03-06-U02</x:v>
      </x:c>
      <x:c r="E159" s="10" t="str">
        <x:v>T-F03</x:v>
      </x:c>
      <x:c r="F159" s="10" t="n">
        <x:v>1</x:v>
      </x:c>
      <x:c r="G159" s="11" t="n">
        <x:v>2.72125</x:v>
      </x:c>
      <x:c r="H159" s="11" t="n">
        <x:v>5.428964</x:v>
      </x:c>
      <x:c r="I159" s="11" t="n">
        <x:f>H159-G159</x:f>
        <x:v>2.7077139999999997</x:v>
      </x:c>
      <x:c r="J159" s="10" t="str">
        <x:v>작성은 계속해. 그 고객 설명용 자료와 내부 검토에 두자고 했던 자료의 일정 차이만 4문장으로 따로 알려줘.</x:v>
      </x:c>
      <x:c r="K159" s="10" t="str">
        <x:v>서로 다른 업무 자료의 일정 차이 설명에 이번 조건을 적용하겠습니다: 일정 차이만, 4문장, 기존 발표자료 작성 유지. 대상의 최종 연결은 현재 조회 결과와 함께 확정합니다.</x:v>
      </x:c>
      <x:c r="L159" s="11"/>
      <x:c r="M159" s="11"/>
      <x:c r="N159" s="10" t="str">
        <x:v>NOT_MODELED</x:v>
      </x:c>
    </x:row>
    <x:row r="160" ht="85" customHeight="1">
      <x:c r="A160" s="10" t="str">
        <x:v>T-REL</x:v>
      </x:c>
      <x:c r="B160" s="10" t="str">
        <x:v>TEXT</x:v>
      </x:c>
      <x:c r="C160" s="10" t="str">
        <x:v>TEXT:SYN-F03-06</x:v>
      </x:c>
      <x:c r="D160" s="10" t="str">
        <x:v>TEXT:SYN-F03-06-U01</x:v>
      </x:c>
      <x:c r="E160" s="10" t="str">
        <x:v>T-F03</x:v>
      </x:c>
      <x:c r="F160" s="10" t="n">
        <x:v>1</x:v>
      </x:c>
      <x:c r="G160" s="11" t="n">
        <x:v>0</x:v>
      </x:c>
      <x:c r="H160" s="11" t="n">
        <x:v>1.276607</x:v>
      </x:c>
      <x:c r="I160" s="11" t="n">
        <x:f>H160-G160</x:f>
        <x:v>1.276607</x:v>
      </x:c>
      <x:c r="J160" s="10" t="str">
        <x:v>같은 제목인 자료가 여럿 있는데, 내가 참여기업 안내회용 구성을 좋다고 했던 쪽으로 행사 운영 발표자료 8장 이내를 만들어줘. 현장 대기 20분 이하, 행사 2일 기준이야. 외부 발송은 하지 마.</x:v>
      </x:c>
      <x:c r="K160" s="10" t="str">
        <x:v>SYN-F03-06:D3@v1의 구성을 기준으로 참여기업 안내회용 행사 운영 발표자료를 8장 이내로 작성하도록 준비하겠습니다.</x:v>
      </x:c>
      <x:c r="L160" s="11"/>
      <x:c r="M160" s="11"/>
      <x:c r="N160" s="10" t="str">
        <x:v>NOT_MODELED</x:v>
      </x:c>
    </x:row>
    <x:row r="161" ht="85" customHeight="1">
      <x:c r="A161" s="10" t="str">
        <x:v>T-REL</x:v>
      </x:c>
      <x:c r="B161" s="10" t="str">
        <x:v>TEXT</x:v>
      </x:c>
      <x:c r="C161" s="10" t="str">
        <x:v>TEXT:SYN-F03-06</x:v>
      </x:c>
      <x:c r="D161" s="10" t="str">
        <x:v>TEXT:SYN-F03-06-U02</x:v>
      </x:c>
      <x:c r="E161" s="10" t="str">
        <x:v>T-F03</x:v>
      </x:c>
      <x:c r="F161" s="10" t="n">
        <x:v>1</x:v>
      </x:c>
      <x:c r="G161" s="11" t="n">
        <x:v>1.626607</x:v>
      </x:c>
      <x:c r="H161" s="11" t="n">
        <x:v>4.587464</x:v>
      </x:c>
      <x:c r="I161" s="11" t="n">
        <x:f>H161-G161</x:f>
        <x:v>2.960857</x:v>
      </x:c>
      <x:c r="J161" s="10" t="str">
        <x:v>작성은 계속해. 그 고객 설명용 자료와 내부 검토에 두자고 했던 자료의 일정 차이만 4문장으로 따로 알려줘.</x:v>
      </x:c>
      <x:c r="K161" s="10" t="str">
        <x:v>기존 작성은 유지하고 SYN-F03-06:D3@v1와 SYN-F03-06:D1@v1의 일정 차이를 별도로 정리하겠습니다.</x:v>
      </x:c>
      <x:c r="L161" s="11"/>
      <x:c r="M161" s="11"/>
      <x:c r="N161" s="10" t="str">
        <x:v>NOT_MODELED</x:v>
      </x:c>
    </x:row>
    <x:row r="162" ht="85" customHeight="1">
      <x:c r="A162" s="10" t="str">
        <x:v>T-BASE</x:v>
      </x:c>
      <x:c r="B162" s="10" t="str">
        <x:v>TEXT</x:v>
      </x:c>
      <x:c r="C162" s="10" t="str">
        <x:v>TEXT:SYN-F03-07</x:v>
      </x:c>
      <x:c r="D162" s="10" t="str">
        <x:v>TEXT:SYN-F03-07-U01</x:v>
      </x:c>
      <x:c r="E162" s="10" t="str">
        <x:v>T-F03</x:v>
      </x:c>
      <x:c r="F162" s="10" t="n">
        <x:v>1</x:v>
      </x:c>
      <x:c r="G162" s="11" t="n">
        <x:v>0</x:v>
      </x:c>
      <x:c r="H162" s="11" t="n">
        <x:v>2.334071</x:v>
      </x:c>
      <x:c r="I162" s="11" t="n">
        <x:f>H162-G162</x:f>
        <x:v>2.334071</x:v>
      </x:c>
      <x:c r="J162" s="10" t="str">
        <x:v>같은 제목인 자료가 여럿 있는데, 내가 납품처 품질설명회용 구성을 좋다고 했던 쪽으로 검사 개선 발표자료 6장 이내를 만들어줘. 샘플 검사 45분 이하, 다음 8주 기준이야. 외부 발송은 하지 마.</x:v>
      </x:c>
      <x:c r="K162" s="10" t="str">
        <x:v>SYN-F03-07:D2@v1의 구성을 기준으로 납품처 품질설명회용 검사 개선 발표자료를 6장 이내로 작성하도록 준비하겠습니다.</x:v>
      </x:c>
      <x:c r="L162" s="11"/>
      <x:c r="M162" s="11"/>
      <x:c r="N162" s="10" t="str">
        <x:v>NOT_MODELED</x:v>
      </x:c>
    </x:row>
    <x:row r="163" ht="85" customHeight="1">
      <x:c r="A163" s="10" t="str">
        <x:v>T-BASE</x:v>
      </x:c>
      <x:c r="B163" s="10" t="str">
        <x:v>TEXT</x:v>
      </x:c>
      <x:c r="C163" s="10" t="str">
        <x:v>TEXT:SYN-F03-07</x:v>
      </x:c>
      <x:c r="D163" s="10" t="str">
        <x:v>TEXT:SYN-F03-07-U02</x:v>
      </x:c>
      <x:c r="E163" s="10" t="str">
        <x:v>T-F03</x:v>
      </x:c>
      <x:c r="F163" s="10" t="n">
        <x:v>1</x:v>
      </x:c>
      <x:c r="G163" s="11" t="n">
        <x:v>2.684071</x:v>
      </x:c>
      <x:c r="H163" s="11" t="n">
        <x:v>6.579964</x:v>
      </x:c>
      <x:c r="I163" s="11" t="n">
        <x:f>H163-G163</x:f>
        <x:v>3.8958930000000005</x:v>
      </x:c>
      <x:c r="J163" s="10" t="str">
        <x:v>작성은 계속해. 그 고객 설명용 자료와 내부 검토에 두자고 했던 자료의 일정 차이만 3문장으로 따로 알려줘.</x:v>
      </x:c>
      <x:c r="K163" s="10" t="str">
        <x:v>기존 작성은 유지하고 SYN-F03-07:D2@v1와 SYN-F03-07:D3@v1의 일정 차이를 별도로 정리하겠습니다.</x:v>
      </x:c>
      <x:c r="L163" s="11"/>
      <x:c r="M163" s="11"/>
      <x:c r="N163" s="10" t="str">
        <x:v>NOT_MODELED</x:v>
      </x:c>
    </x:row>
    <x:row r="164" ht="85" customHeight="1">
      <x:c r="A164" s="10" t="str">
        <x:v>T-EXEC</x:v>
      </x:c>
      <x:c r="B164" s="10" t="str">
        <x:v>TEXT</x:v>
      </x:c>
      <x:c r="C164" s="10" t="str">
        <x:v>TEXT:SYN-F03-07</x:v>
      </x:c>
      <x:c r="D164" s="10" t="str">
        <x:v>TEXT:SYN-F03-07-U01</x:v>
      </x:c>
      <x:c r="E164" s="10" t="str">
        <x:v>T-F03</x:v>
      </x:c>
      <x:c r="F164" s="10" t="n">
        <x:v>1</x:v>
      </x:c>
      <x:c r="G164" s="11" t="n">
        <x:v>0</x:v>
      </x:c>
      <x:c r="H164" s="11" t="n">
        <x:v>2.334071</x:v>
      </x:c>
      <x:c r="I164" s="11" t="n">
        <x:f>H164-G164</x:f>
        <x:v>2.334071</x:v>
      </x:c>
      <x:c r="J164" s="10" t="str">
        <x:v>같은 제목인 자료가 여럿 있는데, 내가 납품처 품질설명회용 구성을 좋다고 했던 쪽으로 검사 개선 발표자료 6장 이내를 만들어줘. 샘플 검사 45분 이하, 다음 8주 기준이야. 외부 발송은 하지 마.</x:v>
      </x:c>
      <x:c r="K164" s="10" t="str">
        <x:v>SYN-F03-07:D2@v1의 구성을 기준으로 납품처 품질설명회용 검사 개선 발표자료를 6장 이내로 작성하도록 준비하겠습니다.</x:v>
      </x:c>
      <x:c r="L164" s="11"/>
      <x:c r="M164" s="11"/>
      <x:c r="N164" s="10" t="str">
        <x:v>NOT_MODELED</x:v>
      </x:c>
    </x:row>
    <x:row r="165" ht="85" customHeight="1">
      <x:c r="A165" s="10" t="str">
        <x:v>T-EXEC</x:v>
      </x:c>
      <x:c r="B165" s="10" t="str">
        <x:v>TEXT</x:v>
      </x:c>
      <x:c r="C165" s="10" t="str">
        <x:v>TEXT:SYN-F03-07</x:v>
      </x:c>
      <x:c r="D165" s="10" t="str">
        <x:v>TEXT:SYN-F03-07-U02</x:v>
      </x:c>
      <x:c r="E165" s="10" t="str">
        <x:v>T-F03</x:v>
      </x:c>
      <x:c r="F165" s="10" t="n">
        <x:v>1</x:v>
      </x:c>
      <x:c r="G165" s="11" t="n">
        <x:v>2.684071</x:v>
      </x:c>
      <x:c r="H165" s="11" t="n">
        <x:v>5.345535</x:v>
      </x:c>
      <x:c r="I165" s="11" t="n">
        <x:f>H165-G165</x:f>
        <x:v>2.661464</x:v>
      </x:c>
      <x:c r="J165" s="10" t="str">
        <x:v>작성은 계속해. 그 고객 설명용 자료와 내부 검토에 두자고 했던 자료의 일정 차이만 3문장으로 따로 알려줘.</x:v>
      </x:c>
      <x:c r="K165" s="10" t="str">
        <x:v>서로 다른 업무 자료의 일정 차이 설명에 이번 조건을 적용하겠습니다: 일정 차이만, 3문장, 기존 발표자료 작성 유지. 대상의 최종 연결은 현재 조회 결과와 함께 확정합니다.</x:v>
      </x:c>
      <x:c r="L165" s="11"/>
      <x:c r="M165" s="11"/>
      <x:c r="N165" s="10" t="str">
        <x:v>NOT_MODELED</x:v>
      </x:c>
    </x:row>
    <x:row r="166" ht="85" customHeight="1">
      <x:c r="A166" s="10" t="str">
        <x:v>T-REL</x:v>
      </x:c>
      <x:c r="B166" s="10" t="str">
        <x:v>TEXT</x:v>
      </x:c>
      <x:c r="C166" s="10" t="str">
        <x:v>TEXT:SYN-F03-07</x:v>
      </x:c>
      <x:c r="D166" s="10" t="str">
        <x:v>TEXT:SYN-F03-07-U01</x:v>
      </x:c>
      <x:c r="E166" s="10" t="str">
        <x:v>T-F03</x:v>
      </x:c>
      <x:c r="F166" s="10" t="n">
        <x:v>1</x:v>
      </x:c>
      <x:c r="G166" s="11" t="n">
        <x:v>0</x:v>
      </x:c>
      <x:c r="H166" s="11" t="n">
        <x:v>1.289429</x:v>
      </x:c>
      <x:c r="I166" s="11" t="n">
        <x:f>H166-G166</x:f>
        <x:v>1.289429</x:v>
      </x:c>
      <x:c r="J166" s="10" t="str">
        <x:v>같은 제목인 자료가 여럿 있는데, 내가 납품처 품질설명회용 구성을 좋다고 했던 쪽으로 검사 개선 발표자료 6장 이내를 만들어줘. 샘플 검사 45분 이하, 다음 8주 기준이야. 외부 발송은 하지 마.</x:v>
      </x:c>
      <x:c r="K166" s="10" t="str">
        <x:v>SYN-F03-07:D2@v1의 구성을 기준으로 납품처 품질설명회용 검사 개선 발표자료를 6장 이내로 작성하도록 준비하겠습니다.</x:v>
      </x:c>
      <x:c r="L166" s="11"/>
      <x:c r="M166" s="11"/>
      <x:c r="N166" s="10" t="str">
        <x:v>NOT_MODELED</x:v>
      </x:c>
    </x:row>
    <x:row r="167" ht="85" customHeight="1">
      <x:c r="A167" s="10" t="str">
        <x:v>T-REL</x:v>
      </x:c>
      <x:c r="B167" s="10" t="str">
        <x:v>TEXT</x:v>
      </x:c>
      <x:c r="C167" s="10" t="str">
        <x:v>TEXT:SYN-F03-07</x:v>
      </x:c>
      <x:c r="D167" s="10" t="str">
        <x:v>TEXT:SYN-F03-07-U02</x:v>
      </x:c>
      <x:c r="E167" s="10" t="str">
        <x:v>T-F03</x:v>
      </x:c>
      <x:c r="F167" s="10" t="n">
        <x:v>1</x:v>
      </x:c>
      <x:c r="G167" s="11" t="n">
        <x:v>1.639429</x:v>
      </x:c>
      <x:c r="H167" s="11" t="n">
        <x:v>4.658108</x:v>
      </x:c>
      <x:c r="I167" s="11" t="n">
        <x:f>H167-G167</x:f>
        <x:v>3.0186790000000006</x:v>
      </x:c>
      <x:c r="J167" s="10" t="str">
        <x:v>작성은 계속해. 그 고객 설명용 자료와 내부 검토에 두자고 했던 자료의 일정 차이만 3문장으로 따로 알려줘.</x:v>
      </x:c>
      <x:c r="K167" s="10" t="str">
        <x:v>기존 작성은 유지하고 SYN-F03-07:D2@v1와 SYN-F03-07:D3@v1의 일정 차이를 별도로 정리하겠습니다.</x:v>
      </x:c>
      <x:c r="L167" s="11"/>
      <x:c r="M167" s="11"/>
      <x:c r="N167" s="10" t="str">
        <x:v>NOT_MODELED</x:v>
      </x:c>
    </x:row>
    <x:row r="168" ht="85" customHeight="1">
      <x:c r="A168" s="10" t="str">
        <x:v>T-BASE</x:v>
      </x:c>
      <x:c r="B168" s="10" t="str">
        <x:v>TEXT</x:v>
      </x:c>
      <x:c r="C168" s="10" t="str">
        <x:v>TEXT:SYN-F03-08</x:v>
      </x:c>
      <x:c r="D168" s="10" t="str">
        <x:v>TEXT:SYN-F03-08-U01</x:v>
      </x:c>
      <x:c r="E168" s="10" t="str">
        <x:v>T-F03</x:v>
      </x:c>
      <x:c r="F168" s="10" t="n">
        <x:v>1</x:v>
      </x:c>
      <x:c r="G168" s="11" t="n">
        <x:v>0</x:v>
      </x:c>
      <x:c r="H168" s="11" t="n">
        <x:v>2.371893</x:v>
      </x:c>
      <x:c r="I168" s="11" t="n">
        <x:f>H168-G168</x:f>
        <x:v>2.371893</x:v>
      </x:c>
      <x:c r="J168" s="10" t="str">
        <x:v>같은 제목인 자료가 여럿 있는데, 내가 지역 파트너 설명회용 구성을 좋다고 했던 쪽으로 캠페인 계획 발표자료 4장 이내를 만들어줘. 안내문 500자 이하, 운영 5주 기준이야. 외부 발송은 하지 마.</x:v>
      </x:c>
      <x:c r="K168" s="10" t="str">
        <x:v>SYN-F03-08:D1@v1의 구성을 기준으로 지역 파트너 설명회용 캠페인 계획 발표자료를 4장 이내로 작성하도록 준비하겠습니다.</x:v>
      </x:c>
      <x:c r="L168" s="11"/>
      <x:c r="M168" s="11"/>
      <x:c r="N168" s="10" t="str">
        <x:v>NOT_MODELED</x:v>
      </x:c>
    </x:row>
    <x:row r="169" ht="85" customHeight="1">
      <x:c r="A169" s="10" t="str">
        <x:v>T-BASE</x:v>
      </x:c>
      <x:c r="B169" s="10" t="str">
        <x:v>TEXT</x:v>
      </x:c>
      <x:c r="C169" s="10" t="str">
        <x:v>TEXT:SYN-F03-08</x:v>
      </x:c>
      <x:c r="D169" s="10" t="str">
        <x:v>TEXT:SYN-F03-08-U02</x:v>
      </x:c>
      <x:c r="E169" s="10" t="str">
        <x:v>T-F03</x:v>
      </x:c>
      <x:c r="F169" s="10" t="n">
        <x:v>1</x:v>
      </x:c>
      <x:c r="G169" s="11" t="n">
        <x:v>2.721893</x:v>
      </x:c>
      <x:c r="H169" s="11" t="n">
        <x:v>6.700607</x:v>
      </x:c>
      <x:c r="I169" s="11" t="n">
        <x:f>H169-G169</x:f>
        <x:v>3.9787139999999996</x:v>
      </x:c>
      <x:c r="J169" s="10" t="str">
        <x:v>작성은 계속해. 그 고객 설명용 자료와 내부 검토에 두자고 했던 자료의 일정 차이만 2문장으로 따로 알려줘.</x:v>
      </x:c>
      <x:c r="K169" s="10" t="str">
        <x:v>기존 작성은 유지하고 SYN-F03-08:D1@v1와 SYN-F03-08:D2@v1의 일정 차이를 별도로 정리하겠습니다.</x:v>
      </x:c>
      <x:c r="L169" s="11"/>
      <x:c r="M169" s="11"/>
      <x:c r="N169" s="10" t="str">
        <x:v>NOT_MODELED</x:v>
      </x:c>
    </x:row>
    <x:row r="170" ht="85" customHeight="1">
      <x:c r="A170" s="10" t="str">
        <x:v>T-EXEC</x:v>
      </x:c>
      <x:c r="B170" s="10" t="str">
        <x:v>TEXT</x:v>
      </x:c>
      <x:c r="C170" s="10" t="str">
        <x:v>TEXT:SYN-F03-08</x:v>
      </x:c>
      <x:c r="D170" s="10" t="str">
        <x:v>TEXT:SYN-F03-08-U01</x:v>
      </x:c>
      <x:c r="E170" s="10" t="str">
        <x:v>T-F03</x:v>
      </x:c>
      <x:c r="F170" s="10" t="n">
        <x:v>1</x:v>
      </x:c>
      <x:c r="G170" s="11" t="n">
        <x:v>0</x:v>
      </x:c>
      <x:c r="H170" s="11" t="n">
        <x:v>2.371893</x:v>
      </x:c>
      <x:c r="I170" s="11" t="n">
        <x:f>H170-G170</x:f>
        <x:v>2.371893</x:v>
      </x:c>
      <x:c r="J170" s="10" t="str">
        <x:v>같은 제목인 자료가 여럿 있는데, 내가 지역 파트너 설명회용 구성을 좋다고 했던 쪽으로 캠페인 계획 발표자료 4장 이내를 만들어줘. 안내문 500자 이하, 운영 5주 기준이야. 외부 발송은 하지 마.</x:v>
      </x:c>
      <x:c r="K170" s="10" t="str">
        <x:v>SYN-F03-08:D1@v1의 구성을 기준으로 지역 파트너 설명회용 캠페인 계획 발표자료를 4장 이내로 작성하도록 준비하겠습니다.</x:v>
      </x:c>
      <x:c r="L170" s="11"/>
      <x:c r="M170" s="11"/>
      <x:c r="N170" s="10" t="str">
        <x:v>NOT_MODELED</x:v>
      </x:c>
    </x:row>
    <x:row r="171" ht="85" customHeight="1">
      <x:c r="A171" s="10" t="str">
        <x:v>T-EXEC</x:v>
      </x:c>
      <x:c r="B171" s="10" t="str">
        <x:v>TEXT</x:v>
      </x:c>
      <x:c r="C171" s="10" t="str">
        <x:v>TEXT:SYN-F03-08</x:v>
      </x:c>
      <x:c r="D171" s="10" t="str">
        <x:v>TEXT:SYN-F03-08-U02</x:v>
      </x:c>
      <x:c r="E171" s="10" t="str">
        <x:v>T-F03</x:v>
      </x:c>
      <x:c r="F171" s="10" t="n">
        <x:v>1</x:v>
      </x:c>
      <x:c r="G171" s="11" t="n">
        <x:v>2.721893</x:v>
      </x:c>
      <x:c r="H171" s="11" t="n">
        <x:v>5.430857</x:v>
      </x:c>
      <x:c r="I171" s="11" t="n">
        <x:f>H171-G171</x:f>
        <x:v>2.7089639999999995</x:v>
      </x:c>
      <x:c r="J171" s="10" t="str">
        <x:v>작성은 계속해. 그 고객 설명용 자료와 내부 검토에 두자고 했던 자료의 일정 차이만 2문장으로 따로 알려줘.</x:v>
      </x:c>
      <x:c r="K171" s="10" t="str">
        <x:v>서로 다른 업무 자료의 일정 차이 설명에 이번 조건을 적용하겠습니다: 일정 차이만, 2문장, 기존 발표자료 작성 유지. 대상의 최종 연결은 현재 조회 결과와 함께 확정합니다.</x:v>
      </x:c>
      <x:c r="L171" s="11"/>
      <x:c r="M171" s="11"/>
      <x:c r="N171" s="10" t="str">
        <x:v>NOT_MODELED</x:v>
      </x:c>
    </x:row>
    <x:row r="172" ht="85" customHeight="1">
      <x:c r="A172" s="10" t="str">
        <x:v>T-REL</x:v>
      </x:c>
      <x:c r="B172" s="10" t="str">
        <x:v>TEXT</x:v>
      </x:c>
      <x:c r="C172" s="10" t="str">
        <x:v>TEXT:SYN-F03-08</x:v>
      </x:c>
      <x:c r="D172" s="10" t="str">
        <x:v>TEXT:SYN-F03-08-U01</x:v>
      </x:c>
      <x:c r="E172" s="10" t="str">
        <x:v>T-F03</x:v>
      </x:c>
      <x:c r="F172" s="10" t="n">
        <x:v>1</x:v>
      </x:c>
      <x:c r="G172" s="11" t="n">
        <x:v>0</x:v>
      </x:c>
      <x:c r="H172" s="11" t="n">
        <x:v>1.30225</x:v>
      </x:c>
      <x:c r="I172" s="11" t="n">
        <x:f>H172-G172</x:f>
        <x:v>1.30225</x:v>
      </x:c>
      <x:c r="J172" s="10" t="str">
        <x:v>같은 제목인 자료가 여럿 있는데, 내가 지역 파트너 설명회용 구성을 좋다고 했던 쪽으로 캠페인 계획 발표자료 4장 이내를 만들어줘. 안내문 500자 이하, 운영 5주 기준이야. 외부 발송은 하지 마.</x:v>
      </x:c>
      <x:c r="K172" s="10" t="str">
        <x:v>SYN-F03-08:D1@v1의 구성을 기준으로 지역 파트너 설명회용 캠페인 계획 발표자료를 4장 이내로 작성하도록 준비하겠습니다.</x:v>
      </x:c>
      <x:c r="L172" s="11"/>
      <x:c r="M172" s="11"/>
      <x:c r="N172" s="10" t="str">
        <x:v>NOT_MODELED</x:v>
      </x:c>
    </x:row>
    <x:row r="173" ht="85" customHeight="1">
      <x:c r="A173" s="10" t="str">
        <x:v>T-REL</x:v>
      </x:c>
      <x:c r="B173" s="10" t="str">
        <x:v>TEXT</x:v>
      </x:c>
      <x:c r="C173" s="10" t="str">
        <x:v>TEXT:SYN-F03-08</x:v>
      </x:c>
      <x:c r="D173" s="10" t="str">
        <x:v>TEXT:SYN-F03-08-U02</x:v>
      </x:c>
      <x:c r="E173" s="10" t="str">
        <x:v>T-F03</x:v>
      </x:c>
      <x:c r="F173" s="10" t="n">
        <x:v>1</x:v>
      </x:c>
      <x:c r="G173" s="11" t="n">
        <x:v>1.65225</x:v>
      </x:c>
      <x:c r="H173" s="11" t="n">
        <x:v>4.72875</x:v>
      </x:c>
      <x:c r="I173" s="11" t="n">
        <x:f>H173-G173</x:f>
        <x:v>3.0765</x:v>
      </x:c>
      <x:c r="J173" s="10" t="str">
        <x:v>작성은 계속해. 그 고객 설명용 자료와 내부 검토에 두자고 했던 자료의 일정 차이만 2문장으로 따로 알려줘.</x:v>
      </x:c>
      <x:c r="K173" s="10" t="str">
        <x:v>기존 작성은 유지하고 SYN-F03-08:D1@v1와 SYN-F03-08:D2@v1의 일정 차이를 별도로 정리하겠습니다.</x:v>
      </x:c>
      <x:c r="L173" s="11"/>
      <x:c r="M173" s="11"/>
      <x:c r="N173" s="10" t="str">
        <x:v>NOT_MODELED</x:v>
      </x:c>
    </x:row>
    <x:row r="174" ht="85" customHeight="1">
      <x:c r="A174" s="10" t="str">
        <x:v>T-BASE</x:v>
      </x:c>
      <x:c r="B174" s="10" t="str">
        <x:v>TEXT</x:v>
      </x:c>
      <x:c r="C174" s="10" t="str">
        <x:v>TEXT:SYN-F03-09</x:v>
      </x:c>
      <x:c r="D174" s="10" t="str">
        <x:v>TEXT:SYN-F03-09-U01</x:v>
      </x:c>
      <x:c r="E174" s="10" t="str">
        <x:v>T-F03</x:v>
      </x:c>
      <x:c r="F174" s="10" t="n">
        <x:v>1</x:v>
      </x:c>
      <x:c r="G174" s="11" t="n">
        <x:v>0</x:v>
      </x:c>
      <x:c r="H174" s="11" t="n">
        <x:v>2.384714</x:v>
      </x:c>
      <x:c r="I174" s="11" t="n">
        <x:f>H174-G174</x:f>
        <x:v>2.384714</x:v>
      </x:c>
      <x:c r="J174" s="10" t="str">
        <x:v>같은 제목인 자료가 여럿 있는데, 내가 배송 협력사 설명회용 구성을 좋다고 했던 쪽으로 배치 변경 발표자료 7장 이내를 만들어줘. 주문당 이동 180m 이하, 적용 후 4주 기준이야. 외부 발송은 하지 마.</x:v>
      </x:c>
      <x:c r="K174" s="10" t="str">
        <x:v>SYN-F03-09:D1@v1에 대해 파도 창고배치 변경 배치 변경 발표자료 작성 위임을 진행하겠습니다. 적용 조건: 배송 협력사 설명회용, 7장 이내, 주문당 이동 180m 이하, 대상 기간 적용 후 4주, 외부 발송 없음. 내용 출처: SYN-F03-09:D1@v1.</x:v>
      </x:c>
      <x:c r="L174" s="11"/>
      <x:c r="M174" s="11"/>
      <x:c r="N174" s="10" t="str">
        <x:v>NOT_MODELED</x:v>
      </x:c>
    </x:row>
    <x:row r="175" ht="85" customHeight="1">
      <x:c r="A175" s="10" t="str">
        <x:v>T-BASE</x:v>
      </x:c>
      <x:c r="B175" s="10" t="str">
        <x:v>TEXT</x:v>
      </x:c>
      <x:c r="C175" s="10" t="str">
        <x:v>TEXT:SYN-F03-09</x:v>
      </x:c>
      <x:c r="D175" s="10" t="str">
        <x:v>TEXT:SYN-F03-09-U02</x:v>
      </x:c>
      <x:c r="E175" s="10" t="str">
        <x:v>T-F03</x:v>
      </x:c>
      <x:c r="F175" s="10" t="n">
        <x:v>1</x:v>
      </x:c>
      <x:c r="G175" s="11" t="n">
        <x:v>2.734714</x:v>
      </x:c>
      <x:c r="H175" s="11" t="n">
        <x:v>6.77125</x:v>
      </x:c>
      <x:c r="I175" s="11" t="n">
        <x:f>H175-G175</x:f>
        <x:v>4.036536</x:v>
      </x:c>
      <x:c r="J175" s="10" t="str">
        <x:v>작성은 계속해. 그 고객 설명용 자료와 내부 검토에 두자고 했던 자료의 일정 차이만 4문장으로 따로 알려줘.</x:v>
      </x:c>
      <x:c r="K175" s="10" t="str">
        <x:v>기존 작성은 유지하고 SYN-F03-09:D3@v1와 SYN-F03-09:D1@v1의 일정 차이를 별도로 정리하겠습니다.</x:v>
      </x:c>
      <x:c r="L175" s="11"/>
      <x:c r="M175" s="11"/>
      <x:c r="N175" s="10" t="str">
        <x:v>NOT_MODELED</x:v>
      </x:c>
    </x:row>
    <x:row r="176" ht="85" customHeight="1">
      <x:c r="A176" s="10" t="str">
        <x:v>T-EXEC</x:v>
      </x:c>
      <x:c r="B176" s="10" t="str">
        <x:v>TEXT</x:v>
      </x:c>
      <x:c r="C176" s="10" t="str">
        <x:v>TEXT:SYN-F03-09</x:v>
      </x:c>
      <x:c r="D176" s="10" t="str">
        <x:v>TEXT:SYN-F03-09-U01</x:v>
      </x:c>
      <x:c r="E176" s="10" t="str">
        <x:v>T-F03</x:v>
      </x:c>
      <x:c r="F176" s="10" t="n">
        <x:v>1</x:v>
      </x:c>
      <x:c r="G176" s="11" t="n">
        <x:v>0</x:v>
      </x:c>
      <x:c r="H176" s="11" t="n">
        <x:v>2.384714</x:v>
      </x:c>
      <x:c r="I176" s="11" t="n">
        <x:f>H176-G176</x:f>
        <x:v>2.384714</x:v>
      </x:c>
      <x:c r="J176" s="10" t="str">
        <x:v>같은 제목인 자료가 여럿 있는데, 내가 배송 협력사 설명회용 구성을 좋다고 했던 쪽으로 배치 변경 발표자료 7장 이내를 만들어줘. 주문당 이동 180m 이하, 적용 후 4주 기준이야. 외부 발송은 하지 마.</x:v>
      </x:c>
      <x:c r="K176" s="10" t="str">
        <x:v>SYN-F03-09:D1@v1에 대해 파도 창고배치 변경 배치 변경 발표자료 작성 위임을 진행하겠습니다. 적용 조건: 배송 협력사 설명회용, 7장 이내, 주문당 이동 180m 이하, 대상 기간 적용 후 4주, 외부 발송 없음. 내용 출처: SYN-F03-09:D1@v1.</x:v>
      </x:c>
      <x:c r="L176" s="11"/>
      <x:c r="M176" s="11"/>
      <x:c r="N176" s="10" t="str">
        <x:v>NOT_MODELED</x:v>
      </x:c>
    </x:row>
    <x:row r="177" ht="85" customHeight="1">
      <x:c r="A177" s="10" t="str">
        <x:v>T-EXEC</x:v>
      </x:c>
      <x:c r="B177" s="10" t="str">
        <x:v>TEXT</x:v>
      </x:c>
      <x:c r="C177" s="10" t="str">
        <x:v>TEXT:SYN-F03-09</x:v>
      </x:c>
      <x:c r="D177" s="10" t="str">
        <x:v>TEXT:SYN-F03-09-U02</x:v>
      </x:c>
      <x:c r="E177" s="10" t="str">
        <x:v>T-F03</x:v>
      </x:c>
      <x:c r="F177" s="10" t="n">
        <x:v>1</x:v>
      </x:c>
      <x:c r="G177" s="11" t="n">
        <x:v>2.734714</x:v>
      </x:c>
      <x:c r="H177" s="11" t="n">
        <x:v>5.466179</x:v>
      </x:c>
      <x:c r="I177" s="11" t="n">
        <x:f>H177-G177</x:f>
        <x:v>2.7314650000000005</x:v>
      </x:c>
      <x:c r="J177" s="10" t="str">
        <x:v>작성은 계속해. 그 고객 설명용 자료와 내부 검토에 두자고 했던 자료의 일정 차이만 4문장으로 따로 알려줘.</x:v>
      </x:c>
      <x:c r="K177" s="10" t="str">
        <x:v>서로 다른 업무 자료의 일정 차이 설명에 이번 조건을 적용하겠습니다: 일정 차이만, 4문장, 기존 발표자료 작성 유지. 대상의 최종 연결은 현재 조회 결과와 함께 확정합니다.</x:v>
      </x:c>
      <x:c r="L177" s="11"/>
      <x:c r="M177" s="11"/>
      <x:c r="N177" s="10" t="str">
        <x:v>NOT_MODELED</x:v>
      </x:c>
    </x:row>
    <x:row r="178" ht="85" customHeight="1">
      <x:c r="A178" s="10" t="str">
        <x:v>T-REL</x:v>
      </x:c>
      <x:c r="B178" s="10" t="str">
        <x:v>TEXT</x:v>
      </x:c>
      <x:c r="C178" s="10" t="str">
        <x:v>TEXT:SYN-F03-09</x:v>
      </x:c>
      <x:c r="D178" s="10" t="str">
        <x:v>TEXT:SYN-F03-09-U01</x:v>
      </x:c>
      <x:c r="E178" s="10" t="str">
        <x:v>T-F03</x:v>
      </x:c>
      <x:c r="F178" s="10" t="n">
        <x:v>1</x:v>
      </x:c>
      <x:c r="G178" s="11" t="n">
        <x:v>0</x:v>
      </x:c>
      <x:c r="H178" s="11" t="n">
        <x:v>1.290071</x:v>
      </x:c>
      <x:c r="I178" s="11" t="n">
        <x:f>H178-G178</x:f>
        <x:v>1.290071</x:v>
      </x:c>
      <x:c r="J178" s="10" t="str">
        <x:v>같은 제목인 자료가 여럿 있는데, 내가 배송 협력사 설명회용 구성을 좋다고 했던 쪽으로 배치 변경 발표자료 7장 이내를 만들어줘. 주문당 이동 180m 이하, 적용 후 4주 기준이야. 외부 발송은 하지 마.</x:v>
      </x:c>
      <x:c r="K178" s="10" t="str">
        <x:v>SYN-F03-09:D1@v1에 대해 파도 창고배치 변경 배치 변경 발표자료 작성 위임을 진행하겠습니다. 적용 조건: 배송 협력사 설명회용, 7장 이내, 주문당 이동 180m 이하, 대상 기간 적용 후 4주, 외부 발송 없음. 내용 출처: SYN-F03-09:D1@v1.</x:v>
      </x:c>
      <x:c r="L178" s="11"/>
      <x:c r="M178" s="11"/>
      <x:c r="N178" s="10" t="str">
        <x:v>NOT_MODELED</x:v>
      </x:c>
    </x:row>
    <x:row r="179" ht="85" customHeight="1">
      <x:c r="A179" s="10" t="str">
        <x:v>T-REL</x:v>
      </x:c>
      <x:c r="B179" s="10" t="str">
        <x:v>TEXT</x:v>
      </x:c>
      <x:c r="C179" s="10" t="str">
        <x:v>TEXT:SYN-F03-09</x:v>
      </x:c>
      <x:c r="D179" s="10" t="str">
        <x:v>TEXT:SYN-F03-09-U02</x:v>
      </x:c>
      <x:c r="E179" s="10" t="str">
        <x:v>T-F03</x:v>
      </x:c>
      <x:c r="F179" s="10" t="n">
        <x:v>1</x:v>
      </x:c>
      <x:c r="G179" s="11" t="n">
        <x:v>1.640071</x:v>
      </x:c>
      <x:c r="H179" s="11" t="n">
        <x:v>4.749392</x:v>
      </x:c>
      <x:c r="I179" s="11" t="n">
        <x:f>H179-G179</x:f>
        <x:v>3.1093210000000004</x:v>
      </x:c>
      <x:c r="J179" s="10" t="str">
        <x:v>작성은 계속해. 그 고객 설명용 자료와 내부 검토에 두자고 했던 자료의 일정 차이만 4문장으로 따로 알려줘.</x:v>
      </x:c>
      <x:c r="K179" s="10" t="str">
        <x:v>기존 작성은 유지하고 SYN-F03-09:D3@v1와 SYN-F03-09:D1@v1의 일정 차이를 별도로 정리하겠습니다.</x:v>
      </x:c>
      <x:c r="L179" s="11"/>
      <x:c r="M179" s="11"/>
      <x:c r="N179" s="10" t="str">
        <x:v>NOT_MODELED</x:v>
      </x:c>
    </x:row>
    <x:row r="180" ht="85" customHeight="1">
      <x:c r="A180" s="10" t="str">
        <x:v>T-BASE</x:v>
      </x:c>
      <x:c r="B180" s="10" t="str">
        <x:v>TEXT</x:v>
      </x:c>
      <x:c r="C180" s="10" t="str">
        <x:v>TEXT:SYN-F03-10</x:v>
      </x:c>
      <x:c r="D180" s="10" t="str">
        <x:v>TEXT:SYN-F03-10-U01</x:v>
      </x:c>
      <x:c r="E180" s="10" t="str">
        <x:v>T-F03</x:v>
      </x:c>
      <x:c r="F180" s="10" t="n">
        <x:v>1</x:v>
      </x:c>
      <x:c r="G180" s="11" t="n">
        <x:v>0</x:v>
      </x:c>
      <x:c r="H180" s="11" t="n">
        <x:v>2.347536</x:v>
      </x:c>
      <x:c r="I180" s="11" t="n">
        <x:f>H180-G180</x:f>
        <x:v>2.347536</x:v>
      </x:c>
      <x:c r="J180" s="10" t="str">
        <x:v>같은 제목인 자료가 여럿 있는데, 내가 부서대표 설명회용 구성을 좋다고 했던 쪽으로 포털 개선 발표자료 5장 이내를 만들어줘. 첫 화면 메뉴 9개 이하, 출시 후 2개월 기준이야. 외부 발송은 하지 마.</x:v>
      </x:c>
      <x:c r="K180" s="10" t="str">
        <x:v>SYN-F03-10:D2@v1의 구성을 기준으로 부서대표 설명회용 포털 개선 발표자료를 5장 이내로 작성하도록 준비하겠습니다.</x:v>
      </x:c>
      <x:c r="L180" s="11"/>
      <x:c r="M180" s="11"/>
      <x:c r="N180" s="10" t="str">
        <x:v>NOT_MODELED</x:v>
      </x:c>
    </x:row>
    <x:row r="181" ht="85" customHeight="1">
      <x:c r="A181" s="10" t="str">
        <x:v>T-BASE</x:v>
      </x:c>
      <x:c r="B181" s="10" t="str">
        <x:v>TEXT</x:v>
      </x:c>
      <x:c r="C181" s="10" t="str">
        <x:v>TEXT:SYN-F03-10</x:v>
      </x:c>
      <x:c r="D181" s="10" t="str">
        <x:v>TEXT:SYN-F03-10-U02</x:v>
      </x:c>
      <x:c r="E181" s="10" t="str">
        <x:v>T-F03</x:v>
      </x:c>
      <x:c r="F181" s="10" t="n">
        <x:v>1</x:v>
      </x:c>
      <x:c r="G181" s="11" t="n">
        <x:v>2.697536</x:v>
      </x:c>
      <x:c r="H181" s="11" t="n">
        <x:v>6.741893</x:v>
      </x:c>
      <x:c r="I181" s="11" t="n">
        <x:f>H181-G181</x:f>
        <x:v>4.044357</x:v>
      </x:c>
      <x:c r="J181" s="10" t="str">
        <x:v>작성은 계속해. 그 고객 설명용 자료와 내부 검토에 두자고 했던 자료의 일정 차이만 3문장으로 따로 알려줘.</x:v>
      </x:c>
      <x:c r="K181" s="10" t="str">
        <x:v>기존 작성은 유지하고 SYN-F03-10:D2@v1와 SYN-F03-10:D3@v1의 일정 차이를 별도로 정리하겠습니다.</x:v>
      </x:c>
      <x:c r="L181" s="11"/>
      <x:c r="M181" s="11"/>
      <x:c r="N181" s="10" t="str">
        <x:v>NOT_MODELED</x:v>
      </x:c>
    </x:row>
    <x:row r="182" ht="85" customHeight="1">
      <x:c r="A182" s="10" t="str">
        <x:v>T-EXEC</x:v>
      </x:c>
      <x:c r="B182" s="10" t="str">
        <x:v>TEXT</x:v>
      </x:c>
      <x:c r="C182" s="10" t="str">
        <x:v>TEXT:SYN-F03-10</x:v>
      </x:c>
      <x:c r="D182" s="10" t="str">
        <x:v>TEXT:SYN-F03-10-U01</x:v>
      </x:c>
      <x:c r="E182" s="10" t="str">
        <x:v>T-F03</x:v>
      </x:c>
      <x:c r="F182" s="10" t="n">
        <x:v>1</x:v>
      </x:c>
      <x:c r="G182" s="11" t="n">
        <x:v>0</x:v>
      </x:c>
      <x:c r="H182" s="11" t="n">
        <x:v>2.347536</x:v>
      </x:c>
      <x:c r="I182" s="11" t="n">
        <x:f>H182-G182</x:f>
        <x:v>2.347536</x:v>
      </x:c>
      <x:c r="J182" s="10" t="str">
        <x:v>같은 제목인 자료가 여럿 있는데, 내가 부서대표 설명회용 구성을 좋다고 했던 쪽으로 포털 개선 발표자료 5장 이내를 만들어줘. 첫 화면 메뉴 9개 이하, 출시 후 2개월 기준이야. 외부 발송은 하지 마.</x:v>
      </x:c>
      <x:c r="K182" s="10" t="str">
        <x:v>SYN-F03-10:D2@v1의 구성을 기준으로 부서대표 설명회용 포털 개선 발표자료를 5장 이내로 작성하도록 준비하겠습니다.</x:v>
      </x:c>
      <x:c r="L182" s="11"/>
      <x:c r="M182" s="11"/>
      <x:c r="N182" s="10" t="str">
        <x:v>NOT_MODELED</x:v>
      </x:c>
    </x:row>
    <x:row r="183" ht="85" customHeight="1">
      <x:c r="A183" s="10" t="str">
        <x:v>T-EXEC</x:v>
      </x:c>
      <x:c r="B183" s="10" t="str">
        <x:v>TEXT</x:v>
      </x:c>
      <x:c r="C183" s="10" t="str">
        <x:v>TEXT:SYN-F03-10</x:v>
      </x:c>
      <x:c r="D183" s="10" t="str">
        <x:v>TEXT:SYN-F03-10-U02</x:v>
      </x:c>
      <x:c r="E183" s="10" t="str">
        <x:v>T-F03</x:v>
      </x:c>
      <x:c r="F183" s="10" t="n">
        <x:v>1</x:v>
      </x:c>
      <x:c r="G183" s="11" t="n">
        <x:v>2.697536</x:v>
      </x:c>
      <x:c r="H183" s="11" t="n">
        <x:v>5.38275</x:v>
      </x:c>
      <x:c r="I183" s="11" t="n">
        <x:f>H183-G183</x:f>
        <x:v>2.6852139999999998</x:v>
      </x:c>
      <x:c r="J183" s="10" t="str">
        <x:v>작성은 계속해. 그 고객 설명용 자료와 내부 검토에 두자고 했던 자료의 일정 차이만 3문장으로 따로 알려줘.</x:v>
      </x:c>
      <x:c r="K183" s="10" t="str">
        <x:v>서로 다른 업무 자료의 일정 차이 설명에 이번 조건을 적용하겠습니다: 일정 차이만, 3문장, 기존 발표자료 작성 유지. 대상의 최종 연결은 현재 조회 결과와 함께 확정합니다.</x:v>
      </x:c>
      <x:c r="L183" s="11"/>
      <x:c r="M183" s="11"/>
      <x:c r="N183" s="10" t="str">
        <x:v>NOT_MODELED</x:v>
      </x:c>
    </x:row>
    <x:row r="184" ht="85" customHeight="1">
      <x:c r="A184" s="10" t="str">
        <x:v>T-REL</x:v>
      </x:c>
      <x:c r="B184" s="10" t="str">
        <x:v>TEXT</x:v>
      </x:c>
      <x:c r="C184" s="10" t="str">
        <x:v>TEXT:SYN-F03-10</x:v>
      </x:c>
      <x:c r="D184" s="10" t="str">
        <x:v>TEXT:SYN-F03-10-U01</x:v>
      </x:c>
      <x:c r="E184" s="10" t="str">
        <x:v>T-F03</x:v>
      </x:c>
      <x:c r="F184" s="10" t="n">
        <x:v>1</x:v>
      </x:c>
      <x:c r="G184" s="11" t="n">
        <x:v>0</x:v>
      </x:c>
      <x:c r="H184" s="11" t="n">
        <x:v>1.302893</x:v>
      </x:c>
      <x:c r="I184" s="11" t="n">
        <x:f>H184-G184</x:f>
        <x:v>1.302893</x:v>
      </x:c>
      <x:c r="J184" s="10" t="str">
        <x:v>같은 제목인 자료가 여럿 있는데, 내가 부서대표 설명회용 구성을 좋다고 했던 쪽으로 포털 개선 발표자료 5장 이내를 만들어줘. 첫 화면 메뉴 9개 이하, 출시 후 2개월 기준이야. 외부 발송은 하지 마.</x:v>
      </x:c>
      <x:c r="K184" s="10" t="str">
        <x:v>SYN-F03-10:D2@v1의 구성을 기준으로 부서대표 설명회용 포털 개선 발표자료를 5장 이내로 작성하도록 준비하겠습니다.</x:v>
      </x:c>
      <x:c r="L184" s="11"/>
      <x:c r="M184" s="11"/>
      <x:c r="N184" s="10" t="str">
        <x:v>NOT_MODELED</x:v>
      </x:c>
    </x:row>
    <x:row r="185" ht="85" customHeight="1">
      <x:c r="A185" s="10" t="str">
        <x:v>T-REL</x:v>
      </x:c>
      <x:c r="B185" s="10" t="str">
        <x:v>TEXT</x:v>
      </x:c>
      <x:c r="C185" s="10" t="str">
        <x:v>TEXT:SYN-F03-10</x:v>
      </x:c>
      <x:c r="D185" s="10" t="str">
        <x:v>TEXT:SYN-F03-10-U02</x:v>
      </x:c>
      <x:c r="E185" s="10" t="str">
        <x:v>T-F03</x:v>
      </x:c>
      <x:c r="F185" s="10" t="n">
        <x:v>1</x:v>
      </x:c>
      <x:c r="G185" s="11" t="n">
        <x:v>1.652893</x:v>
      </x:c>
      <x:c r="H185" s="11" t="n">
        <x:v>4.820036</x:v>
      </x:c>
      <x:c r="I185" s="11" t="n">
        <x:f>H185-G185</x:f>
        <x:v>3.1671430000000003</x:v>
      </x:c>
      <x:c r="J185" s="10" t="str">
        <x:v>작성은 계속해. 그 고객 설명용 자료와 내부 검토에 두자고 했던 자료의 일정 차이만 3문장으로 따로 알려줘.</x:v>
      </x:c>
      <x:c r="K185" s="10" t="str">
        <x:v>기존 작성은 유지하고 SYN-F03-10:D2@v1와 SYN-F03-10:D3@v1의 일정 차이를 별도로 정리하겠습니다.</x:v>
      </x:c>
      <x:c r="L185" s="11"/>
      <x:c r="M185" s="11"/>
      <x:c r="N185" s="10" t="str">
        <x:v>NOT_MODELED</x:v>
      </x:c>
    </x:row>
    <x:row r="186" ht="85" customHeight="1">
      <x:c r="A186" s="10" t="str">
        <x:v>T-BASE</x:v>
      </x:c>
      <x:c r="B186" s="10" t="str">
        <x:v>TEXT</x:v>
      </x:c>
      <x:c r="C186" s="10" t="str">
        <x:v>TEXT:SYN-F04-01</x:v>
      </x:c>
      <x:c r="D186" s="10" t="str">
        <x:v>TEXT:SYN-F04-01-U01</x:v>
      </x:c>
      <x:c r="E186" s="10" t="str">
        <x:v>T-F04</x:v>
      </x:c>
      <x:c r="F186" s="10" t="n">
        <x:v>1</x:v>
      </x:c>
      <x:c r="G186" s="11" t="n">
        <x:v>0</x:v>
      </x:c>
      <x:c r="H186" s="11" t="n">
        <x:v>2.042143</x:v>
      </x:c>
      <x:c r="I186" s="11" t="n">
        <x:f>H186-G186</x:f>
        <x:v>2.042143</x:v>
      </x:c>
      <x:c r="J186" s="10" t="str">
        <x:v>내가 실제로 보고 서비스 운영위원회용 구성이 좋다고 했던 당시 판본으로 전환 검토 발표자료를 5장 이내로 만들어줘. 최신본으로 바꾸지 말고 월 운영비 240만원 이하, 첫 12개월 조건을 지켜줘. 외부 발송은 하지 마.</x:v>
      </x:c>
      <x:c r="K186" s="10" t="str">
        <x:v>SYN-F04-01:D2@v1의 구성을 기준으로 서비스 운영위원회용 전환 검토 발표자료를 5장 이내로 작성하도록 준비하겠습니다. 평가 당시 v1을 유지하겠습니다.</x:v>
      </x:c>
      <x:c r="L186" s="11"/>
      <x:c r="M186" s="11"/>
      <x:c r="N186" s="10" t="str">
        <x:v>NOT_MODELED</x:v>
      </x:c>
    </x:row>
    <x:row r="187" ht="85" customHeight="1">
      <x:c r="A187" s="10" t="str">
        <x:v>T-BASE</x:v>
      </x:c>
      <x:c r="B187" s="10" t="str">
        <x:v>TEXT</x:v>
      </x:c>
      <x:c r="C187" s="10" t="str">
        <x:v>TEXT:SYN-F04-01</x:v>
      </x:c>
      <x:c r="D187" s="10" t="str">
        <x:v>TEXT:SYN-F04-01-U02</x:v>
      </x:c>
      <x:c r="E187" s="10" t="str">
        <x:v>T-F04</x:v>
      </x:c>
      <x:c r="F187" s="10" t="n">
        <x:v>1</x:v>
      </x:c>
      <x:c r="G187" s="11" t="n">
        <x:v>15.0785</x:v>
      </x:c>
      <x:c r="H187" s="11" t="n">
        <x:v>17.030179</x:v>
      </x:c>
      <x:c r="I187" s="11" t="n">
        <x:f>H187-G187</x:f>
        <x:v>1.9516790000000004</x:v>
      </x:c>
      <x:c r="J187" s="10" t="str">
        <x:v>기존 발표자료는 당시 판본으로 유지하고, 지금 최신 판본에서 달라진 월 운영비와 책임자 확인 항목만 따로 알려줘.</x:v>
      </x:c>
      <x:c r="K187" s="10" t="str">
        <x:v>기존 발표자료는 SYN-F04-01:D2@v1로 유지하고 최신 SYN-F04-01:D2@v2의 비용 및 책임자 항목 변경을 별도로 확인하겠습니다.</x:v>
      </x:c>
      <x:c r="L187" s="11"/>
      <x:c r="M187" s="11"/>
      <x:c r="N187" s="10" t="str">
        <x:v>NOT_MODELED</x:v>
      </x:c>
    </x:row>
    <x:row r="188" ht="85" customHeight="1">
      <x:c r="A188" s="10" t="str">
        <x:v>T-EXEC</x:v>
      </x:c>
      <x:c r="B188" s="10" t="str">
        <x:v>TEXT</x:v>
      </x:c>
      <x:c r="C188" s="10" t="str">
        <x:v>TEXT:SYN-F04-01</x:v>
      </x:c>
      <x:c r="D188" s="10" t="str">
        <x:v>TEXT:SYN-F04-01-U01</x:v>
      </x:c>
      <x:c r="E188" s="10" t="str">
        <x:v>T-F04</x:v>
      </x:c>
      <x:c r="F188" s="10" t="n">
        <x:v>1</x:v>
      </x:c>
      <x:c r="G188" s="11" t="n">
        <x:v>0</x:v>
      </x:c>
      <x:c r="H188" s="11" t="n">
        <x:v>2.042143</x:v>
      </x:c>
      <x:c r="I188" s="11" t="n">
        <x:f>H188-G188</x:f>
        <x:v>2.042143</x:v>
      </x:c>
      <x:c r="J188" s="10" t="str">
        <x:v>내가 실제로 보고 서비스 운영위원회용 구성이 좋다고 했던 당시 판본으로 전환 검토 발표자료를 5장 이내로 만들어줘. 최신본으로 바꾸지 말고 월 운영비 240만원 이하, 첫 12개월 조건을 지켜줘. 외부 발송은 하지 마.</x:v>
      </x:c>
      <x:c r="K188" s="10" t="str">
        <x:v>SYN-F04-01:D2@v1의 구성을 기준으로 서비스 운영위원회용 전환 검토 발표자료를 5장 이내로 작성하도록 준비하겠습니다. 평가 당시 v1을 유지하겠습니다.</x:v>
      </x:c>
      <x:c r="L188" s="11"/>
      <x:c r="M188" s="11"/>
      <x:c r="N188" s="10" t="str">
        <x:v>NOT_MODELED</x:v>
      </x:c>
    </x:row>
    <x:row r="189" ht="85" customHeight="1">
      <x:c r="A189" s="10" t="str">
        <x:v>T-EXEC</x:v>
      </x:c>
      <x:c r="B189" s="10" t="str">
        <x:v>TEXT</x:v>
      </x:c>
      <x:c r="C189" s="10" t="str">
        <x:v>TEXT:SYN-F04-01</x:v>
      </x:c>
      <x:c r="D189" s="10" t="str">
        <x:v>TEXT:SYN-F04-01-U02</x:v>
      </x:c>
      <x:c r="E189" s="10" t="str">
        <x:v>T-F04</x:v>
      </x:c>
      <x:c r="F189" s="10" t="n">
        <x:v>1</x:v>
      </x:c>
      <x:c r="G189" s="11" t="n">
        <x:v>15.0785</x:v>
      </x:c>
      <x:c r="H189" s="11" t="n">
        <x:v>17.485179</x:v>
      </x:c>
      <x:c r="I189" s="11" t="n">
        <x:f>H189-G189</x:f>
        <x:v>2.4066789999999987</x:v>
      </x:c>
      <x:c r="J189" s="10" t="str">
        <x:v>기존 발표자료는 당시 판본으로 유지하고, 지금 최신 판본에서 달라진 월 운영비와 책임자 확인 항목만 따로 알려줘.</x:v>
      </x:c>
      <x:c r="K189" s="10" t="str">
        <x:v>기존 발표자료는 SYN-F04-01:D2@v1로 유지하고 최신 SYN-F04-01:D2@v2의 비용 및 책임자 항목 변경을 별도로 확인하겠습니다.</x:v>
      </x:c>
      <x:c r="L189" s="11"/>
      <x:c r="M189" s="11"/>
      <x:c r="N189" s="10" t="str">
        <x:v>NOT_MODELED</x:v>
      </x:c>
    </x:row>
    <x:row r="190" ht="85" customHeight="1">
      <x:c r="A190" s="10" t="str">
        <x:v>T-REL</x:v>
      </x:c>
      <x:c r="B190" s="10" t="str">
        <x:v>TEXT</x:v>
      </x:c>
      <x:c r="C190" s="10" t="str">
        <x:v>TEXT:SYN-F04-01</x:v>
      </x:c>
      <x:c r="D190" s="10" t="str">
        <x:v>TEXT:SYN-F04-01-U01</x:v>
      </x:c>
      <x:c r="E190" s="10" t="str">
        <x:v>T-F04</x:v>
      </x:c>
      <x:c r="F190" s="10" t="n">
        <x:v>1</x:v>
      </x:c>
      <x:c r="G190" s="11" t="n">
        <x:v>0</x:v>
      </x:c>
      <x:c r="H190" s="11" t="n">
        <x:v>1.263214</x:v>
      </x:c>
      <x:c r="I190" s="11" t="n">
        <x:f>H190-G190</x:f>
        <x:v>1.263214</x:v>
      </x:c>
      <x:c r="J190" s="10" t="str">
        <x:v>내가 실제로 보고 서비스 운영위원회용 구성이 좋다고 했던 당시 판본으로 전환 검토 발표자료를 5장 이내로 만들어줘. 최신본으로 바꾸지 말고 월 운영비 240만원 이하, 첫 12개월 조건을 지켜줘. 외부 발송은 하지 마.</x:v>
      </x:c>
      <x:c r="K190" s="10" t="str">
        <x:v>SYN-F04-01:D2@v1의 구성을 기준으로 서비스 운영위원회용 전환 검토 발표자료를 5장 이내로 작성하도록 준비하겠습니다. 평가 당시 v1을 유지하겠습니다.</x:v>
      </x:c>
      <x:c r="L190" s="11"/>
      <x:c r="M190" s="11"/>
      <x:c r="N190" s="10" t="str">
        <x:v>NOT_MODELED</x:v>
      </x:c>
    </x:row>
    <x:row r="191" ht="85" customHeight="1">
      <x:c r="A191" s="10" t="str">
        <x:v>T-REL</x:v>
      </x:c>
      <x:c r="B191" s="10" t="str">
        <x:v>TEXT</x:v>
      </x:c>
      <x:c r="C191" s="10" t="str">
        <x:v>TEXT:SYN-F04-01</x:v>
      </x:c>
      <x:c r="D191" s="10" t="str">
        <x:v>TEXT:SYN-F04-01-U02</x:v>
      </x:c>
      <x:c r="E191" s="10" t="str">
        <x:v>T-F04</x:v>
      </x:c>
      <x:c r="F191" s="10" t="n">
        <x:v>1</x:v>
      </x:c>
      <x:c r="G191" s="11" t="n">
        <x:v>14.299571</x:v>
      </x:c>
      <x:c r="H191" s="11" t="n">
        <x:v>15.57575</x:v>
      </x:c>
      <x:c r="I191" s="11" t="n">
        <x:f>H191-G191</x:f>
        <x:v>1.276178999999999</x:v>
      </x:c>
      <x:c r="J191" s="10" t="str">
        <x:v>기존 발표자료는 당시 판본으로 유지하고, 지금 최신 판본에서 달라진 월 운영비와 책임자 확인 항목만 따로 알려줘.</x:v>
      </x:c>
      <x:c r="K191" s="10" t="str">
        <x:v>기존 발표자료는 SYN-F04-01:D2@v1로 유지하고 최신 SYN-F04-01:D2@v2의 비용 및 책임자 항목 변경을 별도로 확인하겠습니다.</x:v>
      </x:c>
      <x:c r="L191" s="11"/>
      <x:c r="M191" s="11"/>
      <x:c r="N191" s="10" t="str">
        <x:v>NOT_MODELED</x:v>
      </x:c>
    </x:row>
    <x:row r="192" ht="85" customHeight="1">
      <x:c r="A192" s="10" t="str">
        <x:v>T-BASE</x:v>
      </x:c>
      <x:c r="B192" s="10" t="str">
        <x:v>TEXT</x:v>
      </x:c>
      <x:c r="C192" s="10" t="str">
        <x:v>TEXT:SYN-F04-02</x:v>
      </x:c>
      <x:c r="D192" s="10" t="str">
        <x:v>TEXT:SYN-F04-02-U01</x:v>
      </x:c>
      <x:c r="E192" s="10" t="str">
        <x:v>T-F04</x:v>
      </x:c>
      <x:c r="F192" s="10" t="n">
        <x:v>1</x:v>
      </x:c>
      <x:c r="G192" s="11" t="n">
        <x:v>0</x:v>
      </x:c>
      <x:c r="H192" s="11" t="n">
        <x:v>2.079964</x:v>
      </x:c>
      <x:c r="I192" s="11" t="n">
        <x:f>H192-G192</x:f>
        <x:v>2.079964</x:v>
      </x:c>
      <x:c r="J192" s="10" t="str">
        <x:v>내가 실제로 보고 참가업체 설명회용 구성이 좋다고 했던 당시 판본으로 운영 제안 발표자료를 4장 이내로 만들어줘. 최신본으로 바꾸지 말고 주말 운영 인력 12명 이하, 전시 4주 조건을 지켜줘. 외부 발송은 하지 마.</x:v>
      </x:c>
      <x:c r="K192" s="10" t="str">
        <x:v>SYN-F04-02:D1@v1의 구성을 기준으로 참가업체 설명회용 운영 제안 발표자료를 4장 이내로 작성하도록 준비하겠습니다. 평가 당시 v1을 유지하겠습니다.</x:v>
      </x:c>
      <x:c r="L192" s="11"/>
      <x:c r="M192" s="11"/>
      <x:c r="N192" s="10" t="str">
        <x:v>NOT_MODELED</x:v>
      </x:c>
    </x:row>
    <x:row r="193" ht="85" customHeight="1">
      <x:c r="A193" s="10" t="str">
        <x:v>T-BASE</x:v>
      </x:c>
      <x:c r="B193" s="10" t="str">
        <x:v>TEXT</x:v>
      </x:c>
      <x:c r="C193" s="10" t="str">
        <x:v>TEXT:SYN-F04-02</x:v>
      </x:c>
      <x:c r="D193" s="10" t="str">
        <x:v>TEXT:SYN-F04-02-U02</x:v>
      </x:c>
      <x:c r="E193" s="10" t="str">
        <x:v>T-F04</x:v>
      </x:c>
      <x:c r="F193" s="10" t="n">
        <x:v>1</x:v>
      </x:c>
      <x:c r="G193" s="11" t="n">
        <x:v>15.1895</x:v>
      </x:c>
      <x:c r="H193" s="11" t="n">
        <x:v>17.179</x:v>
      </x:c>
      <x:c r="I193" s="11" t="n">
        <x:f>H193-G193</x:f>
        <x:v>1.9894999999999978</x:v>
      </x:c>
      <x:c r="J193" s="10" t="str">
        <x:v>기존 발표자료는 당시 판본으로 유지하고, 지금 최신 판본에서 달라진 주간 운영비와 책임자 확인 항목만 따로 알려줘.</x:v>
      </x:c>
      <x:c r="K193" s="10" t="str">
        <x:v>기존 발표자료는 SYN-F04-02:D1@v1로 유지하고 최신 SYN-F04-02:D1@v2의 비용 및 책임자 항목 변경을 별도로 확인하겠습니다.</x:v>
      </x:c>
      <x:c r="L193" s="11"/>
      <x:c r="M193" s="11"/>
      <x:c r="N193" s="10" t="str">
        <x:v>NOT_MODELED</x:v>
      </x:c>
    </x:row>
    <x:row r="194" ht="85" customHeight="1">
      <x:c r="A194" s="10" t="str">
        <x:v>T-EXEC</x:v>
      </x:c>
      <x:c r="B194" s="10" t="str">
        <x:v>TEXT</x:v>
      </x:c>
      <x:c r="C194" s="10" t="str">
        <x:v>TEXT:SYN-F04-02</x:v>
      </x:c>
      <x:c r="D194" s="10" t="str">
        <x:v>TEXT:SYN-F04-02-U01</x:v>
      </x:c>
      <x:c r="E194" s="10" t="str">
        <x:v>T-F04</x:v>
      </x:c>
      <x:c r="F194" s="10" t="n">
        <x:v>1</x:v>
      </x:c>
      <x:c r="G194" s="11" t="n">
        <x:v>0</x:v>
      </x:c>
      <x:c r="H194" s="11" t="n">
        <x:v>2.079964</x:v>
      </x:c>
      <x:c r="I194" s="11" t="n">
        <x:f>H194-G194</x:f>
        <x:v>2.079964</x:v>
      </x:c>
      <x:c r="J194" s="10" t="str">
        <x:v>내가 실제로 보고 참가업체 설명회용 구성이 좋다고 했던 당시 판본으로 운영 제안 발표자료를 4장 이내로 만들어줘. 최신본으로 바꾸지 말고 주말 운영 인력 12명 이하, 전시 4주 조건을 지켜줘. 외부 발송은 하지 마.</x:v>
      </x:c>
      <x:c r="K194" s="10" t="str">
        <x:v>SYN-F04-02:D1@v1의 구성을 기준으로 참가업체 설명회용 운영 제안 발표자료를 4장 이내로 작성하도록 준비하겠습니다. 평가 당시 v1을 유지하겠습니다.</x:v>
      </x:c>
      <x:c r="L194" s="11"/>
      <x:c r="M194" s="11"/>
      <x:c r="N194" s="10" t="str">
        <x:v>NOT_MODELED</x:v>
      </x:c>
    </x:row>
    <x:row r="195" ht="85" customHeight="1">
      <x:c r="A195" s="10" t="str">
        <x:v>T-EXEC</x:v>
      </x:c>
      <x:c r="B195" s="10" t="str">
        <x:v>TEXT</x:v>
      </x:c>
      <x:c r="C195" s="10" t="str">
        <x:v>TEXT:SYN-F04-02</x:v>
      </x:c>
      <x:c r="D195" s="10" t="str">
        <x:v>TEXT:SYN-F04-02-U02</x:v>
      </x:c>
      <x:c r="E195" s="10" t="str">
        <x:v>T-F04</x:v>
      </x:c>
      <x:c r="F195" s="10" t="n">
        <x:v>1</x:v>
      </x:c>
      <x:c r="G195" s="11" t="n">
        <x:v>15.1895</x:v>
      </x:c>
      <x:c r="H195" s="11" t="n">
        <x:v>17.643679</x:v>
      </x:c>
      <x:c r="I195" s="11" t="n">
        <x:f>H195-G195</x:f>
        <x:v>2.454178999999998</x:v>
      </x:c>
      <x:c r="J195" s="10" t="str">
        <x:v>기존 발표자료는 당시 판본으로 유지하고, 지금 최신 판본에서 달라진 주간 운영비와 책임자 확인 항목만 따로 알려줘.</x:v>
      </x:c>
      <x:c r="K195" s="10" t="str">
        <x:v>기존 발표자료는 SYN-F04-02:D1@v1로 유지하고 최신 SYN-F04-02:D1@v2의 비용 및 책임자 항목 변경을 별도로 확인하겠습니다.</x:v>
      </x:c>
      <x:c r="L195" s="11"/>
      <x:c r="M195" s="11"/>
      <x:c r="N195" s="10" t="str">
        <x:v>NOT_MODELED</x:v>
      </x:c>
    </x:row>
    <x:row r="196" ht="85" customHeight="1">
      <x:c r="A196" s="10" t="str">
        <x:v>T-REL</x:v>
      </x:c>
      <x:c r="B196" s="10" t="str">
        <x:v>TEXT</x:v>
      </x:c>
      <x:c r="C196" s="10" t="str">
        <x:v>TEXT:SYN-F04-02</x:v>
      </x:c>
      <x:c r="D196" s="10" t="str">
        <x:v>TEXT:SYN-F04-02-U01</x:v>
      </x:c>
      <x:c r="E196" s="10" t="str">
        <x:v>T-F04</x:v>
      </x:c>
      <x:c r="F196" s="10" t="n">
        <x:v>1</x:v>
      </x:c>
      <x:c r="G196" s="11" t="n">
        <x:v>0</x:v>
      </x:c>
      <x:c r="H196" s="11" t="n">
        <x:v>1.276036</x:v>
      </x:c>
      <x:c r="I196" s="11" t="n">
        <x:f>H196-G196</x:f>
        <x:v>1.276036</x:v>
      </x:c>
      <x:c r="J196" s="10" t="str">
        <x:v>내가 실제로 보고 참가업체 설명회용 구성이 좋다고 했던 당시 판본으로 운영 제안 발표자료를 4장 이내로 만들어줘. 최신본으로 바꾸지 말고 주말 운영 인력 12명 이하, 전시 4주 조건을 지켜줘. 외부 발송은 하지 마.</x:v>
      </x:c>
      <x:c r="K196" s="10" t="str">
        <x:v>SYN-F04-02:D1@v1의 구성을 기준으로 참가업체 설명회용 운영 제안 발표자료를 4장 이내로 작성하도록 준비하겠습니다. 평가 당시 v1을 유지하겠습니다.</x:v>
      </x:c>
      <x:c r="L196" s="11"/>
      <x:c r="M196" s="11"/>
      <x:c r="N196" s="10" t="str">
        <x:v>NOT_MODELED</x:v>
      </x:c>
    </x:row>
    <x:row r="197" ht="85" customHeight="1">
      <x:c r="A197" s="10" t="str">
        <x:v>T-REL</x:v>
      </x:c>
      <x:c r="B197" s="10" t="str">
        <x:v>TEXT</x:v>
      </x:c>
      <x:c r="C197" s="10" t="str">
        <x:v>TEXT:SYN-F04-02</x:v>
      </x:c>
      <x:c r="D197" s="10" t="str">
        <x:v>TEXT:SYN-F04-02-U02</x:v>
      </x:c>
      <x:c r="E197" s="10" t="str">
        <x:v>T-F04</x:v>
      </x:c>
      <x:c r="F197" s="10" t="n">
        <x:v>1</x:v>
      </x:c>
      <x:c r="G197" s="11" t="n">
        <x:v>14.385572</x:v>
      </x:c>
      <x:c r="H197" s="11" t="n">
        <x:v>15.674572</x:v>
      </x:c>
      <x:c r="I197" s="11" t="n">
        <x:f>H197-G197</x:f>
        <x:v>1.2889999999999997</x:v>
      </x:c>
      <x:c r="J197" s="10" t="str">
        <x:v>기존 발표자료는 당시 판본으로 유지하고, 지금 최신 판본에서 달라진 주간 운영비와 책임자 확인 항목만 따로 알려줘.</x:v>
      </x:c>
      <x:c r="K197" s="10" t="str">
        <x:v>기존 발표자료는 SYN-F04-02:D1@v1로 유지하고 최신 SYN-F04-02:D1@v2의 비용 및 책임자 항목 변경을 별도로 확인하겠습니다.</x:v>
      </x:c>
      <x:c r="L197" s="11"/>
      <x:c r="M197" s="11"/>
      <x:c r="N197" s="10" t="str">
        <x:v>NOT_MODELED</x:v>
      </x:c>
    </x:row>
    <x:row r="198" ht="85" customHeight="1">
      <x:c r="A198" s="10" t="str">
        <x:v>T-BASE</x:v>
      </x:c>
      <x:c r="B198" s="10" t="str">
        <x:v>TEXT</x:v>
      </x:c>
      <x:c r="C198" s="10" t="str">
        <x:v>TEXT:SYN-F04-03</x:v>
      </x:c>
      <x:c r="D198" s="10" t="str">
        <x:v>TEXT:SYN-F04-03-U01</x:v>
      </x:c>
      <x:c r="E198" s="10" t="str">
        <x:v>T-F04</x:v>
      </x:c>
      <x:c r="F198" s="10" t="n">
        <x:v>1</x:v>
      </x:c>
      <x:c r="G198" s="11" t="n">
        <x:v>0</x:v>
      </x:c>
      <x:c r="H198" s="11" t="n">
        <x:v>2.117786</x:v>
      </x:c>
      <x:c r="I198" s="11" t="n">
        <x:f>H198-G198</x:f>
        <x:v>2.117786</x:v>
      </x:c>
      <x:c r="J198" s="10" t="str">
        <x:v>내가 실제로 보고 교육 승인위원회용 구성이 좋다고 했던 당시 판본으로 교육 개편 발표자료를 6장 이내로 만들어줘. 최신본으로 바꾸지 말고 참가자당 교육시간 18시간 이하, 입사 후 3주 조건을 지켜줘. 외부 발송은 하지 마.</x:v>
      </x:c>
      <x:c r="K198" s="10" t="str">
        <x:v>SYN-F04-03:D3@v1의 구성을 기준으로 교육 승인위원회용 교육 개편 발표자료를 6장 이내로 작성하도록 준비하겠습니다. 평가 당시 v1을 유지하겠습니다.</x:v>
      </x:c>
      <x:c r="L198" s="11"/>
      <x:c r="M198" s="11"/>
      <x:c r="N198" s="10" t="str">
        <x:v>NOT_MODELED</x:v>
      </x:c>
    </x:row>
    <x:row r="199" ht="85" customHeight="1">
      <x:c r="A199" s="10" t="str">
        <x:v>T-BASE</x:v>
      </x:c>
      <x:c r="B199" s="10" t="str">
        <x:v>TEXT</x:v>
      </x:c>
      <x:c r="C199" s="10" t="str">
        <x:v>TEXT:SYN-F04-03</x:v>
      </x:c>
      <x:c r="D199" s="10" t="str">
        <x:v>TEXT:SYN-F04-03-U02</x:v>
      </x:c>
      <x:c r="E199" s="10" t="str">
        <x:v>T-F04</x:v>
      </x:c>
      <x:c r="F199" s="10" t="n">
        <x:v>1</x:v>
      </x:c>
      <x:c r="G199" s="11" t="n">
        <x:v>15.3005</x:v>
      </x:c>
      <x:c r="H199" s="11" t="n">
        <x:v>17.327821</x:v>
      </x:c>
      <x:c r="I199" s="11" t="n">
        <x:f>H199-G199</x:f>
        <x:v>2.0273210000000006</x:v>
      </x:c>
      <x:c r="J199" s="10" t="str">
        <x:v>기존 발표자료는 당시 판본으로 유지하고, 지금 최신 판본에서 달라진 인당 운영비와 책임자 확인 항목만 따로 알려줘.</x:v>
      </x:c>
      <x:c r="K199" s="10" t="str">
        <x:v>기존 발표자료는 SYN-F04-03:D3@v1로 유지하고 최신 SYN-F04-03:D3@v2의 비용 및 책임자 항목 변경을 별도로 확인하겠습니다.</x:v>
      </x:c>
      <x:c r="L199" s="11"/>
      <x:c r="M199" s="11"/>
      <x:c r="N199" s="10" t="str">
        <x:v>NOT_MODELED</x:v>
      </x:c>
    </x:row>
    <x:row r="200" ht="85" customHeight="1">
      <x:c r="A200" s="10" t="str">
        <x:v>T-EXEC</x:v>
      </x:c>
      <x:c r="B200" s="10" t="str">
        <x:v>TEXT</x:v>
      </x:c>
      <x:c r="C200" s="10" t="str">
        <x:v>TEXT:SYN-F04-03</x:v>
      </x:c>
      <x:c r="D200" s="10" t="str">
        <x:v>TEXT:SYN-F04-03-U01</x:v>
      </x:c>
      <x:c r="E200" s="10" t="str">
        <x:v>T-F04</x:v>
      </x:c>
      <x:c r="F200" s="10" t="n">
        <x:v>1</x:v>
      </x:c>
      <x:c r="G200" s="11" t="n">
        <x:v>0</x:v>
      </x:c>
      <x:c r="H200" s="11" t="n">
        <x:v>2.117786</x:v>
      </x:c>
      <x:c r="I200" s="11" t="n">
        <x:f>H200-G200</x:f>
        <x:v>2.117786</x:v>
      </x:c>
      <x:c r="J200" s="10" t="str">
        <x:v>내가 실제로 보고 교육 승인위원회용 구성이 좋다고 했던 당시 판본으로 교육 개편 발표자료를 6장 이내로 만들어줘. 최신본으로 바꾸지 말고 참가자당 교육시간 18시간 이하, 입사 후 3주 조건을 지켜줘. 외부 발송은 하지 마.</x:v>
      </x:c>
      <x:c r="K200" s="10" t="str">
        <x:v>SYN-F04-03:D3@v1의 구성을 기준으로 교육 승인위원회용 교육 개편 발표자료를 6장 이내로 작성하도록 준비하겠습니다. 평가 당시 v1을 유지하겠습니다.</x:v>
      </x:c>
      <x:c r="L200" s="11"/>
      <x:c r="M200" s="11"/>
      <x:c r="N200" s="10" t="str">
        <x:v>NOT_MODELED</x:v>
      </x:c>
    </x:row>
    <x:row r="201" ht="85" customHeight="1">
      <x:c r="A201" s="10" t="str">
        <x:v>T-EXEC</x:v>
      </x:c>
      <x:c r="B201" s="10" t="str">
        <x:v>TEXT</x:v>
      </x:c>
      <x:c r="C201" s="10" t="str">
        <x:v>TEXT:SYN-F04-03</x:v>
      </x:c>
      <x:c r="D201" s="10" t="str">
        <x:v>TEXT:SYN-F04-03-U02</x:v>
      </x:c>
      <x:c r="E201" s="10" t="str">
        <x:v>T-F04</x:v>
      </x:c>
      <x:c r="F201" s="10" t="n">
        <x:v>1</x:v>
      </x:c>
      <x:c r="G201" s="11" t="n">
        <x:v>15.3005</x:v>
      </x:c>
      <x:c r="H201" s="11" t="n">
        <x:v>17.802178</x:v>
      </x:c>
      <x:c r="I201" s="11" t="n">
        <x:f>H201-G201</x:f>
        <x:v>2.501678000000002</x:v>
      </x:c>
      <x:c r="J201" s="10" t="str">
        <x:v>기존 발표자료는 당시 판본으로 유지하고, 지금 최신 판본에서 달라진 인당 운영비와 책임자 확인 항목만 따로 알려줘.</x:v>
      </x:c>
      <x:c r="K201" s="10" t="str">
        <x:v>기존 발표자료는 SYN-F04-03:D3@v1로 유지하고 최신 SYN-F04-03:D3@v2의 비용 및 책임자 항목 변경을 별도로 확인하겠습니다.</x:v>
      </x:c>
      <x:c r="L201" s="11"/>
      <x:c r="M201" s="11"/>
      <x:c r="N201" s="10" t="str">
        <x:v>NOT_MODELED</x:v>
      </x:c>
    </x:row>
    <x:row r="202" ht="85" customHeight="1">
      <x:c r="A202" s="10" t="str">
        <x:v>T-REL</x:v>
      </x:c>
      <x:c r="B202" s="10" t="str">
        <x:v>TEXT</x:v>
      </x:c>
      <x:c r="C202" s="10" t="str">
        <x:v>TEXT:SYN-F04-03</x:v>
      </x:c>
      <x:c r="D202" s="10" t="str">
        <x:v>TEXT:SYN-F04-03-U01</x:v>
      </x:c>
      <x:c r="E202" s="10" t="str">
        <x:v>T-F04</x:v>
      </x:c>
      <x:c r="F202" s="10" t="n">
        <x:v>1</x:v>
      </x:c>
      <x:c r="G202" s="11" t="n">
        <x:v>0</x:v>
      </x:c>
      <x:c r="H202" s="11" t="n">
        <x:v>1.288857</x:v>
      </x:c>
      <x:c r="I202" s="11" t="n">
        <x:f>H202-G202</x:f>
        <x:v>1.288857</x:v>
      </x:c>
      <x:c r="J202" s="10" t="str">
        <x:v>내가 실제로 보고 교육 승인위원회용 구성이 좋다고 했던 당시 판본으로 교육 개편 발표자료를 6장 이내로 만들어줘. 최신본으로 바꾸지 말고 참가자당 교육시간 18시간 이하, 입사 후 3주 조건을 지켜줘. 외부 발송은 하지 마.</x:v>
      </x:c>
      <x:c r="K202" s="10" t="str">
        <x:v>SYN-F04-03:D3@v1의 구성을 기준으로 교육 승인위원회용 교육 개편 발표자료를 6장 이내로 작성하도록 준비하겠습니다. 평가 당시 v1을 유지하겠습니다.</x:v>
      </x:c>
      <x:c r="L202" s="11"/>
      <x:c r="M202" s="11"/>
      <x:c r="N202" s="10" t="str">
        <x:v>NOT_MODELED</x:v>
      </x:c>
    </x:row>
    <x:row r="203" ht="85" customHeight="1">
      <x:c r="A203" s="10" t="str">
        <x:v>T-REL</x:v>
      </x:c>
      <x:c r="B203" s="10" t="str">
        <x:v>TEXT</x:v>
      </x:c>
      <x:c r="C203" s="10" t="str">
        <x:v>TEXT:SYN-F04-03</x:v>
      </x:c>
      <x:c r="D203" s="10" t="str">
        <x:v>TEXT:SYN-F04-03-U02</x:v>
      </x:c>
      <x:c r="E203" s="10" t="str">
        <x:v>T-F04</x:v>
      </x:c>
      <x:c r="F203" s="10" t="n">
        <x:v>1</x:v>
      </x:c>
      <x:c r="G203" s="11" t="n">
        <x:v>14.471571</x:v>
      </x:c>
      <x:c r="H203" s="11" t="n">
        <x:v>15.773392</x:v>
      </x:c>
      <x:c r="I203" s="11" t="n">
        <x:f>H203-G203</x:f>
        <x:v>1.3018209999999986</x:v>
      </x:c>
      <x:c r="J203" s="10" t="str">
        <x:v>기존 발표자료는 당시 판본으로 유지하고, 지금 최신 판본에서 달라진 인당 운영비와 책임자 확인 항목만 따로 알려줘.</x:v>
      </x:c>
      <x:c r="K203" s="10" t="str">
        <x:v>기존 발표자료는 SYN-F04-03:D3@v1로 유지하고 최신 SYN-F04-03:D3@v2의 비용 및 책임자 항목 변경을 별도로 확인하겠습니다.</x:v>
      </x:c>
      <x:c r="L203" s="11"/>
      <x:c r="M203" s="11"/>
      <x:c r="N203" s="10" t="str">
        <x:v>NOT_MODELED</x:v>
      </x:c>
    </x:row>
    <x:row r="204" ht="85" customHeight="1">
      <x:c r="A204" s="10" t="str">
        <x:v>T-BASE</x:v>
      </x:c>
      <x:c r="B204" s="10" t="str">
        <x:v>TEXT</x:v>
      </x:c>
      <x:c r="C204" s="10" t="str">
        <x:v>TEXT:SYN-F04-04</x:v>
      </x:c>
      <x:c r="D204" s="10" t="str">
        <x:v>TEXT:SYN-F04-04-U01</x:v>
      </x:c>
      <x:c r="E204" s="10" t="str">
        <x:v>T-F04</x:v>
      </x:c>
      <x:c r="F204" s="10" t="n">
        <x:v>1</x:v>
      </x:c>
      <x:c r="G204" s="11" t="n">
        <x:v>0</x:v>
      </x:c>
      <x:c r="H204" s="11" t="n">
        <x:v>2.080607</x:v>
      </x:c>
      <x:c r="I204" s="11" t="n">
        <x:f>H204-G204</x:f>
        <x:v>2.080607</x:v>
      </x:c>
      <x:c r="J204" s="10" t="str">
        <x:v>내가 실제로 보고 협력사 운영설명회용 구성이 좋다고 했던 당시 판본으로 거점 개선 발표자료를 7장 이내로 만들어줘. 최신본으로 바꾸지 말고 일일 추가 운행 8회 이하, 평일 20일 조건을 지켜줘. 외부 발송은 하지 마.</x:v>
      </x:c>
      <x:c r="K204" s="10" t="str">
        <x:v>SYN-F04-04:D2@v2에 대해 라임 배송거점 개선 거점 개선 발표자료 작성 위임을 진행하겠습니다. 적용 조건: 협력사 운영설명회용, 7장 이내, 일일 추가 운행 8회 이하, 대상 기간 평일 20일, 외부 발송 없음, 평가 당시 v1 유지. 내용 출처: SYN-F04-04:D2@v2.</x:v>
      </x:c>
      <x:c r="L204" s="11"/>
      <x:c r="M204" s="11"/>
      <x:c r="N204" s="10" t="str">
        <x:v>NOT_MODELED</x:v>
      </x:c>
    </x:row>
    <x:row r="205" ht="85" customHeight="1">
      <x:c r="A205" s="10" t="str">
        <x:v>T-BASE</x:v>
      </x:c>
      <x:c r="B205" s="10" t="str">
        <x:v>TEXT</x:v>
      </x:c>
      <x:c r="C205" s="10" t="str">
        <x:v>TEXT:SYN-F04-04</x:v>
      </x:c>
      <x:c r="D205" s="10" t="str">
        <x:v>TEXT:SYN-F04-04-U02</x:v>
      </x:c>
      <x:c r="E205" s="10" t="str">
        <x:v>T-F04</x:v>
      </x:c>
      <x:c r="F205" s="10" t="n">
        <x:v>1</x:v>
      </x:c>
      <x:c r="G205" s="11" t="n">
        <x:v>15.3365</x:v>
      </x:c>
      <x:c r="H205" s="11" t="n">
        <x:v>17.326643</x:v>
      </x:c>
      <x:c r="I205" s="11" t="n">
        <x:f>H205-G205</x:f>
        <x:v>1.9901430000000015</x:v>
      </x:c>
      <x:c r="J205" s="10" t="str">
        <x:v>기존 발표자료는 당시 판본으로 유지하고, 지금 최신 판본에서 달라진 일 운영비와 책임자 확인 항목만 따로 알려줘.</x:v>
      </x:c>
      <x:c r="K205" s="10" t="str">
        <x:v>기존 발표자료는 SYN-F04-04:D2@v1로 유지하고 최신 SYN-F04-04:D2@v2의 비용 및 책임자 항목 변경을 별도로 확인하겠습니다.</x:v>
      </x:c>
      <x:c r="L205" s="11"/>
      <x:c r="M205" s="11"/>
      <x:c r="N205" s="10" t="str">
        <x:v>NOT_MODELED</x:v>
      </x:c>
    </x:row>
    <x:row r="206" ht="85" customHeight="1">
      <x:c r="A206" s="10" t="str">
        <x:v>T-EXEC</x:v>
      </x:c>
      <x:c r="B206" s="10" t="str">
        <x:v>TEXT</x:v>
      </x:c>
      <x:c r="C206" s="10" t="str">
        <x:v>TEXT:SYN-F04-04</x:v>
      </x:c>
      <x:c r="D206" s="10" t="str">
        <x:v>TEXT:SYN-F04-04-U01</x:v>
      </x:c>
      <x:c r="E206" s="10" t="str">
        <x:v>T-F04</x:v>
      </x:c>
      <x:c r="F206" s="10" t="n">
        <x:v>1</x:v>
      </x:c>
      <x:c r="G206" s="11" t="n">
        <x:v>0</x:v>
      </x:c>
      <x:c r="H206" s="11" t="n">
        <x:v>2.080607</x:v>
      </x:c>
      <x:c r="I206" s="11" t="n">
        <x:f>H206-G206</x:f>
        <x:v>2.080607</x:v>
      </x:c>
      <x:c r="J206" s="10" t="str">
        <x:v>내가 실제로 보고 협력사 운영설명회용 구성이 좋다고 했던 당시 판본으로 거점 개선 발표자료를 7장 이내로 만들어줘. 최신본으로 바꾸지 말고 일일 추가 운행 8회 이하, 평일 20일 조건을 지켜줘. 외부 발송은 하지 마.</x:v>
      </x:c>
      <x:c r="K206" s="10" t="str">
        <x:v>SYN-F04-04:D2@v2에 대해 라임 배송거점 개선 거점 개선 발표자료 작성 위임을 진행하겠습니다. 적용 조건: 협력사 운영설명회용, 7장 이내, 일일 추가 운행 8회 이하, 대상 기간 평일 20일, 외부 발송 없음, 평가 당시 v1 유지. 내용 출처: SYN-F04-04:D2@v2.</x:v>
      </x:c>
      <x:c r="L206" s="11"/>
      <x:c r="M206" s="11"/>
      <x:c r="N206" s="10" t="str">
        <x:v>NOT_MODELED</x:v>
      </x:c>
    </x:row>
    <x:row r="207" ht="85" customHeight="1">
      <x:c r="A207" s="10" t="str">
        <x:v>T-EXEC</x:v>
      </x:c>
      <x:c r="B207" s="10" t="str">
        <x:v>TEXT</x:v>
      </x:c>
      <x:c r="C207" s="10" t="str">
        <x:v>TEXT:SYN-F04-04</x:v>
      </x:c>
      <x:c r="D207" s="10" t="str">
        <x:v>TEXT:SYN-F04-04-U02</x:v>
      </x:c>
      <x:c r="E207" s="10" t="str">
        <x:v>T-F04</x:v>
      </x:c>
      <x:c r="F207" s="10" t="n">
        <x:v>1</x:v>
      </x:c>
      <x:c r="G207" s="11" t="n">
        <x:v>15.3365</x:v>
      </x:c>
      <x:c r="H207" s="11" t="n">
        <x:v>17.791929</x:v>
      </x:c>
      <x:c r="I207" s="11" t="n">
        <x:f>H207-G207</x:f>
        <x:v>2.4554290000000005</x:v>
      </x:c>
      <x:c r="J207" s="10" t="str">
        <x:v>기존 발표자료는 당시 판본으로 유지하고, 지금 최신 판본에서 달라진 일 운영비와 책임자 확인 항목만 따로 알려줘.</x:v>
      </x:c>
      <x:c r="K207" s="10" t="str">
        <x:v>기존 발표자료는 SYN-F04-04:D2@v1로 유지하고 최신 SYN-F04-04:D2@v2의 비용 및 책임자 항목 변경을 별도로 확인하겠습니다.</x:v>
      </x:c>
      <x:c r="L207" s="11"/>
      <x:c r="M207" s="11"/>
      <x:c r="N207" s="10" t="str">
        <x:v>NOT_MODELED</x:v>
      </x:c>
    </x:row>
    <x:row r="208" ht="85" customHeight="1">
      <x:c r="A208" s="10" t="str">
        <x:v>T-REL</x:v>
      </x:c>
      <x:c r="B208" s="10" t="str">
        <x:v>TEXT</x:v>
      </x:c>
      <x:c r="C208" s="10" t="str">
        <x:v>TEXT:SYN-F04-04</x:v>
      </x:c>
      <x:c r="D208" s="10" t="str">
        <x:v>TEXT:SYN-F04-04-U01</x:v>
      </x:c>
      <x:c r="E208" s="10" t="str">
        <x:v>T-F04</x:v>
      </x:c>
      <x:c r="F208" s="10" t="n">
        <x:v>1</x:v>
      </x:c>
      <x:c r="G208" s="11" t="n">
        <x:v>0</x:v>
      </x:c>
      <x:c r="H208" s="11" t="n">
        <x:v>1.301679</x:v>
      </x:c>
      <x:c r="I208" s="11" t="n">
        <x:f>H208-G208</x:f>
        <x:v>1.301679</x:v>
      </x:c>
      <x:c r="J208" s="10" t="str">
        <x:v>내가 실제로 보고 협력사 운영설명회용 구성이 좋다고 했던 당시 판본으로 거점 개선 발표자료를 7장 이내로 만들어줘. 최신본으로 바꾸지 말고 일일 추가 운행 8회 이하, 평일 20일 조건을 지켜줘. 외부 발송은 하지 마.</x:v>
      </x:c>
      <x:c r="K208" s="10" t="str">
        <x:v>SYN-F04-04:D2@v1의 구성을 기준으로 협력사 운영설명회용 거점 개선 발표자료를 7장 이내로 작성하도록 준비하겠습니다. 평가 당시 v1을 유지하겠습니다.</x:v>
      </x:c>
      <x:c r="L208" s="11"/>
      <x:c r="M208" s="11"/>
      <x:c r="N208" s="10" t="str">
        <x:v>NOT_MODELED</x:v>
      </x:c>
    </x:row>
    <x:row r="209" ht="85" customHeight="1">
      <x:c r="A209" s="10" t="str">
        <x:v>T-REL</x:v>
      </x:c>
      <x:c r="B209" s="10" t="str">
        <x:v>TEXT</x:v>
      </x:c>
      <x:c r="C209" s="10" t="str">
        <x:v>TEXT:SYN-F04-04</x:v>
      </x:c>
      <x:c r="D209" s="10" t="str">
        <x:v>TEXT:SYN-F04-04-U02</x:v>
      </x:c>
      <x:c r="E209" s="10" t="str">
        <x:v>T-F04</x:v>
      </x:c>
      <x:c r="F209" s="10" t="n">
        <x:v>1</x:v>
      </x:c>
      <x:c r="G209" s="11" t="n">
        <x:v>14.557572</x:v>
      </x:c>
      <x:c r="H209" s="11" t="n">
        <x:v>15.872215</x:v>
      </x:c>
      <x:c r="I209" s="11" t="n">
        <x:f>H209-G209</x:f>
        <x:v>1.3146430000000002</x:v>
      </x:c>
      <x:c r="J209" s="10" t="str">
        <x:v>기존 발표자료는 당시 판본으로 유지하고, 지금 최신 판본에서 달라진 일 운영비와 책임자 확인 항목만 따로 알려줘.</x:v>
      </x:c>
      <x:c r="K209" s="10" t="str">
        <x:v>기존 발표자료는 SYN-F04-04:D2@v1로 유지하고 최신 SYN-F04-04:D2@v2의 비용 및 책임자 항목 변경을 별도로 확인하겠습니다.</x:v>
      </x:c>
      <x:c r="L209" s="11"/>
      <x:c r="M209" s="11"/>
      <x:c r="N209" s="10" t="str">
        <x:v>NOT_MODELED</x:v>
      </x:c>
    </x:row>
    <x:row r="210" ht="85" customHeight="1">
      <x:c r="A210" s="10" t="str">
        <x:v>T-BASE</x:v>
      </x:c>
      <x:c r="B210" s="10" t="str">
        <x:v>TEXT</x:v>
      </x:c>
      <x:c r="C210" s="10" t="str">
        <x:v>TEXT:SYN-F04-05</x:v>
      </x:c>
      <x:c r="D210" s="10" t="str">
        <x:v>TEXT:SYN-F04-05-U01</x:v>
      </x:c>
      <x:c r="E210" s="10" t="str">
        <x:v>T-F04</x:v>
      </x:c>
      <x:c r="F210" s="10" t="n">
        <x:v>1</x:v>
      </x:c>
      <x:c r="G210" s="11" t="n">
        <x:v>0</x:v>
      </x:c>
      <x:c r="H210" s="11" t="n">
        <x:v>2.093429</x:v>
      </x:c>
      <x:c r="I210" s="11" t="n">
        <x:f>H210-G210</x:f>
        <x:v>2.093429</x:v>
      </x:c>
      <x:c r="J210" s="10" t="str">
        <x:v>내가 실제로 보고 입주사 설명회용 구성이 좋다고 했던 당시 판본으로 조명 교체 검토자료를 5장 이내로 만들어줘. 최신본으로 바꾸지 말고 층별 정전 30분 이하, 교체 후 6개월 조건을 지켜줘. 외부 발송은 하지 마.</x:v>
      </x:c>
      <x:c r="K210" s="10" t="str">
        <x:v>SYN-F04-05:D1@v1의 구성을 기준으로 입주사 설명회용 조명 교체 검토자료를 5장 이내로 작성하도록 준비하겠습니다. 평가 당시 v1을 유지하겠습니다.</x:v>
      </x:c>
      <x:c r="L210" s="11"/>
      <x:c r="M210" s="11"/>
      <x:c r="N210" s="10" t="str">
        <x:v>NOT_MODELED</x:v>
      </x:c>
    </x:row>
    <x:row r="211" ht="85" customHeight="1">
      <x:c r="A211" s="10" t="str">
        <x:v>T-BASE</x:v>
      </x:c>
      <x:c r="B211" s="10" t="str">
        <x:v>TEXT</x:v>
      </x:c>
      <x:c r="C211" s="10" t="str">
        <x:v>TEXT:SYN-F04-05</x:v>
      </x:c>
      <x:c r="D211" s="10" t="str">
        <x:v>TEXT:SYN-F04-05-U02</x:v>
      </x:c>
      <x:c r="E211" s="10" t="str">
        <x:v>T-F04</x:v>
      </x:c>
      <x:c r="F211" s="10" t="n">
        <x:v>1</x:v>
      </x:c>
      <x:c r="G211" s="11" t="n">
        <x:v>15.3975</x:v>
      </x:c>
      <x:c r="H211" s="11" t="n">
        <x:v>17.400464</x:v>
      </x:c>
      <x:c r="I211" s="11" t="n">
        <x:f>H211-G211</x:f>
        <x:v>2.0029639999999986</x:v>
      </x:c>
      <x:c r="J211" s="10" t="str">
        <x:v>기존 발표자료는 당시 판본으로 유지하고, 지금 최신 판본에서 달라진 월 전력비와 책임자 확인 항목만 따로 알려줘.</x:v>
      </x:c>
      <x:c r="K211" s="10" t="str">
        <x:v>기존 발표자료는 SYN-F04-05:D1@v1로 유지하고 최신 SYN-F04-05:D1@v2의 비용 및 책임자 항목 변경을 별도로 확인하겠습니다.</x:v>
      </x:c>
      <x:c r="L211" s="11"/>
      <x:c r="M211" s="11"/>
      <x:c r="N211" s="10" t="str">
        <x:v>NOT_MODELED</x:v>
      </x:c>
    </x:row>
    <x:row r="212" ht="85" customHeight="1">
      <x:c r="A212" s="10" t="str">
        <x:v>T-EXEC</x:v>
      </x:c>
      <x:c r="B212" s="10" t="str">
        <x:v>TEXT</x:v>
      </x:c>
      <x:c r="C212" s="10" t="str">
        <x:v>TEXT:SYN-F04-05</x:v>
      </x:c>
      <x:c r="D212" s="10" t="str">
        <x:v>TEXT:SYN-F04-05-U01</x:v>
      </x:c>
      <x:c r="E212" s="10" t="str">
        <x:v>T-F04</x:v>
      </x:c>
      <x:c r="F212" s="10" t="n">
        <x:v>1</x:v>
      </x:c>
      <x:c r="G212" s="11" t="n">
        <x:v>0</x:v>
      </x:c>
      <x:c r="H212" s="11" t="n">
        <x:v>2.093429</x:v>
      </x:c>
      <x:c r="I212" s="11" t="n">
        <x:f>H212-G212</x:f>
        <x:v>2.093429</x:v>
      </x:c>
      <x:c r="J212" s="10" t="str">
        <x:v>내가 실제로 보고 입주사 설명회용 구성이 좋다고 했던 당시 판본으로 조명 교체 검토자료를 5장 이내로 만들어줘. 최신본으로 바꾸지 말고 층별 정전 30분 이하, 교체 후 6개월 조건을 지켜줘. 외부 발송은 하지 마.</x:v>
      </x:c>
      <x:c r="K212" s="10" t="str">
        <x:v>SYN-F04-05:D1@v1의 구성을 기준으로 입주사 설명회용 조명 교체 검토자료를 5장 이내로 작성하도록 준비하겠습니다. 평가 당시 v1을 유지하겠습니다.</x:v>
      </x:c>
      <x:c r="L212" s="11"/>
      <x:c r="M212" s="11"/>
      <x:c r="N212" s="10" t="str">
        <x:v>NOT_MODELED</x:v>
      </x:c>
    </x:row>
    <x:row r="213" ht="85" customHeight="1">
      <x:c r="A213" s="10" t="str">
        <x:v>T-EXEC</x:v>
      </x:c>
      <x:c r="B213" s="10" t="str">
        <x:v>TEXT</x:v>
      </x:c>
      <x:c r="C213" s="10" t="str">
        <x:v>TEXT:SYN-F04-05</x:v>
      </x:c>
      <x:c r="D213" s="10" t="str">
        <x:v>TEXT:SYN-F04-05-U02</x:v>
      </x:c>
      <x:c r="E213" s="10" t="str">
        <x:v>T-F04</x:v>
      </x:c>
      <x:c r="F213" s="10" t="n">
        <x:v>1</x:v>
      </x:c>
      <x:c r="G213" s="11" t="n">
        <x:v>15.3975</x:v>
      </x:c>
      <x:c r="H213" s="11" t="n">
        <x:v>17.875428</x:v>
      </x:c>
      <x:c r="I213" s="11" t="n">
        <x:f>H213-G213</x:f>
        <x:v>2.4779279999999986</x:v>
      </x:c>
      <x:c r="J213" s="10" t="str">
        <x:v>기존 발표자료는 당시 판본으로 유지하고, 지금 최신 판본에서 달라진 월 전력비와 책임자 확인 항목만 따로 알려줘.</x:v>
      </x:c>
      <x:c r="K213" s="10" t="str">
        <x:v>기존 발표자료는 SYN-F04-05:D1@v1로 유지하고 최신 SYN-F04-05:D1@v2의 비용 및 책임자 항목 변경을 별도로 확인하겠습니다.</x:v>
      </x:c>
      <x:c r="L213" s="11"/>
      <x:c r="M213" s="11"/>
      <x:c r="N213" s="10" t="str">
        <x:v>NOT_MODELED</x:v>
      </x:c>
    </x:row>
    <x:row r="214" ht="85" customHeight="1">
      <x:c r="A214" s="10" t="str">
        <x:v>T-REL</x:v>
      </x:c>
      <x:c r="B214" s="10" t="str">
        <x:v>TEXT</x:v>
      </x:c>
      <x:c r="C214" s="10" t="str">
        <x:v>TEXT:SYN-F04-05</x:v>
      </x:c>
      <x:c r="D214" s="10" t="str">
        <x:v>TEXT:SYN-F04-05-U01</x:v>
      </x:c>
      <x:c r="E214" s="10" t="str">
        <x:v>T-F04</x:v>
      </x:c>
      <x:c r="F214" s="10" t="n">
        <x:v>1</x:v>
      </x:c>
      <x:c r="G214" s="11" t="n">
        <x:v>0</x:v>
      </x:c>
      <x:c r="H214" s="11" t="n">
        <x:v>1.2895</x:v>
      </x:c>
      <x:c r="I214" s="11" t="n">
        <x:f>H214-G214</x:f>
        <x:v>1.2895</x:v>
      </x:c>
      <x:c r="J214" s="10" t="str">
        <x:v>내가 실제로 보고 입주사 설명회용 구성이 좋다고 했던 당시 판본으로 조명 교체 검토자료를 5장 이내로 만들어줘. 최신본으로 바꾸지 말고 층별 정전 30분 이하, 교체 후 6개월 조건을 지켜줘. 외부 발송은 하지 마.</x:v>
      </x:c>
      <x:c r="K214" s="10" t="str">
        <x:v>SYN-F04-05:D1@v1의 구성을 기준으로 입주사 설명회용 조명 교체 검토자료를 5장 이내로 작성하도록 준비하겠습니다. 평가 당시 v1을 유지하겠습니다.</x:v>
      </x:c>
      <x:c r="L214" s="11"/>
      <x:c r="M214" s="11"/>
      <x:c r="N214" s="10" t="str">
        <x:v>NOT_MODELED</x:v>
      </x:c>
    </x:row>
    <x:row r="215" ht="85" customHeight="1">
      <x:c r="A215" s="10" t="str">
        <x:v>T-REL</x:v>
      </x:c>
      <x:c r="B215" s="10" t="str">
        <x:v>TEXT</x:v>
      </x:c>
      <x:c r="C215" s="10" t="str">
        <x:v>TEXT:SYN-F04-05</x:v>
      </x:c>
      <x:c r="D215" s="10" t="str">
        <x:v>TEXT:SYN-F04-05-U02</x:v>
      </x:c>
      <x:c r="E215" s="10" t="str">
        <x:v>T-F04</x:v>
      </x:c>
      <x:c r="F215" s="10" t="n">
        <x:v>1</x:v>
      </x:c>
      <x:c r="G215" s="11" t="n">
        <x:v>14.593571</x:v>
      </x:c>
      <x:c r="H215" s="11" t="n">
        <x:v>15.896035</x:v>
      </x:c>
      <x:c r="I215" s="11" t="n">
        <x:f>H215-G215</x:f>
        <x:v>1.3024639999999987</x:v>
      </x:c>
      <x:c r="J215" s="10" t="str">
        <x:v>기존 발표자료는 당시 판본으로 유지하고, 지금 최신 판본에서 달라진 월 전력비와 책임자 확인 항목만 따로 알려줘.</x:v>
      </x:c>
      <x:c r="K215" s="10" t="str">
        <x:v>기존 발표자료는 SYN-F04-05:D1@v1로 유지하고 최신 SYN-F04-05:D1@v2의 비용 및 책임자 항목 변경을 별도로 확인하겠습니다.</x:v>
      </x:c>
      <x:c r="L215" s="11"/>
      <x:c r="M215" s="11"/>
      <x:c r="N215" s="10" t="str">
        <x:v>NOT_MODELED</x:v>
      </x:c>
    </x:row>
    <x:row r="216" ht="85" customHeight="1">
      <x:c r="A216" s="10" t="str">
        <x:v>T-BASE</x:v>
      </x:c>
      <x:c r="B216" s="10" t="str">
        <x:v>TEXT</x:v>
      </x:c>
      <x:c r="C216" s="10" t="str">
        <x:v>TEXT:SYN-F04-06</x:v>
      </x:c>
      <x:c r="D216" s="10" t="str">
        <x:v>TEXT:SYN-F04-06-U01</x:v>
      </x:c>
      <x:c r="E216" s="10" t="str">
        <x:v>T-F04</x:v>
      </x:c>
      <x:c r="F216" s="10" t="n">
        <x:v>1</x:v>
      </x:c>
      <x:c r="G216" s="11" t="n">
        <x:v>0</x:v>
      </x:c>
      <x:c r="H216" s="11" t="n">
        <x:v>2.13125</x:v>
      </x:c>
      <x:c r="I216" s="11" t="n">
        <x:f>H216-G216</x:f>
        <x:v>2.13125</x:v>
      </x:c>
      <x:c r="J216" s="10" t="str">
        <x:v>내가 실제로 보고 참여기업 안내회용 구성이 좋다고 했던 당시 판본으로 행사 운영 발표자료를 8장 이내로 만들어줘. 최신본으로 바꾸지 말고 현장 대기 20분 이하, 행사 2일 조건을 지켜줘. 외부 발송은 하지 마.</x:v>
      </x:c>
      <x:c r="K216" s="10" t="str">
        <x:v>SYN-F04-06:D3@v1의 구성을 기준으로 참여기업 안내회용 행사 운영 발표자료를 8장 이내로 작성하도록 준비하겠습니다. 평가 당시 v1을 유지하겠습니다.</x:v>
      </x:c>
      <x:c r="L216" s="11"/>
      <x:c r="M216" s="11"/>
      <x:c r="N216" s="10" t="str">
        <x:v>NOT_MODELED</x:v>
      </x:c>
    </x:row>
    <x:row r="217" ht="85" customHeight="1">
      <x:c r="A217" s="10" t="str">
        <x:v>T-BASE</x:v>
      </x:c>
      <x:c r="B217" s="10" t="str">
        <x:v>TEXT</x:v>
      </x:c>
      <x:c r="C217" s="10" t="str">
        <x:v>TEXT:SYN-F04-06</x:v>
      </x:c>
      <x:c r="D217" s="10" t="str">
        <x:v>TEXT:SYN-F04-06-U02</x:v>
      </x:c>
      <x:c r="E217" s="10" t="str">
        <x:v>T-F04</x:v>
      </x:c>
      <x:c r="F217" s="10" t="n">
        <x:v>1</x:v>
      </x:c>
      <x:c r="G217" s="11" t="n">
        <x:v>15.426</x:v>
      </x:c>
      <x:c r="H217" s="11" t="n">
        <x:v>17.466786</x:v>
      </x:c>
      <x:c r="I217" s="11" t="n">
        <x:f>H217-G217</x:f>
        <x:v>2.040785999999999</x:v>
      </x:c>
      <x:c r="J217" s="10" t="str">
        <x:v>기존 발표자료는 당시 판본으로 유지하고, 지금 최신 판본에서 달라진 일 운영비와 책임자 확인 항목만 따로 알려줘.</x:v>
      </x:c>
      <x:c r="K217" s="10" t="str">
        <x:v>기존 발표자료는 SYN-F04-06:D3@v1로 유지하고 최신 SYN-F04-06:D3@v2의 비용 및 책임자 항목 변경을 별도로 확인하겠습니다.</x:v>
      </x:c>
      <x:c r="L217" s="11"/>
      <x:c r="M217" s="11"/>
      <x:c r="N217" s="10" t="str">
        <x:v>NOT_MODELED</x:v>
      </x:c>
    </x:row>
    <x:row r="218" ht="85" customHeight="1">
      <x:c r="A218" s="10" t="str">
        <x:v>T-EXEC</x:v>
      </x:c>
      <x:c r="B218" s="10" t="str">
        <x:v>TEXT</x:v>
      </x:c>
      <x:c r="C218" s="10" t="str">
        <x:v>TEXT:SYN-F04-06</x:v>
      </x:c>
      <x:c r="D218" s="10" t="str">
        <x:v>TEXT:SYN-F04-06-U01</x:v>
      </x:c>
      <x:c r="E218" s="10" t="str">
        <x:v>T-F04</x:v>
      </x:c>
      <x:c r="F218" s="10" t="n">
        <x:v>1</x:v>
      </x:c>
      <x:c r="G218" s="11" t="n">
        <x:v>0</x:v>
      </x:c>
      <x:c r="H218" s="11" t="n">
        <x:v>2.13125</x:v>
      </x:c>
      <x:c r="I218" s="11" t="n">
        <x:f>H218-G218</x:f>
        <x:v>2.13125</x:v>
      </x:c>
      <x:c r="J218" s="10" t="str">
        <x:v>내가 실제로 보고 참여기업 안내회용 구성이 좋다고 했던 당시 판본으로 행사 운영 발표자료를 8장 이내로 만들어줘. 최신본으로 바꾸지 말고 현장 대기 20분 이하, 행사 2일 조건을 지켜줘. 외부 발송은 하지 마.</x:v>
      </x:c>
      <x:c r="K218" s="10" t="str">
        <x:v>SYN-F04-06:D3@v1의 구성을 기준으로 참여기업 안내회용 행사 운영 발표자료를 8장 이내로 작성하도록 준비하겠습니다. 평가 당시 v1을 유지하겠습니다.</x:v>
      </x:c>
      <x:c r="L218" s="11"/>
      <x:c r="M218" s="11"/>
      <x:c r="N218" s="10" t="str">
        <x:v>NOT_MODELED</x:v>
      </x:c>
    </x:row>
    <x:row r="219" ht="85" customHeight="1">
      <x:c r="A219" s="10" t="str">
        <x:v>T-EXEC</x:v>
      </x:c>
      <x:c r="B219" s="10" t="str">
        <x:v>TEXT</x:v>
      </x:c>
      <x:c r="C219" s="10" t="str">
        <x:v>TEXT:SYN-F04-06</x:v>
      </x:c>
      <x:c r="D219" s="10" t="str">
        <x:v>TEXT:SYN-F04-06-U02</x:v>
      </x:c>
      <x:c r="E219" s="10" t="str">
        <x:v>T-F04</x:v>
      </x:c>
      <x:c r="F219" s="10" t="n">
        <x:v>1</x:v>
      </x:c>
      <x:c r="G219" s="11" t="n">
        <x:v>15.426</x:v>
      </x:c>
      <x:c r="H219" s="11" t="n">
        <x:v>17.951429</x:v>
      </x:c>
      <x:c r="I219" s="11" t="n">
        <x:f>H219-G219</x:f>
        <x:v>2.525429000000001</x:v>
      </x:c>
      <x:c r="J219" s="10" t="str">
        <x:v>기존 발표자료는 당시 판본으로 유지하고, 지금 최신 판본에서 달라진 일 운영비와 책임자 확인 항목만 따로 알려줘.</x:v>
      </x:c>
      <x:c r="K219" s="10" t="str">
        <x:v>기존 발표자료는 SYN-F04-06:D3@v1로 유지하고 최신 SYN-F04-06:D3@v2의 비용 및 책임자 항목 변경을 별도로 확인하겠습니다.</x:v>
      </x:c>
      <x:c r="L219" s="11"/>
      <x:c r="M219" s="11"/>
      <x:c r="N219" s="10" t="str">
        <x:v>NOT_MODELED</x:v>
      </x:c>
    </x:row>
    <x:row r="220" ht="85" customHeight="1">
      <x:c r="A220" s="10" t="str">
        <x:v>T-REL</x:v>
      </x:c>
      <x:c r="B220" s="10" t="str">
        <x:v>TEXT</x:v>
      </x:c>
      <x:c r="C220" s="10" t="str">
        <x:v>TEXT:SYN-F04-06</x:v>
      </x:c>
      <x:c r="D220" s="10" t="str">
        <x:v>TEXT:SYN-F04-06-U01</x:v>
      </x:c>
      <x:c r="E220" s="10" t="str">
        <x:v>T-F04</x:v>
      </x:c>
      <x:c r="F220" s="10" t="n">
        <x:v>1</x:v>
      </x:c>
      <x:c r="G220" s="11" t="n">
        <x:v>0</x:v>
      </x:c>
      <x:c r="H220" s="11" t="n">
        <x:v>1.302321</x:v>
      </x:c>
      <x:c r="I220" s="11" t="n">
        <x:f>H220-G220</x:f>
        <x:v>1.302321</x:v>
      </x:c>
      <x:c r="J220" s="10" t="str">
        <x:v>내가 실제로 보고 참여기업 안내회용 구성이 좋다고 했던 당시 판본으로 행사 운영 발표자료를 8장 이내로 만들어줘. 최신본으로 바꾸지 말고 현장 대기 20분 이하, 행사 2일 조건을 지켜줘. 외부 발송은 하지 마.</x:v>
      </x:c>
      <x:c r="K220" s="10" t="str">
        <x:v>SYN-F04-06:D3@v1의 구성을 기준으로 참여기업 안내회용 행사 운영 발표자료를 8장 이내로 작성하도록 준비하겠습니다. 평가 당시 v1을 유지하겠습니다.</x:v>
      </x:c>
      <x:c r="L220" s="11"/>
      <x:c r="M220" s="11"/>
      <x:c r="N220" s="10" t="str">
        <x:v>NOT_MODELED</x:v>
      </x:c>
    </x:row>
    <x:row r="221" ht="85" customHeight="1">
      <x:c r="A221" s="10" t="str">
        <x:v>T-REL</x:v>
      </x:c>
      <x:c r="B221" s="10" t="str">
        <x:v>TEXT</x:v>
      </x:c>
      <x:c r="C221" s="10" t="str">
        <x:v>TEXT:SYN-F04-06</x:v>
      </x:c>
      <x:c r="D221" s="10" t="str">
        <x:v>TEXT:SYN-F04-06-U02</x:v>
      </x:c>
      <x:c r="E221" s="10" t="str">
        <x:v>T-F04</x:v>
      </x:c>
      <x:c r="F221" s="10" t="n">
        <x:v>1</x:v>
      </x:c>
      <x:c r="G221" s="11" t="n">
        <x:v>14.597071</x:v>
      </x:c>
      <x:c r="H221" s="11" t="n">
        <x:v>15.912357</x:v>
      </x:c>
      <x:c r="I221" s="11" t="n">
        <x:f>H221-G221</x:f>
        <x:v>1.3152860000000004</x:v>
      </x:c>
      <x:c r="J221" s="10" t="str">
        <x:v>기존 발표자료는 당시 판본으로 유지하고, 지금 최신 판본에서 달라진 일 운영비와 책임자 확인 항목만 따로 알려줘.</x:v>
      </x:c>
      <x:c r="K221" s="10" t="str">
        <x:v>기존 발표자료는 SYN-F04-06:D3@v1로 유지하고 최신 SYN-F04-06:D3@v2의 비용 및 책임자 항목 변경을 별도로 확인하겠습니다.</x:v>
      </x:c>
      <x:c r="L221" s="11"/>
      <x:c r="M221" s="11"/>
      <x:c r="N221" s="10" t="str">
        <x:v>NOT_MODELED</x:v>
      </x:c>
    </x:row>
    <x:row r="222" ht="85" customHeight="1">
      <x:c r="A222" s="10" t="str">
        <x:v>T-BASE</x:v>
      </x:c>
      <x:c r="B222" s="10" t="str">
        <x:v>TEXT</x:v>
      </x:c>
      <x:c r="C222" s="10" t="str">
        <x:v>TEXT:SYN-F04-07</x:v>
      </x:c>
      <x:c r="D222" s="10" t="str">
        <x:v>TEXT:SYN-F04-07-U01</x:v>
      </x:c>
      <x:c r="E222" s="10" t="str">
        <x:v>T-F04</x:v>
      </x:c>
      <x:c r="F222" s="10" t="n">
        <x:v>1</x:v>
      </x:c>
      <x:c r="G222" s="11" t="n">
        <x:v>0</x:v>
      </x:c>
      <x:c r="H222" s="11" t="n">
        <x:v>2.094071</x:v>
      </x:c>
      <x:c r="I222" s="11" t="n">
        <x:f>H222-G222</x:f>
        <x:v>2.094071</x:v>
      </x:c>
      <x:c r="J222" s="10" t="str">
        <x:v>내가 실제로 보고 납품처 품질설명회용 구성이 좋다고 했던 당시 판본으로 검사 개선 발표자료를 6장 이내로 만들어줘. 최신본으로 바꾸지 말고 샘플 검사 45분 이하, 다음 8주 조건을 지켜줘. 외부 발송은 하지 마.</x:v>
      </x:c>
      <x:c r="K222" s="10" t="str">
        <x:v>SYN-F04-07:D2@v1의 구성을 기준으로 납품처 품질설명회용 검사 개선 발표자료를 6장 이내로 작성하도록 준비하겠습니다. 평가 당시 v1을 유지하겠습니다.</x:v>
      </x:c>
      <x:c r="L222" s="11"/>
      <x:c r="M222" s="11"/>
      <x:c r="N222" s="10" t="str">
        <x:v>NOT_MODELED</x:v>
      </x:c>
    </x:row>
    <x:row r="223" ht="85" customHeight="1">
      <x:c r="A223" s="10" t="str">
        <x:v>T-BASE</x:v>
      </x:c>
      <x:c r="B223" s="10" t="str">
        <x:v>TEXT</x:v>
      </x:c>
      <x:c r="C223" s="10" t="str">
        <x:v>TEXT:SYN-F04-07</x:v>
      </x:c>
      <x:c r="D223" s="10" t="str">
        <x:v>TEXT:SYN-F04-07-U02</x:v>
      </x:c>
      <x:c r="E223" s="10" t="str">
        <x:v>T-F04</x:v>
      </x:c>
      <x:c r="F223" s="10" t="n">
        <x:v>1</x:v>
      </x:c>
      <x:c r="G223" s="11" t="n">
        <x:v>15.462</x:v>
      </x:c>
      <x:c r="H223" s="11" t="n">
        <x:v>17.465607</x:v>
      </x:c>
      <x:c r="I223" s="11" t="n">
        <x:f>H223-G223</x:f>
        <x:v>2.003606999999999</x:v>
      </x:c>
      <x:c r="J223" s="10" t="str">
        <x:v>기존 발표자료는 당시 판본으로 유지하고, 지금 최신 판본에서 달라진 주간 운영비와 책임자 확인 항목만 따로 알려줘.</x:v>
      </x:c>
      <x:c r="K223" s="10" t="str">
        <x:v>기존 발표자료는 SYN-F04-07:D2@v1로 유지하고 최신 SYN-F04-07:D2@v2의 비용 및 책임자 항목 변경을 별도로 확인하겠습니다.</x:v>
      </x:c>
      <x:c r="L223" s="11"/>
      <x:c r="M223" s="11"/>
      <x:c r="N223" s="10" t="str">
        <x:v>NOT_MODELED</x:v>
      </x:c>
    </x:row>
    <x:row r="224" ht="85" customHeight="1">
      <x:c r="A224" s="10" t="str">
        <x:v>T-EXEC</x:v>
      </x:c>
      <x:c r="B224" s="10" t="str">
        <x:v>TEXT</x:v>
      </x:c>
      <x:c r="C224" s="10" t="str">
        <x:v>TEXT:SYN-F04-07</x:v>
      </x:c>
      <x:c r="D224" s="10" t="str">
        <x:v>TEXT:SYN-F04-07-U01</x:v>
      </x:c>
      <x:c r="E224" s="10" t="str">
        <x:v>T-F04</x:v>
      </x:c>
      <x:c r="F224" s="10" t="n">
        <x:v>1</x:v>
      </x:c>
      <x:c r="G224" s="11" t="n">
        <x:v>0</x:v>
      </x:c>
      <x:c r="H224" s="11" t="n">
        <x:v>2.094071</x:v>
      </x:c>
      <x:c r="I224" s="11" t="n">
        <x:f>H224-G224</x:f>
        <x:v>2.094071</x:v>
      </x:c>
      <x:c r="J224" s="10" t="str">
        <x:v>내가 실제로 보고 납품처 품질설명회용 구성이 좋다고 했던 당시 판본으로 검사 개선 발표자료를 6장 이내로 만들어줘. 최신본으로 바꾸지 말고 샘플 검사 45분 이하, 다음 8주 조건을 지켜줘. 외부 발송은 하지 마.</x:v>
      </x:c>
      <x:c r="K224" s="10" t="str">
        <x:v>SYN-F04-07:D2@v1의 구성을 기준으로 납품처 품질설명회용 검사 개선 발표자료를 6장 이내로 작성하도록 준비하겠습니다. 평가 당시 v1을 유지하겠습니다.</x:v>
      </x:c>
      <x:c r="L224" s="11"/>
      <x:c r="M224" s="11"/>
      <x:c r="N224" s="10" t="str">
        <x:v>NOT_MODELED</x:v>
      </x:c>
    </x:row>
    <x:row r="225" ht="85" customHeight="1">
      <x:c r="A225" s="10" t="str">
        <x:v>T-EXEC</x:v>
      </x:c>
      <x:c r="B225" s="10" t="str">
        <x:v>TEXT</x:v>
      </x:c>
      <x:c r="C225" s="10" t="str">
        <x:v>TEXT:SYN-F04-07</x:v>
      </x:c>
      <x:c r="D225" s="10" t="str">
        <x:v>TEXT:SYN-F04-07-U02</x:v>
      </x:c>
      <x:c r="E225" s="10" t="str">
        <x:v>T-F04</x:v>
      </x:c>
      <x:c r="F225" s="10" t="n">
        <x:v>1</x:v>
      </x:c>
      <x:c r="G225" s="11" t="n">
        <x:v>15.462</x:v>
      </x:c>
      <x:c r="H225" s="11" t="n">
        <x:v>17.941178</x:v>
      </x:c>
      <x:c r="I225" s="11" t="n">
        <x:f>H225-G225</x:f>
        <x:v>2.479178000000001</x:v>
      </x:c>
      <x:c r="J225" s="10" t="str">
        <x:v>기존 발표자료는 당시 판본으로 유지하고, 지금 최신 판본에서 달라진 주간 운영비와 책임자 확인 항목만 따로 알려줘.</x:v>
      </x:c>
      <x:c r="K225" s="10" t="str">
        <x:v>기존 발표자료는 SYN-F04-07:D2@v1로 유지하고 최신 SYN-F04-07:D2@v2의 비용 및 책임자 항목 변경을 별도로 확인하겠습니다.</x:v>
      </x:c>
      <x:c r="L225" s="11"/>
      <x:c r="M225" s="11"/>
      <x:c r="N225" s="10" t="str">
        <x:v>NOT_MODELED</x:v>
      </x:c>
    </x:row>
    <x:row r="226" ht="85" customHeight="1">
      <x:c r="A226" s="10" t="str">
        <x:v>T-REL</x:v>
      </x:c>
      <x:c r="B226" s="10" t="str">
        <x:v>TEXT</x:v>
      </x:c>
      <x:c r="C226" s="10" t="str">
        <x:v>TEXT:SYN-F04-07</x:v>
      </x:c>
      <x:c r="D226" s="10" t="str">
        <x:v>TEXT:SYN-F04-07-U01</x:v>
      </x:c>
      <x:c r="E226" s="10" t="str">
        <x:v>T-F04</x:v>
      </x:c>
      <x:c r="F226" s="10" t="n">
        <x:v>1</x:v>
      </x:c>
      <x:c r="G226" s="11" t="n">
        <x:v>0</x:v>
      </x:c>
      <x:c r="H226" s="11" t="n">
        <x:v>1.315143</x:v>
      </x:c>
      <x:c r="I226" s="11" t="n">
        <x:f>H226-G226</x:f>
        <x:v>1.315143</x:v>
      </x:c>
      <x:c r="J226" s="10" t="str">
        <x:v>내가 실제로 보고 납품처 품질설명회용 구성이 좋다고 했던 당시 판본으로 검사 개선 발표자료를 6장 이내로 만들어줘. 최신본으로 바꾸지 말고 샘플 검사 45분 이하, 다음 8주 조건을 지켜줘. 외부 발송은 하지 마.</x:v>
      </x:c>
      <x:c r="K226" s="10" t="str">
        <x:v>SYN-F04-07:D2@v1의 구성을 기준으로 납품처 품질설명회용 검사 개선 발표자료를 6장 이내로 작성하도록 준비하겠습니다. 평가 당시 v1을 유지하겠습니다.</x:v>
      </x:c>
      <x:c r="L226" s="11"/>
      <x:c r="M226" s="11"/>
      <x:c r="N226" s="10" t="str">
        <x:v>NOT_MODELED</x:v>
      </x:c>
    </x:row>
    <x:row r="227" ht="85" customHeight="1">
      <x:c r="A227" s="10" t="str">
        <x:v>T-REL</x:v>
      </x:c>
      <x:c r="B227" s="10" t="str">
        <x:v>TEXT</x:v>
      </x:c>
      <x:c r="C227" s="10" t="str">
        <x:v>TEXT:SYN-F04-07</x:v>
      </x:c>
      <x:c r="D227" s="10" t="str">
        <x:v>TEXT:SYN-F04-07-U02</x:v>
      </x:c>
      <x:c r="E227" s="10" t="str">
        <x:v>T-F04</x:v>
      </x:c>
      <x:c r="F227" s="10" t="n">
        <x:v>1</x:v>
      </x:c>
      <x:c r="G227" s="11" t="n">
        <x:v>14.683072</x:v>
      </x:c>
      <x:c r="H227" s="11" t="n">
        <x:v>16.011179</x:v>
      </x:c>
      <x:c r="I227" s="11" t="n">
        <x:f>H227-G227</x:f>
        <x:v>1.3281069999999993</x:v>
      </x:c>
      <x:c r="J227" s="10" t="str">
        <x:v>기존 발표자료는 당시 판본으로 유지하고, 지금 최신 판본에서 달라진 주간 운영비와 책임자 확인 항목만 따로 알려줘.</x:v>
      </x:c>
      <x:c r="K227" s="10" t="str">
        <x:v>기존 발표자료는 SYN-F04-07:D2@v1로 유지하고 최신 SYN-F04-07:D2@v2의 비용 및 책임자 항목 변경을 별도로 확인하겠습니다.</x:v>
      </x:c>
      <x:c r="L227" s="11"/>
      <x:c r="M227" s="11"/>
      <x:c r="N227" s="10" t="str">
        <x:v>NOT_MODELED</x:v>
      </x:c>
    </x:row>
    <x:row r="228" ht="85" customHeight="1">
      <x:c r="A228" s="10" t="str">
        <x:v>T-BASE</x:v>
      </x:c>
      <x:c r="B228" s="10" t="str">
        <x:v>TEXT</x:v>
      </x:c>
      <x:c r="C228" s="10" t="str">
        <x:v>TEXT:SYN-F04-08</x:v>
      </x:c>
      <x:c r="D228" s="10" t="str">
        <x:v>TEXT:SYN-F04-08-U01</x:v>
      </x:c>
      <x:c r="E228" s="10" t="str">
        <x:v>T-F04</x:v>
      </x:c>
      <x:c r="F228" s="10" t="n">
        <x:v>1</x:v>
      </x:c>
      <x:c r="G228" s="11" t="n">
        <x:v>0</x:v>
      </x:c>
      <x:c r="H228" s="11" t="n">
        <x:v>2.131893</x:v>
      </x:c>
      <x:c r="I228" s="11" t="n">
        <x:f>H228-G228</x:f>
        <x:v>2.131893</x:v>
      </x:c>
      <x:c r="J228" s="10" t="str">
        <x:v>내가 실제로 보고 지역 파트너 설명회용 구성이 좋다고 했던 당시 판본으로 캠페인 계획 발표자료를 4장 이내로 만들어줘. 최신본으로 바꾸지 말고 안내문 500자 이하, 운영 5주 조건을 지켜줘. 외부 발송은 하지 마.</x:v>
      </x:c>
      <x:c r="K228" s="10" t="str">
        <x:v>SYN-F04-08:D1@v1의 구성을 기준으로 지역 파트너 설명회용 캠페인 계획 발표자료를 4장 이내로 작성하도록 준비하겠습니다. 평가 당시 v1을 유지하겠습니다.</x:v>
      </x:c>
      <x:c r="L228" s="11"/>
      <x:c r="M228" s="11"/>
      <x:c r="N228" s="10" t="str">
        <x:v>NOT_MODELED</x:v>
      </x:c>
    </x:row>
    <x:row r="229" ht="85" customHeight="1">
      <x:c r="A229" s="10" t="str">
        <x:v>T-BASE</x:v>
      </x:c>
      <x:c r="B229" s="10" t="str">
        <x:v>TEXT</x:v>
      </x:c>
      <x:c r="C229" s="10" t="str">
        <x:v>TEXT:SYN-F04-08</x:v>
      </x:c>
      <x:c r="D229" s="10" t="str">
        <x:v>TEXT:SYN-F04-08-U02</x:v>
      </x:c>
      <x:c r="E229" s="10" t="str">
        <x:v>T-F04</x:v>
      </x:c>
      <x:c r="F229" s="10" t="n">
        <x:v>1</x:v>
      </x:c>
      <x:c r="G229" s="11" t="n">
        <x:v>15.573</x:v>
      </x:c>
      <x:c r="H229" s="11" t="n">
        <x:v>17.614429</x:v>
      </x:c>
      <x:c r="I229" s="11" t="n">
        <x:f>H229-G229</x:f>
        <x:v>2.041429000000001</x:v>
      </x:c>
      <x:c r="J229" s="10" t="str">
        <x:v>기존 발표자료는 당시 판본으로 유지하고, 지금 최신 판본에서 달라진 주간 운영비와 책임자 확인 항목만 따로 알려줘.</x:v>
      </x:c>
      <x:c r="K229" s="10" t="str">
        <x:v>기존 발표자료는 SYN-F04-08:D1@v1로 유지하고 최신 SYN-F04-08:D1@v2의 비용 및 책임자 항목 변경을 별도로 확인하겠습니다.</x:v>
      </x:c>
      <x:c r="L229" s="11"/>
      <x:c r="M229" s="11"/>
      <x:c r="N229" s="10" t="str">
        <x:v>NOT_MODELED</x:v>
      </x:c>
    </x:row>
    <x:row r="230" ht="85" customHeight="1">
      <x:c r="A230" s="10" t="str">
        <x:v>T-EXEC</x:v>
      </x:c>
      <x:c r="B230" s="10" t="str">
        <x:v>TEXT</x:v>
      </x:c>
      <x:c r="C230" s="10" t="str">
        <x:v>TEXT:SYN-F04-08</x:v>
      </x:c>
      <x:c r="D230" s="10" t="str">
        <x:v>TEXT:SYN-F04-08-U01</x:v>
      </x:c>
      <x:c r="E230" s="10" t="str">
        <x:v>T-F04</x:v>
      </x:c>
      <x:c r="F230" s="10" t="n">
        <x:v>1</x:v>
      </x:c>
      <x:c r="G230" s="11" t="n">
        <x:v>0</x:v>
      </x:c>
      <x:c r="H230" s="11" t="n">
        <x:v>2.131893</x:v>
      </x:c>
      <x:c r="I230" s="11" t="n">
        <x:f>H230-G230</x:f>
        <x:v>2.131893</x:v>
      </x:c>
      <x:c r="J230" s="10" t="str">
        <x:v>내가 실제로 보고 지역 파트너 설명회용 구성이 좋다고 했던 당시 판본으로 캠페인 계획 발표자료를 4장 이내로 만들어줘. 최신본으로 바꾸지 말고 안내문 500자 이하, 운영 5주 조건을 지켜줘. 외부 발송은 하지 마.</x:v>
      </x:c>
      <x:c r="K230" s="10" t="str">
        <x:v>SYN-F04-08:D1@v1의 구성을 기준으로 지역 파트너 설명회용 캠페인 계획 발표자료를 4장 이내로 작성하도록 준비하겠습니다. 평가 당시 v1을 유지하겠습니다.</x:v>
      </x:c>
      <x:c r="L230" s="11"/>
      <x:c r="M230" s="11"/>
      <x:c r="N230" s="10" t="str">
        <x:v>NOT_MODELED</x:v>
      </x:c>
    </x:row>
    <x:row r="231" ht="85" customHeight="1">
      <x:c r="A231" s="10" t="str">
        <x:v>T-EXEC</x:v>
      </x:c>
      <x:c r="B231" s="10" t="str">
        <x:v>TEXT</x:v>
      </x:c>
      <x:c r="C231" s="10" t="str">
        <x:v>TEXT:SYN-F04-08</x:v>
      </x:c>
      <x:c r="D231" s="10" t="str">
        <x:v>TEXT:SYN-F04-08-U02</x:v>
      </x:c>
      <x:c r="E231" s="10" t="str">
        <x:v>T-F04</x:v>
      </x:c>
      <x:c r="F231" s="10" t="n">
        <x:v>1</x:v>
      </x:c>
      <x:c r="G231" s="11" t="n">
        <x:v>15.573</x:v>
      </x:c>
      <x:c r="H231" s="11" t="n">
        <x:v>18.099679</x:v>
      </x:c>
      <x:c r="I231" s="11" t="n">
        <x:f>H231-G231</x:f>
        <x:v>2.526678999999998</x:v>
      </x:c>
      <x:c r="J231" s="10" t="str">
        <x:v>기존 발표자료는 당시 판본으로 유지하고, 지금 최신 판본에서 달라진 주간 운영비와 책임자 확인 항목만 따로 알려줘.</x:v>
      </x:c>
      <x:c r="K231" s="10" t="str">
        <x:v>기존 발표자료는 SYN-F04-08:D1@v1로 유지하고 최신 SYN-F04-08:D1@v2의 비용 및 책임자 항목 변경을 별도로 확인하겠습니다.</x:v>
      </x:c>
      <x:c r="L231" s="11"/>
      <x:c r="M231" s="11"/>
      <x:c r="N231" s="10" t="str">
        <x:v>NOT_MODELED</x:v>
      </x:c>
    </x:row>
    <x:row r="232" ht="85" customHeight="1">
      <x:c r="A232" s="10" t="str">
        <x:v>T-REL</x:v>
      </x:c>
      <x:c r="B232" s="10" t="str">
        <x:v>TEXT</x:v>
      </x:c>
      <x:c r="C232" s="10" t="str">
        <x:v>TEXT:SYN-F04-08</x:v>
      </x:c>
      <x:c r="D232" s="10" t="str">
        <x:v>TEXT:SYN-F04-08-U01</x:v>
      </x:c>
      <x:c r="E232" s="10" t="str">
        <x:v>T-F04</x:v>
      </x:c>
      <x:c r="F232" s="10" t="n">
        <x:v>1</x:v>
      </x:c>
      <x:c r="G232" s="11" t="n">
        <x:v>0</x:v>
      </x:c>
      <x:c r="H232" s="11" t="n">
        <x:v>1.327964</x:v>
      </x:c>
      <x:c r="I232" s="11" t="n">
        <x:f>H232-G232</x:f>
        <x:v>1.327964</x:v>
      </x:c>
      <x:c r="J232" s="10" t="str">
        <x:v>내가 실제로 보고 지역 파트너 설명회용 구성이 좋다고 했던 당시 판본으로 캠페인 계획 발표자료를 4장 이내로 만들어줘. 최신본으로 바꾸지 말고 안내문 500자 이하, 운영 5주 조건을 지켜줘. 외부 발송은 하지 마.</x:v>
      </x:c>
      <x:c r="K232" s="10" t="str">
        <x:v>SYN-F04-08:D1@v1의 구성을 기준으로 지역 파트너 설명회용 캠페인 계획 발표자료를 4장 이내로 작성하도록 준비하겠습니다. 평가 당시 v1을 유지하겠습니다.</x:v>
      </x:c>
      <x:c r="L232" s="11"/>
      <x:c r="M232" s="11"/>
      <x:c r="N232" s="10" t="str">
        <x:v>NOT_MODELED</x:v>
      </x:c>
    </x:row>
    <x:row r="233" ht="85" customHeight="1">
      <x:c r="A233" s="10" t="str">
        <x:v>T-REL</x:v>
      </x:c>
      <x:c r="B233" s="10" t="str">
        <x:v>TEXT</x:v>
      </x:c>
      <x:c r="C233" s="10" t="str">
        <x:v>TEXT:SYN-F04-08</x:v>
      </x:c>
      <x:c r="D233" s="10" t="str">
        <x:v>TEXT:SYN-F04-08-U02</x:v>
      </x:c>
      <x:c r="E233" s="10" t="str">
        <x:v>T-F04</x:v>
      </x:c>
      <x:c r="F233" s="10" t="n">
        <x:v>1</x:v>
      </x:c>
      <x:c r="G233" s="11" t="n">
        <x:v>14.769071</x:v>
      </x:c>
      <x:c r="H233" s="11" t="n">
        <x:v>16.11</x:v>
      </x:c>
      <x:c r="I233" s="11" t="n">
        <x:f>H233-G233</x:f>
        <x:v>1.3409289999999991</x:v>
      </x:c>
      <x:c r="J233" s="10" t="str">
        <x:v>기존 발표자료는 당시 판본으로 유지하고, 지금 최신 판본에서 달라진 주간 운영비와 책임자 확인 항목만 따로 알려줘.</x:v>
      </x:c>
      <x:c r="K233" s="10" t="str">
        <x:v>기존 발표자료는 SYN-F04-08:D1@v1로 유지하고 최신 SYN-F04-08:D1@v2의 비용 및 책임자 항목 변경을 별도로 확인하겠습니다.</x:v>
      </x:c>
      <x:c r="L233" s="11"/>
      <x:c r="M233" s="11"/>
      <x:c r="N233" s="10" t="str">
        <x:v>NOT_MODELED</x:v>
      </x:c>
    </x:row>
    <x:row r="234" ht="85" customHeight="1">
      <x:c r="A234" s="10" t="str">
        <x:v>T-BASE</x:v>
      </x:c>
      <x:c r="B234" s="10" t="str">
        <x:v>TEXT</x:v>
      </x:c>
      <x:c r="C234" s="10" t="str">
        <x:v>TEXT:SYN-F04-09</x:v>
      </x:c>
      <x:c r="D234" s="10" t="str">
        <x:v>TEXT:SYN-F04-09-U01</x:v>
      </x:c>
      <x:c r="E234" s="10" t="str">
        <x:v>T-F04</x:v>
      </x:c>
      <x:c r="F234" s="10" t="n">
        <x:v>1</x:v>
      </x:c>
      <x:c r="G234" s="11" t="n">
        <x:v>0</x:v>
      </x:c>
      <x:c r="H234" s="11" t="n">
        <x:v>2.144714</x:v>
      </x:c>
      <x:c r="I234" s="11" t="n">
        <x:f>H234-G234</x:f>
        <x:v>2.144714</x:v>
      </x:c>
      <x:c r="J234" s="10" t="str">
        <x:v>내가 실제로 보고 배송 협력사 설명회용 구성이 좋다고 했던 당시 판본으로 배치 변경 발표자료를 7장 이내로 만들어줘. 최신본으로 바꾸지 말고 주문당 이동 180m 이하, 적용 후 4주 조건을 지켜줘. 외부 발송은 하지 마.</x:v>
      </x:c>
      <x:c r="K234" s="10" t="str">
        <x:v>SYN-F04-09:D3@v1의 구성을 기준으로 배송 협력사 설명회용 배치 변경 발표자료를 7장 이내로 작성하도록 준비하겠습니다. 평가 당시 v1을 유지하겠습니다.</x:v>
      </x:c>
      <x:c r="L234" s="11"/>
      <x:c r="M234" s="11"/>
      <x:c r="N234" s="10" t="str">
        <x:v>NOT_MODELED</x:v>
      </x:c>
    </x:row>
    <x:row r="235" ht="85" customHeight="1">
      <x:c r="A235" s="10" t="str">
        <x:v>T-BASE</x:v>
      </x:c>
      <x:c r="B235" s="10" t="str">
        <x:v>TEXT</x:v>
      </x:c>
      <x:c r="C235" s="10" t="str">
        <x:v>TEXT:SYN-F04-09</x:v>
      </x:c>
      <x:c r="D235" s="10" t="str">
        <x:v>TEXT:SYN-F04-09-U02</x:v>
      </x:c>
      <x:c r="E235" s="10" t="str">
        <x:v>T-F04</x:v>
      </x:c>
      <x:c r="F235" s="10" t="n">
        <x:v>1</x:v>
      </x:c>
      <x:c r="G235" s="11" t="n">
        <x:v>15.634</x:v>
      </x:c>
      <x:c r="H235" s="11" t="n">
        <x:v>17.68825</x:v>
      </x:c>
      <x:c r="I235" s="11" t="n">
        <x:f>H235-G235</x:f>
        <x:v>2.0542499999999997</x:v>
      </x:c>
      <x:c r="J235" s="10" t="str">
        <x:v>기존 발표자료는 당시 판본으로 유지하고, 지금 최신 판본에서 달라진 일 운영비와 책임자 확인 항목만 따로 알려줘.</x:v>
      </x:c>
      <x:c r="K235" s="10" t="str">
        <x:v>기존 발표자료는 SYN-F04-09:D3@v1로 유지하고 최신 SYN-F04-09:D3@v2의 비용 및 책임자 항목 변경을 별도로 확인하겠습니다.</x:v>
      </x:c>
      <x:c r="L235" s="11"/>
      <x:c r="M235" s="11"/>
      <x:c r="N235" s="10" t="str">
        <x:v>NOT_MODELED</x:v>
      </x:c>
    </x:row>
    <x:row r="236" ht="85" customHeight="1">
      <x:c r="A236" s="10" t="str">
        <x:v>T-EXEC</x:v>
      </x:c>
      <x:c r="B236" s="10" t="str">
        <x:v>TEXT</x:v>
      </x:c>
      <x:c r="C236" s="10" t="str">
        <x:v>TEXT:SYN-F04-09</x:v>
      </x:c>
      <x:c r="D236" s="10" t="str">
        <x:v>TEXT:SYN-F04-09-U01</x:v>
      </x:c>
      <x:c r="E236" s="10" t="str">
        <x:v>T-F04</x:v>
      </x:c>
      <x:c r="F236" s="10" t="n">
        <x:v>1</x:v>
      </x:c>
      <x:c r="G236" s="11" t="n">
        <x:v>0</x:v>
      </x:c>
      <x:c r="H236" s="11" t="n">
        <x:v>2.144714</x:v>
      </x:c>
      <x:c r="I236" s="11" t="n">
        <x:f>H236-G236</x:f>
        <x:v>2.144714</x:v>
      </x:c>
      <x:c r="J236" s="10" t="str">
        <x:v>내가 실제로 보고 배송 협력사 설명회용 구성이 좋다고 했던 당시 판본으로 배치 변경 발표자료를 7장 이내로 만들어줘. 최신본으로 바꾸지 말고 주문당 이동 180m 이하, 적용 후 4주 조건을 지켜줘. 외부 발송은 하지 마.</x:v>
      </x:c>
      <x:c r="K236" s="10" t="str">
        <x:v>SYN-F04-09:D3@v1의 구성을 기준으로 배송 협력사 설명회용 배치 변경 발표자료를 7장 이내로 작성하도록 준비하겠습니다. 평가 당시 v1을 유지하겠습니다.</x:v>
      </x:c>
      <x:c r="L236" s="11"/>
      <x:c r="M236" s="11"/>
      <x:c r="N236" s="10" t="str">
        <x:v>NOT_MODELED</x:v>
      </x:c>
    </x:row>
    <x:row r="237" ht="85" customHeight="1">
      <x:c r="A237" s="10" t="str">
        <x:v>T-EXEC</x:v>
      </x:c>
      <x:c r="B237" s="10" t="str">
        <x:v>TEXT</x:v>
      </x:c>
      <x:c r="C237" s="10" t="str">
        <x:v>TEXT:SYN-F04-09</x:v>
      </x:c>
      <x:c r="D237" s="10" t="str">
        <x:v>TEXT:SYN-F04-09-U02</x:v>
      </x:c>
      <x:c r="E237" s="10" t="str">
        <x:v>T-F04</x:v>
      </x:c>
      <x:c r="F237" s="10" t="n">
        <x:v>1</x:v>
      </x:c>
      <x:c r="G237" s="11" t="n">
        <x:v>15.634</x:v>
      </x:c>
      <x:c r="H237" s="11" t="n">
        <x:v>18.183179</x:v>
      </x:c>
      <x:c r="I237" s="11" t="n">
        <x:f>H237-G237</x:f>
        <x:v>2.5491789999999988</x:v>
      </x:c>
      <x:c r="J237" s="10" t="str">
        <x:v>기존 발표자료는 당시 판본으로 유지하고, 지금 최신 판본에서 달라진 일 운영비와 책임자 확인 항목만 따로 알려줘.</x:v>
      </x:c>
      <x:c r="K237" s="10" t="str">
        <x:v>기존 발표자료는 SYN-F04-09:D3@v1로 유지하고 최신 SYN-F04-09:D3@v2의 비용 및 책임자 항목 변경을 별도로 확인하겠습니다.</x:v>
      </x:c>
      <x:c r="L237" s="11"/>
      <x:c r="M237" s="11"/>
      <x:c r="N237" s="10" t="str">
        <x:v>NOT_MODELED</x:v>
      </x:c>
    </x:row>
    <x:row r="238" ht="85" customHeight="1">
      <x:c r="A238" s="10" t="str">
        <x:v>T-REL</x:v>
      </x:c>
      <x:c r="B238" s="10" t="str">
        <x:v>TEXT</x:v>
      </x:c>
      <x:c r="C238" s="10" t="str">
        <x:v>TEXT:SYN-F04-09</x:v>
      </x:c>
      <x:c r="D238" s="10" t="str">
        <x:v>TEXT:SYN-F04-09-U01</x:v>
      </x:c>
      <x:c r="E238" s="10" t="str">
        <x:v>T-F04</x:v>
      </x:c>
      <x:c r="F238" s="10" t="n">
        <x:v>1</x:v>
      </x:c>
      <x:c r="G238" s="11" t="n">
        <x:v>0</x:v>
      </x:c>
      <x:c r="H238" s="11" t="n">
        <x:v>1.315786</x:v>
      </x:c>
      <x:c r="I238" s="11" t="n">
        <x:f>H238-G238</x:f>
        <x:v>1.315786</x:v>
      </x:c>
      <x:c r="J238" s="10" t="str">
        <x:v>내가 실제로 보고 배송 협력사 설명회용 구성이 좋다고 했던 당시 판본으로 배치 변경 발표자료를 7장 이내로 만들어줘. 최신본으로 바꾸지 말고 주문당 이동 180m 이하, 적용 후 4주 조건을 지켜줘. 외부 발송은 하지 마.</x:v>
      </x:c>
      <x:c r="K238" s="10" t="str">
        <x:v>SYN-F04-09:D3@v1의 구성을 기준으로 배송 협력사 설명회용 배치 변경 발표자료를 7장 이내로 작성하도록 준비하겠습니다. 평가 당시 v1을 유지하겠습니다.</x:v>
      </x:c>
      <x:c r="L238" s="11"/>
      <x:c r="M238" s="11"/>
      <x:c r="N238" s="10" t="str">
        <x:v>NOT_MODELED</x:v>
      </x:c>
    </x:row>
    <x:row r="239" ht="85" customHeight="1">
      <x:c r="A239" s="10" t="str">
        <x:v>T-REL</x:v>
      </x:c>
      <x:c r="B239" s="10" t="str">
        <x:v>TEXT</x:v>
      </x:c>
      <x:c r="C239" s="10" t="str">
        <x:v>TEXT:SYN-F04-09</x:v>
      </x:c>
      <x:c r="D239" s="10" t="str">
        <x:v>TEXT:SYN-F04-09-U02</x:v>
      </x:c>
      <x:c r="E239" s="10" t="str">
        <x:v>T-F04</x:v>
      </x:c>
      <x:c r="F239" s="10" t="n">
        <x:v>1</x:v>
      </x:c>
      <x:c r="G239" s="11" t="n">
        <x:v>14.805072</x:v>
      </x:c>
      <x:c r="H239" s="11" t="n">
        <x:v>16.133822</x:v>
      </x:c>
      <x:c r="I239" s="11" t="n">
        <x:f>H239-G239</x:f>
        <x:v>1.3287499999999994</x:v>
      </x:c>
      <x:c r="J239" s="10" t="str">
        <x:v>기존 발표자료는 당시 판본으로 유지하고, 지금 최신 판본에서 달라진 일 운영비와 책임자 확인 항목만 따로 알려줘.</x:v>
      </x:c>
      <x:c r="K239" s="10" t="str">
        <x:v>기존 발표자료는 SYN-F04-09:D3@v1로 유지하고 최신 SYN-F04-09:D3@v2의 비용 및 책임자 항목 변경을 별도로 확인하겠습니다.</x:v>
      </x:c>
      <x:c r="L239" s="11"/>
      <x:c r="M239" s="11"/>
      <x:c r="N239" s="10" t="str">
        <x:v>NOT_MODELED</x:v>
      </x:c>
    </x:row>
    <x:row r="240" ht="85" customHeight="1">
      <x:c r="A240" s="10" t="str">
        <x:v>T-BASE</x:v>
      </x:c>
      <x:c r="B240" s="10" t="str">
        <x:v>TEXT</x:v>
      </x:c>
      <x:c r="C240" s="10" t="str">
        <x:v>TEXT:SYN-F04-10</x:v>
      </x:c>
      <x:c r="D240" s="10" t="str">
        <x:v>TEXT:SYN-F04-10-U01</x:v>
      </x:c>
      <x:c r="E240" s="10" t="str">
        <x:v>T-F04</x:v>
      </x:c>
      <x:c r="F240" s="10" t="n">
        <x:v>1</x:v>
      </x:c>
      <x:c r="G240" s="11" t="n">
        <x:v>0</x:v>
      </x:c>
      <x:c r="H240" s="11" t="n">
        <x:v>2.107536</x:v>
      </x:c>
      <x:c r="I240" s="11" t="n">
        <x:f>H240-G240</x:f>
        <x:v>2.107536</x:v>
      </x:c>
      <x:c r="J240" s="10" t="str">
        <x:v>내가 실제로 보고 부서대표 설명회용 구성이 좋다고 했던 당시 판본으로 포털 개선 발표자료를 5장 이내로 만들어줘. 최신본으로 바꾸지 말고 첫 화면 메뉴 9개 이하, 출시 후 2개월 조건을 지켜줘. 외부 발송은 하지 마.</x:v>
      </x:c>
      <x:c r="K240" s="10" t="str">
        <x:v>SYN-F04-10:D2@v2에 대해 온유 사내포털 개편 포털 개선 발표자료 작성 위임을 진행하겠습니다. 적용 조건: 부서대표 설명회용, 5장 이내, 첫 화면 메뉴 9개 이하, 대상 기간 출시 후 2개월, 외부 발송 없음, 평가 당시 v1 유지. 내용 출처: SYN-F04-10:D2@v2.</x:v>
      </x:c>
      <x:c r="L240" s="11"/>
      <x:c r="M240" s="11"/>
      <x:c r="N240" s="10" t="str">
        <x:v>NOT_MODELED</x:v>
      </x:c>
    </x:row>
    <x:row r="241" ht="85" customHeight="1">
      <x:c r="A241" s="10" t="str">
        <x:v>T-BASE</x:v>
      </x:c>
      <x:c r="B241" s="10" t="str">
        <x:v>TEXT</x:v>
      </x:c>
      <x:c r="C241" s="10" t="str">
        <x:v>TEXT:SYN-F04-10</x:v>
      </x:c>
      <x:c r="D241" s="10" t="str">
        <x:v>TEXT:SYN-F04-10-U02</x:v>
      </x:c>
      <x:c r="E241" s="10" t="str">
        <x:v>T-F04</x:v>
      </x:c>
      <x:c r="F241" s="10" t="n">
        <x:v>1</x:v>
      </x:c>
      <x:c r="G241" s="11" t="n">
        <x:v>15.67</x:v>
      </x:c>
      <x:c r="H241" s="11" t="n">
        <x:v>17.687071</x:v>
      </x:c>
      <x:c r="I241" s="11" t="n">
        <x:f>H241-G241</x:f>
        <x:v>2.0170709999999996</x:v>
      </x:c>
      <x:c r="J241" s="10" t="str">
        <x:v>기존 발표자료는 당시 판본으로 유지하고, 지금 최신 판본에서 달라진 월 운영비와 책임자 확인 항목만 따로 알려줘.</x:v>
      </x:c>
      <x:c r="K241" s="10" t="str">
        <x:v>기존 발표자료는 SYN-F04-10:D2@v1로 유지하고 최신 SYN-F04-10:D2@v2의 비용 및 책임자 항목 변경을 별도로 확인하겠습니다.</x:v>
      </x:c>
      <x:c r="L241" s="11"/>
      <x:c r="M241" s="11"/>
      <x:c r="N241" s="10" t="str">
        <x:v>NOT_MODELED</x:v>
      </x:c>
    </x:row>
    <x:row r="242" ht="85" customHeight="1">
      <x:c r="A242" s="10" t="str">
        <x:v>T-EXEC</x:v>
      </x:c>
      <x:c r="B242" s="10" t="str">
        <x:v>TEXT</x:v>
      </x:c>
      <x:c r="C242" s="10" t="str">
        <x:v>TEXT:SYN-F04-10</x:v>
      </x:c>
      <x:c r="D242" s="10" t="str">
        <x:v>TEXT:SYN-F04-10-U01</x:v>
      </x:c>
      <x:c r="E242" s="10" t="str">
        <x:v>T-F04</x:v>
      </x:c>
      <x:c r="F242" s="10" t="n">
        <x:v>1</x:v>
      </x:c>
      <x:c r="G242" s="11" t="n">
        <x:v>0</x:v>
      </x:c>
      <x:c r="H242" s="11" t="n">
        <x:v>2.107536</x:v>
      </x:c>
      <x:c r="I242" s="11" t="n">
        <x:f>H242-G242</x:f>
        <x:v>2.107536</x:v>
      </x:c>
      <x:c r="J242" s="10" t="str">
        <x:v>내가 실제로 보고 부서대표 설명회용 구성이 좋다고 했던 당시 판본으로 포털 개선 발표자료를 5장 이내로 만들어줘. 최신본으로 바꾸지 말고 첫 화면 메뉴 9개 이하, 출시 후 2개월 조건을 지켜줘. 외부 발송은 하지 마.</x:v>
      </x:c>
      <x:c r="K242" s="10" t="str">
        <x:v>SYN-F04-10:D2@v2에 대해 온유 사내포털 개편 포털 개선 발표자료 작성 위임을 진행하겠습니다. 적용 조건: 부서대표 설명회용, 5장 이내, 첫 화면 메뉴 9개 이하, 대상 기간 출시 후 2개월, 외부 발송 없음, 평가 당시 v1 유지. 내용 출처: SYN-F04-10:D2@v2.</x:v>
      </x:c>
      <x:c r="L242" s="11"/>
      <x:c r="M242" s="11"/>
      <x:c r="N242" s="10" t="str">
        <x:v>NOT_MODELED</x:v>
      </x:c>
    </x:row>
    <x:row r="243" ht="85" customHeight="1">
      <x:c r="A243" s="10" t="str">
        <x:v>T-EXEC</x:v>
      </x:c>
      <x:c r="B243" s="10" t="str">
        <x:v>TEXT</x:v>
      </x:c>
      <x:c r="C243" s="10" t="str">
        <x:v>TEXT:SYN-F04-10</x:v>
      </x:c>
      <x:c r="D243" s="10" t="str">
        <x:v>TEXT:SYN-F04-10-U02</x:v>
      </x:c>
      <x:c r="E243" s="10" t="str">
        <x:v>T-F04</x:v>
      </x:c>
      <x:c r="F243" s="10" t="n">
        <x:v>1</x:v>
      </x:c>
      <x:c r="G243" s="11" t="n">
        <x:v>15.67</x:v>
      </x:c>
      <x:c r="H243" s="11" t="n">
        <x:v>18.172928</x:v>
      </x:c>
      <x:c r="I243" s="11" t="n">
        <x:f>H243-G243</x:f>
        <x:v>2.502927999999999</x:v>
      </x:c>
      <x:c r="J243" s="10" t="str">
        <x:v>기존 발표자료는 당시 판본으로 유지하고, 지금 최신 판본에서 달라진 월 운영비와 책임자 확인 항목만 따로 알려줘.</x:v>
      </x:c>
      <x:c r="K243" s="10" t="str">
        <x:v>기존 발표자료는 SYN-F04-10:D2@v1로 유지하고 최신 SYN-F04-10:D2@v2의 비용 및 책임자 항목 변경을 별도로 확인하겠습니다.</x:v>
      </x:c>
      <x:c r="L243" s="11"/>
      <x:c r="M243" s="11"/>
      <x:c r="N243" s="10" t="str">
        <x:v>NOT_MODELED</x:v>
      </x:c>
    </x:row>
    <x:row r="244" ht="85" customHeight="1">
      <x:c r="A244" s="10" t="str">
        <x:v>T-REL</x:v>
      </x:c>
      <x:c r="B244" s="10" t="str">
        <x:v>TEXT</x:v>
      </x:c>
      <x:c r="C244" s="10" t="str">
        <x:v>TEXT:SYN-F04-10</x:v>
      </x:c>
      <x:c r="D244" s="10" t="str">
        <x:v>TEXT:SYN-F04-10-U01</x:v>
      </x:c>
      <x:c r="E244" s="10" t="str">
        <x:v>T-F04</x:v>
      </x:c>
      <x:c r="F244" s="10" t="n">
        <x:v>1</x:v>
      </x:c>
      <x:c r="G244" s="11" t="n">
        <x:v>0</x:v>
      </x:c>
      <x:c r="H244" s="11" t="n">
        <x:v>1.328607</x:v>
      </x:c>
      <x:c r="I244" s="11" t="n">
        <x:f>H244-G244</x:f>
        <x:v>1.328607</x:v>
      </x:c>
      <x:c r="J244" s="10" t="str">
        <x:v>내가 실제로 보고 부서대표 설명회용 구성이 좋다고 했던 당시 판본으로 포털 개선 발표자료를 5장 이내로 만들어줘. 최신본으로 바꾸지 말고 첫 화면 메뉴 9개 이하, 출시 후 2개월 조건을 지켜줘. 외부 발송은 하지 마.</x:v>
      </x:c>
      <x:c r="K244" s="10" t="str">
        <x:v>SYN-F04-10:D2@v2에 대해 온유 사내포털 개편 포털 개선 발표자료 작성 위임을 진행하겠습니다. 적용 조건: 부서대표 설명회용, 5장 이내, 첫 화면 메뉴 9개 이하, 대상 기간 출시 후 2개월, 외부 발송 없음, 평가 당시 v1 유지. 내용 출처: SYN-F04-10:D2@v2.</x:v>
      </x:c>
      <x:c r="L244" s="11"/>
      <x:c r="M244" s="11"/>
      <x:c r="N244" s="10" t="str">
        <x:v>NOT_MODELED</x:v>
      </x:c>
    </x:row>
    <x:row r="245" ht="85" customHeight="1">
      <x:c r="A245" s="10" t="str">
        <x:v>T-REL</x:v>
      </x:c>
      <x:c r="B245" s="10" t="str">
        <x:v>TEXT</x:v>
      </x:c>
      <x:c r="C245" s="10" t="str">
        <x:v>TEXT:SYN-F04-10</x:v>
      </x:c>
      <x:c r="D245" s="10" t="str">
        <x:v>TEXT:SYN-F04-10-U02</x:v>
      </x:c>
      <x:c r="E245" s="10" t="str">
        <x:v>T-F04</x:v>
      </x:c>
      <x:c r="F245" s="10" t="n">
        <x:v>1</x:v>
      </x:c>
      <x:c r="G245" s="11" t="n">
        <x:v>14.891071</x:v>
      </x:c>
      <x:c r="H245" s="11" t="n">
        <x:v>16.232642</x:v>
      </x:c>
      <x:c r="I245" s="11" t="n">
        <x:f>H245-G245</x:f>
        <x:v>1.3415709999999983</x:v>
      </x:c>
      <x:c r="J245" s="10" t="str">
        <x:v>기존 발표자료는 당시 판본으로 유지하고, 지금 최신 판본에서 달라진 월 운영비와 책임자 확인 항목만 따로 알려줘.</x:v>
      </x:c>
      <x:c r="K245" s="10" t="str">
        <x:v>기존 발표자료는 SYN-F04-10:D2@v1로 유지하고 최신 SYN-F04-10:D2@v2의 비용 및 책임자 항목 변경을 별도로 확인하겠습니다.</x:v>
      </x:c>
      <x:c r="L245" s="11"/>
      <x:c r="M245" s="11"/>
      <x:c r="N245" s="10" t="str">
        <x:v>NOT_MODELED</x:v>
      </x:c>
    </x:row>
    <x:row r="246" ht="85" customHeight="1">
      <x:c r="A246" s="10" t="str">
        <x:v>T-BASE</x:v>
      </x:c>
      <x:c r="B246" s="10" t="str">
        <x:v>TEXT</x:v>
      </x:c>
      <x:c r="C246" s="10" t="str">
        <x:v>TEXT:SYN-F05-01</x:v>
      </x:c>
      <x:c r="D246" s="10" t="str">
        <x:v>TEXT:SYN-F05-01-U01</x:v>
      </x:c>
      <x:c r="E246" s="10" t="str">
        <x:v>T-F05</x:v>
      </x:c>
      <x:c r="F246" s="10" t="n">
        <x:v>1</x:v>
      </x:c>
      <x:c r="G246" s="11" t="n">
        <x:v>0</x:v>
      </x:c>
      <x:c r="H246" s="11" t="n">
        <x:v>2.122143</x:v>
      </x:c>
      <x:c r="I246" s="11" t="n">
        <x:f>H246-G246</x:f>
        <x:v>2.122143</x:v>
      </x:c>
      <x:c r="J246" s="10" t="str">
        <x:v>나중에 정정해서 서비스 운영위원회용 구성이 좋다고 했던 자료로 전환 검토 발표자료를 5장 이내로 만들어줘. 월 운영비 240만원 이하, 첫 12개월 조건이고 외부 발송은 하지 마.</x:v>
      </x:c>
      <x:c r="K246" s="10" t="str">
        <x:v>SYN-F05-01:D3@v1의 구성을 기준으로 서비스 운영위원회용 전환 검토 발표자료를 5장 이내로 작성하도록 준비하겠습니다.</x:v>
      </x:c>
      <x:c r="L246" s="11"/>
      <x:c r="M246" s="11"/>
      <x:c r="N246" s="10" t="str">
        <x:v>NOT_MODELED</x:v>
      </x:c>
    </x:row>
    <x:row r="247" ht="85" customHeight="1">
      <x:c r="A247" s="10" t="str">
        <x:v>T-BASE</x:v>
      </x:c>
      <x:c r="B247" s="10" t="str">
        <x:v>TEXT</x:v>
      </x:c>
      <x:c r="C247" s="10" t="str">
        <x:v>TEXT:SYN-F05-01</x:v>
      </x:c>
      <x:c r="D247" s="10" t="str">
        <x:v>TEXT:SYN-F05-01-U02</x:v>
      </x:c>
      <x:c r="E247" s="10" t="str">
        <x:v>T-F05</x:v>
      </x:c>
      <x:c r="F247" s="10" t="n">
        <x:v>2</x:v>
      </x:c>
      <x:c r="G247" s="11" t="n">
        <x:v>2.472143</x:v>
      </x:c>
      <x:c r="H247" s="11" t="n">
        <x:v>5.924679</x:v>
      </x:c>
      <x:c r="I247" s="11" t="n">
        <x:f>H247-G247</x:f>
        <x:v>3.4525360000000003</x:v>
      </x:c>
      <x:c r="J247" s="10" t="str">
        <x:v>그 자료 선택은 유지하고, 야간 상담 배정 항목을 첫 장에 놓아줘. 초기 설치비는 빼고 3장 이내로 줄여줘.</x:v>
      </x:c>
      <x:c r="K247" s="10" t="str">
        <x:v>정정 후 선택한 SYN-F05-01:D3@v1는 유지하고 야간 상담 배정 항목을 먼저 보여주는 3장 구성으로 바꾸겠습니다.</x:v>
      </x:c>
      <x:c r="L247" s="11"/>
      <x:c r="M247" s="11"/>
      <x:c r="N247" s="10" t="str">
        <x:v>NOT_MODELED</x:v>
      </x:c>
    </x:row>
    <x:row r="248" ht="85" customHeight="1">
      <x:c r="A248" s="10" t="str">
        <x:v>T-EXEC</x:v>
      </x:c>
      <x:c r="B248" s="10" t="str">
        <x:v>TEXT</x:v>
      </x:c>
      <x:c r="C248" s="10" t="str">
        <x:v>TEXT:SYN-F05-01</x:v>
      </x:c>
      <x:c r="D248" s="10" t="str">
        <x:v>TEXT:SYN-F05-01-U01</x:v>
      </x:c>
      <x:c r="E248" s="10" t="str">
        <x:v>T-F05</x:v>
      </x:c>
      <x:c r="F248" s="10" t="n">
        <x:v>1</x:v>
      </x:c>
      <x:c r="G248" s="11" t="n">
        <x:v>0</x:v>
      </x:c>
      <x:c r="H248" s="11" t="n">
        <x:v>2.122143</x:v>
      </x:c>
      <x:c r="I248" s="11" t="n">
        <x:f>H248-G248</x:f>
        <x:v>2.122143</x:v>
      </x:c>
      <x:c r="J248" s="10" t="str">
        <x:v>나중에 정정해서 서비스 운영위원회용 구성이 좋다고 했던 자료로 전환 검토 발표자료를 5장 이내로 만들어줘. 월 운영비 240만원 이하, 첫 12개월 조건이고 외부 발송은 하지 마.</x:v>
      </x:c>
      <x:c r="K248" s="10" t="str">
        <x:v>SYN-F05-01:D3@v1의 구성을 기준으로 서비스 운영위원회용 전환 검토 발표자료를 5장 이내로 작성하도록 준비하겠습니다.</x:v>
      </x:c>
      <x:c r="L248" s="11"/>
      <x:c r="M248" s="11"/>
      <x:c r="N248" s="10" t="str">
        <x:v>NOT_MODELED</x:v>
      </x:c>
    </x:row>
    <x:row r="249" ht="85" customHeight="1">
      <x:c r="A249" s="10" t="str">
        <x:v>T-EXEC</x:v>
      </x:c>
      <x:c r="B249" s="10" t="str">
        <x:v>TEXT</x:v>
      </x:c>
      <x:c r="C249" s="10" t="str">
        <x:v>TEXT:SYN-F05-01</x:v>
      </x:c>
      <x:c r="D249" s="10" t="str">
        <x:v>TEXT:SYN-F05-01-U02</x:v>
      </x:c>
      <x:c r="E249" s="10" t="str">
        <x:v>T-F05</x:v>
      </x:c>
      <x:c r="F249" s="10" t="n">
        <x:v>2</x:v>
      </x:c>
      <x:c r="G249" s="11" t="n">
        <x:v>2.472143</x:v>
      </x:c>
      <x:c r="H249" s="11" t="n">
        <x:v>4.939679</x:v>
      </x:c>
      <x:c r="I249" s="11" t="n">
        <x:f>H249-G249</x:f>
        <x:v>2.467536</x:v>
      </x:c>
      <x:c r="J249" s="10" t="str">
        <x:v>그 자료 선택은 유지하고, 야간 상담 배정 항목을 첫 장에 놓아줘. 초기 설치비는 빼고 3장 이내로 줄여줘.</x:v>
      </x:c>
      <x:c r="K249" s="10" t="str">
        <x:v>오로라 고객센터 전환 전환 검토 발표자료 작성 위임에 이번 조건을 적용하겠습니다: 서비스 운영위원회용, 월 운영비 240만원 이하, 대상 기간 첫 12개월, 외부 발송 없음, 3장 이내, 야간 상담 배정 항목을 첫 장에 제시, 초기 설치비 제외. 대상의 최종 연결은 현재 조회 결과와 함께 확정합니다.</x:v>
      </x:c>
      <x:c r="L249" s="11"/>
      <x:c r="M249" s="11"/>
      <x:c r="N249" s="10" t="str">
        <x:v>NOT_MODELED</x:v>
      </x:c>
    </x:row>
    <x:row r="250" ht="85" customHeight="1">
      <x:c r="A250" s="10" t="str">
        <x:v>T-REL</x:v>
      </x:c>
      <x:c r="B250" s="10" t="str">
        <x:v>TEXT</x:v>
      </x:c>
      <x:c r="C250" s="10" t="str">
        <x:v>TEXT:SYN-F05-01</x:v>
      </x:c>
      <x:c r="D250" s="10" t="str">
        <x:v>TEXT:SYN-F05-01-U01</x:v>
      </x:c>
      <x:c r="E250" s="10" t="str">
        <x:v>T-F05</x:v>
      </x:c>
      <x:c r="F250" s="10" t="n">
        <x:v>1</x:v>
      </x:c>
      <x:c r="G250" s="11" t="n">
        <x:v>0</x:v>
      </x:c>
      <x:c r="H250" s="11" t="n">
        <x:v>2.251429</x:v>
      </x:c>
      <x:c r="I250" s="11" t="n">
        <x:f>H250-G250</x:f>
        <x:v>2.251429</x:v>
      </x:c>
      <x:c r="J250" s="10" t="str">
        <x:v>나중에 정정해서 서비스 운영위원회용 구성이 좋다고 했던 자료로 전환 검토 발표자료를 5장 이내로 만들어줘. 월 운영비 240만원 이하, 첫 12개월 조건이고 외부 발송은 하지 마.</x:v>
      </x:c>
      <x:c r="K250" s="10" t="str">
        <x:v>SYN-F05-01:D3@v1의 구성을 기준으로 서비스 운영위원회용 전환 검토 발표자료를 5장 이내로 작성하도록 준비하겠습니다.</x:v>
      </x:c>
      <x:c r="L250" s="11"/>
      <x:c r="M250" s="11"/>
      <x:c r="N250" s="10" t="str">
        <x:v>NOT_MODELED</x:v>
      </x:c>
    </x:row>
    <x:row r="251" ht="85" customHeight="1">
      <x:c r="A251" s="10" t="str">
        <x:v>T-REL</x:v>
      </x:c>
      <x:c r="B251" s="10" t="str">
        <x:v>TEXT</x:v>
      </x:c>
      <x:c r="C251" s="10" t="str">
        <x:v>TEXT:SYN-F05-01</x:v>
      </x:c>
      <x:c r="D251" s="10" t="str">
        <x:v>TEXT:SYN-F05-01-U02</x:v>
      </x:c>
      <x:c r="E251" s="10" t="str">
        <x:v>T-F05</x:v>
      </x:c>
      <x:c r="F251" s="10" t="n">
        <x:v>2</x:v>
      </x:c>
      <x:c r="G251" s="11" t="n">
        <x:v>2.601429</x:v>
      </x:c>
      <x:c r="H251" s="11" t="n">
        <x:v>6.170108</x:v>
      </x:c>
      <x:c r="I251" s="11" t="n">
        <x:f>H251-G251</x:f>
        <x:v>3.568679</x:v>
      </x:c>
      <x:c r="J251" s="10" t="str">
        <x:v>그 자료 선택은 유지하고, 야간 상담 배정 항목을 첫 장에 놓아줘. 초기 설치비는 빼고 3장 이내로 줄여줘.</x:v>
      </x:c>
      <x:c r="K251" s="10" t="str">
        <x:v>정정 후 선택한 SYN-F05-01:D3@v1는 유지하고 야간 상담 배정 항목을 먼저 보여주는 3장 구성으로 바꾸겠습니다.</x:v>
      </x:c>
      <x:c r="L251" s="11"/>
      <x:c r="M251" s="11"/>
      <x:c r="N251" s="10" t="str">
        <x:v>NOT_MODELED</x:v>
      </x:c>
    </x:row>
    <x:row r="252" ht="85" customHeight="1">
      <x:c r="A252" s="10" t="str">
        <x:v>T-BASE</x:v>
      </x:c>
      <x:c r="B252" s="10" t="str">
        <x:v>TEXT</x:v>
      </x:c>
      <x:c r="C252" s="10" t="str">
        <x:v>TEXT:SYN-F05-02</x:v>
      </x:c>
      <x:c r="D252" s="10" t="str">
        <x:v>TEXT:SYN-F05-02-U01</x:v>
      </x:c>
      <x:c r="E252" s="10" t="str">
        <x:v>T-F05</x:v>
      </x:c>
      <x:c r="F252" s="10" t="n">
        <x:v>1</x:v>
      </x:c>
      <x:c r="G252" s="11" t="n">
        <x:v>0</x:v>
      </x:c>
      <x:c r="H252" s="11" t="n">
        <x:v>2.159964</x:v>
      </x:c>
      <x:c r="I252" s="11" t="n">
        <x:f>H252-G252</x:f>
        <x:v>2.159964</x:v>
      </x:c>
      <x:c r="J252" s="10" t="str">
        <x:v>나중에 정정해서 참가업체 설명회용 구성이 좋다고 했던 자료로 운영 제안 발표자료를 4장 이내로 만들어줘. 주말 운영 인력 12명 이하, 전시 4주 조건이고 외부 발송은 하지 마.</x:v>
      </x:c>
      <x:c r="K252" s="10" t="str">
        <x:v>SYN-F05-02:D2@v1의 구성을 기준으로 참가업체 설명회용 운영 제안 발표자료를 4장 이내로 작성하도록 준비하겠습니다.</x:v>
      </x:c>
      <x:c r="L252" s="11"/>
      <x:c r="M252" s="11"/>
      <x:c r="N252" s="10" t="str">
        <x:v>NOT_MODELED</x:v>
      </x:c>
    </x:row>
    <x:row r="253" ht="85" customHeight="1">
      <x:c r="A253" s="10" t="str">
        <x:v>T-BASE</x:v>
      </x:c>
      <x:c r="B253" s="10" t="str">
        <x:v>TEXT</x:v>
      </x:c>
      <x:c r="C253" s="10" t="str">
        <x:v>TEXT:SYN-F05-02</x:v>
      </x:c>
      <x:c r="D253" s="10" t="str">
        <x:v>TEXT:SYN-F05-02-U02</x:v>
      </x:c>
      <x:c r="E253" s="10" t="str">
        <x:v>T-F05</x:v>
      </x:c>
      <x:c r="F253" s="10" t="n">
        <x:v>2</x:v>
      </x:c>
      <x:c r="G253" s="11" t="n">
        <x:v>2.509964</x:v>
      </x:c>
      <x:c r="H253" s="11" t="n">
        <x:v>6.045321</x:v>
      </x:c>
      <x:c r="I253" s="11" t="n">
        <x:f>H253-G253</x:f>
        <x:v>3.5353570000000003</x:v>
      </x:c>
      <x:c r="J253" s="10" t="str">
        <x:v>그 자료 선택은 유지하고, 혼잡 시간 입장 동선 항목을 첫 장에 놓아줘. 일회성 장식비는 빼고 2장 이내로 줄여줘.</x:v>
      </x:c>
      <x:c r="K253" s="10" t="str">
        <x:v>정정 후 선택한 SYN-F05-02:D2@v1는 유지하고 혼잡 시간 입장 동선 항목을 먼저 보여주는 2장 구성으로 바꾸겠습니다.</x:v>
      </x:c>
      <x:c r="L253" s="11"/>
      <x:c r="M253" s="11"/>
      <x:c r="N253" s="10" t="str">
        <x:v>NOT_MODELED</x:v>
      </x:c>
    </x:row>
    <x:row r="254" ht="85" customHeight="1">
      <x:c r="A254" s="10" t="str">
        <x:v>T-EXEC</x:v>
      </x:c>
      <x:c r="B254" s="10" t="str">
        <x:v>TEXT</x:v>
      </x:c>
      <x:c r="C254" s="10" t="str">
        <x:v>TEXT:SYN-F05-02</x:v>
      </x:c>
      <x:c r="D254" s="10" t="str">
        <x:v>TEXT:SYN-F05-02-U01</x:v>
      </x:c>
      <x:c r="E254" s="10" t="str">
        <x:v>T-F05</x:v>
      </x:c>
      <x:c r="F254" s="10" t="n">
        <x:v>1</x:v>
      </x:c>
      <x:c r="G254" s="11" t="n">
        <x:v>0</x:v>
      </x:c>
      <x:c r="H254" s="11" t="n">
        <x:v>2.159964</x:v>
      </x:c>
      <x:c r="I254" s="11" t="n">
        <x:f>H254-G254</x:f>
        <x:v>2.159964</x:v>
      </x:c>
      <x:c r="J254" s="10" t="str">
        <x:v>나중에 정정해서 참가업체 설명회용 구성이 좋다고 했던 자료로 운영 제안 발표자료를 4장 이내로 만들어줘. 주말 운영 인력 12명 이하, 전시 4주 조건이고 외부 발송은 하지 마.</x:v>
      </x:c>
      <x:c r="K254" s="10" t="str">
        <x:v>SYN-F05-02:D2@v1의 구성을 기준으로 참가업체 설명회용 운영 제안 발표자료를 4장 이내로 작성하도록 준비하겠습니다.</x:v>
      </x:c>
      <x:c r="L254" s="11"/>
      <x:c r="M254" s="11"/>
      <x:c r="N254" s="10" t="str">
        <x:v>NOT_MODELED</x:v>
      </x:c>
    </x:row>
    <x:row r="255" ht="85" customHeight="1">
      <x:c r="A255" s="10" t="str">
        <x:v>T-EXEC</x:v>
      </x:c>
      <x:c r="B255" s="10" t="str">
        <x:v>TEXT</x:v>
      </x:c>
      <x:c r="C255" s="10" t="str">
        <x:v>TEXT:SYN-F05-02</x:v>
      </x:c>
      <x:c r="D255" s="10" t="str">
        <x:v>TEXT:SYN-F05-02-U02</x:v>
      </x:c>
      <x:c r="E255" s="10" t="str">
        <x:v>T-F05</x:v>
      </x:c>
      <x:c r="F255" s="10" t="n">
        <x:v>2</x:v>
      </x:c>
      <x:c r="G255" s="11" t="n">
        <x:v>2.509964</x:v>
      </x:c>
      <x:c r="H255" s="11" t="n">
        <x:v>5.025</x:v>
      </x:c>
      <x:c r="I255" s="11" t="n">
        <x:f>H255-G255</x:f>
        <x:v>2.5150360000000003</x:v>
      </x:c>
      <x:c r="J255" s="10" t="str">
        <x:v>그 자료 선택은 유지하고, 혼잡 시간 입장 동선 항목을 첫 장에 놓아줘. 일회성 장식비는 빼고 2장 이내로 줄여줘.</x:v>
      </x:c>
      <x:c r="K255" s="10" t="str">
        <x:v>봄길 지역전시 준비 운영 제안 발표자료 작성 위임에 이번 조건을 적용하겠습니다: 참가업체 설명회용, 주말 운영 인력 12명 이하, 대상 기간 전시 4주, 외부 발송 없음, 2장 이내, 혼잡 시간 입장 동선 항목을 첫 장에 제시, 일회성 장식비 제외. 대상의 최종 연결은 현재 조회 결과와 함께 확정합니다.</x:v>
      </x:c>
      <x:c r="L255" s="11"/>
      <x:c r="M255" s="11"/>
      <x:c r="N255" s="10" t="str">
        <x:v>NOT_MODELED</x:v>
      </x:c>
    </x:row>
    <x:row r="256" ht="85" customHeight="1">
      <x:c r="A256" s="10" t="str">
        <x:v>T-REL</x:v>
      </x:c>
      <x:c r="B256" s="10" t="str">
        <x:v>TEXT</x:v>
      </x:c>
      <x:c r="C256" s="10" t="str">
        <x:v>TEXT:SYN-F05-02</x:v>
      </x:c>
      <x:c r="D256" s="10" t="str">
        <x:v>TEXT:SYN-F05-02-U01</x:v>
      </x:c>
      <x:c r="E256" s="10" t="str">
        <x:v>T-F05</x:v>
      </x:c>
      <x:c r="F256" s="10" t="n">
        <x:v>1</x:v>
      </x:c>
      <x:c r="G256" s="11" t="n">
        <x:v>0</x:v>
      </x:c>
      <x:c r="H256" s="11" t="n">
        <x:v>2.28925</x:v>
      </x:c>
      <x:c r="I256" s="11" t="n">
        <x:f>H256-G256</x:f>
        <x:v>2.28925</x:v>
      </x:c>
      <x:c r="J256" s="10" t="str">
        <x:v>나중에 정정해서 참가업체 설명회용 구성이 좋다고 했던 자료로 운영 제안 발표자료를 4장 이내로 만들어줘. 주말 운영 인력 12명 이하, 전시 4주 조건이고 외부 발송은 하지 마.</x:v>
      </x:c>
      <x:c r="K256" s="10" t="str">
        <x:v>SYN-F05-02:D2@v1의 구성을 기준으로 참가업체 설명회용 운영 제안 발표자료를 4장 이내로 작성하도록 준비하겠습니다.</x:v>
      </x:c>
      <x:c r="L256" s="11"/>
      <x:c r="M256" s="11"/>
      <x:c r="N256" s="10" t="str">
        <x:v>NOT_MODELED</x:v>
      </x:c>
    </x:row>
    <x:row r="257" ht="85" customHeight="1">
      <x:c r="A257" s="10" t="str">
        <x:v>T-REL</x:v>
      </x:c>
      <x:c r="B257" s="10" t="str">
        <x:v>TEXT</x:v>
      </x:c>
      <x:c r="C257" s="10" t="str">
        <x:v>TEXT:SYN-F05-02</x:v>
      </x:c>
      <x:c r="D257" s="10" t="str">
        <x:v>TEXT:SYN-F05-02-U02</x:v>
      </x:c>
      <x:c r="E257" s="10" t="str">
        <x:v>T-F05</x:v>
      </x:c>
      <x:c r="F257" s="10" t="n">
        <x:v>2</x:v>
      </x:c>
      <x:c r="G257" s="11" t="n">
        <x:v>2.63925</x:v>
      </x:c>
      <x:c r="H257" s="11" t="n">
        <x:v>6.29075</x:v>
      </x:c>
      <x:c r="I257" s="11" t="n">
        <x:f>H257-G257</x:f>
        <x:v>3.6515</x:v>
      </x:c>
      <x:c r="J257" s="10" t="str">
        <x:v>그 자료 선택은 유지하고, 혼잡 시간 입장 동선 항목을 첫 장에 놓아줘. 일회성 장식비는 빼고 2장 이내로 줄여줘.</x:v>
      </x:c>
      <x:c r="K257" s="10" t="str">
        <x:v>정정 후 선택한 SYN-F05-02:D2@v1는 유지하고 혼잡 시간 입장 동선 항목을 먼저 보여주는 2장 구성으로 바꾸겠습니다.</x:v>
      </x:c>
      <x:c r="L257" s="11"/>
      <x:c r="M257" s="11"/>
      <x:c r="N257" s="10" t="str">
        <x:v>NOT_MODELED</x:v>
      </x:c>
    </x:row>
    <x:row r="258" ht="85" customHeight="1">
      <x:c r="A258" s="10" t="str">
        <x:v>T-BASE</x:v>
      </x:c>
      <x:c r="B258" s="10" t="str">
        <x:v>TEXT</x:v>
      </x:c>
      <x:c r="C258" s="10" t="str">
        <x:v>TEXT:SYN-F05-03</x:v>
      </x:c>
      <x:c r="D258" s="10" t="str">
        <x:v>TEXT:SYN-F05-03-U01</x:v>
      </x:c>
      <x:c r="E258" s="10" t="str">
        <x:v>T-F05</x:v>
      </x:c>
      <x:c r="F258" s="10" t="n">
        <x:v>1</x:v>
      </x:c>
      <x:c r="G258" s="11" t="n">
        <x:v>0</x:v>
      </x:c>
      <x:c r="H258" s="11" t="n">
        <x:v>2.197786</x:v>
      </x:c>
      <x:c r="I258" s="11" t="n">
        <x:f>H258-G258</x:f>
        <x:v>2.197786</x:v>
      </x:c>
      <x:c r="J258" s="10" t="str">
        <x:v>나중에 정정해서 교육 승인위원회용 구성이 좋다고 했던 자료로 교육 개편 발표자료를 6장 이내로 만들어줘. 참가자당 교육시간 18시간 이하, 입사 후 3주 조건이고 외부 발송은 하지 마.</x:v>
      </x:c>
      <x:c r="K258" s="10" t="str">
        <x:v>SYN-F05-03:D1@v1의 구성을 기준으로 교육 승인위원회용 교육 개편 발표자료를 6장 이내로 작성하도록 준비하겠습니다.</x:v>
      </x:c>
      <x:c r="L258" s="11"/>
      <x:c r="M258" s="11"/>
      <x:c r="N258" s="10" t="str">
        <x:v>NOT_MODELED</x:v>
      </x:c>
    </x:row>
    <x:row r="259" ht="85" customHeight="1">
      <x:c r="A259" s="10" t="str">
        <x:v>T-BASE</x:v>
      </x:c>
      <x:c r="B259" s="10" t="str">
        <x:v>TEXT</x:v>
      </x:c>
      <x:c r="C259" s="10" t="str">
        <x:v>TEXT:SYN-F05-03</x:v>
      </x:c>
      <x:c r="D259" s="10" t="str">
        <x:v>TEXT:SYN-F05-03-U02</x:v>
      </x:c>
      <x:c r="E259" s="10" t="str">
        <x:v>T-F05</x:v>
      </x:c>
      <x:c r="F259" s="10" t="n">
        <x:v>2</x:v>
      </x:c>
      <x:c r="G259" s="11" t="n">
        <x:v>2.547786</x:v>
      </x:c>
      <x:c r="H259" s="11" t="n">
        <x:v>6.165965</x:v>
      </x:c>
      <x:c r="I259" s="11" t="n">
        <x:f>H259-G259</x:f>
        <x:v>3.618179</x:v>
      </x:c>
      <x:c r="J259" s="10" t="str">
        <x:v>그 자료 선택은 유지하고, 실습과 피드백 순서 항목을 첫 장에 놓아줘. 숙박비는 빼고 4장 이내로 줄여줘.</x:v>
      </x:c>
      <x:c r="K259" s="10" t="str">
        <x:v>정정 후 선택한 SYN-F05-03:D1@v1는 유지하고 실습과 피드백 순서 항목을 먼저 보여주는 4장 구성으로 바꾸겠습니다.</x:v>
      </x:c>
      <x:c r="L259" s="11"/>
      <x:c r="M259" s="11"/>
      <x:c r="N259" s="10" t="str">
        <x:v>NOT_MODELED</x:v>
      </x:c>
    </x:row>
    <x:row r="260" ht="85" customHeight="1">
      <x:c r="A260" s="10" t="str">
        <x:v>T-EXEC</x:v>
      </x:c>
      <x:c r="B260" s="10" t="str">
        <x:v>TEXT</x:v>
      </x:c>
      <x:c r="C260" s="10" t="str">
        <x:v>TEXT:SYN-F05-03</x:v>
      </x:c>
      <x:c r="D260" s="10" t="str">
        <x:v>TEXT:SYN-F05-03-U01</x:v>
      </x:c>
      <x:c r="E260" s="10" t="str">
        <x:v>T-F05</x:v>
      </x:c>
      <x:c r="F260" s="10" t="n">
        <x:v>1</x:v>
      </x:c>
      <x:c r="G260" s="11" t="n">
        <x:v>0</x:v>
      </x:c>
      <x:c r="H260" s="11" t="n">
        <x:v>2.197786</x:v>
      </x:c>
      <x:c r="I260" s="11" t="n">
        <x:f>H260-G260</x:f>
        <x:v>2.197786</x:v>
      </x:c>
      <x:c r="J260" s="10" t="str">
        <x:v>나중에 정정해서 교육 승인위원회용 구성이 좋다고 했던 자료로 교육 개편 발표자료를 6장 이내로 만들어줘. 참가자당 교육시간 18시간 이하, 입사 후 3주 조건이고 외부 발송은 하지 마.</x:v>
      </x:c>
      <x:c r="K260" s="10" t="str">
        <x:v>SYN-F05-03:D1@v1의 구성을 기준으로 교육 승인위원회용 교육 개편 발표자료를 6장 이내로 작성하도록 준비하겠습니다.</x:v>
      </x:c>
      <x:c r="L260" s="11"/>
      <x:c r="M260" s="11"/>
      <x:c r="N260" s="10" t="str">
        <x:v>NOT_MODELED</x:v>
      </x:c>
    </x:row>
    <x:row r="261" ht="85" customHeight="1">
      <x:c r="A261" s="10" t="str">
        <x:v>T-EXEC</x:v>
      </x:c>
      <x:c r="B261" s="10" t="str">
        <x:v>TEXT</x:v>
      </x:c>
      <x:c r="C261" s="10" t="str">
        <x:v>TEXT:SYN-F05-03</x:v>
      </x:c>
      <x:c r="D261" s="10" t="str">
        <x:v>TEXT:SYN-F05-03-U02</x:v>
      </x:c>
      <x:c r="E261" s="10" t="str">
        <x:v>T-F05</x:v>
      </x:c>
      <x:c r="F261" s="10" t="n">
        <x:v>2</x:v>
      </x:c>
      <x:c r="G261" s="11" t="n">
        <x:v>2.547786</x:v>
      </x:c>
      <x:c r="H261" s="11" t="n">
        <x:v>5.110322</x:v>
      </x:c>
      <x:c r="I261" s="11" t="n">
        <x:f>H261-G261</x:f>
        <x:v>2.562536</x:v>
      </x:c>
      <x:c r="J261" s="10" t="str">
        <x:v>그 자료 선택은 유지하고, 실습과 피드백 순서 항목을 첫 장에 놓아줘. 숙박비는 빼고 4장 이내로 줄여줘.</x:v>
      </x:c>
      <x:c r="K261" s="10" t="str">
        <x:v>해온 신입교육 개편 교육 개편 발표자료 작성 위임에 이번 조건을 적용하겠습니다: 교육 승인위원회용, 참가자당 교육시간 18시간 이하, 대상 기간 입사 후 3주, 외부 발송 없음, 4장 이내, 실습과 피드백 순서 항목을 첫 장에 제시, 숙박비 제외. 대상의 최종 연결은 현재 조회 결과와 함께 확정합니다.</x:v>
      </x:c>
      <x:c r="L261" s="11"/>
      <x:c r="M261" s="11"/>
      <x:c r="N261" s="10" t="str">
        <x:v>NOT_MODELED</x:v>
      </x:c>
    </x:row>
    <x:row r="262" ht="85" customHeight="1">
      <x:c r="A262" s="10" t="str">
        <x:v>T-REL</x:v>
      </x:c>
      <x:c r="B262" s="10" t="str">
        <x:v>TEXT</x:v>
      </x:c>
      <x:c r="C262" s="10" t="str">
        <x:v>TEXT:SYN-F05-03</x:v>
      </x:c>
      <x:c r="D262" s="10" t="str">
        <x:v>TEXT:SYN-F05-03-U01</x:v>
      </x:c>
      <x:c r="E262" s="10" t="str">
        <x:v>T-F05</x:v>
      </x:c>
      <x:c r="F262" s="10" t="n">
        <x:v>1</x:v>
      </x:c>
      <x:c r="G262" s="11" t="n">
        <x:v>0</x:v>
      </x:c>
      <x:c r="H262" s="11" t="n">
        <x:v>2.327071</x:v>
      </x:c>
      <x:c r="I262" s="11" t="n">
        <x:f>H262-G262</x:f>
        <x:v>2.327071</x:v>
      </x:c>
      <x:c r="J262" s="10" t="str">
        <x:v>나중에 정정해서 교육 승인위원회용 구성이 좋다고 했던 자료로 교육 개편 발표자료를 6장 이내로 만들어줘. 참가자당 교육시간 18시간 이하, 입사 후 3주 조건이고 외부 발송은 하지 마.</x:v>
      </x:c>
      <x:c r="K262" s="10" t="str">
        <x:v>SYN-F05-03:D1@v1의 구성을 기준으로 교육 승인위원회용 교육 개편 발표자료를 6장 이내로 작성하도록 준비하겠습니다.</x:v>
      </x:c>
      <x:c r="L262" s="11"/>
      <x:c r="M262" s="11"/>
      <x:c r="N262" s="10" t="str">
        <x:v>NOT_MODELED</x:v>
      </x:c>
    </x:row>
    <x:row r="263" ht="85" customHeight="1">
      <x:c r="A263" s="10" t="str">
        <x:v>T-REL</x:v>
      </x:c>
      <x:c r="B263" s="10" t="str">
        <x:v>TEXT</x:v>
      </x:c>
      <x:c r="C263" s="10" t="str">
        <x:v>TEXT:SYN-F05-03</x:v>
      </x:c>
      <x:c r="D263" s="10" t="str">
        <x:v>TEXT:SYN-F05-03-U02</x:v>
      </x:c>
      <x:c r="E263" s="10" t="str">
        <x:v>T-F05</x:v>
      </x:c>
      <x:c r="F263" s="10" t="n">
        <x:v>2</x:v>
      </x:c>
      <x:c r="G263" s="11" t="n">
        <x:v>2.677071</x:v>
      </x:c>
      <x:c r="H263" s="11" t="n">
        <x:v>6.411392</x:v>
      </x:c>
      <x:c r="I263" s="11" t="n">
        <x:f>H263-G263</x:f>
        <x:v>3.734321</x:v>
      </x:c>
      <x:c r="J263" s="10" t="str">
        <x:v>그 자료 선택은 유지하고, 실습과 피드백 순서 항목을 첫 장에 놓아줘. 숙박비는 빼고 4장 이내로 줄여줘.</x:v>
      </x:c>
      <x:c r="K263" s="10" t="str">
        <x:v>정정 후 선택한 SYN-F05-03:D1@v1는 유지하고 실습과 피드백 순서 항목을 먼저 보여주는 4장 구성으로 바꾸겠습니다.</x:v>
      </x:c>
      <x:c r="L263" s="11"/>
      <x:c r="M263" s="11"/>
      <x:c r="N263" s="10" t="str">
        <x:v>NOT_MODELED</x:v>
      </x:c>
    </x:row>
    <x:row r="264" ht="85" customHeight="1">
      <x:c r="A264" s="10" t="str">
        <x:v>T-BASE</x:v>
      </x:c>
      <x:c r="B264" s="10" t="str">
        <x:v>TEXT</x:v>
      </x:c>
      <x:c r="C264" s="10" t="str">
        <x:v>TEXT:SYN-F05-04</x:v>
      </x:c>
      <x:c r="D264" s="10" t="str">
        <x:v>TEXT:SYN-F05-04-U01</x:v>
      </x:c>
      <x:c r="E264" s="10" t="str">
        <x:v>T-F05</x:v>
      </x:c>
      <x:c r="F264" s="10" t="n">
        <x:v>1</x:v>
      </x:c>
      <x:c r="G264" s="11" t="n">
        <x:v>0</x:v>
      </x:c>
      <x:c r="H264" s="11" t="n">
        <x:v>2.160607</x:v>
      </x:c>
      <x:c r="I264" s="11" t="n">
        <x:f>H264-G264</x:f>
        <x:v>2.160607</x:v>
      </x:c>
      <x:c r="J264" s="10" t="str">
        <x:v>나중에 정정해서 협력사 운영설명회용 구성이 좋다고 했던 자료로 거점 개선 발표자료를 7장 이내로 만들어줘. 일일 추가 운행 8회 이하, 평일 20일 조건이고 외부 발송은 하지 마.</x:v>
      </x:c>
      <x:c r="K264" s="10" t="str">
        <x:v>SYN-F05-04:D3@v1의 구성을 기준으로 협력사 운영설명회용 거점 개선 발표자료를 7장 이내로 작성하도록 준비하겠습니다.</x:v>
      </x:c>
      <x:c r="L264" s="11"/>
      <x:c r="M264" s="11"/>
      <x:c r="N264" s="10" t="str">
        <x:v>NOT_MODELED</x:v>
      </x:c>
    </x:row>
    <x:row r="265" ht="85" customHeight="1">
      <x:c r="A265" s="10" t="str">
        <x:v>T-BASE</x:v>
      </x:c>
      <x:c r="B265" s="10" t="str">
        <x:v>TEXT</x:v>
      </x:c>
      <x:c r="C265" s="10" t="str">
        <x:v>TEXT:SYN-F05-04</x:v>
      </x:c>
      <x:c r="D265" s="10" t="str">
        <x:v>TEXT:SYN-F05-04-U02</x:v>
      </x:c>
      <x:c r="E265" s="10" t="str">
        <x:v>T-F05</x:v>
      </x:c>
      <x:c r="F265" s="10" t="n">
        <x:v>2</x:v>
      </x:c>
      <x:c r="G265" s="11" t="n">
        <x:v>2.510607</x:v>
      </x:c>
      <x:c r="H265" s="11" t="n">
        <x:v>6.136607</x:v>
      </x:c>
      <x:c r="I265" s="11" t="n">
        <x:f>H265-G265</x:f>
        <x:v>3.626</x:v>
      </x:c>
      <x:c r="J265" s="10" t="str">
        <x:v>그 자료 선택은 유지하고, 오후 출고 대기 항목을 첫 장에 놓아줘. 차량 구매비는 빼고 3장 이내로 줄여줘.</x:v>
      </x:c>
      <x:c r="K265" s="10" t="str">
        <x:v>정정 후 선택한 SYN-F05-04:D3@v1는 유지하고 오후 출고 대기 항목을 먼저 보여주는 3장 구성으로 바꾸겠습니다.</x:v>
      </x:c>
      <x:c r="L265" s="11"/>
      <x:c r="M265" s="11"/>
      <x:c r="N265" s="10" t="str">
        <x:v>NOT_MODELED</x:v>
      </x:c>
    </x:row>
    <x:row r="266" ht="85" customHeight="1">
      <x:c r="A266" s="10" t="str">
        <x:v>T-EXEC</x:v>
      </x:c>
      <x:c r="B266" s="10" t="str">
        <x:v>TEXT</x:v>
      </x:c>
      <x:c r="C266" s="10" t="str">
        <x:v>TEXT:SYN-F05-04</x:v>
      </x:c>
      <x:c r="D266" s="10" t="str">
        <x:v>TEXT:SYN-F05-04-U01</x:v>
      </x:c>
      <x:c r="E266" s="10" t="str">
        <x:v>T-F05</x:v>
      </x:c>
      <x:c r="F266" s="10" t="n">
        <x:v>1</x:v>
      </x:c>
      <x:c r="G266" s="11" t="n">
        <x:v>0</x:v>
      </x:c>
      <x:c r="H266" s="11" t="n">
        <x:v>2.160607</x:v>
      </x:c>
      <x:c r="I266" s="11" t="n">
        <x:f>H266-G266</x:f>
        <x:v>2.160607</x:v>
      </x:c>
      <x:c r="J266" s="10" t="str">
        <x:v>나중에 정정해서 협력사 운영설명회용 구성이 좋다고 했던 자료로 거점 개선 발표자료를 7장 이내로 만들어줘. 일일 추가 운행 8회 이하, 평일 20일 조건이고 외부 발송은 하지 마.</x:v>
      </x:c>
      <x:c r="K266" s="10" t="str">
        <x:v>SYN-F05-04:D3@v1의 구성을 기준으로 협력사 운영설명회용 거점 개선 발표자료를 7장 이내로 작성하도록 준비하겠습니다.</x:v>
      </x:c>
      <x:c r="L266" s="11"/>
      <x:c r="M266" s="11"/>
      <x:c r="N266" s="10" t="str">
        <x:v>NOT_MODELED</x:v>
      </x:c>
    </x:row>
    <x:row r="267" ht="85" customHeight="1">
      <x:c r="A267" s="10" t="str">
        <x:v>T-EXEC</x:v>
      </x:c>
      <x:c r="B267" s="10" t="str">
        <x:v>TEXT</x:v>
      </x:c>
      <x:c r="C267" s="10" t="str">
        <x:v>TEXT:SYN-F05-04</x:v>
      </x:c>
      <x:c r="D267" s="10" t="str">
        <x:v>TEXT:SYN-F05-04-U02</x:v>
      </x:c>
      <x:c r="E267" s="10" t="str">
        <x:v>T-F05</x:v>
      </x:c>
      <x:c r="F267" s="10" t="n">
        <x:v>2</x:v>
      </x:c>
      <x:c r="G267" s="11" t="n">
        <x:v>2.510607</x:v>
      </x:c>
      <x:c r="H267" s="11" t="n">
        <x:v>5.026893</x:v>
      </x:c>
      <x:c r="I267" s="11" t="n">
        <x:f>H267-G267</x:f>
        <x:v>2.5162860000000005</x:v>
      </x:c>
      <x:c r="J267" s="10" t="str">
        <x:v>그 자료 선택은 유지하고, 오후 출고 대기 항목을 첫 장에 놓아줘. 차량 구매비는 빼고 3장 이내로 줄여줘.</x:v>
      </x:c>
      <x:c r="K267" s="10" t="str">
        <x:v>라임 배송거점 개선 거점 개선 발표자료 작성 위임에 이번 조건을 적용하겠습니다: 협력사 운영설명회용, 일일 추가 운행 8회 이하, 대상 기간 평일 20일, 외부 발송 없음, 3장 이내, 오후 출고 대기 항목을 첫 장에 제시, 차량 구매비 제외. 대상의 최종 연결은 현재 조회 결과와 함께 확정합니다.</x:v>
      </x:c>
      <x:c r="L267" s="11"/>
      <x:c r="M267" s="11"/>
      <x:c r="N267" s="10" t="str">
        <x:v>NOT_MODELED</x:v>
      </x:c>
    </x:row>
    <x:row r="268" ht="85" customHeight="1">
      <x:c r="A268" s="10" t="str">
        <x:v>T-REL</x:v>
      </x:c>
      <x:c r="B268" s="10" t="str">
        <x:v>TEXT</x:v>
      </x:c>
      <x:c r="C268" s="10" t="str">
        <x:v>TEXT:SYN-F05-04</x:v>
      </x:c>
      <x:c r="D268" s="10" t="str">
        <x:v>TEXT:SYN-F05-04-U01</x:v>
      </x:c>
      <x:c r="E268" s="10" t="str">
        <x:v>T-F05</x:v>
      </x:c>
      <x:c r="F268" s="10" t="n">
        <x:v>1</x:v>
      </x:c>
      <x:c r="G268" s="11" t="n">
        <x:v>0</x:v>
      </x:c>
      <x:c r="H268" s="11" t="n">
        <x:v>2.289893</x:v>
      </x:c>
      <x:c r="I268" s="11" t="n">
        <x:f>H268-G268</x:f>
        <x:v>2.289893</x:v>
      </x:c>
      <x:c r="J268" s="10" t="str">
        <x:v>나중에 정정해서 협력사 운영설명회용 구성이 좋다고 했던 자료로 거점 개선 발표자료를 7장 이내로 만들어줘. 일일 추가 운행 8회 이하, 평일 20일 조건이고 외부 발송은 하지 마.</x:v>
      </x:c>
      <x:c r="K268" s="10" t="str">
        <x:v>SYN-F05-04:D3@v1의 구성을 기준으로 협력사 운영설명회용 거점 개선 발표자료를 7장 이내로 작성하도록 준비하겠습니다.</x:v>
      </x:c>
      <x:c r="L268" s="11"/>
      <x:c r="M268" s="11"/>
      <x:c r="N268" s="10" t="str">
        <x:v>NOT_MODELED</x:v>
      </x:c>
    </x:row>
    <x:row r="269" ht="85" customHeight="1">
      <x:c r="A269" s="10" t="str">
        <x:v>T-REL</x:v>
      </x:c>
      <x:c r="B269" s="10" t="str">
        <x:v>TEXT</x:v>
      </x:c>
      <x:c r="C269" s="10" t="str">
        <x:v>TEXT:SYN-F05-04</x:v>
      </x:c>
      <x:c r="D269" s="10" t="str">
        <x:v>TEXT:SYN-F05-04-U02</x:v>
      </x:c>
      <x:c r="E269" s="10" t="str">
        <x:v>T-F05</x:v>
      </x:c>
      <x:c r="F269" s="10" t="n">
        <x:v>2</x:v>
      </x:c>
      <x:c r="G269" s="11" t="n">
        <x:v>2.639893</x:v>
      </x:c>
      <x:c r="H269" s="11" t="n">
        <x:v>6.382036</x:v>
      </x:c>
      <x:c r="I269" s="11" t="n">
        <x:f>H269-G269</x:f>
        <x:v>3.7421430000000004</x:v>
      </x:c>
      <x:c r="J269" s="10" t="str">
        <x:v>그 자료 선택은 유지하고, 오후 출고 대기 항목을 첫 장에 놓아줘. 차량 구매비는 빼고 3장 이내로 줄여줘.</x:v>
      </x:c>
      <x:c r="K269" s="10" t="str">
        <x:v>정정 후 선택한 SYN-F05-04:D3@v1는 유지하고 오후 출고 대기 항목을 먼저 보여주는 3장 구성으로 바꾸겠습니다.</x:v>
      </x:c>
      <x:c r="L269" s="11"/>
      <x:c r="M269" s="11"/>
      <x:c r="N269" s="10" t="str">
        <x:v>NOT_MODELED</x:v>
      </x:c>
    </x:row>
    <x:row r="270" ht="85" customHeight="1">
      <x:c r="A270" s="10" t="str">
        <x:v>T-BASE</x:v>
      </x:c>
      <x:c r="B270" s="10" t="str">
        <x:v>TEXT</x:v>
      </x:c>
      <x:c r="C270" s="10" t="str">
        <x:v>TEXT:SYN-F05-05</x:v>
      </x:c>
      <x:c r="D270" s="10" t="str">
        <x:v>TEXT:SYN-F05-05-U01</x:v>
      </x:c>
      <x:c r="E270" s="10" t="str">
        <x:v>T-F05</x:v>
      </x:c>
      <x:c r="F270" s="10" t="n">
        <x:v>1</x:v>
      </x:c>
      <x:c r="G270" s="11" t="n">
        <x:v>0</x:v>
      </x:c>
      <x:c r="H270" s="11" t="n">
        <x:v>2.173429</x:v>
      </x:c>
      <x:c r="I270" s="11" t="n">
        <x:f>H270-G270</x:f>
        <x:v>2.173429</x:v>
      </x:c>
      <x:c r="J270" s="10" t="str">
        <x:v>나중에 정정해서 입주사 설명회용 구성이 좋다고 했던 자료로 조명 교체 검토자료를 5장 이내로 만들어줘. 층별 정전 30분 이하, 교체 후 6개월 조건이고 외부 발송은 하지 마.</x:v>
      </x:c>
      <x:c r="K270" s="10" t="str">
        <x:v>SYN-F05-05:D2@v1의 구성을 기준으로 입주사 설명회용 조명 교체 검토자료를 5장 이내로 작성하도록 준비하겠습니다.</x:v>
      </x:c>
      <x:c r="L270" s="11"/>
      <x:c r="M270" s="11"/>
      <x:c r="N270" s="10" t="str">
        <x:v>NOT_MODELED</x:v>
      </x:c>
    </x:row>
    <x:row r="271" ht="85" customHeight="1">
      <x:c r="A271" s="10" t="str">
        <x:v>T-BASE</x:v>
      </x:c>
      <x:c r="B271" s="10" t="str">
        <x:v>TEXT</x:v>
      </x:c>
      <x:c r="C271" s="10" t="str">
        <x:v>TEXT:SYN-F05-05</x:v>
      </x:c>
      <x:c r="D271" s="10" t="str">
        <x:v>TEXT:SYN-F05-05-U02</x:v>
      </x:c>
      <x:c r="E271" s="10" t="str">
        <x:v>T-F05</x:v>
      </x:c>
      <x:c r="F271" s="10" t="n">
        <x:v>2</x:v>
      </x:c>
      <x:c r="G271" s="11" t="n">
        <x:v>2.523429</x:v>
      </x:c>
      <x:c r="H271" s="11" t="n">
        <x:v>6.20725</x:v>
      </x:c>
      <x:c r="I271" s="11" t="n">
        <x:f>H271-G271</x:f>
        <x:v>3.683821</x:v>
      </x:c>
      <x:c r="J271" s="10" t="str">
        <x:v>그 자료 선택은 유지하고, 회의실 사용 중 공사 항목을 첫 장에 놓아줘. 철거비는 빼고 2장 이내로 줄여줘.</x:v>
      </x:c>
      <x:c r="K271" s="10" t="str">
        <x:v>SYN-F05-05:D1@v1에 대해 가온 사무실 조명교체 조명 교체 검토자료 작성 위임을 진행하겠습니다. 적용 조건: 입주사 설명회용, 층별 정전 30분 이하, 대상 기간 교체 후 6개월, 외부 발송 없음, 2장 이내, 회의실 사용 중 공사 항목을 첫 장에 제시, 철거비 제외. 내용 출처: SYN-F05-05:D1@v1.</x:v>
      </x:c>
      <x:c r="L271" s="11"/>
      <x:c r="M271" s="11"/>
      <x:c r="N271" s="10" t="str">
        <x:v>NOT_MODELED</x:v>
      </x:c>
    </x:row>
    <x:row r="272" ht="85" customHeight="1">
      <x:c r="A272" s="10" t="str">
        <x:v>T-EXEC</x:v>
      </x:c>
      <x:c r="B272" s="10" t="str">
        <x:v>TEXT</x:v>
      </x:c>
      <x:c r="C272" s="10" t="str">
        <x:v>TEXT:SYN-F05-05</x:v>
      </x:c>
      <x:c r="D272" s="10" t="str">
        <x:v>TEXT:SYN-F05-05-U01</x:v>
      </x:c>
      <x:c r="E272" s="10" t="str">
        <x:v>T-F05</x:v>
      </x:c>
      <x:c r="F272" s="10" t="n">
        <x:v>1</x:v>
      </x:c>
      <x:c r="G272" s="11" t="n">
        <x:v>0</x:v>
      </x:c>
      <x:c r="H272" s="11" t="n">
        <x:v>2.173429</x:v>
      </x:c>
      <x:c r="I272" s="11" t="n">
        <x:f>H272-G272</x:f>
        <x:v>2.173429</x:v>
      </x:c>
      <x:c r="J272" s="10" t="str">
        <x:v>나중에 정정해서 입주사 설명회용 구성이 좋다고 했던 자료로 조명 교체 검토자료를 5장 이내로 만들어줘. 층별 정전 30분 이하, 교체 후 6개월 조건이고 외부 발송은 하지 마.</x:v>
      </x:c>
      <x:c r="K272" s="10" t="str">
        <x:v>SYN-F05-05:D2@v1의 구성을 기준으로 입주사 설명회용 조명 교체 검토자료를 5장 이내로 작성하도록 준비하겠습니다.</x:v>
      </x:c>
      <x:c r="L272" s="11"/>
      <x:c r="M272" s="11"/>
      <x:c r="N272" s="10" t="str">
        <x:v>NOT_MODELED</x:v>
      </x:c>
    </x:row>
    <x:row r="273" ht="85" customHeight="1">
      <x:c r="A273" s="10" t="str">
        <x:v>T-EXEC</x:v>
      </x:c>
      <x:c r="B273" s="10" t="str">
        <x:v>TEXT</x:v>
      </x:c>
      <x:c r="C273" s="10" t="str">
        <x:v>TEXT:SYN-F05-05</x:v>
      </x:c>
      <x:c r="D273" s="10" t="str">
        <x:v>TEXT:SYN-F05-05-U02</x:v>
      </x:c>
      <x:c r="E273" s="10" t="str">
        <x:v>T-F05</x:v>
      </x:c>
      <x:c r="F273" s="10" t="n">
        <x:v>2</x:v>
      </x:c>
      <x:c r="G273" s="11" t="n">
        <x:v>2.523429</x:v>
      </x:c>
      <x:c r="H273" s="11" t="n">
        <x:v>5.062214</x:v>
      </x:c>
      <x:c r="I273" s="11" t="n">
        <x:f>H273-G273</x:f>
        <x:v>2.538785</x:v>
      </x:c>
      <x:c r="J273" s="10" t="str">
        <x:v>그 자료 선택은 유지하고, 회의실 사용 중 공사 항목을 첫 장에 놓아줘. 철거비는 빼고 2장 이내로 줄여줘.</x:v>
      </x:c>
      <x:c r="K273" s="10" t="str">
        <x:v>가온 사무실 조명교체 조명 교체 검토자료 작성 위임에 이번 조건을 적용하겠습니다: 입주사 설명회용, 층별 정전 30분 이하, 대상 기간 교체 후 6개월, 외부 발송 없음, 2장 이내, 회의실 사용 중 공사 항목을 첫 장에 제시, 철거비 제외. 대상의 최종 연결은 현재 조회 결과와 함께 확정합니다.</x:v>
      </x:c>
      <x:c r="L273" s="11"/>
      <x:c r="M273" s="11"/>
      <x:c r="N273" s="10" t="str">
        <x:v>NOT_MODELED</x:v>
      </x:c>
    </x:row>
    <x:row r="274" ht="85" customHeight="1">
      <x:c r="A274" s="10" t="str">
        <x:v>T-REL</x:v>
      </x:c>
      <x:c r="B274" s="10" t="str">
        <x:v>TEXT</x:v>
      </x:c>
      <x:c r="C274" s="10" t="str">
        <x:v>TEXT:SYN-F05-05</x:v>
      </x:c>
      <x:c r="D274" s="10" t="str">
        <x:v>TEXT:SYN-F05-05-U01</x:v>
      </x:c>
      <x:c r="E274" s="10" t="str">
        <x:v>T-F05</x:v>
      </x:c>
      <x:c r="F274" s="10" t="n">
        <x:v>1</x:v>
      </x:c>
      <x:c r="G274" s="11" t="n">
        <x:v>0</x:v>
      </x:c>
      <x:c r="H274" s="11" t="n">
        <x:v>2.302714</x:v>
      </x:c>
      <x:c r="I274" s="11" t="n">
        <x:f>H274-G274</x:f>
        <x:v>2.302714</x:v>
      </x:c>
      <x:c r="J274" s="10" t="str">
        <x:v>나중에 정정해서 입주사 설명회용 구성이 좋다고 했던 자료로 조명 교체 검토자료를 5장 이내로 만들어줘. 층별 정전 30분 이하, 교체 후 6개월 조건이고 외부 발송은 하지 마.</x:v>
      </x:c>
      <x:c r="K274" s="10" t="str">
        <x:v>SYN-F05-05:D2@v1의 구성을 기준으로 입주사 설명회용 조명 교체 검토자료를 5장 이내로 작성하도록 준비하겠습니다.</x:v>
      </x:c>
      <x:c r="L274" s="11"/>
      <x:c r="M274" s="11"/>
      <x:c r="N274" s="10" t="str">
        <x:v>NOT_MODELED</x:v>
      </x:c>
    </x:row>
    <x:row r="275" ht="85" customHeight="1">
      <x:c r="A275" s="10" t="str">
        <x:v>T-REL</x:v>
      </x:c>
      <x:c r="B275" s="10" t="str">
        <x:v>TEXT</x:v>
      </x:c>
      <x:c r="C275" s="10" t="str">
        <x:v>TEXT:SYN-F05-05</x:v>
      </x:c>
      <x:c r="D275" s="10" t="str">
        <x:v>TEXT:SYN-F05-05-U02</x:v>
      </x:c>
      <x:c r="E275" s="10" t="str">
        <x:v>T-F05</x:v>
      </x:c>
      <x:c r="F275" s="10" t="n">
        <x:v>2</x:v>
      </x:c>
      <x:c r="G275" s="11" t="n">
        <x:v>2.652714</x:v>
      </x:c>
      <x:c r="H275" s="11" t="n">
        <x:v>6.452678</x:v>
      </x:c>
      <x:c r="I275" s="11" t="n">
        <x:f>H275-G275</x:f>
        <x:v>3.7999639999999997</x:v>
      </x:c>
      <x:c r="J275" s="10" t="str">
        <x:v>그 자료 선택은 유지하고, 회의실 사용 중 공사 항목을 첫 장에 놓아줘. 철거비는 빼고 2장 이내로 줄여줘.</x:v>
      </x:c>
      <x:c r="K275" s="10" t="str">
        <x:v>SYN-F05-05:D1@v1에 대해 가온 사무실 조명교체 조명 교체 검토자료 작성 위임을 진행하겠습니다. 적용 조건: 입주사 설명회용, 층별 정전 30분 이하, 대상 기간 교체 후 6개월, 외부 발송 없음, 2장 이내, 회의실 사용 중 공사 항목을 첫 장에 제시, 철거비 제외. 내용 출처: SYN-F05-05:D1@v1.</x:v>
      </x:c>
      <x:c r="L275" s="11"/>
      <x:c r="M275" s="11"/>
      <x:c r="N275" s="10" t="str">
        <x:v>NOT_MODELED</x:v>
      </x:c>
    </x:row>
    <x:row r="276" ht="85" customHeight="1">
      <x:c r="A276" s="10" t="str">
        <x:v>T-BASE</x:v>
      </x:c>
      <x:c r="B276" s="10" t="str">
        <x:v>TEXT</x:v>
      </x:c>
      <x:c r="C276" s="10" t="str">
        <x:v>TEXT:SYN-F05-06</x:v>
      </x:c>
      <x:c r="D276" s="10" t="str">
        <x:v>TEXT:SYN-F05-06-U01</x:v>
      </x:c>
      <x:c r="E276" s="10" t="str">
        <x:v>T-F05</x:v>
      </x:c>
      <x:c r="F276" s="10" t="n">
        <x:v>1</x:v>
      </x:c>
      <x:c r="G276" s="11" t="n">
        <x:v>0</x:v>
      </x:c>
      <x:c r="H276" s="11" t="n">
        <x:v>2.21125</x:v>
      </x:c>
      <x:c r="I276" s="11" t="n">
        <x:f>H276-G276</x:f>
        <x:v>2.21125</x:v>
      </x:c>
      <x:c r="J276" s="10" t="str">
        <x:v>나중에 정정해서 참여기업 안내회용 구성이 좋다고 했던 자료로 행사 운영 발표자료를 8장 이내로 만들어줘. 현장 대기 20분 이하, 행사 2일 조건이고 외부 발송은 하지 마.</x:v>
      </x:c>
      <x:c r="K276" s="10" t="str">
        <x:v>SYN-F05-06:D1@v1의 구성을 기준으로 참여기업 안내회용 행사 운영 발표자료를 8장 이내로 작성하도록 준비하겠습니다.</x:v>
      </x:c>
      <x:c r="L276" s="11"/>
      <x:c r="M276" s="11"/>
      <x:c r="N276" s="10" t="str">
        <x:v>NOT_MODELED</x:v>
      </x:c>
    </x:row>
    <x:row r="277" ht="85" customHeight="1">
      <x:c r="A277" s="10" t="str">
        <x:v>T-BASE</x:v>
      </x:c>
      <x:c r="B277" s="10" t="str">
        <x:v>TEXT</x:v>
      </x:c>
      <x:c r="C277" s="10" t="str">
        <x:v>TEXT:SYN-F05-06</x:v>
      </x:c>
      <x:c r="D277" s="10" t="str">
        <x:v>TEXT:SYN-F05-06-U02</x:v>
      </x:c>
      <x:c r="E277" s="10" t="str">
        <x:v>T-F05</x:v>
      </x:c>
      <x:c r="F277" s="10" t="n">
        <x:v>2</x:v>
      </x:c>
      <x:c r="G277" s="11" t="n">
        <x:v>2.56125</x:v>
      </x:c>
      <x:c r="H277" s="11" t="n">
        <x:v>6.327893</x:v>
      </x:c>
      <x:c r="I277" s="11" t="n">
        <x:f>H277-G277</x:f>
        <x:v>3.7666430000000006</x:v>
      </x:c>
      <x:c r="J277" s="10" t="str">
        <x:v>그 자료 선택은 유지하고, 면접 슬롯 중복 항목을 첫 장에 놓아줘. 홍보물 인쇄비는 빼고 4장 이내로 줄여줘.</x:v>
      </x:c>
      <x:c r="K277" s="10" t="str">
        <x:v>정정 후 선택한 SYN-F05-06:D1@v1는 유지하고 면접 슬롯 중복 항목을 먼저 보여주는 4장 구성으로 바꾸겠습니다.</x:v>
      </x:c>
      <x:c r="L277" s="11"/>
      <x:c r="M277" s="11"/>
      <x:c r="N277" s="10" t="str">
        <x:v>NOT_MODELED</x:v>
      </x:c>
    </x:row>
    <x:row r="278" ht="85" customHeight="1">
      <x:c r="A278" s="10" t="str">
        <x:v>T-EXEC</x:v>
      </x:c>
      <x:c r="B278" s="10" t="str">
        <x:v>TEXT</x:v>
      </x:c>
      <x:c r="C278" s="10" t="str">
        <x:v>TEXT:SYN-F05-06</x:v>
      </x:c>
      <x:c r="D278" s="10" t="str">
        <x:v>TEXT:SYN-F05-06-U01</x:v>
      </x:c>
      <x:c r="E278" s="10" t="str">
        <x:v>T-F05</x:v>
      </x:c>
      <x:c r="F278" s="10" t="n">
        <x:v>1</x:v>
      </x:c>
      <x:c r="G278" s="11" t="n">
        <x:v>0</x:v>
      </x:c>
      <x:c r="H278" s="11" t="n">
        <x:v>2.21125</x:v>
      </x:c>
      <x:c r="I278" s="11" t="n">
        <x:f>H278-G278</x:f>
        <x:v>2.21125</x:v>
      </x:c>
      <x:c r="J278" s="10" t="str">
        <x:v>나중에 정정해서 참여기업 안내회용 구성이 좋다고 했던 자료로 행사 운영 발표자료를 8장 이내로 만들어줘. 현장 대기 20분 이하, 행사 2일 조건이고 외부 발송은 하지 마.</x:v>
      </x:c>
      <x:c r="K278" s="10" t="str">
        <x:v>SYN-F05-06:D1@v1의 구성을 기준으로 참여기업 안내회용 행사 운영 발표자료를 8장 이내로 작성하도록 준비하겠습니다.</x:v>
      </x:c>
      <x:c r="L278" s="11"/>
      <x:c r="M278" s="11"/>
      <x:c r="N278" s="10" t="str">
        <x:v>NOT_MODELED</x:v>
      </x:c>
    </x:row>
    <x:row r="279" ht="85" customHeight="1">
      <x:c r="A279" s="10" t="str">
        <x:v>T-EXEC</x:v>
      </x:c>
      <x:c r="B279" s="10" t="str">
        <x:v>TEXT</x:v>
      </x:c>
      <x:c r="C279" s="10" t="str">
        <x:v>TEXT:SYN-F05-06</x:v>
      </x:c>
      <x:c r="D279" s="10" t="str">
        <x:v>TEXT:SYN-F05-06-U02</x:v>
      </x:c>
      <x:c r="E279" s="10" t="str">
        <x:v>T-F05</x:v>
      </x:c>
      <x:c r="F279" s="10" t="n">
        <x:v>2</x:v>
      </x:c>
      <x:c r="G279" s="11" t="n">
        <x:v>2.56125</x:v>
      </x:c>
      <x:c r="H279" s="11" t="n">
        <x:v>5.147536</x:v>
      </x:c>
      <x:c r="I279" s="11" t="n">
        <x:f>H279-G279</x:f>
        <x:v>2.586286</x:v>
      </x:c>
      <x:c r="J279" s="10" t="str">
        <x:v>그 자료 선택은 유지하고, 면접 슬롯 중복 항목을 첫 장에 놓아줘. 홍보물 인쇄비는 빼고 4장 이내로 줄여줘.</x:v>
      </x:c>
      <x:c r="K279" s="10" t="str">
        <x:v>별빛 채용행사 준비 행사 운영 발표자료 작성 위임에 이번 조건을 적용하겠습니다: 참여기업 안내회용, 현장 대기 20분 이하, 대상 기간 행사 2일, 외부 발송 없음, 4장 이내, 면접 슬롯 중복 항목을 첫 장에 제시, 홍보물 인쇄비 제외. 대상의 최종 연결은 현재 조회 결과와 함께 확정합니다.</x:v>
      </x:c>
      <x:c r="L279" s="11"/>
      <x:c r="M279" s="11"/>
      <x:c r="N279" s="10" t="str">
        <x:v>NOT_MODELED</x:v>
      </x:c>
    </x:row>
    <x:row r="280" ht="85" customHeight="1">
      <x:c r="A280" s="10" t="str">
        <x:v>T-REL</x:v>
      </x:c>
      <x:c r="B280" s="10" t="str">
        <x:v>TEXT</x:v>
      </x:c>
      <x:c r="C280" s="10" t="str">
        <x:v>TEXT:SYN-F05-06</x:v>
      </x:c>
      <x:c r="D280" s="10" t="str">
        <x:v>TEXT:SYN-F05-06-U01</x:v>
      </x:c>
      <x:c r="E280" s="10" t="str">
        <x:v>T-F05</x:v>
      </x:c>
      <x:c r="F280" s="10" t="n">
        <x:v>1</x:v>
      </x:c>
      <x:c r="G280" s="11" t="n">
        <x:v>0</x:v>
      </x:c>
      <x:c r="H280" s="11" t="n">
        <x:v>2.340536</x:v>
      </x:c>
      <x:c r="I280" s="11" t="n">
        <x:f>H280-G280</x:f>
        <x:v>2.340536</x:v>
      </x:c>
      <x:c r="J280" s="10" t="str">
        <x:v>나중에 정정해서 참여기업 안내회용 구성이 좋다고 했던 자료로 행사 운영 발표자료를 8장 이내로 만들어줘. 현장 대기 20분 이하, 행사 2일 조건이고 외부 발송은 하지 마.</x:v>
      </x:c>
      <x:c r="K280" s="10" t="str">
        <x:v>SYN-F05-06:D1@v1의 구성을 기준으로 참여기업 안내회용 행사 운영 발표자료를 8장 이내로 작성하도록 준비하겠습니다.</x:v>
      </x:c>
      <x:c r="L280" s="11"/>
      <x:c r="M280" s="11"/>
      <x:c r="N280" s="10" t="str">
        <x:v>NOT_MODELED</x:v>
      </x:c>
    </x:row>
    <x:row r="281" ht="85" customHeight="1">
      <x:c r="A281" s="10" t="str">
        <x:v>T-REL</x:v>
      </x:c>
      <x:c r="B281" s="10" t="str">
        <x:v>TEXT</x:v>
      </x:c>
      <x:c r="C281" s="10" t="str">
        <x:v>TEXT:SYN-F05-06</x:v>
      </x:c>
      <x:c r="D281" s="10" t="str">
        <x:v>TEXT:SYN-F05-06-U02</x:v>
      </x:c>
      <x:c r="E281" s="10" t="str">
        <x:v>T-F05</x:v>
      </x:c>
      <x:c r="F281" s="10" t="n">
        <x:v>2</x:v>
      </x:c>
      <x:c r="G281" s="11" t="n">
        <x:v>2.690536</x:v>
      </x:c>
      <x:c r="H281" s="11" t="n">
        <x:v>6.573322</x:v>
      </x:c>
      <x:c r="I281" s="11" t="n">
        <x:f>H281-G281</x:f>
        <x:v>3.8827860000000003</x:v>
      </x:c>
      <x:c r="J281" s="10" t="str">
        <x:v>그 자료 선택은 유지하고, 면접 슬롯 중복 항목을 첫 장에 놓아줘. 홍보물 인쇄비는 빼고 4장 이내로 줄여줘.</x:v>
      </x:c>
      <x:c r="K281" s="10" t="str">
        <x:v>정정 후 선택한 SYN-F05-06:D1@v1는 유지하고 면접 슬롯 중복 항목을 먼저 보여주는 4장 구성으로 바꾸겠습니다.</x:v>
      </x:c>
      <x:c r="L281" s="11"/>
      <x:c r="M281" s="11"/>
      <x:c r="N281" s="10" t="str">
        <x:v>NOT_MODELED</x:v>
      </x:c>
    </x:row>
    <x:row r="282" ht="85" customHeight="1">
      <x:c r="A282" s="10" t="str">
        <x:v>T-BASE</x:v>
      </x:c>
      <x:c r="B282" s="10" t="str">
        <x:v>TEXT</x:v>
      </x:c>
      <x:c r="C282" s="10" t="str">
        <x:v>TEXT:SYN-F05-07</x:v>
      </x:c>
      <x:c r="D282" s="10" t="str">
        <x:v>TEXT:SYN-F05-07-U01</x:v>
      </x:c>
      <x:c r="E282" s="10" t="str">
        <x:v>T-F05</x:v>
      </x:c>
      <x:c r="F282" s="10" t="n">
        <x:v>1</x:v>
      </x:c>
      <x:c r="G282" s="11" t="n">
        <x:v>0</x:v>
      </x:c>
      <x:c r="H282" s="11" t="n">
        <x:v>2.174071</x:v>
      </x:c>
      <x:c r="I282" s="11" t="n">
        <x:f>H282-G282</x:f>
        <x:v>2.174071</x:v>
      </x:c>
      <x:c r="J282" s="10" t="str">
        <x:v>나중에 정정해서 납품처 품질설명회용 구성이 좋다고 했던 자료로 검사 개선 발표자료를 6장 이내로 만들어줘. 샘플 검사 45분 이하, 다음 8주 조건이고 외부 발송은 하지 마.</x:v>
      </x:c>
      <x:c r="K282" s="10" t="str">
        <x:v>SYN-F05-07:D3@v1의 구성을 기준으로 납품처 품질설명회용 검사 개선 발표자료를 6장 이내로 작성하도록 준비하겠습니다.</x:v>
      </x:c>
      <x:c r="L282" s="11"/>
      <x:c r="M282" s="11"/>
      <x:c r="N282" s="10" t="str">
        <x:v>NOT_MODELED</x:v>
      </x:c>
    </x:row>
    <x:row r="283" ht="85" customHeight="1">
      <x:c r="A283" s="10" t="str">
        <x:v>T-BASE</x:v>
      </x:c>
      <x:c r="B283" s="10" t="str">
        <x:v>TEXT</x:v>
      </x:c>
      <x:c r="C283" s="10" t="str">
        <x:v>TEXT:SYN-F05-07</x:v>
      </x:c>
      <x:c r="D283" s="10" t="str">
        <x:v>TEXT:SYN-F05-07-U02</x:v>
      </x:c>
      <x:c r="E283" s="10" t="str">
        <x:v>T-F05</x:v>
      </x:c>
      <x:c r="F283" s="10" t="n">
        <x:v>2</x:v>
      </x:c>
      <x:c r="G283" s="11" t="n">
        <x:v>2.524071</x:v>
      </x:c>
      <x:c r="H283" s="11" t="n">
        <x:v>6.298535</x:v>
      </x:c>
      <x:c r="I283" s="11" t="n">
        <x:f>H283-G283</x:f>
        <x:v>3.774464</x:v>
      </x:c>
      <x:c r="J283" s="10" t="str">
        <x:v>그 자료 선택은 유지하고, 검사 누락 재확인 항목을 첫 장에 놓아줘. 검사장비 구입비는 빼고 3장 이내로 줄여줘.</x:v>
      </x:c>
      <x:c r="K283" s="10" t="str">
        <x:v>정정 후 선택한 SYN-F05-07:D3@v1는 유지하고 검사 누락 재확인 항목을 먼저 보여주는 3장 구성으로 바꾸겠습니다.</x:v>
      </x:c>
      <x:c r="L283" s="11"/>
      <x:c r="M283" s="11"/>
      <x:c r="N283" s="10" t="str">
        <x:v>NOT_MODELED</x:v>
      </x:c>
    </x:row>
    <x:row r="284" ht="85" customHeight="1">
      <x:c r="A284" s="10" t="str">
        <x:v>T-EXEC</x:v>
      </x:c>
      <x:c r="B284" s="10" t="str">
        <x:v>TEXT</x:v>
      </x:c>
      <x:c r="C284" s="10" t="str">
        <x:v>TEXT:SYN-F05-07</x:v>
      </x:c>
      <x:c r="D284" s="10" t="str">
        <x:v>TEXT:SYN-F05-07-U01</x:v>
      </x:c>
      <x:c r="E284" s="10" t="str">
        <x:v>T-F05</x:v>
      </x:c>
      <x:c r="F284" s="10" t="n">
        <x:v>1</x:v>
      </x:c>
      <x:c r="G284" s="11" t="n">
        <x:v>0</x:v>
      </x:c>
      <x:c r="H284" s="11" t="n">
        <x:v>2.174071</x:v>
      </x:c>
      <x:c r="I284" s="11" t="n">
        <x:f>H284-G284</x:f>
        <x:v>2.174071</x:v>
      </x:c>
      <x:c r="J284" s="10" t="str">
        <x:v>나중에 정정해서 납품처 품질설명회용 구성이 좋다고 했던 자료로 검사 개선 발표자료를 6장 이내로 만들어줘. 샘플 검사 45분 이하, 다음 8주 조건이고 외부 발송은 하지 마.</x:v>
      </x:c>
      <x:c r="K284" s="10" t="str">
        <x:v>SYN-F05-07:D3@v1의 구성을 기준으로 납품처 품질설명회용 검사 개선 발표자료를 6장 이내로 작성하도록 준비하겠습니다.</x:v>
      </x:c>
      <x:c r="L284" s="11"/>
      <x:c r="M284" s="11"/>
      <x:c r="N284" s="10" t="str">
        <x:v>NOT_MODELED</x:v>
      </x:c>
    </x:row>
    <x:row r="285" ht="85" customHeight="1">
      <x:c r="A285" s="10" t="str">
        <x:v>T-EXEC</x:v>
      </x:c>
      <x:c r="B285" s="10" t="str">
        <x:v>TEXT</x:v>
      </x:c>
      <x:c r="C285" s="10" t="str">
        <x:v>TEXT:SYN-F05-07</x:v>
      </x:c>
      <x:c r="D285" s="10" t="str">
        <x:v>TEXT:SYN-F05-07-U02</x:v>
      </x:c>
      <x:c r="E285" s="10" t="str">
        <x:v>T-F05</x:v>
      </x:c>
      <x:c r="F285" s="10" t="n">
        <x:v>2</x:v>
      </x:c>
      <x:c r="G285" s="11" t="n">
        <x:v>2.524071</x:v>
      </x:c>
      <x:c r="H285" s="11" t="n">
        <x:v>5.064106</x:v>
      </x:c>
      <x:c r="I285" s="11" t="n">
        <x:f>H285-G285</x:f>
        <x:v>2.5400349999999996</x:v>
      </x:c>
      <x:c r="J285" s="10" t="str">
        <x:v>그 자료 선택은 유지하고, 검사 누락 재확인 항목을 첫 장에 놓아줘. 검사장비 구입비는 빼고 3장 이내로 줄여줘.</x:v>
      </x:c>
      <x:c r="K285" s="10" t="str">
        <x:v>청솔 부품검사 개선 검사 개선 발표자료 작성 위임에 이번 조건을 적용하겠습니다: 납품처 품질설명회용, 샘플 검사 45분 이하, 대상 기간 다음 8주, 외부 발송 없음, 3장 이내, 검사 누락 재확인 항목을 첫 장에 제시, 검사장비 구입비 제외. 대상의 최종 연결은 현재 조회 결과와 함께 확정합니다.</x:v>
      </x:c>
      <x:c r="L285" s="11"/>
      <x:c r="M285" s="11"/>
      <x:c r="N285" s="10" t="str">
        <x:v>NOT_MODELED</x:v>
      </x:c>
    </x:row>
    <x:row r="286" ht="85" customHeight="1">
      <x:c r="A286" s="10" t="str">
        <x:v>T-REL</x:v>
      </x:c>
      <x:c r="B286" s="10" t="str">
        <x:v>TEXT</x:v>
      </x:c>
      <x:c r="C286" s="10" t="str">
        <x:v>TEXT:SYN-F05-07</x:v>
      </x:c>
      <x:c r="D286" s="10" t="str">
        <x:v>TEXT:SYN-F05-07-U01</x:v>
      </x:c>
      <x:c r="E286" s="10" t="str">
        <x:v>T-F05</x:v>
      </x:c>
      <x:c r="F286" s="10" t="n">
        <x:v>1</x:v>
      </x:c>
      <x:c r="G286" s="11" t="n">
        <x:v>0</x:v>
      </x:c>
      <x:c r="H286" s="11" t="n">
        <x:v>2.303357</x:v>
      </x:c>
      <x:c r="I286" s="11" t="n">
        <x:f>H286-G286</x:f>
        <x:v>2.303357</x:v>
      </x:c>
      <x:c r="J286" s="10" t="str">
        <x:v>나중에 정정해서 납품처 품질설명회용 구성이 좋다고 했던 자료로 검사 개선 발표자료를 6장 이내로 만들어줘. 샘플 검사 45분 이하, 다음 8주 조건이고 외부 발송은 하지 마.</x:v>
      </x:c>
      <x:c r="K286" s="10" t="str">
        <x:v>SYN-F05-07:D3@v1의 구성을 기준으로 납품처 품질설명회용 검사 개선 발표자료를 6장 이내로 작성하도록 준비하겠습니다.</x:v>
      </x:c>
      <x:c r="L286" s="11"/>
      <x:c r="M286" s="11"/>
      <x:c r="N286" s="10" t="str">
        <x:v>NOT_MODELED</x:v>
      </x:c>
    </x:row>
    <x:row r="287" ht="85" customHeight="1">
      <x:c r="A287" s="10" t="str">
        <x:v>T-REL</x:v>
      </x:c>
      <x:c r="B287" s="10" t="str">
        <x:v>TEXT</x:v>
      </x:c>
      <x:c r="C287" s="10" t="str">
        <x:v>TEXT:SYN-F05-07</x:v>
      </x:c>
      <x:c r="D287" s="10" t="str">
        <x:v>TEXT:SYN-F05-07-U02</x:v>
      </x:c>
      <x:c r="E287" s="10" t="str">
        <x:v>T-F05</x:v>
      </x:c>
      <x:c r="F287" s="10" t="n">
        <x:v>2</x:v>
      </x:c>
      <x:c r="G287" s="11" t="n">
        <x:v>2.653357</x:v>
      </x:c>
      <x:c r="H287" s="11" t="n">
        <x:v>6.543964</x:v>
      </x:c>
      <x:c r="I287" s="11" t="n">
        <x:f>H287-G287</x:f>
        <x:v>3.8906069999999997</x:v>
      </x:c>
      <x:c r="J287" s="10" t="str">
        <x:v>그 자료 선택은 유지하고, 검사 누락 재확인 항목을 첫 장에 놓아줘. 검사장비 구입비는 빼고 3장 이내로 줄여줘.</x:v>
      </x:c>
      <x:c r="K287" s="10" t="str">
        <x:v>정정 후 선택한 SYN-F05-07:D3@v1는 유지하고 검사 누락 재확인 항목을 먼저 보여주는 3장 구성으로 바꾸겠습니다.</x:v>
      </x:c>
      <x:c r="L287" s="11"/>
      <x:c r="M287" s="11"/>
      <x:c r="N287" s="10" t="str">
        <x:v>NOT_MODELED</x:v>
      </x:c>
    </x:row>
    <x:row r="288" ht="85" customHeight="1">
      <x:c r="A288" s="10" t="str">
        <x:v>T-BASE</x:v>
      </x:c>
      <x:c r="B288" s="10" t="str">
        <x:v>TEXT</x:v>
      </x:c>
      <x:c r="C288" s="10" t="str">
        <x:v>TEXT:SYN-F05-08</x:v>
      </x:c>
      <x:c r="D288" s="10" t="str">
        <x:v>TEXT:SYN-F05-08-U01</x:v>
      </x:c>
      <x:c r="E288" s="10" t="str">
        <x:v>T-F05</x:v>
      </x:c>
      <x:c r="F288" s="10" t="n">
        <x:v>1</x:v>
      </x:c>
      <x:c r="G288" s="11" t="n">
        <x:v>0</x:v>
      </x:c>
      <x:c r="H288" s="11" t="n">
        <x:v>2.211893</x:v>
      </x:c>
      <x:c r="I288" s="11" t="n">
        <x:f>H288-G288</x:f>
        <x:v>2.211893</x:v>
      </x:c>
      <x:c r="J288" s="10" t="str">
        <x:v>나중에 정정해서 지역 파트너 설명회용 구성이 좋다고 했던 자료로 캠페인 계획 발표자료를 4장 이내로 만들어줘. 안내문 500자 이하, 운영 5주 조건이고 외부 발송은 하지 마.</x:v>
      </x:c>
      <x:c r="K288" s="10" t="str">
        <x:v>SYN-F05-08:D2@v1의 구성을 기준으로 지역 파트너 설명회용 캠페인 계획 발표자료를 4장 이내로 작성하도록 준비하겠습니다.</x:v>
      </x:c>
      <x:c r="L288" s="11"/>
      <x:c r="M288" s="11"/>
      <x:c r="N288" s="10" t="str">
        <x:v>NOT_MODELED</x:v>
      </x:c>
    </x:row>
    <x:row r="289" ht="85" customHeight="1">
      <x:c r="A289" s="10" t="str">
        <x:v>T-BASE</x:v>
      </x:c>
      <x:c r="B289" s="10" t="str">
        <x:v>TEXT</x:v>
      </x:c>
      <x:c r="C289" s="10" t="str">
        <x:v>TEXT:SYN-F05-08</x:v>
      </x:c>
      <x:c r="D289" s="10" t="str">
        <x:v>TEXT:SYN-F05-08-U02</x:v>
      </x:c>
      <x:c r="E289" s="10" t="str">
        <x:v>T-F05</x:v>
      </x:c>
      <x:c r="F289" s="10" t="n">
        <x:v>2</x:v>
      </x:c>
      <x:c r="G289" s="11" t="n">
        <x:v>2.561893</x:v>
      </x:c>
      <x:c r="H289" s="11" t="n">
        <x:v>6.419179</x:v>
      </x:c>
      <x:c r="I289" s="11" t="n">
        <x:f>H289-G289</x:f>
        <x:v>3.8572859999999998</x:v>
      </x:c>
      <x:c r="J289" s="10" t="str">
        <x:v>그 자료 선택은 유지하고, 첫 방문자의 신청 절차 항목을 첫 장에 놓아줘. 일회성 촬영비는 빼고 2장 이내로 줄여줘.</x:v>
      </x:c>
      <x:c r="K289" s="10" t="str">
        <x:v>SYN-F05-08:D2@v1에 대해 노을 서비스 캠페인 캠페인 계획 발표자료 작성 위임을 진행하겠습니다. 적용 조건: 지역 파트너 설명회용, 안내문 500자 이하, 대상 기간 운영 5주, 외부 발송 없음, 2장 이내, 첫 방문자의 신청 절차 항목을 첫 장에 제시. 내용 출처: SYN-F05-08:D2@v1.</x:v>
      </x:c>
      <x:c r="L289" s="11"/>
      <x:c r="M289" s="11"/>
      <x:c r="N289" s="10" t="str">
        <x:v>NOT_MODELED</x:v>
      </x:c>
    </x:row>
    <x:row r="290" ht="85" customHeight="1">
      <x:c r="A290" s="10" t="str">
        <x:v>T-EXEC</x:v>
      </x:c>
      <x:c r="B290" s="10" t="str">
        <x:v>TEXT</x:v>
      </x:c>
      <x:c r="C290" s="10" t="str">
        <x:v>TEXT:SYN-F05-08</x:v>
      </x:c>
      <x:c r="D290" s="10" t="str">
        <x:v>TEXT:SYN-F05-08-U01</x:v>
      </x:c>
      <x:c r="E290" s="10" t="str">
        <x:v>T-F05</x:v>
      </x:c>
      <x:c r="F290" s="10" t="n">
        <x:v>1</x:v>
      </x:c>
      <x:c r="G290" s="11" t="n">
        <x:v>0</x:v>
      </x:c>
      <x:c r="H290" s="11" t="n">
        <x:v>2.211893</x:v>
      </x:c>
      <x:c r="I290" s="11" t="n">
        <x:f>H290-G290</x:f>
        <x:v>2.211893</x:v>
      </x:c>
      <x:c r="J290" s="10" t="str">
        <x:v>나중에 정정해서 지역 파트너 설명회용 구성이 좋다고 했던 자료로 캠페인 계획 발표자료를 4장 이내로 만들어줘. 안내문 500자 이하, 운영 5주 조건이고 외부 발송은 하지 마.</x:v>
      </x:c>
      <x:c r="K290" s="10" t="str">
        <x:v>SYN-F05-08:D2@v1의 구성을 기준으로 지역 파트너 설명회용 캠페인 계획 발표자료를 4장 이내로 작성하도록 준비하겠습니다.</x:v>
      </x:c>
      <x:c r="L290" s="11"/>
      <x:c r="M290" s="11"/>
      <x:c r="N290" s="10" t="str">
        <x:v>NOT_MODELED</x:v>
      </x:c>
    </x:row>
    <x:row r="291" ht="85" customHeight="1">
      <x:c r="A291" s="10" t="str">
        <x:v>T-EXEC</x:v>
      </x:c>
      <x:c r="B291" s="10" t="str">
        <x:v>TEXT</x:v>
      </x:c>
      <x:c r="C291" s="10" t="str">
        <x:v>TEXT:SYN-F05-08</x:v>
      </x:c>
      <x:c r="D291" s="10" t="str">
        <x:v>TEXT:SYN-F05-08-U02</x:v>
      </x:c>
      <x:c r="E291" s="10" t="str">
        <x:v>T-F05</x:v>
      </x:c>
      <x:c r="F291" s="10" t="n">
        <x:v>2</x:v>
      </x:c>
      <x:c r="G291" s="11" t="n">
        <x:v>2.561893</x:v>
      </x:c>
      <x:c r="H291" s="11" t="n">
        <x:v>5.149429</x:v>
      </x:c>
      <x:c r="I291" s="11" t="n">
        <x:f>H291-G291</x:f>
        <x:v>2.5875359999999996</x:v>
      </x:c>
      <x:c r="J291" s="10" t="str">
        <x:v>그 자료 선택은 유지하고, 첫 방문자의 신청 절차 항목을 첫 장에 놓아줘. 일회성 촬영비는 빼고 2장 이내로 줄여줘.</x:v>
      </x:c>
      <x:c r="K291" s="10" t="str">
        <x:v>노을 서비스 캠페인 캠페인 계획 발표자료 작성 위임에 이번 조건을 적용하겠습니다: 지역 파트너 설명회용, 안내문 500자 이하, 대상 기간 운영 5주, 외부 발송 없음, 2장 이내, 첫 방문자의 신청 절차 항목을 첫 장에 제시. 대상의 최종 연결은 현재 조회 결과와 함께 확정합니다.</x:v>
      </x:c>
      <x:c r="L291" s="11"/>
      <x:c r="M291" s="11"/>
      <x:c r="N291" s="10" t="str">
        <x:v>NOT_MODELED</x:v>
      </x:c>
    </x:row>
    <x:row r="292" ht="85" customHeight="1">
      <x:c r="A292" s="10" t="str">
        <x:v>T-REL</x:v>
      </x:c>
      <x:c r="B292" s="10" t="str">
        <x:v>TEXT</x:v>
      </x:c>
      <x:c r="C292" s="10" t="str">
        <x:v>TEXT:SYN-F05-08</x:v>
      </x:c>
      <x:c r="D292" s="10" t="str">
        <x:v>TEXT:SYN-F05-08-U01</x:v>
      </x:c>
      <x:c r="E292" s="10" t="str">
        <x:v>T-F05</x:v>
      </x:c>
      <x:c r="F292" s="10" t="n">
        <x:v>1</x:v>
      </x:c>
      <x:c r="G292" s="11" t="n">
        <x:v>0</x:v>
      </x:c>
      <x:c r="H292" s="11" t="n">
        <x:v>2.341179</x:v>
      </x:c>
      <x:c r="I292" s="11" t="n">
        <x:f>H292-G292</x:f>
        <x:v>2.341179</x:v>
      </x:c>
      <x:c r="J292" s="10" t="str">
        <x:v>나중에 정정해서 지역 파트너 설명회용 구성이 좋다고 했던 자료로 캠페인 계획 발표자료를 4장 이내로 만들어줘. 안내문 500자 이하, 운영 5주 조건이고 외부 발송은 하지 마.</x:v>
      </x:c>
      <x:c r="K292" s="10" t="str">
        <x:v>SYN-F05-08:D2@v1의 구성을 기준으로 지역 파트너 설명회용 캠페인 계획 발표자료를 4장 이내로 작성하도록 준비하겠습니다.</x:v>
      </x:c>
      <x:c r="L292" s="11"/>
      <x:c r="M292" s="11"/>
      <x:c r="N292" s="10" t="str">
        <x:v>NOT_MODELED</x:v>
      </x:c>
    </x:row>
    <x:row r="293" ht="85" customHeight="1">
      <x:c r="A293" s="10" t="str">
        <x:v>T-REL</x:v>
      </x:c>
      <x:c r="B293" s="10" t="str">
        <x:v>TEXT</x:v>
      </x:c>
      <x:c r="C293" s="10" t="str">
        <x:v>TEXT:SYN-F05-08</x:v>
      </x:c>
      <x:c r="D293" s="10" t="str">
        <x:v>TEXT:SYN-F05-08-U02</x:v>
      </x:c>
      <x:c r="E293" s="10" t="str">
        <x:v>T-F05</x:v>
      </x:c>
      <x:c r="F293" s="10" t="n">
        <x:v>2</x:v>
      </x:c>
      <x:c r="G293" s="11" t="n">
        <x:v>2.691179</x:v>
      </x:c>
      <x:c r="H293" s="11" t="n">
        <x:v>6.664608</x:v>
      </x:c>
      <x:c r="I293" s="11" t="n">
        <x:f>H293-G293</x:f>
        <x:v>3.9734290000000003</x:v>
      </x:c>
      <x:c r="J293" s="10" t="str">
        <x:v>그 자료 선택은 유지하고, 첫 방문자의 신청 절차 항목을 첫 장에 놓아줘. 일회성 촬영비는 빼고 2장 이내로 줄여줘.</x:v>
      </x:c>
      <x:c r="K293" s="10" t="str">
        <x:v>SYN-F05-08:D2@v1에 대해 노을 서비스 캠페인 캠페인 계획 발표자료 작성 위임을 진행하겠습니다. 적용 조건: 지역 파트너 설명회용, 안내문 500자 이하, 대상 기간 운영 5주, 외부 발송 없음, 2장 이내, 첫 방문자의 신청 절차 항목을 첫 장에 제시. 내용 출처: SYN-F05-08:D2@v1.</x:v>
      </x:c>
      <x:c r="L293" s="11"/>
      <x:c r="M293" s="11"/>
      <x:c r="N293" s="10" t="str">
        <x:v>NOT_MODELED</x:v>
      </x:c>
    </x:row>
    <x:row r="294" ht="85" customHeight="1">
      <x:c r="A294" s="10" t="str">
        <x:v>T-BASE</x:v>
      </x:c>
      <x:c r="B294" s="10" t="str">
        <x:v>TEXT</x:v>
      </x:c>
      <x:c r="C294" s="10" t="str">
        <x:v>TEXT:SYN-F05-09</x:v>
      </x:c>
      <x:c r="D294" s="10" t="str">
        <x:v>TEXT:SYN-F05-09-U01</x:v>
      </x:c>
      <x:c r="E294" s="10" t="str">
        <x:v>T-F05</x:v>
      </x:c>
      <x:c r="F294" s="10" t="n">
        <x:v>1</x:v>
      </x:c>
      <x:c r="G294" s="11" t="n">
        <x:v>0</x:v>
      </x:c>
      <x:c r="H294" s="11" t="n">
        <x:v>2.224714</x:v>
      </x:c>
      <x:c r="I294" s="11" t="n">
        <x:f>H294-G294</x:f>
        <x:v>2.224714</x:v>
      </x:c>
      <x:c r="J294" s="10" t="str">
        <x:v>나중에 정정해서 배송 협력사 설명회용 구성이 좋다고 했던 자료로 배치 변경 발표자료를 7장 이내로 만들어줘. 주문당 이동 180m 이하, 적용 후 4주 조건이고 외부 발송은 하지 마.</x:v>
      </x:c>
      <x:c r="K294" s="10" t="str">
        <x:v>SYN-F05-09:D1@v1의 구성을 기준으로 배송 협력사 설명회용 배치 변경 발표자료를 7장 이내로 작성하도록 준비하겠습니다.</x:v>
      </x:c>
      <x:c r="L294" s="11"/>
      <x:c r="M294" s="11"/>
      <x:c r="N294" s="10" t="str">
        <x:v>NOT_MODELED</x:v>
      </x:c>
    </x:row>
    <x:row r="295" ht="85" customHeight="1">
      <x:c r="A295" s="10" t="str">
        <x:v>T-BASE</x:v>
      </x:c>
      <x:c r="B295" s="10" t="str">
        <x:v>TEXT</x:v>
      </x:c>
      <x:c r="C295" s="10" t="str">
        <x:v>TEXT:SYN-F05-09</x:v>
      </x:c>
      <x:c r="D295" s="10" t="str">
        <x:v>TEXT:SYN-F05-09-U02</x:v>
      </x:c>
      <x:c r="E295" s="10" t="str">
        <x:v>T-F05</x:v>
      </x:c>
      <x:c r="F295" s="10" t="n">
        <x:v>2</x:v>
      </x:c>
      <x:c r="G295" s="11" t="n">
        <x:v>2.574714</x:v>
      </x:c>
      <x:c r="H295" s="11" t="n">
        <x:v>6.489821</x:v>
      </x:c>
      <x:c r="I295" s="11" t="n">
        <x:f>H295-G295</x:f>
        <x:v>3.915107</x:v>
      </x:c>
      <x:c r="J295" s="10" t="str">
        <x:v>그 자료 선택은 유지하고, 동시 피킹 교차 구간 항목을 첫 장에 놓아줘. 선반 구매비는 빼고 4장 이내로 줄여줘.</x:v>
      </x:c>
      <x:c r="K295" s="10" t="str">
        <x:v>정정 후 선택한 SYN-F05-09:D1@v1는 유지하고 동시 피킹 교차 구간 항목을 먼저 보여주는 4장 구성으로 바꾸겠습니다.</x:v>
      </x:c>
      <x:c r="L295" s="11"/>
      <x:c r="M295" s="11"/>
      <x:c r="N295" s="10" t="str">
        <x:v>NOT_MODELED</x:v>
      </x:c>
    </x:row>
    <x:row r="296" ht="85" customHeight="1">
      <x:c r="A296" s="10" t="str">
        <x:v>T-EXEC</x:v>
      </x:c>
      <x:c r="B296" s="10" t="str">
        <x:v>TEXT</x:v>
      </x:c>
      <x:c r="C296" s="10" t="str">
        <x:v>TEXT:SYN-F05-09</x:v>
      </x:c>
      <x:c r="D296" s="10" t="str">
        <x:v>TEXT:SYN-F05-09-U01</x:v>
      </x:c>
      <x:c r="E296" s="10" t="str">
        <x:v>T-F05</x:v>
      </x:c>
      <x:c r="F296" s="10" t="n">
        <x:v>1</x:v>
      </x:c>
      <x:c r="G296" s="11" t="n">
        <x:v>0</x:v>
      </x:c>
      <x:c r="H296" s="11" t="n">
        <x:v>2.224714</x:v>
      </x:c>
      <x:c r="I296" s="11" t="n">
        <x:f>H296-G296</x:f>
        <x:v>2.224714</x:v>
      </x:c>
      <x:c r="J296" s="10" t="str">
        <x:v>나중에 정정해서 배송 협력사 설명회용 구성이 좋다고 했던 자료로 배치 변경 발표자료를 7장 이내로 만들어줘. 주문당 이동 180m 이하, 적용 후 4주 조건이고 외부 발송은 하지 마.</x:v>
      </x:c>
      <x:c r="K296" s="10" t="str">
        <x:v>SYN-F05-09:D1@v1의 구성을 기준으로 배송 협력사 설명회용 배치 변경 발표자료를 7장 이내로 작성하도록 준비하겠습니다.</x:v>
      </x:c>
      <x:c r="L296" s="11"/>
      <x:c r="M296" s="11"/>
      <x:c r="N296" s="10" t="str">
        <x:v>NOT_MODELED</x:v>
      </x:c>
    </x:row>
    <x:row r="297" ht="85" customHeight="1">
      <x:c r="A297" s="10" t="str">
        <x:v>T-EXEC</x:v>
      </x:c>
      <x:c r="B297" s="10" t="str">
        <x:v>TEXT</x:v>
      </x:c>
      <x:c r="C297" s="10" t="str">
        <x:v>TEXT:SYN-F05-09</x:v>
      </x:c>
      <x:c r="D297" s="10" t="str">
        <x:v>TEXT:SYN-F05-09-U02</x:v>
      </x:c>
      <x:c r="E297" s="10" t="str">
        <x:v>T-F05</x:v>
      </x:c>
      <x:c r="F297" s="10" t="n">
        <x:v>2</x:v>
      </x:c>
      <x:c r="G297" s="11" t="n">
        <x:v>2.574714</x:v>
      </x:c>
      <x:c r="H297" s="11" t="n">
        <x:v>5.18475</x:v>
      </x:c>
      <x:c r="I297" s="11" t="n">
        <x:f>H297-G297</x:f>
        <x:v>2.610036</x:v>
      </x:c>
      <x:c r="J297" s="10" t="str">
        <x:v>그 자료 선택은 유지하고, 동시 피킹 교차 구간 항목을 첫 장에 놓아줘. 선반 구매비는 빼고 4장 이내로 줄여줘.</x:v>
      </x:c>
      <x:c r="K297" s="10" t="str">
        <x:v>파도 창고배치 변경 배치 변경 발표자료 작성 위임에 이번 조건을 적용하겠습니다: 배송 협력사 설명회용, 주문당 이동 180m 이하, 대상 기간 적용 후 4주, 외부 발송 없음, 4장 이내, 동시 피킹 교차 구간 항목을 첫 장에 제시, 선반 구매비 제외. 대상의 최종 연결은 현재 조회 결과와 함께 확정합니다.</x:v>
      </x:c>
      <x:c r="L297" s="11"/>
      <x:c r="M297" s="11"/>
      <x:c r="N297" s="10" t="str">
        <x:v>NOT_MODELED</x:v>
      </x:c>
    </x:row>
    <x:row r="298" ht="85" customHeight="1">
      <x:c r="A298" s="10" t="str">
        <x:v>T-REL</x:v>
      </x:c>
      <x:c r="B298" s="10" t="str">
        <x:v>TEXT</x:v>
      </x:c>
      <x:c r="C298" s="10" t="str">
        <x:v>TEXT:SYN-F05-09</x:v>
      </x:c>
      <x:c r="D298" s="10" t="str">
        <x:v>TEXT:SYN-F05-09-U01</x:v>
      </x:c>
      <x:c r="E298" s="10" t="str">
        <x:v>T-F05</x:v>
      </x:c>
      <x:c r="F298" s="10" t="n">
        <x:v>1</x:v>
      </x:c>
      <x:c r="G298" s="11" t="n">
        <x:v>0</x:v>
      </x:c>
      <x:c r="H298" s="11" t="n">
        <x:v>2.354</x:v>
      </x:c>
      <x:c r="I298" s="11" t="n">
        <x:f>H298-G298</x:f>
        <x:v>2.354</x:v>
      </x:c>
      <x:c r="J298" s="10" t="str">
        <x:v>나중에 정정해서 배송 협력사 설명회용 구성이 좋다고 했던 자료로 배치 변경 발표자료를 7장 이내로 만들어줘. 주문당 이동 180m 이하, 적용 후 4주 조건이고 외부 발송은 하지 마.</x:v>
      </x:c>
      <x:c r="K298" s="10" t="str">
        <x:v>SYN-F05-09:D1@v1의 구성을 기준으로 배송 협력사 설명회용 배치 변경 발표자료를 7장 이내로 작성하도록 준비하겠습니다.</x:v>
      </x:c>
      <x:c r="L298" s="11"/>
      <x:c r="M298" s="11"/>
      <x:c r="N298" s="10" t="str">
        <x:v>NOT_MODELED</x:v>
      </x:c>
    </x:row>
    <x:row r="299" ht="85" customHeight="1">
      <x:c r="A299" s="10" t="str">
        <x:v>T-REL</x:v>
      </x:c>
      <x:c r="B299" s="10" t="str">
        <x:v>TEXT</x:v>
      </x:c>
      <x:c r="C299" s="10" t="str">
        <x:v>TEXT:SYN-F05-09</x:v>
      </x:c>
      <x:c r="D299" s="10" t="str">
        <x:v>TEXT:SYN-F05-09-U02</x:v>
      </x:c>
      <x:c r="E299" s="10" t="str">
        <x:v>T-F05</x:v>
      </x:c>
      <x:c r="F299" s="10" t="n">
        <x:v>2</x:v>
      </x:c>
      <x:c r="G299" s="11" t="n">
        <x:v>2.704</x:v>
      </x:c>
      <x:c r="H299" s="11" t="n">
        <x:v>6.73525</x:v>
      </x:c>
      <x:c r="I299" s="11" t="n">
        <x:f>H299-G299</x:f>
        <x:v>4.03125</x:v>
      </x:c>
      <x:c r="J299" s="10" t="str">
        <x:v>그 자료 선택은 유지하고, 동시 피킹 교차 구간 항목을 첫 장에 놓아줘. 선반 구매비는 빼고 4장 이내로 줄여줘.</x:v>
      </x:c>
      <x:c r="K299" s="10" t="str">
        <x:v>정정 후 선택한 SYN-F05-09:D1@v1는 유지하고 동시 피킹 교차 구간 항목을 먼저 보여주는 4장 구성으로 바꾸겠습니다.</x:v>
      </x:c>
      <x:c r="L299" s="11"/>
      <x:c r="M299" s="11"/>
      <x:c r="N299" s="10" t="str">
        <x:v>NOT_MODELED</x:v>
      </x:c>
    </x:row>
    <x:row r="300" ht="85" customHeight="1">
      <x:c r="A300" s="10" t="str">
        <x:v>T-BASE</x:v>
      </x:c>
      <x:c r="B300" s="10" t="str">
        <x:v>TEXT</x:v>
      </x:c>
      <x:c r="C300" s="10" t="str">
        <x:v>TEXT:SYN-F05-10</x:v>
      </x:c>
      <x:c r="D300" s="10" t="str">
        <x:v>TEXT:SYN-F05-10-U01</x:v>
      </x:c>
      <x:c r="E300" s="10" t="str">
        <x:v>T-F05</x:v>
      </x:c>
      <x:c r="F300" s="10" t="n">
        <x:v>1</x:v>
      </x:c>
      <x:c r="G300" s="11" t="n">
        <x:v>0</x:v>
      </x:c>
      <x:c r="H300" s="11" t="n">
        <x:v>2.187536</x:v>
      </x:c>
      <x:c r="I300" s="11" t="n">
        <x:f>H300-G300</x:f>
        <x:v>2.187536</x:v>
      </x:c>
      <x:c r="J300" s="10" t="str">
        <x:v>나중에 정정해서 부서대표 설명회용 구성이 좋다고 했던 자료로 포털 개선 발표자료를 5장 이내로 만들어줘. 첫 화면 메뉴 9개 이하, 출시 후 2개월 조건이고 외부 발송은 하지 마.</x:v>
      </x:c>
      <x:c r="K300" s="10" t="str">
        <x:v>SYN-F05-10:D3@v1의 구성을 기준으로 부서대표 설명회용 포털 개선 발표자료를 5장 이내로 작성하도록 준비하겠습니다.</x:v>
      </x:c>
      <x:c r="L300" s="11"/>
      <x:c r="M300" s="11"/>
      <x:c r="N300" s="10" t="str">
        <x:v>NOT_MODELED</x:v>
      </x:c>
    </x:row>
    <x:row r="301" ht="85" customHeight="1">
      <x:c r="A301" s="10" t="str">
        <x:v>T-BASE</x:v>
      </x:c>
      <x:c r="B301" s="10" t="str">
        <x:v>TEXT</x:v>
      </x:c>
      <x:c r="C301" s="10" t="str">
        <x:v>TEXT:SYN-F05-10</x:v>
      </x:c>
      <x:c r="D301" s="10" t="str">
        <x:v>TEXT:SYN-F05-10-U02</x:v>
      </x:c>
      <x:c r="E301" s="10" t="str">
        <x:v>T-F05</x:v>
      </x:c>
      <x:c r="F301" s="10" t="n">
        <x:v>2</x:v>
      </x:c>
      <x:c r="G301" s="11" t="n">
        <x:v>2.537536</x:v>
      </x:c>
      <x:c r="H301" s="11" t="n">
        <x:v>6.460465</x:v>
      </x:c>
      <x:c r="I301" s="11" t="n">
        <x:f>H301-G301</x:f>
        <x:v>3.9229290000000003</x:v>
      </x:c>
      <x:c r="J301" s="10" t="str">
        <x:v>그 자료 선택은 유지하고, 반복 문의의 메뉴 접근 항목을 첫 장에 놓아줘. 초기 이전비는 빼고 3장 이내로 줄여줘.</x:v>
      </x:c>
      <x:c r="K301" s="10" t="str">
        <x:v>정정 후 선택한 SYN-F05-10:D3@v1는 유지하고 반복 문의의 메뉴 접근 항목을 먼저 보여주는 3장 구성으로 바꾸겠습니다.</x:v>
      </x:c>
      <x:c r="L301" s="11"/>
      <x:c r="M301" s="11"/>
      <x:c r="N301" s="10" t="str">
        <x:v>NOT_MODELED</x:v>
      </x:c>
    </x:row>
    <x:row r="302" ht="85" customHeight="1">
      <x:c r="A302" s="10" t="str">
        <x:v>T-EXEC</x:v>
      </x:c>
      <x:c r="B302" s="10" t="str">
        <x:v>TEXT</x:v>
      </x:c>
      <x:c r="C302" s="10" t="str">
        <x:v>TEXT:SYN-F05-10</x:v>
      </x:c>
      <x:c r="D302" s="10" t="str">
        <x:v>TEXT:SYN-F05-10-U01</x:v>
      </x:c>
      <x:c r="E302" s="10" t="str">
        <x:v>T-F05</x:v>
      </x:c>
      <x:c r="F302" s="10" t="n">
        <x:v>1</x:v>
      </x:c>
      <x:c r="G302" s="11" t="n">
        <x:v>0</x:v>
      </x:c>
      <x:c r="H302" s="11" t="n">
        <x:v>2.187536</x:v>
      </x:c>
      <x:c r="I302" s="11" t="n">
        <x:f>H302-G302</x:f>
        <x:v>2.187536</x:v>
      </x:c>
      <x:c r="J302" s="10" t="str">
        <x:v>나중에 정정해서 부서대표 설명회용 구성이 좋다고 했던 자료로 포털 개선 발표자료를 5장 이내로 만들어줘. 첫 화면 메뉴 9개 이하, 출시 후 2개월 조건이고 외부 발송은 하지 마.</x:v>
      </x:c>
      <x:c r="K302" s="10" t="str">
        <x:v>SYN-F05-10:D3@v1의 구성을 기준으로 부서대표 설명회용 포털 개선 발표자료를 5장 이내로 작성하도록 준비하겠습니다.</x:v>
      </x:c>
      <x:c r="L302" s="11"/>
      <x:c r="M302" s="11"/>
      <x:c r="N302" s="10" t="str">
        <x:v>NOT_MODELED</x:v>
      </x:c>
    </x:row>
    <x:row r="303" ht="85" customHeight="1">
      <x:c r="A303" s="10" t="str">
        <x:v>T-EXEC</x:v>
      </x:c>
      <x:c r="B303" s="10" t="str">
        <x:v>TEXT</x:v>
      </x:c>
      <x:c r="C303" s="10" t="str">
        <x:v>TEXT:SYN-F05-10</x:v>
      </x:c>
      <x:c r="D303" s="10" t="str">
        <x:v>TEXT:SYN-F05-10-U02</x:v>
      </x:c>
      <x:c r="E303" s="10" t="str">
        <x:v>T-F05</x:v>
      </x:c>
      <x:c r="F303" s="10" t="n">
        <x:v>2</x:v>
      </x:c>
      <x:c r="G303" s="11" t="n">
        <x:v>2.537536</x:v>
      </x:c>
      <x:c r="H303" s="11" t="n">
        <x:v>5.101322</x:v>
      </x:c>
      <x:c r="I303" s="11" t="n">
        <x:f>H303-G303</x:f>
        <x:v>2.563786</x:v>
      </x:c>
      <x:c r="J303" s="10" t="str">
        <x:v>그 자료 선택은 유지하고, 반복 문의의 메뉴 접근 항목을 첫 장에 놓아줘. 초기 이전비는 빼고 3장 이내로 줄여줘.</x:v>
      </x:c>
      <x:c r="K303" s="10" t="str">
        <x:v>온유 사내포털 개편 포털 개선 발표자료 작성 위임에 이번 조건을 적용하겠습니다: 부서대표 설명회용, 첫 화면 메뉴 9개 이하, 대상 기간 출시 후 2개월, 외부 발송 없음, 3장 이내, 반복 문의의 메뉴 접근 항목을 첫 장에 제시, 초기 이전비 제외. 대상의 최종 연결은 현재 조회 결과와 함께 확정합니다.</x:v>
      </x:c>
      <x:c r="L303" s="11"/>
      <x:c r="M303" s="11"/>
      <x:c r="N303" s="10" t="str">
        <x:v>NOT_MODELED</x:v>
      </x:c>
    </x:row>
    <x:row r="304" ht="85" customHeight="1">
      <x:c r="A304" s="10" t="str">
        <x:v>T-REL</x:v>
      </x:c>
      <x:c r="B304" s="10" t="str">
        <x:v>TEXT</x:v>
      </x:c>
      <x:c r="C304" s="10" t="str">
        <x:v>TEXT:SYN-F05-10</x:v>
      </x:c>
      <x:c r="D304" s="10" t="str">
        <x:v>TEXT:SYN-F05-10-U01</x:v>
      </x:c>
      <x:c r="E304" s="10" t="str">
        <x:v>T-F05</x:v>
      </x:c>
      <x:c r="F304" s="10" t="n">
        <x:v>1</x:v>
      </x:c>
      <x:c r="G304" s="11" t="n">
        <x:v>0</x:v>
      </x:c>
      <x:c r="H304" s="11" t="n">
        <x:v>2.316821</x:v>
      </x:c>
      <x:c r="I304" s="11" t="n">
        <x:f>H304-G304</x:f>
        <x:v>2.316821</x:v>
      </x:c>
      <x:c r="J304" s="10" t="str">
        <x:v>나중에 정정해서 부서대표 설명회용 구성이 좋다고 했던 자료로 포털 개선 발표자료를 5장 이내로 만들어줘. 첫 화면 메뉴 9개 이하, 출시 후 2개월 조건이고 외부 발송은 하지 마.</x:v>
      </x:c>
      <x:c r="K304" s="10" t="str">
        <x:v>SYN-F05-10:D3@v1의 구성을 기준으로 부서대표 설명회용 포털 개선 발표자료를 5장 이내로 작성하도록 준비하겠습니다.</x:v>
      </x:c>
      <x:c r="L304" s="11"/>
      <x:c r="M304" s="11"/>
      <x:c r="N304" s="10" t="str">
        <x:v>NOT_MODELED</x:v>
      </x:c>
    </x:row>
    <x:row r="305" ht="85" customHeight="1">
      <x:c r="A305" s="10" t="str">
        <x:v>T-REL</x:v>
      </x:c>
      <x:c r="B305" s="10" t="str">
        <x:v>TEXT</x:v>
      </x:c>
      <x:c r="C305" s="10" t="str">
        <x:v>TEXT:SYN-F05-10</x:v>
      </x:c>
      <x:c r="D305" s="10" t="str">
        <x:v>TEXT:SYN-F05-10-U02</x:v>
      </x:c>
      <x:c r="E305" s="10" t="str">
        <x:v>T-F05</x:v>
      </x:c>
      <x:c r="F305" s="10" t="n">
        <x:v>2</x:v>
      </x:c>
      <x:c r="G305" s="11" t="n">
        <x:v>2.666821</x:v>
      </x:c>
      <x:c r="H305" s="11" t="n">
        <x:v>6.705892</x:v>
      </x:c>
      <x:c r="I305" s="11" t="n">
        <x:f>H305-G305</x:f>
        <x:v>4.039071</x:v>
      </x:c>
      <x:c r="J305" s="10" t="str">
        <x:v>그 자료 선택은 유지하고, 반복 문의의 메뉴 접근 항목을 첫 장에 놓아줘. 초기 이전비는 빼고 3장 이내로 줄여줘.</x:v>
      </x:c>
      <x:c r="K305" s="10" t="str">
        <x:v>정정 후 선택한 SYN-F05-10:D3@v1는 유지하고 반복 문의의 메뉴 접근 항목을 먼저 보여주는 3장 구성으로 바꾸겠습니다.</x:v>
      </x:c>
      <x:c r="L305" s="11"/>
      <x:c r="M305" s="11"/>
      <x:c r="N305" s="10" t="str">
        <x:v>NOT_MODELED</x:v>
      </x:c>
    </x:row>
    <x:row r="306" ht="85" customHeight="1">
      <x:c r="A306" s="10" t="str">
        <x:v>T-BASE</x:v>
      </x:c>
      <x:c r="B306" s="10" t="str">
        <x:v>TEXT</x:v>
      </x:c>
      <x:c r="C306" s="10" t="str">
        <x:v>TEXT:SYN-F06-01</x:v>
      </x:c>
      <x:c r="D306" s="10" t="str">
        <x:v>TEXT:SYN-F06-01-U01</x:v>
      </x:c>
      <x:c r="E306" s="10" t="str">
        <x:v>T-F06</x:v>
      </x:c>
      <x:c r="F306" s="10" t="n">
        <x:v>1</x:v>
      </x:c>
      <x:c r="G306" s="11" t="n">
        <x:v>0</x:v>
      </x:c>
      <x:c r="H306" s="11" t="n">
        <x:v>2.202143</x:v>
      </x:c>
      <x:c r="I306" s="11" t="n">
        <x:f>H306-G306</x:f>
        <x:v>2.202143</x:v>
      </x:c>
      <x:c r="J306" s="10" t="str">
        <x:v>전에 서비스 운영위원회용으로 구성이 좋았던 자료를 써서 전환 검토 발표자료를 5장 이내로 만들어줘. 월 운영비 240만원 이하, 첫 12개월 조건이고 외부 발송은 하지 마.</x:v>
      </x:c>
      <x:c r="K306" s="10" t="str">
        <x:v>SYN-F06-01:D2@v1의 구성을 기준으로 서비스 운영위원회용 전환 검토 발표자료를 5장 이내로 작성하도록 준비하겠습니다.</x:v>
      </x:c>
      <x:c r="L306" s="11"/>
      <x:c r="M306" s="11"/>
      <x:c r="N306" s="10" t="str">
        <x:v>NOT_MODELED</x:v>
      </x:c>
    </x:row>
    <x:row r="307" ht="85" customHeight="1">
      <x:c r="A307" s="10" t="str">
        <x:v>T-BASE</x:v>
      </x:c>
      <x:c r="B307" s="10" t="str">
        <x:v>TEXT</x:v>
      </x:c>
      <x:c r="C307" s="10" t="str">
        <x:v>TEXT:SYN-F06-01</x:v>
      </x:c>
      <x:c r="D307" s="10" t="str">
        <x:v>TEXT:SYN-F06-01-U02</x:v>
      </x:c>
      <x:c r="E307" s="10" t="str">
        <x:v>T-F06</x:v>
      </x:c>
      <x:c r="F307" s="10" t="n">
        <x:v>2</x:v>
      </x:c>
      <x:c r="G307" s="11" t="n">
        <x:v>2.552143</x:v>
      </x:c>
      <x:c r="H307" s="11" t="n">
        <x:v>6.065536</x:v>
      </x:c>
      <x:c r="I307" s="11" t="n">
        <x:f>H307-G307</x:f>
        <x:v>3.5133929999999998</x:v>
      </x:c>
      <x:c r="J307" s="10" t="str">
        <x:v>같은 자료는 쓰되 이번에는 상담팀 실무회의용으로 바꿔. 장점보다 위험과 야간 상담 배정의 미확인 사항을 먼저 보여줘. 나머지 조건은 유지해.</x:v>
      </x:c>
      <x:c r="K307" s="10" t="str">
        <x:v>SYN-F06-01:D2@v1는 유지하고 상담팀 실무회의용으로 목적을 바꾸어 위험과 미확인 사항을 먼저 정리하겠습니다.</x:v>
      </x:c>
      <x:c r="L307" s="11"/>
      <x:c r="M307" s="11"/>
      <x:c r="N307" s="10" t="str">
        <x:v>NOT_MODELED</x:v>
      </x:c>
    </x:row>
    <x:row r="308" ht="85" customHeight="1">
      <x:c r="A308" s="10" t="str">
        <x:v>T-EXEC</x:v>
      </x:c>
      <x:c r="B308" s="10" t="str">
        <x:v>TEXT</x:v>
      </x:c>
      <x:c r="C308" s="10" t="str">
        <x:v>TEXT:SYN-F06-01</x:v>
      </x:c>
      <x:c r="D308" s="10" t="str">
        <x:v>TEXT:SYN-F06-01-U01</x:v>
      </x:c>
      <x:c r="E308" s="10" t="str">
        <x:v>T-F06</x:v>
      </x:c>
      <x:c r="F308" s="10" t="n">
        <x:v>1</x:v>
      </x:c>
      <x:c r="G308" s="11" t="n">
        <x:v>0</x:v>
      </x:c>
      <x:c r="H308" s="11" t="n">
        <x:v>2.202143</x:v>
      </x:c>
      <x:c r="I308" s="11" t="n">
        <x:f>H308-G308</x:f>
        <x:v>2.202143</x:v>
      </x:c>
      <x:c r="J308" s="10" t="str">
        <x:v>전에 서비스 운영위원회용으로 구성이 좋았던 자료를 써서 전환 검토 발표자료를 5장 이내로 만들어줘. 월 운영비 240만원 이하, 첫 12개월 조건이고 외부 발송은 하지 마.</x:v>
      </x:c>
      <x:c r="K308" s="10" t="str">
        <x:v>SYN-F06-01:D2@v1의 구성을 기준으로 서비스 운영위원회용 전환 검토 발표자료를 5장 이내로 작성하도록 준비하겠습니다.</x:v>
      </x:c>
      <x:c r="L308" s="11"/>
      <x:c r="M308" s="11"/>
      <x:c r="N308" s="10" t="str">
        <x:v>NOT_MODELED</x:v>
      </x:c>
    </x:row>
    <x:row r="309" ht="85" customHeight="1">
      <x:c r="A309" s="10" t="str">
        <x:v>T-EXEC</x:v>
      </x:c>
      <x:c r="B309" s="10" t="str">
        <x:v>TEXT</x:v>
      </x:c>
      <x:c r="C309" s="10" t="str">
        <x:v>TEXT:SYN-F06-01</x:v>
      </x:c>
      <x:c r="D309" s="10" t="str">
        <x:v>TEXT:SYN-F06-01-U02</x:v>
      </x:c>
      <x:c r="E309" s="10" t="str">
        <x:v>T-F06</x:v>
      </x:c>
      <x:c r="F309" s="10" t="n">
        <x:v>2</x:v>
      </x:c>
      <x:c r="G309" s="11" t="n">
        <x:v>2.552143</x:v>
      </x:c>
      <x:c r="H309" s="11" t="n">
        <x:v>5.080536</x:v>
      </x:c>
      <x:c r="I309" s="11" t="n">
        <x:f>H309-G309</x:f>
        <x:v>2.5283930000000003</x:v>
      </x:c>
      <x:c r="J309" s="10" t="str">
        <x:v>같은 자료는 쓰되 이번에는 상담팀 실무회의용으로 바꿔. 장점보다 위험과 야간 상담 배정의 미확인 사항을 먼저 보여줘. 나머지 조건은 유지해.</x:v>
      </x:c>
      <x:c r="K309" s="10" t="str">
        <x:v>오로라 고객센터 전환 전환 검토 발표자료 작성 위임에 이번 조건을 적용하겠습니다: 5장 이내, 월 운영비 240만원 이하, 대상 기간 첫 12개월, 외부 발송 없음, 서비스 운영위원회용, 장점 우선. 대상의 최종 연결은 현재 조회 결과와 함께 확정합니다.</x:v>
      </x:c>
      <x:c r="L309" s="11"/>
      <x:c r="M309" s="11"/>
      <x:c r="N309" s="10" t="str">
        <x:v>NOT_MODELED</x:v>
      </x:c>
    </x:row>
    <x:row r="310" ht="85" customHeight="1">
      <x:c r="A310" s="10" t="str">
        <x:v>T-REL</x:v>
      </x:c>
      <x:c r="B310" s="10" t="str">
        <x:v>TEXT</x:v>
      </x:c>
      <x:c r="C310" s="10" t="str">
        <x:v>TEXT:SYN-F06-01</x:v>
      </x:c>
      <x:c r="D310" s="10" t="str">
        <x:v>TEXT:SYN-F06-01-U01</x:v>
      </x:c>
      <x:c r="E310" s="10" t="str">
        <x:v>T-F06</x:v>
      </x:c>
      <x:c r="F310" s="10" t="n">
        <x:v>1</x:v>
      </x:c>
      <x:c r="G310" s="11" t="n">
        <x:v>0</x:v>
      </x:c>
      <x:c r="H310" s="11" t="n">
        <x:v>1.2375</x:v>
      </x:c>
      <x:c r="I310" s="11" t="n">
        <x:f>H310-G310</x:f>
        <x:v>1.2375</x:v>
      </x:c>
      <x:c r="J310" s="10" t="str">
        <x:v>전에 서비스 운영위원회용으로 구성이 좋았던 자료를 써서 전환 검토 발표자료를 5장 이내로 만들어줘. 월 운영비 240만원 이하, 첫 12개월 조건이고 외부 발송은 하지 마.</x:v>
      </x:c>
      <x:c r="K310" s="10" t="str">
        <x:v>SYN-F06-01:D2@v1의 구성을 기준으로 서비스 운영위원회용 전환 검토 발표자료를 5장 이내로 작성하도록 준비하겠습니다.</x:v>
      </x:c>
      <x:c r="L310" s="11"/>
      <x:c r="M310" s="11"/>
      <x:c r="N310" s="10" t="str">
        <x:v>NOT_MODELED</x:v>
      </x:c>
    </x:row>
    <x:row r="311" ht="85" customHeight="1">
      <x:c r="A311" s="10" t="str">
        <x:v>T-REL</x:v>
      </x:c>
      <x:c r="B311" s="10" t="str">
        <x:v>TEXT</x:v>
      </x:c>
      <x:c r="C311" s="10" t="str">
        <x:v>TEXT:SYN-F06-01</x:v>
      </x:c>
      <x:c r="D311" s="10" t="str">
        <x:v>TEXT:SYN-F06-01-U02</x:v>
      </x:c>
      <x:c r="E311" s="10" t="str">
        <x:v>T-F06</x:v>
      </x:c>
      <x:c r="F311" s="10" t="n">
        <x:v>2</x:v>
      </x:c>
      <x:c r="G311" s="11" t="n">
        <x:v>1.5875</x:v>
      </x:c>
      <x:c r="H311" s="11" t="n">
        <x:v>4.28425</x:v>
      </x:c>
      <x:c r="I311" s="11" t="n">
        <x:f>H311-G311</x:f>
        <x:v>2.69675</x:v>
      </x:c>
      <x:c r="J311" s="10" t="str">
        <x:v>같은 자료는 쓰되 이번에는 상담팀 실무회의용으로 바꿔. 장점보다 위험과 야간 상담 배정의 미확인 사항을 먼저 보여줘. 나머지 조건은 유지해.</x:v>
      </x:c>
      <x:c r="K311" s="10" t="str">
        <x:v>SYN-F06-01:D2@v1에 대해 오로라 고객센터 전환 전환 검토 발표자료 작성 위임을 진행하겠습니다. 적용 조건: 5장 이내, 월 운영비 240만원 이하, 대상 기간 첫 12개월, 외부 발송 없음, 서비스 운영위원회용, 장점 우선. 내용 출처: SYN-F06-01:D2@v1.</x:v>
      </x:c>
      <x:c r="L311" s="11"/>
      <x:c r="M311" s="11"/>
      <x:c r="N311" s="10" t="str">
        <x:v>NOT_MODELED</x:v>
      </x:c>
    </x:row>
    <x:row r="312" ht="85" customHeight="1">
      <x:c r="A312" s="10" t="str">
        <x:v>T-BASE</x:v>
      </x:c>
      <x:c r="B312" s="10" t="str">
        <x:v>TEXT</x:v>
      </x:c>
      <x:c r="C312" s="10" t="str">
        <x:v>TEXT:SYN-F06-02</x:v>
      </x:c>
      <x:c r="D312" s="10" t="str">
        <x:v>TEXT:SYN-F06-02-U01</x:v>
      </x:c>
      <x:c r="E312" s="10" t="str">
        <x:v>T-F06</x:v>
      </x:c>
      <x:c r="F312" s="10" t="n">
        <x:v>1</x:v>
      </x:c>
      <x:c r="G312" s="11" t="n">
        <x:v>0</x:v>
      </x:c>
      <x:c r="H312" s="11" t="n">
        <x:v>2.239964</x:v>
      </x:c>
      <x:c r="I312" s="11" t="n">
        <x:f>H312-G312</x:f>
        <x:v>2.239964</x:v>
      </x:c>
      <x:c r="J312" s="10" t="str">
        <x:v>전에 참가업체 설명회용으로 구성이 좋았던 자료를 써서 운영 제안 발표자료를 4장 이내로 만들어줘. 주말 운영 인력 12명 이하, 전시 4주 조건이고 외부 발송은 하지 마.</x:v>
      </x:c>
      <x:c r="K312" s="10" t="str">
        <x:v>SYN-F06-02:D1@v1의 구성을 기준으로 참가업체 설명회용 운영 제안 발표자료를 4장 이내로 작성하도록 준비하겠습니다.</x:v>
      </x:c>
      <x:c r="L312" s="11"/>
      <x:c r="M312" s="11"/>
      <x:c r="N312" s="10" t="str">
        <x:v>NOT_MODELED</x:v>
      </x:c>
    </x:row>
    <x:row r="313" ht="85" customHeight="1">
      <x:c r="A313" s="10" t="str">
        <x:v>T-BASE</x:v>
      </x:c>
      <x:c r="B313" s="10" t="str">
        <x:v>TEXT</x:v>
      </x:c>
      <x:c r="C313" s="10" t="str">
        <x:v>TEXT:SYN-F06-02</x:v>
      </x:c>
      <x:c r="D313" s="10" t="str">
        <x:v>TEXT:SYN-F06-02-U02</x:v>
      </x:c>
      <x:c r="E313" s="10" t="str">
        <x:v>T-F06</x:v>
      </x:c>
      <x:c r="F313" s="10" t="n">
        <x:v>2</x:v>
      </x:c>
      <x:c r="G313" s="11" t="n">
        <x:v>2.589964</x:v>
      </x:c>
      <x:c r="H313" s="11" t="n">
        <x:v>6.186178</x:v>
      </x:c>
      <x:c r="I313" s="11" t="n">
        <x:f>H313-G313</x:f>
        <x:v>3.596214</x:v>
      </x:c>
      <x:c r="J313" s="10" t="str">
        <x:v>같은 자료는 쓰되 이번에는 전시 운영회의용으로 바꿔. 장점보다 위험과 혼잡 시간 입장 동선의 미확인 사항을 먼저 보여줘. 나머지 조건은 유지해.</x:v>
      </x:c>
      <x:c r="K313" s="10" t="str">
        <x:v>SYN-F06-02:D1@v1는 유지하고 전시 운영회의용으로 목적을 바꾸어 위험과 미확인 사항을 먼저 정리하겠습니다.</x:v>
      </x:c>
      <x:c r="L313" s="11"/>
      <x:c r="M313" s="11"/>
      <x:c r="N313" s="10" t="str">
        <x:v>NOT_MODELED</x:v>
      </x:c>
    </x:row>
    <x:row r="314" ht="85" customHeight="1">
      <x:c r="A314" s="10" t="str">
        <x:v>T-EXEC</x:v>
      </x:c>
      <x:c r="B314" s="10" t="str">
        <x:v>TEXT</x:v>
      </x:c>
      <x:c r="C314" s="10" t="str">
        <x:v>TEXT:SYN-F06-02</x:v>
      </x:c>
      <x:c r="D314" s="10" t="str">
        <x:v>TEXT:SYN-F06-02-U01</x:v>
      </x:c>
      <x:c r="E314" s="10" t="str">
        <x:v>T-F06</x:v>
      </x:c>
      <x:c r="F314" s="10" t="n">
        <x:v>1</x:v>
      </x:c>
      <x:c r="G314" s="11" t="n">
        <x:v>0</x:v>
      </x:c>
      <x:c r="H314" s="11" t="n">
        <x:v>2.239964</x:v>
      </x:c>
      <x:c r="I314" s="11" t="n">
        <x:f>H314-G314</x:f>
        <x:v>2.239964</x:v>
      </x:c>
      <x:c r="J314" s="10" t="str">
        <x:v>전에 참가업체 설명회용으로 구성이 좋았던 자료를 써서 운영 제안 발표자료를 4장 이내로 만들어줘. 주말 운영 인력 12명 이하, 전시 4주 조건이고 외부 발송은 하지 마.</x:v>
      </x:c>
      <x:c r="K314" s="10" t="str">
        <x:v>SYN-F06-02:D1@v1의 구성을 기준으로 참가업체 설명회용 운영 제안 발표자료를 4장 이내로 작성하도록 준비하겠습니다.</x:v>
      </x:c>
      <x:c r="L314" s="11"/>
      <x:c r="M314" s="11"/>
      <x:c r="N314" s="10" t="str">
        <x:v>NOT_MODELED</x:v>
      </x:c>
    </x:row>
    <x:row r="315" ht="85" customHeight="1">
      <x:c r="A315" s="10" t="str">
        <x:v>T-EXEC</x:v>
      </x:c>
      <x:c r="B315" s="10" t="str">
        <x:v>TEXT</x:v>
      </x:c>
      <x:c r="C315" s="10" t="str">
        <x:v>TEXT:SYN-F06-02</x:v>
      </x:c>
      <x:c r="D315" s="10" t="str">
        <x:v>TEXT:SYN-F06-02-U02</x:v>
      </x:c>
      <x:c r="E315" s="10" t="str">
        <x:v>T-F06</x:v>
      </x:c>
      <x:c r="F315" s="10" t="n">
        <x:v>2</x:v>
      </x:c>
      <x:c r="G315" s="11" t="n">
        <x:v>2.589964</x:v>
      </x:c>
      <x:c r="H315" s="11" t="n">
        <x:v>5.165857</x:v>
      </x:c>
      <x:c r="I315" s="11" t="n">
        <x:f>H315-G315</x:f>
        <x:v>2.5758929999999998</x:v>
      </x:c>
      <x:c r="J315" s="10" t="str">
        <x:v>같은 자료는 쓰되 이번에는 전시 운영회의용으로 바꿔. 장점보다 위험과 혼잡 시간 입장 동선의 미확인 사항을 먼저 보여줘. 나머지 조건은 유지해.</x:v>
      </x:c>
      <x:c r="K315" s="10" t="str">
        <x:v>봄길 지역전시 준비 운영 제안 발표자료 작성 위임에 이번 조건을 적용하겠습니다: 4장 이내, 주말 운영 인력 12명 이하, 대상 기간 전시 4주, 외부 발송 없음, 전시 운영회의용, 위험 우선, 혼잡 시간 입장 동선의 미확인 사항 우선. 대상의 최종 연결은 현재 조회 결과와 함께 확정합니다.</x:v>
      </x:c>
      <x:c r="L315" s="11"/>
      <x:c r="M315" s="11"/>
      <x:c r="N315" s="10" t="str">
        <x:v>NOT_MODELED</x:v>
      </x:c>
    </x:row>
    <x:row r="316" ht="85" customHeight="1">
      <x:c r="A316" s="10" t="str">
        <x:v>T-REL</x:v>
      </x:c>
      <x:c r="B316" s="10" t="str">
        <x:v>TEXT</x:v>
      </x:c>
      <x:c r="C316" s="10" t="str">
        <x:v>TEXT:SYN-F06-02</x:v>
      </x:c>
      <x:c r="D316" s="10" t="str">
        <x:v>TEXT:SYN-F06-02-U01</x:v>
      </x:c>
      <x:c r="E316" s="10" t="str">
        <x:v>T-F06</x:v>
      </x:c>
      <x:c r="F316" s="10" t="n">
        <x:v>1</x:v>
      </x:c>
      <x:c r="G316" s="11" t="n">
        <x:v>0</x:v>
      </x:c>
      <x:c r="H316" s="11" t="n">
        <x:v>1.250321</x:v>
      </x:c>
      <x:c r="I316" s="11" t="n">
        <x:f>H316-G316</x:f>
        <x:v>1.250321</x:v>
      </x:c>
      <x:c r="J316" s="10" t="str">
        <x:v>전에 참가업체 설명회용으로 구성이 좋았던 자료를 써서 운영 제안 발표자료를 4장 이내로 만들어줘. 주말 운영 인력 12명 이하, 전시 4주 조건이고 외부 발송은 하지 마.</x:v>
      </x:c>
      <x:c r="K316" s="10" t="str">
        <x:v>SYN-F06-02:D1@v1의 구성을 기준으로 참가업체 설명회용 운영 제안 발표자료를 4장 이내로 작성하도록 준비하겠습니다.</x:v>
      </x:c>
      <x:c r="L316" s="11"/>
      <x:c r="M316" s="11"/>
      <x:c r="N316" s="10" t="str">
        <x:v>NOT_MODELED</x:v>
      </x:c>
    </x:row>
    <x:row r="317" ht="85" customHeight="1">
      <x:c r="A317" s="10" t="str">
        <x:v>T-REL</x:v>
      </x:c>
      <x:c r="B317" s="10" t="str">
        <x:v>TEXT</x:v>
      </x:c>
      <x:c r="C317" s="10" t="str">
        <x:v>TEXT:SYN-F06-02</x:v>
      </x:c>
      <x:c r="D317" s="10" t="str">
        <x:v>TEXT:SYN-F06-02-U02</x:v>
      </x:c>
      <x:c r="E317" s="10" t="str">
        <x:v>T-F06</x:v>
      </x:c>
      <x:c r="F317" s="10" t="n">
        <x:v>2</x:v>
      </x:c>
      <x:c r="G317" s="11" t="n">
        <x:v>1.600321</x:v>
      </x:c>
      <x:c r="H317" s="11" t="n">
        <x:v>4.354892</x:v>
      </x:c>
      <x:c r="I317" s="11" t="n">
        <x:f>H317-G317</x:f>
        <x:v>2.7545710000000003</x:v>
      </x:c>
      <x:c r="J317" s="10" t="str">
        <x:v>같은 자료는 쓰되 이번에는 전시 운영회의용으로 바꿔. 장점보다 위험과 혼잡 시간 입장 동선의 미확인 사항을 먼저 보여줘. 나머지 조건은 유지해.</x:v>
      </x:c>
      <x:c r="K317" s="10" t="str">
        <x:v>SYN-F06-02:D1@v1는 유지하고 전시 운영회의용으로 목적을 바꾸어 위험과 미확인 사항을 먼저 정리하겠습니다.</x:v>
      </x:c>
      <x:c r="L317" s="11"/>
      <x:c r="M317" s="11"/>
      <x:c r="N317" s="10" t="str">
        <x:v>NOT_MODELED</x:v>
      </x:c>
    </x:row>
    <x:row r="318" ht="85" customHeight="1">
      <x:c r="A318" s="10" t="str">
        <x:v>T-BASE</x:v>
      </x:c>
      <x:c r="B318" s="10" t="str">
        <x:v>TEXT</x:v>
      </x:c>
      <x:c r="C318" s="10" t="str">
        <x:v>TEXT:SYN-F06-03</x:v>
      </x:c>
      <x:c r="D318" s="10" t="str">
        <x:v>TEXT:SYN-F06-03-U01</x:v>
      </x:c>
      <x:c r="E318" s="10" t="str">
        <x:v>T-F06</x:v>
      </x:c>
      <x:c r="F318" s="10" t="n">
        <x:v>1</x:v>
      </x:c>
      <x:c r="G318" s="11" t="n">
        <x:v>0</x:v>
      </x:c>
      <x:c r="H318" s="11" t="n">
        <x:v>2.277786</x:v>
      </x:c>
      <x:c r="I318" s="11" t="n">
        <x:f>H318-G318</x:f>
        <x:v>2.277786</x:v>
      </x:c>
      <x:c r="J318" s="10" t="str">
        <x:v>전에 교육 승인위원회용으로 구성이 좋았던 자료를 써서 교육 개편 발표자료를 6장 이내로 만들어줘. 참가자당 교육시간 18시간 이하, 입사 후 3주 조건이고 외부 발송은 하지 마.</x:v>
      </x:c>
      <x:c r="K318" s="10" t="str">
        <x:v>SYN-F06-03:D3@v1의 구성을 기준으로 교육 승인위원회용 교육 개편 발표자료를 6장 이내로 작성하도록 준비하겠습니다.</x:v>
      </x:c>
      <x:c r="L318" s="11"/>
      <x:c r="M318" s="11"/>
      <x:c r="N318" s="10" t="str">
        <x:v>NOT_MODELED</x:v>
      </x:c>
    </x:row>
    <x:row r="319" ht="85" customHeight="1">
      <x:c r="A319" s="10" t="str">
        <x:v>T-BASE</x:v>
      </x:c>
      <x:c r="B319" s="10" t="str">
        <x:v>TEXT</x:v>
      </x:c>
      <x:c r="C319" s="10" t="str">
        <x:v>TEXT:SYN-F06-03</x:v>
      </x:c>
      <x:c r="D319" s="10" t="str">
        <x:v>TEXT:SYN-F06-03-U02</x:v>
      </x:c>
      <x:c r="E319" s="10" t="str">
        <x:v>T-F06</x:v>
      </x:c>
      <x:c r="F319" s="10" t="n">
        <x:v>2</x:v>
      </x:c>
      <x:c r="G319" s="11" t="n">
        <x:v>2.627786</x:v>
      </x:c>
      <x:c r="H319" s="11" t="n">
        <x:v>6.306822</x:v>
      </x:c>
      <x:c r="I319" s="11" t="n">
        <x:f>H319-G319</x:f>
        <x:v>3.6790360000000004</x:v>
      </x:c>
      <x:c r="J319" s="10" t="str">
        <x:v>같은 자료는 쓰되 이번에는 강사 준비회의용으로 바꿔. 장점보다 위험과 실습과 피드백 순서의 미확인 사항을 먼저 보여줘. 나머지 조건은 유지해.</x:v>
      </x:c>
      <x:c r="K319" s="10" t="str">
        <x:v>SYN-F06-03:D3@v1는 유지하고 강사 준비회의용으로 목적을 바꾸어 위험과 미확인 사항을 먼저 정리하겠습니다.</x:v>
      </x:c>
      <x:c r="L319" s="11"/>
      <x:c r="M319" s="11"/>
      <x:c r="N319" s="10" t="str">
        <x:v>NOT_MODELED</x:v>
      </x:c>
    </x:row>
    <x:row r="320" ht="85" customHeight="1">
      <x:c r="A320" s="10" t="str">
        <x:v>T-EXEC</x:v>
      </x:c>
      <x:c r="B320" s="10" t="str">
        <x:v>TEXT</x:v>
      </x:c>
      <x:c r="C320" s="10" t="str">
        <x:v>TEXT:SYN-F06-03</x:v>
      </x:c>
      <x:c r="D320" s="10" t="str">
        <x:v>TEXT:SYN-F06-03-U01</x:v>
      </x:c>
      <x:c r="E320" s="10" t="str">
        <x:v>T-F06</x:v>
      </x:c>
      <x:c r="F320" s="10" t="n">
        <x:v>1</x:v>
      </x:c>
      <x:c r="G320" s="11" t="n">
        <x:v>0</x:v>
      </x:c>
      <x:c r="H320" s="11" t="n">
        <x:v>2.277786</x:v>
      </x:c>
      <x:c r="I320" s="11" t="n">
        <x:f>H320-G320</x:f>
        <x:v>2.277786</x:v>
      </x:c>
      <x:c r="J320" s="10" t="str">
        <x:v>전에 교육 승인위원회용으로 구성이 좋았던 자료를 써서 교육 개편 발표자료를 6장 이내로 만들어줘. 참가자당 교육시간 18시간 이하, 입사 후 3주 조건이고 외부 발송은 하지 마.</x:v>
      </x:c>
      <x:c r="K320" s="10" t="str">
        <x:v>SYN-F06-03:D3@v1의 구성을 기준으로 교육 승인위원회용 교육 개편 발표자료를 6장 이내로 작성하도록 준비하겠습니다.</x:v>
      </x:c>
      <x:c r="L320" s="11"/>
      <x:c r="M320" s="11"/>
      <x:c r="N320" s="10" t="str">
        <x:v>NOT_MODELED</x:v>
      </x:c>
    </x:row>
    <x:row r="321" ht="85" customHeight="1">
      <x:c r="A321" s="10" t="str">
        <x:v>T-EXEC</x:v>
      </x:c>
      <x:c r="B321" s="10" t="str">
        <x:v>TEXT</x:v>
      </x:c>
      <x:c r="C321" s="10" t="str">
        <x:v>TEXT:SYN-F06-03</x:v>
      </x:c>
      <x:c r="D321" s="10" t="str">
        <x:v>TEXT:SYN-F06-03-U02</x:v>
      </x:c>
      <x:c r="E321" s="10" t="str">
        <x:v>T-F06</x:v>
      </x:c>
      <x:c r="F321" s="10" t="n">
        <x:v>2</x:v>
      </x:c>
      <x:c r="G321" s="11" t="n">
        <x:v>2.627786</x:v>
      </x:c>
      <x:c r="H321" s="11" t="n">
        <x:v>5.251179</x:v>
      </x:c>
      <x:c r="I321" s="11" t="n">
        <x:f>H321-G321</x:f>
        <x:v>2.6233929999999996</x:v>
      </x:c>
      <x:c r="J321" s="10" t="str">
        <x:v>같은 자료는 쓰되 이번에는 강사 준비회의용으로 바꿔. 장점보다 위험과 실습과 피드백 순서의 미확인 사항을 먼저 보여줘. 나머지 조건은 유지해.</x:v>
      </x:c>
      <x:c r="K321" s="10" t="str">
        <x:v>해온 신입교육 개편 교육 개편 발표자료 작성 위임에 이번 조건을 적용하겠습니다: 6장 이내, 참가자당 교육시간 18시간 이하, 대상 기간 입사 후 3주, 외부 발송 없음, 강사 준비회의용, 위험 우선, 실습과 피드백 순서의 미확인 사항 우선. 대상의 최종 연결은 현재 조회 결과와 함께 확정합니다.</x:v>
      </x:c>
      <x:c r="L321" s="11"/>
      <x:c r="M321" s="11"/>
      <x:c r="N321" s="10" t="str">
        <x:v>NOT_MODELED</x:v>
      </x:c>
    </x:row>
    <x:row r="322" ht="85" customHeight="1">
      <x:c r="A322" s="10" t="str">
        <x:v>T-REL</x:v>
      </x:c>
      <x:c r="B322" s="10" t="str">
        <x:v>TEXT</x:v>
      </x:c>
      <x:c r="C322" s="10" t="str">
        <x:v>TEXT:SYN-F06-03</x:v>
      </x:c>
      <x:c r="D322" s="10" t="str">
        <x:v>TEXT:SYN-F06-03-U01</x:v>
      </x:c>
      <x:c r="E322" s="10" t="str">
        <x:v>T-F06</x:v>
      </x:c>
      <x:c r="F322" s="10" t="n">
        <x:v>1</x:v>
      </x:c>
      <x:c r="G322" s="11" t="n">
        <x:v>0</x:v>
      </x:c>
      <x:c r="H322" s="11" t="n">
        <x:v>1.263143</x:v>
      </x:c>
      <x:c r="I322" s="11" t="n">
        <x:f>H322-G322</x:f>
        <x:v>1.263143</x:v>
      </x:c>
      <x:c r="J322" s="10" t="str">
        <x:v>전에 교육 승인위원회용으로 구성이 좋았던 자료를 써서 교육 개편 발표자료를 6장 이내로 만들어줘. 참가자당 교육시간 18시간 이하, 입사 후 3주 조건이고 외부 발송은 하지 마.</x:v>
      </x:c>
      <x:c r="K322" s="10" t="str">
        <x:v>SYN-F06-03:D3@v1의 구성을 기준으로 교육 승인위원회용 교육 개편 발표자료를 6장 이내로 작성하도록 준비하겠습니다.</x:v>
      </x:c>
      <x:c r="L322" s="11"/>
      <x:c r="M322" s="11"/>
      <x:c r="N322" s="10" t="str">
        <x:v>NOT_MODELED</x:v>
      </x:c>
    </x:row>
    <x:row r="323" ht="85" customHeight="1">
      <x:c r="A323" s="10" t="str">
        <x:v>T-REL</x:v>
      </x:c>
      <x:c r="B323" s="10" t="str">
        <x:v>TEXT</x:v>
      </x:c>
      <x:c r="C323" s="10" t="str">
        <x:v>TEXT:SYN-F06-03</x:v>
      </x:c>
      <x:c r="D323" s="10" t="str">
        <x:v>TEXT:SYN-F06-03-U02</x:v>
      </x:c>
      <x:c r="E323" s="10" t="str">
        <x:v>T-F06</x:v>
      </x:c>
      <x:c r="F323" s="10" t="n">
        <x:v>2</x:v>
      </x:c>
      <x:c r="G323" s="11" t="n">
        <x:v>1.613143</x:v>
      </x:c>
      <x:c r="H323" s="11" t="n">
        <x:v>4.425536</x:v>
      </x:c>
      <x:c r="I323" s="11" t="n">
        <x:f>H323-G323</x:f>
        <x:v>2.812393</x:v>
      </x:c>
      <x:c r="J323" s="10" t="str">
        <x:v>같은 자료는 쓰되 이번에는 강사 준비회의용으로 바꿔. 장점보다 위험과 실습과 피드백 순서의 미확인 사항을 먼저 보여줘. 나머지 조건은 유지해.</x:v>
      </x:c>
      <x:c r="K323" s="10" t="str">
        <x:v>SYN-F06-03:D3@v1는 유지하고 강사 준비회의용으로 목적을 바꾸어 위험과 미확인 사항을 먼저 정리하겠습니다.</x:v>
      </x:c>
      <x:c r="L323" s="11"/>
      <x:c r="M323" s="11"/>
      <x:c r="N323" s="10" t="str">
        <x:v>NOT_MODELED</x:v>
      </x:c>
    </x:row>
    <x:row r="324" ht="85" customHeight="1">
      <x:c r="A324" s="10" t="str">
        <x:v>T-BASE</x:v>
      </x:c>
      <x:c r="B324" s="10" t="str">
        <x:v>TEXT</x:v>
      </x:c>
      <x:c r="C324" s="10" t="str">
        <x:v>TEXT:SYN-F06-04</x:v>
      </x:c>
      <x:c r="D324" s="10" t="str">
        <x:v>TEXT:SYN-F06-04-U01</x:v>
      </x:c>
      <x:c r="E324" s="10" t="str">
        <x:v>T-F06</x:v>
      </x:c>
      <x:c r="F324" s="10" t="n">
        <x:v>1</x:v>
      </x:c>
      <x:c r="G324" s="11" t="n">
        <x:v>0</x:v>
      </x:c>
      <x:c r="H324" s="11" t="n">
        <x:v>2.240607</x:v>
      </x:c>
      <x:c r="I324" s="11" t="n">
        <x:f>H324-G324</x:f>
        <x:v>2.240607</x:v>
      </x:c>
      <x:c r="J324" s="10" t="str">
        <x:v>전에 협력사 운영설명회용으로 구성이 좋았던 자료를 써서 거점 개선 발표자료를 7장 이내로 만들어줘. 일일 추가 운행 8회 이하, 평일 20일 조건이고 외부 발송은 하지 마.</x:v>
      </x:c>
      <x:c r="K324" s="10" t="str">
        <x:v>SYN-F06-04:D2@v1의 구성을 기준으로 협력사 운영설명회용 거점 개선 발표자료를 7장 이내로 작성하도록 준비하겠습니다.</x:v>
      </x:c>
      <x:c r="L324" s="11"/>
      <x:c r="M324" s="11"/>
      <x:c r="N324" s="10" t="str">
        <x:v>NOT_MODELED</x:v>
      </x:c>
    </x:row>
    <x:row r="325" ht="85" customHeight="1">
      <x:c r="A325" s="10" t="str">
        <x:v>T-BASE</x:v>
      </x:c>
      <x:c r="B325" s="10" t="str">
        <x:v>TEXT</x:v>
      </x:c>
      <x:c r="C325" s="10" t="str">
        <x:v>TEXT:SYN-F06-04</x:v>
      </x:c>
      <x:c r="D325" s="10" t="str">
        <x:v>TEXT:SYN-F06-04-U02</x:v>
      </x:c>
      <x:c r="E325" s="10" t="str">
        <x:v>T-F06</x:v>
      </x:c>
      <x:c r="F325" s="10" t="n">
        <x:v>2</x:v>
      </x:c>
      <x:c r="G325" s="11" t="n">
        <x:v>2.590607</x:v>
      </x:c>
      <x:c r="H325" s="11" t="n">
        <x:v>6.277464</x:v>
      </x:c>
      <x:c r="I325" s="11" t="n">
        <x:f>H325-G325</x:f>
        <x:v>3.6868570000000003</x:v>
      </x:c>
      <x:c r="J325" s="10" t="str">
        <x:v>같은 자료는 쓰되 이번에는 배차 담당자 회의용으로 바꿔. 장점보다 위험과 오후 출고 대기의 미확인 사항을 먼저 보여줘. 나머지 조건은 유지해.</x:v>
      </x:c>
      <x:c r="K325" s="10" t="str">
        <x:v>SYN-F06-04:D2@v1는 유지하고 배차 담당자 회의용으로 목적을 바꾸어 위험과 미확인 사항을 먼저 정리하겠습니다.</x:v>
      </x:c>
      <x:c r="L325" s="11"/>
      <x:c r="M325" s="11"/>
      <x:c r="N325" s="10" t="str">
        <x:v>NOT_MODELED</x:v>
      </x:c>
    </x:row>
    <x:row r="326" ht="85" customHeight="1">
      <x:c r="A326" s="10" t="str">
        <x:v>T-EXEC</x:v>
      </x:c>
      <x:c r="B326" s="10" t="str">
        <x:v>TEXT</x:v>
      </x:c>
      <x:c r="C326" s="10" t="str">
        <x:v>TEXT:SYN-F06-04</x:v>
      </x:c>
      <x:c r="D326" s="10" t="str">
        <x:v>TEXT:SYN-F06-04-U01</x:v>
      </x:c>
      <x:c r="E326" s="10" t="str">
        <x:v>T-F06</x:v>
      </x:c>
      <x:c r="F326" s="10" t="n">
        <x:v>1</x:v>
      </x:c>
      <x:c r="G326" s="11" t="n">
        <x:v>0</x:v>
      </x:c>
      <x:c r="H326" s="11" t="n">
        <x:v>2.240607</x:v>
      </x:c>
      <x:c r="I326" s="11" t="n">
        <x:f>H326-G326</x:f>
        <x:v>2.240607</x:v>
      </x:c>
      <x:c r="J326" s="10" t="str">
        <x:v>전에 협력사 운영설명회용으로 구성이 좋았던 자료를 써서 거점 개선 발표자료를 7장 이내로 만들어줘. 일일 추가 운행 8회 이하, 평일 20일 조건이고 외부 발송은 하지 마.</x:v>
      </x:c>
      <x:c r="K326" s="10" t="str">
        <x:v>SYN-F06-04:D2@v1의 구성을 기준으로 협력사 운영설명회용 거점 개선 발표자료를 7장 이내로 작성하도록 준비하겠습니다.</x:v>
      </x:c>
      <x:c r="L326" s="11"/>
      <x:c r="M326" s="11"/>
      <x:c r="N326" s="10" t="str">
        <x:v>NOT_MODELED</x:v>
      </x:c>
    </x:row>
    <x:row r="327" ht="85" customHeight="1">
      <x:c r="A327" s="10" t="str">
        <x:v>T-EXEC</x:v>
      </x:c>
      <x:c r="B327" s="10" t="str">
        <x:v>TEXT</x:v>
      </x:c>
      <x:c r="C327" s="10" t="str">
        <x:v>TEXT:SYN-F06-04</x:v>
      </x:c>
      <x:c r="D327" s="10" t="str">
        <x:v>TEXT:SYN-F06-04-U02</x:v>
      </x:c>
      <x:c r="E327" s="10" t="str">
        <x:v>T-F06</x:v>
      </x:c>
      <x:c r="F327" s="10" t="n">
        <x:v>2</x:v>
      </x:c>
      <x:c r="G327" s="11" t="n">
        <x:v>2.590607</x:v>
      </x:c>
      <x:c r="H327" s="11" t="n">
        <x:v>5.16775</x:v>
      </x:c>
      <x:c r="I327" s="11" t="n">
        <x:f>H327-G327</x:f>
        <x:v>2.577143</x:v>
      </x:c>
      <x:c r="J327" s="10" t="str">
        <x:v>같은 자료는 쓰되 이번에는 배차 담당자 회의용으로 바꿔. 장점보다 위험과 오후 출고 대기의 미확인 사항을 먼저 보여줘. 나머지 조건은 유지해.</x:v>
      </x:c>
      <x:c r="K327" s="10" t="str">
        <x:v>라임 배송거점 개선 거점 개선 발표자료 작성 위임에 이번 조건을 적용하겠습니다: 7장 이내, 일일 추가 운행 8회 이하, 대상 기간 평일 20일, 외부 발송 없음, 협력사 운영설명회용, 장점 우선. 대상의 최종 연결은 현재 조회 결과와 함께 확정합니다.</x:v>
      </x:c>
      <x:c r="L327" s="11"/>
      <x:c r="M327" s="11"/>
      <x:c r="N327" s="10" t="str">
        <x:v>NOT_MODELED</x:v>
      </x:c>
    </x:row>
    <x:row r="328" ht="85" customHeight="1">
      <x:c r="A328" s="10" t="str">
        <x:v>T-REL</x:v>
      </x:c>
      <x:c r="B328" s="10" t="str">
        <x:v>TEXT</x:v>
      </x:c>
      <x:c r="C328" s="10" t="str">
        <x:v>TEXT:SYN-F06-04</x:v>
      </x:c>
      <x:c r="D328" s="10" t="str">
        <x:v>TEXT:SYN-F06-04-U01</x:v>
      </x:c>
      <x:c r="E328" s="10" t="str">
        <x:v>T-F06</x:v>
      </x:c>
      <x:c r="F328" s="10" t="n">
        <x:v>1</x:v>
      </x:c>
      <x:c r="G328" s="11" t="n">
        <x:v>0</x:v>
      </x:c>
      <x:c r="H328" s="11" t="n">
        <x:v>1.275964</x:v>
      </x:c>
      <x:c r="I328" s="11" t="n">
        <x:f>H328-G328</x:f>
        <x:v>1.275964</x:v>
      </x:c>
      <x:c r="J328" s="10" t="str">
        <x:v>전에 협력사 운영설명회용으로 구성이 좋았던 자료를 써서 거점 개선 발표자료를 7장 이내로 만들어줘. 일일 추가 운행 8회 이하, 평일 20일 조건이고 외부 발송은 하지 마.</x:v>
      </x:c>
      <x:c r="K328" s="10" t="str">
        <x:v>SYN-F06-04:D2@v1의 구성을 기준으로 협력사 운영설명회용 거점 개선 발표자료를 7장 이내로 작성하도록 준비하겠습니다.</x:v>
      </x:c>
      <x:c r="L328" s="11"/>
      <x:c r="M328" s="11"/>
      <x:c r="N328" s="10" t="str">
        <x:v>NOT_MODELED</x:v>
      </x:c>
    </x:row>
    <x:row r="329" ht="85" customHeight="1">
      <x:c r="A329" s="10" t="str">
        <x:v>T-REL</x:v>
      </x:c>
      <x:c r="B329" s="10" t="str">
        <x:v>TEXT</x:v>
      </x:c>
      <x:c r="C329" s="10" t="str">
        <x:v>TEXT:SYN-F06-04</x:v>
      </x:c>
      <x:c r="D329" s="10" t="str">
        <x:v>TEXT:SYN-F06-04-U02</x:v>
      </x:c>
      <x:c r="E329" s="10" t="str">
        <x:v>T-F06</x:v>
      </x:c>
      <x:c r="F329" s="10" t="n">
        <x:v>2</x:v>
      </x:c>
      <x:c r="G329" s="11" t="n">
        <x:v>1.625964</x:v>
      </x:c>
      <x:c r="H329" s="11" t="n">
        <x:v>4.496178</x:v>
      </x:c>
      <x:c r="I329" s="11" t="n">
        <x:f>H329-G329</x:f>
        <x:v>2.870214</x:v>
      </x:c>
      <x:c r="J329" s="10" t="str">
        <x:v>같은 자료는 쓰되 이번에는 배차 담당자 회의용으로 바꿔. 장점보다 위험과 오후 출고 대기의 미확인 사항을 먼저 보여줘. 나머지 조건은 유지해.</x:v>
      </x:c>
      <x:c r="K329" s="10" t="str">
        <x:v>SYN-F06-04:D2@v1에 대해 라임 배송거점 개선 거점 개선 발표자료 작성 위임을 진행하겠습니다. 적용 조건: 7장 이내, 일일 추가 운행 8회 이하, 대상 기간 평일 20일, 외부 발송 없음, 협력사 운영설명회용, 장점 우선. 내용 출처: SYN-F06-04:D2@v1.</x:v>
      </x:c>
      <x:c r="L329" s="11"/>
      <x:c r="M329" s="11"/>
      <x:c r="N329" s="10" t="str">
        <x:v>NOT_MODELED</x:v>
      </x:c>
    </x:row>
    <x:row r="330" ht="85" customHeight="1">
      <x:c r="A330" s="10" t="str">
        <x:v>T-BASE</x:v>
      </x:c>
      <x:c r="B330" s="10" t="str">
        <x:v>TEXT</x:v>
      </x:c>
      <x:c r="C330" s="10" t="str">
        <x:v>TEXT:SYN-F06-05</x:v>
      </x:c>
      <x:c r="D330" s="10" t="str">
        <x:v>TEXT:SYN-F06-05-U01</x:v>
      </x:c>
      <x:c r="E330" s="10" t="str">
        <x:v>T-F06</x:v>
      </x:c>
      <x:c r="F330" s="10" t="n">
        <x:v>1</x:v>
      </x:c>
      <x:c r="G330" s="11" t="n">
        <x:v>0</x:v>
      </x:c>
      <x:c r="H330" s="11" t="n">
        <x:v>2.253429</x:v>
      </x:c>
      <x:c r="I330" s="11" t="n">
        <x:f>H330-G330</x:f>
        <x:v>2.253429</x:v>
      </x:c>
      <x:c r="J330" s="10" t="str">
        <x:v>전에 입주사 설명회용으로 구성이 좋았던 자료를 써서 조명 교체 검토자료를 5장 이내로 만들어줘. 층별 정전 30분 이하, 교체 후 6개월 조건이고 외부 발송은 하지 마.</x:v>
      </x:c>
      <x:c r="K330" s="10" t="str">
        <x:v>SYN-F06-05:D1@v1의 구성을 기준으로 입주사 설명회용 조명 교체 검토자료를 5장 이내로 작성하도록 준비하겠습니다.</x:v>
      </x:c>
      <x:c r="L330" s="11"/>
      <x:c r="M330" s="11"/>
      <x:c r="N330" s="10" t="str">
        <x:v>NOT_MODELED</x:v>
      </x:c>
    </x:row>
    <x:row r="331" ht="85" customHeight="1">
      <x:c r="A331" s="10" t="str">
        <x:v>T-BASE</x:v>
      </x:c>
      <x:c r="B331" s="10" t="str">
        <x:v>TEXT</x:v>
      </x:c>
      <x:c r="C331" s="10" t="str">
        <x:v>TEXT:SYN-F06-05</x:v>
      </x:c>
      <x:c r="D331" s="10" t="str">
        <x:v>TEXT:SYN-F06-05-U02</x:v>
      </x:c>
      <x:c r="E331" s="10" t="str">
        <x:v>T-F06</x:v>
      </x:c>
      <x:c r="F331" s="10" t="n">
        <x:v>2</x:v>
      </x:c>
      <x:c r="G331" s="11" t="n">
        <x:v>2.603429</x:v>
      </x:c>
      <x:c r="H331" s="11" t="n">
        <x:v>6.348108</x:v>
      </x:c>
      <x:c r="I331" s="11" t="n">
        <x:f>H331-G331</x:f>
        <x:v>3.7446789999999996</x:v>
      </x:c>
      <x:c r="J331" s="10" t="str">
        <x:v>같은 자료는 쓰되 이번에는 시설 담당회의용으로 바꿔. 장점보다 위험과 회의실 사용 중 공사의 미확인 사항을 먼저 보여줘. 나머지 조건은 유지해.</x:v>
      </x:c>
      <x:c r="K331" s="10" t="str">
        <x:v>SYN-F06-05:D1@v1는 유지하고 시설 담당회의용으로 목적을 바꾸어 위험과 미확인 사항을 먼저 정리하겠습니다.</x:v>
      </x:c>
      <x:c r="L331" s="11"/>
      <x:c r="M331" s="11"/>
      <x:c r="N331" s="10" t="str">
        <x:v>NOT_MODELED</x:v>
      </x:c>
    </x:row>
    <x:row r="332" ht="85" customHeight="1">
      <x:c r="A332" s="10" t="str">
        <x:v>T-EXEC</x:v>
      </x:c>
      <x:c r="B332" s="10" t="str">
        <x:v>TEXT</x:v>
      </x:c>
      <x:c r="C332" s="10" t="str">
        <x:v>TEXT:SYN-F06-05</x:v>
      </x:c>
      <x:c r="D332" s="10" t="str">
        <x:v>TEXT:SYN-F06-05-U01</x:v>
      </x:c>
      <x:c r="E332" s="10" t="str">
        <x:v>T-F06</x:v>
      </x:c>
      <x:c r="F332" s="10" t="n">
        <x:v>1</x:v>
      </x:c>
      <x:c r="G332" s="11" t="n">
        <x:v>0</x:v>
      </x:c>
      <x:c r="H332" s="11" t="n">
        <x:v>2.253429</x:v>
      </x:c>
      <x:c r="I332" s="11" t="n">
        <x:f>H332-G332</x:f>
        <x:v>2.253429</x:v>
      </x:c>
      <x:c r="J332" s="10" t="str">
        <x:v>전에 입주사 설명회용으로 구성이 좋았던 자료를 써서 조명 교체 검토자료를 5장 이내로 만들어줘. 층별 정전 30분 이하, 교체 후 6개월 조건이고 외부 발송은 하지 마.</x:v>
      </x:c>
      <x:c r="K332" s="10" t="str">
        <x:v>SYN-F06-05:D1@v1의 구성을 기준으로 입주사 설명회용 조명 교체 검토자료를 5장 이내로 작성하도록 준비하겠습니다.</x:v>
      </x:c>
      <x:c r="L332" s="11"/>
      <x:c r="M332" s="11"/>
      <x:c r="N332" s="10" t="str">
        <x:v>NOT_MODELED</x:v>
      </x:c>
    </x:row>
    <x:row r="333" ht="85" customHeight="1">
      <x:c r="A333" s="10" t="str">
        <x:v>T-EXEC</x:v>
      </x:c>
      <x:c r="B333" s="10" t="str">
        <x:v>TEXT</x:v>
      </x:c>
      <x:c r="C333" s="10" t="str">
        <x:v>TEXT:SYN-F06-05</x:v>
      </x:c>
      <x:c r="D333" s="10" t="str">
        <x:v>TEXT:SYN-F06-05-U02</x:v>
      </x:c>
      <x:c r="E333" s="10" t="str">
        <x:v>T-F06</x:v>
      </x:c>
      <x:c r="F333" s="10" t="n">
        <x:v>2</x:v>
      </x:c>
      <x:c r="G333" s="11" t="n">
        <x:v>2.603429</x:v>
      </x:c>
      <x:c r="H333" s="11" t="n">
        <x:v>5.203072</x:v>
      </x:c>
      <x:c r="I333" s="11" t="n">
        <x:f>H333-G333</x:f>
        <x:v>2.5996429999999995</x:v>
      </x:c>
      <x:c r="J333" s="10" t="str">
        <x:v>같은 자료는 쓰되 이번에는 시설 담당회의용으로 바꿔. 장점보다 위험과 회의실 사용 중 공사의 미확인 사항을 먼저 보여줘. 나머지 조건은 유지해.</x:v>
      </x:c>
      <x:c r="K333" s="10" t="str">
        <x:v>가온 사무실 조명교체 조명 교체 검토자료 작성 위임에 이번 조건을 적용하겠습니다: 5장 이내, 층별 정전 30분 이하, 대상 기간 교체 후 6개월, 외부 발송 없음, 시설 담당회의용, 위험 우선, 회의실 사용 중 공사의 미확인 사항 우선. 대상의 최종 연결은 현재 조회 결과와 함께 확정합니다.</x:v>
      </x:c>
      <x:c r="L333" s="11"/>
      <x:c r="M333" s="11"/>
      <x:c r="N333" s="10" t="str">
        <x:v>NOT_MODELED</x:v>
      </x:c>
    </x:row>
    <x:row r="334" ht="85" customHeight="1">
      <x:c r="A334" s="10" t="str">
        <x:v>T-REL</x:v>
      </x:c>
      <x:c r="B334" s="10" t="str">
        <x:v>TEXT</x:v>
      </x:c>
      <x:c r="C334" s="10" t="str">
        <x:v>TEXT:SYN-F06-05</x:v>
      </x:c>
      <x:c r="D334" s="10" t="str">
        <x:v>TEXT:SYN-F06-05-U01</x:v>
      </x:c>
      <x:c r="E334" s="10" t="str">
        <x:v>T-F06</x:v>
      </x:c>
      <x:c r="F334" s="10" t="n">
        <x:v>1</x:v>
      </x:c>
      <x:c r="G334" s="11" t="n">
        <x:v>0</x:v>
      </x:c>
      <x:c r="H334" s="11" t="n">
        <x:v>1.263786</x:v>
      </x:c>
      <x:c r="I334" s="11" t="n">
        <x:f>H334-G334</x:f>
        <x:v>1.263786</x:v>
      </x:c>
      <x:c r="J334" s="10" t="str">
        <x:v>전에 입주사 설명회용으로 구성이 좋았던 자료를 써서 조명 교체 검토자료를 5장 이내로 만들어줘. 층별 정전 30분 이하, 교체 후 6개월 조건이고 외부 발송은 하지 마.</x:v>
      </x:c>
      <x:c r="K334" s="10" t="str">
        <x:v>SYN-F06-05:D1@v1의 구성을 기준으로 입주사 설명회용 조명 교체 검토자료를 5장 이내로 작성하도록 준비하겠습니다.</x:v>
      </x:c>
      <x:c r="L334" s="11"/>
      <x:c r="M334" s="11"/>
      <x:c r="N334" s="10" t="str">
        <x:v>NOT_MODELED</x:v>
      </x:c>
    </x:row>
    <x:row r="335" ht="85" customHeight="1">
      <x:c r="A335" s="10" t="str">
        <x:v>T-REL</x:v>
      </x:c>
      <x:c r="B335" s="10" t="str">
        <x:v>TEXT</x:v>
      </x:c>
      <x:c r="C335" s="10" t="str">
        <x:v>TEXT:SYN-F06-05</x:v>
      </x:c>
      <x:c r="D335" s="10" t="str">
        <x:v>TEXT:SYN-F06-05-U02</x:v>
      </x:c>
      <x:c r="E335" s="10" t="str">
        <x:v>T-F06</x:v>
      </x:c>
      <x:c r="F335" s="10" t="n">
        <x:v>2</x:v>
      </x:c>
      <x:c r="G335" s="11" t="n">
        <x:v>1.613786</x:v>
      </x:c>
      <x:c r="H335" s="11" t="n">
        <x:v>4.516822</x:v>
      </x:c>
      <x:c r="I335" s="11" t="n">
        <x:f>H335-G335</x:f>
        <x:v>2.903036</x:v>
      </x:c>
      <x:c r="J335" s="10" t="str">
        <x:v>같은 자료는 쓰되 이번에는 시설 담당회의용으로 바꿔. 장점보다 위험과 회의실 사용 중 공사의 미확인 사항을 먼저 보여줘. 나머지 조건은 유지해.</x:v>
      </x:c>
      <x:c r="K335" s="10" t="str">
        <x:v>SYN-F06-05:D1@v1는 유지하고 시설 담당회의용으로 목적을 바꾸어 위험과 미확인 사항을 먼저 정리하겠습니다.</x:v>
      </x:c>
      <x:c r="L335" s="11"/>
      <x:c r="M335" s="11"/>
      <x:c r="N335" s="10" t="str">
        <x:v>NOT_MODELED</x:v>
      </x:c>
    </x:row>
    <x:row r="336" ht="85" customHeight="1">
      <x:c r="A336" s="10" t="str">
        <x:v>T-BASE</x:v>
      </x:c>
      <x:c r="B336" s="10" t="str">
        <x:v>TEXT</x:v>
      </x:c>
      <x:c r="C336" s="10" t="str">
        <x:v>TEXT:SYN-F06-06</x:v>
      </x:c>
      <x:c r="D336" s="10" t="str">
        <x:v>TEXT:SYN-F06-06-U01</x:v>
      </x:c>
      <x:c r="E336" s="10" t="str">
        <x:v>T-F06</x:v>
      </x:c>
      <x:c r="F336" s="10" t="n">
        <x:v>1</x:v>
      </x:c>
      <x:c r="G336" s="11" t="n">
        <x:v>0</x:v>
      </x:c>
      <x:c r="H336" s="11" t="n">
        <x:v>2.29125</x:v>
      </x:c>
      <x:c r="I336" s="11" t="n">
        <x:f>H336-G336</x:f>
        <x:v>2.29125</x:v>
      </x:c>
      <x:c r="J336" s="10" t="str">
        <x:v>전에 참여기업 안내회용으로 구성이 좋았던 자료를 써서 행사 운영 발표자료를 8장 이내로 만들어줘. 현장 대기 20분 이하, 행사 2일 조건이고 외부 발송은 하지 마.</x:v>
      </x:c>
      <x:c r="K336" s="10" t="str">
        <x:v>SYN-F06-06:D3@v1의 구성을 기준으로 참여기업 안내회용 행사 운영 발표자료를 8장 이내로 작성하도록 준비하겠습니다.</x:v>
      </x:c>
      <x:c r="L336" s="11"/>
      <x:c r="M336" s="11"/>
      <x:c r="N336" s="10" t="str">
        <x:v>NOT_MODELED</x:v>
      </x:c>
    </x:row>
    <x:row r="337" ht="85" customHeight="1">
      <x:c r="A337" s="10" t="str">
        <x:v>T-BASE</x:v>
      </x:c>
      <x:c r="B337" s="10" t="str">
        <x:v>TEXT</x:v>
      </x:c>
      <x:c r="C337" s="10" t="str">
        <x:v>TEXT:SYN-F06-06</x:v>
      </x:c>
      <x:c r="D337" s="10" t="str">
        <x:v>TEXT:SYN-F06-06-U02</x:v>
      </x:c>
      <x:c r="E337" s="10" t="str">
        <x:v>T-F06</x:v>
      </x:c>
      <x:c r="F337" s="10" t="n">
        <x:v>2</x:v>
      </x:c>
      <x:c r="G337" s="11" t="n">
        <x:v>2.64125</x:v>
      </x:c>
      <x:c r="H337" s="11" t="n">
        <x:v>6.46875</x:v>
      </x:c>
      <x:c r="I337" s="11" t="n">
        <x:f>H337-G337</x:f>
        <x:v>3.8275</x:v>
      </x:c>
      <x:c r="J337" s="10" t="str">
        <x:v>같은 자료는 쓰되 이번에는 채용 담당자 회의용으로 바꿔. 장점보다 위험과 면접 슬롯 중복의 미확인 사항을 먼저 보여줘. 나머지 조건은 유지해.</x:v>
      </x:c>
      <x:c r="K337" s="10" t="str">
        <x:v>SYN-F06-06:D3@v1는 유지하고 채용 담당자 회의용으로 목적을 바꾸어 위험과 미확인 사항을 먼저 정리하겠습니다.</x:v>
      </x:c>
      <x:c r="L337" s="11"/>
      <x:c r="M337" s="11"/>
      <x:c r="N337" s="10" t="str">
        <x:v>NOT_MODELED</x:v>
      </x:c>
    </x:row>
    <x:row r="338" ht="85" customHeight="1">
      <x:c r="A338" s="10" t="str">
        <x:v>T-EXEC</x:v>
      </x:c>
      <x:c r="B338" s="10" t="str">
        <x:v>TEXT</x:v>
      </x:c>
      <x:c r="C338" s="10" t="str">
        <x:v>TEXT:SYN-F06-06</x:v>
      </x:c>
      <x:c r="D338" s="10" t="str">
        <x:v>TEXT:SYN-F06-06-U01</x:v>
      </x:c>
      <x:c r="E338" s="10" t="str">
        <x:v>T-F06</x:v>
      </x:c>
      <x:c r="F338" s="10" t="n">
        <x:v>1</x:v>
      </x:c>
      <x:c r="G338" s="11" t="n">
        <x:v>0</x:v>
      </x:c>
      <x:c r="H338" s="11" t="n">
        <x:v>2.29125</x:v>
      </x:c>
      <x:c r="I338" s="11" t="n">
        <x:f>H338-G338</x:f>
        <x:v>2.29125</x:v>
      </x:c>
      <x:c r="J338" s="10" t="str">
        <x:v>전에 참여기업 안내회용으로 구성이 좋았던 자료를 써서 행사 운영 발표자료를 8장 이내로 만들어줘. 현장 대기 20분 이하, 행사 2일 조건이고 외부 발송은 하지 마.</x:v>
      </x:c>
      <x:c r="K338" s="10" t="str">
        <x:v>SYN-F06-06:D3@v1의 구성을 기준으로 참여기업 안내회용 행사 운영 발표자료를 8장 이내로 작성하도록 준비하겠습니다.</x:v>
      </x:c>
      <x:c r="L338" s="11"/>
      <x:c r="M338" s="11"/>
      <x:c r="N338" s="10" t="str">
        <x:v>NOT_MODELED</x:v>
      </x:c>
    </x:row>
    <x:row r="339" ht="85" customHeight="1">
      <x:c r="A339" s="10" t="str">
        <x:v>T-EXEC</x:v>
      </x:c>
      <x:c r="B339" s="10" t="str">
        <x:v>TEXT</x:v>
      </x:c>
      <x:c r="C339" s="10" t="str">
        <x:v>TEXT:SYN-F06-06</x:v>
      </x:c>
      <x:c r="D339" s="10" t="str">
        <x:v>TEXT:SYN-F06-06-U02</x:v>
      </x:c>
      <x:c r="E339" s="10" t="str">
        <x:v>T-F06</x:v>
      </x:c>
      <x:c r="F339" s="10" t="n">
        <x:v>2</x:v>
      </x:c>
      <x:c r="G339" s="11" t="n">
        <x:v>2.64125</x:v>
      </x:c>
      <x:c r="H339" s="11" t="n">
        <x:v>5.288393</x:v>
      </x:c>
      <x:c r="I339" s="11" t="n">
        <x:f>H339-G339</x:f>
        <x:v>2.6471430000000002</x:v>
      </x:c>
      <x:c r="J339" s="10" t="str">
        <x:v>같은 자료는 쓰되 이번에는 채용 담당자 회의용으로 바꿔. 장점보다 위험과 면접 슬롯 중복의 미확인 사항을 먼저 보여줘. 나머지 조건은 유지해.</x:v>
      </x:c>
      <x:c r="K339" s="10" t="str">
        <x:v>별빛 채용행사 준비 행사 운영 발표자료 작성 위임에 이번 조건을 적용하겠습니다: 8장 이내, 현장 대기 20분 이하, 대상 기간 행사 2일, 외부 발송 없음, 채용 담당자 회의용, 위험 우선, 면접 슬롯 중복의 미확인 사항 우선. 대상의 최종 연결은 현재 조회 결과와 함께 확정합니다.</x:v>
      </x:c>
      <x:c r="L339" s="11"/>
      <x:c r="M339" s="11"/>
      <x:c r="N339" s="10" t="str">
        <x:v>NOT_MODELED</x:v>
      </x:c>
    </x:row>
    <x:row r="340" ht="85" customHeight="1">
      <x:c r="A340" s="10" t="str">
        <x:v>T-REL</x:v>
      </x:c>
      <x:c r="B340" s="10" t="str">
        <x:v>TEXT</x:v>
      </x:c>
      <x:c r="C340" s="10" t="str">
        <x:v>TEXT:SYN-F06-06</x:v>
      </x:c>
      <x:c r="D340" s="10" t="str">
        <x:v>TEXT:SYN-F06-06-U01</x:v>
      </x:c>
      <x:c r="E340" s="10" t="str">
        <x:v>T-F06</x:v>
      </x:c>
      <x:c r="F340" s="10" t="n">
        <x:v>1</x:v>
      </x:c>
      <x:c r="G340" s="11" t="n">
        <x:v>0</x:v>
      </x:c>
      <x:c r="H340" s="11" t="n">
        <x:v>1.276607</x:v>
      </x:c>
      <x:c r="I340" s="11" t="n">
        <x:f>H340-G340</x:f>
        <x:v>1.276607</x:v>
      </x:c>
      <x:c r="J340" s="10" t="str">
        <x:v>전에 참여기업 안내회용으로 구성이 좋았던 자료를 써서 행사 운영 발표자료를 8장 이내로 만들어줘. 현장 대기 20분 이하, 행사 2일 조건이고 외부 발송은 하지 마.</x:v>
      </x:c>
      <x:c r="K340" s="10" t="str">
        <x:v>SYN-F06-06:D3@v1의 구성을 기준으로 참여기업 안내회용 행사 운영 발표자료를 8장 이내로 작성하도록 준비하겠습니다.</x:v>
      </x:c>
      <x:c r="L340" s="11"/>
      <x:c r="M340" s="11"/>
      <x:c r="N340" s="10" t="str">
        <x:v>NOT_MODELED</x:v>
      </x:c>
    </x:row>
    <x:row r="341" ht="85" customHeight="1">
      <x:c r="A341" s="10" t="str">
        <x:v>T-REL</x:v>
      </x:c>
      <x:c r="B341" s="10" t="str">
        <x:v>TEXT</x:v>
      </x:c>
      <x:c r="C341" s="10" t="str">
        <x:v>TEXT:SYN-F06-06</x:v>
      </x:c>
      <x:c r="D341" s="10" t="str">
        <x:v>TEXT:SYN-F06-06-U02</x:v>
      </x:c>
      <x:c r="E341" s="10" t="str">
        <x:v>T-F06</x:v>
      </x:c>
      <x:c r="F341" s="10" t="n">
        <x:v>2</x:v>
      </x:c>
      <x:c r="G341" s="11" t="n">
        <x:v>1.626607</x:v>
      </x:c>
      <x:c r="H341" s="11" t="n">
        <x:v>4.587464</x:v>
      </x:c>
      <x:c r="I341" s="11" t="n">
        <x:f>H341-G341</x:f>
        <x:v>2.960857</x:v>
      </x:c>
      <x:c r="J341" s="10" t="str">
        <x:v>같은 자료는 쓰되 이번에는 채용 담당자 회의용으로 바꿔. 장점보다 위험과 면접 슬롯 중복의 미확인 사항을 먼저 보여줘. 나머지 조건은 유지해.</x:v>
      </x:c>
      <x:c r="K341" s="10" t="str">
        <x:v>SYN-F06-06:D3@v1는 유지하고 채용 담당자 회의용으로 목적을 바꾸어 위험과 미확인 사항을 먼저 정리하겠습니다.</x:v>
      </x:c>
      <x:c r="L341" s="11"/>
      <x:c r="M341" s="11"/>
      <x:c r="N341" s="10" t="str">
        <x:v>NOT_MODELED</x:v>
      </x:c>
    </x:row>
    <x:row r="342" ht="85" customHeight="1">
      <x:c r="A342" s="10" t="str">
        <x:v>T-BASE</x:v>
      </x:c>
      <x:c r="B342" s="10" t="str">
        <x:v>TEXT</x:v>
      </x:c>
      <x:c r="C342" s="10" t="str">
        <x:v>TEXT:SYN-F06-07</x:v>
      </x:c>
      <x:c r="D342" s="10" t="str">
        <x:v>TEXT:SYN-F06-07-U01</x:v>
      </x:c>
      <x:c r="E342" s="10" t="str">
        <x:v>T-F06</x:v>
      </x:c>
      <x:c r="F342" s="10" t="n">
        <x:v>1</x:v>
      </x:c>
      <x:c r="G342" s="11" t="n">
        <x:v>0</x:v>
      </x:c>
      <x:c r="H342" s="11" t="n">
        <x:v>2.254071</x:v>
      </x:c>
      <x:c r="I342" s="11" t="n">
        <x:f>H342-G342</x:f>
        <x:v>2.254071</x:v>
      </x:c>
      <x:c r="J342" s="10" t="str">
        <x:v>전에 납품처 품질설명회용으로 구성이 좋았던 자료를 써서 검사 개선 발표자료를 6장 이내로 만들어줘. 샘플 검사 45분 이하, 다음 8주 조건이고 외부 발송은 하지 마.</x:v>
      </x:c>
      <x:c r="K342" s="10" t="str">
        <x:v>SYN-F06-07:D2@v1의 구성을 기준으로 납품처 품질설명회용 검사 개선 발표자료를 6장 이내로 작성하도록 준비하겠습니다.</x:v>
      </x:c>
      <x:c r="L342" s="11"/>
      <x:c r="M342" s="11"/>
      <x:c r="N342" s="10" t="str">
        <x:v>NOT_MODELED</x:v>
      </x:c>
    </x:row>
    <x:row r="343" ht="85" customHeight="1">
      <x:c r="A343" s="10" t="str">
        <x:v>T-BASE</x:v>
      </x:c>
      <x:c r="B343" s="10" t="str">
        <x:v>TEXT</x:v>
      </x:c>
      <x:c r="C343" s="10" t="str">
        <x:v>TEXT:SYN-F06-07</x:v>
      </x:c>
      <x:c r="D343" s="10" t="str">
        <x:v>TEXT:SYN-F06-07-U02</x:v>
      </x:c>
      <x:c r="E343" s="10" t="str">
        <x:v>T-F06</x:v>
      </x:c>
      <x:c r="F343" s="10" t="n">
        <x:v>2</x:v>
      </x:c>
      <x:c r="G343" s="11" t="n">
        <x:v>2.604071</x:v>
      </x:c>
      <x:c r="H343" s="11" t="n">
        <x:v>6.439392</x:v>
      </x:c>
      <x:c r="I343" s="11" t="n">
        <x:f>H343-G343</x:f>
        <x:v>3.835321</x:v>
      </x:c>
      <x:c r="J343" s="10" t="str">
        <x:v>같은 자료는 쓰되 이번에는 검사 공정회의용으로 바꿔. 장점보다 위험과 검사 누락 재확인의 미확인 사항을 먼저 보여줘. 나머지 조건은 유지해.</x:v>
      </x:c>
      <x:c r="K343" s="10" t="str">
        <x:v>SYN-F06-07:D2@v1는 유지하고 검사 공정회의용으로 목적을 바꾸어 위험과 미확인 사항을 먼저 정리하겠습니다.</x:v>
      </x:c>
      <x:c r="L343" s="11"/>
      <x:c r="M343" s="11"/>
      <x:c r="N343" s="10" t="str">
        <x:v>NOT_MODELED</x:v>
      </x:c>
    </x:row>
    <x:row r="344" ht="85" customHeight="1">
      <x:c r="A344" s="10" t="str">
        <x:v>T-EXEC</x:v>
      </x:c>
      <x:c r="B344" s="10" t="str">
        <x:v>TEXT</x:v>
      </x:c>
      <x:c r="C344" s="10" t="str">
        <x:v>TEXT:SYN-F06-07</x:v>
      </x:c>
      <x:c r="D344" s="10" t="str">
        <x:v>TEXT:SYN-F06-07-U01</x:v>
      </x:c>
      <x:c r="E344" s="10" t="str">
        <x:v>T-F06</x:v>
      </x:c>
      <x:c r="F344" s="10" t="n">
        <x:v>1</x:v>
      </x:c>
      <x:c r="G344" s="11" t="n">
        <x:v>0</x:v>
      </x:c>
      <x:c r="H344" s="11" t="n">
        <x:v>2.254071</x:v>
      </x:c>
      <x:c r="I344" s="11" t="n">
        <x:f>H344-G344</x:f>
        <x:v>2.254071</x:v>
      </x:c>
      <x:c r="J344" s="10" t="str">
        <x:v>전에 납품처 품질설명회용으로 구성이 좋았던 자료를 써서 검사 개선 발표자료를 6장 이내로 만들어줘. 샘플 검사 45분 이하, 다음 8주 조건이고 외부 발송은 하지 마.</x:v>
      </x:c>
      <x:c r="K344" s="10" t="str">
        <x:v>SYN-F06-07:D2@v1의 구성을 기준으로 납품처 품질설명회용 검사 개선 발표자료를 6장 이내로 작성하도록 준비하겠습니다.</x:v>
      </x:c>
      <x:c r="L344" s="11"/>
      <x:c r="M344" s="11"/>
      <x:c r="N344" s="10" t="str">
        <x:v>NOT_MODELED</x:v>
      </x:c>
    </x:row>
    <x:row r="345" ht="85" customHeight="1">
      <x:c r="A345" s="10" t="str">
        <x:v>T-EXEC</x:v>
      </x:c>
      <x:c r="B345" s="10" t="str">
        <x:v>TEXT</x:v>
      </x:c>
      <x:c r="C345" s="10" t="str">
        <x:v>TEXT:SYN-F06-07</x:v>
      </x:c>
      <x:c r="D345" s="10" t="str">
        <x:v>TEXT:SYN-F06-07-U02</x:v>
      </x:c>
      <x:c r="E345" s="10" t="str">
        <x:v>T-F06</x:v>
      </x:c>
      <x:c r="F345" s="10" t="n">
        <x:v>2</x:v>
      </x:c>
      <x:c r="G345" s="11" t="n">
        <x:v>2.604071</x:v>
      </x:c>
      <x:c r="H345" s="11" t="n">
        <x:v>5.204963</x:v>
      </x:c>
      <x:c r="I345" s="11" t="n">
        <x:f>H345-G345</x:f>
        <x:v>2.6008920000000004</x:v>
      </x:c>
      <x:c r="J345" s="10" t="str">
        <x:v>같은 자료는 쓰되 이번에는 검사 공정회의용으로 바꿔. 장점보다 위험과 검사 누락 재확인의 미확인 사항을 먼저 보여줘. 나머지 조건은 유지해.</x:v>
      </x:c>
      <x:c r="K345" s="10" t="str">
        <x:v>청솔 부품검사 개선 검사 개선 발표자료 작성 위임에 이번 조건을 적용하겠습니다: 6장 이내, 샘플 검사 45분 이하, 대상 기간 다음 8주, 외부 발송 없음, 검사 공정회의용, 위험 우선, 검사 누락 재확인의 미확인 사항 우선. 대상의 최종 연결은 현재 조회 결과와 함께 확정합니다.</x:v>
      </x:c>
      <x:c r="L345" s="11"/>
      <x:c r="M345" s="11"/>
      <x:c r="N345" s="10" t="str">
        <x:v>NOT_MODELED</x:v>
      </x:c>
    </x:row>
    <x:row r="346" ht="85" customHeight="1">
      <x:c r="A346" s="10" t="str">
        <x:v>T-REL</x:v>
      </x:c>
      <x:c r="B346" s="10" t="str">
        <x:v>TEXT</x:v>
      </x:c>
      <x:c r="C346" s="10" t="str">
        <x:v>TEXT:SYN-F06-07</x:v>
      </x:c>
      <x:c r="D346" s="10" t="str">
        <x:v>TEXT:SYN-F06-07-U01</x:v>
      </x:c>
      <x:c r="E346" s="10" t="str">
        <x:v>T-F06</x:v>
      </x:c>
      <x:c r="F346" s="10" t="n">
        <x:v>1</x:v>
      </x:c>
      <x:c r="G346" s="11" t="n">
        <x:v>0</x:v>
      </x:c>
      <x:c r="H346" s="11" t="n">
        <x:v>1.289429</x:v>
      </x:c>
      <x:c r="I346" s="11" t="n">
        <x:f>H346-G346</x:f>
        <x:v>1.289429</x:v>
      </x:c>
      <x:c r="J346" s="10" t="str">
        <x:v>전에 납품처 품질설명회용으로 구성이 좋았던 자료를 써서 검사 개선 발표자료를 6장 이내로 만들어줘. 샘플 검사 45분 이하, 다음 8주 조건이고 외부 발송은 하지 마.</x:v>
      </x:c>
      <x:c r="K346" s="10" t="str">
        <x:v>SYN-F06-07:D2@v1의 구성을 기준으로 납품처 품질설명회용 검사 개선 발표자료를 6장 이내로 작성하도록 준비하겠습니다.</x:v>
      </x:c>
      <x:c r="L346" s="11"/>
      <x:c r="M346" s="11"/>
      <x:c r="N346" s="10" t="str">
        <x:v>NOT_MODELED</x:v>
      </x:c>
    </x:row>
    <x:row r="347" ht="85" customHeight="1">
      <x:c r="A347" s="10" t="str">
        <x:v>T-REL</x:v>
      </x:c>
      <x:c r="B347" s="10" t="str">
        <x:v>TEXT</x:v>
      </x:c>
      <x:c r="C347" s="10" t="str">
        <x:v>TEXT:SYN-F06-07</x:v>
      </x:c>
      <x:c r="D347" s="10" t="str">
        <x:v>TEXT:SYN-F06-07-U02</x:v>
      </x:c>
      <x:c r="E347" s="10" t="str">
        <x:v>T-F06</x:v>
      </x:c>
      <x:c r="F347" s="10" t="n">
        <x:v>2</x:v>
      </x:c>
      <x:c r="G347" s="11" t="n">
        <x:v>1.639429</x:v>
      </x:c>
      <x:c r="H347" s="11" t="n">
        <x:v>4.658108</x:v>
      </x:c>
      <x:c r="I347" s="11" t="n">
        <x:f>H347-G347</x:f>
        <x:v>3.0186790000000006</x:v>
      </x:c>
      <x:c r="J347" s="10" t="str">
        <x:v>같은 자료는 쓰되 이번에는 검사 공정회의용으로 바꿔. 장점보다 위험과 검사 누락 재확인의 미확인 사항을 먼저 보여줘. 나머지 조건은 유지해.</x:v>
      </x:c>
      <x:c r="K347" s="10" t="str">
        <x:v>SYN-F06-07:D2@v1에 대해 청솔 부품검사 개선 검사 개선 발표자료 작성 위임을 진행하겠습니다. 적용 조건: 6장 이내, 샘플 검사 45분 이하, 대상 기간 다음 8주, 외부 발송 없음, 납품처 품질설명회용, 장점 우선. 내용 출처: SYN-F06-07:D2@v1.</x:v>
      </x:c>
      <x:c r="L347" s="11"/>
      <x:c r="M347" s="11"/>
      <x:c r="N347" s="10" t="str">
        <x:v>NOT_MODELED</x:v>
      </x:c>
    </x:row>
    <x:row r="348" ht="85" customHeight="1">
      <x:c r="A348" s="10" t="str">
        <x:v>T-BASE</x:v>
      </x:c>
      <x:c r="B348" s="10" t="str">
        <x:v>TEXT</x:v>
      </x:c>
      <x:c r="C348" s="10" t="str">
        <x:v>TEXT:SYN-F06-08</x:v>
      </x:c>
      <x:c r="D348" s="10" t="str">
        <x:v>TEXT:SYN-F06-08-U01</x:v>
      </x:c>
      <x:c r="E348" s="10" t="str">
        <x:v>T-F06</x:v>
      </x:c>
      <x:c r="F348" s="10" t="n">
        <x:v>1</x:v>
      </x:c>
      <x:c r="G348" s="11" t="n">
        <x:v>0</x:v>
      </x:c>
      <x:c r="H348" s="11" t="n">
        <x:v>2.291893</x:v>
      </x:c>
      <x:c r="I348" s="11" t="n">
        <x:f>H348-G348</x:f>
        <x:v>2.291893</x:v>
      </x:c>
      <x:c r="J348" s="10" t="str">
        <x:v>전에 지역 파트너 설명회용으로 구성이 좋았던 자료를 써서 캠페인 계획 발표자료를 4장 이내로 만들어줘. 안내문 500자 이하, 운영 5주 조건이고 외부 발송은 하지 마.</x:v>
      </x:c>
      <x:c r="K348" s="10" t="str">
        <x:v>SYN-F06-08:D1@v1의 구성을 기준으로 지역 파트너 설명회용 캠페인 계획 발표자료를 4장 이내로 작성하도록 준비하겠습니다.</x:v>
      </x:c>
      <x:c r="L348" s="11"/>
      <x:c r="M348" s="11"/>
      <x:c r="N348" s="10" t="str">
        <x:v>NOT_MODELED</x:v>
      </x:c>
    </x:row>
    <x:row r="349" ht="85" customHeight="1">
      <x:c r="A349" s="10" t="str">
        <x:v>T-BASE</x:v>
      </x:c>
      <x:c r="B349" s="10" t="str">
        <x:v>TEXT</x:v>
      </x:c>
      <x:c r="C349" s="10" t="str">
        <x:v>TEXT:SYN-F06-08</x:v>
      </x:c>
      <x:c r="D349" s="10" t="str">
        <x:v>TEXT:SYN-F06-08-U02</x:v>
      </x:c>
      <x:c r="E349" s="10" t="str">
        <x:v>T-F06</x:v>
      </x:c>
      <x:c r="F349" s="10" t="n">
        <x:v>2</x:v>
      </x:c>
      <x:c r="G349" s="11" t="n">
        <x:v>2.641893</x:v>
      </x:c>
      <x:c r="H349" s="11" t="n">
        <x:v>6.560036</x:v>
      </x:c>
      <x:c r="I349" s="11" t="n">
        <x:f>H349-G349</x:f>
        <x:v>3.918143</x:v>
      </x:c>
      <x:c r="J349" s="10" t="str">
        <x:v>같은 자료는 쓰되 이번에는 콘텐츠 편집회의용으로 바꿔. 장점보다 위험과 첫 방문자의 신청 절차의 미확인 사항을 먼저 보여줘. 나머지 조건은 유지해.</x:v>
      </x:c>
      <x:c r="K349" s="10" t="str">
        <x:v>SYN-F06-08:D1@v1는 유지하고 콘텐츠 편집회의용으로 목적을 바꾸어 위험과 미확인 사항을 먼저 정리하겠습니다.</x:v>
      </x:c>
      <x:c r="L349" s="11"/>
      <x:c r="M349" s="11"/>
      <x:c r="N349" s="10" t="str">
        <x:v>NOT_MODELED</x:v>
      </x:c>
    </x:row>
    <x:row r="350" ht="85" customHeight="1">
      <x:c r="A350" s="10" t="str">
        <x:v>T-EXEC</x:v>
      </x:c>
      <x:c r="B350" s="10" t="str">
        <x:v>TEXT</x:v>
      </x:c>
      <x:c r="C350" s="10" t="str">
        <x:v>TEXT:SYN-F06-08</x:v>
      </x:c>
      <x:c r="D350" s="10" t="str">
        <x:v>TEXT:SYN-F06-08-U01</x:v>
      </x:c>
      <x:c r="E350" s="10" t="str">
        <x:v>T-F06</x:v>
      </x:c>
      <x:c r="F350" s="10" t="n">
        <x:v>1</x:v>
      </x:c>
      <x:c r="G350" s="11" t="n">
        <x:v>0</x:v>
      </x:c>
      <x:c r="H350" s="11" t="n">
        <x:v>2.291893</x:v>
      </x:c>
      <x:c r="I350" s="11" t="n">
        <x:f>H350-G350</x:f>
        <x:v>2.291893</x:v>
      </x:c>
      <x:c r="J350" s="10" t="str">
        <x:v>전에 지역 파트너 설명회용으로 구성이 좋았던 자료를 써서 캠페인 계획 발표자료를 4장 이내로 만들어줘. 안내문 500자 이하, 운영 5주 조건이고 외부 발송은 하지 마.</x:v>
      </x:c>
      <x:c r="K350" s="10" t="str">
        <x:v>SYN-F06-08:D1@v1의 구성을 기준으로 지역 파트너 설명회용 캠페인 계획 발표자료를 4장 이내로 작성하도록 준비하겠습니다.</x:v>
      </x:c>
      <x:c r="L350" s="11"/>
      <x:c r="M350" s="11"/>
      <x:c r="N350" s="10" t="str">
        <x:v>NOT_MODELED</x:v>
      </x:c>
    </x:row>
    <x:row r="351" ht="85" customHeight="1">
      <x:c r="A351" s="10" t="str">
        <x:v>T-EXEC</x:v>
      </x:c>
      <x:c r="B351" s="10" t="str">
        <x:v>TEXT</x:v>
      </x:c>
      <x:c r="C351" s="10" t="str">
        <x:v>TEXT:SYN-F06-08</x:v>
      </x:c>
      <x:c r="D351" s="10" t="str">
        <x:v>TEXT:SYN-F06-08-U02</x:v>
      </x:c>
      <x:c r="E351" s="10" t="str">
        <x:v>T-F06</x:v>
      </x:c>
      <x:c r="F351" s="10" t="n">
        <x:v>2</x:v>
      </x:c>
      <x:c r="G351" s="11" t="n">
        <x:v>2.641893</x:v>
      </x:c>
      <x:c r="H351" s="11" t="n">
        <x:v>5.290286</x:v>
      </x:c>
      <x:c r="I351" s="11" t="n">
        <x:f>H351-G351</x:f>
        <x:v>2.648393</x:v>
      </x:c>
      <x:c r="J351" s="10" t="str">
        <x:v>같은 자료는 쓰되 이번에는 콘텐츠 편집회의용으로 바꿔. 장점보다 위험과 첫 방문자의 신청 절차의 미확인 사항을 먼저 보여줘. 나머지 조건은 유지해.</x:v>
      </x:c>
      <x:c r="K351" s="10" t="str">
        <x:v>노을 서비스 캠페인 캠페인 계획 발표자료 작성 위임에 이번 조건을 적용하겠습니다: 4장 이내, 안내문 500자 이하, 대상 기간 운영 5주, 외부 발송 없음, 지역 파트너 설명회용, 장점 우선. 대상의 최종 연결은 현재 조회 결과와 함께 확정합니다.</x:v>
      </x:c>
      <x:c r="L351" s="11"/>
      <x:c r="M351" s="11"/>
      <x:c r="N351" s="10" t="str">
        <x:v>NOT_MODELED</x:v>
      </x:c>
    </x:row>
    <x:row r="352" ht="85" customHeight="1">
      <x:c r="A352" s="10" t="str">
        <x:v>T-REL</x:v>
      </x:c>
      <x:c r="B352" s="10" t="str">
        <x:v>TEXT</x:v>
      </x:c>
      <x:c r="C352" s="10" t="str">
        <x:v>TEXT:SYN-F06-08</x:v>
      </x:c>
      <x:c r="D352" s="10" t="str">
        <x:v>TEXT:SYN-F06-08-U01</x:v>
      </x:c>
      <x:c r="E352" s="10" t="str">
        <x:v>T-F06</x:v>
      </x:c>
      <x:c r="F352" s="10" t="n">
        <x:v>1</x:v>
      </x:c>
      <x:c r="G352" s="11" t="n">
        <x:v>0</x:v>
      </x:c>
      <x:c r="H352" s="11" t="n">
        <x:v>1.30225</x:v>
      </x:c>
      <x:c r="I352" s="11" t="n">
        <x:f>H352-G352</x:f>
        <x:v>1.30225</x:v>
      </x:c>
      <x:c r="J352" s="10" t="str">
        <x:v>전에 지역 파트너 설명회용으로 구성이 좋았던 자료를 써서 캠페인 계획 발표자료를 4장 이내로 만들어줘. 안내문 500자 이하, 운영 5주 조건이고 외부 발송은 하지 마.</x:v>
      </x:c>
      <x:c r="K352" s="10" t="str">
        <x:v>SYN-F06-08:D1@v1의 구성을 기준으로 지역 파트너 설명회용 캠페인 계획 발표자료를 4장 이내로 작성하도록 준비하겠습니다.</x:v>
      </x:c>
      <x:c r="L352" s="11"/>
      <x:c r="M352" s="11"/>
      <x:c r="N352" s="10" t="str">
        <x:v>NOT_MODELED</x:v>
      </x:c>
    </x:row>
    <x:row r="353" ht="85" customHeight="1">
      <x:c r="A353" s="10" t="str">
        <x:v>T-REL</x:v>
      </x:c>
      <x:c r="B353" s="10" t="str">
        <x:v>TEXT</x:v>
      </x:c>
      <x:c r="C353" s="10" t="str">
        <x:v>TEXT:SYN-F06-08</x:v>
      </x:c>
      <x:c r="D353" s="10" t="str">
        <x:v>TEXT:SYN-F06-08-U02</x:v>
      </x:c>
      <x:c r="E353" s="10" t="str">
        <x:v>T-F06</x:v>
      </x:c>
      <x:c r="F353" s="10" t="n">
        <x:v>2</x:v>
      </x:c>
      <x:c r="G353" s="11" t="n">
        <x:v>1.65225</x:v>
      </x:c>
      <x:c r="H353" s="11" t="n">
        <x:v>4.72875</x:v>
      </x:c>
      <x:c r="I353" s="11" t="n">
        <x:f>H353-G353</x:f>
        <x:v>3.0765</x:v>
      </x:c>
      <x:c r="J353" s="10" t="str">
        <x:v>같은 자료는 쓰되 이번에는 콘텐츠 편집회의용으로 바꿔. 장점보다 위험과 첫 방문자의 신청 절차의 미확인 사항을 먼저 보여줘. 나머지 조건은 유지해.</x:v>
      </x:c>
      <x:c r="K353" s="10" t="str">
        <x:v>SYN-F06-08:D1@v1는 유지하고 콘텐츠 편집회의용으로 목적을 바꾸어 위험과 미확인 사항을 먼저 정리하겠습니다.</x:v>
      </x:c>
      <x:c r="L353" s="11"/>
      <x:c r="M353" s="11"/>
      <x:c r="N353" s="10" t="str">
        <x:v>NOT_MODELED</x:v>
      </x:c>
    </x:row>
    <x:row r="354" ht="85" customHeight="1">
      <x:c r="A354" s="10" t="str">
        <x:v>T-BASE</x:v>
      </x:c>
      <x:c r="B354" s="10" t="str">
        <x:v>TEXT</x:v>
      </x:c>
      <x:c r="C354" s="10" t="str">
        <x:v>TEXT:SYN-F06-09</x:v>
      </x:c>
      <x:c r="D354" s="10" t="str">
        <x:v>TEXT:SYN-F06-09-U01</x:v>
      </x:c>
      <x:c r="E354" s="10" t="str">
        <x:v>T-F06</x:v>
      </x:c>
      <x:c r="F354" s="10" t="n">
        <x:v>1</x:v>
      </x:c>
      <x:c r="G354" s="11" t="n">
        <x:v>0</x:v>
      </x:c>
      <x:c r="H354" s="11" t="n">
        <x:v>2.304714</x:v>
      </x:c>
      <x:c r="I354" s="11" t="n">
        <x:f>H354-G354</x:f>
        <x:v>2.304714</x:v>
      </x:c>
      <x:c r="J354" s="10" t="str">
        <x:v>전에 배송 협력사 설명회용으로 구성이 좋았던 자료를 써서 배치 변경 발표자료를 7장 이내로 만들어줘. 주문당 이동 180m 이하, 적용 후 4주 조건이고 외부 발송은 하지 마.</x:v>
      </x:c>
      <x:c r="K354" s="10" t="str">
        <x:v>SYN-F06-09:D3@v1의 구성을 기준으로 배송 협력사 설명회용 배치 변경 발표자료를 7장 이내로 작성하도록 준비하겠습니다.</x:v>
      </x:c>
      <x:c r="L354" s="11"/>
      <x:c r="M354" s="11"/>
      <x:c r="N354" s="10" t="str">
        <x:v>NOT_MODELED</x:v>
      </x:c>
    </x:row>
    <x:row r="355" ht="85" customHeight="1">
      <x:c r="A355" s="10" t="str">
        <x:v>T-BASE</x:v>
      </x:c>
      <x:c r="B355" s="10" t="str">
        <x:v>TEXT</x:v>
      </x:c>
      <x:c r="C355" s="10" t="str">
        <x:v>TEXT:SYN-F06-09</x:v>
      </x:c>
      <x:c r="D355" s="10" t="str">
        <x:v>TEXT:SYN-F06-09-U02</x:v>
      </x:c>
      <x:c r="E355" s="10" t="str">
        <x:v>T-F06</x:v>
      </x:c>
      <x:c r="F355" s="10" t="n">
        <x:v>2</x:v>
      </x:c>
      <x:c r="G355" s="11" t="n">
        <x:v>2.654714</x:v>
      </x:c>
      <x:c r="H355" s="11" t="n">
        <x:v>6.630678</x:v>
      </x:c>
      <x:c r="I355" s="11" t="n">
        <x:f>H355-G355</x:f>
        <x:v>3.975964</x:v>
      </x:c>
      <x:c r="J355" s="10" t="str">
        <x:v>같은 자료는 쓰되 이번에는 창고 운영회의용으로 바꿔. 장점보다 위험과 동시 피킹 교차 구간의 미확인 사항을 먼저 보여줘. 나머지 조건은 유지해.</x:v>
      </x:c>
      <x:c r="K355" s="10" t="str">
        <x:v>SYN-F06-09:D3@v1는 유지하고 창고 운영회의용으로 목적을 바꾸어 위험과 미확인 사항을 먼저 정리하겠습니다.</x:v>
      </x:c>
      <x:c r="L355" s="11"/>
      <x:c r="M355" s="11"/>
      <x:c r="N355" s="10" t="str">
        <x:v>NOT_MODELED</x:v>
      </x:c>
    </x:row>
    <x:row r="356" ht="85" customHeight="1">
      <x:c r="A356" s="10" t="str">
        <x:v>T-EXEC</x:v>
      </x:c>
      <x:c r="B356" s="10" t="str">
        <x:v>TEXT</x:v>
      </x:c>
      <x:c r="C356" s="10" t="str">
        <x:v>TEXT:SYN-F06-09</x:v>
      </x:c>
      <x:c r="D356" s="10" t="str">
        <x:v>TEXT:SYN-F06-09-U01</x:v>
      </x:c>
      <x:c r="E356" s="10" t="str">
        <x:v>T-F06</x:v>
      </x:c>
      <x:c r="F356" s="10" t="n">
        <x:v>1</x:v>
      </x:c>
      <x:c r="G356" s="11" t="n">
        <x:v>0</x:v>
      </x:c>
      <x:c r="H356" s="11" t="n">
        <x:v>2.304714</x:v>
      </x:c>
      <x:c r="I356" s="11" t="n">
        <x:f>H356-G356</x:f>
        <x:v>2.304714</x:v>
      </x:c>
      <x:c r="J356" s="10" t="str">
        <x:v>전에 배송 협력사 설명회용으로 구성이 좋았던 자료를 써서 배치 변경 발표자료를 7장 이내로 만들어줘. 주문당 이동 180m 이하, 적용 후 4주 조건이고 외부 발송은 하지 마.</x:v>
      </x:c>
      <x:c r="K356" s="10" t="str">
        <x:v>SYN-F06-09:D3@v1의 구성을 기준으로 배송 협력사 설명회용 배치 변경 발표자료를 7장 이내로 작성하도록 준비하겠습니다.</x:v>
      </x:c>
      <x:c r="L356" s="11"/>
      <x:c r="M356" s="11"/>
      <x:c r="N356" s="10" t="str">
        <x:v>NOT_MODELED</x:v>
      </x:c>
    </x:row>
    <x:row r="357" ht="85" customHeight="1">
      <x:c r="A357" s="10" t="str">
        <x:v>T-EXEC</x:v>
      </x:c>
      <x:c r="B357" s="10" t="str">
        <x:v>TEXT</x:v>
      </x:c>
      <x:c r="C357" s="10" t="str">
        <x:v>TEXT:SYN-F06-09</x:v>
      </x:c>
      <x:c r="D357" s="10" t="str">
        <x:v>TEXT:SYN-F06-09-U02</x:v>
      </x:c>
      <x:c r="E357" s="10" t="str">
        <x:v>T-F06</x:v>
      </x:c>
      <x:c r="F357" s="10" t="n">
        <x:v>2</x:v>
      </x:c>
      <x:c r="G357" s="11" t="n">
        <x:v>2.654714</x:v>
      </x:c>
      <x:c r="H357" s="11" t="n">
        <x:v>5.325607</x:v>
      </x:c>
      <x:c r="I357" s="11" t="n">
        <x:f>H357-G357</x:f>
        <x:v>2.670893</x:v>
      </x:c>
      <x:c r="J357" s="10" t="str">
        <x:v>같은 자료는 쓰되 이번에는 창고 운영회의용으로 바꿔. 장점보다 위험과 동시 피킹 교차 구간의 미확인 사항을 먼저 보여줘. 나머지 조건은 유지해.</x:v>
      </x:c>
      <x:c r="K357" s="10" t="str">
        <x:v>파도 창고배치 변경 배치 변경 발표자료 작성 위임에 이번 조건을 적용하겠습니다: 7장 이내, 주문당 이동 180m 이하, 대상 기간 적용 후 4주, 외부 발송 없음, 창고 운영회의용, 위험 우선, 동시 피킹 교차 구간의 미확인 사항 우선. 대상의 최종 연결은 현재 조회 결과와 함께 확정합니다.</x:v>
      </x:c>
      <x:c r="L357" s="11"/>
      <x:c r="M357" s="11"/>
      <x:c r="N357" s="10" t="str">
        <x:v>NOT_MODELED</x:v>
      </x:c>
    </x:row>
    <x:row r="358" ht="85" customHeight="1">
      <x:c r="A358" s="10" t="str">
        <x:v>T-REL</x:v>
      </x:c>
      <x:c r="B358" s="10" t="str">
        <x:v>TEXT</x:v>
      </x:c>
      <x:c r="C358" s="10" t="str">
        <x:v>TEXT:SYN-F06-09</x:v>
      </x:c>
      <x:c r="D358" s="10" t="str">
        <x:v>TEXT:SYN-F06-09-U01</x:v>
      </x:c>
      <x:c r="E358" s="10" t="str">
        <x:v>T-F06</x:v>
      </x:c>
      <x:c r="F358" s="10" t="n">
        <x:v>1</x:v>
      </x:c>
      <x:c r="G358" s="11" t="n">
        <x:v>0</x:v>
      </x:c>
      <x:c r="H358" s="11" t="n">
        <x:v>1.290071</x:v>
      </x:c>
      <x:c r="I358" s="11" t="n">
        <x:f>H358-G358</x:f>
        <x:v>1.290071</x:v>
      </x:c>
      <x:c r="J358" s="10" t="str">
        <x:v>전에 배송 협력사 설명회용으로 구성이 좋았던 자료를 써서 배치 변경 발표자료를 7장 이내로 만들어줘. 주문당 이동 180m 이하, 적용 후 4주 조건이고 외부 발송은 하지 마.</x:v>
      </x:c>
      <x:c r="K358" s="10" t="str">
        <x:v>SYN-F06-09:D3@v1의 구성을 기준으로 배송 협력사 설명회용 배치 변경 발표자료를 7장 이내로 작성하도록 준비하겠습니다.</x:v>
      </x:c>
      <x:c r="L358" s="11"/>
      <x:c r="M358" s="11"/>
      <x:c r="N358" s="10" t="str">
        <x:v>NOT_MODELED</x:v>
      </x:c>
    </x:row>
    <x:row r="359" ht="85" customHeight="1">
      <x:c r="A359" s="10" t="str">
        <x:v>T-REL</x:v>
      </x:c>
      <x:c r="B359" s="10" t="str">
        <x:v>TEXT</x:v>
      </x:c>
      <x:c r="C359" s="10" t="str">
        <x:v>TEXT:SYN-F06-09</x:v>
      </x:c>
      <x:c r="D359" s="10" t="str">
        <x:v>TEXT:SYN-F06-09-U02</x:v>
      </x:c>
      <x:c r="E359" s="10" t="str">
        <x:v>T-F06</x:v>
      </x:c>
      <x:c r="F359" s="10" t="n">
        <x:v>2</x:v>
      </x:c>
      <x:c r="G359" s="11" t="n">
        <x:v>1.640071</x:v>
      </x:c>
      <x:c r="H359" s="11" t="n">
        <x:v>4.749392</x:v>
      </x:c>
      <x:c r="I359" s="11" t="n">
        <x:f>H359-G359</x:f>
        <x:v>3.1093210000000004</x:v>
      </x:c>
      <x:c r="J359" s="10" t="str">
        <x:v>같은 자료는 쓰되 이번에는 창고 운영회의용으로 바꿔. 장점보다 위험과 동시 피킹 교차 구간의 미확인 사항을 먼저 보여줘. 나머지 조건은 유지해.</x:v>
      </x:c>
      <x:c r="K359" s="10" t="str">
        <x:v>SYN-F06-09:D3@v1는 유지하고 창고 운영회의용으로 목적을 바꾸어 위험과 미확인 사항을 먼저 정리하겠습니다.</x:v>
      </x:c>
      <x:c r="L359" s="11"/>
      <x:c r="M359" s="11"/>
      <x:c r="N359" s="10" t="str">
        <x:v>NOT_MODELED</x:v>
      </x:c>
    </x:row>
    <x:row r="360" ht="85" customHeight="1">
      <x:c r="A360" s="10" t="str">
        <x:v>T-BASE</x:v>
      </x:c>
      <x:c r="B360" s="10" t="str">
        <x:v>TEXT</x:v>
      </x:c>
      <x:c r="C360" s="10" t="str">
        <x:v>TEXT:SYN-F06-10</x:v>
      </x:c>
      <x:c r="D360" s="10" t="str">
        <x:v>TEXT:SYN-F06-10-U01</x:v>
      </x:c>
      <x:c r="E360" s="10" t="str">
        <x:v>T-F06</x:v>
      </x:c>
      <x:c r="F360" s="10" t="n">
        <x:v>1</x:v>
      </x:c>
      <x:c r="G360" s="11" t="n">
        <x:v>0</x:v>
      </x:c>
      <x:c r="H360" s="11" t="n">
        <x:v>2.267536</x:v>
      </x:c>
      <x:c r="I360" s="11" t="n">
        <x:f>H360-G360</x:f>
        <x:v>2.267536</x:v>
      </x:c>
      <x:c r="J360" s="10" t="str">
        <x:v>전에 부서대표 설명회용으로 구성이 좋았던 자료를 써서 포털 개선 발표자료를 5장 이내로 만들어줘. 첫 화면 메뉴 9개 이하, 출시 후 2개월 조건이고 외부 발송은 하지 마.</x:v>
      </x:c>
      <x:c r="K360" s="10" t="str">
        <x:v>SYN-F06-10:D2@v1의 구성을 기준으로 부서대표 설명회용 포털 개선 발표자료를 5장 이내로 작성하도록 준비하겠습니다.</x:v>
      </x:c>
      <x:c r="L360" s="11"/>
      <x:c r="M360" s="11"/>
      <x:c r="N360" s="10" t="str">
        <x:v>NOT_MODELED</x:v>
      </x:c>
    </x:row>
    <x:row r="361" ht="85" customHeight="1">
      <x:c r="A361" s="10" t="str">
        <x:v>T-BASE</x:v>
      </x:c>
      <x:c r="B361" s="10" t="str">
        <x:v>TEXT</x:v>
      </x:c>
      <x:c r="C361" s="10" t="str">
        <x:v>TEXT:SYN-F06-10</x:v>
      </x:c>
      <x:c r="D361" s="10" t="str">
        <x:v>TEXT:SYN-F06-10-U02</x:v>
      </x:c>
      <x:c r="E361" s="10" t="str">
        <x:v>T-F06</x:v>
      </x:c>
      <x:c r="F361" s="10" t="n">
        <x:v>2</x:v>
      </x:c>
      <x:c r="G361" s="11" t="n">
        <x:v>2.617536</x:v>
      </x:c>
      <x:c r="H361" s="11" t="n">
        <x:v>6.601322</x:v>
      </x:c>
      <x:c r="I361" s="11" t="n">
        <x:f>H361-G361</x:f>
        <x:v>3.983786</x:v>
      </x:c>
      <x:c r="J361" s="10" t="str">
        <x:v>같은 자료는 쓰되 이번에는 포털 운영회의용으로 바꿔. 장점보다 위험과 반복 문의의 메뉴 접근의 미확인 사항을 먼저 보여줘. 나머지 조건은 유지해.</x:v>
      </x:c>
      <x:c r="K361" s="10" t="str">
        <x:v>SYN-F06-10:D2@v1는 유지하고 포털 운영회의용으로 목적을 바꾸어 위험과 미확인 사항을 먼저 정리하겠습니다.</x:v>
      </x:c>
      <x:c r="L361" s="11"/>
      <x:c r="M361" s="11"/>
      <x:c r="N361" s="10" t="str">
        <x:v>NOT_MODELED</x:v>
      </x:c>
    </x:row>
    <x:row r="362" ht="85" customHeight="1">
      <x:c r="A362" s="10" t="str">
        <x:v>T-EXEC</x:v>
      </x:c>
      <x:c r="B362" s="10" t="str">
        <x:v>TEXT</x:v>
      </x:c>
      <x:c r="C362" s="10" t="str">
        <x:v>TEXT:SYN-F06-10</x:v>
      </x:c>
      <x:c r="D362" s="10" t="str">
        <x:v>TEXT:SYN-F06-10-U01</x:v>
      </x:c>
      <x:c r="E362" s="10" t="str">
        <x:v>T-F06</x:v>
      </x:c>
      <x:c r="F362" s="10" t="n">
        <x:v>1</x:v>
      </x:c>
      <x:c r="G362" s="11" t="n">
        <x:v>0</x:v>
      </x:c>
      <x:c r="H362" s="11" t="n">
        <x:v>2.267536</x:v>
      </x:c>
      <x:c r="I362" s="11" t="n">
        <x:f>H362-G362</x:f>
        <x:v>2.267536</x:v>
      </x:c>
      <x:c r="J362" s="10" t="str">
        <x:v>전에 부서대표 설명회용으로 구성이 좋았던 자료를 써서 포털 개선 발표자료를 5장 이내로 만들어줘. 첫 화면 메뉴 9개 이하, 출시 후 2개월 조건이고 외부 발송은 하지 마.</x:v>
      </x:c>
      <x:c r="K362" s="10" t="str">
        <x:v>SYN-F06-10:D2@v1의 구성을 기준으로 부서대표 설명회용 포털 개선 발표자료를 5장 이내로 작성하도록 준비하겠습니다.</x:v>
      </x:c>
      <x:c r="L362" s="11"/>
      <x:c r="M362" s="11"/>
      <x:c r="N362" s="10" t="str">
        <x:v>NOT_MODELED</x:v>
      </x:c>
    </x:row>
    <x:row r="363" ht="85" customHeight="1">
      <x:c r="A363" s="10" t="str">
        <x:v>T-EXEC</x:v>
      </x:c>
      <x:c r="B363" s="10" t="str">
        <x:v>TEXT</x:v>
      </x:c>
      <x:c r="C363" s="10" t="str">
        <x:v>TEXT:SYN-F06-10</x:v>
      </x:c>
      <x:c r="D363" s="10" t="str">
        <x:v>TEXT:SYN-F06-10-U02</x:v>
      </x:c>
      <x:c r="E363" s="10" t="str">
        <x:v>T-F06</x:v>
      </x:c>
      <x:c r="F363" s="10" t="n">
        <x:v>2</x:v>
      </x:c>
      <x:c r="G363" s="11" t="n">
        <x:v>2.617536</x:v>
      </x:c>
      <x:c r="H363" s="11" t="n">
        <x:v>5.242179</x:v>
      </x:c>
      <x:c r="I363" s="11" t="n">
        <x:f>H363-G363</x:f>
        <x:v>2.6246430000000003</x:v>
      </x:c>
      <x:c r="J363" s="10" t="str">
        <x:v>같은 자료는 쓰되 이번에는 포털 운영회의용으로 바꿔. 장점보다 위험과 반복 문의의 메뉴 접근의 미확인 사항을 먼저 보여줘. 나머지 조건은 유지해.</x:v>
      </x:c>
      <x:c r="K363" s="10" t="str">
        <x:v>온유 사내포털 개편 포털 개선 발표자료 작성 위임에 이번 조건을 적용하겠습니다: 5장 이내, 첫 화면 메뉴 9개 이하, 대상 기간 출시 후 2개월, 외부 발송 없음, 포털 운영회의용, 위험 우선, 반복 문의의 메뉴 접근의 미확인 사항 우선. 대상의 최종 연결은 현재 조회 결과와 함께 확정합니다.</x:v>
      </x:c>
      <x:c r="L363" s="11"/>
      <x:c r="M363" s="11"/>
      <x:c r="N363" s="10" t="str">
        <x:v>NOT_MODELED</x:v>
      </x:c>
    </x:row>
    <x:row r="364" ht="85" customHeight="1">
      <x:c r="A364" s="10" t="str">
        <x:v>T-REL</x:v>
      </x:c>
      <x:c r="B364" s="10" t="str">
        <x:v>TEXT</x:v>
      </x:c>
      <x:c r="C364" s="10" t="str">
        <x:v>TEXT:SYN-F06-10</x:v>
      </x:c>
      <x:c r="D364" s="10" t="str">
        <x:v>TEXT:SYN-F06-10-U01</x:v>
      </x:c>
      <x:c r="E364" s="10" t="str">
        <x:v>T-F06</x:v>
      </x:c>
      <x:c r="F364" s="10" t="n">
        <x:v>1</x:v>
      </x:c>
      <x:c r="G364" s="11" t="n">
        <x:v>0</x:v>
      </x:c>
      <x:c r="H364" s="11" t="n">
        <x:v>1.302893</x:v>
      </x:c>
      <x:c r="I364" s="11" t="n">
        <x:f>H364-G364</x:f>
        <x:v>1.302893</x:v>
      </x:c>
      <x:c r="J364" s="10" t="str">
        <x:v>전에 부서대표 설명회용으로 구성이 좋았던 자료를 써서 포털 개선 발표자료를 5장 이내로 만들어줘. 첫 화면 메뉴 9개 이하, 출시 후 2개월 조건이고 외부 발송은 하지 마.</x:v>
      </x:c>
      <x:c r="K364" s="10" t="str">
        <x:v>SYN-F06-10:D2@v1의 구성을 기준으로 부서대표 설명회용 포털 개선 발표자료를 5장 이내로 작성하도록 준비하겠습니다.</x:v>
      </x:c>
      <x:c r="L364" s="11"/>
      <x:c r="M364" s="11"/>
      <x:c r="N364" s="10" t="str">
        <x:v>NOT_MODELED</x:v>
      </x:c>
    </x:row>
    <x:row r="365" ht="85" customHeight="1">
      <x:c r="A365" s="10" t="str">
        <x:v>T-REL</x:v>
      </x:c>
      <x:c r="B365" s="10" t="str">
        <x:v>TEXT</x:v>
      </x:c>
      <x:c r="C365" s="10" t="str">
        <x:v>TEXT:SYN-F06-10</x:v>
      </x:c>
      <x:c r="D365" s="10" t="str">
        <x:v>TEXT:SYN-F06-10-U02</x:v>
      </x:c>
      <x:c r="E365" s="10" t="str">
        <x:v>T-F06</x:v>
      </x:c>
      <x:c r="F365" s="10" t="n">
        <x:v>2</x:v>
      </x:c>
      <x:c r="G365" s="11" t="n">
        <x:v>1.652893</x:v>
      </x:c>
      <x:c r="H365" s="11" t="n">
        <x:v>4.820036</x:v>
      </x:c>
      <x:c r="I365" s="11" t="n">
        <x:f>H365-G365</x:f>
        <x:v>3.1671430000000003</x:v>
      </x:c>
      <x:c r="J365" s="10" t="str">
        <x:v>같은 자료는 쓰되 이번에는 포털 운영회의용으로 바꿔. 장점보다 위험과 반복 문의의 메뉴 접근의 미확인 사항을 먼저 보여줘. 나머지 조건은 유지해.</x:v>
      </x:c>
      <x:c r="K365" s="10" t="str">
        <x:v>SYN-F06-10:D2@v1에 대해 온유 사내포털 개편 포털 개선 발표자료 작성 위임을 진행하겠습니다. 적용 조건: 5장 이내, 첫 화면 메뉴 9개 이하, 대상 기간 출시 후 2개월, 외부 발송 없음, 부서대표 설명회용, 장점 우선. 내용 출처: SYN-F06-10:D2@v1.</x:v>
      </x:c>
      <x:c r="L365" s="11"/>
      <x:c r="M365" s="11"/>
      <x:c r="N365" s="10" t="str">
        <x:v>NOT_MODELED</x:v>
      </x:c>
    </x:row>
    <x:row r="366" ht="85" customHeight="1">
      <x:c r="A366" s="10" t="str">
        <x:v>T-BASE</x:v>
      </x:c>
      <x:c r="B366" s="10" t="str">
        <x:v>TEXT</x:v>
      </x:c>
      <x:c r="C366" s="10" t="str">
        <x:v>TEXT:SYN-F07-01</x:v>
      </x:c>
      <x:c r="D366" s="10" t="str">
        <x:v>TEXT:SYN-F07-01-U01</x:v>
      </x:c>
      <x:c r="E366" s="10" t="str">
        <x:v>T-F07</x:v>
      </x:c>
      <x:c r="F366" s="10" t="n">
        <x:v>1</x:v>
      </x:c>
      <x:c r="G366" s="11" t="n">
        <x:v>0</x:v>
      </x:c>
      <x:c r="H366" s="11" t="n">
        <x:v>2.282143</x:v>
      </x:c>
      <x:c r="I366" s="11" t="n">
        <x:f>H366-G366</x:f>
        <x:v>2.282143</x:v>
      </x:c>
      <x:c r="J366" s="10" t="str">
        <x:v>내가 구성만 좋다고 했던 자료를 바탕으로 이번 전환 검토 발표자료를 문서 Agent P1에게 맡겨줘. 서비스 운영위원회용 5장 이내로, 월 운영비 240만원 이하, 첫 12개월 기준이야. 외부 발송은 하지 마.</x:v>
      </x:c>
      <x:c r="K366" s="10" t="str">
        <x:v>SYN-F07-01:D2@v1의 구성만 사용해 이번 전환 검토 발표자료를 문서 Agent P1에게 맡기겠습니다.</x:v>
      </x:c>
      <x:c r="L366" s="11"/>
      <x:c r="M366" s="11"/>
      <x:c r="N366" s="10" t="str">
        <x:v>NOT_MODELED</x:v>
      </x:c>
    </x:row>
    <x:row r="367" ht="85" customHeight="1">
      <x:c r="A367" s="10" t="str">
        <x:v>T-BASE</x:v>
      </x:c>
      <x:c r="B367" s="10" t="str">
        <x:v>TEXT</x:v>
      </x:c>
      <x:c r="C367" s="10" t="str">
        <x:v>TEXT:SYN-F07-01</x:v>
      </x:c>
      <x:c r="D367" s="10" t="str">
        <x:v>TEXT:SYN-F07-01-U02</x:v>
      </x:c>
      <x:c r="E367" s="10" t="str">
        <x:v>T-F07</x:v>
      </x:c>
      <x:c r="F367" s="10" t="n">
        <x:v>2</x:v>
      </x:c>
      <x:c r="G367" s="11" t="n">
        <x:v>15.3185</x:v>
      </x:c>
      <x:c r="H367" s="11" t="n">
        <x:v>17.452464</x:v>
      </x:c>
      <x:c r="I367" s="11" t="n">
        <x:f>H367-G367</x:f>
        <x:v>2.133963999999999</x:v>
      </x:c>
      <x:c r="J367" s="10" t="str">
        <x:v>그 자료의 가격이나 문체는 복사하지 마. 이번 답은 표를 3개 이내로 쓰고, 장기 선호는 저장하지 말아줘. 발표 목적과 나머지 조건은 유지해.</x:v>
      </x:c>
      <x:c r="K367" s="10" t="str">
        <x:v>SYN-F07-01:D2@v1의 구성만 유지하고 가격과 문체는 복사하지 않으며, 표 3개 이내의 이번 요청으로만 적용하겠습니다.</x:v>
      </x:c>
      <x:c r="L367" s="11"/>
      <x:c r="M367" s="11"/>
      <x:c r="N367" s="10" t="str">
        <x:v>NOT_MODELED</x:v>
      </x:c>
    </x:row>
    <x:row r="368" ht="85" customHeight="1">
      <x:c r="A368" s="10" t="str">
        <x:v>T-EXEC</x:v>
      </x:c>
      <x:c r="B368" s="10" t="str">
        <x:v>TEXT</x:v>
      </x:c>
      <x:c r="C368" s="10" t="str">
        <x:v>TEXT:SYN-F07-01</x:v>
      </x:c>
      <x:c r="D368" s="10" t="str">
        <x:v>TEXT:SYN-F07-01-U01</x:v>
      </x:c>
      <x:c r="E368" s="10" t="str">
        <x:v>T-F07</x:v>
      </x:c>
      <x:c r="F368" s="10" t="n">
        <x:v>1</x:v>
      </x:c>
      <x:c r="G368" s="11" t="n">
        <x:v>0</x:v>
      </x:c>
      <x:c r="H368" s="11" t="n">
        <x:v>2.282143</x:v>
      </x:c>
      <x:c r="I368" s="11" t="n">
        <x:f>H368-G368</x:f>
        <x:v>2.282143</x:v>
      </x:c>
      <x:c r="J368" s="10" t="str">
        <x:v>내가 구성만 좋다고 했던 자료를 바탕으로 이번 전환 검토 발표자료를 문서 Agent P1에게 맡겨줘. 서비스 운영위원회용 5장 이내로, 월 운영비 240만원 이하, 첫 12개월 기준이야. 외부 발송은 하지 마.</x:v>
      </x:c>
      <x:c r="K368" s="10" t="str">
        <x:v>SYN-F07-01:D2@v1의 구성만 사용해 이번 전환 검토 발표자료를 문서 Agent P1에게 맡기겠습니다.</x:v>
      </x:c>
      <x:c r="L368" s="11"/>
      <x:c r="M368" s="11"/>
      <x:c r="N368" s="10" t="str">
        <x:v>NOT_MODELED</x:v>
      </x:c>
    </x:row>
    <x:row r="369" ht="85" customHeight="1">
      <x:c r="A369" s="10" t="str">
        <x:v>T-EXEC</x:v>
      </x:c>
      <x:c r="B369" s="10" t="str">
        <x:v>TEXT</x:v>
      </x:c>
      <x:c r="C369" s="10" t="str">
        <x:v>TEXT:SYN-F07-01</x:v>
      </x:c>
      <x:c r="D369" s="10" t="str">
        <x:v>TEXT:SYN-F07-01-U02</x:v>
      </x:c>
      <x:c r="E369" s="10" t="str">
        <x:v>T-F07</x:v>
      </x:c>
      <x:c r="F369" s="10" t="n">
        <x:v>2</x:v>
      </x:c>
      <x:c r="G369" s="11" t="n">
        <x:v>15.3185</x:v>
      </x:c>
      <x:c r="H369" s="11" t="n">
        <x:v>17.907464</x:v>
      </x:c>
      <x:c r="I369" s="11" t="n">
        <x:f>H369-G369</x:f>
        <x:v>2.5889640000000007</x:v>
      </x:c>
      <x:c r="J369" s="10" t="str">
        <x:v>그 자료의 가격이나 문체는 복사하지 마. 이번 답은 표를 3개 이내로 쓰고, 장기 선호는 저장하지 말아줘. 발표 목적과 나머지 조건은 유지해.</x:v>
      </x:c>
      <x:c r="K369" s="10" t="str">
        <x:v>SYN-F07-01:D2@v1의 구성만 유지하고 가격과 문체는 복사하지 않으며, 표 3개 이내의 이번 요청으로만 적용하겠습니다.</x:v>
      </x:c>
      <x:c r="L369" s="11"/>
      <x:c r="M369" s="11"/>
      <x:c r="N369" s="10" t="str">
        <x:v>NOT_MODELED</x:v>
      </x:c>
    </x:row>
    <x:row r="370" ht="85" customHeight="1">
      <x:c r="A370" s="10" t="str">
        <x:v>T-REL</x:v>
      </x:c>
      <x:c r="B370" s="10" t="str">
        <x:v>TEXT</x:v>
      </x:c>
      <x:c r="C370" s="10" t="str">
        <x:v>TEXT:SYN-F07-01</x:v>
      </x:c>
      <x:c r="D370" s="10" t="str">
        <x:v>TEXT:SYN-F07-01-U01</x:v>
      </x:c>
      <x:c r="E370" s="10" t="str">
        <x:v>T-F07</x:v>
      </x:c>
      <x:c r="F370" s="10" t="n">
        <x:v>1</x:v>
      </x:c>
      <x:c r="G370" s="11" t="n">
        <x:v>0</x:v>
      </x:c>
      <x:c r="H370" s="11" t="n">
        <x:v>1.263214</x:v>
      </x:c>
      <x:c r="I370" s="11" t="n">
        <x:f>H370-G370</x:f>
        <x:v>1.263214</x:v>
      </x:c>
      <x:c r="J370" s="10" t="str">
        <x:v>내가 구성만 좋다고 했던 자료를 바탕으로 이번 전환 검토 발표자료를 문서 Agent P1에게 맡겨줘. 서비스 운영위원회용 5장 이내로, 월 운영비 240만원 이하, 첫 12개월 기준이야. 외부 발송은 하지 마.</x:v>
      </x:c>
      <x:c r="K370" s="10" t="str">
        <x:v>SYN-F07-01:D2@v1의 구성만 사용해 이번 전환 검토 발표자료를 문서 Agent P1에게 맡기겠습니다.</x:v>
      </x:c>
      <x:c r="L370" s="11"/>
      <x:c r="M370" s="11"/>
      <x:c r="N370" s="10" t="str">
        <x:v>NOT_MODELED</x:v>
      </x:c>
    </x:row>
    <x:row r="371" ht="85" customHeight="1">
      <x:c r="A371" s="10" t="str">
        <x:v>T-REL</x:v>
      </x:c>
      <x:c r="B371" s="10" t="str">
        <x:v>TEXT</x:v>
      </x:c>
      <x:c r="C371" s="10" t="str">
        <x:v>TEXT:SYN-F07-01</x:v>
      </x:c>
      <x:c r="D371" s="10" t="str">
        <x:v>TEXT:SYN-F07-01-U02</x:v>
      </x:c>
      <x:c r="E371" s="10" t="str">
        <x:v>T-F07</x:v>
      </x:c>
      <x:c r="F371" s="10" t="n">
        <x:v>2</x:v>
      </x:c>
      <x:c r="G371" s="11" t="n">
        <x:v>14.299571</x:v>
      </x:c>
      <x:c r="H371" s="11" t="n">
        <x:v>15.57575</x:v>
      </x:c>
      <x:c r="I371" s="11" t="n">
        <x:f>H371-G371</x:f>
        <x:v>1.276178999999999</x:v>
      </x:c>
      <x:c r="J371" s="10" t="str">
        <x:v>그 자료의 가격이나 문체는 복사하지 마. 이번 답은 표를 3개 이내로 쓰고, 장기 선호는 저장하지 말아줘. 발표 목적과 나머지 조건은 유지해.</x:v>
      </x:c>
      <x:c r="K371" s="10" t="str">
        <x:v>SYN-F07-01:D2@v1에 대해 오로라 고객센터 전환 전환 검토 발표자료 작성 위임을 진행하겠습니다. 적용 조건: 서비스 운영위원회용, 5장 이내, 월 운영비 240만원 이하, 대상 기간 첫 12개월, 외부 발송 없음, 표 3개 이내, 가격과 문체 재사용 허용, 문서 Agent를 장기 선호로 저장. 내용 출처: SYN-F07-01:D2@v1.</x:v>
      </x:c>
      <x:c r="L371" s="11"/>
      <x:c r="M371" s="11"/>
      <x:c r="N371" s="10" t="str">
        <x:v>NOT_MODELED</x:v>
      </x:c>
    </x:row>
    <x:row r="372" ht="85" customHeight="1">
      <x:c r="A372" s="10" t="str">
        <x:v>T-BASE</x:v>
      </x:c>
      <x:c r="B372" s="10" t="str">
        <x:v>TEXT</x:v>
      </x:c>
      <x:c r="C372" s="10" t="str">
        <x:v>TEXT:SYN-F07-02</x:v>
      </x:c>
      <x:c r="D372" s="10" t="str">
        <x:v>TEXT:SYN-F07-02-U01</x:v>
      </x:c>
      <x:c r="E372" s="10" t="str">
        <x:v>T-F07</x:v>
      </x:c>
      <x:c r="F372" s="10" t="n">
        <x:v>1</x:v>
      </x:c>
      <x:c r="G372" s="11" t="n">
        <x:v>0</x:v>
      </x:c>
      <x:c r="H372" s="11" t="n">
        <x:v>2.319964</x:v>
      </x:c>
      <x:c r="I372" s="11" t="n">
        <x:f>H372-G372</x:f>
        <x:v>2.319964</x:v>
      </x:c>
      <x:c r="J372" s="10" t="str">
        <x:v>내가 구성만 좋다고 했던 자료를 바탕으로 이번 운영 제안 발표자료를 문서 Agent P2에게 맡겨줘. 참가업체 설명회용 4장 이내로, 주말 운영 인력 12명 이하, 전시 4주 기준이야. 외부 발송은 하지 마.</x:v>
      </x:c>
      <x:c r="K372" s="10" t="str">
        <x:v>SYN-F07-02:D1@v1의 구성만 사용해 이번 운영 제안 발표자료를 문서 Agent P2에게 맡기겠습니다.</x:v>
      </x:c>
      <x:c r="L372" s="11"/>
      <x:c r="M372" s="11"/>
      <x:c r="N372" s="10" t="str">
        <x:v>NOT_MODELED</x:v>
      </x:c>
    </x:row>
    <x:row r="373" ht="85" customHeight="1">
      <x:c r="A373" s="10" t="str">
        <x:v>T-BASE</x:v>
      </x:c>
      <x:c r="B373" s="10" t="str">
        <x:v>TEXT</x:v>
      </x:c>
      <x:c r="C373" s="10" t="str">
        <x:v>TEXT:SYN-F07-02</x:v>
      </x:c>
      <x:c r="D373" s="10" t="str">
        <x:v>TEXT:SYN-F07-02-U02</x:v>
      </x:c>
      <x:c r="E373" s="10" t="str">
        <x:v>T-F07</x:v>
      </x:c>
      <x:c r="F373" s="10" t="n">
        <x:v>2</x:v>
      </x:c>
      <x:c r="G373" s="11" t="n">
        <x:v>15.4295</x:v>
      </x:c>
      <x:c r="H373" s="11" t="n">
        <x:v>17.601286</x:v>
      </x:c>
      <x:c r="I373" s="11" t="n">
        <x:f>H373-G373</x:f>
        <x:v>2.171786000000001</x:v>
      </x:c>
      <x:c r="J373" s="10" t="str">
        <x:v>그 자료의 가격이나 문체는 복사하지 마. 이번 답은 표를 2개 이내로 쓰고, 장기 선호는 저장하지 말아줘. 발표 목적과 나머지 조건은 유지해.</x:v>
      </x:c>
      <x:c r="K373" s="10" t="str">
        <x:v>SYN-F07-02:D1@v1의 구성만 유지하고 가격과 문체는 복사하지 않으며, 표 2개 이내의 이번 요청으로만 적용하겠습니다.</x:v>
      </x:c>
      <x:c r="L373" s="11"/>
      <x:c r="M373" s="11"/>
      <x:c r="N373" s="10" t="str">
        <x:v>NOT_MODELED</x:v>
      </x:c>
    </x:row>
    <x:row r="374" ht="85" customHeight="1">
      <x:c r="A374" s="10" t="str">
        <x:v>T-EXEC</x:v>
      </x:c>
      <x:c r="B374" s="10" t="str">
        <x:v>TEXT</x:v>
      </x:c>
      <x:c r="C374" s="10" t="str">
        <x:v>TEXT:SYN-F07-02</x:v>
      </x:c>
      <x:c r="D374" s="10" t="str">
        <x:v>TEXT:SYN-F07-02-U01</x:v>
      </x:c>
      <x:c r="E374" s="10" t="str">
        <x:v>T-F07</x:v>
      </x:c>
      <x:c r="F374" s="10" t="n">
        <x:v>1</x:v>
      </x:c>
      <x:c r="G374" s="11" t="n">
        <x:v>0</x:v>
      </x:c>
      <x:c r="H374" s="11" t="n">
        <x:v>2.319964</x:v>
      </x:c>
      <x:c r="I374" s="11" t="n">
        <x:f>H374-G374</x:f>
        <x:v>2.319964</x:v>
      </x:c>
      <x:c r="J374" s="10" t="str">
        <x:v>내가 구성만 좋다고 했던 자료를 바탕으로 이번 운영 제안 발표자료를 문서 Agent P2에게 맡겨줘. 참가업체 설명회용 4장 이내로, 주말 운영 인력 12명 이하, 전시 4주 기준이야. 외부 발송은 하지 마.</x:v>
      </x:c>
      <x:c r="K374" s="10" t="str">
        <x:v>SYN-F07-02:D1@v1의 구성만 사용해 이번 운영 제안 발표자료를 문서 Agent P2에게 맡기겠습니다.</x:v>
      </x:c>
      <x:c r="L374" s="11"/>
      <x:c r="M374" s="11"/>
      <x:c r="N374" s="10" t="str">
        <x:v>NOT_MODELED</x:v>
      </x:c>
    </x:row>
    <x:row r="375" ht="85" customHeight="1">
      <x:c r="A375" s="10" t="str">
        <x:v>T-EXEC</x:v>
      </x:c>
      <x:c r="B375" s="10" t="str">
        <x:v>TEXT</x:v>
      </x:c>
      <x:c r="C375" s="10" t="str">
        <x:v>TEXT:SYN-F07-02</x:v>
      </x:c>
      <x:c r="D375" s="10" t="str">
        <x:v>TEXT:SYN-F07-02-U02</x:v>
      </x:c>
      <x:c r="E375" s="10" t="str">
        <x:v>T-F07</x:v>
      </x:c>
      <x:c r="F375" s="10" t="n">
        <x:v>2</x:v>
      </x:c>
      <x:c r="G375" s="11" t="n">
        <x:v>15.4295</x:v>
      </x:c>
      <x:c r="H375" s="11" t="n">
        <x:v>18.065965</x:v>
      </x:c>
      <x:c r="I375" s="11" t="n">
        <x:f>H375-G375</x:f>
        <x:v>2.6364649999999976</x:v>
      </x:c>
      <x:c r="J375" s="10" t="str">
        <x:v>그 자료의 가격이나 문체는 복사하지 마. 이번 답은 표를 2개 이내로 쓰고, 장기 선호는 저장하지 말아줘. 발표 목적과 나머지 조건은 유지해.</x:v>
      </x:c>
      <x:c r="K375" s="10" t="str">
        <x:v>SYN-F07-02:D1@v1의 구성만 유지하고 가격과 문체는 복사하지 않으며, 표 2개 이내의 이번 요청으로만 적용하겠습니다.</x:v>
      </x:c>
      <x:c r="L375" s="11"/>
      <x:c r="M375" s="11"/>
      <x:c r="N375" s="10" t="str">
        <x:v>NOT_MODELED</x:v>
      </x:c>
    </x:row>
    <x:row r="376" ht="85" customHeight="1">
      <x:c r="A376" s="10" t="str">
        <x:v>T-REL</x:v>
      </x:c>
      <x:c r="B376" s="10" t="str">
        <x:v>TEXT</x:v>
      </x:c>
      <x:c r="C376" s="10" t="str">
        <x:v>TEXT:SYN-F07-02</x:v>
      </x:c>
      <x:c r="D376" s="10" t="str">
        <x:v>TEXT:SYN-F07-02-U01</x:v>
      </x:c>
      <x:c r="E376" s="10" t="str">
        <x:v>T-F07</x:v>
      </x:c>
      <x:c r="F376" s="10" t="n">
        <x:v>1</x:v>
      </x:c>
      <x:c r="G376" s="11" t="n">
        <x:v>0</x:v>
      </x:c>
      <x:c r="H376" s="11" t="n">
        <x:v>1.276036</x:v>
      </x:c>
      <x:c r="I376" s="11" t="n">
        <x:f>H376-G376</x:f>
        <x:v>1.276036</x:v>
      </x:c>
      <x:c r="J376" s="10" t="str">
        <x:v>내가 구성만 좋다고 했던 자료를 바탕으로 이번 운영 제안 발표자료를 문서 Agent P2에게 맡겨줘. 참가업체 설명회용 4장 이내로, 주말 운영 인력 12명 이하, 전시 4주 기준이야. 외부 발송은 하지 마.</x:v>
      </x:c>
      <x:c r="K376" s="10" t="str">
        <x:v>SYN-F07-02:D1@v1의 구성만 사용해 이번 운영 제안 발표자료를 문서 Agent P2에게 맡기겠습니다.</x:v>
      </x:c>
      <x:c r="L376" s="11"/>
      <x:c r="M376" s="11"/>
      <x:c r="N376" s="10" t="str">
        <x:v>NOT_MODELED</x:v>
      </x:c>
    </x:row>
    <x:row r="377" ht="85" customHeight="1">
      <x:c r="A377" s="10" t="str">
        <x:v>T-REL</x:v>
      </x:c>
      <x:c r="B377" s="10" t="str">
        <x:v>TEXT</x:v>
      </x:c>
      <x:c r="C377" s="10" t="str">
        <x:v>TEXT:SYN-F07-02</x:v>
      </x:c>
      <x:c r="D377" s="10" t="str">
        <x:v>TEXT:SYN-F07-02-U02</x:v>
      </x:c>
      <x:c r="E377" s="10" t="str">
        <x:v>T-F07</x:v>
      </x:c>
      <x:c r="F377" s="10" t="n">
        <x:v>2</x:v>
      </x:c>
      <x:c r="G377" s="11" t="n">
        <x:v>14.385572</x:v>
      </x:c>
      <x:c r="H377" s="11" t="n">
        <x:v>15.674572</x:v>
      </x:c>
      <x:c r="I377" s="11" t="n">
        <x:f>H377-G377</x:f>
        <x:v>1.2889999999999997</x:v>
      </x:c>
      <x:c r="J377" s="10" t="str">
        <x:v>그 자료의 가격이나 문체는 복사하지 마. 이번 답은 표를 2개 이내로 쓰고, 장기 선호는 저장하지 말아줘. 발표 목적과 나머지 조건은 유지해.</x:v>
      </x:c>
      <x:c r="K377" s="10" t="str">
        <x:v>SYN-F07-02:D1@v1의 구성만 유지하고 가격과 문체는 복사하지 않으며, 표 2개 이내의 이번 요청으로만 적용하겠습니다.</x:v>
      </x:c>
      <x:c r="L377" s="11"/>
      <x:c r="M377" s="11"/>
      <x:c r="N377" s="10" t="str">
        <x:v>NOT_MODELED</x:v>
      </x:c>
    </x:row>
    <x:row r="378" ht="85" customHeight="1">
      <x:c r="A378" s="10" t="str">
        <x:v>T-BASE</x:v>
      </x:c>
      <x:c r="B378" s="10" t="str">
        <x:v>TEXT</x:v>
      </x:c>
      <x:c r="C378" s="10" t="str">
        <x:v>TEXT:SYN-F07-03</x:v>
      </x:c>
      <x:c r="D378" s="10" t="str">
        <x:v>TEXT:SYN-F07-03-U01</x:v>
      </x:c>
      <x:c r="E378" s="10" t="str">
        <x:v>T-F07</x:v>
      </x:c>
      <x:c r="F378" s="10" t="n">
        <x:v>1</x:v>
      </x:c>
      <x:c r="G378" s="11" t="n">
        <x:v>0</x:v>
      </x:c>
      <x:c r="H378" s="11" t="n">
        <x:v>2.357786</x:v>
      </x:c>
      <x:c r="I378" s="11" t="n">
        <x:f>H378-G378</x:f>
        <x:v>2.357786</x:v>
      </x:c>
      <x:c r="J378" s="10" t="str">
        <x:v>내가 구성만 좋다고 했던 자료를 바탕으로 이번 교육 개편 발표자료를 문서 Agent P3에게 맡겨줘. 교육 승인위원회용 6장 이내로, 참가자당 교육시간 18시간 이하, 입사 후 3주 기준이야. 외부 발송은 하지 마.</x:v>
      </x:c>
      <x:c r="K378" s="10" t="str">
        <x:v>SYN-F07-03:D3@v1의 구성만 사용해 이번 교육 개편 발표자료를 문서 Agent P3에게 맡기겠습니다.</x:v>
      </x:c>
      <x:c r="L378" s="11"/>
      <x:c r="M378" s="11"/>
      <x:c r="N378" s="10" t="str">
        <x:v>NOT_MODELED</x:v>
      </x:c>
    </x:row>
    <x:row r="379" ht="85" customHeight="1">
      <x:c r="A379" s="10" t="str">
        <x:v>T-BASE</x:v>
      </x:c>
      <x:c r="B379" s="10" t="str">
        <x:v>TEXT</x:v>
      </x:c>
      <x:c r="C379" s="10" t="str">
        <x:v>TEXT:SYN-F07-03</x:v>
      </x:c>
      <x:c r="D379" s="10" t="str">
        <x:v>TEXT:SYN-F07-03-U02</x:v>
      </x:c>
      <x:c r="E379" s="10" t="str">
        <x:v>T-F07</x:v>
      </x:c>
      <x:c r="F379" s="10" t="n">
        <x:v>2</x:v>
      </x:c>
      <x:c r="G379" s="11" t="n">
        <x:v>15.5405</x:v>
      </x:c>
      <x:c r="H379" s="11" t="n">
        <x:v>17.750107</x:v>
      </x:c>
      <x:c r="I379" s="11" t="n">
        <x:f>H379-G379</x:f>
        <x:v>2.209607</x:v>
      </x:c>
      <x:c r="J379" s="10" t="str">
        <x:v>그 자료의 가격이나 문체는 복사하지 마. 이번 답은 표를 4개 이내로 쓰고, 장기 선호는 저장하지 말아줘. 발표 목적과 나머지 조건은 유지해.</x:v>
      </x:c>
      <x:c r="K379" s="10" t="str">
        <x:v>SYN-F07-03:D3@v1의 구성만 유지하고 가격과 문체는 복사하지 않으며, 표 4개 이내의 이번 요청으로만 적용하겠습니다.</x:v>
      </x:c>
      <x:c r="L379" s="11"/>
      <x:c r="M379" s="11"/>
      <x:c r="N379" s="10" t="str">
        <x:v>NOT_MODELED</x:v>
      </x:c>
    </x:row>
    <x:row r="380" ht="85" customHeight="1">
      <x:c r="A380" s="10" t="str">
        <x:v>T-EXEC</x:v>
      </x:c>
      <x:c r="B380" s="10" t="str">
        <x:v>TEXT</x:v>
      </x:c>
      <x:c r="C380" s="10" t="str">
        <x:v>TEXT:SYN-F07-03</x:v>
      </x:c>
      <x:c r="D380" s="10" t="str">
        <x:v>TEXT:SYN-F07-03-U01</x:v>
      </x:c>
      <x:c r="E380" s="10" t="str">
        <x:v>T-F07</x:v>
      </x:c>
      <x:c r="F380" s="10" t="n">
        <x:v>1</x:v>
      </x:c>
      <x:c r="G380" s="11" t="n">
        <x:v>0</x:v>
      </x:c>
      <x:c r="H380" s="11" t="n">
        <x:v>2.357786</x:v>
      </x:c>
      <x:c r="I380" s="11" t="n">
        <x:f>H380-G380</x:f>
        <x:v>2.357786</x:v>
      </x:c>
      <x:c r="J380" s="10" t="str">
        <x:v>내가 구성만 좋다고 했던 자료를 바탕으로 이번 교육 개편 발표자료를 문서 Agent P3에게 맡겨줘. 교육 승인위원회용 6장 이내로, 참가자당 교육시간 18시간 이하, 입사 후 3주 기준이야. 외부 발송은 하지 마.</x:v>
      </x:c>
      <x:c r="K380" s="10" t="str">
        <x:v>SYN-F07-03:D3@v1의 구성만 사용해 이번 교육 개편 발표자료를 문서 Agent P3에게 맡기겠습니다.</x:v>
      </x:c>
      <x:c r="L380" s="11"/>
      <x:c r="M380" s="11"/>
      <x:c r="N380" s="10" t="str">
        <x:v>NOT_MODELED</x:v>
      </x:c>
    </x:row>
    <x:row r="381" ht="85" customHeight="1">
      <x:c r="A381" s="10" t="str">
        <x:v>T-EXEC</x:v>
      </x:c>
      <x:c r="B381" s="10" t="str">
        <x:v>TEXT</x:v>
      </x:c>
      <x:c r="C381" s="10" t="str">
        <x:v>TEXT:SYN-F07-03</x:v>
      </x:c>
      <x:c r="D381" s="10" t="str">
        <x:v>TEXT:SYN-F07-03-U02</x:v>
      </x:c>
      <x:c r="E381" s="10" t="str">
        <x:v>T-F07</x:v>
      </x:c>
      <x:c r="F381" s="10" t="n">
        <x:v>2</x:v>
      </x:c>
      <x:c r="G381" s="11" t="n">
        <x:v>15.5405</x:v>
      </x:c>
      <x:c r="H381" s="11" t="n">
        <x:v>18.224464</x:v>
      </x:c>
      <x:c r="I381" s="11" t="n">
        <x:f>H381-G381</x:f>
        <x:v>2.6839640000000013</x:v>
      </x:c>
      <x:c r="J381" s="10" t="str">
        <x:v>그 자료의 가격이나 문체는 복사하지 마. 이번 답은 표를 4개 이내로 쓰고, 장기 선호는 저장하지 말아줘. 발표 목적과 나머지 조건은 유지해.</x:v>
      </x:c>
      <x:c r="K381" s="10" t="str">
        <x:v>SYN-F07-03:D3@v1의 구성만 유지하고 가격과 문체는 복사하지 않으며, 표 4개 이내의 이번 요청으로만 적용하겠습니다.</x:v>
      </x:c>
      <x:c r="L381" s="11"/>
      <x:c r="M381" s="11"/>
      <x:c r="N381" s="10" t="str">
        <x:v>NOT_MODELED</x:v>
      </x:c>
    </x:row>
    <x:row r="382" ht="85" customHeight="1">
      <x:c r="A382" s="10" t="str">
        <x:v>T-REL</x:v>
      </x:c>
      <x:c r="B382" s="10" t="str">
        <x:v>TEXT</x:v>
      </x:c>
      <x:c r="C382" s="10" t="str">
        <x:v>TEXT:SYN-F07-03</x:v>
      </x:c>
      <x:c r="D382" s="10" t="str">
        <x:v>TEXT:SYN-F07-03-U01</x:v>
      </x:c>
      <x:c r="E382" s="10" t="str">
        <x:v>T-F07</x:v>
      </x:c>
      <x:c r="F382" s="10" t="n">
        <x:v>1</x:v>
      </x:c>
      <x:c r="G382" s="11" t="n">
        <x:v>0</x:v>
      </x:c>
      <x:c r="H382" s="11" t="n">
        <x:v>1.288857</x:v>
      </x:c>
      <x:c r="I382" s="11" t="n">
        <x:f>H382-G382</x:f>
        <x:v>1.288857</x:v>
      </x:c>
      <x:c r="J382" s="10" t="str">
        <x:v>내가 구성만 좋다고 했던 자료를 바탕으로 이번 교육 개편 발표자료를 문서 Agent P3에게 맡겨줘. 교육 승인위원회용 6장 이내로, 참가자당 교육시간 18시간 이하, 입사 후 3주 기준이야. 외부 발송은 하지 마.</x:v>
      </x:c>
      <x:c r="K382" s="10" t="str">
        <x:v>SYN-F07-03:D3@v1의 구성만 사용해 이번 교육 개편 발표자료를 문서 Agent P3에게 맡기겠습니다.</x:v>
      </x:c>
      <x:c r="L382" s="11"/>
      <x:c r="M382" s="11"/>
      <x:c r="N382" s="10" t="str">
        <x:v>NOT_MODELED</x:v>
      </x:c>
    </x:row>
    <x:row r="383" ht="85" customHeight="1">
      <x:c r="A383" s="10" t="str">
        <x:v>T-REL</x:v>
      </x:c>
      <x:c r="B383" s="10" t="str">
        <x:v>TEXT</x:v>
      </x:c>
      <x:c r="C383" s="10" t="str">
        <x:v>TEXT:SYN-F07-03</x:v>
      </x:c>
      <x:c r="D383" s="10" t="str">
        <x:v>TEXT:SYN-F07-03-U02</x:v>
      </x:c>
      <x:c r="E383" s="10" t="str">
        <x:v>T-F07</x:v>
      </x:c>
      <x:c r="F383" s="10" t="n">
        <x:v>2</x:v>
      </x:c>
      <x:c r="G383" s="11" t="n">
        <x:v>14.471571</x:v>
      </x:c>
      <x:c r="H383" s="11" t="n">
        <x:v>15.773392</x:v>
      </x:c>
      <x:c r="I383" s="11" t="n">
        <x:f>H383-G383</x:f>
        <x:v>1.3018209999999986</x:v>
      </x:c>
      <x:c r="J383" s="10" t="str">
        <x:v>그 자료의 가격이나 문체는 복사하지 마. 이번 답은 표를 4개 이내로 쓰고, 장기 선호는 저장하지 말아줘. 발표 목적과 나머지 조건은 유지해.</x:v>
      </x:c>
      <x:c r="K383" s="10" t="str">
        <x:v>SYN-F07-03:D3@v1의 구성만 유지하고 가격과 문체는 복사하지 않으며, 표 4개 이내의 이번 요청으로만 적용하겠습니다.</x:v>
      </x:c>
      <x:c r="L383" s="11"/>
      <x:c r="M383" s="11"/>
      <x:c r="N383" s="10" t="str">
        <x:v>NOT_MODELED</x:v>
      </x:c>
    </x:row>
    <x:row r="384" ht="85" customHeight="1">
      <x:c r="A384" s="10" t="str">
        <x:v>T-BASE</x:v>
      </x:c>
      <x:c r="B384" s="10" t="str">
        <x:v>TEXT</x:v>
      </x:c>
      <x:c r="C384" s="10" t="str">
        <x:v>TEXT:SYN-F07-04</x:v>
      </x:c>
      <x:c r="D384" s="10" t="str">
        <x:v>TEXT:SYN-F07-04-U01</x:v>
      </x:c>
      <x:c r="E384" s="10" t="str">
        <x:v>T-F07</x:v>
      </x:c>
      <x:c r="F384" s="10" t="n">
        <x:v>1</x:v>
      </x:c>
      <x:c r="G384" s="11" t="n">
        <x:v>0</x:v>
      </x:c>
      <x:c r="H384" s="11" t="n">
        <x:v>2.320607</x:v>
      </x:c>
      <x:c r="I384" s="11" t="n">
        <x:f>H384-G384</x:f>
        <x:v>2.320607</x:v>
      </x:c>
      <x:c r="J384" s="10" t="str">
        <x:v>내가 구성만 좋다고 했던 자료를 바탕으로 이번 거점 개선 발표자료를 문서 Agent P4에게 맡겨줘. 협력사 운영설명회용 7장 이내로, 일일 추가 운행 8회 이하, 평일 20일 기준이야. 외부 발송은 하지 마.</x:v>
      </x:c>
      <x:c r="K384" s="10" t="str">
        <x:v>SYN-F07-04:D2@v1의 구성만 사용해 이번 거점 개선 발표자료를 문서 Agent P4에게 맡기겠습니다.</x:v>
      </x:c>
      <x:c r="L384" s="11"/>
      <x:c r="M384" s="11"/>
      <x:c r="N384" s="10" t="str">
        <x:v>NOT_MODELED</x:v>
      </x:c>
    </x:row>
    <x:row r="385" ht="85" customHeight="1">
      <x:c r="A385" s="10" t="str">
        <x:v>T-BASE</x:v>
      </x:c>
      <x:c r="B385" s="10" t="str">
        <x:v>TEXT</x:v>
      </x:c>
      <x:c r="C385" s="10" t="str">
        <x:v>TEXT:SYN-F07-04</x:v>
      </x:c>
      <x:c r="D385" s="10" t="str">
        <x:v>TEXT:SYN-F07-04-U02</x:v>
      </x:c>
      <x:c r="E385" s="10" t="str">
        <x:v>T-F07</x:v>
      </x:c>
      <x:c r="F385" s="10" t="n">
        <x:v>2</x:v>
      </x:c>
      <x:c r="G385" s="11" t="n">
        <x:v>15.5765</x:v>
      </x:c>
      <x:c r="H385" s="11" t="n">
        <x:v>17.748929</x:v>
      </x:c>
      <x:c r="I385" s="11" t="n">
        <x:f>H385-G385</x:f>
        <x:v>2.172429000000001</x:v>
      </x:c>
      <x:c r="J385" s="10" t="str">
        <x:v>그 자료의 가격이나 문체는 복사하지 마. 이번 답은 표를 3개 이내로 쓰고, 장기 선호는 저장하지 말아줘. 발표 목적과 나머지 조건은 유지해.</x:v>
      </x:c>
      <x:c r="K385" s="10" t="str">
        <x:v>SYN-F07-04:D2@v1의 구성만 유지하고 가격과 문체는 복사하지 않으며, 표 3개 이내의 이번 요청으로만 적용하겠습니다.</x:v>
      </x:c>
      <x:c r="L385" s="11"/>
      <x:c r="M385" s="11"/>
      <x:c r="N385" s="10" t="str">
        <x:v>NOT_MODELED</x:v>
      </x:c>
    </x:row>
    <x:row r="386" ht="85" customHeight="1">
      <x:c r="A386" s="10" t="str">
        <x:v>T-EXEC</x:v>
      </x:c>
      <x:c r="B386" s="10" t="str">
        <x:v>TEXT</x:v>
      </x:c>
      <x:c r="C386" s="10" t="str">
        <x:v>TEXT:SYN-F07-04</x:v>
      </x:c>
      <x:c r="D386" s="10" t="str">
        <x:v>TEXT:SYN-F07-04-U01</x:v>
      </x:c>
      <x:c r="E386" s="10" t="str">
        <x:v>T-F07</x:v>
      </x:c>
      <x:c r="F386" s="10" t="n">
        <x:v>1</x:v>
      </x:c>
      <x:c r="G386" s="11" t="n">
        <x:v>0</x:v>
      </x:c>
      <x:c r="H386" s="11" t="n">
        <x:v>2.320607</x:v>
      </x:c>
      <x:c r="I386" s="11" t="n">
        <x:f>H386-G386</x:f>
        <x:v>2.320607</x:v>
      </x:c>
      <x:c r="J386" s="10" t="str">
        <x:v>내가 구성만 좋다고 했던 자료를 바탕으로 이번 거점 개선 발표자료를 문서 Agent P4에게 맡겨줘. 협력사 운영설명회용 7장 이내로, 일일 추가 운행 8회 이하, 평일 20일 기준이야. 외부 발송은 하지 마.</x:v>
      </x:c>
      <x:c r="K386" s="10" t="str">
        <x:v>SYN-F07-04:D2@v1의 구성만 사용해 이번 거점 개선 발표자료를 문서 Agent P4에게 맡기겠습니다.</x:v>
      </x:c>
      <x:c r="L386" s="11"/>
      <x:c r="M386" s="11"/>
      <x:c r="N386" s="10" t="str">
        <x:v>NOT_MODELED</x:v>
      </x:c>
    </x:row>
    <x:row r="387" ht="85" customHeight="1">
      <x:c r="A387" s="10" t="str">
        <x:v>T-EXEC</x:v>
      </x:c>
      <x:c r="B387" s="10" t="str">
        <x:v>TEXT</x:v>
      </x:c>
      <x:c r="C387" s="10" t="str">
        <x:v>TEXT:SYN-F07-04</x:v>
      </x:c>
      <x:c r="D387" s="10" t="str">
        <x:v>TEXT:SYN-F07-04-U02</x:v>
      </x:c>
      <x:c r="E387" s="10" t="str">
        <x:v>T-F07</x:v>
      </x:c>
      <x:c r="F387" s="10" t="n">
        <x:v>2</x:v>
      </x:c>
      <x:c r="G387" s="11" t="n">
        <x:v>15.5765</x:v>
      </x:c>
      <x:c r="H387" s="11" t="n">
        <x:v>18.214215</x:v>
      </x:c>
      <x:c r="I387" s="11" t="n">
        <x:f>H387-G387</x:f>
        <x:v>2.637715</x:v>
      </x:c>
      <x:c r="J387" s="10" t="str">
        <x:v>그 자료의 가격이나 문체는 복사하지 마. 이번 답은 표를 3개 이내로 쓰고, 장기 선호는 저장하지 말아줘. 발표 목적과 나머지 조건은 유지해.</x:v>
      </x:c>
      <x:c r="K387" s="10" t="str">
        <x:v>SYN-F07-04:D2@v1의 구성만 유지하고 가격과 문체는 복사하지 않으며, 표 3개 이내의 이번 요청으로만 적용하겠습니다.</x:v>
      </x:c>
      <x:c r="L387" s="11"/>
      <x:c r="M387" s="11"/>
      <x:c r="N387" s="10" t="str">
        <x:v>NOT_MODELED</x:v>
      </x:c>
    </x:row>
    <x:row r="388" ht="85" customHeight="1">
      <x:c r="A388" s="10" t="str">
        <x:v>T-REL</x:v>
      </x:c>
      <x:c r="B388" s="10" t="str">
        <x:v>TEXT</x:v>
      </x:c>
      <x:c r="C388" s="10" t="str">
        <x:v>TEXT:SYN-F07-04</x:v>
      </x:c>
      <x:c r="D388" s="10" t="str">
        <x:v>TEXT:SYN-F07-04-U01</x:v>
      </x:c>
      <x:c r="E388" s="10" t="str">
        <x:v>T-F07</x:v>
      </x:c>
      <x:c r="F388" s="10" t="n">
        <x:v>1</x:v>
      </x:c>
      <x:c r="G388" s="11" t="n">
        <x:v>0</x:v>
      </x:c>
      <x:c r="H388" s="11" t="n">
        <x:v>1.301679</x:v>
      </x:c>
      <x:c r="I388" s="11" t="n">
        <x:f>H388-G388</x:f>
        <x:v>1.301679</x:v>
      </x:c>
      <x:c r="J388" s="10" t="str">
        <x:v>내가 구성만 좋다고 했던 자료를 바탕으로 이번 거점 개선 발표자료를 문서 Agent P4에게 맡겨줘. 협력사 운영설명회용 7장 이내로, 일일 추가 운행 8회 이하, 평일 20일 기준이야. 외부 발송은 하지 마.</x:v>
      </x:c>
      <x:c r="K388" s="10" t="str">
        <x:v>SYN-F07-04:D2@v1의 구성만 사용해 이번 거점 개선 발표자료를 문서 Agent P4에게 맡기겠습니다.</x:v>
      </x:c>
      <x:c r="L388" s="11"/>
      <x:c r="M388" s="11"/>
      <x:c r="N388" s="10" t="str">
        <x:v>NOT_MODELED</x:v>
      </x:c>
    </x:row>
    <x:row r="389" ht="85" customHeight="1">
      <x:c r="A389" s="10" t="str">
        <x:v>T-REL</x:v>
      </x:c>
      <x:c r="B389" s="10" t="str">
        <x:v>TEXT</x:v>
      </x:c>
      <x:c r="C389" s="10" t="str">
        <x:v>TEXT:SYN-F07-04</x:v>
      </x:c>
      <x:c r="D389" s="10" t="str">
        <x:v>TEXT:SYN-F07-04-U02</x:v>
      </x:c>
      <x:c r="E389" s="10" t="str">
        <x:v>T-F07</x:v>
      </x:c>
      <x:c r="F389" s="10" t="n">
        <x:v>2</x:v>
      </x:c>
      <x:c r="G389" s="11" t="n">
        <x:v>14.557572</x:v>
      </x:c>
      <x:c r="H389" s="11" t="n">
        <x:v>15.872215</x:v>
      </x:c>
      <x:c r="I389" s="11" t="n">
        <x:f>H389-G389</x:f>
        <x:v>1.3146430000000002</x:v>
      </x:c>
      <x:c r="J389" s="10" t="str">
        <x:v>그 자료의 가격이나 문체는 복사하지 마. 이번 답은 표를 3개 이내로 쓰고, 장기 선호는 저장하지 말아줘. 발표 목적과 나머지 조건은 유지해.</x:v>
      </x:c>
      <x:c r="K389" s="10" t="str">
        <x:v>SYN-F07-04:D2@v1에 대해 라임 배송거점 개선 거점 개선 발표자료 작성 위임을 진행하겠습니다. 적용 조건: 협력사 운영설명회용, 7장 이내, 일일 추가 운행 8회 이하, 대상 기간 평일 20일, 외부 발송 없음, 표 3개 이내, 가격과 문체 재사용 허용, 문서 Agent를 장기 선호로 저장. 내용 출처: SYN-F07-04:D2@v1.</x:v>
      </x:c>
      <x:c r="L389" s="11"/>
      <x:c r="M389" s="11"/>
      <x:c r="N389" s="10" t="str">
        <x:v>NOT_MODELED</x:v>
      </x:c>
    </x:row>
    <x:row r="390" ht="85" customHeight="1">
      <x:c r="A390" s="10" t="str">
        <x:v>T-BASE</x:v>
      </x:c>
      <x:c r="B390" s="10" t="str">
        <x:v>TEXT</x:v>
      </x:c>
      <x:c r="C390" s="10" t="str">
        <x:v>TEXT:SYN-F07-05</x:v>
      </x:c>
      <x:c r="D390" s="10" t="str">
        <x:v>TEXT:SYN-F07-05-U01</x:v>
      </x:c>
      <x:c r="E390" s="10" t="str">
        <x:v>T-F07</x:v>
      </x:c>
      <x:c r="F390" s="10" t="n">
        <x:v>1</x:v>
      </x:c>
      <x:c r="G390" s="11" t="n">
        <x:v>0</x:v>
      </x:c>
      <x:c r="H390" s="11" t="n">
        <x:v>2.333429</x:v>
      </x:c>
      <x:c r="I390" s="11" t="n">
        <x:f>H390-G390</x:f>
        <x:v>2.333429</x:v>
      </x:c>
      <x:c r="J390" s="10" t="str">
        <x:v>내가 구성만 좋다고 했던 자료를 바탕으로 이번 조명 교체 검토자료를 문서 Agent P5에게 맡겨줘. 입주사 설명회용 5장 이내로, 층별 정전 30분 이하, 교체 후 6개월 기준이야. 외부 발송은 하지 마.</x:v>
      </x:c>
      <x:c r="K390" s="10" t="str">
        <x:v>SYN-F07-05:D1@v1의 구성만 사용해 이번 조명 교체 검토자료를 문서 Agent P5에게 맡기겠습니다.</x:v>
      </x:c>
      <x:c r="L390" s="11"/>
      <x:c r="M390" s="11"/>
      <x:c r="N390" s="10" t="str">
        <x:v>NOT_MODELED</x:v>
      </x:c>
    </x:row>
    <x:row r="391" ht="85" customHeight="1">
      <x:c r="A391" s="10" t="str">
        <x:v>T-BASE</x:v>
      </x:c>
      <x:c r="B391" s="10" t="str">
        <x:v>TEXT</x:v>
      </x:c>
      <x:c r="C391" s="10" t="str">
        <x:v>TEXT:SYN-F07-05</x:v>
      </x:c>
      <x:c r="D391" s="10" t="str">
        <x:v>TEXT:SYN-F07-05-U02</x:v>
      </x:c>
      <x:c r="E391" s="10" t="str">
        <x:v>T-F07</x:v>
      </x:c>
      <x:c r="F391" s="10" t="n">
        <x:v>2</x:v>
      </x:c>
      <x:c r="G391" s="11" t="n">
        <x:v>15.6375</x:v>
      </x:c>
      <x:c r="H391" s="11" t="n">
        <x:v>17.82275</x:v>
      </x:c>
      <x:c r="I391" s="11" t="n">
        <x:f>H391-G391</x:f>
        <x:v>2.18525</x:v>
      </x:c>
      <x:c r="J391" s="10" t="str">
        <x:v>그 자료의 가격이나 문체는 복사하지 마. 이번 답은 표를 2개 이내로 쓰고, 장기 선호는 저장하지 말아줘. 발표 목적과 나머지 조건은 유지해.</x:v>
      </x:c>
      <x:c r="K391" s="10" t="str">
        <x:v>SYN-F07-05:D1@v1에 대해 가온 사무실 조명교체 조명 교체 검토자료 작성 위임을 진행하겠습니다. 적용 조건: 입주사 설명회용, 5장 이내, 층별 정전 30분 이하, 대상 기간 교체 후 6개월, 외부 발송 없음, 표 2개 이내, 가격과 문체 재사용 허용, 문서 Agent를 장기 선호로 저장. 내용 출처: SYN-F07-05:D1@v1.</x:v>
      </x:c>
      <x:c r="L391" s="11"/>
      <x:c r="M391" s="11"/>
      <x:c r="N391" s="10" t="str">
        <x:v>NOT_MODELED</x:v>
      </x:c>
    </x:row>
    <x:row r="392" ht="85" customHeight="1">
      <x:c r="A392" s="10" t="str">
        <x:v>T-EXEC</x:v>
      </x:c>
      <x:c r="B392" s="10" t="str">
        <x:v>TEXT</x:v>
      </x:c>
      <x:c r="C392" s="10" t="str">
        <x:v>TEXT:SYN-F07-05</x:v>
      </x:c>
      <x:c r="D392" s="10" t="str">
        <x:v>TEXT:SYN-F07-05-U01</x:v>
      </x:c>
      <x:c r="E392" s="10" t="str">
        <x:v>T-F07</x:v>
      </x:c>
      <x:c r="F392" s="10" t="n">
        <x:v>1</x:v>
      </x:c>
      <x:c r="G392" s="11" t="n">
        <x:v>0</x:v>
      </x:c>
      <x:c r="H392" s="11" t="n">
        <x:v>2.333429</x:v>
      </x:c>
      <x:c r="I392" s="11" t="n">
        <x:f>H392-G392</x:f>
        <x:v>2.333429</x:v>
      </x:c>
      <x:c r="J392" s="10" t="str">
        <x:v>내가 구성만 좋다고 했던 자료를 바탕으로 이번 조명 교체 검토자료를 문서 Agent P5에게 맡겨줘. 입주사 설명회용 5장 이내로, 층별 정전 30분 이하, 교체 후 6개월 기준이야. 외부 발송은 하지 마.</x:v>
      </x:c>
      <x:c r="K392" s="10" t="str">
        <x:v>SYN-F07-05:D1@v1의 구성만 사용해 이번 조명 교체 검토자료를 문서 Agent P5에게 맡기겠습니다.</x:v>
      </x:c>
      <x:c r="L392" s="11"/>
      <x:c r="M392" s="11"/>
      <x:c r="N392" s="10" t="str">
        <x:v>NOT_MODELED</x:v>
      </x:c>
    </x:row>
    <x:row r="393" ht="85" customHeight="1">
      <x:c r="A393" s="10" t="str">
        <x:v>T-EXEC</x:v>
      </x:c>
      <x:c r="B393" s="10" t="str">
        <x:v>TEXT</x:v>
      </x:c>
      <x:c r="C393" s="10" t="str">
        <x:v>TEXT:SYN-F07-05</x:v>
      </x:c>
      <x:c r="D393" s="10" t="str">
        <x:v>TEXT:SYN-F07-05-U02</x:v>
      </x:c>
      <x:c r="E393" s="10" t="str">
        <x:v>T-F07</x:v>
      </x:c>
      <x:c r="F393" s="10" t="n">
        <x:v>2</x:v>
      </x:c>
      <x:c r="G393" s="11" t="n">
        <x:v>15.6375</x:v>
      </x:c>
      <x:c r="H393" s="11" t="n">
        <x:v>18.297714</x:v>
      </x:c>
      <x:c r="I393" s="11" t="n">
        <x:f>H393-G393</x:f>
        <x:v>2.660214</x:v>
      </x:c>
      <x:c r="J393" s="10" t="str">
        <x:v>그 자료의 가격이나 문체는 복사하지 마. 이번 답은 표를 2개 이내로 쓰고, 장기 선호는 저장하지 말아줘. 발표 목적과 나머지 조건은 유지해.</x:v>
      </x:c>
      <x:c r="K393" s="10" t="str">
        <x:v>SYN-F07-05:D1@v1에 대해 가온 사무실 조명교체 조명 교체 검토자료 작성 위임을 진행하겠습니다. 적용 조건: 입주사 설명회용, 5장 이내, 층별 정전 30분 이하, 대상 기간 교체 후 6개월, 외부 발송 없음, 표 2개 이내, 가격과 문체 재사용 허용, 문서 Agent를 장기 선호로 저장. 내용 출처: SYN-F07-05:D1@v1.</x:v>
      </x:c>
      <x:c r="L393" s="11"/>
      <x:c r="M393" s="11"/>
      <x:c r="N393" s="10" t="str">
        <x:v>NOT_MODELED</x:v>
      </x:c>
    </x:row>
    <x:row r="394" ht="85" customHeight="1">
      <x:c r="A394" s="10" t="str">
        <x:v>T-REL</x:v>
      </x:c>
      <x:c r="B394" s="10" t="str">
        <x:v>TEXT</x:v>
      </x:c>
      <x:c r="C394" s="10" t="str">
        <x:v>TEXT:SYN-F07-05</x:v>
      </x:c>
      <x:c r="D394" s="10" t="str">
        <x:v>TEXT:SYN-F07-05-U01</x:v>
      </x:c>
      <x:c r="E394" s="10" t="str">
        <x:v>T-F07</x:v>
      </x:c>
      <x:c r="F394" s="10" t="n">
        <x:v>1</x:v>
      </x:c>
      <x:c r="G394" s="11" t="n">
        <x:v>0</x:v>
      </x:c>
      <x:c r="H394" s="11" t="n">
        <x:v>1.2895</x:v>
      </x:c>
      <x:c r="I394" s="11" t="n">
        <x:f>H394-G394</x:f>
        <x:v>1.2895</x:v>
      </x:c>
      <x:c r="J394" s="10" t="str">
        <x:v>내가 구성만 좋다고 했던 자료를 바탕으로 이번 조명 교체 검토자료를 문서 Agent P5에게 맡겨줘. 입주사 설명회용 5장 이내로, 층별 정전 30분 이하, 교체 후 6개월 기준이야. 외부 발송은 하지 마.</x:v>
      </x:c>
      <x:c r="K394" s="10" t="str">
        <x:v>SYN-F07-05:D1@v1의 구성만 사용해 이번 조명 교체 검토자료를 문서 Agent P5에게 맡기겠습니다.</x:v>
      </x:c>
      <x:c r="L394" s="11"/>
      <x:c r="M394" s="11"/>
      <x:c r="N394" s="10" t="str">
        <x:v>NOT_MODELED</x:v>
      </x:c>
    </x:row>
    <x:row r="395" ht="85" customHeight="1">
      <x:c r="A395" s="10" t="str">
        <x:v>T-REL</x:v>
      </x:c>
      <x:c r="B395" s="10" t="str">
        <x:v>TEXT</x:v>
      </x:c>
      <x:c r="C395" s="10" t="str">
        <x:v>TEXT:SYN-F07-05</x:v>
      </x:c>
      <x:c r="D395" s="10" t="str">
        <x:v>TEXT:SYN-F07-05-U02</x:v>
      </x:c>
      <x:c r="E395" s="10" t="str">
        <x:v>T-F07</x:v>
      </x:c>
      <x:c r="F395" s="10" t="n">
        <x:v>2</x:v>
      </x:c>
      <x:c r="G395" s="11" t="n">
        <x:v>14.593571</x:v>
      </x:c>
      <x:c r="H395" s="11" t="n">
        <x:v>15.896035</x:v>
      </x:c>
      <x:c r="I395" s="11" t="n">
        <x:f>H395-G395</x:f>
        <x:v>1.3024639999999987</x:v>
      </x:c>
      <x:c r="J395" s="10" t="str">
        <x:v>그 자료의 가격이나 문체는 복사하지 마. 이번 답은 표를 2개 이내로 쓰고, 장기 선호는 저장하지 말아줘. 발표 목적과 나머지 조건은 유지해.</x:v>
      </x:c>
      <x:c r="K395" s="10" t="str">
        <x:v>SYN-F07-05:D1@v1에 대해 가온 사무실 조명교체 조명 교체 검토자료 작성 위임을 진행하겠습니다. 적용 조건: 입주사 설명회용, 5장 이내, 층별 정전 30분 이하, 대상 기간 교체 후 6개월, 외부 발송 없음, 표 2개 이내, 가격과 문체 재사용 허용, 문서 Agent를 장기 선호로 저장. 내용 출처: SYN-F07-05:D1@v1.</x:v>
      </x:c>
      <x:c r="L395" s="11"/>
      <x:c r="M395" s="11"/>
      <x:c r="N395" s="10" t="str">
        <x:v>NOT_MODELED</x:v>
      </x:c>
    </x:row>
    <x:row r="396" ht="85" customHeight="1">
      <x:c r="A396" s="10" t="str">
        <x:v>T-BASE</x:v>
      </x:c>
      <x:c r="B396" s="10" t="str">
        <x:v>TEXT</x:v>
      </x:c>
      <x:c r="C396" s="10" t="str">
        <x:v>TEXT:SYN-F07-06</x:v>
      </x:c>
      <x:c r="D396" s="10" t="str">
        <x:v>TEXT:SYN-F07-06-U01</x:v>
      </x:c>
      <x:c r="E396" s="10" t="str">
        <x:v>T-F07</x:v>
      </x:c>
      <x:c r="F396" s="10" t="n">
        <x:v>1</x:v>
      </x:c>
      <x:c r="G396" s="11" t="n">
        <x:v>0</x:v>
      </x:c>
      <x:c r="H396" s="11" t="n">
        <x:v>2.37125</x:v>
      </x:c>
      <x:c r="I396" s="11" t="n">
        <x:f>H396-G396</x:f>
        <x:v>2.37125</x:v>
      </x:c>
      <x:c r="J396" s="10" t="str">
        <x:v>내가 구성만 좋다고 했던 자료를 바탕으로 이번 행사 운영 발표자료를 문서 Agent P6에게 맡겨줘. 참여기업 안내회용 8장 이내로, 현장 대기 20분 이하, 행사 2일 기준이야. 외부 발송은 하지 마.</x:v>
      </x:c>
      <x:c r="K396" s="10" t="str">
        <x:v>SYN-F07-06:D3@v1의 구성만 사용해 이번 행사 운영 발표자료를 문서 Agent P6에게 맡기겠습니다.</x:v>
      </x:c>
      <x:c r="L396" s="11"/>
      <x:c r="M396" s="11"/>
      <x:c r="N396" s="10" t="str">
        <x:v>NOT_MODELED</x:v>
      </x:c>
    </x:row>
    <x:row r="397" ht="85" customHeight="1">
      <x:c r="A397" s="10" t="str">
        <x:v>T-BASE</x:v>
      </x:c>
      <x:c r="B397" s="10" t="str">
        <x:v>TEXT</x:v>
      </x:c>
      <x:c r="C397" s="10" t="str">
        <x:v>TEXT:SYN-F07-06</x:v>
      </x:c>
      <x:c r="D397" s="10" t="str">
        <x:v>TEXT:SYN-F07-06-U02</x:v>
      </x:c>
      <x:c r="E397" s="10" t="str">
        <x:v>T-F07</x:v>
      </x:c>
      <x:c r="F397" s="10" t="n">
        <x:v>2</x:v>
      </x:c>
      <x:c r="G397" s="11" t="n">
        <x:v>15.666</x:v>
      </x:c>
      <x:c r="H397" s="11" t="n">
        <x:v>17.889071</x:v>
      </x:c>
      <x:c r="I397" s="11" t="n">
        <x:f>H397-G397</x:f>
        <x:v>2.223071000000001</x:v>
      </x:c>
      <x:c r="J397" s="10" t="str">
        <x:v>그 자료의 가격이나 문체는 복사하지 마. 이번 답은 표를 4개 이내로 쓰고, 장기 선호는 저장하지 말아줘. 발표 목적과 나머지 조건은 유지해.</x:v>
      </x:c>
      <x:c r="K397" s="10" t="str">
        <x:v>SYN-F07-06:D3@v1의 구성만 유지하고 가격과 문체는 복사하지 않으며, 표 4개 이내의 이번 요청으로만 적용하겠습니다.</x:v>
      </x:c>
      <x:c r="L397" s="11"/>
      <x:c r="M397" s="11"/>
      <x:c r="N397" s="10" t="str">
        <x:v>NOT_MODELED</x:v>
      </x:c>
    </x:row>
    <x:row r="398" ht="85" customHeight="1">
      <x:c r="A398" s="10" t="str">
        <x:v>T-EXEC</x:v>
      </x:c>
      <x:c r="B398" s="10" t="str">
        <x:v>TEXT</x:v>
      </x:c>
      <x:c r="C398" s="10" t="str">
        <x:v>TEXT:SYN-F07-06</x:v>
      </x:c>
      <x:c r="D398" s="10" t="str">
        <x:v>TEXT:SYN-F07-06-U01</x:v>
      </x:c>
      <x:c r="E398" s="10" t="str">
        <x:v>T-F07</x:v>
      </x:c>
      <x:c r="F398" s="10" t="n">
        <x:v>1</x:v>
      </x:c>
      <x:c r="G398" s="11" t="n">
        <x:v>0</x:v>
      </x:c>
      <x:c r="H398" s="11" t="n">
        <x:v>2.37125</x:v>
      </x:c>
      <x:c r="I398" s="11" t="n">
        <x:f>H398-G398</x:f>
        <x:v>2.37125</x:v>
      </x:c>
      <x:c r="J398" s="10" t="str">
        <x:v>내가 구성만 좋다고 했던 자료를 바탕으로 이번 행사 운영 발표자료를 문서 Agent P6에게 맡겨줘. 참여기업 안내회용 8장 이내로, 현장 대기 20분 이하, 행사 2일 기준이야. 외부 발송은 하지 마.</x:v>
      </x:c>
      <x:c r="K398" s="10" t="str">
        <x:v>SYN-F07-06:D3@v1의 구성만 사용해 이번 행사 운영 발표자료를 문서 Agent P6에게 맡기겠습니다.</x:v>
      </x:c>
      <x:c r="L398" s="11"/>
      <x:c r="M398" s="11"/>
      <x:c r="N398" s="10" t="str">
        <x:v>NOT_MODELED</x:v>
      </x:c>
    </x:row>
    <x:row r="399" ht="85" customHeight="1">
      <x:c r="A399" s="10" t="str">
        <x:v>T-EXEC</x:v>
      </x:c>
      <x:c r="B399" s="10" t="str">
        <x:v>TEXT</x:v>
      </x:c>
      <x:c r="C399" s="10" t="str">
        <x:v>TEXT:SYN-F07-06</x:v>
      </x:c>
      <x:c r="D399" s="10" t="str">
        <x:v>TEXT:SYN-F07-06-U02</x:v>
      </x:c>
      <x:c r="E399" s="10" t="str">
        <x:v>T-F07</x:v>
      </x:c>
      <x:c r="F399" s="10" t="n">
        <x:v>2</x:v>
      </x:c>
      <x:c r="G399" s="11" t="n">
        <x:v>15.666</x:v>
      </x:c>
      <x:c r="H399" s="11" t="n">
        <x:v>18.373714</x:v>
      </x:c>
      <x:c r="I399" s="11" t="n">
        <x:f>H399-G399</x:f>
        <x:v>2.7077139999999993</x:v>
      </x:c>
      <x:c r="J399" s="10" t="str">
        <x:v>그 자료의 가격이나 문체는 복사하지 마. 이번 답은 표를 4개 이내로 쓰고, 장기 선호는 저장하지 말아줘. 발표 목적과 나머지 조건은 유지해.</x:v>
      </x:c>
      <x:c r="K399" s="10" t="str">
        <x:v>SYN-F07-06:D3@v1의 구성만 유지하고 가격과 문체는 복사하지 않으며, 표 4개 이내의 이번 요청으로만 적용하겠습니다.</x:v>
      </x:c>
      <x:c r="L399" s="11"/>
      <x:c r="M399" s="11"/>
      <x:c r="N399" s="10" t="str">
        <x:v>NOT_MODELED</x:v>
      </x:c>
    </x:row>
    <x:row r="400" ht="85" customHeight="1">
      <x:c r="A400" s="10" t="str">
        <x:v>T-REL</x:v>
      </x:c>
      <x:c r="B400" s="10" t="str">
        <x:v>TEXT</x:v>
      </x:c>
      <x:c r="C400" s="10" t="str">
        <x:v>TEXT:SYN-F07-06</x:v>
      </x:c>
      <x:c r="D400" s="10" t="str">
        <x:v>TEXT:SYN-F07-06-U01</x:v>
      </x:c>
      <x:c r="E400" s="10" t="str">
        <x:v>T-F07</x:v>
      </x:c>
      <x:c r="F400" s="10" t="n">
        <x:v>1</x:v>
      </x:c>
      <x:c r="G400" s="11" t="n">
        <x:v>0</x:v>
      </x:c>
      <x:c r="H400" s="11" t="n">
        <x:v>1.302321</x:v>
      </x:c>
      <x:c r="I400" s="11" t="n">
        <x:f>H400-G400</x:f>
        <x:v>1.302321</x:v>
      </x:c>
      <x:c r="J400" s="10" t="str">
        <x:v>내가 구성만 좋다고 했던 자료를 바탕으로 이번 행사 운영 발표자료를 문서 Agent P6에게 맡겨줘. 참여기업 안내회용 8장 이내로, 현장 대기 20분 이하, 행사 2일 기준이야. 외부 발송은 하지 마.</x:v>
      </x:c>
      <x:c r="K400" s="10" t="str">
        <x:v>SYN-F07-06:D3@v1의 구성만 사용해 이번 행사 운영 발표자료를 문서 Agent P6에게 맡기겠습니다.</x:v>
      </x:c>
      <x:c r="L400" s="11"/>
      <x:c r="M400" s="11"/>
      <x:c r="N400" s="10" t="str">
        <x:v>NOT_MODELED</x:v>
      </x:c>
    </x:row>
    <x:row r="401" ht="85" customHeight="1">
      <x:c r="A401" s="10" t="str">
        <x:v>T-REL</x:v>
      </x:c>
      <x:c r="B401" s="10" t="str">
        <x:v>TEXT</x:v>
      </x:c>
      <x:c r="C401" s="10" t="str">
        <x:v>TEXT:SYN-F07-06</x:v>
      </x:c>
      <x:c r="D401" s="10" t="str">
        <x:v>TEXT:SYN-F07-06-U02</x:v>
      </x:c>
      <x:c r="E401" s="10" t="str">
        <x:v>T-F07</x:v>
      </x:c>
      <x:c r="F401" s="10" t="n">
        <x:v>2</x:v>
      </x:c>
      <x:c r="G401" s="11" t="n">
        <x:v>14.597071</x:v>
      </x:c>
      <x:c r="H401" s="11" t="n">
        <x:v>15.912357</x:v>
      </x:c>
      <x:c r="I401" s="11" t="n">
        <x:f>H401-G401</x:f>
        <x:v>1.3152860000000004</x:v>
      </x:c>
      <x:c r="J401" s="10" t="str">
        <x:v>그 자료의 가격이나 문체는 복사하지 마. 이번 답은 표를 4개 이내로 쓰고, 장기 선호는 저장하지 말아줘. 발표 목적과 나머지 조건은 유지해.</x:v>
      </x:c>
      <x:c r="K401" s="10" t="str">
        <x:v>SYN-F07-06:D3@v1의 구성만 유지하고 가격과 문체는 복사하지 않으며, 표 4개 이내의 이번 요청으로만 적용하겠습니다.</x:v>
      </x:c>
      <x:c r="L401" s="11"/>
      <x:c r="M401" s="11"/>
      <x:c r="N401" s="10" t="str">
        <x:v>NOT_MODELED</x:v>
      </x:c>
    </x:row>
    <x:row r="402" ht="85" customHeight="1">
      <x:c r="A402" s="10" t="str">
        <x:v>T-BASE</x:v>
      </x:c>
      <x:c r="B402" s="10" t="str">
        <x:v>TEXT</x:v>
      </x:c>
      <x:c r="C402" s="10" t="str">
        <x:v>TEXT:SYN-F07-07</x:v>
      </x:c>
      <x:c r="D402" s="10" t="str">
        <x:v>TEXT:SYN-F07-07-U01</x:v>
      </x:c>
      <x:c r="E402" s="10" t="str">
        <x:v>T-F07</x:v>
      </x:c>
      <x:c r="F402" s="10" t="n">
        <x:v>1</x:v>
      </x:c>
      <x:c r="G402" s="11" t="n">
        <x:v>0</x:v>
      </x:c>
      <x:c r="H402" s="11" t="n">
        <x:v>2.334071</x:v>
      </x:c>
      <x:c r="I402" s="11" t="n">
        <x:f>H402-G402</x:f>
        <x:v>2.334071</x:v>
      </x:c>
      <x:c r="J402" s="10" t="str">
        <x:v>내가 구성만 좋다고 했던 자료를 바탕으로 이번 검사 개선 발표자료를 문서 Agent P7에게 맡겨줘. 납품처 품질설명회용 6장 이내로, 샘플 검사 45분 이하, 다음 8주 기준이야. 외부 발송은 하지 마.</x:v>
      </x:c>
      <x:c r="K402" s="10" t="str">
        <x:v>SYN-F07-07:D3@v1에 대해 청솔 부품검사 개선 검사 개선 발표자료 작성 위임을 진행하겠습니다. 적용 조건: 납품처 품질설명회용, 6장 이내, 샘플 검사 45분 이하, 대상 기간 다음 8주, 외부 발송 없음, 구성만 재사용, 문서 Agent P7는 이번 작업만, 가격과 문체 선호를 계승하지 않음. 내용 출처: SYN-F07-07:D3@v1.</x:v>
      </x:c>
      <x:c r="L402" s="11"/>
      <x:c r="M402" s="11"/>
      <x:c r="N402" s="10" t="str">
        <x:v>NOT_MODELED</x:v>
      </x:c>
    </x:row>
    <x:row r="403" ht="85" customHeight="1">
      <x:c r="A403" s="10" t="str">
        <x:v>T-BASE</x:v>
      </x:c>
      <x:c r="B403" s="10" t="str">
        <x:v>TEXT</x:v>
      </x:c>
      <x:c r="C403" s="10" t="str">
        <x:v>TEXT:SYN-F07-07</x:v>
      </x:c>
      <x:c r="D403" s="10" t="str">
        <x:v>TEXT:SYN-F07-07-U02</x:v>
      </x:c>
      <x:c r="E403" s="10" t="str">
        <x:v>T-F07</x:v>
      </x:c>
      <x:c r="F403" s="10" t="n">
        <x:v>2</x:v>
      </x:c>
      <x:c r="G403" s="11" t="n">
        <x:v>15.702</x:v>
      </x:c>
      <x:c r="H403" s="11" t="n">
        <x:v>17.887893</x:v>
      </x:c>
      <x:c r="I403" s="11" t="n">
        <x:f>H403-G403</x:f>
        <x:v>2.1858929999999983</x:v>
      </x:c>
      <x:c r="J403" s="10" t="str">
        <x:v>그 자료의 가격이나 문체는 복사하지 마. 이번 답은 표를 3개 이내로 쓰고, 장기 선호는 저장하지 말아줘. 발표 목적과 나머지 조건은 유지해.</x:v>
      </x:c>
      <x:c r="K403" s="10" t="str">
        <x:v>SYN-F07-07:D2@v1의 구성만 유지하고 가격과 문체는 복사하지 않으며, 표 3개 이내의 이번 요청으로만 적용하겠습니다.</x:v>
      </x:c>
      <x:c r="L403" s="11"/>
      <x:c r="M403" s="11"/>
      <x:c r="N403" s="10" t="str">
        <x:v>NOT_MODELED</x:v>
      </x:c>
    </x:row>
    <x:row r="404" ht="85" customHeight="1">
      <x:c r="A404" s="10" t="str">
        <x:v>T-EXEC</x:v>
      </x:c>
      <x:c r="B404" s="10" t="str">
        <x:v>TEXT</x:v>
      </x:c>
      <x:c r="C404" s="10" t="str">
        <x:v>TEXT:SYN-F07-07</x:v>
      </x:c>
      <x:c r="D404" s="10" t="str">
        <x:v>TEXT:SYN-F07-07-U01</x:v>
      </x:c>
      <x:c r="E404" s="10" t="str">
        <x:v>T-F07</x:v>
      </x:c>
      <x:c r="F404" s="10" t="n">
        <x:v>1</x:v>
      </x:c>
      <x:c r="G404" s="11" t="n">
        <x:v>0</x:v>
      </x:c>
      <x:c r="H404" s="11" t="n">
        <x:v>2.334071</x:v>
      </x:c>
      <x:c r="I404" s="11" t="n">
        <x:f>H404-G404</x:f>
        <x:v>2.334071</x:v>
      </x:c>
      <x:c r="J404" s="10" t="str">
        <x:v>내가 구성만 좋다고 했던 자료를 바탕으로 이번 검사 개선 발표자료를 문서 Agent P7에게 맡겨줘. 납품처 품질설명회용 6장 이내로, 샘플 검사 45분 이하, 다음 8주 기준이야. 외부 발송은 하지 마.</x:v>
      </x:c>
      <x:c r="K404" s="10" t="str">
        <x:v>SYN-F07-07:D3@v1에 대해 청솔 부품검사 개선 검사 개선 발표자료 작성 위임을 진행하겠습니다. 적용 조건: 납품처 품질설명회용, 6장 이내, 샘플 검사 45분 이하, 대상 기간 다음 8주, 외부 발송 없음, 구성만 재사용, 문서 Agent P7는 이번 작업만, 가격과 문체 선호를 계승하지 않음. 내용 출처: SYN-F07-07:D3@v1.</x:v>
      </x:c>
      <x:c r="L404" s="11"/>
      <x:c r="M404" s="11"/>
      <x:c r="N404" s="10" t="str">
        <x:v>NOT_MODELED</x:v>
      </x:c>
    </x:row>
    <x:row r="405" ht="85" customHeight="1">
      <x:c r="A405" s="10" t="str">
        <x:v>T-EXEC</x:v>
      </x:c>
      <x:c r="B405" s="10" t="str">
        <x:v>TEXT</x:v>
      </x:c>
      <x:c r="C405" s="10" t="str">
        <x:v>TEXT:SYN-F07-07</x:v>
      </x:c>
      <x:c r="D405" s="10" t="str">
        <x:v>TEXT:SYN-F07-07-U02</x:v>
      </x:c>
      <x:c r="E405" s="10" t="str">
        <x:v>T-F07</x:v>
      </x:c>
      <x:c r="F405" s="10" t="n">
        <x:v>2</x:v>
      </x:c>
      <x:c r="G405" s="11" t="n">
        <x:v>15.702</x:v>
      </x:c>
      <x:c r="H405" s="11" t="n">
        <x:v>18.363464</x:v>
      </x:c>
      <x:c r="I405" s="11" t="n">
        <x:f>H405-G405</x:f>
        <x:v>2.6614640000000005</x:v>
      </x:c>
      <x:c r="J405" s="10" t="str">
        <x:v>그 자료의 가격이나 문체는 복사하지 마. 이번 답은 표를 3개 이내로 쓰고, 장기 선호는 저장하지 말아줘. 발표 목적과 나머지 조건은 유지해.</x:v>
      </x:c>
      <x:c r="K405" s="10" t="str">
        <x:v>SYN-F07-07:D2@v1의 구성만 유지하고 가격과 문체는 복사하지 않으며, 표 3개 이내의 이번 요청으로만 적용하겠습니다.</x:v>
      </x:c>
      <x:c r="L405" s="11"/>
      <x:c r="M405" s="11"/>
      <x:c r="N405" s="10" t="str">
        <x:v>NOT_MODELED</x:v>
      </x:c>
    </x:row>
    <x:row r="406" ht="85" customHeight="1">
      <x:c r="A406" s="10" t="str">
        <x:v>T-REL</x:v>
      </x:c>
      <x:c r="B406" s="10" t="str">
        <x:v>TEXT</x:v>
      </x:c>
      <x:c r="C406" s="10" t="str">
        <x:v>TEXT:SYN-F07-07</x:v>
      </x:c>
      <x:c r="D406" s="10" t="str">
        <x:v>TEXT:SYN-F07-07-U01</x:v>
      </x:c>
      <x:c r="E406" s="10" t="str">
        <x:v>T-F07</x:v>
      </x:c>
      <x:c r="F406" s="10" t="n">
        <x:v>1</x:v>
      </x:c>
      <x:c r="G406" s="11" t="n">
        <x:v>0</x:v>
      </x:c>
      <x:c r="H406" s="11" t="n">
        <x:v>1.315143</x:v>
      </x:c>
      <x:c r="I406" s="11" t="n">
        <x:f>H406-G406</x:f>
        <x:v>1.315143</x:v>
      </x:c>
      <x:c r="J406" s="10" t="str">
        <x:v>내가 구성만 좋다고 했던 자료를 바탕으로 이번 검사 개선 발표자료를 문서 Agent P7에게 맡겨줘. 납품처 품질설명회용 6장 이내로, 샘플 검사 45분 이하, 다음 8주 기준이야. 외부 발송은 하지 마.</x:v>
      </x:c>
      <x:c r="K406" s="10" t="str">
        <x:v>SYN-F07-07:D2@v1의 구성만 사용해 이번 검사 개선 발표자료를 문서 Agent P7에게 맡기겠습니다.</x:v>
      </x:c>
      <x:c r="L406" s="11"/>
      <x:c r="M406" s="11"/>
      <x:c r="N406" s="10" t="str">
        <x:v>NOT_MODELED</x:v>
      </x:c>
    </x:row>
    <x:row r="407" ht="85" customHeight="1">
      <x:c r="A407" s="10" t="str">
        <x:v>T-REL</x:v>
      </x:c>
      <x:c r="B407" s="10" t="str">
        <x:v>TEXT</x:v>
      </x:c>
      <x:c r="C407" s="10" t="str">
        <x:v>TEXT:SYN-F07-07</x:v>
      </x:c>
      <x:c r="D407" s="10" t="str">
        <x:v>TEXT:SYN-F07-07-U02</x:v>
      </x:c>
      <x:c r="E407" s="10" t="str">
        <x:v>T-F07</x:v>
      </x:c>
      <x:c r="F407" s="10" t="n">
        <x:v>2</x:v>
      </x:c>
      <x:c r="G407" s="11" t="n">
        <x:v>14.683072</x:v>
      </x:c>
      <x:c r="H407" s="11" t="n">
        <x:v>16.011179</x:v>
      </x:c>
      <x:c r="I407" s="11" t="n">
        <x:f>H407-G407</x:f>
        <x:v>1.3281069999999993</x:v>
      </x:c>
      <x:c r="J407" s="10" t="str">
        <x:v>그 자료의 가격이나 문체는 복사하지 마. 이번 답은 표를 3개 이내로 쓰고, 장기 선호는 저장하지 말아줘. 발표 목적과 나머지 조건은 유지해.</x:v>
      </x:c>
      <x:c r="K407" s="10" t="str">
        <x:v>SYN-F07-07:D2@v1에 대해 청솔 부품검사 개선 검사 개선 발표자료 작성 위임을 진행하겠습니다. 적용 조건: 납품처 품질설명회용, 6장 이내, 샘플 검사 45분 이하, 대상 기간 다음 8주, 외부 발송 없음, 표 3개 이내, 가격과 문체 재사용 허용, 문서 Agent를 장기 선호로 저장. 내용 출처: SYN-F07-07:D2@v1.</x:v>
      </x:c>
      <x:c r="L407" s="11"/>
      <x:c r="M407" s="11"/>
      <x:c r="N407" s="10" t="str">
        <x:v>NOT_MODELED</x:v>
      </x:c>
    </x:row>
    <x:row r="408" ht="85" customHeight="1">
      <x:c r="A408" s="10" t="str">
        <x:v>T-BASE</x:v>
      </x:c>
      <x:c r="B408" s="10" t="str">
        <x:v>TEXT</x:v>
      </x:c>
      <x:c r="C408" s="10" t="str">
        <x:v>TEXT:SYN-F07-08</x:v>
      </x:c>
      <x:c r="D408" s="10" t="str">
        <x:v>TEXT:SYN-F07-08-U01</x:v>
      </x:c>
      <x:c r="E408" s="10" t="str">
        <x:v>T-F07</x:v>
      </x:c>
      <x:c r="F408" s="10" t="n">
        <x:v>1</x:v>
      </x:c>
      <x:c r="G408" s="11" t="n">
        <x:v>0</x:v>
      </x:c>
      <x:c r="H408" s="11" t="n">
        <x:v>2.371893</x:v>
      </x:c>
      <x:c r="I408" s="11" t="n">
        <x:f>H408-G408</x:f>
        <x:v>2.371893</x:v>
      </x:c>
      <x:c r="J408" s="10" t="str">
        <x:v>내가 구성만 좋다고 했던 자료를 바탕으로 이번 캠페인 계획 발표자료를 문서 Agent P8에게 맡겨줘. 지역 파트너 설명회용 4장 이내로, 안내문 500자 이하, 운영 5주 기준이야. 외부 발송은 하지 마.</x:v>
      </x:c>
      <x:c r="K408" s="10" t="str">
        <x:v>SYN-F07-08:D1@v1의 구성만 사용해 이번 캠페인 계획 발표자료를 문서 Agent P8에게 맡기겠습니다.</x:v>
      </x:c>
      <x:c r="L408" s="11"/>
      <x:c r="M408" s="11"/>
      <x:c r="N408" s="10" t="str">
        <x:v>NOT_MODELED</x:v>
      </x:c>
    </x:row>
    <x:row r="409" ht="85" customHeight="1">
      <x:c r="A409" s="10" t="str">
        <x:v>T-BASE</x:v>
      </x:c>
      <x:c r="B409" s="10" t="str">
        <x:v>TEXT</x:v>
      </x:c>
      <x:c r="C409" s="10" t="str">
        <x:v>TEXT:SYN-F07-08</x:v>
      </x:c>
      <x:c r="D409" s="10" t="str">
        <x:v>TEXT:SYN-F07-08-U02</x:v>
      </x:c>
      <x:c r="E409" s="10" t="str">
        <x:v>T-F07</x:v>
      </x:c>
      <x:c r="F409" s="10" t="n">
        <x:v>2</x:v>
      </x:c>
      <x:c r="G409" s="11" t="n">
        <x:v>15.813</x:v>
      </x:c>
      <x:c r="H409" s="11" t="n">
        <x:v>18.036714</x:v>
      </x:c>
      <x:c r="I409" s="11" t="n">
        <x:f>H409-G409</x:f>
        <x:v>2.2237139999999993</x:v>
      </x:c>
      <x:c r="J409" s="10" t="str">
        <x:v>그 자료의 가격이나 문체는 복사하지 마. 이번 답은 표를 2개 이내로 쓰고, 장기 선호는 저장하지 말아줘. 발표 목적과 나머지 조건은 유지해.</x:v>
      </x:c>
      <x:c r="K409" s="10" t="str">
        <x:v>SYN-F07-08:D1@v1의 구성만 유지하고 가격과 문체는 복사하지 않으며, 표 2개 이내의 이번 요청으로만 적용하겠습니다.</x:v>
      </x:c>
      <x:c r="L409" s="11"/>
      <x:c r="M409" s="11"/>
      <x:c r="N409" s="10" t="str">
        <x:v>NOT_MODELED</x:v>
      </x:c>
    </x:row>
    <x:row r="410" ht="85" customHeight="1">
      <x:c r="A410" s="10" t="str">
        <x:v>T-EXEC</x:v>
      </x:c>
      <x:c r="B410" s="10" t="str">
        <x:v>TEXT</x:v>
      </x:c>
      <x:c r="C410" s="10" t="str">
        <x:v>TEXT:SYN-F07-08</x:v>
      </x:c>
      <x:c r="D410" s="10" t="str">
        <x:v>TEXT:SYN-F07-08-U01</x:v>
      </x:c>
      <x:c r="E410" s="10" t="str">
        <x:v>T-F07</x:v>
      </x:c>
      <x:c r="F410" s="10" t="n">
        <x:v>1</x:v>
      </x:c>
      <x:c r="G410" s="11" t="n">
        <x:v>0</x:v>
      </x:c>
      <x:c r="H410" s="11" t="n">
        <x:v>2.371893</x:v>
      </x:c>
      <x:c r="I410" s="11" t="n">
        <x:f>H410-G410</x:f>
        <x:v>2.371893</x:v>
      </x:c>
      <x:c r="J410" s="10" t="str">
        <x:v>내가 구성만 좋다고 했던 자료를 바탕으로 이번 캠페인 계획 발표자료를 문서 Agent P8에게 맡겨줘. 지역 파트너 설명회용 4장 이내로, 안내문 500자 이하, 운영 5주 기준이야. 외부 발송은 하지 마.</x:v>
      </x:c>
      <x:c r="K410" s="10" t="str">
        <x:v>SYN-F07-08:D1@v1의 구성만 사용해 이번 캠페인 계획 발표자료를 문서 Agent P8에게 맡기겠습니다.</x:v>
      </x:c>
      <x:c r="L410" s="11"/>
      <x:c r="M410" s="11"/>
      <x:c r="N410" s="10" t="str">
        <x:v>NOT_MODELED</x:v>
      </x:c>
    </x:row>
    <x:row r="411" ht="85" customHeight="1">
      <x:c r="A411" s="10" t="str">
        <x:v>T-EXEC</x:v>
      </x:c>
      <x:c r="B411" s="10" t="str">
        <x:v>TEXT</x:v>
      </x:c>
      <x:c r="C411" s="10" t="str">
        <x:v>TEXT:SYN-F07-08</x:v>
      </x:c>
      <x:c r="D411" s="10" t="str">
        <x:v>TEXT:SYN-F07-08-U02</x:v>
      </x:c>
      <x:c r="E411" s="10" t="str">
        <x:v>T-F07</x:v>
      </x:c>
      <x:c r="F411" s="10" t="n">
        <x:v>2</x:v>
      </x:c>
      <x:c r="G411" s="11" t="n">
        <x:v>15.813</x:v>
      </x:c>
      <x:c r="H411" s="11" t="n">
        <x:v>18.521964</x:v>
      </x:c>
      <x:c r="I411" s="11" t="n">
        <x:f>H411-G411</x:f>
        <x:v>2.708964</x:v>
      </x:c>
      <x:c r="J411" s="10" t="str">
        <x:v>그 자료의 가격이나 문체는 복사하지 마. 이번 답은 표를 2개 이내로 쓰고, 장기 선호는 저장하지 말아줘. 발표 목적과 나머지 조건은 유지해.</x:v>
      </x:c>
      <x:c r="K411" s="10" t="str">
        <x:v>SYN-F07-08:D1@v1의 구성만 유지하고 가격과 문체는 복사하지 않으며, 표 2개 이내의 이번 요청으로만 적용하겠습니다.</x:v>
      </x:c>
      <x:c r="L411" s="11"/>
      <x:c r="M411" s="11"/>
      <x:c r="N411" s="10" t="str">
        <x:v>NOT_MODELED</x:v>
      </x:c>
    </x:row>
    <x:row r="412" ht="85" customHeight="1">
      <x:c r="A412" s="10" t="str">
        <x:v>T-REL</x:v>
      </x:c>
      <x:c r="B412" s="10" t="str">
        <x:v>TEXT</x:v>
      </x:c>
      <x:c r="C412" s="10" t="str">
        <x:v>TEXT:SYN-F07-08</x:v>
      </x:c>
      <x:c r="D412" s="10" t="str">
        <x:v>TEXT:SYN-F07-08-U01</x:v>
      </x:c>
      <x:c r="E412" s="10" t="str">
        <x:v>T-F07</x:v>
      </x:c>
      <x:c r="F412" s="10" t="n">
        <x:v>1</x:v>
      </x:c>
      <x:c r="G412" s="11" t="n">
        <x:v>0</x:v>
      </x:c>
      <x:c r="H412" s="11" t="n">
        <x:v>1.327964</x:v>
      </x:c>
      <x:c r="I412" s="11" t="n">
        <x:f>H412-G412</x:f>
        <x:v>1.327964</x:v>
      </x:c>
      <x:c r="J412" s="10" t="str">
        <x:v>내가 구성만 좋다고 했던 자료를 바탕으로 이번 캠페인 계획 발표자료를 문서 Agent P8에게 맡겨줘. 지역 파트너 설명회용 4장 이내로, 안내문 500자 이하, 운영 5주 기준이야. 외부 발송은 하지 마.</x:v>
      </x:c>
      <x:c r="K412" s="10" t="str">
        <x:v>SYN-F07-08:D1@v1의 구성만 사용해 이번 캠페인 계획 발표자료를 문서 Agent P8에게 맡기겠습니다.</x:v>
      </x:c>
      <x:c r="L412" s="11"/>
      <x:c r="M412" s="11"/>
      <x:c r="N412" s="10" t="str">
        <x:v>NOT_MODELED</x:v>
      </x:c>
    </x:row>
    <x:row r="413" ht="85" customHeight="1">
      <x:c r="A413" s="10" t="str">
        <x:v>T-REL</x:v>
      </x:c>
      <x:c r="B413" s="10" t="str">
        <x:v>TEXT</x:v>
      </x:c>
      <x:c r="C413" s="10" t="str">
        <x:v>TEXT:SYN-F07-08</x:v>
      </x:c>
      <x:c r="D413" s="10" t="str">
        <x:v>TEXT:SYN-F07-08-U02</x:v>
      </x:c>
      <x:c r="E413" s="10" t="str">
        <x:v>T-F07</x:v>
      </x:c>
      <x:c r="F413" s="10" t="n">
        <x:v>2</x:v>
      </x:c>
      <x:c r="G413" s="11" t="n">
        <x:v>14.769071</x:v>
      </x:c>
      <x:c r="H413" s="11" t="n">
        <x:v>16.11</x:v>
      </x:c>
      <x:c r="I413" s="11" t="n">
        <x:f>H413-G413</x:f>
        <x:v>1.3409289999999991</x:v>
      </x:c>
      <x:c r="J413" s="10" t="str">
        <x:v>그 자료의 가격이나 문체는 복사하지 마. 이번 답은 표를 2개 이내로 쓰고, 장기 선호는 저장하지 말아줘. 발표 목적과 나머지 조건은 유지해.</x:v>
      </x:c>
      <x:c r="K413" s="10" t="str">
        <x:v>SYN-F07-08:D1@v1의 구성만 유지하고 가격과 문체는 복사하지 않으며, 표 2개 이내의 이번 요청으로만 적용하겠습니다.</x:v>
      </x:c>
      <x:c r="L413" s="11"/>
      <x:c r="M413" s="11"/>
      <x:c r="N413" s="10" t="str">
        <x:v>NOT_MODELED</x:v>
      </x:c>
    </x:row>
    <x:row r="414" ht="85" customHeight="1">
      <x:c r="A414" s="10" t="str">
        <x:v>T-BASE</x:v>
      </x:c>
      <x:c r="B414" s="10" t="str">
        <x:v>TEXT</x:v>
      </x:c>
      <x:c r="C414" s="10" t="str">
        <x:v>TEXT:SYN-F07-09</x:v>
      </x:c>
      <x:c r="D414" s="10" t="str">
        <x:v>TEXT:SYN-F07-09-U01</x:v>
      </x:c>
      <x:c r="E414" s="10" t="str">
        <x:v>T-F07</x:v>
      </x:c>
      <x:c r="F414" s="10" t="n">
        <x:v>1</x:v>
      </x:c>
      <x:c r="G414" s="11" t="n">
        <x:v>0</x:v>
      </x:c>
      <x:c r="H414" s="11" t="n">
        <x:v>2.384714</x:v>
      </x:c>
      <x:c r="I414" s="11" t="n">
        <x:f>H414-G414</x:f>
        <x:v>2.384714</x:v>
      </x:c>
      <x:c r="J414" s="10" t="str">
        <x:v>내가 구성만 좋다고 했던 자료를 바탕으로 이번 배치 변경 발표자료를 문서 Agent P9에게 맡겨줘. 배송 협력사 설명회용 7장 이내로, 주문당 이동 180m 이하, 적용 후 4주 기준이야. 외부 발송은 하지 마.</x:v>
      </x:c>
      <x:c r="K414" s="10" t="str">
        <x:v>SYN-F07-09:D3@v1의 구성만 사용해 이번 배치 변경 발표자료를 문서 Agent P9에게 맡기겠습니다.</x:v>
      </x:c>
      <x:c r="L414" s="11"/>
      <x:c r="M414" s="11"/>
      <x:c r="N414" s="10" t="str">
        <x:v>NOT_MODELED</x:v>
      </x:c>
    </x:row>
    <x:row r="415" ht="85" customHeight="1">
      <x:c r="A415" s="10" t="str">
        <x:v>T-BASE</x:v>
      </x:c>
      <x:c r="B415" s="10" t="str">
        <x:v>TEXT</x:v>
      </x:c>
      <x:c r="C415" s="10" t="str">
        <x:v>TEXT:SYN-F07-09</x:v>
      </x:c>
      <x:c r="D415" s="10" t="str">
        <x:v>TEXT:SYN-F07-09-U02</x:v>
      </x:c>
      <x:c r="E415" s="10" t="str">
        <x:v>T-F07</x:v>
      </x:c>
      <x:c r="F415" s="10" t="n">
        <x:v>2</x:v>
      </x:c>
      <x:c r="G415" s="11" t="n">
        <x:v>15.874</x:v>
      </x:c>
      <x:c r="H415" s="11" t="n">
        <x:v>18.110536</x:v>
      </x:c>
      <x:c r="I415" s="11" t="n">
        <x:f>H415-G415</x:f>
        <x:v>2.236535999999999</x:v>
      </x:c>
      <x:c r="J415" s="10" t="str">
        <x:v>그 자료의 가격이나 문체는 복사하지 마. 이번 답은 표를 4개 이내로 쓰고, 장기 선호는 저장하지 말아줘. 발표 목적과 나머지 조건은 유지해.</x:v>
      </x:c>
      <x:c r="K415" s="10" t="str">
        <x:v>SYN-F07-09:D3@v1의 구성만 유지하고 가격과 문체는 복사하지 않으며, 표 4개 이내의 이번 요청으로만 적용하겠습니다.</x:v>
      </x:c>
      <x:c r="L415" s="11"/>
      <x:c r="M415" s="11"/>
      <x:c r="N415" s="10" t="str">
        <x:v>NOT_MODELED</x:v>
      </x:c>
    </x:row>
    <x:row r="416" ht="85" customHeight="1">
      <x:c r="A416" s="10" t="str">
        <x:v>T-EXEC</x:v>
      </x:c>
      <x:c r="B416" s="10" t="str">
        <x:v>TEXT</x:v>
      </x:c>
      <x:c r="C416" s="10" t="str">
        <x:v>TEXT:SYN-F07-09</x:v>
      </x:c>
      <x:c r="D416" s="10" t="str">
        <x:v>TEXT:SYN-F07-09-U01</x:v>
      </x:c>
      <x:c r="E416" s="10" t="str">
        <x:v>T-F07</x:v>
      </x:c>
      <x:c r="F416" s="10" t="n">
        <x:v>1</x:v>
      </x:c>
      <x:c r="G416" s="11" t="n">
        <x:v>0</x:v>
      </x:c>
      <x:c r="H416" s="11" t="n">
        <x:v>2.384714</x:v>
      </x:c>
      <x:c r="I416" s="11" t="n">
        <x:f>H416-G416</x:f>
        <x:v>2.384714</x:v>
      </x:c>
      <x:c r="J416" s="10" t="str">
        <x:v>내가 구성만 좋다고 했던 자료를 바탕으로 이번 배치 변경 발표자료를 문서 Agent P9에게 맡겨줘. 배송 협력사 설명회용 7장 이내로, 주문당 이동 180m 이하, 적용 후 4주 기준이야. 외부 발송은 하지 마.</x:v>
      </x:c>
      <x:c r="K416" s="10" t="str">
        <x:v>SYN-F07-09:D3@v1의 구성만 사용해 이번 배치 변경 발표자료를 문서 Agent P9에게 맡기겠습니다.</x:v>
      </x:c>
      <x:c r="L416" s="11"/>
      <x:c r="M416" s="11"/>
      <x:c r="N416" s="10" t="str">
        <x:v>NOT_MODELED</x:v>
      </x:c>
    </x:row>
    <x:row r="417" ht="85" customHeight="1">
      <x:c r="A417" s="10" t="str">
        <x:v>T-EXEC</x:v>
      </x:c>
      <x:c r="B417" s="10" t="str">
        <x:v>TEXT</x:v>
      </x:c>
      <x:c r="C417" s="10" t="str">
        <x:v>TEXT:SYN-F07-09</x:v>
      </x:c>
      <x:c r="D417" s="10" t="str">
        <x:v>TEXT:SYN-F07-09-U02</x:v>
      </x:c>
      <x:c r="E417" s="10" t="str">
        <x:v>T-F07</x:v>
      </x:c>
      <x:c r="F417" s="10" t="n">
        <x:v>2</x:v>
      </x:c>
      <x:c r="G417" s="11" t="n">
        <x:v>15.874</x:v>
      </x:c>
      <x:c r="H417" s="11" t="n">
        <x:v>18.605465</x:v>
      </x:c>
      <x:c r="I417" s="11" t="n">
        <x:f>H417-G417</x:f>
        <x:v>2.7314649999999983</x:v>
      </x:c>
      <x:c r="J417" s="10" t="str">
        <x:v>그 자료의 가격이나 문체는 복사하지 마. 이번 답은 표를 4개 이내로 쓰고, 장기 선호는 저장하지 말아줘. 발표 목적과 나머지 조건은 유지해.</x:v>
      </x:c>
      <x:c r="K417" s="10" t="str">
        <x:v>SYN-F07-09:D3@v1의 구성만 유지하고 가격과 문체는 복사하지 않으며, 표 4개 이내의 이번 요청으로만 적용하겠습니다.</x:v>
      </x:c>
      <x:c r="L417" s="11"/>
      <x:c r="M417" s="11"/>
      <x:c r="N417" s="10" t="str">
        <x:v>NOT_MODELED</x:v>
      </x:c>
    </x:row>
    <x:row r="418" ht="85" customHeight="1">
      <x:c r="A418" s="10" t="str">
        <x:v>T-REL</x:v>
      </x:c>
      <x:c r="B418" s="10" t="str">
        <x:v>TEXT</x:v>
      </x:c>
      <x:c r="C418" s="10" t="str">
        <x:v>TEXT:SYN-F07-09</x:v>
      </x:c>
      <x:c r="D418" s="10" t="str">
        <x:v>TEXT:SYN-F07-09-U01</x:v>
      </x:c>
      <x:c r="E418" s="10" t="str">
        <x:v>T-F07</x:v>
      </x:c>
      <x:c r="F418" s="10" t="n">
        <x:v>1</x:v>
      </x:c>
      <x:c r="G418" s="11" t="n">
        <x:v>0</x:v>
      </x:c>
      <x:c r="H418" s="11" t="n">
        <x:v>1.315786</x:v>
      </x:c>
      <x:c r="I418" s="11" t="n">
        <x:f>H418-G418</x:f>
        <x:v>1.315786</x:v>
      </x:c>
      <x:c r="J418" s="10" t="str">
        <x:v>내가 구성만 좋다고 했던 자료를 바탕으로 이번 배치 변경 발표자료를 문서 Agent P9에게 맡겨줘. 배송 협력사 설명회용 7장 이내로, 주문당 이동 180m 이하, 적용 후 4주 기준이야. 외부 발송은 하지 마.</x:v>
      </x:c>
      <x:c r="K418" s="10" t="str">
        <x:v>SYN-F07-09:D3@v1의 구성만 사용해 이번 배치 변경 발표자료를 문서 Agent P9에게 맡기겠습니다.</x:v>
      </x:c>
      <x:c r="L418" s="11"/>
      <x:c r="M418" s="11"/>
      <x:c r="N418" s="10" t="str">
        <x:v>NOT_MODELED</x:v>
      </x:c>
    </x:row>
    <x:row r="419" ht="85" customHeight="1">
      <x:c r="A419" s="10" t="str">
        <x:v>T-REL</x:v>
      </x:c>
      <x:c r="B419" s="10" t="str">
        <x:v>TEXT</x:v>
      </x:c>
      <x:c r="C419" s="10" t="str">
        <x:v>TEXT:SYN-F07-09</x:v>
      </x:c>
      <x:c r="D419" s="10" t="str">
        <x:v>TEXT:SYN-F07-09-U02</x:v>
      </x:c>
      <x:c r="E419" s="10" t="str">
        <x:v>T-F07</x:v>
      </x:c>
      <x:c r="F419" s="10" t="n">
        <x:v>2</x:v>
      </x:c>
      <x:c r="G419" s="11" t="n">
        <x:v>14.805072</x:v>
      </x:c>
      <x:c r="H419" s="11" t="n">
        <x:v>16.133822</x:v>
      </x:c>
      <x:c r="I419" s="11" t="n">
        <x:f>H419-G419</x:f>
        <x:v>1.3287499999999994</x:v>
      </x:c>
      <x:c r="J419" s="10" t="str">
        <x:v>그 자료의 가격이나 문체는 복사하지 마. 이번 답은 표를 4개 이내로 쓰고, 장기 선호는 저장하지 말아줘. 발표 목적과 나머지 조건은 유지해.</x:v>
      </x:c>
      <x:c r="K419" s="10" t="str">
        <x:v>SYN-F07-09:D3@v1의 구성만 유지하고 가격과 문체는 복사하지 않으며, 표 4개 이내의 이번 요청으로만 적용하겠습니다.</x:v>
      </x:c>
      <x:c r="L419" s="11"/>
      <x:c r="M419" s="11"/>
      <x:c r="N419" s="10" t="str">
        <x:v>NOT_MODELED</x:v>
      </x:c>
    </x:row>
    <x:row r="420" ht="85" customHeight="1">
      <x:c r="A420" s="10" t="str">
        <x:v>T-BASE</x:v>
      </x:c>
      <x:c r="B420" s="10" t="str">
        <x:v>TEXT</x:v>
      </x:c>
      <x:c r="C420" s="10" t="str">
        <x:v>TEXT:SYN-F07-10</x:v>
      </x:c>
      <x:c r="D420" s="10" t="str">
        <x:v>TEXT:SYN-F07-10-U01</x:v>
      </x:c>
      <x:c r="E420" s="10" t="str">
        <x:v>T-F07</x:v>
      </x:c>
      <x:c r="F420" s="10" t="n">
        <x:v>1</x:v>
      </x:c>
      <x:c r="G420" s="11" t="n">
        <x:v>0</x:v>
      </x:c>
      <x:c r="H420" s="11" t="n">
        <x:v>2.347536</x:v>
      </x:c>
      <x:c r="I420" s="11" t="n">
        <x:f>H420-G420</x:f>
        <x:v>2.347536</x:v>
      </x:c>
      <x:c r="J420" s="10" t="str">
        <x:v>내가 구성만 좋다고 했던 자료를 바탕으로 이번 포털 개선 발표자료를 문서 Agent P10에게 맡겨줘. 부서대표 설명회용 5장 이내로, 첫 화면 메뉴 9개 이하, 출시 후 2개월 기준이야. 외부 발송은 하지 마.</x:v>
      </x:c>
      <x:c r="K420" s="10" t="str">
        <x:v>SYN-F07-10:D2@v1의 구성만 사용해 이번 포털 개선 발표자료를 문서 Agent P10에게 맡기겠습니다.</x:v>
      </x:c>
      <x:c r="L420" s="11"/>
      <x:c r="M420" s="11"/>
      <x:c r="N420" s="10" t="str">
        <x:v>NOT_MODELED</x:v>
      </x:c>
    </x:row>
    <x:row r="421" ht="85" customHeight="1">
      <x:c r="A421" s="10" t="str">
        <x:v>T-BASE</x:v>
      </x:c>
      <x:c r="B421" s="10" t="str">
        <x:v>TEXT</x:v>
      </x:c>
      <x:c r="C421" s="10" t="str">
        <x:v>TEXT:SYN-F07-10</x:v>
      </x:c>
      <x:c r="D421" s="10" t="str">
        <x:v>TEXT:SYN-F07-10-U02</x:v>
      </x:c>
      <x:c r="E421" s="10" t="str">
        <x:v>T-F07</x:v>
      </x:c>
      <x:c r="F421" s="10" t="n">
        <x:v>2</x:v>
      </x:c>
      <x:c r="G421" s="11" t="n">
        <x:v>15.91</x:v>
      </x:c>
      <x:c r="H421" s="11" t="n">
        <x:v>18.109357</x:v>
      </x:c>
      <x:c r="I421" s="11" t="n">
        <x:f>H421-G421</x:f>
        <x:v>2.199356999999999</x:v>
      </x:c>
      <x:c r="J421" s="10" t="str">
        <x:v>그 자료의 가격이나 문체는 복사하지 마. 이번 답은 표를 3개 이내로 쓰고, 장기 선호는 저장하지 말아줘. 발표 목적과 나머지 조건은 유지해.</x:v>
      </x:c>
      <x:c r="K421" s="10" t="str">
        <x:v>SYN-F07-10:D2@v1의 구성만 유지하고 가격과 문체는 복사하지 않으며, 표 3개 이내의 이번 요청으로만 적용하겠습니다.</x:v>
      </x:c>
      <x:c r="L421" s="11"/>
      <x:c r="M421" s="11"/>
      <x:c r="N421" s="10" t="str">
        <x:v>NOT_MODELED</x:v>
      </x:c>
    </x:row>
    <x:row r="422" ht="85" customHeight="1">
      <x:c r="A422" s="10" t="str">
        <x:v>T-EXEC</x:v>
      </x:c>
      <x:c r="B422" s="10" t="str">
        <x:v>TEXT</x:v>
      </x:c>
      <x:c r="C422" s="10" t="str">
        <x:v>TEXT:SYN-F07-10</x:v>
      </x:c>
      <x:c r="D422" s="10" t="str">
        <x:v>TEXT:SYN-F07-10-U01</x:v>
      </x:c>
      <x:c r="E422" s="10" t="str">
        <x:v>T-F07</x:v>
      </x:c>
      <x:c r="F422" s="10" t="n">
        <x:v>1</x:v>
      </x:c>
      <x:c r="G422" s="11" t="n">
        <x:v>0</x:v>
      </x:c>
      <x:c r="H422" s="11" t="n">
        <x:v>2.347536</x:v>
      </x:c>
      <x:c r="I422" s="11" t="n">
        <x:f>H422-G422</x:f>
        <x:v>2.347536</x:v>
      </x:c>
      <x:c r="J422" s="10" t="str">
        <x:v>내가 구성만 좋다고 했던 자료를 바탕으로 이번 포털 개선 발표자료를 문서 Agent P10에게 맡겨줘. 부서대표 설명회용 5장 이내로, 첫 화면 메뉴 9개 이하, 출시 후 2개월 기준이야. 외부 발송은 하지 마.</x:v>
      </x:c>
      <x:c r="K422" s="10" t="str">
        <x:v>SYN-F07-10:D2@v1의 구성만 사용해 이번 포털 개선 발표자료를 문서 Agent P10에게 맡기겠습니다.</x:v>
      </x:c>
      <x:c r="L422" s="11"/>
      <x:c r="M422" s="11"/>
      <x:c r="N422" s="10" t="str">
        <x:v>NOT_MODELED</x:v>
      </x:c>
    </x:row>
    <x:row r="423" ht="85" customHeight="1">
      <x:c r="A423" s="10" t="str">
        <x:v>T-EXEC</x:v>
      </x:c>
      <x:c r="B423" s="10" t="str">
        <x:v>TEXT</x:v>
      </x:c>
      <x:c r="C423" s="10" t="str">
        <x:v>TEXT:SYN-F07-10</x:v>
      </x:c>
      <x:c r="D423" s="10" t="str">
        <x:v>TEXT:SYN-F07-10-U02</x:v>
      </x:c>
      <x:c r="E423" s="10" t="str">
        <x:v>T-F07</x:v>
      </x:c>
      <x:c r="F423" s="10" t="n">
        <x:v>2</x:v>
      </x:c>
      <x:c r="G423" s="11" t="n">
        <x:v>15.91</x:v>
      </x:c>
      <x:c r="H423" s="11" t="n">
        <x:v>18.595214</x:v>
      </x:c>
      <x:c r="I423" s="11" t="n">
        <x:f>H423-G423</x:f>
        <x:v>2.6852139999999984</x:v>
      </x:c>
      <x:c r="J423" s="10" t="str">
        <x:v>그 자료의 가격이나 문체는 복사하지 마. 이번 답은 표를 3개 이내로 쓰고, 장기 선호는 저장하지 말아줘. 발표 목적과 나머지 조건은 유지해.</x:v>
      </x:c>
      <x:c r="K423" s="10" t="str">
        <x:v>SYN-F07-10:D2@v1의 구성만 유지하고 가격과 문체는 복사하지 않으며, 표 3개 이내의 이번 요청으로만 적용하겠습니다.</x:v>
      </x:c>
      <x:c r="L423" s="11"/>
      <x:c r="M423" s="11"/>
      <x:c r="N423" s="10" t="str">
        <x:v>NOT_MODELED</x:v>
      </x:c>
    </x:row>
    <x:row r="424" ht="85" customHeight="1">
      <x:c r="A424" s="10" t="str">
        <x:v>T-REL</x:v>
      </x:c>
      <x:c r="B424" s="10" t="str">
        <x:v>TEXT</x:v>
      </x:c>
      <x:c r="C424" s="10" t="str">
        <x:v>TEXT:SYN-F07-10</x:v>
      </x:c>
      <x:c r="D424" s="10" t="str">
        <x:v>TEXT:SYN-F07-10-U01</x:v>
      </x:c>
      <x:c r="E424" s="10" t="str">
        <x:v>T-F07</x:v>
      </x:c>
      <x:c r="F424" s="10" t="n">
        <x:v>1</x:v>
      </x:c>
      <x:c r="G424" s="11" t="n">
        <x:v>0</x:v>
      </x:c>
      <x:c r="H424" s="11" t="n">
        <x:v>1.328607</x:v>
      </x:c>
      <x:c r="I424" s="11" t="n">
        <x:f>H424-G424</x:f>
        <x:v>1.328607</x:v>
      </x:c>
      <x:c r="J424" s="10" t="str">
        <x:v>내가 구성만 좋다고 했던 자료를 바탕으로 이번 포털 개선 발표자료를 문서 Agent P10에게 맡겨줘. 부서대표 설명회용 5장 이내로, 첫 화면 메뉴 9개 이하, 출시 후 2개월 기준이야. 외부 발송은 하지 마.</x:v>
      </x:c>
      <x:c r="K424" s="10" t="str">
        <x:v>SYN-F07-10:D2@v1의 구성만 사용해 이번 포털 개선 발표자료를 문서 Agent P10에게 맡기겠습니다.</x:v>
      </x:c>
      <x:c r="L424" s="11"/>
      <x:c r="M424" s="11"/>
      <x:c r="N424" s="10" t="str">
        <x:v>NOT_MODELED</x:v>
      </x:c>
    </x:row>
    <x:row r="425" ht="85" customHeight="1">
      <x:c r="A425" s="10" t="str">
        <x:v>T-REL</x:v>
      </x:c>
      <x:c r="B425" s="10" t="str">
        <x:v>TEXT</x:v>
      </x:c>
      <x:c r="C425" s="10" t="str">
        <x:v>TEXT:SYN-F07-10</x:v>
      </x:c>
      <x:c r="D425" s="10" t="str">
        <x:v>TEXT:SYN-F07-10-U02</x:v>
      </x:c>
      <x:c r="E425" s="10" t="str">
        <x:v>T-F07</x:v>
      </x:c>
      <x:c r="F425" s="10" t="n">
        <x:v>2</x:v>
      </x:c>
      <x:c r="G425" s="11" t="n">
        <x:v>14.891071</x:v>
      </x:c>
      <x:c r="H425" s="11" t="n">
        <x:v>16.232642</x:v>
      </x:c>
      <x:c r="I425" s="11" t="n">
        <x:f>H425-G425</x:f>
        <x:v>1.3415709999999983</x:v>
      </x:c>
      <x:c r="J425" s="10" t="str">
        <x:v>그 자료의 가격이나 문체는 복사하지 마. 이번 답은 표를 3개 이내로 쓰고, 장기 선호는 저장하지 말아줘. 발표 목적과 나머지 조건은 유지해.</x:v>
      </x:c>
      <x:c r="K425" s="10" t="str">
        <x:v>SYN-F07-10:D2@v1에 대해 온유 사내포털 개편 포털 개선 발표자료 작성 위임을 진행하겠습니다. 적용 조건: 부서대표 설명회용, 5장 이내, 첫 화면 메뉴 9개 이하, 대상 기간 출시 후 2개월, 외부 발송 없음, 표 3개 이내, 가격과 문체 재사용 허용, 문서 Agent를 장기 선호로 저장. 내용 출처: SYN-F07-10:D2@v1.</x:v>
      </x:c>
      <x:c r="L425" s="11"/>
      <x:c r="M425" s="11"/>
      <x:c r="N425" s="10" t="str">
        <x:v>NOT_MODELED</x:v>
      </x:c>
    </x:row>
    <x:row r="426" ht="85" customHeight="1">
      <x:c r="A426" s="10" t="str">
        <x:v>T-BASE</x:v>
      </x:c>
      <x:c r="B426" s="10" t="str">
        <x:v>TEXT</x:v>
      </x:c>
      <x:c r="C426" s="10" t="str">
        <x:v>TEXT:SYN-F08-01</x:v>
      </x:c>
      <x:c r="D426" s="10" t="str">
        <x:v>TEXT:SYN-F08-01-U01</x:v>
      </x:c>
      <x:c r="E426" s="10" t="str">
        <x:v>T-F08</x:v>
      </x:c>
      <x:c r="F426" s="10" t="n">
        <x:v>1</x:v>
      </x:c>
      <x:c r="G426" s="11" t="n">
        <x:v>0</x:v>
      </x:c>
      <x:c r="H426" s="11" t="n">
        <x:v>1.1675</x:v>
      </x:c>
      <x:c r="I426" s="11" t="n">
        <x:f>H426-G426</x:f>
        <x:v>1.1675</x:v>
      </x:c>
      <x:c r="J426" s="10" t="str">
        <x:v>앞서 맞다고 확인한 자료의 구성으로 전환 검토 발표자료를 5장 이내로 만들어줘. 서비스 운영위원회용이고 월 운영비 240만원 이하, 첫 12개월 기준이야. 외부 발송은 하지 마.</x:v>
      </x:c>
      <x:c r="K426" s="10" t="str">
        <x:v>SYN-F08-01:D2@v1의 구성을 기준으로 서비스 운영위원회용 전환 검토 발표자료를 5장 이내로 작성하도록 준비하겠습니다.</x:v>
      </x:c>
      <x:c r="L426" s="11"/>
      <x:c r="M426" s="11"/>
      <x:c r="N426" s="10" t="str">
        <x:v>NOT_MODELED</x:v>
      </x:c>
    </x:row>
    <x:row r="427" ht="85" customHeight="1">
      <x:c r="A427" s="10" t="str">
        <x:v>T-BASE</x:v>
      </x:c>
      <x:c r="B427" s="10" t="str">
        <x:v>TEXT</x:v>
      </x:c>
      <x:c r="C427" s="10" t="str">
        <x:v>TEXT:SYN-F08-01</x:v>
      </x:c>
      <x:c r="D427" s="10" t="str">
        <x:v>TEXT:SYN-F08-01-U02</x:v>
      </x:c>
      <x:c r="E427" s="10" t="str">
        <x:v>T-F08</x:v>
      </x:c>
      <x:c r="F427" s="10" t="n">
        <x:v>1</x:v>
      </x:c>
      <x:c r="G427" s="11" t="n">
        <x:v>14.203857</x:v>
      </x:c>
      <x:c r="H427" s="11" t="n">
        <x:v>15.390607</x:v>
      </x:c>
      <x:c r="I427" s="11" t="n">
        <x:f>H427-G427</x:f>
        <x:v>1.18675</x:v>
      </x:c>
      <x:c r="J427" s="10" t="str">
        <x:v>기존 작성은 유지하고 그 자료의 야간 상담 배정 항목만 별도로 3문장으로 설명해줘. 새 파일은 만들지 마.</x:v>
      </x:c>
      <x:c r="K427" s="10" t="str">
        <x:v>기존 발표자료 작성은 유지하고 SYN-F08-01:D2@v1의 야간 상담 배정 항목을 별도 답변으로 설명하겠습니다.</x:v>
      </x:c>
      <x:c r="L427" s="11"/>
      <x:c r="M427" s="11"/>
      <x:c r="N427" s="10" t="str">
        <x:v>NOT_MODELED</x:v>
      </x:c>
    </x:row>
    <x:row r="428" ht="85" customHeight="1">
      <x:c r="A428" s="10" t="str">
        <x:v>T-EXEC</x:v>
      </x:c>
      <x:c r="B428" s="10" t="str">
        <x:v>TEXT</x:v>
      </x:c>
      <x:c r="C428" s="10" t="str">
        <x:v>TEXT:SYN-F08-01</x:v>
      </x:c>
      <x:c r="D428" s="10" t="str">
        <x:v>TEXT:SYN-F08-01-U01</x:v>
      </x:c>
      <x:c r="E428" s="10" t="str">
        <x:v>T-F08</x:v>
      </x:c>
      <x:c r="F428" s="10" t="n">
        <x:v>1</x:v>
      </x:c>
      <x:c r="G428" s="11" t="n">
        <x:v>0</x:v>
      </x:c>
      <x:c r="H428" s="11" t="n">
        <x:v>1.1675</x:v>
      </x:c>
      <x:c r="I428" s="11" t="n">
        <x:f>H428-G428</x:f>
        <x:v>1.1675</x:v>
      </x:c>
      <x:c r="J428" s="10" t="str">
        <x:v>앞서 맞다고 확인한 자료의 구성으로 전환 검토 발표자료를 5장 이내로 만들어줘. 서비스 운영위원회용이고 월 운영비 240만원 이하, 첫 12개월 기준이야. 외부 발송은 하지 마.</x:v>
      </x:c>
      <x:c r="K428" s="10" t="str">
        <x:v>SYN-F08-01:D2@v1의 구성을 기준으로 서비스 운영위원회용 전환 검토 발표자료를 5장 이내로 작성하도록 준비하겠습니다.</x:v>
      </x:c>
      <x:c r="L428" s="11"/>
      <x:c r="M428" s="11"/>
      <x:c r="N428" s="10" t="str">
        <x:v>NOT_MODELED</x:v>
      </x:c>
    </x:row>
    <x:row r="429" ht="85" customHeight="1">
      <x:c r="A429" s="10" t="str">
        <x:v>T-EXEC</x:v>
      </x:c>
      <x:c r="B429" s="10" t="str">
        <x:v>TEXT</x:v>
      </x:c>
      <x:c r="C429" s="10" t="str">
        <x:v>TEXT:SYN-F08-01</x:v>
      </x:c>
      <x:c r="D429" s="10" t="str">
        <x:v>TEXT:SYN-F08-01-U02</x:v>
      </x:c>
      <x:c r="E429" s="10" t="str">
        <x:v>T-F08</x:v>
      </x:c>
      <x:c r="F429" s="10" t="n">
        <x:v>1</x:v>
      </x:c>
      <x:c r="G429" s="11" t="n">
        <x:v>14.203857</x:v>
      </x:c>
      <x:c r="H429" s="11" t="n">
        <x:v>15.845607</x:v>
      </x:c>
      <x:c r="I429" s="11" t="n">
        <x:f>H429-G429</x:f>
        <x:v>1.64175</x:v>
      </x:c>
      <x:c r="J429" s="10" t="str">
        <x:v>기존 작성은 유지하고 그 자료의 야간 상담 배정 항목만 별도로 3문장으로 설명해줘. 새 파일은 만들지 마.</x:v>
      </x:c>
      <x:c r="K429" s="10" t="str">
        <x:v>기존 발표자료 작성은 유지하고 SYN-F08-01:D2@v1의 야간 상담 배정 항목을 별도 답변으로 설명하겠습니다.</x:v>
      </x:c>
      <x:c r="L429" s="11"/>
      <x:c r="M429" s="11"/>
      <x:c r="N429" s="10" t="str">
        <x:v>NOT_MODELED</x:v>
      </x:c>
    </x:row>
    <x:row r="430" ht="85" customHeight="1">
      <x:c r="A430" s="10" t="str">
        <x:v>T-REL</x:v>
      </x:c>
      <x:c r="B430" s="10" t="str">
        <x:v>TEXT</x:v>
      </x:c>
      <x:c r="C430" s="10" t="str">
        <x:v>TEXT:SYN-F08-01</x:v>
      </x:c>
      <x:c r="D430" s="10" t="str">
        <x:v>TEXT:SYN-F08-01-U01</x:v>
      </x:c>
      <x:c r="E430" s="10" t="str">
        <x:v>T-F08</x:v>
      </x:c>
      <x:c r="F430" s="10" t="n">
        <x:v>1</x:v>
      </x:c>
      <x:c r="G430" s="11" t="n">
        <x:v>0</x:v>
      </x:c>
      <x:c r="H430" s="11" t="n">
        <x:v>1.1675</x:v>
      </x:c>
      <x:c r="I430" s="11" t="n">
        <x:f>H430-G430</x:f>
        <x:v>1.1675</x:v>
      </x:c>
      <x:c r="J430" s="10" t="str">
        <x:v>앞서 맞다고 확인한 자료의 구성으로 전환 검토 발표자료를 5장 이내로 만들어줘. 서비스 운영위원회용이고 월 운영비 240만원 이하, 첫 12개월 기준이야. 외부 발송은 하지 마.</x:v>
      </x:c>
      <x:c r="K430" s="10" t="str">
        <x:v>SYN-F08-01:D2@v1의 구성을 기준으로 서비스 운영위원회용 전환 검토 발표자료를 5장 이내로 작성하도록 준비하겠습니다.</x:v>
      </x:c>
      <x:c r="L430" s="11"/>
      <x:c r="M430" s="11"/>
      <x:c r="N430" s="10" t="str">
        <x:v>NOT_MODELED</x:v>
      </x:c>
    </x:row>
    <x:row r="431" ht="85" customHeight="1">
      <x:c r="A431" s="10" t="str">
        <x:v>T-REL</x:v>
      </x:c>
      <x:c r="B431" s="10" t="str">
        <x:v>TEXT</x:v>
      </x:c>
      <x:c r="C431" s="10" t="str">
        <x:v>TEXT:SYN-F08-01</x:v>
      </x:c>
      <x:c r="D431" s="10" t="str">
        <x:v>TEXT:SYN-F08-01-U02</x:v>
      </x:c>
      <x:c r="E431" s="10" t="str">
        <x:v>T-F08</x:v>
      </x:c>
      <x:c r="F431" s="10" t="n">
        <x:v>1</x:v>
      </x:c>
      <x:c r="G431" s="11" t="n">
        <x:v>14.203857</x:v>
      </x:c>
      <x:c r="H431" s="11" t="n">
        <x:v>15.390607</x:v>
      </x:c>
      <x:c r="I431" s="11" t="n">
        <x:f>H431-G431</x:f>
        <x:v>1.18675</x:v>
      </x:c>
      <x:c r="J431" s="10" t="str">
        <x:v>기존 작성은 유지하고 그 자료의 야간 상담 배정 항목만 별도로 3문장으로 설명해줘. 새 파일은 만들지 마.</x:v>
      </x:c>
      <x:c r="K431" s="10" t="str">
        <x:v>기존 발표자료 작성은 유지하고 SYN-F08-01:D2@v1의 야간 상담 배정 항목을 별도 답변으로 설명하겠습니다.</x:v>
      </x:c>
      <x:c r="L431" s="11"/>
      <x:c r="M431" s="11"/>
      <x:c r="N431" s="10" t="str">
        <x:v>NOT_MODELED</x:v>
      </x:c>
    </x:row>
    <x:row r="432" ht="85" customHeight="1">
      <x:c r="A432" s="10" t="str">
        <x:v>T-BASE</x:v>
      </x:c>
      <x:c r="B432" s="10" t="str">
        <x:v>TEXT</x:v>
      </x:c>
      <x:c r="C432" s="10" t="str">
        <x:v>TEXT:SYN-F08-02</x:v>
      </x:c>
      <x:c r="D432" s="10" t="str">
        <x:v>TEXT:SYN-F08-02-U01</x:v>
      </x:c>
      <x:c r="E432" s="10" t="str">
        <x:v>T-F08</x:v>
      </x:c>
      <x:c r="F432" s="10" t="n">
        <x:v>1</x:v>
      </x:c>
      <x:c r="G432" s="11" t="n">
        <x:v>0</x:v>
      </x:c>
      <x:c r="H432" s="11" t="n">
        <x:v>1.180321</x:v>
      </x:c>
      <x:c r="I432" s="11" t="n">
        <x:f>H432-G432</x:f>
        <x:v>1.180321</x:v>
      </x:c>
      <x:c r="J432" s="10" t="str">
        <x:v>앞서 맞다고 확인한 자료의 구성으로 운영 제안 발표자료를 4장 이내로 만들어줘. 참가업체 설명회용이고 주말 운영 인력 12명 이하, 전시 4주 기준이야. 외부 발송은 하지 마.</x:v>
      </x:c>
      <x:c r="K432" s="10" t="str">
        <x:v>SYN-F08-02:D1@v1의 구성을 기준으로 참가업체 설명회용 운영 제안 발표자료를 4장 이내로 작성하도록 준비하겠습니다.</x:v>
      </x:c>
      <x:c r="L432" s="11"/>
      <x:c r="M432" s="11"/>
      <x:c r="N432" s="10" t="str">
        <x:v>NOT_MODELED</x:v>
      </x:c>
    </x:row>
    <x:row r="433" ht="85" customHeight="1">
      <x:c r="A433" s="10" t="str">
        <x:v>T-BASE</x:v>
      </x:c>
      <x:c r="B433" s="10" t="str">
        <x:v>TEXT</x:v>
      </x:c>
      <x:c r="C433" s="10" t="str">
        <x:v>TEXT:SYN-F08-02</x:v>
      </x:c>
      <x:c r="D433" s="10" t="str">
        <x:v>TEXT:SYN-F08-02-U02</x:v>
      </x:c>
      <x:c r="E433" s="10" t="str">
        <x:v>T-F08</x:v>
      </x:c>
      <x:c r="F433" s="10" t="n">
        <x:v>1</x:v>
      </x:c>
      <x:c r="G433" s="11" t="n">
        <x:v>14.289857</x:v>
      </x:c>
      <x:c r="H433" s="11" t="n">
        <x:v>15.489428</x:v>
      </x:c>
      <x:c r="I433" s="11" t="n">
        <x:f>H433-G433</x:f>
        <x:v>1.1995710000000006</x:v>
      </x:c>
      <x:c r="J433" s="10" t="str">
        <x:v>기존 작성은 유지하고 그 자료의 혼잡 시간 입장 동선 항목만 별도로 2문장으로 설명해줘. 새 파일은 만들지 마.</x:v>
      </x:c>
      <x:c r="K433" s="10" t="str">
        <x:v>기존 발표자료 작성은 유지하고 SYN-F08-02:D1@v1의 혼잡 시간 입장 동선 항목을 별도 답변으로 설명하겠습니다.</x:v>
      </x:c>
      <x:c r="L433" s="11"/>
      <x:c r="M433" s="11"/>
      <x:c r="N433" s="10" t="str">
        <x:v>NOT_MODELED</x:v>
      </x:c>
    </x:row>
    <x:row r="434" ht="85" customHeight="1">
      <x:c r="A434" s="10" t="str">
        <x:v>T-EXEC</x:v>
      </x:c>
      <x:c r="B434" s="10" t="str">
        <x:v>TEXT</x:v>
      </x:c>
      <x:c r="C434" s="10" t="str">
        <x:v>TEXT:SYN-F08-02</x:v>
      </x:c>
      <x:c r="D434" s="10" t="str">
        <x:v>TEXT:SYN-F08-02-U01</x:v>
      </x:c>
      <x:c r="E434" s="10" t="str">
        <x:v>T-F08</x:v>
      </x:c>
      <x:c r="F434" s="10" t="n">
        <x:v>1</x:v>
      </x:c>
      <x:c r="G434" s="11" t="n">
        <x:v>0</x:v>
      </x:c>
      <x:c r="H434" s="11" t="n">
        <x:v>1.180321</x:v>
      </x:c>
      <x:c r="I434" s="11" t="n">
        <x:f>H434-G434</x:f>
        <x:v>1.180321</x:v>
      </x:c>
      <x:c r="J434" s="10" t="str">
        <x:v>앞서 맞다고 확인한 자료의 구성으로 운영 제안 발표자료를 4장 이내로 만들어줘. 참가업체 설명회용이고 주말 운영 인력 12명 이하, 전시 4주 기준이야. 외부 발송은 하지 마.</x:v>
      </x:c>
      <x:c r="K434" s="10" t="str">
        <x:v>SYN-F08-02:D1@v1의 구성을 기준으로 참가업체 설명회용 운영 제안 발표자료를 4장 이내로 작성하도록 준비하겠습니다.</x:v>
      </x:c>
      <x:c r="L434" s="11"/>
      <x:c r="M434" s="11"/>
      <x:c r="N434" s="10" t="str">
        <x:v>NOT_MODELED</x:v>
      </x:c>
    </x:row>
    <x:row r="435" ht="85" customHeight="1">
      <x:c r="A435" s="10" t="str">
        <x:v>T-EXEC</x:v>
      </x:c>
      <x:c r="B435" s="10" t="str">
        <x:v>TEXT</x:v>
      </x:c>
      <x:c r="C435" s="10" t="str">
        <x:v>TEXT:SYN-F08-02</x:v>
      </x:c>
      <x:c r="D435" s="10" t="str">
        <x:v>TEXT:SYN-F08-02-U02</x:v>
      </x:c>
      <x:c r="E435" s="10" t="str">
        <x:v>T-F08</x:v>
      </x:c>
      <x:c r="F435" s="10" t="n">
        <x:v>1</x:v>
      </x:c>
      <x:c r="G435" s="11" t="n">
        <x:v>14.289857</x:v>
      </x:c>
      <x:c r="H435" s="11" t="n">
        <x:v>15.954107</x:v>
      </x:c>
      <x:c r="I435" s="11" t="n">
        <x:f>H435-G435</x:f>
        <x:v>1.664250000000001</x:v>
      </x:c>
      <x:c r="J435" s="10" t="str">
        <x:v>기존 작성은 유지하고 그 자료의 혼잡 시간 입장 동선 항목만 별도로 2문장으로 설명해줘. 새 파일은 만들지 마.</x:v>
      </x:c>
      <x:c r="K435" s="10" t="str">
        <x:v>기존 발표자료 작성은 유지하고 SYN-F08-02:D1@v1의 혼잡 시간 입장 동선 항목을 별도 답변으로 설명하겠습니다.</x:v>
      </x:c>
      <x:c r="L435" s="11"/>
      <x:c r="M435" s="11"/>
      <x:c r="N435" s="10" t="str">
        <x:v>NOT_MODELED</x:v>
      </x:c>
    </x:row>
    <x:row r="436" ht="85" customHeight="1">
      <x:c r="A436" s="10" t="str">
        <x:v>T-REL</x:v>
      </x:c>
      <x:c r="B436" s="10" t="str">
        <x:v>TEXT</x:v>
      </x:c>
      <x:c r="C436" s="10" t="str">
        <x:v>TEXT:SYN-F08-02</x:v>
      </x:c>
      <x:c r="D436" s="10" t="str">
        <x:v>TEXT:SYN-F08-02-U01</x:v>
      </x:c>
      <x:c r="E436" s="10" t="str">
        <x:v>T-F08</x:v>
      </x:c>
      <x:c r="F436" s="10" t="n">
        <x:v>1</x:v>
      </x:c>
      <x:c r="G436" s="11" t="n">
        <x:v>0</x:v>
      </x:c>
      <x:c r="H436" s="11" t="n">
        <x:v>1.180321</x:v>
      </x:c>
      <x:c r="I436" s="11" t="n">
        <x:f>H436-G436</x:f>
        <x:v>1.180321</x:v>
      </x:c>
      <x:c r="J436" s="10" t="str">
        <x:v>앞서 맞다고 확인한 자료의 구성으로 운영 제안 발표자료를 4장 이내로 만들어줘. 참가업체 설명회용이고 주말 운영 인력 12명 이하, 전시 4주 기준이야. 외부 발송은 하지 마.</x:v>
      </x:c>
      <x:c r="K436" s="10" t="str">
        <x:v>SYN-F08-02:D1@v1의 구성을 기준으로 참가업체 설명회용 운영 제안 발표자료를 4장 이내로 작성하도록 준비하겠습니다.</x:v>
      </x:c>
      <x:c r="L436" s="11"/>
      <x:c r="M436" s="11"/>
      <x:c r="N436" s="10" t="str">
        <x:v>NOT_MODELED</x:v>
      </x:c>
    </x:row>
    <x:row r="437" ht="85" customHeight="1">
      <x:c r="A437" s="10" t="str">
        <x:v>T-REL</x:v>
      </x:c>
      <x:c r="B437" s="10" t="str">
        <x:v>TEXT</x:v>
      </x:c>
      <x:c r="C437" s="10" t="str">
        <x:v>TEXT:SYN-F08-02</x:v>
      </x:c>
      <x:c r="D437" s="10" t="str">
        <x:v>TEXT:SYN-F08-02-U02</x:v>
      </x:c>
      <x:c r="E437" s="10" t="str">
        <x:v>T-F08</x:v>
      </x:c>
      <x:c r="F437" s="10" t="n">
        <x:v>1</x:v>
      </x:c>
      <x:c r="G437" s="11" t="n">
        <x:v>14.289857</x:v>
      </x:c>
      <x:c r="H437" s="11" t="n">
        <x:v>15.489428</x:v>
      </x:c>
      <x:c r="I437" s="11" t="n">
        <x:f>H437-G437</x:f>
        <x:v>1.1995710000000006</x:v>
      </x:c>
      <x:c r="J437" s="10" t="str">
        <x:v>기존 작성은 유지하고 그 자료의 혼잡 시간 입장 동선 항목만 별도로 2문장으로 설명해줘. 새 파일은 만들지 마.</x:v>
      </x:c>
      <x:c r="K437" s="10" t="str">
        <x:v>기존 발표자료 작성은 유지하고 SYN-F08-02:D1@v1의 혼잡 시간 입장 동선 항목을 별도 답변으로 설명하겠습니다.</x:v>
      </x:c>
      <x:c r="L437" s="11"/>
      <x:c r="M437" s="11"/>
      <x:c r="N437" s="10" t="str">
        <x:v>NOT_MODELED</x:v>
      </x:c>
    </x:row>
    <x:row r="438" ht="85" customHeight="1">
      <x:c r="A438" s="10" t="str">
        <x:v>T-BASE</x:v>
      </x:c>
      <x:c r="B438" s="10" t="str">
        <x:v>TEXT</x:v>
      </x:c>
      <x:c r="C438" s="10" t="str">
        <x:v>TEXT:SYN-F08-03</x:v>
      </x:c>
      <x:c r="D438" s="10" t="str">
        <x:v>TEXT:SYN-F08-03-U01</x:v>
      </x:c>
      <x:c r="E438" s="10" t="str">
        <x:v>T-F08</x:v>
      </x:c>
      <x:c r="F438" s="10" t="n">
        <x:v>1</x:v>
      </x:c>
      <x:c r="G438" s="11" t="n">
        <x:v>0</x:v>
      </x:c>
      <x:c r="H438" s="11" t="n">
        <x:v>1.193143</x:v>
      </x:c>
      <x:c r="I438" s="11" t="n">
        <x:f>H438-G438</x:f>
        <x:v>1.193143</x:v>
      </x:c>
      <x:c r="J438" s="10" t="str">
        <x:v>앞서 맞다고 확인한 자료의 구성으로 교육 개편 발표자료를 6장 이내로 만들어줘. 교육 승인위원회용이고 참가자당 교육시간 18시간 이하, 입사 후 3주 기준이야. 외부 발송은 하지 마.</x:v>
      </x:c>
      <x:c r="K438" s="10" t="str">
        <x:v>SYN-F08-03:D3@v1의 구성을 기준으로 교육 승인위원회용 교육 개편 발표자료를 6장 이내로 작성하도록 준비하겠습니다.</x:v>
      </x:c>
      <x:c r="L438" s="11"/>
      <x:c r="M438" s="11"/>
      <x:c r="N438" s="10" t="str">
        <x:v>NOT_MODELED</x:v>
      </x:c>
    </x:row>
    <x:row r="439" ht="85" customHeight="1">
      <x:c r="A439" s="10" t="str">
        <x:v>T-BASE</x:v>
      </x:c>
      <x:c r="B439" s="10" t="str">
        <x:v>TEXT</x:v>
      </x:c>
      <x:c r="C439" s="10" t="str">
        <x:v>TEXT:SYN-F08-03</x:v>
      </x:c>
      <x:c r="D439" s="10" t="str">
        <x:v>TEXT:SYN-F08-03-U02</x:v>
      </x:c>
      <x:c r="E439" s="10" t="str">
        <x:v>T-F08</x:v>
      </x:c>
      <x:c r="F439" s="10" t="n">
        <x:v>1</x:v>
      </x:c>
      <x:c r="G439" s="11" t="n">
        <x:v>14.375857</x:v>
      </x:c>
      <x:c r="H439" s="11" t="n">
        <x:v>15.58825</x:v>
      </x:c>
      <x:c r="I439" s="11" t="n">
        <x:f>H439-G439</x:f>
        <x:v>1.2123930000000005</x:v>
      </x:c>
      <x:c r="J439" s="10" t="str">
        <x:v>기존 작성은 유지하고 그 자료의 실습과 피드백 순서 항목만 별도로 4문장으로 설명해줘. 새 파일은 만들지 마.</x:v>
      </x:c>
      <x:c r="K439" s="10" t="str">
        <x:v>기존 발표자료 작성은 유지하고 SYN-F08-03:D3@v1의 실습과 피드백 순서 항목을 별도 답변으로 설명하겠습니다.</x:v>
      </x:c>
      <x:c r="L439" s="11"/>
      <x:c r="M439" s="11"/>
      <x:c r="N439" s="10" t="str">
        <x:v>NOT_MODELED</x:v>
      </x:c>
    </x:row>
    <x:row r="440" ht="85" customHeight="1">
      <x:c r="A440" s="10" t="str">
        <x:v>T-EXEC</x:v>
      </x:c>
      <x:c r="B440" s="10" t="str">
        <x:v>TEXT</x:v>
      </x:c>
      <x:c r="C440" s="10" t="str">
        <x:v>TEXT:SYN-F08-03</x:v>
      </x:c>
      <x:c r="D440" s="10" t="str">
        <x:v>TEXT:SYN-F08-03-U01</x:v>
      </x:c>
      <x:c r="E440" s="10" t="str">
        <x:v>T-F08</x:v>
      </x:c>
      <x:c r="F440" s="10" t="n">
        <x:v>1</x:v>
      </x:c>
      <x:c r="G440" s="11" t="n">
        <x:v>0</x:v>
      </x:c>
      <x:c r="H440" s="11" t="n">
        <x:v>1.193143</x:v>
      </x:c>
      <x:c r="I440" s="11" t="n">
        <x:f>H440-G440</x:f>
        <x:v>1.193143</x:v>
      </x:c>
      <x:c r="J440" s="10" t="str">
        <x:v>앞서 맞다고 확인한 자료의 구성으로 교육 개편 발표자료를 6장 이내로 만들어줘. 교육 승인위원회용이고 참가자당 교육시간 18시간 이하, 입사 후 3주 기준이야. 외부 발송은 하지 마.</x:v>
      </x:c>
      <x:c r="K440" s="10" t="str">
        <x:v>SYN-F08-03:D3@v1의 구성을 기준으로 교육 승인위원회용 교육 개편 발표자료를 6장 이내로 작성하도록 준비하겠습니다.</x:v>
      </x:c>
      <x:c r="L440" s="11"/>
      <x:c r="M440" s="11"/>
      <x:c r="N440" s="10" t="str">
        <x:v>NOT_MODELED</x:v>
      </x:c>
    </x:row>
    <x:row r="441" ht="85" customHeight="1">
      <x:c r="A441" s="10" t="str">
        <x:v>T-EXEC</x:v>
      </x:c>
      <x:c r="B441" s="10" t="str">
        <x:v>TEXT</x:v>
      </x:c>
      <x:c r="C441" s="10" t="str">
        <x:v>TEXT:SYN-F08-03</x:v>
      </x:c>
      <x:c r="D441" s="10" t="str">
        <x:v>TEXT:SYN-F08-03-U02</x:v>
      </x:c>
      <x:c r="E441" s="10" t="str">
        <x:v>T-F08</x:v>
      </x:c>
      <x:c r="F441" s="10" t="n">
        <x:v>1</x:v>
      </x:c>
      <x:c r="G441" s="11" t="n">
        <x:v>14.375857</x:v>
      </x:c>
      <x:c r="H441" s="11" t="n">
        <x:v>16.062607</x:v>
      </x:c>
      <x:c r="I441" s="11" t="n">
        <x:f>H441-G441</x:f>
        <x:v>1.68675</x:v>
      </x:c>
      <x:c r="J441" s="10" t="str">
        <x:v>기존 작성은 유지하고 그 자료의 실습과 피드백 순서 항목만 별도로 4문장으로 설명해줘. 새 파일은 만들지 마.</x:v>
      </x:c>
      <x:c r="K441" s="10" t="str">
        <x:v>기존 발표자료 작성은 유지하고 SYN-F08-03:D3@v1의 실습과 피드백 순서 항목을 별도 답변으로 설명하겠습니다.</x:v>
      </x:c>
      <x:c r="L441" s="11"/>
      <x:c r="M441" s="11"/>
      <x:c r="N441" s="10" t="str">
        <x:v>NOT_MODELED</x:v>
      </x:c>
    </x:row>
    <x:row r="442" ht="85" customHeight="1">
      <x:c r="A442" s="10" t="str">
        <x:v>T-REL</x:v>
      </x:c>
      <x:c r="B442" s="10" t="str">
        <x:v>TEXT</x:v>
      </x:c>
      <x:c r="C442" s="10" t="str">
        <x:v>TEXT:SYN-F08-03</x:v>
      </x:c>
      <x:c r="D442" s="10" t="str">
        <x:v>TEXT:SYN-F08-03-U01</x:v>
      </x:c>
      <x:c r="E442" s="10" t="str">
        <x:v>T-F08</x:v>
      </x:c>
      <x:c r="F442" s="10" t="n">
        <x:v>1</x:v>
      </x:c>
      <x:c r="G442" s="11" t="n">
        <x:v>0</x:v>
      </x:c>
      <x:c r="H442" s="11" t="n">
        <x:v>1.193143</x:v>
      </x:c>
      <x:c r="I442" s="11" t="n">
        <x:f>H442-G442</x:f>
        <x:v>1.193143</x:v>
      </x:c>
      <x:c r="J442" s="10" t="str">
        <x:v>앞서 맞다고 확인한 자료의 구성으로 교육 개편 발표자료를 6장 이내로 만들어줘. 교육 승인위원회용이고 참가자당 교육시간 18시간 이하, 입사 후 3주 기준이야. 외부 발송은 하지 마.</x:v>
      </x:c>
      <x:c r="K442" s="10" t="str">
        <x:v>SYN-F08-03:D3@v1의 구성을 기준으로 교육 승인위원회용 교육 개편 발표자료를 6장 이내로 작성하도록 준비하겠습니다.</x:v>
      </x:c>
      <x:c r="L442" s="11"/>
      <x:c r="M442" s="11"/>
      <x:c r="N442" s="10" t="str">
        <x:v>NOT_MODELED</x:v>
      </x:c>
    </x:row>
    <x:row r="443" ht="85" customHeight="1">
      <x:c r="A443" s="10" t="str">
        <x:v>T-REL</x:v>
      </x:c>
      <x:c r="B443" s="10" t="str">
        <x:v>TEXT</x:v>
      </x:c>
      <x:c r="C443" s="10" t="str">
        <x:v>TEXT:SYN-F08-03</x:v>
      </x:c>
      <x:c r="D443" s="10" t="str">
        <x:v>TEXT:SYN-F08-03-U02</x:v>
      </x:c>
      <x:c r="E443" s="10" t="str">
        <x:v>T-F08</x:v>
      </x:c>
      <x:c r="F443" s="10" t="n">
        <x:v>1</x:v>
      </x:c>
      <x:c r="G443" s="11" t="n">
        <x:v>14.375857</x:v>
      </x:c>
      <x:c r="H443" s="11" t="n">
        <x:v>15.58825</x:v>
      </x:c>
      <x:c r="I443" s="11" t="n">
        <x:f>H443-G443</x:f>
        <x:v>1.2123930000000005</x:v>
      </x:c>
      <x:c r="J443" s="10" t="str">
        <x:v>기존 작성은 유지하고 그 자료의 실습과 피드백 순서 항목만 별도로 4문장으로 설명해줘. 새 파일은 만들지 마.</x:v>
      </x:c>
      <x:c r="K443" s="10" t="str">
        <x:v>기존 발표자료 작성은 유지하고 SYN-F08-03:D3@v1의 실습과 피드백 순서 항목을 별도 답변으로 설명하겠습니다.</x:v>
      </x:c>
      <x:c r="L443" s="11"/>
      <x:c r="M443" s="11"/>
      <x:c r="N443" s="10" t="str">
        <x:v>NOT_MODELED</x:v>
      </x:c>
    </x:row>
    <x:row r="444" ht="85" customHeight="1">
      <x:c r="A444" s="10" t="str">
        <x:v>T-BASE</x:v>
      </x:c>
      <x:c r="B444" s="10" t="str">
        <x:v>TEXT</x:v>
      </x:c>
      <x:c r="C444" s="10" t="str">
        <x:v>TEXT:SYN-F08-04</x:v>
      </x:c>
      <x:c r="D444" s="10" t="str">
        <x:v>TEXT:SYN-F08-04-U01</x:v>
      </x:c>
      <x:c r="E444" s="10" t="str">
        <x:v>T-F08</x:v>
      </x:c>
      <x:c r="F444" s="10" t="n">
        <x:v>1</x:v>
      </x:c>
      <x:c r="G444" s="11" t="n">
        <x:v>0</x:v>
      </x:c>
      <x:c r="H444" s="11" t="n">
        <x:v>1.205964</x:v>
      </x:c>
      <x:c r="I444" s="11" t="n">
        <x:f>H444-G444</x:f>
        <x:v>1.205964</x:v>
      </x:c>
      <x:c r="J444" s="10" t="str">
        <x:v>앞서 맞다고 확인한 자료의 구성으로 거점 개선 발표자료를 7장 이내로 만들어줘. 협력사 운영설명회용이고 일일 추가 운행 8회 이하, 평일 20일 기준이야. 외부 발송은 하지 마.</x:v>
      </x:c>
      <x:c r="K444" s="10" t="str">
        <x:v>SYN-F08-04:D2@v1의 구성을 기준으로 협력사 운영설명회용 거점 개선 발표자료를 7장 이내로 작성하도록 준비하겠습니다.</x:v>
      </x:c>
      <x:c r="L444" s="11"/>
      <x:c r="M444" s="11"/>
      <x:c r="N444" s="10" t="str">
        <x:v>NOT_MODELED</x:v>
      </x:c>
    </x:row>
    <x:row r="445" ht="85" customHeight="1">
      <x:c r="A445" s="10" t="str">
        <x:v>T-BASE</x:v>
      </x:c>
      <x:c r="B445" s="10" t="str">
        <x:v>TEXT</x:v>
      </x:c>
      <x:c r="C445" s="10" t="str">
        <x:v>TEXT:SYN-F08-04</x:v>
      </x:c>
      <x:c r="D445" s="10" t="str">
        <x:v>TEXT:SYN-F08-04-U02</x:v>
      </x:c>
      <x:c r="E445" s="10" t="str">
        <x:v>T-F08</x:v>
      </x:c>
      <x:c r="F445" s="10" t="n">
        <x:v>1</x:v>
      </x:c>
      <x:c r="G445" s="11" t="n">
        <x:v>14.461857</x:v>
      </x:c>
      <x:c r="H445" s="11" t="n">
        <x:v>15.687071</x:v>
      </x:c>
      <x:c r="I445" s="11" t="n">
        <x:f>H445-G445</x:f>
        <x:v>1.2252139999999994</x:v>
      </x:c>
      <x:c r="J445" s="10" t="str">
        <x:v>기존 작성은 유지하고 그 자료의 오후 출고 대기 항목만 별도로 3문장으로 설명해줘. 새 파일은 만들지 마.</x:v>
      </x:c>
      <x:c r="K445" s="10" t="str">
        <x:v>기존 발표자료 작성은 유지하고 SYN-F08-04:D2@v1의 오후 출고 대기 항목을 별도 답변으로 설명하겠습니다.</x:v>
      </x:c>
      <x:c r="L445" s="11"/>
      <x:c r="M445" s="11"/>
      <x:c r="N445" s="10" t="str">
        <x:v>NOT_MODELED</x:v>
      </x:c>
    </x:row>
    <x:row r="446" ht="85" customHeight="1">
      <x:c r="A446" s="10" t="str">
        <x:v>T-EXEC</x:v>
      </x:c>
      <x:c r="B446" s="10" t="str">
        <x:v>TEXT</x:v>
      </x:c>
      <x:c r="C446" s="10" t="str">
        <x:v>TEXT:SYN-F08-04</x:v>
      </x:c>
      <x:c r="D446" s="10" t="str">
        <x:v>TEXT:SYN-F08-04-U01</x:v>
      </x:c>
      <x:c r="E446" s="10" t="str">
        <x:v>T-F08</x:v>
      </x:c>
      <x:c r="F446" s="10" t="n">
        <x:v>1</x:v>
      </x:c>
      <x:c r="G446" s="11" t="n">
        <x:v>0</x:v>
      </x:c>
      <x:c r="H446" s="11" t="n">
        <x:v>1.205964</x:v>
      </x:c>
      <x:c r="I446" s="11" t="n">
        <x:f>H446-G446</x:f>
        <x:v>1.205964</x:v>
      </x:c>
      <x:c r="J446" s="10" t="str">
        <x:v>앞서 맞다고 확인한 자료의 구성으로 거점 개선 발표자료를 7장 이내로 만들어줘. 협력사 운영설명회용이고 일일 추가 운행 8회 이하, 평일 20일 기준이야. 외부 발송은 하지 마.</x:v>
      </x:c>
      <x:c r="K446" s="10" t="str">
        <x:v>SYN-F08-04:D2@v1의 구성을 기준으로 협력사 운영설명회용 거점 개선 발표자료를 7장 이내로 작성하도록 준비하겠습니다.</x:v>
      </x:c>
      <x:c r="L446" s="11"/>
      <x:c r="M446" s="11"/>
      <x:c r="N446" s="10" t="str">
        <x:v>NOT_MODELED</x:v>
      </x:c>
    </x:row>
    <x:row r="447" ht="85" customHeight="1">
      <x:c r="A447" s="10" t="str">
        <x:v>T-EXEC</x:v>
      </x:c>
      <x:c r="B447" s="10" t="str">
        <x:v>TEXT</x:v>
      </x:c>
      <x:c r="C447" s="10" t="str">
        <x:v>TEXT:SYN-F08-04</x:v>
      </x:c>
      <x:c r="D447" s="10" t="str">
        <x:v>TEXT:SYN-F08-04-U02</x:v>
      </x:c>
      <x:c r="E447" s="10" t="str">
        <x:v>T-F08</x:v>
      </x:c>
      <x:c r="F447" s="10" t="n">
        <x:v>1</x:v>
      </x:c>
      <x:c r="G447" s="11" t="n">
        <x:v>14.461857</x:v>
      </x:c>
      <x:c r="H447" s="11" t="n">
        <x:v>16.152357</x:v>
      </x:c>
      <x:c r="I447" s="11" t="n">
        <x:f>H447-G447</x:f>
        <x:v>1.6904999999999983</x:v>
      </x:c>
      <x:c r="J447" s="10" t="str">
        <x:v>기존 작성은 유지하고 그 자료의 오후 출고 대기 항목만 별도로 3문장으로 설명해줘. 새 파일은 만들지 마.</x:v>
      </x:c>
      <x:c r="K447" s="10" t="str">
        <x:v>기존 발표자료 작성은 유지하고 SYN-F08-04:D2@v1의 오후 출고 대기 항목을 별도 답변으로 설명하겠습니다.</x:v>
      </x:c>
      <x:c r="L447" s="11"/>
      <x:c r="M447" s="11"/>
      <x:c r="N447" s="10" t="str">
        <x:v>NOT_MODELED</x:v>
      </x:c>
    </x:row>
    <x:row r="448" ht="85" customHeight="1">
      <x:c r="A448" s="10" t="str">
        <x:v>T-REL</x:v>
      </x:c>
      <x:c r="B448" s="10" t="str">
        <x:v>TEXT</x:v>
      </x:c>
      <x:c r="C448" s="10" t="str">
        <x:v>TEXT:SYN-F08-04</x:v>
      </x:c>
      <x:c r="D448" s="10" t="str">
        <x:v>TEXT:SYN-F08-04-U01</x:v>
      </x:c>
      <x:c r="E448" s="10" t="str">
        <x:v>T-F08</x:v>
      </x:c>
      <x:c r="F448" s="10" t="n">
        <x:v>1</x:v>
      </x:c>
      <x:c r="G448" s="11" t="n">
        <x:v>0</x:v>
      </x:c>
      <x:c r="H448" s="11" t="n">
        <x:v>1.205964</x:v>
      </x:c>
      <x:c r="I448" s="11" t="n">
        <x:f>H448-G448</x:f>
        <x:v>1.205964</x:v>
      </x:c>
      <x:c r="J448" s="10" t="str">
        <x:v>앞서 맞다고 확인한 자료의 구성으로 거점 개선 발표자료를 7장 이내로 만들어줘. 협력사 운영설명회용이고 일일 추가 운행 8회 이하, 평일 20일 기준이야. 외부 발송은 하지 마.</x:v>
      </x:c>
      <x:c r="K448" s="10" t="str">
        <x:v>SYN-F08-04:D2@v1의 구성을 기준으로 협력사 운영설명회용 거점 개선 발표자료를 7장 이내로 작성하도록 준비하겠습니다.</x:v>
      </x:c>
      <x:c r="L448" s="11"/>
      <x:c r="M448" s="11"/>
      <x:c r="N448" s="10" t="str">
        <x:v>NOT_MODELED</x:v>
      </x:c>
    </x:row>
    <x:row r="449" ht="85" customHeight="1">
      <x:c r="A449" s="10" t="str">
        <x:v>T-REL</x:v>
      </x:c>
      <x:c r="B449" s="10" t="str">
        <x:v>TEXT</x:v>
      </x:c>
      <x:c r="C449" s="10" t="str">
        <x:v>TEXT:SYN-F08-04</x:v>
      </x:c>
      <x:c r="D449" s="10" t="str">
        <x:v>TEXT:SYN-F08-04-U02</x:v>
      </x:c>
      <x:c r="E449" s="10" t="str">
        <x:v>T-F08</x:v>
      </x:c>
      <x:c r="F449" s="10" t="n">
        <x:v>1</x:v>
      </x:c>
      <x:c r="G449" s="11" t="n">
        <x:v>14.461857</x:v>
      </x:c>
      <x:c r="H449" s="11" t="n">
        <x:v>15.687071</x:v>
      </x:c>
      <x:c r="I449" s="11" t="n">
        <x:f>H449-G449</x:f>
        <x:v>1.2252139999999994</x:v>
      </x:c>
      <x:c r="J449" s="10" t="str">
        <x:v>기존 작성은 유지하고 그 자료의 오후 출고 대기 항목만 별도로 3문장으로 설명해줘. 새 파일은 만들지 마.</x:v>
      </x:c>
      <x:c r="K449" s="10" t="str">
        <x:v>기존 발표자료 작성은 유지하고 SYN-F08-04:D2@v1의 오후 출고 대기 항목을 별도 답변으로 설명하겠습니다.</x:v>
      </x:c>
      <x:c r="L449" s="11"/>
      <x:c r="M449" s="11"/>
      <x:c r="N449" s="10" t="str">
        <x:v>NOT_MODELED</x:v>
      </x:c>
    </x:row>
    <x:row r="450" ht="85" customHeight="1">
      <x:c r="A450" s="10" t="str">
        <x:v>T-BASE</x:v>
      </x:c>
      <x:c r="B450" s="10" t="str">
        <x:v>TEXT</x:v>
      </x:c>
      <x:c r="C450" s="10" t="str">
        <x:v>TEXT:SYN-F08-05</x:v>
      </x:c>
      <x:c r="D450" s="10" t="str">
        <x:v>TEXT:SYN-F08-05-U01</x:v>
      </x:c>
      <x:c r="E450" s="10" t="str">
        <x:v>T-F08</x:v>
      </x:c>
      <x:c r="F450" s="10" t="n">
        <x:v>1</x:v>
      </x:c>
      <x:c r="G450" s="11" t="n">
        <x:v>0</x:v>
      </x:c>
      <x:c r="H450" s="11" t="n">
        <x:v>1.193786</x:v>
      </x:c>
      <x:c r="I450" s="11" t="n">
        <x:f>H450-G450</x:f>
        <x:v>1.193786</x:v>
      </x:c>
      <x:c r="J450" s="10" t="str">
        <x:v>앞서 맞다고 확인한 자료의 구성으로 조명 교체 검토자료를 5장 이내로 만들어줘. 입주사 설명회용이고 층별 정전 30분 이하, 교체 후 6개월 기준이야. 외부 발송은 하지 마.</x:v>
      </x:c>
      <x:c r="K450" s="10" t="str">
        <x:v>SYN-F08-05:D1@v1의 구성을 기준으로 입주사 설명회용 조명 교체 검토자료를 5장 이내로 작성하도록 준비하겠습니다.</x:v>
      </x:c>
      <x:c r="L450" s="11"/>
      <x:c r="M450" s="11"/>
      <x:c r="N450" s="10" t="str">
        <x:v>NOT_MODELED</x:v>
      </x:c>
    </x:row>
    <x:row r="451" ht="85" customHeight="1">
      <x:c r="A451" s="10" t="str">
        <x:v>T-BASE</x:v>
      </x:c>
      <x:c r="B451" s="10" t="str">
        <x:v>TEXT</x:v>
      </x:c>
      <x:c r="C451" s="10" t="str">
        <x:v>TEXT:SYN-F08-05</x:v>
      </x:c>
      <x:c r="D451" s="10" t="str">
        <x:v>TEXT:SYN-F08-05-U02</x:v>
      </x:c>
      <x:c r="E451" s="10" t="str">
        <x:v>T-F08</x:v>
      </x:c>
      <x:c r="F451" s="10" t="n">
        <x:v>1</x:v>
      </x:c>
      <x:c r="G451" s="11" t="n">
        <x:v>14.497857</x:v>
      </x:c>
      <x:c r="H451" s="11" t="n">
        <x:v>15.710893</x:v>
      </x:c>
      <x:c r="I451" s="11" t="n">
        <x:f>H451-G451</x:f>
        <x:v>1.2130360000000007</x:v>
      </x:c>
      <x:c r="J451" s="10" t="str">
        <x:v>기존 작성은 유지하고 그 자료의 회의실 사용 중 공사 항목만 별도로 2문장으로 설명해줘. 새 파일은 만들지 마.</x:v>
      </x:c>
      <x:c r="K451" s="10" t="str">
        <x:v>기존 발표자료 작성은 유지하고 SYN-F08-05:D1@v1의 회의실 사용 중 공사 항목을 별도 답변으로 설명하겠습니다.</x:v>
      </x:c>
      <x:c r="L451" s="11"/>
      <x:c r="M451" s="11"/>
      <x:c r="N451" s="10" t="str">
        <x:v>NOT_MODELED</x:v>
      </x:c>
    </x:row>
    <x:row r="452" ht="85" customHeight="1">
      <x:c r="A452" s="10" t="str">
        <x:v>T-EXEC</x:v>
      </x:c>
      <x:c r="B452" s="10" t="str">
        <x:v>TEXT</x:v>
      </x:c>
      <x:c r="C452" s="10" t="str">
        <x:v>TEXT:SYN-F08-05</x:v>
      </x:c>
      <x:c r="D452" s="10" t="str">
        <x:v>TEXT:SYN-F08-05-U01</x:v>
      </x:c>
      <x:c r="E452" s="10" t="str">
        <x:v>T-F08</x:v>
      </x:c>
      <x:c r="F452" s="10" t="n">
        <x:v>1</x:v>
      </x:c>
      <x:c r="G452" s="11" t="n">
        <x:v>0</x:v>
      </x:c>
      <x:c r="H452" s="11" t="n">
        <x:v>1.193786</x:v>
      </x:c>
      <x:c r="I452" s="11" t="n">
        <x:f>H452-G452</x:f>
        <x:v>1.193786</x:v>
      </x:c>
      <x:c r="J452" s="10" t="str">
        <x:v>앞서 맞다고 확인한 자료의 구성으로 조명 교체 검토자료를 5장 이내로 만들어줘. 입주사 설명회용이고 층별 정전 30분 이하, 교체 후 6개월 기준이야. 외부 발송은 하지 마.</x:v>
      </x:c>
      <x:c r="K452" s="10" t="str">
        <x:v>SYN-F08-05:D1@v1의 구성을 기준으로 입주사 설명회용 조명 교체 검토자료를 5장 이내로 작성하도록 준비하겠습니다.</x:v>
      </x:c>
      <x:c r="L452" s="11"/>
      <x:c r="M452" s="11"/>
      <x:c r="N452" s="10" t="str">
        <x:v>NOT_MODELED</x:v>
      </x:c>
    </x:row>
    <x:row r="453" ht="85" customHeight="1">
      <x:c r="A453" s="10" t="str">
        <x:v>T-EXEC</x:v>
      </x:c>
      <x:c r="B453" s="10" t="str">
        <x:v>TEXT</x:v>
      </x:c>
      <x:c r="C453" s="10" t="str">
        <x:v>TEXT:SYN-F08-05</x:v>
      </x:c>
      <x:c r="D453" s="10" t="str">
        <x:v>TEXT:SYN-F08-05-U02</x:v>
      </x:c>
      <x:c r="E453" s="10" t="str">
        <x:v>T-F08</x:v>
      </x:c>
      <x:c r="F453" s="10" t="n">
        <x:v>1</x:v>
      </x:c>
      <x:c r="G453" s="11" t="n">
        <x:v>14.497857</x:v>
      </x:c>
      <x:c r="H453" s="11" t="n">
        <x:v>16.185857</x:v>
      </x:c>
      <x:c r="I453" s="11" t="n">
        <x:f>H453-G453</x:f>
        <x:v>1.6879999999999988</x:v>
      </x:c>
      <x:c r="J453" s="10" t="str">
        <x:v>기존 작성은 유지하고 그 자료의 회의실 사용 중 공사 항목만 별도로 2문장으로 설명해줘. 새 파일은 만들지 마.</x:v>
      </x:c>
      <x:c r="K453" s="10" t="str">
        <x:v>기존 발표자료 작성은 유지하고 SYN-F08-05:D1@v1의 회의실 사용 중 공사 항목을 별도 답변으로 설명하겠습니다.</x:v>
      </x:c>
      <x:c r="L453" s="11"/>
      <x:c r="M453" s="11"/>
      <x:c r="N453" s="10" t="str">
        <x:v>NOT_MODELED</x:v>
      </x:c>
    </x:row>
    <x:row r="454" ht="85" customHeight="1">
      <x:c r="A454" s="10" t="str">
        <x:v>T-REL</x:v>
      </x:c>
      <x:c r="B454" s="10" t="str">
        <x:v>TEXT</x:v>
      </x:c>
      <x:c r="C454" s="10" t="str">
        <x:v>TEXT:SYN-F08-05</x:v>
      </x:c>
      <x:c r="D454" s="10" t="str">
        <x:v>TEXT:SYN-F08-05-U01</x:v>
      </x:c>
      <x:c r="E454" s="10" t="str">
        <x:v>T-F08</x:v>
      </x:c>
      <x:c r="F454" s="10" t="n">
        <x:v>1</x:v>
      </x:c>
      <x:c r="G454" s="11" t="n">
        <x:v>0</x:v>
      </x:c>
      <x:c r="H454" s="11" t="n">
        <x:v>1.193786</x:v>
      </x:c>
      <x:c r="I454" s="11" t="n">
        <x:f>H454-G454</x:f>
        <x:v>1.193786</x:v>
      </x:c>
      <x:c r="J454" s="10" t="str">
        <x:v>앞서 맞다고 확인한 자료의 구성으로 조명 교체 검토자료를 5장 이내로 만들어줘. 입주사 설명회용이고 층별 정전 30분 이하, 교체 후 6개월 기준이야. 외부 발송은 하지 마.</x:v>
      </x:c>
      <x:c r="K454" s="10" t="str">
        <x:v>SYN-F08-05:D1@v1의 구성을 기준으로 입주사 설명회용 조명 교체 검토자료를 5장 이내로 작성하도록 준비하겠습니다.</x:v>
      </x:c>
      <x:c r="L454" s="11"/>
      <x:c r="M454" s="11"/>
      <x:c r="N454" s="10" t="str">
        <x:v>NOT_MODELED</x:v>
      </x:c>
    </x:row>
    <x:row r="455" ht="85" customHeight="1">
      <x:c r="A455" s="10" t="str">
        <x:v>T-REL</x:v>
      </x:c>
      <x:c r="B455" s="10" t="str">
        <x:v>TEXT</x:v>
      </x:c>
      <x:c r="C455" s="10" t="str">
        <x:v>TEXT:SYN-F08-05</x:v>
      </x:c>
      <x:c r="D455" s="10" t="str">
        <x:v>TEXT:SYN-F08-05-U02</x:v>
      </x:c>
      <x:c r="E455" s="10" t="str">
        <x:v>T-F08</x:v>
      </x:c>
      <x:c r="F455" s="10" t="n">
        <x:v>1</x:v>
      </x:c>
      <x:c r="G455" s="11" t="n">
        <x:v>14.497857</x:v>
      </x:c>
      <x:c r="H455" s="11" t="n">
        <x:v>15.710893</x:v>
      </x:c>
      <x:c r="I455" s="11" t="n">
        <x:f>H455-G455</x:f>
        <x:v>1.2130360000000007</x:v>
      </x:c>
      <x:c r="J455" s="10" t="str">
        <x:v>기존 작성은 유지하고 그 자료의 회의실 사용 중 공사 항목만 별도로 2문장으로 설명해줘. 새 파일은 만들지 마.</x:v>
      </x:c>
      <x:c r="K455" s="10" t="str">
        <x:v>기존 발표자료 작성은 유지하고 SYN-F08-05:D1@v1의 회의실 사용 중 공사 항목을 별도 답변으로 설명하겠습니다.</x:v>
      </x:c>
      <x:c r="L455" s="11"/>
      <x:c r="M455" s="11"/>
      <x:c r="N455" s="10" t="str">
        <x:v>NOT_MODELED</x:v>
      </x:c>
    </x:row>
    <x:row r="456" ht="85" customHeight="1">
      <x:c r="A456" s="10" t="str">
        <x:v>T-BASE</x:v>
      </x:c>
      <x:c r="B456" s="10" t="str">
        <x:v>TEXT</x:v>
      </x:c>
      <x:c r="C456" s="10" t="str">
        <x:v>TEXT:SYN-F08-06</x:v>
      </x:c>
      <x:c r="D456" s="10" t="str">
        <x:v>TEXT:SYN-F08-06-U01</x:v>
      </x:c>
      <x:c r="E456" s="10" t="str">
        <x:v>T-F08</x:v>
      </x:c>
      <x:c r="F456" s="10" t="n">
        <x:v>1</x:v>
      </x:c>
      <x:c r="G456" s="11" t="n">
        <x:v>0</x:v>
      </x:c>
      <x:c r="H456" s="11" t="n">
        <x:v>1.206607</x:v>
      </x:c>
      <x:c r="I456" s="11" t="n">
        <x:f>H456-G456</x:f>
        <x:v>1.206607</x:v>
      </x:c>
      <x:c r="J456" s="10" t="str">
        <x:v>앞서 맞다고 확인한 자료의 구성으로 행사 운영 발표자료를 8장 이내로 만들어줘. 참여기업 안내회용이고 현장 대기 20분 이하, 행사 2일 기준이야. 외부 발송은 하지 마.</x:v>
      </x:c>
      <x:c r="K456" s="10" t="str">
        <x:v>SYN-F08-06:D3@v1의 구성을 기준으로 참여기업 안내회용 행사 운영 발표자료를 8장 이내로 작성하도록 준비하겠습니다.</x:v>
      </x:c>
      <x:c r="L456" s="11"/>
      <x:c r="M456" s="11"/>
      <x:c r="N456" s="10" t="str">
        <x:v>NOT_MODELED</x:v>
      </x:c>
    </x:row>
    <x:row r="457" ht="85" customHeight="1">
      <x:c r="A457" s="10" t="str">
        <x:v>T-BASE</x:v>
      </x:c>
      <x:c r="B457" s="10" t="str">
        <x:v>TEXT</x:v>
      </x:c>
      <x:c r="C457" s="10" t="str">
        <x:v>TEXT:SYN-F08-06</x:v>
      </x:c>
      <x:c r="D457" s="10" t="str">
        <x:v>TEXT:SYN-F08-06-U02</x:v>
      </x:c>
      <x:c r="E457" s="10" t="str">
        <x:v>T-F08</x:v>
      </x:c>
      <x:c r="F457" s="10" t="n">
        <x:v>1</x:v>
      </x:c>
      <x:c r="G457" s="11" t="n">
        <x:v>14.501357</x:v>
      </x:c>
      <x:c r="H457" s="11" t="n">
        <x:v>15.727214</x:v>
      </x:c>
      <x:c r="I457" s="11" t="n">
        <x:f>H457-G457</x:f>
        <x:v>1.2258569999999995</x:v>
      </x:c>
      <x:c r="J457" s="10" t="str">
        <x:v>기존 작성은 유지하고 그 자료의 면접 슬롯 중복 항목만 별도로 4문장으로 설명해줘. 새 파일은 만들지 마.</x:v>
      </x:c>
      <x:c r="K457" s="10" t="str">
        <x:v>기존 발표자료 작성은 유지하고 SYN-F08-06:D3@v1의 면접 슬롯 중복 항목을 별도 답변으로 설명하겠습니다.</x:v>
      </x:c>
      <x:c r="L457" s="11"/>
      <x:c r="M457" s="11"/>
      <x:c r="N457" s="10" t="str">
        <x:v>NOT_MODELED</x:v>
      </x:c>
    </x:row>
    <x:row r="458" ht="85" customHeight="1">
      <x:c r="A458" s="10" t="str">
        <x:v>T-EXEC</x:v>
      </x:c>
      <x:c r="B458" s="10" t="str">
        <x:v>TEXT</x:v>
      </x:c>
      <x:c r="C458" s="10" t="str">
        <x:v>TEXT:SYN-F08-06</x:v>
      </x:c>
      <x:c r="D458" s="10" t="str">
        <x:v>TEXT:SYN-F08-06-U01</x:v>
      </x:c>
      <x:c r="E458" s="10" t="str">
        <x:v>T-F08</x:v>
      </x:c>
      <x:c r="F458" s="10" t="n">
        <x:v>1</x:v>
      </x:c>
      <x:c r="G458" s="11" t="n">
        <x:v>0</x:v>
      </x:c>
      <x:c r="H458" s="11" t="n">
        <x:v>1.206607</x:v>
      </x:c>
      <x:c r="I458" s="11" t="n">
        <x:f>H458-G458</x:f>
        <x:v>1.206607</x:v>
      </x:c>
      <x:c r="J458" s="10" t="str">
        <x:v>앞서 맞다고 확인한 자료의 구성으로 행사 운영 발표자료를 8장 이내로 만들어줘. 참여기업 안내회용이고 현장 대기 20분 이하, 행사 2일 기준이야. 외부 발송은 하지 마.</x:v>
      </x:c>
      <x:c r="K458" s="10" t="str">
        <x:v>SYN-F08-06:D3@v1의 구성을 기준으로 참여기업 안내회용 행사 운영 발표자료를 8장 이내로 작성하도록 준비하겠습니다.</x:v>
      </x:c>
      <x:c r="L458" s="11"/>
      <x:c r="M458" s="11"/>
      <x:c r="N458" s="10" t="str">
        <x:v>NOT_MODELED</x:v>
      </x:c>
    </x:row>
    <x:row r="459" ht="85" customHeight="1">
      <x:c r="A459" s="10" t="str">
        <x:v>T-EXEC</x:v>
      </x:c>
      <x:c r="B459" s="10" t="str">
        <x:v>TEXT</x:v>
      </x:c>
      <x:c r="C459" s="10" t="str">
        <x:v>TEXT:SYN-F08-06</x:v>
      </x:c>
      <x:c r="D459" s="10" t="str">
        <x:v>TEXT:SYN-F08-06-U02</x:v>
      </x:c>
      <x:c r="E459" s="10" t="str">
        <x:v>T-F08</x:v>
      </x:c>
      <x:c r="F459" s="10" t="n">
        <x:v>1</x:v>
      </x:c>
      <x:c r="G459" s="11" t="n">
        <x:v>14.501357</x:v>
      </x:c>
      <x:c r="H459" s="11" t="n">
        <x:v>16.211857</x:v>
      </x:c>
      <x:c r="I459" s="11" t="n">
        <x:f>H459-G459</x:f>
        <x:v>1.710499999999998</x:v>
      </x:c>
      <x:c r="J459" s="10" t="str">
        <x:v>기존 작성은 유지하고 그 자료의 면접 슬롯 중복 항목만 별도로 4문장으로 설명해줘. 새 파일은 만들지 마.</x:v>
      </x:c>
      <x:c r="K459" s="10" t="str">
        <x:v>기존 발표자료 작성은 유지하고 SYN-F08-06:D3@v1의 면접 슬롯 중복 항목을 별도 답변으로 설명하겠습니다.</x:v>
      </x:c>
      <x:c r="L459" s="11"/>
      <x:c r="M459" s="11"/>
      <x:c r="N459" s="10" t="str">
        <x:v>NOT_MODELED</x:v>
      </x:c>
    </x:row>
    <x:row r="460" ht="85" customHeight="1">
      <x:c r="A460" s="10" t="str">
        <x:v>T-REL</x:v>
      </x:c>
      <x:c r="B460" s="10" t="str">
        <x:v>TEXT</x:v>
      </x:c>
      <x:c r="C460" s="10" t="str">
        <x:v>TEXT:SYN-F08-06</x:v>
      </x:c>
      <x:c r="D460" s="10" t="str">
        <x:v>TEXT:SYN-F08-06-U01</x:v>
      </x:c>
      <x:c r="E460" s="10" t="str">
        <x:v>T-F08</x:v>
      </x:c>
      <x:c r="F460" s="10" t="n">
        <x:v>1</x:v>
      </x:c>
      <x:c r="G460" s="11" t="n">
        <x:v>0</x:v>
      </x:c>
      <x:c r="H460" s="11" t="n">
        <x:v>1.206607</x:v>
      </x:c>
      <x:c r="I460" s="11" t="n">
        <x:f>H460-G460</x:f>
        <x:v>1.206607</x:v>
      </x:c>
      <x:c r="J460" s="10" t="str">
        <x:v>앞서 맞다고 확인한 자료의 구성으로 행사 운영 발표자료를 8장 이내로 만들어줘. 참여기업 안내회용이고 현장 대기 20분 이하, 행사 2일 기준이야. 외부 발송은 하지 마.</x:v>
      </x:c>
      <x:c r="K460" s="10" t="str">
        <x:v>SYN-F08-06:D3@v1의 구성을 기준으로 참여기업 안내회용 행사 운영 발표자료를 8장 이내로 작성하도록 준비하겠습니다.</x:v>
      </x:c>
      <x:c r="L460" s="11"/>
      <x:c r="M460" s="11"/>
      <x:c r="N460" s="10" t="str">
        <x:v>NOT_MODELED</x:v>
      </x:c>
    </x:row>
    <x:row r="461" ht="85" customHeight="1">
      <x:c r="A461" s="10" t="str">
        <x:v>T-REL</x:v>
      </x:c>
      <x:c r="B461" s="10" t="str">
        <x:v>TEXT</x:v>
      </x:c>
      <x:c r="C461" s="10" t="str">
        <x:v>TEXT:SYN-F08-06</x:v>
      </x:c>
      <x:c r="D461" s="10" t="str">
        <x:v>TEXT:SYN-F08-06-U02</x:v>
      </x:c>
      <x:c r="E461" s="10" t="str">
        <x:v>T-F08</x:v>
      </x:c>
      <x:c r="F461" s="10" t="n">
        <x:v>1</x:v>
      </x:c>
      <x:c r="G461" s="11" t="n">
        <x:v>14.501357</x:v>
      </x:c>
      <x:c r="H461" s="11" t="n">
        <x:v>15.727214</x:v>
      </x:c>
      <x:c r="I461" s="11" t="n">
        <x:f>H461-G461</x:f>
        <x:v>1.2258569999999995</x:v>
      </x:c>
      <x:c r="J461" s="10" t="str">
        <x:v>기존 작성은 유지하고 그 자료의 면접 슬롯 중복 항목만 별도로 4문장으로 설명해줘. 새 파일은 만들지 마.</x:v>
      </x:c>
      <x:c r="K461" s="10" t="str">
        <x:v>기존 발표자료 작성은 유지하고 SYN-F08-06:D3@v1의 면접 슬롯 중복 항목을 별도 답변으로 설명하겠습니다.</x:v>
      </x:c>
      <x:c r="L461" s="11"/>
      <x:c r="M461" s="11"/>
      <x:c r="N461" s="10" t="str">
        <x:v>NOT_MODELED</x:v>
      </x:c>
    </x:row>
    <x:row r="462" ht="85" customHeight="1">
      <x:c r="A462" s="10" t="str">
        <x:v>T-BASE</x:v>
      </x:c>
      <x:c r="B462" s="10" t="str">
        <x:v>TEXT</x:v>
      </x:c>
      <x:c r="C462" s="10" t="str">
        <x:v>TEXT:SYN-F08-07</x:v>
      </x:c>
      <x:c r="D462" s="10" t="str">
        <x:v>TEXT:SYN-F08-07-U01</x:v>
      </x:c>
      <x:c r="E462" s="10" t="str">
        <x:v>T-F08</x:v>
      </x:c>
      <x:c r="F462" s="10" t="n">
        <x:v>1</x:v>
      </x:c>
      <x:c r="G462" s="11" t="n">
        <x:v>0</x:v>
      </x:c>
      <x:c r="H462" s="11" t="n">
        <x:v>1.219429</x:v>
      </x:c>
      <x:c r="I462" s="11" t="n">
        <x:f>H462-G462</x:f>
        <x:v>1.219429</x:v>
      </x:c>
      <x:c r="J462" s="10" t="str">
        <x:v>앞서 맞다고 확인한 자료의 구성으로 검사 개선 발표자료를 6장 이내로 만들어줘. 납품처 품질설명회용이고 샘플 검사 45분 이하, 다음 8주 기준이야. 외부 발송은 하지 마.</x:v>
      </x:c>
      <x:c r="K462" s="10" t="str">
        <x:v>SYN-F08-07:D2@v1의 구성을 기준으로 납품처 품질설명회용 검사 개선 발표자료를 6장 이내로 작성하도록 준비하겠습니다.</x:v>
      </x:c>
      <x:c r="L462" s="11"/>
      <x:c r="M462" s="11"/>
      <x:c r="N462" s="10" t="str">
        <x:v>NOT_MODELED</x:v>
      </x:c>
    </x:row>
    <x:row r="463" ht="85" customHeight="1">
      <x:c r="A463" s="10" t="str">
        <x:v>T-BASE</x:v>
      </x:c>
      <x:c r="B463" s="10" t="str">
        <x:v>TEXT</x:v>
      </x:c>
      <x:c r="C463" s="10" t="str">
        <x:v>TEXT:SYN-F08-07</x:v>
      </x:c>
      <x:c r="D463" s="10" t="str">
        <x:v>TEXT:SYN-F08-07-U02</x:v>
      </x:c>
      <x:c r="E463" s="10" t="str">
        <x:v>T-F08</x:v>
      </x:c>
      <x:c r="F463" s="10" t="n">
        <x:v>1</x:v>
      </x:c>
      <x:c r="G463" s="11" t="n">
        <x:v>14.587358</x:v>
      </x:c>
      <x:c r="H463" s="11" t="n">
        <x:v>15.826037</x:v>
      </x:c>
      <x:c r="I463" s="11" t="n">
        <x:f>H463-G463</x:f>
        <x:v>1.2386789999999994</x:v>
      </x:c>
      <x:c r="J463" s="10" t="str">
        <x:v>기존 작성은 유지하고 그 자료의 검사 누락 재확인 항목만 별도로 3문장으로 설명해줘. 새 파일은 만들지 마.</x:v>
      </x:c>
      <x:c r="K463" s="10" t="str">
        <x:v>기존 발표자료 작성은 유지하고 SYN-F08-07:D2@v1의 검사 누락 재확인 항목을 별도 답변으로 설명하겠습니다.</x:v>
      </x:c>
      <x:c r="L463" s="11"/>
      <x:c r="M463" s="11"/>
      <x:c r="N463" s="10" t="str">
        <x:v>NOT_MODELED</x:v>
      </x:c>
    </x:row>
    <x:row r="464" ht="85" customHeight="1">
      <x:c r="A464" s="10" t="str">
        <x:v>T-EXEC</x:v>
      </x:c>
      <x:c r="B464" s="10" t="str">
        <x:v>TEXT</x:v>
      </x:c>
      <x:c r="C464" s="10" t="str">
        <x:v>TEXT:SYN-F08-07</x:v>
      </x:c>
      <x:c r="D464" s="10" t="str">
        <x:v>TEXT:SYN-F08-07-U01</x:v>
      </x:c>
      <x:c r="E464" s="10" t="str">
        <x:v>T-F08</x:v>
      </x:c>
      <x:c r="F464" s="10" t="n">
        <x:v>1</x:v>
      </x:c>
      <x:c r="G464" s="11" t="n">
        <x:v>0</x:v>
      </x:c>
      <x:c r="H464" s="11" t="n">
        <x:v>1.219429</x:v>
      </x:c>
      <x:c r="I464" s="11" t="n">
        <x:f>H464-G464</x:f>
        <x:v>1.219429</x:v>
      </x:c>
      <x:c r="J464" s="10" t="str">
        <x:v>앞서 맞다고 확인한 자료의 구성으로 검사 개선 발표자료를 6장 이내로 만들어줘. 납품처 품질설명회용이고 샘플 검사 45분 이하, 다음 8주 기준이야. 외부 발송은 하지 마.</x:v>
      </x:c>
      <x:c r="K464" s="10" t="str">
        <x:v>SYN-F08-07:D2@v1의 구성을 기준으로 납품처 품질설명회용 검사 개선 발표자료를 6장 이내로 작성하도록 준비하겠습니다.</x:v>
      </x:c>
      <x:c r="L464" s="11"/>
      <x:c r="M464" s="11"/>
      <x:c r="N464" s="10" t="str">
        <x:v>NOT_MODELED</x:v>
      </x:c>
    </x:row>
    <x:row r="465" ht="85" customHeight="1">
      <x:c r="A465" s="10" t="str">
        <x:v>T-EXEC</x:v>
      </x:c>
      <x:c r="B465" s="10" t="str">
        <x:v>TEXT</x:v>
      </x:c>
      <x:c r="C465" s="10" t="str">
        <x:v>TEXT:SYN-F08-07</x:v>
      </x:c>
      <x:c r="D465" s="10" t="str">
        <x:v>TEXT:SYN-F08-07-U02</x:v>
      </x:c>
      <x:c r="E465" s="10" t="str">
        <x:v>T-F08</x:v>
      </x:c>
      <x:c r="F465" s="10" t="n">
        <x:v>1</x:v>
      </x:c>
      <x:c r="G465" s="11" t="n">
        <x:v>14.587358</x:v>
      </x:c>
      <x:c r="H465" s="11" t="n">
        <x:v>16.301608</x:v>
      </x:c>
      <x:c r="I465" s="11" t="n">
        <x:f>H465-G465</x:f>
        <x:v>1.7142500000000016</x:v>
      </x:c>
      <x:c r="J465" s="10" t="str">
        <x:v>기존 작성은 유지하고 그 자료의 검사 누락 재확인 항목만 별도로 3문장으로 설명해줘. 새 파일은 만들지 마.</x:v>
      </x:c>
      <x:c r="K465" s="10" t="str">
        <x:v>기존 발표자료 작성은 유지하고 SYN-F08-07:D2@v1의 검사 누락 재확인 항목을 별도 답변으로 설명하겠습니다.</x:v>
      </x:c>
      <x:c r="L465" s="11"/>
      <x:c r="M465" s="11"/>
      <x:c r="N465" s="10" t="str">
        <x:v>NOT_MODELED</x:v>
      </x:c>
    </x:row>
    <x:row r="466" ht="85" customHeight="1">
      <x:c r="A466" s="10" t="str">
        <x:v>T-REL</x:v>
      </x:c>
      <x:c r="B466" s="10" t="str">
        <x:v>TEXT</x:v>
      </x:c>
      <x:c r="C466" s="10" t="str">
        <x:v>TEXT:SYN-F08-07</x:v>
      </x:c>
      <x:c r="D466" s="10" t="str">
        <x:v>TEXT:SYN-F08-07-U01</x:v>
      </x:c>
      <x:c r="E466" s="10" t="str">
        <x:v>T-F08</x:v>
      </x:c>
      <x:c r="F466" s="10" t="n">
        <x:v>1</x:v>
      </x:c>
      <x:c r="G466" s="11" t="n">
        <x:v>0</x:v>
      </x:c>
      <x:c r="H466" s="11" t="n">
        <x:v>1.219429</x:v>
      </x:c>
      <x:c r="I466" s="11" t="n">
        <x:f>H466-G466</x:f>
        <x:v>1.219429</x:v>
      </x:c>
      <x:c r="J466" s="10" t="str">
        <x:v>앞서 맞다고 확인한 자료의 구성으로 검사 개선 발표자료를 6장 이내로 만들어줘. 납품처 품질설명회용이고 샘플 검사 45분 이하, 다음 8주 기준이야. 외부 발송은 하지 마.</x:v>
      </x:c>
      <x:c r="K466" s="10" t="str">
        <x:v>SYN-F08-07:D2@v1의 구성을 기준으로 납품처 품질설명회용 검사 개선 발표자료를 6장 이내로 작성하도록 준비하겠습니다.</x:v>
      </x:c>
      <x:c r="L466" s="11"/>
      <x:c r="M466" s="11"/>
      <x:c r="N466" s="10" t="str">
        <x:v>NOT_MODELED</x:v>
      </x:c>
    </x:row>
    <x:row r="467" ht="85" customHeight="1">
      <x:c r="A467" s="10" t="str">
        <x:v>T-REL</x:v>
      </x:c>
      <x:c r="B467" s="10" t="str">
        <x:v>TEXT</x:v>
      </x:c>
      <x:c r="C467" s="10" t="str">
        <x:v>TEXT:SYN-F08-07</x:v>
      </x:c>
      <x:c r="D467" s="10" t="str">
        <x:v>TEXT:SYN-F08-07-U02</x:v>
      </x:c>
      <x:c r="E467" s="10" t="str">
        <x:v>T-F08</x:v>
      </x:c>
      <x:c r="F467" s="10" t="n">
        <x:v>1</x:v>
      </x:c>
      <x:c r="G467" s="11" t="n">
        <x:v>14.587358</x:v>
      </x:c>
      <x:c r="H467" s="11" t="n">
        <x:v>15.826037</x:v>
      </x:c>
      <x:c r="I467" s="11" t="n">
        <x:f>H467-G467</x:f>
        <x:v>1.2386789999999994</x:v>
      </x:c>
      <x:c r="J467" s="10" t="str">
        <x:v>기존 작성은 유지하고 그 자료의 검사 누락 재확인 항목만 별도로 3문장으로 설명해줘. 새 파일은 만들지 마.</x:v>
      </x:c>
      <x:c r="K467" s="10" t="str">
        <x:v>기존 발표자료 작성은 유지하고 SYN-F08-07:D2@v1의 검사 누락 재확인 항목을 별도 답변으로 설명하겠습니다.</x:v>
      </x:c>
      <x:c r="L467" s="11"/>
      <x:c r="M467" s="11"/>
      <x:c r="N467" s="10" t="str">
        <x:v>NOT_MODELED</x:v>
      </x:c>
    </x:row>
    <x:row r="468" ht="85" customHeight="1">
      <x:c r="A468" s="10" t="str">
        <x:v>T-BASE</x:v>
      </x:c>
      <x:c r="B468" s="10" t="str">
        <x:v>TEXT</x:v>
      </x:c>
      <x:c r="C468" s="10" t="str">
        <x:v>TEXT:SYN-F08-08</x:v>
      </x:c>
      <x:c r="D468" s="10" t="str">
        <x:v>TEXT:SYN-F08-08-U01</x:v>
      </x:c>
      <x:c r="E468" s="10" t="str">
        <x:v>T-F08</x:v>
      </x:c>
      <x:c r="F468" s="10" t="n">
        <x:v>1</x:v>
      </x:c>
      <x:c r="G468" s="11" t="n">
        <x:v>0</x:v>
      </x:c>
      <x:c r="H468" s="11" t="n">
        <x:v>1.23225</x:v>
      </x:c>
      <x:c r="I468" s="11" t="n">
        <x:f>H468-G468</x:f>
        <x:v>1.23225</x:v>
      </x:c>
      <x:c r="J468" s="10" t="str">
        <x:v>앞서 맞다고 확인한 자료의 구성으로 캠페인 계획 발표자료를 4장 이내로 만들어줘. 지역 파트너 설명회용이고 안내문 500자 이하, 운영 5주 기준이야. 외부 발송은 하지 마.</x:v>
      </x:c>
      <x:c r="K468" s="10" t="str">
        <x:v>SYN-F08-08:D1@v1의 구성을 기준으로 지역 파트너 설명회용 캠페인 계획 발표자료를 4장 이내로 작성하도록 준비하겠습니다.</x:v>
      </x:c>
      <x:c r="L468" s="11"/>
      <x:c r="M468" s="11"/>
      <x:c r="N468" s="10" t="str">
        <x:v>NOT_MODELED</x:v>
      </x:c>
    </x:row>
    <x:row r="469" ht="85" customHeight="1">
      <x:c r="A469" s="10" t="str">
        <x:v>T-BASE</x:v>
      </x:c>
      <x:c r="B469" s="10" t="str">
        <x:v>TEXT</x:v>
      </x:c>
      <x:c r="C469" s="10" t="str">
        <x:v>TEXT:SYN-F08-08</x:v>
      </x:c>
      <x:c r="D469" s="10" t="str">
        <x:v>TEXT:SYN-F08-08-U02</x:v>
      </x:c>
      <x:c r="E469" s="10" t="str">
        <x:v>T-F08</x:v>
      </x:c>
      <x:c r="F469" s="10" t="n">
        <x:v>1</x:v>
      </x:c>
      <x:c r="G469" s="11" t="n">
        <x:v>14.673357</x:v>
      </x:c>
      <x:c r="H469" s="11" t="n">
        <x:v>15.924857</x:v>
      </x:c>
      <x:c r="I469" s="11" t="n">
        <x:f>H469-G469</x:f>
        <x:v>1.2515</x:v>
      </x:c>
      <x:c r="J469" s="10" t="str">
        <x:v>기존 작성은 유지하고 그 자료의 첫 방문자의 신청 절차 항목만 별도로 2문장으로 설명해줘. 새 파일은 만들지 마.</x:v>
      </x:c>
      <x:c r="K469" s="10" t="str">
        <x:v>기존 발표자료 작성은 유지하고 SYN-F08-08:D1@v1의 첫 방문자의 신청 절차 항목을 별도 답변으로 설명하겠습니다.</x:v>
      </x:c>
      <x:c r="L469" s="11"/>
      <x:c r="M469" s="11"/>
      <x:c r="N469" s="10" t="str">
        <x:v>NOT_MODELED</x:v>
      </x:c>
    </x:row>
    <x:row r="470" ht="85" customHeight="1">
      <x:c r="A470" s="10" t="str">
        <x:v>T-EXEC</x:v>
      </x:c>
      <x:c r="B470" s="10" t="str">
        <x:v>TEXT</x:v>
      </x:c>
      <x:c r="C470" s="10" t="str">
        <x:v>TEXT:SYN-F08-08</x:v>
      </x:c>
      <x:c r="D470" s="10" t="str">
        <x:v>TEXT:SYN-F08-08-U01</x:v>
      </x:c>
      <x:c r="E470" s="10" t="str">
        <x:v>T-F08</x:v>
      </x:c>
      <x:c r="F470" s="10" t="n">
        <x:v>1</x:v>
      </x:c>
      <x:c r="G470" s="11" t="n">
        <x:v>0</x:v>
      </x:c>
      <x:c r="H470" s="11" t="n">
        <x:v>1.23225</x:v>
      </x:c>
      <x:c r="I470" s="11" t="n">
        <x:f>H470-G470</x:f>
        <x:v>1.23225</x:v>
      </x:c>
      <x:c r="J470" s="10" t="str">
        <x:v>앞서 맞다고 확인한 자료의 구성으로 캠페인 계획 발표자료를 4장 이내로 만들어줘. 지역 파트너 설명회용이고 안내문 500자 이하, 운영 5주 기준이야. 외부 발송은 하지 마.</x:v>
      </x:c>
      <x:c r="K470" s="10" t="str">
        <x:v>SYN-F08-08:D1@v1의 구성을 기준으로 지역 파트너 설명회용 캠페인 계획 발표자료를 4장 이내로 작성하도록 준비하겠습니다.</x:v>
      </x:c>
      <x:c r="L470" s="11"/>
      <x:c r="M470" s="11"/>
      <x:c r="N470" s="10" t="str">
        <x:v>NOT_MODELED</x:v>
      </x:c>
    </x:row>
    <x:row r="471" ht="85" customHeight="1">
      <x:c r="A471" s="10" t="str">
        <x:v>T-EXEC</x:v>
      </x:c>
      <x:c r="B471" s="10" t="str">
        <x:v>TEXT</x:v>
      </x:c>
      <x:c r="C471" s="10" t="str">
        <x:v>TEXT:SYN-F08-08</x:v>
      </x:c>
      <x:c r="D471" s="10" t="str">
        <x:v>TEXT:SYN-F08-08-U02</x:v>
      </x:c>
      <x:c r="E471" s="10" t="str">
        <x:v>T-F08</x:v>
      </x:c>
      <x:c r="F471" s="10" t="n">
        <x:v>1</x:v>
      </x:c>
      <x:c r="G471" s="11" t="n">
        <x:v>14.673357</x:v>
      </x:c>
      <x:c r="H471" s="11" t="n">
        <x:v>16.410107</x:v>
      </x:c>
      <x:c r="I471" s="11" t="n">
        <x:f>H471-G471</x:f>
        <x:v>1.7367500000000007</x:v>
      </x:c>
      <x:c r="J471" s="10" t="str">
        <x:v>기존 작성은 유지하고 그 자료의 첫 방문자의 신청 절차 항목만 별도로 2문장으로 설명해줘. 새 파일은 만들지 마.</x:v>
      </x:c>
      <x:c r="K471" s="10" t="str">
        <x:v>기존 발표자료 작성은 유지하고 SYN-F08-08:D1@v1의 첫 방문자의 신청 절차 항목을 별도 답변으로 설명하겠습니다.</x:v>
      </x:c>
      <x:c r="L471" s="11"/>
      <x:c r="M471" s="11"/>
      <x:c r="N471" s="10" t="str">
        <x:v>NOT_MODELED</x:v>
      </x:c>
    </x:row>
    <x:row r="472" ht="85" customHeight="1">
      <x:c r="A472" s="10" t="str">
        <x:v>T-REL</x:v>
      </x:c>
      <x:c r="B472" s="10" t="str">
        <x:v>TEXT</x:v>
      </x:c>
      <x:c r="C472" s="10" t="str">
        <x:v>TEXT:SYN-F08-08</x:v>
      </x:c>
      <x:c r="D472" s="10" t="str">
        <x:v>TEXT:SYN-F08-08-U01</x:v>
      </x:c>
      <x:c r="E472" s="10" t="str">
        <x:v>T-F08</x:v>
      </x:c>
      <x:c r="F472" s="10" t="n">
        <x:v>1</x:v>
      </x:c>
      <x:c r="G472" s="11" t="n">
        <x:v>0</x:v>
      </x:c>
      <x:c r="H472" s="11" t="n">
        <x:v>1.23225</x:v>
      </x:c>
      <x:c r="I472" s="11" t="n">
        <x:f>H472-G472</x:f>
        <x:v>1.23225</x:v>
      </x:c>
      <x:c r="J472" s="10" t="str">
        <x:v>앞서 맞다고 확인한 자료의 구성으로 캠페인 계획 발표자료를 4장 이내로 만들어줘. 지역 파트너 설명회용이고 안내문 500자 이하, 운영 5주 기준이야. 외부 발송은 하지 마.</x:v>
      </x:c>
      <x:c r="K472" s="10" t="str">
        <x:v>SYN-F08-08:D1@v1의 구성을 기준으로 지역 파트너 설명회용 캠페인 계획 발표자료를 4장 이내로 작성하도록 준비하겠습니다.</x:v>
      </x:c>
      <x:c r="L472" s="11"/>
      <x:c r="M472" s="11"/>
      <x:c r="N472" s="10" t="str">
        <x:v>NOT_MODELED</x:v>
      </x:c>
    </x:row>
    <x:row r="473" ht="85" customHeight="1">
      <x:c r="A473" s="10" t="str">
        <x:v>T-REL</x:v>
      </x:c>
      <x:c r="B473" s="10" t="str">
        <x:v>TEXT</x:v>
      </x:c>
      <x:c r="C473" s="10" t="str">
        <x:v>TEXT:SYN-F08-08</x:v>
      </x:c>
      <x:c r="D473" s="10" t="str">
        <x:v>TEXT:SYN-F08-08-U02</x:v>
      </x:c>
      <x:c r="E473" s="10" t="str">
        <x:v>T-F08</x:v>
      </x:c>
      <x:c r="F473" s="10" t="n">
        <x:v>1</x:v>
      </x:c>
      <x:c r="G473" s="11" t="n">
        <x:v>14.673357</x:v>
      </x:c>
      <x:c r="H473" s="11" t="n">
        <x:v>15.924857</x:v>
      </x:c>
      <x:c r="I473" s="11" t="n">
        <x:f>H473-G473</x:f>
        <x:v>1.2515</x:v>
      </x:c>
      <x:c r="J473" s="10" t="str">
        <x:v>기존 작성은 유지하고 그 자료의 첫 방문자의 신청 절차 항목만 별도로 2문장으로 설명해줘. 새 파일은 만들지 마.</x:v>
      </x:c>
      <x:c r="K473" s="10" t="str">
        <x:v>기존 발표자료 작성은 유지하고 SYN-F08-08:D1@v1의 첫 방문자의 신청 절차 항목을 별도 답변으로 설명하겠습니다.</x:v>
      </x:c>
      <x:c r="L473" s="11"/>
      <x:c r="M473" s="11"/>
      <x:c r="N473" s="10" t="str">
        <x:v>NOT_MODELED</x:v>
      </x:c>
    </x:row>
    <x:row r="474" ht="85" customHeight="1">
      <x:c r="A474" s="10" t="str">
        <x:v>T-BASE</x:v>
      </x:c>
      <x:c r="B474" s="10" t="str">
        <x:v>TEXT</x:v>
      </x:c>
      <x:c r="C474" s="10" t="str">
        <x:v>TEXT:SYN-F08-09</x:v>
      </x:c>
      <x:c r="D474" s="10" t="str">
        <x:v>TEXT:SYN-F08-09-U01</x:v>
      </x:c>
      <x:c r="E474" s="10" t="str">
        <x:v>T-F08</x:v>
      </x:c>
      <x:c r="F474" s="10" t="n">
        <x:v>1</x:v>
      </x:c>
      <x:c r="G474" s="11" t="n">
        <x:v>0</x:v>
      </x:c>
      <x:c r="H474" s="11" t="n">
        <x:v>1.220071</x:v>
      </x:c>
      <x:c r="I474" s="11" t="n">
        <x:f>H474-G474</x:f>
        <x:v>1.220071</x:v>
      </x:c>
      <x:c r="J474" s="10" t="str">
        <x:v>앞서 맞다고 확인한 자료의 구성으로 배치 변경 발표자료를 7장 이내로 만들어줘. 배송 협력사 설명회용이고 주문당 이동 180m 이하, 적용 후 4주 기준이야. 외부 발송은 하지 마.</x:v>
      </x:c>
      <x:c r="K474" s="10" t="str">
        <x:v>SYN-F08-09:D3@v1의 구성을 기준으로 배송 협력사 설명회용 배치 변경 발표자료를 7장 이내로 작성하도록 준비하겠습니다.</x:v>
      </x:c>
      <x:c r="L474" s="11"/>
      <x:c r="M474" s="11"/>
      <x:c r="N474" s="10" t="str">
        <x:v>NOT_MODELED</x:v>
      </x:c>
    </x:row>
    <x:row r="475" ht="85" customHeight="1">
      <x:c r="A475" s="10" t="str">
        <x:v>T-BASE</x:v>
      </x:c>
      <x:c r="B475" s="10" t="str">
        <x:v>TEXT</x:v>
      </x:c>
      <x:c r="C475" s="10" t="str">
        <x:v>TEXT:SYN-F08-09</x:v>
      </x:c>
      <x:c r="D475" s="10" t="str">
        <x:v>TEXT:SYN-F08-09-U02</x:v>
      </x:c>
      <x:c r="E475" s="10" t="str">
        <x:v>T-F08</x:v>
      </x:c>
      <x:c r="F475" s="10" t="n">
        <x:v>1</x:v>
      </x:c>
      <x:c r="G475" s="11" t="n">
        <x:v>14.709357</x:v>
      </x:c>
      <x:c r="H475" s="11" t="n">
        <x:v>15.948678</x:v>
      </x:c>
      <x:c r="I475" s="11" t="n">
        <x:f>H475-G475</x:f>
        <x:v>1.2393209999999986</x:v>
      </x:c>
      <x:c r="J475" s="10" t="str">
        <x:v>기존 작성은 유지하고 그 자료의 동시 피킹 교차 구간 항목만 별도로 4문장으로 설명해줘. 새 파일은 만들지 마.</x:v>
      </x:c>
      <x:c r="K475" s="10" t="str">
        <x:v>기존 발표자료 작성은 유지하고 SYN-F08-09:D3@v1의 동시 피킹 교차 구간 항목을 별도 답변으로 설명하겠습니다.</x:v>
      </x:c>
      <x:c r="L475" s="11"/>
      <x:c r="M475" s="11"/>
      <x:c r="N475" s="10" t="str">
        <x:v>NOT_MODELED</x:v>
      </x:c>
    </x:row>
    <x:row r="476" ht="85" customHeight="1">
      <x:c r="A476" s="10" t="str">
        <x:v>T-EXEC</x:v>
      </x:c>
      <x:c r="B476" s="10" t="str">
        <x:v>TEXT</x:v>
      </x:c>
      <x:c r="C476" s="10" t="str">
        <x:v>TEXT:SYN-F08-09</x:v>
      </x:c>
      <x:c r="D476" s="10" t="str">
        <x:v>TEXT:SYN-F08-09-U01</x:v>
      </x:c>
      <x:c r="E476" s="10" t="str">
        <x:v>T-F08</x:v>
      </x:c>
      <x:c r="F476" s="10" t="n">
        <x:v>1</x:v>
      </x:c>
      <x:c r="G476" s="11" t="n">
        <x:v>0</x:v>
      </x:c>
      <x:c r="H476" s="11" t="n">
        <x:v>1.220071</x:v>
      </x:c>
      <x:c r="I476" s="11" t="n">
        <x:f>H476-G476</x:f>
        <x:v>1.220071</x:v>
      </x:c>
      <x:c r="J476" s="10" t="str">
        <x:v>앞서 맞다고 확인한 자료의 구성으로 배치 변경 발표자료를 7장 이내로 만들어줘. 배송 협력사 설명회용이고 주문당 이동 180m 이하, 적용 후 4주 기준이야. 외부 발송은 하지 마.</x:v>
      </x:c>
      <x:c r="K476" s="10" t="str">
        <x:v>SYN-F08-09:D3@v1의 구성을 기준으로 배송 협력사 설명회용 배치 변경 발표자료를 7장 이내로 작성하도록 준비하겠습니다.</x:v>
      </x:c>
      <x:c r="L476" s="11"/>
      <x:c r="M476" s="11"/>
      <x:c r="N476" s="10" t="str">
        <x:v>NOT_MODELED</x:v>
      </x:c>
    </x:row>
    <x:row r="477" ht="85" customHeight="1">
      <x:c r="A477" s="10" t="str">
        <x:v>T-EXEC</x:v>
      </x:c>
      <x:c r="B477" s="10" t="str">
        <x:v>TEXT</x:v>
      </x:c>
      <x:c r="C477" s="10" t="str">
        <x:v>TEXT:SYN-F08-09</x:v>
      </x:c>
      <x:c r="D477" s="10" t="str">
        <x:v>TEXT:SYN-F08-09-U02</x:v>
      </x:c>
      <x:c r="E477" s="10" t="str">
        <x:v>T-F08</x:v>
      </x:c>
      <x:c r="F477" s="10" t="n">
        <x:v>1</x:v>
      </x:c>
      <x:c r="G477" s="11" t="n">
        <x:v>14.709357</x:v>
      </x:c>
      <x:c r="H477" s="11" t="n">
        <x:v>16.443607</x:v>
      </x:c>
      <x:c r="I477" s="11" t="n">
        <x:f>H477-G477</x:f>
        <x:v>1.7342499999999994</x:v>
      </x:c>
      <x:c r="J477" s="10" t="str">
        <x:v>기존 작성은 유지하고 그 자료의 동시 피킹 교차 구간 항목만 별도로 4문장으로 설명해줘. 새 파일은 만들지 마.</x:v>
      </x:c>
      <x:c r="K477" s="10" t="str">
        <x:v>기존 발표자료 작성은 유지하고 SYN-F08-09:D3@v1의 동시 피킹 교차 구간 항목을 별도 답변으로 설명하겠습니다.</x:v>
      </x:c>
      <x:c r="L477" s="11"/>
      <x:c r="M477" s="11"/>
      <x:c r="N477" s="10" t="str">
        <x:v>NOT_MODELED</x:v>
      </x:c>
    </x:row>
    <x:row r="478" ht="85" customHeight="1">
      <x:c r="A478" s="10" t="str">
        <x:v>T-REL</x:v>
      </x:c>
      <x:c r="B478" s="10" t="str">
        <x:v>TEXT</x:v>
      </x:c>
      <x:c r="C478" s="10" t="str">
        <x:v>TEXT:SYN-F08-09</x:v>
      </x:c>
      <x:c r="D478" s="10" t="str">
        <x:v>TEXT:SYN-F08-09-U01</x:v>
      </x:c>
      <x:c r="E478" s="10" t="str">
        <x:v>T-F08</x:v>
      </x:c>
      <x:c r="F478" s="10" t="n">
        <x:v>1</x:v>
      </x:c>
      <x:c r="G478" s="11" t="n">
        <x:v>0</x:v>
      </x:c>
      <x:c r="H478" s="11" t="n">
        <x:v>1.220071</x:v>
      </x:c>
      <x:c r="I478" s="11" t="n">
        <x:f>H478-G478</x:f>
        <x:v>1.220071</x:v>
      </x:c>
      <x:c r="J478" s="10" t="str">
        <x:v>앞서 맞다고 확인한 자료의 구성으로 배치 변경 발표자료를 7장 이내로 만들어줘. 배송 협력사 설명회용이고 주문당 이동 180m 이하, 적용 후 4주 기준이야. 외부 발송은 하지 마.</x:v>
      </x:c>
      <x:c r="K478" s="10" t="str">
        <x:v>SYN-F08-09:D3@v1의 구성을 기준으로 배송 협력사 설명회용 배치 변경 발표자료를 7장 이내로 작성하도록 준비하겠습니다.</x:v>
      </x:c>
      <x:c r="L478" s="11"/>
      <x:c r="M478" s="11"/>
      <x:c r="N478" s="10" t="str">
        <x:v>NOT_MODELED</x:v>
      </x:c>
    </x:row>
    <x:row r="479" ht="85" customHeight="1">
      <x:c r="A479" s="10" t="str">
        <x:v>T-REL</x:v>
      </x:c>
      <x:c r="B479" s="10" t="str">
        <x:v>TEXT</x:v>
      </x:c>
      <x:c r="C479" s="10" t="str">
        <x:v>TEXT:SYN-F08-09</x:v>
      </x:c>
      <x:c r="D479" s="10" t="str">
        <x:v>TEXT:SYN-F08-09-U02</x:v>
      </x:c>
      <x:c r="E479" s="10" t="str">
        <x:v>T-F08</x:v>
      </x:c>
      <x:c r="F479" s="10" t="n">
        <x:v>1</x:v>
      </x:c>
      <x:c r="G479" s="11" t="n">
        <x:v>14.709357</x:v>
      </x:c>
      <x:c r="H479" s="11" t="n">
        <x:v>15.948678</x:v>
      </x:c>
      <x:c r="I479" s="11" t="n">
        <x:f>H479-G479</x:f>
        <x:v>1.2393209999999986</x:v>
      </x:c>
      <x:c r="J479" s="10" t="str">
        <x:v>기존 작성은 유지하고 그 자료의 동시 피킹 교차 구간 항목만 별도로 4문장으로 설명해줘. 새 파일은 만들지 마.</x:v>
      </x:c>
      <x:c r="K479" s="10" t="str">
        <x:v>기존 발표자료 작성은 유지하고 SYN-F08-09:D3@v1의 동시 피킹 교차 구간 항목을 별도 답변으로 설명하겠습니다.</x:v>
      </x:c>
      <x:c r="L479" s="11"/>
      <x:c r="M479" s="11"/>
      <x:c r="N479" s="10" t="str">
        <x:v>NOT_MODELED</x:v>
      </x:c>
    </x:row>
    <x:row r="480" ht="85" customHeight="1">
      <x:c r="A480" s="10" t="str">
        <x:v>T-BASE</x:v>
      </x:c>
      <x:c r="B480" s="10" t="str">
        <x:v>TEXT</x:v>
      </x:c>
      <x:c r="C480" s="10" t="str">
        <x:v>TEXT:SYN-F08-10</x:v>
      </x:c>
      <x:c r="D480" s="10" t="str">
        <x:v>TEXT:SYN-F08-10-U01</x:v>
      </x:c>
      <x:c r="E480" s="10" t="str">
        <x:v>T-F08</x:v>
      </x:c>
      <x:c r="F480" s="10" t="n">
        <x:v>1</x:v>
      </x:c>
      <x:c r="G480" s="11" t="n">
        <x:v>0</x:v>
      </x:c>
      <x:c r="H480" s="11" t="n">
        <x:v>1.232893</x:v>
      </x:c>
      <x:c r="I480" s="11" t="n">
        <x:f>H480-G480</x:f>
        <x:v>1.232893</x:v>
      </x:c>
      <x:c r="J480" s="10" t="str">
        <x:v>앞서 맞다고 확인한 자료의 구성으로 포털 개선 발표자료를 5장 이내로 만들어줘. 부서대표 설명회용이고 첫 화면 메뉴 9개 이하, 출시 후 2개월 기준이야. 외부 발송은 하지 마.</x:v>
      </x:c>
      <x:c r="K480" s="10" t="str">
        <x:v>SYN-F08-10:D2@v1의 구성을 기준으로 부서대표 설명회용 포털 개선 발표자료를 5장 이내로 작성하도록 준비하겠습니다.</x:v>
      </x:c>
      <x:c r="L480" s="11"/>
      <x:c r="M480" s="11"/>
      <x:c r="N480" s="10" t="str">
        <x:v>NOT_MODELED</x:v>
      </x:c>
    </x:row>
    <x:row r="481" ht="85" customHeight="1">
      <x:c r="A481" s="10" t="str">
        <x:v>T-BASE</x:v>
      </x:c>
      <x:c r="B481" s="10" t="str">
        <x:v>TEXT</x:v>
      </x:c>
      <x:c r="C481" s="10" t="str">
        <x:v>TEXT:SYN-F08-10</x:v>
      </x:c>
      <x:c r="D481" s="10" t="str">
        <x:v>TEXT:SYN-F08-10-U02</x:v>
      </x:c>
      <x:c r="E481" s="10" t="str">
        <x:v>T-F08</x:v>
      </x:c>
      <x:c r="F481" s="10" t="n">
        <x:v>1</x:v>
      </x:c>
      <x:c r="G481" s="11" t="n">
        <x:v>14.795357</x:v>
      </x:c>
      <x:c r="H481" s="11" t="n">
        <x:v>16.0475</x:v>
      </x:c>
      <x:c r="I481" s="11" t="n">
        <x:f>H481-G481</x:f>
        <x:v>1.2521430000000002</x:v>
      </x:c>
      <x:c r="J481" s="10" t="str">
        <x:v>기존 작성은 유지하고 그 자료의 반복 문의의 메뉴 접근 항목만 별도로 3문장으로 설명해줘. 새 파일은 만들지 마.</x:v>
      </x:c>
      <x:c r="K481" s="10" t="str">
        <x:v>기존 발표자료 작성은 유지하고 SYN-F08-10:D2@v1의 반복 문의의 메뉴 접근 항목을 별도 답변으로 설명하겠습니다.</x:v>
      </x:c>
      <x:c r="L481" s="11"/>
      <x:c r="M481" s="11"/>
      <x:c r="N481" s="10" t="str">
        <x:v>NOT_MODELED</x:v>
      </x:c>
    </x:row>
    <x:row r="482" ht="85" customHeight="1">
      <x:c r="A482" s="10" t="str">
        <x:v>T-EXEC</x:v>
      </x:c>
      <x:c r="B482" s="10" t="str">
        <x:v>TEXT</x:v>
      </x:c>
      <x:c r="C482" s="10" t="str">
        <x:v>TEXT:SYN-F08-10</x:v>
      </x:c>
      <x:c r="D482" s="10" t="str">
        <x:v>TEXT:SYN-F08-10-U01</x:v>
      </x:c>
      <x:c r="E482" s="10" t="str">
        <x:v>T-F08</x:v>
      </x:c>
      <x:c r="F482" s="10" t="n">
        <x:v>1</x:v>
      </x:c>
      <x:c r="G482" s="11" t="n">
        <x:v>0</x:v>
      </x:c>
      <x:c r="H482" s="11" t="n">
        <x:v>1.232893</x:v>
      </x:c>
      <x:c r="I482" s="11" t="n">
        <x:f>H482-G482</x:f>
        <x:v>1.232893</x:v>
      </x:c>
      <x:c r="J482" s="10" t="str">
        <x:v>앞서 맞다고 확인한 자료의 구성으로 포털 개선 발표자료를 5장 이내로 만들어줘. 부서대표 설명회용이고 첫 화면 메뉴 9개 이하, 출시 후 2개월 기준이야. 외부 발송은 하지 마.</x:v>
      </x:c>
      <x:c r="K482" s="10" t="str">
        <x:v>SYN-F08-10:D2@v1의 구성을 기준으로 부서대표 설명회용 포털 개선 발표자료를 5장 이내로 작성하도록 준비하겠습니다.</x:v>
      </x:c>
      <x:c r="L482" s="11"/>
      <x:c r="M482" s="11"/>
      <x:c r="N482" s="10" t="str">
        <x:v>NOT_MODELED</x:v>
      </x:c>
    </x:row>
    <x:row r="483" ht="85" customHeight="1">
      <x:c r="A483" s="10" t="str">
        <x:v>T-EXEC</x:v>
      </x:c>
      <x:c r="B483" s="10" t="str">
        <x:v>TEXT</x:v>
      </x:c>
      <x:c r="C483" s="10" t="str">
        <x:v>TEXT:SYN-F08-10</x:v>
      </x:c>
      <x:c r="D483" s="10" t="str">
        <x:v>TEXT:SYN-F08-10-U02</x:v>
      </x:c>
      <x:c r="E483" s="10" t="str">
        <x:v>T-F08</x:v>
      </x:c>
      <x:c r="F483" s="10" t="n">
        <x:v>1</x:v>
      </x:c>
      <x:c r="G483" s="11" t="n">
        <x:v>14.795357</x:v>
      </x:c>
      <x:c r="H483" s="11" t="n">
        <x:v>16.533357</x:v>
      </x:c>
      <x:c r="I483" s="11" t="n">
        <x:f>H483-G483</x:f>
        <x:v>1.7379999999999995</x:v>
      </x:c>
      <x:c r="J483" s="10" t="str">
        <x:v>기존 작성은 유지하고 그 자료의 반복 문의의 메뉴 접근 항목만 별도로 3문장으로 설명해줘. 새 파일은 만들지 마.</x:v>
      </x:c>
      <x:c r="K483" s="10" t="str">
        <x:v>기존 발표자료 작성은 유지하고 SYN-F08-10:D2@v1의 반복 문의의 메뉴 접근 항목을 별도 답변으로 설명하겠습니다.</x:v>
      </x:c>
      <x:c r="L483" s="11"/>
      <x:c r="M483" s="11"/>
      <x:c r="N483" s="10" t="str">
        <x:v>NOT_MODELED</x:v>
      </x:c>
    </x:row>
    <x:row r="484" ht="85" customHeight="1">
      <x:c r="A484" s="10" t="str">
        <x:v>T-REL</x:v>
      </x:c>
      <x:c r="B484" s="10" t="str">
        <x:v>TEXT</x:v>
      </x:c>
      <x:c r="C484" s="10" t="str">
        <x:v>TEXT:SYN-F08-10</x:v>
      </x:c>
      <x:c r="D484" s="10" t="str">
        <x:v>TEXT:SYN-F08-10-U01</x:v>
      </x:c>
      <x:c r="E484" s="10" t="str">
        <x:v>T-F08</x:v>
      </x:c>
      <x:c r="F484" s="10" t="n">
        <x:v>1</x:v>
      </x:c>
      <x:c r="G484" s="11" t="n">
        <x:v>0</x:v>
      </x:c>
      <x:c r="H484" s="11" t="n">
        <x:v>1.232893</x:v>
      </x:c>
      <x:c r="I484" s="11" t="n">
        <x:f>H484-G484</x:f>
        <x:v>1.232893</x:v>
      </x:c>
      <x:c r="J484" s="10" t="str">
        <x:v>앞서 맞다고 확인한 자료의 구성으로 포털 개선 발표자료를 5장 이내로 만들어줘. 부서대표 설명회용이고 첫 화면 메뉴 9개 이하, 출시 후 2개월 기준이야. 외부 발송은 하지 마.</x:v>
      </x:c>
      <x:c r="K484" s="10" t="str">
        <x:v>SYN-F08-10:D2@v1의 구성을 기준으로 부서대표 설명회용 포털 개선 발표자료를 5장 이내로 작성하도록 준비하겠습니다.</x:v>
      </x:c>
      <x:c r="L484" s="11"/>
      <x:c r="M484" s="11"/>
      <x:c r="N484" s="10" t="str">
        <x:v>NOT_MODELED</x:v>
      </x:c>
    </x:row>
    <x:row r="485" ht="85" customHeight="1">
      <x:c r="A485" s="10" t="str">
        <x:v>T-REL</x:v>
      </x:c>
      <x:c r="B485" s="10" t="str">
        <x:v>TEXT</x:v>
      </x:c>
      <x:c r="C485" s="10" t="str">
        <x:v>TEXT:SYN-F08-10</x:v>
      </x:c>
      <x:c r="D485" s="10" t="str">
        <x:v>TEXT:SYN-F08-10-U02</x:v>
      </x:c>
      <x:c r="E485" s="10" t="str">
        <x:v>T-F08</x:v>
      </x:c>
      <x:c r="F485" s="10" t="n">
        <x:v>1</x:v>
      </x:c>
      <x:c r="G485" s="11" t="n">
        <x:v>14.795357</x:v>
      </x:c>
      <x:c r="H485" s="11" t="n">
        <x:v>16.0475</x:v>
      </x:c>
      <x:c r="I485" s="11" t="n">
        <x:f>H485-G485</x:f>
        <x:v>1.2521430000000002</x:v>
      </x:c>
      <x:c r="J485" s="10" t="str">
        <x:v>기존 작성은 유지하고 그 자료의 반복 문의의 메뉴 접근 항목만 별도로 3문장으로 설명해줘. 새 파일은 만들지 마.</x:v>
      </x:c>
      <x:c r="K485" s="10" t="str">
        <x:v>기존 발표자료 작성은 유지하고 SYN-F08-10:D2@v1의 반복 문의의 메뉴 접근 항목을 별도 답변으로 설명하겠습니다.</x:v>
      </x:c>
      <x:c r="L485" s="11"/>
      <x:c r="M485" s="11"/>
      <x:c r="N485" s="10" t="str">
        <x:v>NOT_MODELED</x:v>
      </x:c>
    </x:row>
    <x:row r="486" ht="85" customHeight="1">
      <x:c r="A486" s="10" t="str">
        <x:v>T-BASE</x:v>
      </x:c>
      <x:c r="B486" s="10" t="str">
        <x:v>TEXT</x:v>
      </x:c>
      <x:c r="C486" s="10" t="str">
        <x:v>TEXT:SYN-F09-01</x:v>
      </x:c>
      <x:c r="D486" s="10" t="str">
        <x:v>TEXT:SYN-F09-01-U01</x:v>
      </x:c>
      <x:c r="E486" s="10" t="str">
        <x:v>T-F09</x:v>
      </x:c>
      <x:c r="F486" s="10" t="n">
        <x:v>1</x:v>
      </x:c>
      <x:c r="G486" s="11" t="n">
        <x:v>0</x:v>
      </x:c>
      <x:c r="H486" s="11" t="n">
        <x:v>2.122143</x:v>
      </x:c>
      <x:c r="I486" s="11" t="n">
        <x:f>H486-G486</x:f>
        <x:v>2.122143</x:v>
      </x:c>
      <x:c r="J486" s="10" t="str">
        <x:v>SYN-F09-01:D1@v1를 기준으로 전환 검토 발표자료를 5장 이내로 만들어줘. 서비스 운영위원회용이고 월 운영비 240만원 이하, 첫 12개월 기준이야. 외부 발송은 하지 마.</x:v>
      </x:c>
      <x:c r="K486" s="10" t="str">
        <x:v>SYN-F09-01:D1@v1의 구성을 기준으로 서비스 운영위원회용 전환 검토 발표자료를 5장 이내로 작성하도록 준비하겠습니다.</x:v>
      </x:c>
      <x:c r="L486" s="11"/>
      <x:c r="M486" s="11"/>
      <x:c r="N486" s="10" t="str">
        <x:v>NOT_MODELED</x:v>
      </x:c>
    </x:row>
    <x:row r="487" ht="85" customHeight="1">
      <x:c r="A487" s="10" t="str">
        <x:v>T-BASE</x:v>
      </x:c>
      <x:c r="B487" s="10" t="str">
        <x:v>TEXT</x:v>
      </x:c>
      <x:c r="C487" s="10" t="str">
        <x:v>TEXT:SYN-F09-01</x:v>
      </x:c>
      <x:c r="D487" s="10" t="str">
        <x:v>TEXT:SYN-F09-01-U02</x:v>
      </x:c>
      <x:c r="E487" s="10" t="str">
        <x:v>T-F09</x:v>
      </x:c>
      <x:c r="F487" s="10" t="n">
        <x:v>2</x:v>
      </x:c>
      <x:c r="G487" s="11" t="n">
        <x:v>2.472143</x:v>
      </x:c>
      <x:c r="H487" s="11" t="n">
        <x:v>5.924679</x:v>
      </x:c>
      <x:c r="I487" s="11" t="n">
        <x:f>H487-G487</x:f>
        <x:v>3.4525360000000003</x:v>
      </x:c>
      <x:c r="J487" s="10" t="str">
        <x:v>방금 추가된 검토 메모에서 이번 설명회에 더 맞는다고 한 쪽으로 자료를 바꿔줘. 초기 설치비는 빼고 나머지 작성 조건은 유지해.</x:v>
      </x:c>
      <x:c r="K487" s="10" t="str">
        <x:v>방금 추가된 검토 메모가 평가한 SYN-F09-01:D3@v1로 기존 작성 대상을 바꾸고 초기 설치비 제외 조건을 적용하겠습니다.</x:v>
      </x:c>
      <x:c r="L487" s="11"/>
      <x:c r="M487" s="11"/>
      <x:c r="N487" s="10" t="str">
        <x:v>NOT_MODELED</x:v>
      </x:c>
    </x:row>
    <x:row r="488" ht="85" customHeight="1">
      <x:c r="A488" s="10" t="str">
        <x:v>T-EXEC</x:v>
      </x:c>
      <x:c r="B488" s="10" t="str">
        <x:v>TEXT</x:v>
      </x:c>
      <x:c r="C488" s="10" t="str">
        <x:v>TEXT:SYN-F09-01</x:v>
      </x:c>
      <x:c r="D488" s="10" t="str">
        <x:v>TEXT:SYN-F09-01-U01</x:v>
      </x:c>
      <x:c r="E488" s="10" t="str">
        <x:v>T-F09</x:v>
      </x:c>
      <x:c r="F488" s="10" t="n">
        <x:v>1</x:v>
      </x:c>
      <x:c r="G488" s="11" t="n">
        <x:v>0</x:v>
      </x:c>
      <x:c r="H488" s="11" t="n">
        <x:v>2.122143</x:v>
      </x:c>
      <x:c r="I488" s="11" t="n">
        <x:f>H488-G488</x:f>
        <x:v>2.122143</x:v>
      </x:c>
      <x:c r="J488" s="10" t="str">
        <x:v>SYN-F09-01:D1@v1를 기준으로 전환 검토 발표자료를 5장 이내로 만들어줘. 서비스 운영위원회용이고 월 운영비 240만원 이하, 첫 12개월 기준이야. 외부 발송은 하지 마.</x:v>
      </x:c>
      <x:c r="K488" s="10" t="str">
        <x:v>SYN-F09-01:D1@v1의 구성을 기준으로 서비스 운영위원회용 전환 검토 발표자료를 5장 이내로 작성하도록 준비하겠습니다.</x:v>
      </x:c>
      <x:c r="L488" s="11"/>
      <x:c r="M488" s="11"/>
      <x:c r="N488" s="10" t="str">
        <x:v>NOT_MODELED</x:v>
      </x:c>
    </x:row>
    <x:row r="489" ht="85" customHeight="1">
      <x:c r="A489" s="10" t="str">
        <x:v>T-EXEC</x:v>
      </x:c>
      <x:c r="B489" s="10" t="str">
        <x:v>TEXT</x:v>
      </x:c>
      <x:c r="C489" s="10" t="str">
        <x:v>TEXT:SYN-F09-01</x:v>
      </x:c>
      <x:c r="D489" s="10" t="str">
        <x:v>TEXT:SYN-F09-01-U02</x:v>
      </x:c>
      <x:c r="E489" s="10" t="str">
        <x:v>T-F09</x:v>
      </x:c>
      <x:c r="F489" s="10" t="n">
        <x:v>2</x:v>
      </x:c>
      <x:c r="G489" s="11" t="n">
        <x:v>2.472143</x:v>
      </x:c>
      <x:c r="H489" s="11" t="n">
        <x:v>4.939679</x:v>
      </x:c>
      <x:c r="I489" s="11" t="n">
        <x:f>H489-G489</x:f>
        <x:v>2.467536</x:v>
      </x:c>
      <x:c r="J489" s="10" t="str">
        <x:v>방금 추가된 검토 메모에서 이번 설명회에 더 맞는다고 한 쪽으로 자료를 바꿔줘. 초기 설치비는 빼고 나머지 작성 조건은 유지해.</x:v>
      </x:c>
      <x:c r="K489" s="10" t="str">
        <x:v>오로라 고객센터 전환 전환 검토 발표자료 작성 위임에 이번 조건을 적용하겠습니다: 서비스 운영위원회용, 5장 이내, 월 운영비 240만원 이하, 대상 기간 첫 12개월, 외부 발송 없음, 초기 설치비 제외. 대상의 최종 연결은 현재 조회 결과와 함께 확정합니다.</x:v>
      </x:c>
      <x:c r="L489" s="11"/>
      <x:c r="M489" s="11"/>
      <x:c r="N489" s="10" t="str">
        <x:v>NOT_MODELED</x:v>
      </x:c>
    </x:row>
    <x:row r="490" ht="85" customHeight="1">
      <x:c r="A490" s="10" t="str">
        <x:v>T-REL</x:v>
      </x:c>
      <x:c r="B490" s="10" t="str">
        <x:v>TEXT</x:v>
      </x:c>
      <x:c r="C490" s="10" t="str">
        <x:v>TEXT:SYN-F09-01</x:v>
      </x:c>
      <x:c r="D490" s="10" t="str">
        <x:v>TEXT:SYN-F09-01-U01</x:v>
      </x:c>
      <x:c r="E490" s="10" t="str">
        <x:v>T-F09</x:v>
      </x:c>
      <x:c r="F490" s="10" t="n">
        <x:v>1</x:v>
      </x:c>
      <x:c r="G490" s="11" t="n">
        <x:v>0</x:v>
      </x:c>
      <x:c r="H490" s="11" t="n">
        <x:v>2.251429</x:v>
      </x:c>
      <x:c r="I490" s="11" t="n">
        <x:f>H490-G490</x:f>
        <x:v>2.251429</x:v>
      </x:c>
      <x:c r="J490" s="10" t="str">
        <x:v>SYN-F09-01:D1@v1를 기준으로 전환 검토 발표자료를 5장 이내로 만들어줘. 서비스 운영위원회용이고 월 운영비 240만원 이하, 첫 12개월 기준이야. 외부 발송은 하지 마.</x:v>
      </x:c>
      <x:c r="K490" s="10" t="str">
        <x:v>SYN-F09-01:D1@v1의 구성을 기준으로 서비스 운영위원회용 전환 검토 발표자료를 5장 이내로 작성하도록 준비하겠습니다.</x:v>
      </x:c>
      <x:c r="L490" s="11"/>
      <x:c r="M490" s="11"/>
      <x:c r="N490" s="10" t="str">
        <x:v>NOT_MODELED</x:v>
      </x:c>
    </x:row>
    <x:row r="491" ht="85" customHeight="1">
      <x:c r="A491" s="10" t="str">
        <x:v>T-REL</x:v>
      </x:c>
      <x:c r="B491" s="10" t="str">
        <x:v>TEXT</x:v>
      </x:c>
      <x:c r="C491" s="10" t="str">
        <x:v>TEXT:SYN-F09-01</x:v>
      </x:c>
      <x:c r="D491" s="10" t="str">
        <x:v>TEXT:SYN-F09-01-U02</x:v>
      </x:c>
      <x:c r="E491" s="10" t="str">
        <x:v>T-F09</x:v>
      </x:c>
      <x:c r="F491" s="10" t="n">
        <x:v>2</x:v>
      </x:c>
      <x:c r="G491" s="11" t="n">
        <x:v>2.601429</x:v>
      </x:c>
      <x:c r="H491" s="11" t="n">
        <x:v>6.170108</x:v>
      </x:c>
      <x:c r="I491" s="11" t="n">
        <x:f>H491-G491</x:f>
        <x:v>3.568679</x:v>
      </x:c>
      <x:c r="J491" s="10" t="str">
        <x:v>방금 추가된 검토 메모에서 이번 설명회에 더 맞는다고 한 쪽으로 자료를 바꿔줘. 초기 설치비는 빼고 나머지 작성 조건은 유지해.</x:v>
      </x:c>
      <x:c r="K491" s="10" t="str">
        <x:v>방금 추가된 검토 메모가 평가한 SYN-F09-01:D3@v1로 기존 작성 대상을 바꾸고 초기 설치비 제외 조건을 적용하겠습니다.</x:v>
      </x:c>
      <x:c r="L491" s="11"/>
      <x:c r="M491" s="11"/>
      <x:c r="N491" s="10" t="str">
        <x:v>NOT_MODELED</x:v>
      </x:c>
    </x:row>
    <x:row r="492" ht="85" customHeight="1">
      <x:c r="A492" s="10" t="str">
        <x:v>T-BASE</x:v>
      </x:c>
      <x:c r="B492" s="10" t="str">
        <x:v>TEXT</x:v>
      </x:c>
      <x:c r="C492" s="10" t="str">
        <x:v>TEXT:SYN-F09-02</x:v>
      </x:c>
      <x:c r="D492" s="10" t="str">
        <x:v>TEXT:SYN-F09-02-U01</x:v>
      </x:c>
      <x:c r="E492" s="10" t="str">
        <x:v>T-F09</x:v>
      </x:c>
      <x:c r="F492" s="10" t="n">
        <x:v>1</x:v>
      </x:c>
      <x:c r="G492" s="11" t="n">
        <x:v>0</x:v>
      </x:c>
      <x:c r="H492" s="11" t="n">
        <x:v>2.159964</x:v>
      </x:c>
      <x:c r="I492" s="11" t="n">
        <x:f>H492-G492</x:f>
        <x:v>2.159964</x:v>
      </x:c>
      <x:c r="J492" s="10" t="str">
        <x:v>SYN-F09-02:D3@v1를 기준으로 운영 제안 발표자료를 4장 이내로 만들어줘. 참가업체 설명회용이고 주말 운영 인력 12명 이하, 전시 4주 기준이야. 외부 발송은 하지 마.</x:v>
      </x:c>
      <x:c r="K492" s="10" t="str">
        <x:v>SYN-F09-02:D3@v1의 구성을 기준으로 참가업체 설명회용 운영 제안 발표자료를 4장 이내로 작성하도록 준비하겠습니다.</x:v>
      </x:c>
      <x:c r="L492" s="11"/>
      <x:c r="M492" s="11"/>
      <x:c r="N492" s="10" t="str">
        <x:v>NOT_MODELED</x:v>
      </x:c>
    </x:row>
    <x:row r="493" ht="85" customHeight="1">
      <x:c r="A493" s="10" t="str">
        <x:v>T-BASE</x:v>
      </x:c>
      <x:c r="B493" s="10" t="str">
        <x:v>TEXT</x:v>
      </x:c>
      <x:c r="C493" s="10" t="str">
        <x:v>TEXT:SYN-F09-02</x:v>
      </x:c>
      <x:c r="D493" s="10" t="str">
        <x:v>TEXT:SYN-F09-02-U02</x:v>
      </x:c>
      <x:c r="E493" s="10" t="str">
        <x:v>T-F09</x:v>
      </x:c>
      <x:c r="F493" s="10" t="n">
        <x:v>2</x:v>
      </x:c>
      <x:c r="G493" s="11" t="n">
        <x:v>2.509964</x:v>
      </x:c>
      <x:c r="H493" s="11" t="n">
        <x:v>6.045321</x:v>
      </x:c>
      <x:c r="I493" s="11" t="n">
        <x:f>H493-G493</x:f>
        <x:v>3.5353570000000003</x:v>
      </x:c>
      <x:c r="J493" s="10" t="str">
        <x:v>방금 추가된 검토 메모에서 이번 설명회에 더 맞는다고 한 쪽으로 자료를 바꿔줘. 일회성 장식비는 빼고 나머지 작성 조건은 유지해.</x:v>
      </x:c>
      <x:c r="K493" s="10" t="str">
        <x:v>방금 추가된 검토 메모가 평가한 SYN-F09-02:D2@v1로 기존 작성 대상을 바꾸고 일회성 장식비 제외 조건을 적용하겠습니다.</x:v>
      </x:c>
      <x:c r="L493" s="11"/>
      <x:c r="M493" s="11"/>
      <x:c r="N493" s="10" t="str">
        <x:v>NOT_MODELED</x:v>
      </x:c>
    </x:row>
    <x:row r="494" ht="85" customHeight="1">
      <x:c r="A494" s="10" t="str">
        <x:v>T-EXEC</x:v>
      </x:c>
      <x:c r="B494" s="10" t="str">
        <x:v>TEXT</x:v>
      </x:c>
      <x:c r="C494" s="10" t="str">
        <x:v>TEXT:SYN-F09-02</x:v>
      </x:c>
      <x:c r="D494" s="10" t="str">
        <x:v>TEXT:SYN-F09-02-U01</x:v>
      </x:c>
      <x:c r="E494" s="10" t="str">
        <x:v>T-F09</x:v>
      </x:c>
      <x:c r="F494" s="10" t="n">
        <x:v>1</x:v>
      </x:c>
      <x:c r="G494" s="11" t="n">
        <x:v>0</x:v>
      </x:c>
      <x:c r="H494" s="11" t="n">
        <x:v>2.159964</x:v>
      </x:c>
      <x:c r="I494" s="11" t="n">
        <x:f>H494-G494</x:f>
        <x:v>2.159964</x:v>
      </x:c>
      <x:c r="J494" s="10" t="str">
        <x:v>SYN-F09-02:D3@v1를 기준으로 운영 제안 발표자료를 4장 이내로 만들어줘. 참가업체 설명회용이고 주말 운영 인력 12명 이하, 전시 4주 기준이야. 외부 발송은 하지 마.</x:v>
      </x:c>
      <x:c r="K494" s="10" t="str">
        <x:v>SYN-F09-02:D3@v1의 구성을 기준으로 참가업체 설명회용 운영 제안 발표자료를 4장 이내로 작성하도록 준비하겠습니다.</x:v>
      </x:c>
      <x:c r="L494" s="11"/>
      <x:c r="M494" s="11"/>
      <x:c r="N494" s="10" t="str">
        <x:v>NOT_MODELED</x:v>
      </x:c>
    </x:row>
    <x:row r="495" ht="85" customHeight="1">
      <x:c r="A495" s="10" t="str">
        <x:v>T-EXEC</x:v>
      </x:c>
      <x:c r="B495" s="10" t="str">
        <x:v>TEXT</x:v>
      </x:c>
      <x:c r="C495" s="10" t="str">
        <x:v>TEXT:SYN-F09-02</x:v>
      </x:c>
      <x:c r="D495" s="10" t="str">
        <x:v>TEXT:SYN-F09-02-U02</x:v>
      </x:c>
      <x:c r="E495" s="10" t="str">
        <x:v>T-F09</x:v>
      </x:c>
      <x:c r="F495" s="10" t="n">
        <x:v>2</x:v>
      </x:c>
      <x:c r="G495" s="11" t="n">
        <x:v>2.509964</x:v>
      </x:c>
      <x:c r="H495" s="11" t="n">
        <x:v>5.025</x:v>
      </x:c>
      <x:c r="I495" s="11" t="n">
        <x:f>H495-G495</x:f>
        <x:v>2.5150360000000003</x:v>
      </x:c>
      <x:c r="J495" s="10" t="str">
        <x:v>방금 추가된 검토 메모에서 이번 설명회에 더 맞는다고 한 쪽으로 자료를 바꿔줘. 일회성 장식비는 빼고 나머지 작성 조건은 유지해.</x:v>
      </x:c>
      <x:c r="K495" s="10" t="str">
        <x:v>봄길 지역전시 준비 운영 제안 발표자료 작성 위임에 이번 조건을 적용하겠습니다: 참가업체 설명회용, 4장 이내, 주말 운영 인력 12명 이하, 대상 기간 전시 4주, 외부 발송 없음, 일회성 장식비 제외. 대상의 최종 연결은 현재 조회 결과와 함께 확정합니다.</x:v>
      </x:c>
      <x:c r="L495" s="11"/>
      <x:c r="M495" s="11"/>
      <x:c r="N495" s="10" t="str">
        <x:v>NOT_MODELED</x:v>
      </x:c>
    </x:row>
    <x:row r="496" ht="85" customHeight="1">
      <x:c r="A496" s="10" t="str">
        <x:v>T-REL</x:v>
      </x:c>
      <x:c r="B496" s="10" t="str">
        <x:v>TEXT</x:v>
      </x:c>
      <x:c r="C496" s="10" t="str">
        <x:v>TEXT:SYN-F09-02</x:v>
      </x:c>
      <x:c r="D496" s="10" t="str">
        <x:v>TEXT:SYN-F09-02-U01</x:v>
      </x:c>
      <x:c r="E496" s="10" t="str">
        <x:v>T-F09</x:v>
      </x:c>
      <x:c r="F496" s="10" t="n">
        <x:v>1</x:v>
      </x:c>
      <x:c r="G496" s="11" t="n">
        <x:v>0</x:v>
      </x:c>
      <x:c r="H496" s="11" t="n">
        <x:v>2.28925</x:v>
      </x:c>
      <x:c r="I496" s="11" t="n">
        <x:f>H496-G496</x:f>
        <x:v>2.28925</x:v>
      </x:c>
      <x:c r="J496" s="10" t="str">
        <x:v>SYN-F09-02:D3@v1를 기준으로 운영 제안 발표자료를 4장 이내로 만들어줘. 참가업체 설명회용이고 주말 운영 인력 12명 이하, 전시 4주 기준이야. 외부 발송은 하지 마.</x:v>
      </x:c>
      <x:c r="K496" s="10" t="str">
        <x:v>SYN-F09-02:D3@v1의 구성을 기준으로 참가업체 설명회용 운영 제안 발표자료를 4장 이내로 작성하도록 준비하겠습니다.</x:v>
      </x:c>
      <x:c r="L496" s="11"/>
      <x:c r="M496" s="11"/>
      <x:c r="N496" s="10" t="str">
        <x:v>NOT_MODELED</x:v>
      </x:c>
    </x:row>
    <x:row r="497" ht="85" customHeight="1">
      <x:c r="A497" s="10" t="str">
        <x:v>T-REL</x:v>
      </x:c>
      <x:c r="B497" s="10" t="str">
        <x:v>TEXT</x:v>
      </x:c>
      <x:c r="C497" s="10" t="str">
        <x:v>TEXT:SYN-F09-02</x:v>
      </x:c>
      <x:c r="D497" s="10" t="str">
        <x:v>TEXT:SYN-F09-02-U02</x:v>
      </x:c>
      <x:c r="E497" s="10" t="str">
        <x:v>T-F09</x:v>
      </x:c>
      <x:c r="F497" s="10" t="n">
        <x:v>2</x:v>
      </x:c>
      <x:c r="G497" s="11" t="n">
        <x:v>2.63925</x:v>
      </x:c>
      <x:c r="H497" s="11" t="n">
        <x:v>6.29075</x:v>
      </x:c>
      <x:c r="I497" s="11" t="n">
        <x:f>H497-G497</x:f>
        <x:v>3.6515</x:v>
      </x:c>
      <x:c r="J497" s="10" t="str">
        <x:v>방금 추가된 검토 메모에서 이번 설명회에 더 맞는다고 한 쪽으로 자료를 바꿔줘. 일회성 장식비는 빼고 나머지 작성 조건은 유지해.</x:v>
      </x:c>
      <x:c r="K497" s="10" t="str">
        <x:v>방금 추가된 검토 메모가 평가한 SYN-F09-02:D2@v1로 기존 작성 대상을 바꾸고 일회성 장식비 제외 조건을 적용하겠습니다.</x:v>
      </x:c>
      <x:c r="L497" s="11"/>
      <x:c r="M497" s="11"/>
      <x:c r="N497" s="10" t="str">
        <x:v>NOT_MODELED</x:v>
      </x:c>
    </x:row>
    <x:row r="498" ht="85" customHeight="1">
      <x:c r="A498" s="10" t="str">
        <x:v>T-BASE</x:v>
      </x:c>
      <x:c r="B498" s="10" t="str">
        <x:v>TEXT</x:v>
      </x:c>
      <x:c r="C498" s="10" t="str">
        <x:v>TEXT:SYN-F09-03</x:v>
      </x:c>
      <x:c r="D498" s="10" t="str">
        <x:v>TEXT:SYN-F09-03-U01</x:v>
      </x:c>
      <x:c r="E498" s="10" t="str">
        <x:v>T-F09</x:v>
      </x:c>
      <x:c r="F498" s="10" t="n">
        <x:v>1</x:v>
      </x:c>
      <x:c r="G498" s="11" t="n">
        <x:v>0</x:v>
      </x:c>
      <x:c r="H498" s="11" t="n">
        <x:v>2.197786</x:v>
      </x:c>
      <x:c r="I498" s="11" t="n">
        <x:f>H498-G498</x:f>
        <x:v>2.197786</x:v>
      </x:c>
      <x:c r="J498" s="10" t="str">
        <x:v>SYN-F09-03:D2@v1를 기준으로 교육 개편 발표자료를 6장 이내로 만들어줘. 교육 승인위원회용이고 참가자당 교육시간 18시간 이하, 입사 후 3주 기준이야. 외부 발송은 하지 마.</x:v>
      </x:c>
      <x:c r="K498" s="10" t="str">
        <x:v>SYN-F09-03:D2@v1의 구성을 기준으로 교육 승인위원회용 교육 개편 발표자료를 6장 이내로 작성하도록 준비하겠습니다.</x:v>
      </x:c>
      <x:c r="L498" s="11"/>
      <x:c r="M498" s="11"/>
      <x:c r="N498" s="10" t="str">
        <x:v>NOT_MODELED</x:v>
      </x:c>
    </x:row>
    <x:row r="499" ht="85" customHeight="1">
      <x:c r="A499" s="10" t="str">
        <x:v>T-BASE</x:v>
      </x:c>
      <x:c r="B499" s="10" t="str">
        <x:v>TEXT</x:v>
      </x:c>
      <x:c r="C499" s="10" t="str">
        <x:v>TEXT:SYN-F09-03</x:v>
      </x:c>
      <x:c r="D499" s="10" t="str">
        <x:v>TEXT:SYN-F09-03-U02</x:v>
      </x:c>
      <x:c r="E499" s="10" t="str">
        <x:v>T-F09</x:v>
      </x:c>
      <x:c r="F499" s="10" t="n">
        <x:v>2</x:v>
      </x:c>
      <x:c r="G499" s="11" t="n">
        <x:v>2.547786</x:v>
      </x:c>
      <x:c r="H499" s="11" t="n">
        <x:v>6.165965</x:v>
      </x:c>
      <x:c r="I499" s="11" t="n">
        <x:f>H499-G499</x:f>
        <x:v>3.618179</x:v>
      </x:c>
      <x:c r="J499" s="10" t="str">
        <x:v>방금 추가된 검토 메모에서 이번 설명회에 더 맞는다고 한 쪽으로 자료를 바꿔줘. 숙박비는 빼고 나머지 작성 조건은 유지해.</x:v>
      </x:c>
      <x:c r="K499" s="10" t="str">
        <x:v>SYN-F09-03:D2@v1에 대해 해온 신입교육 개편 교육 개편 발표자료 작성 위임을 진행하겠습니다. 적용 조건: 교육 승인위원회용, 6장 이내, 참가자당 교육시간 18시간 이하, 대상 기간 입사 후 3주, 외부 발송 없음, 숙박비 제외. 내용 출처: SYN-F09-03:D2@v1.</x:v>
      </x:c>
      <x:c r="L499" s="11"/>
      <x:c r="M499" s="11"/>
      <x:c r="N499" s="10" t="str">
        <x:v>NOT_MODELED</x:v>
      </x:c>
    </x:row>
    <x:row r="500" ht="85" customHeight="1">
      <x:c r="A500" s="10" t="str">
        <x:v>T-EXEC</x:v>
      </x:c>
      <x:c r="B500" s="10" t="str">
        <x:v>TEXT</x:v>
      </x:c>
      <x:c r="C500" s="10" t="str">
        <x:v>TEXT:SYN-F09-03</x:v>
      </x:c>
      <x:c r="D500" s="10" t="str">
        <x:v>TEXT:SYN-F09-03-U01</x:v>
      </x:c>
      <x:c r="E500" s="10" t="str">
        <x:v>T-F09</x:v>
      </x:c>
      <x:c r="F500" s="10" t="n">
        <x:v>1</x:v>
      </x:c>
      <x:c r="G500" s="11" t="n">
        <x:v>0</x:v>
      </x:c>
      <x:c r="H500" s="11" t="n">
        <x:v>2.197786</x:v>
      </x:c>
      <x:c r="I500" s="11" t="n">
        <x:f>H500-G500</x:f>
        <x:v>2.197786</x:v>
      </x:c>
      <x:c r="J500" s="10" t="str">
        <x:v>SYN-F09-03:D2@v1를 기준으로 교육 개편 발표자료를 6장 이내로 만들어줘. 교육 승인위원회용이고 참가자당 교육시간 18시간 이하, 입사 후 3주 기준이야. 외부 발송은 하지 마.</x:v>
      </x:c>
      <x:c r="K500" s="10" t="str">
        <x:v>SYN-F09-03:D2@v1의 구성을 기준으로 교육 승인위원회용 교육 개편 발표자료를 6장 이내로 작성하도록 준비하겠습니다.</x:v>
      </x:c>
      <x:c r="L500" s="11"/>
      <x:c r="M500" s="11"/>
      <x:c r="N500" s="10" t="str">
        <x:v>NOT_MODELED</x:v>
      </x:c>
    </x:row>
    <x:row r="501" ht="85" customHeight="1">
      <x:c r="A501" s="10" t="str">
        <x:v>T-EXEC</x:v>
      </x:c>
      <x:c r="B501" s="10" t="str">
        <x:v>TEXT</x:v>
      </x:c>
      <x:c r="C501" s="10" t="str">
        <x:v>TEXT:SYN-F09-03</x:v>
      </x:c>
      <x:c r="D501" s="10" t="str">
        <x:v>TEXT:SYN-F09-03-U02</x:v>
      </x:c>
      <x:c r="E501" s="10" t="str">
        <x:v>T-F09</x:v>
      </x:c>
      <x:c r="F501" s="10" t="n">
        <x:v>2</x:v>
      </x:c>
      <x:c r="G501" s="11" t="n">
        <x:v>2.547786</x:v>
      </x:c>
      <x:c r="H501" s="11" t="n">
        <x:v>5.110322</x:v>
      </x:c>
      <x:c r="I501" s="11" t="n">
        <x:f>H501-G501</x:f>
        <x:v>2.562536</x:v>
      </x:c>
      <x:c r="J501" s="10" t="str">
        <x:v>방금 추가된 검토 메모에서 이번 설명회에 더 맞는다고 한 쪽으로 자료를 바꿔줘. 숙박비는 빼고 나머지 작성 조건은 유지해.</x:v>
      </x:c>
      <x:c r="K501" s="10" t="str">
        <x:v>해온 신입교육 개편 교육 개편 발표자료 작성 위임에 이번 조건을 적용하겠습니다: 교육 승인위원회용, 6장 이내, 참가자당 교육시간 18시간 이하, 대상 기간 입사 후 3주, 외부 발송 없음, 숙박비 제외. 대상의 최종 연결은 현재 조회 결과와 함께 확정합니다.</x:v>
      </x:c>
      <x:c r="L501" s="11"/>
      <x:c r="M501" s="11"/>
      <x:c r="N501" s="10" t="str">
        <x:v>NOT_MODELED</x:v>
      </x:c>
    </x:row>
    <x:row r="502" ht="85" customHeight="1">
      <x:c r="A502" s="10" t="str">
        <x:v>T-REL</x:v>
      </x:c>
      <x:c r="B502" s="10" t="str">
        <x:v>TEXT</x:v>
      </x:c>
      <x:c r="C502" s="10" t="str">
        <x:v>TEXT:SYN-F09-03</x:v>
      </x:c>
      <x:c r="D502" s="10" t="str">
        <x:v>TEXT:SYN-F09-03-U01</x:v>
      </x:c>
      <x:c r="E502" s="10" t="str">
        <x:v>T-F09</x:v>
      </x:c>
      <x:c r="F502" s="10" t="n">
        <x:v>1</x:v>
      </x:c>
      <x:c r="G502" s="11" t="n">
        <x:v>0</x:v>
      </x:c>
      <x:c r="H502" s="11" t="n">
        <x:v>2.327071</x:v>
      </x:c>
      <x:c r="I502" s="11" t="n">
        <x:f>H502-G502</x:f>
        <x:v>2.327071</x:v>
      </x:c>
      <x:c r="J502" s="10" t="str">
        <x:v>SYN-F09-03:D2@v1를 기준으로 교육 개편 발표자료를 6장 이내로 만들어줘. 교육 승인위원회용이고 참가자당 교육시간 18시간 이하, 입사 후 3주 기준이야. 외부 발송은 하지 마.</x:v>
      </x:c>
      <x:c r="K502" s="10" t="str">
        <x:v>SYN-F09-03:D2@v1의 구성을 기준으로 교육 승인위원회용 교육 개편 발표자료를 6장 이내로 작성하도록 준비하겠습니다.</x:v>
      </x:c>
      <x:c r="L502" s="11"/>
      <x:c r="M502" s="11"/>
      <x:c r="N502" s="10" t="str">
        <x:v>NOT_MODELED</x:v>
      </x:c>
    </x:row>
    <x:row r="503" ht="85" customHeight="1">
      <x:c r="A503" s="10" t="str">
        <x:v>T-REL</x:v>
      </x:c>
      <x:c r="B503" s="10" t="str">
        <x:v>TEXT</x:v>
      </x:c>
      <x:c r="C503" s="10" t="str">
        <x:v>TEXT:SYN-F09-03</x:v>
      </x:c>
      <x:c r="D503" s="10" t="str">
        <x:v>TEXT:SYN-F09-03-U02</x:v>
      </x:c>
      <x:c r="E503" s="10" t="str">
        <x:v>T-F09</x:v>
      </x:c>
      <x:c r="F503" s="10" t="n">
        <x:v>2</x:v>
      </x:c>
      <x:c r="G503" s="11" t="n">
        <x:v>2.677071</x:v>
      </x:c>
      <x:c r="H503" s="11" t="n">
        <x:v>6.411392</x:v>
      </x:c>
      <x:c r="I503" s="11" t="n">
        <x:f>H503-G503</x:f>
        <x:v>3.734321</x:v>
      </x:c>
      <x:c r="J503" s="10" t="str">
        <x:v>방금 추가된 검토 메모에서 이번 설명회에 더 맞는다고 한 쪽으로 자료를 바꿔줘. 숙박비는 빼고 나머지 작성 조건은 유지해.</x:v>
      </x:c>
      <x:c r="K503" s="10" t="str">
        <x:v>SYN-F09-03:D2@v1에 대해 해온 신입교육 개편 교육 개편 발표자료 작성 위임을 진행하겠습니다. 적용 조건: 교육 승인위원회용, 6장 이내, 참가자당 교육시간 18시간 이하, 대상 기간 입사 후 3주, 외부 발송 없음, 숙박비 제외. 내용 출처: SYN-F09-03:D2@v1.</x:v>
      </x:c>
      <x:c r="L503" s="11"/>
      <x:c r="M503" s="11"/>
      <x:c r="N503" s="10" t="str">
        <x:v>NOT_MODELED</x:v>
      </x:c>
    </x:row>
    <x:row r="504" ht="85" customHeight="1">
      <x:c r="A504" s="10" t="str">
        <x:v>T-BASE</x:v>
      </x:c>
      <x:c r="B504" s="10" t="str">
        <x:v>TEXT</x:v>
      </x:c>
      <x:c r="C504" s="10" t="str">
        <x:v>TEXT:SYN-F09-04</x:v>
      </x:c>
      <x:c r="D504" s="10" t="str">
        <x:v>TEXT:SYN-F09-04-U01</x:v>
      </x:c>
      <x:c r="E504" s="10" t="str">
        <x:v>T-F09</x:v>
      </x:c>
      <x:c r="F504" s="10" t="n">
        <x:v>1</x:v>
      </x:c>
      <x:c r="G504" s="11" t="n">
        <x:v>0</x:v>
      </x:c>
      <x:c r="H504" s="11" t="n">
        <x:v>2.160607</x:v>
      </x:c>
      <x:c r="I504" s="11" t="n">
        <x:f>H504-G504</x:f>
        <x:v>2.160607</x:v>
      </x:c>
      <x:c r="J504" s="10" t="str">
        <x:v>SYN-F09-04:D1@v1를 기준으로 거점 개선 발표자료를 7장 이내로 만들어줘. 협력사 운영설명회용이고 일일 추가 운행 8회 이하, 평일 20일 기준이야. 외부 발송은 하지 마.</x:v>
      </x:c>
      <x:c r="K504" s="10" t="str">
        <x:v>SYN-F09-04:D1@v1의 구성을 기준으로 협력사 운영설명회용 거점 개선 발표자료를 7장 이내로 작성하도록 준비하겠습니다.</x:v>
      </x:c>
      <x:c r="L504" s="11"/>
      <x:c r="M504" s="11"/>
      <x:c r="N504" s="10" t="str">
        <x:v>NOT_MODELED</x:v>
      </x:c>
    </x:row>
    <x:row r="505" ht="85" customHeight="1">
      <x:c r="A505" s="10" t="str">
        <x:v>T-BASE</x:v>
      </x:c>
      <x:c r="B505" s="10" t="str">
        <x:v>TEXT</x:v>
      </x:c>
      <x:c r="C505" s="10" t="str">
        <x:v>TEXT:SYN-F09-04</x:v>
      </x:c>
      <x:c r="D505" s="10" t="str">
        <x:v>TEXT:SYN-F09-04-U02</x:v>
      </x:c>
      <x:c r="E505" s="10" t="str">
        <x:v>T-F09</x:v>
      </x:c>
      <x:c r="F505" s="10" t="n">
        <x:v>2</x:v>
      </x:c>
      <x:c r="G505" s="11" t="n">
        <x:v>2.510607</x:v>
      </x:c>
      <x:c r="H505" s="11" t="n">
        <x:v>6.136607</x:v>
      </x:c>
      <x:c r="I505" s="11" t="n">
        <x:f>H505-G505</x:f>
        <x:v>3.626</x:v>
      </x:c>
      <x:c r="J505" s="10" t="str">
        <x:v>방금 추가된 검토 메모에서 이번 설명회에 더 맞는다고 한 쪽으로 자료를 바꿔줘. 차량 구매비는 빼고 나머지 작성 조건은 유지해.</x:v>
      </x:c>
      <x:c r="K505" s="10" t="str">
        <x:v>방금 추가된 검토 메모가 평가한 SYN-F09-04:D3@v1로 기존 작성 대상을 바꾸고 차량 구매비 제외 조건을 적용하겠습니다.</x:v>
      </x:c>
      <x:c r="L505" s="11"/>
      <x:c r="M505" s="11"/>
      <x:c r="N505" s="10" t="str">
        <x:v>NOT_MODELED</x:v>
      </x:c>
    </x:row>
    <x:row r="506" ht="85" customHeight="1">
      <x:c r="A506" s="10" t="str">
        <x:v>T-EXEC</x:v>
      </x:c>
      <x:c r="B506" s="10" t="str">
        <x:v>TEXT</x:v>
      </x:c>
      <x:c r="C506" s="10" t="str">
        <x:v>TEXT:SYN-F09-04</x:v>
      </x:c>
      <x:c r="D506" s="10" t="str">
        <x:v>TEXT:SYN-F09-04-U01</x:v>
      </x:c>
      <x:c r="E506" s="10" t="str">
        <x:v>T-F09</x:v>
      </x:c>
      <x:c r="F506" s="10" t="n">
        <x:v>1</x:v>
      </x:c>
      <x:c r="G506" s="11" t="n">
        <x:v>0</x:v>
      </x:c>
      <x:c r="H506" s="11" t="n">
        <x:v>2.160607</x:v>
      </x:c>
      <x:c r="I506" s="11" t="n">
        <x:f>H506-G506</x:f>
        <x:v>2.160607</x:v>
      </x:c>
      <x:c r="J506" s="10" t="str">
        <x:v>SYN-F09-04:D1@v1를 기준으로 거점 개선 발표자료를 7장 이내로 만들어줘. 협력사 운영설명회용이고 일일 추가 운행 8회 이하, 평일 20일 기준이야. 외부 발송은 하지 마.</x:v>
      </x:c>
      <x:c r="K506" s="10" t="str">
        <x:v>SYN-F09-04:D1@v1의 구성을 기준으로 협력사 운영설명회용 거점 개선 발표자료를 7장 이내로 작성하도록 준비하겠습니다.</x:v>
      </x:c>
      <x:c r="L506" s="11"/>
      <x:c r="M506" s="11"/>
      <x:c r="N506" s="10" t="str">
        <x:v>NOT_MODELED</x:v>
      </x:c>
    </x:row>
    <x:row r="507" ht="85" customHeight="1">
      <x:c r="A507" s="10" t="str">
        <x:v>T-EXEC</x:v>
      </x:c>
      <x:c r="B507" s="10" t="str">
        <x:v>TEXT</x:v>
      </x:c>
      <x:c r="C507" s="10" t="str">
        <x:v>TEXT:SYN-F09-04</x:v>
      </x:c>
      <x:c r="D507" s="10" t="str">
        <x:v>TEXT:SYN-F09-04-U02</x:v>
      </x:c>
      <x:c r="E507" s="10" t="str">
        <x:v>T-F09</x:v>
      </x:c>
      <x:c r="F507" s="10" t="n">
        <x:v>2</x:v>
      </x:c>
      <x:c r="G507" s="11" t="n">
        <x:v>2.510607</x:v>
      </x:c>
      <x:c r="H507" s="11" t="n">
        <x:v>5.026893</x:v>
      </x:c>
      <x:c r="I507" s="11" t="n">
        <x:f>H507-G507</x:f>
        <x:v>2.5162860000000005</x:v>
      </x:c>
      <x:c r="J507" s="10" t="str">
        <x:v>방금 추가된 검토 메모에서 이번 설명회에 더 맞는다고 한 쪽으로 자료를 바꿔줘. 차량 구매비는 빼고 나머지 작성 조건은 유지해.</x:v>
      </x:c>
      <x:c r="K507" s="10" t="str">
        <x:v>라임 배송거점 개선 거점 개선 발표자료 작성 위임에 이번 조건을 적용하겠습니다: 협력사 운영설명회용, 7장 이내, 일일 추가 운행 8회 이하, 대상 기간 평일 20일, 외부 발송 없음, 차량 구매비 제외. 대상의 최종 연결은 현재 조회 결과와 함께 확정합니다.</x:v>
      </x:c>
      <x:c r="L507" s="11"/>
      <x:c r="M507" s="11"/>
      <x:c r="N507" s="10" t="str">
        <x:v>NOT_MODELED</x:v>
      </x:c>
    </x:row>
    <x:row r="508" ht="85" customHeight="1">
      <x:c r="A508" s="10" t="str">
        <x:v>T-REL</x:v>
      </x:c>
      <x:c r="B508" s="10" t="str">
        <x:v>TEXT</x:v>
      </x:c>
      <x:c r="C508" s="10" t="str">
        <x:v>TEXT:SYN-F09-04</x:v>
      </x:c>
      <x:c r="D508" s="10" t="str">
        <x:v>TEXT:SYN-F09-04-U01</x:v>
      </x:c>
      <x:c r="E508" s="10" t="str">
        <x:v>T-F09</x:v>
      </x:c>
      <x:c r="F508" s="10" t="n">
        <x:v>1</x:v>
      </x:c>
      <x:c r="G508" s="11" t="n">
        <x:v>0</x:v>
      </x:c>
      <x:c r="H508" s="11" t="n">
        <x:v>2.289893</x:v>
      </x:c>
      <x:c r="I508" s="11" t="n">
        <x:f>H508-G508</x:f>
        <x:v>2.289893</x:v>
      </x:c>
      <x:c r="J508" s="10" t="str">
        <x:v>SYN-F09-04:D1@v1를 기준으로 거점 개선 발표자료를 7장 이내로 만들어줘. 협력사 운영설명회용이고 일일 추가 운행 8회 이하, 평일 20일 기준이야. 외부 발송은 하지 마.</x:v>
      </x:c>
      <x:c r="K508" s="10" t="str">
        <x:v>SYN-F09-04:D1@v1의 구성을 기준으로 협력사 운영설명회용 거점 개선 발표자료를 7장 이내로 작성하도록 준비하겠습니다.</x:v>
      </x:c>
      <x:c r="L508" s="11"/>
      <x:c r="M508" s="11"/>
      <x:c r="N508" s="10" t="str">
        <x:v>NOT_MODELED</x:v>
      </x:c>
    </x:row>
    <x:row r="509" ht="85" customHeight="1">
      <x:c r="A509" s="10" t="str">
        <x:v>T-REL</x:v>
      </x:c>
      <x:c r="B509" s="10" t="str">
        <x:v>TEXT</x:v>
      </x:c>
      <x:c r="C509" s="10" t="str">
        <x:v>TEXT:SYN-F09-04</x:v>
      </x:c>
      <x:c r="D509" s="10" t="str">
        <x:v>TEXT:SYN-F09-04-U02</x:v>
      </x:c>
      <x:c r="E509" s="10" t="str">
        <x:v>T-F09</x:v>
      </x:c>
      <x:c r="F509" s="10" t="n">
        <x:v>2</x:v>
      </x:c>
      <x:c r="G509" s="11" t="n">
        <x:v>2.639893</x:v>
      </x:c>
      <x:c r="H509" s="11" t="n">
        <x:v>6.382036</x:v>
      </x:c>
      <x:c r="I509" s="11" t="n">
        <x:f>H509-G509</x:f>
        <x:v>3.7421430000000004</x:v>
      </x:c>
      <x:c r="J509" s="10" t="str">
        <x:v>방금 추가된 검토 메모에서 이번 설명회에 더 맞는다고 한 쪽으로 자료를 바꿔줘. 차량 구매비는 빼고 나머지 작성 조건은 유지해.</x:v>
      </x:c>
      <x:c r="K509" s="10" t="str">
        <x:v>방금 추가된 검토 메모가 평가한 SYN-F09-04:D3@v1로 기존 작성 대상을 바꾸고 차량 구매비 제외 조건을 적용하겠습니다.</x:v>
      </x:c>
      <x:c r="L509" s="11"/>
      <x:c r="M509" s="11"/>
      <x:c r="N509" s="10" t="str">
        <x:v>NOT_MODELED</x:v>
      </x:c>
    </x:row>
    <x:row r="510" ht="85" customHeight="1">
      <x:c r="A510" s="10" t="str">
        <x:v>T-BASE</x:v>
      </x:c>
      <x:c r="B510" s="10" t="str">
        <x:v>TEXT</x:v>
      </x:c>
      <x:c r="C510" s="10" t="str">
        <x:v>TEXT:SYN-F09-05</x:v>
      </x:c>
      <x:c r="D510" s="10" t="str">
        <x:v>TEXT:SYN-F09-05-U01</x:v>
      </x:c>
      <x:c r="E510" s="10" t="str">
        <x:v>T-F09</x:v>
      </x:c>
      <x:c r="F510" s="10" t="n">
        <x:v>1</x:v>
      </x:c>
      <x:c r="G510" s="11" t="n">
        <x:v>0</x:v>
      </x:c>
      <x:c r="H510" s="11" t="n">
        <x:v>2.173429</x:v>
      </x:c>
      <x:c r="I510" s="11" t="n">
        <x:f>H510-G510</x:f>
        <x:v>2.173429</x:v>
      </x:c>
      <x:c r="J510" s="10" t="str">
        <x:v>SYN-F09-05:D3@v1를 기준으로 조명 교체 검토자료를 5장 이내로 만들어줘. 입주사 설명회용이고 층별 정전 30분 이하, 교체 후 6개월 기준이야. 외부 발송은 하지 마.</x:v>
      </x:c>
      <x:c r="K510" s="10" t="str">
        <x:v>SYN-F09-05:D3@v1의 구성을 기준으로 입주사 설명회용 조명 교체 검토자료를 5장 이내로 작성하도록 준비하겠습니다.</x:v>
      </x:c>
      <x:c r="L510" s="11"/>
      <x:c r="M510" s="11"/>
      <x:c r="N510" s="10" t="str">
        <x:v>NOT_MODELED</x:v>
      </x:c>
    </x:row>
    <x:row r="511" ht="85" customHeight="1">
      <x:c r="A511" s="10" t="str">
        <x:v>T-BASE</x:v>
      </x:c>
      <x:c r="B511" s="10" t="str">
        <x:v>TEXT</x:v>
      </x:c>
      <x:c r="C511" s="10" t="str">
        <x:v>TEXT:SYN-F09-05</x:v>
      </x:c>
      <x:c r="D511" s="10" t="str">
        <x:v>TEXT:SYN-F09-05-U02</x:v>
      </x:c>
      <x:c r="E511" s="10" t="str">
        <x:v>T-F09</x:v>
      </x:c>
      <x:c r="F511" s="10" t="n">
        <x:v>2</x:v>
      </x:c>
      <x:c r="G511" s="11" t="n">
        <x:v>2.523429</x:v>
      </x:c>
      <x:c r="H511" s="11" t="n">
        <x:v>6.20725</x:v>
      </x:c>
      <x:c r="I511" s="11" t="n">
        <x:f>H511-G511</x:f>
        <x:v>3.683821</x:v>
      </x:c>
      <x:c r="J511" s="10" t="str">
        <x:v>방금 추가된 검토 메모에서 이번 설명회에 더 맞는다고 한 쪽으로 자료를 바꿔줘. 철거비는 빼고 나머지 작성 조건은 유지해.</x:v>
      </x:c>
      <x:c r="K511" s="10" t="str">
        <x:v>방금 추가된 검토 메모가 평가한 SYN-F09-05:D2@v1로 기존 작성 대상을 바꾸고 철거비 제외 조건을 적용하겠습니다.</x:v>
      </x:c>
      <x:c r="L511" s="11"/>
      <x:c r="M511" s="11"/>
      <x:c r="N511" s="10" t="str">
        <x:v>NOT_MODELED</x:v>
      </x:c>
    </x:row>
    <x:row r="512" ht="85" customHeight="1">
      <x:c r="A512" s="10" t="str">
        <x:v>T-EXEC</x:v>
      </x:c>
      <x:c r="B512" s="10" t="str">
        <x:v>TEXT</x:v>
      </x:c>
      <x:c r="C512" s="10" t="str">
        <x:v>TEXT:SYN-F09-05</x:v>
      </x:c>
      <x:c r="D512" s="10" t="str">
        <x:v>TEXT:SYN-F09-05-U01</x:v>
      </x:c>
      <x:c r="E512" s="10" t="str">
        <x:v>T-F09</x:v>
      </x:c>
      <x:c r="F512" s="10" t="n">
        <x:v>1</x:v>
      </x:c>
      <x:c r="G512" s="11" t="n">
        <x:v>0</x:v>
      </x:c>
      <x:c r="H512" s="11" t="n">
        <x:v>2.173429</x:v>
      </x:c>
      <x:c r="I512" s="11" t="n">
        <x:f>H512-G512</x:f>
        <x:v>2.173429</x:v>
      </x:c>
      <x:c r="J512" s="10" t="str">
        <x:v>SYN-F09-05:D3@v1를 기준으로 조명 교체 검토자료를 5장 이내로 만들어줘. 입주사 설명회용이고 층별 정전 30분 이하, 교체 후 6개월 기준이야. 외부 발송은 하지 마.</x:v>
      </x:c>
      <x:c r="K512" s="10" t="str">
        <x:v>SYN-F09-05:D3@v1의 구성을 기준으로 입주사 설명회용 조명 교체 검토자료를 5장 이내로 작성하도록 준비하겠습니다.</x:v>
      </x:c>
      <x:c r="L512" s="11"/>
      <x:c r="M512" s="11"/>
      <x:c r="N512" s="10" t="str">
        <x:v>NOT_MODELED</x:v>
      </x:c>
    </x:row>
    <x:row r="513" ht="85" customHeight="1">
      <x:c r="A513" s="10" t="str">
        <x:v>T-EXEC</x:v>
      </x:c>
      <x:c r="B513" s="10" t="str">
        <x:v>TEXT</x:v>
      </x:c>
      <x:c r="C513" s="10" t="str">
        <x:v>TEXT:SYN-F09-05</x:v>
      </x:c>
      <x:c r="D513" s="10" t="str">
        <x:v>TEXT:SYN-F09-05-U02</x:v>
      </x:c>
      <x:c r="E513" s="10" t="str">
        <x:v>T-F09</x:v>
      </x:c>
      <x:c r="F513" s="10" t="n">
        <x:v>2</x:v>
      </x:c>
      <x:c r="G513" s="11" t="n">
        <x:v>2.523429</x:v>
      </x:c>
      <x:c r="H513" s="11" t="n">
        <x:v>5.062214</x:v>
      </x:c>
      <x:c r="I513" s="11" t="n">
        <x:f>H513-G513</x:f>
        <x:v>2.538785</x:v>
      </x:c>
      <x:c r="J513" s="10" t="str">
        <x:v>방금 추가된 검토 메모에서 이번 설명회에 더 맞는다고 한 쪽으로 자료를 바꿔줘. 철거비는 빼고 나머지 작성 조건은 유지해.</x:v>
      </x:c>
      <x:c r="K513" s="10" t="str">
        <x:v>가온 사무실 조명교체 조명 교체 검토자료 작성 위임에 이번 조건을 적용하겠습니다: 입주사 설명회용, 5장 이내, 층별 정전 30분 이하, 대상 기간 교체 후 6개월, 외부 발송 없음, 철거비 제외. 대상의 최종 연결은 현재 조회 결과와 함께 확정합니다.</x:v>
      </x:c>
      <x:c r="L513" s="11"/>
      <x:c r="M513" s="11"/>
      <x:c r="N513" s="10" t="str">
        <x:v>NOT_MODELED</x:v>
      </x:c>
    </x:row>
    <x:row r="514" ht="85" customHeight="1">
      <x:c r="A514" s="10" t="str">
        <x:v>T-REL</x:v>
      </x:c>
      <x:c r="B514" s="10" t="str">
        <x:v>TEXT</x:v>
      </x:c>
      <x:c r="C514" s="10" t="str">
        <x:v>TEXT:SYN-F09-05</x:v>
      </x:c>
      <x:c r="D514" s="10" t="str">
        <x:v>TEXT:SYN-F09-05-U01</x:v>
      </x:c>
      <x:c r="E514" s="10" t="str">
        <x:v>T-F09</x:v>
      </x:c>
      <x:c r="F514" s="10" t="n">
        <x:v>1</x:v>
      </x:c>
      <x:c r="G514" s="11" t="n">
        <x:v>0</x:v>
      </x:c>
      <x:c r="H514" s="11" t="n">
        <x:v>2.302714</x:v>
      </x:c>
      <x:c r="I514" s="11" t="n">
        <x:f>H514-G514</x:f>
        <x:v>2.302714</x:v>
      </x:c>
      <x:c r="J514" s="10" t="str">
        <x:v>SYN-F09-05:D3@v1를 기준으로 조명 교체 검토자료를 5장 이내로 만들어줘. 입주사 설명회용이고 층별 정전 30분 이하, 교체 후 6개월 기준이야. 외부 발송은 하지 마.</x:v>
      </x:c>
      <x:c r="K514" s="10" t="str">
        <x:v>SYN-F09-05:D3@v1의 구성을 기준으로 입주사 설명회용 조명 교체 검토자료를 5장 이내로 작성하도록 준비하겠습니다.</x:v>
      </x:c>
      <x:c r="L514" s="11"/>
      <x:c r="M514" s="11"/>
      <x:c r="N514" s="10" t="str">
        <x:v>NOT_MODELED</x:v>
      </x:c>
    </x:row>
    <x:row r="515" ht="85" customHeight="1">
      <x:c r="A515" s="10" t="str">
        <x:v>T-REL</x:v>
      </x:c>
      <x:c r="B515" s="10" t="str">
        <x:v>TEXT</x:v>
      </x:c>
      <x:c r="C515" s="10" t="str">
        <x:v>TEXT:SYN-F09-05</x:v>
      </x:c>
      <x:c r="D515" s="10" t="str">
        <x:v>TEXT:SYN-F09-05-U02</x:v>
      </x:c>
      <x:c r="E515" s="10" t="str">
        <x:v>T-F09</x:v>
      </x:c>
      <x:c r="F515" s="10" t="n">
        <x:v>2</x:v>
      </x:c>
      <x:c r="G515" s="11" t="n">
        <x:v>2.652714</x:v>
      </x:c>
      <x:c r="H515" s="11" t="n">
        <x:v>6.452678</x:v>
      </x:c>
      <x:c r="I515" s="11" t="n">
        <x:f>H515-G515</x:f>
        <x:v>3.7999639999999997</x:v>
      </x:c>
      <x:c r="J515" s="10" t="str">
        <x:v>방금 추가된 검토 메모에서 이번 설명회에 더 맞는다고 한 쪽으로 자료를 바꿔줘. 철거비는 빼고 나머지 작성 조건은 유지해.</x:v>
      </x:c>
      <x:c r="K515" s="10" t="str">
        <x:v>방금 추가된 검토 메모가 평가한 SYN-F09-05:D2@v1로 기존 작성 대상을 바꾸고 철거비 제외 조건을 적용하겠습니다.</x:v>
      </x:c>
      <x:c r="L515" s="11"/>
      <x:c r="M515" s="11"/>
      <x:c r="N515" s="10" t="str">
        <x:v>NOT_MODELED</x:v>
      </x:c>
    </x:row>
    <x:row r="516" ht="85" customHeight="1">
      <x:c r="A516" s="10" t="str">
        <x:v>T-BASE</x:v>
      </x:c>
      <x:c r="B516" s="10" t="str">
        <x:v>TEXT</x:v>
      </x:c>
      <x:c r="C516" s="10" t="str">
        <x:v>TEXT:SYN-F09-06</x:v>
      </x:c>
      <x:c r="D516" s="10" t="str">
        <x:v>TEXT:SYN-F09-06-U01</x:v>
      </x:c>
      <x:c r="E516" s="10" t="str">
        <x:v>T-F09</x:v>
      </x:c>
      <x:c r="F516" s="10" t="n">
        <x:v>1</x:v>
      </x:c>
      <x:c r="G516" s="11" t="n">
        <x:v>0</x:v>
      </x:c>
      <x:c r="H516" s="11" t="n">
        <x:v>2.21125</x:v>
      </x:c>
      <x:c r="I516" s="11" t="n">
        <x:f>H516-G516</x:f>
        <x:v>2.21125</x:v>
      </x:c>
      <x:c r="J516" s="10" t="str">
        <x:v>SYN-F09-06:D2@v1를 기준으로 행사 운영 발표자료를 8장 이내로 만들어줘. 참여기업 안내회용이고 현장 대기 20분 이하, 행사 2일 기준이야. 외부 발송은 하지 마.</x:v>
      </x:c>
      <x:c r="K516" s="10" t="str">
        <x:v>SYN-F09-06:D2@v1의 구성을 기준으로 참여기업 안내회용 행사 운영 발표자료를 8장 이내로 작성하도록 준비하겠습니다.</x:v>
      </x:c>
      <x:c r="L516" s="11"/>
      <x:c r="M516" s="11"/>
      <x:c r="N516" s="10" t="str">
        <x:v>NOT_MODELED</x:v>
      </x:c>
    </x:row>
    <x:row r="517" ht="85" customHeight="1">
      <x:c r="A517" s="10" t="str">
        <x:v>T-BASE</x:v>
      </x:c>
      <x:c r="B517" s="10" t="str">
        <x:v>TEXT</x:v>
      </x:c>
      <x:c r="C517" s="10" t="str">
        <x:v>TEXT:SYN-F09-06</x:v>
      </x:c>
      <x:c r="D517" s="10" t="str">
        <x:v>TEXT:SYN-F09-06-U02</x:v>
      </x:c>
      <x:c r="E517" s="10" t="str">
        <x:v>T-F09</x:v>
      </x:c>
      <x:c r="F517" s="10" t="n">
        <x:v>2</x:v>
      </x:c>
      <x:c r="G517" s="11" t="n">
        <x:v>2.56125</x:v>
      </x:c>
      <x:c r="H517" s="11" t="n">
        <x:v>6.327893</x:v>
      </x:c>
      <x:c r="I517" s="11" t="n">
        <x:f>H517-G517</x:f>
        <x:v>3.7666430000000006</x:v>
      </x:c>
      <x:c r="J517" s="10" t="str">
        <x:v>방금 추가된 검토 메모에서 이번 설명회에 더 맞는다고 한 쪽으로 자료를 바꿔줘. 홍보물 인쇄비는 빼고 나머지 작성 조건은 유지해.</x:v>
      </x:c>
      <x:c r="K517" s="10" t="str">
        <x:v>SYN-F09-06:D2@v1에 대해 별빛 채용행사 준비 행사 운영 발표자료 작성 위임을 진행하겠습니다. 적용 조건: 참여기업 안내회용, 8장 이내, 현장 대기 20분 이하, 대상 기간 행사 2일, 외부 발송 없음, 홍보물 인쇄비 제외. 내용 출처: SYN-F09-06:D2@v1.</x:v>
      </x:c>
      <x:c r="L517" s="11"/>
      <x:c r="M517" s="11"/>
      <x:c r="N517" s="10" t="str">
        <x:v>NOT_MODELED</x:v>
      </x:c>
    </x:row>
    <x:row r="518" ht="85" customHeight="1">
      <x:c r="A518" s="10" t="str">
        <x:v>T-EXEC</x:v>
      </x:c>
      <x:c r="B518" s="10" t="str">
        <x:v>TEXT</x:v>
      </x:c>
      <x:c r="C518" s="10" t="str">
        <x:v>TEXT:SYN-F09-06</x:v>
      </x:c>
      <x:c r="D518" s="10" t="str">
        <x:v>TEXT:SYN-F09-06-U01</x:v>
      </x:c>
      <x:c r="E518" s="10" t="str">
        <x:v>T-F09</x:v>
      </x:c>
      <x:c r="F518" s="10" t="n">
        <x:v>1</x:v>
      </x:c>
      <x:c r="G518" s="11" t="n">
        <x:v>0</x:v>
      </x:c>
      <x:c r="H518" s="11" t="n">
        <x:v>2.21125</x:v>
      </x:c>
      <x:c r="I518" s="11" t="n">
        <x:f>H518-G518</x:f>
        <x:v>2.21125</x:v>
      </x:c>
      <x:c r="J518" s="10" t="str">
        <x:v>SYN-F09-06:D2@v1를 기준으로 행사 운영 발표자료를 8장 이내로 만들어줘. 참여기업 안내회용이고 현장 대기 20분 이하, 행사 2일 기준이야. 외부 발송은 하지 마.</x:v>
      </x:c>
      <x:c r="K518" s="10" t="str">
        <x:v>SYN-F09-06:D2@v1의 구성을 기준으로 참여기업 안내회용 행사 운영 발표자료를 8장 이내로 작성하도록 준비하겠습니다.</x:v>
      </x:c>
      <x:c r="L518" s="11"/>
      <x:c r="M518" s="11"/>
      <x:c r="N518" s="10" t="str">
        <x:v>NOT_MODELED</x:v>
      </x:c>
    </x:row>
    <x:row r="519" ht="85" customHeight="1">
      <x:c r="A519" s="10" t="str">
        <x:v>T-EXEC</x:v>
      </x:c>
      <x:c r="B519" s="10" t="str">
        <x:v>TEXT</x:v>
      </x:c>
      <x:c r="C519" s="10" t="str">
        <x:v>TEXT:SYN-F09-06</x:v>
      </x:c>
      <x:c r="D519" s="10" t="str">
        <x:v>TEXT:SYN-F09-06-U02</x:v>
      </x:c>
      <x:c r="E519" s="10" t="str">
        <x:v>T-F09</x:v>
      </x:c>
      <x:c r="F519" s="10" t="n">
        <x:v>2</x:v>
      </x:c>
      <x:c r="G519" s="11" t="n">
        <x:v>2.56125</x:v>
      </x:c>
      <x:c r="H519" s="11" t="n">
        <x:v>5.147536</x:v>
      </x:c>
      <x:c r="I519" s="11" t="n">
        <x:f>H519-G519</x:f>
        <x:v>2.586286</x:v>
      </x:c>
      <x:c r="J519" s="10" t="str">
        <x:v>방금 추가된 검토 메모에서 이번 설명회에 더 맞는다고 한 쪽으로 자료를 바꿔줘. 홍보물 인쇄비는 빼고 나머지 작성 조건은 유지해.</x:v>
      </x:c>
      <x:c r="K519" s="10" t="str">
        <x:v>별빛 채용행사 준비 행사 운영 발표자료 작성 위임에 이번 조건을 적용하겠습니다: 참여기업 안내회용, 8장 이내, 현장 대기 20분 이하, 대상 기간 행사 2일, 외부 발송 없음, 홍보물 인쇄비 제외. 대상의 최종 연결은 현재 조회 결과와 함께 확정합니다.</x:v>
      </x:c>
      <x:c r="L519" s="11"/>
      <x:c r="M519" s="11"/>
      <x:c r="N519" s="10" t="str">
        <x:v>NOT_MODELED</x:v>
      </x:c>
    </x:row>
    <x:row r="520" ht="85" customHeight="1">
      <x:c r="A520" s="10" t="str">
        <x:v>T-REL</x:v>
      </x:c>
      <x:c r="B520" s="10" t="str">
        <x:v>TEXT</x:v>
      </x:c>
      <x:c r="C520" s="10" t="str">
        <x:v>TEXT:SYN-F09-06</x:v>
      </x:c>
      <x:c r="D520" s="10" t="str">
        <x:v>TEXT:SYN-F09-06-U01</x:v>
      </x:c>
      <x:c r="E520" s="10" t="str">
        <x:v>T-F09</x:v>
      </x:c>
      <x:c r="F520" s="10" t="n">
        <x:v>1</x:v>
      </x:c>
      <x:c r="G520" s="11" t="n">
        <x:v>0</x:v>
      </x:c>
      <x:c r="H520" s="11" t="n">
        <x:v>2.340536</x:v>
      </x:c>
      <x:c r="I520" s="11" t="n">
        <x:f>H520-G520</x:f>
        <x:v>2.340536</x:v>
      </x:c>
      <x:c r="J520" s="10" t="str">
        <x:v>SYN-F09-06:D2@v1를 기준으로 행사 운영 발표자료를 8장 이내로 만들어줘. 참여기업 안내회용이고 현장 대기 20분 이하, 행사 2일 기준이야. 외부 발송은 하지 마.</x:v>
      </x:c>
      <x:c r="K520" s="10" t="str">
        <x:v>SYN-F09-06:D2@v1의 구성을 기준으로 참여기업 안내회용 행사 운영 발표자료를 8장 이내로 작성하도록 준비하겠습니다.</x:v>
      </x:c>
      <x:c r="L520" s="11"/>
      <x:c r="M520" s="11"/>
      <x:c r="N520" s="10" t="str">
        <x:v>NOT_MODELED</x:v>
      </x:c>
    </x:row>
    <x:row r="521" ht="85" customHeight="1">
      <x:c r="A521" s="10" t="str">
        <x:v>T-REL</x:v>
      </x:c>
      <x:c r="B521" s="10" t="str">
        <x:v>TEXT</x:v>
      </x:c>
      <x:c r="C521" s="10" t="str">
        <x:v>TEXT:SYN-F09-06</x:v>
      </x:c>
      <x:c r="D521" s="10" t="str">
        <x:v>TEXT:SYN-F09-06-U02</x:v>
      </x:c>
      <x:c r="E521" s="10" t="str">
        <x:v>T-F09</x:v>
      </x:c>
      <x:c r="F521" s="10" t="n">
        <x:v>2</x:v>
      </x:c>
      <x:c r="G521" s="11" t="n">
        <x:v>2.690536</x:v>
      </x:c>
      <x:c r="H521" s="11" t="n">
        <x:v>6.573322</x:v>
      </x:c>
      <x:c r="I521" s="11" t="n">
        <x:f>H521-G521</x:f>
        <x:v>3.8827860000000003</x:v>
      </x:c>
      <x:c r="J521" s="10" t="str">
        <x:v>방금 추가된 검토 메모에서 이번 설명회에 더 맞는다고 한 쪽으로 자료를 바꿔줘. 홍보물 인쇄비는 빼고 나머지 작성 조건은 유지해.</x:v>
      </x:c>
      <x:c r="K521" s="10" t="str">
        <x:v>SYN-F09-06:D2@v1에 대해 별빛 채용행사 준비 행사 운영 발표자료 작성 위임을 진행하겠습니다. 적용 조건: 참여기업 안내회용, 8장 이내, 현장 대기 20분 이하, 대상 기간 행사 2일, 외부 발송 없음, 홍보물 인쇄비 제외. 내용 출처: SYN-F09-06:D2@v1.</x:v>
      </x:c>
      <x:c r="L521" s="11"/>
      <x:c r="M521" s="11"/>
      <x:c r="N521" s="10" t="str">
        <x:v>NOT_MODELED</x:v>
      </x:c>
    </x:row>
    <x:row r="522" ht="85" customHeight="1">
      <x:c r="A522" s="10" t="str">
        <x:v>T-BASE</x:v>
      </x:c>
      <x:c r="B522" s="10" t="str">
        <x:v>TEXT</x:v>
      </x:c>
      <x:c r="C522" s="10" t="str">
        <x:v>TEXT:SYN-F09-07</x:v>
      </x:c>
      <x:c r="D522" s="10" t="str">
        <x:v>TEXT:SYN-F09-07-U01</x:v>
      </x:c>
      <x:c r="E522" s="10" t="str">
        <x:v>T-F09</x:v>
      </x:c>
      <x:c r="F522" s="10" t="n">
        <x:v>1</x:v>
      </x:c>
      <x:c r="G522" s="11" t="n">
        <x:v>0</x:v>
      </x:c>
      <x:c r="H522" s="11" t="n">
        <x:v>2.174071</x:v>
      </x:c>
      <x:c r="I522" s="11" t="n">
        <x:f>H522-G522</x:f>
        <x:v>2.174071</x:v>
      </x:c>
      <x:c r="J522" s="10" t="str">
        <x:v>SYN-F09-07:D1@v1를 기준으로 검사 개선 발표자료를 6장 이내로 만들어줘. 납품처 품질설명회용이고 샘플 검사 45분 이하, 다음 8주 기준이야. 외부 발송은 하지 마.</x:v>
      </x:c>
      <x:c r="K522" s="10" t="str">
        <x:v>SYN-F09-07:D1@v1의 구성을 기준으로 납품처 품질설명회용 검사 개선 발표자료를 6장 이내로 작성하도록 준비하겠습니다.</x:v>
      </x:c>
      <x:c r="L522" s="11"/>
      <x:c r="M522" s="11"/>
      <x:c r="N522" s="10" t="str">
        <x:v>NOT_MODELED</x:v>
      </x:c>
    </x:row>
    <x:row r="523" ht="85" customHeight="1">
      <x:c r="A523" s="10" t="str">
        <x:v>T-BASE</x:v>
      </x:c>
      <x:c r="B523" s="10" t="str">
        <x:v>TEXT</x:v>
      </x:c>
      <x:c r="C523" s="10" t="str">
        <x:v>TEXT:SYN-F09-07</x:v>
      </x:c>
      <x:c r="D523" s="10" t="str">
        <x:v>TEXT:SYN-F09-07-U02</x:v>
      </x:c>
      <x:c r="E523" s="10" t="str">
        <x:v>T-F09</x:v>
      </x:c>
      <x:c r="F523" s="10" t="n">
        <x:v>2</x:v>
      </x:c>
      <x:c r="G523" s="11" t="n">
        <x:v>2.524071</x:v>
      </x:c>
      <x:c r="H523" s="11" t="n">
        <x:v>6.298535</x:v>
      </x:c>
      <x:c r="I523" s="11" t="n">
        <x:f>H523-G523</x:f>
        <x:v>3.774464</x:v>
      </x:c>
      <x:c r="J523" s="10" t="str">
        <x:v>방금 추가된 검토 메모에서 이번 설명회에 더 맞는다고 한 쪽으로 자료를 바꿔줘. 검사장비 구입비는 빼고 나머지 작성 조건은 유지해.</x:v>
      </x:c>
      <x:c r="K523" s="10" t="str">
        <x:v>방금 추가된 검토 메모가 평가한 SYN-F09-07:D3@v1로 기존 작성 대상을 바꾸고 검사장비 구입비 제외 조건을 적용하겠습니다.</x:v>
      </x:c>
      <x:c r="L523" s="11"/>
      <x:c r="M523" s="11"/>
      <x:c r="N523" s="10" t="str">
        <x:v>NOT_MODELED</x:v>
      </x:c>
    </x:row>
    <x:row r="524" ht="85" customHeight="1">
      <x:c r="A524" s="10" t="str">
        <x:v>T-EXEC</x:v>
      </x:c>
      <x:c r="B524" s="10" t="str">
        <x:v>TEXT</x:v>
      </x:c>
      <x:c r="C524" s="10" t="str">
        <x:v>TEXT:SYN-F09-07</x:v>
      </x:c>
      <x:c r="D524" s="10" t="str">
        <x:v>TEXT:SYN-F09-07-U01</x:v>
      </x:c>
      <x:c r="E524" s="10" t="str">
        <x:v>T-F09</x:v>
      </x:c>
      <x:c r="F524" s="10" t="n">
        <x:v>1</x:v>
      </x:c>
      <x:c r="G524" s="11" t="n">
        <x:v>0</x:v>
      </x:c>
      <x:c r="H524" s="11" t="n">
        <x:v>2.174071</x:v>
      </x:c>
      <x:c r="I524" s="11" t="n">
        <x:f>H524-G524</x:f>
        <x:v>2.174071</x:v>
      </x:c>
      <x:c r="J524" s="10" t="str">
        <x:v>SYN-F09-07:D1@v1를 기준으로 검사 개선 발표자료를 6장 이내로 만들어줘. 납품처 품질설명회용이고 샘플 검사 45분 이하, 다음 8주 기준이야. 외부 발송은 하지 마.</x:v>
      </x:c>
      <x:c r="K524" s="10" t="str">
        <x:v>SYN-F09-07:D1@v1의 구성을 기준으로 납품처 품질설명회용 검사 개선 발표자료를 6장 이내로 작성하도록 준비하겠습니다.</x:v>
      </x:c>
      <x:c r="L524" s="11"/>
      <x:c r="M524" s="11"/>
      <x:c r="N524" s="10" t="str">
        <x:v>NOT_MODELED</x:v>
      </x:c>
    </x:row>
    <x:row r="525" ht="85" customHeight="1">
      <x:c r="A525" s="10" t="str">
        <x:v>T-EXEC</x:v>
      </x:c>
      <x:c r="B525" s="10" t="str">
        <x:v>TEXT</x:v>
      </x:c>
      <x:c r="C525" s="10" t="str">
        <x:v>TEXT:SYN-F09-07</x:v>
      </x:c>
      <x:c r="D525" s="10" t="str">
        <x:v>TEXT:SYN-F09-07-U02</x:v>
      </x:c>
      <x:c r="E525" s="10" t="str">
        <x:v>T-F09</x:v>
      </x:c>
      <x:c r="F525" s="10" t="n">
        <x:v>2</x:v>
      </x:c>
      <x:c r="G525" s="11" t="n">
        <x:v>2.524071</x:v>
      </x:c>
      <x:c r="H525" s="11" t="n">
        <x:v>5.064106</x:v>
      </x:c>
      <x:c r="I525" s="11" t="n">
        <x:f>H525-G525</x:f>
        <x:v>2.5400349999999996</x:v>
      </x:c>
      <x:c r="J525" s="10" t="str">
        <x:v>방금 추가된 검토 메모에서 이번 설명회에 더 맞는다고 한 쪽으로 자료를 바꿔줘. 검사장비 구입비는 빼고 나머지 작성 조건은 유지해.</x:v>
      </x:c>
      <x:c r="K525" s="10" t="str">
        <x:v>청솔 부품검사 개선 검사 개선 발표자료 작성 위임에 이번 조건을 적용하겠습니다: 납품처 품질설명회용, 6장 이내, 샘플 검사 45분 이하, 대상 기간 다음 8주, 외부 발송 없음, 검사장비 구입비 제외. 대상의 최종 연결은 현재 조회 결과와 함께 확정합니다.</x:v>
      </x:c>
      <x:c r="L525" s="11"/>
      <x:c r="M525" s="11"/>
      <x:c r="N525" s="10" t="str">
        <x:v>NOT_MODELED</x:v>
      </x:c>
    </x:row>
    <x:row r="526" ht="85" customHeight="1">
      <x:c r="A526" s="10" t="str">
        <x:v>T-REL</x:v>
      </x:c>
      <x:c r="B526" s="10" t="str">
        <x:v>TEXT</x:v>
      </x:c>
      <x:c r="C526" s="10" t="str">
        <x:v>TEXT:SYN-F09-07</x:v>
      </x:c>
      <x:c r="D526" s="10" t="str">
        <x:v>TEXT:SYN-F09-07-U01</x:v>
      </x:c>
      <x:c r="E526" s="10" t="str">
        <x:v>T-F09</x:v>
      </x:c>
      <x:c r="F526" s="10" t="n">
        <x:v>1</x:v>
      </x:c>
      <x:c r="G526" s="11" t="n">
        <x:v>0</x:v>
      </x:c>
      <x:c r="H526" s="11" t="n">
        <x:v>2.303357</x:v>
      </x:c>
      <x:c r="I526" s="11" t="n">
        <x:f>H526-G526</x:f>
        <x:v>2.303357</x:v>
      </x:c>
      <x:c r="J526" s="10" t="str">
        <x:v>SYN-F09-07:D1@v1를 기준으로 검사 개선 발표자료를 6장 이내로 만들어줘. 납품처 품질설명회용이고 샘플 검사 45분 이하, 다음 8주 기준이야. 외부 발송은 하지 마.</x:v>
      </x:c>
      <x:c r="K526" s="10" t="str">
        <x:v>SYN-F09-07:D1@v1의 구성을 기준으로 납품처 품질설명회용 검사 개선 발표자료를 6장 이내로 작성하도록 준비하겠습니다.</x:v>
      </x:c>
      <x:c r="L526" s="11"/>
      <x:c r="M526" s="11"/>
      <x:c r="N526" s="10" t="str">
        <x:v>NOT_MODELED</x:v>
      </x:c>
    </x:row>
    <x:row r="527" ht="85" customHeight="1">
      <x:c r="A527" s="10" t="str">
        <x:v>T-REL</x:v>
      </x:c>
      <x:c r="B527" s="10" t="str">
        <x:v>TEXT</x:v>
      </x:c>
      <x:c r="C527" s="10" t="str">
        <x:v>TEXT:SYN-F09-07</x:v>
      </x:c>
      <x:c r="D527" s="10" t="str">
        <x:v>TEXT:SYN-F09-07-U02</x:v>
      </x:c>
      <x:c r="E527" s="10" t="str">
        <x:v>T-F09</x:v>
      </x:c>
      <x:c r="F527" s="10" t="n">
        <x:v>2</x:v>
      </x:c>
      <x:c r="G527" s="11" t="n">
        <x:v>2.653357</x:v>
      </x:c>
      <x:c r="H527" s="11" t="n">
        <x:v>6.543964</x:v>
      </x:c>
      <x:c r="I527" s="11" t="n">
        <x:f>H527-G527</x:f>
        <x:v>3.8906069999999997</x:v>
      </x:c>
      <x:c r="J527" s="10" t="str">
        <x:v>방금 추가된 검토 메모에서 이번 설명회에 더 맞는다고 한 쪽으로 자료를 바꿔줘. 검사장비 구입비는 빼고 나머지 작성 조건은 유지해.</x:v>
      </x:c>
      <x:c r="K527" s="10" t="str">
        <x:v>방금 추가된 검토 메모가 평가한 SYN-F09-07:D3@v1로 기존 작성 대상을 바꾸고 검사장비 구입비 제외 조건을 적용하겠습니다.</x:v>
      </x:c>
      <x:c r="L527" s="11"/>
      <x:c r="M527" s="11"/>
      <x:c r="N527" s="10" t="str">
        <x:v>NOT_MODELED</x:v>
      </x:c>
    </x:row>
    <x:row r="528" ht="85" customHeight="1">
      <x:c r="A528" s="10" t="str">
        <x:v>T-BASE</x:v>
      </x:c>
      <x:c r="B528" s="10" t="str">
        <x:v>TEXT</x:v>
      </x:c>
      <x:c r="C528" s="10" t="str">
        <x:v>TEXT:SYN-F09-08</x:v>
      </x:c>
      <x:c r="D528" s="10" t="str">
        <x:v>TEXT:SYN-F09-08-U01</x:v>
      </x:c>
      <x:c r="E528" s="10" t="str">
        <x:v>T-F09</x:v>
      </x:c>
      <x:c r="F528" s="10" t="n">
        <x:v>1</x:v>
      </x:c>
      <x:c r="G528" s="11" t="n">
        <x:v>0</x:v>
      </x:c>
      <x:c r="H528" s="11" t="n">
        <x:v>2.211893</x:v>
      </x:c>
      <x:c r="I528" s="11" t="n">
        <x:f>H528-G528</x:f>
        <x:v>2.211893</x:v>
      </x:c>
      <x:c r="J528" s="10" t="str">
        <x:v>SYN-F09-08:D3@v1를 기준으로 캠페인 계획 발표자료를 4장 이내로 만들어줘. 지역 파트너 설명회용이고 안내문 500자 이하, 운영 5주 기준이야. 외부 발송은 하지 마.</x:v>
      </x:c>
      <x:c r="K528" s="10" t="str">
        <x:v>SYN-F09-08:D3@v1의 구성을 기준으로 지역 파트너 설명회용 캠페인 계획 발표자료를 4장 이내로 작성하도록 준비하겠습니다.</x:v>
      </x:c>
      <x:c r="L528" s="11"/>
      <x:c r="M528" s="11"/>
      <x:c r="N528" s="10" t="str">
        <x:v>NOT_MODELED</x:v>
      </x:c>
    </x:row>
    <x:row r="529" ht="85" customHeight="1">
      <x:c r="A529" s="10" t="str">
        <x:v>T-BASE</x:v>
      </x:c>
      <x:c r="B529" s="10" t="str">
        <x:v>TEXT</x:v>
      </x:c>
      <x:c r="C529" s="10" t="str">
        <x:v>TEXT:SYN-F09-08</x:v>
      </x:c>
      <x:c r="D529" s="10" t="str">
        <x:v>TEXT:SYN-F09-08-U02</x:v>
      </x:c>
      <x:c r="E529" s="10" t="str">
        <x:v>T-F09</x:v>
      </x:c>
      <x:c r="F529" s="10" t="n">
        <x:v>2</x:v>
      </x:c>
      <x:c r="G529" s="11" t="n">
        <x:v>2.561893</x:v>
      </x:c>
      <x:c r="H529" s="11" t="n">
        <x:v>6.419179</x:v>
      </x:c>
      <x:c r="I529" s="11" t="n">
        <x:f>H529-G529</x:f>
        <x:v>3.8572859999999998</x:v>
      </x:c>
      <x:c r="J529" s="10" t="str">
        <x:v>방금 추가된 검토 메모에서 이번 설명회에 더 맞는다고 한 쪽으로 자료를 바꿔줘. 일회성 촬영비는 빼고 나머지 작성 조건은 유지해.</x:v>
      </x:c>
      <x:c r="K529" s="10" t="str">
        <x:v>방금 추가된 검토 메모가 평가한 SYN-F09-08:D2@v1로 기존 작성 대상을 바꾸고 일회성 촬영비 제외 조건을 적용하겠습니다.</x:v>
      </x:c>
      <x:c r="L529" s="11"/>
      <x:c r="M529" s="11"/>
      <x:c r="N529" s="10" t="str">
        <x:v>NOT_MODELED</x:v>
      </x:c>
    </x:row>
    <x:row r="530" ht="85" customHeight="1">
      <x:c r="A530" s="10" t="str">
        <x:v>T-EXEC</x:v>
      </x:c>
      <x:c r="B530" s="10" t="str">
        <x:v>TEXT</x:v>
      </x:c>
      <x:c r="C530" s="10" t="str">
        <x:v>TEXT:SYN-F09-08</x:v>
      </x:c>
      <x:c r="D530" s="10" t="str">
        <x:v>TEXT:SYN-F09-08-U01</x:v>
      </x:c>
      <x:c r="E530" s="10" t="str">
        <x:v>T-F09</x:v>
      </x:c>
      <x:c r="F530" s="10" t="n">
        <x:v>1</x:v>
      </x:c>
      <x:c r="G530" s="11" t="n">
        <x:v>0</x:v>
      </x:c>
      <x:c r="H530" s="11" t="n">
        <x:v>2.211893</x:v>
      </x:c>
      <x:c r="I530" s="11" t="n">
        <x:f>H530-G530</x:f>
        <x:v>2.211893</x:v>
      </x:c>
      <x:c r="J530" s="10" t="str">
        <x:v>SYN-F09-08:D3@v1를 기준으로 캠페인 계획 발표자료를 4장 이내로 만들어줘. 지역 파트너 설명회용이고 안내문 500자 이하, 운영 5주 기준이야. 외부 발송은 하지 마.</x:v>
      </x:c>
      <x:c r="K530" s="10" t="str">
        <x:v>SYN-F09-08:D3@v1의 구성을 기준으로 지역 파트너 설명회용 캠페인 계획 발표자료를 4장 이내로 작성하도록 준비하겠습니다.</x:v>
      </x:c>
      <x:c r="L530" s="11"/>
      <x:c r="M530" s="11"/>
      <x:c r="N530" s="10" t="str">
        <x:v>NOT_MODELED</x:v>
      </x:c>
    </x:row>
    <x:row r="531" ht="85" customHeight="1">
      <x:c r="A531" s="10" t="str">
        <x:v>T-EXEC</x:v>
      </x:c>
      <x:c r="B531" s="10" t="str">
        <x:v>TEXT</x:v>
      </x:c>
      <x:c r="C531" s="10" t="str">
        <x:v>TEXT:SYN-F09-08</x:v>
      </x:c>
      <x:c r="D531" s="10" t="str">
        <x:v>TEXT:SYN-F09-08-U02</x:v>
      </x:c>
      <x:c r="E531" s="10" t="str">
        <x:v>T-F09</x:v>
      </x:c>
      <x:c r="F531" s="10" t="n">
        <x:v>2</x:v>
      </x:c>
      <x:c r="G531" s="11" t="n">
        <x:v>2.561893</x:v>
      </x:c>
      <x:c r="H531" s="11" t="n">
        <x:v>5.149429</x:v>
      </x:c>
      <x:c r="I531" s="11" t="n">
        <x:f>H531-G531</x:f>
        <x:v>2.5875359999999996</x:v>
      </x:c>
      <x:c r="J531" s="10" t="str">
        <x:v>방금 추가된 검토 메모에서 이번 설명회에 더 맞는다고 한 쪽으로 자료를 바꿔줘. 일회성 촬영비는 빼고 나머지 작성 조건은 유지해.</x:v>
      </x:c>
      <x:c r="K531" s="10" t="str">
        <x:v>노을 서비스 캠페인 캠페인 계획 발표자료 작성 위임에 이번 조건을 적용하겠습니다: 지역 파트너 설명회용, 4장 이내, 안내문 500자 이하, 대상 기간 운영 5주, 외부 발송 없음, 일회성 촬영비 제외. 대상의 최종 연결은 현재 조회 결과와 함께 확정합니다.</x:v>
      </x:c>
      <x:c r="L531" s="11"/>
      <x:c r="M531" s="11"/>
      <x:c r="N531" s="10" t="str">
        <x:v>NOT_MODELED</x:v>
      </x:c>
    </x:row>
    <x:row r="532" ht="85" customHeight="1">
      <x:c r="A532" s="10" t="str">
        <x:v>T-REL</x:v>
      </x:c>
      <x:c r="B532" s="10" t="str">
        <x:v>TEXT</x:v>
      </x:c>
      <x:c r="C532" s="10" t="str">
        <x:v>TEXT:SYN-F09-08</x:v>
      </x:c>
      <x:c r="D532" s="10" t="str">
        <x:v>TEXT:SYN-F09-08-U01</x:v>
      </x:c>
      <x:c r="E532" s="10" t="str">
        <x:v>T-F09</x:v>
      </x:c>
      <x:c r="F532" s="10" t="n">
        <x:v>1</x:v>
      </x:c>
      <x:c r="G532" s="11" t="n">
        <x:v>0</x:v>
      </x:c>
      <x:c r="H532" s="11" t="n">
        <x:v>2.341179</x:v>
      </x:c>
      <x:c r="I532" s="11" t="n">
        <x:f>H532-G532</x:f>
        <x:v>2.341179</x:v>
      </x:c>
      <x:c r="J532" s="10" t="str">
        <x:v>SYN-F09-08:D3@v1를 기준으로 캠페인 계획 발표자료를 4장 이내로 만들어줘. 지역 파트너 설명회용이고 안내문 500자 이하, 운영 5주 기준이야. 외부 발송은 하지 마.</x:v>
      </x:c>
      <x:c r="K532" s="10" t="str">
        <x:v>SYN-F09-08:D3@v1의 구성을 기준으로 지역 파트너 설명회용 캠페인 계획 발표자료를 4장 이내로 작성하도록 준비하겠습니다.</x:v>
      </x:c>
      <x:c r="L532" s="11"/>
      <x:c r="M532" s="11"/>
      <x:c r="N532" s="10" t="str">
        <x:v>NOT_MODELED</x:v>
      </x:c>
    </x:row>
    <x:row r="533" ht="85" customHeight="1">
      <x:c r="A533" s="10" t="str">
        <x:v>T-REL</x:v>
      </x:c>
      <x:c r="B533" s="10" t="str">
        <x:v>TEXT</x:v>
      </x:c>
      <x:c r="C533" s="10" t="str">
        <x:v>TEXT:SYN-F09-08</x:v>
      </x:c>
      <x:c r="D533" s="10" t="str">
        <x:v>TEXT:SYN-F09-08-U02</x:v>
      </x:c>
      <x:c r="E533" s="10" t="str">
        <x:v>T-F09</x:v>
      </x:c>
      <x:c r="F533" s="10" t="n">
        <x:v>2</x:v>
      </x:c>
      <x:c r="G533" s="11" t="n">
        <x:v>2.691179</x:v>
      </x:c>
      <x:c r="H533" s="11" t="n">
        <x:v>6.664608</x:v>
      </x:c>
      <x:c r="I533" s="11" t="n">
        <x:f>H533-G533</x:f>
        <x:v>3.9734290000000003</x:v>
      </x:c>
      <x:c r="J533" s="10" t="str">
        <x:v>방금 추가된 검토 메모에서 이번 설명회에 더 맞는다고 한 쪽으로 자료를 바꿔줘. 일회성 촬영비는 빼고 나머지 작성 조건은 유지해.</x:v>
      </x:c>
      <x:c r="K533" s="10" t="str">
        <x:v>방금 추가된 검토 메모가 평가한 SYN-F09-08:D2@v1로 기존 작성 대상을 바꾸고 일회성 촬영비 제외 조건을 적용하겠습니다.</x:v>
      </x:c>
      <x:c r="L533" s="11"/>
      <x:c r="M533" s="11"/>
      <x:c r="N533" s="10" t="str">
        <x:v>NOT_MODELED</x:v>
      </x:c>
    </x:row>
    <x:row r="534" ht="85" customHeight="1">
      <x:c r="A534" s="10" t="str">
        <x:v>T-BASE</x:v>
      </x:c>
      <x:c r="B534" s="10" t="str">
        <x:v>TEXT</x:v>
      </x:c>
      <x:c r="C534" s="10" t="str">
        <x:v>TEXT:SYN-F09-09</x:v>
      </x:c>
      <x:c r="D534" s="10" t="str">
        <x:v>TEXT:SYN-F09-09-U01</x:v>
      </x:c>
      <x:c r="E534" s="10" t="str">
        <x:v>T-F09</x:v>
      </x:c>
      <x:c r="F534" s="10" t="n">
        <x:v>1</x:v>
      </x:c>
      <x:c r="G534" s="11" t="n">
        <x:v>0</x:v>
      </x:c>
      <x:c r="H534" s="11" t="n">
        <x:v>2.224714</x:v>
      </x:c>
      <x:c r="I534" s="11" t="n">
        <x:f>H534-G534</x:f>
        <x:v>2.224714</x:v>
      </x:c>
      <x:c r="J534" s="10" t="str">
        <x:v>SYN-F09-09:D2@v1를 기준으로 배치 변경 발표자료를 7장 이내로 만들어줘. 배송 협력사 설명회용이고 주문당 이동 180m 이하, 적용 후 4주 기준이야. 외부 발송은 하지 마.</x:v>
      </x:c>
      <x:c r="K534" s="10" t="str">
        <x:v>SYN-F09-09:D2@v1의 구성을 기준으로 배송 협력사 설명회용 배치 변경 발표자료를 7장 이내로 작성하도록 준비하겠습니다.</x:v>
      </x:c>
      <x:c r="L534" s="11"/>
      <x:c r="M534" s="11"/>
      <x:c r="N534" s="10" t="str">
        <x:v>NOT_MODELED</x:v>
      </x:c>
    </x:row>
    <x:row r="535" ht="85" customHeight="1">
      <x:c r="A535" s="10" t="str">
        <x:v>T-BASE</x:v>
      </x:c>
      <x:c r="B535" s="10" t="str">
        <x:v>TEXT</x:v>
      </x:c>
      <x:c r="C535" s="10" t="str">
        <x:v>TEXT:SYN-F09-09</x:v>
      </x:c>
      <x:c r="D535" s="10" t="str">
        <x:v>TEXT:SYN-F09-09-U02</x:v>
      </x:c>
      <x:c r="E535" s="10" t="str">
        <x:v>T-F09</x:v>
      </x:c>
      <x:c r="F535" s="10" t="n">
        <x:v>2</x:v>
      </x:c>
      <x:c r="G535" s="11" t="n">
        <x:v>2.574714</x:v>
      </x:c>
      <x:c r="H535" s="11" t="n">
        <x:v>6.489821</x:v>
      </x:c>
      <x:c r="I535" s="11" t="n">
        <x:f>H535-G535</x:f>
        <x:v>3.915107</x:v>
      </x:c>
      <x:c r="J535" s="10" t="str">
        <x:v>방금 추가된 검토 메모에서 이번 설명회에 더 맞는다고 한 쪽으로 자료를 바꿔줘. 선반 구매비는 빼고 나머지 작성 조건은 유지해.</x:v>
      </x:c>
      <x:c r="K535" s="10" t="str">
        <x:v>방금 추가된 검토 메모가 평가한 SYN-F09-09:D1@v1로 기존 작성 대상을 바꾸고 선반 구매비 제외 조건을 적용하겠습니다.</x:v>
      </x:c>
      <x:c r="L535" s="11"/>
      <x:c r="M535" s="11"/>
      <x:c r="N535" s="10" t="str">
        <x:v>NOT_MODELED</x:v>
      </x:c>
    </x:row>
    <x:row r="536" ht="85" customHeight="1">
      <x:c r="A536" s="10" t="str">
        <x:v>T-EXEC</x:v>
      </x:c>
      <x:c r="B536" s="10" t="str">
        <x:v>TEXT</x:v>
      </x:c>
      <x:c r="C536" s="10" t="str">
        <x:v>TEXT:SYN-F09-09</x:v>
      </x:c>
      <x:c r="D536" s="10" t="str">
        <x:v>TEXT:SYN-F09-09-U01</x:v>
      </x:c>
      <x:c r="E536" s="10" t="str">
        <x:v>T-F09</x:v>
      </x:c>
      <x:c r="F536" s="10" t="n">
        <x:v>1</x:v>
      </x:c>
      <x:c r="G536" s="11" t="n">
        <x:v>0</x:v>
      </x:c>
      <x:c r="H536" s="11" t="n">
        <x:v>2.224714</x:v>
      </x:c>
      <x:c r="I536" s="11" t="n">
        <x:f>H536-G536</x:f>
        <x:v>2.224714</x:v>
      </x:c>
      <x:c r="J536" s="10" t="str">
        <x:v>SYN-F09-09:D2@v1를 기준으로 배치 변경 발표자료를 7장 이내로 만들어줘. 배송 협력사 설명회용이고 주문당 이동 180m 이하, 적용 후 4주 기준이야. 외부 발송은 하지 마.</x:v>
      </x:c>
      <x:c r="K536" s="10" t="str">
        <x:v>SYN-F09-09:D2@v1의 구성을 기준으로 배송 협력사 설명회용 배치 변경 발표자료를 7장 이내로 작성하도록 준비하겠습니다.</x:v>
      </x:c>
      <x:c r="L536" s="11"/>
      <x:c r="M536" s="11"/>
      <x:c r="N536" s="10" t="str">
        <x:v>NOT_MODELED</x:v>
      </x:c>
    </x:row>
    <x:row r="537" ht="85" customHeight="1">
      <x:c r="A537" s="10" t="str">
        <x:v>T-EXEC</x:v>
      </x:c>
      <x:c r="B537" s="10" t="str">
        <x:v>TEXT</x:v>
      </x:c>
      <x:c r="C537" s="10" t="str">
        <x:v>TEXT:SYN-F09-09</x:v>
      </x:c>
      <x:c r="D537" s="10" t="str">
        <x:v>TEXT:SYN-F09-09-U02</x:v>
      </x:c>
      <x:c r="E537" s="10" t="str">
        <x:v>T-F09</x:v>
      </x:c>
      <x:c r="F537" s="10" t="n">
        <x:v>2</x:v>
      </x:c>
      <x:c r="G537" s="11" t="n">
        <x:v>2.574714</x:v>
      </x:c>
      <x:c r="H537" s="11" t="n">
        <x:v>5.18475</x:v>
      </x:c>
      <x:c r="I537" s="11" t="n">
        <x:f>H537-G537</x:f>
        <x:v>2.610036</x:v>
      </x:c>
      <x:c r="J537" s="10" t="str">
        <x:v>방금 추가된 검토 메모에서 이번 설명회에 더 맞는다고 한 쪽으로 자료를 바꿔줘. 선반 구매비는 빼고 나머지 작성 조건은 유지해.</x:v>
      </x:c>
      <x:c r="K537" s="10" t="str">
        <x:v>파도 창고배치 변경 배치 변경 발표자료 작성 위임에 이번 조건을 적용하겠습니다: 배송 협력사 설명회용, 7장 이내, 주문당 이동 180m 이하, 대상 기간 적용 후 4주, 외부 발송 없음, 선반 구매비 제외. 대상의 최종 연결은 현재 조회 결과와 함께 확정합니다.</x:v>
      </x:c>
      <x:c r="L537" s="11"/>
      <x:c r="M537" s="11"/>
      <x:c r="N537" s="10" t="str">
        <x:v>NOT_MODELED</x:v>
      </x:c>
    </x:row>
    <x:row r="538" ht="85" customHeight="1">
      <x:c r="A538" s="10" t="str">
        <x:v>T-REL</x:v>
      </x:c>
      <x:c r="B538" s="10" t="str">
        <x:v>TEXT</x:v>
      </x:c>
      <x:c r="C538" s="10" t="str">
        <x:v>TEXT:SYN-F09-09</x:v>
      </x:c>
      <x:c r="D538" s="10" t="str">
        <x:v>TEXT:SYN-F09-09-U01</x:v>
      </x:c>
      <x:c r="E538" s="10" t="str">
        <x:v>T-F09</x:v>
      </x:c>
      <x:c r="F538" s="10" t="n">
        <x:v>1</x:v>
      </x:c>
      <x:c r="G538" s="11" t="n">
        <x:v>0</x:v>
      </x:c>
      <x:c r="H538" s="11" t="n">
        <x:v>2.354</x:v>
      </x:c>
      <x:c r="I538" s="11" t="n">
        <x:f>H538-G538</x:f>
        <x:v>2.354</x:v>
      </x:c>
      <x:c r="J538" s="10" t="str">
        <x:v>SYN-F09-09:D2@v1를 기준으로 배치 변경 발표자료를 7장 이내로 만들어줘. 배송 협력사 설명회용이고 주문당 이동 180m 이하, 적용 후 4주 기준이야. 외부 발송은 하지 마.</x:v>
      </x:c>
      <x:c r="K538" s="10" t="str">
        <x:v>SYN-F09-09:D2@v1의 구성을 기준으로 배송 협력사 설명회용 배치 변경 발표자료를 7장 이내로 작성하도록 준비하겠습니다.</x:v>
      </x:c>
      <x:c r="L538" s="11"/>
      <x:c r="M538" s="11"/>
      <x:c r="N538" s="10" t="str">
        <x:v>NOT_MODELED</x:v>
      </x:c>
    </x:row>
    <x:row r="539" ht="85" customHeight="1">
      <x:c r="A539" s="10" t="str">
        <x:v>T-REL</x:v>
      </x:c>
      <x:c r="B539" s="10" t="str">
        <x:v>TEXT</x:v>
      </x:c>
      <x:c r="C539" s="10" t="str">
        <x:v>TEXT:SYN-F09-09</x:v>
      </x:c>
      <x:c r="D539" s="10" t="str">
        <x:v>TEXT:SYN-F09-09-U02</x:v>
      </x:c>
      <x:c r="E539" s="10" t="str">
        <x:v>T-F09</x:v>
      </x:c>
      <x:c r="F539" s="10" t="n">
        <x:v>2</x:v>
      </x:c>
      <x:c r="G539" s="11" t="n">
        <x:v>2.704</x:v>
      </x:c>
      <x:c r="H539" s="11" t="n">
        <x:v>6.73525</x:v>
      </x:c>
      <x:c r="I539" s="11" t="n">
        <x:f>H539-G539</x:f>
        <x:v>4.03125</x:v>
      </x:c>
      <x:c r="J539" s="10" t="str">
        <x:v>방금 추가된 검토 메모에서 이번 설명회에 더 맞는다고 한 쪽으로 자료를 바꿔줘. 선반 구매비는 빼고 나머지 작성 조건은 유지해.</x:v>
      </x:c>
      <x:c r="K539" s="10" t="str">
        <x:v>방금 추가된 검토 메모가 평가한 SYN-F09-09:D1@v1로 기존 작성 대상을 바꾸고 선반 구매비 제외 조건을 적용하겠습니다.</x:v>
      </x:c>
      <x:c r="L539" s="11"/>
      <x:c r="M539" s="11"/>
      <x:c r="N539" s="10" t="str">
        <x:v>NOT_MODELED</x:v>
      </x:c>
    </x:row>
    <x:row r="540" ht="85" customHeight="1">
      <x:c r="A540" s="10" t="str">
        <x:v>T-BASE</x:v>
      </x:c>
      <x:c r="B540" s="10" t="str">
        <x:v>TEXT</x:v>
      </x:c>
      <x:c r="C540" s="10" t="str">
        <x:v>TEXT:SYN-F09-10</x:v>
      </x:c>
      <x:c r="D540" s="10" t="str">
        <x:v>TEXT:SYN-F09-10-U01</x:v>
      </x:c>
      <x:c r="E540" s="10" t="str">
        <x:v>T-F09</x:v>
      </x:c>
      <x:c r="F540" s="10" t="n">
        <x:v>1</x:v>
      </x:c>
      <x:c r="G540" s="11" t="n">
        <x:v>0</x:v>
      </x:c>
      <x:c r="H540" s="11" t="n">
        <x:v>2.187536</x:v>
      </x:c>
      <x:c r="I540" s="11" t="n">
        <x:f>H540-G540</x:f>
        <x:v>2.187536</x:v>
      </x:c>
      <x:c r="J540" s="10" t="str">
        <x:v>SYN-F09-10:D1@v1를 기준으로 포털 개선 발표자료를 5장 이내로 만들어줘. 부서대표 설명회용이고 첫 화면 메뉴 9개 이하, 출시 후 2개월 기준이야. 외부 발송은 하지 마.</x:v>
      </x:c>
      <x:c r="K540" s="10" t="str">
        <x:v>SYN-F09-10:D1@v1의 구성을 기준으로 부서대표 설명회용 포털 개선 발표자료를 5장 이내로 작성하도록 준비하겠습니다.</x:v>
      </x:c>
      <x:c r="L540" s="11"/>
      <x:c r="M540" s="11"/>
      <x:c r="N540" s="10" t="str">
        <x:v>NOT_MODELED</x:v>
      </x:c>
    </x:row>
    <x:row r="541" ht="85" customHeight="1">
      <x:c r="A541" s="10" t="str">
        <x:v>T-BASE</x:v>
      </x:c>
      <x:c r="B541" s="10" t="str">
        <x:v>TEXT</x:v>
      </x:c>
      <x:c r="C541" s="10" t="str">
        <x:v>TEXT:SYN-F09-10</x:v>
      </x:c>
      <x:c r="D541" s="10" t="str">
        <x:v>TEXT:SYN-F09-10-U02</x:v>
      </x:c>
      <x:c r="E541" s="10" t="str">
        <x:v>T-F09</x:v>
      </x:c>
      <x:c r="F541" s="10" t="n">
        <x:v>2</x:v>
      </x:c>
      <x:c r="G541" s="11" t="n">
        <x:v>2.537536</x:v>
      </x:c>
      <x:c r="H541" s="11" t="n">
        <x:v>6.460465</x:v>
      </x:c>
      <x:c r="I541" s="11" t="n">
        <x:f>H541-G541</x:f>
        <x:v>3.9229290000000003</x:v>
      </x:c>
      <x:c r="J541" s="10" t="str">
        <x:v>방금 추가된 검토 메모에서 이번 설명회에 더 맞는다고 한 쪽으로 자료를 바꿔줘. 초기 이전비는 빼고 나머지 작성 조건은 유지해.</x:v>
      </x:c>
      <x:c r="K541" s="10" t="str">
        <x:v>방금 추가된 검토 메모가 평가한 SYN-F09-10:D3@v1로 기존 작성 대상을 바꾸고 초기 이전비 제외 조건을 적용하겠습니다.</x:v>
      </x:c>
      <x:c r="L541" s="11"/>
      <x:c r="M541" s="11"/>
      <x:c r="N541" s="10" t="str">
        <x:v>NOT_MODELED</x:v>
      </x:c>
    </x:row>
    <x:row r="542" ht="85" customHeight="1">
      <x:c r="A542" s="10" t="str">
        <x:v>T-EXEC</x:v>
      </x:c>
      <x:c r="B542" s="10" t="str">
        <x:v>TEXT</x:v>
      </x:c>
      <x:c r="C542" s="10" t="str">
        <x:v>TEXT:SYN-F09-10</x:v>
      </x:c>
      <x:c r="D542" s="10" t="str">
        <x:v>TEXT:SYN-F09-10-U01</x:v>
      </x:c>
      <x:c r="E542" s="10" t="str">
        <x:v>T-F09</x:v>
      </x:c>
      <x:c r="F542" s="10" t="n">
        <x:v>1</x:v>
      </x:c>
      <x:c r="G542" s="11" t="n">
        <x:v>0</x:v>
      </x:c>
      <x:c r="H542" s="11" t="n">
        <x:v>2.187536</x:v>
      </x:c>
      <x:c r="I542" s="11" t="n">
        <x:f>H542-G542</x:f>
        <x:v>2.187536</x:v>
      </x:c>
      <x:c r="J542" s="10" t="str">
        <x:v>SYN-F09-10:D1@v1를 기준으로 포털 개선 발표자료를 5장 이내로 만들어줘. 부서대표 설명회용이고 첫 화면 메뉴 9개 이하, 출시 후 2개월 기준이야. 외부 발송은 하지 마.</x:v>
      </x:c>
      <x:c r="K542" s="10" t="str">
        <x:v>SYN-F09-10:D1@v1의 구성을 기준으로 부서대표 설명회용 포털 개선 발표자료를 5장 이내로 작성하도록 준비하겠습니다.</x:v>
      </x:c>
      <x:c r="L542" s="11"/>
      <x:c r="M542" s="11"/>
      <x:c r="N542" s="10" t="str">
        <x:v>NOT_MODELED</x:v>
      </x:c>
    </x:row>
    <x:row r="543" ht="85" customHeight="1">
      <x:c r="A543" s="10" t="str">
        <x:v>T-EXEC</x:v>
      </x:c>
      <x:c r="B543" s="10" t="str">
        <x:v>TEXT</x:v>
      </x:c>
      <x:c r="C543" s="10" t="str">
        <x:v>TEXT:SYN-F09-10</x:v>
      </x:c>
      <x:c r="D543" s="10" t="str">
        <x:v>TEXT:SYN-F09-10-U02</x:v>
      </x:c>
      <x:c r="E543" s="10" t="str">
        <x:v>T-F09</x:v>
      </x:c>
      <x:c r="F543" s="10" t="n">
        <x:v>2</x:v>
      </x:c>
      <x:c r="G543" s="11" t="n">
        <x:v>2.537536</x:v>
      </x:c>
      <x:c r="H543" s="11" t="n">
        <x:v>5.101322</x:v>
      </x:c>
      <x:c r="I543" s="11" t="n">
        <x:f>H543-G543</x:f>
        <x:v>2.563786</x:v>
      </x:c>
      <x:c r="J543" s="10" t="str">
        <x:v>방금 추가된 검토 메모에서 이번 설명회에 더 맞는다고 한 쪽으로 자료를 바꿔줘. 초기 이전비는 빼고 나머지 작성 조건은 유지해.</x:v>
      </x:c>
      <x:c r="K543" s="10" t="str">
        <x:v>온유 사내포털 개편 포털 개선 발표자료 작성 위임에 이번 조건을 적용하겠습니다: 부서대표 설명회용, 5장 이내, 첫 화면 메뉴 9개 이하, 대상 기간 출시 후 2개월, 외부 발송 없음, 초기 이전비 제외. 대상의 최종 연결은 현재 조회 결과와 함께 확정합니다.</x:v>
      </x:c>
      <x:c r="L543" s="11"/>
      <x:c r="M543" s="11"/>
      <x:c r="N543" s="10" t="str">
        <x:v>NOT_MODELED</x:v>
      </x:c>
    </x:row>
    <x:row r="544" ht="85" customHeight="1">
      <x:c r="A544" s="10" t="str">
        <x:v>T-REL</x:v>
      </x:c>
      <x:c r="B544" s="10" t="str">
        <x:v>TEXT</x:v>
      </x:c>
      <x:c r="C544" s="10" t="str">
        <x:v>TEXT:SYN-F09-10</x:v>
      </x:c>
      <x:c r="D544" s="10" t="str">
        <x:v>TEXT:SYN-F09-10-U01</x:v>
      </x:c>
      <x:c r="E544" s="10" t="str">
        <x:v>T-F09</x:v>
      </x:c>
      <x:c r="F544" s="10" t="n">
        <x:v>1</x:v>
      </x:c>
      <x:c r="G544" s="11" t="n">
        <x:v>0</x:v>
      </x:c>
      <x:c r="H544" s="11" t="n">
        <x:v>2.316821</x:v>
      </x:c>
      <x:c r="I544" s="11" t="n">
        <x:f>H544-G544</x:f>
        <x:v>2.316821</x:v>
      </x:c>
      <x:c r="J544" s="10" t="str">
        <x:v>SYN-F09-10:D1@v1를 기준으로 포털 개선 발표자료를 5장 이내로 만들어줘. 부서대표 설명회용이고 첫 화면 메뉴 9개 이하, 출시 후 2개월 기준이야. 외부 발송은 하지 마.</x:v>
      </x:c>
      <x:c r="K544" s="10" t="str">
        <x:v>SYN-F09-10:D1@v1의 구성을 기준으로 부서대표 설명회용 포털 개선 발표자료를 5장 이내로 작성하도록 준비하겠습니다.</x:v>
      </x:c>
      <x:c r="L544" s="11"/>
      <x:c r="M544" s="11"/>
      <x:c r="N544" s="10" t="str">
        <x:v>NOT_MODELED</x:v>
      </x:c>
    </x:row>
    <x:row r="545" ht="85" customHeight="1">
      <x:c r="A545" s="10" t="str">
        <x:v>T-REL</x:v>
      </x:c>
      <x:c r="B545" s="10" t="str">
        <x:v>TEXT</x:v>
      </x:c>
      <x:c r="C545" s="10" t="str">
        <x:v>TEXT:SYN-F09-10</x:v>
      </x:c>
      <x:c r="D545" s="10" t="str">
        <x:v>TEXT:SYN-F09-10-U02</x:v>
      </x:c>
      <x:c r="E545" s="10" t="str">
        <x:v>T-F09</x:v>
      </x:c>
      <x:c r="F545" s="10" t="n">
        <x:v>2</x:v>
      </x:c>
      <x:c r="G545" s="11" t="n">
        <x:v>2.666821</x:v>
      </x:c>
      <x:c r="H545" s="11" t="n">
        <x:v>6.705892</x:v>
      </x:c>
      <x:c r="I545" s="11" t="n">
        <x:f>H545-G545</x:f>
        <x:v>4.039071</x:v>
      </x:c>
      <x:c r="J545" s="10" t="str">
        <x:v>방금 추가된 검토 메모에서 이번 설명회에 더 맞는다고 한 쪽으로 자료를 바꿔줘. 초기 이전비는 빼고 나머지 작성 조건은 유지해.</x:v>
      </x:c>
      <x:c r="K545" s="10" t="str">
        <x:v>방금 추가된 검토 메모가 평가한 SYN-F09-10:D3@v1로 기존 작성 대상을 바꾸고 초기 이전비 제외 조건을 적용하겠습니다.</x:v>
      </x:c>
      <x:c r="L545" s="11"/>
      <x:c r="M545" s="11"/>
      <x:c r="N545" s="10" t="str">
        <x:v>NOT_MODELED</x:v>
      </x:c>
    </x:row>
    <x:row r="546" ht="85" customHeight="1">
      <x:c r="A546" s="10" t="str">
        <x:v>T-BASE</x:v>
      </x:c>
      <x:c r="B546" s="10" t="str">
        <x:v>TEXT</x:v>
      </x:c>
      <x:c r="C546" s="10" t="str">
        <x:v>TEXT:SYN-F10-01</x:v>
      </x:c>
      <x:c r="D546" s="10" t="str">
        <x:v>TEXT:SYN-F10-01-U01</x:v>
      </x:c>
      <x:c r="E546" s="10" t="str">
        <x:v>T-F10</x:v>
      </x:c>
      <x:c r="F546" s="10" t="n">
        <x:v>1</x:v>
      </x:c>
      <x:c r="G546" s="11" t="n">
        <x:v>0</x:v>
      </x:c>
      <x:c r="H546" s="11" t="n">
        <x:v>2.202143</x:v>
      </x:c>
      <x:c r="I546" s="11" t="n">
        <x:f>H546-G546</x:f>
        <x:v>2.202143</x:v>
      </x:c>
      <x:c r="J546" s="10" t="str">
        <x:v>구성이 좋다고 했던 자료의 형식만 빌리고 신규 조사 SYN-F10-01:N@v1로 내용을 바꿔 전환 검토 발표자료를 만들어줘. 서비스 운영위원회용 5장 이내, 월 운영비 240만원 이하, 첫 12개월 기준이야. 과거 수치와 초기 설치비는 넣지 말고 외부 발송은 하지 마.</x:v>
      </x:c>
      <x:c r="K546" s="10" t="str">
        <x:v>SYN-F10-01:D2@v1의 구성만 활용하고 내용은 SYN-F10-01:N@v1로 교체한 5장 이내 자료를 준비하겠습니다.</x:v>
      </x:c>
      <x:c r="L546" s="11"/>
      <x:c r="M546" s="11"/>
      <x:c r="N546" s="10" t="str">
        <x:v>NOT_MODELED</x:v>
      </x:c>
    </x:row>
    <x:row r="547" ht="85" customHeight="1">
      <x:c r="A547" s="10" t="str">
        <x:v>T-BASE</x:v>
      </x:c>
      <x:c r="B547" s="10" t="str">
        <x:v>TEXT</x:v>
      </x:c>
      <x:c r="C547" s="10" t="str">
        <x:v>TEXT:SYN-F10-01</x:v>
      </x:c>
      <x:c r="D547" s="10" t="str">
        <x:v>TEXT:SYN-F10-01-U02</x:v>
      </x:c>
      <x:c r="E547" s="10" t="str">
        <x:v>T-F10</x:v>
      </x:c>
      <x:c r="F547" s="10" t="n">
        <x:v>1</x:v>
      </x:c>
      <x:c r="G547" s="11" t="n">
        <x:v>2.552143</x:v>
      </x:c>
      <x:c r="H547" s="11" t="n">
        <x:v>6.065536</x:v>
      </x:c>
      <x:c r="I547" s="11" t="n">
        <x:f>H547-G547</x:f>
        <x:v>3.5133929999999998</x:v>
      </x:c>
      <x:c r="J547" s="10" t="str">
        <x:v>발표자료는 계속 만들고, 그 신규 조사의 현황 수치와 확인 질문만 3문장으로 따로 알려줘. 옛 자료 내용과 섞지 마.</x:v>
      </x:c>
      <x:c r="K547" s="10" t="str">
        <x:v>기존 작성은 유지하고 SYN-F10-01:N@v1의 현황 수치와 확인 질문만 별도로 요약하겠습니다.</x:v>
      </x:c>
      <x:c r="L547" s="11"/>
      <x:c r="M547" s="11"/>
      <x:c r="N547" s="10" t="str">
        <x:v>NOT_MODELED</x:v>
      </x:c>
    </x:row>
    <x:row r="548" ht="85" customHeight="1">
      <x:c r="A548" s="10" t="str">
        <x:v>T-EXEC</x:v>
      </x:c>
      <x:c r="B548" s="10" t="str">
        <x:v>TEXT</x:v>
      </x:c>
      <x:c r="C548" s="10" t="str">
        <x:v>TEXT:SYN-F10-01</x:v>
      </x:c>
      <x:c r="D548" s="10" t="str">
        <x:v>TEXT:SYN-F10-01-U01</x:v>
      </x:c>
      <x:c r="E548" s="10" t="str">
        <x:v>T-F10</x:v>
      </x:c>
      <x:c r="F548" s="10" t="n">
        <x:v>1</x:v>
      </x:c>
      <x:c r="G548" s="11" t="n">
        <x:v>0</x:v>
      </x:c>
      <x:c r="H548" s="11" t="n">
        <x:v>2.202143</x:v>
      </x:c>
      <x:c r="I548" s="11" t="n">
        <x:f>H548-G548</x:f>
        <x:v>2.202143</x:v>
      </x:c>
      <x:c r="J548" s="10" t="str">
        <x:v>구성이 좋다고 했던 자료의 형식만 빌리고 신규 조사 SYN-F10-01:N@v1로 내용을 바꿔 전환 검토 발표자료를 만들어줘. 서비스 운영위원회용 5장 이내, 월 운영비 240만원 이하, 첫 12개월 기준이야. 과거 수치와 초기 설치비는 넣지 말고 외부 발송은 하지 마.</x:v>
      </x:c>
      <x:c r="K548" s="10" t="str">
        <x:v>SYN-F10-01:D2@v1의 구성만 활용하고 내용은 SYN-F10-01:N@v1로 교체한 5장 이내 자료를 준비하겠습니다.</x:v>
      </x:c>
      <x:c r="L548" s="11"/>
      <x:c r="M548" s="11"/>
      <x:c r="N548" s="10" t="str">
        <x:v>NOT_MODELED</x:v>
      </x:c>
    </x:row>
    <x:row r="549" ht="85" customHeight="1">
      <x:c r="A549" s="10" t="str">
        <x:v>T-EXEC</x:v>
      </x:c>
      <x:c r="B549" s="10" t="str">
        <x:v>TEXT</x:v>
      </x:c>
      <x:c r="C549" s="10" t="str">
        <x:v>TEXT:SYN-F10-01</x:v>
      </x:c>
      <x:c r="D549" s="10" t="str">
        <x:v>TEXT:SYN-F10-01-U02</x:v>
      </x:c>
      <x:c r="E549" s="10" t="str">
        <x:v>T-F10</x:v>
      </x:c>
      <x:c r="F549" s="10" t="n">
        <x:v>1</x:v>
      </x:c>
      <x:c r="G549" s="11" t="n">
        <x:v>2.552143</x:v>
      </x:c>
      <x:c r="H549" s="11" t="n">
        <x:v>5.080536</x:v>
      </x:c>
      <x:c r="I549" s="11" t="n">
        <x:f>H549-G549</x:f>
        <x:v>2.5283930000000003</x:v>
      </x:c>
      <x:c r="J549" s="10" t="str">
        <x:v>발표자료는 계속 만들고, 그 신규 조사의 현황 수치와 확인 질문만 3문장으로 따로 알려줘. 옛 자료 내용과 섞지 마.</x:v>
      </x:c>
      <x:c r="K549" s="10" t="str">
        <x:v>신규 조사의 수치와 확인 질문 별도 요약에 이번 조건을 적용하겠습니다: 3문장, 현황 수치와 확인 질문만, 기존 발표자료 작성 유지, 과거 자료 수치도 요약에 포함. 대상의 최종 연결은 현재 조회 결과와 함께 확정합니다.</x:v>
      </x:c>
      <x:c r="L549" s="11"/>
      <x:c r="M549" s="11"/>
      <x:c r="N549" s="10" t="str">
        <x:v>NOT_MODELED</x:v>
      </x:c>
    </x:row>
    <x:row r="550" ht="85" customHeight="1">
      <x:c r="A550" s="10" t="str">
        <x:v>T-REL</x:v>
      </x:c>
      <x:c r="B550" s="10" t="str">
        <x:v>TEXT</x:v>
      </x:c>
      <x:c r="C550" s="10" t="str">
        <x:v>TEXT:SYN-F10-01</x:v>
      </x:c>
      <x:c r="D550" s="10" t="str">
        <x:v>TEXT:SYN-F10-01-U01</x:v>
      </x:c>
      <x:c r="E550" s="10" t="str">
        <x:v>T-F10</x:v>
      </x:c>
      <x:c r="F550" s="10" t="n">
        <x:v>1</x:v>
      </x:c>
      <x:c r="G550" s="11" t="n">
        <x:v>0</x:v>
      </x:c>
      <x:c r="H550" s="11" t="n">
        <x:v>1.263214</x:v>
      </x:c>
      <x:c r="I550" s="11" t="n">
        <x:f>H550-G550</x:f>
        <x:v>1.263214</x:v>
      </x:c>
      <x:c r="J550" s="10" t="str">
        <x:v>구성이 좋다고 했던 자료의 형식만 빌리고 신규 조사 SYN-F10-01:N@v1로 내용을 바꿔 전환 검토 발표자료를 만들어줘. 서비스 운영위원회용 5장 이내, 월 운영비 240만원 이하, 첫 12개월 기준이야. 과거 수치와 초기 설치비는 넣지 말고 외부 발송은 하지 마.</x:v>
      </x:c>
      <x:c r="K550" s="10" t="str">
        <x:v>SYN-F10-01:D2@v1의 구성만 활용하고 내용은 SYN-F10-01:N@v1로 교체한 5장 이내 자료를 준비하겠습니다.</x:v>
      </x:c>
      <x:c r="L550" s="11"/>
      <x:c r="M550" s="11"/>
      <x:c r="N550" s="10" t="str">
        <x:v>NOT_MODELED</x:v>
      </x:c>
    </x:row>
    <x:row r="551" ht="85" customHeight="1">
      <x:c r="A551" s="10" t="str">
        <x:v>T-REL</x:v>
      </x:c>
      <x:c r="B551" s="10" t="str">
        <x:v>TEXT</x:v>
      </x:c>
      <x:c r="C551" s="10" t="str">
        <x:v>TEXT:SYN-F10-01</x:v>
      </x:c>
      <x:c r="D551" s="10" t="str">
        <x:v>TEXT:SYN-F10-01-U02</x:v>
      </x:c>
      <x:c r="E551" s="10" t="str">
        <x:v>T-F10</x:v>
      </x:c>
      <x:c r="F551" s="10" t="n">
        <x:v>1</x:v>
      </x:c>
      <x:c r="G551" s="11" t="n">
        <x:v>1.613214</x:v>
      </x:c>
      <x:c r="H551" s="11" t="n">
        <x:v>4.329393</x:v>
      </x:c>
      <x:c r="I551" s="11" t="n">
        <x:f>H551-G551</x:f>
        <x:v>2.7161789999999995</x:v>
      </x:c>
      <x:c r="J551" s="10" t="str">
        <x:v>발표자료는 계속 만들고, 그 신규 조사의 현황 수치와 확인 질문만 3문장으로 따로 알려줘. 옛 자료 내용과 섞지 마.</x:v>
      </x:c>
      <x:c r="K551" s="10" t="str">
        <x:v>SYN-F10-01:N@v1에 대해 신규 조사의 수치와 확인 질문 별도 요약을 진행하겠습니다. 적용 조건: 3문장, 현황 수치와 확인 질문만, 기존 발표자료 작성 유지, 과거 자료 수치도 요약에 포함. 내용 출처: SYN-F10-01:D2@v1.</x:v>
      </x:c>
      <x:c r="L551" s="11"/>
      <x:c r="M551" s="11"/>
      <x:c r="N551" s="10" t="str">
        <x:v>NOT_MODELED</x:v>
      </x:c>
    </x:row>
    <x:row r="552" ht="85" customHeight="1">
      <x:c r="A552" s="10" t="str">
        <x:v>T-BASE</x:v>
      </x:c>
      <x:c r="B552" s="10" t="str">
        <x:v>TEXT</x:v>
      </x:c>
      <x:c r="C552" s="10" t="str">
        <x:v>TEXT:SYN-F10-02</x:v>
      </x:c>
      <x:c r="D552" s="10" t="str">
        <x:v>TEXT:SYN-F10-02-U01</x:v>
      </x:c>
      <x:c r="E552" s="10" t="str">
        <x:v>T-F10</x:v>
      </x:c>
      <x:c r="F552" s="10" t="n">
        <x:v>1</x:v>
      </x:c>
      <x:c r="G552" s="11" t="n">
        <x:v>0</x:v>
      </x:c>
      <x:c r="H552" s="11" t="n">
        <x:v>2.239964</x:v>
      </x:c>
      <x:c r="I552" s="11" t="n">
        <x:f>H552-G552</x:f>
        <x:v>2.239964</x:v>
      </x:c>
      <x:c r="J552" s="10" t="str">
        <x:v>구성이 좋다고 했던 자료의 형식만 빌리고 신규 조사 SYN-F10-02:N@v1로 내용을 바꿔 운영 제안 발표자료를 만들어줘. 참가업체 설명회용 4장 이내, 주말 운영 인력 12명 이하, 전시 4주 기준이야. 과거 수치와 일회성 장식비는 넣지 말고 외부 발송은 하지 마.</x:v>
      </x:c>
      <x:c r="K552" s="10" t="str">
        <x:v>SYN-F10-02:D1@v1의 구성만 활용하고 내용은 SYN-F10-02:N@v1로 교체한 4장 이내 자료를 준비하겠습니다.</x:v>
      </x:c>
      <x:c r="L552" s="11"/>
      <x:c r="M552" s="11"/>
      <x:c r="N552" s="10" t="str">
        <x:v>NOT_MODELED</x:v>
      </x:c>
    </x:row>
    <x:row r="553" ht="85" customHeight="1">
      <x:c r="A553" s="10" t="str">
        <x:v>T-BASE</x:v>
      </x:c>
      <x:c r="B553" s="10" t="str">
        <x:v>TEXT</x:v>
      </x:c>
      <x:c r="C553" s="10" t="str">
        <x:v>TEXT:SYN-F10-02</x:v>
      </x:c>
      <x:c r="D553" s="10" t="str">
        <x:v>TEXT:SYN-F10-02-U02</x:v>
      </x:c>
      <x:c r="E553" s="10" t="str">
        <x:v>T-F10</x:v>
      </x:c>
      <x:c r="F553" s="10" t="n">
        <x:v>1</x:v>
      </x:c>
      <x:c r="G553" s="11" t="n">
        <x:v>2.589964</x:v>
      </x:c>
      <x:c r="H553" s="11" t="n">
        <x:v>6.186178</x:v>
      </x:c>
      <x:c r="I553" s="11" t="n">
        <x:f>H553-G553</x:f>
        <x:v>3.596214</x:v>
      </x:c>
      <x:c r="J553" s="10" t="str">
        <x:v>발표자료는 계속 만들고, 그 신규 조사의 현황 수치와 확인 질문만 2문장으로 따로 알려줘. 옛 자료 내용과 섞지 마.</x:v>
      </x:c>
      <x:c r="K553" s="10" t="str">
        <x:v>기존 작성은 유지하고 SYN-F10-02:N@v1의 현황 수치와 확인 질문만 별도로 요약하겠습니다.</x:v>
      </x:c>
      <x:c r="L553" s="11"/>
      <x:c r="M553" s="11"/>
      <x:c r="N553" s="10" t="str">
        <x:v>NOT_MODELED</x:v>
      </x:c>
    </x:row>
    <x:row r="554" ht="85" customHeight="1">
      <x:c r="A554" s="10" t="str">
        <x:v>T-EXEC</x:v>
      </x:c>
      <x:c r="B554" s="10" t="str">
        <x:v>TEXT</x:v>
      </x:c>
      <x:c r="C554" s="10" t="str">
        <x:v>TEXT:SYN-F10-02</x:v>
      </x:c>
      <x:c r="D554" s="10" t="str">
        <x:v>TEXT:SYN-F10-02-U01</x:v>
      </x:c>
      <x:c r="E554" s="10" t="str">
        <x:v>T-F10</x:v>
      </x:c>
      <x:c r="F554" s="10" t="n">
        <x:v>1</x:v>
      </x:c>
      <x:c r="G554" s="11" t="n">
        <x:v>0</x:v>
      </x:c>
      <x:c r="H554" s="11" t="n">
        <x:v>2.239964</x:v>
      </x:c>
      <x:c r="I554" s="11" t="n">
        <x:f>H554-G554</x:f>
        <x:v>2.239964</x:v>
      </x:c>
      <x:c r="J554" s="10" t="str">
        <x:v>구성이 좋다고 했던 자료의 형식만 빌리고 신규 조사 SYN-F10-02:N@v1로 내용을 바꿔 운영 제안 발표자료를 만들어줘. 참가업체 설명회용 4장 이내, 주말 운영 인력 12명 이하, 전시 4주 기준이야. 과거 수치와 일회성 장식비는 넣지 말고 외부 발송은 하지 마.</x:v>
      </x:c>
      <x:c r="K554" s="10" t="str">
        <x:v>SYN-F10-02:D1@v1의 구성만 활용하고 내용은 SYN-F10-02:N@v1로 교체한 4장 이내 자료를 준비하겠습니다.</x:v>
      </x:c>
      <x:c r="L554" s="11"/>
      <x:c r="M554" s="11"/>
      <x:c r="N554" s="10" t="str">
        <x:v>NOT_MODELED</x:v>
      </x:c>
    </x:row>
    <x:row r="555" ht="85" customHeight="1">
      <x:c r="A555" s="10" t="str">
        <x:v>T-EXEC</x:v>
      </x:c>
      <x:c r="B555" s="10" t="str">
        <x:v>TEXT</x:v>
      </x:c>
      <x:c r="C555" s="10" t="str">
        <x:v>TEXT:SYN-F10-02</x:v>
      </x:c>
      <x:c r="D555" s="10" t="str">
        <x:v>TEXT:SYN-F10-02-U02</x:v>
      </x:c>
      <x:c r="E555" s="10" t="str">
        <x:v>T-F10</x:v>
      </x:c>
      <x:c r="F555" s="10" t="n">
        <x:v>1</x:v>
      </x:c>
      <x:c r="G555" s="11" t="n">
        <x:v>2.589964</x:v>
      </x:c>
      <x:c r="H555" s="11" t="n">
        <x:v>5.165857</x:v>
      </x:c>
      <x:c r="I555" s="11" t="n">
        <x:f>H555-G555</x:f>
        <x:v>2.5758929999999998</x:v>
      </x:c>
      <x:c r="J555" s="10" t="str">
        <x:v>발표자료는 계속 만들고, 그 신규 조사의 현황 수치와 확인 질문만 2문장으로 따로 알려줘. 옛 자료 내용과 섞지 마.</x:v>
      </x:c>
      <x:c r="K555" s="10" t="str">
        <x:v>신규 조사의 수치와 확인 질문 별도 요약에 이번 조건을 적용하겠습니다: 2문장, 현황 수치와 확인 질문만, 과거 자료 내용 혼합 금지, 기존 발표자료 작성 유지. 대상의 최종 연결은 현재 조회 결과와 함께 확정합니다.</x:v>
      </x:c>
      <x:c r="L555" s="11"/>
      <x:c r="M555" s="11"/>
      <x:c r="N555" s="10" t="str">
        <x:v>NOT_MODELED</x:v>
      </x:c>
    </x:row>
    <x:row r="556" ht="85" customHeight="1">
      <x:c r="A556" s="10" t="str">
        <x:v>T-REL</x:v>
      </x:c>
      <x:c r="B556" s="10" t="str">
        <x:v>TEXT</x:v>
      </x:c>
      <x:c r="C556" s="10" t="str">
        <x:v>TEXT:SYN-F10-02</x:v>
      </x:c>
      <x:c r="D556" s="10" t="str">
        <x:v>TEXT:SYN-F10-02-U01</x:v>
      </x:c>
      <x:c r="E556" s="10" t="str">
        <x:v>T-F10</x:v>
      </x:c>
      <x:c r="F556" s="10" t="n">
        <x:v>1</x:v>
      </x:c>
      <x:c r="G556" s="11" t="n">
        <x:v>0</x:v>
      </x:c>
      <x:c r="H556" s="11" t="n">
        <x:v>1.276036</x:v>
      </x:c>
      <x:c r="I556" s="11" t="n">
        <x:f>H556-G556</x:f>
        <x:v>1.276036</x:v>
      </x:c>
      <x:c r="J556" s="10" t="str">
        <x:v>구성이 좋다고 했던 자료의 형식만 빌리고 신규 조사 SYN-F10-02:N@v1로 내용을 바꿔 운영 제안 발표자료를 만들어줘. 참가업체 설명회용 4장 이내, 주말 운영 인력 12명 이하, 전시 4주 기준이야. 과거 수치와 일회성 장식비는 넣지 말고 외부 발송은 하지 마.</x:v>
      </x:c>
      <x:c r="K556" s="10" t="str">
        <x:v>SYN-F10-02:D1@v1의 구성만 활용하고 내용은 SYN-F10-02:N@v1로 교체한 4장 이내 자료를 준비하겠습니다.</x:v>
      </x:c>
      <x:c r="L556" s="11"/>
      <x:c r="M556" s="11"/>
      <x:c r="N556" s="10" t="str">
        <x:v>NOT_MODELED</x:v>
      </x:c>
    </x:row>
    <x:row r="557" ht="85" customHeight="1">
      <x:c r="A557" s="10" t="str">
        <x:v>T-REL</x:v>
      </x:c>
      <x:c r="B557" s="10" t="str">
        <x:v>TEXT</x:v>
      </x:c>
      <x:c r="C557" s="10" t="str">
        <x:v>TEXT:SYN-F10-02</x:v>
      </x:c>
      <x:c r="D557" s="10" t="str">
        <x:v>TEXT:SYN-F10-02-U02</x:v>
      </x:c>
      <x:c r="E557" s="10" t="str">
        <x:v>T-F10</x:v>
      </x:c>
      <x:c r="F557" s="10" t="n">
        <x:v>1</x:v>
      </x:c>
      <x:c r="G557" s="11" t="n">
        <x:v>1.626036</x:v>
      </x:c>
      <x:c r="H557" s="11" t="n">
        <x:v>4.400036</x:v>
      </x:c>
      <x:c r="I557" s="11" t="n">
        <x:f>H557-G557</x:f>
        <x:v>2.774</x:v>
      </x:c>
      <x:c r="J557" s="10" t="str">
        <x:v>발표자료는 계속 만들고, 그 신규 조사의 현황 수치와 확인 질문만 2문장으로 따로 알려줘. 옛 자료 내용과 섞지 마.</x:v>
      </x:c>
      <x:c r="K557" s="10" t="str">
        <x:v>기존 작성은 유지하고 SYN-F10-02:N@v1의 현황 수치와 확인 질문만 별도로 요약하겠습니다.</x:v>
      </x:c>
      <x:c r="L557" s="11"/>
      <x:c r="M557" s="11"/>
      <x:c r="N557" s="10" t="str">
        <x:v>NOT_MODELED</x:v>
      </x:c>
    </x:row>
    <x:row r="558" ht="85" customHeight="1">
      <x:c r="A558" s="10" t="str">
        <x:v>T-BASE</x:v>
      </x:c>
      <x:c r="B558" s="10" t="str">
        <x:v>TEXT</x:v>
      </x:c>
      <x:c r="C558" s="10" t="str">
        <x:v>TEXT:SYN-F10-03</x:v>
      </x:c>
      <x:c r="D558" s="10" t="str">
        <x:v>TEXT:SYN-F10-03-U01</x:v>
      </x:c>
      <x:c r="E558" s="10" t="str">
        <x:v>T-F10</x:v>
      </x:c>
      <x:c r="F558" s="10" t="n">
        <x:v>1</x:v>
      </x:c>
      <x:c r="G558" s="11" t="n">
        <x:v>0</x:v>
      </x:c>
      <x:c r="H558" s="11" t="n">
        <x:v>2.277786</x:v>
      </x:c>
      <x:c r="I558" s="11" t="n">
        <x:f>H558-G558</x:f>
        <x:v>2.277786</x:v>
      </x:c>
      <x:c r="J558" s="10" t="str">
        <x:v>구성이 좋다고 했던 자료의 형식만 빌리고 신규 조사 SYN-F10-03:N@v1로 내용을 바꿔 교육 개편 발표자료를 만들어줘. 교육 승인위원회용 6장 이내, 참가자당 교육시간 18시간 이하, 입사 후 3주 기준이야. 과거 수치와 숙박비는 넣지 말고 외부 발송은 하지 마.</x:v>
      </x:c>
      <x:c r="K558" s="10" t="str">
        <x:v>SYN-F10-03:D3@v1의 구성만 활용하고 내용은 SYN-F10-03:N@v1로 교체한 6장 이내 자료를 준비하겠습니다.</x:v>
      </x:c>
      <x:c r="L558" s="11"/>
      <x:c r="M558" s="11"/>
      <x:c r="N558" s="10" t="str">
        <x:v>NOT_MODELED</x:v>
      </x:c>
    </x:row>
    <x:row r="559" ht="85" customHeight="1">
      <x:c r="A559" s="10" t="str">
        <x:v>T-BASE</x:v>
      </x:c>
      <x:c r="B559" s="10" t="str">
        <x:v>TEXT</x:v>
      </x:c>
      <x:c r="C559" s="10" t="str">
        <x:v>TEXT:SYN-F10-03</x:v>
      </x:c>
      <x:c r="D559" s="10" t="str">
        <x:v>TEXT:SYN-F10-03-U02</x:v>
      </x:c>
      <x:c r="E559" s="10" t="str">
        <x:v>T-F10</x:v>
      </x:c>
      <x:c r="F559" s="10" t="n">
        <x:v>1</x:v>
      </x:c>
      <x:c r="G559" s="11" t="n">
        <x:v>2.627786</x:v>
      </x:c>
      <x:c r="H559" s="11" t="n">
        <x:v>6.306822</x:v>
      </x:c>
      <x:c r="I559" s="11" t="n">
        <x:f>H559-G559</x:f>
        <x:v>3.6790360000000004</x:v>
      </x:c>
      <x:c r="J559" s="10" t="str">
        <x:v>발표자료는 계속 만들고, 그 신규 조사의 현황 수치와 확인 질문만 4문장으로 따로 알려줘. 옛 자료 내용과 섞지 마.</x:v>
      </x:c>
      <x:c r="K559" s="10" t="str">
        <x:v>기존 작성은 유지하고 SYN-F10-03:N@v1의 현황 수치와 확인 질문만 별도로 요약하겠습니다.</x:v>
      </x:c>
      <x:c r="L559" s="11"/>
      <x:c r="M559" s="11"/>
      <x:c r="N559" s="10" t="str">
        <x:v>NOT_MODELED</x:v>
      </x:c>
    </x:row>
    <x:row r="560" ht="85" customHeight="1">
      <x:c r="A560" s="10" t="str">
        <x:v>T-EXEC</x:v>
      </x:c>
      <x:c r="B560" s="10" t="str">
        <x:v>TEXT</x:v>
      </x:c>
      <x:c r="C560" s="10" t="str">
        <x:v>TEXT:SYN-F10-03</x:v>
      </x:c>
      <x:c r="D560" s="10" t="str">
        <x:v>TEXT:SYN-F10-03-U01</x:v>
      </x:c>
      <x:c r="E560" s="10" t="str">
        <x:v>T-F10</x:v>
      </x:c>
      <x:c r="F560" s="10" t="n">
        <x:v>1</x:v>
      </x:c>
      <x:c r="G560" s="11" t="n">
        <x:v>0</x:v>
      </x:c>
      <x:c r="H560" s="11" t="n">
        <x:v>2.277786</x:v>
      </x:c>
      <x:c r="I560" s="11" t="n">
        <x:f>H560-G560</x:f>
        <x:v>2.277786</x:v>
      </x:c>
      <x:c r="J560" s="10" t="str">
        <x:v>구성이 좋다고 했던 자료의 형식만 빌리고 신규 조사 SYN-F10-03:N@v1로 내용을 바꿔 교육 개편 발표자료를 만들어줘. 교육 승인위원회용 6장 이내, 참가자당 교육시간 18시간 이하, 입사 후 3주 기준이야. 과거 수치와 숙박비는 넣지 말고 외부 발송은 하지 마.</x:v>
      </x:c>
      <x:c r="K560" s="10" t="str">
        <x:v>SYN-F10-03:D3@v1의 구성만 활용하고 내용은 SYN-F10-03:N@v1로 교체한 6장 이내 자료를 준비하겠습니다.</x:v>
      </x:c>
      <x:c r="L560" s="11"/>
      <x:c r="M560" s="11"/>
      <x:c r="N560" s="10" t="str">
        <x:v>NOT_MODELED</x:v>
      </x:c>
    </x:row>
    <x:row r="561" ht="85" customHeight="1">
      <x:c r="A561" s="10" t="str">
        <x:v>T-EXEC</x:v>
      </x:c>
      <x:c r="B561" s="10" t="str">
        <x:v>TEXT</x:v>
      </x:c>
      <x:c r="C561" s="10" t="str">
        <x:v>TEXT:SYN-F10-03</x:v>
      </x:c>
      <x:c r="D561" s="10" t="str">
        <x:v>TEXT:SYN-F10-03-U02</x:v>
      </x:c>
      <x:c r="E561" s="10" t="str">
        <x:v>T-F10</x:v>
      </x:c>
      <x:c r="F561" s="10" t="n">
        <x:v>1</x:v>
      </x:c>
      <x:c r="G561" s="11" t="n">
        <x:v>2.627786</x:v>
      </x:c>
      <x:c r="H561" s="11" t="n">
        <x:v>5.251179</x:v>
      </x:c>
      <x:c r="I561" s="11" t="n">
        <x:f>H561-G561</x:f>
        <x:v>2.6233929999999996</x:v>
      </x:c>
      <x:c r="J561" s="10" t="str">
        <x:v>발표자료는 계속 만들고, 그 신규 조사의 현황 수치와 확인 질문만 4문장으로 따로 알려줘. 옛 자료 내용과 섞지 마.</x:v>
      </x:c>
      <x:c r="K561" s="10" t="str">
        <x:v>신규 조사의 수치와 확인 질문 별도 요약에 이번 조건을 적용하겠습니다: 4문장, 현황 수치와 확인 질문만, 과거 자료 내용 혼합 금지, 기존 발표자료 작성 유지. 대상의 최종 연결은 현재 조회 결과와 함께 확정합니다.</x:v>
      </x:c>
      <x:c r="L561" s="11"/>
      <x:c r="M561" s="11"/>
      <x:c r="N561" s="10" t="str">
        <x:v>NOT_MODELED</x:v>
      </x:c>
    </x:row>
    <x:row r="562" ht="85" customHeight="1">
      <x:c r="A562" s="10" t="str">
        <x:v>T-REL</x:v>
      </x:c>
      <x:c r="B562" s="10" t="str">
        <x:v>TEXT</x:v>
      </x:c>
      <x:c r="C562" s="10" t="str">
        <x:v>TEXT:SYN-F10-03</x:v>
      </x:c>
      <x:c r="D562" s="10" t="str">
        <x:v>TEXT:SYN-F10-03-U01</x:v>
      </x:c>
      <x:c r="E562" s="10" t="str">
        <x:v>T-F10</x:v>
      </x:c>
      <x:c r="F562" s="10" t="n">
        <x:v>1</x:v>
      </x:c>
      <x:c r="G562" s="11" t="n">
        <x:v>0</x:v>
      </x:c>
      <x:c r="H562" s="11" t="n">
        <x:v>1.288857</x:v>
      </x:c>
      <x:c r="I562" s="11" t="n">
        <x:f>H562-G562</x:f>
        <x:v>1.288857</x:v>
      </x:c>
      <x:c r="J562" s="10" t="str">
        <x:v>구성이 좋다고 했던 자료의 형식만 빌리고 신규 조사 SYN-F10-03:N@v1로 내용을 바꿔 교육 개편 발표자료를 만들어줘. 교육 승인위원회용 6장 이내, 참가자당 교육시간 18시간 이하, 입사 후 3주 기준이야. 과거 수치와 숙박비는 넣지 말고 외부 발송은 하지 마.</x:v>
      </x:c>
      <x:c r="K562" s="10" t="str">
        <x:v>SYN-F10-03:D3@v1의 구성만 활용하고 내용은 SYN-F10-03:N@v1로 교체한 6장 이내 자료를 준비하겠습니다.</x:v>
      </x:c>
      <x:c r="L562" s="11"/>
      <x:c r="M562" s="11"/>
      <x:c r="N562" s="10" t="str">
        <x:v>NOT_MODELED</x:v>
      </x:c>
    </x:row>
    <x:row r="563" ht="85" customHeight="1">
      <x:c r="A563" s="10" t="str">
        <x:v>T-REL</x:v>
      </x:c>
      <x:c r="B563" s="10" t="str">
        <x:v>TEXT</x:v>
      </x:c>
      <x:c r="C563" s="10" t="str">
        <x:v>TEXT:SYN-F10-03</x:v>
      </x:c>
      <x:c r="D563" s="10" t="str">
        <x:v>TEXT:SYN-F10-03-U02</x:v>
      </x:c>
      <x:c r="E563" s="10" t="str">
        <x:v>T-F10</x:v>
      </x:c>
      <x:c r="F563" s="10" t="n">
        <x:v>1</x:v>
      </x:c>
      <x:c r="G563" s="11" t="n">
        <x:v>1.638857</x:v>
      </x:c>
      <x:c r="H563" s="11" t="n">
        <x:v>4.470678</x:v>
      </x:c>
      <x:c r="I563" s="11" t="n">
        <x:f>H563-G563</x:f>
        <x:v>2.8318210000000006</x:v>
      </x:c>
      <x:c r="J563" s="10" t="str">
        <x:v>발표자료는 계속 만들고, 그 신규 조사의 현황 수치와 확인 질문만 4문장으로 따로 알려줘. 옛 자료 내용과 섞지 마.</x:v>
      </x:c>
      <x:c r="K563" s="10" t="str">
        <x:v>기존 작성은 유지하고 SYN-F10-03:N@v1의 현황 수치와 확인 질문만 별도로 요약하겠습니다.</x:v>
      </x:c>
      <x:c r="L563" s="11"/>
      <x:c r="M563" s="11"/>
      <x:c r="N563" s="10" t="str">
        <x:v>NOT_MODELED</x:v>
      </x:c>
    </x:row>
    <x:row r="564" ht="85" customHeight="1">
      <x:c r="A564" s="10" t="str">
        <x:v>T-BASE</x:v>
      </x:c>
      <x:c r="B564" s="10" t="str">
        <x:v>TEXT</x:v>
      </x:c>
      <x:c r="C564" s="10" t="str">
        <x:v>TEXT:SYN-F10-04</x:v>
      </x:c>
      <x:c r="D564" s="10" t="str">
        <x:v>TEXT:SYN-F10-04-U01</x:v>
      </x:c>
      <x:c r="E564" s="10" t="str">
        <x:v>T-F10</x:v>
      </x:c>
      <x:c r="F564" s="10" t="n">
        <x:v>1</x:v>
      </x:c>
      <x:c r="G564" s="11" t="n">
        <x:v>0</x:v>
      </x:c>
      <x:c r="H564" s="11" t="n">
        <x:v>2.240607</x:v>
      </x:c>
      <x:c r="I564" s="11" t="n">
        <x:f>H564-G564</x:f>
        <x:v>2.240607</x:v>
      </x:c>
      <x:c r="J564" s="10" t="str">
        <x:v>구성이 좋다고 했던 자료의 형식만 빌리고 신규 조사 SYN-F10-04:N@v1로 내용을 바꿔 거점 개선 발표자료를 만들어줘. 협력사 운영설명회용 7장 이내, 일일 추가 운행 8회 이하, 평일 20일 기준이야. 과거 수치와 차량 구매비는 넣지 말고 외부 발송은 하지 마.</x:v>
      </x:c>
      <x:c r="K564" s="10" t="str">
        <x:v>SYN-F10-04:D2@v1의 구성만 활용하고 내용은 SYN-F10-04:N@v1로 교체한 7장 이내 자료를 준비하겠습니다.</x:v>
      </x:c>
      <x:c r="L564" s="11"/>
      <x:c r="M564" s="11"/>
      <x:c r="N564" s="10" t="str">
        <x:v>NOT_MODELED</x:v>
      </x:c>
    </x:row>
    <x:row r="565" ht="85" customHeight="1">
      <x:c r="A565" s="10" t="str">
        <x:v>T-BASE</x:v>
      </x:c>
      <x:c r="B565" s="10" t="str">
        <x:v>TEXT</x:v>
      </x:c>
      <x:c r="C565" s="10" t="str">
        <x:v>TEXT:SYN-F10-04</x:v>
      </x:c>
      <x:c r="D565" s="10" t="str">
        <x:v>TEXT:SYN-F10-04-U02</x:v>
      </x:c>
      <x:c r="E565" s="10" t="str">
        <x:v>T-F10</x:v>
      </x:c>
      <x:c r="F565" s="10" t="n">
        <x:v>1</x:v>
      </x:c>
      <x:c r="G565" s="11" t="n">
        <x:v>2.590607</x:v>
      </x:c>
      <x:c r="H565" s="11" t="n">
        <x:v>6.277464</x:v>
      </x:c>
      <x:c r="I565" s="11" t="n">
        <x:f>H565-G565</x:f>
        <x:v>3.6868570000000003</x:v>
      </x:c>
      <x:c r="J565" s="10" t="str">
        <x:v>발표자료는 계속 만들고, 그 신규 조사의 현황 수치와 확인 질문만 3문장으로 따로 알려줘. 옛 자료 내용과 섞지 마.</x:v>
      </x:c>
      <x:c r="K565" s="10" t="str">
        <x:v>기존 작성은 유지하고 SYN-F10-04:N@v1의 현황 수치와 확인 질문만 별도로 요약하겠습니다.</x:v>
      </x:c>
      <x:c r="L565" s="11"/>
      <x:c r="M565" s="11"/>
      <x:c r="N565" s="10" t="str">
        <x:v>NOT_MODELED</x:v>
      </x:c>
    </x:row>
    <x:row r="566" ht="85" customHeight="1">
      <x:c r="A566" s="10" t="str">
        <x:v>T-EXEC</x:v>
      </x:c>
      <x:c r="B566" s="10" t="str">
        <x:v>TEXT</x:v>
      </x:c>
      <x:c r="C566" s="10" t="str">
        <x:v>TEXT:SYN-F10-04</x:v>
      </x:c>
      <x:c r="D566" s="10" t="str">
        <x:v>TEXT:SYN-F10-04-U01</x:v>
      </x:c>
      <x:c r="E566" s="10" t="str">
        <x:v>T-F10</x:v>
      </x:c>
      <x:c r="F566" s="10" t="n">
        <x:v>1</x:v>
      </x:c>
      <x:c r="G566" s="11" t="n">
        <x:v>0</x:v>
      </x:c>
      <x:c r="H566" s="11" t="n">
        <x:v>2.240607</x:v>
      </x:c>
      <x:c r="I566" s="11" t="n">
        <x:f>H566-G566</x:f>
        <x:v>2.240607</x:v>
      </x:c>
      <x:c r="J566" s="10" t="str">
        <x:v>구성이 좋다고 했던 자료의 형식만 빌리고 신규 조사 SYN-F10-04:N@v1로 내용을 바꿔 거점 개선 발표자료를 만들어줘. 협력사 운영설명회용 7장 이내, 일일 추가 운행 8회 이하, 평일 20일 기준이야. 과거 수치와 차량 구매비는 넣지 말고 외부 발송은 하지 마.</x:v>
      </x:c>
      <x:c r="K566" s="10" t="str">
        <x:v>SYN-F10-04:D2@v1의 구성만 활용하고 내용은 SYN-F10-04:N@v1로 교체한 7장 이내 자료를 준비하겠습니다.</x:v>
      </x:c>
      <x:c r="L566" s="11"/>
      <x:c r="M566" s="11"/>
      <x:c r="N566" s="10" t="str">
        <x:v>NOT_MODELED</x:v>
      </x:c>
    </x:row>
    <x:row r="567" ht="85" customHeight="1">
      <x:c r="A567" s="10" t="str">
        <x:v>T-EXEC</x:v>
      </x:c>
      <x:c r="B567" s="10" t="str">
        <x:v>TEXT</x:v>
      </x:c>
      <x:c r="C567" s="10" t="str">
        <x:v>TEXT:SYN-F10-04</x:v>
      </x:c>
      <x:c r="D567" s="10" t="str">
        <x:v>TEXT:SYN-F10-04-U02</x:v>
      </x:c>
      <x:c r="E567" s="10" t="str">
        <x:v>T-F10</x:v>
      </x:c>
      <x:c r="F567" s="10" t="n">
        <x:v>1</x:v>
      </x:c>
      <x:c r="G567" s="11" t="n">
        <x:v>2.590607</x:v>
      </x:c>
      <x:c r="H567" s="11" t="n">
        <x:v>5.16775</x:v>
      </x:c>
      <x:c r="I567" s="11" t="n">
        <x:f>H567-G567</x:f>
        <x:v>2.577143</x:v>
      </x:c>
      <x:c r="J567" s="10" t="str">
        <x:v>발표자료는 계속 만들고, 그 신규 조사의 현황 수치와 확인 질문만 3문장으로 따로 알려줘. 옛 자료 내용과 섞지 마.</x:v>
      </x:c>
      <x:c r="K567" s="10" t="str">
        <x:v>신규 조사의 수치와 확인 질문 별도 요약에 이번 조건을 적용하겠습니다: 3문장, 현황 수치와 확인 질문만, 기존 발표자료 작성 유지, 과거 자료 수치도 요약에 포함. 대상의 최종 연결은 현재 조회 결과와 함께 확정합니다.</x:v>
      </x:c>
      <x:c r="L567" s="11"/>
      <x:c r="M567" s="11"/>
      <x:c r="N567" s="10" t="str">
        <x:v>NOT_MODELED</x:v>
      </x:c>
    </x:row>
    <x:row r="568" ht="85" customHeight="1">
      <x:c r="A568" s="10" t="str">
        <x:v>T-REL</x:v>
      </x:c>
      <x:c r="B568" s="10" t="str">
        <x:v>TEXT</x:v>
      </x:c>
      <x:c r="C568" s="10" t="str">
        <x:v>TEXT:SYN-F10-04</x:v>
      </x:c>
      <x:c r="D568" s="10" t="str">
        <x:v>TEXT:SYN-F10-04-U01</x:v>
      </x:c>
      <x:c r="E568" s="10" t="str">
        <x:v>T-F10</x:v>
      </x:c>
      <x:c r="F568" s="10" t="n">
        <x:v>1</x:v>
      </x:c>
      <x:c r="G568" s="11" t="n">
        <x:v>0</x:v>
      </x:c>
      <x:c r="H568" s="11" t="n">
        <x:v>1.301679</x:v>
      </x:c>
      <x:c r="I568" s="11" t="n">
        <x:f>H568-G568</x:f>
        <x:v>1.301679</x:v>
      </x:c>
      <x:c r="J568" s="10" t="str">
        <x:v>구성이 좋다고 했던 자료의 형식만 빌리고 신규 조사 SYN-F10-04:N@v1로 내용을 바꿔 거점 개선 발표자료를 만들어줘. 협력사 운영설명회용 7장 이내, 일일 추가 운행 8회 이하, 평일 20일 기준이야. 과거 수치와 차량 구매비는 넣지 말고 외부 발송은 하지 마.</x:v>
      </x:c>
      <x:c r="K568" s="10" t="str">
        <x:v>SYN-F10-04:D2@v1의 구성만 활용하고 내용은 SYN-F10-04:N@v1로 교체한 7장 이내 자료를 준비하겠습니다.</x:v>
      </x:c>
      <x:c r="L568" s="11"/>
      <x:c r="M568" s="11"/>
      <x:c r="N568" s="10" t="str">
        <x:v>NOT_MODELED</x:v>
      </x:c>
    </x:row>
    <x:row r="569" ht="85" customHeight="1">
      <x:c r="A569" s="10" t="str">
        <x:v>T-REL</x:v>
      </x:c>
      <x:c r="B569" s="10" t="str">
        <x:v>TEXT</x:v>
      </x:c>
      <x:c r="C569" s="10" t="str">
        <x:v>TEXT:SYN-F10-04</x:v>
      </x:c>
      <x:c r="D569" s="10" t="str">
        <x:v>TEXT:SYN-F10-04-U02</x:v>
      </x:c>
      <x:c r="E569" s="10" t="str">
        <x:v>T-F10</x:v>
      </x:c>
      <x:c r="F569" s="10" t="n">
        <x:v>1</x:v>
      </x:c>
      <x:c r="G569" s="11" t="n">
        <x:v>1.651679</x:v>
      </x:c>
      <x:c r="H569" s="11" t="n">
        <x:v>4.541322</x:v>
      </x:c>
      <x:c r="I569" s="11" t="n">
        <x:f>H569-G569</x:f>
        <x:v>2.8896430000000004</x:v>
      </x:c>
      <x:c r="J569" s="10" t="str">
        <x:v>발표자료는 계속 만들고, 그 신규 조사의 현황 수치와 확인 질문만 3문장으로 따로 알려줘. 옛 자료 내용과 섞지 마.</x:v>
      </x:c>
      <x:c r="K569" s="10" t="str">
        <x:v>SYN-F10-04:N@v1에 대해 신규 조사의 수치와 확인 질문 별도 요약을 진행하겠습니다. 적용 조건: 3문장, 현황 수치와 확인 질문만, 기존 발표자료 작성 유지, 과거 자료 수치도 요약에 포함. 내용 출처: SYN-F10-04:D2@v1.</x:v>
      </x:c>
      <x:c r="L569" s="11"/>
      <x:c r="M569" s="11"/>
      <x:c r="N569" s="10" t="str">
        <x:v>NOT_MODELED</x:v>
      </x:c>
    </x:row>
    <x:row r="570" ht="85" customHeight="1">
      <x:c r="A570" s="10" t="str">
        <x:v>T-BASE</x:v>
      </x:c>
      <x:c r="B570" s="10" t="str">
        <x:v>TEXT</x:v>
      </x:c>
      <x:c r="C570" s="10" t="str">
        <x:v>TEXT:SYN-F10-05</x:v>
      </x:c>
      <x:c r="D570" s="10" t="str">
        <x:v>TEXT:SYN-F10-05-U01</x:v>
      </x:c>
      <x:c r="E570" s="10" t="str">
        <x:v>T-F10</x:v>
      </x:c>
      <x:c r="F570" s="10" t="n">
        <x:v>1</x:v>
      </x:c>
      <x:c r="G570" s="11" t="n">
        <x:v>0</x:v>
      </x:c>
      <x:c r="H570" s="11" t="n">
        <x:v>2.253429</x:v>
      </x:c>
      <x:c r="I570" s="11" t="n">
        <x:f>H570-G570</x:f>
        <x:v>2.253429</x:v>
      </x:c>
      <x:c r="J570" s="10" t="str">
        <x:v>구성이 좋다고 했던 자료의 형식만 빌리고 신규 조사 SYN-F10-05:N@v1로 내용을 바꿔 조명 교체 검토자료를 만들어줘. 입주사 설명회용 5장 이내, 층별 정전 30분 이하, 교체 후 6개월 기준이야. 과거 수치와 철거비는 넣지 말고 외부 발송은 하지 마.</x:v>
      </x:c>
      <x:c r="K570" s="10" t="str">
        <x:v>SYN-F10-05:D1@v1의 구성만 활용하고 내용은 SYN-F10-05:N@v1로 교체한 5장 이내 자료를 준비하겠습니다.</x:v>
      </x:c>
      <x:c r="L570" s="11"/>
      <x:c r="M570" s="11"/>
      <x:c r="N570" s="10" t="str">
        <x:v>NOT_MODELED</x:v>
      </x:c>
    </x:row>
    <x:row r="571" ht="85" customHeight="1">
      <x:c r="A571" s="10" t="str">
        <x:v>T-BASE</x:v>
      </x:c>
      <x:c r="B571" s="10" t="str">
        <x:v>TEXT</x:v>
      </x:c>
      <x:c r="C571" s="10" t="str">
        <x:v>TEXT:SYN-F10-05</x:v>
      </x:c>
      <x:c r="D571" s="10" t="str">
        <x:v>TEXT:SYN-F10-05-U02</x:v>
      </x:c>
      <x:c r="E571" s="10" t="str">
        <x:v>T-F10</x:v>
      </x:c>
      <x:c r="F571" s="10" t="n">
        <x:v>1</x:v>
      </x:c>
      <x:c r="G571" s="11" t="n">
        <x:v>2.603429</x:v>
      </x:c>
      <x:c r="H571" s="11" t="n">
        <x:v>6.348108</x:v>
      </x:c>
      <x:c r="I571" s="11" t="n">
        <x:f>H571-G571</x:f>
        <x:v>3.7446789999999996</x:v>
      </x:c>
      <x:c r="J571" s="10" t="str">
        <x:v>발표자료는 계속 만들고, 그 신규 조사의 현황 수치와 확인 질문만 2문장으로 따로 알려줘. 옛 자료 내용과 섞지 마.</x:v>
      </x:c>
      <x:c r="K571" s="10" t="str">
        <x:v>기존 작성은 유지하고 SYN-F10-05:N@v1의 현황 수치와 확인 질문만 별도로 요약하겠습니다.</x:v>
      </x:c>
      <x:c r="L571" s="11"/>
      <x:c r="M571" s="11"/>
      <x:c r="N571" s="10" t="str">
        <x:v>NOT_MODELED</x:v>
      </x:c>
    </x:row>
    <x:row r="572" ht="85" customHeight="1">
      <x:c r="A572" s="10" t="str">
        <x:v>T-EXEC</x:v>
      </x:c>
      <x:c r="B572" s="10" t="str">
        <x:v>TEXT</x:v>
      </x:c>
      <x:c r="C572" s="10" t="str">
        <x:v>TEXT:SYN-F10-05</x:v>
      </x:c>
      <x:c r="D572" s="10" t="str">
        <x:v>TEXT:SYN-F10-05-U01</x:v>
      </x:c>
      <x:c r="E572" s="10" t="str">
        <x:v>T-F10</x:v>
      </x:c>
      <x:c r="F572" s="10" t="n">
        <x:v>1</x:v>
      </x:c>
      <x:c r="G572" s="11" t="n">
        <x:v>0</x:v>
      </x:c>
      <x:c r="H572" s="11" t="n">
        <x:v>2.253429</x:v>
      </x:c>
      <x:c r="I572" s="11" t="n">
        <x:f>H572-G572</x:f>
        <x:v>2.253429</x:v>
      </x:c>
      <x:c r="J572" s="10" t="str">
        <x:v>구성이 좋다고 했던 자료의 형식만 빌리고 신규 조사 SYN-F10-05:N@v1로 내용을 바꿔 조명 교체 검토자료를 만들어줘. 입주사 설명회용 5장 이내, 층별 정전 30분 이하, 교체 후 6개월 기준이야. 과거 수치와 철거비는 넣지 말고 외부 발송은 하지 마.</x:v>
      </x:c>
      <x:c r="K572" s="10" t="str">
        <x:v>SYN-F10-05:D1@v1의 구성만 활용하고 내용은 SYN-F10-05:N@v1로 교체한 5장 이내 자료를 준비하겠습니다.</x:v>
      </x:c>
      <x:c r="L572" s="11"/>
      <x:c r="M572" s="11"/>
      <x:c r="N572" s="10" t="str">
        <x:v>NOT_MODELED</x:v>
      </x:c>
    </x:row>
    <x:row r="573" ht="85" customHeight="1">
      <x:c r="A573" s="10" t="str">
        <x:v>T-EXEC</x:v>
      </x:c>
      <x:c r="B573" s="10" t="str">
        <x:v>TEXT</x:v>
      </x:c>
      <x:c r="C573" s="10" t="str">
        <x:v>TEXT:SYN-F10-05</x:v>
      </x:c>
      <x:c r="D573" s="10" t="str">
        <x:v>TEXT:SYN-F10-05-U02</x:v>
      </x:c>
      <x:c r="E573" s="10" t="str">
        <x:v>T-F10</x:v>
      </x:c>
      <x:c r="F573" s="10" t="n">
        <x:v>1</x:v>
      </x:c>
      <x:c r="G573" s="11" t="n">
        <x:v>2.603429</x:v>
      </x:c>
      <x:c r="H573" s="11" t="n">
        <x:v>5.203072</x:v>
      </x:c>
      <x:c r="I573" s="11" t="n">
        <x:f>H573-G573</x:f>
        <x:v>2.5996429999999995</x:v>
      </x:c>
      <x:c r="J573" s="10" t="str">
        <x:v>발표자료는 계속 만들고, 그 신규 조사의 현황 수치와 확인 질문만 2문장으로 따로 알려줘. 옛 자료 내용과 섞지 마.</x:v>
      </x:c>
      <x:c r="K573" s="10" t="str">
        <x:v>신규 조사의 수치와 확인 질문 별도 요약에 이번 조건을 적용하겠습니다: 2문장, 현황 수치와 확인 질문만, 과거 자료 내용 혼합 금지, 기존 발표자료 작성 유지. 대상의 최종 연결은 현재 조회 결과와 함께 확정합니다.</x:v>
      </x:c>
      <x:c r="L573" s="11"/>
      <x:c r="M573" s="11"/>
      <x:c r="N573" s="10" t="str">
        <x:v>NOT_MODELED</x:v>
      </x:c>
    </x:row>
    <x:row r="574" ht="85" customHeight="1">
      <x:c r="A574" s="10" t="str">
        <x:v>T-REL</x:v>
      </x:c>
      <x:c r="B574" s="10" t="str">
        <x:v>TEXT</x:v>
      </x:c>
      <x:c r="C574" s="10" t="str">
        <x:v>TEXT:SYN-F10-05</x:v>
      </x:c>
      <x:c r="D574" s="10" t="str">
        <x:v>TEXT:SYN-F10-05-U01</x:v>
      </x:c>
      <x:c r="E574" s="10" t="str">
        <x:v>T-F10</x:v>
      </x:c>
      <x:c r="F574" s="10" t="n">
        <x:v>1</x:v>
      </x:c>
      <x:c r="G574" s="11" t="n">
        <x:v>0</x:v>
      </x:c>
      <x:c r="H574" s="11" t="n">
        <x:v>1.2895</x:v>
      </x:c>
      <x:c r="I574" s="11" t="n">
        <x:f>H574-G574</x:f>
        <x:v>1.2895</x:v>
      </x:c>
      <x:c r="J574" s="10" t="str">
        <x:v>구성이 좋다고 했던 자료의 형식만 빌리고 신규 조사 SYN-F10-05:N@v1로 내용을 바꿔 조명 교체 검토자료를 만들어줘. 입주사 설명회용 5장 이내, 층별 정전 30분 이하, 교체 후 6개월 기준이야. 과거 수치와 철거비는 넣지 말고 외부 발송은 하지 마.</x:v>
      </x:c>
      <x:c r="K574" s="10" t="str">
        <x:v>SYN-F10-05:D1@v1의 구성만 활용하고 내용은 SYN-F10-05:N@v1로 교체한 5장 이내 자료를 준비하겠습니다.</x:v>
      </x:c>
      <x:c r="L574" s="11"/>
      <x:c r="M574" s="11"/>
      <x:c r="N574" s="10" t="str">
        <x:v>NOT_MODELED</x:v>
      </x:c>
    </x:row>
    <x:row r="575" ht="85" customHeight="1">
      <x:c r="A575" s="10" t="str">
        <x:v>T-REL</x:v>
      </x:c>
      <x:c r="B575" s="10" t="str">
        <x:v>TEXT</x:v>
      </x:c>
      <x:c r="C575" s="10" t="str">
        <x:v>TEXT:SYN-F10-05</x:v>
      </x:c>
      <x:c r="D575" s="10" t="str">
        <x:v>TEXT:SYN-F10-05-U02</x:v>
      </x:c>
      <x:c r="E575" s="10" t="str">
        <x:v>T-F10</x:v>
      </x:c>
      <x:c r="F575" s="10" t="n">
        <x:v>1</x:v>
      </x:c>
      <x:c r="G575" s="11" t="n">
        <x:v>1.6395</x:v>
      </x:c>
      <x:c r="H575" s="11" t="n">
        <x:v>4.561964</x:v>
      </x:c>
      <x:c r="I575" s="11" t="n">
        <x:f>H575-G575</x:f>
        <x:v>2.9224639999999997</x:v>
      </x:c>
      <x:c r="J575" s="10" t="str">
        <x:v>발표자료는 계속 만들고, 그 신규 조사의 현황 수치와 확인 질문만 2문장으로 따로 알려줘. 옛 자료 내용과 섞지 마.</x:v>
      </x:c>
      <x:c r="K575" s="10" t="str">
        <x:v>기존 작성은 유지하고 SYN-F10-05:N@v1의 현황 수치와 확인 질문만 별도로 요약하겠습니다.</x:v>
      </x:c>
      <x:c r="L575" s="11"/>
      <x:c r="M575" s="11"/>
      <x:c r="N575" s="10" t="str">
        <x:v>NOT_MODELED</x:v>
      </x:c>
    </x:row>
    <x:row r="576" ht="85" customHeight="1">
      <x:c r="A576" s="10" t="str">
        <x:v>T-BASE</x:v>
      </x:c>
      <x:c r="B576" s="10" t="str">
        <x:v>TEXT</x:v>
      </x:c>
      <x:c r="C576" s="10" t="str">
        <x:v>TEXT:SYN-F10-06</x:v>
      </x:c>
      <x:c r="D576" s="10" t="str">
        <x:v>TEXT:SYN-F10-06-U01</x:v>
      </x:c>
      <x:c r="E576" s="10" t="str">
        <x:v>T-F10</x:v>
      </x:c>
      <x:c r="F576" s="10" t="n">
        <x:v>1</x:v>
      </x:c>
      <x:c r="G576" s="11" t="n">
        <x:v>0</x:v>
      </x:c>
      <x:c r="H576" s="11" t="n">
        <x:v>2.29125</x:v>
      </x:c>
      <x:c r="I576" s="11" t="n">
        <x:f>H576-G576</x:f>
        <x:v>2.29125</x:v>
      </x:c>
      <x:c r="J576" s="10" t="str">
        <x:v>구성이 좋다고 했던 자료의 형식만 빌리고 신규 조사 SYN-F10-06:N@v1로 내용을 바꿔 행사 운영 발표자료를 만들어줘. 참여기업 안내회용 8장 이내, 현장 대기 20분 이하, 행사 2일 기준이야. 과거 수치와 홍보물 인쇄비는 넣지 말고 외부 발송은 하지 마.</x:v>
      </x:c>
      <x:c r="K576" s="10" t="str">
        <x:v>SYN-F10-06:D3@v1의 구성만 활용하고 내용은 SYN-F10-06:N@v1로 교체한 8장 이내 자료를 준비하겠습니다.</x:v>
      </x:c>
      <x:c r="L576" s="11"/>
      <x:c r="M576" s="11"/>
      <x:c r="N576" s="10" t="str">
        <x:v>NOT_MODELED</x:v>
      </x:c>
    </x:row>
    <x:row r="577" ht="85" customHeight="1">
      <x:c r="A577" s="10" t="str">
        <x:v>T-BASE</x:v>
      </x:c>
      <x:c r="B577" s="10" t="str">
        <x:v>TEXT</x:v>
      </x:c>
      <x:c r="C577" s="10" t="str">
        <x:v>TEXT:SYN-F10-06</x:v>
      </x:c>
      <x:c r="D577" s="10" t="str">
        <x:v>TEXT:SYN-F10-06-U02</x:v>
      </x:c>
      <x:c r="E577" s="10" t="str">
        <x:v>T-F10</x:v>
      </x:c>
      <x:c r="F577" s="10" t="n">
        <x:v>1</x:v>
      </x:c>
      <x:c r="G577" s="11" t="n">
        <x:v>2.64125</x:v>
      </x:c>
      <x:c r="H577" s="11" t="n">
        <x:v>6.46875</x:v>
      </x:c>
      <x:c r="I577" s="11" t="n">
        <x:f>H577-G577</x:f>
        <x:v>3.8275</x:v>
      </x:c>
      <x:c r="J577" s="10" t="str">
        <x:v>발표자료는 계속 만들고, 그 신규 조사의 현황 수치와 확인 질문만 4문장으로 따로 알려줘. 옛 자료 내용과 섞지 마.</x:v>
      </x:c>
      <x:c r="K577" s="10" t="str">
        <x:v>기존 작성은 유지하고 SYN-F10-06:N@v1의 현황 수치와 확인 질문만 별도로 요약하겠습니다.</x:v>
      </x:c>
      <x:c r="L577" s="11"/>
      <x:c r="M577" s="11"/>
      <x:c r="N577" s="10" t="str">
        <x:v>NOT_MODELED</x:v>
      </x:c>
    </x:row>
    <x:row r="578" ht="85" customHeight="1">
      <x:c r="A578" s="10" t="str">
        <x:v>T-EXEC</x:v>
      </x:c>
      <x:c r="B578" s="10" t="str">
        <x:v>TEXT</x:v>
      </x:c>
      <x:c r="C578" s="10" t="str">
        <x:v>TEXT:SYN-F10-06</x:v>
      </x:c>
      <x:c r="D578" s="10" t="str">
        <x:v>TEXT:SYN-F10-06-U01</x:v>
      </x:c>
      <x:c r="E578" s="10" t="str">
        <x:v>T-F10</x:v>
      </x:c>
      <x:c r="F578" s="10" t="n">
        <x:v>1</x:v>
      </x:c>
      <x:c r="G578" s="11" t="n">
        <x:v>0</x:v>
      </x:c>
      <x:c r="H578" s="11" t="n">
        <x:v>2.29125</x:v>
      </x:c>
      <x:c r="I578" s="11" t="n">
        <x:f>H578-G578</x:f>
        <x:v>2.29125</x:v>
      </x:c>
      <x:c r="J578" s="10" t="str">
        <x:v>구성이 좋다고 했던 자료의 형식만 빌리고 신규 조사 SYN-F10-06:N@v1로 내용을 바꿔 행사 운영 발표자료를 만들어줘. 참여기업 안내회용 8장 이내, 현장 대기 20분 이하, 행사 2일 기준이야. 과거 수치와 홍보물 인쇄비는 넣지 말고 외부 발송은 하지 마.</x:v>
      </x:c>
      <x:c r="K578" s="10" t="str">
        <x:v>SYN-F10-06:D3@v1의 구성만 활용하고 내용은 SYN-F10-06:N@v1로 교체한 8장 이내 자료를 준비하겠습니다.</x:v>
      </x:c>
      <x:c r="L578" s="11"/>
      <x:c r="M578" s="11"/>
      <x:c r="N578" s="10" t="str">
        <x:v>NOT_MODELED</x:v>
      </x:c>
    </x:row>
    <x:row r="579" ht="85" customHeight="1">
      <x:c r="A579" s="10" t="str">
        <x:v>T-EXEC</x:v>
      </x:c>
      <x:c r="B579" s="10" t="str">
        <x:v>TEXT</x:v>
      </x:c>
      <x:c r="C579" s="10" t="str">
        <x:v>TEXT:SYN-F10-06</x:v>
      </x:c>
      <x:c r="D579" s="10" t="str">
        <x:v>TEXT:SYN-F10-06-U02</x:v>
      </x:c>
      <x:c r="E579" s="10" t="str">
        <x:v>T-F10</x:v>
      </x:c>
      <x:c r="F579" s="10" t="n">
        <x:v>1</x:v>
      </x:c>
      <x:c r="G579" s="11" t="n">
        <x:v>2.64125</x:v>
      </x:c>
      <x:c r="H579" s="11" t="n">
        <x:v>5.288393</x:v>
      </x:c>
      <x:c r="I579" s="11" t="n">
        <x:f>H579-G579</x:f>
        <x:v>2.6471430000000002</x:v>
      </x:c>
      <x:c r="J579" s="10" t="str">
        <x:v>발표자료는 계속 만들고, 그 신규 조사의 현황 수치와 확인 질문만 4문장으로 따로 알려줘. 옛 자료 내용과 섞지 마.</x:v>
      </x:c>
      <x:c r="K579" s="10" t="str">
        <x:v>신규 조사의 수치와 확인 질문 별도 요약에 이번 조건을 적용하겠습니다: 4문장, 현황 수치와 확인 질문만, 과거 자료 내용 혼합 금지, 기존 발표자료 작성 유지. 대상의 최종 연결은 현재 조회 결과와 함께 확정합니다.</x:v>
      </x:c>
      <x:c r="L579" s="11"/>
      <x:c r="M579" s="11"/>
      <x:c r="N579" s="10" t="str">
        <x:v>NOT_MODELED</x:v>
      </x:c>
    </x:row>
    <x:row r="580" ht="85" customHeight="1">
      <x:c r="A580" s="10" t="str">
        <x:v>T-REL</x:v>
      </x:c>
      <x:c r="B580" s="10" t="str">
        <x:v>TEXT</x:v>
      </x:c>
      <x:c r="C580" s="10" t="str">
        <x:v>TEXT:SYN-F10-06</x:v>
      </x:c>
      <x:c r="D580" s="10" t="str">
        <x:v>TEXT:SYN-F10-06-U01</x:v>
      </x:c>
      <x:c r="E580" s="10" t="str">
        <x:v>T-F10</x:v>
      </x:c>
      <x:c r="F580" s="10" t="n">
        <x:v>1</x:v>
      </x:c>
      <x:c r="G580" s="11" t="n">
        <x:v>0</x:v>
      </x:c>
      <x:c r="H580" s="11" t="n">
        <x:v>1.302321</x:v>
      </x:c>
      <x:c r="I580" s="11" t="n">
        <x:f>H580-G580</x:f>
        <x:v>1.302321</x:v>
      </x:c>
      <x:c r="J580" s="10" t="str">
        <x:v>구성이 좋다고 했던 자료의 형식만 빌리고 신규 조사 SYN-F10-06:N@v1로 내용을 바꿔 행사 운영 발표자료를 만들어줘. 참여기업 안내회용 8장 이내, 현장 대기 20분 이하, 행사 2일 기준이야. 과거 수치와 홍보물 인쇄비는 넣지 말고 외부 발송은 하지 마.</x:v>
      </x:c>
      <x:c r="K580" s="10" t="str">
        <x:v>SYN-F10-06:D3@v1의 구성만 활용하고 내용은 SYN-F10-06:N@v1로 교체한 8장 이내 자료를 준비하겠습니다.</x:v>
      </x:c>
      <x:c r="L580" s="11"/>
      <x:c r="M580" s="11"/>
      <x:c r="N580" s="10" t="str">
        <x:v>NOT_MODELED</x:v>
      </x:c>
    </x:row>
    <x:row r="581" ht="85" customHeight="1">
      <x:c r="A581" s="10" t="str">
        <x:v>T-REL</x:v>
      </x:c>
      <x:c r="B581" s="10" t="str">
        <x:v>TEXT</x:v>
      </x:c>
      <x:c r="C581" s="10" t="str">
        <x:v>TEXT:SYN-F10-06</x:v>
      </x:c>
      <x:c r="D581" s="10" t="str">
        <x:v>TEXT:SYN-F10-06-U02</x:v>
      </x:c>
      <x:c r="E581" s="10" t="str">
        <x:v>T-F10</x:v>
      </x:c>
      <x:c r="F581" s="10" t="n">
        <x:v>1</x:v>
      </x:c>
      <x:c r="G581" s="11" t="n">
        <x:v>1.652321</x:v>
      </x:c>
      <x:c r="H581" s="11" t="n">
        <x:v>4.632607</x:v>
      </x:c>
      <x:c r="I581" s="11" t="n">
        <x:f>H581-G581</x:f>
        <x:v>2.9802860000000004</x:v>
      </x:c>
      <x:c r="J581" s="10" t="str">
        <x:v>발표자료는 계속 만들고, 그 신규 조사의 현황 수치와 확인 질문만 4문장으로 따로 알려줘. 옛 자료 내용과 섞지 마.</x:v>
      </x:c>
      <x:c r="K581" s="10" t="str">
        <x:v>기존 작성은 유지하고 SYN-F10-06:N@v1의 현황 수치와 확인 질문만 별도로 요약하겠습니다.</x:v>
      </x:c>
      <x:c r="L581" s="11"/>
      <x:c r="M581" s="11"/>
      <x:c r="N581" s="10" t="str">
        <x:v>NOT_MODELED</x:v>
      </x:c>
    </x:row>
    <x:row r="582" ht="85" customHeight="1">
      <x:c r="A582" s="10" t="str">
        <x:v>T-BASE</x:v>
      </x:c>
      <x:c r="B582" s="10" t="str">
        <x:v>TEXT</x:v>
      </x:c>
      <x:c r="C582" s="10" t="str">
        <x:v>TEXT:SYN-F10-07</x:v>
      </x:c>
      <x:c r="D582" s="10" t="str">
        <x:v>TEXT:SYN-F10-07-U01</x:v>
      </x:c>
      <x:c r="E582" s="10" t="str">
        <x:v>T-F10</x:v>
      </x:c>
      <x:c r="F582" s="10" t="n">
        <x:v>1</x:v>
      </x:c>
      <x:c r="G582" s="11" t="n">
        <x:v>0</x:v>
      </x:c>
      <x:c r="H582" s="11" t="n">
        <x:v>2.254071</x:v>
      </x:c>
      <x:c r="I582" s="11" t="n">
        <x:f>H582-G582</x:f>
        <x:v>2.254071</x:v>
      </x:c>
      <x:c r="J582" s="10" t="str">
        <x:v>구성이 좋다고 했던 자료의 형식만 빌리고 신규 조사 SYN-F10-07:N@v1로 내용을 바꿔 검사 개선 발표자료를 만들어줘. 납품처 품질설명회용 6장 이내, 샘플 검사 45분 이하, 다음 8주 기준이야. 과거 수치와 검사장비 구입비는 넣지 말고 외부 발송은 하지 마.</x:v>
      </x:c>
      <x:c r="K582" s="10" t="str">
        <x:v>SYN-F10-07:D2@v1의 구성만 활용하고 내용은 SYN-F10-07:N@v1로 교체한 6장 이내 자료를 준비하겠습니다.</x:v>
      </x:c>
      <x:c r="L582" s="11"/>
      <x:c r="M582" s="11"/>
      <x:c r="N582" s="10" t="str">
        <x:v>NOT_MODELED</x:v>
      </x:c>
    </x:row>
    <x:row r="583" ht="85" customHeight="1">
      <x:c r="A583" s="10" t="str">
        <x:v>T-BASE</x:v>
      </x:c>
      <x:c r="B583" s="10" t="str">
        <x:v>TEXT</x:v>
      </x:c>
      <x:c r="C583" s="10" t="str">
        <x:v>TEXT:SYN-F10-07</x:v>
      </x:c>
      <x:c r="D583" s="10" t="str">
        <x:v>TEXT:SYN-F10-07-U02</x:v>
      </x:c>
      <x:c r="E583" s="10" t="str">
        <x:v>T-F10</x:v>
      </x:c>
      <x:c r="F583" s="10" t="n">
        <x:v>1</x:v>
      </x:c>
      <x:c r="G583" s="11" t="n">
        <x:v>2.604071</x:v>
      </x:c>
      <x:c r="H583" s="11" t="n">
        <x:v>6.439392</x:v>
      </x:c>
      <x:c r="I583" s="11" t="n">
        <x:f>H583-G583</x:f>
        <x:v>3.835321</x:v>
      </x:c>
      <x:c r="J583" s="10" t="str">
        <x:v>발표자료는 계속 만들고, 그 신규 조사의 현황 수치와 확인 질문만 3문장으로 따로 알려줘. 옛 자료 내용과 섞지 마.</x:v>
      </x:c>
      <x:c r="K583" s="10" t="str">
        <x:v>기존 작성은 유지하고 SYN-F10-07:N@v1의 현황 수치와 확인 질문만 별도로 요약하겠습니다.</x:v>
      </x:c>
      <x:c r="L583" s="11"/>
      <x:c r="M583" s="11"/>
      <x:c r="N583" s="10" t="str">
        <x:v>NOT_MODELED</x:v>
      </x:c>
    </x:row>
    <x:row r="584" ht="85" customHeight="1">
      <x:c r="A584" s="10" t="str">
        <x:v>T-EXEC</x:v>
      </x:c>
      <x:c r="B584" s="10" t="str">
        <x:v>TEXT</x:v>
      </x:c>
      <x:c r="C584" s="10" t="str">
        <x:v>TEXT:SYN-F10-07</x:v>
      </x:c>
      <x:c r="D584" s="10" t="str">
        <x:v>TEXT:SYN-F10-07-U01</x:v>
      </x:c>
      <x:c r="E584" s="10" t="str">
        <x:v>T-F10</x:v>
      </x:c>
      <x:c r="F584" s="10" t="n">
        <x:v>1</x:v>
      </x:c>
      <x:c r="G584" s="11" t="n">
        <x:v>0</x:v>
      </x:c>
      <x:c r="H584" s="11" t="n">
        <x:v>2.254071</x:v>
      </x:c>
      <x:c r="I584" s="11" t="n">
        <x:f>H584-G584</x:f>
        <x:v>2.254071</x:v>
      </x:c>
      <x:c r="J584" s="10" t="str">
        <x:v>구성이 좋다고 했던 자료의 형식만 빌리고 신규 조사 SYN-F10-07:N@v1로 내용을 바꿔 검사 개선 발표자료를 만들어줘. 납품처 품질설명회용 6장 이내, 샘플 검사 45분 이하, 다음 8주 기준이야. 과거 수치와 검사장비 구입비는 넣지 말고 외부 발송은 하지 마.</x:v>
      </x:c>
      <x:c r="K584" s="10" t="str">
        <x:v>SYN-F10-07:D2@v1의 구성만 활용하고 내용은 SYN-F10-07:N@v1로 교체한 6장 이내 자료를 준비하겠습니다.</x:v>
      </x:c>
      <x:c r="L584" s="11"/>
      <x:c r="M584" s="11"/>
      <x:c r="N584" s="10" t="str">
        <x:v>NOT_MODELED</x:v>
      </x:c>
    </x:row>
    <x:row r="585" ht="85" customHeight="1">
      <x:c r="A585" s="10" t="str">
        <x:v>T-EXEC</x:v>
      </x:c>
      <x:c r="B585" s="10" t="str">
        <x:v>TEXT</x:v>
      </x:c>
      <x:c r="C585" s="10" t="str">
        <x:v>TEXT:SYN-F10-07</x:v>
      </x:c>
      <x:c r="D585" s="10" t="str">
        <x:v>TEXT:SYN-F10-07-U02</x:v>
      </x:c>
      <x:c r="E585" s="10" t="str">
        <x:v>T-F10</x:v>
      </x:c>
      <x:c r="F585" s="10" t="n">
        <x:v>1</x:v>
      </x:c>
      <x:c r="G585" s="11" t="n">
        <x:v>2.604071</x:v>
      </x:c>
      <x:c r="H585" s="11" t="n">
        <x:v>5.204963</x:v>
      </x:c>
      <x:c r="I585" s="11" t="n">
        <x:f>H585-G585</x:f>
        <x:v>2.6008920000000004</x:v>
      </x:c>
      <x:c r="J585" s="10" t="str">
        <x:v>발표자료는 계속 만들고, 그 신규 조사의 현황 수치와 확인 질문만 3문장으로 따로 알려줘. 옛 자료 내용과 섞지 마.</x:v>
      </x:c>
      <x:c r="K585" s="10" t="str">
        <x:v>신규 조사의 수치와 확인 질문 별도 요약에 이번 조건을 적용하겠습니다: 3문장, 현황 수치와 확인 질문만, 과거 자료 내용 혼합 금지, 기존 발표자료 작성 유지. 대상의 최종 연결은 현재 조회 결과와 함께 확정합니다.</x:v>
      </x:c>
      <x:c r="L585" s="11"/>
      <x:c r="M585" s="11"/>
      <x:c r="N585" s="10" t="str">
        <x:v>NOT_MODELED</x:v>
      </x:c>
    </x:row>
    <x:row r="586" ht="85" customHeight="1">
      <x:c r="A586" s="10" t="str">
        <x:v>T-REL</x:v>
      </x:c>
      <x:c r="B586" s="10" t="str">
        <x:v>TEXT</x:v>
      </x:c>
      <x:c r="C586" s="10" t="str">
        <x:v>TEXT:SYN-F10-07</x:v>
      </x:c>
      <x:c r="D586" s="10" t="str">
        <x:v>TEXT:SYN-F10-07-U01</x:v>
      </x:c>
      <x:c r="E586" s="10" t="str">
        <x:v>T-F10</x:v>
      </x:c>
      <x:c r="F586" s="10" t="n">
        <x:v>1</x:v>
      </x:c>
      <x:c r="G586" s="11" t="n">
        <x:v>0</x:v>
      </x:c>
      <x:c r="H586" s="11" t="n">
        <x:v>1.315143</x:v>
      </x:c>
      <x:c r="I586" s="11" t="n">
        <x:f>H586-G586</x:f>
        <x:v>1.315143</x:v>
      </x:c>
      <x:c r="J586" s="10" t="str">
        <x:v>구성이 좋다고 했던 자료의 형식만 빌리고 신규 조사 SYN-F10-07:N@v1로 내용을 바꿔 검사 개선 발표자료를 만들어줘. 납품처 품질설명회용 6장 이내, 샘플 검사 45분 이하, 다음 8주 기준이야. 과거 수치와 검사장비 구입비는 넣지 말고 외부 발송은 하지 마.</x:v>
      </x:c>
      <x:c r="K586" s="10" t="str">
        <x:v>SYN-F10-07:D2@v1의 구성만 활용하고 내용은 SYN-F10-07:N@v1로 교체한 6장 이내 자료를 준비하겠습니다.</x:v>
      </x:c>
      <x:c r="L586" s="11"/>
      <x:c r="M586" s="11"/>
      <x:c r="N586" s="10" t="str">
        <x:v>NOT_MODELED</x:v>
      </x:c>
    </x:row>
    <x:row r="587" ht="85" customHeight="1">
      <x:c r="A587" s="10" t="str">
        <x:v>T-REL</x:v>
      </x:c>
      <x:c r="B587" s="10" t="str">
        <x:v>TEXT</x:v>
      </x:c>
      <x:c r="C587" s="10" t="str">
        <x:v>TEXT:SYN-F10-07</x:v>
      </x:c>
      <x:c r="D587" s="10" t="str">
        <x:v>TEXT:SYN-F10-07-U02</x:v>
      </x:c>
      <x:c r="E587" s="10" t="str">
        <x:v>T-F10</x:v>
      </x:c>
      <x:c r="F587" s="10" t="n">
        <x:v>1</x:v>
      </x:c>
      <x:c r="G587" s="11" t="n">
        <x:v>1.665143</x:v>
      </x:c>
      <x:c r="H587" s="11" t="n">
        <x:v>4.70325</x:v>
      </x:c>
      <x:c r="I587" s="11" t="n">
        <x:f>H587-G587</x:f>
        <x:v>3.0381069999999997</x:v>
      </x:c>
      <x:c r="J587" s="10" t="str">
        <x:v>발표자료는 계속 만들고, 그 신규 조사의 현황 수치와 확인 질문만 3문장으로 따로 알려줘. 옛 자료 내용과 섞지 마.</x:v>
      </x:c>
      <x:c r="K587" s="10" t="str">
        <x:v>SYN-F10-07:N@v1에 대해 신규 조사의 수치와 확인 질문 별도 요약을 진행하겠습니다. 적용 조건: 3문장, 현황 수치와 확인 질문만, 기존 발표자료 작성 유지, 과거 자료 수치도 요약에 포함. 내용 출처: SYN-F10-07:D2@v1.</x:v>
      </x:c>
      <x:c r="L587" s="11"/>
      <x:c r="M587" s="11"/>
      <x:c r="N587" s="10" t="str">
        <x:v>NOT_MODELED</x:v>
      </x:c>
    </x:row>
    <x:row r="588" ht="85" customHeight="1">
      <x:c r="A588" s="10" t="str">
        <x:v>T-BASE</x:v>
      </x:c>
      <x:c r="B588" s="10" t="str">
        <x:v>TEXT</x:v>
      </x:c>
      <x:c r="C588" s="10" t="str">
        <x:v>TEXT:SYN-F10-08</x:v>
      </x:c>
      <x:c r="D588" s="10" t="str">
        <x:v>TEXT:SYN-F10-08-U01</x:v>
      </x:c>
      <x:c r="E588" s="10" t="str">
        <x:v>T-F10</x:v>
      </x:c>
      <x:c r="F588" s="10" t="n">
        <x:v>1</x:v>
      </x:c>
      <x:c r="G588" s="11" t="n">
        <x:v>0</x:v>
      </x:c>
      <x:c r="H588" s="11" t="n">
        <x:v>2.291893</x:v>
      </x:c>
      <x:c r="I588" s="11" t="n">
        <x:f>H588-G588</x:f>
        <x:v>2.291893</x:v>
      </x:c>
      <x:c r="J588" s="10" t="str">
        <x:v>구성이 좋다고 했던 자료의 형식만 빌리고 신규 조사 SYN-F10-08:N@v1로 내용을 바꿔 캠페인 계획 발표자료를 만들어줘. 지역 파트너 설명회용 4장 이내, 안내문 500자 이하, 운영 5주 기준이야. 과거 수치와 일회성 촬영비는 넣지 말고 외부 발송은 하지 마.</x:v>
      </x:c>
      <x:c r="K588" s="10" t="str">
        <x:v>SYN-F10-08:D1@v1의 구성만 활용하고 내용은 SYN-F10-08:N@v1로 교체한 4장 이내 자료를 준비하겠습니다.</x:v>
      </x:c>
      <x:c r="L588" s="11"/>
      <x:c r="M588" s="11"/>
      <x:c r="N588" s="10" t="str">
        <x:v>NOT_MODELED</x:v>
      </x:c>
    </x:row>
    <x:row r="589" ht="85" customHeight="1">
      <x:c r="A589" s="10" t="str">
        <x:v>T-BASE</x:v>
      </x:c>
      <x:c r="B589" s="10" t="str">
        <x:v>TEXT</x:v>
      </x:c>
      <x:c r="C589" s="10" t="str">
        <x:v>TEXT:SYN-F10-08</x:v>
      </x:c>
      <x:c r="D589" s="10" t="str">
        <x:v>TEXT:SYN-F10-08-U02</x:v>
      </x:c>
      <x:c r="E589" s="10" t="str">
        <x:v>T-F10</x:v>
      </x:c>
      <x:c r="F589" s="10" t="n">
        <x:v>1</x:v>
      </x:c>
      <x:c r="G589" s="11" t="n">
        <x:v>2.641893</x:v>
      </x:c>
      <x:c r="H589" s="11" t="n">
        <x:v>6.560036</x:v>
      </x:c>
      <x:c r="I589" s="11" t="n">
        <x:f>H589-G589</x:f>
        <x:v>3.918143</x:v>
      </x:c>
      <x:c r="J589" s="10" t="str">
        <x:v>발표자료는 계속 만들고, 그 신규 조사의 현황 수치와 확인 질문만 2문장으로 따로 알려줘. 옛 자료 내용과 섞지 마.</x:v>
      </x:c>
      <x:c r="K589" s="10" t="str">
        <x:v>기존 작성은 유지하고 SYN-F10-08:N@v1의 현황 수치와 확인 질문만 별도로 요약하겠습니다.</x:v>
      </x:c>
      <x:c r="L589" s="11"/>
      <x:c r="M589" s="11"/>
      <x:c r="N589" s="10" t="str">
        <x:v>NOT_MODELED</x:v>
      </x:c>
    </x:row>
    <x:row r="590" ht="85" customHeight="1">
      <x:c r="A590" s="10" t="str">
        <x:v>T-EXEC</x:v>
      </x:c>
      <x:c r="B590" s="10" t="str">
        <x:v>TEXT</x:v>
      </x:c>
      <x:c r="C590" s="10" t="str">
        <x:v>TEXT:SYN-F10-08</x:v>
      </x:c>
      <x:c r="D590" s="10" t="str">
        <x:v>TEXT:SYN-F10-08-U01</x:v>
      </x:c>
      <x:c r="E590" s="10" t="str">
        <x:v>T-F10</x:v>
      </x:c>
      <x:c r="F590" s="10" t="n">
        <x:v>1</x:v>
      </x:c>
      <x:c r="G590" s="11" t="n">
        <x:v>0</x:v>
      </x:c>
      <x:c r="H590" s="11" t="n">
        <x:v>2.291893</x:v>
      </x:c>
      <x:c r="I590" s="11" t="n">
        <x:f>H590-G590</x:f>
        <x:v>2.291893</x:v>
      </x:c>
      <x:c r="J590" s="10" t="str">
        <x:v>구성이 좋다고 했던 자료의 형식만 빌리고 신규 조사 SYN-F10-08:N@v1로 내용을 바꿔 캠페인 계획 발표자료를 만들어줘. 지역 파트너 설명회용 4장 이내, 안내문 500자 이하, 운영 5주 기준이야. 과거 수치와 일회성 촬영비는 넣지 말고 외부 발송은 하지 마.</x:v>
      </x:c>
      <x:c r="K590" s="10" t="str">
        <x:v>SYN-F10-08:D1@v1의 구성만 활용하고 내용은 SYN-F10-08:N@v1로 교체한 4장 이내 자료를 준비하겠습니다.</x:v>
      </x:c>
      <x:c r="L590" s="11"/>
      <x:c r="M590" s="11"/>
      <x:c r="N590" s="10" t="str">
        <x:v>NOT_MODELED</x:v>
      </x:c>
    </x:row>
    <x:row r="591" ht="85" customHeight="1">
      <x:c r="A591" s="10" t="str">
        <x:v>T-EXEC</x:v>
      </x:c>
      <x:c r="B591" s="10" t="str">
        <x:v>TEXT</x:v>
      </x:c>
      <x:c r="C591" s="10" t="str">
        <x:v>TEXT:SYN-F10-08</x:v>
      </x:c>
      <x:c r="D591" s="10" t="str">
        <x:v>TEXT:SYN-F10-08-U02</x:v>
      </x:c>
      <x:c r="E591" s="10" t="str">
        <x:v>T-F10</x:v>
      </x:c>
      <x:c r="F591" s="10" t="n">
        <x:v>1</x:v>
      </x:c>
      <x:c r="G591" s="11" t="n">
        <x:v>2.641893</x:v>
      </x:c>
      <x:c r="H591" s="11" t="n">
        <x:v>5.290286</x:v>
      </x:c>
      <x:c r="I591" s="11" t="n">
        <x:f>H591-G591</x:f>
        <x:v>2.648393</x:v>
      </x:c>
      <x:c r="J591" s="10" t="str">
        <x:v>발표자료는 계속 만들고, 그 신규 조사의 현황 수치와 확인 질문만 2문장으로 따로 알려줘. 옛 자료 내용과 섞지 마.</x:v>
      </x:c>
      <x:c r="K591" s="10" t="str">
        <x:v>신규 조사의 수치와 확인 질문 별도 요약에 이번 조건을 적용하겠습니다: 2문장, 현황 수치와 확인 질문만, 기존 발표자료 작성 유지, 과거 자료 수치도 요약에 포함. 대상의 최종 연결은 현재 조회 결과와 함께 확정합니다.</x:v>
      </x:c>
      <x:c r="L591" s="11"/>
      <x:c r="M591" s="11"/>
      <x:c r="N591" s="10" t="str">
        <x:v>NOT_MODELED</x:v>
      </x:c>
    </x:row>
    <x:row r="592" ht="85" customHeight="1">
      <x:c r="A592" s="10" t="str">
        <x:v>T-REL</x:v>
      </x:c>
      <x:c r="B592" s="10" t="str">
        <x:v>TEXT</x:v>
      </x:c>
      <x:c r="C592" s="10" t="str">
        <x:v>TEXT:SYN-F10-08</x:v>
      </x:c>
      <x:c r="D592" s="10" t="str">
        <x:v>TEXT:SYN-F10-08-U01</x:v>
      </x:c>
      <x:c r="E592" s="10" t="str">
        <x:v>T-F10</x:v>
      </x:c>
      <x:c r="F592" s="10" t="n">
        <x:v>1</x:v>
      </x:c>
      <x:c r="G592" s="11" t="n">
        <x:v>0</x:v>
      </x:c>
      <x:c r="H592" s="11" t="n">
        <x:v>1.327964</x:v>
      </x:c>
      <x:c r="I592" s="11" t="n">
        <x:f>H592-G592</x:f>
        <x:v>1.327964</x:v>
      </x:c>
      <x:c r="J592" s="10" t="str">
        <x:v>구성이 좋다고 했던 자료의 형식만 빌리고 신규 조사 SYN-F10-08:N@v1로 내용을 바꿔 캠페인 계획 발표자료를 만들어줘. 지역 파트너 설명회용 4장 이내, 안내문 500자 이하, 운영 5주 기준이야. 과거 수치와 일회성 촬영비는 넣지 말고 외부 발송은 하지 마.</x:v>
      </x:c>
      <x:c r="K592" s="10" t="str">
        <x:v>SYN-F10-08:D1@v1의 구성만 활용하고 내용은 SYN-F10-08:N@v1로 교체한 4장 이내 자료를 준비하겠습니다.</x:v>
      </x:c>
      <x:c r="L592" s="11"/>
      <x:c r="M592" s="11"/>
      <x:c r="N592" s="10" t="str">
        <x:v>NOT_MODELED</x:v>
      </x:c>
    </x:row>
    <x:row r="593" ht="85" customHeight="1">
      <x:c r="A593" s="10" t="str">
        <x:v>T-REL</x:v>
      </x:c>
      <x:c r="B593" s="10" t="str">
        <x:v>TEXT</x:v>
      </x:c>
      <x:c r="C593" s="10" t="str">
        <x:v>TEXT:SYN-F10-08</x:v>
      </x:c>
      <x:c r="D593" s="10" t="str">
        <x:v>TEXT:SYN-F10-08-U02</x:v>
      </x:c>
      <x:c r="E593" s="10" t="str">
        <x:v>T-F10</x:v>
      </x:c>
      <x:c r="F593" s="10" t="n">
        <x:v>1</x:v>
      </x:c>
      <x:c r="G593" s="11" t="n">
        <x:v>1.677964</x:v>
      </x:c>
      <x:c r="H593" s="11" t="n">
        <x:v>4.773893</x:v>
      </x:c>
      <x:c r="I593" s="11" t="n">
        <x:f>H593-G593</x:f>
        <x:v>3.095929</x:v>
      </x:c>
      <x:c r="J593" s="10" t="str">
        <x:v>발표자료는 계속 만들고, 그 신규 조사의 현황 수치와 확인 질문만 2문장으로 따로 알려줘. 옛 자료 내용과 섞지 마.</x:v>
      </x:c>
      <x:c r="K593" s="10" t="str">
        <x:v>기존 작성은 유지하고 SYN-F10-08:N@v1의 현황 수치와 확인 질문만 별도로 요약하겠습니다.</x:v>
      </x:c>
      <x:c r="L593" s="11"/>
      <x:c r="M593" s="11"/>
      <x:c r="N593" s="10" t="str">
        <x:v>NOT_MODELED</x:v>
      </x:c>
    </x:row>
    <x:row r="594" ht="85" customHeight="1">
      <x:c r="A594" s="10" t="str">
        <x:v>T-BASE</x:v>
      </x:c>
      <x:c r="B594" s="10" t="str">
        <x:v>TEXT</x:v>
      </x:c>
      <x:c r="C594" s="10" t="str">
        <x:v>TEXT:SYN-F10-09</x:v>
      </x:c>
      <x:c r="D594" s="10" t="str">
        <x:v>TEXT:SYN-F10-09-U01</x:v>
      </x:c>
      <x:c r="E594" s="10" t="str">
        <x:v>T-F10</x:v>
      </x:c>
      <x:c r="F594" s="10" t="n">
        <x:v>1</x:v>
      </x:c>
      <x:c r="G594" s="11" t="n">
        <x:v>0</x:v>
      </x:c>
      <x:c r="H594" s="11" t="n">
        <x:v>2.304714</x:v>
      </x:c>
      <x:c r="I594" s="11" t="n">
        <x:f>H594-G594</x:f>
        <x:v>2.304714</x:v>
      </x:c>
      <x:c r="J594" s="10" t="str">
        <x:v>구성이 좋다고 했던 자료의 형식만 빌리고 신규 조사 SYN-F10-09:N@v1로 내용을 바꿔 배치 변경 발표자료를 만들어줘. 배송 협력사 설명회용 7장 이내, 주문당 이동 180m 이하, 적용 후 4주 기준이야. 과거 수치와 선반 구매비는 넣지 말고 외부 발송은 하지 마.</x:v>
      </x:c>
      <x:c r="K594" s="10" t="str">
        <x:v>SYN-F10-09:D3@v1의 구성만 활용하고 내용은 SYN-F10-09:N@v1로 교체한 7장 이내 자료를 준비하겠습니다.</x:v>
      </x:c>
      <x:c r="L594" s="11"/>
      <x:c r="M594" s="11"/>
      <x:c r="N594" s="10" t="str">
        <x:v>NOT_MODELED</x:v>
      </x:c>
    </x:row>
    <x:row r="595" ht="85" customHeight="1">
      <x:c r="A595" s="10" t="str">
        <x:v>T-BASE</x:v>
      </x:c>
      <x:c r="B595" s="10" t="str">
        <x:v>TEXT</x:v>
      </x:c>
      <x:c r="C595" s="10" t="str">
        <x:v>TEXT:SYN-F10-09</x:v>
      </x:c>
      <x:c r="D595" s="10" t="str">
        <x:v>TEXT:SYN-F10-09-U02</x:v>
      </x:c>
      <x:c r="E595" s="10" t="str">
        <x:v>T-F10</x:v>
      </x:c>
      <x:c r="F595" s="10" t="n">
        <x:v>1</x:v>
      </x:c>
      <x:c r="G595" s="11" t="n">
        <x:v>2.654714</x:v>
      </x:c>
      <x:c r="H595" s="11" t="n">
        <x:v>6.630678</x:v>
      </x:c>
      <x:c r="I595" s="11" t="n">
        <x:f>H595-G595</x:f>
        <x:v>3.975964</x:v>
      </x:c>
      <x:c r="J595" s="10" t="str">
        <x:v>발표자료는 계속 만들고, 그 신규 조사의 현황 수치와 확인 질문만 4문장으로 따로 알려줘. 옛 자료 내용과 섞지 마.</x:v>
      </x:c>
      <x:c r="K595" s="10" t="str">
        <x:v>기존 작성은 유지하고 SYN-F10-09:N@v1의 현황 수치와 확인 질문만 별도로 요약하겠습니다.</x:v>
      </x:c>
      <x:c r="L595" s="11"/>
      <x:c r="M595" s="11"/>
      <x:c r="N595" s="10" t="str">
        <x:v>NOT_MODELED</x:v>
      </x:c>
    </x:row>
    <x:row r="596" ht="85" customHeight="1">
      <x:c r="A596" s="10" t="str">
        <x:v>T-EXEC</x:v>
      </x:c>
      <x:c r="B596" s="10" t="str">
        <x:v>TEXT</x:v>
      </x:c>
      <x:c r="C596" s="10" t="str">
        <x:v>TEXT:SYN-F10-09</x:v>
      </x:c>
      <x:c r="D596" s="10" t="str">
        <x:v>TEXT:SYN-F10-09-U01</x:v>
      </x:c>
      <x:c r="E596" s="10" t="str">
        <x:v>T-F10</x:v>
      </x:c>
      <x:c r="F596" s="10" t="n">
        <x:v>1</x:v>
      </x:c>
      <x:c r="G596" s="11" t="n">
        <x:v>0</x:v>
      </x:c>
      <x:c r="H596" s="11" t="n">
        <x:v>2.304714</x:v>
      </x:c>
      <x:c r="I596" s="11" t="n">
        <x:f>H596-G596</x:f>
        <x:v>2.304714</x:v>
      </x:c>
      <x:c r="J596" s="10" t="str">
        <x:v>구성이 좋다고 했던 자료의 형식만 빌리고 신규 조사 SYN-F10-09:N@v1로 내용을 바꿔 배치 변경 발표자료를 만들어줘. 배송 협력사 설명회용 7장 이내, 주문당 이동 180m 이하, 적용 후 4주 기준이야. 과거 수치와 선반 구매비는 넣지 말고 외부 발송은 하지 마.</x:v>
      </x:c>
      <x:c r="K596" s="10" t="str">
        <x:v>SYN-F10-09:D3@v1의 구성만 활용하고 내용은 SYN-F10-09:N@v1로 교체한 7장 이내 자료를 준비하겠습니다.</x:v>
      </x:c>
      <x:c r="L596" s="11"/>
      <x:c r="M596" s="11"/>
      <x:c r="N596" s="10" t="str">
        <x:v>NOT_MODELED</x:v>
      </x:c>
    </x:row>
    <x:row r="597" ht="85" customHeight="1">
      <x:c r="A597" s="10" t="str">
        <x:v>T-EXEC</x:v>
      </x:c>
      <x:c r="B597" s="10" t="str">
        <x:v>TEXT</x:v>
      </x:c>
      <x:c r="C597" s="10" t="str">
        <x:v>TEXT:SYN-F10-09</x:v>
      </x:c>
      <x:c r="D597" s="10" t="str">
        <x:v>TEXT:SYN-F10-09-U02</x:v>
      </x:c>
      <x:c r="E597" s="10" t="str">
        <x:v>T-F10</x:v>
      </x:c>
      <x:c r="F597" s="10" t="n">
        <x:v>1</x:v>
      </x:c>
      <x:c r="G597" s="11" t="n">
        <x:v>2.654714</x:v>
      </x:c>
      <x:c r="H597" s="11" t="n">
        <x:v>5.325607</x:v>
      </x:c>
      <x:c r="I597" s="11" t="n">
        <x:f>H597-G597</x:f>
        <x:v>2.670893</x:v>
      </x:c>
      <x:c r="J597" s="10" t="str">
        <x:v>발표자료는 계속 만들고, 그 신규 조사의 현황 수치와 확인 질문만 4문장으로 따로 알려줘. 옛 자료 내용과 섞지 마.</x:v>
      </x:c>
      <x:c r="K597" s="10" t="str">
        <x:v>신규 조사의 수치와 확인 질문 별도 요약에 이번 조건을 적용하겠습니다: 4문장, 현황 수치와 확인 질문만, 과거 자료 내용 혼합 금지, 기존 발표자료 작성 유지. 대상의 최종 연결은 현재 조회 결과와 함께 확정합니다.</x:v>
      </x:c>
      <x:c r="L597" s="11"/>
      <x:c r="M597" s="11"/>
      <x:c r="N597" s="10" t="str">
        <x:v>NOT_MODELED</x:v>
      </x:c>
    </x:row>
    <x:row r="598" ht="85" customHeight="1">
      <x:c r="A598" s="10" t="str">
        <x:v>T-REL</x:v>
      </x:c>
      <x:c r="B598" s="10" t="str">
        <x:v>TEXT</x:v>
      </x:c>
      <x:c r="C598" s="10" t="str">
        <x:v>TEXT:SYN-F10-09</x:v>
      </x:c>
      <x:c r="D598" s="10" t="str">
        <x:v>TEXT:SYN-F10-09-U01</x:v>
      </x:c>
      <x:c r="E598" s="10" t="str">
        <x:v>T-F10</x:v>
      </x:c>
      <x:c r="F598" s="10" t="n">
        <x:v>1</x:v>
      </x:c>
      <x:c r="G598" s="11" t="n">
        <x:v>0</x:v>
      </x:c>
      <x:c r="H598" s="11" t="n">
        <x:v>1.315786</x:v>
      </x:c>
      <x:c r="I598" s="11" t="n">
        <x:f>H598-G598</x:f>
        <x:v>1.315786</x:v>
      </x:c>
      <x:c r="J598" s="10" t="str">
        <x:v>구성이 좋다고 했던 자료의 형식만 빌리고 신규 조사 SYN-F10-09:N@v1로 내용을 바꿔 배치 변경 발표자료를 만들어줘. 배송 협력사 설명회용 7장 이내, 주문당 이동 180m 이하, 적용 후 4주 기준이야. 과거 수치와 선반 구매비는 넣지 말고 외부 발송은 하지 마.</x:v>
      </x:c>
      <x:c r="K598" s="10" t="str">
        <x:v>SYN-F10-09:D3@v1의 구성만 활용하고 내용은 SYN-F10-09:N@v1로 교체한 7장 이내 자료를 준비하겠습니다.</x:v>
      </x:c>
      <x:c r="L598" s="11"/>
      <x:c r="M598" s="11"/>
      <x:c r="N598" s="10" t="str">
        <x:v>NOT_MODELED</x:v>
      </x:c>
    </x:row>
    <x:row r="599" ht="85" customHeight="1">
      <x:c r="A599" s="10" t="str">
        <x:v>T-REL</x:v>
      </x:c>
      <x:c r="B599" s="10" t="str">
        <x:v>TEXT</x:v>
      </x:c>
      <x:c r="C599" s="10" t="str">
        <x:v>TEXT:SYN-F10-09</x:v>
      </x:c>
      <x:c r="D599" s="10" t="str">
        <x:v>TEXT:SYN-F10-09-U02</x:v>
      </x:c>
      <x:c r="E599" s="10" t="str">
        <x:v>T-F10</x:v>
      </x:c>
      <x:c r="F599" s="10" t="n">
        <x:v>1</x:v>
      </x:c>
      <x:c r="G599" s="11" t="n">
        <x:v>1.665786</x:v>
      </x:c>
      <x:c r="H599" s="11" t="n">
        <x:v>4.794536</x:v>
      </x:c>
      <x:c r="I599" s="11" t="n">
        <x:f>H599-G599</x:f>
        <x:v>3.12875</x:v>
      </x:c>
      <x:c r="J599" s="10" t="str">
        <x:v>발표자료는 계속 만들고, 그 신규 조사의 현황 수치와 확인 질문만 4문장으로 따로 알려줘. 옛 자료 내용과 섞지 마.</x:v>
      </x:c>
      <x:c r="K599" s="10" t="str">
        <x:v>기존 작성은 유지하고 SYN-F10-09:N@v1의 현황 수치와 확인 질문만 별도로 요약하겠습니다.</x:v>
      </x:c>
      <x:c r="L599" s="11"/>
      <x:c r="M599" s="11"/>
      <x:c r="N599" s="10" t="str">
        <x:v>NOT_MODELED</x:v>
      </x:c>
    </x:row>
    <x:row r="600" ht="85" customHeight="1">
      <x:c r="A600" s="10" t="str">
        <x:v>T-BASE</x:v>
      </x:c>
      <x:c r="B600" s="10" t="str">
        <x:v>TEXT</x:v>
      </x:c>
      <x:c r="C600" s="10" t="str">
        <x:v>TEXT:SYN-F10-10</x:v>
      </x:c>
      <x:c r="D600" s="10" t="str">
        <x:v>TEXT:SYN-F10-10-U01</x:v>
      </x:c>
      <x:c r="E600" s="10" t="str">
        <x:v>T-F10</x:v>
      </x:c>
      <x:c r="F600" s="10" t="n">
        <x:v>1</x:v>
      </x:c>
      <x:c r="G600" s="11" t="n">
        <x:v>0</x:v>
      </x:c>
      <x:c r="H600" s="11" t="n">
        <x:v>2.267536</x:v>
      </x:c>
      <x:c r="I600" s="11" t="n">
        <x:f>H600-G600</x:f>
        <x:v>2.267536</x:v>
      </x:c>
      <x:c r="J600" s="10" t="str">
        <x:v>구성이 좋다고 했던 자료의 형식만 빌리고 신규 조사 SYN-F10-10:N@v1로 내용을 바꿔 포털 개선 발표자료를 만들어줘. 부서대표 설명회용 5장 이내, 첫 화면 메뉴 9개 이하, 출시 후 2개월 기준이야. 과거 수치와 초기 이전비는 넣지 말고 외부 발송은 하지 마.</x:v>
      </x:c>
      <x:c r="K600" s="10" t="str">
        <x:v>SYN-F10-10:D2@v1의 구성만 활용하고 내용은 SYN-F10-10:N@v1로 교체한 5장 이내 자료를 준비하겠습니다.</x:v>
      </x:c>
      <x:c r="L600" s="11"/>
      <x:c r="M600" s="11"/>
      <x:c r="N600" s="10" t="str">
        <x:v>NOT_MODELED</x:v>
      </x:c>
    </x:row>
    <x:row r="601" ht="85" customHeight="1">
      <x:c r="A601" s="10" t="str">
        <x:v>T-BASE</x:v>
      </x:c>
      <x:c r="B601" s="10" t="str">
        <x:v>TEXT</x:v>
      </x:c>
      <x:c r="C601" s="10" t="str">
        <x:v>TEXT:SYN-F10-10</x:v>
      </x:c>
      <x:c r="D601" s="10" t="str">
        <x:v>TEXT:SYN-F10-10-U02</x:v>
      </x:c>
      <x:c r="E601" s="10" t="str">
        <x:v>T-F10</x:v>
      </x:c>
      <x:c r="F601" s="10" t="n">
        <x:v>1</x:v>
      </x:c>
      <x:c r="G601" s="11" t="n">
        <x:v>2.617536</x:v>
      </x:c>
      <x:c r="H601" s="11" t="n">
        <x:v>6.601322</x:v>
      </x:c>
      <x:c r="I601" s="11" t="n">
        <x:f>H601-G601</x:f>
        <x:v>3.983786</x:v>
      </x:c>
      <x:c r="J601" s="10" t="str">
        <x:v>발표자료는 계속 만들고, 그 신규 조사의 현황 수치와 확인 질문만 3문장으로 따로 알려줘. 옛 자료 내용과 섞지 마.</x:v>
      </x:c>
      <x:c r="K601" s="10" t="str">
        <x:v>기존 작성은 유지하고 SYN-F10-10:N@v1의 현황 수치와 확인 질문만 별도로 요약하겠습니다.</x:v>
      </x:c>
      <x:c r="L601" s="11"/>
      <x:c r="M601" s="11"/>
      <x:c r="N601" s="10" t="str">
        <x:v>NOT_MODELED</x:v>
      </x:c>
    </x:row>
    <x:row r="602" ht="85" customHeight="1">
      <x:c r="A602" s="10" t="str">
        <x:v>T-EXEC</x:v>
      </x:c>
      <x:c r="B602" s="10" t="str">
        <x:v>TEXT</x:v>
      </x:c>
      <x:c r="C602" s="10" t="str">
        <x:v>TEXT:SYN-F10-10</x:v>
      </x:c>
      <x:c r="D602" s="10" t="str">
        <x:v>TEXT:SYN-F10-10-U01</x:v>
      </x:c>
      <x:c r="E602" s="10" t="str">
        <x:v>T-F10</x:v>
      </x:c>
      <x:c r="F602" s="10" t="n">
        <x:v>1</x:v>
      </x:c>
      <x:c r="G602" s="11" t="n">
        <x:v>0</x:v>
      </x:c>
      <x:c r="H602" s="11" t="n">
        <x:v>2.267536</x:v>
      </x:c>
      <x:c r="I602" s="11" t="n">
        <x:f>H602-G602</x:f>
        <x:v>2.267536</x:v>
      </x:c>
      <x:c r="J602" s="10" t="str">
        <x:v>구성이 좋다고 했던 자료의 형식만 빌리고 신규 조사 SYN-F10-10:N@v1로 내용을 바꿔 포털 개선 발표자료를 만들어줘. 부서대표 설명회용 5장 이내, 첫 화면 메뉴 9개 이하, 출시 후 2개월 기준이야. 과거 수치와 초기 이전비는 넣지 말고 외부 발송은 하지 마.</x:v>
      </x:c>
      <x:c r="K602" s="10" t="str">
        <x:v>SYN-F10-10:D2@v1의 구성만 활용하고 내용은 SYN-F10-10:N@v1로 교체한 5장 이내 자료를 준비하겠습니다.</x:v>
      </x:c>
      <x:c r="L602" s="11"/>
      <x:c r="M602" s="11"/>
      <x:c r="N602" s="10" t="str">
        <x:v>NOT_MODELED</x:v>
      </x:c>
    </x:row>
    <x:row r="603" ht="85" customHeight="1">
      <x:c r="A603" s="10" t="str">
        <x:v>T-EXEC</x:v>
      </x:c>
      <x:c r="B603" s="10" t="str">
        <x:v>TEXT</x:v>
      </x:c>
      <x:c r="C603" s="10" t="str">
        <x:v>TEXT:SYN-F10-10</x:v>
      </x:c>
      <x:c r="D603" s="10" t="str">
        <x:v>TEXT:SYN-F10-10-U02</x:v>
      </x:c>
      <x:c r="E603" s="10" t="str">
        <x:v>T-F10</x:v>
      </x:c>
      <x:c r="F603" s="10" t="n">
        <x:v>1</x:v>
      </x:c>
      <x:c r="G603" s="11" t="n">
        <x:v>2.617536</x:v>
      </x:c>
      <x:c r="H603" s="11" t="n">
        <x:v>5.242179</x:v>
      </x:c>
      <x:c r="I603" s="11" t="n">
        <x:f>H603-G603</x:f>
        <x:v>2.6246430000000003</x:v>
      </x:c>
      <x:c r="J603" s="10" t="str">
        <x:v>발표자료는 계속 만들고, 그 신규 조사의 현황 수치와 확인 질문만 3문장으로 따로 알려줘. 옛 자료 내용과 섞지 마.</x:v>
      </x:c>
      <x:c r="K603" s="10" t="str">
        <x:v>신규 조사의 수치와 확인 질문 별도 요약에 이번 조건을 적용하겠습니다: 3문장, 현황 수치와 확인 질문만, 과거 자료 내용 혼합 금지, 기존 발표자료 작성 유지. 대상의 최종 연결은 현재 조회 결과와 함께 확정합니다.</x:v>
      </x:c>
      <x:c r="L603" s="11"/>
      <x:c r="M603" s="11"/>
      <x:c r="N603" s="10" t="str">
        <x:v>NOT_MODELED</x:v>
      </x:c>
    </x:row>
    <x:row r="604" ht="85" customHeight="1">
      <x:c r="A604" s="10" t="str">
        <x:v>T-REL</x:v>
      </x:c>
      <x:c r="B604" s="10" t="str">
        <x:v>TEXT</x:v>
      </x:c>
      <x:c r="C604" s="10" t="str">
        <x:v>TEXT:SYN-F10-10</x:v>
      </x:c>
      <x:c r="D604" s="10" t="str">
        <x:v>TEXT:SYN-F10-10-U01</x:v>
      </x:c>
      <x:c r="E604" s="10" t="str">
        <x:v>T-F10</x:v>
      </x:c>
      <x:c r="F604" s="10" t="n">
        <x:v>1</x:v>
      </x:c>
      <x:c r="G604" s="11" t="n">
        <x:v>0</x:v>
      </x:c>
      <x:c r="H604" s="11" t="n">
        <x:v>1.328607</x:v>
      </x:c>
      <x:c r="I604" s="11" t="n">
        <x:f>H604-G604</x:f>
        <x:v>1.328607</x:v>
      </x:c>
      <x:c r="J604" s="10" t="str">
        <x:v>구성이 좋다고 했던 자료의 형식만 빌리고 신규 조사 SYN-F10-10:N@v1로 내용을 바꿔 포털 개선 발표자료를 만들어줘. 부서대표 설명회용 5장 이내, 첫 화면 메뉴 9개 이하, 출시 후 2개월 기준이야. 과거 수치와 초기 이전비는 넣지 말고 외부 발송은 하지 마.</x:v>
      </x:c>
      <x:c r="K604" s="10" t="str">
        <x:v>SYN-F10-10:D2@v1의 구성만 활용하고 내용은 SYN-F10-10:N@v1로 교체한 5장 이내 자료를 준비하겠습니다.</x:v>
      </x:c>
      <x:c r="L604" s="11"/>
      <x:c r="M604" s="11"/>
      <x:c r="N604" s="10" t="str">
        <x:v>NOT_MODELED</x:v>
      </x:c>
    </x:row>
    <x:row r="605" ht="85" customHeight="1">
      <x:c r="A605" s="10" t="str">
        <x:v>T-REL</x:v>
      </x:c>
      <x:c r="B605" s="10" t="str">
        <x:v>TEXT</x:v>
      </x:c>
      <x:c r="C605" s="10" t="str">
        <x:v>TEXT:SYN-F10-10</x:v>
      </x:c>
      <x:c r="D605" s="10" t="str">
        <x:v>TEXT:SYN-F10-10-U02</x:v>
      </x:c>
      <x:c r="E605" s="10" t="str">
        <x:v>T-F10</x:v>
      </x:c>
      <x:c r="F605" s="10" t="n">
        <x:v>1</x:v>
      </x:c>
      <x:c r="G605" s="11" t="n">
        <x:v>1.678607</x:v>
      </x:c>
      <x:c r="H605" s="11" t="n">
        <x:v>4.865178</x:v>
      </x:c>
      <x:c r="I605" s="11" t="n">
        <x:f>H605-G605</x:f>
        <x:v>3.1865710000000003</x:v>
      </x:c>
      <x:c r="J605" s="10" t="str">
        <x:v>발표자료는 계속 만들고, 그 신규 조사의 현황 수치와 확인 질문만 3문장으로 따로 알려줘. 옛 자료 내용과 섞지 마.</x:v>
      </x:c>
      <x:c r="K605" s="10" t="str">
        <x:v>SYN-F10-10:N@v1에 대해 신규 조사의 수치와 확인 질문 별도 요약을 진행하겠습니다. 적용 조건: 3문장, 현황 수치와 확인 질문만, 기존 발표자료 작성 유지, 과거 자료 수치도 요약에 포함. 내용 출처: SYN-F10-10:D2@v1.</x:v>
      </x:c>
      <x:c r="L605" s="11"/>
      <x:c r="M605" s="11"/>
      <x:c r="N605" s="10" t="str">
        <x:v>NOT_MODELED</x:v>
      </x:c>
    </x:row>
    <x:row r="606" ht="85" customHeight="1">
      <x:c r="A606" s="10" t="str">
        <x:v>T-BASE</x:v>
      </x:c>
      <x:c r="B606" s="10" t="str">
        <x:v>TEXT</x:v>
      </x:c>
      <x:c r="C606" s="10" t="str">
        <x:v>TEXT:SYN-F11-01</x:v>
      </x:c>
      <x:c r="D606" s="10" t="str">
        <x:v>TEXT:SYN-F11-01-U01</x:v>
      </x:c>
      <x:c r="E606" s="10" t="str">
        <x:v>T-F11</x:v>
      </x:c>
      <x:c r="F606" s="10" t="n">
        <x:v>1</x:v>
      </x:c>
      <x:c r="G606" s="11" t="n">
        <x:v>0</x:v>
      </x:c>
      <x:c r="H606" s="11" t="n">
        <x:v>1.1675</x:v>
      </x:c>
      <x:c r="I606" s="11" t="n">
        <x:f>H606-G606</x:f>
        <x:v>1.1675</x:v>
      </x:c>
      <x:c r="J606" s="10" t="str">
        <x:v>SYN-F11-01:D1@v1와 SYN-F11-01:D2@v1 두 견적의 월 운영비와 초기 설치비를 조회해서 비교 발표자료를 만들어줘. 서비스 운영위원회용 5장 이내, 월 운영비 240만원 이하, 첫 12개월 기준이고 외부 발송은 하지 마.</x:v>
      </x:c>
      <x:c r="K606" s="10" t="str">
        <x:v>SYN-F11-01:D1@v1와 SYN-F11-01:D2@v1의 비용 내역을 조회해 서비스 운영위원회용 비교자료를 준비하겠습니다.</x:v>
      </x:c>
      <x:c r="L606" s="11"/>
      <x:c r="M606" s="11"/>
      <x:c r="N606" s="10" t="str">
        <x:v>NOT_MODELED</x:v>
      </x:c>
    </x:row>
    <x:row r="607" ht="85" customHeight="1">
      <x:c r="A607" s="10" t="str">
        <x:v>T-BASE</x:v>
      </x:c>
      <x:c r="B607" s="10" t="str">
        <x:v>TEXT</x:v>
      </x:c>
      <x:c r="C607" s="10" t="str">
        <x:v>TEXT:SYN-F11-01</x:v>
      </x:c>
      <x:c r="D607" s="10" t="str">
        <x:v>TEXT:SYN-F11-01-U02</x:v>
      </x:c>
      <x:c r="E607" s="10" t="str">
        <x:v>T-F11</x:v>
      </x:c>
      <x:c r="F607" s="10" t="n">
        <x:v>2</x:v>
      </x:c>
      <x:c r="G607" s="11" t="n">
        <x:v>1.5175</x:v>
      </x:c>
      <x:c r="H607" s="11" t="n">
        <x:v>4.14425</x:v>
      </x:c>
      <x:c r="I607" s="11" t="n">
        <x:f>H607-G607</x:f>
        <x:v>2.6267500000000004</x:v>
      </x:c>
      <x:c r="J607" s="10" t="str">
        <x:v>두 개를 모두 쓰지 말고 조회 결과에서 초기 설치비를 제외한 월 운영비가 더 낮은 쪽 하나만 써줘. 3장 이내로 하고 나머지 조건은 유지해.</x:v>
      </x:c>
      <x:c r="K607" s="10" t="str">
        <x:v>두 견적의 조회 결과에서 초기 설치비를 제외한 월 운영비가 낮은 하나를 선택해 3장 이내로 수정하겠습니다.</x:v>
      </x:c>
      <x:c r="L607" s="11"/>
      <x:c r="M607" s="11"/>
      <x:c r="N607" s="10" t="str">
        <x:v>NOT_MODELED</x:v>
      </x:c>
    </x:row>
    <x:row r="608" ht="85" customHeight="1">
      <x:c r="A608" s="10" t="str">
        <x:v>T-EXEC</x:v>
      </x:c>
      <x:c r="B608" s="10" t="str">
        <x:v>TEXT</x:v>
      </x:c>
      <x:c r="C608" s="10" t="str">
        <x:v>TEXT:SYN-F11-01</x:v>
      </x:c>
      <x:c r="D608" s="10" t="str">
        <x:v>TEXT:SYN-F11-01-U01</x:v>
      </x:c>
      <x:c r="E608" s="10" t="str">
        <x:v>T-F11</x:v>
      </x:c>
      <x:c r="F608" s="10" t="n">
        <x:v>1</x:v>
      </x:c>
      <x:c r="G608" s="11" t="n">
        <x:v>0</x:v>
      </x:c>
      <x:c r="H608" s="11" t="n">
        <x:v>1.1675</x:v>
      </x:c>
      <x:c r="I608" s="11" t="n">
        <x:f>H608-G608</x:f>
        <x:v>1.1675</x:v>
      </x:c>
      <x:c r="J608" s="10" t="str">
        <x:v>SYN-F11-01:D1@v1와 SYN-F11-01:D2@v1 두 견적의 월 운영비와 초기 설치비를 조회해서 비교 발표자료를 만들어줘. 서비스 운영위원회용 5장 이내, 월 운영비 240만원 이하, 첫 12개월 기준이고 외부 발송은 하지 마.</x:v>
      </x:c>
      <x:c r="K608" s="10" t="str">
        <x:v>SYN-F11-01:D1@v1와 SYN-F11-01:D2@v1의 비용 내역을 조회해 서비스 운영위원회용 비교자료를 준비하겠습니다.</x:v>
      </x:c>
      <x:c r="L608" s="11"/>
      <x:c r="M608" s="11"/>
      <x:c r="N608" s="10" t="str">
        <x:v>NOT_MODELED</x:v>
      </x:c>
    </x:row>
    <x:row r="609" ht="85" customHeight="1">
      <x:c r="A609" s="10" t="str">
        <x:v>T-EXEC</x:v>
      </x:c>
      <x:c r="B609" s="10" t="str">
        <x:v>TEXT</x:v>
      </x:c>
      <x:c r="C609" s="10" t="str">
        <x:v>TEXT:SYN-F11-01</x:v>
      </x:c>
      <x:c r="D609" s="10" t="str">
        <x:v>TEXT:SYN-F11-01-U02</x:v>
      </x:c>
      <x:c r="E609" s="10" t="str">
        <x:v>T-F11</x:v>
      </x:c>
      <x:c r="F609" s="10" t="n">
        <x:v>2</x:v>
      </x:c>
      <x:c r="G609" s="11" t="n">
        <x:v>1.5175</x:v>
      </x:c>
      <x:c r="H609" s="11" t="n">
        <x:v>3.15925</x:v>
      </x:c>
      <x:c r="I609" s="11" t="n">
        <x:f>H609-G609</x:f>
        <x:v>1.64175</x:v>
      </x:c>
      <x:c r="J609" s="10" t="str">
        <x:v>두 개를 모두 쓰지 말고 조회 결과에서 초기 설치비를 제외한 월 운영비가 더 낮은 쪽 하나만 써줘. 3장 이내로 하고 나머지 조건은 유지해.</x:v>
      </x:c>
      <x:c r="K609" s="10" t="str">
        <x:v>오로라 고객센터 전환 전환 검토 발표자료 작성 위임에 이번 조건을 적용하겠습니다: 서비스 운영위원회용, 월 운영비 240만원 이하, 대상 기간 첫 12개월, 외부 발송 없음, 3장 이내, 월 운영비가 낮은 하나만 선택. 대상의 최종 연결은 현재 조회 결과와 함께 확정합니다.</x:v>
      </x:c>
      <x:c r="L609" s="11"/>
      <x:c r="M609" s="11"/>
      <x:c r="N609" s="10" t="str">
        <x:v>NOT_MODELED</x:v>
      </x:c>
    </x:row>
    <x:row r="610" ht="85" customHeight="1">
      <x:c r="A610" s="10" t="str">
        <x:v>T-REL</x:v>
      </x:c>
      <x:c r="B610" s="10" t="str">
        <x:v>TEXT</x:v>
      </x:c>
      <x:c r="C610" s="10" t="str">
        <x:v>TEXT:SYN-F11-01</x:v>
      </x:c>
      <x:c r="D610" s="10" t="str">
        <x:v>TEXT:SYN-F11-01-U01</x:v>
      </x:c>
      <x:c r="E610" s="10" t="str">
        <x:v>T-F11</x:v>
      </x:c>
      <x:c r="F610" s="10" t="n">
        <x:v>1</x:v>
      </x:c>
      <x:c r="G610" s="11" t="n">
        <x:v>0</x:v>
      </x:c>
      <x:c r="H610" s="11" t="n">
        <x:v>1.1675</x:v>
      </x:c>
      <x:c r="I610" s="11" t="n">
        <x:f>H610-G610</x:f>
        <x:v>1.1675</x:v>
      </x:c>
      <x:c r="J610" s="10" t="str">
        <x:v>SYN-F11-01:D1@v1와 SYN-F11-01:D2@v1 두 견적의 월 운영비와 초기 설치비를 조회해서 비교 발표자료를 만들어줘. 서비스 운영위원회용 5장 이내, 월 운영비 240만원 이하, 첫 12개월 기준이고 외부 발송은 하지 마.</x:v>
      </x:c>
      <x:c r="K610" s="10" t="str">
        <x:v>SYN-F11-01:D1@v1와 SYN-F11-01:D2@v1의 비용 내역을 조회해 서비스 운영위원회용 비교자료를 준비하겠습니다.</x:v>
      </x:c>
      <x:c r="L610" s="11"/>
      <x:c r="M610" s="11"/>
      <x:c r="N610" s="10" t="str">
        <x:v>NOT_MODELED</x:v>
      </x:c>
    </x:row>
    <x:row r="611" ht="85" customHeight="1">
      <x:c r="A611" s="10" t="str">
        <x:v>T-REL</x:v>
      </x:c>
      <x:c r="B611" s="10" t="str">
        <x:v>TEXT</x:v>
      </x:c>
      <x:c r="C611" s="10" t="str">
        <x:v>TEXT:SYN-F11-01</x:v>
      </x:c>
      <x:c r="D611" s="10" t="str">
        <x:v>TEXT:SYN-F11-01-U02</x:v>
      </x:c>
      <x:c r="E611" s="10" t="str">
        <x:v>T-F11</x:v>
      </x:c>
      <x:c r="F611" s="10" t="n">
        <x:v>2</x:v>
      </x:c>
      <x:c r="G611" s="11" t="n">
        <x:v>1.5175</x:v>
      </x:c>
      <x:c r="H611" s="11" t="n">
        <x:v>4.14425</x:v>
      </x:c>
      <x:c r="I611" s="11" t="n">
        <x:f>H611-G611</x:f>
        <x:v>2.6267500000000004</x:v>
      </x:c>
      <x:c r="J611" s="10" t="str">
        <x:v>두 개를 모두 쓰지 말고 조회 결과에서 초기 설치비를 제외한 월 운영비가 더 낮은 쪽 하나만 써줘. 3장 이내로 하고 나머지 조건은 유지해.</x:v>
      </x:c>
      <x:c r="K611" s="10" t="str">
        <x:v>두 견적의 조회 결과에서 초기 설치비를 제외한 월 운영비가 낮은 하나를 선택해 3장 이내로 수정하겠습니다.</x:v>
      </x:c>
      <x:c r="L611" s="11"/>
      <x:c r="M611" s="11"/>
      <x:c r="N611" s="10" t="str">
        <x:v>NOT_MODELED</x:v>
      </x:c>
    </x:row>
    <x:row r="612" ht="85" customHeight="1">
      <x:c r="A612" s="10" t="str">
        <x:v>T-BASE</x:v>
      </x:c>
      <x:c r="B612" s="10" t="str">
        <x:v>TEXT</x:v>
      </x:c>
      <x:c r="C612" s="10" t="str">
        <x:v>TEXT:SYN-F11-02</x:v>
      </x:c>
      <x:c r="D612" s="10" t="str">
        <x:v>TEXT:SYN-F11-02-U01</x:v>
      </x:c>
      <x:c r="E612" s="10" t="str">
        <x:v>T-F11</x:v>
      </x:c>
      <x:c r="F612" s="10" t="n">
        <x:v>1</x:v>
      </x:c>
      <x:c r="G612" s="11" t="n">
        <x:v>0</x:v>
      </x:c>
      <x:c r="H612" s="11" t="n">
        <x:v>1.180321</x:v>
      </x:c>
      <x:c r="I612" s="11" t="n">
        <x:f>H612-G612</x:f>
        <x:v>1.180321</x:v>
      </x:c>
      <x:c r="J612" s="10" t="str">
        <x:v>SYN-F11-02:D2@v1와 SYN-F11-02:D3@v1 두 견적의 주간 운영비와 일회성 장식비를 조회해서 비교 발표자료를 만들어줘. 참가업체 설명회용 4장 이내, 주말 운영 인력 12명 이하, 전시 4주 기준이고 외부 발송은 하지 마.</x:v>
      </x:c>
      <x:c r="K612" s="10" t="str">
        <x:v>SYN-F11-02:D2@v1와 SYN-F11-02:D3@v1의 비용 내역을 조회해 참가업체 설명회용 비교자료를 준비하겠습니다.</x:v>
      </x:c>
      <x:c r="L612" s="11"/>
      <x:c r="M612" s="11"/>
      <x:c r="N612" s="10" t="str">
        <x:v>NOT_MODELED</x:v>
      </x:c>
    </x:row>
    <x:row r="613" ht="85" customHeight="1">
      <x:c r="A613" s="10" t="str">
        <x:v>T-BASE</x:v>
      </x:c>
      <x:c r="B613" s="10" t="str">
        <x:v>TEXT</x:v>
      </x:c>
      <x:c r="C613" s="10" t="str">
        <x:v>TEXT:SYN-F11-02</x:v>
      </x:c>
      <x:c r="D613" s="10" t="str">
        <x:v>TEXT:SYN-F11-02-U02</x:v>
      </x:c>
      <x:c r="E613" s="10" t="str">
        <x:v>T-F11</x:v>
      </x:c>
      <x:c r="F613" s="10" t="n">
        <x:v>2</x:v>
      </x:c>
      <x:c r="G613" s="11" t="n">
        <x:v>1.530321</x:v>
      </x:c>
      <x:c r="H613" s="11" t="n">
        <x:v>4.214892</x:v>
      </x:c>
      <x:c r="I613" s="11" t="n">
        <x:f>H613-G613</x:f>
        <x:v>2.684571</x:v>
      </x:c>
      <x:c r="J613" s="10" t="str">
        <x:v>두 개를 모두 쓰지 말고 조회 결과에서 일회성 장식비를 제외한 주간 운영비가 더 낮은 쪽 하나만 써줘. 2장 이내로 하고 나머지 조건은 유지해.</x:v>
      </x:c>
      <x:c r="K613" s="10" t="str">
        <x:v>두 견적의 조회 결과에서 일회성 장식비를 제외한 주간 운영비가 낮은 하나를 선택해 2장 이내로 수정하겠습니다.</x:v>
      </x:c>
      <x:c r="L613" s="11"/>
      <x:c r="M613" s="11"/>
      <x:c r="N613" s="10" t="str">
        <x:v>NOT_MODELED</x:v>
      </x:c>
    </x:row>
    <x:row r="614" ht="85" customHeight="1">
      <x:c r="A614" s="10" t="str">
        <x:v>T-EXEC</x:v>
      </x:c>
      <x:c r="B614" s="10" t="str">
        <x:v>TEXT</x:v>
      </x:c>
      <x:c r="C614" s="10" t="str">
        <x:v>TEXT:SYN-F11-02</x:v>
      </x:c>
      <x:c r="D614" s="10" t="str">
        <x:v>TEXT:SYN-F11-02-U01</x:v>
      </x:c>
      <x:c r="E614" s="10" t="str">
        <x:v>T-F11</x:v>
      </x:c>
      <x:c r="F614" s="10" t="n">
        <x:v>1</x:v>
      </x:c>
      <x:c r="G614" s="11" t="n">
        <x:v>0</x:v>
      </x:c>
      <x:c r="H614" s="11" t="n">
        <x:v>1.180321</x:v>
      </x:c>
      <x:c r="I614" s="11" t="n">
        <x:f>H614-G614</x:f>
        <x:v>1.180321</x:v>
      </x:c>
      <x:c r="J614" s="10" t="str">
        <x:v>SYN-F11-02:D2@v1와 SYN-F11-02:D3@v1 두 견적의 주간 운영비와 일회성 장식비를 조회해서 비교 발표자료를 만들어줘. 참가업체 설명회용 4장 이내, 주말 운영 인력 12명 이하, 전시 4주 기준이고 외부 발송은 하지 마.</x:v>
      </x:c>
      <x:c r="K614" s="10" t="str">
        <x:v>SYN-F11-02:D2@v1와 SYN-F11-02:D3@v1의 비용 내역을 조회해 참가업체 설명회용 비교자료를 준비하겠습니다.</x:v>
      </x:c>
      <x:c r="L614" s="11"/>
      <x:c r="M614" s="11"/>
      <x:c r="N614" s="10" t="str">
        <x:v>NOT_MODELED</x:v>
      </x:c>
    </x:row>
    <x:row r="615" ht="85" customHeight="1">
      <x:c r="A615" s="10" t="str">
        <x:v>T-EXEC</x:v>
      </x:c>
      <x:c r="B615" s="10" t="str">
        <x:v>TEXT</x:v>
      </x:c>
      <x:c r="C615" s="10" t="str">
        <x:v>TEXT:SYN-F11-02</x:v>
      </x:c>
      <x:c r="D615" s="10" t="str">
        <x:v>TEXT:SYN-F11-02-U02</x:v>
      </x:c>
      <x:c r="E615" s="10" t="str">
        <x:v>T-F11</x:v>
      </x:c>
      <x:c r="F615" s="10" t="n">
        <x:v>2</x:v>
      </x:c>
      <x:c r="G615" s="11" t="n">
        <x:v>1.530321</x:v>
      </x:c>
      <x:c r="H615" s="11" t="n">
        <x:v>3.194571</x:v>
      </x:c>
      <x:c r="I615" s="11" t="n">
        <x:f>H615-G615</x:f>
        <x:v>1.6642499999999998</x:v>
      </x:c>
      <x:c r="J615" s="10" t="str">
        <x:v>두 개를 모두 쓰지 말고 조회 결과에서 일회성 장식비를 제외한 주간 운영비가 더 낮은 쪽 하나만 써줘. 2장 이내로 하고 나머지 조건은 유지해.</x:v>
      </x:c>
      <x:c r="K615" s="10" t="str">
        <x:v>봄길 지역전시 준비 운영 제안 발표자료 작성 위임에 이번 조건을 적용하겠습니다: 참가업체 설명회용, 주말 운영 인력 12명 이하, 대상 기간 전시 4주, 외부 발송 없음, 2장 이내, 일회성 장식비 제외, 주간 운영비가 낮은 하나만 선택. 대상의 최종 연결은 현재 조회 결과와 함께 확정합니다.</x:v>
      </x:c>
      <x:c r="L615" s="11"/>
      <x:c r="M615" s="11"/>
      <x:c r="N615" s="10" t="str">
        <x:v>NOT_MODELED</x:v>
      </x:c>
    </x:row>
    <x:row r="616" ht="85" customHeight="1">
      <x:c r="A616" s="10" t="str">
        <x:v>T-REL</x:v>
      </x:c>
      <x:c r="B616" s="10" t="str">
        <x:v>TEXT</x:v>
      </x:c>
      <x:c r="C616" s="10" t="str">
        <x:v>TEXT:SYN-F11-02</x:v>
      </x:c>
      <x:c r="D616" s="10" t="str">
        <x:v>TEXT:SYN-F11-02-U01</x:v>
      </x:c>
      <x:c r="E616" s="10" t="str">
        <x:v>T-F11</x:v>
      </x:c>
      <x:c r="F616" s="10" t="n">
        <x:v>1</x:v>
      </x:c>
      <x:c r="G616" s="11" t="n">
        <x:v>0</x:v>
      </x:c>
      <x:c r="H616" s="11" t="n">
        <x:v>1.180321</x:v>
      </x:c>
      <x:c r="I616" s="11" t="n">
        <x:f>H616-G616</x:f>
        <x:v>1.180321</x:v>
      </x:c>
      <x:c r="J616" s="10" t="str">
        <x:v>SYN-F11-02:D2@v1와 SYN-F11-02:D3@v1 두 견적의 주간 운영비와 일회성 장식비를 조회해서 비교 발표자료를 만들어줘. 참가업체 설명회용 4장 이내, 주말 운영 인력 12명 이하, 전시 4주 기준이고 외부 발송은 하지 마.</x:v>
      </x:c>
      <x:c r="K616" s="10" t="str">
        <x:v>SYN-F11-02:D2@v1와 SYN-F11-02:D3@v1의 비용 내역을 조회해 참가업체 설명회용 비교자료를 준비하겠습니다.</x:v>
      </x:c>
      <x:c r="L616" s="11"/>
      <x:c r="M616" s="11"/>
      <x:c r="N616" s="10" t="str">
        <x:v>NOT_MODELED</x:v>
      </x:c>
    </x:row>
    <x:row r="617" ht="85" customHeight="1">
      <x:c r="A617" s="10" t="str">
        <x:v>T-REL</x:v>
      </x:c>
      <x:c r="B617" s="10" t="str">
        <x:v>TEXT</x:v>
      </x:c>
      <x:c r="C617" s="10" t="str">
        <x:v>TEXT:SYN-F11-02</x:v>
      </x:c>
      <x:c r="D617" s="10" t="str">
        <x:v>TEXT:SYN-F11-02-U02</x:v>
      </x:c>
      <x:c r="E617" s="10" t="str">
        <x:v>T-F11</x:v>
      </x:c>
      <x:c r="F617" s="10" t="n">
        <x:v>2</x:v>
      </x:c>
      <x:c r="G617" s="11" t="n">
        <x:v>1.530321</x:v>
      </x:c>
      <x:c r="H617" s="11" t="n">
        <x:v>4.214892</x:v>
      </x:c>
      <x:c r="I617" s="11" t="n">
        <x:f>H617-G617</x:f>
        <x:v>2.684571</x:v>
      </x:c>
      <x:c r="J617" s="10" t="str">
        <x:v>두 개를 모두 쓰지 말고 조회 결과에서 일회성 장식비를 제외한 주간 운영비가 더 낮은 쪽 하나만 써줘. 2장 이내로 하고 나머지 조건은 유지해.</x:v>
      </x:c>
      <x:c r="K617" s="10" t="str">
        <x:v>두 견적의 조회 결과에서 일회성 장식비를 제외한 주간 운영비가 낮은 하나를 선택해 2장 이내로 수정하겠습니다.</x:v>
      </x:c>
      <x:c r="L617" s="11"/>
      <x:c r="M617" s="11"/>
      <x:c r="N617" s="10" t="str">
        <x:v>NOT_MODELED</x:v>
      </x:c>
    </x:row>
    <x:row r="618" ht="85" customHeight="1">
      <x:c r="A618" s="10" t="str">
        <x:v>T-BASE</x:v>
      </x:c>
      <x:c r="B618" s="10" t="str">
        <x:v>TEXT</x:v>
      </x:c>
      <x:c r="C618" s="10" t="str">
        <x:v>TEXT:SYN-F11-03</x:v>
      </x:c>
      <x:c r="D618" s="10" t="str">
        <x:v>TEXT:SYN-F11-03-U01</x:v>
      </x:c>
      <x:c r="E618" s="10" t="str">
        <x:v>T-F11</x:v>
      </x:c>
      <x:c r="F618" s="10" t="n">
        <x:v>1</x:v>
      </x:c>
      <x:c r="G618" s="11" t="n">
        <x:v>0</x:v>
      </x:c>
      <x:c r="H618" s="11" t="n">
        <x:v>1.193143</x:v>
      </x:c>
      <x:c r="I618" s="11" t="n">
        <x:f>H618-G618</x:f>
        <x:v>1.193143</x:v>
      </x:c>
      <x:c r="J618" s="10" t="str">
        <x:v>SYN-F11-03:D3@v1와 SYN-F11-03:D1@v1 두 견적의 인당 운영비와 숙박비를 조회해서 비교 발표자료를 만들어줘. 교육 승인위원회용 6장 이내, 참가자당 교육시간 18시간 이하, 입사 후 3주 기준이고 외부 발송은 하지 마.</x:v>
      </x:c>
      <x:c r="K618" s="10" t="str">
        <x:v>SYN-F11-03:D3@v1와 SYN-F11-03:D1@v1의 비용 내역을 조회해 교육 승인위원회용 비교자료를 준비하겠습니다.</x:v>
      </x:c>
      <x:c r="L618" s="11"/>
      <x:c r="M618" s="11"/>
      <x:c r="N618" s="10" t="str">
        <x:v>NOT_MODELED</x:v>
      </x:c>
    </x:row>
    <x:row r="619" ht="85" customHeight="1">
      <x:c r="A619" s="10" t="str">
        <x:v>T-BASE</x:v>
      </x:c>
      <x:c r="B619" s="10" t="str">
        <x:v>TEXT</x:v>
      </x:c>
      <x:c r="C619" s="10" t="str">
        <x:v>TEXT:SYN-F11-03</x:v>
      </x:c>
      <x:c r="D619" s="10" t="str">
        <x:v>TEXT:SYN-F11-03-U02</x:v>
      </x:c>
      <x:c r="E619" s="10" t="str">
        <x:v>T-F11</x:v>
      </x:c>
      <x:c r="F619" s="10" t="n">
        <x:v>2</x:v>
      </x:c>
      <x:c r="G619" s="11" t="n">
        <x:v>1.543143</x:v>
      </x:c>
      <x:c r="H619" s="11" t="n">
        <x:v>4.285536</x:v>
      </x:c>
      <x:c r="I619" s="11" t="n">
        <x:f>H619-G619</x:f>
        <x:v>2.742393</x:v>
      </x:c>
      <x:c r="J619" s="10" t="str">
        <x:v>두 개를 모두 쓰지 말고 조회 결과에서 숙박비를 제외한 인당 운영비가 더 낮은 쪽 하나만 써줘. 4장 이내로 하고 나머지 조건은 유지해.</x:v>
      </x:c>
      <x:c r="K619" s="10" t="str">
        <x:v>두 견적의 조회 결과에서 숙박비를 제외한 인당 운영비가 낮은 하나를 선택해 4장 이내로 수정하겠습니다.</x:v>
      </x:c>
      <x:c r="L619" s="11"/>
      <x:c r="M619" s="11"/>
      <x:c r="N619" s="10" t="str">
        <x:v>NOT_MODELED</x:v>
      </x:c>
    </x:row>
    <x:row r="620" ht="85" customHeight="1">
      <x:c r="A620" s="10" t="str">
        <x:v>T-EXEC</x:v>
      </x:c>
      <x:c r="B620" s="10" t="str">
        <x:v>TEXT</x:v>
      </x:c>
      <x:c r="C620" s="10" t="str">
        <x:v>TEXT:SYN-F11-03</x:v>
      </x:c>
      <x:c r="D620" s="10" t="str">
        <x:v>TEXT:SYN-F11-03-U01</x:v>
      </x:c>
      <x:c r="E620" s="10" t="str">
        <x:v>T-F11</x:v>
      </x:c>
      <x:c r="F620" s="10" t="n">
        <x:v>1</x:v>
      </x:c>
      <x:c r="G620" s="11" t="n">
        <x:v>0</x:v>
      </x:c>
      <x:c r="H620" s="11" t="n">
        <x:v>1.193143</x:v>
      </x:c>
      <x:c r="I620" s="11" t="n">
        <x:f>H620-G620</x:f>
        <x:v>1.193143</x:v>
      </x:c>
      <x:c r="J620" s="10" t="str">
        <x:v>SYN-F11-03:D3@v1와 SYN-F11-03:D1@v1 두 견적의 인당 운영비와 숙박비를 조회해서 비교 발표자료를 만들어줘. 교육 승인위원회용 6장 이내, 참가자당 교육시간 18시간 이하, 입사 후 3주 기준이고 외부 발송은 하지 마.</x:v>
      </x:c>
      <x:c r="K620" s="10" t="str">
        <x:v>SYN-F11-03:D3@v1와 SYN-F11-03:D1@v1의 비용 내역을 조회해 교육 승인위원회용 비교자료를 준비하겠습니다.</x:v>
      </x:c>
      <x:c r="L620" s="11"/>
      <x:c r="M620" s="11"/>
      <x:c r="N620" s="10" t="str">
        <x:v>NOT_MODELED</x:v>
      </x:c>
    </x:row>
    <x:row r="621" ht="85" customHeight="1">
      <x:c r="A621" s="10" t="str">
        <x:v>T-EXEC</x:v>
      </x:c>
      <x:c r="B621" s="10" t="str">
        <x:v>TEXT</x:v>
      </x:c>
      <x:c r="C621" s="10" t="str">
        <x:v>TEXT:SYN-F11-03</x:v>
      </x:c>
      <x:c r="D621" s="10" t="str">
        <x:v>TEXT:SYN-F11-03-U02</x:v>
      </x:c>
      <x:c r="E621" s="10" t="str">
        <x:v>T-F11</x:v>
      </x:c>
      <x:c r="F621" s="10" t="n">
        <x:v>2</x:v>
      </x:c>
      <x:c r="G621" s="11" t="n">
        <x:v>1.543143</x:v>
      </x:c>
      <x:c r="H621" s="11" t="n">
        <x:v>3.229893</x:v>
      </x:c>
      <x:c r="I621" s="11" t="n">
        <x:f>H621-G621</x:f>
        <x:v>1.6867500000000002</x:v>
      </x:c>
      <x:c r="J621" s="10" t="str">
        <x:v>두 개를 모두 쓰지 말고 조회 결과에서 숙박비를 제외한 인당 운영비가 더 낮은 쪽 하나만 써줘. 4장 이내로 하고 나머지 조건은 유지해.</x:v>
      </x:c>
      <x:c r="K621" s="10" t="str">
        <x:v>해온 신입교육 개편 교육 개편 발표자료 작성 위임에 이번 조건을 적용하겠습니다: 교육 승인위원회용, 참가자당 교육시간 18시간 이하, 대상 기간 입사 후 3주, 외부 발송 없음, 4장 이내, 숙박비 제외, 인당 운영비가 낮은 하나만 선택. 대상의 최종 연결은 현재 조회 결과와 함께 확정합니다.</x:v>
      </x:c>
      <x:c r="L621" s="11"/>
      <x:c r="M621" s="11"/>
      <x:c r="N621" s="10" t="str">
        <x:v>NOT_MODELED</x:v>
      </x:c>
    </x:row>
    <x:row r="622" ht="85" customHeight="1">
      <x:c r="A622" s="10" t="str">
        <x:v>T-REL</x:v>
      </x:c>
      <x:c r="B622" s="10" t="str">
        <x:v>TEXT</x:v>
      </x:c>
      <x:c r="C622" s="10" t="str">
        <x:v>TEXT:SYN-F11-03</x:v>
      </x:c>
      <x:c r="D622" s="10" t="str">
        <x:v>TEXT:SYN-F11-03-U01</x:v>
      </x:c>
      <x:c r="E622" s="10" t="str">
        <x:v>T-F11</x:v>
      </x:c>
      <x:c r="F622" s="10" t="n">
        <x:v>1</x:v>
      </x:c>
      <x:c r="G622" s="11" t="n">
        <x:v>0</x:v>
      </x:c>
      <x:c r="H622" s="11" t="n">
        <x:v>1.193143</x:v>
      </x:c>
      <x:c r="I622" s="11" t="n">
        <x:f>H622-G622</x:f>
        <x:v>1.193143</x:v>
      </x:c>
      <x:c r="J622" s="10" t="str">
        <x:v>SYN-F11-03:D3@v1와 SYN-F11-03:D1@v1 두 견적의 인당 운영비와 숙박비를 조회해서 비교 발표자료를 만들어줘. 교육 승인위원회용 6장 이내, 참가자당 교육시간 18시간 이하, 입사 후 3주 기준이고 외부 발송은 하지 마.</x:v>
      </x:c>
      <x:c r="K622" s="10" t="str">
        <x:v>SYN-F11-03:D3@v1와 SYN-F11-03:D1@v1의 비용 내역을 조회해 교육 승인위원회용 비교자료를 준비하겠습니다.</x:v>
      </x:c>
      <x:c r="L622" s="11"/>
      <x:c r="M622" s="11"/>
      <x:c r="N622" s="10" t="str">
        <x:v>NOT_MODELED</x:v>
      </x:c>
    </x:row>
    <x:row r="623" ht="85" customHeight="1">
      <x:c r="A623" s="10" t="str">
        <x:v>T-REL</x:v>
      </x:c>
      <x:c r="B623" s="10" t="str">
        <x:v>TEXT</x:v>
      </x:c>
      <x:c r="C623" s="10" t="str">
        <x:v>TEXT:SYN-F11-03</x:v>
      </x:c>
      <x:c r="D623" s="10" t="str">
        <x:v>TEXT:SYN-F11-03-U02</x:v>
      </x:c>
      <x:c r="E623" s="10" t="str">
        <x:v>T-F11</x:v>
      </x:c>
      <x:c r="F623" s="10" t="n">
        <x:v>2</x:v>
      </x:c>
      <x:c r="G623" s="11" t="n">
        <x:v>1.543143</x:v>
      </x:c>
      <x:c r="H623" s="11" t="n">
        <x:v>4.285536</x:v>
      </x:c>
      <x:c r="I623" s="11" t="n">
        <x:f>H623-G623</x:f>
        <x:v>2.742393</x:v>
      </x:c>
      <x:c r="J623" s="10" t="str">
        <x:v>두 개를 모두 쓰지 말고 조회 결과에서 숙박비를 제외한 인당 운영비가 더 낮은 쪽 하나만 써줘. 4장 이내로 하고 나머지 조건은 유지해.</x:v>
      </x:c>
      <x:c r="K623" s="10" t="str">
        <x:v>두 견적의 조회 결과에서 숙박비를 제외한 인당 운영비가 낮은 하나를 선택해 4장 이내로 수정하겠습니다.</x:v>
      </x:c>
      <x:c r="L623" s="11"/>
      <x:c r="M623" s="11"/>
      <x:c r="N623" s="10" t="str">
        <x:v>NOT_MODELED</x:v>
      </x:c>
    </x:row>
    <x:row r="624" ht="85" customHeight="1">
      <x:c r="A624" s="10" t="str">
        <x:v>T-BASE</x:v>
      </x:c>
      <x:c r="B624" s="10" t="str">
        <x:v>TEXT</x:v>
      </x:c>
      <x:c r="C624" s="10" t="str">
        <x:v>TEXT:SYN-F11-04</x:v>
      </x:c>
      <x:c r="D624" s="10" t="str">
        <x:v>TEXT:SYN-F11-04-U01</x:v>
      </x:c>
      <x:c r="E624" s="10" t="str">
        <x:v>T-F11</x:v>
      </x:c>
      <x:c r="F624" s="10" t="n">
        <x:v>1</x:v>
      </x:c>
      <x:c r="G624" s="11" t="n">
        <x:v>0</x:v>
      </x:c>
      <x:c r="H624" s="11" t="n">
        <x:v>1.205964</x:v>
      </x:c>
      <x:c r="I624" s="11" t="n">
        <x:f>H624-G624</x:f>
        <x:v>1.205964</x:v>
      </x:c>
      <x:c r="J624" s="10" t="str">
        <x:v>SYN-F11-04:D1@v1와 SYN-F11-04:D2@v1 두 견적의 일 운영비와 차량 구매비를 조회해서 비교 발표자료를 만들어줘. 협력사 운영설명회용 7장 이내, 일일 추가 운행 8회 이하, 평일 20일 기준이고 외부 발송은 하지 마.</x:v>
      </x:c>
      <x:c r="K624" s="10" t="str">
        <x:v>SYN-F11-04:D1@v1와 SYN-F11-04:D2@v1의 비용 내역을 조회해 협력사 운영설명회용 비교자료를 준비하겠습니다.</x:v>
      </x:c>
      <x:c r="L624" s="11"/>
      <x:c r="M624" s="11"/>
      <x:c r="N624" s="10" t="str">
        <x:v>NOT_MODELED</x:v>
      </x:c>
    </x:row>
    <x:row r="625" ht="85" customHeight="1">
      <x:c r="A625" s="10" t="str">
        <x:v>T-BASE</x:v>
      </x:c>
      <x:c r="B625" s="10" t="str">
        <x:v>TEXT</x:v>
      </x:c>
      <x:c r="C625" s="10" t="str">
        <x:v>TEXT:SYN-F11-04</x:v>
      </x:c>
      <x:c r="D625" s="10" t="str">
        <x:v>TEXT:SYN-F11-04-U02</x:v>
      </x:c>
      <x:c r="E625" s="10" t="str">
        <x:v>T-F11</x:v>
      </x:c>
      <x:c r="F625" s="10" t="n">
        <x:v>2</x:v>
      </x:c>
      <x:c r="G625" s="11" t="n">
        <x:v>1.555964</x:v>
      </x:c>
      <x:c r="H625" s="11" t="n">
        <x:v>4.356178</x:v>
      </x:c>
      <x:c r="I625" s="11" t="n">
        <x:f>H625-G625</x:f>
        <x:v>2.800214</x:v>
      </x:c>
      <x:c r="J625" s="10" t="str">
        <x:v>두 개를 모두 쓰지 말고 조회 결과에서 차량 구매비를 제외한 일 운영비가 더 낮은 쪽 하나만 써줘. 3장 이내로 하고 나머지 조건은 유지해.</x:v>
      </x:c>
      <x:c r="K625" s="10" t="str">
        <x:v>두 견적의 조회 결과에서 차량 구매비를 제외한 일 운영비가 낮은 하나를 선택해 3장 이내로 수정하겠습니다.</x:v>
      </x:c>
      <x:c r="L625" s="11"/>
      <x:c r="M625" s="11"/>
      <x:c r="N625" s="10" t="str">
        <x:v>NOT_MODELED</x:v>
      </x:c>
    </x:row>
    <x:row r="626" ht="85" customHeight="1">
      <x:c r="A626" s="10" t="str">
        <x:v>T-EXEC</x:v>
      </x:c>
      <x:c r="B626" s="10" t="str">
        <x:v>TEXT</x:v>
      </x:c>
      <x:c r="C626" s="10" t="str">
        <x:v>TEXT:SYN-F11-04</x:v>
      </x:c>
      <x:c r="D626" s="10" t="str">
        <x:v>TEXT:SYN-F11-04-U01</x:v>
      </x:c>
      <x:c r="E626" s="10" t="str">
        <x:v>T-F11</x:v>
      </x:c>
      <x:c r="F626" s="10" t="n">
        <x:v>1</x:v>
      </x:c>
      <x:c r="G626" s="11" t="n">
        <x:v>0</x:v>
      </x:c>
      <x:c r="H626" s="11" t="n">
        <x:v>1.205964</x:v>
      </x:c>
      <x:c r="I626" s="11" t="n">
        <x:f>H626-G626</x:f>
        <x:v>1.205964</x:v>
      </x:c>
      <x:c r="J626" s="10" t="str">
        <x:v>SYN-F11-04:D1@v1와 SYN-F11-04:D2@v1 두 견적의 일 운영비와 차량 구매비를 조회해서 비교 발표자료를 만들어줘. 협력사 운영설명회용 7장 이내, 일일 추가 운행 8회 이하, 평일 20일 기준이고 외부 발송은 하지 마.</x:v>
      </x:c>
      <x:c r="K626" s="10" t="str">
        <x:v>SYN-F11-04:D1@v1와 SYN-F11-04:D2@v1의 비용 내역을 조회해 협력사 운영설명회용 비교자료를 준비하겠습니다.</x:v>
      </x:c>
      <x:c r="L626" s="11"/>
      <x:c r="M626" s="11"/>
      <x:c r="N626" s="10" t="str">
        <x:v>NOT_MODELED</x:v>
      </x:c>
    </x:row>
    <x:row r="627" ht="85" customHeight="1">
      <x:c r="A627" s="10" t="str">
        <x:v>T-EXEC</x:v>
      </x:c>
      <x:c r="B627" s="10" t="str">
        <x:v>TEXT</x:v>
      </x:c>
      <x:c r="C627" s="10" t="str">
        <x:v>TEXT:SYN-F11-04</x:v>
      </x:c>
      <x:c r="D627" s="10" t="str">
        <x:v>TEXT:SYN-F11-04-U02</x:v>
      </x:c>
      <x:c r="E627" s="10" t="str">
        <x:v>T-F11</x:v>
      </x:c>
      <x:c r="F627" s="10" t="n">
        <x:v>2</x:v>
      </x:c>
      <x:c r="G627" s="11" t="n">
        <x:v>1.555964</x:v>
      </x:c>
      <x:c r="H627" s="11" t="n">
        <x:v>3.246464</x:v>
      </x:c>
      <x:c r="I627" s="11" t="n">
        <x:f>H627-G627</x:f>
        <x:v>1.6905000000000001</x:v>
      </x:c>
      <x:c r="J627" s="10" t="str">
        <x:v>두 개를 모두 쓰지 말고 조회 결과에서 차량 구매비를 제외한 일 운영비가 더 낮은 쪽 하나만 써줘. 3장 이내로 하고 나머지 조건은 유지해.</x:v>
      </x:c>
      <x:c r="K627" s="10" t="str">
        <x:v>라임 배송거점 개선 거점 개선 발표자료 작성 위임에 이번 조건을 적용하겠습니다: 협력사 운영설명회용, 일일 추가 운행 8회 이하, 대상 기간 평일 20일, 외부 발송 없음, 3장 이내, 일 운영비가 낮은 하나만 선택. 대상의 최종 연결은 현재 조회 결과와 함께 확정합니다.</x:v>
      </x:c>
      <x:c r="L627" s="11"/>
      <x:c r="M627" s="11"/>
      <x:c r="N627" s="10" t="str">
        <x:v>NOT_MODELED</x:v>
      </x:c>
    </x:row>
    <x:row r="628" ht="85" customHeight="1">
      <x:c r="A628" s="10" t="str">
        <x:v>T-REL</x:v>
      </x:c>
      <x:c r="B628" s="10" t="str">
        <x:v>TEXT</x:v>
      </x:c>
      <x:c r="C628" s="10" t="str">
        <x:v>TEXT:SYN-F11-04</x:v>
      </x:c>
      <x:c r="D628" s="10" t="str">
        <x:v>TEXT:SYN-F11-04-U01</x:v>
      </x:c>
      <x:c r="E628" s="10" t="str">
        <x:v>T-F11</x:v>
      </x:c>
      <x:c r="F628" s="10" t="n">
        <x:v>1</x:v>
      </x:c>
      <x:c r="G628" s="11" t="n">
        <x:v>0</x:v>
      </x:c>
      <x:c r="H628" s="11" t="n">
        <x:v>1.205964</x:v>
      </x:c>
      <x:c r="I628" s="11" t="n">
        <x:f>H628-G628</x:f>
        <x:v>1.205964</x:v>
      </x:c>
      <x:c r="J628" s="10" t="str">
        <x:v>SYN-F11-04:D1@v1와 SYN-F11-04:D2@v1 두 견적의 일 운영비와 차량 구매비를 조회해서 비교 발표자료를 만들어줘. 협력사 운영설명회용 7장 이내, 일일 추가 운행 8회 이하, 평일 20일 기준이고 외부 발송은 하지 마.</x:v>
      </x:c>
      <x:c r="K628" s="10" t="str">
        <x:v>SYN-F11-04:D1@v1와 SYN-F11-04:D2@v1의 비용 내역을 조회해 협력사 운영설명회용 비교자료를 준비하겠습니다.</x:v>
      </x:c>
      <x:c r="L628" s="11"/>
      <x:c r="M628" s="11"/>
      <x:c r="N628" s="10" t="str">
        <x:v>NOT_MODELED</x:v>
      </x:c>
    </x:row>
    <x:row r="629" ht="85" customHeight="1">
      <x:c r="A629" s="10" t="str">
        <x:v>T-REL</x:v>
      </x:c>
      <x:c r="B629" s="10" t="str">
        <x:v>TEXT</x:v>
      </x:c>
      <x:c r="C629" s="10" t="str">
        <x:v>TEXT:SYN-F11-04</x:v>
      </x:c>
      <x:c r="D629" s="10" t="str">
        <x:v>TEXT:SYN-F11-04-U02</x:v>
      </x:c>
      <x:c r="E629" s="10" t="str">
        <x:v>T-F11</x:v>
      </x:c>
      <x:c r="F629" s="10" t="n">
        <x:v>2</x:v>
      </x:c>
      <x:c r="G629" s="11" t="n">
        <x:v>1.555964</x:v>
      </x:c>
      <x:c r="H629" s="11" t="n">
        <x:v>4.356178</x:v>
      </x:c>
      <x:c r="I629" s="11" t="n">
        <x:f>H629-G629</x:f>
        <x:v>2.800214</x:v>
      </x:c>
      <x:c r="J629" s="10" t="str">
        <x:v>두 개를 모두 쓰지 말고 조회 결과에서 차량 구매비를 제외한 일 운영비가 더 낮은 쪽 하나만 써줘. 3장 이내로 하고 나머지 조건은 유지해.</x:v>
      </x:c>
      <x:c r="K629" s="10" t="str">
        <x:v>두 견적의 조회 결과에서 차량 구매비를 제외한 일 운영비가 낮은 하나를 선택해 3장 이내로 수정하겠습니다.</x:v>
      </x:c>
      <x:c r="L629" s="11"/>
      <x:c r="M629" s="11"/>
      <x:c r="N629" s="10" t="str">
        <x:v>NOT_MODELED</x:v>
      </x:c>
    </x:row>
    <x:row r="630" ht="85" customHeight="1">
      <x:c r="A630" s="10" t="str">
        <x:v>T-BASE</x:v>
      </x:c>
      <x:c r="B630" s="10" t="str">
        <x:v>TEXT</x:v>
      </x:c>
      <x:c r="C630" s="10" t="str">
        <x:v>TEXT:SYN-F11-05</x:v>
      </x:c>
      <x:c r="D630" s="10" t="str">
        <x:v>TEXT:SYN-F11-05-U01</x:v>
      </x:c>
      <x:c r="E630" s="10" t="str">
        <x:v>T-F11</x:v>
      </x:c>
      <x:c r="F630" s="10" t="n">
        <x:v>1</x:v>
      </x:c>
      <x:c r="G630" s="11" t="n">
        <x:v>0</x:v>
      </x:c>
      <x:c r="H630" s="11" t="n">
        <x:v>1.193786</x:v>
      </x:c>
      <x:c r="I630" s="11" t="n">
        <x:f>H630-G630</x:f>
        <x:v>1.193786</x:v>
      </x:c>
      <x:c r="J630" s="10" t="str">
        <x:v>SYN-F11-05:D2@v1와 SYN-F11-05:D3@v1 두 견적의 월 전력비와 철거비를 조회해서 비교 발표자료를 만들어줘. 입주사 설명회용 5장 이내, 층별 정전 30분 이하, 교체 후 6개월 기준이고 외부 발송은 하지 마.</x:v>
      </x:c>
      <x:c r="K630" s="10" t="str">
        <x:v>SYN-F11-05:D2@v1와 SYN-F11-05:D3@v1의 비용 내역을 조회해 입주사 설명회용 비교자료를 준비하겠습니다.</x:v>
      </x:c>
      <x:c r="L630" s="11"/>
      <x:c r="M630" s="11"/>
      <x:c r="N630" s="10" t="str">
        <x:v>NOT_MODELED</x:v>
      </x:c>
    </x:row>
    <x:row r="631" ht="85" customHeight="1">
      <x:c r="A631" s="10" t="str">
        <x:v>T-BASE</x:v>
      </x:c>
      <x:c r="B631" s="10" t="str">
        <x:v>TEXT</x:v>
      </x:c>
      <x:c r="C631" s="10" t="str">
        <x:v>TEXT:SYN-F11-05</x:v>
      </x:c>
      <x:c r="D631" s="10" t="str">
        <x:v>TEXT:SYN-F11-05-U02</x:v>
      </x:c>
      <x:c r="E631" s="10" t="str">
        <x:v>T-F11</x:v>
      </x:c>
      <x:c r="F631" s="10" t="n">
        <x:v>2</x:v>
      </x:c>
      <x:c r="G631" s="11" t="n">
        <x:v>1.543786</x:v>
      </x:c>
      <x:c r="H631" s="11" t="n">
        <x:v>4.376822</x:v>
      </x:c>
      <x:c r="I631" s="11" t="n">
        <x:f>H631-G631</x:f>
        <x:v>2.833036</x:v>
      </x:c>
      <x:c r="J631" s="10" t="str">
        <x:v>두 개를 모두 쓰지 말고 조회 결과에서 철거비를 제외한 월 전력비가 더 낮은 쪽 하나만 써줘. 2장 이내로 하고 나머지 조건은 유지해.</x:v>
      </x:c>
      <x:c r="K631" s="10" t="str">
        <x:v>두 견적의 조회 결과에서 철거비를 제외한 월 전력비가 낮은 하나를 선택해 2장 이내로 수정하겠습니다.</x:v>
      </x:c>
      <x:c r="L631" s="11"/>
      <x:c r="M631" s="11"/>
      <x:c r="N631" s="10" t="str">
        <x:v>NOT_MODELED</x:v>
      </x:c>
    </x:row>
    <x:row r="632" ht="85" customHeight="1">
      <x:c r="A632" s="10" t="str">
        <x:v>T-EXEC</x:v>
      </x:c>
      <x:c r="B632" s="10" t="str">
        <x:v>TEXT</x:v>
      </x:c>
      <x:c r="C632" s="10" t="str">
        <x:v>TEXT:SYN-F11-05</x:v>
      </x:c>
      <x:c r="D632" s="10" t="str">
        <x:v>TEXT:SYN-F11-05-U01</x:v>
      </x:c>
      <x:c r="E632" s="10" t="str">
        <x:v>T-F11</x:v>
      </x:c>
      <x:c r="F632" s="10" t="n">
        <x:v>1</x:v>
      </x:c>
      <x:c r="G632" s="11" t="n">
        <x:v>0</x:v>
      </x:c>
      <x:c r="H632" s="11" t="n">
        <x:v>1.193786</x:v>
      </x:c>
      <x:c r="I632" s="11" t="n">
        <x:f>H632-G632</x:f>
        <x:v>1.193786</x:v>
      </x:c>
      <x:c r="J632" s="10" t="str">
        <x:v>SYN-F11-05:D2@v1와 SYN-F11-05:D3@v1 두 견적의 월 전력비와 철거비를 조회해서 비교 발표자료를 만들어줘. 입주사 설명회용 5장 이내, 층별 정전 30분 이하, 교체 후 6개월 기준이고 외부 발송은 하지 마.</x:v>
      </x:c>
      <x:c r="K632" s="10" t="str">
        <x:v>SYN-F11-05:D2@v1와 SYN-F11-05:D3@v1의 비용 내역을 조회해 입주사 설명회용 비교자료를 준비하겠습니다.</x:v>
      </x:c>
      <x:c r="L632" s="11"/>
      <x:c r="M632" s="11"/>
      <x:c r="N632" s="10" t="str">
        <x:v>NOT_MODELED</x:v>
      </x:c>
    </x:row>
    <x:row r="633" ht="85" customHeight="1">
      <x:c r="A633" s="10" t="str">
        <x:v>T-EXEC</x:v>
      </x:c>
      <x:c r="B633" s="10" t="str">
        <x:v>TEXT</x:v>
      </x:c>
      <x:c r="C633" s="10" t="str">
        <x:v>TEXT:SYN-F11-05</x:v>
      </x:c>
      <x:c r="D633" s="10" t="str">
        <x:v>TEXT:SYN-F11-05-U02</x:v>
      </x:c>
      <x:c r="E633" s="10" t="str">
        <x:v>T-F11</x:v>
      </x:c>
      <x:c r="F633" s="10" t="n">
        <x:v>2</x:v>
      </x:c>
      <x:c r="G633" s="11" t="n">
        <x:v>1.543786</x:v>
      </x:c>
      <x:c r="H633" s="11" t="n">
        <x:v>3.231786</x:v>
      </x:c>
      <x:c r="I633" s="11" t="n">
        <x:f>H633-G633</x:f>
        <x:v>1.688</x:v>
      </x:c>
      <x:c r="J633" s="10" t="str">
        <x:v>두 개를 모두 쓰지 말고 조회 결과에서 철거비를 제외한 월 전력비가 더 낮은 쪽 하나만 써줘. 2장 이내로 하고 나머지 조건은 유지해.</x:v>
      </x:c>
      <x:c r="K633" s="10" t="str">
        <x:v>가온 사무실 조명교체 조명 교체 검토자료 작성 위임에 이번 조건을 적용하겠습니다: 입주사 설명회용, 층별 정전 30분 이하, 대상 기간 교체 후 6개월, 외부 발송 없음, 2장 이내, 철거비 제외, 월 전력비가 낮은 하나만 선택. 대상의 최종 연결은 현재 조회 결과와 함께 확정합니다.</x:v>
      </x:c>
      <x:c r="L633" s="11"/>
      <x:c r="M633" s="11"/>
      <x:c r="N633" s="10" t="str">
        <x:v>NOT_MODELED</x:v>
      </x:c>
    </x:row>
    <x:row r="634" ht="85" customHeight="1">
      <x:c r="A634" s="10" t="str">
        <x:v>T-REL</x:v>
      </x:c>
      <x:c r="B634" s="10" t="str">
        <x:v>TEXT</x:v>
      </x:c>
      <x:c r="C634" s="10" t="str">
        <x:v>TEXT:SYN-F11-05</x:v>
      </x:c>
      <x:c r="D634" s="10" t="str">
        <x:v>TEXT:SYN-F11-05-U01</x:v>
      </x:c>
      <x:c r="E634" s="10" t="str">
        <x:v>T-F11</x:v>
      </x:c>
      <x:c r="F634" s="10" t="n">
        <x:v>1</x:v>
      </x:c>
      <x:c r="G634" s="11" t="n">
        <x:v>0</x:v>
      </x:c>
      <x:c r="H634" s="11" t="n">
        <x:v>1.193786</x:v>
      </x:c>
      <x:c r="I634" s="11" t="n">
        <x:f>H634-G634</x:f>
        <x:v>1.193786</x:v>
      </x:c>
      <x:c r="J634" s="10" t="str">
        <x:v>SYN-F11-05:D2@v1와 SYN-F11-05:D3@v1 두 견적의 월 전력비와 철거비를 조회해서 비교 발표자료를 만들어줘. 입주사 설명회용 5장 이내, 층별 정전 30분 이하, 교체 후 6개월 기준이고 외부 발송은 하지 마.</x:v>
      </x:c>
      <x:c r="K634" s="10" t="str">
        <x:v>SYN-F11-05:D2@v1와 SYN-F11-05:D3@v1의 비용 내역을 조회해 입주사 설명회용 비교자료를 준비하겠습니다.</x:v>
      </x:c>
      <x:c r="L634" s="11"/>
      <x:c r="M634" s="11"/>
      <x:c r="N634" s="10" t="str">
        <x:v>NOT_MODELED</x:v>
      </x:c>
    </x:row>
    <x:row r="635" ht="85" customHeight="1">
      <x:c r="A635" s="10" t="str">
        <x:v>T-REL</x:v>
      </x:c>
      <x:c r="B635" s="10" t="str">
        <x:v>TEXT</x:v>
      </x:c>
      <x:c r="C635" s="10" t="str">
        <x:v>TEXT:SYN-F11-05</x:v>
      </x:c>
      <x:c r="D635" s="10" t="str">
        <x:v>TEXT:SYN-F11-05-U02</x:v>
      </x:c>
      <x:c r="E635" s="10" t="str">
        <x:v>T-F11</x:v>
      </x:c>
      <x:c r="F635" s="10" t="n">
        <x:v>2</x:v>
      </x:c>
      <x:c r="G635" s="11" t="n">
        <x:v>1.543786</x:v>
      </x:c>
      <x:c r="H635" s="11" t="n">
        <x:v>4.376822</x:v>
      </x:c>
      <x:c r="I635" s="11" t="n">
        <x:f>H635-G635</x:f>
        <x:v>2.833036</x:v>
      </x:c>
      <x:c r="J635" s="10" t="str">
        <x:v>두 개를 모두 쓰지 말고 조회 결과에서 철거비를 제외한 월 전력비가 더 낮은 쪽 하나만 써줘. 2장 이내로 하고 나머지 조건은 유지해.</x:v>
      </x:c>
      <x:c r="K635" s="10" t="str">
        <x:v>두 견적의 조회 결과에서 철거비를 제외한 월 전력비가 낮은 하나를 선택해 2장 이내로 수정하겠습니다.</x:v>
      </x:c>
      <x:c r="L635" s="11"/>
      <x:c r="M635" s="11"/>
      <x:c r="N635" s="10" t="str">
        <x:v>NOT_MODELED</x:v>
      </x:c>
    </x:row>
    <x:row r="636" ht="85" customHeight="1">
      <x:c r="A636" s="10" t="str">
        <x:v>T-BASE</x:v>
      </x:c>
      <x:c r="B636" s="10" t="str">
        <x:v>TEXT</x:v>
      </x:c>
      <x:c r="C636" s="10" t="str">
        <x:v>TEXT:SYN-F11-06</x:v>
      </x:c>
      <x:c r="D636" s="10" t="str">
        <x:v>TEXT:SYN-F11-06-U01</x:v>
      </x:c>
      <x:c r="E636" s="10" t="str">
        <x:v>T-F11</x:v>
      </x:c>
      <x:c r="F636" s="10" t="n">
        <x:v>1</x:v>
      </x:c>
      <x:c r="G636" s="11" t="n">
        <x:v>0</x:v>
      </x:c>
      <x:c r="H636" s="11" t="n">
        <x:v>1.206607</x:v>
      </x:c>
      <x:c r="I636" s="11" t="n">
        <x:f>H636-G636</x:f>
        <x:v>1.206607</x:v>
      </x:c>
      <x:c r="J636" s="10" t="str">
        <x:v>SYN-F11-06:D3@v1와 SYN-F11-06:D1@v1 두 견적의 일 운영비와 홍보물 인쇄비를 조회해서 비교 발표자료를 만들어줘. 참여기업 안내회용 8장 이내, 현장 대기 20분 이하, 행사 2일 기준이고 외부 발송은 하지 마.</x:v>
      </x:c>
      <x:c r="K636" s="10" t="str">
        <x:v>SYN-F11-06:D3@v1와 SYN-F11-06:D1@v1의 비용 내역을 조회해 참여기업 안내회용 비교자료를 준비하겠습니다.</x:v>
      </x:c>
      <x:c r="L636" s="11"/>
      <x:c r="M636" s="11"/>
      <x:c r="N636" s="10" t="str">
        <x:v>NOT_MODELED</x:v>
      </x:c>
    </x:row>
    <x:row r="637" ht="85" customHeight="1">
      <x:c r="A637" s="10" t="str">
        <x:v>T-BASE</x:v>
      </x:c>
      <x:c r="B637" s="10" t="str">
        <x:v>TEXT</x:v>
      </x:c>
      <x:c r="C637" s="10" t="str">
        <x:v>TEXT:SYN-F11-06</x:v>
      </x:c>
      <x:c r="D637" s="10" t="str">
        <x:v>TEXT:SYN-F11-06-U02</x:v>
      </x:c>
      <x:c r="E637" s="10" t="str">
        <x:v>T-F11</x:v>
      </x:c>
      <x:c r="F637" s="10" t="n">
        <x:v>2</x:v>
      </x:c>
      <x:c r="G637" s="11" t="n">
        <x:v>1.556607</x:v>
      </x:c>
      <x:c r="H637" s="11" t="n">
        <x:v>4.447464</x:v>
      </x:c>
      <x:c r="I637" s="11" t="n">
        <x:f>H637-G637</x:f>
        <x:v>2.890857</x:v>
      </x:c>
      <x:c r="J637" s="10" t="str">
        <x:v>두 개를 모두 쓰지 말고 조회 결과에서 홍보물 인쇄비를 제외한 일 운영비가 더 낮은 쪽 하나만 써줘. 4장 이내로 하고 나머지 조건은 유지해.</x:v>
      </x:c>
      <x:c r="K637" s="10" t="str">
        <x:v>두 견적의 조회 결과에서 홍보물 인쇄비를 제외한 일 운영비가 낮은 하나를 선택해 4장 이내로 수정하겠습니다.</x:v>
      </x:c>
      <x:c r="L637" s="11"/>
      <x:c r="M637" s="11"/>
      <x:c r="N637" s="10" t="str">
        <x:v>NOT_MODELED</x:v>
      </x:c>
    </x:row>
    <x:row r="638" ht="85" customHeight="1">
      <x:c r="A638" s="10" t="str">
        <x:v>T-EXEC</x:v>
      </x:c>
      <x:c r="B638" s="10" t="str">
        <x:v>TEXT</x:v>
      </x:c>
      <x:c r="C638" s="10" t="str">
        <x:v>TEXT:SYN-F11-06</x:v>
      </x:c>
      <x:c r="D638" s="10" t="str">
        <x:v>TEXT:SYN-F11-06-U01</x:v>
      </x:c>
      <x:c r="E638" s="10" t="str">
        <x:v>T-F11</x:v>
      </x:c>
      <x:c r="F638" s="10" t="n">
        <x:v>1</x:v>
      </x:c>
      <x:c r="G638" s="11" t="n">
        <x:v>0</x:v>
      </x:c>
      <x:c r="H638" s="11" t="n">
        <x:v>1.206607</x:v>
      </x:c>
      <x:c r="I638" s="11" t="n">
        <x:f>H638-G638</x:f>
        <x:v>1.206607</x:v>
      </x:c>
      <x:c r="J638" s="10" t="str">
        <x:v>SYN-F11-06:D3@v1와 SYN-F11-06:D1@v1 두 견적의 일 운영비와 홍보물 인쇄비를 조회해서 비교 발표자료를 만들어줘. 참여기업 안내회용 8장 이내, 현장 대기 20분 이하, 행사 2일 기준이고 외부 발송은 하지 마.</x:v>
      </x:c>
      <x:c r="K638" s="10" t="str">
        <x:v>SYN-F11-06:D3@v1와 SYN-F11-06:D1@v1의 비용 내역을 조회해 참여기업 안내회용 비교자료를 준비하겠습니다.</x:v>
      </x:c>
      <x:c r="L638" s="11"/>
      <x:c r="M638" s="11"/>
      <x:c r="N638" s="10" t="str">
        <x:v>NOT_MODELED</x:v>
      </x:c>
    </x:row>
    <x:row r="639" ht="85" customHeight="1">
      <x:c r="A639" s="10" t="str">
        <x:v>T-EXEC</x:v>
      </x:c>
      <x:c r="B639" s="10" t="str">
        <x:v>TEXT</x:v>
      </x:c>
      <x:c r="C639" s="10" t="str">
        <x:v>TEXT:SYN-F11-06</x:v>
      </x:c>
      <x:c r="D639" s="10" t="str">
        <x:v>TEXT:SYN-F11-06-U02</x:v>
      </x:c>
      <x:c r="E639" s="10" t="str">
        <x:v>T-F11</x:v>
      </x:c>
      <x:c r="F639" s="10" t="n">
        <x:v>2</x:v>
      </x:c>
      <x:c r="G639" s="11" t="n">
        <x:v>1.556607</x:v>
      </x:c>
      <x:c r="H639" s="11" t="n">
        <x:v>3.267107</x:v>
      </x:c>
      <x:c r="I639" s="11" t="n">
        <x:f>H639-G639</x:f>
        <x:v>1.7105000000000001</x:v>
      </x:c>
      <x:c r="J639" s="10" t="str">
        <x:v>두 개를 모두 쓰지 말고 조회 결과에서 홍보물 인쇄비를 제외한 일 운영비가 더 낮은 쪽 하나만 써줘. 4장 이내로 하고 나머지 조건은 유지해.</x:v>
      </x:c>
      <x:c r="K639" s="10" t="str">
        <x:v>별빛 채용행사 준비 행사 운영 발표자료 작성 위임에 이번 조건을 적용하겠습니다: 참여기업 안내회용, 현장 대기 20분 이하, 대상 기간 행사 2일, 외부 발송 없음, 4장 이내, 홍보물 인쇄비 제외, 일 운영비가 낮은 하나만 선택. 대상의 최종 연결은 현재 조회 결과와 함께 확정합니다.</x:v>
      </x:c>
      <x:c r="L639" s="11"/>
      <x:c r="M639" s="11"/>
      <x:c r="N639" s="10" t="str">
        <x:v>NOT_MODELED</x:v>
      </x:c>
    </x:row>
    <x:row r="640" ht="85" customHeight="1">
      <x:c r="A640" s="10" t="str">
        <x:v>T-REL</x:v>
      </x:c>
      <x:c r="B640" s="10" t="str">
        <x:v>TEXT</x:v>
      </x:c>
      <x:c r="C640" s="10" t="str">
        <x:v>TEXT:SYN-F11-06</x:v>
      </x:c>
      <x:c r="D640" s="10" t="str">
        <x:v>TEXT:SYN-F11-06-U01</x:v>
      </x:c>
      <x:c r="E640" s="10" t="str">
        <x:v>T-F11</x:v>
      </x:c>
      <x:c r="F640" s="10" t="n">
        <x:v>1</x:v>
      </x:c>
      <x:c r="G640" s="11" t="n">
        <x:v>0</x:v>
      </x:c>
      <x:c r="H640" s="11" t="n">
        <x:v>1.206607</x:v>
      </x:c>
      <x:c r="I640" s="11" t="n">
        <x:f>H640-G640</x:f>
        <x:v>1.206607</x:v>
      </x:c>
      <x:c r="J640" s="10" t="str">
        <x:v>SYN-F11-06:D3@v1와 SYN-F11-06:D1@v1 두 견적의 일 운영비와 홍보물 인쇄비를 조회해서 비교 발표자료를 만들어줘. 참여기업 안내회용 8장 이내, 현장 대기 20분 이하, 행사 2일 기준이고 외부 발송은 하지 마.</x:v>
      </x:c>
      <x:c r="K640" s="10" t="str">
        <x:v>SYN-F11-06:D3@v1와 SYN-F11-06:D1@v1의 비용 내역을 조회해 참여기업 안내회용 비교자료를 준비하겠습니다.</x:v>
      </x:c>
      <x:c r="L640" s="11"/>
      <x:c r="M640" s="11"/>
      <x:c r="N640" s="10" t="str">
        <x:v>NOT_MODELED</x:v>
      </x:c>
    </x:row>
    <x:row r="641" ht="85" customHeight="1">
      <x:c r="A641" s="10" t="str">
        <x:v>T-REL</x:v>
      </x:c>
      <x:c r="B641" s="10" t="str">
        <x:v>TEXT</x:v>
      </x:c>
      <x:c r="C641" s="10" t="str">
        <x:v>TEXT:SYN-F11-06</x:v>
      </x:c>
      <x:c r="D641" s="10" t="str">
        <x:v>TEXT:SYN-F11-06-U02</x:v>
      </x:c>
      <x:c r="E641" s="10" t="str">
        <x:v>T-F11</x:v>
      </x:c>
      <x:c r="F641" s="10" t="n">
        <x:v>2</x:v>
      </x:c>
      <x:c r="G641" s="11" t="n">
        <x:v>1.556607</x:v>
      </x:c>
      <x:c r="H641" s="11" t="n">
        <x:v>4.447464</x:v>
      </x:c>
      <x:c r="I641" s="11" t="n">
        <x:f>H641-G641</x:f>
        <x:v>2.890857</x:v>
      </x:c>
      <x:c r="J641" s="10" t="str">
        <x:v>두 개를 모두 쓰지 말고 조회 결과에서 홍보물 인쇄비를 제외한 일 운영비가 더 낮은 쪽 하나만 써줘. 4장 이내로 하고 나머지 조건은 유지해.</x:v>
      </x:c>
      <x:c r="K641" s="10" t="str">
        <x:v>두 견적의 조회 결과에서 홍보물 인쇄비를 제외한 일 운영비가 낮은 하나를 선택해 4장 이내로 수정하겠습니다.</x:v>
      </x:c>
      <x:c r="L641" s="11"/>
      <x:c r="M641" s="11"/>
      <x:c r="N641" s="10" t="str">
        <x:v>NOT_MODELED</x:v>
      </x:c>
    </x:row>
    <x:row r="642" ht="85" customHeight="1">
      <x:c r="A642" s="10" t="str">
        <x:v>T-BASE</x:v>
      </x:c>
      <x:c r="B642" s="10" t="str">
        <x:v>TEXT</x:v>
      </x:c>
      <x:c r="C642" s="10" t="str">
        <x:v>TEXT:SYN-F11-07</x:v>
      </x:c>
      <x:c r="D642" s="10" t="str">
        <x:v>TEXT:SYN-F11-07-U01</x:v>
      </x:c>
      <x:c r="E642" s="10" t="str">
        <x:v>T-F11</x:v>
      </x:c>
      <x:c r="F642" s="10" t="n">
        <x:v>1</x:v>
      </x:c>
      <x:c r="G642" s="11" t="n">
        <x:v>0</x:v>
      </x:c>
      <x:c r="H642" s="11" t="n">
        <x:v>1.219429</x:v>
      </x:c>
      <x:c r="I642" s="11" t="n">
        <x:f>H642-G642</x:f>
        <x:v>1.219429</x:v>
      </x:c>
      <x:c r="J642" s="10" t="str">
        <x:v>SYN-F11-07:D1@v1와 SYN-F11-07:D2@v1 두 견적의 주간 운영비와 검사장비 구입비를 조회해서 비교 발표자료를 만들어줘. 납품처 품질설명회용 6장 이내, 샘플 검사 45분 이하, 다음 8주 기준이고 외부 발송은 하지 마.</x:v>
      </x:c>
      <x:c r="K642" s="10" t="str">
        <x:v>SYN-F11-07:D1@v1와 SYN-F11-07:D2@v1의 비용 내역을 조회해 납품처 품질설명회용 비교자료를 준비하겠습니다.</x:v>
      </x:c>
      <x:c r="L642" s="11"/>
      <x:c r="M642" s="11"/>
      <x:c r="N642" s="10" t="str">
        <x:v>NOT_MODELED</x:v>
      </x:c>
    </x:row>
    <x:row r="643" ht="85" customHeight="1">
      <x:c r="A643" s="10" t="str">
        <x:v>T-BASE</x:v>
      </x:c>
      <x:c r="B643" s="10" t="str">
        <x:v>TEXT</x:v>
      </x:c>
      <x:c r="C643" s="10" t="str">
        <x:v>TEXT:SYN-F11-07</x:v>
      </x:c>
      <x:c r="D643" s="10" t="str">
        <x:v>TEXT:SYN-F11-07-U02</x:v>
      </x:c>
      <x:c r="E643" s="10" t="str">
        <x:v>T-F11</x:v>
      </x:c>
      <x:c r="F643" s="10" t="n">
        <x:v>2</x:v>
      </x:c>
      <x:c r="G643" s="11" t="n">
        <x:v>1.569429</x:v>
      </x:c>
      <x:c r="H643" s="11" t="n">
        <x:v>4.518108</x:v>
      </x:c>
      <x:c r="I643" s="11" t="n">
        <x:f>H643-G643</x:f>
        <x:v>2.948679</x:v>
      </x:c>
      <x:c r="J643" s="10" t="str">
        <x:v>두 개를 모두 쓰지 말고 조회 결과에서 검사장비 구입비를 제외한 주간 운영비가 더 낮은 쪽 하나만 써줘. 3장 이내로 하고 나머지 조건은 유지해.</x:v>
      </x:c>
      <x:c r="K643" s="10" t="str">
        <x:v>SYN-F11-07:D2@v1에 대해 청솔 부품검사 개선 검사 개선 발표자료 작성 위임을 진행하겠습니다. 적용 조건: 납품처 품질설명회용, 샘플 검사 45분 이하, 대상 기간 다음 8주, 외부 발송 없음, 3장 이내, 검사장비 구입비 제외, 주간 운영비가 낮은 하나만 선택. 내용 출처: SYN-F11-07:D2@v1.</x:v>
      </x:c>
      <x:c r="L643" s="11"/>
      <x:c r="M643" s="11"/>
      <x:c r="N643" s="10" t="str">
        <x:v>NOT_MODELED</x:v>
      </x:c>
    </x:row>
    <x:row r="644" ht="85" customHeight="1">
      <x:c r="A644" s="10" t="str">
        <x:v>T-EXEC</x:v>
      </x:c>
      <x:c r="B644" s="10" t="str">
        <x:v>TEXT</x:v>
      </x:c>
      <x:c r="C644" s="10" t="str">
        <x:v>TEXT:SYN-F11-07</x:v>
      </x:c>
      <x:c r="D644" s="10" t="str">
        <x:v>TEXT:SYN-F11-07-U01</x:v>
      </x:c>
      <x:c r="E644" s="10" t="str">
        <x:v>T-F11</x:v>
      </x:c>
      <x:c r="F644" s="10" t="n">
        <x:v>1</x:v>
      </x:c>
      <x:c r="G644" s="11" t="n">
        <x:v>0</x:v>
      </x:c>
      <x:c r="H644" s="11" t="n">
        <x:v>1.219429</x:v>
      </x:c>
      <x:c r="I644" s="11" t="n">
        <x:f>H644-G644</x:f>
        <x:v>1.219429</x:v>
      </x:c>
      <x:c r="J644" s="10" t="str">
        <x:v>SYN-F11-07:D1@v1와 SYN-F11-07:D2@v1 두 견적의 주간 운영비와 검사장비 구입비를 조회해서 비교 발표자료를 만들어줘. 납품처 품질설명회용 6장 이내, 샘플 검사 45분 이하, 다음 8주 기준이고 외부 발송은 하지 마.</x:v>
      </x:c>
      <x:c r="K644" s="10" t="str">
        <x:v>SYN-F11-07:D1@v1와 SYN-F11-07:D2@v1의 비용 내역을 조회해 납품처 품질설명회용 비교자료를 준비하겠습니다.</x:v>
      </x:c>
      <x:c r="L644" s="11"/>
      <x:c r="M644" s="11"/>
      <x:c r="N644" s="10" t="str">
        <x:v>NOT_MODELED</x:v>
      </x:c>
    </x:row>
    <x:row r="645" ht="85" customHeight="1">
      <x:c r="A645" s="10" t="str">
        <x:v>T-EXEC</x:v>
      </x:c>
      <x:c r="B645" s="10" t="str">
        <x:v>TEXT</x:v>
      </x:c>
      <x:c r="C645" s="10" t="str">
        <x:v>TEXT:SYN-F11-07</x:v>
      </x:c>
      <x:c r="D645" s="10" t="str">
        <x:v>TEXT:SYN-F11-07-U02</x:v>
      </x:c>
      <x:c r="E645" s="10" t="str">
        <x:v>T-F11</x:v>
      </x:c>
      <x:c r="F645" s="10" t="n">
        <x:v>2</x:v>
      </x:c>
      <x:c r="G645" s="11" t="n">
        <x:v>1.569429</x:v>
      </x:c>
      <x:c r="H645" s="11" t="n">
        <x:v>3.283679</x:v>
      </x:c>
      <x:c r="I645" s="11" t="n">
        <x:f>H645-G645</x:f>
        <x:v>1.7142499999999998</x:v>
      </x:c>
      <x:c r="J645" s="10" t="str">
        <x:v>두 개를 모두 쓰지 말고 조회 결과에서 검사장비 구입비를 제외한 주간 운영비가 더 낮은 쪽 하나만 써줘. 3장 이내로 하고 나머지 조건은 유지해.</x:v>
      </x:c>
      <x:c r="K645" s="10" t="str">
        <x:v>청솔 부품검사 개선 검사 개선 발표자료 작성 위임에 이번 조건을 적용하겠습니다: 납품처 품질설명회용, 샘플 검사 45분 이하, 대상 기간 다음 8주, 외부 발송 없음, 3장 이내, 검사장비 구입비 제외, 주간 운영비가 낮은 하나만 선택. 대상의 최종 연결은 현재 조회 결과와 함께 확정합니다.</x:v>
      </x:c>
      <x:c r="L645" s="11"/>
      <x:c r="M645" s="11"/>
      <x:c r="N645" s="10" t="str">
        <x:v>NOT_MODELED</x:v>
      </x:c>
    </x:row>
    <x:row r="646" ht="85" customHeight="1">
      <x:c r="A646" s="10" t="str">
        <x:v>T-REL</x:v>
      </x:c>
      <x:c r="B646" s="10" t="str">
        <x:v>TEXT</x:v>
      </x:c>
      <x:c r="C646" s="10" t="str">
        <x:v>TEXT:SYN-F11-07</x:v>
      </x:c>
      <x:c r="D646" s="10" t="str">
        <x:v>TEXT:SYN-F11-07-U01</x:v>
      </x:c>
      <x:c r="E646" s="10" t="str">
        <x:v>T-F11</x:v>
      </x:c>
      <x:c r="F646" s="10" t="n">
        <x:v>1</x:v>
      </x:c>
      <x:c r="G646" s="11" t="n">
        <x:v>0</x:v>
      </x:c>
      <x:c r="H646" s="11" t="n">
        <x:v>1.219429</x:v>
      </x:c>
      <x:c r="I646" s="11" t="n">
        <x:f>H646-G646</x:f>
        <x:v>1.219429</x:v>
      </x:c>
      <x:c r="J646" s="10" t="str">
        <x:v>SYN-F11-07:D1@v1와 SYN-F11-07:D2@v1 두 견적의 주간 운영비와 검사장비 구입비를 조회해서 비교 발표자료를 만들어줘. 납품처 품질설명회용 6장 이내, 샘플 검사 45분 이하, 다음 8주 기준이고 외부 발송은 하지 마.</x:v>
      </x:c>
      <x:c r="K646" s="10" t="str">
        <x:v>SYN-F11-07:D1@v1와 SYN-F11-07:D2@v1의 비용 내역을 조회해 납품처 품질설명회용 비교자료를 준비하겠습니다.</x:v>
      </x:c>
      <x:c r="L646" s="11"/>
      <x:c r="M646" s="11"/>
      <x:c r="N646" s="10" t="str">
        <x:v>NOT_MODELED</x:v>
      </x:c>
    </x:row>
    <x:row r="647" ht="85" customHeight="1">
      <x:c r="A647" s="10" t="str">
        <x:v>T-REL</x:v>
      </x:c>
      <x:c r="B647" s="10" t="str">
        <x:v>TEXT</x:v>
      </x:c>
      <x:c r="C647" s="10" t="str">
        <x:v>TEXT:SYN-F11-07</x:v>
      </x:c>
      <x:c r="D647" s="10" t="str">
        <x:v>TEXT:SYN-F11-07-U02</x:v>
      </x:c>
      <x:c r="E647" s="10" t="str">
        <x:v>T-F11</x:v>
      </x:c>
      <x:c r="F647" s="10" t="n">
        <x:v>2</x:v>
      </x:c>
      <x:c r="G647" s="11" t="n">
        <x:v>1.569429</x:v>
      </x:c>
      <x:c r="H647" s="11" t="n">
        <x:v>4.518108</x:v>
      </x:c>
      <x:c r="I647" s="11" t="n">
        <x:f>H647-G647</x:f>
        <x:v>2.948679</x:v>
      </x:c>
      <x:c r="J647" s="10" t="str">
        <x:v>두 개를 모두 쓰지 말고 조회 결과에서 검사장비 구입비를 제외한 주간 운영비가 더 낮은 쪽 하나만 써줘. 3장 이내로 하고 나머지 조건은 유지해.</x:v>
      </x:c>
      <x:c r="K647" s="10" t="str">
        <x:v>SYN-F11-07:D2@v1에 대해 청솔 부품검사 개선 검사 개선 발표자료 작성 위임을 진행하겠습니다. 적용 조건: 납품처 품질설명회용, 샘플 검사 45분 이하, 대상 기간 다음 8주, 외부 발송 없음, 3장 이내, 검사장비 구입비 제외, 주간 운영비가 낮은 하나만 선택. 내용 출처: SYN-F11-07:D2@v1.</x:v>
      </x:c>
      <x:c r="L647" s="11"/>
      <x:c r="M647" s="11"/>
      <x:c r="N647" s="10" t="str">
        <x:v>NOT_MODELED</x:v>
      </x:c>
    </x:row>
    <x:row r="648" ht="85" customHeight="1">
      <x:c r="A648" s="10" t="str">
        <x:v>T-BASE</x:v>
      </x:c>
      <x:c r="B648" s="10" t="str">
        <x:v>TEXT</x:v>
      </x:c>
      <x:c r="C648" s="10" t="str">
        <x:v>TEXT:SYN-F11-08</x:v>
      </x:c>
      <x:c r="D648" s="10" t="str">
        <x:v>TEXT:SYN-F11-08-U01</x:v>
      </x:c>
      <x:c r="E648" s="10" t="str">
        <x:v>T-F11</x:v>
      </x:c>
      <x:c r="F648" s="10" t="n">
        <x:v>1</x:v>
      </x:c>
      <x:c r="G648" s="11" t="n">
        <x:v>0</x:v>
      </x:c>
      <x:c r="H648" s="11" t="n">
        <x:v>1.23225</x:v>
      </x:c>
      <x:c r="I648" s="11" t="n">
        <x:f>H648-G648</x:f>
        <x:v>1.23225</x:v>
      </x:c>
      <x:c r="J648" s="10" t="str">
        <x:v>SYN-F11-08:D2@v1와 SYN-F11-08:D3@v1 두 견적의 주간 운영비와 일회성 촬영비를 조회해서 비교 발표자료를 만들어줘. 지역 파트너 설명회용 4장 이내, 안내문 500자 이하, 운영 5주 기준이고 외부 발송은 하지 마.</x:v>
      </x:c>
      <x:c r="K648" s="10" t="str">
        <x:v>SYN-F11-08:D2@v1와 SYN-F11-08:D3@v1의 비용 내역을 조회해 지역 파트너 설명회용 비교자료를 준비하겠습니다.</x:v>
      </x:c>
      <x:c r="L648" s="11"/>
      <x:c r="M648" s="11"/>
      <x:c r="N648" s="10" t="str">
        <x:v>NOT_MODELED</x:v>
      </x:c>
    </x:row>
    <x:row r="649" ht="85" customHeight="1">
      <x:c r="A649" s="10" t="str">
        <x:v>T-BASE</x:v>
      </x:c>
      <x:c r="B649" s="10" t="str">
        <x:v>TEXT</x:v>
      </x:c>
      <x:c r="C649" s="10" t="str">
        <x:v>TEXT:SYN-F11-08</x:v>
      </x:c>
      <x:c r="D649" s="10" t="str">
        <x:v>TEXT:SYN-F11-08-U02</x:v>
      </x:c>
      <x:c r="E649" s="10" t="str">
        <x:v>T-F11</x:v>
      </x:c>
      <x:c r="F649" s="10" t="n">
        <x:v>2</x:v>
      </x:c>
      <x:c r="G649" s="11" t="n">
        <x:v>1.58225</x:v>
      </x:c>
      <x:c r="H649" s="11" t="n">
        <x:v>4.58875</x:v>
      </x:c>
      <x:c r="I649" s="11" t="n">
        <x:f>H649-G649</x:f>
        <x:v>3.0065</x:v>
      </x:c>
      <x:c r="J649" s="10" t="str">
        <x:v>두 개를 모두 쓰지 말고 조회 결과에서 일회성 촬영비를 제외한 주간 운영비가 더 낮은 쪽 하나만 써줘. 2장 이내로 하고 나머지 조건은 유지해.</x:v>
      </x:c>
      <x:c r="K649" s="10" t="str">
        <x:v>두 견적의 조회 결과에서 일회성 촬영비를 제외한 주간 운영비가 낮은 하나를 선택해 2장 이내로 수정하겠습니다.</x:v>
      </x:c>
      <x:c r="L649" s="11"/>
      <x:c r="M649" s="11"/>
      <x:c r="N649" s="10" t="str">
        <x:v>NOT_MODELED</x:v>
      </x:c>
    </x:row>
    <x:row r="650" ht="85" customHeight="1">
      <x:c r="A650" s="10" t="str">
        <x:v>T-EXEC</x:v>
      </x:c>
      <x:c r="B650" s="10" t="str">
        <x:v>TEXT</x:v>
      </x:c>
      <x:c r="C650" s="10" t="str">
        <x:v>TEXT:SYN-F11-08</x:v>
      </x:c>
      <x:c r="D650" s="10" t="str">
        <x:v>TEXT:SYN-F11-08-U01</x:v>
      </x:c>
      <x:c r="E650" s="10" t="str">
        <x:v>T-F11</x:v>
      </x:c>
      <x:c r="F650" s="10" t="n">
        <x:v>1</x:v>
      </x:c>
      <x:c r="G650" s="11" t="n">
        <x:v>0</x:v>
      </x:c>
      <x:c r="H650" s="11" t="n">
        <x:v>1.23225</x:v>
      </x:c>
      <x:c r="I650" s="11" t="n">
        <x:f>H650-G650</x:f>
        <x:v>1.23225</x:v>
      </x:c>
      <x:c r="J650" s="10" t="str">
        <x:v>SYN-F11-08:D2@v1와 SYN-F11-08:D3@v1 두 견적의 주간 운영비와 일회성 촬영비를 조회해서 비교 발표자료를 만들어줘. 지역 파트너 설명회용 4장 이내, 안내문 500자 이하, 운영 5주 기준이고 외부 발송은 하지 마.</x:v>
      </x:c>
      <x:c r="K650" s="10" t="str">
        <x:v>SYN-F11-08:D2@v1와 SYN-F11-08:D3@v1의 비용 내역을 조회해 지역 파트너 설명회용 비교자료를 준비하겠습니다.</x:v>
      </x:c>
      <x:c r="L650" s="11"/>
      <x:c r="M650" s="11"/>
      <x:c r="N650" s="10" t="str">
        <x:v>NOT_MODELED</x:v>
      </x:c>
    </x:row>
    <x:row r="651" ht="85" customHeight="1">
      <x:c r="A651" s="10" t="str">
        <x:v>T-EXEC</x:v>
      </x:c>
      <x:c r="B651" s="10" t="str">
        <x:v>TEXT</x:v>
      </x:c>
      <x:c r="C651" s="10" t="str">
        <x:v>TEXT:SYN-F11-08</x:v>
      </x:c>
      <x:c r="D651" s="10" t="str">
        <x:v>TEXT:SYN-F11-08-U02</x:v>
      </x:c>
      <x:c r="E651" s="10" t="str">
        <x:v>T-F11</x:v>
      </x:c>
      <x:c r="F651" s="10" t="n">
        <x:v>2</x:v>
      </x:c>
      <x:c r="G651" s="11" t="n">
        <x:v>1.58225</x:v>
      </x:c>
      <x:c r="H651" s="11" t="n">
        <x:v>3.319</x:v>
      </x:c>
      <x:c r="I651" s="11" t="n">
        <x:f>H651-G651</x:f>
        <x:v>1.73675</x:v>
      </x:c>
      <x:c r="J651" s="10" t="str">
        <x:v>두 개를 모두 쓰지 말고 조회 결과에서 일회성 촬영비를 제외한 주간 운영비가 더 낮은 쪽 하나만 써줘. 2장 이내로 하고 나머지 조건은 유지해.</x:v>
      </x:c>
      <x:c r="K651" s="10" t="str">
        <x:v>노을 서비스 캠페인 캠페인 계획 발표자료 작성 위임에 이번 조건을 적용하겠습니다: 지역 파트너 설명회용, 안내문 500자 이하, 대상 기간 운영 5주, 외부 발송 없음, 2장 이내, 주간 운영비가 낮은 하나만 선택. 대상의 최종 연결은 현재 조회 결과와 함께 확정합니다.</x:v>
      </x:c>
      <x:c r="L651" s="11"/>
      <x:c r="M651" s="11"/>
      <x:c r="N651" s="10" t="str">
        <x:v>NOT_MODELED</x:v>
      </x:c>
    </x:row>
    <x:row r="652" ht="85" customHeight="1">
      <x:c r="A652" s="10" t="str">
        <x:v>T-REL</x:v>
      </x:c>
      <x:c r="B652" s="10" t="str">
        <x:v>TEXT</x:v>
      </x:c>
      <x:c r="C652" s="10" t="str">
        <x:v>TEXT:SYN-F11-08</x:v>
      </x:c>
      <x:c r="D652" s="10" t="str">
        <x:v>TEXT:SYN-F11-08-U01</x:v>
      </x:c>
      <x:c r="E652" s="10" t="str">
        <x:v>T-F11</x:v>
      </x:c>
      <x:c r="F652" s="10" t="n">
        <x:v>1</x:v>
      </x:c>
      <x:c r="G652" s="11" t="n">
        <x:v>0</x:v>
      </x:c>
      <x:c r="H652" s="11" t="n">
        <x:v>1.23225</x:v>
      </x:c>
      <x:c r="I652" s="11" t="n">
        <x:f>H652-G652</x:f>
        <x:v>1.23225</x:v>
      </x:c>
      <x:c r="J652" s="10" t="str">
        <x:v>SYN-F11-08:D2@v1와 SYN-F11-08:D3@v1 두 견적의 주간 운영비와 일회성 촬영비를 조회해서 비교 발표자료를 만들어줘. 지역 파트너 설명회용 4장 이내, 안내문 500자 이하, 운영 5주 기준이고 외부 발송은 하지 마.</x:v>
      </x:c>
      <x:c r="K652" s="10" t="str">
        <x:v>SYN-F11-08:D2@v1와 SYN-F11-08:D3@v1의 비용 내역을 조회해 지역 파트너 설명회용 비교자료를 준비하겠습니다.</x:v>
      </x:c>
      <x:c r="L652" s="11"/>
      <x:c r="M652" s="11"/>
      <x:c r="N652" s="10" t="str">
        <x:v>NOT_MODELED</x:v>
      </x:c>
    </x:row>
    <x:row r="653" ht="85" customHeight="1">
      <x:c r="A653" s="10" t="str">
        <x:v>T-REL</x:v>
      </x:c>
      <x:c r="B653" s="10" t="str">
        <x:v>TEXT</x:v>
      </x:c>
      <x:c r="C653" s="10" t="str">
        <x:v>TEXT:SYN-F11-08</x:v>
      </x:c>
      <x:c r="D653" s="10" t="str">
        <x:v>TEXT:SYN-F11-08-U02</x:v>
      </x:c>
      <x:c r="E653" s="10" t="str">
        <x:v>T-F11</x:v>
      </x:c>
      <x:c r="F653" s="10" t="n">
        <x:v>2</x:v>
      </x:c>
      <x:c r="G653" s="11" t="n">
        <x:v>1.58225</x:v>
      </x:c>
      <x:c r="H653" s="11" t="n">
        <x:v>4.58875</x:v>
      </x:c>
      <x:c r="I653" s="11" t="n">
        <x:f>H653-G653</x:f>
        <x:v>3.0065</x:v>
      </x:c>
      <x:c r="J653" s="10" t="str">
        <x:v>두 개를 모두 쓰지 말고 조회 결과에서 일회성 촬영비를 제외한 주간 운영비가 더 낮은 쪽 하나만 써줘. 2장 이내로 하고 나머지 조건은 유지해.</x:v>
      </x:c>
      <x:c r="K653" s="10" t="str">
        <x:v>두 견적의 조회 결과에서 일회성 촬영비를 제외한 주간 운영비가 낮은 하나를 선택해 2장 이내로 수정하겠습니다.</x:v>
      </x:c>
      <x:c r="L653" s="11"/>
      <x:c r="M653" s="11"/>
      <x:c r="N653" s="10" t="str">
        <x:v>NOT_MODELED</x:v>
      </x:c>
    </x:row>
    <x:row r="654" ht="85" customHeight="1">
      <x:c r="A654" s="10" t="str">
        <x:v>T-BASE</x:v>
      </x:c>
      <x:c r="B654" s="10" t="str">
        <x:v>TEXT</x:v>
      </x:c>
      <x:c r="C654" s="10" t="str">
        <x:v>TEXT:SYN-F11-09</x:v>
      </x:c>
      <x:c r="D654" s="10" t="str">
        <x:v>TEXT:SYN-F11-09-U01</x:v>
      </x:c>
      <x:c r="E654" s="10" t="str">
        <x:v>T-F11</x:v>
      </x:c>
      <x:c r="F654" s="10" t="n">
        <x:v>1</x:v>
      </x:c>
      <x:c r="G654" s="11" t="n">
        <x:v>0</x:v>
      </x:c>
      <x:c r="H654" s="11" t="n">
        <x:v>1.220071</x:v>
      </x:c>
      <x:c r="I654" s="11" t="n">
        <x:f>H654-G654</x:f>
        <x:v>1.220071</x:v>
      </x:c>
      <x:c r="J654" s="10" t="str">
        <x:v>SYN-F11-09:D3@v1와 SYN-F11-09:D1@v1 두 견적의 일 운영비와 선반 구매비를 조회해서 비교 발표자료를 만들어줘. 배송 협력사 설명회용 7장 이내, 주문당 이동 180m 이하, 적용 후 4주 기준이고 외부 발송은 하지 마.</x:v>
      </x:c>
      <x:c r="K654" s="10" t="str">
        <x:v>SYN-F11-09:D3@v1와 SYN-F11-09:D1@v1의 비용 내역을 조회해 배송 협력사 설명회용 비교자료를 준비하겠습니다.</x:v>
      </x:c>
      <x:c r="L654" s="11"/>
      <x:c r="M654" s="11"/>
      <x:c r="N654" s="10" t="str">
        <x:v>NOT_MODELED</x:v>
      </x:c>
    </x:row>
    <x:row r="655" ht="85" customHeight="1">
      <x:c r="A655" s="10" t="str">
        <x:v>T-BASE</x:v>
      </x:c>
      <x:c r="B655" s="10" t="str">
        <x:v>TEXT</x:v>
      </x:c>
      <x:c r="C655" s="10" t="str">
        <x:v>TEXT:SYN-F11-09</x:v>
      </x:c>
      <x:c r="D655" s="10" t="str">
        <x:v>TEXT:SYN-F11-09-U02</x:v>
      </x:c>
      <x:c r="E655" s="10" t="str">
        <x:v>T-F11</x:v>
      </x:c>
      <x:c r="F655" s="10" t="n">
        <x:v>2</x:v>
      </x:c>
      <x:c r="G655" s="11" t="n">
        <x:v>1.570071</x:v>
      </x:c>
      <x:c r="H655" s="11" t="n">
        <x:v>4.609392</x:v>
      </x:c>
      <x:c r="I655" s="11" t="n">
        <x:f>H655-G655</x:f>
        <x:v>3.0393209999999997</x:v>
      </x:c>
      <x:c r="J655" s="10" t="str">
        <x:v>두 개를 모두 쓰지 말고 조회 결과에서 선반 구매비를 제외한 일 운영비가 더 낮은 쪽 하나만 써줘. 4장 이내로 하고 나머지 조건은 유지해.</x:v>
      </x:c>
      <x:c r="K655" s="10" t="str">
        <x:v>SYN-F11-09:D3@v1에 대해 파도 창고배치 변경 배치 변경 발표자료 작성 위임을 진행하겠습니다. 적용 조건: 배송 협력사 설명회용, 주문당 이동 180m 이하, 대상 기간 적용 후 4주, 외부 발송 없음, 4장 이내, 선반 구매비 제외, 일 운영비가 낮은 하나만 선택. 내용 출처: SYN-F11-09:D3@v1.</x:v>
      </x:c>
      <x:c r="L655" s="11"/>
      <x:c r="M655" s="11"/>
      <x:c r="N655" s="10" t="str">
        <x:v>NOT_MODELED</x:v>
      </x:c>
    </x:row>
    <x:row r="656" ht="85" customHeight="1">
      <x:c r="A656" s="10" t="str">
        <x:v>T-EXEC</x:v>
      </x:c>
      <x:c r="B656" s="10" t="str">
        <x:v>TEXT</x:v>
      </x:c>
      <x:c r="C656" s="10" t="str">
        <x:v>TEXT:SYN-F11-09</x:v>
      </x:c>
      <x:c r="D656" s="10" t="str">
        <x:v>TEXT:SYN-F11-09-U01</x:v>
      </x:c>
      <x:c r="E656" s="10" t="str">
        <x:v>T-F11</x:v>
      </x:c>
      <x:c r="F656" s="10" t="n">
        <x:v>1</x:v>
      </x:c>
      <x:c r="G656" s="11" t="n">
        <x:v>0</x:v>
      </x:c>
      <x:c r="H656" s="11" t="n">
        <x:v>1.220071</x:v>
      </x:c>
      <x:c r="I656" s="11" t="n">
        <x:f>H656-G656</x:f>
        <x:v>1.220071</x:v>
      </x:c>
      <x:c r="J656" s="10" t="str">
        <x:v>SYN-F11-09:D3@v1와 SYN-F11-09:D1@v1 두 견적의 일 운영비와 선반 구매비를 조회해서 비교 발표자료를 만들어줘. 배송 협력사 설명회용 7장 이내, 주문당 이동 180m 이하, 적용 후 4주 기준이고 외부 발송은 하지 마.</x:v>
      </x:c>
      <x:c r="K656" s="10" t="str">
        <x:v>SYN-F11-09:D3@v1와 SYN-F11-09:D1@v1의 비용 내역을 조회해 배송 협력사 설명회용 비교자료를 준비하겠습니다.</x:v>
      </x:c>
      <x:c r="L656" s="11"/>
      <x:c r="M656" s="11"/>
      <x:c r="N656" s="10" t="str">
        <x:v>NOT_MODELED</x:v>
      </x:c>
    </x:row>
    <x:row r="657" ht="85" customHeight="1">
      <x:c r="A657" s="10" t="str">
        <x:v>T-EXEC</x:v>
      </x:c>
      <x:c r="B657" s="10" t="str">
        <x:v>TEXT</x:v>
      </x:c>
      <x:c r="C657" s="10" t="str">
        <x:v>TEXT:SYN-F11-09</x:v>
      </x:c>
      <x:c r="D657" s="10" t="str">
        <x:v>TEXT:SYN-F11-09-U02</x:v>
      </x:c>
      <x:c r="E657" s="10" t="str">
        <x:v>T-F11</x:v>
      </x:c>
      <x:c r="F657" s="10" t="n">
        <x:v>2</x:v>
      </x:c>
      <x:c r="G657" s="11" t="n">
        <x:v>1.570071</x:v>
      </x:c>
      <x:c r="H657" s="11" t="n">
        <x:v>3.304321</x:v>
      </x:c>
      <x:c r="I657" s="11" t="n">
        <x:f>H657-G657</x:f>
        <x:v>1.7342499999999998</x:v>
      </x:c>
      <x:c r="J657" s="10" t="str">
        <x:v>두 개를 모두 쓰지 말고 조회 결과에서 선반 구매비를 제외한 일 운영비가 더 낮은 쪽 하나만 써줘. 4장 이내로 하고 나머지 조건은 유지해.</x:v>
      </x:c>
      <x:c r="K657" s="10" t="str">
        <x:v>파도 창고배치 변경 배치 변경 발표자료 작성 위임에 이번 조건을 적용하겠습니다: 배송 협력사 설명회용, 주문당 이동 180m 이하, 대상 기간 적용 후 4주, 외부 발송 없음, 4장 이내, 선반 구매비 제외, 일 운영비가 낮은 하나만 선택. 대상의 최종 연결은 현재 조회 결과와 함께 확정합니다.</x:v>
      </x:c>
      <x:c r="L657" s="11"/>
      <x:c r="M657" s="11"/>
      <x:c r="N657" s="10" t="str">
        <x:v>NOT_MODELED</x:v>
      </x:c>
    </x:row>
    <x:row r="658" ht="85" customHeight="1">
      <x:c r="A658" s="10" t="str">
        <x:v>T-REL</x:v>
      </x:c>
      <x:c r="B658" s="10" t="str">
        <x:v>TEXT</x:v>
      </x:c>
      <x:c r="C658" s="10" t="str">
        <x:v>TEXT:SYN-F11-09</x:v>
      </x:c>
      <x:c r="D658" s="10" t="str">
        <x:v>TEXT:SYN-F11-09-U01</x:v>
      </x:c>
      <x:c r="E658" s="10" t="str">
        <x:v>T-F11</x:v>
      </x:c>
      <x:c r="F658" s="10" t="n">
        <x:v>1</x:v>
      </x:c>
      <x:c r="G658" s="11" t="n">
        <x:v>0</x:v>
      </x:c>
      <x:c r="H658" s="11" t="n">
        <x:v>1.220071</x:v>
      </x:c>
      <x:c r="I658" s="11" t="n">
        <x:f>H658-G658</x:f>
        <x:v>1.220071</x:v>
      </x:c>
      <x:c r="J658" s="10" t="str">
        <x:v>SYN-F11-09:D3@v1와 SYN-F11-09:D1@v1 두 견적의 일 운영비와 선반 구매비를 조회해서 비교 발표자료를 만들어줘. 배송 협력사 설명회용 7장 이내, 주문당 이동 180m 이하, 적용 후 4주 기준이고 외부 발송은 하지 마.</x:v>
      </x:c>
      <x:c r="K658" s="10" t="str">
        <x:v>SYN-F11-09:D3@v1와 SYN-F11-09:D1@v1의 비용 내역을 조회해 배송 협력사 설명회용 비교자료를 준비하겠습니다.</x:v>
      </x:c>
      <x:c r="L658" s="11"/>
      <x:c r="M658" s="11"/>
      <x:c r="N658" s="10" t="str">
        <x:v>NOT_MODELED</x:v>
      </x:c>
    </x:row>
    <x:row r="659" ht="85" customHeight="1">
      <x:c r="A659" s="10" t="str">
        <x:v>T-REL</x:v>
      </x:c>
      <x:c r="B659" s="10" t="str">
        <x:v>TEXT</x:v>
      </x:c>
      <x:c r="C659" s="10" t="str">
        <x:v>TEXT:SYN-F11-09</x:v>
      </x:c>
      <x:c r="D659" s="10" t="str">
        <x:v>TEXT:SYN-F11-09-U02</x:v>
      </x:c>
      <x:c r="E659" s="10" t="str">
        <x:v>T-F11</x:v>
      </x:c>
      <x:c r="F659" s="10" t="n">
        <x:v>2</x:v>
      </x:c>
      <x:c r="G659" s="11" t="n">
        <x:v>1.570071</x:v>
      </x:c>
      <x:c r="H659" s="11" t="n">
        <x:v>4.609392</x:v>
      </x:c>
      <x:c r="I659" s="11" t="n">
        <x:f>H659-G659</x:f>
        <x:v>3.0393209999999997</x:v>
      </x:c>
      <x:c r="J659" s="10" t="str">
        <x:v>두 개를 모두 쓰지 말고 조회 결과에서 선반 구매비를 제외한 일 운영비가 더 낮은 쪽 하나만 써줘. 4장 이내로 하고 나머지 조건은 유지해.</x:v>
      </x:c>
      <x:c r="K659" s="10" t="str">
        <x:v>SYN-F11-09:D3@v1에 대해 파도 창고배치 변경 배치 변경 발표자료 작성 위임을 진행하겠습니다. 적용 조건: 배송 협력사 설명회용, 주문당 이동 180m 이하, 대상 기간 적용 후 4주, 외부 발송 없음, 4장 이내, 선반 구매비 제외, 일 운영비가 낮은 하나만 선택. 내용 출처: SYN-F11-09:D3@v1.</x:v>
      </x:c>
      <x:c r="L659" s="11"/>
      <x:c r="M659" s="11"/>
      <x:c r="N659" s="10" t="str">
        <x:v>NOT_MODELED</x:v>
      </x:c>
    </x:row>
    <x:row r="660" ht="85" customHeight="1">
      <x:c r="A660" s="10" t="str">
        <x:v>T-BASE</x:v>
      </x:c>
      <x:c r="B660" s="10" t="str">
        <x:v>TEXT</x:v>
      </x:c>
      <x:c r="C660" s="10" t="str">
        <x:v>TEXT:SYN-F11-10</x:v>
      </x:c>
      <x:c r="D660" s="10" t="str">
        <x:v>TEXT:SYN-F11-10-U01</x:v>
      </x:c>
      <x:c r="E660" s="10" t="str">
        <x:v>T-F11</x:v>
      </x:c>
      <x:c r="F660" s="10" t="n">
        <x:v>1</x:v>
      </x:c>
      <x:c r="G660" s="11" t="n">
        <x:v>0</x:v>
      </x:c>
      <x:c r="H660" s="11" t="n">
        <x:v>1.232893</x:v>
      </x:c>
      <x:c r="I660" s="11" t="n">
        <x:f>H660-G660</x:f>
        <x:v>1.232893</x:v>
      </x:c>
      <x:c r="J660" s="10" t="str">
        <x:v>SYN-F11-10:D1@v1와 SYN-F11-10:D2@v1 두 견적의 월 운영비와 초기 이전비를 조회해서 비교 발표자료를 만들어줘. 부서대표 설명회용 5장 이내, 첫 화면 메뉴 9개 이하, 출시 후 2개월 기준이고 외부 발송은 하지 마.</x:v>
      </x:c>
      <x:c r="K660" s="10" t="str">
        <x:v>SYN-F11-10:D1@v1와 SYN-F11-10:D2@v1의 비용 내역을 조회해 부서대표 설명회용 비교자료를 준비하겠습니다.</x:v>
      </x:c>
      <x:c r="L660" s="11"/>
      <x:c r="M660" s="11"/>
      <x:c r="N660" s="10" t="str">
        <x:v>NOT_MODELED</x:v>
      </x:c>
    </x:row>
    <x:row r="661" ht="85" customHeight="1">
      <x:c r="A661" s="10" t="str">
        <x:v>T-BASE</x:v>
      </x:c>
      <x:c r="B661" s="10" t="str">
        <x:v>TEXT</x:v>
      </x:c>
      <x:c r="C661" s="10" t="str">
        <x:v>TEXT:SYN-F11-10</x:v>
      </x:c>
      <x:c r="D661" s="10" t="str">
        <x:v>TEXT:SYN-F11-10-U02</x:v>
      </x:c>
      <x:c r="E661" s="10" t="str">
        <x:v>T-F11</x:v>
      </x:c>
      <x:c r="F661" s="10" t="n">
        <x:v>2</x:v>
      </x:c>
      <x:c r="G661" s="11" t="n">
        <x:v>1.582893</x:v>
      </x:c>
      <x:c r="H661" s="11" t="n">
        <x:v>4.680036</x:v>
      </x:c>
      <x:c r="I661" s="11" t="n">
        <x:f>H661-G661</x:f>
        <x:v>3.097143</x:v>
      </x:c>
      <x:c r="J661" s="10" t="str">
        <x:v>두 개를 모두 쓰지 말고 조회 결과에서 초기 이전비를 제외한 월 운영비가 더 낮은 쪽 하나만 써줘. 3장 이내로 하고 나머지 조건은 유지해.</x:v>
      </x:c>
      <x:c r="K661" s="10" t="str">
        <x:v>두 견적의 조회 결과에서 초기 이전비를 제외한 월 운영비가 낮은 하나를 선택해 3장 이내로 수정하겠습니다.</x:v>
      </x:c>
      <x:c r="L661" s="11"/>
      <x:c r="M661" s="11"/>
      <x:c r="N661" s="10" t="str">
        <x:v>NOT_MODELED</x:v>
      </x:c>
    </x:row>
    <x:row r="662" ht="85" customHeight="1">
      <x:c r="A662" s="10" t="str">
        <x:v>T-EXEC</x:v>
      </x:c>
      <x:c r="B662" s="10" t="str">
        <x:v>TEXT</x:v>
      </x:c>
      <x:c r="C662" s="10" t="str">
        <x:v>TEXT:SYN-F11-10</x:v>
      </x:c>
      <x:c r="D662" s="10" t="str">
        <x:v>TEXT:SYN-F11-10-U01</x:v>
      </x:c>
      <x:c r="E662" s="10" t="str">
        <x:v>T-F11</x:v>
      </x:c>
      <x:c r="F662" s="10" t="n">
        <x:v>1</x:v>
      </x:c>
      <x:c r="G662" s="11" t="n">
        <x:v>0</x:v>
      </x:c>
      <x:c r="H662" s="11" t="n">
        <x:v>1.232893</x:v>
      </x:c>
      <x:c r="I662" s="11" t="n">
        <x:f>H662-G662</x:f>
        <x:v>1.232893</x:v>
      </x:c>
      <x:c r="J662" s="10" t="str">
        <x:v>SYN-F11-10:D1@v1와 SYN-F11-10:D2@v1 두 견적의 월 운영비와 초기 이전비를 조회해서 비교 발표자료를 만들어줘. 부서대표 설명회용 5장 이내, 첫 화면 메뉴 9개 이하, 출시 후 2개월 기준이고 외부 발송은 하지 마.</x:v>
      </x:c>
      <x:c r="K662" s="10" t="str">
        <x:v>SYN-F11-10:D1@v1와 SYN-F11-10:D2@v1의 비용 내역을 조회해 부서대표 설명회용 비교자료를 준비하겠습니다.</x:v>
      </x:c>
      <x:c r="L662" s="11"/>
      <x:c r="M662" s="11"/>
      <x:c r="N662" s="10" t="str">
        <x:v>NOT_MODELED</x:v>
      </x:c>
    </x:row>
    <x:row r="663" ht="85" customHeight="1">
      <x:c r="A663" s="10" t="str">
        <x:v>T-EXEC</x:v>
      </x:c>
      <x:c r="B663" s="10" t="str">
        <x:v>TEXT</x:v>
      </x:c>
      <x:c r="C663" s="10" t="str">
        <x:v>TEXT:SYN-F11-10</x:v>
      </x:c>
      <x:c r="D663" s="10" t="str">
        <x:v>TEXT:SYN-F11-10-U02</x:v>
      </x:c>
      <x:c r="E663" s="10" t="str">
        <x:v>T-F11</x:v>
      </x:c>
      <x:c r="F663" s="10" t="n">
        <x:v>2</x:v>
      </x:c>
      <x:c r="G663" s="11" t="n">
        <x:v>1.582893</x:v>
      </x:c>
      <x:c r="H663" s="11" t="n">
        <x:v>3.320893</x:v>
      </x:c>
      <x:c r="I663" s="11" t="n">
        <x:f>H663-G663</x:f>
        <x:v>1.7379999999999998</x:v>
      </x:c>
      <x:c r="J663" s="10" t="str">
        <x:v>두 개를 모두 쓰지 말고 조회 결과에서 초기 이전비를 제외한 월 운영비가 더 낮은 쪽 하나만 써줘. 3장 이내로 하고 나머지 조건은 유지해.</x:v>
      </x:c>
      <x:c r="K663" s="10" t="str">
        <x:v>온유 사내포털 개편 포털 개선 발표자료 작성 위임에 이번 조건을 적용하겠습니다: 부서대표 설명회용, 첫 화면 메뉴 9개 이하, 대상 기간 출시 후 2개월, 외부 발송 없음, 3장 이내, 초기 이전비 제외, 월 운영비가 낮은 하나만 선택. 대상의 최종 연결은 현재 조회 결과와 함께 확정합니다.</x:v>
      </x:c>
      <x:c r="L663" s="11"/>
      <x:c r="M663" s="11"/>
      <x:c r="N663" s="10" t="str">
        <x:v>NOT_MODELED</x:v>
      </x:c>
    </x:row>
    <x:row r="664" ht="85" customHeight="1">
      <x:c r="A664" s="10" t="str">
        <x:v>T-REL</x:v>
      </x:c>
      <x:c r="B664" s="10" t="str">
        <x:v>TEXT</x:v>
      </x:c>
      <x:c r="C664" s="10" t="str">
        <x:v>TEXT:SYN-F11-10</x:v>
      </x:c>
      <x:c r="D664" s="10" t="str">
        <x:v>TEXT:SYN-F11-10-U01</x:v>
      </x:c>
      <x:c r="E664" s="10" t="str">
        <x:v>T-F11</x:v>
      </x:c>
      <x:c r="F664" s="10" t="n">
        <x:v>1</x:v>
      </x:c>
      <x:c r="G664" s="11" t="n">
        <x:v>0</x:v>
      </x:c>
      <x:c r="H664" s="11" t="n">
        <x:v>1.232893</x:v>
      </x:c>
      <x:c r="I664" s="11" t="n">
        <x:f>H664-G664</x:f>
        <x:v>1.232893</x:v>
      </x:c>
      <x:c r="J664" s="10" t="str">
        <x:v>SYN-F11-10:D1@v1와 SYN-F11-10:D2@v1 두 견적의 월 운영비와 초기 이전비를 조회해서 비교 발표자료를 만들어줘. 부서대표 설명회용 5장 이내, 첫 화면 메뉴 9개 이하, 출시 후 2개월 기준이고 외부 발송은 하지 마.</x:v>
      </x:c>
      <x:c r="K664" s="10" t="str">
        <x:v>SYN-F11-10:D1@v1와 SYN-F11-10:D2@v1의 비용 내역을 조회해 부서대표 설명회용 비교자료를 준비하겠습니다.</x:v>
      </x:c>
      <x:c r="L664" s="11"/>
      <x:c r="M664" s="11"/>
      <x:c r="N664" s="10" t="str">
        <x:v>NOT_MODELED</x:v>
      </x:c>
    </x:row>
    <x:row r="665" ht="85" customHeight="1">
      <x:c r="A665" s="10" t="str">
        <x:v>T-REL</x:v>
      </x:c>
      <x:c r="B665" s="10" t="str">
        <x:v>TEXT</x:v>
      </x:c>
      <x:c r="C665" s="10" t="str">
        <x:v>TEXT:SYN-F11-10</x:v>
      </x:c>
      <x:c r="D665" s="10" t="str">
        <x:v>TEXT:SYN-F11-10-U02</x:v>
      </x:c>
      <x:c r="E665" s="10" t="str">
        <x:v>T-F11</x:v>
      </x:c>
      <x:c r="F665" s="10" t="n">
        <x:v>2</x:v>
      </x:c>
      <x:c r="G665" s="11" t="n">
        <x:v>1.582893</x:v>
      </x:c>
      <x:c r="H665" s="11" t="n">
        <x:v>4.680036</x:v>
      </x:c>
      <x:c r="I665" s="11" t="n">
        <x:f>H665-G665</x:f>
        <x:v>3.097143</x:v>
      </x:c>
      <x:c r="J665" s="10" t="str">
        <x:v>두 개를 모두 쓰지 말고 조회 결과에서 초기 이전비를 제외한 월 운영비가 더 낮은 쪽 하나만 써줘. 3장 이내로 하고 나머지 조건은 유지해.</x:v>
      </x:c>
      <x:c r="K665" s="10" t="str">
        <x:v>두 견적의 조회 결과에서 초기 이전비를 제외한 월 운영비가 낮은 하나를 선택해 3장 이내로 수정하겠습니다.</x:v>
      </x:c>
      <x:c r="L665" s="11"/>
      <x:c r="M665" s="11"/>
      <x:c r="N665" s="10" t="str">
        <x:v>NOT_MODELED</x:v>
      </x:c>
    </x:row>
    <x:row r="666" ht="85" customHeight="1">
      <x:c r="A666" s="10" t="str">
        <x:v>T-BASE</x:v>
      </x:c>
      <x:c r="B666" s="10" t="str">
        <x:v>TEXT</x:v>
      </x:c>
      <x:c r="C666" s="10" t="str">
        <x:v>TEXT:SYN-F12-01</x:v>
      </x:c>
      <x:c r="D666" s="10" t="str">
        <x:v>TEXT:SYN-F12-01-U01</x:v>
      </x:c>
      <x:c r="E666" s="10" t="str">
        <x:v>T-F12</x:v>
      </x:c>
      <x:c r="F666" s="10" t="n">
        <x:v>1</x:v>
      </x:c>
      <x:c r="G666" s="11" t="n">
        <x:v>0</x:v>
      </x:c>
      <x:c r="H666" s="11" t="n">
        <x:v>2.042143</x:v>
      </x:c>
      <x:c r="I666" s="11" t="n">
        <x:f>H666-G666</x:f>
        <x:v>2.042143</x:v>
      </x:c>
      <x:c r="J666" s="10" t="str">
        <x:v>서비스 운영위원회에서 설명하기 좋은 구성이라고 했던 자료로 전환 검토 발표자료를 5장 이내로 만들어줘. 월 운영비 240만원 이하, 첫 12개월 기준이고 외부 발송은 하지 마.</x:v>
      </x:c>
      <x:c r="K666" s="10" t="str">
        <x:v>SYN-F12-01:D2@v1의 구성을 기준으로 서비스 운영위원회용 전환 검토 발표자료를 5장 이내로 작성하도록 준비하겠습니다.</x:v>
      </x:c>
      <x:c r="L666" s="11"/>
      <x:c r="M666" s="11"/>
      <x:c r="N666" s="10" t="str">
        <x:v>NOT_MODELED</x:v>
      </x:c>
    </x:row>
    <x:row r="667" ht="85" customHeight="1">
      <x:c r="A667" s="10" t="str">
        <x:v>T-BASE</x:v>
      </x:c>
      <x:c r="B667" s="10" t="str">
        <x:v>TEXT</x:v>
      </x:c>
      <x:c r="C667" s="10" t="str">
        <x:v>TEXT:SYN-F12-01</x:v>
      </x:c>
      <x:c r="D667" s="10" t="str">
        <x:v>TEXT:SYN-F12-01-U02</x:v>
      </x:c>
      <x:c r="E667" s="10" t="str">
        <x:v>T-F12</x:v>
      </x:c>
      <x:c r="F667" s="10" t="n">
        <x:v>1</x:v>
      </x:c>
      <x:c r="G667" s="11" t="n">
        <x:v>2.392143</x:v>
      </x:c>
      <x:c r="H667" s="11" t="n">
        <x:v>5.328214</x:v>
      </x:c>
      <x:c r="I667" s="11" t="n">
        <x:f>H667-G667</x:f>
        <x:v>2.936071</x:v>
      </x:c>
      <x:c r="J667" s="10" t="str">
        <x:v>다른 질문이야. TCP와 UDP는 연결 방식이 어떻게 달라? 기존 자료 작업은 계속해줘.</x:v>
      </x:c>
      <x:c r="K667" s="10" t="str">
        <x:v>TCP는 연결을 설정한 뒤 순서와 전달을 관리하고, UDP는 연결 설정 없이 데이터그램을 보냅니다.</x:v>
      </x:c>
      <x:c r="L667" s="11"/>
      <x:c r="M667" s="11"/>
      <x:c r="N667" s="10" t="str">
        <x:v>NOT_MODELED</x:v>
      </x:c>
    </x:row>
    <x:row r="668" ht="85" customHeight="1">
      <x:c r="A668" s="10" t="str">
        <x:v>T-EXEC</x:v>
      </x:c>
      <x:c r="B668" s="10" t="str">
        <x:v>TEXT</x:v>
      </x:c>
      <x:c r="C668" s="10" t="str">
        <x:v>TEXT:SYN-F12-01</x:v>
      </x:c>
      <x:c r="D668" s="10" t="str">
        <x:v>TEXT:SYN-F12-01-U01</x:v>
      </x:c>
      <x:c r="E668" s="10" t="str">
        <x:v>T-F12</x:v>
      </x:c>
      <x:c r="F668" s="10" t="n">
        <x:v>1</x:v>
      </x:c>
      <x:c r="G668" s="11" t="n">
        <x:v>0</x:v>
      </x:c>
      <x:c r="H668" s="11" t="n">
        <x:v>2.042143</x:v>
      </x:c>
      <x:c r="I668" s="11" t="n">
        <x:f>H668-G668</x:f>
        <x:v>2.042143</x:v>
      </x:c>
      <x:c r="J668" s="10" t="str">
        <x:v>서비스 운영위원회에서 설명하기 좋은 구성이라고 했던 자료로 전환 검토 발표자료를 5장 이내로 만들어줘. 월 운영비 240만원 이하, 첫 12개월 기준이고 외부 발송은 하지 마.</x:v>
      </x:c>
      <x:c r="K668" s="10" t="str">
        <x:v>SYN-F12-01:D2@v1의 구성을 기준으로 서비스 운영위원회용 전환 검토 발표자료를 5장 이내로 작성하도록 준비하겠습니다.</x:v>
      </x:c>
      <x:c r="L668" s="11"/>
      <x:c r="M668" s="11"/>
      <x:c r="N668" s="10" t="str">
        <x:v>NOT_MODELED</x:v>
      </x:c>
    </x:row>
    <x:row r="669" ht="85" customHeight="1">
      <x:c r="A669" s="10" t="str">
        <x:v>T-EXEC</x:v>
      </x:c>
      <x:c r="B669" s="10" t="str">
        <x:v>TEXT</x:v>
      </x:c>
      <x:c r="C669" s="10" t="str">
        <x:v>TEXT:SYN-F12-01</x:v>
      </x:c>
      <x:c r="D669" s="10" t="str">
        <x:v>TEXT:SYN-F12-01-U02</x:v>
      </x:c>
      <x:c r="E669" s="10" t="str">
        <x:v>T-F12</x:v>
      </x:c>
      <x:c r="F669" s="10" t="n">
        <x:v>1</x:v>
      </x:c>
      <x:c r="G669" s="11" t="n">
        <x:v>2.392143</x:v>
      </x:c>
      <x:c r="H669" s="11" t="n">
        <x:v>3.9575</x:v>
      </x:c>
      <x:c r="I669" s="11" t="n">
        <x:f>H669-G669</x:f>
        <x:v>1.565357</x:v>
      </x:c>
      <x:c r="J669" s="10" t="str">
        <x:v>다른 질문이야. TCP와 UDP는 연결 방식이 어떻게 달라? 기존 자료 작업은 계속해줘.</x:v>
      </x:c>
      <x:c r="K669" s="10" t="str">
        <x:v>TCP는 연결을 설정한 뒤 순서와 전달을 관리하고, UDP는 연결 설정 없이 데이터그램을 보냅니다.</x:v>
      </x:c>
      <x:c r="L669" s="11"/>
      <x:c r="M669" s="11"/>
      <x:c r="N669" s="10" t="str">
        <x:v>NOT_MODELED</x:v>
      </x:c>
    </x:row>
    <x:row r="670" ht="85" customHeight="1">
      <x:c r="A670" s="10" t="str">
        <x:v>T-REL</x:v>
      </x:c>
      <x:c r="B670" s="10" t="str">
        <x:v>TEXT</x:v>
      </x:c>
      <x:c r="C670" s="10" t="str">
        <x:v>TEXT:SYN-F12-01</x:v>
      </x:c>
      <x:c r="D670" s="10" t="str">
        <x:v>TEXT:SYN-F12-01-U01</x:v>
      </x:c>
      <x:c r="E670" s="10" t="str">
        <x:v>T-F12</x:v>
      </x:c>
      <x:c r="F670" s="10" t="n">
        <x:v>1</x:v>
      </x:c>
      <x:c r="G670" s="11" t="n">
        <x:v>0</x:v>
      </x:c>
      <x:c r="H670" s="11" t="n">
        <x:v>1.2375</x:v>
      </x:c>
      <x:c r="I670" s="11" t="n">
        <x:f>H670-G670</x:f>
        <x:v>1.2375</x:v>
      </x:c>
      <x:c r="J670" s="10" t="str">
        <x:v>서비스 운영위원회에서 설명하기 좋은 구성이라고 했던 자료로 전환 검토 발표자료를 5장 이내로 만들어줘. 월 운영비 240만원 이하, 첫 12개월 기준이고 외부 발송은 하지 마.</x:v>
      </x:c>
      <x:c r="K670" s="10" t="str">
        <x:v>SYN-F12-01:D2@v1의 구성을 기준으로 서비스 운영위원회용 전환 검토 발표자료를 5장 이내로 작성하도록 준비하겠습니다.</x:v>
      </x:c>
      <x:c r="L670" s="11"/>
      <x:c r="M670" s="11"/>
      <x:c r="N670" s="10" t="str">
        <x:v>NOT_MODELED</x:v>
      </x:c>
    </x:row>
    <x:row r="671" ht="85" customHeight="1">
      <x:c r="A671" s="10" t="str">
        <x:v>T-REL</x:v>
      </x:c>
      <x:c r="B671" s="10" t="str">
        <x:v>TEXT</x:v>
      </x:c>
      <x:c r="C671" s="10" t="str">
        <x:v>TEXT:SYN-F12-01</x:v>
      </x:c>
      <x:c r="D671" s="10" t="str">
        <x:v>TEXT:SYN-F12-01-U02</x:v>
      </x:c>
      <x:c r="E671" s="10" t="str">
        <x:v>T-F12</x:v>
      </x:c>
      <x:c r="F671" s="10" t="n">
        <x:v>1</x:v>
      </x:c>
      <x:c r="G671" s="11" t="n">
        <x:v>1.5875</x:v>
      </x:c>
      <x:c r="H671" s="11" t="n">
        <x:v>4.363571</x:v>
      </x:c>
      <x:c r="I671" s="11" t="n">
        <x:f>H671-G671</x:f>
        <x:v>2.7760710000000004</x:v>
      </x:c>
      <x:c r="J671" s="10" t="str">
        <x:v>다른 질문이야. TCP와 UDP는 연결 방식이 어떻게 달라? 기존 자료 작업은 계속해줘.</x:v>
      </x:c>
      <x:c r="K671" s="10" t="str">
        <x:v>TCP는 연결을 설정한 뒤 순서와 전달을 관리하고, UDP는 연결 설정 없이 데이터그램을 보냅니다.</x:v>
      </x:c>
      <x:c r="L671" s="11"/>
      <x:c r="M671" s="11"/>
      <x:c r="N671" s="10" t="str">
        <x:v>NOT_MODELED</x:v>
      </x:c>
    </x:row>
    <x:row r="672" ht="85" customHeight="1">
      <x:c r="A672" s="10" t="str">
        <x:v>T-BASE</x:v>
      </x:c>
      <x:c r="B672" s="10" t="str">
        <x:v>TEXT</x:v>
      </x:c>
      <x:c r="C672" s="10" t="str">
        <x:v>TEXT:SYN-F12-02</x:v>
      </x:c>
      <x:c r="D672" s="10" t="str">
        <x:v>TEXT:SYN-F12-02-U01</x:v>
      </x:c>
      <x:c r="E672" s="10" t="str">
        <x:v>T-F12</x:v>
      </x:c>
      <x:c r="F672" s="10" t="n">
        <x:v>1</x:v>
      </x:c>
      <x:c r="G672" s="11" t="n">
        <x:v>0</x:v>
      </x:c>
      <x:c r="H672" s="11" t="n">
        <x:v>2.079964</x:v>
      </x:c>
      <x:c r="I672" s="11" t="n">
        <x:f>H672-G672</x:f>
        <x:v>2.079964</x:v>
      </x:c>
      <x:c r="J672" s="10" t="str">
        <x:v>참가업체 설명회에서 설명하기 좋은 구성이라고 했던 자료로 운영 제안 발표자료를 4장 이내로 만들어줘. 주말 운영 인력 12명 이하, 전시 4주 기준이고 외부 발송은 하지 마.</x:v>
      </x:c>
      <x:c r="K672" s="10" t="str">
        <x:v>SYN-F12-02:D1@v1의 구성을 기준으로 참가업체 설명회용 운영 제안 발표자료를 4장 이내로 작성하도록 준비하겠습니다.</x:v>
      </x:c>
      <x:c r="L672" s="11"/>
      <x:c r="M672" s="11"/>
      <x:c r="N672" s="10" t="str">
        <x:v>NOT_MODELED</x:v>
      </x:c>
    </x:row>
    <x:row r="673" ht="85" customHeight="1">
      <x:c r="A673" s="10" t="str">
        <x:v>T-BASE</x:v>
      </x:c>
      <x:c r="B673" s="10" t="str">
        <x:v>TEXT</x:v>
      </x:c>
      <x:c r="C673" s="10" t="str">
        <x:v>TEXT:SYN-F12-02</x:v>
      </x:c>
      <x:c r="D673" s="10" t="str">
        <x:v>TEXT:SYN-F12-02-U02</x:v>
      </x:c>
      <x:c r="E673" s="10" t="str">
        <x:v>T-F12</x:v>
      </x:c>
      <x:c r="F673" s="10" t="n">
        <x:v>1</x:v>
      </x:c>
      <x:c r="G673" s="11" t="n">
        <x:v>2.429964</x:v>
      </x:c>
      <x:c r="H673" s="11" t="n">
        <x:v>5.448857</x:v>
      </x:c>
      <x:c r="I673" s="11" t="n">
        <x:f>H673-G673</x:f>
        <x:v>3.0188930000000003</x:v>
      </x:c>
      <x:c r="J673" s="10" t="str">
        <x:v>별도 질문이야. SVG와 PNG는 확대할 때 어떤 차이가 나? 진행 중인 자료는 유지해줘.</x:v>
      </x:c>
      <x:c r="K673" s="10" t="str">
        <x:v>SVG는 벡터 도형을 확대해 그리므로 선이 선명하고, PNG는 픽셀 이미지여서 크게 확대하면 픽셀이 드러날 수 있습니다.</x:v>
      </x:c>
      <x:c r="L673" s="11"/>
      <x:c r="M673" s="11"/>
      <x:c r="N673" s="10" t="str">
        <x:v>NOT_MODELED</x:v>
      </x:c>
    </x:row>
    <x:row r="674" ht="85" customHeight="1">
      <x:c r="A674" s="10" t="str">
        <x:v>T-EXEC</x:v>
      </x:c>
      <x:c r="B674" s="10" t="str">
        <x:v>TEXT</x:v>
      </x:c>
      <x:c r="C674" s="10" t="str">
        <x:v>TEXT:SYN-F12-02</x:v>
      </x:c>
      <x:c r="D674" s="10" t="str">
        <x:v>TEXT:SYN-F12-02-U01</x:v>
      </x:c>
      <x:c r="E674" s="10" t="str">
        <x:v>T-F12</x:v>
      </x:c>
      <x:c r="F674" s="10" t="n">
        <x:v>1</x:v>
      </x:c>
      <x:c r="G674" s="11" t="n">
        <x:v>0</x:v>
      </x:c>
      <x:c r="H674" s="11" t="n">
        <x:v>2.079964</x:v>
      </x:c>
      <x:c r="I674" s="11" t="n">
        <x:f>H674-G674</x:f>
        <x:v>2.079964</x:v>
      </x:c>
      <x:c r="J674" s="10" t="str">
        <x:v>참가업체 설명회에서 설명하기 좋은 구성이라고 했던 자료로 운영 제안 발표자료를 4장 이내로 만들어줘. 주말 운영 인력 12명 이하, 전시 4주 기준이고 외부 발송은 하지 마.</x:v>
      </x:c>
      <x:c r="K674" s="10" t="str">
        <x:v>SYN-F12-02:D1@v1의 구성을 기준으로 참가업체 설명회용 운영 제안 발표자료를 4장 이내로 작성하도록 준비하겠습니다.</x:v>
      </x:c>
      <x:c r="L674" s="11"/>
      <x:c r="M674" s="11"/>
      <x:c r="N674" s="10" t="str">
        <x:v>NOT_MODELED</x:v>
      </x:c>
    </x:row>
    <x:row r="675" ht="85" customHeight="1">
      <x:c r="A675" s="10" t="str">
        <x:v>T-EXEC</x:v>
      </x:c>
      <x:c r="B675" s="10" t="str">
        <x:v>TEXT</x:v>
      </x:c>
      <x:c r="C675" s="10" t="str">
        <x:v>TEXT:SYN-F12-02</x:v>
      </x:c>
      <x:c r="D675" s="10" t="str">
        <x:v>TEXT:SYN-F12-02-U02</x:v>
      </x:c>
      <x:c r="E675" s="10" t="str">
        <x:v>T-F12</x:v>
      </x:c>
      <x:c r="F675" s="10" t="n">
        <x:v>1</x:v>
      </x:c>
      <x:c r="G675" s="11" t="n">
        <x:v>2.429964</x:v>
      </x:c>
      <x:c r="H675" s="11" t="n">
        <x:v>4.042822</x:v>
      </x:c>
      <x:c r="I675" s="11" t="n">
        <x:f>H675-G675</x:f>
        <x:v>1.6128580000000001</x:v>
      </x:c>
      <x:c r="J675" s="10" t="str">
        <x:v>별도 질문이야. SVG와 PNG는 확대할 때 어떤 차이가 나? 진행 중인 자료는 유지해줘.</x:v>
      </x:c>
      <x:c r="K675" s="10" t="str">
        <x:v>SVG는 벡터 도형을 확대해 그리므로 선이 선명하고, PNG는 픽셀 이미지여서 크게 확대하면 픽셀이 드러날 수 있습니다.</x:v>
      </x:c>
      <x:c r="L675" s="11"/>
      <x:c r="M675" s="11"/>
      <x:c r="N675" s="10" t="str">
        <x:v>NOT_MODELED</x:v>
      </x:c>
    </x:row>
    <x:row r="676" ht="85" customHeight="1">
      <x:c r="A676" s="10" t="str">
        <x:v>T-REL</x:v>
      </x:c>
      <x:c r="B676" s="10" t="str">
        <x:v>TEXT</x:v>
      </x:c>
      <x:c r="C676" s="10" t="str">
        <x:v>TEXT:SYN-F12-02</x:v>
      </x:c>
      <x:c r="D676" s="10" t="str">
        <x:v>TEXT:SYN-F12-02-U01</x:v>
      </x:c>
      <x:c r="E676" s="10" t="str">
        <x:v>T-F12</x:v>
      </x:c>
      <x:c r="F676" s="10" t="n">
        <x:v>1</x:v>
      </x:c>
      <x:c r="G676" s="11" t="n">
        <x:v>0</x:v>
      </x:c>
      <x:c r="H676" s="11" t="n">
        <x:v>1.250321</x:v>
      </x:c>
      <x:c r="I676" s="11" t="n">
        <x:f>H676-G676</x:f>
        <x:v>1.250321</x:v>
      </x:c>
      <x:c r="J676" s="10" t="str">
        <x:v>참가업체 설명회에서 설명하기 좋은 구성이라고 했던 자료로 운영 제안 발표자료를 4장 이내로 만들어줘. 주말 운영 인력 12명 이하, 전시 4주 기준이고 외부 발송은 하지 마.</x:v>
      </x:c>
      <x:c r="K676" s="10" t="str">
        <x:v>SYN-F12-02:D1@v1의 구성을 기준으로 참가업체 설명회용 운영 제안 발표자료를 4장 이내로 작성하도록 준비하겠습니다.</x:v>
      </x:c>
      <x:c r="L676" s="11"/>
      <x:c r="M676" s="11"/>
      <x:c r="N676" s="10" t="str">
        <x:v>NOT_MODELED</x:v>
      </x:c>
    </x:row>
    <x:row r="677" ht="85" customHeight="1">
      <x:c r="A677" s="10" t="str">
        <x:v>T-REL</x:v>
      </x:c>
      <x:c r="B677" s="10" t="str">
        <x:v>TEXT</x:v>
      </x:c>
      <x:c r="C677" s="10" t="str">
        <x:v>TEXT:SYN-F12-02</x:v>
      </x:c>
      <x:c r="D677" s="10" t="str">
        <x:v>TEXT:SYN-F12-02-U02</x:v>
      </x:c>
      <x:c r="E677" s="10" t="str">
        <x:v>T-F12</x:v>
      </x:c>
      <x:c r="F677" s="10" t="n">
        <x:v>1</x:v>
      </x:c>
      <x:c r="G677" s="11" t="n">
        <x:v>1.600321</x:v>
      </x:c>
      <x:c r="H677" s="11" t="n">
        <x:v>4.434214</x:v>
      </x:c>
      <x:c r="I677" s="11" t="n">
        <x:f>H677-G677</x:f>
        <x:v>2.8338929999999998</x:v>
      </x:c>
      <x:c r="J677" s="10" t="str">
        <x:v>별도 질문이야. SVG와 PNG는 확대할 때 어떤 차이가 나? 진행 중인 자료는 유지해줘.</x:v>
      </x:c>
      <x:c r="K677" s="10" t="str">
        <x:v>SVG는 벡터 도형을 확대해 그리므로 선이 선명하고, PNG는 픽셀 이미지여서 크게 확대하면 픽셀이 드러날 수 있습니다.</x:v>
      </x:c>
      <x:c r="L677" s="11"/>
      <x:c r="M677" s="11"/>
      <x:c r="N677" s="10" t="str">
        <x:v>NOT_MODELED</x:v>
      </x:c>
    </x:row>
    <x:row r="678" ht="85" customHeight="1">
      <x:c r="A678" s="10" t="str">
        <x:v>T-BASE</x:v>
      </x:c>
      <x:c r="B678" s="10" t="str">
        <x:v>TEXT</x:v>
      </x:c>
      <x:c r="C678" s="10" t="str">
        <x:v>TEXT:SYN-F12-03</x:v>
      </x:c>
      <x:c r="D678" s="10" t="str">
        <x:v>TEXT:SYN-F12-03-U01</x:v>
      </x:c>
      <x:c r="E678" s="10" t="str">
        <x:v>T-F12</x:v>
      </x:c>
      <x:c r="F678" s="10" t="n">
        <x:v>1</x:v>
      </x:c>
      <x:c r="G678" s="11" t="n">
        <x:v>0</x:v>
      </x:c>
      <x:c r="H678" s="11" t="n">
        <x:v>2.117786</x:v>
      </x:c>
      <x:c r="I678" s="11" t="n">
        <x:f>H678-G678</x:f>
        <x:v>2.117786</x:v>
      </x:c>
      <x:c r="J678" s="10" t="str">
        <x:v>교육 승인위원회에서 설명하기 좋은 구성이라고 했던 자료로 교육 개편 발표자료를 6장 이내로 만들어줘. 참가자당 교육시간 18시간 이하, 입사 후 3주 기준이고 외부 발송은 하지 마.</x:v>
      </x:c>
      <x:c r="K678" s="10" t="str">
        <x:v>SYN-F12-03:D3@v1의 구성을 기준으로 교육 승인위원회용 교육 개편 발표자료를 6장 이내로 작성하도록 준비하겠습니다.</x:v>
      </x:c>
      <x:c r="L678" s="11"/>
      <x:c r="M678" s="11"/>
      <x:c r="N678" s="10" t="str">
        <x:v>NOT_MODELED</x:v>
      </x:c>
    </x:row>
    <x:row r="679" ht="85" customHeight="1">
      <x:c r="A679" s="10" t="str">
        <x:v>T-BASE</x:v>
      </x:c>
      <x:c r="B679" s="10" t="str">
        <x:v>TEXT</x:v>
      </x:c>
      <x:c r="C679" s="10" t="str">
        <x:v>TEXT:SYN-F12-03</x:v>
      </x:c>
      <x:c r="D679" s="10" t="str">
        <x:v>TEXT:SYN-F12-03-U02</x:v>
      </x:c>
      <x:c r="E679" s="10" t="str">
        <x:v>T-F12</x:v>
      </x:c>
      <x:c r="F679" s="10" t="n">
        <x:v>1</x:v>
      </x:c>
      <x:c r="G679" s="11" t="n">
        <x:v>2.467786</x:v>
      </x:c>
      <x:c r="H679" s="11" t="n">
        <x:v>5.5695</x:v>
      </x:c>
      <x:c r="I679" s="11" t="n">
        <x:f>H679-G679</x:f>
        <x:v>3.101714</x:v>
      </x:c>
      <x:c r="J679" s="10" t="str">
        <x:v>이건 새 질문이야. 중앙값과 평균의 차이를 한 문장으로 알려줘. 교육 자료는 계속 만들어줘.</x:v>
      </x:c>
      <x:c r="K679" s="10" t="str">
        <x:v>기존 발표자료의 대상 기간 안에서만 설명하면, 평균은 모든 값을 더해 개수로 나눈 값이고, 중앙값은 값을 크기순으로 정렬했을 때 가운데 위치한 값입니다.</x:v>
      </x:c>
      <x:c r="L679" s="11"/>
      <x:c r="M679" s="11"/>
      <x:c r="N679" s="10" t="str">
        <x:v>NOT_MODELED</x:v>
      </x:c>
    </x:row>
    <x:row r="680" ht="85" customHeight="1">
      <x:c r="A680" s="10" t="str">
        <x:v>T-EXEC</x:v>
      </x:c>
      <x:c r="B680" s="10" t="str">
        <x:v>TEXT</x:v>
      </x:c>
      <x:c r="C680" s="10" t="str">
        <x:v>TEXT:SYN-F12-03</x:v>
      </x:c>
      <x:c r="D680" s="10" t="str">
        <x:v>TEXT:SYN-F12-03-U01</x:v>
      </x:c>
      <x:c r="E680" s="10" t="str">
        <x:v>T-F12</x:v>
      </x:c>
      <x:c r="F680" s="10" t="n">
        <x:v>1</x:v>
      </x:c>
      <x:c r="G680" s="11" t="n">
        <x:v>0</x:v>
      </x:c>
      <x:c r="H680" s="11" t="n">
        <x:v>2.117786</x:v>
      </x:c>
      <x:c r="I680" s="11" t="n">
        <x:f>H680-G680</x:f>
        <x:v>2.117786</x:v>
      </x:c>
      <x:c r="J680" s="10" t="str">
        <x:v>교육 승인위원회에서 설명하기 좋은 구성이라고 했던 자료로 교육 개편 발표자료를 6장 이내로 만들어줘. 참가자당 교육시간 18시간 이하, 입사 후 3주 기준이고 외부 발송은 하지 마.</x:v>
      </x:c>
      <x:c r="K680" s="10" t="str">
        <x:v>SYN-F12-03:D3@v1의 구성을 기준으로 교육 승인위원회용 교육 개편 발표자료를 6장 이내로 작성하도록 준비하겠습니다.</x:v>
      </x:c>
      <x:c r="L680" s="11"/>
      <x:c r="M680" s="11"/>
      <x:c r="N680" s="10" t="str">
        <x:v>NOT_MODELED</x:v>
      </x:c>
    </x:row>
    <x:row r="681" ht="85" customHeight="1">
      <x:c r="A681" s="10" t="str">
        <x:v>T-EXEC</x:v>
      </x:c>
      <x:c r="B681" s="10" t="str">
        <x:v>TEXT</x:v>
      </x:c>
      <x:c r="C681" s="10" t="str">
        <x:v>TEXT:SYN-F12-03</x:v>
      </x:c>
      <x:c r="D681" s="10" t="str">
        <x:v>TEXT:SYN-F12-03-U02</x:v>
      </x:c>
      <x:c r="E681" s="10" t="str">
        <x:v>T-F12</x:v>
      </x:c>
      <x:c r="F681" s="10" t="n">
        <x:v>1</x:v>
      </x:c>
      <x:c r="G681" s="11" t="n">
        <x:v>2.467786</x:v>
      </x:c>
      <x:c r="H681" s="11" t="n">
        <x:v>4.128143</x:v>
      </x:c>
      <x:c r="I681" s="11" t="n">
        <x:f>H681-G681</x:f>
        <x:v>1.6603569999999999</x:v>
      </x:c>
      <x:c r="J681" s="10" t="str">
        <x:v>이건 새 질문이야. 중앙값과 평균의 차이를 한 문장으로 알려줘. 교육 자료는 계속 만들어줘.</x:v>
      </x:c>
      <x:c r="K681" s="10" t="str">
        <x:v>평균은 모든 값을 더해 개수로 나눈 값이고, 중앙값은 값을 크기순으로 정렬했을 때 가운데 위치한 값입니다.</x:v>
      </x:c>
      <x:c r="L681" s="11"/>
      <x:c r="M681" s="11"/>
      <x:c r="N681" s="10" t="str">
        <x:v>NOT_MODELED</x:v>
      </x:c>
    </x:row>
    <x:row r="682" ht="85" customHeight="1">
      <x:c r="A682" s="10" t="str">
        <x:v>T-REL</x:v>
      </x:c>
      <x:c r="B682" s="10" t="str">
        <x:v>TEXT</x:v>
      </x:c>
      <x:c r="C682" s="10" t="str">
        <x:v>TEXT:SYN-F12-03</x:v>
      </x:c>
      <x:c r="D682" s="10" t="str">
        <x:v>TEXT:SYN-F12-03-U01</x:v>
      </x:c>
      <x:c r="E682" s="10" t="str">
        <x:v>T-F12</x:v>
      </x:c>
      <x:c r="F682" s="10" t="n">
        <x:v>1</x:v>
      </x:c>
      <x:c r="G682" s="11" t="n">
        <x:v>0</x:v>
      </x:c>
      <x:c r="H682" s="11" t="n">
        <x:v>1.263143</x:v>
      </x:c>
      <x:c r="I682" s="11" t="n">
        <x:f>H682-G682</x:f>
        <x:v>1.263143</x:v>
      </x:c>
      <x:c r="J682" s="10" t="str">
        <x:v>교육 승인위원회에서 설명하기 좋은 구성이라고 했던 자료로 교육 개편 발표자료를 6장 이내로 만들어줘. 참가자당 교육시간 18시간 이하, 입사 후 3주 기준이고 외부 발송은 하지 마.</x:v>
      </x:c>
      <x:c r="K682" s="10" t="str">
        <x:v>SYN-F12-03:D3@v1의 구성을 기준으로 교육 승인위원회용 교육 개편 발표자료를 6장 이내로 작성하도록 준비하겠습니다.</x:v>
      </x:c>
      <x:c r="L682" s="11"/>
      <x:c r="M682" s="11"/>
      <x:c r="N682" s="10" t="str">
        <x:v>NOT_MODELED</x:v>
      </x:c>
    </x:row>
    <x:row r="683" ht="85" customHeight="1">
      <x:c r="A683" s="10" t="str">
        <x:v>T-REL</x:v>
      </x:c>
      <x:c r="B683" s="10" t="str">
        <x:v>TEXT</x:v>
      </x:c>
      <x:c r="C683" s="10" t="str">
        <x:v>TEXT:SYN-F12-03</x:v>
      </x:c>
      <x:c r="D683" s="10" t="str">
        <x:v>TEXT:SYN-F12-03-U02</x:v>
      </x:c>
      <x:c r="E683" s="10" t="str">
        <x:v>T-F12</x:v>
      </x:c>
      <x:c r="F683" s="10" t="n">
        <x:v>1</x:v>
      </x:c>
      <x:c r="G683" s="11" t="n">
        <x:v>1.613143</x:v>
      </x:c>
      <x:c r="H683" s="11" t="n">
        <x:v>4.504857</x:v>
      </x:c>
      <x:c r="I683" s="11" t="n">
        <x:f>H683-G683</x:f>
        <x:v>2.8917140000000003</x:v>
      </x:c>
      <x:c r="J683" s="10" t="str">
        <x:v>이건 새 질문이야. 중앙값과 평균의 차이를 한 문장으로 알려줘. 교육 자료는 계속 만들어줘.</x:v>
      </x:c>
      <x:c r="K683" s="10" t="str">
        <x:v>기존 발표자료의 대상 기간 안에서만 설명하면, 평균은 모든 값을 더해 개수로 나눈 값이고, 중앙값은 값을 크기순으로 정렬했을 때 가운데 위치한 값입니다.</x:v>
      </x:c>
      <x:c r="L683" s="11"/>
      <x:c r="M683" s="11"/>
      <x:c r="N683" s="10" t="str">
        <x:v>NOT_MODELED</x:v>
      </x:c>
    </x:row>
    <x:row r="684" ht="85" customHeight="1">
      <x:c r="A684" s="10" t="str">
        <x:v>T-BASE</x:v>
      </x:c>
      <x:c r="B684" s="10" t="str">
        <x:v>TEXT</x:v>
      </x:c>
      <x:c r="C684" s="10" t="str">
        <x:v>TEXT:SYN-F12-04</x:v>
      </x:c>
      <x:c r="D684" s="10" t="str">
        <x:v>TEXT:SYN-F12-04-U01</x:v>
      </x:c>
      <x:c r="E684" s="10" t="str">
        <x:v>T-F12</x:v>
      </x:c>
      <x:c r="F684" s="10" t="n">
        <x:v>1</x:v>
      </x:c>
      <x:c r="G684" s="11" t="n">
        <x:v>0</x:v>
      </x:c>
      <x:c r="H684" s="11" t="n">
        <x:v>2.080607</x:v>
      </x:c>
      <x:c r="I684" s="11" t="n">
        <x:f>H684-G684</x:f>
        <x:v>2.080607</x:v>
      </x:c>
      <x:c r="J684" s="10" t="str">
        <x:v>협력사 운영설명회에서 설명하기 좋은 구성이라고 했던 자료로 거점 개선 발표자료를 7장 이내로 만들어줘. 일일 추가 운행 8회 이하, 평일 20일 기준이고 외부 발송은 하지 마.</x:v>
      </x:c>
      <x:c r="K684" s="10" t="str">
        <x:v>SYN-F12-04:D2@v1의 구성을 기준으로 협력사 운영설명회용 거점 개선 발표자료를 7장 이내로 작성하도록 준비하겠습니다.</x:v>
      </x:c>
      <x:c r="L684" s="11"/>
      <x:c r="M684" s="11"/>
      <x:c r="N684" s="10" t="str">
        <x:v>NOT_MODELED</x:v>
      </x:c>
    </x:row>
    <x:row r="685" ht="85" customHeight="1">
      <x:c r="A685" s="10" t="str">
        <x:v>T-BASE</x:v>
      </x:c>
      <x:c r="B685" s="10" t="str">
        <x:v>TEXT</x:v>
      </x:c>
      <x:c r="C685" s="10" t="str">
        <x:v>TEXT:SYN-F12-04</x:v>
      </x:c>
      <x:c r="D685" s="10" t="str">
        <x:v>TEXT:SYN-F12-04-U02</x:v>
      </x:c>
      <x:c r="E685" s="10" t="str">
        <x:v>T-F12</x:v>
      </x:c>
      <x:c r="F685" s="10" t="n">
        <x:v>1</x:v>
      </x:c>
      <x:c r="G685" s="11" t="n">
        <x:v>2.430607</x:v>
      </x:c>
      <x:c r="H685" s="11" t="n">
        <x:v>5.540143</x:v>
      </x:c>
      <x:c r="I685" s="11" t="n">
        <x:f>H685-G685</x:f>
        <x:v>3.1095359999999994</x:v>
      </x:c>
      <x:c r="J685" s="10" t="str">
        <x:v>따로 궁금한데 CSV와 JSON은 구조를 표현하는 방식이 어떻게 달라? 배송 자료 작업은 계속해줘.</x:v>
      </x:c>
      <x:c r="K685" s="10" t="str">
        <x:v>CSV는 행과 열의 표 형태를 표현하고, JSON은 이름과 값, 배열과 중첩 객체로 구조를 표현합니다.</x:v>
      </x:c>
      <x:c r="L685" s="11"/>
      <x:c r="M685" s="11"/>
      <x:c r="N685" s="10" t="str">
        <x:v>NOT_MODELED</x:v>
      </x:c>
    </x:row>
    <x:row r="686" ht="85" customHeight="1">
      <x:c r="A686" s="10" t="str">
        <x:v>T-EXEC</x:v>
      </x:c>
      <x:c r="B686" s="10" t="str">
        <x:v>TEXT</x:v>
      </x:c>
      <x:c r="C686" s="10" t="str">
        <x:v>TEXT:SYN-F12-04</x:v>
      </x:c>
      <x:c r="D686" s="10" t="str">
        <x:v>TEXT:SYN-F12-04-U01</x:v>
      </x:c>
      <x:c r="E686" s="10" t="str">
        <x:v>T-F12</x:v>
      </x:c>
      <x:c r="F686" s="10" t="n">
        <x:v>1</x:v>
      </x:c>
      <x:c r="G686" s="11" t="n">
        <x:v>0</x:v>
      </x:c>
      <x:c r="H686" s="11" t="n">
        <x:v>2.080607</x:v>
      </x:c>
      <x:c r="I686" s="11" t="n">
        <x:f>H686-G686</x:f>
        <x:v>2.080607</x:v>
      </x:c>
      <x:c r="J686" s="10" t="str">
        <x:v>협력사 운영설명회에서 설명하기 좋은 구성이라고 했던 자료로 거점 개선 발표자료를 7장 이내로 만들어줘. 일일 추가 운행 8회 이하, 평일 20일 기준이고 외부 발송은 하지 마.</x:v>
      </x:c>
      <x:c r="K686" s="10" t="str">
        <x:v>SYN-F12-04:D2@v1의 구성을 기준으로 협력사 운영설명회용 거점 개선 발표자료를 7장 이내로 작성하도록 준비하겠습니다.</x:v>
      </x:c>
      <x:c r="L686" s="11"/>
      <x:c r="M686" s="11"/>
      <x:c r="N686" s="10" t="str">
        <x:v>NOT_MODELED</x:v>
      </x:c>
    </x:row>
    <x:row r="687" ht="85" customHeight="1">
      <x:c r="A687" s="10" t="str">
        <x:v>T-EXEC</x:v>
      </x:c>
      <x:c r="B687" s="10" t="str">
        <x:v>TEXT</x:v>
      </x:c>
      <x:c r="C687" s="10" t="str">
        <x:v>TEXT:SYN-F12-04</x:v>
      </x:c>
      <x:c r="D687" s="10" t="str">
        <x:v>TEXT:SYN-F12-04-U02</x:v>
      </x:c>
      <x:c r="E687" s="10" t="str">
        <x:v>T-F12</x:v>
      </x:c>
      <x:c r="F687" s="10" t="n">
        <x:v>1</x:v>
      </x:c>
      <x:c r="G687" s="11" t="n">
        <x:v>2.430607</x:v>
      </x:c>
      <x:c r="H687" s="11" t="n">
        <x:v>4.044714</x:v>
      </x:c>
      <x:c r="I687" s="11" t="n">
        <x:f>H687-G687</x:f>
        <x:v>1.6141069999999997</x:v>
      </x:c>
      <x:c r="J687" s="10" t="str">
        <x:v>따로 궁금한데 CSV와 JSON은 구조를 표현하는 방식이 어떻게 달라? 배송 자료 작업은 계속해줘.</x:v>
      </x:c>
      <x:c r="K687" s="10" t="str">
        <x:v>CSV는 행과 열의 표 형태를 표현하고, JSON은 이름과 값, 배열과 중첩 객체로 구조를 표현합니다.</x:v>
      </x:c>
      <x:c r="L687" s="11"/>
      <x:c r="M687" s="11"/>
      <x:c r="N687" s="10" t="str">
        <x:v>NOT_MODELED</x:v>
      </x:c>
    </x:row>
    <x:row r="688" ht="85" customHeight="1">
      <x:c r="A688" s="10" t="str">
        <x:v>T-REL</x:v>
      </x:c>
      <x:c r="B688" s="10" t="str">
        <x:v>TEXT</x:v>
      </x:c>
      <x:c r="C688" s="10" t="str">
        <x:v>TEXT:SYN-F12-04</x:v>
      </x:c>
      <x:c r="D688" s="10" t="str">
        <x:v>TEXT:SYN-F12-04-U01</x:v>
      </x:c>
      <x:c r="E688" s="10" t="str">
        <x:v>T-F12</x:v>
      </x:c>
      <x:c r="F688" s="10" t="n">
        <x:v>1</x:v>
      </x:c>
      <x:c r="G688" s="11" t="n">
        <x:v>0</x:v>
      </x:c>
      <x:c r="H688" s="11" t="n">
        <x:v>1.275964</x:v>
      </x:c>
      <x:c r="I688" s="11" t="n">
        <x:f>H688-G688</x:f>
        <x:v>1.275964</x:v>
      </x:c>
      <x:c r="J688" s="10" t="str">
        <x:v>협력사 운영설명회에서 설명하기 좋은 구성이라고 했던 자료로 거점 개선 발표자료를 7장 이내로 만들어줘. 일일 추가 운행 8회 이하, 평일 20일 기준이고 외부 발송은 하지 마.</x:v>
      </x:c>
      <x:c r="K688" s="10" t="str">
        <x:v>SYN-F12-04:D2@v1의 구성을 기준으로 협력사 운영설명회용 거점 개선 발표자료를 7장 이내로 작성하도록 준비하겠습니다.</x:v>
      </x:c>
      <x:c r="L688" s="11"/>
      <x:c r="M688" s="11"/>
      <x:c r="N688" s="10" t="str">
        <x:v>NOT_MODELED</x:v>
      </x:c>
    </x:row>
    <x:row r="689" ht="85" customHeight="1">
      <x:c r="A689" s="10" t="str">
        <x:v>T-REL</x:v>
      </x:c>
      <x:c r="B689" s="10" t="str">
        <x:v>TEXT</x:v>
      </x:c>
      <x:c r="C689" s="10" t="str">
        <x:v>TEXT:SYN-F12-04</x:v>
      </x:c>
      <x:c r="D689" s="10" t="str">
        <x:v>TEXT:SYN-F12-04-U02</x:v>
      </x:c>
      <x:c r="E689" s="10" t="str">
        <x:v>T-F12</x:v>
      </x:c>
      <x:c r="F689" s="10" t="n">
        <x:v>1</x:v>
      </x:c>
      <x:c r="G689" s="11" t="n">
        <x:v>1.625964</x:v>
      </x:c>
      <x:c r="H689" s="11" t="n">
        <x:v>4.5755</x:v>
      </x:c>
      <x:c r="I689" s="11" t="n">
        <x:f>H689-G689</x:f>
        <x:v>2.949536</x:v>
      </x:c>
      <x:c r="J689" s="10" t="str">
        <x:v>따로 궁금한데 CSV와 JSON은 구조를 표현하는 방식이 어떻게 달라? 배송 자료 작업은 계속해줘.</x:v>
      </x:c>
      <x:c r="K689" s="10" t="str">
        <x:v>CSV는 행과 열의 표 형태를 표현하고, JSON은 이름과 값, 배열과 중첩 객체로 구조를 표현합니다.</x:v>
      </x:c>
      <x:c r="L689" s="11"/>
      <x:c r="M689" s="11"/>
      <x:c r="N689" s="10" t="str">
        <x:v>NOT_MODELED</x:v>
      </x:c>
    </x:row>
    <x:row r="690" ht="85" customHeight="1">
      <x:c r="A690" s="10" t="str">
        <x:v>T-BASE</x:v>
      </x:c>
      <x:c r="B690" s="10" t="str">
        <x:v>TEXT</x:v>
      </x:c>
      <x:c r="C690" s="10" t="str">
        <x:v>TEXT:SYN-F12-05</x:v>
      </x:c>
      <x:c r="D690" s="10" t="str">
        <x:v>TEXT:SYN-F12-05-U01</x:v>
      </x:c>
      <x:c r="E690" s="10" t="str">
        <x:v>T-F12</x:v>
      </x:c>
      <x:c r="F690" s="10" t="n">
        <x:v>1</x:v>
      </x:c>
      <x:c r="G690" s="11" t="n">
        <x:v>0</x:v>
      </x:c>
      <x:c r="H690" s="11" t="n">
        <x:v>2.093429</x:v>
      </x:c>
      <x:c r="I690" s="11" t="n">
        <x:f>H690-G690</x:f>
        <x:v>2.093429</x:v>
      </x:c>
      <x:c r="J690" s="10" t="str">
        <x:v>입주사 설명회에서 설명하기 좋은 구성이라고 했던 자료로 조명 교체 검토자료를 5장 이내로 만들어줘. 층별 정전 30분 이하, 교체 후 6개월 기준이고 외부 발송은 하지 마.</x:v>
      </x:c>
      <x:c r="K690" s="10" t="str">
        <x:v>SYN-F12-05:D1@v1의 구성을 기준으로 입주사 설명회용 조명 교체 검토자료를 5장 이내로 작성하도록 준비하겠습니다.</x:v>
      </x:c>
      <x:c r="L690" s="11"/>
      <x:c r="M690" s="11"/>
      <x:c r="N690" s="10" t="str">
        <x:v>NOT_MODELED</x:v>
      </x:c>
    </x:row>
    <x:row r="691" ht="85" customHeight="1">
      <x:c r="A691" s="10" t="str">
        <x:v>T-BASE</x:v>
      </x:c>
      <x:c r="B691" s="10" t="str">
        <x:v>TEXT</x:v>
      </x:c>
      <x:c r="C691" s="10" t="str">
        <x:v>TEXT:SYN-F12-05</x:v>
      </x:c>
      <x:c r="D691" s="10" t="str">
        <x:v>TEXT:SYN-F12-05-U02</x:v>
      </x:c>
      <x:c r="E691" s="10" t="str">
        <x:v>T-F12</x:v>
      </x:c>
      <x:c r="F691" s="10" t="n">
        <x:v>1</x:v>
      </x:c>
      <x:c r="G691" s="11" t="n">
        <x:v>2.443429</x:v>
      </x:c>
      <x:c r="H691" s="11" t="n">
        <x:v>5.610786</x:v>
      </x:c>
      <x:c r="I691" s="11" t="n">
        <x:f>H691-G691</x:f>
        <x:v>3.167357</x:v>
      </x:c>
      <x:c r="J691" s="10" t="str">
        <x:v>독립 질문이야. 직렬 연결과 병렬 연결에서 전류의 경로는 어떻게 달라? 조명 자료는 계속해줘.</x:v>
      </x:c>
      <x:c r="K691" s="10" t="str">
        <x:v>직렬 연결은 전류가 흐르는 경로가 하나이고, 병렬 연결은 여러 갈래의 경로로 전류가 나뉩니다.</x:v>
      </x:c>
      <x:c r="L691" s="11"/>
      <x:c r="M691" s="11"/>
      <x:c r="N691" s="10" t="str">
        <x:v>NOT_MODELED</x:v>
      </x:c>
    </x:row>
    <x:row r="692" ht="85" customHeight="1">
      <x:c r="A692" s="10" t="str">
        <x:v>T-EXEC</x:v>
      </x:c>
      <x:c r="B692" s="10" t="str">
        <x:v>TEXT</x:v>
      </x:c>
      <x:c r="C692" s="10" t="str">
        <x:v>TEXT:SYN-F12-05</x:v>
      </x:c>
      <x:c r="D692" s="10" t="str">
        <x:v>TEXT:SYN-F12-05-U01</x:v>
      </x:c>
      <x:c r="E692" s="10" t="str">
        <x:v>T-F12</x:v>
      </x:c>
      <x:c r="F692" s="10" t="n">
        <x:v>1</x:v>
      </x:c>
      <x:c r="G692" s="11" t="n">
        <x:v>0</x:v>
      </x:c>
      <x:c r="H692" s="11" t="n">
        <x:v>2.093429</x:v>
      </x:c>
      <x:c r="I692" s="11" t="n">
        <x:f>H692-G692</x:f>
        <x:v>2.093429</x:v>
      </x:c>
      <x:c r="J692" s="10" t="str">
        <x:v>입주사 설명회에서 설명하기 좋은 구성이라고 했던 자료로 조명 교체 검토자료를 5장 이내로 만들어줘. 층별 정전 30분 이하, 교체 후 6개월 기준이고 외부 발송은 하지 마.</x:v>
      </x:c>
      <x:c r="K692" s="10" t="str">
        <x:v>SYN-F12-05:D1@v1의 구성을 기준으로 입주사 설명회용 조명 교체 검토자료를 5장 이내로 작성하도록 준비하겠습니다.</x:v>
      </x:c>
      <x:c r="L692" s="11"/>
      <x:c r="M692" s="11"/>
      <x:c r="N692" s="10" t="str">
        <x:v>NOT_MODELED</x:v>
      </x:c>
    </x:row>
    <x:row r="693" ht="85" customHeight="1">
      <x:c r="A693" s="10" t="str">
        <x:v>T-EXEC</x:v>
      </x:c>
      <x:c r="B693" s="10" t="str">
        <x:v>TEXT</x:v>
      </x:c>
      <x:c r="C693" s="10" t="str">
        <x:v>TEXT:SYN-F12-05</x:v>
      </x:c>
      <x:c r="D693" s="10" t="str">
        <x:v>TEXT:SYN-F12-05-U02</x:v>
      </x:c>
      <x:c r="E693" s="10" t="str">
        <x:v>T-F12</x:v>
      </x:c>
      <x:c r="F693" s="10" t="n">
        <x:v>1</x:v>
      </x:c>
      <x:c r="G693" s="11" t="n">
        <x:v>2.443429</x:v>
      </x:c>
      <x:c r="H693" s="11" t="n">
        <x:v>4.080036</x:v>
      </x:c>
      <x:c r="I693" s="11" t="n">
        <x:f>H693-G693</x:f>
        <x:v>1.6366069999999997</x:v>
      </x:c>
      <x:c r="J693" s="10" t="str">
        <x:v>독립 질문이야. 직렬 연결과 병렬 연결에서 전류의 경로는 어떻게 달라? 조명 자료는 계속해줘.</x:v>
      </x:c>
      <x:c r="K693" s="10" t="str">
        <x:v>직렬 연결은 전류가 흐르는 경로가 하나이고, 병렬 연결은 여러 갈래의 경로로 전류가 나뉩니다.</x:v>
      </x:c>
      <x:c r="L693" s="11"/>
      <x:c r="M693" s="11"/>
      <x:c r="N693" s="10" t="str">
        <x:v>NOT_MODELED</x:v>
      </x:c>
    </x:row>
    <x:row r="694" ht="85" customHeight="1">
      <x:c r="A694" s="10" t="str">
        <x:v>T-REL</x:v>
      </x:c>
      <x:c r="B694" s="10" t="str">
        <x:v>TEXT</x:v>
      </x:c>
      <x:c r="C694" s="10" t="str">
        <x:v>TEXT:SYN-F12-05</x:v>
      </x:c>
      <x:c r="D694" s="10" t="str">
        <x:v>TEXT:SYN-F12-05-U01</x:v>
      </x:c>
      <x:c r="E694" s="10" t="str">
        <x:v>T-F12</x:v>
      </x:c>
      <x:c r="F694" s="10" t="n">
        <x:v>1</x:v>
      </x:c>
      <x:c r="G694" s="11" t="n">
        <x:v>0</x:v>
      </x:c>
      <x:c r="H694" s="11" t="n">
        <x:v>1.263786</x:v>
      </x:c>
      <x:c r="I694" s="11" t="n">
        <x:f>H694-G694</x:f>
        <x:v>1.263786</x:v>
      </x:c>
      <x:c r="J694" s="10" t="str">
        <x:v>입주사 설명회에서 설명하기 좋은 구성이라고 했던 자료로 조명 교체 검토자료를 5장 이내로 만들어줘. 층별 정전 30분 이하, 교체 후 6개월 기준이고 외부 발송은 하지 마.</x:v>
      </x:c>
      <x:c r="K694" s="10" t="str">
        <x:v>SYN-F12-05:D1@v1의 구성을 기준으로 입주사 설명회용 조명 교체 검토자료를 5장 이내로 작성하도록 준비하겠습니다.</x:v>
      </x:c>
      <x:c r="L694" s="11"/>
      <x:c r="M694" s="11"/>
      <x:c r="N694" s="10" t="str">
        <x:v>NOT_MODELED</x:v>
      </x:c>
    </x:row>
    <x:row r="695" ht="85" customHeight="1">
      <x:c r="A695" s="10" t="str">
        <x:v>T-REL</x:v>
      </x:c>
      <x:c r="B695" s="10" t="str">
        <x:v>TEXT</x:v>
      </x:c>
      <x:c r="C695" s="10" t="str">
        <x:v>TEXT:SYN-F12-05</x:v>
      </x:c>
      <x:c r="D695" s="10" t="str">
        <x:v>TEXT:SYN-F12-05-U02</x:v>
      </x:c>
      <x:c r="E695" s="10" t="str">
        <x:v>T-F12</x:v>
      </x:c>
      <x:c r="F695" s="10" t="n">
        <x:v>1</x:v>
      </x:c>
      <x:c r="G695" s="11" t="n">
        <x:v>1.613786</x:v>
      </x:c>
      <x:c r="H695" s="11" t="n">
        <x:v>4.596143</x:v>
      </x:c>
      <x:c r="I695" s="11" t="n">
        <x:f>H695-G695</x:f>
        <x:v>2.9823569999999995</x:v>
      </x:c>
      <x:c r="J695" s="10" t="str">
        <x:v>독립 질문이야. 직렬 연결과 병렬 연결에서 전류의 경로는 어떻게 달라? 조명 자료는 계속해줘.</x:v>
      </x:c>
      <x:c r="K695" s="10" t="str">
        <x:v>직렬 연결은 전류가 흐르는 경로가 하나이고, 병렬 연결은 여러 갈래의 경로로 전류가 나뉩니다.</x:v>
      </x:c>
      <x:c r="L695" s="11"/>
      <x:c r="M695" s="11"/>
      <x:c r="N695" s="10" t="str">
        <x:v>NOT_MODELED</x:v>
      </x:c>
    </x:row>
    <x:row r="696" ht="85" customHeight="1">
      <x:c r="A696" s="10" t="str">
        <x:v>T-BASE</x:v>
      </x:c>
      <x:c r="B696" s="10" t="str">
        <x:v>TEXT</x:v>
      </x:c>
      <x:c r="C696" s="10" t="str">
        <x:v>TEXT:SYN-F12-06</x:v>
      </x:c>
      <x:c r="D696" s="10" t="str">
        <x:v>TEXT:SYN-F12-06-U01</x:v>
      </x:c>
      <x:c r="E696" s="10" t="str">
        <x:v>T-F12</x:v>
      </x:c>
      <x:c r="F696" s="10" t="n">
        <x:v>1</x:v>
      </x:c>
      <x:c r="G696" s="11" t="n">
        <x:v>0</x:v>
      </x:c>
      <x:c r="H696" s="11" t="n">
        <x:v>2.13125</x:v>
      </x:c>
      <x:c r="I696" s="11" t="n">
        <x:f>H696-G696</x:f>
        <x:v>2.13125</x:v>
      </x:c>
      <x:c r="J696" s="10" t="str">
        <x:v>참여기업 안내회에서 설명하기 좋은 구성이라고 했던 자료로 행사 운영 발표자료를 8장 이내로 만들어줘. 현장 대기 20분 이하, 행사 2일 기준이고 외부 발송은 하지 마.</x:v>
      </x:c>
      <x:c r="K696" s="10" t="str">
        <x:v>SYN-F12-06:D3@v1의 구성을 기준으로 참여기업 안내회용 행사 운영 발표자료를 8장 이내로 작성하도록 준비하겠습니다.</x:v>
      </x:c>
      <x:c r="L696" s="11"/>
      <x:c r="M696" s="11"/>
      <x:c r="N696" s="10" t="str">
        <x:v>NOT_MODELED</x:v>
      </x:c>
    </x:row>
    <x:row r="697" ht="85" customHeight="1">
      <x:c r="A697" s="10" t="str">
        <x:v>T-BASE</x:v>
      </x:c>
      <x:c r="B697" s="10" t="str">
        <x:v>TEXT</x:v>
      </x:c>
      <x:c r="C697" s="10" t="str">
        <x:v>TEXT:SYN-F12-06</x:v>
      </x:c>
      <x:c r="D697" s="10" t="str">
        <x:v>TEXT:SYN-F12-06-U02</x:v>
      </x:c>
      <x:c r="E697" s="10" t="str">
        <x:v>T-F12</x:v>
      </x:c>
      <x:c r="F697" s="10" t="n">
        <x:v>1</x:v>
      </x:c>
      <x:c r="G697" s="11" t="n">
        <x:v>2.48125</x:v>
      </x:c>
      <x:c r="H697" s="11" t="n">
        <x:v>5.731429</x:v>
      </x:c>
      <x:c r="I697" s="11" t="n">
        <x:f>H697-G697</x:f>
        <x:v>3.250179</x:v>
      </x:c>
      <x:c r="J697" s="10" t="str">
        <x:v>작업과 별개로 HTTP에서 GET과 POST가 통상 어떤 용도로 쓰이는지 알려줘. 행사 자료는 유지해줘.</x:v>
      </x:c>
      <x:c r="K697" s="10" t="str">
        <x:v>GET은 주로 자원 조회에, POST는 주로 데이터를 제출해 처리를 요청하는 데 사용됩니다.</x:v>
      </x:c>
      <x:c r="L697" s="11"/>
      <x:c r="M697" s="11"/>
      <x:c r="N697" s="10" t="str">
        <x:v>NOT_MODELED</x:v>
      </x:c>
    </x:row>
    <x:row r="698" ht="85" customHeight="1">
      <x:c r="A698" s="10" t="str">
        <x:v>T-EXEC</x:v>
      </x:c>
      <x:c r="B698" s="10" t="str">
        <x:v>TEXT</x:v>
      </x:c>
      <x:c r="C698" s="10" t="str">
        <x:v>TEXT:SYN-F12-06</x:v>
      </x:c>
      <x:c r="D698" s="10" t="str">
        <x:v>TEXT:SYN-F12-06-U01</x:v>
      </x:c>
      <x:c r="E698" s="10" t="str">
        <x:v>T-F12</x:v>
      </x:c>
      <x:c r="F698" s="10" t="n">
        <x:v>1</x:v>
      </x:c>
      <x:c r="G698" s="11" t="n">
        <x:v>0</x:v>
      </x:c>
      <x:c r="H698" s="11" t="n">
        <x:v>2.13125</x:v>
      </x:c>
      <x:c r="I698" s="11" t="n">
        <x:f>H698-G698</x:f>
        <x:v>2.13125</x:v>
      </x:c>
      <x:c r="J698" s="10" t="str">
        <x:v>참여기업 안내회에서 설명하기 좋은 구성이라고 했던 자료로 행사 운영 발표자료를 8장 이내로 만들어줘. 현장 대기 20분 이하, 행사 2일 기준이고 외부 발송은 하지 마.</x:v>
      </x:c>
      <x:c r="K698" s="10" t="str">
        <x:v>SYN-F12-06:D3@v1의 구성을 기준으로 참여기업 안내회용 행사 운영 발표자료를 8장 이내로 작성하도록 준비하겠습니다.</x:v>
      </x:c>
      <x:c r="L698" s="11"/>
      <x:c r="M698" s="11"/>
      <x:c r="N698" s="10" t="str">
        <x:v>NOT_MODELED</x:v>
      </x:c>
    </x:row>
    <x:row r="699" ht="85" customHeight="1">
      <x:c r="A699" s="10" t="str">
        <x:v>T-EXEC</x:v>
      </x:c>
      <x:c r="B699" s="10" t="str">
        <x:v>TEXT</x:v>
      </x:c>
      <x:c r="C699" s="10" t="str">
        <x:v>TEXT:SYN-F12-06</x:v>
      </x:c>
      <x:c r="D699" s="10" t="str">
        <x:v>TEXT:SYN-F12-06-U02</x:v>
      </x:c>
      <x:c r="E699" s="10" t="str">
        <x:v>T-F12</x:v>
      </x:c>
      <x:c r="F699" s="10" t="n">
        <x:v>1</x:v>
      </x:c>
      <x:c r="G699" s="11" t="n">
        <x:v>2.48125</x:v>
      </x:c>
      <x:c r="H699" s="11" t="n">
        <x:v>4.165357</x:v>
      </x:c>
      <x:c r="I699" s="11" t="n">
        <x:f>H699-G699</x:f>
        <x:v>1.684107</x:v>
      </x:c>
      <x:c r="J699" s="10" t="str">
        <x:v>작업과 별개로 HTTP에서 GET과 POST가 통상 어떤 용도로 쓰이는지 알려줘. 행사 자료는 유지해줘.</x:v>
      </x:c>
      <x:c r="K699" s="10" t="str">
        <x:v>GET은 주로 자원 조회에, POST는 주로 데이터를 제출해 처리를 요청하는 데 사용됩니다.</x:v>
      </x:c>
      <x:c r="L699" s="11"/>
      <x:c r="M699" s="11"/>
      <x:c r="N699" s="10" t="str">
        <x:v>NOT_MODELED</x:v>
      </x:c>
    </x:row>
    <x:row r="700" ht="85" customHeight="1">
      <x:c r="A700" s="10" t="str">
        <x:v>T-REL</x:v>
      </x:c>
      <x:c r="B700" s="10" t="str">
        <x:v>TEXT</x:v>
      </x:c>
      <x:c r="C700" s="10" t="str">
        <x:v>TEXT:SYN-F12-06</x:v>
      </x:c>
      <x:c r="D700" s="10" t="str">
        <x:v>TEXT:SYN-F12-06-U01</x:v>
      </x:c>
      <x:c r="E700" s="10" t="str">
        <x:v>T-F12</x:v>
      </x:c>
      <x:c r="F700" s="10" t="n">
        <x:v>1</x:v>
      </x:c>
      <x:c r="G700" s="11" t="n">
        <x:v>0</x:v>
      </x:c>
      <x:c r="H700" s="11" t="n">
        <x:v>1.276607</x:v>
      </x:c>
      <x:c r="I700" s="11" t="n">
        <x:f>H700-G700</x:f>
        <x:v>1.276607</x:v>
      </x:c>
      <x:c r="J700" s="10" t="str">
        <x:v>참여기업 안내회에서 설명하기 좋은 구성이라고 했던 자료로 행사 운영 발표자료를 8장 이내로 만들어줘. 현장 대기 20분 이하, 행사 2일 기준이고 외부 발송은 하지 마.</x:v>
      </x:c>
      <x:c r="K700" s="10" t="str">
        <x:v>SYN-F12-06:D3@v1의 구성을 기준으로 참여기업 안내회용 행사 운영 발표자료를 8장 이내로 작성하도록 준비하겠습니다.</x:v>
      </x:c>
      <x:c r="L700" s="11"/>
      <x:c r="M700" s="11"/>
      <x:c r="N700" s="10" t="str">
        <x:v>NOT_MODELED</x:v>
      </x:c>
    </x:row>
    <x:row r="701" ht="85" customHeight="1">
      <x:c r="A701" s="10" t="str">
        <x:v>T-REL</x:v>
      </x:c>
      <x:c r="B701" s="10" t="str">
        <x:v>TEXT</x:v>
      </x:c>
      <x:c r="C701" s="10" t="str">
        <x:v>TEXT:SYN-F12-06</x:v>
      </x:c>
      <x:c r="D701" s="10" t="str">
        <x:v>TEXT:SYN-F12-06-U02</x:v>
      </x:c>
      <x:c r="E701" s="10" t="str">
        <x:v>T-F12</x:v>
      </x:c>
      <x:c r="F701" s="10" t="n">
        <x:v>1</x:v>
      </x:c>
      <x:c r="G701" s="11" t="n">
        <x:v>1.626607</x:v>
      </x:c>
      <x:c r="H701" s="11" t="n">
        <x:v>4.666786</x:v>
      </x:c>
      <x:c r="I701" s="11" t="n">
        <x:f>H701-G701</x:f>
        <x:v>3.040179</x:v>
      </x:c>
      <x:c r="J701" s="10" t="str">
        <x:v>작업과 별개로 HTTP에서 GET과 POST가 통상 어떤 용도로 쓰이는지 알려줘. 행사 자료는 유지해줘.</x:v>
      </x:c>
      <x:c r="K701" s="10" t="str">
        <x:v>GET은 주로 자원 조회에, POST는 주로 데이터를 제출해 처리를 요청하는 데 사용됩니다.</x:v>
      </x:c>
      <x:c r="L701" s="11"/>
      <x:c r="M701" s="11"/>
      <x:c r="N701" s="10" t="str">
        <x:v>NOT_MODELED</x:v>
      </x:c>
    </x:row>
    <x:row r="702" ht="85" customHeight="1">
      <x:c r="A702" s="10" t="str">
        <x:v>T-BASE</x:v>
      </x:c>
      <x:c r="B702" s="10" t="str">
        <x:v>TEXT</x:v>
      </x:c>
      <x:c r="C702" s="10" t="str">
        <x:v>TEXT:SYN-F12-07</x:v>
      </x:c>
      <x:c r="D702" s="10" t="str">
        <x:v>TEXT:SYN-F12-07-U01</x:v>
      </x:c>
      <x:c r="E702" s="10" t="str">
        <x:v>T-F12</x:v>
      </x:c>
      <x:c r="F702" s="10" t="n">
        <x:v>1</x:v>
      </x:c>
      <x:c r="G702" s="11" t="n">
        <x:v>0</x:v>
      </x:c>
      <x:c r="H702" s="11" t="n">
        <x:v>2.094071</x:v>
      </x:c>
      <x:c r="I702" s="11" t="n">
        <x:f>H702-G702</x:f>
        <x:v>2.094071</x:v>
      </x:c>
      <x:c r="J702" s="10" t="str">
        <x:v>납품처 품질설명회에서 설명하기 좋은 구성이라고 했던 자료로 검사 개선 발표자료를 6장 이내로 만들어줘. 샘플 검사 45분 이하, 다음 8주 기준이고 외부 발송은 하지 마.</x:v>
      </x:c>
      <x:c r="K702" s="10" t="str">
        <x:v>SYN-F12-07:D2@v1의 구성을 기준으로 납품처 품질설명회용 검사 개선 발표자료를 6장 이내로 작성하도록 준비하겠습니다.</x:v>
      </x:c>
      <x:c r="L702" s="11"/>
      <x:c r="M702" s="11"/>
      <x:c r="N702" s="10" t="str">
        <x:v>NOT_MODELED</x:v>
      </x:c>
    </x:row>
    <x:row r="703" ht="85" customHeight="1">
      <x:c r="A703" s="10" t="str">
        <x:v>T-BASE</x:v>
      </x:c>
      <x:c r="B703" s="10" t="str">
        <x:v>TEXT</x:v>
      </x:c>
      <x:c r="C703" s="10" t="str">
        <x:v>TEXT:SYN-F12-07</x:v>
      </x:c>
      <x:c r="D703" s="10" t="str">
        <x:v>TEXT:SYN-F12-07-U02</x:v>
      </x:c>
      <x:c r="E703" s="10" t="str">
        <x:v>T-F12</x:v>
      </x:c>
      <x:c r="F703" s="10" t="n">
        <x:v>1</x:v>
      </x:c>
      <x:c r="G703" s="11" t="n">
        <x:v>2.444071</x:v>
      </x:c>
      <x:c r="H703" s="11" t="n">
        <x:v>5.702071</x:v>
      </x:c>
      <x:c r="I703" s="11" t="n">
        <x:f>H703-G703</x:f>
        <x:v>3.258</x:v>
      </x:c>
      <x:c r="J703" s="10" t="str">
        <x:v>새 질문인데 체크섬과 암호화는 목적이 어떻게 달라? 검사 자료 작업은 계속해줘.</x:v>
      </x:c>
      <x:c r="K703" s="10" t="str">
        <x:v>체크섬은 데이터 변경이나 손상을 확인하는 데 쓰이고, 암호화는 권한 없는 사람이 내용을 읽기 어렵게 만드는 데 쓰입니다.</x:v>
      </x:c>
      <x:c r="L703" s="11"/>
      <x:c r="M703" s="11"/>
      <x:c r="N703" s="10" t="str">
        <x:v>NOT_MODELED</x:v>
      </x:c>
    </x:row>
    <x:row r="704" ht="85" customHeight="1">
      <x:c r="A704" s="10" t="str">
        <x:v>T-EXEC</x:v>
      </x:c>
      <x:c r="B704" s="10" t="str">
        <x:v>TEXT</x:v>
      </x:c>
      <x:c r="C704" s="10" t="str">
        <x:v>TEXT:SYN-F12-07</x:v>
      </x:c>
      <x:c r="D704" s="10" t="str">
        <x:v>TEXT:SYN-F12-07-U01</x:v>
      </x:c>
      <x:c r="E704" s="10" t="str">
        <x:v>T-F12</x:v>
      </x:c>
      <x:c r="F704" s="10" t="n">
        <x:v>1</x:v>
      </x:c>
      <x:c r="G704" s="11" t="n">
        <x:v>0</x:v>
      </x:c>
      <x:c r="H704" s="11" t="n">
        <x:v>2.094071</x:v>
      </x:c>
      <x:c r="I704" s="11" t="n">
        <x:f>H704-G704</x:f>
        <x:v>2.094071</x:v>
      </x:c>
      <x:c r="J704" s="10" t="str">
        <x:v>납품처 품질설명회에서 설명하기 좋은 구성이라고 했던 자료로 검사 개선 발표자료를 6장 이내로 만들어줘. 샘플 검사 45분 이하, 다음 8주 기준이고 외부 발송은 하지 마.</x:v>
      </x:c>
      <x:c r="K704" s="10" t="str">
        <x:v>SYN-F12-07:D2@v1의 구성을 기준으로 납품처 품질설명회용 검사 개선 발표자료를 6장 이내로 작성하도록 준비하겠습니다.</x:v>
      </x:c>
      <x:c r="L704" s="11"/>
      <x:c r="M704" s="11"/>
      <x:c r="N704" s="10" t="str">
        <x:v>NOT_MODELED</x:v>
      </x:c>
    </x:row>
    <x:row r="705" ht="85" customHeight="1">
      <x:c r="A705" s="10" t="str">
        <x:v>T-EXEC</x:v>
      </x:c>
      <x:c r="B705" s="10" t="str">
        <x:v>TEXT</x:v>
      </x:c>
      <x:c r="C705" s="10" t="str">
        <x:v>TEXT:SYN-F12-07</x:v>
      </x:c>
      <x:c r="D705" s="10" t="str">
        <x:v>TEXT:SYN-F12-07-U02</x:v>
      </x:c>
      <x:c r="E705" s="10" t="str">
        <x:v>T-F12</x:v>
      </x:c>
      <x:c r="F705" s="10" t="n">
        <x:v>1</x:v>
      </x:c>
      <x:c r="G705" s="11" t="n">
        <x:v>2.444071</x:v>
      </x:c>
      <x:c r="H705" s="11" t="n">
        <x:v>4.081928</x:v>
      </x:c>
      <x:c r="I705" s="11" t="n">
        <x:f>H705-G705</x:f>
        <x:v>1.6378569999999995</x:v>
      </x:c>
      <x:c r="J705" s="10" t="str">
        <x:v>새 질문인데 체크섬과 암호화는 목적이 어떻게 달라? 검사 자료 작업은 계속해줘.</x:v>
      </x:c>
      <x:c r="K705" s="10" t="str">
        <x:v>체크섬은 데이터 변경이나 손상을 확인하는 데 쓰이고, 암호화는 권한 없는 사람이 내용을 읽기 어렵게 만드는 데 쓰입니다.</x:v>
      </x:c>
      <x:c r="L705" s="11"/>
      <x:c r="M705" s="11"/>
      <x:c r="N705" s="10" t="str">
        <x:v>NOT_MODELED</x:v>
      </x:c>
    </x:row>
    <x:row r="706" ht="85" customHeight="1">
      <x:c r="A706" s="10" t="str">
        <x:v>T-REL</x:v>
      </x:c>
      <x:c r="B706" s="10" t="str">
        <x:v>TEXT</x:v>
      </x:c>
      <x:c r="C706" s="10" t="str">
        <x:v>TEXT:SYN-F12-07</x:v>
      </x:c>
      <x:c r="D706" s="10" t="str">
        <x:v>TEXT:SYN-F12-07-U01</x:v>
      </x:c>
      <x:c r="E706" s="10" t="str">
        <x:v>T-F12</x:v>
      </x:c>
      <x:c r="F706" s="10" t="n">
        <x:v>1</x:v>
      </x:c>
      <x:c r="G706" s="11" t="n">
        <x:v>0</x:v>
      </x:c>
      <x:c r="H706" s="11" t="n">
        <x:v>1.289429</x:v>
      </x:c>
      <x:c r="I706" s="11" t="n">
        <x:f>H706-G706</x:f>
        <x:v>1.289429</x:v>
      </x:c>
      <x:c r="J706" s="10" t="str">
        <x:v>납품처 품질설명회에서 설명하기 좋은 구성이라고 했던 자료로 검사 개선 발표자료를 6장 이내로 만들어줘. 샘플 검사 45분 이하, 다음 8주 기준이고 외부 발송은 하지 마.</x:v>
      </x:c>
      <x:c r="K706" s="10" t="str">
        <x:v>SYN-F12-07:D2@v1의 구성을 기준으로 납품처 품질설명회용 검사 개선 발표자료를 6장 이내로 작성하도록 준비하겠습니다.</x:v>
      </x:c>
      <x:c r="L706" s="11"/>
      <x:c r="M706" s="11"/>
      <x:c r="N706" s="10" t="str">
        <x:v>NOT_MODELED</x:v>
      </x:c>
    </x:row>
    <x:row r="707" ht="85" customHeight="1">
      <x:c r="A707" s="10" t="str">
        <x:v>T-REL</x:v>
      </x:c>
      <x:c r="B707" s="10" t="str">
        <x:v>TEXT</x:v>
      </x:c>
      <x:c r="C707" s="10" t="str">
        <x:v>TEXT:SYN-F12-07</x:v>
      </x:c>
      <x:c r="D707" s="10" t="str">
        <x:v>TEXT:SYN-F12-07-U02</x:v>
      </x:c>
      <x:c r="E707" s="10" t="str">
        <x:v>T-F12</x:v>
      </x:c>
      <x:c r="F707" s="10" t="n">
        <x:v>1</x:v>
      </x:c>
      <x:c r="G707" s="11" t="n">
        <x:v>1.639429</x:v>
      </x:c>
      <x:c r="H707" s="11" t="n">
        <x:v>4.737429</x:v>
      </x:c>
      <x:c r="I707" s="11" t="n">
        <x:f>H707-G707</x:f>
        <x:v>3.098</x:v>
      </x:c>
      <x:c r="J707" s="10" t="str">
        <x:v>새 질문인데 체크섬과 암호화는 목적이 어떻게 달라? 검사 자료 작업은 계속해줘.</x:v>
      </x:c>
      <x:c r="K707" s="10" t="str">
        <x:v>체크섬은 데이터 변경이나 손상을 확인하는 데 쓰이고, 암호화는 권한 없는 사람이 내용을 읽기 어렵게 만드는 데 쓰입니다.</x:v>
      </x:c>
      <x:c r="L707" s="11"/>
      <x:c r="M707" s="11"/>
      <x:c r="N707" s="10" t="str">
        <x:v>NOT_MODELED</x:v>
      </x:c>
    </x:row>
    <x:row r="708" ht="85" customHeight="1">
      <x:c r="A708" s="10" t="str">
        <x:v>T-BASE</x:v>
      </x:c>
      <x:c r="B708" s="10" t="str">
        <x:v>TEXT</x:v>
      </x:c>
      <x:c r="C708" s="10" t="str">
        <x:v>TEXT:SYN-F12-08</x:v>
      </x:c>
      <x:c r="D708" s="10" t="str">
        <x:v>TEXT:SYN-F12-08-U01</x:v>
      </x:c>
      <x:c r="E708" s="10" t="str">
        <x:v>T-F12</x:v>
      </x:c>
      <x:c r="F708" s="10" t="n">
        <x:v>1</x:v>
      </x:c>
      <x:c r="G708" s="11" t="n">
        <x:v>0</x:v>
      </x:c>
      <x:c r="H708" s="11" t="n">
        <x:v>2.131893</x:v>
      </x:c>
      <x:c r="I708" s="11" t="n">
        <x:f>H708-G708</x:f>
        <x:v>2.131893</x:v>
      </x:c>
      <x:c r="J708" s="10" t="str">
        <x:v>지역 파트너 설명회에서 설명하기 좋은 구성이라고 했던 자료로 캠페인 계획 발표자료를 4장 이내로 만들어줘. 안내문 500자 이하, 운영 5주 기준이고 외부 발송은 하지 마.</x:v>
      </x:c>
      <x:c r="K708" s="10" t="str">
        <x:v>SYN-F12-08:D1@v1의 구성을 기준으로 지역 파트너 설명회용 캠페인 계획 발표자료를 4장 이내로 작성하도록 준비하겠습니다.</x:v>
      </x:c>
      <x:c r="L708" s="11"/>
      <x:c r="M708" s="11"/>
      <x:c r="N708" s="10" t="str">
        <x:v>NOT_MODELED</x:v>
      </x:c>
    </x:row>
    <x:row r="709" ht="85" customHeight="1">
      <x:c r="A709" s="10" t="str">
        <x:v>T-BASE</x:v>
      </x:c>
      <x:c r="B709" s="10" t="str">
        <x:v>TEXT</x:v>
      </x:c>
      <x:c r="C709" s="10" t="str">
        <x:v>TEXT:SYN-F12-08</x:v>
      </x:c>
      <x:c r="D709" s="10" t="str">
        <x:v>TEXT:SYN-F12-08-U02</x:v>
      </x:c>
      <x:c r="E709" s="10" t="str">
        <x:v>T-F12</x:v>
      </x:c>
      <x:c r="F709" s="10" t="n">
        <x:v>1</x:v>
      </x:c>
      <x:c r="G709" s="11" t="n">
        <x:v>2.481893</x:v>
      </x:c>
      <x:c r="H709" s="11" t="n">
        <x:v>5.822714</x:v>
      </x:c>
      <x:c r="I709" s="11" t="n">
        <x:f>H709-G709</x:f>
        <x:v>3.3408210000000005</x:v>
      </x:c>
      <x:c r="J709" s="10" t="str">
        <x:v>별도 질문으로 래스터 이미지와 벡터 이미지의 차이를 알려줘. 캠페인 작업은 계속해줘.</x:v>
      </x:c>
      <x:c r="K709" s="10" t="str">
        <x:v>기존 발표자료의 대상 기간 안에서만 설명하면, 래스터 이미지는 픽셀로 이루어지고, 벡터 이미지는 점과 선, 도형의 수학적 정보로 이루어집니다.</x:v>
      </x:c>
      <x:c r="L709" s="11"/>
      <x:c r="M709" s="11"/>
      <x:c r="N709" s="10" t="str">
        <x:v>NOT_MODELED</x:v>
      </x:c>
    </x:row>
    <x:row r="710" ht="85" customHeight="1">
      <x:c r="A710" s="10" t="str">
        <x:v>T-EXEC</x:v>
      </x:c>
      <x:c r="B710" s="10" t="str">
        <x:v>TEXT</x:v>
      </x:c>
      <x:c r="C710" s="10" t="str">
        <x:v>TEXT:SYN-F12-08</x:v>
      </x:c>
      <x:c r="D710" s="10" t="str">
        <x:v>TEXT:SYN-F12-08-U01</x:v>
      </x:c>
      <x:c r="E710" s="10" t="str">
        <x:v>T-F12</x:v>
      </x:c>
      <x:c r="F710" s="10" t="n">
        <x:v>1</x:v>
      </x:c>
      <x:c r="G710" s="11" t="n">
        <x:v>0</x:v>
      </x:c>
      <x:c r="H710" s="11" t="n">
        <x:v>2.131893</x:v>
      </x:c>
      <x:c r="I710" s="11" t="n">
        <x:f>H710-G710</x:f>
        <x:v>2.131893</x:v>
      </x:c>
      <x:c r="J710" s="10" t="str">
        <x:v>지역 파트너 설명회에서 설명하기 좋은 구성이라고 했던 자료로 캠페인 계획 발표자료를 4장 이내로 만들어줘. 안내문 500자 이하, 운영 5주 기준이고 외부 발송은 하지 마.</x:v>
      </x:c>
      <x:c r="K710" s="10" t="str">
        <x:v>SYN-F12-08:D1@v1의 구성을 기준으로 지역 파트너 설명회용 캠페인 계획 발표자료를 4장 이내로 작성하도록 준비하겠습니다.</x:v>
      </x:c>
      <x:c r="L710" s="11"/>
      <x:c r="M710" s="11"/>
      <x:c r="N710" s="10" t="str">
        <x:v>NOT_MODELED</x:v>
      </x:c>
    </x:row>
    <x:row r="711" ht="85" customHeight="1">
      <x:c r="A711" s="10" t="str">
        <x:v>T-EXEC</x:v>
      </x:c>
      <x:c r="B711" s="10" t="str">
        <x:v>TEXT</x:v>
      </x:c>
      <x:c r="C711" s="10" t="str">
        <x:v>TEXT:SYN-F12-08</x:v>
      </x:c>
      <x:c r="D711" s="10" t="str">
        <x:v>TEXT:SYN-F12-08-U02</x:v>
      </x:c>
      <x:c r="E711" s="10" t="str">
        <x:v>T-F12</x:v>
      </x:c>
      <x:c r="F711" s="10" t="n">
        <x:v>1</x:v>
      </x:c>
      <x:c r="G711" s="11" t="n">
        <x:v>2.481893</x:v>
      </x:c>
      <x:c r="H711" s="11" t="n">
        <x:v>4.16725</x:v>
      </x:c>
      <x:c r="I711" s="11" t="n">
        <x:f>H711-G711</x:f>
        <x:v>1.6853570000000002</x:v>
      </x:c>
      <x:c r="J711" s="10" t="str">
        <x:v>별도 질문으로 래스터 이미지와 벡터 이미지의 차이를 알려줘. 캠페인 작업은 계속해줘.</x:v>
      </x:c>
      <x:c r="K711" s="10" t="str">
        <x:v>래스터 이미지는 픽셀로 이루어지고, 벡터 이미지는 점과 선, 도형의 수학적 정보로 이루어집니다.</x:v>
      </x:c>
      <x:c r="L711" s="11"/>
      <x:c r="M711" s="11"/>
      <x:c r="N711" s="10" t="str">
        <x:v>NOT_MODELED</x:v>
      </x:c>
    </x:row>
    <x:row r="712" ht="85" customHeight="1">
      <x:c r="A712" s="10" t="str">
        <x:v>T-REL</x:v>
      </x:c>
      <x:c r="B712" s="10" t="str">
        <x:v>TEXT</x:v>
      </x:c>
      <x:c r="C712" s="10" t="str">
        <x:v>TEXT:SYN-F12-08</x:v>
      </x:c>
      <x:c r="D712" s="10" t="str">
        <x:v>TEXT:SYN-F12-08-U01</x:v>
      </x:c>
      <x:c r="E712" s="10" t="str">
        <x:v>T-F12</x:v>
      </x:c>
      <x:c r="F712" s="10" t="n">
        <x:v>1</x:v>
      </x:c>
      <x:c r="G712" s="11" t="n">
        <x:v>0</x:v>
      </x:c>
      <x:c r="H712" s="11" t="n">
        <x:v>1.30225</x:v>
      </x:c>
      <x:c r="I712" s="11" t="n">
        <x:f>H712-G712</x:f>
        <x:v>1.30225</x:v>
      </x:c>
      <x:c r="J712" s="10" t="str">
        <x:v>지역 파트너 설명회에서 설명하기 좋은 구성이라고 했던 자료로 캠페인 계획 발표자료를 4장 이내로 만들어줘. 안내문 500자 이하, 운영 5주 기준이고 외부 발송은 하지 마.</x:v>
      </x:c>
      <x:c r="K712" s="10" t="str">
        <x:v>SYN-F12-08:D1@v1의 구성을 기준으로 지역 파트너 설명회용 캠페인 계획 발표자료를 4장 이내로 작성하도록 준비하겠습니다.</x:v>
      </x:c>
      <x:c r="L712" s="11"/>
      <x:c r="M712" s="11"/>
      <x:c r="N712" s="10" t="str">
        <x:v>NOT_MODELED</x:v>
      </x:c>
    </x:row>
    <x:row r="713" ht="85" customHeight="1">
      <x:c r="A713" s="10" t="str">
        <x:v>T-REL</x:v>
      </x:c>
      <x:c r="B713" s="10" t="str">
        <x:v>TEXT</x:v>
      </x:c>
      <x:c r="C713" s="10" t="str">
        <x:v>TEXT:SYN-F12-08</x:v>
      </x:c>
      <x:c r="D713" s="10" t="str">
        <x:v>TEXT:SYN-F12-08-U02</x:v>
      </x:c>
      <x:c r="E713" s="10" t="str">
        <x:v>T-F12</x:v>
      </x:c>
      <x:c r="F713" s="10" t="n">
        <x:v>1</x:v>
      </x:c>
      <x:c r="G713" s="11" t="n">
        <x:v>1.65225</x:v>
      </x:c>
      <x:c r="H713" s="11" t="n">
        <x:v>4.808071</x:v>
      </x:c>
      <x:c r="I713" s="11" t="n">
        <x:f>H713-G713</x:f>
        <x:v>3.155821</x:v>
      </x:c>
      <x:c r="J713" s="10" t="str">
        <x:v>별도 질문으로 래스터 이미지와 벡터 이미지의 차이를 알려줘. 캠페인 작업은 계속해줘.</x:v>
      </x:c>
      <x:c r="K713" s="10" t="str">
        <x:v>기존 발표자료의 대상 기간 안에서만 설명하면, 래스터 이미지는 픽셀로 이루어지고, 벡터 이미지는 점과 선, 도형의 수학적 정보로 이루어집니다.</x:v>
      </x:c>
      <x:c r="L713" s="11"/>
      <x:c r="M713" s="11"/>
      <x:c r="N713" s="10" t="str">
        <x:v>NOT_MODELED</x:v>
      </x:c>
    </x:row>
    <x:row r="714" ht="85" customHeight="1">
      <x:c r="A714" s="10" t="str">
        <x:v>T-BASE</x:v>
      </x:c>
      <x:c r="B714" s="10" t="str">
        <x:v>TEXT</x:v>
      </x:c>
      <x:c r="C714" s="10" t="str">
        <x:v>TEXT:SYN-F12-09</x:v>
      </x:c>
      <x:c r="D714" s="10" t="str">
        <x:v>TEXT:SYN-F12-09-U01</x:v>
      </x:c>
      <x:c r="E714" s="10" t="str">
        <x:v>T-F12</x:v>
      </x:c>
      <x:c r="F714" s="10" t="n">
        <x:v>1</x:v>
      </x:c>
      <x:c r="G714" s="11" t="n">
        <x:v>0</x:v>
      </x:c>
      <x:c r="H714" s="11" t="n">
        <x:v>2.144714</x:v>
      </x:c>
      <x:c r="I714" s="11" t="n">
        <x:f>H714-G714</x:f>
        <x:v>2.144714</x:v>
      </x:c>
      <x:c r="J714" s="10" t="str">
        <x:v>배송 협력사 설명회에서 설명하기 좋은 구성이라고 했던 자료로 배치 변경 발표자료를 7장 이내로 만들어줘. 주문당 이동 180m 이하, 적용 후 4주 기준이고 외부 발송은 하지 마.</x:v>
      </x:c>
      <x:c r="K714" s="10" t="str">
        <x:v>SYN-F12-09:D3@v1의 구성을 기준으로 배송 협력사 설명회용 배치 변경 발표자료를 7장 이내로 작성하도록 준비하겠습니다.</x:v>
      </x:c>
      <x:c r="L714" s="11"/>
      <x:c r="M714" s="11"/>
      <x:c r="N714" s="10" t="str">
        <x:v>NOT_MODELED</x:v>
      </x:c>
    </x:row>
    <x:row r="715" ht="85" customHeight="1">
      <x:c r="A715" s="10" t="str">
        <x:v>T-BASE</x:v>
      </x:c>
      <x:c r="B715" s="10" t="str">
        <x:v>TEXT</x:v>
      </x:c>
      <x:c r="C715" s="10" t="str">
        <x:v>TEXT:SYN-F12-09</x:v>
      </x:c>
      <x:c r="D715" s="10" t="str">
        <x:v>TEXT:SYN-F12-09-U02</x:v>
      </x:c>
      <x:c r="E715" s="10" t="str">
        <x:v>T-F12</x:v>
      </x:c>
      <x:c r="F715" s="10" t="n">
        <x:v>1</x:v>
      </x:c>
      <x:c r="G715" s="11" t="n">
        <x:v>2.494714</x:v>
      </x:c>
      <x:c r="H715" s="11" t="n">
        <x:v>5.893357</x:v>
      </x:c>
      <x:c r="I715" s="11" t="n">
        <x:f>H715-G715</x:f>
        <x:v>3.398643</x:v>
      </x:c>
      <x:c r="J715" s="10" t="str">
        <x:v>작업은 계속하고 질문 하나만 답해줘. 스택과 큐에서 먼저 꺼내는 항목은 어떻게 달라?</x:v>
      </x:c>
      <x:c r="K715" s="10" t="str">
        <x:v>스택은 가장 나중에 넣은 항목을 먼저 꺼내고, 큐는 가장 먼저 넣은 항목을 먼저 꺼냅니다.</x:v>
      </x:c>
      <x:c r="L715" s="11"/>
      <x:c r="M715" s="11"/>
      <x:c r="N715" s="10" t="str">
        <x:v>NOT_MODELED</x:v>
      </x:c>
    </x:row>
    <x:row r="716" ht="85" customHeight="1">
      <x:c r="A716" s="10" t="str">
        <x:v>T-EXEC</x:v>
      </x:c>
      <x:c r="B716" s="10" t="str">
        <x:v>TEXT</x:v>
      </x:c>
      <x:c r="C716" s="10" t="str">
        <x:v>TEXT:SYN-F12-09</x:v>
      </x:c>
      <x:c r="D716" s="10" t="str">
        <x:v>TEXT:SYN-F12-09-U01</x:v>
      </x:c>
      <x:c r="E716" s="10" t="str">
        <x:v>T-F12</x:v>
      </x:c>
      <x:c r="F716" s="10" t="n">
        <x:v>1</x:v>
      </x:c>
      <x:c r="G716" s="11" t="n">
        <x:v>0</x:v>
      </x:c>
      <x:c r="H716" s="11" t="n">
        <x:v>2.144714</x:v>
      </x:c>
      <x:c r="I716" s="11" t="n">
        <x:f>H716-G716</x:f>
        <x:v>2.144714</x:v>
      </x:c>
      <x:c r="J716" s="10" t="str">
        <x:v>배송 협력사 설명회에서 설명하기 좋은 구성이라고 했던 자료로 배치 변경 발표자료를 7장 이내로 만들어줘. 주문당 이동 180m 이하, 적용 후 4주 기준이고 외부 발송은 하지 마.</x:v>
      </x:c>
      <x:c r="K716" s="10" t="str">
        <x:v>SYN-F12-09:D3@v1의 구성을 기준으로 배송 협력사 설명회용 배치 변경 발표자료를 7장 이내로 작성하도록 준비하겠습니다.</x:v>
      </x:c>
      <x:c r="L716" s="11"/>
      <x:c r="M716" s="11"/>
      <x:c r="N716" s="10" t="str">
        <x:v>NOT_MODELED</x:v>
      </x:c>
    </x:row>
    <x:row r="717" ht="85" customHeight="1">
      <x:c r="A717" s="10" t="str">
        <x:v>T-EXEC</x:v>
      </x:c>
      <x:c r="B717" s="10" t="str">
        <x:v>TEXT</x:v>
      </x:c>
      <x:c r="C717" s="10" t="str">
        <x:v>TEXT:SYN-F12-09</x:v>
      </x:c>
      <x:c r="D717" s="10" t="str">
        <x:v>TEXT:SYN-F12-09-U02</x:v>
      </x:c>
      <x:c r="E717" s="10" t="str">
        <x:v>T-F12</x:v>
      </x:c>
      <x:c r="F717" s="10" t="n">
        <x:v>1</x:v>
      </x:c>
      <x:c r="G717" s="11" t="n">
        <x:v>2.494714</x:v>
      </x:c>
      <x:c r="H717" s="11" t="n">
        <x:v>4.202572</x:v>
      </x:c>
      <x:c r="I717" s="11" t="n">
        <x:f>H717-G717</x:f>
        <x:v>1.7078579999999999</x:v>
      </x:c>
      <x:c r="J717" s="10" t="str">
        <x:v>작업은 계속하고 질문 하나만 답해줘. 스택과 큐에서 먼저 꺼내는 항목은 어떻게 달라?</x:v>
      </x:c>
      <x:c r="K717" s="10" t="str">
        <x:v>스택은 가장 나중에 넣은 항목을 먼저 꺼내고, 큐는 가장 먼저 넣은 항목을 먼저 꺼냅니다.</x:v>
      </x:c>
      <x:c r="L717" s="11"/>
      <x:c r="M717" s="11"/>
      <x:c r="N717" s="10" t="str">
        <x:v>NOT_MODELED</x:v>
      </x:c>
    </x:row>
    <x:row r="718" ht="85" customHeight="1">
      <x:c r="A718" s="10" t="str">
        <x:v>T-REL</x:v>
      </x:c>
      <x:c r="B718" s="10" t="str">
        <x:v>TEXT</x:v>
      </x:c>
      <x:c r="C718" s="10" t="str">
        <x:v>TEXT:SYN-F12-09</x:v>
      </x:c>
      <x:c r="D718" s="10" t="str">
        <x:v>TEXT:SYN-F12-09-U01</x:v>
      </x:c>
      <x:c r="E718" s="10" t="str">
        <x:v>T-F12</x:v>
      </x:c>
      <x:c r="F718" s="10" t="n">
        <x:v>1</x:v>
      </x:c>
      <x:c r="G718" s="11" t="n">
        <x:v>0</x:v>
      </x:c>
      <x:c r="H718" s="11" t="n">
        <x:v>1.290071</x:v>
      </x:c>
      <x:c r="I718" s="11" t="n">
        <x:f>H718-G718</x:f>
        <x:v>1.290071</x:v>
      </x:c>
      <x:c r="J718" s="10" t="str">
        <x:v>배송 협력사 설명회에서 설명하기 좋은 구성이라고 했던 자료로 배치 변경 발표자료를 7장 이내로 만들어줘. 주문당 이동 180m 이하, 적용 후 4주 기준이고 외부 발송은 하지 마.</x:v>
      </x:c>
      <x:c r="K718" s="10" t="str">
        <x:v>SYN-F12-09:D3@v1의 구성을 기준으로 배송 협력사 설명회용 배치 변경 발표자료를 7장 이내로 작성하도록 준비하겠습니다.</x:v>
      </x:c>
      <x:c r="L718" s="11"/>
      <x:c r="M718" s="11"/>
      <x:c r="N718" s="10" t="str">
        <x:v>NOT_MODELED</x:v>
      </x:c>
    </x:row>
    <x:row r="719" ht="85" customHeight="1">
      <x:c r="A719" s="10" t="str">
        <x:v>T-REL</x:v>
      </x:c>
      <x:c r="B719" s="10" t="str">
        <x:v>TEXT</x:v>
      </x:c>
      <x:c r="C719" s="10" t="str">
        <x:v>TEXT:SYN-F12-09</x:v>
      </x:c>
      <x:c r="D719" s="10" t="str">
        <x:v>TEXT:SYN-F12-09-U02</x:v>
      </x:c>
      <x:c r="E719" s="10" t="str">
        <x:v>T-F12</x:v>
      </x:c>
      <x:c r="F719" s="10" t="n">
        <x:v>1</x:v>
      </x:c>
      <x:c r="G719" s="11" t="n">
        <x:v>1.640071</x:v>
      </x:c>
      <x:c r="H719" s="11" t="n">
        <x:v>4.828714</x:v>
      </x:c>
      <x:c r="I719" s="11" t="n">
        <x:f>H719-G719</x:f>
        <x:v>3.188643</x:v>
      </x:c>
      <x:c r="J719" s="10" t="str">
        <x:v>작업은 계속하고 질문 하나만 답해줘. 스택과 큐에서 먼저 꺼내는 항목은 어떻게 달라?</x:v>
      </x:c>
      <x:c r="K719" s="10" t="str">
        <x:v>스택은 가장 나중에 넣은 항목을 먼저 꺼내고, 큐는 가장 먼저 넣은 항목을 먼저 꺼냅니다.</x:v>
      </x:c>
      <x:c r="L719" s="11"/>
      <x:c r="M719" s="11"/>
      <x:c r="N719" s="10" t="str">
        <x:v>NOT_MODELED</x:v>
      </x:c>
    </x:row>
    <x:row r="720" ht="85" customHeight="1">
      <x:c r="A720" s="10" t="str">
        <x:v>T-BASE</x:v>
      </x:c>
      <x:c r="B720" s="10" t="str">
        <x:v>TEXT</x:v>
      </x:c>
      <x:c r="C720" s="10" t="str">
        <x:v>TEXT:SYN-F12-10</x:v>
      </x:c>
      <x:c r="D720" s="10" t="str">
        <x:v>TEXT:SYN-F12-10-U01</x:v>
      </x:c>
      <x:c r="E720" s="10" t="str">
        <x:v>T-F12</x:v>
      </x:c>
      <x:c r="F720" s="10" t="n">
        <x:v>1</x:v>
      </x:c>
      <x:c r="G720" s="11" t="n">
        <x:v>0</x:v>
      </x:c>
      <x:c r="H720" s="11" t="n">
        <x:v>2.107536</x:v>
      </x:c>
      <x:c r="I720" s="11" t="n">
        <x:f>H720-G720</x:f>
        <x:v>2.107536</x:v>
      </x:c>
      <x:c r="J720" s="10" t="str">
        <x:v>부서대표 설명회에서 설명하기 좋은 구성이라고 했던 자료로 포털 개선 발표자료를 5장 이내로 만들어줘. 첫 화면 메뉴 9개 이하, 출시 후 2개월 기준이고 외부 발송은 하지 마.</x:v>
      </x:c>
      <x:c r="K720" s="10" t="str">
        <x:v>SYN-F12-10:D2@v1의 구성을 기준으로 부서대표 설명회용 포털 개선 발표자료를 5장 이내로 작성하도록 준비하겠습니다.</x:v>
      </x:c>
      <x:c r="L720" s="11"/>
      <x:c r="M720" s="11"/>
      <x:c r="N720" s="10" t="str">
        <x:v>NOT_MODELED</x:v>
      </x:c>
    </x:row>
    <x:row r="721" ht="85" customHeight="1">
      <x:c r="A721" s="10" t="str">
        <x:v>T-BASE</x:v>
      </x:c>
      <x:c r="B721" s="10" t="str">
        <x:v>TEXT</x:v>
      </x:c>
      <x:c r="C721" s="10" t="str">
        <x:v>TEXT:SYN-F12-10</x:v>
      </x:c>
      <x:c r="D721" s="10" t="str">
        <x:v>TEXT:SYN-F12-10-U02</x:v>
      </x:c>
      <x:c r="E721" s="10" t="str">
        <x:v>T-F12</x:v>
      </x:c>
      <x:c r="F721" s="10" t="n">
        <x:v>1</x:v>
      </x:c>
      <x:c r="G721" s="11" t="n">
        <x:v>2.457536</x:v>
      </x:c>
      <x:c r="H721" s="11" t="n">
        <x:v>5.864</x:v>
      </x:c>
      <x:c r="I721" s="11" t="n">
        <x:f>H721-G721</x:f>
        <x:v>3.4064639999999997</x:v>
      </x:c>
      <x:c r="J721" s="10" t="str">
        <x:v>포털 작업과 무관한 질문이야. UTF-8에서 모든 문자가 같은 바이트 수를 쓰는지 알려줘. 기존 작업은 계속해줘.</x:v>
      </x:c>
      <x:c r="K721" s="10" t="str">
        <x:v>UTF-8은 가변 길이 인코딩이므로 모든 문자가 같은 바이트 수를 쓰지 않으며, 한 문자를 1~4바이트로 표현합니다.</x:v>
      </x:c>
      <x:c r="L721" s="11"/>
      <x:c r="M721" s="11"/>
      <x:c r="N721" s="10" t="str">
        <x:v>NOT_MODELED</x:v>
      </x:c>
    </x:row>
    <x:row r="722" ht="85" customHeight="1">
      <x:c r="A722" s="10" t="str">
        <x:v>T-EXEC</x:v>
      </x:c>
      <x:c r="B722" s="10" t="str">
        <x:v>TEXT</x:v>
      </x:c>
      <x:c r="C722" s="10" t="str">
        <x:v>TEXT:SYN-F12-10</x:v>
      </x:c>
      <x:c r="D722" s="10" t="str">
        <x:v>TEXT:SYN-F12-10-U01</x:v>
      </x:c>
      <x:c r="E722" s="10" t="str">
        <x:v>T-F12</x:v>
      </x:c>
      <x:c r="F722" s="10" t="n">
        <x:v>1</x:v>
      </x:c>
      <x:c r="G722" s="11" t="n">
        <x:v>0</x:v>
      </x:c>
      <x:c r="H722" s="11" t="n">
        <x:v>2.107536</x:v>
      </x:c>
      <x:c r="I722" s="11" t="n">
        <x:f>H722-G722</x:f>
        <x:v>2.107536</x:v>
      </x:c>
      <x:c r="J722" s="10" t="str">
        <x:v>부서대표 설명회에서 설명하기 좋은 구성이라고 했던 자료로 포털 개선 발표자료를 5장 이내로 만들어줘. 첫 화면 메뉴 9개 이하, 출시 후 2개월 기준이고 외부 발송은 하지 마.</x:v>
      </x:c>
      <x:c r="K722" s="10" t="str">
        <x:v>SYN-F12-10:D2@v1의 구성을 기준으로 부서대표 설명회용 포털 개선 발표자료를 5장 이내로 작성하도록 준비하겠습니다.</x:v>
      </x:c>
      <x:c r="L722" s="11"/>
      <x:c r="M722" s="11"/>
      <x:c r="N722" s="10" t="str">
        <x:v>NOT_MODELED</x:v>
      </x:c>
    </x:row>
    <x:row r="723" ht="85" customHeight="1">
      <x:c r="A723" s="10" t="str">
        <x:v>T-EXEC</x:v>
      </x:c>
      <x:c r="B723" s="10" t="str">
        <x:v>TEXT</x:v>
      </x:c>
      <x:c r="C723" s="10" t="str">
        <x:v>TEXT:SYN-F12-10</x:v>
      </x:c>
      <x:c r="D723" s="10" t="str">
        <x:v>TEXT:SYN-F12-10-U02</x:v>
      </x:c>
      <x:c r="E723" s="10" t="str">
        <x:v>T-F12</x:v>
      </x:c>
      <x:c r="F723" s="10" t="n">
        <x:v>1</x:v>
      </x:c>
      <x:c r="G723" s="11" t="n">
        <x:v>2.457536</x:v>
      </x:c>
      <x:c r="H723" s="11" t="n">
        <x:v>4.119143</x:v>
      </x:c>
      <x:c r="I723" s="11" t="n">
        <x:f>H723-G723</x:f>
        <x:v>1.661607</x:v>
      </x:c>
      <x:c r="J723" s="10" t="str">
        <x:v>포털 작업과 무관한 질문이야. UTF-8에서 모든 문자가 같은 바이트 수를 쓰는지 알려줘. 기존 작업은 계속해줘.</x:v>
      </x:c>
      <x:c r="K723" s="10" t="str">
        <x:v>UTF-8은 가변 길이 인코딩이므로 모든 문자가 같은 바이트 수를 쓰지 않으며, 한 문자를 1~4바이트로 표현합니다.</x:v>
      </x:c>
      <x:c r="L723" s="11"/>
      <x:c r="M723" s="11"/>
      <x:c r="N723" s="10" t="str">
        <x:v>NOT_MODELED</x:v>
      </x:c>
    </x:row>
    <x:row r="724" ht="85" customHeight="1">
      <x:c r="A724" s="10" t="str">
        <x:v>T-REL</x:v>
      </x:c>
      <x:c r="B724" s="10" t="str">
        <x:v>TEXT</x:v>
      </x:c>
      <x:c r="C724" s="10" t="str">
        <x:v>TEXT:SYN-F12-10</x:v>
      </x:c>
      <x:c r="D724" s="10" t="str">
        <x:v>TEXT:SYN-F12-10-U01</x:v>
      </x:c>
      <x:c r="E724" s="10" t="str">
        <x:v>T-F12</x:v>
      </x:c>
      <x:c r="F724" s="10" t="n">
        <x:v>1</x:v>
      </x:c>
      <x:c r="G724" s="11" t="n">
        <x:v>0</x:v>
      </x:c>
      <x:c r="H724" s="11" t="n">
        <x:v>1.302893</x:v>
      </x:c>
      <x:c r="I724" s="11" t="n">
        <x:f>H724-G724</x:f>
        <x:v>1.302893</x:v>
      </x:c>
      <x:c r="J724" s="10" t="str">
        <x:v>부서대표 설명회에서 설명하기 좋은 구성이라고 했던 자료로 포털 개선 발표자료를 5장 이내로 만들어줘. 첫 화면 메뉴 9개 이하, 출시 후 2개월 기준이고 외부 발송은 하지 마.</x:v>
      </x:c>
      <x:c r="K724" s="10" t="str">
        <x:v>SYN-F12-10:D2@v1의 구성을 기준으로 부서대표 설명회용 포털 개선 발표자료를 5장 이내로 작성하도록 준비하겠습니다.</x:v>
      </x:c>
      <x:c r="L724" s="11"/>
      <x:c r="M724" s="11"/>
      <x:c r="N724" s="10" t="str">
        <x:v>NOT_MODELED</x:v>
      </x:c>
    </x:row>
    <x:row r="725" ht="85" customHeight="1">
      <x:c r="A725" s="10" t="str">
        <x:v>T-REL</x:v>
      </x:c>
      <x:c r="B725" s="10" t="str">
        <x:v>TEXT</x:v>
      </x:c>
      <x:c r="C725" s="10" t="str">
        <x:v>TEXT:SYN-F12-10</x:v>
      </x:c>
      <x:c r="D725" s="10" t="str">
        <x:v>TEXT:SYN-F12-10-U02</x:v>
      </x:c>
      <x:c r="E725" s="10" t="str">
        <x:v>T-F12</x:v>
      </x:c>
      <x:c r="F725" s="10" t="n">
        <x:v>1</x:v>
      </x:c>
      <x:c r="G725" s="11" t="n">
        <x:v>1.652893</x:v>
      </x:c>
      <x:c r="H725" s="11" t="n">
        <x:v>4.899357</x:v>
      </x:c>
      <x:c r="I725" s="11" t="n">
        <x:f>H725-G725</x:f>
        <x:v>3.2464640000000005</x:v>
      </x:c>
      <x:c r="J725" s="10" t="str">
        <x:v>포털 작업과 무관한 질문이야. UTF-8에서 모든 문자가 같은 바이트 수를 쓰는지 알려줘. 기존 작업은 계속해줘.</x:v>
      </x:c>
      <x:c r="K725" s="10" t="str">
        <x:v>UTF-8은 가변 길이 인코딩이므로 모든 문자가 같은 바이트 수를 쓰지 않으며, 한 문자를 1~4바이트로 표현합니다.</x:v>
      </x:c>
      <x:c r="L725" s="11"/>
      <x:c r="M725" s="11"/>
      <x:c r="N725" s="10" t="str">
        <x:v>NOT_MODELED</x:v>
      </x:c>
    </x:row>
    <x:row r="726" ht="85" customHeight="1">
      <x:c r="A726" s="10" t="str">
        <x:v>V-A</x:v>
      </x:c>
      <x:c r="B726" s="10" t="str">
        <x:v>VOICE</x:v>
      </x:c>
      <x:c r="C726" s="10" t="str">
        <x:v>VOICE:S1-01</x:v>
      </x:c>
      <x:c r="D726" s="10" t="str">
        <x:v>VOICE:S1-01:input</x:v>
      </x:c>
      <x:c r="E726" s="10" t="str">
        <x:v>V-S1</x:v>
      </x:c>
      <x:c r="F726" s="10" t="n">
        <x:v>1</x:v>
      </x:c>
      <x:c r="G726" s="11" t="n">
        <x:v>0</x:v>
      </x:c>
      <x:c r="H726" s="11" t="n">
        <x:v>2.3000000000000003</x:v>
      </x:c>
      <x:c r="I726" s="11" t="n">
        <x:f>H726-G726</x:f>
        <x:v>2.3000000000000003</x:v>
      </x:c>
      <x:c r="J726" s="10" t="str">
        <x:v>지금 선택한 이 두 견적을 설치비는 제외하고 비교표로 만들어줘.</x:v>
      </x:c>
      <x:c r="K726" s="10" t="str">
        <x:v>quote-L, quote-R의 설치비를 제외해 비교표 작성을 맡기겠습니다.</x:v>
      </x:c>
      <x:c r="L726" s="11"/>
      <x:c r="M726" s="11"/>
      <x:c r="N726" s="10" t="str">
        <x:v>NOT_MODELED</x:v>
      </x:c>
    </x:row>
    <x:row r="727" ht="85" customHeight="1">
      <x:c r="A727" s="10" t="str">
        <x:v>V-R1</x:v>
      </x:c>
      <x:c r="B727" s="10" t="str">
        <x:v>VOICE</x:v>
      </x:c>
      <x:c r="C727" s="10" t="str">
        <x:v>VOICE:S1-01</x:v>
      </x:c>
      <x:c r="D727" s="10" t="str">
        <x:v>VOICE:S1-01:input</x:v>
      </x:c>
      <x:c r="E727" s="10" t="str">
        <x:v>V-S1</x:v>
      </x:c>
      <x:c r="F727" s="10" t="n">
        <x:v>1</x:v>
      </x:c>
      <x:c r="G727" s="11" t="n">
        <x:v>0</x:v>
      </x:c>
      <x:c r="H727" s="11" t="n">
        <x:v>2.3000000000000003</x:v>
      </x:c>
      <x:c r="I727" s="11" t="n">
        <x:f>H727-G727</x:f>
        <x:v>2.3000000000000003</x:v>
      </x:c>
      <x:c r="J727" s="10" t="str">
        <x:v>지금 선택한 이 두 견적을 설치비는 제외하고 비교표로 만들어줘.</x:v>
      </x:c>
      <x:c r="K727" s="10" t="str">
        <x:v>quote-L, quote-R의 설치비를 제외해 비교표 작성을 맡기겠습니다.</x:v>
      </x:c>
      <x:c r="L727" s="11"/>
      <x:c r="M727" s="11"/>
      <x:c r="N727" s="10" t="str">
        <x:v>NOT_MODELED</x:v>
      </x:c>
    </x:row>
    <x:row r="728" ht="85" customHeight="1">
      <x:c r="A728" s="10" t="str">
        <x:v>V-R2</x:v>
      </x:c>
      <x:c r="B728" s="10" t="str">
        <x:v>VOICE</x:v>
      </x:c>
      <x:c r="C728" s="10" t="str">
        <x:v>VOICE:S1-01</x:v>
      </x:c>
      <x:c r="D728" s="10" t="str">
        <x:v>VOICE:S1-01:input</x:v>
      </x:c>
      <x:c r="E728" s="10" t="str">
        <x:v>V-S1</x:v>
      </x:c>
      <x:c r="F728" s="10" t="n">
        <x:v>1</x:v>
      </x:c>
      <x:c r="G728" s="11" t="n">
        <x:v>0</x:v>
      </x:c>
      <x:c r="H728" s="11" t="n">
        <x:v>2.3000000000000003</x:v>
      </x:c>
      <x:c r="I728" s="11" t="n">
        <x:f>H728-G728</x:f>
        <x:v>2.3000000000000003</x:v>
      </x:c>
      <x:c r="J728" s="10" t="str">
        <x:v>지금 선택한 이 두 견적을 설치비는 제외하고 비교표로 만들어줘.</x:v>
      </x:c>
      <x:c r="K728" s="10" t="str">
        <x:v>quote-L, quote-R의 설치비를 제외해 비교표 작성을 맡기겠습니다.</x:v>
      </x:c>
      <x:c r="L728" s="11"/>
      <x:c r="M728" s="11"/>
      <x:c r="N728" s="10" t="str">
        <x:v>NOT_MODELED</x:v>
      </x:c>
    </x:row>
    <x:row r="729" ht="85" customHeight="1">
      <x:c r="A729" s="10" t="str">
        <x:v>V-R3</x:v>
      </x:c>
      <x:c r="B729" s="10" t="str">
        <x:v>VOICE</x:v>
      </x:c>
      <x:c r="C729" s="10" t="str">
        <x:v>VOICE:S1-01</x:v>
      </x:c>
      <x:c r="D729" s="10" t="str">
        <x:v>VOICE:S1-01:input</x:v>
      </x:c>
      <x:c r="E729" s="10" t="str">
        <x:v>V-S1</x:v>
      </x:c>
      <x:c r="F729" s="10" t="n">
        <x:v>1</x:v>
      </x:c>
      <x:c r="G729" s="11" t="n">
        <x:v>0</x:v>
      </x:c>
      <x:c r="H729" s="11" t="n">
        <x:v>2.3000000000000003</x:v>
      </x:c>
      <x:c r="I729" s="11" t="n">
        <x:f>H729-G729</x:f>
        <x:v>2.3000000000000003</x:v>
      </x:c>
      <x:c r="J729" s="10" t="str">
        <x:v>지금 선택한 이 두 견적을 설치비는 제외하고 비교표로 만들어줘.</x:v>
      </x:c>
      <x:c r="K729" s="10" t="str">
        <x:v>quote-L, quote-R의 설치비를 제외해 비교표 작성을 맡기겠습니다.</x:v>
      </x:c>
      <x:c r="L729" s="11"/>
      <x:c r="M729" s="11"/>
      <x:c r="N729" s="10" t="str">
        <x:v>NOT_MODELED</x:v>
      </x:c>
    </x:row>
    <x:row r="730" ht="85" customHeight="1">
      <x:c r="A730" s="10" t="str">
        <x:v>V-A</x:v>
      </x:c>
      <x:c r="B730" s="10" t="str">
        <x:v>VOICE</x:v>
      </x:c>
      <x:c r="C730" s="10" t="str">
        <x:v>VOICE:S1-02</x:v>
      </x:c>
      <x:c r="D730" s="10" t="str">
        <x:v>VOICE:S1-02:input</x:v>
      </x:c>
      <x:c r="E730" s="10" t="str">
        <x:v>V-S1</x:v>
      </x:c>
      <x:c r="F730" s="10" t="n">
        <x:v>1</x:v>
      </x:c>
      <x:c r="G730" s="11" t="n">
        <x:v>0</x:v>
      </x:c>
      <x:c r="H730" s="11" t="n">
        <x:v>2.3000000000000003</x:v>
      </x:c>
      <x:c r="I730" s="11" t="n">
        <x:f>H730-G730</x:f>
        <x:v>2.3000000000000003</x:v>
      </x:c>
      <x:c r="J730" s="10" t="str">
        <x:v>지금 선택한 이 두 견적을 설치비는 제외하고 비교표로 만들어줘.</x:v>
      </x:c>
      <x:c r="K730" s="10" t="str">
        <x:v>quote-L, quote-R의 설치비를 제외해 비교표 작성을 맡기겠습니다.</x:v>
      </x:c>
      <x:c r="L730" s="11"/>
      <x:c r="M730" s="11"/>
      <x:c r="N730" s="10" t="str">
        <x:v>NOT_MODELED</x:v>
      </x:c>
    </x:row>
    <x:row r="731" ht="85" customHeight="1">
      <x:c r="A731" s="10" t="str">
        <x:v>V-R1</x:v>
      </x:c>
      <x:c r="B731" s="10" t="str">
        <x:v>VOICE</x:v>
      </x:c>
      <x:c r="C731" s="10" t="str">
        <x:v>VOICE:S1-02</x:v>
      </x:c>
      <x:c r="D731" s="10" t="str">
        <x:v>VOICE:S1-02:input</x:v>
      </x:c>
      <x:c r="E731" s="10" t="str">
        <x:v>V-S1</x:v>
      </x:c>
      <x:c r="F731" s="10" t="n">
        <x:v>1</x:v>
      </x:c>
      <x:c r="G731" s="11" t="n">
        <x:v>0</x:v>
      </x:c>
      <x:c r="H731" s="11" t="n">
        <x:v>2.3000000000000003</x:v>
      </x:c>
      <x:c r="I731" s="11" t="n">
        <x:f>H731-G731</x:f>
        <x:v>2.3000000000000003</x:v>
      </x:c>
      <x:c r="J731" s="10" t="str">
        <x:v>지금 선택한 이 두 견적을 설치비는 제외하고 비교표로 만들어줘.</x:v>
      </x:c>
      <x:c r="K731" s="10" t="str">
        <x:v>quote-L, quote-R의 설치비를 제외해 비교표 작성을 맡기겠습니다.</x:v>
      </x:c>
      <x:c r="L731" s="11"/>
      <x:c r="M731" s="11"/>
      <x:c r="N731" s="10" t="str">
        <x:v>NOT_MODELED</x:v>
      </x:c>
    </x:row>
    <x:row r="732" ht="85" customHeight="1">
      <x:c r="A732" s="10" t="str">
        <x:v>V-R2</x:v>
      </x:c>
      <x:c r="B732" s="10" t="str">
        <x:v>VOICE</x:v>
      </x:c>
      <x:c r="C732" s="10" t="str">
        <x:v>VOICE:S1-02</x:v>
      </x:c>
      <x:c r="D732" s="10" t="str">
        <x:v>VOICE:S1-02:input</x:v>
      </x:c>
      <x:c r="E732" s="10" t="str">
        <x:v>V-S1</x:v>
      </x:c>
      <x:c r="F732" s="10" t="n">
        <x:v>1</x:v>
      </x:c>
      <x:c r="G732" s="11" t="n">
        <x:v>0</x:v>
      </x:c>
      <x:c r="H732" s="11" t="n">
        <x:v>2.3000000000000003</x:v>
      </x:c>
      <x:c r="I732" s="11" t="n">
        <x:f>H732-G732</x:f>
        <x:v>2.3000000000000003</x:v>
      </x:c>
      <x:c r="J732" s="10" t="str">
        <x:v>지금 선택한 이 두 견적을 설치비는 제외하고 비교표로 만들어줘.</x:v>
      </x:c>
      <x:c r="K732" s="10" t="str">
        <x:v>quote-L, quote-R의 설치비를 제외해 비교표 작성을 맡기겠습니다.</x:v>
      </x:c>
      <x:c r="L732" s="11"/>
      <x:c r="M732" s="11"/>
      <x:c r="N732" s="10" t="str">
        <x:v>NOT_MODELED</x:v>
      </x:c>
    </x:row>
    <x:row r="733" ht="85" customHeight="1">
      <x:c r="A733" s="10" t="str">
        <x:v>V-R3</x:v>
      </x:c>
      <x:c r="B733" s="10" t="str">
        <x:v>VOICE</x:v>
      </x:c>
      <x:c r="C733" s="10" t="str">
        <x:v>VOICE:S1-02</x:v>
      </x:c>
      <x:c r="D733" s="10" t="str">
        <x:v>VOICE:S1-02:input</x:v>
      </x:c>
      <x:c r="E733" s="10" t="str">
        <x:v>V-S1</x:v>
      </x:c>
      <x:c r="F733" s="10" t="n">
        <x:v>1</x:v>
      </x:c>
      <x:c r="G733" s="11" t="n">
        <x:v>0</x:v>
      </x:c>
      <x:c r="H733" s="11" t="n">
        <x:v>2.3000000000000003</x:v>
      </x:c>
      <x:c r="I733" s="11" t="n">
        <x:f>H733-G733</x:f>
        <x:v>2.3000000000000003</x:v>
      </x:c>
      <x:c r="J733" s="10" t="str">
        <x:v>지금 선택한 이 두 견적을 설치비는 제외하고 비교표로 만들어줘.</x:v>
      </x:c>
      <x:c r="K733" s="10" t="str">
        <x:v>quote-L, quote-R의 설치비를 제외해 비교표 작성을 맡기겠습니다.</x:v>
      </x:c>
      <x:c r="L733" s="11"/>
      <x:c r="M733" s="11"/>
      <x:c r="N733" s="10" t="str">
        <x:v>NOT_MODELED</x:v>
      </x:c>
    </x:row>
    <x:row r="734" ht="85" customHeight="1">
      <x:c r="A734" s="10" t="str">
        <x:v>V-A</x:v>
      </x:c>
      <x:c r="B734" s="10" t="str">
        <x:v>VOICE</x:v>
      </x:c>
      <x:c r="C734" s="10" t="str">
        <x:v>VOICE:S1-03</x:v>
      </x:c>
      <x:c r="D734" s="10" t="str">
        <x:v>VOICE:S1-03:input</x:v>
      </x:c>
      <x:c r="E734" s="10" t="str">
        <x:v>V-S1</x:v>
      </x:c>
      <x:c r="F734" s="10" t="n">
        <x:v>1</x:v>
      </x:c>
      <x:c r="G734" s="11" t="n">
        <x:v>0</x:v>
      </x:c>
      <x:c r="H734" s="11" t="n">
        <x:v>2.3000000000000003</x:v>
      </x:c>
      <x:c r="I734" s="11" t="n">
        <x:f>H734-G734</x:f>
        <x:v>2.3000000000000003</x:v>
      </x:c>
      <x:c r="J734" s="10" t="str">
        <x:v>지금 선택한 이 두 견적을 설치비는 제외하고 비교표로 만들어줘.</x:v>
      </x:c>
      <x:c r="K734" s="10" t="str">
        <x:v>quote-L, quote-R의 설치비를 제외해 비교표 작성을 맡기겠습니다.</x:v>
      </x:c>
      <x:c r="L734" s="11"/>
      <x:c r="M734" s="11"/>
      <x:c r="N734" s="10" t="str">
        <x:v>NOT_MODELED</x:v>
      </x:c>
    </x:row>
    <x:row r="735" ht="85" customHeight="1">
      <x:c r="A735" s="10" t="str">
        <x:v>V-R1</x:v>
      </x:c>
      <x:c r="B735" s="10" t="str">
        <x:v>VOICE</x:v>
      </x:c>
      <x:c r="C735" s="10" t="str">
        <x:v>VOICE:S1-03</x:v>
      </x:c>
      <x:c r="D735" s="10" t="str">
        <x:v>VOICE:S1-03:input</x:v>
      </x:c>
      <x:c r="E735" s="10" t="str">
        <x:v>V-S1</x:v>
      </x:c>
      <x:c r="F735" s="10" t="n">
        <x:v>1</x:v>
      </x:c>
      <x:c r="G735" s="11" t="n">
        <x:v>0</x:v>
      </x:c>
      <x:c r="H735" s="11" t="n">
        <x:v>2.3000000000000003</x:v>
      </x:c>
      <x:c r="I735" s="11" t="n">
        <x:f>H735-G735</x:f>
        <x:v>2.3000000000000003</x:v>
      </x:c>
      <x:c r="J735" s="10" t="str">
        <x:v>지금 선택한 이 두 견적을 설치비는 제외하고 비교표로 만들어줘.</x:v>
      </x:c>
      <x:c r="K735" s="10" t="str">
        <x:v>quote-L, quote-R의 설치비를 제외해 비교표 작성을 맡기겠습니다.</x:v>
      </x:c>
      <x:c r="L735" s="11"/>
      <x:c r="M735" s="11"/>
      <x:c r="N735" s="10" t="str">
        <x:v>NOT_MODELED</x:v>
      </x:c>
    </x:row>
    <x:row r="736" ht="85" customHeight="1">
      <x:c r="A736" s="10" t="str">
        <x:v>V-R2</x:v>
      </x:c>
      <x:c r="B736" s="10" t="str">
        <x:v>VOICE</x:v>
      </x:c>
      <x:c r="C736" s="10" t="str">
        <x:v>VOICE:S1-03</x:v>
      </x:c>
      <x:c r="D736" s="10" t="str">
        <x:v>VOICE:S1-03:input</x:v>
      </x:c>
      <x:c r="E736" s="10" t="str">
        <x:v>V-S1</x:v>
      </x:c>
      <x:c r="F736" s="10" t="n">
        <x:v>1</x:v>
      </x:c>
      <x:c r="G736" s="11" t="n">
        <x:v>0</x:v>
      </x:c>
      <x:c r="H736" s="11" t="n">
        <x:v>2.3000000000000003</x:v>
      </x:c>
      <x:c r="I736" s="11" t="n">
        <x:f>H736-G736</x:f>
        <x:v>2.3000000000000003</x:v>
      </x:c>
      <x:c r="J736" s="10" t="str">
        <x:v>지금 선택한 이 두 견적을 설치비는 제외하고 비교표로 만들어줘.</x:v>
      </x:c>
      <x:c r="K736" s="10" t="str">
        <x:v>quote-L, quote-R의 설치비를 제외해 비교표 작성을 맡기겠습니다.</x:v>
      </x:c>
      <x:c r="L736" s="11"/>
      <x:c r="M736" s="11"/>
      <x:c r="N736" s="10" t="str">
        <x:v>NOT_MODELED</x:v>
      </x:c>
    </x:row>
    <x:row r="737" ht="85" customHeight="1">
      <x:c r="A737" s="10" t="str">
        <x:v>V-R3</x:v>
      </x:c>
      <x:c r="B737" s="10" t="str">
        <x:v>VOICE</x:v>
      </x:c>
      <x:c r="C737" s="10" t="str">
        <x:v>VOICE:S1-03</x:v>
      </x:c>
      <x:c r="D737" s="10" t="str">
        <x:v>VOICE:S1-03:input</x:v>
      </x:c>
      <x:c r="E737" s="10" t="str">
        <x:v>V-S1</x:v>
      </x:c>
      <x:c r="F737" s="10" t="n">
        <x:v>1</x:v>
      </x:c>
      <x:c r="G737" s="11" t="n">
        <x:v>0</x:v>
      </x:c>
      <x:c r="H737" s="11" t="n">
        <x:v>2.3000000000000003</x:v>
      </x:c>
      <x:c r="I737" s="11" t="n">
        <x:f>H737-G737</x:f>
        <x:v>2.3000000000000003</x:v>
      </x:c>
      <x:c r="J737" s="10" t="str">
        <x:v>지금 선택한 이 두 견적을 설치비는 제외하고 비교표로 만들어줘.</x:v>
      </x:c>
      <x:c r="K737" s="10" t="str">
        <x:v>quote-L, quote-R의 설치비를 제외해 비교표 작성을 맡기겠습니다.</x:v>
      </x:c>
      <x:c r="L737" s="11"/>
      <x:c r="M737" s="11"/>
      <x:c r="N737" s="10" t="str">
        <x:v>NOT_MODELED</x:v>
      </x:c>
    </x:row>
    <x:row r="738" ht="85" customHeight="1">
      <x:c r="A738" s="10" t="str">
        <x:v>V-A</x:v>
      </x:c>
      <x:c r="B738" s="10" t="str">
        <x:v>VOICE</x:v>
      </x:c>
      <x:c r="C738" s="10" t="str">
        <x:v>VOICE:S1-04</x:v>
      </x:c>
      <x:c r="D738" s="10" t="str">
        <x:v>VOICE:S1-04:input</x:v>
      </x:c>
      <x:c r="E738" s="10" t="str">
        <x:v>V-S1</x:v>
      </x:c>
      <x:c r="F738" s="10" t="n">
        <x:v>1</x:v>
      </x:c>
      <x:c r="G738" s="11" t="n">
        <x:v>0</x:v>
      </x:c>
      <x:c r="H738" s="11" t="n">
        <x:v>2.3000000000000003</x:v>
      </x:c>
      <x:c r="I738" s="11" t="n">
        <x:f>H738-G738</x:f>
        <x:v>2.3000000000000003</x:v>
      </x:c>
      <x:c r="J738" s="10" t="str">
        <x:v>지금 선택한 이 두 견적을 설치비는 제외하고 비교표로 만들어줘.</x:v>
      </x:c>
      <x:c r="K738" s="10" t="str">
        <x:v>quote-L, quote-R의 설치비를 제외해 비교표 작성을 맡기겠습니다.</x:v>
      </x:c>
      <x:c r="L738" s="11"/>
      <x:c r="M738" s="11"/>
      <x:c r="N738" s="10" t="str">
        <x:v>NOT_MODELED</x:v>
      </x:c>
    </x:row>
    <x:row r="739" ht="85" customHeight="1">
      <x:c r="A739" s="10" t="str">
        <x:v>V-R1</x:v>
      </x:c>
      <x:c r="B739" s="10" t="str">
        <x:v>VOICE</x:v>
      </x:c>
      <x:c r="C739" s="10" t="str">
        <x:v>VOICE:S1-04</x:v>
      </x:c>
      <x:c r="D739" s="10" t="str">
        <x:v>VOICE:S1-04:input</x:v>
      </x:c>
      <x:c r="E739" s="10" t="str">
        <x:v>V-S1</x:v>
      </x:c>
      <x:c r="F739" s="10" t="n">
        <x:v>1</x:v>
      </x:c>
      <x:c r="G739" s="11" t="n">
        <x:v>0</x:v>
      </x:c>
      <x:c r="H739" s="11" t="n">
        <x:v>2.3000000000000003</x:v>
      </x:c>
      <x:c r="I739" s="11" t="n">
        <x:f>H739-G739</x:f>
        <x:v>2.3000000000000003</x:v>
      </x:c>
      <x:c r="J739" s="10" t="str">
        <x:v>지금 선택한 이 두 견적을 설치비는 제외하고 비교표로 만들어줘.</x:v>
      </x:c>
      <x:c r="K739" s="10" t="str">
        <x:v>quote-L, quote-R의 설치비를 제외해 비교표 작성을 맡기겠습니다.</x:v>
      </x:c>
      <x:c r="L739" s="11"/>
      <x:c r="M739" s="11"/>
      <x:c r="N739" s="10" t="str">
        <x:v>NOT_MODELED</x:v>
      </x:c>
    </x:row>
    <x:row r="740" ht="85" customHeight="1">
      <x:c r="A740" s="10" t="str">
        <x:v>V-R2</x:v>
      </x:c>
      <x:c r="B740" s="10" t="str">
        <x:v>VOICE</x:v>
      </x:c>
      <x:c r="C740" s="10" t="str">
        <x:v>VOICE:S1-04</x:v>
      </x:c>
      <x:c r="D740" s="10" t="str">
        <x:v>VOICE:S1-04:input</x:v>
      </x:c>
      <x:c r="E740" s="10" t="str">
        <x:v>V-S1</x:v>
      </x:c>
      <x:c r="F740" s="10" t="n">
        <x:v>1</x:v>
      </x:c>
      <x:c r="G740" s="11" t="n">
        <x:v>0</x:v>
      </x:c>
      <x:c r="H740" s="11" t="n">
        <x:v>2.3000000000000003</x:v>
      </x:c>
      <x:c r="I740" s="11" t="n">
        <x:f>H740-G740</x:f>
        <x:v>2.3000000000000003</x:v>
      </x:c>
      <x:c r="J740" s="10" t="str">
        <x:v>지금 선택한 이 두 견적을 설치비는 제외하고 비교표로 만들어줘.</x:v>
      </x:c>
      <x:c r="K740" s="10" t="str">
        <x:v>quote-L, quote-R의 설치비를 제외해 비교표 작성을 맡기겠습니다.</x:v>
      </x:c>
      <x:c r="L740" s="11"/>
      <x:c r="M740" s="11"/>
      <x:c r="N740" s="10" t="str">
        <x:v>NOT_MODELED</x:v>
      </x:c>
    </x:row>
    <x:row r="741" ht="85" customHeight="1">
      <x:c r="A741" s="10" t="str">
        <x:v>V-R3</x:v>
      </x:c>
      <x:c r="B741" s="10" t="str">
        <x:v>VOICE</x:v>
      </x:c>
      <x:c r="C741" s="10" t="str">
        <x:v>VOICE:S1-04</x:v>
      </x:c>
      <x:c r="D741" s="10" t="str">
        <x:v>VOICE:S1-04:input</x:v>
      </x:c>
      <x:c r="E741" s="10" t="str">
        <x:v>V-S1</x:v>
      </x:c>
      <x:c r="F741" s="10" t="n">
        <x:v>1</x:v>
      </x:c>
      <x:c r="G741" s="11" t="n">
        <x:v>0</x:v>
      </x:c>
      <x:c r="H741" s="11" t="n">
        <x:v>2.3000000000000003</x:v>
      </x:c>
      <x:c r="I741" s="11" t="n">
        <x:f>H741-G741</x:f>
        <x:v>2.3000000000000003</x:v>
      </x:c>
      <x:c r="J741" s="10" t="str">
        <x:v>지금 선택한 이 두 견적을 설치비는 제외하고 비교표로 만들어줘.</x:v>
      </x:c>
      <x:c r="K741" s="10" t="str">
        <x:v>quote-L, quote-R의 설치비를 제외해 비교표 작성을 맡기겠습니다.</x:v>
      </x:c>
      <x:c r="L741" s="11"/>
      <x:c r="M741" s="11"/>
      <x:c r="N741" s="10" t="str">
        <x:v>NOT_MODELED</x:v>
      </x:c>
    </x:row>
    <x:row r="742" ht="85" customHeight="1">
      <x:c r="A742" s="10" t="str">
        <x:v>V-A</x:v>
      </x:c>
      <x:c r="B742" s="10" t="str">
        <x:v>VOICE</x:v>
      </x:c>
      <x:c r="C742" s="10" t="str">
        <x:v>VOICE:S1-05</x:v>
      </x:c>
      <x:c r="D742" s="10" t="str">
        <x:v>VOICE:S1-05:input</x:v>
      </x:c>
      <x:c r="E742" s="10" t="str">
        <x:v>V-S1</x:v>
      </x:c>
      <x:c r="F742" s="10" t="n">
        <x:v>1</x:v>
      </x:c>
      <x:c r="G742" s="11" t="n">
        <x:v>0</x:v>
      </x:c>
      <x:c r="H742" s="11" t="n">
        <x:v>2.3000000000000003</x:v>
      </x:c>
      <x:c r="I742" s="11" t="n">
        <x:f>H742-G742</x:f>
        <x:v>2.3000000000000003</x:v>
      </x:c>
      <x:c r="J742" s="10" t="str">
        <x:v>지금 선택한 이 두 견적을 설치비는 제외하고 비교표로 만들어줘.</x:v>
      </x:c>
      <x:c r="K742" s="10" t="str">
        <x:v>quote-L, quote-R의 설치비를 제외해 비교표 작성을 맡기겠습니다.</x:v>
      </x:c>
      <x:c r="L742" s="11"/>
      <x:c r="M742" s="11"/>
      <x:c r="N742" s="10" t="str">
        <x:v>NOT_MODELED</x:v>
      </x:c>
    </x:row>
    <x:row r="743" ht="85" customHeight="1">
      <x:c r="A743" s="10" t="str">
        <x:v>V-R1</x:v>
      </x:c>
      <x:c r="B743" s="10" t="str">
        <x:v>VOICE</x:v>
      </x:c>
      <x:c r="C743" s="10" t="str">
        <x:v>VOICE:S1-05</x:v>
      </x:c>
      <x:c r="D743" s="10" t="str">
        <x:v>VOICE:S1-05:input</x:v>
      </x:c>
      <x:c r="E743" s="10" t="str">
        <x:v>V-S1</x:v>
      </x:c>
      <x:c r="F743" s="10" t="n">
        <x:v>1</x:v>
      </x:c>
      <x:c r="G743" s="11" t="n">
        <x:v>0</x:v>
      </x:c>
      <x:c r="H743" s="11" t="n">
        <x:v>2.3000000000000003</x:v>
      </x:c>
      <x:c r="I743" s="11" t="n">
        <x:f>H743-G743</x:f>
        <x:v>2.3000000000000003</x:v>
      </x:c>
      <x:c r="J743" s="10" t="str">
        <x:v>지금 선택한 이 두 견적을 설치비는 제외하고 비교표로 만들어줘.</x:v>
      </x:c>
      <x:c r="K743" s="10" t="str">
        <x:v>quote-L, quote-R의 설치비를 제외해 비교표 작성을 맡기겠습니다.</x:v>
      </x:c>
      <x:c r="L743" s="11"/>
      <x:c r="M743" s="11"/>
      <x:c r="N743" s="10" t="str">
        <x:v>NOT_MODELED</x:v>
      </x:c>
    </x:row>
    <x:row r="744" ht="85" customHeight="1">
      <x:c r="A744" s="10" t="str">
        <x:v>V-R2</x:v>
      </x:c>
      <x:c r="B744" s="10" t="str">
        <x:v>VOICE</x:v>
      </x:c>
      <x:c r="C744" s="10" t="str">
        <x:v>VOICE:S1-05</x:v>
      </x:c>
      <x:c r="D744" s="10" t="str">
        <x:v>VOICE:S1-05:input</x:v>
      </x:c>
      <x:c r="E744" s="10" t="str">
        <x:v>V-S1</x:v>
      </x:c>
      <x:c r="F744" s="10" t="n">
        <x:v>1</x:v>
      </x:c>
      <x:c r="G744" s="11" t="n">
        <x:v>0</x:v>
      </x:c>
      <x:c r="H744" s="11" t="n">
        <x:v>2.3000000000000003</x:v>
      </x:c>
      <x:c r="I744" s="11" t="n">
        <x:f>H744-G744</x:f>
        <x:v>2.3000000000000003</x:v>
      </x:c>
      <x:c r="J744" s="10" t="str">
        <x:v>지금 선택한 이 두 견적을 설치비는 제외하고 비교표로 만들어줘.</x:v>
      </x:c>
      <x:c r="K744" s="10" t="str">
        <x:v>quote-L, quote-R의 설치비를 제외해 비교표 작성을 맡기겠습니다.</x:v>
      </x:c>
      <x:c r="L744" s="11"/>
      <x:c r="M744" s="11"/>
      <x:c r="N744" s="10" t="str">
        <x:v>NOT_MODELED</x:v>
      </x:c>
    </x:row>
    <x:row r="745" ht="85" customHeight="1">
      <x:c r="A745" s="10" t="str">
        <x:v>V-R3</x:v>
      </x:c>
      <x:c r="B745" s="10" t="str">
        <x:v>VOICE</x:v>
      </x:c>
      <x:c r="C745" s="10" t="str">
        <x:v>VOICE:S1-05</x:v>
      </x:c>
      <x:c r="D745" s="10" t="str">
        <x:v>VOICE:S1-05:input</x:v>
      </x:c>
      <x:c r="E745" s="10" t="str">
        <x:v>V-S1</x:v>
      </x:c>
      <x:c r="F745" s="10" t="n">
        <x:v>1</x:v>
      </x:c>
      <x:c r="G745" s="11" t="n">
        <x:v>0</x:v>
      </x:c>
      <x:c r="H745" s="11" t="n">
        <x:v>2.3000000000000003</x:v>
      </x:c>
      <x:c r="I745" s="11" t="n">
        <x:f>H745-G745</x:f>
        <x:v>2.3000000000000003</x:v>
      </x:c>
      <x:c r="J745" s="10" t="str">
        <x:v>지금 선택한 이 두 견적을 설치비는 제외하고 비교표로 만들어줘.</x:v>
      </x:c>
      <x:c r="K745" s="10" t="str">
        <x:v>quote-L, quote-R의 설치비를 제외해 비교표 작성을 맡기겠습니다.</x:v>
      </x:c>
      <x:c r="L745" s="11"/>
      <x:c r="M745" s="11"/>
      <x:c r="N745" s="10" t="str">
        <x:v>NOT_MODELED</x:v>
      </x:c>
    </x:row>
    <x:row r="746" ht="85" customHeight="1">
      <x:c r="A746" s="10" t="str">
        <x:v>V-A</x:v>
      </x:c>
      <x:c r="B746" s="10" t="str">
        <x:v>VOICE</x:v>
      </x:c>
      <x:c r="C746" s="10" t="str">
        <x:v>VOICE:S1-06</x:v>
      </x:c>
      <x:c r="D746" s="10" t="str">
        <x:v>VOICE:S1-06:input</x:v>
      </x:c>
      <x:c r="E746" s="10" t="str">
        <x:v>V-S1</x:v>
      </x:c>
      <x:c r="F746" s="10" t="n">
        <x:v>1</x:v>
      </x:c>
      <x:c r="G746" s="11" t="n">
        <x:v>0</x:v>
      </x:c>
      <x:c r="H746" s="11" t="n">
        <x:v>2.3000000000000003</x:v>
      </x:c>
      <x:c r="I746" s="11" t="n">
        <x:f>H746-G746</x:f>
        <x:v>2.3000000000000003</x:v>
      </x:c>
      <x:c r="J746" s="10" t="str">
        <x:v>지금 선택한 이 두 견적을 설치비는 제외하고 비교표로 만들어줘.</x:v>
      </x:c>
      <x:c r="K746" s="10" t="str">
        <x:v>quote-L, quote-R의 설치비를 제외해 비교표 작성을 맡기겠습니다.</x:v>
      </x:c>
      <x:c r="L746" s="11"/>
      <x:c r="M746" s="11"/>
      <x:c r="N746" s="10" t="str">
        <x:v>NOT_MODELED</x:v>
      </x:c>
    </x:row>
    <x:row r="747" ht="85" customHeight="1">
      <x:c r="A747" s="10" t="str">
        <x:v>V-R1</x:v>
      </x:c>
      <x:c r="B747" s="10" t="str">
        <x:v>VOICE</x:v>
      </x:c>
      <x:c r="C747" s="10" t="str">
        <x:v>VOICE:S1-06</x:v>
      </x:c>
      <x:c r="D747" s="10" t="str">
        <x:v>VOICE:S1-06:input</x:v>
      </x:c>
      <x:c r="E747" s="10" t="str">
        <x:v>V-S1</x:v>
      </x:c>
      <x:c r="F747" s="10" t="n">
        <x:v>1</x:v>
      </x:c>
      <x:c r="G747" s="11" t="n">
        <x:v>0</x:v>
      </x:c>
      <x:c r="H747" s="11" t="n">
        <x:v>2.3000000000000003</x:v>
      </x:c>
      <x:c r="I747" s="11" t="n">
        <x:f>H747-G747</x:f>
        <x:v>2.3000000000000003</x:v>
      </x:c>
      <x:c r="J747" s="10" t="str">
        <x:v>지금 선택한 이 두 견적을 설치비는 제외하고 비교표로 만들어줘.</x:v>
      </x:c>
      <x:c r="K747" s="10" t="str">
        <x:v>quote-L, quote-R의 설치비를 제외해 비교표 작성을 맡기겠습니다.</x:v>
      </x:c>
      <x:c r="L747" s="11"/>
      <x:c r="M747" s="11"/>
      <x:c r="N747" s="10" t="str">
        <x:v>NOT_MODELED</x:v>
      </x:c>
    </x:row>
    <x:row r="748" ht="85" customHeight="1">
      <x:c r="A748" s="10" t="str">
        <x:v>V-R2</x:v>
      </x:c>
      <x:c r="B748" s="10" t="str">
        <x:v>VOICE</x:v>
      </x:c>
      <x:c r="C748" s="10" t="str">
        <x:v>VOICE:S1-06</x:v>
      </x:c>
      <x:c r="D748" s="10" t="str">
        <x:v>VOICE:S1-06:input</x:v>
      </x:c>
      <x:c r="E748" s="10" t="str">
        <x:v>V-S1</x:v>
      </x:c>
      <x:c r="F748" s="10" t="n">
        <x:v>1</x:v>
      </x:c>
      <x:c r="G748" s="11" t="n">
        <x:v>0</x:v>
      </x:c>
      <x:c r="H748" s="11" t="n">
        <x:v>2.3000000000000003</x:v>
      </x:c>
      <x:c r="I748" s="11" t="n">
        <x:f>H748-G748</x:f>
        <x:v>2.3000000000000003</x:v>
      </x:c>
      <x:c r="J748" s="10" t="str">
        <x:v>지금 선택한 이 두 견적을 설치비는 제외하고 비교표로 만들어줘.</x:v>
      </x:c>
      <x:c r="K748" s="10" t="str">
        <x:v>quote-L, quote-R의 설치비를 제외해 비교표 작성을 맡기겠습니다.</x:v>
      </x:c>
      <x:c r="L748" s="11"/>
      <x:c r="M748" s="11"/>
      <x:c r="N748" s="10" t="str">
        <x:v>NOT_MODELED</x:v>
      </x:c>
    </x:row>
    <x:row r="749" ht="85" customHeight="1">
      <x:c r="A749" s="10" t="str">
        <x:v>V-R3</x:v>
      </x:c>
      <x:c r="B749" s="10" t="str">
        <x:v>VOICE</x:v>
      </x:c>
      <x:c r="C749" s="10" t="str">
        <x:v>VOICE:S1-06</x:v>
      </x:c>
      <x:c r="D749" s="10" t="str">
        <x:v>VOICE:S1-06:input</x:v>
      </x:c>
      <x:c r="E749" s="10" t="str">
        <x:v>V-S1</x:v>
      </x:c>
      <x:c r="F749" s="10" t="n">
        <x:v>1</x:v>
      </x:c>
      <x:c r="G749" s="11" t="n">
        <x:v>0</x:v>
      </x:c>
      <x:c r="H749" s="11" t="n">
        <x:v>2.3000000000000003</x:v>
      </x:c>
      <x:c r="I749" s="11" t="n">
        <x:f>H749-G749</x:f>
        <x:v>2.3000000000000003</x:v>
      </x:c>
      <x:c r="J749" s="10" t="str">
        <x:v>지금 선택한 이 두 견적을 설치비는 제외하고 비교표로 만들어줘.</x:v>
      </x:c>
      <x:c r="K749" s="10" t="str">
        <x:v>quote-L, quote-R의 설치비를 제외해 비교표 작성을 맡기겠습니다.</x:v>
      </x:c>
      <x:c r="L749" s="11"/>
      <x:c r="M749" s="11"/>
      <x:c r="N749" s="10" t="str">
        <x:v>NOT_MODELED</x:v>
      </x:c>
    </x:row>
    <x:row r="750" ht="85" customHeight="1">
      <x:c r="A750" s="10" t="str">
        <x:v>V-A</x:v>
      </x:c>
      <x:c r="B750" s="10" t="str">
        <x:v>VOICE</x:v>
      </x:c>
      <x:c r="C750" s="10" t="str">
        <x:v>VOICE:S1-07</x:v>
      </x:c>
      <x:c r="D750" s="10" t="str">
        <x:v>VOICE:S1-07:input</x:v>
      </x:c>
      <x:c r="E750" s="10" t="str">
        <x:v>V-S1</x:v>
      </x:c>
      <x:c r="F750" s="10" t="n">
        <x:v>1</x:v>
      </x:c>
      <x:c r="G750" s="11" t="n">
        <x:v>0</x:v>
      </x:c>
      <x:c r="H750" s="11" t="n">
        <x:v>2.3000000000000003</x:v>
      </x:c>
      <x:c r="I750" s="11" t="n">
        <x:f>H750-G750</x:f>
        <x:v>2.3000000000000003</x:v>
      </x:c>
      <x:c r="J750" s="10" t="str">
        <x:v>지금 선택한 이 두 견적을 설치비는 제외하고 비교표로 만들어줘.</x:v>
      </x:c>
      <x:c r="K750" s="10" t="str">
        <x:v>quote-L, quote-R의 설치비를 제외해 비교표 작성을 맡기겠습니다.</x:v>
      </x:c>
      <x:c r="L750" s="11"/>
      <x:c r="M750" s="11"/>
      <x:c r="N750" s="10" t="str">
        <x:v>NOT_MODELED</x:v>
      </x:c>
    </x:row>
    <x:row r="751" ht="85" customHeight="1">
      <x:c r="A751" s="10" t="str">
        <x:v>V-R1</x:v>
      </x:c>
      <x:c r="B751" s="10" t="str">
        <x:v>VOICE</x:v>
      </x:c>
      <x:c r="C751" s="10" t="str">
        <x:v>VOICE:S1-07</x:v>
      </x:c>
      <x:c r="D751" s="10" t="str">
        <x:v>VOICE:S1-07:input</x:v>
      </x:c>
      <x:c r="E751" s="10" t="str">
        <x:v>V-S1</x:v>
      </x:c>
      <x:c r="F751" s="10" t="n">
        <x:v>1</x:v>
      </x:c>
      <x:c r="G751" s="11" t="n">
        <x:v>0</x:v>
      </x:c>
      <x:c r="H751" s="11" t="n">
        <x:v>2.3000000000000003</x:v>
      </x:c>
      <x:c r="I751" s="11" t="n">
        <x:f>H751-G751</x:f>
        <x:v>2.3000000000000003</x:v>
      </x:c>
      <x:c r="J751" s="10" t="str">
        <x:v>지금 선택한 이 두 견적을 설치비는 제외하고 비교표로 만들어줘.</x:v>
      </x:c>
      <x:c r="K751" s="10" t="str">
        <x:v>quote-L, quote-R의 설치비를 제외해 비교표 작성을 맡기겠습니다.</x:v>
      </x:c>
      <x:c r="L751" s="11"/>
      <x:c r="M751" s="11"/>
      <x:c r="N751" s="10" t="str">
        <x:v>NOT_MODELED</x:v>
      </x:c>
    </x:row>
    <x:row r="752" ht="85" customHeight="1">
      <x:c r="A752" s="10" t="str">
        <x:v>V-R2</x:v>
      </x:c>
      <x:c r="B752" s="10" t="str">
        <x:v>VOICE</x:v>
      </x:c>
      <x:c r="C752" s="10" t="str">
        <x:v>VOICE:S1-07</x:v>
      </x:c>
      <x:c r="D752" s="10" t="str">
        <x:v>VOICE:S1-07:input</x:v>
      </x:c>
      <x:c r="E752" s="10" t="str">
        <x:v>V-S1</x:v>
      </x:c>
      <x:c r="F752" s="10" t="n">
        <x:v>1</x:v>
      </x:c>
      <x:c r="G752" s="11" t="n">
        <x:v>0</x:v>
      </x:c>
      <x:c r="H752" s="11" t="n">
        <x:v>2.3000000000000003</x:v>
      </x:c>
      <x:c r="I752" s="11" t="n">
        <x:f>H752-G752</x:f>
        <x:v>2.3000000000000003</x:v>
      </x:c>
      <x:c r="J752" s="10" t="str">
        <x:v>지금 선택한 이 두 견적을 설치비는 제외하고 비교표로 만들어줘.</x:v>
      </x:c>
      <x:c r="K752" s="10" t="str">
        <x:v>quote-L, quote-R의 설치비를 제외해 비교표 작성을 맡기겠습니다.</x:v>
      </x:c>
      <x:c r="L752" s="11"/>
      <x:c r="M752" s="11"/>
      <x:c r="N752" s="10" t="str">
        <x:v>NOT_MODELED</x:v>
      </x:c>
    </x:row>
    <x:row r="753" ht="85" customHeight="1">
      <x:c r="A753" s="10" t="str">
        <x:v>V-R3</x:v>
      </x:c>
      <x:c r="B753" s="10" t="str">
        <x:v>VOICE</x:v>
      </x:c>
      <x:c r="C753" s="10" t="str">
        <x:v>VOICE:S1-07</x:v>
      </x:c>
      <x:c r="D753" s="10" t="str">
        <x:v>VOICE:S1-07:input</x:v>
      </x:c>
      <x:c r="E753" s="10" t="str">
        <x:v>V-S1</x:v>
      </x:c>
      <x:c r="F753" s="10" t="n">
        <x:v>1</x:v>
      </x:c>
      <x:c r="G753" s="11" t="n">
        <x:v>0</x:v>
      </x:c>
      <x:c r="H753" s="11" t="n">
        <x:v>2.3000000000000003</x:v>
      </x:c>
      <x:c r="I753" s="11" t="n">
        <x:f>H753-G753</x:f>
        <x:v>2.3000000000000003</x:v>
      </x:c>
      <x:c r="J753" s="10" t="str">
        <x:v>지금 선택한 이 두 견적을 설치비는 제외하고 비교표로 만들어줘.</x:v>
      </x:c>
      <x:c r="K753" s="10" t="str">
        <x:v>quote-L, quote-R의 설치비를 제외해 비교표 작성을 맡기겠습니다.</x:v>
      </x:c>
      <x:c r="L753" s="11"/>
      <x:c r="M753" s="11"/>
      <x:c r="N753" s="10" t="str">
        <x:v>NOT_MODELED</x:v>
      </x:c>
    </x:row>
    <x:row r="754" ht="85" customHeight="1">
      <x:c r="A754" s="10" t="str">
        <x:v>V-A</x:v>
      </x:c>
      <x:c r="B754" s="10" t="str">
        <x:v>VOICE</x:v>
      </x:c>
      <x:c r="C754" s="10" t="str">
        <x:v>VOICE:S1-08</x:v>
      </x:c>
      <x:c r="D754" s="10" t="str">
        <x:v>VOICE:S1-08:input</x:v>
      </x:c>
      <x:c r="E754" s="10" t="str">
        <x:v>V-S1</x:v>
      </x:c>
      <x:c r="F754" s="10" t="n">
        <x:v>1</x:v>
      </x:c>
      <x:c r="G754" s="11" t="n">
        <x:v>0</x:v>
      </x:c>
      <x:c r="H754" s="11" t="n">
        <x:v>2.3000000000000003</x:v>
      </x:c>
      <x:c r="I754" s="11" t="n">
        <x:f>H754-G754</x:f>
        <x:v>2.3000000000000003</x:v>
      </x:c>
      <x:c r="J754" s="10" t="str">
        <x:v>지금 선택한 이 두 견적을 설치비는 제외하고 비교표로 만들어줘.</x:v>
      </x:c>
      <x:c r="K754" s="10" t="str">
        <x:v>quote-L, quote-R의 설치비를 제외해 비교표 작성을 맡기겠습니다.</x:v>
      </x:c>
      <x:c r="L754" s="11"/>
      <x:c r="M754" s="11"/>
      <x:c r="N754" s="10" t="str">
        <x:v>NOT_MODELED</x:v>
      </x:c>
    </x:row>
    <x:row r="755" ht="85" customHeight="1">
      <x:c r="A755" s="10" t="str">
        <x:v>V-R1</x:v>
      </x:c>
      <x:c r="B755" s="10" t="str">
        <x:v>VOICE</x:v>
      </x:c>
      <x:c r="C755" s="10" t="str">
        <x:v>VOICE:S1-08</x:v>
      </x:c>
      <x:c r="D755" s="10" t="str">
        <x:v>VOICE:S1-08:input</x:v>
      </x:c>
      <x:c r="E755" s="10" t="str">
        <x:v>V-S1</x:v>
      </x:c>
      <x:c r="F755" s="10" t="n">
        <x:v>1</x:v>
      </x:c>
      <x:c r="G755" s="11" t="n">
        <x:v>0</x:v>
      </x:c>
      <x:c r="H755" s="11" t="n">
        <x:v>2.3000000000000003</x:v>
      </x:c>
      <x:c r="I755" s="11" t="n">
        <x:f>H755-G755</x:f>
        <x:v>2.3000000000000003</x:v>
      </x:c>
      <x:c r="J755" s="10" t="str">
        <x:v>지금 선택한 이 두 견적을 설치비는 제외하고 비교표로 만들어줘.</x:v>
      </x:c>
      <x:c r="K755" s="10" t="str">
        <x:v>quote-L, quote-R의 설치비를 제외해 비교표 작성을 맡기겠습니다.</x:v>
      </x:c>
      <x:c r="L755" s="11"/>
      <x:c r="M755" s="11"/>
      <x:c r="N755" s="10" t="str">
        <x:v>NOT_MODELED</x:v>
      </x:c>
    </x:row>
    <x:row r="756" ht="85" customHeight="1">
      <x:c r="A756" s="10" t="str">
        <x:v>V-R2</x:v>
      </x:c>
      <x:c r="B756" s="10" t="str">
        <x:v>VOICE</x:v>
      </x:c>
      <x:c r="C756" s="10" t="str">
        <x:v>VOICE:S1-08</x:v>
      </x:c>
      <x:c r="D756" s="10" t="str">
        <x:v>VOICE:S1-08:input</x:v>
      </x:c>
      <x:c r="E756" s="10" t="str">
        <x:v>V-S1</x:v>
      </x:c>
      <x:c r="F756" s="10" t="n">
        <x:v>1</x:v>
      </x:c>
      <x:c r="G756" s="11" t="n">
        <x:v>0</x:v>
      </x:c>
      <x:c r="H756" s="11" t="n">
        <x:v>2.3000000000000003</x:v>
      </x:c>
      <x:c r="I756" s="11" t="n">
        <x:f>H756-G756</x:f>
        <x:v>2.3000000000000003</x:v>
      </x:c>
      <x:c r="J756" s="10" t="str">
        <x:v>지금 선택한 이 두 견적을 설치비는 제외하고 비교표로 만들어줘.</x:v>
      </x:c>
      <x:c r="K756" s="10" t="str">
        <x:v>quote-L, quote-R의 설치비를 제외해 비교표 작성을 맡기겠습니다.</x:v>
      </x:c>
      <x:c r="L756" s="11"/>
      <x:c r="M756" s="11"/>
      <x:c r="N756" s="10" t="str">
        <x:v>NOT_MODELED</x:v>
      </x:c>
    </x:row>
    <x:row r="757" ht="85" customHeight="1">
      <x:c r="A757" s="10" t="str">
        <x:v>V-R3</x:v>
      </x:c>
      <x:c r="B757" s="10" t="str">
        <x:v>VOICE</x:v>
      </x:c>
      <x:c r="C757" s="10" t="str">
        <x:v>VOICE:S1-08</x:v>
      </x:c>
      <x:c r="D757" s="10" t="str">
        <x:v>VOICE:S1-08:input</x:v>
      </x:c>
      <x:c r="E757" s="10" t="str">
        <x:v>V-S1</x:v>
      </x:c>
      <x:c r="F757" s="10" t="n">
        <x:v>1</x:v>
      </x:c>
      <x:c r="G757" s="11" t="n">
        <x:v>0</x:v>
      </x:c>
      <x:c r="H757" s="11" t="n">
        <x:v>2.3000000000000003</x:v>
      </x:c>
      <x:c r="I757" s="11" t="n">
        <x:f>H757-G757</x:f>
        <x:v>2.3000000000000003</x:v>
      </x:c>
      <x:c r="J757" s="10" t="str">
        <x:v>지금 선택한 이 두 견적을 설치비는 제외하고 비교표로 만들어줘.</x:v>
      </x:c>
      <x:c r="K757" s="10" t="str">
        <x:v>quote-L, quote-R의 설치비를 제외해 비교표 작성을 맡기겠습니다.</x:v>
      </x:c>
      <x:c r="L757" s="11"/>
      <x:c r="M757" s="11"/>
      <x:c r="N757" s="10" t="str">
        <x:v>NOT_MODELED</x:v>
      </x:c>
    </x:row>
    <x:row r="758" ht="85" customHeight="1">
      <x:c r="A758" s="10" t="str">
        <x:v>V-A</x:v>
      </x:c>
      <x:c r="B758" s="10" t="str">
        <x:v>VOICE</x:v>
      </x:c>
      <x:c r="C758" s="10" t="str">
        <x:v>VOICE:S1-09</x:v>
      </x:c>
      <x:c r="D758" s="10" t="str">
        <x:v>VOICE:S1-09:input</x:v>
      </x:c>
      <x:c r="E758" s="10" t="str">
        <x:v>V-S1</x:v>
      </x:c>
      <x:c r="F758" s="10" t="n">
        <x:v>1</x:v>
      </x:c>
      <x:c r="G758" s="11" t="n">
        <x:v>0</x:v>
      </x:c>
      <x:c r="H758" s="11" t="n">
        <x:v>2.3000000000000003</x:v>
      </x:c>
      <x:c r="I758" s="11" t="n">
        <x:f>H758-G758</x:f>
        <x:v>2.3000000000000003</x:v>
      </x:c>
      <x:c r="J758" s="10" t="str">
        <x:v>지금 선택한 이 두 견적을 설치비는 제외하고 비교표로 만들어줘.</x:v>
      </x:c>
      <x:c r="K758" s="10" t="str">
        <x:v>quote-L, quote-R의 설치비를 제외해 비교표 작성을 맡기겠습니다.</x:v>
      </x:c>
      <x:c r="L758" s="11"/>
      <x:c r="M758" s="11"/>
      <x:c r="N758" s="10" t="str">
        <x:v>NOT_MODELED</x:v>
      </x:c>
    </x:row>
    <x:row r="759" ht="85" customHeight="1">
      <x:c r="A759" s="10" t="str">
        <x:v>V-R1</x:v>
      </x:c>
      <x:c r="B759" s="10" t="str">
        <x:v>VOICE</x:v>
      </x:c>
      <x:c r="C759" s="10" t="str">
        <x:v>VOICE:S1-09</x:v>
      </x:c>
      <x:c r="D759" s="10" t="str">
        <x:v>VOICE:S1-09:input</x:v>
      </x:c>
      <x:c r="E759" s="10" t="str">
        <x:v>V-S1</x:v>
      </x:c>
      <x:c r="F759" s="10" t="n">
        <x:v>1</x:v>
      </x:c>
      <x:c r="G759" s="11" t="n">
        <x:v>0</x:v>
      </x:c>
      <x:c r="H759" s="11" t="n">
        <x:v>2.3000000000000003</x:v>
      </x:c>
      <x:c r="I759" s="11" t="n">
        <x:f>H759-G759</x:f>
        <x:v>2.3000000000000003</x:v>
      </x:c>
      <x:c r="J759" s="10" t="str">
        <x:v>지금 선택한 이 두 견적을 설치비는 제외하고 비교표로 만들어줘.</x:v>
      </x:c>
      <x:c r="K759" s="10" t="str">
        <x:v>quote-L, quote-R의 설치비를 제외해 비교표 작성을 맡기겠습니다.</x:v>
      </x:c>
      <x:c r="L759" s="11"/>
      <x:c r="M759" s="11"/>
      <x:c r="N759" s="10" t="str">
        <x:v>NOT_MODELED</x:v>
      </x:c>
    </x:row>
    <x:row r="760" ht="85" customHeight="1">
      <x:c r="A760" s="10" t="str">
        <x:v>V-R2</x:v>
      </x:c>
      <x:c r="B760" s="10" t="str">
        <x:v>VOICE</x:v>
      </x:c>
      <x:c r="C760" s="10" t="str">
        <x:v>VOICE:S1-09</x:v>
      </x:c>
      <x:c r="D760" s="10" t="str">
        <x:v>VOICE:S1-09:input</x:v>
      </x:c>
      <x:c r="E760" s="10" t="str">
        <x:v>V-S1</x:v>
      </x:c>
      <x:c r="F760" s="10" t="n">
        <x:v>1</x:v>
      </x:c>
      <x:c r="G760" s="11" t="n">
        <x:v>0</x:v>
      </x:c>
      <x:c r="H760" s="11" t="n">
        <x:v>2.3000000000000003</x:v>
      </x:c>
      <x:c r="I760" s="11" t="n">
        <x:f>H760-G760</x:f>
        <x:v>2.3000000000000003</x:v>
      </x:c>
      <x:c r="J760" s="10" t="str">
        <x:v>지금 선택한 이 두 견적을 설치비는 제외하고 비교표로 만들어줘.</x:v>
      </x:c>
      <x:c r="K760" s="10" t="str">
        <x:v>quote-L, quote-R의 설치비를 제외해 비교표 작성을 맡기겠습니다.</x:v>
      </x:c>
      <x:c r="L760" s="11"/>
      <x:c r="M760" s="11"/>
      <x:c r="N760" s="10" t="str">
        <x:v>NOT_MODELED</x:v>
      </x:c>
    </x:row>
    <x:row r="761" ht="85" customHeight="1">
      <x:c r="A761" s="10" t="str">
        <x:v>V-R3</x:v>
      </x:c>
      <x:c r="B761" s="10" t="str">
        <x:v>VOICE</x:v>
      </x:c>
      <x:c r="C761" s="10" t="str">
        <x:v>VOICE:S1-09</x:v>
      </x:c>
      <x:c r="D761" s="10" t="str">
        <x:v>VOICE:S1-09:input</x:v>
      </x:c>
      <x:c r="E761" s="10" t="str">
        <x:v>V-S1</x:v>
      </x:c>
      <x:c r="F761" s="10" t="n">
        <x:v>1</x:v>
      </x:c>
      <x:c r="G761" s="11" t="n">
        <x:v>0</x:v>
      </x:c>
      <x:c r="H761" s="11" t="n">
        <x:v>2.3000000000000003</x:v>
      </x:c>
      <x:c r="I761" s="11" t="n">
        <x:f>H761-G761</x:f>
        <x:v>2.3000000000000003</x:v>
      </x:c>
      <x:c r="J761" s="10" t="str">
        <x:v>지금 선택한 이 두 견적을 설치비는 제외하고 비교표로 만들어줘.</x:v>
      </x:c>
      <x:c r="K761" s="10" t="str">
        <x:v>quote-L, quote-R의 설치비를 제외해 비교표 작성을 맡기겠습니다.</x:v>
      </x:c>
      <x:c r="L761" s="11"/>
      <x:c r="M761" s="11"/>
      <x:c r="N761" s="10" t="str">
        <x:v>NOT_MODELED</x:v>
      </x:c>
    </x:row>
    <x:row r="762" ht="85" customHeight="1">
      <x:c r="A762" s="10" t="str">
        <x:v>V-A</x:v>
      </x:c>
      <x:c r="B762" s="10" t="str">
        <x:v>VOICE</x:v>
      </x:c>
      <x:c r="C762" s="10" t="str">
        <x:v>VOICE:S1-10</x:v>
      </x:c>
      <x:c r="D762" s="10" t="str">
        <x:v>VOICE:S1-10:input</x:v>
      </x:c>
      <x:c r="E762" s="10" t="str">
        <x:v>V-S1</x:v>
      </x:c>
      <x:c r="F762" s="10" t="n">
        <x:v>1</x:v>
      </x:c>
      <x:c r="G762" s="11" t="n">
        <x:v>0</x:v>
      </x:c>
      <x:c r="H762" s="11" t="n">
        <x:v>2.3000000000000003</x:v>
      </x:c>
      <x:c r="I762" s="11" t="n">
        <x:f>H762-G762</x:f>
        <x:v>2.3000000000000003</x:v>
      </x:c>
      <x:c r="J762" s="10" t="str">
        <x:v>지금 선택한 이 두 견적을 설치비는 제외하고 비교표로 만들어줘.</x:v>
      </x:c>
      <x:c r="K762" s="10" t="str">
        <x:v>quote-L, quote-R의 설치비를 포함해 비교표 작성을 맡기겠습니다.</x:v>
      </x:c>
      <x:c r="L762" s="11"/>
      <x:c r="M762" s="11"/>
      <x:c r="N762" s="10" t="str">
        <x:v>NOT_MODELED</x:v>
      </x:c>
    </x:row>
    <x:row r="763" ht="85" customHeight="1">
      <x:c r="A763" s="10" t="str">
        <x:v>V-R1</x:v>
      </x:c>
      <x:c r="B763" s="10" t="str">
        <x:v>VOICE</x:v>
      </x:c>
      <x:c r="C763" s="10" t="str">
        <x:v>VOICE:S1-10</x:v>
      </x:c>
      <x:c r="D763" s="10" t="str">
        <x:v>VOICE:S1-10:input</x:v>
      </x:c>
      <x:c r="E763" s="10" t="str">
        <x:v>V-S1</x:v>
      </x:c>
      <x:c r="F763" s="10" t="n">
        <x:v>1</x:v>
      </x:c>
      <x:c r="G763" s="11" t="n">
        <x:v>0</x:v>
      </x:c>
      <x:c r="H763" s="11" t="n">
        <x:v>2.3000000000000003</x:v>
      </x:c>
      <x:c r="I763" s="11" t="n">
        <x:f>H763-G763</x:f>
        <x:v>2.3000000000000003</x:v>
      </x:c>
      <x:c r="J763" s="10" t="str">
        <x:v>지금 선택한 이 두 견적을 설치비는 제외하고 비교표로 만들어줘.</x:v>
      </x:c>
      <x:c r="K763" s="10" t="str">
        <x:v>quote-L, quote-R의 설치비를 포함해 비교표 작성을 맡기겠습니다.</x:v>
      </x:c>
      <x:c r="L763" s="11"/>
      <x:c r="M763" s="11"/>
      <x:c r="N763" s="10" t="str">
        <x:v>NOT_MODELED</x:v>
      </x:c>
    </x:row>
    <x:row r="764" ht="85" customHeight="1">
      <x:c r="A764" s="10" t="str">
        <x:v>V-R2</x:v>
      </x:c>
      <x:c r="B764" s="10" t="str">
        <x:v>VOICE</x:v>
      </x:c>
      <x:c r="C764" s="10" t="str">
        <x:v>VOICE:S1-10</x:v>
      </x:c>
      <x:c r="D764" s="10" t="str">
        <x:v>VOICE:S1-10:input</x:v>
      </x:c>
      <x:c r="E764" s="10" t="str">
        <x:v>V-S1</x:v>
      </x:c>
      <x:c r="F764" s="10" t="n">
        <x:v>1</x:v>
      </x:c>
      <x:c r="G764" s="11" t="n">
        <x:v>0</x:v>
      </x:c>
      <x:c r="H764" s="11" t="n">
        <x:v>2.3000000000000003</x:v>
      </x:c>
      <x:c r="I764" s="11" t="n">
        <x:f>H764-G764</x:f>
        <x:v>2.3000000000000003</x:v>
      </x:c>
      <x:c r="J764" s="10" t="str">
        <x:v>지금 선택한 이 두 견적을 설치비는 제외하고 비교표로 만들어줘.</x:v>
      </x:c>
      <x:c r="K764" s="10" t="str">
        <x:v>quote-L, quote-R의 설치비를 포함해 비교표 작성을 맡기겠습니다.</x:v>
      </x:c>
      <x:c r="L764" s="11"/>
      <x:c r="M764" s="11"/>
      <x:c r="N764" s="10" t="str">
        <x:v>NOT_MODELED</x:v>
      </x:c>
    </x:row>
    <x:row r="765" ht="85" customHeight="1">
      <x:c r="A765" s="10" t="str">
        <x:v>V-R3</x:v>
      </x:c>
      <x:c r="B765" s="10" t="str">
        <x:v>VOICE</x:v>
      </x:c>
      <x:c r="C765" s="10" t="str">
        <x:v>VOICE:S1-10</x:v>
      </x:c>
      <x:c r="D765" s="10" t="str">
        <x:v>VOICE:S1-10:input</x:v>
      </x:c>
      <x:c r="E765" s="10" t="str">
        <x:v>V-S1</x:v>
      </x:c>
      <x:c r="F765" s="10" t="n">
        <x:v>1</x:v>
      </x:c>
      <x:c r="G765" s="11" t="n">
        <x:v>0</x:v>
      </x:c>
      <x:c r="H765" s="11" t="n">
        <x:v>2.3000000000000003</x:v>
      </x:c>
      <x:c r="I765" s="11" t="n">
        <x:f>H765-G765</x:f>
        <x:v>2.3000000000000003</x:v>
      </x:c>
      <x:c r="J765" s="10" t="str">
        <x:v>지금 선택한 이 두 견적을 설치비는 제외하고 비교표로 만들어줘.</x:v>
      </x:c>
      <x:c r="K765" s="10" t="str">
        <x:v>quote-L, quote-R의 설치비를 포함해 비교표 작성을 맡기겠습니다.</x:v>
      </x:c>
      <x:c r="L765" s="11"/>
      <x:c r="M765" s="11"/>
      <x:c r="N765" s="10" t="str">
        <x:v>NOT_MODELED</x:v>
      </x:c>
    </x:row>
    <x:row r="766" ht="85" customHeight="1">
      <x:c r="A766" s="10" t="str">
        <x:v>V-A</x:v>
      </x:c>
      <x:c r="B766" s="10" t="str">
        <x:v>VOICE</x:v>
      </x:c>
      <x:c r="C766" s="10" t="str">
        <x:v>VOICE:S1-11</x:v>
      </x:c>
      <x:c r="D766" s="10" t="str">
        <x:v>VOICE:S1-11:input</x:v>
      </x:c>
      <x:c r="E766" s="10" t="str">
        <x:v>V-S1</x:v>
      </x:c>
      <x:c r="F766" s="10" t="n">
        <x:v>1</x:v>
      </x:c>
      <x:c r="G766" s="11" t="n">
        <x:v>0</x:v>
      </x:c>
      <x:c r="H766" s="11" t="n">
        <x:v>2.3000000000000003</x:v>
      </x:c>
      <x:c r="I766" s="11" t="n">
        <x:f>H766-G766</x:f>
        <x:v>2.3000000000000003</x:v>
      </x:c>
      <x:c r="J766" s="10" t="str">
        <x:v>지금 선택한 이 두 견적을 설치비는 제외하고 비교표로 만들어줘.</x:v>
      </x:c>
      <x:c r="K766" s="10" t="str">
        <x:v>quote-L, quote-R의 설치비를 제외해 비교표 작성을 맡기겠습니다.</x:v>
      </x:c>
      <x:c r="L766" s="11"/>
      <x:c r="M766" s="11"/>
      <x:c r="N766" s="10" t="str">
        <x:v>NOT_MODELED</x:v>
      </x:c>
    </x:row>
    <x:row r="767" ht="85" customHeight="1">
      <x:c r="A767" s="10" t="str">
        <x:v>V-R1</x:v>
      </x:c>
      <x:c r="B767" s="10" t="str">
        <x:v>VOICE</x:v>
      </x:c>
      <x:c r="C767" s="10" t="str">
        <x:v>VOICE:S1-11</x:v>
      </x:c>
      <x:c r="D767" s="10" t="str">
        <x:v>VOICE:S1-11:input</x:v>
      </x:c>
      <x:c r="E767" s="10" t="str">
        <x:v>V-S1</x:v>
      </x:c>
      <x:c r="F767" s="10" t="n">
        <x:v>1</x:v>
      </x:c>
      <x:c r="G767" s="11" t="n">
        <x:v>0</x:v>
      </x:c>
      <x:c r="H767" s="11" t="n">
        <x:v>2.3000000000000003</x:v>
      </x:c>
      <x:c r="I767" s="11" t="n">
        <x:f>H767-G767</x:f>
        <x:v>2.3000000000000003</x:v>
      </x:c>
      <x:c r="J767" s="10" t="str">
        <x:v>지금 선택한 이 두 견적을 설치비는 제외하고 비교표로 만들어줘.</x:v>
      </x:c>
      <x:c r="K767" s="10" t="str">
        <x:v>quote-L, quote-R의 설치비를 제외해 비교표 작성을 맡기겠습니다.</x:v>
      </x:c>
      <x:c r="L767" s="11"/>
      <x:c r="M767" s="11"/>
      <x:c r="N767" s="10" t="str">
        <x:v>NOT_MODELED</x:v>
      </x:c>
    </x:row>
    <x:row r="768" ht="85" customHeight="1">
      <x:c r="A768" s="10" t="str">
        <x:v>V-R2</x:v>
      </x:c>
      <x:c r="B768" s="10" t="str">
        <x:v>VOICE</x:v>
      </x:c>
      <x:c r="C768" s="10" t="str">
        <x:v>VOICE:S1-11</x:v>
      </x:c>
      <x:c r="D768" s="10" t="str">
        <x:v>VOICE:S1-11:input</x:v>
      </x:c>
      <x:c r="E768" s="10" t="str">
        <x:v>V-S1</x:v>
      </x:c>
      <x:c r="F768" s="10" t="n">
        <x:v>1</x:v>
      </x:c>
      <x:c r="G768" s="11" t="n">
        <x:v>0</x:v>
      </x:c>
      <x:c r="H768" s="11" t="n">
        <x:v>2.3000000000000003</x:v>
      </x:c>
      <x:c r="I768" s="11" t="n">
        <x:f>H768-G768</x:f>
        <x:v>2.3000000000000003</x:v>
      </x:c>
      <x:c r="J768" s="10" t="str">
        <x:v>지금 선택한 이 두 견적을 설치비는 제외하고 비교표로 만들어줘.</x:v>
      </x:c>
      <x:c r="K768" s="10" t="str">
        <x:v>quote-L, quote-R의 설치비를 제외해 비교표 작성을 맡기겠습니다.</x:v>
      </x:c>
      <x:c r="L768" s="11"/>
      <x:c r="M768" s="11"/>
      <x:c r="N768" s="10" t="str">
        <x:v>NOT_MODELED</x:v>
      </x:c>
    </x:row>
    <x:row r="769" ht="85" customHeight="1">
      <x:c r="A769" s="10" t="str">
        <x:v>V-R3</x:v>
      </x:c>
      <x:c r="B769" s="10" t="str">
        <x:v>VOICE</x:v>
      </x:c>
      <x:c r="C769" s="10" t="str">
        <x:v>VOICE:S1-11</x:v>
      </x:c>
      <x:c r="D769" s="10" t="str">
        <x:v>VOICE:S1-11:input</x:v>
      </x:c>
      <x:c r="E769" s="10" t="str">
        <x:v>V-S1</x:v>
      </x:c>
      <x:c r="F769" s="10" t="n">
        <x:v>1</x:v>
      </x:c>
      <x:c r="G769" s="11" t="n">
        <x:v>0</x:v>
      </x:c>
      <x:c r="H769" s="11" t="n">
        <x:v>2.3000000000000003</x:v>
      </x:c>
      <x:c r="I769" s="11" t="n">
        <x:f>H769-G769</x:f>
        <x:v>2.3000000000000003</x:v>
      </x:c>
      <x:c r="J769" s="10" t="str">
        <x:v>지금 선택한 이 두 견적을 설치비는 제외하고 비교표로 만들어줘.</x:v>
      </x:c>
      <x:c r="K769" s="10" t="str">
        <x:v>quote-L, quote-R의 설치비를 제외해 비교표 작성을 맡기겠습니다.</x:v>
      </x:c>
      <x:c r="L769" s="11"/>
      <x:c r="M769" s="11"/>
      <x:c r="N769" s="10" t="str">
        <x:v>NOT_MODELED</x:v>
      </x:c>
    </x:row>
    <x:row r="770" ht="85" customHeight="1">
      <x:c r="A770" s="10" t="str">
        <x:v>V-A</x:v>
      </x:c>
      <x:c r="B770" s="10" t="str">
        <x:v>VOICE</x:v>
      </x:c>
      <x:c r="C770" s="10" t="str">
        <x:v>VOICE:S1-12</x:v>
      </x:c>
      <x:c r="D770" s="10" t="str">
        <x:v>VOICE:S1-12:input</x:v>
      </x:c>
      <x:c r="E770" s="10" t="str">
        <x:v>V-S1</x:v>
      </x:c>
      <x:c r="F770" s="10" t="n">
        <x:v>1</x:v>
      </x:c>
      <x:c r="G770" s="11" t="n">
        <x:v>0</x:v>
      </x:c>
      <x:c r="H770" s="11" t="n">
        <x:v>2.3000000000000003</x:v>
      </x:c>
      <x:c r="I770" s="11" t="n">
        <x:f>H770-G770</x:f>
        <x:v>2.3000000000000003</x:v>
      </x:c>
      <x:c r="J770" s="10" t="str">
        <x:v>지금 선택한 이 두 견적을 설치비는 제외하고 비교표로 만들어줘.</x:v>
      </x:c>
      <x:c r="K770" s="10" t="str">
        <x:v>quote-L, quote-R의 설치비를 제외해 비교표 작성을 맡기겠습니다.</x:v>
      </x:c>
      <x:c r="L770" s="11"/>
      <x:c r="M770" s="11"/>
      <x:c r="N770" s="10" t="str">
        <x:v>NOT_MODELED</x:v>
      </x:c>
    </x:row>
    <x:row r="771" ht="85" customHeight="1">
      <x:c r="A771" s="10" t="str">
        <x:v>V-R1</x:v>
      </x:c>
      <x:c r="B771" s="10" t="str">
        <x:v>VOICE</x:v>
      </x:c>
      <x:c r="C771" s="10" t="str">
        <x:v>VOICE:S1-12</x:v>
      </x:c>
      <x:c r="D771" s="10" t="str">
        <x:v>VOICE:S1-12:input</x:v>
      </x:c>
      <x:c r="E771" s="10" t="str">
        <x:v>V-S1</x:v>
      </x:c>
      <x:c r="F771" s="10" t="n">
        <x:v>1</x:v>
      </x:c>
      <x:c r="G771" s="11" t="n">
        <x:v>0</x:v>
      </x:c>
      <x:c r="H771" s="11" t="n">
        <x:v>2.3000000000000003</x:v>
      </x:c>
      <x:c r="I771" s="11" t="n">
        <x:f>H771-G771</x:f>
        <x:v>2.3000000000000003</x:v>
      </x:c>
      <x:c r="J771" s="10" t="str">
        <x:v>지금 선택한 이 두 견적을 설치비는 제외하고 비교표로 만들어줘.</x:v>
      </x:c>
      <x:c r="K771" s="10" t="str">
        <x:v>quote-L, quote-R의 설치비를 제외해 비교표 작성을 맡기겠습니다.</x:v>
      </x:c>
      <x:c r="L771" s="11"/>
      <x:c r="M771" s="11"/>
      <x:c r="N771" s="10" t="str">
        <x:v>NOT_MODELED</x:v>
      </x:c>
    </x:row>
    <x:row r="772" ht="85" customHeight="1">
      <x:c r="A772" s="10" t="str">
        <x:v>V-R2</x:v>
      </x:c>
      <x:c r="B772" s="10" t="str">
        <x:v>VOICE</x:v>
      </x:c>
      <x:c r="C772" s="10" t="str">
        <x:v>VOICE:S1-12</x:v>
      </x:c>
      <x:c r="D772" s="10" t="str">
        <x:v>VOICE:S1-12:input</x:v>
      </x:c>
      <x:c r="E772" s="10" t="str">
        <x:v>V-S1</x:v>
      </x:c>
      <x:c r="F772" s="10" t="n">
        <x:v>1</x:v>
      </x:c>
      <x:c r="G772" s="11" t="n">
        <x:v>0</x:v>
      </x:c>
      <x:c r="H772" s="11" t="n">
        <x:v>2.3000000000000003</x:v>
      </x:c>
      <x:c r="I772" s="11" t="n">
        <x:f>H772-G772</x:f>
        <x:v>2.3000000000000003</x:v>
      </x:c>
      <x:c r="J772" s="10" t="str">
        <x:v>지금 선택한 이 두 견적을 설치비는 제외하고 비교표로 만들어줘.</x:v>
      </x:c>
      <x:c r="K772" s="10" t="str">
        <x:v>quote-L, quote-R의 설치비를 제외해 비교표 작성을 맡기겠습니다.</x:v>
      </x:c>
      <x:c r="L772" s="11"/>
      <x:c r="M772" s="11"/>
      <x:c r="N772" s="10" t="str">
        <x:v>NOT_MODELED</x:v>
      </x:c>
    </x:row>
    <x:row r="773" ht="85" customHeight="1">
      <x:c r="A773" s="10" t="str">
        <x:v>V-R3</x:v>
      </x:c>
      <x:c r="B773" s="10" t="str">
        <x:v>VOICE</x:v>
      </x:c>
      <x:c r="C773" s="10" t="str">
        <x:v>VOICE:S1-12</x:v>
      </x:c>
      <x:c r="D773" s="10" t="str">
        <x:v>VOICE:S1-12:input</x:v>
      </x:c>
      <x:c r="E773" s="10" t="str">
        <x:v>V-S1</x:v>
      </x:c>
      <x:c r="F773" s="10" t="n">
        <x:v>1</x:v>
      </x:c>
      <x:c r="G773" s="11" t="n">
        <x:v>0</x:v>
      </x:c>
      <x:c r="H773" s="11" t="n">
        <x:v>2.3000000000000003</x:v>
      </x:c>
      <x:c r="I773" s="11" t="n">
        <x:f>H773-G773</x:f>
        <x:v>2.3000000000000003</x:v>
      </x:c>
      <x:c r="J773" s="10" t="str">
        <x:v>지금 선택한 이 두 견적을 설치비는 제외하고 비교표로 만들어줘.</x:v>
      </x:c>
      <x:c r="K773" s="10" t="str">
        <x:v>quote-L, quote-R의 설치비를 제외해 비교표 작성을 맡기겠습니다.</x:v>
      </x:c>
      <x:c r="L773" s="11"/>
      <x:c r="M773" s="11"/>
      <x:c r="N773" s="10" t="str">
        <x:v>NOT_MODELED</x:v>
      </x:c>
    </x:row>
    <x:row r="774" ht="85" customHeight="1">
      <x:c r="A774" s="10" t="str">
        <x:v>V-A</x:v>
      </x:c>
      <x:c r="B774" s="10" t="str">
        <x:v>VOICE</x:v>
      </x:c>
      <x:c r="C774" s="10" t="str">
        <x:v>VOICE:S1-13</x:v>
      </x:c>
      <x:c r="D774" s="10" t="str">
        <x:v>VOICE:S1-13:input</x:v>
      </x:c>
      <x:c r="E774" s="10" t="str">
        <x:v>V-S1</x:v>
      </x:c>
      <x:c r="F774" s="10" t="n">
        <x:v>1</x:v>
      </x:c>
      <x:c r="G774" s="11" t="n">
        <x:v>0</x:v>
      </x:c>
      <x:c r="H774" s="11" t="n">
        <x:v>2.3000000000000003</x:v>
      </x:c>
      <x:c r="I774" s="11" t="n">
        <x:f>H774-G774</x:f>
        <x:v>2.3000000000000003</x:v>
      </x:c>
      <x:c r="J774" s="10" t="str">
        <x:v>지금 선택한 이 두 견적을 설치비는 제외하고 비교표로 만들어줘.</x:v>
      </x:c>
      <x:c r="K774" s="10" t="str">
        <x:v>quote-L, quote-R의 설치비를 제외해 비교표 작성을 맡기겠습니다.</x:v>
      </x:c>
      <x:c r="L774" s="11"/>
      <x:c r="M774" s="11"/>
      <x:c r="N774" s="10" t="str">
        <x:v>NOT_MODELED</x:v>
      </x:c>
    </x:row>
    <x:row r="775" ht="85" customHeight="1">
      <x:c r="A775" s="10" t="str">
        <x:v>V-R1</x:v>
      </x:c>
      <x:c r="B775" s="10" t="str">
        <x:v>VOICE</x:v>
      </x:c>
      <x:c r="C775" s="10" t="str">
        <x:v>VOICE:S1-13</x:v>
      </x:c>
      <x:c r="D775" s="10" t="str">
        <x:v>VOICE:S1-13:input</x:v>
      </x:c>
      <x:c r="E775" s="10" t="str">
        <x:v>V-S1</x:v>
      </x:c>
      <x:c r="F775" s="10" t="n">
        <x:v>1</x:v>
      </x:c>
      <x:c r="G775" s="11" t="n">
        <x:v>0</x:v>
      </x:c>
      <x:c r="H775" s="11" t="n">
        <x:v>2.3000000000000003</x:v>
      </x:c>
      <x:c r="I775" s="11" t="n">
        <x:f>H775-G775</x:f>
        <x:v>2.3000000000000003</x:v>
      </x:c>
      <x:c r="J775" s="10" t="str">
        <x:v>지금 선택한 이 두 견적을 설치비는 제외하고 비교표로 만들어줘.</x:v>
      </x:c>
      <x:c r="K775" s="10" t="str">
        <x:v>quote-L, quote-R의 설치비를 제외해 비교표 작성을 맡기겠습니다.</x:v>
      </x:c>
      <x:c r="L775" s="11"/>
      <x:c r="M775" s="11"/>
      <x:c r="N775" s="10" t="str">
        <x:v>NOT_MODELED</x:v>
      </x:c>
    </x:row>
    <x:row r="776" ht="85" customHeight="1">
      <x:c r="A776" s="10" t="str">
        <x:v>V-R2</x:v>
      </x:c>
      <x:c r="B776" s="10" t="str">
        <x:v>VOICE</x:v>
      </x:c>
      <x:c r="C776" s="10" t="str">
        <x:v>VOICE:S1-13</x:v>
      </x:c>
      <x:c r="D776" s="10" t="str">
        <x:v>VOICE:S1-13:input</x:v>
      </x:c>
      <x:c r="E776" s="10" t="str">
        <x:v>V-S1</x:v>
      </x:c>
      <x:c r="F776" s="10" t="n">
        <x:v>1</x:v>
      </x:c>
      <x:c r="G776" s="11" t="n">
        <x:v>0</x:v>
      </x:c>
      <x:c r="H776" s="11" t="n">
        <x:v>2.3000000000000003</x:v>
      </x:c>
      <x:c r="I776" s="11" t="n">
        <x:f>H776-G776</x:f>
        <x:v>2.3000000000000003</x:v>
      </x:c>
      <x:c r="J776" s="10" t="str">
        <x:v>지금 선택한 이 두 견적을 설치비는 제외하고 비교표로 만들어줘.</x:v>
      </x:c>
      <x:c r="K776" s="10" t="str">
        <x:v>quote-L, quote-R의 설치비를 제외해 비교표 작성을 맡기겠습니다.</x:v>
      </x:c>
      <x:c r="L776" s="11"/>
      <x:c r="M776" s="11"/>
      <x:c r="N776" s="10" t="str">
        <x:v>NOT_MODELED</x:v>
      </x:c>
    </x:row>
    <x:row r="777" ht="85" customHeight="1">
      <x:c r="A777" s="10" t="str">
        <x:v>V-R3</x:v>
      </x:c>
      <x:c r="B777" s="10" t="str">
        <x:v>VOICE</x:v>
      </x:c>
      <x:c r="C777" s="10" t="str">
        <x:v>VOICE:S1-13</x:v>
      </x:c>
      <x:c r="D777" s="10" t="str">
        <x:v>VOICE:S1-13:input</x:v>
      </x:c>
      <x:c r="E777" s="10" t="str">
        <x:v>V-S1</x:v>
      </x:c>
      <x:c r="F777" s="10" t="n">
        <x:v>1</x:v>
      </x:c>
      <x:c r="G777" s="11" t="n">
        <x:v>0</x:v>
      </x:c>
      <x:c r="H777" s="11" t="n">
        <x:v>2.3000000000000003</x:v>
      </x:c>
      <x:c r="I777" s="11" t="n">
        <x:f>H777-G777</x:f>
        <x:v>2.3000000000000003</x:v>
      </x:c>
      <x:c r="J777" s="10" t="str">
        <x:v>지금 선택한 이 두 견적을 설치비는 제외하고 비교표로 만들어줘.</x:v>
      </x:c>
      <x:c r="K777" s="10" t="str">
        <x:v>quote-L, quote-R의 설치비를 제외해 비교표 작성을 맡기겠습니다.</x:v>
      </x:c>
      <x:c r="L777" s="11"/>
      <x:c r="M777" s="11"/>
      <x:c r="N777" s="10" t="str">
        <x:v>NOT_MODELED</x:v>
      </x:c>
    </x:row>
    <x:row r="778" ht="85" customHeight="1">
      <x:c r="A778" s="10" t="str">
        <x:v>V-A</x:v>
      </x:c>
      <x:c r="B778" s="10" t="str">
        <x:v>VOICE</x:v>
      </x:c>
      <x:c r="C778" s="10" t="str">
        <x:v>VOICE:S1-14</x:v>
      </x:c>
      <x:c r="D778" s="10" t="str">
        <x:v>VOICE:S1-14:input</x:v>
      </x:c>
      <x:c r="E778" s="10" t="str">
        <x:v>V-S1</x:v>
      </x:c>
      <x:c r="F778" s="10" t="n">
        <x:v>1</x:v>
      </x:c>
      <x:c r="G778" s="11" t="n">
        <x:v>0</x:v>
      </x:c>
      <x:c r="H778" s="11" t="n">
        <x:v>2.3000000000000003</x:v>
      </x:c>
      <x:c r="I778" s="11" t="n">
        <x:f>H778-G778</x:f>
        <x:v>2.3000000000000003</x:v>
      </x:c>
      <x:c r="J778" s="10" t="str">
        <x:v>지금 선택한 이 두 견적을 설치비는 제외하고 비교표로 만들어줘.</x:v>
      </x:c>
      <x:c r="K778" s="10" t="str">
        <x:v>quote-L, quote-R의 설치비를 제외해 비교표 작성을 맡기겠습니다.</x:v>
      </x:c>
      <x:c r="L778" s="11"/>
      <x:c r="M778" s="11"/>
      <x:c r="N778" s="10" t="str">
        <x:v>NOT_MODELED</x:v>
      </x:c>
    </x:row>
    <x:row r="779" ht="85" customHeight="1">
      <x:c r="A779" s="10" t="str">
        <x:v>V-R1</x:v>
      </x:c>
      <x:c r="B779" s="10" t="str">
        <x:v>VOICE</x:v>
      </x:c>
      <x:c r="C779" s="10" t="str">
        <x:v>VOICE:S1-14</x:v>
      </x:c>
      <x:c r="D779" s="10" t="str">
        <x:v>VOICE:S1-14:input</x:v>
      </x:c>
      <x:c r="E779" s="10" t="str">
        <x:v>V-S1</x:v>
      </x:c>
      <x:c r="F779" s="10" t="n">
        <x:v>1</x:v>
      </x:c>
      <x:c r="G779" s="11" t="n">
        <x:v>0</x:v>
      </x:c>
      <x:c r="H779" s="11" t="n">
        <x:v>2.3000000000000003</x:v>
      </x:c>
      <x:c r="I779" s="11" t="n">
        <x:f>H779-G779</x:f>
        <x:v>2.3000000000000003</x:v>
      </x:c>
      <x:c r="J779" s="10" t="str">
        <x:v>지금 선택한 이 두 견적을 설치비는 제외하고 비교표로 만들어줘.</x:v>
      </x:c>
      <x:c r="K779" s="10" t="str">
        <x:v>quote-L, quote-R의 설치비를 제외해 비교표 작성을 맡기겠습니다.</x:v>
      </x:c>
      <x:c r="L779" s="11"/>
      <x:c r="M779" s="11"/>
      <x:c r="N779" s="10" t="str">
        <x:v>NOT_MODELED</x:v>
      </x:c>
    </x:row>
    <x:row r="780" ht="85" customHeight="1">
      <x:c r="A780" s="10" t="str">
        <x:v>V-R2</x:v>
      </x:c>
      <x:c r="B780" s="10" t="str">
        <x:v>VOICE</x:v>
      </x:c>
      <x:c r="C780" s="10" t="str">
        <x:v>VOICE:S1-14</x:v>
      </x:c>
      <x:c r="D780" s="10" t="str">
        <x:v>VOICE:S1-14:input</x:v>
      </x:c>
      <x:c r="E780" s="10" t="str">
        <x:v>V-S1</x:v>
      </x:c>
      <x:c r="F780" s="10" t="n">
        <x:v>1</x:v>
      </x:c>
      <x:c r="G780" s="11" t="n">
        <x:v>0</x:v>
      </x:c>
      <x:c r="H780" s="11" t="n">
        <x:v>2.3000000000000003</x:v>
      </x:c>
      <x:c r="I780" s="11" t="n">
        <x:f>H780-G780</x:f>
        <x:v>2.3000000000000003</x:v>
      </x:c>
      <x:c r="J780" s="10" t="str">
        <x:v>지금 선택한 이 두 견적을 설치비는 제외하고 비교표로 만들어줘.</x:v>
      </x:c>
      <x:c r="K780" s="10" t="str">
        <x:v>quote-L, quote-R의 설치비를 제외해 비교표 작성을 맡기겠습니다.</x:v>
      </x:c>
      <x:c r="L780" s="11"/>
      <x:c r="M780" s="11"/>
      <x:c r="N780" s="10" t="str">
        <x:v>NOT_MODELED</x:v>
      </x:c>
    </x:row>
    <x:row r="781" ht="85" customHeight="1">
      <x:c r="A781" s="10" t="str">
        <x:v>V-R3</x:v>
      </x:c>
      <x:c r="B781" s="10" t="str">
        <x:v>VOICE</x:v>
      </x:c>
      <x:c r="C781" s="10" t="str">
        <x:v>VOICE:S1-14</x:v>
      </x:c>
      <x:c r="D781" s="10" t="str">
        <x:v>VOICE:S1-14:input</x:v>
      </x:c>
      <x:c r="E781" s="10" t="str">
        <x:v>V-S1</x:v>
      </x:c>
      <x:c r="F781" s="10" t="n">
        <x:v>1</x:v>
      </x:c>
      <x:c r="G781" s="11" t="n">
        <x:v>0</x:v>
      </x:c>
      <x:c r="H781" s="11" t="n">
        <x:v>2.3000000000000003</x:v>
      </x:c>
      <x:c r="I781" s="11" t="n">
        <x:f>H781-G781</x:f>
        <x:v>2.3000000000000003</x:v>
      </x:c>
      <x:c r="J781" s="10" t="str">
        <x:v>지금 선택한 이 두 견적을 설치비는 제외하고 비교표로 만들어줘.</x:v>
      </x:c>
      <x:c r="K781" s="10" t="str">
        <x:v>quote-L, quote-R의 설치비를 제외해 비교표 작성을 맡기겠습니다.</x:v>
      </x:c>
      <x:c r="L781" s="11"/>
      <x:c r="M781" s="11"/>
      <x:c r="N781" s="10" t="str">
        <x:v>NOT_MODELED</x:v>
      </x:c>
    </x:row>
    <x:row r="782" ht="85" customHeight="1">
      <x:c r="A782" s="10" t="str">
        <x:v>V-A</x:v>
      </x:c>
      <x:c r="B782" s="10" t="str">
        <x:v>VOICE</x:v>
      </x:c>
      <x:c r="C782" s="10" t="str">
        <x:v>VOICE:S1-15</x:v>
      </x:c>
      <x:c r="D782" s="10" t="str">
        <x:v>VOICE:S1-15:input</x:v>
      </x:c>
      <x:c r="E782" s="10" t="str">
        <x:v>V-S1</x:v>
      </x:c>
      <x:c r="F782" s="10" t="n">
        <x:v>1</x:v>
      </x:c>
      <x:c r="G782" s="11" t="n">
        <x:v>0</x:v>
      </x:c>
      <x:c r="H782" s="11" t="n">
        <x:v>2.3000000000000003</x:v>
      </x:c>
      <x:c r="I782" s="11" t="n">
        <x:f>H782-G782</x:f>
        <x:v>2.3000000000000003</x:v>
      </x:c>
      <x:c r="J782" s="10" t="str">
        <x:v>지금 선택한 이 두 견적을 설치비는 제외하고 비교표로 만들어줘.</x:v>
      </x:c>
      <x:c r="K782" s="10" t="str">
        <x:v>quote-L, quote-R의 설치비를 제외해 비교표 작성을 맡기겠습니다.</x:v>
      </x:c>
      <x:c r="L782" s="11"/>
      <x:c r="M782" s="11"/>
      <x:c r="N782" s="10" t="str">
        <x:v>NOT_MODELED</x:v>
      </x:c>
    </x:row>
    <x:row r="783" ht="85" customHeight="1">
      <x:c r="A783" s="10" t="str">
        <x:v>V-R1</x:v>
      </x:c>
      <x:c r="B783" s="10" t="str">
        <x:v>VOICE</x:v>
      </x:c>
      <x:c r="C783" s="10" t="str">
        <x:v>VOICE:S1-15</x:v>
      </x:c>
      <x:c r="D783" s="10" t="str">
        <x:v>VOICE:S1-15:input</x:v>
      </x:c>
      <x:c r="E783" s="10" t="str">
        <x:v>V-S1</x:v>
      </x:c>
      <x:c r="F783" s="10" t="n">
        <x:v>1</x:v>
      </x:c>
      <x:c r="G783" s="11" t="n">
        <x:v>0</x:v>
      </x:c>
      <x:c r="H783" s="11" t="n">
        <x:v>2.3000000000000003</x:v>
      </x:c>
      <x:c r="I783" s="11" t="n">
        <x:f>H783-G783</x:f>
        <x:v>2.3000000000000003</x:v>
      </x:c>
      <x:c r="J783" s="10" t="str">
        <x:v>지금 선택한 이 두 견적을 설치비는 제외하고 비교표로 만들어줘.</x:v>
      </x:c>
      <x:c r="K783" s="10" t="str">
        <x:v>quote-L, quote-R의 설치비를 제외해 비교표 작성을 맡기겠습니다.</x:v>
      </x:c>
      <x:c r="L783" s="11"/>
      <x:c r="M783" s="11"/>
      <x:c r="N783" s="10" t="str">
        <x:v>NOT_MODELED</x:v>
      </x:c>
    </x:row>
    <x:row r="784" ht="85" customHeight="1">
      <x:c r="A784" s="10" t="str">
        <x:v>V-R2</x:v>
      </x:c>
      <x:c r="B784" s="10" t="str">
        <x:v>VOICE</x:v>
      </x:c>
      <x:c r="C784" s="10" t="str">
        <x:v>VOICE:S1-15</x:v>
      </x:c>
      <x:c r="D784" s="10" t="str">
        <x:v>VOICE:S1-15:input</x:v>
      </x:c>
      <x:c r="E784" s="10" t="str">
        <x:v>V-S1</x:v>
      </x:c>
      <x:c r="F784" s="10" t="n">
        <x:v>1</x:v>
      </x:c>
      <x:c r="G784" s="11" t="n">
        <x:v>0</x:v>
      </x:c>
      <x:c r="H784" s="11" t="n">
        <x:v>2.3000000000000003</x:v>
      </x:c>
      <x:c r="I784" s="11" t="n">
        <x:f>H784-G784</x:f>
        <x:v>2.3000000000000003</x:v>
      </x:c>
      <x:c r="J784" s="10" t="str">
        <x:v>지금 선택한 이 두 견적을 설치비는 제외하고 비교표로 만들어줘.</x:v>
      </x:c>
      <x:c r="K784" s="10" t="str">
        <x:v>quote-L, quote-R의 설치비를 제외해 비교표 작성을 맡기겠습니다.</x:v>
      </x:c>
      <x:c r="L784" s="11"/>
      <x:c r="M784" s="11"/>
      <x:c r="N784" s="10" t="str">
        <x:v>NOT_MODELED</x:v>
      </x:c>
    </x:row>
    <x:row r="785" ht="85" customHeight="1">
      <x:c r="A785" s="10" t="str">
        <x:v>V-R3</x:v>
      </x:c>
      <x:c r="B785" s="10" t="str">
        <x:v>VOICE</x:v>
      </x:c>
      <x:c r="C785" s="10" t="str">
        <x:v>VOICE:S1-15</x:v>
      </x:c>
      <x:c r="D785" s="10" t="str">
        <x:v>VOICE:S1-15:input</x:v>
      </x:c>
      <x:c r="E785" s="10" t="str">
        <x:v>V-S1</x:v>
      </x:c>
      <x:c r="F785" s="10" t="n">
        <x:v>1</x:v>
      </x:c>
      <x:c r="G785" s="11" t="n">
        <x:v>0</x:v>
      </x:c>
      <x:c r="H785" s="11" t="n">
        <x:v>2.3000000000000003</x:v>
      </x:c>
      <x:c r="I785" s="11" t="n">
        <x:f>H785-G785</x:f>
        <x:v>2.3000000000000003</x:v>
      </x:c>
      <x:c r="J785" s="10" t="str">
        <x:v>지금 선택한 이 두 견적을 설치비는 제외하고 비교표로 만들어줘.</x:v>
      </x:c>
      <x:c r="K785" s="10" t="str">
        <x:v>quote-L, quote-R의 설치비를 제외해 비교표 작성을 맡기겠습니다.</x:v>
      </x:c>
      <x:c r="L785" s="11"/>
      <x:c r="M785" s="11"/>
      <x:c r="N785" s="10" t="str">
        <x:v>NOT_MODELED</x:v>
      </x:c>
    </x:row>
    <x:row r="786" ht="85" customHeight="1">
      <x:c r="A786" s="10" t="str">
        <x:v>V-A</x:v>
      </x:c>
      <x:c r="B786" s="10" t="str">
        <x:v>VOICE</x:v>
      </x:c>
      <x:c r="C786" s="10" t="str">
        <x:v>VOICE:S1-16</x:v>
      </x:c>
      <x:c r="D786" s="10" t="str">
        <x:v>VOICE:S1-16:input</x:v>
      </x:c>
      <x:c r="E786" s="10" t="str">
        <x:v>V-S1</x:v>
      </x:c>
      <x:c r="F786" s="10" t="n">
        <x:v>1</x:v>
      </x:c>
      <x:c r="G786" s="11" t="n">
        <x:v>0</x:v>
      </x:c>
      <x:c r="H786" s="11" t="n">
        <x:v>2.3000000000000003</x:v>
      </x:c>
      <x:c r="I786" s="11" t="n">
        <x:f>H786-G786</x:f>
        <x:v>2.3000000000000003</x:v>
      </x:c>
      <x:c r="J786" s="10" t="str">
        <x:v>지금 선택한 이 두 견적을 설치비는 제외하고 비교표로 만들어줘.</x:v>
      </x:c>
      <x:c r="K786" s="10" t="str">
        <x:v>quote-L, quote-R의 설치비를 제외해 비교표 작성을 맡기겠습니다.</x:v>
      </x:c>
      <x:c r="L786" s="11"/>
      <x:c r="M786" s="11"/>
      <x:c r="N786" s="10" t="str">
        <x:v>NOT_MODELED</x:v>
      </x:c>
    </x:row>
    <x:row r="787" ht="85" customHeight="1">
      <x:c r="A787" s="10" t="str">
        <x:v>V-R1</x:v>
      </x:c>
      <x:c r="B787" s="10" t="str">
        <x:v>VOICE</x:v>
      </x:c>
      <x:c r="C787" s="10" t="str">
        <x:v>VOICE:S1-16</x:v>
      </x:c>
      <x:c r="D787" s="10" t="str">
        <x:v>VOICE:S1-16:input</x:v>
      </x:c>
      <x:c r="E787" s="10" t="str">
        <x:v>V-S1</x:v>
      </x:c>
      <x:c r="F787" s="10" t="n">
        <x:v>1</x:v>
      </x:c>
      <x:c r="G787" s="11" t="n">
        <x:v>0</x:v>
      </x:c>
      <x:c r="H787" s="11" t="n">
        <x:v>2.3000000000000003</x:v>
      </x:c>
      <x:c r="I787" s="11" t="n">
        <x:f>H787-G787</x:f>
        <x:v>2.3000000000000003</x:v>
      </x:c>
      <x:c r="J787" s="10" t="str">
        <x:v>지금 선택한 이 두 견적을 설치비는 제외하고 비교표로 만들어줘.</x:v>
      </x:c>
      <x:c r="K787" s="10" t="str">
        <x:v>quote-L, quote-R의 설치비를 제외해 비교표 작성을 맡기겠습니다.</x:v>
      </x:c>
      <x:c r="L787" s="11"/>
      <x:c r="M787" s="11"/>
      <x:c r="N787" s="10" t="str">
        <x:v>NOT_MODELED</x:v>
      </x:c>
    </x:row>
    <x:row r="788" ht="85" customHeight="1">
      <x:c r="A788" s="10" t="str">
        <x:v>V-R2</x:v>
      </x:c>
      <x:c r="B788" s="10" t="str">
        <x:v>VOICE</x:v>
      </x:c>
      <x:c r="C788" s="10" t="str">
        <x:v>VOICE:S1-16</x:v>
      </x:c>
      <x:c r="D788" s="10" t="str">
        <x:v>VOICE:S1-16:input</x:v>
      </x:c>
      <x:c r="E788" s="10" t="str">
        <x:v>V-S1</x:v>
      </x:c>
      <x:c r="F788" s="10" t="n">
        <x:v>1</x:v>
      </x:c>
      <x:c r="G788" s="11" t="n">
        <x:v>0</x:v>
      </x:c>
      <x:c r="H788" s="11" t="n">
        <x:v>2.3000000000000003</x:v>
      </x:c>
      <x:c r="I788" s="11" t="n">
        <x:f>H788-G788</x:f>
        <x:v>2.3000000000000003</x:v>
      </x:c>
      <x:c r="J788" s="10" t="str">
        <x:v>지금 선택한 이 두 견적을 설치비는 제외하고 비교표로 만들어줘.</x:v>
      </x:c>
      <x:c r="K788" s="10" t="str">
        <x:v>quote-L, quote-R의 설치비를 제외해 비교표 작성을 맡기겠습니다.</x:v>
      </x:c>
      <x:c r="L788" s="11"/>
      <x:c r="M788" s="11"/>
      <x:c r="N788" s="10" t="str">
        <x:v>NOT_MODELED</x:v>
      </x:c>
    </x:row>
    <x:row r="789" ht="85" customHeight="1">
      <x:c r="A789" s="10" t="str">
        <x:v>V-R3</x:v>
      </x:c>
      <x:c r="B789" s="10" t="str">
        <x:v>VOICE</x:v>
      </x:c>
      <x:c r="C789" s="10" t="str">
        <x:v>VOICE:S1-16</x:v>
      </x:c>
      <x:c r="D789" s="10" t="str">
        <x:v>VOICE:S1-16:input</x:v>
      </x:c>
      <x:c r="E789" s="10" t="str">
        <x:v>V-S1</x:v>
      </x:c>
      <x:c r="F789" s="10" t="n">
        <x:v>1</x:v>
      </x:c>
      <x:c r="G789" s="11" t="n">
        <x:v>0</x:v>
      </x:c>
      <x:c r="H789" s="11" t="n">
        <x:v>2.3000000000000003</x:v>
      </x:c>
      <x:c r="I789" s="11" t="n">
        <x:f>H789-G789</x:f>
        <x:v>2.3000000000000003</x:v>
      </x:c>
      <x:c r="J789" s="10" t="str">
        <x:v>지금 선택한 이 두 견적을 설치비는 제외하고 비교표로 만들어줘.</x:v>
      </x:c>
      <x:c r="K789" s="10" t="str">
        <x:v>quote-L, quote-R의 설치비를 제외해 비교표 작성을 맡기겠습니다.</x:v>
      </x:c>
      <x:c r="L789" s="11"/>
      <x:c r="M789" s="11"/>
      <x:c r="N789" s="10" t="str">
        <x:v>NOT_MODELED</x:v>
      </x:c>
    </x:row>
    <x:row r="790" ht="85" customHeight="1">
      <x:c r="A790" s="10" t="str">
        <x:v>V-A</x:v>
      </x:c>
      <x:c r="B790" s="10" t="str">
        <x:v>VOICE</x:v>
      </x:c>
      <x:c r="C790" s="10" t="str">
        <x:v>VOICE:S1-17</x:v>
      </x:c>
      <x:c r="D790" s="10" t="str">
        <x:v>VOICE:S1-17:input</x:v>
      </x:c>
      <x:c r="E790" s="10" t="str">
        <x:v>V-S1</x:v>
      </x:c>
      <x:c r="F790" s="10" t="n">
        <x:v>1</x:v>
      </x:c>
      <x:c r="G790" s="11" t="n">
        <x:v>0</x:v>
      </x:c>
      <x:c r="H790" s="11" t="n">
        <x:v>2.3000000000000003</x:v>
      </x:c>
      <x:c r="I790" s="11" t="n">
        <x:f>H790-G790</x:f>
        <x:v>2.3000000000000003</x:v>
      </x:c>
      <x:c r="J790" s="10" t="str">
        <x:v>지금 선택한 이 두 견적을 설치비는 제외하고 비교표로 만들어줘.</x:v>
      </x:c>
      <x:c r="K790" s="10" t="str">
        <x:v>quote-L, quote-R의 설치비를 제외해 비교표 작성을 맡기겠습니다.</x:v>
      </x:c>
      <x:c r="L790" s="11"/>
      <x:c r="M790" s="11"/>
      <x:c r="N790" s="10" t="str">
        <x:v>NOT_MODELED</x:v>
      </x:c>
    </x:row>
    <x:row r="791" ht="85" customHeight="1">
      <x:c r="A791" s="10" t="str">
        <x:v>V-R1</x:v>
      </x:c>
      <x:c r="B791" s="10" t="str">
        <x:v>VOICE</x:v>
      </x:c>
      <x:c r="C791" s="10" t="str">
        <x:v>VOICE:S1-17</x:v>
      </x:c>
      <x:c r="D791" s="10" t="str">
        <x:v>VOICE:S1-17:input</x:v>
      </x:c>
      <x:c r="E791" s="10" t="str">
        <x:v>V-S1</x:v>
      </x:c>
      <x:c r="F791" s="10" t="n">
        <x:v>1</x:v>
      </x:c>
      <x:c r="G791" s="11" t="n">
        <x:v>0</x:v>
      </x:c>
      <x:c r="H791" s="11" t="n">
        <x:v>2.3000000000000003</x:v>
      </x:c>
      <x:c r="I791" s="11" t="n">
        <x:f>H791-G791</x:f>
        <x:v>2.3000000000000003</x:v>
      </x:c>
      <x:c r="J791" s="10" t="str">
        <x:v>지금 선택한 이 두 견적을 설치비는 제외하고 비교표로 만들어줘.</x:v>
      </x:c>
      <x:c r="K791" s="10" t="str">
        <x:v>quote-L, quote-R의 설치비를 제외해 비교표 작성을 맡기겠습니다.</x:v>
      </x:c>
      <x:c r="L791" s="11"/>
      <x:c r="M791" s="11"/>
      <x:c r="N791" s="10" t="str">
        <x:v>NOT_MODELED</x:v>
      </x:c>
    </x:row>
    <x:row r="792" ht="85" customHeight="1">
      <x:c r="A792" s="10" t="str">
        <x:v>V-R2</x:v>
      </x:c>
      <x:c r="B792" s="10" t="str">
        <x:v>VOICE</x:v>
      </x:c>
      <x:c r="C792" s="10" t="str">
        <x:v>VOICE:S1-17</x:v>
      </x:c>
      <x:c r="D792" s="10" t="str">
        <x:v>VOICE:S1-17:input</x:v>
      </x:c>
      <x:c r="E792" s="10" t="str">
        <x:v>V-S1</x:v>
      </x:c>
      <x:c r="F792" s="10" t="n">
        <x:v>1</x:v>
      </x:c>
      <x:c r="G792" s="11" t="n">
        <x:v>0</x:v>
      </x:c>
      <x:c r="H792" s="11" t="n">
        <x:v>2.3000000000000003</x:v>
      </x:c>
      <x:c r="I792" s="11" t="n">
        <x:f>H792-G792</x:f>
        <x:v>2.3000000000000003</x:v>
      </x:c>
      <x:c r="J792" s="10" t="str">
        <x:v>지금 선택한 이 두 견적을 설치비는 제외하고 비교표로 만들어줘.</x:v>
      </x:c>
      <x:c r="K792" s="10" t="str">
        <x:v>quote-L, quote-R의 설치비를 제외해 비교표 작성을 맡기겠습니다.</x:v>
      </x:c>
      <x:c r="L792" s="11"/>
      <x:c r="M792" s="11"/>
      <x:c r="N792" s="10" t="str">
        <x:v>NOT_MODELED</x:v>
      </x:c>
    </x:row>
    <x:row r="793" ht="85" customHeight="1">
      <x:c r="A793" s="10" t="str">
        <x:v>V-R3</x:v>
      </x:c>
      <x:c r="B793" s="10" t="str">
        <x:v>VOICE</x:v>
      </x:c>
      <x:c r="C793" s="10" t="str">
        <x:v>VOICE:S1-17</x:v>
      </x:c>
      <x:c r="D793" s="10" t="str">
        <x:v>VOICE:S1-17:input</x:v>
      </x:c>
      <x:c r="E793" s="10" t="str">
        <x:v>V-S1</x:v>
      </x:c>
      <x:c r="F793" s="10" t="n">
        <x:v>1</x:v>
      </x:c>
      <x:c r="G793" s="11" t="n">
        <x:v>0</x:v>
      </x:c>
      <x:c r="H793" s="11" t="n">
        <x:v>2.3000000000000003</x:v>
      </x:c>
      <x:c r="I793" s="11" t="n">
        <x:f>H793-G793</x:f>
        <x:v>2.3000000000000003</x:v>
      </x:c>
      <x:c r="J793" s="10" t="str">
        <x:v>지금 선택한 이 두 견적을 설치비는 제외하고 비교표로 만들어줘.</x:v>
      </x:c>
      <x:c r="K793" s="10" t="str">
        <x:v>quote-L, quote-R의 설치비를 제외해 비교표 작성을 맡기겠습니다.</x:v>
      </x:c>
      <x:c r="L793" s="11"/>
      <x:c r="M793" s="11"/>
      <x:c r="N793" s="10" t="str">
        <x:v>NOT_MODELED</x:v>
      </x:c>
    </x:row>
    <x:row r="794" ht="85" customHeight="1">
      <x:c r="A794" s="10" t="str">
        <x:v>V-A</x:v>
      </x:c>
      <x:c r="B794" s="10" t="str">
        <x:v>VOICE</x:v>
      </x:c>
      <x:c r="C794" s="10" t="str">
        <x:v>VOICE:S1-18</x:v>
      </x:c>
      <x:c r="D794" s="10" t="str">
        <x:v>VOICE:S1-18:input</x:v>
      </x:c>
      <x:c r="E794" s="10" t="str">
        <x:v>V-S1</x:v>
      </x:c>
      <x:c r="F794" s="10" t="n">
        <x:v>1</x:v>
      </x:c>
      <x:c r="G794" s="11" t="n">
        <x:v>0</x:v>
      </x:c>
      <x:c r="H794" s="11" t="n">
        <x:v>2.3000000000000003</x:v>
      </x:c>
      <x:c r="I794" s="11" t="n">
        <x:f>H794-G794</x:f>
        <x:v>2.3000000000000003</x:v>
      </x:c>
      <x:c r="J794" s="10" t="str">
        <x:v>지금 선택한 이 두 견적을 설치비는 제외하고 비교표로 만들어줘.</x:v>
      </x:c>
      <x:c r="K794" s="10" t="str">
        <x:v>quote-L, quote-R의 설치비를 제외해 비교표 작성을 맡기겠습니다.</x:v>
      </x:c>
      <x:c r="L794" s="11"/>
      <x:c r="M794" s="11"/>
      <x:c r="N794" s="10" t="str">
        <x:v>NOT_MODELED</x:v>
      </x:c>
    </x:row>
    <x:row r="795" ht="85" customHeight="1">
      <x:c r="A795" s="10" t="str">
        <x:v>V-R1</x:v>
      </x:c>
      <x:c r="B795" s="10" t="str">
        <x:v>VOICE</x:v>
      </x:c>
      <x:c r="C795" s="10" t="str">
        <x:v>VOICE:S1-18</x:v>
      </x:c>
      <x:c r="D795" s="10" t="str">
        <x:v>VOICE:S1-18:input</x:v>
      </x:c>
      <x:c r="E795" s="10" t="str">
        <x:v>V-S1</x:v>
      </x:c>
      <x:c r="F795" s="10" t="n">
        <x:v>1</x:v>
      </x:c>
      <x:c r="G795" s="11" t="n">
        <x:v>0</x:v>
      </x:c>
      <x:c r="H795" s="11" t="n">
        <x:v>2.3000000000000003</x:v>
      </x:c>
      <x:c r="I795" s="11" t="n">
        <x:f>H795-G795</x:f>
        <x:v>2.3000000000000003</x:v>
      </x:c>
      <x:c r="J795" s="10" t="str">
        <x:v>지금 선택한 이 두 견적을 설치비는 제외하고 비교표로 만들어줘.</x:v>
      </x:c>
      <x:c r="K795" s="10" t="str">
        <x:v>quote-L, quote-R의 설치비를 제외해 비교표 작성을 맡기겠습니다.</x:v>
      </x:c>
      <x:c r="L795" s="11"/>
      <x:c r="M795" s="11"/>
      <x:c r="N795" s="10" t="str">
        <x:v>NOT_MODELED</x:v>
      </x:c>
    </x:row>
    <x:row r="796" ht="85" customHeight="1">
      <x:c r="A796" s="10" t="str">
        <x:v>V-R2</x:v>
      </x:c>
      <x:c r="B796" s="10" t="str">
        <x:v>VOICE</x:v>
      </x:c>
      <x:c r="C796" s="10" t="str">
        <x:v>VOICE:S1-18</x:v>
      </x:c>
      <x:c r="D796" s="10" t="str">
        <x:v>VOICE:S1-18:input</x:v>
      </x:c>
      <x:c r="E796" s="10" t="str">
        <x:v>V-S1</x:v>
      </x:c>
      <x:c r="F796" s="10" t="n">
        <x:v>1</x:v>
      </x:c>
      <x:c r="G796" s="11" t="n">
        <x:v>0</x:v>
      </x:c>
      <x:c r="H796" s="11" t="n">
        <x:v>2.3000000000000003</x:v>
      </x:c>
      <x:c r="I796" s="11" t="n">
        <x:f>H796-G796</x:f>
        <x:v>2.3000000000000003</x:v>
      </x:c>
      <x:c r="J796" s="10" t="str">
        <x:v>지금 선택한 이 두 견적을 설치비는 제외하고 비교표로 만들어줘.</x:v>
      </x:c>
      <x:c r="K796" s="10" t="str">
        <x:v>quote-L, quote-R의 설치비를 제외해 비교표 작성을 맡기겠습니다.</x:v>
      </x:c>
      <x:c r="L796" s="11"/>
      <x:c r="M796" s="11"/>
      <x:c r="N796" s="10" t="str">
        <x:v>NOT_MODELED</x:v>
      </x:c>
    </x:row>
    <x:row r="797" ht="85" customHeight="1">
      <x:c r="A797" s="10" t="str">
        <x:v>V-R3</x:v>
      </x:c>
      <x:c r="B797" s="10" t="str">
        <x:v>VOICE</x:v>
      </x:c>
      <x:c r="C797" s="10" t="str">
        <x:v>VOICE:S1-18</x:v>
      </x:c>
      <x:c r="D797" s="10" t="str">
        <x:v>VOICE:S1-18:input</x:v>
      </x:c>
      <x:c r="E797" s="10" t="str">
        <x:v>V-S1</x:v>
      </x:c>
      <x:c r="F797" s="10" t="n">
        <x:v>1</x:v>
      </x:c>
      <x:c r="G797" s="11" t="n">
        <x:v>0</x:v>
      </x:c>
      <x:c r="H797" s="11" t="n">
        <x:v>2.3000000000000003</x:v>
      </x:c>
      <x:c r="I797" s="11" t="n">
        <x:f>H797-G797</x:f>
        <x:v>2.3000000000000003</x:v>
      </x:c>
      <x:c r="J797" s="10" t="str">
        <x:v>지금 선택한 이 두 견적을 설치비는 제외하고 비교표로 만들어줘.</x:v>
      </x:c>
      <x:c r="K797" s="10" t="str">
        <x:v>quote-L, quote-R의 설치비를 제외해 비교표 작성을 맡기겠습니다.</x:v>
      </x:c>
      <x:c r="L797" s="11"/>
      <x:c r="M797" s="11"/>
      <x:c r="N797" s="10" t="str">
        <x:v>NOT_MODELED</x:v>
      </x:c>
    </x:row>
    <x:row r="798" ht="85" customHeight="1">
      <x:c r="A798" s="10" t="str">
        <x:v>V-A</x:v>
      </x:c>
      <x:c r="B798" s="10" t="str">
        <x:v>VOICE</x:v>
      </x:c>
      <x:c r="C798" s="10" t="str">
        <x:v>VOICE:S1-19</x:v>
      </x:c>
      <x:c r="D798" s="10" t="str">
        <x:v>VOICE:S1-19:input</x:v>
      </x:c>
      <x:c r="E798" s="10" t="str">
        <x:v>V-S1</x:v>
      </x:c>
      <x:c r="F798" s="10" t="n">
        <x:v>1</x:v>
      </x:c>
      <x:c r="G798" s="11" t="n">
        <x:v>0</x:v>
      </x:c>
      <x:c r="H798" s="11" t="n">
        <x:v>2.3000000000000003</x:v>
      </x:c>
      <x:c r="I798" s="11" t="n">
        <x:f>H798-G798</x:f>
        <x:v>2.3000000000000003</x:v>
      </x:c>
      <x:c r="J798" s="10" t="str">
        <x:v>지금 선택한 이 두 견적을 설치비는 제외하고 비교표로 만들어줘.</x:v>
      </x:c>
      <x:c r="K798" s="10" t="str">
        <x:v>quote-L, quote-R의 설치비를 제외해 비교표 작성을 맡기겠습니다.</x:v>
      </x:c>
      <x:c r="L798" s="11"/>
      <x:c r="M798" s="11"/>
      <x:c r="N798" s="10" t="str">
        <x:v>NOT_MODELED</x:v>
      </x:c>
    </x:row>
    <x:row r="799" ht="85" customHeight="1">
      <x:c r="A799" s="10" t="str">
        <x:v>V-R1</x:v>
      </x:c>
      <x:c r="B799" s="10" t="str">
        <x:v>VOICE</x:v>
      </x:c>
      <x:c r="C799" s="10" t="str">
        <x:v>VOICE:S1-19</x:v>
      </x:c>
      <x:c r="D799" s="10" t="str">
        <x:v>VOICE:S1-19:input</x:v>
      </x:c>
      <x:c r="E799" s="10" t="str">
        <x:v>V-S1</x:v>
      </x:c>
      <x:c r="F799" s="10" t="n">
        <x:v>1</x:v>
      </x:c>
      <x:c r="G799" s="11" t="n">
        <x:v>0</x:v>
      </x:c>
      <x:c r="H799" s="11" t="n">
        <x:v>2.3000000000000003</x:v>
      </x:c>
      <x:c r="I799" s="11" t="n">
        <x:f>H799-G799</x:f>
        <x:v>2.3000000000000003</x:v>
      </x:c>
      <x:c r="J799" s="10" t="str">
        <x:v>지금 선택한 이 두 견적을 설치비는 제외하고 비교표로 만들어줘.</x:v>
      </x:c>
      <x:c r="K799" s="10" t="str">
        <x:v>quote-L, quote-R의 설치비를 제외해 비교표 작성을 맡기겠습니다.</x:v>
      </x:c>
      <x:c r="L799" s="11"/>
      <x:c r="M799" s="11"/>
      <x:c r="N799" s="10" t="str">
        <x:v>NOT_MODELED</x:v>
      </x:c>
    </x:row>
    <x:row r="800" ht="85" customHeight="1">
      <x:c r="A800" s="10" t="str">
        <x:v>V-R2</x:v>
      </x:c>
      <x:c r="B800" s="10" t="str">
        <x:v>VOICE</x:v>
      </x:c>
      <x:c r="C800" s="10" t="str">
        <x:v>VOICE:S1-19</x:v>
      </x:c>
      <x:c r="D800" s="10" t="str">
        <x:v>VOICE:S1-19:input</x:v>
      </x:c>
      <x:c r="E800" s="10" t="str">
        <x:v>V-S1</x:v>
      </x:c>
      <x:c r="F800" s="10" t="n">
        <x:v>1</x:v>
      </x:c>
      <x:c r="G800" s="11" t="n">
        <x:v>0</x:v>
      </x:c>
      <x:c r="H800" s="11" t="n">
        <x:v>2.3000000000000003</x:v>
      </x:c>
      <x:c r="I800" s="11" t="n">
        <x:f>H800-G800</x:f>
        <x:v>2.3000000000000003</x:v>
      </x:c>
      <x:c r="J800" s="10" t="str">
        <x:v>지금 선택한 이 두 견적을 설치비는 제외하고 비교표로 만들어줘.</x:v>
      </x:c>
      <x:c r="K800" s="10" t="str">
        <x:v>quote-L, quote-R의 설치비를 제외해 비교표 작성을 맡기겠습니다.</x:v>
      </x:c>
      <x:c r="L800" s="11"/>
      <x:c r="M800" s="11"/>
      <x:c r="N800" s="10" t="str">
        <x:v>NOT_MODELED</x:v>
      </x:c>
    </x:row>
    <x:row r="801" ht="85" customHeight="1">
      <x:c r="A801" s="10" t="str">
        <x:v>V-R3</x:v>
      </x:c>
      <x:c r="B801" s="10" t="str">
        <x:v>VOICE</x:v>
      </x:c>
      <x:c r="C801" s="10" t="str">
        <x:v>VOICE:S1-19</x:v>
      </x:c>
      <x:c r="D801" s="10" t="str">
        <x:v>VOICE:S1-19:input</x:v>
      </x:c>
      <x:c r="E801" s="10" t="str">
        <x:v>V-S1</x:v>
      </x:c>
      <x:c r="F801" s="10" t="n">
        <x:v>1</x:v>
      </x:c>
      <x:c r="G801" s="11" t="n">
        <x:v>0</x:v>
      </x:c>
      <x:c r="H801" s="11" t="n">
        <x:v>2.3000000000000003</x:v>
      </x:c>
      <x:c r="I801" s="11" t="n">
        <x:f>H801-G801</x:f>
        <x:v>2.3000000000000003</x:v>
      </x:c>
      <x:c r="J801" s="10" t="str">
        <x:v>지금 선택한 이 두 견적을 설치비는 제외하고 비교표로 만들어줘.</x:v>
      </x:c>
      <x:c r="K801" s="10" t="str">
        <x:v>quote-L, quote-R의 설치비를 제외해 비교표 작성을 맡기겠습니다.</x:v>
      </x:c>
      <x:c r="L801" s="11"/>
      <x:c r="M801" s="11"/>
      <x:c r="N801" s="10" t="str">
        <x:v>NOT_MODELED</x:v>
      </x:c>
    </x:row>
    <x:row r="802" ht="85" customHeight="1">
      <x:c r="A802" s="10" t="str">
        <x:v>V-A</x:v>
      </x:c>
      <x:c r="B802" s="10" t="str">
        <x:v>VOICE</x:v>
      </x:c>
      <x:c r="C802" s="10" t="str">
        <x:v>VOICE:S1-20</x:v>
      </x:c>
      <x:c r="D802" s="10" t="str">
        <x:v>VOICE:S1-20:input</x:v>
      </x:c>
      <x:c r="E802" s="10" t="str">
        <x:v>V-S1</x:v>
      </x:c>
      <x:c r="F802" s="10" t="n">
        <x:v>1</x:v>
      </x:c>
      <x:c r="G802" s="11" t="n">
        <x:v>0</x:v>
      </x:c>
      <x:c r="H802" s="11" t="n">
        <x:v>2.3000000000000003</x:v>
      </x:c>
      <x:c r="I802" s="11" t="n">
        <x:f>H802-G802</x:f>
        <x:v>2.3000000000000003</x:v>
      </x:c>
      <x:c r="J802" s="10" t="str">
        <x:v>지금 선택한 이 두 견적을 설치비는 제외하고 비교표로 만들어줘.</x:v>
      </x:c>
      <x:c r="K802" s="10" t="str">
        <x:v>quote-L, quote-R의 설치비를 제외해 비교표 작성을 맡기겠습니다.</x:v>
      </x:c>
      <x:c r="L802" s="11"/>
      <x:c r="M802" s="11"/>
      <x:c r="N802" s="10" t="str">
        <x:v>NOT_MODELED</x:v>
      </x:c>
    </x:row>
    <x:row r="803" ht="85" customHeight="1">
      <x:c r="A803" s="10" t="str">
        <x:v>V-R1</x:v>
      </x:c>
      <x:c r="B803" s="10" t="str">
        <x:v>VOICE</x:v>
      </x:c>
      <x:c r="C803" s="10" t="str">
        <x:v>VOICE:S1-20</x:v>
      </x:c>
      <x:c r="D803" s="10" t="str">
        <x:v>VOICE:S1-20:input</x:v>
      </x:c>
      <x:c r="E803" s="10" t="str">
        <x:v>V-S1</x:v>
      </x:c>
      <x:c r="F803" s="10" t="n">
        <x:v>1</x:v>
      </x:c>
      <x:c r="G803" s="11" t="n">
        <x:v>0</x:v>
      </x:c>
      <x:c r="H803" s="11" t="n">
        <x:v>2.3000000000000003</x:v>
      </x:c>
      <x:c r="I803" s="11" t="n">
        <x:f>H803-G803</x:f>
        <x:v>2.3000000000000003</x:v>
      </x:c>
      <x:c r="J803" s="10" t="str">
        <x:v>지금 선택한 이 두 견적을 설치비는 제외하고 비교표로 만들어줘.</x:v>
      </x:c>
      <x:c r="K803" s="10" t="str">
        <x:v>quote-L, quote-R의 설치비를 제외해 비교표 작성을 맡기겠습니다.</x:v>
      </x:c>
      <x:c r="L803" s="11"/>
      <x:c r="M803" s="11"/>
      <x:c r="N803" s="10" t="str">
        <x:v>NOT_MODELED</x:v>
      </x:c>
    </x:row>
    <x:row r="804" ht="85" customHeight="1">
      <x:c r="A804" s="10" t="str">
        <x:v>V-R2</x:v>
      </x:c>
      <x:c r="B804" s="10" t="str">
        <x:v>VOICE</x:v>
      </x:c>
      <x:c r="C804" s="10" t="str">
        <x:v>VOICE:S1-20</x:v>
      </x:c>
      <x:c r="D804" s="10" t="str">
        <x:v>VOICE:S1-20:input</x:v>
      </x:c>
      <x:c r="E804" s="10" t="str">
        <x:v>V-S1</x:v>
      </x:c>
      <x:c r="F804" s="10" t="n">
        <x:v>1</x:v>
      </x:c>
      <x:c r="G804" s="11" t="n">
        <x:v>0</x:v>
      </x:c>
      <x:c r="H804" s="11" t="n">
        <x:v>2.3000000000000003</x:v>
      </x:c>
      <x:c r="I804" s="11" t="n">
        <x:f>H804-G804</x:f>
        <x:v>2.3000000000000003</x:v>
      </x:c>
      <x:c r="J804" s="10" t="str">
        <x:v>지금 선택한 이 두 견적을 설치비는 제외하고 비교표로 만들어줘.</x:v>
      </x:c>
      <x:c r="K804" s="10" t="str">
        <x:v>quote-L, quote-R의 설치비를 제외해 비교표 작성을 맡기겠습니다.</x:v>
      </x:c>
      <x:c r="L804" s="11"/>
      <x:c r="M804" s="11"/>
      <x:c r="N804" s="10" t="str">
        <x:v>NOT_MODELED</x:v>
      </x:c>
    </x:row>
    <x:row r="805" ht="85" customHeight="1">
      <x:c r="A805" s="10" t="str">
        <x:v>V-R3</x:v>
      </x:c>
      <x:c r="B805" s="10" t="str">
        <x:v>VOICE</x:v>
      </x:c>
      <x:c r="C805" s="10" t="str">
        <x:v>VOICE:S1-20</x:v>
      </x:c>
      <x:c r="D805" s="10" t="str">
        <x:v>VOICE:S1-20:input</x:v>
      </x:c>
      <x:c r="E805" s="10" t="str">
        <x:v>V-S1</x:v>
      </x:c>
      <x:c r="F805" s="10" t="n">
        <x:v>1</x:v>
      </x:c>
      <x:c r="G805" s="11" t="n">
        <x:v>0</x:v>
      </x:c>
      <x:c r="H805" s="11" t="n">
        <x:v>2.3000000000000003</x:v>
      </x:c>
      <x:c r="I805" s="11" t="n">
        <x:f>H805-G805</x:f>
        <x:v>2.3000000000000003</x:v>
      </x:c>
      <x:c r="J805" s="10" t="str">
        <x:v>지금 선택한 이 두 견적을 설치비는 제외하고 비교표로 만들어줘.</x:v>
      </x:c>
      <x:c r="K805" s="10" t="str">
        <x:v>quote-L, quote-R의 설치비를 제외해 비교표 작성을 맡기겠습니다.</x:v>
      </x:c>
      <x:c r="L805" s="11"/>
      <x:c r="M805" s="11"/>
      <x:c r="N805" s="10" t="str">
        <x:v>NOT_MODELED</x:v>
      </x:c>
    </x:row>
    <x:row r="806" ht="85" customHeight="1">
      <x:c r="A806" s="10" t="str">
        <x:v>V-A</x:v>
      </x:c>
      <x:c r="B806" s="10" t="str">
        <x:v>VOICE</x:v>
      </x:c>
      <x:c r="C806" s="10" t="str">
        <x:v>VOICE:S2-01</x:v>
      </x:c>
      <x:c r="D806" s="10" t="str">
        <x:v>VOICE:S2-01:input</x:v>
      </x:c>
      <x:c r="E806" s="10" t="str">
        <x:v>V-S2</x:v>
      </x:c>
      <x:c r="F806" s="10" t="n">
        <x:v>1</x:v>
      </x:c>
      <x:c r="G806" s="11" t="n">
        <x:v>0</x:v>
      </x:c>
      <x:c r="H806" s="11" t="n">
        <x:v>3.8000000000000003</x:v>
      </x:c>
      <x:c r="I806" s="11" t="n">
        <x:f>H806-G806</x:f>
        <x:v>3.8000000000000003</x:v>
      </x:c>
      <x:c r="J806" s="10" t="str">
        <x:v>방금 원으로 묶은 이 두 견적을 설치비는 제외하고 비교표로 만들어줘.</x:v>
      </x:c>
      <x:c r="K806" s="10" t="str">
        <x:v>quote-L, quote-Z의 설치비를 제외해 비교표 작성을 맡기겠습니다.</x:v>
      </x:c>
      <x:c r="L806" s="11"/>
      <x:c r="M806" s="11"/>
      <x:c r="N806" s="10" t="str">
        <x:v>NOT_MODELED</x:v>
      </x:c>
    </x:row>
    <x:row r="807" ht="85" customHeight="1">
      <x:c r="A807" s="10" t="str">
        <x:v>V-R1</x:v>
      </x:c>
      <x:c r="B807" s="10" t="str">
        <x:v>VOICE</x:v>
      </x:c>
      <x:c r="C807" s="10" t="str">
        <x:v>VOICE:S2-01</x:v>
      </x:c>
      <x:c r="D807" s="10" t="str">
        <x:v>VOICE:S2-01:input</x:v>
      </x:c>
      <x:c r="E807" s="10" t="str">
        <x:v>V-S2</x:v>
      </x:c>
      <x:c r="F807" s="10" t="n">
        <x:v>1</x:v>
      </x:c>
      <x:c r="G807" s="11" t="n">
        <x:v>0</x:v>
      </x:c>
      <x:c r="H807" s="11" t="n">
        <x:v>6.933333333333334</x:v>
      </x:c>
      <x:c r="I807" s="11" t="n">
        <x:f>H807-G807</x:f>
        <x:v>6.933333333333334</x:v>
      </x:c>
      <x:c r="J807" s="10" t="str">
        <x:v>방금 원으로 묶은 이 두 견적을 설치비는 제외하고 비교표로 만들어줘.</x:v>
      </x:c>
      <x:c r="K807" s="10" t="str">
        <x:v>quote-L, quote-R의 설치비를 제외해 비교표 작성을 맡기겠습니다.</x:v>
      </x:c>
      <x:c r="L807" s="11"/>
      <x:c r="M807" s="11"/>
      <x:c r="N807" s="10" t="str">
        <x:v>NOT_MODELED</x:v>
      </x:c>
    </x:row>
    <x:row r="808" ht="85" customHeight="1">
      <x:c r="A808" s="10" t="str">
        <x:v>V-R2</x:v>
      </x:c>
      <x:c r="B808" s="10" t="str">
        <x:v>VOICE</x:v>
      </x:c>
      <x:c r="C808" s="10" t="str">
        <x:v>VOICE:S2-01</x:v>
      </x:c>
      <x:c r="D808" s="10" t="str">
        <x:v>VOICE:S2-01:input</x:v>
      </x:c>
      <x:c r="E808" s="10" t="str">
        <x:v>V-S2</x:v>
      </x:c>
      <x:c r="F808" s="10" t="n">
        <x:v>1</x:v>
      </x:c>
      <x:c r="G808" s="11" t="n">
        <x:v>0</x:v>
      </x:c>
      <x:c r="H808" s="11" t="n">
        <x:v>6.933333333333334</x:v>
      </x:c>
      <x:c r="I808" s="11" t="n">
        <x:f>H808-G808</x:f>
        <x:v>6.933333333333334</x:v>
      </x:c>
      <x:c r="J808" s="10" t="str">
        <x:v>방금 원으로 묶은 이 두 견적을 설치비는 제외하고 비교표로 만들어줘.</x:v>
      </x:c>
      <x:c r="K808" s="10" t="str">
        <x:v>quote-L, quote-R의 설치비를 제외해 비교표 작성을 맡기겠습니다.</x:v>
      </x:c>
      <x:c r="L808" s="11"/>
      <x:c r="M808" s="11"/>
      <x:c r="N808" s="10" t="str">
        <x:v>NOT_MODELED</x:v>
      </x:c>
    </x:row>
    <x:row r="809" ht="85" customHeight="1">
      <x:c r="A809" s="10" t="str">
        <x:v>V-R3</x:v>
      </x:c>
      <x:c r="B809" s="10" t="str">
        <x:v>VOICE</x:v>
      </x:c>
      <x:c r="C809" s="10" t="str">
        <x:v>VOICE:S2-01</x:v>
      </x:c>
      <x:c r="D809" s="10" t="str">
        <x:v>VOICE:S2-01:input</x:v>
      </x:c>
      <x:c r="E809" s="10" t="str">
        <x:v>V-S2</x:v>
      </x:c>
      <x:c r="F809" s="10" t="n">
        <x:v>1</x:v>
      </x:c>
      <x:c r="G809" s="11" t="n">
        <x:v>0</x:v>
      </x:c>
      <x:c r="H809" s="11" t="n">
        <x:v>6.993333333333333</x:v>
      </x:c>
      <x:c r="I809" s="11" t="n">
        <x:f>H809-G809</x:f>
        <x:v>6.993333333333333</x:v>
      </x:c>
      <x:c r="J809" s="10" t="str">
        <x:v>방금 원으로 묶은 이 두 견적을 설치비는 제외하고 비교표로 만들어줘.</x:v>
      </x:c>
      <x:c r="K809" s="10" t="str">
        <x:v>quote-L, quote-R의 설치비를 제외해 비교표 작성을 맡기겠습니다.</x:v>
      </x:c>
      <x:c r="L809" s="11"/>
      <x:c r="M809" s="11"/>
      <x:c r="N809" s="10" t="str">
        <x:v>NOT_MODELED</x:v>
      </x:c>
    </x:row>
    <x:row r="810" ht="85" customHeight="1">
      <x:c r="A810" s="10" t="str">
        <x:v>V-A</x:v>
      </x:c>
      <x:c r="B810" s="10" t="str">
        <x:v>VOICE</x:v>
      </x:c>
      <x:c r="C810" s="10" t="str">
        <x:v>VOICE:S2-02</x:v>
      </x:c>
      <x:c r="D810" s="10" t="str">
        <x:v>VOICE:S2-02:input</x:v>
      </x:c>
      <x:c r="E810" s="10" t="str">
        <x:v>V-S2</x:v>
      </x:c>
      <x:c r="F810" s="10" t="n">
        <x:v>1</x:v>
      </x:c>
      <x:c r="G810" s="11" t="n">
        <x:v>0</x:v>
      </x:c>
      <x:c r="H810" s="11" t="n">
        <x:v>3.8000000000000003</x:v>
      </x:c>
      <x:c r="I810" s="11" t="n">
        <x:f>H810-G810</x:f>
        <x:v>3.8000000000000003</x:v>
      </x:c>
      <x:c r="J810" s="10" t="str">
        <x:v>방금 원으로 묶은 이 두 견적을 설치비는 제외하고 비교표로 만들어줘.</x:v>
      </x:c>
      <x:c r="K810" s="10" t="str">
        <x:v>quote-L, quote-Z의 설치비를 제외해 비교표 작성을 맡기겠습니다.</x:v>
      </x:c>
      <x:c r="L810" s="11"/>
      <x:c r="M810" s="11"/>
      <x:c r="N810" s="10" t="str">
        <x:v>NOT_MODELED</x:v>
      </x:c>
    </x:row>
    <x:row r="811" ht="85" customHeight="1">
      <x:c r="A811" s="10" t="str">
        <x:v>V-R1</x:v>
      </x:c>
      <x:c r="B811" s="10" t="str">
        <x:v>VOICE</x:v>
      </x:c>
      <x:c r="C811" s="10" t="str">
        <x:v>VOICE:S2-02</x:v>
      </x:c>
      <x:c r="D811" s="10" t="str">
        <x:v>VOICE:S2-02:input</x:v>
      </x:c>
      <x:c r="E811" s="10" t="str">
        <x:v>V-S2</x:v>
      </x:c>
      <x:c r="F811" s="10" t="n">
        <x:v>1</x:v>
      </x:c>
      <x:c r="G811" s="11" t="n">
        <x:v>0</x:v>
      </x:c>
      <x:c r="H811" s="11" t="n">
        <x:v>6.933333333333334</x:v>
      </x:c>
      <x:c r="I811" s="11" t="n">
        <x:f>H811-G811</x:f>
        <x:v>6.933333333333334</x:v>
      </x:c>
      <x:c r="J811" s="10" t="str">
        <x:v>방금 원으로 묶은 이 두 견적을 설치비는 제외하고 비교표로 만들어줘.</x:v>
      </x:c>
      <x:c r="K811" s="10" t="str">
        <x:v>quote-L, quote-R의 설치비를 제외해 비교표 작성을 맡기겠습니다.</x:v>
      </x:c>
      <x:c r="L811" s="11"/>
      <x:c r="M811" s="11"/>
      <x:c r="N811" s="10" t="str">
        <x:v>NOT_MODELED</x:v>
      </x:c>
    </x:row>
    <x:row r="812" ht="85" customHeight="1">
      <x:c r="A812" s="10" t="str">
        <x:v>V-R2</x:v>
      </x:c>
      <x:c r="B812" s="10" t="str">
        <x:v>VOICE</x:v>
      </x:c>
      <x:c r="C812" s="10" t="str">
        <x:v>VOICE:S2-02</x:v>
      </x:c>
      <x:c r="D812" s="10" t="str">
        <x:v>VOICE:S2-02:input</x:v>
      </x:c>
      <x:c r="E812" s="10" t="str">
        <x:v>V-S2</x:v>
      </x:c>
      <x:c r="F812" s="10" t="n">
        <x:v>1</x:v>
      </x:c>
      <x:c r="G812" s="11" t="n">
        <x:v>0</x:v>
      </x:c>
      <x:c r="H812" s="11" t="n">
        <x:v>6.933333333333334</x:v>
      </x:c>
      <x:c r="I812" s="11" t="n">
        <x:f>H812-G812</x:f>
        <x:v>6.933333333333334</x:v>
      </x:c>
      <x:c r="J812" s="10" t="str">
        <x:v>방금 원으로 묶은 이 두 견적을 설치비는 제외하고 비교표로 만들어줘.</x:v>
      </x:c>
      <x:c r="K812" s="10" t="str">
        <x:v>quote-L, quote-R의 설치비를 제외해 비교표 작성을 맡기겠습니다.</x:v>
      </x:c>
      <x:c r="L812" s="11"/>
      <x:c r="M812" s="11"/>
      <x:c r="N812" s="10" t="str">
        <x:v>NOT_MODELED</x:v>
      </x:c>
    </x:row>
    <x:row r="813" ht="85" customHeight="1">
      <x:c r="A813" s="10" t="str">
        <x:v>V-R3</x:v>
      </x:c>
      <x:c r="B813" s="10" t="str">
        <x:v>VOICE</x:v>
      </x:c>
      <x:c r="C813" s="10" t="str">
        <x:v>VOICE:S2-02</x:v>
      </x:c>
      <x:c r="D813" s="10" t="str">
        <x:v>VOICE:S2-02:input</x:v>
      </x:c>
      <x:c r="E813" s="10" t="str">
        <x:v>V-S2</x:v>
      </x:c>
      <x:c r="F813" s="10" t="n">
        <x:v>1</x:v>
      </x:c>
      <x:c r="G813" s="11" t="n">
        <x:v>0</x:v>
      </x:c>
      <x:c r="H813" s="11" t="n">
        <x:v>6.993333333333333</x:v>
      </x:c>
      <x:c r="I813" s="11" t="n">
        <x:f>H813-G813</x:f>
        <x:v>6.993333333333333</x:v>
      </x:c>
      <x:c r="J813" s="10" t="str">
        <x:v>방금 원으로 묶은 이 두 견적을 설치비는 제외하고 비교표로 만들어줘.</x:v>
      </x:c>
      <x:c r="K813" s="10" t="str">
        <x:v>quote-L, quote-R의 설치비를 제외해 비교표 작성을 맡기겠습니다.</x:v>
      </x:c>
      <x:c r="L813" s="11"/>
      <x:c r="M813" s="11"/>
      <x:c r="N813" s="10" t="str">
        <x:v>NOT_MODELED</x:v>
      </x:c>
    </x:row>
    <x:row r="814" ht="85" customHeight="1">
      <x:c r="A814" s="10" t="str">
        <x:v>V-A</x:v>
      </x:c>
      <x:c r="B814" s="10" t="str">
        <x:v>VOICE</x:v>
      </x:c>
      <x:c r="C814" s="10" t="str">
        <x:v>VOICE:S2-03</x:v>
      </x:c>
      <x:c r="D814" s="10" t="str">
        <x:v>VOICE:S2-03:input</x:v>
      </x:c>
      <x:c r="E814" s="10" t="str">
        <x:v>V-S2</x:v>
      </x:c>
      <x:c r="F814" s="10" t="n">
        <x:v>1</x:v>
      </x:c>
      <x:c r="G814" s="11" t="n">
        <x:v>0</x:v>
      </x:c>
      <x:c r="H814" s="11" t="n">
        <x:v>3.8000000000000003</x:v>
      </x:c>
      <x:c r="I814" s="11" t="n">
        <x:f>H814-G814</x:f>
        <x:v>3.8000000000000003</x:v>
      </x:c>
      <x:c r="J814" s="10" t="str">
        <x:v>방금 원으로 묶은 이 두 견적을 설치비는 제외하고 비교표로 만들어줘.</x:v>
      </x:c>
      <x:c r="K814" s="10" t="str">
        <x:v>quote-L, quote-Z의 설치비를 제외해 비교표 작성을 맡기겠습니다.</x:v>
      </x:c>
      <x:c r="L814" s="11"/>
      <x:c r="M814" s="11"/>
      <x:c r="N814" s="10" t="str">
        <x:v>NOT_MODELED</x:v>
      </x:c>
    </x:row>
    <x:row r="815" ht="85" customHeight="1">
      <x:c r="A815" s="10" t="str">
        <x:v>V-R1</x:v>
      </x:c>
      <x:c r="B815" s="10" t="str">
        <x:v>VOICE</x:v>
      </x:c>
      <x:c r="C815" s="10" t="str">
        <x:v>VOICE:S2-03</x:v>
      </x:c>
      <x:c r="D815" s="10" t="str">
        <x:v>VOICE:S2-03:input</x:v>
      </x:c>
      <x:c r="E815" s="10" t="str">
        <x:v>V-S2</x:v>
      </x:c>
      <x:c r="F815" s="10" t="n">
        <x:v>1</x:v>
      </x:c>
      <x:c r="G815" s="11" t="n">
        <x:v>0</x:v>
      </x:c>
      <x:c r="H815" s="11" t="n">
        <x:v>6.933333333333334</x:v>
      </x:c>
      <x:c r="I815" s="11" t="n">
        <x:f>H815-G815</x:f>
        <x:v>6.933333333333334</x:v>
      </x:c>
      <x:c r="J815" s="10" t="str">
        <x:v>방금 원으로 묶은 이 두 견적을 설치비는 제외하고 비교표로 만들어줘.</x:v>
      </x:c>
      <x:c r="K815" s="10" t="str">
        <x:v>quote-L, quote-Z의 설치비를 제외해 비교표 작성을 맡기겠습니다.</x:v>
      </x:c>
      <x:c r="L815" s="11"/>
      <x:c r="M815" s="11"/>
      <x:c r="N815" s="10" t="str">
        <x:v>NOT_MODELED</x:v>
      </x:c>
    </x:row>
    <x:row r="816" ht="85" customHeight="1">
      <x:c r="A816" s="10" t="str">
        <x:v>V-R2</x:v>
      </x:c>
      <x:c r="B816" s="10" t="str">
        <x:v>VOICE</x:v>
      </x:c>
      <x:c r="C816" s="10" t="str">
        <x:v>VOICE:S2-03</x:v>
      </x:c>
      <x:c r="D816" s="10" t="str">
        <x:v>VOICE:S2-03:input</x:v>
      </x:c>
      <x:c r="E816" s="10" t="str">
        <x:v>V-S2</x:v>
      </x:c>
      <x:c r="F816" s="10" t="n">
        <x:v>1</x:v>
      </x:c>
      <x:c r="G816" s="11" t="n">
        <x:v>0</x:v>
      </x:c>
      <x:c r="H816" s="11" t="n">
        <x:v>6.933333333333334</x:v>
      </x:c>
      <x:c r="I816" s="11" t="n">
        <x:f>H816-G816</x:f>
        <x:v>6.933333333333334</x:v>
      </x:c>
      <x:c r="J816" s="10" t="str">
        <x:v>방금 원으로 묶은 이 두 견적을 설치비는 제외하고 비교표로 만들어줘.</x:v>
      </x:c>
      <x:c r="K816" s="10" t="str">
        <x:v>quote-L, quote-Z의 설치비를 제외해 비교표 작성을 맡기겠습니다.</x:v>
      </x:c>
      <x:c r="L816" s="11"/>
      <x:c r="M816" s="11"/>
      <x:c r="N816" s="10" t="str">
        <x:v>NOT_MODELED</x:v>
      </x:c>
    </x:row>
    <x:row r="817" ht="85" customHeight="1">
      <x:c r="A817" s="10" t="str">
        <x:v>V-R3</x:v>
      </x:c>
      <x:c r="B817" s="10" t="str">
        <x:v>VOICE</x:v>
      </x:c>
      <x:c r="C817" s="10" t="str">
        <x:v>VOICE:S2-03</x:v>
      </x:c>
      <x:c r="D817" s="10" t="str">
        <x:v>VOICE:S2-03:input</x:v>
      </x:c>
      <x:c r="E817" s="10" t="str">
        <x:v>V-S2</x:v>
      </x:c>
      <x:c r="F817" s="10" t="n">
        <x:v>1</x:v>
      </x:c>
      <x:c r="G817" s="11" t="n">
        <x:v>0</x:v>
      </x:c>
      <x:c r="H817" s="11" t="n">
        <x:v>6.993333333333333</x:v>
      </x:c>
      <x:c r="I817" s="11" t="n">
        <x:f>H817-G817</x:f>
        <x:v>6.993333333333333</x:v>
      </x:c>
      <x:c r="J817" s="10" t="str">
        <x:v>방금 원으로 묶은 이 두 견적을 설치비는 제외하고 비교표로 만들어줘.</x:v>
      </x:c>
      <x:c r="K817" s="10" t="str">
        <x:v>quote-L, quote-Z의 설치비를 제외해 비교표 작성을 맡기겠습니다.</x:v>
      </x:c>
      <x:c r="L817" s="11"/>
      <x:c r="M817" s="11"/>
      <x:c r="N817" s="10" t="str">
        <x:v>NOT_MODELED</x:v>
      </x:c>
    </x:row>
    <x:row r="818" ht="85" customHeight="1">
      <x:c r="A818" s="10" t="str">
        <x:v>V-A</x:v>
      </x:c>
      <x:c r="B818" s="10" t="str">
        <x:v>VOICE</x:v>
      </x:c>
      <x:c r="C818" s="10" t="str">
        <x:v>VOICE:S2-04</x:v>
      </x:c>
      <x:c r="D818" s="10" t="str">
        <x:v>VOICE:S2-04:input</x:v>
      </x:c>
      <x:c r="E818" s="10" t="str">
        <x:v>V-S2</x:v>
      </x:c>
      <x:c r="F818" s="10" t="n">
        <x:v>1</x:v>
      </x:c>
      <x:c r="G818" s="11" t="n">
        <x:v>0</x:v>
      </x:c>
      <x:c r="H818" s="11" t="n">
        <x:v>3.8000000000000003</x:v>
      </x:c>
      <x:c r="I818" s="11" t="n">
        <x:f>H818-G818</x:f>
        <x:v>3.8000000000000003</x:v>
      </x:c>
      <x:c r="J818" s="10" t="str">
        <x:v>방금 원으로 묶은 이 두 견적을 설치비는 제외하고 비교표로 만들어줘.</x:v>
      </x:c>
      <x:c r="K818" s="10" t="str">
        <x:v>quote-L, quote-R의 설치비를 제외해 비교표 작성을 맡기겠습니다.</x:v>
      </x:c>
      <x:c r="L818" s="11"/>
      <x:c r="M818" s="11"/>
      <x:c r="N818" s="10" t="str">
        <x:v>NOT_MODELED</x:v>
      </x:c>
    </x:row>
    <x:row r="819" ht="85" customHeight="1">
      <x:c r="A819" s="10" t="str">
        <x:v>V-R1</x:v>
      </x:c>
      <x:c r="B819" s="10" t="str">
        <x:v>VOICE</x:v>
      </x:c>
      <x:c r="C819" s="10" t="str">
        <x:v>VOICE:S2-04</x:v>
      </x:c>
      <x:c r="D819" s="10" t="str">
        <x:v>VOICE:S2-04:input</x:v>
      </x:c>
      <x:c r="E819" s="10" t="str">
        <x:v>V-S2</x:v>
      </x:c>
      <x:c r="F819" s="10" t="n">
        <x:v>1</x:v>
      </x:c>
      <x:c r="G819" s="11" t="n">
        <x:v>0</x:v>
      </x:c>
      <x:c r="H819" s="11" t="n">
        <x:v>6.933333333333334</x:v>
      </x:c>
      <x:c r="I819" s="11" t="n">
        <x:f>H819-G819</x:f>
        <x:v>6.933333333333334</x:v>
      </x:c>
      <x:c r="J819" s="10" t="str">
        <x:v>방금 원으로 묶은 이 두 견적을 설치비는 제외하고 비교표로 만들어줘.</x:v>
      </x:c>
      <x:c r="K819" s="10" t="str">
        <x:v>quote-L, quote-R의 설치비를 제외해 비교표 작성을 맡기겠습니다.</x:v>
      </x:c>
      <x:c r="L819" s="11"/>
      <x:c r="M819" s="11"/>
      <x:c r="N819" s="10" t="str">
        <x:v>NOT_MODELED</x:v>
      </x:c>
    </x:row>
    <x:row r="820" ht="85" customHeight="1">
      <x:c r="A820" s="10" t="str">
        <x:v>V-R2</x:v>
      </x:c>
      <x:c r="B820" s="10" t="str">
        <x:v>VOICE</x:v>
      </x:c>
      <x:c r="C820" s="10" t="str">
        <x:v>VOICE:S2-04</x:v>
      </x:c>
      <x:c r="D820" s="10" t="str">
        <x:v>VOICE:S2-04:input</x:v>
      </x:c>
      <x:c r="E820" s="10" t="str">
        <x:v>V-S2</x:v>
      </x:c>
      <x:c r="F820" s="10" t="n">
        <x:v>1</x:v>
      </x:c>
      <x:c r="G820" s="11" t="n">
        <x:v>0</x:v>
      </x:c>
      <x:c r="H820" s="11" t="n">
        <x:v>6.933333333333334</x:v>
      </x:c>
      <x:c r="I820" s="11" t="n">
        <x:f>H820-G820</x:f>
        <x:v>6.933333333333334</x:v>
      </x:c>
      <x:c r="J820" s="10" t="str">
        <x:v>방금 원으로 묶은 이 두 견적을 설치비는 제외하고 비교표로 만들어줘.</x:v>
      </x:c>
      <x:c r="K820" s="10" t="str">
        <x:v>quote-L, quote-R의 설치비를 제외해 비교표 작성을 맡기겠습니다.</x:v>
      </x:c>
      <x:c r="L820" s="11"/>
      <x:c r="M820" s="11"/>
      <x:c r="N820" s="10" t="str">
        <x:v>NOT_MODELED</x:v>
      </x:c>
    </x:row>
    <x:row r="821" ht="85" customHeight="1">
      <x:c r="A821" s="10" t="str">
        <x:v>V-R3</x:v>
      </x:c>
      <x:c r="B821" s="10" t="str">
        <x:v>VOICE</x:v>
      </x:c>
      <x:c r="C821" s="10" t="str">
        <x:v>VOICE:S2-04</x:v>
      </x:c>
      <x:c r="D821" s="10" t="str">
        <x:v>VOICE:S2-04:input</x:v>
      </x:c>
      <x:c r="E821" s="10" t="str">
        <x:v>V-S2</x:v>
      </x:c>
      <x:c r="F821" s="10" t="n">
        <x:v>1</x:v>
      </x:c>
      <x:c r="G821" s="11" t="n">
        <x:v>0</x:v>
      </x:c>
      <x:c r="H821" s="11" t="n">
        <x:v>6.993333333333333</x:v>
      </x:c>
      <x:c r="I821" s="11" t="n">
        <x:f>H821-G821</x:f>
        <x:v>6.993333333333333</x:v>
      </x:c>
      <x:c r="J821" s="10" t="str">
        <x:v>방금 원으로 묶은 이 두 견적을 설치비는 제외하고 비교표로 만들어줘.</x:v>
      </x:c>
      <x:c r="K821" s="10" t="str">
        <x:v>quote-L, quote-R의 설치비를 제외해 비교표 작성을 맡기겠습니다.</x:v>
      </x:c>
      <x:c r="L821" s="11"/>
      <x:c r="M821" s="11"/>
      <x:c r="N821" s="10" t="str">
        <x:v>NOT_MODELED</x:v>
      </x:c>
    </x:row>
    <x:row r="822" ht="85" customHeight="1">
      <x:c r="A822" s="10" t="str">
        <x:v>V-A</x:v>
      </x:c>
      <x:c r="B822" s="10" t="str">
        <x:v>VOICE</x:v>
      </x:c>
      <x:c r="C822" s="10" t="str">
        <x:v>VOICE:S2-05</x:v>
      </x:c>
      <x:c r="D822" s="10" t="str">
        <x:v>VOICE:S2-05:input</x:v>
      </x:c>
      <x:c r="E822" s="10" t="str">
        <x:v>V-S2</x:v>
      </x:c>
      <x:c r="F822" s="10" t="n">
        <x:v>1</x:v>
      </x:c>
      <x:c r="G822" s="11" t="n">
        <x:v>0</x:v>
      </x:c>
      <x:c r="H822" s="11" t="n">
        <x:v>3.8000000000000003</x:v>
      </x:c>
      <x:c r="I822" s="11" t="n">
        <x:f>H822-G822</x:f>
        <x:v>3.8000000000000003</x:v>
      </x:c>
      <x:c r="J822" s="10" t="str">
        <x:v>방금 원으로 묶은 이 두 견적을 설치비는 제외하고 비교표로 만들어줘.</x:v>
      </x:c>
      <x:c r="K822" s="10" t="str">
        <x:v>quote-L, quote-R의 설치비를 제외해 비교표 작성을 맡기겠습니다.</x:v>
      </x:c>
      <x:c r="L822" s="11"/>
      <x:c r="M822" s="11"/>
      <x:c r="N822" s="10" t="str">
        <x:v>NOT_MODELED</x:v>
      </x:c>
    </x:row>
    <x:row r="823" ht="85" customHeight="1">
      <x:c r="A823" s="10" t="str">
        <x:v>V-R1</x:v>
      </x:c>
      <x:c r="B823" s="10" t="str">
        <x:v>VOICE</x:v>
      </x:c>
      <x:c r="C823" s="10" t="str">
        <x:v>VOICE:S2-05</x:v>
      </x:c>
      <x:c r="D823" s="10" t="str">
        <x:v>VOICE:S2-05:input</x:v>
      </x:c>
      <x:c r="E823" s="10" t="str">
        <x:v>V-S2</x:v>
      </x:c>
      <x:c r="F823" s="10" t="n">
        <x:v>1</x:v>
      </x:c>
      <x:c r="G823" s="11" t="n">
        <x:v>0</x:v>
      </x:c>
      <x:c r="H823" s="11" t="n">
        <x:v>6.933333333333334</x:v>
      </x:c>
      <x:c r="I823" s="11" t="n">
        <x:f>H823-G823</x:f>
        <x:v>6.933333333333334</x:v>
      </x:c>
      <x:c r="J823" s="10" t="str">
        <x:v>방금 원으로 묶은 이 두 견적을 설치비는 제외하고 비교표로 만들어줘.</x:v>
      </x:c>
      <x:c r="K823" s="10" t="str">
        <x:v>quote-L, quote-R의 설치비를 제외해 비교표 작성을 맡기겠습니다.</x:v>
      </x:c>
      <x:c r="L823" s="11"/>
      <x:c r="M823" s="11"/>
      <x:c r="N823" s="10" t="str">
        <x:v>NOT_MODELED</x:v>
      </x:c>
    </x:row>
    <x:row r="824" ht="85" customHeight="1">
      <x:c r="A824" s="10" t="str">
        <x:v>V-R2</x:v>
      </x:c>
      <x:c r="B824" s="10" t="str">
        <x:v>VOICE</x:v>
      </x:c>
      <x:c r="C824" s="10" t="str">
        <x:v>VOICE:S2-05</x:v>
      </x:c>
      <x:c r="D824" s="10" t="str">
        <x:v>VOICE:S2-05:input</x:v>
      </x:c>
      <x:c r="E824" s="10" t="str">
        <x:v>V-S2</x:v>
      </x:c>
      <x:c r="F824" s="10" t="n">
        <x:v>1</x:v>
      </x:c>
      <x:c r="G824" s="11" t="n">
        <x:v>0</x:v>
      </x:c>
      <x:c r="H824" s="11" t="n">
        <x:v>6.933333333333334</x:v>
      </x:c>
      <x:c r="I824" s="11" t="n">
        <x:f>H824-G824</x:f>
        <x:v>6.933333333333334</x:v>
      </x:c>
      <x:c r="J824" s="10" t="str">
        <x:v>방금 원으로 묶은 이 두 견적을 설치비는 제외하고 비교표로 만들어줘.</x:v>
      </x:c>
      <x:c r="K824" s="10" t="str">
        <x:v>quote-L, quote-R의 설치비를 제외해 비교표 작성을 맡기겠습니다.</x:v>
      </x:c>
      <x:c r="L824" s="11"/>
      <x:c r="M824" s="11"/>
      <x:c r="N824" s="10" t="str">
        <x:v>NOT_MODELED</x:v>
      </x:c>
    </x:row>
    <x:row r="825" ht="85" customHeight="1">
      <x:c r="A825" s="10" t="str">
        <x:v>V-R3</x:v>
      </x:c>
      <x:c r="B825" s="10" t="str">
        <x:v>VOICE</x:v>
      </x:c>
      <x:c r="C825" s="10" t="str">
        <x:v>VOICE:S2-05</x:v>
      </x:c>
      <x:c r="D825" s="10" t="str">
        <x:v>VOICE:S2-05:input</x:v>
      </x:c>
      <x:c r="E825" s="10" t="str">
        <x:v>V-S2</x:v>
      </x:c>
      <x:c r="F825" s="10" t="n">
        <x:v>1</x:v>
      </x:c>
      <x:c r="G825" s="11" t="n">
        <x:v>0</x:v>
      </x:c>
      <x:c r="H825" s="11" t="n">
        <x:v>6.993333333333333</x:v>
      </x:c>
      <x:c r="I825" s="11" t="n">
        <x:f>H825-G825</x:f>
        <x:v>6.993333333333333</x:v>
      </x:c>
      <x:c r="J825" s="10" t="str">
        <x:v>방금 원으로 묶은 이 두 견적을 설치비는 제외하고 비교표로 만들어줘.</x:v>
      </x:c>
      <x:c r="K825" s="10" t="str">
        <x:v>quote-L, quote-R의 설치비를 제외해 비교표 작성을 맡기겠습니다.</x:v>
      </x:c>
      <x:c r="L825" s="11"/>
      <x:c r="M825" s="11"/>
      <x:c r="N825" s="10" t="str">
        <x:v>NOT_MODELED</x:v>
      </x:c>
    </x:row>
    <x:row r="826" ht="85" customHeight="1">
      <x:c r="A826" s="10" t="str">
        <x:v>V-A</x:v>
      </x:c>
      <x:c r="B826" s="10" t="str">
        <x:v>VOICE</x:v>
      </x:c>
      <x:c r="C826" s="10" t="str">
        <x:v>VOICE:S2-06</x:v>
      </x:c>
      <x:c r="D826" s="10" t="str">
        <x:v>VOICE:S2-06:input</x:v>
      </x:c>
      <x:c r="E826" s="10" t="str">
        <x:v>V-S2</x:v>
      </x:c>
      <x:c r="F826" s="10" t="n">
        <x:v>1</x:v>
      </x:c>
      <x:c r="G826" s="11" t="n">
        <x:v>0</x:v>
      </x:c>
      <x:c r="H826" s="11" t="n">
        <x:v>3.8000000000000003</x:v>
      </x:c>
      <x:c r="I826" s="11" t="n">
        <x:f>H826-G826</x:f>
        <x:v>3.8000000000000003</x:v>
      </x:c>
      <x:c r="J826" s="10" t="str">
        <x:v>방금 원으로 묶은 이 두 견적을 설치비는 제외하고 비교표로 만들어줘.</x:v>
      </x:c>
      <x:c r="K826" s="10" t="str">
        <x:v>quote-L, quote-R의 설치비를 제외해 비교표 작성을 맡기겠습니다.</x:v>
      </x:c>
      <x:c r="L826" s="11"/>
      <x:c r="M826" s="11"/>
      <x:c r="N826" s="10" t="str">
        <x:v>NOT_MODELED</x:v>
      </x:c>
    </x:row>
    <x:row r="827" ht="85" customHeight="1">
      <x:c r="A827" s="10" t="str">
        <x:v>V-R1</x:v>
      </x:c>
      <x:c r="B827" s="10" t="str">
        <x:v>VOICE</x:v>
      </x:c>
      <x:c r="C827" s="10" t="str">
        <x:v>VOICE:S2-06</x:v>
      </x:c>
      <x:c r="D827" s="10" t="str">
        <x:v>VOICE:S2-06:input</x:v>
      </x:c>
      <x:c r="E827" s="10" t="str">
        <x:v>V-S2</x:v>
      </x:c>
      <x:c r="F827" s="10" t="n">
        <x:v>1</x:v>
      </x:c>
      <x:c r="G827" s="11" t="n">
        <x:v>0</x:v>
      </x:c>
      <x:c r="H827" s="11" t="n">
        <x:v>6.933333333333334</x:v>
      </x:c>
      <x:c r="I827" s="11" t="n">
        <x:f>H827-G827</x:f>
        <x:v>6.933333333333334</x:v>
      </x:c>
      <x:c r="J827" s="10" t="str">
        <x:v>방금 원으로 묶은 이 두 견적을 설치비는 제외하고 비교표로 만들어줘.</x:v>
      </x:c>
      <x:c r="K827" s="10" t="str">
        <x:v>quote-L, quote-R의 설치비를 제외해 비교표 작성을 맡기겠습니다.</x:v>
      </x:c>
      <x:c r="L827" s="11"/>
      <x:c r="M827" s="11"/>
      <x:c r="N827" s="10" t="str">
        <x:v>NOT_MODELED</x:v>
      </x:c>
    </x:row>
    <x:row r="828" ht="85" customHeight="1">
      <x:c r="A828" s="10" t="str">
        <x:v>V-R2</x:v>
      </x:c>
      <x:c r="B828" s="10" t="str">
        <x:v>VOICE</x:v>
      </x:c>
      <x:c r="C828" s="10" t="str">
        <x:v>VOICE:S2-06</x:v>
      </x:c>
      <x:c r="D828" s="10" t="str">
        <x:v>VOICE:S2-06:input</x:v>
      </x:c>
      <x:c r="E828" s="10" t="str">
        <x:v>V-S2</x:v>
      </x:c>
      <x:c r="F828" s="10" t="n">
        <x:v>1</x:v>
      </x:c>
      <x:c r="G828" s="11" t="n">
        <x:v>0</x:v>
      </x:c>
      <x:c r="H828" s="11" t="n">
        <x:v>6.933333333333334</x:v>
      </x:c>
      <x:c r="I828" s="11" t="n">
        <x:f>H828-G828</x:f>
        <x:v>6.933333333333334</x:v>
      </x:c>
      <x:c r="J828" s="10" t="str">
        <x:v>방금 원으로 묶은 이 두 견적을 설치비는 제외하고 비교표로 만들어줘.</x:v>
      </x:c>
      <x:c r="K828" s="10" t="str">
        <x:v>quote-L, quote-R의 설치비를 제외해 비교표 작성을 맡기겠습니다.</x:v>
      </x:c>
      <x:c r="L828" s="11"/>
      <x:c r="M828" s="11"/>
      <x:c r="N828" s="10" t="str">
        <x:v>NOT_MODELED</x:v>
      </x:c>
    </x:row>
    <x:row r="829" ht="85" customHeight="1">
      <x:c r="A829" s="10" t="str">
        <x:v>V-R3</x:v>
      </x:c>
      <x:c r="B829" s="10" t="str">
        <x:v>VOICE</x:v>
      </x:c>
      <x:c r="C829" s="10" t="str">
        <x:v>VOICE:S2-06</x:v>
      </x:c>
      <x:c r="D829" s="10" t="str">
        <x:v>VOICE:S2-06:input</x:v>
      </x:c>
      <x:c r="E829" s="10" t="str">
        <x:v>V-S2</x:v>
      </x:c>
      <x:c r="F829" s="10" t="n">
        <x:v>1</x:v>
      </x:c>
      <x:c r="G829" s="11" t="n">
        <x:v>0</x:v>
      </x:c>
      <x:c r="H829" s="11" t="n">
        <x:v>6.993333333333333</x:v>
      </x:c>
      <x:c r="I829" s="11" t="n">
        <x:f>H829-G829</x:f>
        <x:v>6.993333333333333</x:v>
      </x:c>
      <x:c r="J829" s="10" t="str">
        <x:v>방금 원으로 묶은 이 두 견적을 설치비는 제외하고 비교표로 만들어줘.</x:v>
      </x:c>
      <x:c r="K829" s="10" t="str">
        <x:v>quote-L, quote-R의 설치비를 제외해 비교표 작성을 맡기겠습니다.</x:v>
      </x:c>
      <x:c r="L829" s="11"/>
      <x:c r="M829" s="11"/>
      <x:c r="N829" s="10" t="str">
        <x:v>NOT_MODELED</x:v>
      </x:c>
    </x:row>
    <x:row r="830" ht="85" customHeight="1">
      <x:c r="A830" s="10" t="str">
        <x:v>V-A</x:v>
      </x:c>
      <x:c r="B830" s="10" t="str">
        <x:v>VOICE</x:v>
      </x:c>
      <x:c r="C830" s="10" t="str">
        <x:v>VOICE:S2-07</x:v>
      </x:c>
      <x:c r="D830" s="10" t="str">
        <x:v>VOICE:S2-07:input</x:v>
      </x:c>
      <x:c r="E830" s="10" t="str">
        <x:v>V-S2</x:v>
      </x:c>
      <x:c r="F830" s="10" t="n">
        <x:v>1</x:v>
      </x:c>
      <x:c r="G830" s="11" t="n">
        <x:v>0</x:v>
      </x:c>
      <x:c r="H830" s="11" t="n">
        <x:v>3.8000000000000003</x:v>
      </x:c>
      <x:c r="I830" s="11" t="n">
        <x:f>H830-G830</x:f>
        <x:v>3.8000000000000003</x:v>
      </x:c>
      <x:c r="J830" s="10" t="str">
        <x:v>방금 원으로 묶은 이 두 견적을 설치비는 제외하고 비교표로 만들어줘.</x:v>
      </x:c>
      <x:c r="K830" s="10" t="str">
        <x:v>quote-L, quote-R의 설치비를 제외해 비교표 작성을 맡기겠습니다.</x:v>
      </x:c>
      <x:c r="L830" s="11"/>
      <x:c r="M830" s="11"/>
      <x:c r="N830" s="10" t="str">
        <x:v>NOT_MODELED</x:v>
      </x:c>
    </x:row>
    <x:row r="831" ht="85" customHeight="1">
      <x:c r="A831" s="10" t="str">
        <x:v>V-R1</x:v>
      </x:c>
      <x:c r="B831" s="10" t="str">
        <x:v>VOICE</x:v>
      </x:c>
      <x:c r="C831" s="10" t="str">
        <x:v>VOICE:S2-07</x:v>
      </x:c>
      <x:c r="D831" s="10" t="str">
        <x:v>VOICE:S2-07:input</x:v>
      </x:c>
      <x:c r="E831" s="10" t="str">
        <x:v>V-S2</x:v>
      </x:c>
      <x:c r="F831" s="10" t="n">
        <x:v>1</x:v>
      </x:c>
      <x:c r="G831" s="11" t="n">
        <x:v>0</x:v>
      </x:c>
      <x:c r="H831" s="11" t="n">
        <x:v>6.933333333333334</x:v>
      </x:c>
      <x:c r="I831" s="11" t="n">
        <x:f>H831-G831</x:f>
        <x:v>6.933333333333334</x:v>
      </x:c>
      <x:c r="J831" s="10" t="str">
        <x:v>방금 원으로 묶은 이 두 견적을 설치비는 제외하고 비교표로 만들어줘.</x:v>
      </x:c>
      <x:c r="K831" s="10" t="str">
        <x:v>quote-L, quote-R의 설치비를 제외해 비교표 작성을 맡기겠습니다.</x:v>
      </x:c>
      <x:c r="L831" s="11"/>
      <x:c r="M831" s="11"/>
      <x:c r="N831" s="10" t="str">
        <x:v>NOT_MODELED</x:v>
      </x:c>
    </x:row>
    <x:row r="832" ht="85" customHeight="1">
      <x:c r="A832" s="10" t="str">
        <x:v>V-R2</x:v>
      </x:c>
      <x:c r="B832" s="10" t="str">
        <x:v>VOICE</x:v>
      </x:c>
      <x:c r="C832" s="10" t="str">
        <x:v>VOICE:S2-07</x:v>
      </x:c>
      <x:c r="D832" s="10" t="str">
        <x:v>VOICE:S2-07:input</x:v>
      </x:c>
      <x:c r="E832" s="10" t="str">
        <x:v>V-S2</x:v>
      </x:c>
      <x:c r="F832" s="10" t="n">
        <x:v>1</x:v>
      </x:c>
      <x:c r="G832" s="11" t="n">
        <x:v>0</x:v>
      </x:c>
      <x:c r="H832" s="11" t="n">
        <x:v>6.933333333333334</x:v>
      </x:c>
      <x:c r="I832" s="11" t="n">
        <x:f>H832-G832</x:f>
        <x:v>6.933333333333334</x:v>
      </x:c>
      <x:c r="J832" s="10" t="str">
        <x:v>방금 원으로 묶은 이 두 견적을 설치비는 제외하고 비교표로 만들어줘.</x:v>
      </x:c>
      <x:c r="K832" s="10" t="str">
        <x:v>quote-L, quote-R의 설치비를 제외해 비교표 작성을 맡기겠습니다.</x:v>
      </x:c>
      <x:c r="L832" s="11"/>
      <x:c r="M832" s="11"/>
      <x:c r="N832" s="10" t="str">
        <x:v>NOT_MODELED</x:v>
      </x:c>
    </x:row>
    <x:row r="833" ht="85" customHeight="1">
      <x:c r="A833" s="10" t="str">
        <x:v>V-R3</x:v>
      </x:c>
      <x:c r="B833" s="10" t="str">
        <x:v>VOICE</x:v>
      </x:c>
      <x:c r="C833" s="10" t="str">
        <x:v>VOICE:S2-07</x:v>
      </x:c>
      <x:c r="D833" s="10" t="str">
        <x:v>VOICE:S2-07:input</x:v>
      </x:c>
      <x:c r="E833" s="10" t="str">
        <x:v>V-S2</x:v>
      </x:c>
      <x:c r="F833" s="10" t="n">
        <x:v>1</x:v>
      </x:c>
      <x:c r="G833" s="11" t="n">
        <x:v>0</x:v>
      </x:c>
      <x:c r="H833" s="11" t="n">
        <x:v>6.993333333333333</x:v>
      </x:c>
      <x:c r="I833" s="11" t="n">
        <x:f>H833-G833</x:f>
        <x:v>6.993333333333333</x:v>
      </x:c>
      <x:c r="J833" s="10" t="str">
        <x:v>방금 원으로 묶은 이 두 견적을 설치비는 제외하고 비교표로 만들어줘.</x:v>
      </x:c>
      <x:c r="K833" s="10" t="str">
        <x:v>quote-L, quote-R의 설치비를 제외해 비교표 작성을 맡기겠습니다.</x:v>
      </x:c>
      <x:c r="L833" s="11"/>
      <x:c r="M833" s="11"/>
      <x:c r="N833" s="10" t="str">
        <x:v>NOT_MODELED</x:v>
      </x:c>
    </x:row>
    <x:row r="834" ht="85" customHeight="1">
      <x:c r="A834" s="10" t="str">
        <x:v>V-A</x:v>
      </x:c>
      <x:c r="B834" s="10" t="str">
        <x:v>VOICE</x:v>
      </x:c>
      <x:c r="C834" s="10" t="str">
        <x:v>VOICE:S2-08</x:v>
      </x:c>
      <x:c r="D834" s="10" t="str">
        <x:v>VOICE:S2-08:input</x:v>
      </x:c>
      <x:c r="E834" s="10" t="str">
        <x:v>V-S2</x:v>
      </x:c>
      <x:c r="F834" s="10" t="n">
        <x:v>1</x:v>
      </x:c>
      <x:c r="G834" s="11" t="n">
        <x:v>0</x:v>
      </x:c>
      <x:c r="H834" s="11" t="n">
        <x:v>3.8000000000000003</x:v>
      </x:c>
      <x:c r="I834" s="11" t="n">
        <x:f>H834-G834</x:f>
        <x:v>3.8000000000000003</x:v>
      </x:c>
      <x:c r="J834" s="10" t="str">
        <x:v>방금 원으로 묶은 이 두 견적을 설치비는 제외하고 비교표로 만들어줘.</x:v>
      </x:c>
      <x:c r="K834" s="10" t="str">
        <x:v>quote-L, quote-R의 설치비를 제외해 비교표 작성을 맡기겠습니다.</x:v>
      </x:c>
      <x:c r="L834" s="11"/>
      <x:c r="M834" s="11"/>
      <x:c r="N834" s="10" t="str">
        <x:v>NOT_MODELED</x:v>
      </x:c>
    </x:row>
    <x:row r="835" ht="85" customHeight="1">
      <x:c r="A835" s="10" t="str">
        <x:v>V-R1</x:v>
      </x:c>
      <x:c r="B835" s="10" t="str">
        <x:v>VOICE</x:v>
      </x:c>
      <x:c r="C835" s="10" t="str">
        <x:v>VOICE:S2-08</x:v>
      </x:c>
      <x:c r="D835" s="10" t="str">
        <x:v>VOICE:S2-08:input</x:v>
      </x:c>
      <x:c r="E835" s="10" t="str">
        <x:v>V-S2</x:v>
      </x:c>
      <x:c r="F835" s="10" t="n">
        <x:v>1</x:v>
      </x:c>
      <x:c r="G835" s="11" t="n">
        <x:v>0</x:v>
      </x:c>
      <x:c r="H835" s="11" t="n">
        <x:v>6.933333333333334</x:v>
      </x:c>
      <x:c r="I835" s="11" t="n">
        <x:f>H835-G835</x:f>
        <x:v>6.933333333333334</x:v>
      </x:c>
      <x:c r="J835" s="10" t="str">
        <x:v>방금 원으로 묶은 이 두 견적을 설치비는 제외하고 비교표로 만들어줘.</x:v>
      </x:c>
      <x:c r="K835" s="10" t="str">
        <x:v>quote-L, quote-R의 설치비를 제외해 비교표 작성을 맡기겠습니다.</x:v>
      </x:c>
      <x:c r="L835" s="11"/>
      <x:c r="M835" s="11"/>
      <x:c r="N835" s="10" t="str">
        <x:v>NOT_MODELED</x:v>
      </x:c>
    </x:row>
    <x:row r="836" ht="85" customHeight="1">
      <x:c r="A836" s="10" t="str">
        <x:v>V-R2</x:v>
      </x:c>
      <x:c r="B836" s="10" t="str">
        <x:v>VOICE</x:v>
      </x:c>
      <x:c r="C836" s="10" t="str">
        <x:v>VOICE:S2-08</x:v>
      </x:c>
      <x:c r="D836" s="10" t="str">
        <x:v>VOICE:S2-08:input</x:v>
      </x:c>
      <x:c r="E836" s="10" t="str">
        <x:v>V-S2</x:v>
      </x:c>
      <x:c r="F836" s="10" t="n">
        <x:v>1</x:v>
      </x:c>
      <x:c r="G836" s="11" t="n">
        <x:v>0</x:v>
      </x:c>
      <x:c r="H836" s="11" t="n">
        <x:v>6.933333333333334</x:v>
      </x:c>
      <x:c r="I836" s="11" t="n">
        <x:f>H836-G836</x:f>
        <x:v>6.933333333333334</x:v>
      </x:c>
      <x:c r="J836" s="10" t="str">
        <x:v>방금 원으로 묶은 이 두 견적을 설치비는 제외하고 비교표로 만들어줘.</x:v>
      </x:c>
      <x:c r="K836" s="10" t="str">
        <x:v>quote-L, quote-R의 설치비를 제외해 비교표 작성을 맡기겠습니다.</x:v>
      </x:c>
      <x:c r="L836" s="11"/>
      <x:c r="M836" s="11"/>
      <x:c r="N836" s="10" t="str">
        <x:v>NOT_MODELED</x:v>
      </x:c>
    </x:row>
    <x:row r="837" ht="85" customHeight="1">
      <x:c r="A837" s="10" t="str">
        <x:v>V-R3</x:v>
      </x:c>
      <x:c r="B837" s="10" t="str">
        <x:v>VOICE</x:v>
      </x:c>
      <x:c r="C837" s="10" t="str">
        <x:v>VOICE:S2-08</x:v>
      </x:c>
      <x:c r="D837" s="10" t="str">
        <x:v>VOICE:S2-08:input</x:v>
      </x:c>
      <x:c r="E837" s="10" t="str">
        <x:v>V-S2</x:v>
      </x:c>
      <x:c r="F837" s="10" t="n">
        <x:v>1</x:v>
      </x:c>
      <x:c r="G837" s="11" t="n">
        <x:v>0</x:v>
      </x:c>
      <x:c r="H837" s="11" t="n">
        <x:v>6.993333333333333</x:v>
      </x:c>
      <x:c r="I837" s="11" t="n">
        <x:f>H837-G837</x:f>
        <x:v>6.993333333333333</x:v>
      </x:c>
      <x:c r="J837" s="10" t="str">
        <x:v>방금 원으로 묶은 이 두 견적을 설치비는 제외하고 비교표로 만들어줘.</x:v>
      </x:c>
      <x:c r="K837" s="10" t="str">
        <x:v>quote-L, quote-R의 설치비를 제외해 비교표 작성을 맡기겠습니다.</x:v>
      </x:c>
      <x:c r="L837" s="11"/>
      <x:c r="M837" s="11"/>
      <x:c r="N837" s="10" t="str">
        <x:v>NOT_MODELED</x:v>
      </x:c>
    </x:row>
    <x:row r="838" ht="85" customHeight="1">
      <x:c r="A838" s="10" t="str">
        <x:v>V-A</x:v>
      </x:c>
      <x:c r="B838" s="10" t="str">
        <x:v>VOICE</x:v>
      </x:c>
      <x:c r="C838" s="10" t="str">
        <x:v>VOICE:S2-09</x:v>
      </x:c>
      <x:c r="D838" s="10" t="str">
        <x:v>VOICE:S2-09:input</x:v>
      </x:c>
      <x:c r="E838" s="10" t="str">
        <x:v>V-S2</x:v>
      </x:c>
      <x:c r="F838" s="10" t="n">
        <x:v>1</x:v>
      </x:c>
      <x:c r="G838" s="11" t="n">
        <x:v>0</x:v>
      </x:c>
      <x:c r="H838" s="11" t="n">
        <x:v>3.8000000000000003</x:v>
      </x:c>
      <x:c r="I838" s="11" t="n">
        <x:f>H838-G838</x:f>
        <x:v>3.8000000000000003</x:v>
      </x:c>
      <x:c r="J838" s="10" t="str">
        <x:v>방금 원으로 묶은 이 두 견적을 설치비는 제외하고 비교표로 만들어줘.</x:v>
      </x:c>
      <x:c r="K838" s="10" t="str">
        <x:v>quote-L, quote-R의 설치비를 제외해 비교표 작성을 맡기겠습니다.</x:v>
      </x:c>
      <x:c r="L838" s="11"/>
      <x:c r="M838" s="11"/>
      <x:c r="N838" s="10" t="str">
        <x:v>NOT_MODELED</x:v>
      </x:c>
    </x:row>
    <x:row r="839" ht="85" customHeight="1">
      <x:c r="A839" s="10" t="str">
        <x:v>V-R1</x:v>
      </x:c>
      <x:c r="B839" s="10" t="str">
        <x:v>VOICE</x:v>
      </x:c>
      <x:c r="C839" s="10" t="str">
        <x:v>VOICE:S2-09</x:v>
      </x:c>
      <x:c r="D839" s="10" t="str">
        <x:v>VOICE:S2-09:input</x:v>
      </x:c>
      <x:c r="E839" s="10" t="str">
        <x:v>V-S2</x:v>
      </x:c>
      <x:c r="F839" s="10" t="n">
        <x:v>1</x:v>
      </x:c>
      <x:c r="G839" s="11" t="n">
        <x:v>0</x:v>
      </x:c>
      <x:c r="H839" s="11" t="n">
        <x:v>6.933333333333334</x:v>
      </x:c>
      <x:c r="I839" s="11" t="n">
        <x:f>H839-G839</x:f>
        <x:v>6.933333333333334</x:v>
      </x:c>
      <x:c r="J839" s="10" t="str">
        <x:v>방금 원으로 묶은 이 두 견적을 설치비는 제외하고 비교표로 만들어줘.</x:v>
      </x:c>
      <x:c r="K839" s="10" t="str">
        <x:v>quote-L, quote-R의 설치비를 제외해 비교표 작성을 맡기겠습니다.</x:v>
      </x:c>
      <x:c r="L839" s="11"/>
      <x:c r="M839" s="11"/>
      <x:c r="N839" s="10" t="str">
        <x:v>NOT_MODELED</x:v>
      </x:c>
    </x:row>
    <x:row r="840" ht="85" customHeight="1">
      <x:c r="A840" s="10" t="str">
        <x:v>V-R2</x:v>
      </x:c>
      <x:c r="B840" s="10" t="str">
        <x:v>VOICE</x:v>
      </x:c>
      <x:c r="C840" s="10" t="str">
        <x:v>VOICE:S2-09</x:v>
      </x:c>
      <x:c r="D840" s="10" t="str">
        <x:v>VOICE:S2-09:input</x:v>
      </x:c>
      <x:c r="E840" s="10" t="str">
        <x:v>V-S2</x:v>
      </x:c>
      <x:c r="F840" s="10" t="n">
        <x:v>1</x:v>
      </x:c>
      <x:c r="G840" s="11" t="n">
        <x:v>0</x:v>
      </x:c>
      <x:c r="H840" s="11" t="n">
        <x:v>6.933333333333334</x:v>
      </x:c>
      <x:c r="I840" s="11" t="n">
        <x:f>H840-G840</x:f>
        <x:v>6.933333333333334</x:v>
      </x:c>
      <x:c r="J840" s="10" t="str">
        <x:v>방금 원으로 묶은 이 두 견적을 설치비는 제외하고 비교표로 만들어줘.</x:v>
      </x:c>
      <x:c r="K840" s="10" t="str">
        <x:v>quote-L, quote-R의 설치비를 제외해 비교표 작성을 맡기겠습니다.</x:v>
      </x:c>
      <x:c r="L840" s="11"/>
      <x:c r="M840" s="11"/>
      <x:c r="N840" s="10" t="str">
        <x:v>NOT_MODELED</x:v>
      </x:c>
    </x:row>
    <x:row r="841" ht="85" customHeight="1">
      <x:c r="A841" s="10" t="str">
        <x:v>V-R3</x:v>
      </x:c>
      <x:c r="B841" s="10" t="str">
        <x:v>VOICE</x:v>
      </x:c>
      <x:c r="C841" s="10" t="str">
        <x:v>VOICE:S2-09</x:v>
      </x:c>
      <x:c r="D841" s="10" t="str">
        <x:v>VOICE:S2-09:input</x:v>
      </x:c>
      <x:c r="E841" s="10" t="str">
        <x:v>V-S2</x:v>
      </x:c>
      <x:c r="F841" s="10" t="n">
        <x:v>1</x:v>
      </x:c>
      <x:c r="G841" s="11" t="n">
        <x:v>0</x:v>
      </x:c>
      <x:c r="H841" s="11" t="n">
        <x:v>6.993333333333333</x:v>
      </x:c>
      <x:c r="I841" s="11" t="n">
        <x:f>H841-G841</x:f>
        <x:v>6.993333333333333</x:v>
      </x:c>
      <x:c r="J841" s="10" t="str">
        <x:v>방금 원으로 묶은 이 두 견적을 설치비는 제외하고 비교표로 만들어줘.</x:v>
      </x:c>
      <x:c r="K841" s="10" t="str">
        <x:v>quote-L, quote-R의 설치비를 제외해 비교표 작성을 맡기겠습니다.</x:v>
      </x:c>
      <x:c r="L841" s="11"/>
      <x:c r="M841" s="11"/>
      <x:c r="N841" s="10" t="str">
        <x:v>NOT_MODELED</x:v>
      </x:c>
    </x:row>
    <x:row r="842" ht="85" customHeight="1">
      <x:c r="A842" s="10" t="str">
        <x:v>V-A</x:v>
      </x:c>
      <x:c r="B842" s="10" t="str">
        <x:v>VOICE</x:v>
      </x:c>
      <x:c r="C842" s="10" t="str">
        <x:v>VOICE:S2-10</x:v>
      </x:c>
      <x:c r="D842" s="10" t="str">
        <x:v>VOICE:S2-10:input</x:v>
      </x:c>
      <x:c r="E842" s="10" t="str">
        <x:v>V-S2</x:v>
      </x:c>
      <x:c r="F842" s="10" t="n">
        <x:v>1</x:v>
      </x:c>
      <x:c r="G842" s="11" t="n">
        <x:v>0</x:v>
      </x:c>
      <x:c r="H842" s="11" t="n">
        <x:v>3.8000000000000003</x:v>
      </x:c>
      <x:c r="I842" s="11" t="n">
        <x:f>H842-G842</x:f>
        <x:v>3.8000000000000003</x:v>
      </x:c>
      <x:c r="J842" s="10" t="str">
        <x:v>방금 원으로 묶은 이 두 견적을 설치비는 제외하고 비교표로 만들어줘.</x:v>
      </x:c>
      <x:c r="K842" s="10" t="str">
        <x:v>quote-L, quote-R의 설치비를 포함해 비교표 작성을 맡기겠습니다.</x:v>
      </x:c>
      <x:c r="L842" s="11"/>
      <x:c r="M842" s="11"/>
      <x:c r="N842" s="10" t="str">
        <x:v>NOT_MODELED</x:v>
      </x:c>
    </x:row>
    <x:row r="843" ht="85" customHeight="1">
      <x:c r="A843" s="10" t="str">
        <x:v>V-R1</x:v>
      </x:c>
      <x:c r="B843" s="10" t="str">
        <x:v>VOICE</x:v>
      </x:c>
      <x:c r="C843" s="10" t="str">
        <x:v>VOICE:S2-10</x:v>
      </x:c>
      <x:c r="D843" s="10" t="str">
        <x:v>VOICE:S2-10:input</x:v>
      </x:c>
      <x:c r="E843" s="10" t="str">
        <x:v>V-S2</x:v>
      </x:c>
      <x:c r="F843" s="10" t="n">
        <x:v>1</x:v>
      </x:c>
      <x:c r="G843" s="11" t="n">
        <x:v>0</x:v>
      </x:c>
      <x:c r="H843" s="11" t="n">
        <x:v>6.933333333333334</x:v>
      </x:c>
      <x:c r="I843" s="11" t="n">
        <x:f>H843-G843</x:f>
        <x:v>6.933333333333334</x:v>
      </x:c>
      <x:c r="J843" s="10" t="str">
        <x:v>방금 원으로 묶은 이 두 견적을 설치비는 제외하고 비교표로 만들어줘.</x:v>
      </x:c>
      <x:c r="K843" s="10" t="str">
        <x:v>quote-L, quote-R의 설치비를 포함해 비교표 작성을 맡기겠습니다.</x:v>
      </x:c>
      <x:c r="L843" s="11"/>
      <x:c r="M843" s="11"/>
      <x:c r="N843" s="10" t="str">
        <x:v>NOT_MODELED</x:v>
      </x:c>
    </x:row>
    <x:row r="844" ht="85" customHeight="1">
      <x:c r="A844" s="10" t="str">
        <x:v>V-R2</x:v>
      </x:c>
      <x:c r="B844" s="10" t="str">
        <x:v>VOICE</x:v>
      </x:c>
      <x:c r="C844" s="10" t="str">
        <x:v>VOICE:S2-10</x:v>
      </x:c>
      <x:c r="D844" s="10" t="str">
        <x:v>VOICE:S2-10:input</x:v>
      </x:c>
      <x:c r="E844" s="10" t="str">
        <x:v>V-S2</x:v>
      </x:c>
      <x:c r="F844" s="10" t="n">
        <x:v>1</x:v>
      </x:c>
      <x:c r="G844" s="11" t="n">
        <x:v>0</x:v>
      </x:c>
      <x:c r="H844" s="11" t="n">
        <x:v>6.933333333333334</x:v>
      </x:c>
      <x:c r="I844" s="11" t="n">
        <x:f>H844-G844</x:f>
        <x:v>6.933333333333334</x:v>
      </x:c>
      <x:c r="J844" s="10" t="str">
        <x:v>방금 원으로 묶은 이 두 견적을 설치비는 제외하고 비교표로 만들어줘.</x:v>
      </x:c>
      <x:c r="K844" s="10" t="str">
        <x:v>quote-L, quote-R의 설치비를 포함해 비교표 작성을 맡기겠습니다.</x:v>
      </x:c>
      <x:c r="L844" s="11"/>
      <x:c r="M844" s="11"/>
      <x:c r="N844" s="10" t="str">
        <x:v>NOT_MODELED</x:v>
      </x:c>
    </x:row>
    <x:row r="845" ht="85" customHeight="1">
      <x:c r="A845" s="10" t="str">
        <x:v>V-R3</x:v>
      </x:c>
      <x:c r="B845" s="10" t="str">
        <x:v>VOICE</x:v>
      </x:c>
      <x:c r="C845" s="10" t="str">
        <x:v>VOICE:S2-10</x:v>
      </x:c>
      <x:c r="D845" s="10" t="str">
        <x:v>VOICE:S2-10:input</x:v>
      </x:c>
      <x:c r="E845" s="10" t="str">
        <x:v>V-S2</x:v>
      </x:c>
      <x:c r="F845" s="10" t="n">
        <x:v>1</x:v>
      </x:c>
      <x:c r="G845" s="11" t="n">
        <x:v>0</x:v>
      </x:c>
      <x:c r="H845" s="11" t="n">
        <x:v>6.993333333333333</x:v>
      </x:c>
      <x:c r="I845" s="11" t="n">
        <x:f>H845-G845</x:f>
        <x:v>6.993333333333333</x:v>
      </x:c>
      <x:c r="J845" s="10" t="str">
        <x:v>방금 원으로 묶은 이 두 견적을 설치비는 제외하고 비교표로 만들어줘.</x:v>
      </x:c>
      <x:c r="K845" s="10" t="str">
        <x:v>quote-L, quote-R의 설치비를 포함해 비교표 작성을 맡기겠습니다.</x:v>
      </x:c>
      <x:c r="L845" s="11"/>
      <x:c r="M845" s="11"/>
      <x:c r="N845" s="10" t="str">
        <x:v>NOT_MODELED</x:v>
      </x:c>
    </x:row>
    <x:row r="846" ht="85" customHeight="1">
      <x:c r="A846" s="10" t="str">
        <x:v>V-A</x:v>
      </x:c>
      <x:c r="B846" s="10" t="str">
        <x:v>VOICE</x:v>
      </x:c>
      <x:c r="C846" s="10" t="str">
        <x:v>VOICE:S2-11</x:v>
      </x:c>
      <x:c r="D846" s="10" t="str">
        <x:v>VOICE:S2-11:input</x:v>
      </x:c>
      <x:c r="E846" s="10" t="str">
        <x:v>V-S2</x:v>
      </x:c>
      <x:c r="F846" s="10" t="n">
        <x:v>1</x:v>
      </x:c>
      <x:c r="G846" s="11" t="n">
        <x:v>0</x:v>
      </x:c>
      <x:c r="H846" s="11" t="n">
        <x:v>3.8000000000000003</x:v>
      </x:c>
      <x:c r="I846" s="11" t="n">
        <x:f>H846-G846</x:f>
        <x:v>3.8000000000000003</x:v>
      </x:c>
      <x:c r="J846" s="10" t="str">
        <x:v>방금 원으로 묶은 이 두 견적을 설치비는 제외하고 비교표로 만들어줘.</x:v>
      </x:c>
      <x:c r="K846" s="10" t="str">
        <x:v>quote-L, quote-R의 설치비를 제외해 비교표 작성을 맡기겠습니다.</x:v>
      </x:c>
      <x:c r="L846" s="11"/>
      <x:c r="M846" s="11"/>
      <x:c r="N846" s="10" t="str">
        <x:v>NOT_MODELED</x:v>
      </x:c>
    </x:row>
    <x:row r="847" ht="85" customHeight="1">
      <x:c r="A847" s="10" t="str">
        <x:v>V-R1</x:v>
      </x:c>
      <x:c r="B847" s="10" t="str">
        <x:v>VOICE</x:v>
      </x:c>
      <x:c r="C847" s="10" t="str">
        <x:v>VOICE:S2-11</x:v>
      </x:c>
      <x:c r="D847" s="10" t="str">
        <x:v>VOICE:S2-11:input</x:v>
      </x:c>
      <x:c r="E847" s="10" t="str">
        <x:v>V-S2</x:v>
      </x:c>
      <x:c r="F847" s="10" t="n">
        <x:v>1</x:v>
      </x:c>
      <x:c r="G847" s="11" t="n">
        <x:v>0</x:v>
      </x:c>
      <x:c r="H847" s="11" t="n">
        <x:v>6.933333333333334</x:v>
      </x:c>
      <x:c r="I847" s="11" t="n">
        <x:f>H847-G847</x:f>
        <x:v>6.933333333333334</x:v>
      </x:c>
      <x:c r="J847" s="10" t="str">
        <x:v>방금 원으로 묶은 이 두 견적을 설치비는 제외하고 비교표로 만들어줘.</x:v>
      </x:c>
      <x:c r="K847" s="10" t="str">
        <x:v>quote-L, quote-R의 설치비를 제외해 비교표 작성을 맡기겠습니다.</x:v>
      </x:c>
      <x:c r="L847" s="11"/>
      <x:c r="M847" s="11"/>
      <x:c r="N847" s="10" t="str">
        <x:v>NOT_MODELED</x:v>
      </x:c>
    </x:row>
    <x:row r="848" ht="85" customHeight="1">
      <x:c r="A848" s="10" t="str">
        <x:v>V-R2</x:v>
      </x:c>
      <x:c r="B848" s="10" t="str">
        <x:v>VOICE</x:v>
      </x:c>
      <x:c r="C848" s="10" t="str">
        <x:v>VOICE:S2-11</x:v>
      </x:c>
      <x:c r="D848" s="10" t="str">
        <x:v>VOICE:S2-11:input</x:v>
      </x:c>
      <x:c r="E848" s="10" t="str">
        <x:v>V-S2</x:v>
      </x:c>
      <x:c r="F848" s="10" t="n">
        <x:v>1</x:v>
      </x:c>
      <x:c r="G848" s="11" t="n">
        <x:v>0</x:v>
      </x:c>
      <x:c r="H848" s="11" t="n">
        <x:v>6.933333333333334</x:v>
      </x:c>
      <x:c r="I848" s="11" t="n">
        <x:f>H848-G848</x:f>
        <x:v>6.933333333333334</x:v>
      </x:c>
      <x:c r="J848" s="10" t="str">
        <x:v>방금 원으로 묶은 이 두 견적을 설치비는 제외하고 비교표로 만들어줘.</x:v>
      </x:c>
      <x:c r="K848" s="10" t="str">
        <x:v>quote-L, quote-R의 설치비를 제외해 비교표 작성을 맡기겠습니다.</x:v>
      </x:c>
      <x:c r="L848" s="11"/>
      <x:c r="M848" s="11"/>
      <x:c r="N848" s="10" t="str">
        <x:v>NOT_MODELED</x:v>
      </x:c>
    </x:row>
    <x:row r="849" ht="85" customHeight="1">
      <x:c r="A849" s="10" t="str">
        <x:v>V-R3</x:v>
      </x:c>
      <x:c r="B849" s="10" t="str">
        <x:v>VOICE</x:v>
      </x:c>
      <x:c r="C849" s="10" t="str">
        <x:v>VOICE:S2-11</x:v>
      </x:c>
      <x:c r="D849" s="10" t="str">
        <x:v>VOICE:S2-11:input</x:v>
      </x:c>
      <x:c r="E849" s="10" t="str">
        <x:v>V-S2</x:v>
      </x:c>
      <x:c r="F849" s="10" t="n">
        <x:v>1</x:v>
      </x:c>
      <x:c r="G849" s="11" t="n">
        <x:v>0</x:v>
      </x:c>
      <x:c r="H849" s="11" t="n">
        <x:v>6.993333333333333</x:v>
      </x:c>
      <x:c r="I849" s="11" t="n">
        <x:f>H849-G849</x:f>
        <x:v>6.993333333333333</x:v>
      </x:c>
      <x:c r="J849" s="10" t="str">
        <x:v>방금 원으로 묶은 이 두 견적을 설치비는 제외하고 비교표로 만들어줘.</x:v>
      </x:c>
      <x:c r="K849" s="10" t="str">
        <x:v>quote-L, quote-R의 설치비를 제외해 비교표 작성을 맡기겠습니다.</x:v>
      </x:c>
      <x:c r="L849" s="11"/>
      <x:c r="M849" s="11"/>
      <x:c r="N849" s="10" t="str">
        <x:v>NOT_MODELED</x:v>
      </x:c>
    </x:row>
    <x:row r="850" ht="85" customHeight="1">
      <x:c r="A850" s="10" t="str">
        <x:v>V-A</x:v>
      </x:c>
      <x:c r="B850" s="10" t="str">
        <x:v>VOICE</x:v>
      </x:c>
      <x:c r="C850" s="10" t="str">
        <x:v>VOICE:S2-12</x:v>
      </x:c>
      <x:c r="D850" s="10" t="str">
        <x:v>VOICE:S2-12:input</x:v>
      </x:c>
      <x:c r="E850" s="10" t="str">
        <x:v>V-S2</x:v>
      </x:c>
      <x:c r="F850" s="10" t="n">
        <x:v>1</x:v>
      </x:c>
      <x:c r="G850" s="11" t="n">
        <x:v>0</x:v>
      </x:c>
      <x:c r="H850" s="11" t="n">
        <x:v>3.8000000000000003</x:v>
      </x:c>
      <x:c r="I850" s="11" t="n">
        <x:f>H850-G850</x:f>
        <x:v>3.8000000000000003</x:v>
      </x:c>
      <x:c r="J850" s="10" t="str">
        <x:v>방금 원으로 묶은 이 두 견적을 설치비는 제외하고 비교표로 만들어줘.</x:v>
      </x:c>
      <x:c r="K850" s="10" t="str">
        <x:v>quote-L, quote-R의 설치비를 제외해 비교표 작성을 맡기겠습니다.</x:v>
      </x:c>
      <x:c r="L850" s="11"/>
      <x:c r="M850" s="11"/>
      <x:c r="N850" s="10" t="str">
        <x:v>NOT_MODELED</x:v>
      </x:c>
    </x:row>
    <x:row r="851" ht="85" customHeight="1">
      <x:c r="A851" s="10" t="str">
        <x:v>V-R1</x:v>
      </x:c>
      <x:c r="B851" s="10" t="str">
        <x:v>VOICE</x:v>
      </x:c>
      <x:c r="C851" s="10" t="str">
        <x:v>VOICE:S2-12</x:v>
      </x:c>
      <x:c r="D851" s="10" t="str">
        <x:v>VOICE:S2-12:input</x:v>
      </x:c>
      <x:c r="E851" s="10" t="str">
        <x:v>V-S2</x:v>
      </x:c>
      <x:c r="F851" s="10" t="n">
        <x:v>1</x:v>
      </x:c>
      <x:c r="G851" s="11" t="n">
        <x:v>0</x:v>
      </x:c>
      <x:c r="H851" s="11" t="n">
        <x:v>6.933333333333334</x:v>
      </x:c>
      <x:c r="I851" s="11" t="n">
        <x:f>H851-G851</x:f>
        <x:v>6.933333333333334</x:v>
      </x:c>
      <x:c r="J851" s="10" t="str">
        <x:v>방금 원으로 묶은 이 두 견적을 설치비는 제외하고 비교표로 만들어줘.</x:v>
      </x:c>
      <x:c r="K851" s="10" t="str">
        <x:v>quote-L, quote-R의 설치비를 제외해 비교표 작성을 맡기겠습니다.</x:v>
      </x:c>
      <x:c r="L851" s="11"/>
      <x:c r="M851" s="11"/>
      <x:c r="N851" s="10" t="str">
        <x:v>NOT_MODELED</x:v>
      </x:c>
    </x:row>
    <x:row r="852" ht="85" customHeight="1">
      <x:c r="A852" s="10" t="str">
        <x:v>V-R2</x:v>
      </x:c>
      <x:c r="B852" s="10" t="str">
        <x:v>VOICE</x:v>
      </x:c>
      <x:c r="C852" s="10" t="str">
        <x:v>VOICE:S2-12</x:v>
      </x:c>
      <x:c r="D852" s="10" t="str">
        <x:v>VOICE:S2-12:input</x:v>
      </x:c>
      <x:c r="E852" s="10" t="str">
        <x:v>V-S2</x:v>
      </x:c>
      <x:c r="F852" s="10" t="n">
        <x:v>1</x:v>
      </x:c>
      <x:c r="G852" s="11" t="n">
        <x:v>0</x:v>
      </x:c>
      <x:c r="H852" s="11" t="n">
        <x:v>6.933333333333334</x:v>
      </x:c>
      <x:c r="I852" s="11" t="n">
        <x:f>H852-G852</x:f>
        <x:v>6.933333333333334</x:v>
      </x:c>
      <x:c r="J852" s="10" t="str">
        <x:v>방금 원으로 묶은 이 두 견적을 설치비는 제외하고 비교표로 만들어줘.</x:v>
      </x:c>
      <x:c r="K852" s="10" t="str">
        <x:v>quote-L, quote-R의 설치비를 제외해 비교표 작성을 맡기겠습니다.</x:v>
      </x:c>
      <x:c r="L852" s="11"/>
      <x:c r="M852" s="11"/>
      <x:c r="N852" s="10" t="str">
        <x:v>NOT_MODELED</x:v>
      </x:c>
    </x:row>
    <x:row r="853" ht="85" customHeight="1">
      <x:c r="A853" s="10" t="str">
        <x:v>V-R3</x:v>
      </x:c>
      <x:c r="B853" s="10" t="str">
        <x:v>VOICE</x:v>
      </x:c>
      <x:c r="C853" s="10" t="str">
        <x:v>VOICE:S2-12</x:v>
      </x:c>
      <x:c r="D853" s="10" t="str">
        <x:v>VOICE:S2-12:input</x:v>
      </x:c>
      <x:c r="E853" s="10" t="str">
        <x:v>V-S2</x:v>
      </x:c>
      <x:c r="F853" s="10" t="n">
        <x:v>1</x:v>
      </x:c>
      <x:c r="G853" s="11" t="n">
        <x:v>0</x:v>
      </x:c>
      <x:c r="H853" s="11" t="n">
        <x:v>6.993333333333333</x:v>
      </x:c>
      <x:c r="I853" s="11" t="n">
        <x:f>H853-G853</x:f>
        <x:v>6.993333333333333</x:v>
      </x:c>
      <x:c r="J853" s="10" t="str">
        <x:v>방금 원으로 묶은 이 두 견적을 설치비는 제외하고 비교표로 만들어줘.</x:v>
      </x:c>
      <x:c r="K853" s="10" t="str">
        <x:v>quote-L, quote-R의 설치비를 제외해 비교표 작성을 맡기겠습니다.</x:v>
      </x:c>
      <x:c r="L853" s="11"/>
      <x:c r="M853" s="11"/>
      <x:c r="N853" s="10" t="str">
        <x:v>NOT_MODELED</x:v>
      </x:c>
    </x:row>
    <x:row r="854" ht="85" customHeight="1">
      <x:c r="A854" s="10" t="str">
        <x:v>V-A</x:v>
      </x:c>
      <x:c r="B854" s="10" t="str">
        <x:v>VOICE</x:v>
      </x:c>
      <x:c r="C854" s="10" t="str">
        <x:v>VOICE:S2-13</x:v>
      </x:c>
      <x:c r="D854" s="10" t="str">
        <x:v>VOICE:S2-13:input</x:v>
      </x:c>
      <x:c r="E854" s="10" t="str">
        <x:v>V-S2</x:v>
      </x:c>
      <x:c r="F854" s="10" t="n">
        <x:v>1</x:v>
      </x:c>
      <x:c r="G854" s="11" t="n">
        <x:v>0</x:v>
      </x:c>
      <x:c r="H854" s="11" t="n">
        <x:v>3.8000000000000003</x:v>
      </x:c>
      <x:c r="I854" s="11" t="n">
        <x:f>H854-G854</x:f>
        <x:v>3.8000000000000003</x:v>
      </x:c>
      <x:c r="J854" s="10" t="str">
        <x:v>방금 원으로 묶은 이 두 견적을 설치비는 제외하고 비교표로 만들어줘.</x:v>
      </x:c>
      <x:c r="K854" s="10" t="str">
        <x:v>quote-L, quote-R의 설치비를 제외해 비교표 작성을 맡기겠습니다.</x:v>
      </x:c>
      <x:c r="L854" s="11"/>
      <x:c r="M854" s="11"/>
      <x:c r="N854" s="10" t="str">
        <x:v>NOT_MODELED</x:v>
      </x:c>
    </x:row>
    <x:row r="855" ht="85" customHeight="1">
      <x:c r="A855" s="10" t="str">
        <x:v>V-R1</x:v>
      </x:c>
      <x:c r="B855" s="10" t="str">
        <x:v>VOICE</x:v>
      </x:c>
      <x:c r="C855" s="10" t="str">
        <x:v>VOICE:S2-13</x:v>
      </x:c>
      <x:c r="D855" s="10" t="str">
        <x:v>VOICE:S2-13:input</x:v>
      </x:c>
      <x:c r="E855" s="10" t="str">
        <x:v>V-S2</x:v>
      </x:c>
      <x:c r="F855" s="10" t="n">
        <x:v>1</x:v>
      </x:c>
      <x:c r="G855" s="11" t="n">
        <x:v>0</x:v>
      </x:c>
      <x:c r="H855" s="11" t="n">
        <x:v>6.933333333333334</x:v>
      </x:c>
      <x:c r="I855" s="11" t="n">
        <x:f>H855-G855</x:f>
        <x:v>6.933333333333334</x:v>
      </x:c>
      <x:c r="J855" s="10" t="str">
        <x:v>방금 원으로 묶은 이 두 견적을 설치비는 제외하고 비교표로 만들어줘.</x:v>
      </x:c>
      <x:c r="K855" s="10" t="str">
        <x:v>quote-L, quote-R의 설치비를 제외해 비교표 작성을 맡기겠습니다.</x:v>
      </x:c>
      <x:c r="L855" s="11"/>
      <x:c r="M855" s="11"/>
      <x:c r="N855" s="10" t="str">
        <x:v>NOT_MODELED</x:v>
      </x:c>
    </x:row>
    <x:row r="856" ht="85" customHeight="1">
      <x:c r="A856" s="10" t="str">
        <x:v>V-R2</x:v>
      </x:c>
      <x:c r="B856" s="10" t="str">
        <x:v>VOICE</x:v>
      </x:c>
      <x:c r="C856" s="10" t="str">
        <x:v>VOICE:S2-13</x:v>
      </x:c>
      <x:c r="D856" s="10" t="str">
        <x:v>VOICE:S2-13:input</x:v>
      </x:c>
      <x:c r="E856" s="10" t="str">
        <x:v>V-S2</x:v>
      </x:c>
      <x:c r="F856" s="10" t="n">
        <x:v>1</x:v>
      </x:c>
      <x:c r="G856" s="11" t="n">
        <x:v>0</x:v>
      </x:c>
      <x:c r="H856" s="11" t="n">
        <x:v>6.933333333333334</x:v>
      </x:c>
      <x:c r="I856" s="11" t="n">
        <x:f>H856-G856</x:f>
        <x:v>6.933333333333334</x:v>
      </x:c>
      <x:c r="J856" s="10" t="str">
        <x:v>방금 원으로 묶은 이 두 견적을 설치비는 제외하고 비교표로 만들어줘.</x:v>
      </x:c>
      <x:c r="K856" s="10" t="str">
        <x:v>quote-L, quote-R의 설치비를 제외해 비교표 작성을 맡기겠습니다.</x:v>
      </x:c>
      <x:c r="L856" s="11"/>
      <x:c r="M856" s="11"/>
      <x:c r="N856" s="10" t="str">
        <x:v>NOT_MODELED</x:v>
      </x:c>
    </x:row>
    <x:row r="857" ht="85" customHeight="1">
      <x:c r="A857" s="10" t="str">
        <x:v>V-R3</x:v>
      </x:c>
      <x:c r="B857" s="10" t="str">
        <x:v>VOICE</x:v>
      </x:c>
      <x:c r="C857" s="10" t="str">
        <x:v>VOICE:S2-13</x:v>
      </x:c>
      <x:c r="D857" s="10" t="str">
        <x:v>VOICE:S2-13:input</x:v>
      </x:c>
      <x:c r="E857" s="10" t="str">
        <x:v>V-S2</x:v>
      </x:c>
      <x:c r="F857" s="10" t="n">
        <x:v>1</x:v>
      </x:c>
      <x:c r="G857" s="11" t="n">
        <x:v>0</x:v>
      </x:c>
      <x:c r="H857" s="11" t="n">
        <x:v>6.993333333333333</x:v>
      </x:c>
      <x:c r="I857" s="11" t="n">
        <x:f>H857-G857</x:f>
        <x:v>6.993333333333333</x:v>
      </x:c>
      <x:c r="J857" s="10" t="str">
        <x:v>방금 원으로 묶은 이 두 견적을 설치비는 제외하고 비교표로 만들어줘.</x:v>
      </x:c>
      <x:c r="K857" s="10" t="str">
        <x:v>quote-L, quote-R의 설치비를 제외해 비교표 작성을 맡기겠습니다.</x:v>
      </x:c>
      <x:c r="L857" s="11"/>
      <x:c r="M857" s="11"/>
      <x:c r="N857" s="10" t="str">
        <x:v>NOT_MODELED</x:v>
      </x:c>
    </x:row>
    <x:row r="858" ht="85" customHeight="1">
      <x:c r="A858" s="10" t="str">
        <x:v>V-A</x:v>
      </x:c>
      <x:c r="B858" s="10" t="str">
        <x:v>VOICE</x:v>
      </x:c>
      <x:c r="C858" s="10" t="str">
        <x:v>VOICE:S2-14</x:v>
      </x:c>
      <x:c r="D858" s="10" t="str">
        <x:v>VOICE:S2-14:input</x:v>
      </x:c>
      <x:c r="E858" s="10" t="str">
        <x:v>V-S2</x:v>
      </x:c>
      <x:c r="F858" s="10" t="n">
        <x:v>1</x:v>
      </x:c>
      <x:c r="G858" s="11" t="n">
        <x:v>0</x:v>
      </x:c>
      <x:c r="H858" s="11" t="n">
        <x:v>3.8000000000000003</x:v>
      </x:c>
      <x:c r="I858" s="11" t="n">
        <x:f>H858-G858</x:f>
        <x:v>3.8000000000000003</x:v>
      </x:c>
      <x:c r="J858" s="10" t="str">
        <x:v>방금 원으로 묶은 이 두 견적을 설치비는 제외하고 비교표로 만들어줘.</x:v>
      </x:c>
      <x:c r="K858" s="10" t="str">
        <x:v>quote-L, quote-R의 설치비를 제외해 비교표 작성을 맡기겠습니다.</x:v>
      </x:c>
      <x:c r="L858" s="11"/>
      <x:c r="M858" s="11"/>
      <x:c r="N858" s="10" t="str">
        <x:v>NOT_MODELED</x:v>
      </x:c>
    </x:row>
    <x:row r="859" ht="85" customHeight="1">
      <x:c r="A859" s="10" t="str">
        <x:v>V-R1</x:v>
      </x:c>
      <x:c r="B859" s="10" t="str">
        <x:v>VOICE</x:v>
      </x:c>
      <x:c r="C859" s="10" t="str">
        <x:v>VOICE:S2-14</x:v>
      </x:c>
      <x:c r="D859" s="10" t="str">
        <x:v>VOICE:S2-14:input</x:v>
      </x:c>
      <x:c r="E859" s="10" t="str">
        <x:v>V-S2</x:v>
      </x:c>
      <x:c r="F859" s="10" t="n">
        <x:v>1</x:v>
      </x:c>
      <x:c r="G859" s="11" t="n">
        <x:v>0</x:v>
      </x:c>
      <x:c r="H859" s="11" t="n">
        <x:v>6.933333333333334</x:v>
      </x:c>
      <x:c r="I859" s="11" t="n">
        <x:f>H859-G859</x:f>
        <x:v>6.933333333333334</x:v>
      </x:c>
      <x:c r="J859" s="10" t="str">
        <x:v>방금 원으로 묶은 이 두 견적을 설치비는 제외하고 비교표로 만들어줘.</x:v>
      </x:c>
      <x:c r="K859" s="10" t="str">
        <x:v>quote-L, quote-R의 설치비를 제외해 비교표 작성을 맡기겠습니다.</x:v>
      </x:c>
      <x:c r="L859" s="11"/>
      <x:c r="M859" s="11"/>
      <x:c r="N859" s="10" t="str">
        <x:v>NOT_MODELED</x:v>
      </x:c>
    </x:row>
    <x:row r="860" ht="85" customHeight="1">
      <x:c r="A860" s="10" t="str">
        <x:v>V-R2</x:v>
      </x:c>
      <x:c r="B860" s="10" t="str">
        <x:v>VOICE</x:v>
      </x:c>
      <x:c r="C860" s="10" t="str">
        <x:v>VOICE:S2-14</x:v>
      </x:c>
      <x:c r="D860" s="10" t="str">
        <x:v>VOICE:S2-14:input</x:v>
      </x:c>
      <x:c r="E860" s="10" t="str">
        <x:v>V-S2</x:v>
      </x:c>
      <x:c r="F860" s="10" t="n">
        <x:v>1</x:v>
      </x:c>
      <x:c r="G860" s="11" t="n">
        <x:v>0</x:v>
      </x:c>
      <x:c r="H860" s="11" t="n">
        <x:v>6.933333333333334</x:v>
      </x:c>
      <x:c r="I860" s="11" t="n">
        <x:f>H860-G860</x:f>
        <x:v>6.933333333333334</x:v>
      </x:c>
      <x:c r="J860" s="10" t="str">
        <x:v>방금 원으로 묶은 이 두 견적을 설치비는 제외하고 비교표로 만들어줘.</x:v>
      </x:c>
      <x:c r="K860" s="10" t="str">
        <x:v>quote-L, quote-R의 설치비를 제외해 비교표 작성을 맡기겠습니다.</x:v>
      </x:c>
      <x:c r="L860" s="11"/>
      <x:c r="M860" s="11"/>
      <x:c r="N860" s="10" t="str">
        <x:v>NOT_MODELED</x:v>
      </x:c>
    </x:row>
    <x:row r="861" ht="85" customHeight="1">
      <x:c r="A861" s="10" t="str">
        <x:v>V-R3</x:v>
      </x:c>
      <x:c r="B861" s="10" t="str">
        <x:v>VOICE</x:v>
      </x:c>
      <x:c r="C861" s="10" t="str">
        <x:v>VOICE:S2-14</x:v>
      </x:c>
      <x:c r="D861" s="10" t="str">
        <x:v>VOICE:S2-14:input</x:v>
      </x:c>
      <x:c r="E861" s="10" t="str">
        <x:v>V-S2</x:v>
      </x:c>
      <x:c r="F861" s="10" t="n">
        <x:v>1</x:v>
      </x:c>
      <x:c r="G861" s="11" t="n">
        <x:v>0</x:v>
      </x:c>
      <x:c r="H861" s="11" t="n">
        <x:v>6.993333333333333</x:v>
      </x:c>
      <x:c r="I861" s="11" t="n">
        <x:f>H861-G861</x:f>
        <x:v>6.993333333333333</x:v>
      </x:c>
      <x:c r="J861" s="10" t="str">
        <x:v>방금 원으로 묶은 이 두 견적을 설치비는 제외하고 비교표로 만들어줘.</x:v>
      </x:c>
      <x:c r="K861" s="10" t="str">
        <x:v>quote-L, quote-R의 설치비를 제외해 비교표 작성을 맡기겠습니다.</x:v>
      </x:c>
      <x:c r="L861" s="11"/>
      <x:c r="M861" s="11"/>
      <x:c r="N861" s="10" t="str">
        <x:v>NOT_MODELED</x:v>
      </x:c>
    </x:row>
    <x:row r="862" ht="85" customHeight="1">
      <x:c r="A862" s="10" t="str">
        <x:v>V-A</x:v>
      </x:c>
      <x:c r="B862" s="10" t="str">
        <x:v>VOICE</x:v>
      </x:c>
      <x:c r="C862" s="10" t="str">
        <x:v>VOICE:S2-15</x:v>
      </x:c>
      <x:c r="D862" s="10" t="str">
        <x:v>VOICE:S2-15:input</x:v>
      </x:c>
      <x:c r="E862" s="10" t="str">
        <x:v>V-S2</x:v>
      </x:c>
      <x:c r="F862" s="10" t="n">
        <x:v>1</x:v>
      </x:c>
      <x:c r="G862" s="11" t="n">
        <x:v>0</x:v>
      </x:c>
      <x:c r="H862" s="11" t="n">
        <x:v>3.8000000000000003</x:v>
      </x:c>
      <x:c r="I862" s="11" t="n">
        <x:f>H862-G862</x:f>
        <x:v>3.8000000000000003</x:v>
      </x:c>
      <x:c r="J862" s="10" t="str">
        <x:v>방금 원으로 묶은 이 두 견적을 설치비는 제외하고 비교표로 만들어줘.</x:v>
      </x:c>
      <x:c r="K862" s="10" t="str">
        <x:v>quote-L, quote-R의 설치비를 제외해 비교표 작성을 맡기겠습니다.</x:v>
      </x:c>
      <x:c r="L862" s="11"/>
      <x:c r="M862" s="11"/>
      <x:c r="N862" s="10" t="str">
        <x:v>NOT_MODELED</x:v>
      </x:c>
    </x:row>
    <x:row r="863" ht="85" customHeight="1">
      <x:c r="A863" s="10" t="str">
        <x:v>V-R1</x:v>
      </x:c>
      <x:c r="B863" s="10" t="str">
        <x:v>VOICE</x:v>
      </x:c>
      <x:c r="C863" s="10" t="str">
        <x:v>VOICE:S2-15</x:v>
      </x:c>
      <x:c r="D863" s="10" t="str">
        <x:v>VOICE:S2-15:input</x:v>
      </x:c>
      <x:c r="E863" s="10" t="str">
        <x:v>V-S2</x:v>
      </x:c>
      <x:c r="F863" s="10" t="n">
        <x:v>1</x:v>
      </x:c>
      <x:c r="G863" s="11" t="n">
        <x:v>0</x:v>
      </x:c>
      <x:c r="H863" s="11" t="n">
        <x:v>6.933333333333334</x:v>
      </x:c>
      <x:c r="I863" s="11" t="n">
        <x:f>H863-G863</x:f>
        <x:v>6.933333333333334</x:v>
      </x:c>
      <x:c r="J863" s="10" t="str">
        <x:v>방금 원으로 묶은 이 두 견적을 설치비는 제외하고 비교표로 만들어줘.</x:v>
      </x:c>
      <x:c r="K863" s="10" t="str">
        <x:v>quote-L, quote-R의 설치비를 제외해 비교표 작성을 맡기겠습니다.</x:v>
      </x:c>
      <x:c r="L863" s="11"/>
      <x:c r="M863" s="11"/>
      <x:c r="N863" s="10" t="str">
        <x:v>NOT_MODELED</x:v>
      </x:c>
    </x:row>
    <x:row r="864" ht="85" customHeight="1">
      <x:c r="A864" s="10" t="str">
        <x:v>V-R2</x:v>
      </x:c>
      <x:c r="B864" s="10" t="str">
        <x:v>VOICE</x:v>
      </x:c>
      <x:c r="C864" s="10" t="str">
        <x:v>VOICE:S2-15</x:v>
      </x:c>
      <x:c r="D864" s="10" t="str">
        <x:v>VOICE:S2-15:input</x:v>
      </x:c>
      <x:c r="E864" s="10" t="str">
        <x:v>V-S2</x:v>
      </x:c>
      <x:c r="F864" s="10" t="n">
        <x:v>1</x:v>
      </x:c>
      <x:c r="G864" s="11" t="n">
        <x:v>0</x:v>
      </x:c>
      <x:c r="H864" s="11" t="n">
        <x:v>6.933333333333334</x:v>
      </x:c>
      <x:c r="I864" s="11" t="n">
        <x:f>H864-G864</x:f>
        <x:v>6.933333333333334</x:v>
      </x:c>
      <x:c r="J864" s="10" t="str">
        <x:v>방금 원으로 묶은 이 두 견적을 설치비는 제외하고 비교표로 만들어줘.</x:v>
      </x:c>
      <x:c r="K864" s="10" t="str">
        <x:v>quote-L, quote-R의 설치비를 제외해 비교표 작성을 맡기겠습니다.</x:v>
      </x:c>
      <x:c r="L864" s="11"/>
      <x:c r="M864" s="11"/>
      <x:c r="N864" s="10" t="str">
        <x:v>NOT_MODELED</x:v>
      </x:c>
    </x:row>
    <x:row r="865" ht="85" customHeight="1">
      <x:c r="A865" s="10" t="str">
        <x:v>V-R3</x:v>
      </x:c>
      <x:c r="B865" s="10" t="str">
        <x:v>VOICE</x:v>
      </x:c>
      <x:c r="C865" s="10" t="str">
        <x:v>VOICE:S2-15</x:v>
      </x:c>
      <x:c r="D865" s="10" t="str">
        <x:v>VOICE:S2-15:input</x:v>
      </x:c>
      <x:c r="E865" s="10" t="str">
        <x:v>V-S2</x:v>
      </x:c>
      <x:c r="F865" s="10" t="n">
        <x:v>1</x:v>
      </x:c>
      <x:c r="G865" s="11" t="n">
        <x:v>0</x:v>
      </x:c>
      <x:c r="H865" s="11" t="n">
        <x:v>6.993333333333333</x:v>
      </x:c>
      <x:c r="I865" s="11" t="n">
        <x:f>H865-G865</x:f>
        <x:v>6.993333333333333</x:v>
      </x:c>
      <x:c r="J865" s="10" t="str">
        <x:v>방금 원으로 묶은 이 두 견적을 설치비는 제외하고 비교표로 만들어줘.</x:v>
      </x:c>
      <x:c r="K865" s="10" t="str">
        <x:v>quote-L, quote-R의 설치비를 제외해 비교표 작성을 맡기겠습니다.</x:v>
      </x:c>
      <x:c r="L865" s="11"/>
      <x:c r="M865" s="11"/>
      <x:c r="N865" s="10" t="str">
        <x:v>NOT_MODELED</x:v>
      </x:c>
    </x:row>
    <x:row r="866" ht="85" customHeight="1">
      <x:c r="A866" s="10" t="str">
        <x:v>V-A</x:v>
      </x:c>
      <x:c r="B866" s="10" t="str">
        <x:v>VOICE</x:v>
      </x:c>
      <x:c r="C866" s="10" t="str">
        <x:v>VOICE:S2-16</x:v>
      </x:c>
      <x:c r="D866" s="10" t="str">
        <x:v>VOICE:S2-16:input</x:v>
      </x:c>
      <x:c r="E866" s="10" t="str">
        <x:v>V-S2</x:v>
      </x:c>
      <x:c r="F866" s="10" t="n">
        <x:v>1</x:v>
      </x:c>
      <x:c r="G866" s="11" t="n">
        <x:v>0</x:v>
      </x:c>
      <x:c r="H866" s="11" t="n">
        <x:v>3.8000000000000003</x:v>
      </x:c>
      <x:c r="I866" s="11" t="n">
        <x:f>H866-G866</x:f>
        <x:v>3.8000000000000003</x:v>
      </x:c>
      <x:c r="J866" s="10" t="str">
        <x:v>방금 원으로 묶은 이 두 견적을 설치비는 제외하고 비교표로 만들어줘.</x:v>
      </x:c>
      <x:c r="K866" s="10" t="str">
        <x:v>quote-L, quote-R의 설치비를 제외해 비교표 작성을 맡기겠습니다.</x:v>
      </x:c>
      <x:c r="L866" s="11"/>
      <x:c r="M866" s="11"/>
      <x:c r="N866" s="10" t="str">
        <x:v>NOT_MODELED</x:v>
      </x:c>
    </x:row>
    <x:row r="867" ht="85" customHeight="1">
      <x:c r="A867" s="10" t="str">
        <x:v>V-R1</x:v>
      </x:c>
      <x:c r="B867" s="10" t="str">
        <x:v>VOICE</x:v>
      </x:c>
      <x:c r="C867" s="10" t="str">
        <x:v>VOICE:S2-16</x:v>
      </x:c>
      <x:c r="D867" s="10" t="str">
        <x:v>VOICE:S2-16:input</x:v>
      </x:c>
      <x:c r="E867" s="10" t="str">
        <x:v>V-S2</x:v>
      </x:c>
      <x:c r="F867" s="10" t="n">
        <x:v>1</x:v>
      </x:c>
      <x:c r="G867" s="11" t="n">
        <x:v>0</x:v>
      </x:c>
      <x:c r="H867" s="11" t="n">
        <x:v>6.933333333333334</x:v>
      </x:c>
      <x:c r="I867" s="11" t="n">
        <x:f>H867-G867</x:f>
        <x:v>6.933333333333334</x:v>
      </x:c>
      <x:c r="J867" s="10" t="str">
        <x:v>방금 원으로 묶은 이 두 견적을 설치비는 제외하고 비교표로 만들어줘.</x:v>
      </x:c>
      <x:c r="K867" s="10" t="str">
        <x:v>quote-L, quote-R의 설치비를 제외해 비교표 작성을 맡기겠습니다.</x:v>
      </x:c>
      <x:c r="L867" s="11"/>
      <x:c r="M867" s="11"/>
      <x:c r="N867" s="10" t="str">
        <x:v>NOT_MODELED</x:v>
      </x:c>
    </x:row>
    <x:row r="868" ht="85" customHeight="1">
      <x:c r="A868" s="10" t="str">
        <x:v>V-R2</x:v>
      </x:c>
      <x:c r="B868" s="10" t="str">
        <x:v>VOICE</x:v>
      </x:c>
      <x:c r="C868" s="10" t="str">
        <x:v>VOICE:S2-16</x:v>
      </x:c>
      <x:c r="D868" s="10" t="str">
        <x:v>VOICE:S2-16:input</x:v>
      </x:c>
      <x:c r="E868" s="10" t="str">
        <x:v>V-S2</x:v>
      </x:c>
      <x:c r="F868" s="10" t="n">
        <x:v>1</x:v>
      </x:c>
      <x:c r="G868" s="11" t="n">
        <x:v>0</x:v>
      </x:c>
      <x:c r="H868" s="11" t="n">
        <x:v>6.933333333333334</x:v>
      </x:c>
      <x:c r="I868" s="11" t="n">
        <x:f>H868-G868</x:f>
        <x:v>6.933333333333334</x:v>
      </x:c>
      <x:c r="J868" s="10" t="str">
        <x:v>방금 원으로 묶은 이 두 견적을 설치비는 제외하고 비교표로 만들어줘.</x:v>
      </x:c>
      <x:c r="K868" s="10" t="str">
        <x:v>quote-L, quote-R의 설치비를 제외해 비교표 작성을 맡기겠습니다.</x:v>
      </x:c>
      <x:c r="L868" s="11"/>
      <x:c r="M868" s="11"/>
      <x:c r="N868" s="10" t="str">
        <x:v>NOT_MODELED</x:v>
      </x:c>
    </x:row>
    <x:row r="869" ht="85" customHeight="1">
      <x:c r="A869" s="10" t="str">
        <x:v>V-R3</x:v>
      </x:c>
      <x:c r="B869" s="10" t="str">
        <x:v>VOICE</x:v>
      </x:c>
      <x:c r="C869" s="10" t="str">
        <x:v>VOICE:S2-16</x:v>
      </x:c>
      <x:c r="D869" s="10" t="str">
        <x:v>VOICE:S2-16:input</x:v>
      </x:c>
      <x:c r="E869" s="10" t="str">
        <x:v>V-S2</x:v>
      </x:c>
      <x:c r="F869" s="10" t="n">
        <x:v>1</x:v>
      </x:c>
      <x:c r="G869" s="11" t="n">
        <x:v>0</x:v>
      </x:c>
      <x:c r="H869" s="11" t="n">
        <x:v>6.993333333333333</x:v>
      </x:c>
      <x:c r="I869" s="11" t="n">
        <x:f>H869-G869</x:f>
        <x:v>6.993333333333333</x:v>
      </x:c>
      <x:c r="J869" s="10" t="str">
        <x:v>방금 원으로 묶은 이 두 견적을 설치비는 제외하고 비교표로 만들어줘.</x:v>
      </x:c>
      <x:c r="K869" s="10" t="str">
        <x:v>quote-L, quote-R의 설치비를 제외해 비교표 작성을 맡기겠습니다.</x:v>
      </x:c>
      <x:c r="L869" s="11"/>
      <x:c r="M869" s="11"/>
      <x:c r="N869" s="10" t="str">
        <x:v>NOT_MODELED</x:v>
      </x:c>
    </x:row>
    <x:row r="870" ht="85" customHeight="1">
      <x:c r="A870" s="10" t="str">
        <x:v>V-A</x:v>
      </x:c>
      <x:c r="B870" s="10" t="str">
        <x:v>VOICE</x:v>
      </x:c>
      <x:c r="C870" s="10" t="str">
        <x:v>VOICE:S2-17</x:v>
      </x:c>
      <x:c r="D870" s="10" t="str">
        <x:v>VOICE:S2-17:input</x:v>
      </x:c>
      <x:c r="E870" s="10" t="str">
        <x:v>V-S2</x:v>
      </x:c>
      <x:c r="F870" s="10" t="n">
        <x:v>1</x:v>
      </x:c>
      <x:c r="G870" s="11" t="n">
        <x:v>0</x:v>
      </x:c>
      <x:c r="H870" s="11" t="n">
        <x:v>3.8000000000000003</x:v>
      </x:c>
      <x:c r="I870" s="11" t="n">
        <x:f>H870-G870</x:f>
        <x:v>3.8000000000000003</x:v>
      </x:c>
      <x:c r="J870" s="10" t="str">
        <x:v>방금 원으로 묶은 이 두 견적을 설치비는 제외하고 비교표로 만들어줘.</x:v>
      </x:c>
      <x:c r="K870" s="10" t="str">
        <x:v>quote-L, quote-R의 설치비를 제외해 비교표 작성을 맡기겠습니다.</x:v>
      </x:c>
      <x:c r="L870" s="11"/>
      <x:c r="M870" s="11"/>
      <x:c r="N870" s="10" t="str">
        <x:v>NOT_MODELED</x:v>
      </x:c>
    </x:row>
    <x:row r="871" ht="85" customHeight="1">
      <x:c r="A871" s="10" t="str">
        <x:v>V-R1</x:v>
      </x:c>
      <x:c r="B871" s="10" t="str">
        <x:v>VOICE</x:v>
      </x:c>
      <x:c r="C871" s="10" t="str">
        <x:v>VOICE:S2-17</x:v>
      </x:c>
      <x:c r="D871" s="10" t="str">
        <x:v>VOICE:S2-17:input</x:v>
      </x:c>
      <x:c r="E871" s="10" t="str">
        <x:v>V-S2</x:v>
      </x:c>
      <x:c r="F871" s="10" t="n">
        <x:v>1</x:v>
      </x:c>
      <x:c r="G871" s="11" t="n">
        <x:v>0</x:v>
      </x:c>
      <x:c r="H871" s="11" t="n">
        <x:v>6.933333333333334</x:v>
      </x:c>
      <x:c r="I871" s="11" t="n">
        <x:f>H871-G871</x:f>
        <x:v>6.933333333333334</x:v>
      </x:c>
      <x:c r="J871" s="10" t="str">
        <x:v>방금 원으로 묶은 이 두 견적을 설치비는 제외하고 비교표로 만들어줘.</x:v>
      </x:c>
      <x:c r="K871" s="10" t="str">
        <x:v>quote-L, quote-R의 설치비를 제외해 비교표 작성을 맡기겠습니다.</x:v>
      </x:c>
      <x:c r="L871" s="11"/>
      <x:c r="M871" s="11"/>
      <x:c r="N871" s="10" t="str">
        <x:v>NOT_MODELED</x:v>
      </x:c>
    </x:row>
    <x:row r="872" ht="85" customHeight="1">
      <x:c r="A872" s="10" t="str">
        <x:v>V-R2</x:v>
      </x:c>
      <x:c r="B872" s="10" t="str">
        <x:v>VOICE</x:v>
      </x:c>
      <x:c r="C872" s="10" t="str">
        <x:v>VOICE:S2-17</x:v>
      </x:c>
      <x:c r="D872" s="10" t="str">
        <x:v>VOICE:S2-17:input</x:v>
      </x:c>
      <x:c r="E872" s="10" t="str">
        <x:v>V-S2</x:v>
      </x:c>
      <x:c r="F872" s="10" t="n">
        <x:v>1</x:v>
      </x:c>
      <x:c r="G872" s="11" t="n">
        <x:v>0</x:v>
      </x:c>
      <x:c r="H872" s="11" t="n">
        <x:v>6.933333333333334</x:v>
      </x:c>
      <x:c r="I872" s="11" t="n">
        <x:f>H872-G872</x:f>
        <x:v>6.933333333333334</x:v>
      </x:c>
      <x:c r="J872" s="10" t="str">
        <x:v>방금 원으로 묶은 이 두 견적을 설치비는 제외하고 비교표로 만들어줘.</x:v>
      </x:c>
      <x:c r="K872" s="10" t="str">
        <x:v>quote-L, quote-R의 설치비를 제외해 비교표 작성을 맡기겠습니다.</x:v>
      </x:c>
      <x:c r="L872" s="11"/>
      <x:c r="M872" s="11"/>
      <x:c r="N872" s="10" t="str">
        <x:v>NOT_MODELED</x:v>
      </x:c>
    </x:row>
    <x:row r="873" ht="85" customHeight="1">
      <x:c r="A873" s="10" t="str">
        <x:v>V-R3</x:v>
      </x:c>
      <x:c r="B873" s="10" t="str">
        <x:v>VOICE</x:v>
      </x:c>
      <x:c r="C873" s="10" t="str">
        <x:v>VOICE:S2-17</x:v>
      </x:c>
      <x:c r="D873" s="10" t="str">
        <x:v>VOICE:S2-17:input</x:v>
      </x:c>
      <x:c r="E873" s="10" t="str">
        <x:v>V-S2</x:v>
      </x:c>
      <x:c r="F873" s="10" t="n">
        <x:v>1</x:v>
      </x:c>
      <x:c r="G873" s="11" t="n">
        <x:v>0</x:v>
      </x:c>
      <x:c r="H873" s="11" t="n">
        <x:v>6.993333333333333</x:v>
      </x:c>
      <x:c r="I873" s="11" t="n">
        <x:f>H873-G873</x:f>
        <x:v>6.993333333333333</x:v>
      </x:c>
      <x:c r="J873" s="10" t="str">
        <x:v>방금 원으로 묶은 이 두 견적을 설치비는 제외하고 비교표로 만들어줘.</x:v>
      </x:c>
      <x:c r="K873" s="10" t="str">
        <x:v>quote-L, quote-R의 설치비를 제외해 비교표 작성을 맡기겠습니다.</x:v>
      </x:c>
      <x:c r="L873" s="11"/>
      <x:c r="M873" s="11"/>
      <x:c r="N873" s="10" t="str">
        <x:v>NOT_MODELED</x:v>
      </x:c>
    </x:row>
    <x:row r="874" ht="85" customHeight="1">
      <x:c r="A874" s="10" t="str">
        <x:v>V-A</x:v>
      </x:c>
      <x:c r="B874" s="10" t="str">
        <x:v>VOICE</x:v>
      </x:c>
      <x:c r="C874" s="10" t="str">
        <x:v>VOICE:S2-18</x:v>
      </x:c>
      <x:c r="D874" s="10" t="str">
        <x:v>VOICE:S2-18:input</x:v>
      </x:c>
      <x:c r="E874" s="10" t="str">
        <x:v>V-S2</x:v>
      </x:c>
      <x:c r="F874" s="10" t="n">
        <x:v>1</x:v>
      </x:c>
      <x:c r="G874" s="11" t="n">
        <x:v>0</x:v>
      </x:c>
      <x:c r="H874" s="11" t="n">
        <x:v>3.8000000000000003</x:v>
      </x:c>
      <x:c r="I874" s="11" t="n">
        <x:f>H874-G874</x:f>
        <x:v>3.8000000000000003</x:v>
      </x:c>
      <x:c r="J874" s="10" t="str">
        <x:v>방금 원으로 묶은 이 두 견적을 설치비는 제외하고 비교표로 만들어줘.</x:v>
      </x:c>
      <x:c r="K874" s="10" t="str">
        <x:v>quote-L, quote-R의 설치비를 제외해 비교표 작성을 맡기겠습니다.</x:v>
      </x:c>
      <x:c r="L874" s="11"/>
      <x:c r="M874" s="11"/>
      <x:c r="N874" s="10" t="str">
        <x:v>NOT_MODELED</x:v>
      </x:c>
    </x:row>
    <x:row r="875" ht="85" customHeight="1">
      <x:c r="A875" s="10" t="str">
        <x:v>V-R1</x:v>
      </x:c>
      <x:c r="B875" s="10" t="str">
        <x:v>VOICE</x:v>
      </x:c>
      <x:c r="C875" s="10" t="str">
        <x:v>VOICE:S2-18</x:v>
      </x:c>
      <x:c r="D875" s="10" t="str">
        <x:v>VOICE:S2-18:input</x:v>
      </x:c>
      <x:c r="E875" s="10" t="str">
        <x:v>V-S2</x:v>
      </x:c>
      <x:c r="F875" s="10" t="n">
        <x:v>1</x:v>
      </x:c>
      <x:c r="G875" s="11" t="n">
        <x:v>0</x:v>
      </x:c>
      <x:c r="H875" s="11" t="n">
        <x:v>6.933333333333334</x:v>
      </x:c>
      <x:c r="I875" s="11" t="n">
        <x:f>H875-G875</x:f>
        <x:v>6.933333333333334</x:v>
      </x:c>
      <x:c r="J875" s="10" t="str">
        <x:v>방금 원으로 묶은 이 두 견적을 설치비는 제외하고 비교표로 만들어줘.</x:v>
      </x:c>
      <x:c r="K875" s="10" t="str">
        <x:v>quote-L, quote-R의 설치비를 제외해 비교표 작성을 맡기겠습니다.</x:v>
      </x:c>
      <x:c r="L875" s="11"/>
      <x:c r="M875" s="11"/>
      <x:c r="N875" s="10" t="str">
        <x:v>NOT_MODELED</x:v>
      </x:c>
    </x:row>
    <x:row r="876" ht="85" customHeight="1">
      <x:c r="A876" s="10" t="str">
        <x:v>V-R2</x:v>
      </x:c>
      <x:c r="B876" s="10" t="str">
        <x:v>VOICE</x:v>
      </x:c>
      <x:c r="C876" s="10" t="str">
        <x:v>VOICE:S2-18</x:v>
      </x:c>
      <x:c r="D876" s="10" t="str">
        <x:v>VOICE:S2-18:input</x:v>
      </x:c>
      <x:c r="E876" s="10" t="str">
        <x:v>V-S2</x:v>
      </x:c>
      <x:c r="F876" s="10" t="n">
        <x:v>1</x:v>
      </x:c>
      <x:c r="G876" s="11" t="n">
        <x:v>0</x:v>
      </x:c>
      <x:c r="H876" s="11" t="n">
        <x:v>6.933333333333334</x:v>
      </x:c>
      <x:c r="I876" s="11" t="n">
        <x:f>H876-G876</x:f>
        <x:v>6.933333333333334</x:v>
      </x:c>
      <x:c r="J876" s="10" t="str">
        <x:v>방금 원으로 묶은 이 두 견적을 설치비는 제외하고 비교표로 만들어줘.</x:v>
      </x:c>
      <x:c r="K876" s="10" t="str">
        <x:v>quote-L, quote-R의 설치비를 제외해 비교표 작성을 맡기겠습니다.</x:v>
      </x:c>
      <x:c r="L876" s="11"/>
      <x:c r="M876" s="11"/>
      <x:c r="N876" s="10" t="str">
        <x:v>NOT_MODELED</x:v>
      </x:c>
    </x:row>
    <x:row r="877" ht="85" customHeight="1">
      <x:c r="A877" s="10" t="str">
        <x:v>V-R3</x:v>
      </x:c>
      <x:c r="B877" s="10" t="str">
        <x:v>VOICE</x:v>
      </x:c>
      <x:c r="C877" s="10" t="str">
        <x:v>VOICE:S2-18</x:v>
      </x:c>
      <x:c r="D877" s="10" t="str">
        <x:v>VOICE:S2-18:input</x:v>
      </x:c>
      <x:c r="E877" s="10" t="str">
        <x:v>V-S2</x:v>
      </x:c>
      <x:c r="F877" s="10" t="n">
        <x:v>1</x:v>
      </x:c>
      <x:c r="G877" s="11" t="n">
        <x:v>0</x:v>
      </x:c>
      <x:c r="H877" s="11" t="n">
        <x:v>6.993333333333333</x:v>
      </x:c>
      <x:c r="I877" s="11" t="n">
        <x:f>H877-G877</x:f>
        <x:v>6.993333333333333</x:v>
      </x:c>
      <x:c r="J877" s="10" t="str">
        <x:v>방금 원으로 묶은 이 두 견적을 설치비는 제외하고 비교표로 만들어줘.</x:v>
      </x:c>
      <x:c r="K877" s="10" t="str">
        <x:v>quote-L, quote-R의 설치비를 제외해 비교표 작성을 맡기겠습니다.</x:v>
      </x:c>
      <x:c r="L877" s="11"/>
      <x:c r="M877" s="11"/>
      <x:c r="N877" s="10" t="str">
        <x:v>NOT_MODELED</x:v>
      </x:c>
    </x:row>
    <x:row r="878" ht="85" customHeight="1">
      <x:c r="A878" s="10" t="str">
        <x:v>V-A</x:v>
      </x:c>
      <x:c r="B878" s="10" t="str">
        <x:v>VOICE</x:v>
      </x:c>
      <x:c r="C878" s="10" t="str">
        <x:v>VOICE:S2-19</x:v>
      </x:c>
      <x:c r="D878" s="10" t="str">
        <x:v>VOICE:S2-19:input</x:v>
      </x:c>
      <x:c r="E878" s="10" t="str">
        <x:v>V-S2</x:v>
      </x:c>
      <x:c r="F878" s="10" t="n">
        <x:v>1</x:v>
      </x:c>
      <x:c r="G878" s="11" t="n">
        <x:v>0</x:v>
      </x:c>
      <x:c r="H878" s="11" t="n">
        <x:v>3.8000000000000003</x:v>
      </x:c>
      <x:c r="I878" s="11" t="n">
        <x:f>H878-G878</x:f>
        <x:v>3.8000000000000003</x:v>
      </x:c>
      <x:c r="J878" s="10" t="str">
        <x:v>방금 원으로 묶은 이 두 견적을 설치비는 제외하고 비교표로 만들어줘.</x:v>
      </x:c>
      <x:c r="K878" s="10" t="str">
        <x:v>quote-L, quote-R의 설치비를 제외해 비교표 작성을 맡기겠습니다.</x:v>
      </x:c>
      <x:c r="L878" s="11"/>
      <x:c r="M878" s="11"/>
      <x:c r="N878" s="10" t="str">
        <x:v>NOT_MODELED</x:v>
      </x:c>
    </x:row>
    <x:row r="879" ht="85" customHeight="1">
      <x:c r="A879" s="10" t="str">
        <x:v>V-R1</x:v>
      </x:c>
      <x:c r="B879" s="10" t="str">
        <x:v>VOICE</x:v>
      </x:c>
      <x:c r="C879" s="10" t="str">
        <x:v>VOICE:S2-19</x:v>
      </x:c>
      <x:c r="D879" s="10" t="str">
        <x:v>VOICE:S2-19:input</x:v>
      </x:c>
      <x:c r="E879" s="10" t="str">
        <x:v>V-S2</x:v>
      </x:c>
      <x:c r="F879" s="10" t="n">
        <x:v>1</x:v>
      </x:c>
      <x:c r="G879" s="11" t="n">
        <x:v>0</x:v>
      </x:c>
      <x:c r="H879" s="11" t="n">
        <x:v>6.933333333333334</x:v>
      </x:c>
      <x:c r="I879" s="11" t="n">
        <x:f>H879-G879</x:f>
        <x:v>6.933333333333334</x:v>
      </x:c>
      <x:c r="J879" s="10" t="str">
        <x:v>방금 원으로 묶은 이 두 견적을 설치비는 제외하고 비교표로 만들어줘.</x:v>
      </x:c>
      <x:c r="K879" s="10" t="str">
        <x:v>quote-L, quote-R의 설치비를 제외해 비교표 작성을 맡기겠습니다.</x:v>
      </x:c>
      <x:c r="L879" s="11"/>
      <x:c r="M879" s="11"/>
      <x:c r="N879" s="10" t="str">
        <x:v>NOT_MODELED</x:v>
      </x:c>
    </x:row>
    <x:row r="880" ht="85" customHeight="1">
      <x:c r="A880" s="10" t="str">
        <x:v>V-R2</x:v>
      </x:c>
      <x:c r="B880" s="10" t="str">
        <x:v>VOICE</x:v>
      </x:c>
      <x:c r="C880" s="10" t="str">
        <x:v>VOICE:S2-19</x:v>
      </x:c>
      <x:c r="D880" s="10" t="str">
        <x:v>VOICE:S2-19:input</x:v>
      </x:c>
      <x:c r="E880" s="10" t="str">
        <x:v>V-S2</x:v>
      </x:c>
      <x:c r="F880" s="10" t="n">
        <x:v>1</x:v>
      </x:c>
      <x:c r="G880" s="11" t="n">
        <x:v>0</x:v>
      </x:c>
      <x:c r="H880" s="11" t="n">
        <x:v>6.933333333333334</x:v>
      </x:c>
      <x:c r="I880" s="11" t="n">
        <x:f>H880-G880</x:f>
        <x:v>6.933333333333334</x:v>
      </x:c>
      <x:c r="J880" s="10" t="str">
        <x:v>방금 원으로 묶은 이 두 견적을 설치비는 제외하고 비교표로 만들어줘.</x:v>
      </x:c>
      <x:c r="K880" s="10" t="str">
        <x:v>quote-L, quote-R의 설치비를 제외해 비교표 작성을 맡기겠습니다.</x:v>
      </x:c>
      <x:c r="L880" s="11"/>
      <x:c r="M880" s="11"/>
      <x:c r="N880" s="10" t="str">
        <x:v>NOT_MODELED</x:v>
      </x:c>
    </x:row>
    <x:row r="881" ht="85" customHeight="1">
      <x:c r="A881" s="10" t="str">
        <x:v>V-R3</x:v>
      </x:c>
      <x:c r="B881" s="10" t="str">
        <x:v>VOICE</x:v>
      </x:c>
      <x:c r="C881" s="10" t="str">
        <x:v>VOICE:S2-19</x:v>
      </x:c>
      <x:c r="D881" s="10" t="str">
        <x:v>VOICE:S2-19:input</x:v>
      </x:c>
      <x:c r="E881" s="10" t="str">
        <x:v>V-S2</x:v>
      </x:c>
      <x:c r="F881" s="10" t="n">
        <x:v>1</x:v>
      </x:c>
      <x:c r="G881" s="11" t="n">
        <x:v>0</x:v>
      </x:c>
      <x:c r="H881" s="11" t="n">
        <x:v>6.993333333333333</x:v>
      </x:c>
      <x:c r="I881" s="11" t="n">
        <x:f>H881-G881</x:f>
        <x:v>6.993333333333333</x:v>
      </x:c>
      <x:c r="J881" s="10" t="str">
        <x:v>방금 원으로 묶은 이 두 견적을 설치비는 제외하고 비교표로 만들어줘.</x:v>
      </x:c>
      <x:c r="K881" s="10" t="str">
        <x:v>quote-L, quote-R의 설치비를 제외해 비교표 작성을 맡기겠습니다.</x:v>
      </x:c>
      <x:c r="L881" s="11"/>
      <x:c r="M881" s="11"/>
      <x:c r="N881" s="10" t="str">
        <x:v>NOT_MODELED</x:v>
      </x:c>
    </x:row>
    <x:row r="882" ht="85" customHeight="1">
      <x:c r="A882" s="10" t="str">
        <x:v>V-A</x:v>
      </x:c>
      <x:c r="B882" s="10" t="str">
        <x:v>VOICE</x:v>
      </x:c>
      <x:c r="C882" s="10" t="str">
        <x:v>VOICE:S2-20</x:v>
      </x:c>
      <x:c r="D882" s="10" t="str">
        <x:v>VOICE:S2-20:input</x:v>
      </x:c>
      <x:c r="E882" s="10" t="str">
        <x:v>V-S2</x:v>
      </x:c>
      <x:c r="F882" s="10" t="n">
        <x:v>1</x:v>
      </x:c>
      <x:c r="G882" s="11" t="n">
        <x:v>0</x:v>
      </x:c>
      <x:c r="H882" s="11" t="n">
        <x:v>3.8000000000000003</x:v>
      </x:c>
      <x:c r="I882" s="11" t="n">
        <x:f>H882-G882</x:f>
        <x:v>3.8000000000000003</x:v>
      </x:c>
      <x:c r="J882" s="10" t="str">
        <x:v>방금 원으로 묶은 이 두 견적을 설치비는 제외하고 비교표로 만들어줘.</x:v>
      </x:c>
      <x:c r="K882" s="10" t="str">
        <x:v>quote-L, quote-R의 설치비를 제외해 비교표 작성을 맡기겠습니다.</x:v>
      </x:c>
      <x:c r="L882" s="11"/>
      <x:c r="M882" s="11"/>
      <x:c r="N882" s="10" t="str">
        <x:v>NOT_MODELED</x:v>
      </x:c>
    </x:row>
    <x:row r="883" ht="85" customHeight="1">
      <x:c r="A883" s="10" t="str">
        <x:v>V-R1</x:v>
      </x:c>
      <x:c r="B883" s="10" t="str">
        <x:v>VOICE</x:v>
      </x:c>
      <x:c r="C883" s="10" t="str">
        <x:v>VOICE:S2-20</x:v>
      </x:c>
      <x:c r="D883" s="10" t="str">
        <x:v>VOICE:S2-20:input</x:v>
      </x:c>
      <x:c r="E883" s="10" t="str">
        <x:v>V-S2</x:v>
      </x:c>
      <x:c r="F883" s="10" t="n">
        <x:v>1</x:v>
      </x:c>
      <x:c r="G883" s="11" t="n">
        <x:v>0</x:v>
      </x:c>
      <x:c r="H883" s="11" t="n">
        <x:v>6.933333333333334</x:v>
      </x:c>
      <x:c r="I883" s="11" t="n">
        <x:f>H883-G883</x:f>
        <x:v>6.933333333333334</x:v>
      </x:c>
      <x:c r="J883" s="10" t="str">
        <x:v>방금 원으로 묶은 이 두 견적을 설치비는 제외하고 비교표로 만들어줘.</x:v>
      </x:c>
      <x:c r="K883" s="10" t="str">
        <x:v>quote-L, quote-R의 설치비를 제외해 비교표 작성을 맡기겠습니다.</x:v>
      </x:c>
      <x:c r="L883" s="11"/>
      <x:c r="M883" s="11"/>
      <x:c r="N883" s="10" t="str">
        <x:v>NOT_MODELED</x:v>
      </x:c>
    </x:row>
    <x:row r="884" ht="85" customHeight="1">
      <x:c r="A884" s="10" t="str">
        <x:v>V-R2</x:v>
      </x:c>
      <x:c r="B884" s="10" t="str">
        <x:v>VOICE</x:v>
      </x:c>
      <x:c r="C884" s="10" t="str">
        <x:v>VOICE:S2-20</x:v>
      </x:c>
      <x:c r="D884" s="10" t="str">
        <x:v>VOICE:S2-20:input</x:v>
      </x:c>
      <x:c r="E884" s="10" t="str">
        <x:v>V-S2</x:v>
      </x:c>
      <x:c r="F884" s="10" t="n">
        <x:v>1</x:v>
      </x:c>
      <x:c r="G884" s="11" t="n">
        <x:v>0</x:v>
      </x:c>
      <x:c r="H884" s="11" t="n">
        <x:v>6.933333333333334</x:v>
      </x:c>
      <x:c r="I884" s="11" t="n">
        <x:f>H884-G884</x:f>
        <x:v>6.933333333333334</x:v>
      </x:c>
      <x:c r="J884" s="10" t="str">
        <x:v>방금 원으로 묶은 이 두 견적을 설치비는 제외하고 비교표로 만들어줘.</x:v>
      </x:c>
      <x:c r="K884" s="10" t="str">
        <x:v>quote-L, quote-R의 설치비를 제외해 비교표 작성을 맡기겠습니다.</x:v>
      </x:c>
      <x:c r="L884" s="11"/>
      <x:c r="M884" s="11"/>
      <x:c r="N884" s="10" t="str">
        <x:v>NOT_MODELED</x:v>
      </x:c>
    </x:row>
    <x:row r="885" ht="85" customHeight="1">
      <x:c r="A885" s="10" t="str">
        <x:v>V-R3</x:v>
      </x:c>
      <x:c r="B885" s="10" t="str">
        <x:v>VOICE</x:v>
      </x:c>
      <x:c r="C885" s="10" t="str">
        <x:v>VOICE:S2-20</x:v>
      </x:c>
      <x:c r="D885" s="10" t="str">
        <x:v>VOICE:S2-20:input</x:v>
      </x:c>
      <x:c r="E885" s="10" t="str">
        <x:v>V-S2</x:v>
      </x:c>
      <x:c r="F885" s="10" t="n">
        <x:v>1</x:v>
      </x:c>
      <x:c r="G885" s="11" t="n">
        <x:v>0</x:v>
      </x:c>
      <x:c r="H885" s="11" t="n">
        <x:v>6.993333333333333</x:v>
      </x:c>
      <x:c r="I885" s="11" t="n">
        <x:f>H885-G885</x:f>
        <x:v>6.993333333333333</x:v>
      </x:c>
      <x:c r="J885" s="10" t="str">
        <x:v>방금 원으로 묶은 이 두 견적을 설치비는 제외하고 비교표로 만들어줘.</x:v>
      </x:c>
      <x:c r="K885" s="10" t="str">
        <x:v>quote-L, quote-R의 설치비를 제외해 비교표 작성을 맡기겠습니다.</x:v>
      </x:c>
      <x:c r="L885" s="11"/>
      <x:c r="M885" s="11"/>
      <x:c r="N885" s="10" t="str">
        <x:v>NOT_MODELED</x:v>
      </x:c>
    </x:row>
    <x:row r="886" ht="85" customHeight="1">
      <x:c r="A886" s="10" t="str">
        <x:v>V-A</x:v>
      </x:c>
      <x:c r="B886" s="10" t="str">
        <x:v>VOICE</x:v>
      </x:c>
      <x:c r="C886" s="10" t="str">
        <x:v>VOICE:S3-01</x:v>
      </x:c>
      <x:c r="D886" s="10" t="str">
        <x:v>VOICE:S3-01:input</x:v>
      </x:c>
      <x:c r="E886" s="10" t="str">
        <x:v>V-S3</x:v>
      </x:c>
      <x:c r="F886" s="10" t="n">
        <x:v>1</x:v>
      </x:c>
      <x:c r="G886" s="11" t="n">
        <x:v>0</x:v>
      </x:c>
      <x:c r="H886" s="11" t="n">
        <x:v>5.500000000000001</x:v>
      </x:c>
      <x:c r="I886" s="11" t="n">
        <x:f>H886-G886</x:f>
        <x:v>5.500000000000001</x:v>
      </x:c>
      <x:c r="J886" s="10" t="str">
        <x:v>아까와 지금 가리킨 견적들을 중복 없이 묶고 설치비는 제외해서 요약표로 만들어줘.</x:v>
      </x:c>
      <x:c r="K886" s="10" t="str">
        <x:v>quote-Z의 설치비를 제외해 요약표 작성을 맡기겠습니다.</x:v>
      </x:c>
      <x:c r="L886" s="11"/>
      <x:c r="M886" s="11"/>
      <x:c r="N886" s="10" t="str">
        <x:v>NOT_MODELED</x:v>
      </x:c>
    </x:row>
    <x:row r="887" ht="85" customHeight="1">
      <x:c r="A887" s="10" t="str">
        <x:v>V-R1</x:v>
      </x:c>
      <x:c r="B887" s="10" t="str">
        <x:v>VOICE</x:v>
      </x:c>
      <x:c r="C887" s="10" t="str">
        <x:v>VOICE:S3-01</x:v>
      </x:c>
      <x:c r="D887" s="10" t="str">
        <x:v>VOICE:S3-01:input</x:v>
      </x:c>
      <x:c r="E887" s="10" t="str">
        <x:v>V-S3</x:v>
      </x:c>
      <x:c r="F887" s="10" t="n">
        <x:v>1</x:v>
      </x:c>
      <x:c r="G887" s="11" t="n">
        <x:v>0</x:v>
      </x:c>
      <x:c r="H887" s="11" t="n">
        <x:v>10.7</x:v>
      </x:c>
      <x:c r="I887" s="11" t="n">
        <x:f>H887-G887</x:f>
        <x:v>10.7</x:v>
      </x:c>
      <x:c r="J887" s="10" t="str">
        <x:v>아까와 지금 가리킨 견적들을 중복 없이 묶고 설치비는 제외해서 요약표로 만들어줘.</x:v>
      </x:c>
      <x:c r="K887" s="10" t="str">
        <x:v>quote-L의 설치비를 제외해 요약표 작성을 맡기겠습니다.</x:v>
      </x:c>
      <x:c r="L887" s="11"/>
      <x:c r="M887" s="11"/>
      <x:c r="N887" s="10" t="str">
        <x:v>NOT_MODELED</x:v>
      </x:c>
    </x:row>
    <x:row r="888" ht="85" customHeight="1">
      <x:c r="A888" s="10" t="str">
        <x:v>V-R2</x:v>
      </x:c>
      <x:c r="B888" s="10" t="str">
        <x:v>VOICE</x:v>
      </x:c>
      <x:c r="C888" s="10" t="str">
        <x:v>VOICE:S3-01</x:v>
      </x:c>
      <x:c r="D888" s="10" t="str">
        <x:v>VOICE:S3-01:input</x:v>
      </x:c>
      <x:c r="E888" s="10" t="str">
        <x:v>V-S3</x:v>
      </x:c>
      <x:c r="F888" s="10" t="n">
        <x:v>1</x:v>
      </x:c>
      <x:c r="G888" s="11" t="n">
        <x:v>0</x:v>
      </x:c>
      <x:c r="H888" s="11" t="n">
        <x:v>8.8</x:v>
      </x:c>
      <x:c r="I888" s="11" t="n">
        <x:f>H888-G888</x:f>
        <x:v>8.8</x:v>
      </x:c>
      <x:c r="J888" s="10" t="str">
        <x:v>아까와 지금 가리킨 견적들을 중복 없이 묶고 설치비는 제외해서 요약표로 만들어줘.</x:v>
      </x:c>
      <x:c r="K888" s="10" t="str">
        <x:v>quote-L의 설치비를 제외해 요약표 작성을 맡기겠습니다.</x:v>
      </x:c>
      <x:c r="L888" s="11"/>
      <x:c r="M888" s="11"/>
      <x:c r="N888" s="10" t="str">
        <x:v>NOT_MODELED</x:v>
      </x:c>
    </x:row>
    <x:row r="889" ht="85" customHeight="1">
      <x:c r="A889" s="10" t="str">
        <x:v>V-R3</x:v>
      </x:c>
      <x:c r="B889" s="10" t="str">
        <x:v>VOICE</x:v>
      </x:c>
      <x:c r="C889" s="10" t="str">
        <x:v>VOICE:S3-01</x:v>
      </x:c>
      <x:c r="D889" s="10" t="str">
        <x:v>VOICE:S3-01:input</x:v>
      </x:c>
      <x:c r="E889" s="10" t="str">
        <x:v>V-S3</x:v>
      </x:c>
      <x:c r="F889" s="10" t="n">
        <x:v>1</x:v>
      </x:c>
      <x:c r="G889" s="11" t="n">
        <x:v>0</x:v>
      </x:c>
      <x:c r="H889" s="11" t="n">
        <x:v>8.86</x:v>
      </x:c>
      <x:c r="I889" s="11" t="n">
        <x:f>H889-G889</x:f>
        <x:v>8.86</x:v>
      </x:c>
      <x:c r="J889" s="10" t="str">
        <x:v>아까와 지금 가리킨 견적들을 중복 없이 묶고 설치비는 제외해서 요약표로 만들어줘.</x:v>
      </x:c>
      <x:c r="K889" s="10" t="str">
        <x:v>quote-L의 설치비를 제외해 요약표 작성을 맡기겠습니다.</x:v>
      </x:c>
      <x:c r="L889" s="11"/>
      <x:c r="M889" s="11"/>
      <x:c r="N889" s="10" t="str">
        <x:v>NOT_MODELED</x:v>
      </x:c>
    </x:row>
    <x:row r="890" ht="85" customHeight="1">
      <x:c r="A890" s="10" t="str">
        <x:v>V-A</x:v>
      </x:c>
      <x:c r="B890" s="10" t="str">
        <x:v>VOICE</x:v>
      </x:c>
      <x:c r="C890" s="10" t="str">
        <x:v>VOICE:S3-02</x:v>
      </x:c>
      <x:c r="D890" s="10" t="str">
        <x:v>VOICE:S3-02:input</x:v>
      </x:c>
      <x:c r="E890" s="10" t="str">
        <x:v>V-S3</x:v>
      </x:c>
      <x:c r="F890" s="10" t="n">
        <x:v>1</x:v>
      </x:c>
      <x:c r="G890" s="11" t="n">
        <x:v>0</x:v>
      </x:c>
      <x:c r="H890" s="11" t="n">
        <x:v>5.500000000000001</x:v>
      </x:c>
      <x:c r="I890" s="11" t="n">
        <x:f>H890-G890</x:f>
        <x:v>5.500000000000001</x:v>
      </x:c>
      <x:c r="J890" s="10" t="str">
        <x:v>아까와 지금 가리킨 견적들을 중복 없이 묶고 설치비는 제외해서 요약표로 만들어줘.</x:v>
      </x:c>
      <x:c r="K890" s="10" t="str">
        <x:v>quote-Z의 설치비를 제외해 요약표 작성을 맡기겠습니다.</x:v>
      </x:c>
      <x:c r="L890" s="11"/>
      <x:c r="M890" s="11"/>
      <x:c r="N890" s="10" t="str">
        <x:v>NOT_MODELED</x:v>
      </x:c>
    </x:row>
    <x:row r="891" ht="85" customHeight="1">
      <x:c r="A891" s="10" t="str">
        <x:v>V-R1</x:v>
      </x:c>
      <x:c r="B891" s="10" t="str">
        <x:v>VOICE</x:v>
      </x:c>
      <x:c r="C891" s="10" t="str">
        <x:v>VOICE:S3-02</x:v>
      </x:c>
      <x:c r="D891" s="10" t="str">
        <x:v>VOICE:S3-02:input</x:v>
      </x:c>
      <x:c r="E891" s="10" t="str">
        <x:v>V-S3</x:v>
      </x:c>
      <x:c r="F891" s="10" t="n">
        <x:v>1</x:v>
      </x:c>
      <x:c r="G891" s="11" t="n">
        <x:v>0</x:v>
      </x:c>
      <x:c r="H891" s="11" t="n">
        <x:v>10.7</x:v>
      </x:c>
      <x:c r="I891" s="11" t="n">
        <x:f>H891-G891</x:f>
        <x:v>10.7</x:v>
      </x:c>
      <x:c r="J891" s="10" t="str">
        <x:v>아까와 지금 가리킨 견적들을 중복 없이 묶고 설치비는 제외해서 요약표로 만들어줘.</x:v>
      </x:c>
      <x:c r="K891" s="10" t="str">
        <x:v>quote-L의 설치비를 제외해 요약표 작성을 맡기겠습니다.</x:v>
      </x:c>
      <x:c r="L891" s="11"/>
      <x:c r="M891" s="11"/>
      <x:c r="N891" s="10" t="str">
        <x:v>NOT_MODELED</x:v>
      </x:c>
    </x:row>
    <x:row r="892" ht="85" customHeight="1">
      <x:c r="A892" s="10" t="str">
        <x:v>V-R2</x:v>
      </x:c>
      <x:c r="B892" s="10" t="str">
        <x:v>VOICE</x:v>
      </x:c>
      <x:c r="C892" s="10" t="str">
        <x:v>VOICE:S3-02</x:v>
      </x:c>
      <x:c r="D892" s="10" t="str">
        <x:v>VOICE:S3-02:input</x:v>
      </x:c>
      <x:c r="E892" s="10" t="str">
        <x:v>V-S3</x:v>
      </x:c>
      <x:c r="F892" s="10" t="n">
        <x:v>1</x:v>
      </x:c>
      <x:c r="G892" s="11" t="n">
        <x:v>0</x:v>
      </x:c>
      <x:c r="H892" s="11" t="n">
        <x:v>8.8</x:v>
      </x:c>
      <x:c r="I892" s="11" t="n">
        <x:f>H892-G892</x:f>
        <x:v>8.8</x:v>
      </x:c>
      <x:c r="J892" s="10" t="str">
        <x:v>아까와 지금 가리킨 견적들을 중복 없이 묶고 설치비는 제외해서 요약표로 만들어줘.</x:v>
      </x:c>
      <x:c r="K892" s="10" t="str">
        <x:v>quote-L의 설치비를 제외해 요약표 작성을 맡기겠습니다.</x:v>
      </x:c>
      <x:c r="L892" s="11"/>
      <x:c r="M892" s="11"/>
      <x:c r="N892" s="10" t="str">
        <x:v>NOT_MODELED</x:v>
      </x:c>
    </x:row>
    <x:row r="893" ht="85" customHeight="1">
      <x:c r="A893" s="10" t="str">
        <x:v>V-R3</x:v>
      </x:c>
      <x:c r="B893" s="10" t="str">
        <x:v>VOICE</x:v>
      </x:c>
      <x:c r="C893" s="10" t="str">
        <x:v>VOICE:S3-02</x:v>
      </x:c>
      <x:c r="D893" s="10" t="str">
        <x:v>VOICE:S3-02:input</x:v>
      </x:c>
      <x:c r="E893" s="10" t="str">
        <x:v>V-S3</x:v>
      </x:c>
      <x:c r="F893" s="10" t="n">
        <x:v>1</x:v>
      </x:c>
      <x:c r="G893" s="11" t="n">
        <x:v>0</x:v>
      </x:c>
      <x:c r="H893" s="11" t="n">
        <x:v>8.86</x:v>
      </x:c>
      <x:c r="I893" s="11" t="n">
        <x:f>H893-G893</x:f>
        <x:v>8.86</x:v>
      </x:c>
      <x:c r="J893" s="10" t="str">
        <x:v>아까와 지금 가리킨 견적들을 중복 없이 묶고 설치비는 제외해서 요약표로 만들어줘.</x:v>
      </x:c>
      <x:c r="K893" s="10" t="str">
        <x:v>quote-L의 설치비를 제외해 요약표 작성을 맡기겠습니다.</x:v>
      </x:c>
      <x:c r="L893" s="11"/>
      <x:c r="M893" s="11"/>
      <x:c r="N893" s="10" t="str">
        <x:v>NOT_MODELED</x:v>
      </x:c>
    </x:row>
    <x:row r="894" ht="85" customHeight="1">
      <x:c r="A894" s="10" t="str">
        <x:v>V-A</x:v>
      </x:c>
      <x:c r="B894" s="10" t="str">
        <x:v>VOICE</x:v>
      </x:c>
      <x:c r="C894" s="10" t="str">
        <x:v>VOICE:S3-03</x:v>
      </x:c>
      <x:c r="D894" s="10" t="str">
        <x:v>VOICE:S3-03:input</x:v>
      </x:c>
      <x:c r="E894" s="10" t="str">
        <x:v>V-S3</x:v>
      </x:c>
      <x:c r="F894" s="10" t="n">
        <x:v>1</x:v>
      </x:c>
      <x:c r="G894" s="11" t="n">
        <x:v>0</x:v>
      </x:c>
      <x:c r="H894" s="11" t="n">
        <x:v>5.500000000000001</x:v>
      </x:c>
      <x:c r="I894" s="11" t="n">
        <x:f>H894-G894</x:f>
        <x:v>5.500000000000001</x:v>
      </x:c>
      <x:c r="J894" s="10" t="str">
        <x:v>아까와 지금 가리킨 견적들을 중복 없이 묶고 설치비는 제외해서 요약표로 만들어줘.</x:v>
      </x:c>
      <x:c r="K894" s="10" t="str">
        <x:v>quote-Z의 설치비를 제외해 요약표 작성을 맡기겠습니다.</x:v>
      </x:c>
      <x:c r="L894" s="11"/>
      <x:c r="M894" s="11"/>
      <x:c r="N894" s="10" t="str">
        <x:v>NOT_MODELED</x:v>
      </x:c>
    </x:row>
    <x:row r="895" ht="85" customHeight="1">
      <x:c r="A895" s="10" t="str">
        <x:v>V-R1</x:v>
      </x:c>
      <x:c r="B895" s="10" t="str">
        <x:v>VOICE</x:v>
      </x:c>
      <x:c r="C895" s="10" t="str">
        <x:v>VOICE:S3-03</x:v>
      </x:c>
      <x:c r="D895" s="10" t="str">
        <x:v>VOICE:S3-03:input</x:v>
      </x:c>
      <x:c r="E895" s="10" t="str">
        <x:v>V-S3</x:v>
      </x:c>
      <x:c r="F895" s="10" t="n">
        <x:v>1</x:v>
      </x:c>
      <x:c r="G895" s="11" t="n">
        <x:v>0</x:v>
      </x:c>
      <x:c r="H895" s="11" t="n">
        <x:v>10.7</x:v>
      </x:c>
      <x:c r="I895" s="11" t="n">
        <x:f>H895-G895</x:f>
        <x:v>10.7</x:v>
      </x:c>
      <x:c r="J895" s="10" t="str">
        <x:v>아까와 지금 가리킨 견적들을 중복 없이 묶고 설치비는 제외해서 요약표로 만들어줘.</x:v>
      </x:c>
      <x:c r="K895" s="10" t="str">
        <x:v>quote-Z의 설치비를 제외해 요약표 작성을 맡기겠습니다.</x:v>
      </x:c>
      <x:c r="L895" s="11"/>
      <x:c r="M895" s="11"/>
      <x:c r="N895" s="10" t="str">
        <x:v>NOT_MODELED</x:v>
      </x:c>
    </x:row>
    <x:row r="896" ht="85" customHeight="1">
      <x:c r="A896" s="10" t="str">
        <x:v>V-R2</x:v>
      </x:c>
      <x:c r="B896" s="10" t="str">
        <x:v>VOICE</x:v>
      </x:c>
      <x:c r="C896" s="10" t="str">
        <x:v>VOICE:S3-03</x:v>
      </x:c>
      <x:c r="D896" s="10" t="str">
        <x:v>VOICE:S3-03:input</x:v>
      </x:c>
      <x:c r="E896" s="10" t="str">
        <x:v>V-S3</x:v>
      </x:c>
      <x:c r="F896" s="10" t="n">
        <x:v>1</x:v>
      </x:c>
      <x:c r="G896" s="11" t="n">
        <x:v>0</x:v>
      </x:c>
      <x:c r="H896" s="11" t="n">
        <x:v>8.8</x:v>
      </x:c>
      <x:c r="I896" s="11" t="n">
        <x:f>H896-G896</x:f>
        <x:v>8.8</x:v>
      </x:c>
      <x:c r="J896" s="10" t="str">
        <x:v>아까와 지금 가리킨 견적들을 중복 없이 묶고 설치비는 제외해서 요약표로 만들어줘.</x:v>
      </x:c>
      <x:c r="K896" s="10" t="str">
        <x:v>quote-Z의 설치비를 제외해 요약표 작성을 맡기겠습니다.</x:v>
      </x:c>
      <x:c r="L896" s="11"/>
      <x:c r="M896" s="11"/>
      <x:c r="N896" s="10" t="str">
        <x:v>NOT_MODELED</x:v>
      </x:c>
    </x:row>
    <x:row r="897" ht="85" customHeight="1">
      <x:c r="A897" s="10" t="str">
        <x:v>V-R3</x:v>
      </x:c>
      <x:c r="B897" s="10" t="str">
        <x:v>VOICE</x:v>
      </x:c>
      <x:c r="C897" s="10" t="str">
        <x:v>VOICE:S3-03</x:v>
      </x:c>
      <x:c r="D897" s="10" t="str">
        <x:v>VOICE:S3-03:input</x:v>
      </x:c>
      <x:c r="E897" s="10" t="str">
        <x:v>V-S3</x:v>
      </x:c>
      <x:c r="F897" s="10" t="n">
        <x:v>1</x:v>
      </x:c>
      <x:c r="G897" s="11" t="n">
        <x:v>0</x:v>
      </x:c>
      <x:c r="H897" s="11" t="n">
        <x:v>8.86</x:v>
      </x:c>
      <x:c r="I897" s="11" t="n">
        <x:f>H897-G897</x:f>
        <x:v>8.86</x:v>
      </x:c>
      <x:c r="J897" s="10" t="str">
        <x:v>아까와 지금 가리킨 견적들을 중복 없이 묶고 설치비는 제외해서 요약표로 만들어줘.</x:v>
      </x:c>
      <x:c r="K897" s="10" t="str">
        <x:v>quote-Z의 설치비를 제외해 요약표 작성을 맡기겠습니다.</x:v>
      </x:c>
      <x:c r="L897" s="11"/>
      <x:c r="M897" s="11"/>
      <x:c r="N897" s="10" t="str">
        <x:v>NOT_MODELED</x:v>
      </x:c>
    </x:row>
    <x:row r="898" ht="85" customHeight="1">
      <x:c r="A898" s="10" t="str">
        <x:v>V-A</x:v>
      </x:c>
      <x:c r="B898" s="10" t="str">
        <x:v>VOICE</x:v>
      </x:c>
      <x:c r="C898" s="10" t="str">
        <x:v>VOICE:S3-04</x:v>
      </x:c>
      <x:c r="D898" s="10" t="str">
        <x:v>VOICE:S3-04:input</x:v>
      </x:c>
      <x:c r="E898" s="10" t="str">
        <x:v>V-S3</x:v>
      </x:c>
      <x:c r="F898" s="10" t="n">
        <x:v>1</x:v>
      </x:c>
      <x:c r="G898" s="11" t="n">
        <x:v>0</x:v>
      </x:c>
      <x:c r="H898" s="11" t="n">
        <x:v>5.500000000000001</x:v>
      </x:c>
      <x:c r="I898" s="11" t="n">
        <x:f>H898-G898</x:f>
        <x:v>5.500000000000001</x:v>
      </x:c>
      <x:c r="J898" s="10" t="str">
        <x:v>아까와 지금 가리킨 견적들을 중복 없이 묶고 설치비는 제외해서 요약표로 만들어줘.</x:v>
      </x:c>
      <x:c r="K898" s="10" t="str">
        <x:v>quote-Z의 설치비를 제외해 요약표 작성을 맡기겠습니다.</x:v>
      </x:c>
      <x:c r="L898" s="11"/>
      <x:c r="M898" s="11"/>
      <x:c r="N898" s="10" t="str">
        <x:v>NOT_MODELED</x:v>
      </x:c>
    </x:row>
    <x:row r="899" ht="85" customHeight="1">
      <x:c r="A899" s="10" t="str">
        <x:v>V-R1</x:v>
      </x:c>
      <x:c r="B899" s="10" t="str">
        <x:v>VOICE</x:v>
      </x:c>
      <x:c r="C899" s="10" t="str">
        <x:v>VOICE:S3-04</x:v>
      </x:c>
      <x:c r="D899" s="10" t="str">
        <x:v>VOICE:S3-04:input</x:v>
      </x:c>
      <x:c r="E899" s="10" t="str">
        <x:v>V-S3</x:v>
      </x:c>
      <x:c r="F899" s="10" t="n">
        <x:v>1</x:v>
      </x:c>
      <x:c r="G899" s="11" t="n">
        <x:v>0</x:v>
      </x:c>
      <x:c r="H899" s="11" t="n">
        <x:v>10.7</x:v>
      </x:c>
      <x:c r="I899" s="11" t="n">
        <x:f>H899-G899</x:f>
        <x:v>10.7</x:v>
      </x:c>
      <x:c r="J899" s="10" t="str">
        <x:v>아까와 지금 가리킨 견적들을 중복 없이 묶고 설치비는 제외해서 요약표로 만들어줘.</x:v>
      </x:c>
      <x:c r="K899" s="10" t="str">
        <x:v>quote-Z의 설치비를 제외해 요약표 작성을 맡기겠습니다.</x:v>
      </x:c>
      <x:c r="L899" s="11"/>
      <x:c r="M899" s="11"/>
      <x:c r="N899" s="10" t="str">
        <x:v>NOT_MODELED</x:v>
      </x:c>
    </x:row>
    <x:row r="900" ht="85" customHeight="1">
      <x:c r="A900" s="10" t="str">
        <x:v>V-R2</x:v>
      </x:c>
      <x:c r="B900" s="10" t="str">
        <x:v>VOICE</x:v>
      </x:c>
      <x:c r="C900" s="10" t="str">
        <x:v>VOICE:S3-04</x:v>
      </x:c>
      <x:c r="D900" s="10" t="str">
        <x:v>VOICE:S3-04:input</x:v>
      </x:c>
      <x:c r="E900" s="10" t="str">
        <x:v>V-S3</x:v>
      </x:c>
      <x:c r="F900" s="10" t="n">
        <x:v>1</x:v>
      </x:c>
      <x:c r="G900" s="11" t="n">
        <x:v>0</x:v>
      </x:c>
      <x:c r="H900" s="11" t="n">
        <x:v>8.8</x:v>
      </x:c>
      <x:c r="I900" s="11" t="n">
        <x:f>H900-G900</x:f>
        <x:v>8.8</x:v>
      </x:c>
      <x:c r="J900" s="10" t="str">
        <x:v>아까와 지금 가리킨 견적들을 중복 없이 묶고 설치비는 제외해서 요약표로 만들어줘.</x:v>
      </x:c>
      <x:c r="K900" s="10" t="str">
        <x:v>quote-Z의 설치비를 제외해 요약표 작성을 맡기겠습니다.</x:v>
      </x:c>
      <x:c r="L900" s="11"/>
      <x:c r="M900" s="11"/>
      <x:c r="N900" s="10" t="str">
        <x:v>NOT_MODELED</x:v>
      </x:c>
    </x:row>
    <x:row r="901" ht="85" customHeight="1">
      <x:c r="A901" s="10" t="str">
        <x:v>V-R3</x:v>
      </x:c>
      <x:c r="B901" s="10" t="str">
        <x:v>VOICE</x:v>
      </x:c>
      <x:c r="C901" s="10" t="str">
        <x:v>VOICE:S3-04</x:v>
      </x:c>
      <x:c r="D901" s="10" t="str">
        <x:v>VOICE:S3-04:input</x:v>
      </x:c>
      <x:c r="E901" s="10" t="str">
        <x:v>V-S3</x:v>
      </x:c>
      <x:c r="F901" s="10" t="n">
        <x:v>1</x:v>
      </x:c>
      <x:c r="G901" s="11" t="n">
        <x:v>0</x:v>
      </x:c>
      <x:c r="H901" s="11" t="n">
        <x:v>8.86</x:v>
      </x:c>
      <x:c r="I901" s="11" t="n">
        <x:f>H901-G901</x:f>
        <x:v>8.86</x:v>
      </x:c>
      <x:c r="J901" s="10" t="str">
        <x:v>아까와 지금 가리킨 견적들을 중복 없이 묶고 설치비는 제외해서 요약표로 만들어줘.</x:v>
      </x:c>
      <x:c r="K901" s="10" t="str">
        <x:v>quote-Z의 설치비를 제외해 요약표 작성을 맡기겠습니다.</x:v>
      </x:c>
      <x:c r="L901" s="11"/>
      <x:c r="M901" s="11"/>
      <x:c r="N901" s="10" t="str">
        <x:v>NOT_MODELED</x:v>
      </x:c>
    </x:row>
    <x:row r="902" ht="85" customHeight="1">
      <x:c r="A902" s="10" t="str">
        <x:v>V-A</x:v>
      </x:c>
      <x:c r="B902" s="10" t="str">
        <x:v>VOICE</x:v>
      </x:c>
      <x:c r="C902" s="10" t="str">
        <x:v>VOICE:S3-05</x:v>
      </x:c>
      <x:c r="D902" s="10" t="str">
        <x:v>VOICE:S3-05:input</x:v>
      </x:c>
      <x:c r="E902" s="10" t="str">
        <x:v>V-S3</x:v>
      </x:c>
      <x:c r="F902" s="10" t="n">
        <x:v>1</x:v>
      </x:c>
      <x:c r="G902" s="11" t="n">
        <x:v>0</x:v>
      </x:c>
      <x:c r="H902" s="11" t="n">
        <x:v>5.500000000000001</x:v>
      </x:c>
      <x:c r="I902" s="11" t="n">
        <x:f>H902-G902</x:f>
        <x:v>5.500000000000001</x:v>
      </x:c>
      <x:c r="J902" s="10" t="str">
        <x:v>아까와 지금 가리킨 견적들을 중복 없이 묶고 설치비는 제외해서 요약표로 만들어줘.</x:v>
      </x:c>
      <x:c r="K902" s="10" t="str">
        <x:v>quote-L의 설치비를 제외해 요약표 작성을 맡기겠습니다.</x:v>
      </x:c>
      <x:c r="L902" s="11"/>
      <x:c r="M902" s="11"/>
      <x:c r="N902" s="10" t="str">
        <x:v>NOT_MODELED</x:v>
      </x:c>
    </x:row>
    <x:row r="903" ht="85" customHeight="1">
      <x:c r="A903" s="10" t="str">
        <x:v>V-R1</x:v>
      </x:c>
      <x:c r="B903" s="10" t="str">
        <x:v>VOICE</x:v>
      </x:c>
      <x:c r="C903" s="10" t="str">
        <x:v>VOICE:S3-05</x:v>
      </x:c>
      <x:c r="D903" s="10" t="str">
        <x:v>VOICE:S3-05:input</x:v>
      </x:c>
      <x:c r="E903" s="10" t="str">
        <x:v>V-S3</x:v>
      </x:c>
      <x:c r="F903" s="10" t="n">
        <x:v>1</x:v>
      </x:c>
      <x:c r="G903" s="11" t="n">
        <x:v>0</x:v>
      </x:c>
      <x:c r="H903" s="11" t="n">
        <x:v>10.7</x:v>
      </x:c>
      <x:c r="I903" s="11" t="n">
        <x:f>H903-G903</x:f>
        <x:v>10.7</x:v>
      </x:c>
      <x:c r="J903" s="10" t="str">
        <x:v>아까와 지금 가리킨 견적들을 중복 없이 묶고 설치비는 제외해서 요약표로 만들어줘.</x:v>
      </x:c>
      <x:c r="K903" s="10" t="str">
        <x:v>quote-L의 설치비를 제외해 요약표 작성을 맡기겠습니다.</x:v>
      </x:c>
      <x:c r="L903" s="11"/>
      <x:c r="M903" s="11"/>
      <x:c r="N903" s="10" t="str">
        <x:v>NOT_MODELED</x:v>
      </x:c>
    </x:row>
    <x:row r="904" ht="85" customHeight="1">
      <x:c r="A904" s="10" t="str">
        <x:v>V-R2</x:v>
      </x:c>
      <x:c r="B904" s="10" t="str">
        <x:v>VOICE</x:v>
      </x:c>
      <x:c r="C904" s="10" t="str">
        <x:v>VOICE:S3-05</x:v>
      </x:c>
      <x:c r="D904" s="10" t="str">
        <x:v>VOICE:S3-05:input</x:v>
      </x:c>
      <x:c r="E904" s="10" t="str">
        <x:v>V-S3</x:v>
      </x:c>
      <x:c r="F904" s="10" t="n">
        <x:v>1</x:v>
      </x:c>
      <x:c r="G904" s="11" t="n">
        <x:v>0</x:v>
      </x:c>
      <x:c r="H904" s="11" t="n">
        <x:v>8.8</x:v>
      </x:c>
      <x:c r="I904" s="11" t="n">
        <x:f>H904-G904</x:f>
        <x:v>8.8</x:v>
      </x:c>
      <x:c r="J904" s="10" t="str">
        <x:v>아까와 지금 가리킨 견적들을 중복 없이 묶고 설치비는 제외해서 요약표로 만들어줘.</x:v>
      </x:c>
      <x:c r="K904" s="10" t="str">
        <x:v>quote-L의 설치비를 제외해 요약표 작성을 맡기겠습니다.</x:v>
      </x:c>
      <x:c r="L904" s="11"/>
      <x:c r="M904" s="11"/>
      <x:c r="N904" s="10" t="str">
        <x:v>NOT_MODELED</x:v>
      </x:c>
    </x:row>
    <x:row r="905" ht="85" customHeight="1">
      <x:c r="A905" s="10" t="str">
        <x:v>V-R3</x:v>
      </x:c>
      <x:c r="B905" s="10" t="str">
        <x:v>VOICE</x:v>
      </x:c>
      <x:c r="C905" s="10" t="str">
        <x:v>VOICE:S3-05</x:v>
      </x:c>
      <x:c r="D905" s="10" t="str">
        <x:v>VOICE:S3-05:input</x:v>
      </x:c>
      <x:c r="E905" s="10" t="str">
        <x:v>V-S3</x:v>
      </x:c>
      <x:c r="F905" s="10" t="n">
        <x:v>1</x:v>
      </x:c>
      <x:c r="G905" s="11" t="n">
        <x:v>0</x:v>
      </x:c>
      <x:c r="H905" s="11" t="n">
        <x:v>8.86</x:v>
      </x:c>
      <x:c r="I905" s="11" t="n">
        <x:f>H905-G905</x:f>
        <x:v>8.86</x:v>
      </x:c>
      <x:c r="J905" s="10" t="str">
        <x:v>아까와 지금 가리킨 견적들을 중복 없이 묶고 설치비는 제외해서 요약표로 만들어줘.</x:v>
      </x:c>
      <x:c r="K905" s="10" t="str">
        <x:v>quote-L의 설치비를 제외해 요약표 작성을 맡기겠습니다.</x:v>
      </x:c>
      <x:c r="L905" s="11"/>
      <x:c r="M905" s="11"/>
      <x:c r="N905" s="10" t="str">
        <x:v>NOT_MODELED</x:v>
      </x:c>
    </x:row>
    <x:row r="906" ht="85" customHeight="1">
      <x:c r="A906" s="10" t="str">
        <x:v>V-A</x:v>
      </x:c>
      <x:c r="B906" s="10" t="str">
        <x:v>VOICE</x:v>
      </x:c>
      <x:c r="C906" s="10" t="str">
        <x:v>VOICE:S3-06</x:v>
      </x:c>
      <x:c r="D906" s="10" t="str">
        <x:v>VOICE:S3-06:input</x:v>
      </x:c>
      <x:c r="E906" s="10" t="str">
        <x:v>V-S3</x:v>
      </x:c>
      <x:c r="F906" s="10" t="n">
        <x:v>1</x:v>
      </x:c>
      <x:c r="G906" s="11" t="n">
        <x:v>0</x:v>
      </x:c>
      <x:c r="H906" s="11" t="n">
        <x:v>5.500000000000001</x:v>
      </x:c>
      <x:c r="I906" s="11" t="n">
        <x:f>H906-G906</x:f>
        <x:v>5.500000000000001</x:v>
      </x:c>
      <x:c r="J906" s="10" t="str">
        <x:v>아까와 지금 가리킨 견적들을 중복 없이 묶고 설치비는 제외해서 요약표로 만들어줘.</x:v>
      </x:c>
      <x:c r="K906" s="10" t="str">
        <x:v>quote-L의 설치비를 제외해 요약표 작성을 맡기겠습니다.</x:v>
      </x:c>
      <x:c r="L906" s="11"/>
      <x:c r="M906" s="11"/>
      <x:c r="N906" s="10" t="str">
        <x:v>NOT_MODELED</x:v>
      </x:c>
    </x:row>
    <x:row r="907" ht="85" customHeight="1">
      <x:c r="A907" s="10" t="str">
        <x:v>V-R1</x:v>
      </x:c>
      <x:c r="B907" s="10" t="str">
        <x:v>VOICE</x:v>
      </x:c>
      <x:c r="C907" s="10" t="str">
        <x:v>VOICE:S3-06</x:v>
      </x:c>
      <x:c r="D907" s="10" t="str">
        <x:v>VOICE:S3-06:input</x:v>
      </x:c>
      <x:c r="E907" s="10" t="str">
        <x:v>V-S3</x:v>
      </x:c>
      <x:c r="F907" s="10" t="n">
        <x:v>1</x:v>
      </x:c>
      <x:c r="G907" s="11" t="n">
        <x:v>0</x:v>
      </x:c>
      <x:c r="H907" s="11" t="n">
        <x:v>10.7</x:v>
      </x:c>
      <x:c r="I907" s="11" t="n">
        <x:f>H907-G907</x:f>
        <x:v>10.7</x:v>
      </x:c>
      <x:c r="J907" s="10" t="str">
        <x:v>아까와 지금 가리킨 견적들을 중복 없이 묶고 설치비는 제외해서 요약표로 만들어줘.</x:v>
      </x:c>
      <x:c r="K907" s="10" t="str">
        <x:v>quote-L의 설치비를 제외해 요약표 작성을 맡기겠습니다.</x:v>
      </x:c>
      <x:c r="L907" s="11"/>
      <x:c r="M907" s="11"/>
      <x:c r="N907" s="10" t="str">
        <x:v>NOT_MODELED</x:v>
      </x:c>
    </x:row>
    <x:row r="908" ht="85" customHeight="1">
      <x:c r="A908" s="10" t="str">
        <x:v>V-R2</x:v>
      </x:c>
      <x:c r="B908" s="10" t="str">
        <x:v>VOICE</x:v>
      </x:c>
      <x:c r="C908" s="10" t="str">
        <x:v>VOICE:S3-06</x:v>
      </x:c>
      <x:c r="D908" s="10" t="str">
        <x:v>VOICE:S3-06:input</x:v>
      </x:c>
      <x:c r="E908" s="10" t="str">
        <x:v>V-S3</x:v>
      </x:c>
      <x:c r="F908" s="10" t="n">
        <x:v>1</x:v>
      </x:c>
      <x:c r="G908" s="11" t="n">
        <x:v>0</x:v>
      </x:c>
      <x:c r="H908" s="11" t="n">
        <x:v>8.8</x:v>
      </x:c>
      <x:c r="I908" s="11" t="n">
        <x:f>H908-G908</x:f>
        <x:v>8.8</x:v>
      </x:c>
      <x:c r="J908" s="10" t="str">
        <x:v>아까와 지금 가리킨 견적들을 중복 없이 묶고 설치비는 제외해서 요약표로 만들어줘.</x:v>
      </x:c>
      <x:c r="K908" s="10" t="str">
        <x:v>quote-L의 설치비를 제외해 요약표 작성을 맡기겠습니다.</x:v>
      </x:c>
      <x:c r="L908" s="11"/>
      <x:c r="M908" s="11"/>
      <x:c r="N908" s="10" t="str">
        <x:v>NOT_MODELED</x:v>
      </x:c>
    </x:row>
    <x:row r="909" ht="85" customHeight="1">
      <x:c r="A909" s="10" t="str">
        <x:v>V-R3</x:v>
      </x:c>
      <x:c r="B909" s="10" t="str">
        <x:v>VOICE</x:v>
      </x:c>
      <x:c r="C909" s="10" t="str">
        <x:v>VOICE:S3-06</x:v>
      </x:c>
      <x:c r="D909" s="10" t="str">
        <x:v>VOICE:S3-06:input</x:v>
      </x:c>
      <x:c r="E909" s="10" t="str">
        <x:v>V-S3</x:v>
      </x:c>
      <x:c r="F909" s="10" t="n">
        <x:v>1</x:v>
      </x:c>
      <x:c r="G909" s="11" t="n">
        <x:v>0</x:v>
      </x:c>
      <x:c r="H909" s="11" t="n">
        <x:v>8.86</x:v>
      </x:c>
      <x:c r="I909" s="11" t="n">
        <x:f>H909-G909</x:f>
        <x:v>8.86</x:v>
      </x:c>
      <x:c r="J909" s="10" t="str">
        <x:v>아까와 지금 가리킨 견적들을 중복 없이 묶고 설치비는 제외해서 요약표로 만들어줘.</x:v>
      </x:c>
      <x:c r="K909" s="10" t="str">
        <x:v>quote-L의 설치비를 제외해 요약표 작성을 맡기겠습니다.</x:v>
      </x:c>
      <x:c r="L909" s="11"/>
      <x:c r="M909" s="11"/>
      <x:c r="N909" s="10" t="str">
        <x:v>NOT_MODELED</x:v>
      </x:c>
    </x:row>
    <x:row r="910" ht="85" customHeight="1">
      <x:c r="A910" s="10" t="str">
        <x:v>V-A</x:v>
      </x:c>
      <x:c r="B910" s="10" t="str">
        <x:v>VOICE</x:v>
      </x:c>
      <x:c r="C910" s="10" t="str">
        <x:v>VOICE:S3-07</x:v>
      </x:c>
      <x:c r="D910" s="10" t="str">
        <x:v>VOICE:S3-07:input</x:v>
      </x:c>
      <x:c r="E910" s="10" t="str">
        <x:v>V-S3</x:v>
      </x:c>
      <x:c r="F910" s="10" t="n">
        <x:v>1</x:v>
      </x:c>
      <x:c r="G910" s="11" t="n">
        <x:v>0</x:v>
      </x:c>
      <x:c r="H910" s="11" t="n">
        <x:v>5.500000000000001</x:v>
      </x:c>
      <x:c r="I910" s="11" t="n">
        <x:f>H910-G910</x:f>
        <x:v>5.500000000000001</x:v>
      </x:c>
      <x:c r="J910" s="10" t="str">
        <x:v>아까와 지금 가리킨 견적들을 중복 없이 묶고 설치비는 제외해서 요약표로 만들어줘.</x:v>
      </x:c>
      <x:c r="K910" s="10" t="str">
        <x:v>quote-L의 설치비를 제외해 요약표 작성을 맡기겠습니다.</x:v>
      </x:c>
      <x:c r="L910" s="11"/>
      <x:c r="M910" s="11"/>
      <x:c r="N910" s="10" t="str">
        <x:v>NOT_MODELED</x:v>
      </x:c>
    </x:row>
    <x:row r="911" ht="85" customHeight="1">
      <x:c r="A911" s="10" t="str">
        <x:v>V-R1</x:v>
      </x:c>
      <x:c r="B911" s="10" t="str">
        <x:v>VOICE</x:v>
      </x:c>
      <x:c r="C911" s="10" t="str">
        <x:v>VOICE:S3-07</x:v>
      </x:c>
      <x:c r="D911" s="10" t="str">
        <x:v>VOICE:S3-07:input</x:v>
      </x:c>
      <x:c r="E911" s="10" t="str">
        <x:v>V-S3</x:v>
      </x:c>
      <x:c r="F911" s="10" t="n">
        <x:v>1</x:v>
      </x:c>
      <x:c r="G911" s="11" t="n">
        <x:v>0</x:v>
      </x:c>
      <x:c r="H911" s="11" t="n">
        <x:v>10.7</x:v>
      </x:c>
      <x:c r="I911" s="11" t="n">
        <x:f>H911-G911</x:f>
        <x:v>10.7</x:v>
      </x:c>
      <x:c r="J911" s="10" t="str">
        <x:v>아까와 지금 가리킨 견적들을 중복 없이 묶고 설치비는 제외해서 요약표로 만들어줘.</x:v>
      </x:c>
      <x:c r="K911" s="10" t="str">
        <x:v>quote-L의 설치비를 제외해 요약표 작성을 맡기겠습니다.</x:v>
      </x:c>
      <x:c r="L911" s="11"/>
      <x:c r="M911" s="11"/>
      <x:c r="N911" s="10" t="str">
        <x:v>NOT_MODELED</x:v>
      </x:c>
    </x:row>
    <x:row r="912" ht="85" customHeight="1">
      <x:c r="A912" s="10" t="str">
        <x:v>V-R2</x:v>
      </x:c>
      <x:c r="B912" s="10" t="str">
        <x:v>VOICE</x:v>
      </x:c>
      <x:c r="C912" s="10" t="str">
        <x:v>VOICE:S3-07</x:v>
      </x:c>
      <x:c r="D912" s="10" t="str">
        <x:v>VOICE:S3-07:input</x:v>
      </x:c>
      <x:c r="E912" s="10" t="str">
        <x:v>V-S3</x:v>
      </x:c>
      <x:c r="F912" s="10" t="n">
        <x:v>1</x:v>
      </x:c>
      <x:c r="G912" s="11" t="n">
        <x:v>0</x:v>
      </x:c>
      <x:c r="H912" s="11" t="n">
        <x:v>8.8</x:v>
      </x:c>
      <x:c r="I912" s="11" t="n">
        <x:f>H912-G912</x:f>
        <x:v>8.8</x:v>
      </x:c>
      <x:c r="J912" s="10" t="str">
        <x:v>아까와 지금 가리킨 견적들을 중복 없이 묶고 설치비는 제외해서 요약표로 만들어줘.</x:v>
      </x:c>
      <x:c r="K912" s="10" t="str">
        <x:v>quote-L의 설치비를 제외해 요약표 작성을 맡기겠습니다.</x:v>
      </x:c>
      <x:c r="L912" s="11"/>
      <x:c r="M912" s="11"/>
      <x:c r="N912" s="10" t="str">
        <x:v>NOT_MODELED</x:v>
      </x:c>
    </x:row>
    <x:row r="913" ht="85" customHeight="1">
      <x:c r="A913" s="10" t="str">
        <x:v>V-R3</x:v>
      </x:c>
      <x:c r="B913" s="10" t="str">
        <x:v>VOICE</x:v>
      </x:c>
      <x:c r="C913" s="10" t="str">
        <x:v>VOICE:S3-07</x:v>
      </x:c>
      <x:c r="D913" s="10" t="str">
        <x:v>VOICE:S3-07:input</x:v>
      </x:c>
      <x:c r="E913" s="10" t="str">
        <x:v>V-S3</x:v>
      </x:c>
      <x:c r="F913" s="10" t="n">
        <x:v>1</x:v>
      </x:c>
      <x:c r="G913" s="11" t="n">
        <x:v>0</x:v>
      </x:c>
      <x:c r="H913" s="11" t="n">
        <x:v>8.86</x:v>
      </x:c>
      <x:c r="I913" s="11" t="n">
        <x:f>H913-G913</x:f>
        <x:v>8.86</x:v>
      </x:c>
      <x:c r="J913" s="10" t="str">
        <x:v>아까와 지금 가리킨 견적들을 중복 없이 묶고 설치비는 제외해서 요약표로 만들어줘.</x:v>
      </x:c>
      <x:c r="K913" s="10" t="str">
        <x:v>quote-L의 설치비를 제외해 요약표 작성을 맡기겠습니다.</x:v>
      </x:c>
      <x:c r="L913" s="11"/>
      <x:c r="M913" s="11"/>
      <x:c r="N913" s="10" t="str">
        <x:v>NOT_MODELED</x:v>
      </x:c>
    </x:row>
    <x:row r="914" ht="85" customHeight="1">
      <x:c r="A914" s="10" t="str">
        <x:v>V-A</x:v>
      </x:c>
      <x:c r="B914" s="10" t="str">
        <x:v>VOICE</x:v>
      </x:c>
      <x:c r="C914" s="10" t="str">
        <x:v>VOICE:S3-08</x:v>
      </x:c>
      <x:c r="D914" s="10" t="str">
        <x:v>VOICE:S3-08:input</x:v>
      </x:c>
      <x:c r="E914" s="10" t="str">
        <x:v>V-S3</x:v>
      </x:c>
      <x:c r="F914" s="10" t="n">
        <x:v>1</x:v>
      </x:c>
      <x:c r="G914" s="11" t="n">
        <x:v>0</x:v>
      </x:c>
      <x:c r="H914" s="11" t="n">
        <x:v>5.500000000000001</x:v>
      </x:c>
      <x:c r="I914" s="11" t="n">
        <x:f>H914-G914</x:f>
        <x:v>5.500000000000001</x:v>
      </x:c>
      <x:c r="J914" s="10" t="str">
        <x:v>아까와 지금 가리킨 견적들을 중복 없이 묶고 설치비는 제외해서 요약표로 만들어줘.</x:v>
      </x:c>
      <x:c r="K914" s="10" t="str">
        <x:v>quote-L의 설치비를 제외해 요약표 작성을 맡기겠습니다.</x:v>
      </x:c>
      <x:c r="L914" s="11"/>
      <x:c r="M914" s="11"/>
      <x:c r="N914" s="10" t="str">
        <x:v>NOT_MODELED</x:v>
      </x:c>
    </x:row>
    <x:row r="915" ht="85" customHeight="1">
      <x:c r="A915" s="10" t="str">
        <x:v>V-R1</x:v>
      </x:c>
      <x:c r="B915" s="10" t="str">
        <x:v>VOICE</x:v>
      </x:c>
      <x:c r="C915" s="10" t="str">
        <x:v>VOICE:S3-08</x:v>
      </x:c>
      <x:c r="D915" s="10" t="str">
        <x:v>VOICE:S3-08:input</x:v>
      </x:c>
      <x:c r="E915" s="10" t="str">
        <x:v>V-S3</x:v>
      </x:c>
      <x:c r="F915" s="10" t="n">
        <x:v>1</x:v>
      </x:c>
      <x:c r="G915" s="11" t="n">
        <x:v>0</x:v>
      </x:c>
      <x:c r="H915" s="11" t="n">
        <x:v>10.7</x:v>
      </x:c>
      <x:c r="I915" s="11" t="n">
        <x:f>H915-G915</x:f>
        <x:v>10.7</x:v>
      </x:c>
      <x:c r="J915" s="10" t="str">
        <x:v>아까와 지금 가리킨 견적들을 중복 없이 묶고 설치비는 제외해서 요약표로 만들어줘.</x:v>
      </x:c>
      <x:c r="K915" s="10" t="str">
        <x:v>quote-L의 설치비를 제외해 요약표 작성을 맡기겠습니다.</x:v>
      </x:c>
      <x:c r="L915" s="11"/>
      <x:c r="M915" s="11"/>
      <x:c r="N915" s="10" t="str">
        <x:v>NOT_MODELED</x:v>
      </x:c>
    </x:row>
    <x:row r="916" ht="85" customHeight="1">
      <x:c r="A916" s="10" t="str">
        <x:v>V-R2</x:v>
      </x:c>
      <x:c r="B916" s="10" t="str">
        <x:v>VOICE</x:v>
      </x:c>
      <x:c r="C916" s="10" t="str">
        <x:v>VOICE:S3-08</x:v>
      </x:c>
      <x:c r="D916" s="10" t="str">
        <x:v>VOICE:S3-08:input</x:v>
      </x:c>
      <x:c r="E916" s="10" t="str">
        <x:v>V-S3</x:v>
      </x:c>
      <x:c r="F916" s="10" t="n">
        <x:v>1</x:v>
      </x:c>
      <x:c r="G916" s="11" t="n">
        <x:v>0</x:v>
      </x:c>
      <x:c r="H916" s="11" t="n">
        <x:v>8.8</x:v>
      </x:c>
      <x:c r="I916" s="11" t="n">
        <x:f>H916-G916</x:f>
        <x:v>8.8</x:v>
      </x:c>
      <x:c r="J916" s="10" t="str">
        <x:v>아까와 지금 가리킨 견적들을 중복 없이 묶고 설치비는 제외해서 요약표로 만들어줘.</x:v>
      </x:c>
      <x:c r="K916" s="10" t="str">
        <x:v>quote-L의 설치비를 제외해 요약표 작성을 맡기겠습니다.</x:v>
      </x:c>
      <x:c r="L916" s="11"/>
      <x:c r="M916" s="11"/>
      <x:c r="N916" s="10" t="str">
        <x:v>NOT_MODELED</x:v>
      </x:c>
    </x:row>
    <x:row r="917" ht="85" customHeight="1">
      <x:c r="A917" s="10" t="str">
        <x:v>V-R3</x:v>
      </x:c>
      <x:c r="B917" s="10" t="str">
        <x:v>VOICE</x:v>
      </x:c>
      <x:c r="C917" s="10" t="str">
        <x:v>VOICE:S3-08</x:v>
      </x:c>
      <x:c r="D917" s="10" t="str">
        <x:v>VOICE:S3-08:input</x:v>
      </x:c>
      <x:c r="E917" s="10" t="str">
        <x:v>V-S3</x:v>
      </x:c>
      <x:c r="F917" s="10" t="n">
        <x:v>1</x:v>
      </x:c>
      <x:c r="G917" s="11" t="n">
        <x:v>0</x:v>
      </x:c>
      <x:c r="H917" s="11" t="n">
        <x:v>8.86</x:v>
      </x:c>
      <x:c r="I917" s="11" t="n">
        <x:f>H917-G917</x:f>
        <x:v>8.86</x:v>
      </x:c>
      <x:c r="J917" s="10" t="str">
        <x:v>아까와 지금 가리킨 견적들을 중복 없이 묶고 설치비는 제외해서 요약표로 만들어줘.</x:v>
      </x:c>
      <x:c r="K917" s="10" t="str">
        <x:v>quote-L의 설치비를 제외해 요약표 작성을 맡기겠습니다.</x:v>
      </x:c>
      <x:c r="L917" s="11"/>
      <x:c r="M917" s="11"/>
      <x:c r="N917" s="10" t="str">
        <x:v>NOT_MODELED</x:v>
      </x:c>
    </x:row>
    <x:row r="918" ht="85" customHeight="1">
      <x:c r="A918" s="10" t="str">
        <x:v>V-A</x:v>
      </x:c>
      <x:c r="B918" s="10" t="str">
        <x:v>VOICE</x:v>
      </x:c>
      <x:c r="C918" s="10" t="str">
        <x:v>VOICE:S3-09</x:v>
      </x:c>
      <x:c r="D918" s="10" t="str">
        <x:v>VOICE:S3-09:input</x:v>
      </x:c>
      <x:c r="E918" s="10" t="str">
        <x:v>V-S3</x:v>
      </x:c>
      <x:c r="F918" s="10" t="n">
        <x:v>1</x:v>
      </x:c>
      <x:c r="G918" s="11" t="n">
        <x:v>0</x:v>
      </x:c>
      <x:c r="H918" s="11" t="n">
        <x:v>5.500000000000001</x:v>
      </x:c>
      <x:c r="I918" s="11" t="n">
        <x:f>H918-G918</x:f>
        <x:v>5.500000000000001</x:v>
      </x:c>
      <x:c r="J918" s="10" t="str">
        <x:v>아까와 지금 가리킨 견적들을 중복 없이 묶고 설치비는 제외해서 요약표로 만들어줘.</x:v>
      </x:c>
      <x:c r="K918" s="10" t="str">
        <x:v>quote-L의 설치비를 제외해 요약표 작성을 맡기겠습니다.</x:v>
      </x:c>
      <x:c r="L918" s="11"/>
      <x:c r="M918" s="11"/>
      <x:c r="N918" s="10" t="str">
        <x:v>NOT_MODELED</x:v>
      </x:c>
    </x:row>
    <x:row r="919" ht="85" customHeight="1">
      <x:c r="A919" s="10" t="str">
        <x:v>V-R1</x:v>
      </x:c>
      <x:c r="B919" s="10" t="str">
        <x:v>VOICE</x:v>
      </x:c>
      <x:c r="C919" s="10" t="str">
        <x:v>VOICE:S3-09</x:v>
      </x:c>
      <x:c r="D919" s="10" t="str">
        <x:v>VOICE:S3-09:input</x:v>
      </x:c>
      <x:c r="E919" s="10" t="str">
        <x:v>V-S3</x:v>
      </x:c>
      <x:c r="F919" s="10" t="n">
        <x:v>1</x:v>
      </x:c>
      <x:c r="G919" s="11" t="n">
        <x:v>0</x:v>
      </x:c>
      <x:c r="H919" s="11" t="n">
        <x:v>10.7</x:v>
      </x:c>
      <x:c r="I919" s="11" t="n">
        <x:f>H919-G919</x:f>
        <x:v>10.7</x:v>
      </x:c>
      <x:c r="J919" s="10" t="str">
        <x:v>아까와 지금 가리킨 견적들을 중복 없이 묶고 설치비는 제외해서 요약표로 만들어줘.</x:v>
      </x:c>
      <x:c r="K919" s="10" t="str">
        <x:v>quote-L의 설치비를 제외해 요약표 작성을 맡기겠습니다.</x:v>
      </x:c>
      <x:c r="L919" s="11"/>
      <x:c r="M919" s="11"/>
      <x:c r="N919" s="10" t="str">
        <x:v>NOT_MODELED</x:v>
      </x:c>
    </x:row>
    <x:row r="920" ht="85" customHeight="1">
      <x:c r="A920" s="10" t="str">
        <x:v>V-R2</x:v>
      </x:c>
      <x:c r="B920" s="10" t="str">
        <x:v>VOICE</x:v>
      </x:c>
      <x:c r="C920" s="10" t="str">
        <x:v>VOICE:S3-09</x:v>
      </x:c>
      <x:c r="D920" s="10" t="str">
        <x:v>VOICE:S3-09:input</x:v>
      </x:c>
      <x:c r="E920" s="10" t="str">
        <x:v>V-S3</x:v>
      </x:c>
      <x:c r="F920" s="10" t="n">
        <x:v>1</x:v>
      </x:c>
      <x:c r="G920" s="11" t="n">
        <x:v>0</x:v>
      </x:c>
      <x:c r="H920" s="11" t="n">
        <x:v>8.8</x:v>
      </x:c>
      <x:c r="I920" s="11" t="n">
        <x:f>H920-G920</x:f>
        <x:v>8.8</x:v>
      </x:c>
      <x:c r="J920" s="10" t="str">
        <x:v>아까와 지금 가리킨 견적들을 중복 없이 묶고 설치비는 제외해서 요약표로 만들어줘.</x:v>
      </x:c>
      <x:c r="K920" s="10" t="str">
        <x:v>quote-L의 설치비를 제외해 요약표 작성을 맡기겠습니다.</x:v>
      </x:c>
      <x:c r="L920" s="11"/>
      <x:c r="M920" s="11"/>
      <x:c r="N920" s="10" t="str">
        <x:v>NOT_MODELED</x:v>
      </x:c>
    </x:row>
    <x:row r="921" ht="85" customHeight="1">
      <x:c r="A921" s="10" t="str">
        <x:v>V-R3</x:v>
      </x:c>
      <x:c r="B921" s="10" t="str">
        <x:v>VOICE</x:v>
      </x:c>
      <x:c r="C921" s="10" t="str">
        <x:v>VOICE:S3-09</x:v>
      </x:c>
      <x:c r="D921" s="10" t="str">
        <x:v>VOICE:S3-09:input</x:v>
      </x:c>
      <x:c r="E921" s="10" t="str">
        <x:v>V-S3</x:v>
      </x:c>
      <x:c r="F921" s="10" t="n">
        <x:v>1</x:v>
      </x:c>
      <x:c r="G921" s="11" t="n">
        <x:v>0</x:v>
      </x:c>
      <x:c r="H921" s="11" t="n">
        <x:v>8.86</x:v>
      </x:c>
      <x:c r="I921" s="11" t="n">
        <x:f>H921-G921</x:f>
        <x:v>8.86</x:v>
      </x:c>
      <x:c r="J921" s="10" t="str">
        <x:v>아까와 지금 가리킨 견적들을 중복 없이 묶고 설치비는 제외해서 요약표로 만들어줘.</x:v>
      </x:c>
      <x:c r="K921" s="10" t="str">
        <x:v>quote-L의 설치비를 제외해 요약표 작성을 맡기겠습니다.</x:v>
      </x:c>
      <x:c r="L921" s="11"/>
      <x:c r="M921" s="11"/>
      <x:c r="N921" s="10" t="str">
        <x:v>NOT_MODELED</x:v>
      </x:c>
    </x:row>
    <x:row r="922" ht="85" customHeight="1">
      <x:c r="A922" s="10" t="str">
        <x:v>V-A</x:v>
      </x:c>
      <x:c r="B922" s="10" t="str">
        <x:v>VOICE</x:v>
      </x:c>
      <x:c r="C922" s="10" t="str">
        <x:v>VOICE:S3-10</x:v>
      </x:c>
      <x:c r="D922" s="10" t="str">
        <x:v>VOICE:S3-10:input</x:v>
      </x:c>
      <x:c r="E922" s="10" t="str">
        <x:v>V-S3</x:v>
      </x:c>
      <x:c r="F922" s="10" t="n">
        <x:v>1</x:v>
      </x:c>
      <x:c r="G922" s="11" t="n">
        <x:v>0</x:v>
      </x:c>
      <x:c r="H922" s="11" t="n">
        <x:v>5.500000000000001</x:v>
      </x:c>
      <x:c r="I922" s="11" t="n">
        <x:f>H922-G922</x:f>
        <x:v>5.500000000000001</x:v>
      </x:c>
      <x:c r="J922" s="10" t="str">
        <x:v>아까와 지금 가리킨 견적들을 중복 없이 묶고 설치비는 제외해서 요약표로 만들어줘.</x:v>
      </x:c>
      <x:c r="K922" s="10" t="str">
        <x:v>quote-L의 설치비를 포함해 요약표 작성을 맡기겠습니다.</x:v>
      </x:c>
      <x:c r="L922" s="11"/>
      <x:c r="M922" s="11"/>
      <x:c r="N922" s="10" t="str">
        <x:v>NOT_MODELED</x:v>
      </x:c>
    </x:row>
    <x:row r="923" ht="85" customHeight="1">
      <x:c r="A923" s="10" t="str">
        <x:v>V-R1</x:v>
      </x:c>
      <x:c r="B923" s="10" t="str">
        <x:v>VOICE</x:v>
      </x:c>
      <x:c r="C923" s="10" t="str">
        <x:v>VOICE:S3-10</x:v>
      </x:c>
      <x:c r="D923" s="10" t="str">
        <x:v>VOICE:S3-10:input</x:v>
      </x:c>
      <x:c r="E923" s="10" t="str">
        <x:v>V-S3</x:v>
      </x:c>
      <x:c r="F923" s="10" t="n">
        <x:v>1</x:v>
      </x:c>
      <x:c r="G923" s="11" t="n">
        <x:v>0</x:v>
      </x:c>
      <x:c r="H923" s="11" t="n">
        <x:v>10.7</x:v>
      </x:c>
      <x:c r="I923" s="11" t="n">
        <x:f>H923-G923</x:f>
        <x:v>10.7</x:v>
      </x:c>
      <x:c r="J923" s="10" t="str">
        <x:v>아까와 지금 가리킨 견적들을 중복 없이 묶고 설치비는 제외해서 요약표로 만들어줘.</x:v>
      </x:c>
      <x:c r="K923" s="10" t="str">
        <x:v>quote-L의 설치비를 포함해 요약표 작성을 맡기겠습니다.</x:v>
      </x:c>
      <x:c r="L923" s="11"/>
      <x:c r="M923" s="11"/>
      <x:c r="N923" s="10" t="str">
        <x:v>NOT_MODELED</x:v>
      </x:c>
    </x:row>
    <x:row r="924" ht="85" customHeight="1">
      <x:c r="A924" s="10" t="str">
        <x:v>V-R2</x:v>
      </x:c>
      <x:c r="B924" s="10" t="str">
        <x:v>VOICE</x:v>
      </x:c>
      <x:c r="C924" s="10" t="str">
        <x:v>VOICE:S3-10</x:v>
      </x:c>
      <x:c r="D924" s="10" t="str">
        <x:v>VOICE:S3-10:input</x:v>
      </x:c>
      <x:c r="E924" s="10" t="str">
        <x:v>V-S3</x:v>
      </x:c>
      <x:c r="F924" s="10" t="n">
        <x:v>1</x:v>
      </x:c>
      <x:c r="G924" s="11" t="n">
        <x:v>0</x:v>
      </x:c>
      <x:c r="H924" s="11" t="n">
        <x:v>8.8</x:v>
      </x:c>
      <x:c r="I924" s="11" t="n">
        <x:f>H924-G924</x:f>
        <x:v>8.8</x:v>
      </x:c>
      <x:c r="J924" s="10" t="str">
        <x:v>아까와 지금 가리킨 견적들을 중복 없이 묶고 설치비는 제외해서 요약표로 만들어줘.</x:v>
      </x:c>
      <x:c r="K924" s="10" t="str">
        <x:v>quote-L의 설치비를 포함해 요약표 작성을 맡기겠습니다.</x:v>
      </x:c>
      <x:c r="L924" s="11"/>
      <x:c r="M924" s="11"/>
      <x:c r="N924" s="10" t="str">
        <x:v>NOT_MODELED</x:v>
      </x:c>
    </x:row>
    <x:row r="925" ht="85" customHeight="1">
      <x:c r="A925" s="10" t="str">
        <x:v>V-R3</x:v>
      </x:c>
      <x:c r="B925" s="10" t="str">
        <x:v>VOICE</x:v>
      </x:c>
      <x:c r="C925" s="10" t="str">
        <x:v>VOICE:S3-10</x:v>
      </x:c>
      <x:c r="D925" s="10" t="str">
        <x:v>VOICE:S3-10:input</x:v>
      </x:c>
      <x:c r="E925" s="10" t="str">
        <x:v>V-S3</x:v>
      </x:c>
      <x:c r="F925" s="10" t="n">
        <x:v>1</x:v>
      </x:c>
      <x:c r="G925" s="11" t="n">
        <x:v>0</x:v>
      </x:c>
      <x:c r="H925" s="11" t="n">
        <x:v>8.86</x:v>
      </x:c>
      <x:c r="I925" s="11" t="n">
        <x:f>H925-G925</x:f>
        <x:v>8.86</x:v>
      </x:c>
      <x:c r="J925" s="10" t="str">
        <x:v>아까와 지금 가리킨 견적들을 중복 없이 묶고 설치비는 제외해서 요약표로 만들어줘.</x:v>
      </x:c>
      <x:c r="K925" s="10" t="str">
        <x:v>quote-L의 설치비를 포함해 요약표 작성을 맡기겠습니다.</x:v>
      </x:c>
      <x:c r="L925" s="11"/>
      <x:c r="M925" s="11"/>
      <x:c r="N925" s="10" t="str">
        <x:v>NOT_MODELED</x:v>
      </x:c>
    </x:row>
    <x:row r="926" ht="85" customHeight="1">
      <x:c r="A926" s="10" t="str">
        <x:v>V-A</x:v>
      </x:c>
      <x:c r="B926" s="10" t="str">
        <x:v>VOICE</x:v>
      </x:c>
      <x:c r="C926" s="10" t="str">
        <x:v>VOICE:S3-11</x:v>
      </x:c>
      <x:c r="D926" s="10" t="str">
        <x:v>VOICE:S3-11:input</x:v>
      </x:c>
      <x:c r="E926" s="10" t="str">
        <x:v>V-S3</x:v>
      </x:c>
      <x:c r="F926" s="10" t="n">
        <x:v>1</x:v>
      </x:c>
      <x:c r="G926" s="11" t="n">
        <x:v>0</x:v>
      </x:c>
      <x:c r="H926" s="11" t="n">
        <x:v>5.500000000000001</x:v>
      </x:c>
      <x:c r="I926" s="11" t="n">
        <x:f>H926-G926</x:f>
        <x:v>5.500000000000001</x:v>
      </x:c>
      <x:c r="J926" s="10" t="str">
        <x:v>아까와 지금 가리킨 견적들을 중복 없이 묶고 설치비는 제외해서 요약표로 만들어줘.</x:v>
      </x:c>
      <x:c r="K926" s="10" t="str">
        <x:v>quote-L의 설치비를 제외해 요약표 작성을 맡기겠습니다.</x:v>
      </x:c>
      <x:c r="L926" s="11"/>
      <x:c r="M926" s="11"/>
      <x:c r="N926" s="10" t="str">
        <x:v>NOT_MODELED</x:v>
      </x:c>
    </x:row>
    <x:row r="927" ht="85" customHeight="1">
      <x:c r="A927" s="10" t="str">
        <x:v>V-R1</x:v>
      </x:c>
      <x:c r="B927" s="10" t="str">
        <x:v>VOICE</x:v>
      </x:c>
      <x:c r="C927" s="10" t="str">
        <x:v>VOICE:S3-11</x:v>
      </x:c>
      <x:c r="D927" s="10" t="str">
        <x:v>VOICE:S3-11:input</x:v>
      </x:c>
      <x:c r="E927" s="10" t="str">
        <x:v>V-S3</x:v>
      </x:c>
      <x:c r="F927" s="10" t="n">
        <x:v>1</x:v>
      </x:c>
      <x:c r="G927" s="11" t="n">
        <x:v>0</x:v>
      </x:c>
      <x:c r="H927" s="11" t="n">
        <x:v>10.7</x:v>
      </x:c>
      <x:c r="I927" s="11" t="n">
        <x:f>H927-G927</x:f>
        <x:v>10.7</x:v>
      </x:c>
      <x:c r="J927" s="10" t="str">
        <x:v>아까와 지금 가리킨 견적들을 중복 없이 묶고 설치비는 제외해서 요약표로 만들어줘.</x:v>
      </x:c>
      <x:c r="K927" s="10" t="str">
        <x:v>quote-L의 설치비를 제외해 요약표 작성을 맡기겠습니다.</x:v>
      </x:c>
      <x:c r="L927" s="11"/>
      <x:c r="M927" s="11"/>
      <x:c r="N927" s="10" t="str">
        <x:v>NOT_MODELED</x:v>
      </x:c>
    </x:row>
    <x:row r="928" ht="85" customHeight="1">
      <x:c r="A928" s="10" t="str">
        <x:v>V-R2</x:v>
      </x:c>
      <x:c r="B928" s="10" t="str">
        <x:v>VOICE</x:v>
      </x:c>
      <x:c r="C928" s="10" t="str">
        <x:v>VOICE:S3-11</x:v>
      </x:c>
      <x:c r="D928" s="10" t="str">
        <x:v>VOICE:S3-11:input</x:v>
      </x:c>
      <x:c r="E928" s="10" t="str">
        <x:v>V-S3</x:v>
      </x:c>
      <x:c r="F928" s="10" t="n">
        <x:v>1</x:v>
      </x:c>
      <x:c r="G928" s="11" t="n">
        <x:v>0</x:v>
      </x:c>
      <x:c r="H928" s="11" t="n">
        <x:v>8.8</x:v>
      </x:c>
      <x:c r="I928" s="11" t="n">
        <x:f>H928-G928</x:f>
        <x:v>8.8</x:v>
      </x:c>
      <x:c r="J928" s="10" t="str">
        <x:v>아까와 지금 가리킨 견적들을 중복 없이 묶고 설치비는 제외해서 요약표로 만들어줘.</x:v>
      </x:c>
      <x:c r="K928" s="10" t="str">
        <x:v>quote-L의 설치비를 제외해 요약표 작성을 맡기겠습니다.</x:v>
      </x:c>
      <x:c r="L928" s="11"/>
      <x:c r="M928" s="11"/>
      <x:c r="N928" s="10" t="str">
        <x:v>NOT_MODELED</x:v>
      </x:c>
    </x:row>
    <x:row r="929" ht="85" customHeight="1">
      <x:c r="A929" s="10" t="str">
        <x:v>V-R3</x:v>
      </x:c>
      <x:c r="B929" s="10" t="str">
        <x:v>VOICE</x:v>
      </x:c>
      <x:c r="C929" s="10" t="str">
        <x:v>VOICE:S3-11</x:v>
      </x:c>
      <x:c r="D929" s="10" t="str">
        <x:v>VOICE:S3-11:input</x:v>
      </x:c>
      <x:c r="E929" s="10" t="str">
        <x:v>V-S3</x:v>
      </x:c>
      <x:c r="F929" s="10" t="n">
        <x:v>1</x:v>
      </x:c>
      <x:c r="G929" s="11" t="n">
        <x:v>0</x:v>
      </x:c>
      <x:c r="H929" s="11" t="n">
        <x:v>8.86</x:v>
      </x:c>
      <x:c r="I929" s="11" t="n">
        <x:f>H929-G929</x:f>
        <x:v>8.86</x:v>
      </x:c>
      <x:c r="J929" s="10" t="str">
        <x:v>아까와 지금 가리킨 견적들을 중복 없이 묶고 설치비는 제외해서 요약표로 만들어줘.</x:v>
      </x:c>
      <x:c r="K929" s="10" t="str">
        <x:v>quote-L의 설치비를 제외해 요약표 작성을 맡기겠습니다.</x:v>
      </x:c>
      <x:c r="L929" s="11"/>
      <x:c r="M929" s="11"/>
      <x:c r="N929" s="10" t="str">
        <x:v>NOT_MODELED</x:v>
      </x:c>
    </x:row>
    <x:row r="930" ht="85" customHeight="1">
      <x:c r="A930" s="10" t="str">
        <x:v>V-A</x:v>
      </x:c>
      <x:c r="B930" s="10" t="str">
        <x:v>VOICE</x:v>
      </x:c>
      <x:c r="C930" s="10" t="str">
        <x:v>VOICE:S3-12</x:v>
      </x:c>
      <x:c r="D930" s="10" t="str">
        <x:v>VOICE:S3-12:input</x:v>
      </x:c>
      <x:c r="E930" s="10" t="str">
        <x:v>V-S3</x:v>
      </x:c>
      <x:c r="F930" s="10" t="n">
        <x:v>1</x:v>
      </x:c>
      <x:c r="G930" s="11" t="n">
        <x:v>0</x:v>
      </x:c>
      <x:c r="H930" s="11" t="n">
        <x:v>5.500000000000001</x:v>
      </x:c>
      <x:c r="I930" s="11" t="n">
        <x:f>H930-G930</x:f>
        <x:v>5.500000000000001</x:v>
      </x:c>
      <x:c r="J930" s="10" t="str">
        <x:v>아까와 지금 가리킨 견적들을 중복 없이 묶고 설치비는 제외해서 요약표로 만들어줘.</x:v>
      </x:c>
      <x:c r="K930" s="10" t="str">
        <x:v>quote-L의 설치비를 제외해 요약표 작성을 맡기겠습니다.</x:v>
      </x:c>
      <x:c r="L930" s="11"/>
      <x:c r="M930" s="11"/>
      <x:c r="N930" s="10" t="str">
        <x:v>NOT_MODELED</x:v>
      </x:c>
    </x:row>
    <x:row r="931" ht="85" customHeight="1">
      <x:c r="A931" s="10" t="str">
        <x:v>V-R1</x:v>
      </x:c>
      <x:c r="B931" s="10" t="str">
        <x:v>VOICE</x:v>
      </x:c>
      <x:c r="C931" s="10" t="str">
        <x:v>VOICE:S3-12</x:v>
      </x:c>
      <x:c r="D931" s="10" t="str">
        <x:v>VOICE:S3-12:input</x:v>
      </x:c>
      <x:c r="E931" s="10" t="str">
        <x:v>V-S3</x:v>
      </x:c>
      <x:c r="F931" s="10" t="n">
        <x:v>1</x:v>
      </x:c>
      <x:c r="G931" s="11" t="n">
        <x:v>0</x:v>
      </x:c>
      <x:c r="H931" s="11" t="n">
        <x:v>10.7</x:v>
      </x:c>
      <x:c r="I931" s="11" t="n">
        <x:f>H931-G931</x:f>
        <x:v>10.7</x:v>
      </x:c>
      <x:c r="J931" s="10" t="str">
        <x:v>아까와 지금 가리킨 견적들을 중복 없이 묶고 설치비는 제외해서 요약표로 만들어줘.</x:v>
      </x:c>
      <x:c r="K931" s="10" t="str">
        <x:v>quote-L의 설치비를 제외해 요약표 작성을 맡기겠습니다.</x:v>
      </x:c>
      <x:c r="L931" s="11"/>
      <x:c r="M931" s="11"/>
      <x:c r="N931" s="10" t="str">
        <x:v>NOT_MODELED</x:v>
      </x:c>
    </x:row>
    <x:row r="932" ht="85" customHeight="1">
      <x:c r="A932" s="10" t="str">
        <x:v>V-R2</x:v>
      </x:c>
      <x:c r="B932" s="10" t="str">
        <x:v>VOICE</x:v>
      </x:c>
      <x:c r="C932" s="10" t="str">
        <x:v>VOICE:S3-12</x:v>
      </x:c>
      <x:c r="D932" s="10" t="str">
        <x:v>VOICE:S3-12:input</x:v>
      </x:c>
      <x:c r="E932" s="10" t="str">
        <x:v>V-S3</x:v>
      </x:c>
      <x:c r="F932" s="10" t="n">
        <x:v>1</x:v>
      </x:c>
      <x:c r="G932" s="11" t="n">
        <x:v>0</x:v>
      </x:c>
      <x:c r="H932" s="11" t="n">
        <x:v>8.8</x:v>
      </x:c>
      <x:c r="I932" s="11" t="n">
        <x:f>H932-G932</x:f>
        <x:v>8.8</x:v>
      </x:c>
      <x:c r="J932" s="10" t="str">
        <x:v>아까와 지금 가리킨 견적들을 중복 없이 묶고 설치비는 제외해서 요약표로 만들어줘.</x:v>
      </x:c>
      <x:c r="K932" s="10" t="str">
        <x:v>quote-L의 설치비를 제외해 요약표 작성을 맡기겠습니다.</x:v>
      </x:c>
      <x:c r="L932" s="11"/>
      <x:c r="M932" s="11"/>
      <x:c r="N932" s="10" t="str">
        <x:v>NOT_MODELED</x:v>
      </x:c>
    </x:row>
    <x:row r="933" ht="85" customHeight="1">
      <x:c r="A933" s="10" t="str">
        <x:v>V-R3</x:v>
      </x:c>
      <x:c r="B933" s="10" t="str">
        <x:v>VOICE</x:v>
      </x:c>
      <x:c r="C933" s="10" t="str">
        <x:v>VOICE:S3-12</x:v>
      </x:c>
      <x:c r="D933" s="10" t="str">
        <x:v>VOICE:S3-12:input</x:v>
      </x:c>
      <x:c r="E933" s="10" t="str">
        <x:v>V-S3</x:v>
      </x:c>
      <x:c r="F933" s="10" t="n">
        <x:v>1</x:v>
      </x:c>
      <x:c r="G933" s="11" t="n">
        <x:v>0</x:v>
      </x:c>
      <x:c r="H933" s="11" t="n">
        <x:v>8.86</x:v>
      </x:c>
      <x:c r="I933" s="11" t="n">
        <x:f>H933-G933</x:f>
        <x:v>8.86</x:v>
      </x:c>
      <x:c r="J933" s="10" t="str">
        <x:v>아까와 지금 가리킨 견적들을 중복 없이 묶고 설치비는 제외해서 요약표로 만들어줘.</x:v>
      </x:c>
      <x:c r="K933" s="10" t="str">
        <x:v>quote-L의 설치비를 제외해 요약표 작성을 맡기겠습니다.</x:v>
      </x:c>
      <x:c r="L933" s="11"/>
      <x:c r="M933" s="11"/>
      <x:c r="N933" s="10" t="str">
        <x:v>NOT_MODELED</x:v>
      </x:c>
    </x:row>
    <x:row r="934" ht="85" customHeight="1">
      <x:c r="A934" s="10" t="str">
        <x:v>V-A</x:v>
      </x:c>
      <x:c r="B934" s="10" t="str">
        <x:v>VOICE</x:v>
      </x:c>
      <x:c r="C934" s="10" t="str">
        <x:v>VOICE:S3-13</x:v>
      </x:c>
      <x:c r="D934" s="10" t="str">
        <x:v>VOICE:S3-13:input</x:v>
      </x:c>
      <x:c r="E934" s="10" t="str">
        <x:v>V-S3</x:v>
      </x:c>
      <x:c r="F934" s="10" t="n">
        <x:v>1</x:v>
      </x:c>
      <x:c r="G934" s="11" t="n">
        <x:v>0</x:v>
      </x:c>
      <x:c r="H934" s="11" t="n">
        <x:v>5.500000000000001</x:v>
      </x:c>
      <x:c r="I934" s="11" t="n">
        <x:f>H934-G934</x:f>
        <x:v>5.500000000000001</x:v>
      </x:c>
      <x:c r="J934" s="10" t="str">
        <x:v>아까와 지금 가리킨 견적들을 중복 없이 묶고 설치비는 제외해서 요약표로 만들어줘.</x:v>
      </x:c>
      <x:c r="K934" s="10" t="str">
        <x:v>quote-L의 설치비를 제외해 요약표 작성을 맡기겠습니다.</x:v>
      </x:c>
      <x:c r="L934" s="11"/>
      <x:c r="M934" s="11"/>
      <x:c r="N934" s="10" t="str">
        <x:v>NOT_MODELED</x:v>
      </x:c>
    </x:row>
    <x:row r="935" ht="85" customHeight="1">
      <x:c r="A935" s="10" t="str">
        <x:v>V-R1</x:v>
      </x:c>
      <x:c r="B935" s="10" t="str">
        <x:v>VOICE</x:v>
      </x:c>
      <x:c r="C935" s="10" t="str">
        <x:v>VOICE:S3-13</x:v>
      </x:c>
      <x:c r="D935" s="10" t="str">
        <x:v>VOICE:S3-13:input</x:v>
      </x:c>
      <x:c r="E935" s="10" t="str">
        <x:v>V-S3</x:v>
      </x:c>
      <x:c r="F935" s="10" t="n">
        <x:v>1</x:v>
      </x:c>
      <x:c r="G935" s="11" t="n">
        <x:v>0</x:v>
      </x:c>
      <x:c r="H935" s="11" t="n">
        <x:v>10.7</x:v>
      </x:c>
      <x:c r="I935" s="11" t="n">
        <x:f>H935-G935</x:f>
        <x:v>10.7</x:v>
      </x:c>
      <x:c r="J935" s="10" t="str">
        <x:v>아까와 지금 가리킨 견적들을 중복 없이 묶고 설치비는 제외해서 요약표로 만들어줘.</x:v>
      </x:c>
      <x:c r="K935" s="10" t="str">
        <x:v>quote-L의 설치비를 제외해 요약표 작성을 맡기겠습니다.</x:v>
      </x:c>
      <x:c r="L935" s="11"/>
      <x:c r="M935" s="11"/>
      <x:c r="N935" s="10" t="str">
        <x:v>NOT_MODELED</x:v>
      </x:c>
    </x:row>
    <x:row r="936" ht="85" customHeight="1">
      <x:c r="A936" s="10" t="str">
        <x:v>V-R2</x:v>
      </x:c>
      <x:c r="B936" s="10" t="str">
        <x:v>VOICE</x:v>
      </x:c>
      <x:c r="C936" s="10" t="str">
        <x:v>VOICE:S3-13</x:v>
      </x:c>
      <x:c r="D936" s="10" t="str">
        <x:v>VOICE:S3-13:input</x:v>
      </x:c>
      <x:c r="E936" s="10" t="str">
        <x:v>V-S3</x:v>
      </x:c>
      <x:c r="F936" s="10" t="n">
        <x:v>1</x:v>
      </x:c>
      <x:c r="G936" s="11" t="n">
        <x:v>0</x:v>
      </x:c>
      <x:c r="H936" s="11" t="n">
        <x:v>8.8</x:v>
      </x:c>
      <x:c r="I936" s="11" t="n">
        <x:f>H936-G936</x:f>
        <x:v>8.8</x:v>
      </x:c>
      <x:c r="J936" s="10" t="str">
        <x:v>아까와 지금 가리킨 견적들을 중복 없이 묶고 설치비는 제외해서 요약표로 만들어줘.</x:v>
      </x:c>
      <x:c r="K936" s="10" t="str">
        <x:v>quote-L의 설치비를 제외해 요약표 작성을 맡기겠습니다.</x:v>
      </x:c>
      <x:c r="L936" s="11"/>
      <x:c r="M936" s="11"/>
      <x:c r="N936" s="10" t="str">
        <x:v>NOT_MODELED</x:v>
      </x:c>
    </x:row>
    <x:row r="937" ht="85" customHeight="1">
      <x:c r="A937" s="10" t="str">
        <x:v>V-R3</x:v>
      </x:c>
      <x:c r="B937" s="10" t="str">
        <x:v>VOICE</x:v>
      </x:c>
      <x:c r="C937" s="10" t="str">
        <x:v>VOICE:S3-13</x:v>
      </x:c>
      <x:c r="D937" s="10" t="str">
        <x:v>VOICE:S3-13:input</x:v>
      </x:c>
      <x:c r="E937" s="10" t="str">
        <x:v>V-S3</x:v>
      </x:c>
      <x:c r="F937" s="10" t="n">
        <x:v>1</x:v>
      </x:c>
      <x:c r="G937" s="11" t="n">
        <x:v>0</x:v>
      </x:c>
      <x:c r="H937" s="11" t="n">
        <x:v>8.86</x:v>
      </x:c>
      <x:c r="I937" s="11" t="n">
        <x:f>H937-G937</x:f>
        <x:v>8.86</x:v>
      </x:c>
      <x:c r="J937" s="10" t="str">
        <x:v>아까와 지금 가리킨 견적들을 중복 없이 묶고 설치비는 제외해서 요약표로 만들어줘.</x:v>
      </x:c>
      <x:c r="K937" s="10" t="str">
        <x:v>quote-L의 설치비를 제외해 요약표 작성을 맡기겠습니다.</x:v>
      </x:c>
      <x:c r="L937" s="11"/>
      <x:c r="M937" s="11"/>
      <x:c r="N937" s="10" t="str">
        <x:v>NOT_MODELED</x:v>
      </x:c>
    </x:row>
    <x:row r="938" ht="85" customHeight="1">
      <x:c r="A938" s="10" t="str">
        <x:v>V-A</x:v>
      </x:c>
      <x:c r="B938" s="10" t="str">
        <x:v>VOICE</x:v>
      </x:c>
      <x:c r="C938" s="10" t="str">
        <x:v>VOICE:S3-14</x:v>
      </x:c>
      <x:c r="D938" s="10" t="str">
        <x:v>VOICE:S3-14:input</x:v>
      </x:c>
      <x:c r="E938" s="10" t="str">
        <x:v>V-S3</x:v>
      </x:c>
      <x:c r="F938" s="10" t="n">
        <x:v>1</x:v>
      </x:c>
      <x:c r="G938" s="11" t="n">
        <x:v>0</x:v>
      </x:c>
      <x:c r="H938" s="11" t="n">
        <x:v>5.500000000000001</x:v>
      </x:c>
      <x:c r="I938" s="11" t="n">
        <x:f>H938-G938</x:f>
        <x:v>5.500000000000001</x:v>
      </x:c>
      <x:c r="J938" s="10" t="str">
        <x:v>아까와 지금 가리킨 견적들을 중복 없이 묶고 설치비는 제외해서 요약표로 만들어줘.</x:v>
      </x:c>
      <x:c r="K938" s="10" t="str">
        <x:v>quote-L의 설치비를 제외해 요약표 작성을 맡기겠습니다.</x:v>
      </x:c>
      <x:c r="L938" s="11"/>
      <x:c r="M938" s="11"/>
      <x:c r="N938" s="10" t="str">
        <x:v>NOT_MODELED</x:v>
      </x:c>
    </x:row>
    <x:row r="939" ht="85" customHeight="1">
      <x:c r="A939" s="10" t="str">
        <x:v>V-R1</x:v>
      </x:c>
      <x:c r="B939" s="10" t="str">
        <x:v>VOICE</x:v>
      </x:c>
      <x:c r="C939" s="10" t="str">
        <x:v>VOICE:S3-14</x:v>
      </x:c>
      <x:c r="D939" s="10" t="str">
        <x:v>VOICE:S3-14:input</x:v>
      </x:c>
      <x:c r="E939" s="10" t="str">
        <x:v>V-S3</x:v>
      </x:c>
      <x:c r="F939" s="10" t="n">
        <x:v>1</x:v>
      </x:c>
      <x:c r="G939" s="11" t="n">
        <x:v>0</x:v>
      </x:c>
      <x:c r="H939" s="11" t="n">
        <x:v>10.7</x:v>
      </x:c>
      <x:c r="I939" s="11" t="n">
        <x:f>H939-G939</x:f>
        <x:v>10.7</x:v>
      </x:c>
      <x:c r="J939" s="10" t="str">
        <x:v>아까와 지금 가리킨 견적들을 중복 없이 묶고 설치비는 제외해서 요약표로 만들어줘.</x:v>
      </x:c>
      <x:c r="K939" s="10" t="str">
        <x:v>quote-L의 설치비를 제외해 요약표 작성을 맡기겠습니다.</x:v>
      </x:c>
      <x:c r="L939" s="11"/>
      <x:c r="M939" s="11"/>
      <x:c r="N939" s="10" t="str">
        <x:v>NOT_MODELED</x:v>
      </x:c>
    </x:row>
    <x:row r="940" ht="85" customHeight="1">
      <x:c r="A940" s="10" t="str">
        <x:v>V-R2</x:v>
      </x:c>
      <x:c r="B940" s="10" t="str">
        <x:v>VOICE</x:v>
      </x:c>
      <x:c r="C940" s="10" t="str">
        <x:v>VOICE:S3-14</x:v>
      </x:c>
      <x:c r="D940" s="10" t="str">
        <x:v>VOICE:S3-14:input</x:v>
      </x:c>
      <x:c r="E940" s="10" t="str">
        <x:v>V-S3</x:v>
      </x:c>
      <x:c r="F940" s="10" t="n">
        <x:v>1</x:v>
      </x:c>
      <x:c r="G940" s="11" t="n">
        <x:v>0</x:v>
      </x:c>
      <x:c r="H940" s="11" t="n">
        <x:v>8.8</x:v>
      </x:c>
      <x:c r="I940" s="11" t="n">
        <x:f>H940-G940</x:f>
        <x:v>8.8</x:v>
      </x:c>
      <x:c r="J940" s="10" t="str">
        <x:v>아까와 지금 가리킨 견적들을 중복 없이 묶고 설치비는 제외해서 요약표로 만들어줘.</x:v>
      </x:c>
      <x:c r="K940" s="10" t="str">
        <x:v>quote-L의 설치비를 제외해 요약표 작성을 맡기겠습니다.</x:v>
      </x:c>
      <x:c r="L940" s="11"/>
      <x:c r="M940" s="11"/>
      <x:c r="N940" s="10" t="str">
        <x:v>NOT_MODELED</x:v>
      </x:c>
    </x:row>
    <x:row r="941" ht="85" customHeight="1">
      <x:c r="A941" s="10" t="str">
        <x:v>V-R3</x:v>
      </x:c>
      <x:c r="B941" s="10" t="str">
        <x:v>VOICE</x:v>
      </x:c>
      <x:c r="C941" s="10" t="str">
        <x:v>VOICE:S3-14</x:v>
      </x:c>
      <x:c r="D941" s="10" t="str">
        <x:v>VOICE:S3-14:input</x:v>
      </x:c>
      <x:c r="E941" s="10" t="str">
        <x:v>V-S3</x:v>
      </x:c>
      <x:c r="F941" s="10" t="n">
        <x:v>1</x:v>
      </x:c>
      <x:c r="G941" s="11" t="n">
        <x:v>0</x:v>
      </x:c>
      <x:c r="H941" s="11" t="n">
        <x:v>8.86</x:v>
      </x:c>
      <x:c r="I941" s="11" t="n">
        <x:f>H941-G941</x:f>
        <x:v>8.86</x:v>
      </x:c>
      <x:c r="J941" s="10" t="str">
        <x:v>아까와 지금 가리킨 견적들을 중복 없이 묶고 설치비는 제외해서 요약표로 만들어줘.</x:v>
      </x:c>
      <x:c r="K941" s="10" t="str">
        <x:v>quote-L의 설치비를 제외해 요약표 작성을 맡기겠습니다.</x:v>
      </x:c>
      <x:c r="L941" s="11"/>
      <x:c r="M941" s="11"/>
      <x:c r="N941" s="10" t="str">
        <x:v>NOT_MODELED</x:v>
      </x:c>
    </x:row>
    <x:row r="942" ht="85" customHeight="1">
      <x:c r="A942" s="10" t="str">
        <x:v>V-A</x:v>
      </x:c>
      <x:c r="B942" s="10" t="str">
        <x:v>VOICE</x:v>
      </x:c>
      <x:c r="C942" s="10" t="str">
        <x:v>VOICE:S3-15</x:v>
      </x:c>
      <x:c r="D942" s="10" t="str">
        <x:v>VOICE:S3-15:input</x:v>
      </x:c>
      <x:c r="E942" s="10" t="str">
        <x:v>V-S3</x:v>
      </x:c>
      <x:c r="F942" s="10" t="n">
        <x:v>1</x:v>
      </x:c>
      <x:c r="G942" s="11" t="n">
        <x:v>0</x:v>
      </x:c>
      <x:c r="H942" s="11" t="n">
        <x:v>5.500000000000001</x:v>
      </x:c>
      <x:c r="I942" s="11" t="n">
        <x:f>H942-G942</x:f>
        <x:v>5.500000000000001</x:v>
      </x:c>
      <x:c r="J942" s="10" t="str">
        <x:v>아까와 지금 가리킨 견적들을 중복 없이 묶고 설치비는 제외해서 요약표로 만들어줘.</x:v>
      </x:c>
      <x:c r="K942" s="10" t="str">
        <x:v>quote-L의 설치비를 제외해 요약표 작성을 맡기겠습니다.</x:v>
      </x:c>
      <x:c r="L942" s="11"/>
      <x:c r="M942" s="11"/>
      <x:c r="N942" s="10" t="str">
        <x:v>NOT_MODELED</x:v>
      </x:c>
    </x:row>
    <x:row r="943" ht="85" customHeight="1">
      <x:c r="A943" s="10" t="str">
        <x:v>V-R1</x:v>
      </x:c>
      <x:c r="B943" s="10" t="str">
        <x:v>VOICE</x:v>
      </x:c>
      <x:c r="C943" s="10" t="str">
        <x:v>VOICE:S3-15</x:v>
      </x:c>
      <x:c r="D943" s="10" t="str">
        <x:v>VOICE:S3-15:input</x:v>
      </x:c>
      <x:c r="E943" s="10" t="str">
        <x:v>V-S3</x:v>
      </x:c>
      <x:c r="F943" s="10" t="n">
        <x:v>1</x:v>
      </x:c>
      <x:c r="G943" s="11" t="n">
        <x:v>0</x:v>
      </x:c>
      <x:c r="H943" s="11" t="n">
        <x:v>10.7</x:v>
      </x:c>
      <x:c r="I943" s="11" t="n">
        <x:f>H943-G943</x:f>
        <x:v>10.7</x:v>
      </x:c>
      <x:c r="J943" s="10" t="str">
        <x:v>아까와 지금 가리킨 견적들을 중복 없이 묶고 설치비는 제외해서 요약표로 만들어줘.</x:v>
      </x:c>
      <x:c r="K943" s="10" t="str">
        <x:v>quote-L의 설치비를 제외해 요약표 작성을 맡기겠습니다.</x:v>
      </x:c>
      <x:c r="L943" s="11"/>
      <x:c r="M943" s="11"/>
      <x:c r="N943" s="10" t="str">
        <x:v>NOT_MODELED</x:v>
      </x:c>
    </x:row>
    <x:row r="944" ht="85" customHeight="1">
      <x:c r="A944" s="10" t="str">
        <x:v>V-R2</x:v>
      </x:c>
      <x:c r="B944" s="10" t="str">
        <x:v>VOICE</x:v>
      </x:c>
      <x:c r="C944" s="10" t="str">
        <x:v>VOICE:S3-15</x:v>
      </x:c>
      <x:c r="D944" s="10" t="str">
        <x:v>VOICE:S3-15:input</x:v>
      </x:c>
      <x:c r="E944" s="10" t="str">
        <x:v>V-S3</x:v>
      </x:c>
      <x:c r="F944" s="10" t="n">
        <x:v>1</x:v>
      </x:c>
      <x:c r="G944" s="11" t="n">
        <x:v>0</x:v>
      </x:c>
      <x:c r="H944" s="11" t="n">
        <x:v>8.8</x:v>
      </x:c>
      <x:c r="I944" s="11" t="n">
        <x:f>H944-G944</x:f>
        <x:v>8.8</x:v>
      </x:c>
      <x:c r="J944" s="10" t="str">
        <x:v>아까와 지금 가리킨 견적들을 중복 없이 묶고 설치비는 제외해서 요약표로 만들어줘.</x:v>
      </x:c>
      <x:c r="K944" s="10" t="str">
        <x:v>quote-L의 설치비를 제외해 요약표 작성을 맡기겠습니다.</x:v>
      </x:c>
      <x:c r="L944" s="11"/>
      <x:c r="M944" s="11"/>
      <x:c r="N944" s="10" t="str">
        <x:v>NOT_MODELED</x:v>
      </x:c>
    </x:row>
    <x:row r="945" ht="85" customHeight="1">
      <x:c r="A945" s="10" t="str">
        <x:v>V-R3</x:v>
      </x:c>
      <x:c r="B945" s="10" t="str">
        <x:v>VOICE</x:v>
      </x:c>
      <x:c r="C945" s="10" t="str">
        <x:v>VOICE:S3-15</x:v>
      </x:c>
      <x:c r="D945" s="10" t="str">
        <x:v>VOICE:S3-15:input</x:v>
      </x:c>
      <x:c r="E945" s="10" t="str">
        <x:v>V-S3</x:v>
      </x:c>
      <x:c r="F945" s="10" t="n">
        <x:v>1</x:v>
      </x:c>
      <x:c r="G945" s="11" t="n">
        <x:v>0</x:v>
      </x:c>
      <x:c r="H945" s="11" t="n">
        <x:v>8.86</x:v>
      </x:c>
      <x:c r="I945" s="11" t="n">
        <x:f>H945-G945</x:f>
        <x:v>8.86</x:v>
      </x:c>
      <x:c r="J945" s="10" t="str">
        <x:v>아까와 지금 가리킨 견적들을 중복 없이 묶고 설치비는 제외해서 요약표로 만들어줘.</x:v>
      </x:c>
      <x:c r="K945" s="10" t="str">
        <x:v>quote-L의 설치비를 제외해 요약표 작성을 맡기겠습니다.</x:v>
      </x:c>
      <x:c r="L945" s="11"/>
      <x:c r="M945" s="11"/>
      <x:c r="N945" s="10" t="str">
        <x:v>NOT_MODELED</x:v>
      </x:c>
    </x:row>
    <x:row r="946" ht="85" customHeight="1">
      <x:c r="A946" s="10" t="str">
        <x:v>V-A</x:v>
      </x:c>
      <x:c r="B946" s="10" t="str">
        <x:v>VOICE</x:v>
      </x:c>
      <x:c r="C946" s="10" t="str">
        <x:v>VOICE:S3-16</x:v>
      </x:c>
      <x:c r="D946" s="10" t="str">
        <x:v>VOICE:S3-16:input</x:v>
      </x:c>
      <x:c r="E946" s="10" t="str">
        <x:v>V-S3</x:v>
      </x:c>
      <x:c r="F946" s="10" t="n">
        <x:v>1</x:v>
      </x:c>
      <x:c r="G946" s="11" t="n">
        <x:v>0</x:v>
      </x:c>
      <x:c r="H946" s="11" t="n">
        <x:v>5.500000000000001</x:v>
      </x:c>
      <x:c r="I946" s="11" t="n">
        <x:f>H946-G946</x:f>
        <x:v>5.500000000000001</x:v>
      </x:c>
      <x:c r="J946" s="10" t="str">
        <x:v>아까와 지금 가리킨 견적들을 중복 없이 묶고 설치비는 제외해서 요약표로 만들어줘.</x:v>
      </x:c>
      <x:c r="K946" s="10" t="str">
        <x:v>quote-L의 설치비를 제외해 요약표 작성을 맡기겠습니다.</x:v>
      </x:c>
      <x:c r="L946" s="11"/>
      <x:c r="M946" s="11"/>
      <x:c r="N946" s="10" t="str">
        <x:v>NOT_MODELED</x:v>
      </x:c>
    </x:row>
    <x:row r="947" ht="85" customHeight="1">
      <x:c r="A947" s="10" t="str">
        <x:v>V-R1</x:v>
      </x:c>
      <x:c r="B947" s="10" t="str">
        <x:v>VOICE</x:v>
      </x:c>
      <x:c r="C947" s="10" t="str">
        <x:v>VOICE:S3-16</x:v>
      </x:c>
      <x:c r="D947" s="10" t="str">
        <x:v>VOICE:S3-16:input</x:v>
      </x:c>
      <x:c r="E947" s="10" t="str">
        <x:v>V-S3</x:v>
      </x:c>
      <x:c r="F947" s="10" t="n">
        <x:v>1</x:v>
      </x:c>
      <x:c r="G947" s="11" t="n">
        <x:v>0</x:v>
      </x:c>
      <x:c r="H947" s="11" t="n">
        <x:v>10.7</x:v>
      </x:c>
      <x:c r="I947" s="11" t="n">
        <x:f>H947-G947</x:f>
        <x:v>10.7</x:v>
      </x:c>
      <x:c r="J947" s="10" t="str">
        <x:v>아까와 지금 가리킨 견적들을 중복 없이 묶고 설치비는 제외해서 요약표로 만들어줘.</x:v>
      </x:c>
      <x:c r="K947" s="10" t="str">
        <x:v>quote-L의 설치비를 제외해 요약표 작성을 맡기겠습니다.</x:v>
      </x:c>
      <x:c r="L947" s="11"/>
      <x:c r="M947" s="11"/>
      <x:c r="N947" s="10" t="str">
        <x:v>NOT_MODELED</x:v>
      </x:c>
    </x:row>
    <x:row r="948" ht="85" customHeight="1">
      <x:c r="A948" s="10" t="str">
        <x:v>V-R2</x:v>
      </x:c>
      <x:c r="B948" s="10" t="str">
        <x:v>VOICE</x:v>
      </x:c>
      <x:c r="C948" s="10" t="str">
        <x:v>VOICE:S3-16</x:v>
      </x:c>
      <x:c r="D948" s="10" t="str">
        <x:v>VOICE:S3-16:input</x:v>
      </x:c>
      <x:c r="E948" s="10" t="str">
        <x:v>V-S3</x:v>
      </x:c>
      <x:c r="F948" s="10" t="n">
        <x:v>1</x:v>
      </x:c>
      <x:c r="G948" s="11" t="n">
        <x:v>0</x:v>
      </x:c>
      <x:c r="H948" s="11" t="n">
        <x:v>8.8</x:v>
      </x:c>
      <x:c r="I948" s="11" t="n">
        <x:f>H948-G948</x:f>
        <x:v>8.8</x:v>
      </x:c>
      <x:c r="J948" s="10" t="str">
        <x:v>아까와 지금 가리킨 견적들을 중복 없이 묶고 설치비는 제외해서 요약표로 만들어줘.</x:v>
      </x:c>
      <x:c r="K948" s="10" t="str">
        <x:v>quote-L의 설치비를 제외해 요약표 작성을 맡기겠습니다.</x:v>
      </x:c>
      <x:c r="L948" s="11"/>
      <x:c r="M948" s="11"/>
      <x:c r="N948" s="10" t="str">
        <x:v>NOT_MODELED</x:v>
      </x:c>
    </x:row>
    <x:row r="949" ht="85" customHeight="1">
      <x:c r="A949" s="10" t="str">
        <x:v>V-R3</x:v>
      </x:c>
      <x:c r="B949" s="10" t="str">
        <x:v>VOICE</x:v>
      </x:c>
      <x:c r="C949" s="10" t="str">
        <x:v>VOICE:S3-16</x:v>
      </x:c>
      <x:c r="D949" s="10" t="str">
        <x:v>VOICE:S3-16:input</x:v>
      </x:c>
      <x:c r="E949" s="10" t="str">
        <x:v>V-S3</x:v>
      </x:c>
      <x:c r="F949" s="10" t="n">
        <x:v>1</x:v>
      </x:c>
      <x:c r="G949" s="11" t="n">
        <x:v>0</x:v>
      </x:c>
      <x:c r="H949" s="11" t="n">
        <x:v>8.86</x:v>
      </x:c>
      <x:c r="I949" s="11" t="n">
        <x:f>H949-G949</x:f>
        <x:v>8.86</x:v>
      </x:c>
      <x:c r="J949" s="10" t="str">
        <x:v>아까와 지금 가리킨 견적들을 중복 없이 묶고 설치비는 제외해서 요약표로 만들어줘.</x:v>
      </x:c>
      <x:c r="K949" s="10" t="str">
        <x:v>quote-L의 설치비를 제외해 요약표 작성을 맡기겠습니다.</x:v>
      </x:c>
      <x:c r="L949" s="11"/>
      <x:c r="M949" s="11"/>
      <x:c r="N949" s="10" t="str">
        <x:v>NOT_MODELED</x:v>
      </x:c>
    </x:row>
    <x:row r="950" ht="85" customHeight="1">
      <x:c r="A950" s="10" t="str">
        <x:v>V-A</x:v>
      </x:c>
      <x:c r="B950" s="10" t="str">
        <x:v>VOICE</x:v>
      </x:c>
      <x:c r="C950" s="10" t="str">
        <x:v>VOICE:S3-17</x:v>
      </x:c>
      <x:c r="D950" s="10" t="str">
        <x:v>VOICE:S3-17:input</x:v>
      </x:c>
      <x:c r="E950" s="10" t="str">
        <x:v>V-S3</x:v>
      </x:c>
      <x:c r="F950" s="10" t="n">
        <x:v>1</x:v>
      </x:c>
      <x:c r="G950" s="11" t="n">
        <x:v>0</x:v>
      </x:c>
      <x:c r="H950" s="11" t="n">
        <x:v>5.500000000000001</x:v>
      </x:c>
      <x:c r="I950" s="11" t="n">
        <x:f>H950-G950</x:f>
        <x:v>5.500000000000001</x:v>
      </x:c>
      <x:c r="J950" s="10" t="str">
        <x:v>아까와 지금 가리킨 견적들을 중복 없이 묶고 설치비는 제외해서 요약표로 만들어줘.</x:v>
      </x:c>
      <x:c r="K950" s="10" t="str">
        <x:v>quote-L의 설치비를 제외해 요약표 작성을 맡기겠습니다.</x:v>
      </x:c>
      <x:c r="L950" s="11"/>
      <x:c r="M950" s="11"/>
      <x:c r="N950" s="10" t="str">
        <x:v>NOT_MODELED</x:v>
      </x:c>
    </x:row>
    <x:row r="951" ht="85" customHeight="1">
      <x:c r="A951" s="10" t="str">
        <x:v>V-R1</x:v>
      </x:c>
      <x:c r="B951" s="10" t="str">
        <x:v>VOICE</x:v>
      </x:c>
      <x:c r="C951" s="10" t="str">
        <x:v>VOICE:S3-17</x:v>
      </x:c>
      <x:c r="D951" s="10" t="str">
        <x:v>VOICE:S3-17:input</x:v>
      </x:c>
      <x:c r="E951" s="10" t="str">
        <x:v>V-S3</x:v>
      </x:c>
      <x:c r="F951" s="10" t="n">
        <x:v>1</x:v>
      </x:c>
      <x:c r="G951" s="11" t="n">
        <x:v>0</x:v>
      </x:c>
      <x:c r="H951" s="11" t="n">
        <x:v>10.7</x:v>
      </x:c>
      <x:c r="I951" s="11" t="n">
        <x:f>H951-G951</x:f>
        <x:v>10.7</x:v>
      </x:c>
      <x:c r="J951" s="10" t="str">
        <x:v>아까와 지금 가리킨 견적들을 중복 없이 묶고 설치비는 제외해서 요약표로 만들어줘.</x:v>
      </x:c>
      <x:c r="K951" s="10" t="str">
        <x:v>quote-L의 설치비를 제외해 요약표 작성을 맡기겠습니다.</x:v>
      </x:c>
      <x:c r="L951" s="11"/>
      <x:c r="M951" s="11"/>
      <x:c r="N951" s="10" t="str">
        <x:v>NOT_MODELED</x:v>
      </x:c>
    </x:row>
    <x:row r="952" ht="85" customHeight="1">
      <x:c r="A952" s="10" t="str">
        <x:v>V-R2</x:v>
      </x:c>
      <x:c r="B952" s="10" t="str">
        <x:v>VOICE</x:v>
      </x:c>
      <x:c r="C952" s="10" t="str">
        <x:v>VOICE:S3-17</x:v>
      </x:c>
      <x:c r="D952" s="10" t="str">
        <x:v>VOICE:S3-17:input</x:v>
      </x:c>
      <x:c r="E952" s="10" t="str">
        <x:v>V-S3</x:v>
      </x:c>
      <x:c r="F952" s="10" t="n">
        <x:v>1</x:v>
      </x:c>
      <x:c r="G952" s="11" t="n">
        <x:v>0</x:v>
      </x:c>
      <x:c r="H952" s="11" t="n">
        <x:v>8.8</x:v>
      </x:c>
      <x:c r="I952" s="11" t="n">
        <x:f>H952-G952</x:f>
        <x:v>8.8</x:v>
      </x:c>
      <x:c r="J952" s="10" t="str">
        <x:v>아까와 지금 가리킨 견적들을 중복 없이 묶고 설치비는 제외해서 요약표로 만들어줘.</x:v>
      </x:c>
      <x:c r="K952" s="10" t="str">
        <x:v>quote-L의 설치비를 제외해 요약표 작성을 맡기겠습니다.</x:v>
      </x:c>
      <x:c r="L952" s="11"/>
      <x:c r="M952" s="11"/>
      <x:c r="N952" s="10" t="str">
        <x:v>NOT_MODELED</x:v>
      </x:c>
    </x:row>
    <x:row r="953" ht="85" customHeight="1">
      <x:c r="A953" s="10" t="str">
        <x:v>V-R3</x:v>
      </x:c>
      <x:c r="B953" s="10" t="str">
        <x:v>VOICE</x:v>
      </x:c>
      <x:c r="C953" s="10" t="str">
        <x:v>VOICE:S3-17</x:v>
      </x:c>
      <x:c r="D953" s="10" t="str">
        <x:v>VOICE:S3-17:input</x:v>
      </x:c>
      <x:c r="E953" s="10" t="str">
        <x:v>V-S3</x:v>
      </x:c>
      <x:c r="F953" s="10" t="n">
        <x:v>1</x:v>
      </x:c>
      <x:c r="G953" s="11" t="n">
        <x:v>0</x:v>
      </x:c>
      <x:c r="H953" s="11" t="n">
        <x:v>8.86</x:v>
      </x:c>
      <x:c r="I953" s="11" t="n">
        <x:f>H953-G953</x:f>
        <x:v>8.86</x:v>
      </x:c>
      <x:c r="J953" s="10" t="str">
        <x:v>아까와 지금 가리킨 견적들을 중복 없이 묶고 설치비는 제외해서 요약표로 만들어줘.</x:v>
      </x:c>
      <x:c r="K953" s="10" t="str">
        <x:v>quote-L의 설치비를 제외해 요약표 작성을 맡기겠습니다.</x:v>
      </x:c>
      <x:c r="L953" s="11"/>
      <x:c r="M953" s="11"/>
      <x:c r="N953" s="10" t="str">
        <x:v>NOT_MODELED</x:v>
      </x:c>
    </x:row>
    <x:row r="954" ht="85" customHeight="1">
      <x:c r="A954" s="10" t="str">
        <x:v>V-A</x:v>
      </x:c>
      <x:c r="B954" s="10" t="str">
        <x:v>VOICE</x:v>
      </x:c>
      <x:c r="C954" s="10" t="str">
        <x:v>VOICE:S3-18</x:v>
      </x:c>
      <x:c r="D954" s="10" t="str">
        <x:v>VOICE:S3-18:input</x:v>
      </x:c>
      <x:c r="E954" s="10" t="str">
        <x:v>V-S3</x:v>
      </x:c>
      <x:c r="F954" s="10" t="n">
        <x:v>1</x:v>
      </x:c>
      <x:c r="G954" s="11" t="n">
        <x:v>0</x:v>
      </x:c>
      <x:c r="H954" s="11" t="n">
        <x:v>5.500000000000001</x:v>
      </x:c>
      <x:c r="I954" s="11" t="n">
        <x:f>H954-G954</x:f>
        <x:v>5.500000000000001</x:v>
      </x:c>
      <x:c r="J954" s="10" t="str">
        <x:v>아까와 지금 가리킨 견적들을 중복 없이 묶고 설치비는 제외해서 요약표로 만들어줘.</x:v>
      </x:c>
      <x:c r="K954" s="10" t="str">
        <x:v>quote-L의 설치비를 제외해 요약표 작성을 맡기겠습니다.</x:v>
      </x:c>
      <x:c r="L954" s="11"/>
      <x:c r="M954" s="11"/>
      <x:c r="N954" s="10" t="str">
        <x:v>NOT_MODELED</x:v>
      </x:c>
    </x:row>
    <x:row r="955" ht="85" customHeight="1">
      <x:c r="A955" s="10" t="str">
        <x:v>V-R1</x:v>
      </x:c>
      <x:c r="B955" s="10" t="str">
        <x:v>VOICE</x:v>
      </x:c>
      <x:c r="C955" s="10" t="str">
        <x:v>VOICE:S3-18</x:v>
      </x:c>
      <x:c r="D955" s="10" t="str">
        <x:v>VOICE:S3-18:input</x:v>
      </x:c>
      <x:c r="E955" s="10" t="str">
        <x:v>V-S3</x:v>
      </x:c>
      <x:c r="F955" s="10" t="n">
        <x:v>1</x:v>
      </x:c>
      <x:c r="G955" s="11" t="n">
        <x:v>0</x:v>
      </x:c>
      <x:c r="H955" s="11" t="n">
        <x:v>10.7</x:v>
      </x:c>
      <x:c r="I955" s="11" t="n">
        <x:f>H955-G955</x:f>
        <x:v>10.7</x:v>
      </x:c>
      <x:c r="J955" s="10" t="str">
        <x:v>아까와 지금 가리킨 견적들을 중복 없이 묶고 설치비는 제외해서 요약표로 만들어줘.</x:v>
      </x:c>
      <x:c r="K955" s="10" t="str">
        <x:v>quote-L의 설치비를 제외해 요약표 작성을 맡기겠습니다.</x:v>
      </x:c>
      <x:c r="L955" s="11"/>
      <x:c r="M955" s="11"/>
      <x:c r="N955" s="10" t="str">
        <x:v>NOT_MODELED</x:v>
      </x:c>
    </x:row>
    <x:row r="956" ht="85" customHeight="1">
      <x:c r="A956" s="10" t="str">
        <x:v>V-R2</x:v>
      </x:c>
      <x:c r="B956" s="10" t="str">
        <x:v>VOICE</x:v>
      </x:c>
      <x:c r="C956" s="10" t="str">
        <x:v>VOICE:S3-18</x:v>
      </x:c>
      <x:c r="D956" s="10" t="str">
        <x:v>VOICE:S3-18:input</x:v>
      </x:c>
      <x:c r="E956" s="10" t="str">
        <x:v>V-S3</x:v>
      </x:c>
      <x:c r="F956" s="10" t="n">
        <x:v>1</x:v>
      </x:c>
      <x:c r="G956" s="11" t="n">
        <x:v>0</x:v>
      </x:c>
      <x:c r="H956" s="11" t="n">
        <x:v>8.8</x:v>
      </x:c>
      <x:c r="I956" s="11" t="n">
        <x:f>H956-G956</x:f>
        <x:v>8.8</x:v>
      </x:c>
      <x:c r="J956" s="10" t="str">
        <x:v>아까와 지금 가리킨 견적들을 중복 없이 묶고 설치비는 제외해서 요약표로 만들어줘.</x:v>
      </x:c>
      <x:c r="K956" s="10" t="str">
        <x:v>quote-L의 설치비를 제외해 요약표 작성을 맡기겠습니다.</x:v>
      </x:c>
      <x:c r="L956" s="11"/>
      <x:c r="M956" s="11"/>
      <x:c r="N956" s="10" t="str">
        <x:v>NOT_MODELED</x:v>
      </x:c>
    </x:row>
    <x:row r="957" ht="85" customHeight="1">
      <x:c r="A957" s="10" t="str">
        <x:v>V-R3</x:v>
      </x:c>
      <x:c r="B957" s="10" t="str">
        <x:v>VOICE</x:v>
      </x:c>
      <x:c r="C957" s="10" t="str">
        <x:v>VOICE:S3-18</x:v>
      </x:c>
      <x:c r="D957" s="10" t="str">
        <x:v>VOICE:S3-18:input</x:v>
      </x:c>
      <x:c r="E957" s="10" t="str">
        <x:v>V-S3</x:v>
      </x:c>
      <x:c r="F957" s="10" t="n">
        <x:v>1</x:v>
      </x:c>
      <x:c r="G957" s="11" t="n">
        <x:v>0</x:v>
      </x:c>
      <x:c r="H957" s="11" t="n">
        <x:v>8.86</x:v>
      </x:c>
      <x:c r="I957" s="11" t="n">
        <x:f>H957-G957</x:f>
        <x:v>8.86</x:v>
      </x:c>
      <x:c r="J957" s="10" t="str">
        <x:v>아까와 지금 가리킨 견적들을 중복 없이 묶고 설치비는 제외해서 요약표로 만들어줘.</x:v>
      </x:c>
      <x:c r="K957" s="10" t="str">
        <x:v>quote-L의 설치비를 제외해 요약표 작성을 맡기겠습니다.</x:v>
      </x:c>
      <x:c r="L957" s="11"/>
      <x:c r="M957" s="11"/>
      <x:c r="N957" s="10" t="str">
        <x:v>NOT_MODELED</x:v>
      </x:c>
    </x:row>
    <x:row r="958" ht="85" customHeight="1">
      <x:c r="A958" s="10" t="str">
        <x:v>V-A</x:v>
      </x:c>
      <x:c r="B958" s="10" t="str">
        <x:v>VOICE</x:v>
      </x:c>
      <x:c r="C958" s="10" t="str">
        <x:v>VOICE:S3-19</x:v>
      </x:c>
      <x:c r="D958" s="10" t="str">
        <x:v>VOICE:S3-19:input</x:v>
      </x:c>
      <x:c r="E958" s="10" t="str">
        <x:v>V-S3</x:v>
      </x:c>
      <x:c r="F958" s="10" t="n">
        <x:v>1</x:v>
      </x:c>
      <x:c r="G958" s="11" t="n">
        <x:v>0</x:v>
      </x:c>
      <x:c r="H958" s="11" t="n">
        <x:v>5.500000000000001</x:v>
      </x:c>
      <x:c r="I958" s="11" t="n">
        <x:f>H958-G958</x:f>
        <x:v>5.500000000000001</x:v>
      </x:c>
      <x:c r="J958" s="10" t="str">
        <x:v>아까와 지금 가리킨 견적들을 중복 없이 묶고 설치비는 제외해서 요약표로 만들어줘.</x:v>
      </x:c>
      <x:c r="K958" s="10" t="str">
        <x:v>quote-L의 설치비를 제외해 요약표 작성을 맡기겠습니다.</x:v>
      </x:c>
      <x:c r="L958" s="11"/>
      <x:c r="M958" s="11"/>
      <x:c r="N958" s="10" t="str">
        <x:v>NOT_MODELED</x:v>
      </x:c>
    </x:row>
    <x:row r="959" ht="85" customHeight="1">
      <x:c r="A959" s="10" t="str">
        <x:v>V-R1</x:v>
      </x:c>
      <x:c r="B959" s="10" t="str">
        <x:v>VOICE</x:v>
      </x:c>
      <x:c r="C959" s="10" t="str">
        <x:v>VOICE:S3-19</x:v>
      </x:c>
      <x:c r="D959" s="10" t="str">
        <x:v>VOICE:S3-19:input</x:v>
      </x:c>
      <x:c r="E959" s="10" t="str">
        <x:v>V-S3</x:v>
      </x:c>
      <x:c r="F959" s="10" t="n">
        <x:v>1</x:v>
      </x:c>
      <x:c r="G959" s="11" t="n">
        <x:v>0</x:v>
      </x:c>
      <x:c r="H959" s="11" t="n">
        <x:v>10.7</x:v>
      </x:c>
      <x:c r="I959" s="11" t="n">
        <x:f>H959-G959</x:f>
        <x:v>10.7</x:v>
      </x:c>
      <x:c r="J959" s="10" t="str">
        <x:v>아까와 지금 가리킨 견적들을 중복 없이 묶고 설치비는 제외해서 요약표로 만들어줘.</x:v>
      </x:c>
      <x:c r="K959" s="10" t="str">
        <x:v>quote-L의 설치비를 제외해 요약표 작성을 맡기겠습니다.</x:v>
      </x:c>
      <x:c r="L959" s="11"/>
      <x:c r="M959" s="11"/>
      <x:c r="N959" s="10" t="str">
        <x:v>NOT_MODELED</x:v>
      </x:c>
    </x:row>
    <x:row r="960" ht="85" customHeight="1">
      <x:c r="A960" s="10" t="str">
        <x:v>V-R2</x:v>
      </x:c>
      <x:c r="B960" s="10" t="str">
        <x:v>VOICE</x:v>
      </x:c>
      <x:c r="C960" s="10" t="str">
        <x:v>VOICE:S3-19</x:v>
      </x:c>
      <x:c r="D960" s="10" t="str">
        <x:v>VOICE:S3-19:input</x:v>
      </x:c>
      <x:c r="E960" s="10" t="str">
        <x:v>V-S3</x:v>
      </x:c>
      <x:c r="F960" s="10" t="n">
        <x:v>1</x:v>
      </x:c>
      <x:c r="G960" s="11" t="n">
        <x:v>0</x:v>
      </x:c>
      <x:c r="H960" s="11" t="n">
        <x:v>8.8</x:v>
      </x:c>
      <x:c r="I960" s="11" t="n">
        <x:f>H960-G960</x:f>
        <x:v>8.8</x:v>
      </x:c>
      <x:c r="J960" s="10" t="str">
        <x:v>아까와 지금 가리킨 견적들을 중복 없이 묶고 설치비는 제외해서 요약표로 만들어줘.</x:v>
      </x:c>
      <x:c r="K960" s="10" t="str">
        <x:v>quote-L의 설치비를 제외해 요약표 작성을 맡기겠습니다.</x:v>
      </x:c>
      <x:c r="L960" s="11"/>
      <x:c r="M960" s="11"/>
      <x:c r="N960" s="10" t="str">
        <x:v>NOT_MODELED</x:v>
      </x:c>
    </x:row>
    <x:row r="961" ht="85" customHeight="1">
      <x:c r="A961" s="10" t="str">
        <x:v>V-R3</x:v>
      </x:c>
      <x:c r="B961" s="10" t="str">
        <x:v>VOICE</x:v>
      </x:c>
      <x:c r="C961" s="10" t="str">
        <x:v>VOICE:S3-19</x:v>
      </x:c>
      <x:c r="D961" s="10" t="str">
        <x:v>VOICE:S3-19:input</x:v>
      </x:c>
      <x:c r="E961" s="10" t="str">
        <x:v>V-S3</x:v>
      </x:c>
      <x:c r="F961" s="10" t="n">
        <x:v>1</x:v>
      </x:c>
      <x:c r="G961" s="11" t="n">
        <x:v>0</x:v>
      </x:c>
      <x:c r="H961" s="11" t="n">
        <x:v>8.86</x:v>
      </x:c>
      <x:c r="I961" s="11" t="n">
        <x:f>H961-G961</x:f>
        <x:v>8.86</x:v>
      </x:c>
      <x:c r="J961" s="10" t="str">
        <x:v>아까와 지금 가리킨 견적들을 중복 없이 묶고 설치비는 제외해서 요약표로 만들어줘.</x:v>
      </x:c>
      <x:c r="K961" s="10" t="str">
        <x:v>quote-L의 설치비를 제외해 요약표 작성을 맡기겠습니다.</x:v>
      </x:c>
      <x:c r="L961" s="11"/>
      <x:c r="M961" s="11"/>
      <x:c r="N961" s="10" t="str">
        <x:v>NOT_MODELED</x:v>
      </x:c>
    </x:row>
    <x:row r="962" ht="85" customHeight="1">
      <x:c r="A962" s="10" t="str">
        <x:v>V-A</x:v>
      </x:c>
      <x:c r="B962" s="10" t="str">
        <x:v>VOICE</x:v>
      </x:c>
      <x:c r="C962" s="10" t="str">
        <x:v>VOICE:S3-20</x:v>
      </x:c>
      <x:c r="D962" s="10" t="str">
        <x:v>VOICE:S3-20:input</x:v>
      </x:c>
      <x:c r="E962" s="10" t="str">
        <x:v>V-S3</x:v>
      </x:c>
      <x:c r="F962" s="10" t="n">
        <x:v>1</x:v>
      </x:c>
      <x:c r="G962" s="11" t="n">
        <x:v>0</x:v>
      </x:c>
      <x:c r="H962" s="11" t="n">
        <x:v>5.500000000000001</x:v>
      </x:c>
      <x:c r="I962" s="11" t="n">
        <x:f>H962-G962</x:f>
        <x:v>5.500000000000001</x:v>
      </x:c>
      <x:c r="J962" s="10" t="str">
        <x:v>아까와 지금 가리킨 견적들을 중복 없이 묶고 설치비는 제외해서 요약표로 만들어줘.</x:v>
      </x:c>
      <x:c r="K962" s="10" t="str">
        <x:v>quote-L의 설치비를 제외해 요약표 작성을 맡기겠습니다.</x:v>
      </x:c>
      <x:c r="L962" s="11"/>
      <x:c r="M962" s="11"/>
      <x:c r="N962" s="10" t="str">
        <x:v>NOT_MODELED</x:v>
      </x:c>
    </x:row>
    <x:row r="963" ht="85" customHeight="1">
      <x:c r="A963" s="10" t="str">
        <x:v>V-R1</x:v>
      </x:c>
      <x:c r="B963" s="10" t="str">
        <x:v>VOICE</x:v>
      </x:c>
      <x:c r="C963" s="10" t="str">
        <x:v>VOICE:S3-20</x:v>
      </x:c>
      <x:c r="D963" s="10" t="str">
        <x:v>VOICE:S3-20:input</x:v>
      </x:c>
      <x:c r="E963" s="10" t="str">
        <x:v>V-S3</x:v>
      </x:c>
      <x:c r="F963" s="10" t="n">
        <x:v>1</x:v>
      </x:c>
      <x:c r="G963" s="11" t="n">
        <x:v>0</x:v>
      </x:c>
      <x:c r="H963" s="11" t="n">
        <x:v>10.7</x:v>
      </x:c>
      <x:c r="I963" s="11" t="n">
        <x:f>H963-G963</x:f>
        <x:v>10.7</x:v>
      </x:c>
      <x:c r="J963" s="10" t="str">
        <x:v>아까와 지금 가리킨 견적들을 중복 없이 묶고 설치비는 제외해서 요약표로 만들어줘.</x:v>
      </x:c>
      <x:c r="K963" s="10" t="str">
        <x:v>quote-L의 설치비를 제외해 요약표 작성을 맡기겠습니다.</x:v>
      </x:c>
      <x:c r="L963" s="11"/>
      <x:c r="M963" s="11"/>
      <x:c r="N963" s="10" t="str">
        <x:v>NOT_MODELED</x:v>
      </x:c>
    </x:row>
    <x:row r="964" ht="85" customHeight="1">
      <x:c r="A964" s="10" t="str">
        <x:v>V-R2</x:v>
      </x:c>
      <x:c r="B964" s="10" t="str">
        <x:v>VOICE</x:v>
      </x:c>
      <x:c r="C964" s="10" t="str">
        <x:v>VOICE:S3-20</x:v>
      </x:c>
      <x:c r="D964" s="10" t="str">
        <x:v>VOICE:S3-20:input</x:v>
      </x:c>
      <x:c r="E964" s="10" t="str">
        <x:v>V-S3</x:v>
      </x:c>
      <x:c r="F964" s="10" t="n">
        <x:v>1</x:v>
      </x:c>
      <x:c r="G964" s="11" t="n">
        <x:v>0</x:v>
      </x:c>
      <x:c r="H964" s="11" t="n">
        <x:v>8.8</x:v>
      </x:c>
      <x:c r="I964" s="11" t="n">
        <x:f>H964-G964</x:f>
        <x:v>8.8</x:v>
      </x:c>
      <x:c r="J964" s="10" t="str">
        <x:v>아까와 지금 가리킨 견적들을 중복 없이 묶고 설치비는 제외해서 요약표로 만들어줘.</x:v>
      </x:c>
      <x:c r="K964" s="10" t="str">
        <x:v>quote-L의 설치비를 제외해 요약표 작성을 맡기겠습니다.</x:v>
      </x:c>
      <x:c r="L964" s="11"/>
      <x:c r="M964" s="11"/>
      <x:c r="N964" s="10" t="str">
        <x:v>NOT_MODELED</x:v>
      </x:c>
    </x:row>
    <x:row r="965" ht="85" customHeight="1">
      <x:c r="A965" s="10" t="str">
        <x:v>V-R3</x:v>
      </x:c>
      <x:c r="B965" s="10" t="str">
        <x:v>VOICE</x:v>
      </x:c>
      <x:c r="C965" s="10" t="str">
        <x:v>VOICE:S3-20</x:v>
      </x:c>
      <x:c r="D965" s="10" t="str">
        <x:v>VOICE:S3-20:input</x:v>
      </x:c>
      <x:c r="E965" s="10" t="str">
        <x:v>V-S3</x:v>
      </x:c>
      <x:c r="F965" s="10" t="n">
        <x:v>1</x:v>
      </x:c>
      <x:c r="G965" s="11" t="n">
        <x:v>0</x:v>
      </x:c>
      <x:c r="H965" s="11" t="n">
        <x:v>8.86</x:v>
      </x:c>
      <x:c r="I965" s="11" t="n">
        <x:f>H965-G965</x:f>
        <x:v>8.86</x:v>
      </x:c>
      <x:c r="J965" s="10" t="str">
        <x:v>아까와 지금 가리킨 견적들을 중복 없이 묶고 설치비는 제외해서 요약표로 만들어줘.</x:v>
      </x:c>
      <x:c r="K965" s="10" t="str">
        <x:v>quote-L의 설치비를 제외해 요약표 작성을 맡기겠습니다.</x:v>
      </x:c>
      <x:c r="L965" s="11"/>
      <x:c r="M965" s="11"/>
      <x:c r="N965" s="10" t="str">
        <x:v>NOT_MODELED</x:v>
      </x:c>
    </x:row>
    <x:row r="966" ht="85" customHeight="1">
      <x:c r="A966" s="10" t="str">
        <x:v>V-A</x:v>
      </x:c>
      <x:c r="B966" s="10" t="str">
        <x:v>VOICE</x:v>
      </x:c>
      <x:c r="C966" s="10" t="str">
        <x:v>VOICE:S4-01</x:v>
      </x:c>
      <x:c r="D966" s="10" t="str">
        <x:v>VOICE:S4-01:input</x:v>
      </x:c>
      <x:c r="E966" s="10" t="str">
        <x:v>V-S4</x:v>
      </x:c>
      <x:c r="F966" s="10" t="n">
        <x:v>1</x:v>
      </x:c>
      <x:c r="G966" s="11" t="n">
        <x:v>0</x:v>
      </x:c>
      <x:c r="H966" s="11" t="n">
        <x:v>3.4</x:v>
      </x:c>
      <x:c r="I966" s="11" t="n">
        <x:f>H966-G966</x:f>
        <x:v>3.4</x:v>
      </x:c>
      <x:c r="J966" s="10" t="str">
        <x:v>새로 보이는 이 두 견적을 설치비는 제외하고 별도 비교표로 만들어줘.</x:v>
      </x:c>
      <x:c r="K966" s="10" t="str">
        <x:v>quote-L, quote-Z의 설치비를 제외해 비교표 작성을 맡기겠습니다.</x:v>
      </x:c>
      <x:c r="L966" s="11"/>
      <x:c r="M966" s="11"/>
      <x:c r="N966" s="10" t="str">
        <x:v>NOT_MODELED</x:v>
      </x:c>
    </x:row>
    <x:row r="967" ht="85" customHeight="1">
      <x:c r="A967" s="10" t="str">
        <x:v>V-R1</x:v>
      </x:c>
      <x:c r="B967" s="10" t="str">
        <x:v>VOICE</x:v>
      </x:c>
      <x:c r="C967" s="10" t="str">
        <x:v>VOICE:S4-01</x:v>
      </x:c>
      <x:c r="D967" s="10" t="str">
        <x:v>VOICE:S4-01:input</x:v>
      </x:c>
      <x:c r="E967" s="10" t="str">
        <x:v>V-S4</x:v>
      </x:c>
      <x:c r="F967" s="10" t="n">
        <x:v>1</x:v>
      </x:c>
      <x:c r="G967" s="11" t="n">
        <x:v>0</x:v>
      </x:c>
      <x:c r="H967" s="11" t="n">
        <x:v>5.666666666666667</x:v>
      </x:c>
      <x:c r="I967" s="11" t="n">
        <x:f>H967-G967</x:f>
        <x:v>5.666666666666667</x:v>
      </x:c>
      <x:c r="J967" s="10" t="str">
        <x:v>새로 보이는 이 두 견적을 설치비는 제외하고 별도 비교표로 만들어줘.</x:v>
      </x:c>
      <x:c r="K967" s="10" t="str">
        <x:v>quote-L, quote-R의 설치비를 제외해 비교표 작성을 맡기겠습니다.</x:v>
      </x:c>
      <x:c r="L967" s="11"/>
      <x:c r="M967" s="11"/>
      <x:c r="N967" s="10" t="str">
        <x:v>NOT_MODELED</x:v>
      </x:c>
    </x:row>
    <x:row r="968" ht="85" customHeight="1">
      <x:c r="A968" s="10" t="str">
        <x:v>V-R2</x:v>
      </x:c>
      <x:c r="B968" s="10" t="str">
        <x:v>VOICE</x:v>
      </x:c>
      <x:c r="C968" s="10" t="str">
        <x:v>VOICE:S4-01</x:v>
      </x:c>
      <x:c r="D968" s="10" t="str">
        <x:v>VOICE:S4-01:input</x:v>
      </x:c>
      <x:c r="E968" s="10" t="str">
        <x:v>V-S4</x:v>
      </x:c>
      <x:c r="F968" s="10" t="n">
        <x:v>1</x:v>
      </x:c>
      <x:c r="G968" s="11" t="n">
        <x:v>0</x:v>
      </x:c>
      <x:c r="H968" s="11" t="n">
        <x:v>4.566666666666666</x:v>
      </x:c>
      <x:c r="I968" s="11" t="n">
        <x:f>H968-G968</x:f>
        <x:v>4.566666666666666</x:v>
      </x:c>
      <x:c r="J968" s="10" t="str">
        <x:v>새로 보이는 이 두 견적을 설치비는 제외하고 별도 비교표로 만들어줘.</x:v>
      </x:c>
      <x:c r="K968" s="10" t="str">
        <x:v>quote-L, quote-R의 설치비를 제외해 비교표 작성을 맡기겠습니다.</x:v>
      </x:c>
      <x:c r="L968" s="11"/>
      <x:c r="M968" s="11"/>
      <x:c r="N968" s="10" t="str">
        <x:v>NOT_MODELED</x:v>
      </x:c>
    </x:row>
    <x:row r="969" ht="85" customHeight="1">
      <x:c r="A969" s="10" t="str">
        <x:v>V-R3</x:v>
      </x:c>
      <x:c r="B969" s="10" t="str">
        <x:v>VOICE</x:v>
      </x:c>
      <x:c r="C969" s="10" t="str">
        <x:v>VOICE:S4-01</x:v>
      </x:c>
      <x:c r="D969" s="10" t="str">
        <x:v>VOICE:S4-01:input</x:v>
      </x:c>
      <x:c r="E969" s="10" t="str">
        <x:v>V-S4</x:v>
      </x:c>
      <x:c r="F969" s="10" t="n">
        <x:v>1</x:v>
      </x:c>
      <x:c r="G969" s="11" t="n">
        <x:v>0</x:v>
      </x:c>
      <x:c r="H969" s="11" t="n">
        <x:v>4.626666666666667</x:v>
      </x:c>
      <x:c r="I969" s="11" t="n">
        <x:f>H969-G969</x:f>
        <x:v>4.626666666666667</x:v>
      </x:c>
      <x:c r="J969" s="10" t="str">
        <x:v>새로 보이는 이 두 견적을 설치비는 제외하고 별도 비교표로 만들어줘.</x:v>
      </x:c>
      <x:c r="K969" s="10" t="str">
        <x:v>quote-L, quote-R의 설치비를 제외해 비교표 작성을 맡기겠습니다.</x:v>
      </x:c>
      <x:c r="L969" s="11"/>
      <x:c r="M969" s="11"/>
      <x:c r="N969" s="10" t="str">
        <x:v>NOT_MODELED</x:v>
      </x:c>
    </x:row>
    <x:row r="970" ht="85" customHeight="1">
      <x:c r="A970" s="10" t="str">
        <x:v>V-A</x:v>
      </x:c>
      <x:c r="B970" s="10" t="str">
        <x:v>VOICE</x:v>
      </x:c>
      <x:c r="C970" s="10" t="str">
        <x:v>VOICE:S4-02</x:v>
      </x:c>
      <x:c r="D970" s="10" t="str">
        <x:v>VOICE:S4-02:input</x:v>
      </x:c>
      <x:c r="E970" s="10" t="str">
        <x:v>V-S4</x:v>
      </x:c>
      <x:c r="F970" s="10" t="n">
        <x:v>1</x:v>
      </x:c>
      <x:c r="G970" s="11" t="n">
        <x:v>0</x:v>
      </x:c>
      <x:c r="H970" s="11" t="n">
        <x:v>3.4</x:v>
      </x:c>
      <x:c r="I970" s="11" t="n">
        <x:f>H970-G970</x:f>
        <x:v>3.4</x:v>
      </x:c>
      <x:c r="J970" s="10" t="str">
        <x:v>새로 보이는 이 두 견적을 설치비는 제외하고 별도 비교표로 만들어줘.</x:v>
      </x:c>
      <x:c r="K970" s="10" t="str">
        <x:v>quote-L, quote-Z의 설치비를 제외해 비교표 작성을 맡기겠습니다.</x:v>
      </x:c>
      <x:c r="L970" s="11"/>
      <x:c r="M970" s="11"/>
      <x:c r="N970" s="10" t="str">
        <x:v>NOT_MODELED</x:v>
      </x:c>
    </x:row>
    <x:row r="971" ht="85" customHeight="1">
      <x:c r="A971" s="10" t="str">
        <x:v>V-R1</x:v>
      </x:c>
      <x:c r="B971" s="10" t="str">
        <x:v>VOICE</x:v>
      </x:c>
      <x:c r="C971" s="10" t="str">
        <x:v>VOICE:S4-02</x:v>
      </x:c>
      <x:c r="D971" s="10" t="str">
        <x:v>VOICE:S4-02:input</x:v>
      </x:c>
      <x:c r="E971" s="10" t="str">
        <x:v>V-S4</x:v>
      </x:c>
      <x:c r="F971" s="10" t="n">
        <x:v>1</x:v>
      </x:c>
      <x:c r="G971" s="11" t="n">
        <x:v>0</x:v>
      </x:c>
      <x:c r="H971" s="11" t="n">
        <x:v>5.666666666666667</x:v>
      </x:c>
      <x:c r="I971" s="11" t="n">
        <x:f>H971-G971</x:f>
        <x:v>5.666666666666667</x:v>
      </x:c>
      <x:c r="J971" s="10" t="str">
        <x:v>새로 보이는 이 두 견적을 설치비는 제외하고 별도 비교표로 만들어줘.</x:v>
      </x:c>
      <x:c r="K971" s="10" t="str">
        <x:v>quote-L, quote-Z의 설치비를 제외해 비교표 작성을 맡기겠습니다.</x:v>
      </x:c>
      <x:c r="L971" s="11"/>
      <x:c r="M971" s="11"/>
      <x:c r="N971" s="10" t="str">
        <x:v>NOT_MODELED</x:v>
      </x:c>
    </x:row>
    <x:row r="972" ht="85" customHeight="1">
      <x:c r="A972" s="10" t="str">
        <x:v>V-R2</x:v>
      </x:c>
      <x:c r="B972" s="10" t="str">
        <x:v>VOICE</x:v>
      </x:c>
      <x:c r="C972" s="10" t="str">
        <x:v>VOICE:S4-02</x:v>
      </x:c>
      <x:c r="D972" s="10" t="str">
        <x:v>VOICE:S4-02:input</x:v>
      </x:c>
      <x:c r="E972" s="10" t="str">
        <x:v>V-S4</x:v>
      </x:c>
      <x:c r="F972" s="10" t="n">
        <x:v>1</x:v>
      </x:c>
      <x:c r="G972" s="11" t="n">
        <x:v>0</x:v>
      </x:c>
      <x:c r="H972" s="11" t="n">
        <x:v>4.566666666666666</x:v>
      </x:c>
      <x:c r="I972" s="11" t="n">
        <x:f>H972-G972</x:f>
        <x:v>4.566666666666666</x:v>
      </x:c>
      <x:c r="J972" s="10" t="str">
        <x:v>새로 보이는 이 두 견적을 설치비는 제외하고 별도 비교표로 만들어줘.</x:v>
      </x:c>
      <x:c r="K972" s="10" t="str">
        <x:v>quote-L, quote-Z의 설치비를 제외해 비교표 작성을 맡기겠습니다.</x:v>
      </x:c>
      <x:c r="L972" s="11"/>
      <x:c r="M972" s="11"/>
      <x:c r="N972" s="10" t="str">
        <x:v>NOT_MODELED</x:v>
      </x:c>
    </x:row>
    <x:row r="973" ht="85" customHeight="1">
      <x:c r="A973" s="10" t="str">
        <x:v>V-R3</x:v>
      </x:c>
      <x:c r="B973" s="10" t="str">
        <x:v>VOICE</x:v>
      </x:c>
      <x:c r="C973" s="10" t="str">
        <x:v>VOICE:S4-02</x:v>
      </x:c>
      <x:c r="D973" s="10" t="str">
        <x:v>VOICE:S4-02:input</x:v>
      </x:c>
      <x:c r="E973" s="10" t="str">
        <x:v>V-S4</x:v>
      </x:c>
      <x:c r="F973" s="10" t="n">
        <x:v>1</x:v>
      </x:c>
      <x:c r="G973" s="11" t="n">
        <x:v>0</x:v>
      </x:c>
      <x:c r="H973" s="11" t="n">
        <x:v>4.626666666666667</x:v>
      </x:c>
      <x:c r="I973" s="11" t="n">
        <x:f>H973-G973</x:f>
        <x:v>4.626666666666667</x:v>
      </x:c>
      <x:c r="J973" s="10" t="str">
        <x:v>새로 보이는 이 두 견적을 설치비는 제외하고 별도 비교표로 만들어줘.</x:v>
      </x:c>
      <x:c r="K973" s="10" t="str">
        <x:v>quote-L, quote-Z의 설치비를 제외해 비교표 작성을 맡기겠습니다.</x:v>
      </x:c>
      <x:c r="L973" s="11"/>
      <x:c r="M973" s="11"/>
      <x:c r="N973" s="10" t="str">
        <x:v>NOT_MODELED</x:v>
      </x:c>
    </x:row>
    <x:row r="974" ht="85" customHeight="1">
      <x:c r="A974" s="10" t="str">
        <x:v>V-A</x:v>
      </x:c>
      <x:c r="B974" s="10" t="str">
        <x:v>VOICE</x:v>
      </x:c>
      <x:c r="C974" s="10" t="str">
        <x:v>VOICE:S4-03</x:v>
      </x:c>
      <x:c r="D974" s="10" t="str">
        <x:v>VOICE:S4-03:input</x:v>
      </x:c>
      <x:c r="E974" s="10" t="str">
        <x:v>V-S4</x:v>
      </x:c>
      <x:c r="F974" s="10" t="n">
        <x:v>1</x:v>
      </x:c>
      <x:c r="G974" s="11" t="n">
        <x:v>0</x:v>
      </x:c>
      <x:c r="H974" s="11" t="n">
        <x:v>3.4</x:v>
      </x:c>
      <x:c r="I974" s="11" t="n">
        <x:f>H974-G974</x:f>
        <x:v>3.4</x:v>
      </x:c>
      <x:c r="J974" s="10" t="str">
        <x:v>새로 보이는 이 두 견적을 설치비는 제외하고 별도 비교표로 만들어줘.</x:v>
      </x:c>
      <x:c r="K974" s="10" t="str">
        <x:v>quote-L, quote-R의 설치비를 제외해 비교표 작성을 맡기겠습니다.</x:v>
      </x:c>
      <x:c r="L974" s="11"/>
      <x:c r="M974" s="11"/>
      <x:c r="N974" s="10" t="str">
        <x:v>NOT_MODELED</x:v>
      </x:c>
    </x:row>
    <x:row r="975" ht="85" customHeight="1">
      <x:c r="A975" s="10" t="str">
        <x:v>V-R1</x:v>
      </x:c>
      <x:c r="B975" s="10" t="str">
        <x:v>VOICE</x:v>
      </x:c>
      <x:c r="C975" s="10" t="str">
        <x:v>VOICE:S4-03</x:v>
      </x:c>
      <x:c r="D975" s="10" t="str">
        <x:v>VOICE:S4-03:input</x:v>
      </x:c>
      <x:c r="E975" s="10" t="str">
        <x:v>V-S4</x:v>
      </x:c>
      <x:c r="F975" s="10" t="n">
        <x:v>1</x:v>
      </x:c>
      <x:c r="G975" s="11" t="n">
        <x:v>0</x:v>
      </x:c>
      <x:c r="H975" s="11" t="n">
        <x:v>5.666666666666667</x:v>
      </x:c>
      <x:c r="I975" s="11" t="n">
        <x:f>H975-G975</x:f>
        <x:v>5.666666666666667</x:v>
      </x:c>
      <x:c r="J975" s="10" t="str">
        <x:v>새로 보이는 이 두 견적을 설치비는 제외하고 별도 비교표로 만들어줘.</x:v>
      </x:c>
      <x:c r="K975" s="10" t="str">
        <x:v>quote-L, quote-R의 설치비를 제외해 비교표 작성을 맡기겠습니다.</x:v>
      </x:c>
      <x:c r="L975" s="11"/>
      <x:c r="M975" s="11"/>
      <x:c r="N975" s="10" t="str">
        <x:v>NOT_MODELED</x:v>
      </x:c>
    </x:row>
    <x:row r="976" ht="85" customHeight="1">
      <x:c r="A976" s="10" t="str">
        <x:v>V-R2</x:v>
      </x:c>
      <x:c r="B976" s="10" t="str">
        <x:v>VOICE</x:v>
      </x:c>
      <x:c r="C976" s="10" t="str">
        <x:v>VOICE:S4-03</x:v>
      </x:c>
      <x:c r="D976" s="10" t="str">
        <x:v>VOICE:S4-03:input</x:v>
      </x:c>
      <x:c r="E976" s="10" t="str">
        <x:v>V-S4</x:v>
      </x:c>
      <x:c r="F976" s="10" t="n">
        <x:v>1</x:v>
      </x:c>
      <x:c r="G976" s="11" t="n">
        <x:v>0</x:v>
      </x:c>
      <x:c r="H976" s="11" t="n">
        <x:v>4.566666666666666</x:v>
      </x:c>
      <x:c r="I976" s="11" t="n">
        <x:f>H976-G976</x:f>
        <x:v>4.566666666666666</x:v>
      </x:c>
      <x:c r="J976" s="10" t="str">
        <x:v>새로 보이는 이 두 견적을 설치비는 제외하고 별도 비교표로 만들어줘.</x:v>
      </x:c>
      <x:c r="K976" s="10" t="str">
        <x:v>quote-L, quote-R의 설치비를 제외해 비교표 작성을 맡기겠습니다.</x:v>
      </x:c>
      <x:c r="L976" s="11"/>
      <x:c r="M976" s="11"/>
      <x:c r="N976" s="10" t="str">
        <x:v>NOT_MODELED</x:v>
      </x:c>
    </x:row>
    <x:row r="977" ht="85" customHeight="1">
      <x:c r="A977" s="10" t="str">
        <x:v>V-R3</x:v>
      </x:c>
      <x:c r="B977" s="10" t="str">
        <x:v>VOICE</x:v>
      </x:c>
      <x:c r="C977" s="10" t="str">
        <x:v>VOICE:S4-03</x:v>
      </x:c>
      <x:c r="D977" s="10" t="str">
        <x:v>VOICE:S4-03:input</x:v>
      </x:c>
      <x:c r="E977" s="10" t="str">
        <x:v>V-S4</x:v>
      </x:c>
      <x:c r="F977" s="10" t="n">
        <x:v>1</x:v>
      </x:c>
      <x:c r="G977" s="11" t="n">
        <x:v>0</x:v>
      </x:c>
      <x:c r="H977" s="11" t="n">
        <x:v>4.626666666666667</x:v>
      </x:c>
      <x:c r="I977" s="11" t="n">
        <x:f>H977-G977</x:f>
        <x:v>4.626666666666667</x:v>
      </x:c>
      <x:c r="J977" s="10" t="str">
        <x:v>새로 보이는 이 두 견적을 설치비는 제외하고 별도 비교표로 만들어줘.</x:v>
      </x:c>
      <x:c r="K977" s="10" t="str">
        <x:v>quote-L, quote-R의 설치비를 제외해 비교표 작성을 맡기겠습니다.</x:v>
      </x:c>
      <x:c r="L977" s="11"/>
      <x:c r="M977" s="11"/>
      <x:c r="N977" s="10" t="str">
        <x:v>NOT_MODELED</x:v>
      </x:c>
    </x:row>
    <x:row r="978" ht="85" customHeight="1">
      <x:c r="A978" s="10" t="str">
        <x:v>V-A</x:v>
      </x:c>
      <x:c r="B978" s="10" t="str">
        <x:v>VOICE</x:v>
      </x:c>
      <x:c r="C978" s="10" t="str">
        <x:v>VOICE:S4-04</x:v>
      </x:c>
      <x:c r="D978" s="10" t="str">
        <x:v>VOICE:S4-04:input</x:v>
      </x:c>
      <x:c r="E978" s="10" t="str">
        <x:v>V-S4</x:v>
      </x:c>
      <x:c r="F978" s="10" t="n">
        <x:v>1</x:v>
      </x:c>
      <x:c r="G978" s="11" t="n">
        <x:v>0</x:v>
      </x:c>
      <x:c r="H978" s="11" t="n">
        <x:v>3.4</x:v>
      </x:c>
      <x:c r="I978" s="11" t="n">
        <x:f>H978-G978</x:f>
        <x:v>3.4</x:v>
      </x:c>
      <x:c r="J978" s="10" t="str">
        <x:v>새로 보이는 이 두 견적을 설치비는 제외하고 별도 비교표로 만들어줘.</x:v>
      </x:c>
      <x:c r="K978" s="10" t="str">
        <x:v>quote-L, quote-R의 설치비를 제외해 비교표 작성을 맡기겠습니다.</x:v>
      </x:c>
      <x:c r="L978" s="11"/>
      <x:c r="M978" s="11"/>
      <x:c r="N978" s="10" t="str">
        <x:v>NOT_MODELED</x:v>
      </x:c>
    </x:row>
    <x:row r="979" ht="85" customHeight="1">
      <x:c r="A979" s="10" t="str">
        <x:v>V-R1</x:v>
      </x:c>
      <x:c r="B979" s="10" t="str">
        <x:v>VOICE</x:v>
      </x:c>
      <x:c r="C979" s="10" t="str">
        <x:v>VOICE:S4-04</x:v>
      </x:c>
      <x:c r="D979" s="10" t="str">
        <x:v>VOICE:S4-04:input</x:v>
      </x:c>
      <x:c r="E979" s="10" t="str">
        <x:v>V-S4</x:v>
      </x:c>
      <x:c r="F979" s="10" t="n">
        <x:v>1</x:v>
      </x:c>
      <x:c r="G979" s="11" t="n">
        <x:v>0</x:v>
      </x:c>
      <x:c r="H979" s="11" t="n">
        <x:v>5.666666666666667</x:v>
      </x:c>
      <x:c r="I979" s="11" t="n">
        <x:f>H979-G979</x:f>
        <x:v>5.666666666666667</x:v>
      </x:c>
      <x:c r="J979" s="10" t="str">
        <x:v>새로 보이는 이 두 견적을 설치비는 제외하고 별도 비교표로 만들어줘.</x:v>
      </x:c>
      <x:c r="K979" s="10" t="str">
        <x:v>quote-L, quote-R의 설치비를 제외해 비교표 작성을 맡기겠습니다.</x:v>
      </x:c>
      <x:c r="L979" s="11"/>
      <x:c r="M979" s="11"/>
      <x:c r="N979" s="10" t="str">
        <x:v>NOT_MODELED</x:v>
      </x:c>
    </x:row>
    <x:row r="980" ht="85" customHeight="1">
      <x:c r="A980" s="10" t="str">
        <x:v>V-R2</x:v>
      </x:c>
      <x:c r="B980" s="10" t="str">
        <x:v>VOICE</x:v>
      </x:c>
      <x:c r="C980" s="10" t="str">
        <x:v>VOICE:S4-04</x:v>
      </x:c>
      <x:c r="D980" s="10" t="str">
        <x:v>VOICE:S4-04:input</x:v>
      </x:c>
      <x:c r="E980" s="10" t="str">
        <x:v>V-S4</x:v>
      </x:c>
      <x:c r="F980" s="10" t="n">
        <x:v>1</x:v>
      </x:c>
      <x:c r="G980" s="11" t="n">
        <x:v>0</x:v>
      </x:c>
      <x:c r="H980" s="11" t="n">
        <x:v>4.566666666666666</x:v>
      </x:c>
      <x:c r="I980" s="11" t="n">
        <x:f>H980-G980</x:f>
        <x:v>4.566666666666666</x:v>
      </x:c>
      <x:c r="J980" s="10" t="str">
        <x:v>새로 보이는 이 두 견적을 설치비는 제외하고 별도 비교표로 만들어줘.</x:v>
      </x:c>
      <x:c r="K980" s="10" t="str">
        <x:v>quote-L, quote-R의 설치비를 제외해 비교표 작성을 맡기겠습니다.</x:v>
      </x:c>
      <x:c r="L980" s="11"/>
      <x:c r="M980" s="11"/>
      <x:c r="N980" s="10" t="str">
        <x:v>NOT_MODELED</x:v>
      </x:c>
    </x:row>
    <x:row r="981" ht="85" customHeight="1">
      <x:c r="A981" s="10" t="str">
        <x:v>V-R3</x:v>
      </x:c>
      <x:c r="B981" s="10" t="str">
        <x:v>VOICE</x:v>
      </x:c>
      <x:c r="C981" s="10" t="str">
        <x:v>VOICE:S4-04</x:v>
      </x:c>
      <x:c r="D981" s="10" t="str">
        <x:v>VOICE:S4-04:input</x:v>
      </x:c>
      <x:c r="E981" s="10" t="str">
        <x:v>V-S4</x:v>
      </x:c>
      <x:c r="F981" s="10" t="n">
        <x:v>1</x:v>
      </x:c>
      <x:c r="G981" s="11" t="n">
        <x:v>0</x:v>
      </x:c>
      <x:c r="H981" s="11" t="n">
        <x:v>4.626666666666667</x:v>
      </x:c>
      <x:c r="I981" s="11" t="n">
        <x:f>H981-G981</x:f>
        <x:v>4.626666666666667</x:v>
      </x:c>
      <x:c r="J981" s="10" t="str">
        <x:v>새로 보이는 이 두 견적을 설치비는 제외하고 별도 비교표로 만들어줘.</x:v>
      </x:c>
      <x:c r="K981" s="10" t="str">
        <x:v>quote-L, quote-R의 설치비를 제외해 비교표 작성을 맡기겠습니다.</x:v>
      </x:c>
      <x:c r="L981" s="11"/>
      <x:c r="M981" s="11"/>
      <x:c r="N981" s="10" t="str">
        <x:v>NOT_MODELED</x:v>
      </x:c>
    </x:row>
    <x:row r="982" ht="85" customHeight="1">
      <x:c r="A982" s="10" t="str">
        <x:v>V-A</x:v>
      </x:c>
      <x:c r="B982" s="10" t="str">
        <x:v>VOICE</x:v>
      </x:c>
      <x:c r="C982" s="10" t="str">
        <x:v>VOICE:S4-05</x:v>
      </x:c>
      <x:c r="D982" s="10" t="str">
        <x:v>VOICE:S4-05:input</x:v>
      </x:c>
      <x:c r="E982" s="10" t="str">
        <x:v>V-S4</x:v>
      </x:c>
      <x:c r="F982" s="10" t="n">
        <x:v>1</x:v>
      </x:c>
      <x:c r="G982" s="11" t="n">
        <x:v>0</x:v>
      </x:c>
      <x:c r="H982" s="11" t="n">
        <x:v>3.4</x:v>
      </x:c>
      <x:c r="I982" s="11" t="n">
        <x:f>H982-G982</x:f>
        <x:v>3.4</x:v>
      </x:c>
      <x:c r="J982" s="10" t="str">
        <x:v>새로 보이는 이 두 견적을 설치비는 제외하고 별도 비교표로 만들어줘.</x:v>
      </x:c>
      <x:c r="K982" s="10" t="str">
        <x:v>quote-L, quote-R의 설치비를 제외해 비교표 작성을 맡기겠습니다.</x:v>
      </x:c>
      <x:c r="L982" s="11"/>
      <x:c r="M982" s="11"/>
      <x:c r="N982" s="10" t="str">
        <x:v>NOT_MODELED</x:v>
      </x:c>
    </x:row>
    <x:row r="983" ht="85" customHeight="1">
      <x:c r="A983" s="10" t="str">
        <x:v>V-R1</x:v>
      </x:c>
      <x:c r="B983" s="10" t="str">
        <x:v>VOICE</x:v>
      </x:c>
      <x:c r="C983" s="10" t="str">
        <x:v>VOICE:S4-05</x:v>
      </x:c>
      <x:c r="D983" s="10" t="str">
        <x:v>VOICE:S4-05:input</x:v>
      </x:c>
      <x:c r="E983" s="10" t="str">
        <x:v>V-S4</x:v>
      </x:c>
      <x:c r="F983" s="10" t="n">
        <x:v>1</x:v>
      </x:c>
      <x:c r="G983" s="11" t="n">
        <x:v>0</x:v>
      </x:c>
      <x:c r="H983" s="11" t="n">
        <x:v>5.666666666666667</x:v>
      </x:c>
      <x:c r="I983" s="11" t="n">
        <x:f>H983-G983</x:f>
        <x:v>5.666666666666667</x:v>
      </x:c>
      <x:c r="J983" s="10" t="str">
        <x:v>새로 보이는 이 두 견적을 설치비는 제외하고 별도 비교표로 만들어줘.</x:v>
      </x:c>
      <x:c r="K983" s="10" t="str">
        <x:v>quote-L, quote-R의 설치비를 제외해 비교표 작성을 맡기겠습니다.</x:v>
      </x:c>
      <x:c r="L983" s="11"/>
      <x:c r="M983" s="11"/>
      <x:c r="N983" s="10" t="str">
        <x:v>NOT_MODELED</x:v>
      </x:c>
    </x:row>
    <x:row r="984" ht="85" customHeight="1">
      <x:c r="A984" s="10" t="str">
        <x:v>V-R2</x:v>
      </x:c>
      <x:c r="B984" s="10" t="str">
        <x:v>VOICE</x:v>
      </x:c>
      <x:c r="C984" s="10" t="str">
        <x:v>VOICE:S4-05</x:v>
      </x:c>
      <x:c r="D984" s="10" t="str">
        <x:v>VOICE:S4-05:input</x:v>
      </x:c>
      <x:c r="E984" s="10" t="str">
        <x:v>V-S4</x:v>
      </x:c>
      <x:c r="F984" s="10" t="n">
        <x:v>1</x:v>
      </x:c>
      <x:c r="G984" s="11" t="n">
        <x:v>0</x:v>
      </x:c>
      <x:c r="H984" s="11" t="n">
        <x:v>4.566666666666666</x:v>
      </x:c>
      <x:c r="I984" s="11" t="n">
        <x:f>H984-G984</x:f>
        <x:v>4.566666666666666</x:v>
      </x:c>
      <x:c r="J984" s="10" t="str">
        <x:v>새로 보이는 이 두 견적을 설치비는 제외하고 별도 비교표로 만들어줘.</x:v>
      </x:c>
      <x:c r="K984" s="10" t="str">
        <x:v>quote-L, quote-R의 설치비를 제외해 비교표 작성을 맡기겠습니다.</x:v>
      </x:c>
      <x:c r="L984" s="11"/>
      <x:c r="M984" s="11"/>
      <x:c r="N984" s="10" t="str">
        <x:v>NOT_MODELED</x:v>
      </x:c>
    </x:row>
    <x:row r="985" ht="85" customHeight="1">
      <x:c r="A985" s="10" t="str">
        <x:v>V-R3</x:v>
      </x:c>
      <x:c r="B985" s="10" t="str">
        <x:v>VOICE</x:v>
      </x:c>
      <x:c r="C985" s="10" t="str">
        <x:v>VOICE:S4-05</x:v>
      </x:c>
      <x:c r="D985" s="10" t="str">
        <x:v>VOICE:S4-05:input</x:v>
      </x:c>
      <x:c r="E985" s="10" t="str">
        <x:v>V-S4</x:v>
      </x:c>
      <x:c r="F985" s="10" t="n">
        <x:v>1</x:v>
      </x:c>
      <x:c r="G985" s="11" t="n">
        <x:v>0</x:v>
      </x:c>
      <x:c r="H985" s="11" t="n">
        <x:v>4.626666666666667</x:v>
      </x:c>
      <x:c r="I985" s="11" t="n">
        <x:f>H985-G985</x:f>
        <x:v>4.626666666666667</x:v>
      </x:c>
      <x:c r="J985" s="10" t="str">
        <x:v>새로 보이는 이 두 견적을 설치비는 제외하고 별도 비교표로 만들어줘.</x:v>
      </x:c>
      <x:c r="K985" s="10" t="str">
        <x:v>quote-L, quote-R의 설치비를 제외해 비교표 작성을 맡기겠습니다.</x:v>
      </x:c>
      <x:c r="L985" s="11"/>
      <x:c r="M985" s="11"/>
      <x:c r="N985" s="10" t="str">
        <x:v>NOT_MODELED</x:v>
      </x:c>
    </x:row>
    <x:row r="986" ht="85" customHeight="1">
      <x:c r="A986" s="10" t="str">
        <x:v>V-A</x:v>
      </x:c>
      <x:c r="B986" s="10" t="str">
        <x:v>VOICE</x:v>
      </x:c>
      <x:c r="C986" s="10" t="str">
        <x:v>VOICE:S4-06</x:v>
      </x:c>
      <x:c r="D986" s="10" t="str">
        <x:v>VOICE:S4-06:input</x:v>
      </x:c>
      <x:c r="E986" s="10" t="str">
        <x:v>V-S4</x:v>
      </x:c>
      <x:c r="F986" s="10" t="n">
        <x:v>1</x:v>
      </x:c>
      <x:c r="G986" s="11" t="n">
        <x:v>0</x:v>
      </x:c>
      <x:c r="H986" s="11" t="n">
        <x:v>3.4</x:v>
      </x:c>
      <x:c r="I986" s="11" t="n">
        <x:f>H986-G986</x:f>
        <x:v>3.4</x:v>
      </x:c>
      <x:c r="J986" s="10" t="str">
        <x:v>새로 보이는 이 두 견적을 설치비는 제외하고 별도 비교표로 만들어줘.</x:v>
      </x:c>
      <x:c r="K986" s="10" t="str">
        <x:v>quote-L, quote-R의 설치비를 제외해 비교표 작성을 맡기겠습니다.</x:v>
      </x:c>
      <x:c r="L986" s="11"/>
      <x:c r="M986" s="11"/>
      <x:c r="N986" s="10" t="str">
        <x:v>NOT_MODELED</x:v>
      </x:c>
    </x:row>
    <x:row r="987" ht="85" customHeight="1">
      <x:c r="A987" s="10" t="str">
        <x:v>V-R1</x:v>
      </x:c>
      <x:c r="B987" s="10" t="str">
        <x:v>VOICE</x:v>
      </x:c>
      <x:c r="C987" s="10" t="str">
        <x:v>VOICE:S4-06</x:v>
      </x:c>
      <x:c r="D987" s="10" t="str">
        <x:v>VOICE:S4-06:input</x:v>
      </x:c>
      <x:c r="E987" s="10" t="str">
        <x:v>V-S4</x:v>
      </x:c>
      <x:c r="F987" s="10" t="n">
        <x:v>1</x:v>
      </x:c>
      <x:c r="G987" s="11" t="n">
        <x:v>0</x:v>
      </x:c>
      <x:c r="H987" s="11" t="n">
        <x:v>5.666666666666667</x:v>
      </x:c>
      <x:c r="I987" s="11" t="n">
        <x:f>H987-G987</x:f>
        <x:v>5.666666666666667</x:v>
      </x:c>
      <x:c r="J987" s="10" t="str">
        <x:v>새로 보이는 이 두 견적을 설치비는 제외하고 별도 비교표로 만들어줘.</x:v>
      </x:c>
      <x:c r="K987" s="10" t="str">
        <x:v>quote-L, quote-R의 설치비를 제외해 비교표 작성을 맡기겠습니다.</x:v>
      </x:c>
      <x:c r="L987" s="11"/>
      <x:c r="M987" s="11"/>
      <x:c r="N987" s="10" t="str">
        <x:v>NOT_MODELED</x:v>
      </x:c>
    </x:row>
    <x:row r="988" ht="85" customHeight="1">
      <x:c r="A988" s="10" t="str">
        <x:v>V-R2</x:v>
      </x:c>
      <x:c r="B988" s="10" t="str">
        <x:v>VOICE</x:v>
      </x:c>
      <x:c r="C988" s="10" t="str">
        <x:v>VOICE:S4-06</x:v>
      </x:c>
      <x:c r="D988" s="10" t="str">
        <x:v>VOICE:S4-06:input</x:v>
      </x:c>
      <x:c r="E988" s="10" t="str">
        <x:v>V-S4</x:v>
      </x:c>
      <x:c r="F988" s="10" t="n">
        <x:v>1</x:v>
      </x:c>
      <x:c r="G988" s="11" t="n">
        <x:v>0</x:v>
      </x:c>
      <x:c r="H988" s="11" t="n">
        <x:v>4.566666666666666</x:v>
      </x:c>
      <x:c r="I988" s="11" t="n">
        <x:f>H988-G988</x:f>
        <x:v>4.566666666666666</x:v>
      </x:c>
      <x:c r="J988" s="10" t="str">
        <x:v>새로 보이는 이 두 견적을 설치비는 제외하고 별도 비교표로 만들어줘.</x:v>
      </x:c>
      <x:c r="K988" s="10" t="str">
        <x:v>quote-L, quote-R의 설치비를 제외해 비교표 작성을 맡기겠습니다.</x:v>
      </x:c>
      <x:c r="L988" s="11"/>
      <x:c r="M988" s="11"/>
      <x:c r="N988" s="10" t="str">
        <x:v>NOT_MODELED</x:v>
      </x:c>
    </x:row>
    <x:row r="989" ht="85" customHeight="1">
      <x:c r="A989" s="10" t="str">
        <x:v>V-R3</x:v>
      </x:c>
      <x:c r="B989" s="10" t="str">
        <x:v>VOICE</x:v>
      </x:c>
      <x:c r="C989" s="10" t="str">
        <x:v>VOICE:S4-06</x:v>
      </x:c>
      <x:c r="D989" s="10" t="str">
        <x:v>VOICE:S4-06:input</x:v>
      </x:c>
      <x:c r="E989" s="10" t="str">
        <x:v>V-S4</x:v>
      </x:c>
      <x:c r="F989" s="10" t="n">
        <x:v>1</x:v>
      </x:c>
      <x:c r="G989" s="11" t="n">
        <x:v>0</x:v>
      </x:c>
      <x:c r="H989" s="11" t="n">
        <x:v>4.626666666666667</x:v>
      </x:c>
      <x:c r="I989" s="11" t="n">
        <x:f>H989-G989</x:f>
        <x:v>4.626666666666667</x:v>
      </x:c>
      <x:c r="J989" s="10" t="str">
        <x:v>새로 보이는 이 두 견적을 설치비는 제외하고 별도 비교표로 만들어줘.</x:v>
      </x:c>
      <x:c r="K989" s="10" t="str">
        <x:v>quote-L, quote-R의 설치비를 제외해 비교표 작성을 맡기겠습니다.</x:v>
      </x:c>
      <x:c r="L989" s="11"/>
      <x:c r="M989" s="11"/>
      <x:c r="N989" s="10" t="str">
        <x:v>NOT_MODELED</x:v>
      </x:c>
    </x:row>
    <x:row r="990" ht="85" customHeight="1">
      <x:c r="A990" s="10" t="str">
        <x:v>V-A</x:v>
      </x:c>
      <x:c r="B990" s="10" t="str">
        <x:v>VOICE</x:v>
      </x:c>
      <x:c r="C990" s="10" t="str">
        <x:v>VOICE:S4-07</x:v>
      </x:c>
      <x:c r="D990" s="10" t="str">
        <x:v>VOICE:S4-07:input</x:v>
      </x:c>
      <x:c r="E990" s="10" t="str">
        <x:v>V-S4</x:v>
      </x:c>
      <x:c r="F990" s="10" t="n">
        <x:v>1</x:v>
      </x:c>
      <x:c r="G990" s="11" t="n">
        <x:v>0</x:v>
      </x:c>
      <x:c r="H990" s="11" t="n">
        <x:v>3.4</x:v>
      </x:c>
      <x:c r="I990" s="11" t="n">
        <x:f>H990-G990</x:f>
        <x:v>3.4</x:v>
      </x:c>
      <x:c r="J990" s="10" t="str">
        <x:v>새로 보이는 이 두 견적을 설치비는 제외하고 별도 비교표로 만들어줘.</x:v>
      </x:c>
      <x:c r="K990" s="10" t="str">
        <x:v>quote-L, quote-R의 설치비를 제외해 비교표 작성을 맡기겠습니다.</x:v>
      </x:c>
      <x:c r="L990" s="11"/>
      <x:c r="M990" s="11"/>
      <x:c r="N990" s="10" t="str">
        <x:v>NOT_MODELED</x:v>
      </x:c>
    </x:row>
    <x:row r="991" ht="85" customHeight="1">
      <x:c r="A991" s="10" t="str">
        <x:v>V-R1</x:v>
      </x:c>
      <x:c r="B991" s="10" t="str">
        <x:v>VOICE</x:v>
      </x:c>
      <x:c r="C991" s="10" t="str">
        <x:v>VOICE:S4-07</x:v>
      </x:c>
      <x:c r="D991" s="10" t="str">
        <x:v>VOICE:S4-07:input</x:v>
      </x:c>
      <x:c r="E991" s="10" t="str">
        <x:v>V-S4</x:v>
      </x:c>
      <x:c r="F991" s="10" t="n">
        <x:v>1</x:v>
      </x:c>
      <x:c r="G991" s="11" t="n">
        <x:v>0</x:v>
      </x:c>
      <x:c r="H991" s="11" t="n">
        <x:v>5.666666666666667</x:v>
      </x:c>
      <x:c r="I991" s="11" t="n">
        <x:f>H991-G991</x:f>
        <x:v>5.666666666666667</x:v>
      </x:c>
      <x:c r="J991" s="10" t="str">
        <x:v>새로 보이는 이 두 견적을 설치비는 제외하고 별도 비교표로 만들어줘.</x:v>
      </x:c>
      <x:c r="K991" s="10" t="str">
        <x:v>quote-L, quote-R의 설치비를 제외해 비교표 작성을 맡기겠습니다.</x:v>
      </x:c>
      <x:c r="L991" s="11"/>
      <x:c r="M991" s="11"/>
      <x:c r="N991" s="10" t="str">
        <x:v>NOT_MODELED</x:v>
      </x:c>
    </x:row>
    <x:row r="992" ht="85" customHeight="1">
      <x:c r="A992" s="10" t="str">
        <x:v>V-R2</x:v>
      </x:c>
      <x:c r="B992" s="10" t="str">
        <x:v>VOICE</x:v>
      </x:c>
      <x:c r="C992" s="10" t="str">
        <x:v>VOICE:S4-07</x:v>
      </x:c>
      <x:c r="D992" s="10" t="str">
        <x:v>VOICE:S4-07:input</x:v>
      </x:c>
      <x:c r="E992" s="10" t="str">
        <x:v>V-S4</x:v>
      </x:c>
      <x:c r="F992" s="10" t="n">
        <x:v>1</x:v>
      </x:c>
      <x:c r="G992" s="11" t="n">
        <x:v>0</x:v>
      </x:c>
      <x:c r="H992" s="11" t="n">
        <x:v>4.566666666666666</x:v>
      </x:c>
      <x:c r="I992" s="11" t="n">
        <x:f>H992-G992</x:f>
        <x:v>4.566666666666666</x:v>
      </x:c>
      <x:c r="J992" s="10" t="str">
        <x:v>새로 보이는 이 두 견적을 설치비는 제외하고 별도 비교표로 만들어줘.</x:v>
      </x:c>
      <x:c r="K992" s="10" t="str">
        <x:v>quote-L, quote-R의 설치비를 제외해 비교표 작성을 맡기겠습니다.</x:v>
      </x:c>
      <x:c r="L992" s="11"/>
      <x:c r="M992" s="11"/>
      <x:c r="N992" s="10" t="str">
        <x:v>NOT_MODELED</x:v>
      </x:c>
    </x:row>
    <x:row r="993" ht="85" customHeight="1">
      <x:c r="A993" s="10" t="str">
        <x:v>V-R3</x:v>
      </x:c>
      <x:c r="B993" s="10" t="str">
        <x:v>VOICE</x:v>
      </x:c>
      <x:c r="C993" s="10" t="str">
        <x:v>VOICE:S4-07</x:v>
      </x:c>
      <x:c r="D993" s="10" t="str">
        <x:v>VOICE:S4-07:input</x:v>
      </x:c>
      <x:c r="E993" s="10" t="str">
        <x:v>V-S4</x:v>
      </x:c>
      <x:c r="F993" s="10" t="n">
        <x:v>1</x:v>
      </x:c>
      <x:c r="G993" s="11" t="n">
        <x:v>0</x:v>
      </x:c>
      <x:c r="H993" s="11" t="n">
        <x:v>4.626666666666667</x:v>
      </x:c>
      <x:c r="I993" s="11" t="n">
        <x:f>H993-G993</x:f>
        <x:v>4.626666666666667</x:v>
      </x:c>
      <x:c r="J993" s="10" t="str">
        <x:v>새로 보이는 이 두 견적을 설치비는 제외하고 별도 비교표로 만들어줘.</x:v>
      </x:c>
      <x:c r="K993" s="10" t="str">
        <x:v>quote-L, quote-R의 설치비를 제외해 비교표 작성을 맡기겠습니다.</x:v>
      </x:c>
      <x:c r="L993" s="11"/>
      <x:c r="M993" s="11"/>
      <x:c r="N993" s="10" t="str">
        <x:v>NOT_MODELED</x:v>
      </x:c>
    </x:row>
    <x:row r="994" ht="85" customHeight="1">
      <x:c r="A994" s="10" t="str">
        <x:v>V-A</x:v>
      </x:c>
      <x:c r="B994" s="10" t="str">
        <x:v>VOICE</x:v>
      </x:c>
      <x:c r="C994" s="10" t="str">
        <x:v>VOICE:S4-08</x:v>
      </x:c>
      <x:c r="D994" s="10" t="str">
        <x:v>VOICE:S4-08:input</x:v>
      </x:c>
      <x:c r="E994" s="10" t="str">
        <x:v>V-S4</x:v>
      </x:c>
      <x:c r="F994" s="10" t="n">
        <x:v>1</x:v>
      </x:c>
      <x:c r="G994" s="11" t="n">
        <x:v>0</x:v>
      </x:c>
      <x:c r="H994" s="11" t="n">
        <x:v>3.4</x:v>
      </x:c>
      <x:c r="I994" s="11" t="n">
        <x:f>H994-G994</x:f>
        <x:v>3.4</x:v>
      </x:c>
      <x:c r="J994" s="10" t="str">
        <x:v>새로 보이는 이 두 견적을 설치비는 제외하고 별도 비교표로 만들어줘.</x:v>
      </x:c>
      <x:c r="K994" s="10" t="str">
        <x:v>quote-L, quote-R의 설치비를 제외해 비교표 작성을 맡기겠습니다.</x:v>
      </x:c>
      <x:c r="L994" s="11"/>
      <x:c r="M994" s="11"/>
      <x:c r="N994" s="10" t="str">
        <x:v>NOT_MODELED</x:v>
      </x:c>
    </x:row>
    <x:row r="995" ht="85" customHeight="1">
      <x:c r="A995" s="10" t="str">
        <x:v>V-R1</x:v>
      </x:c>
      <x:c r="B995" s="10" t="str">
        <x:v>VOICE</x:v>
      </x:c>
      <x:c r="C995" s="10" t="str">
        <x:v>VOICE:S4-08</x:v>
      </x:c>
      <x:c r="D995" s="10" t="str">
        <x:v>VOICE:S4-08:input</x:v>
      </x:c>
      <x:c r="E995" s="10" t="str">
        <x:v>V-S4</x:v>
      </x:c>
      <x:c r="F995" s="10" t="n">
        <x:v>1</x:v>
      </x:c>
      <x:c r="G995" s="11" t="n">
        <x:v>0</x:v>
      </x:c>
      <x:c r="H995" s="11" t="n">
        <x:v>5.666666666666667</x:v>
      </x:c>
      <x:c r="I995" s="11" t="n">
        <x:f>H995-G995</x:f>
        <x:v>5.666666666666667</x:v>
      </x:c>
      <x:c r="J995" s="10" t="str">
        <x:v>새로 보이는 이 두 견적을 설치비는 제외하고 별도 비교표로 만들어줘.</x:v>
      </x:c>
      <x:c r="K995" s="10" t="str">
        <x:v>quote-L, quote-R의 설치비를 제외해 비교표 작성을 맡기겠습니다.</x:v>
      </x:c>
      <x:c r="L995" s="11"/>
      <x:c r="M995" s="11"/>
      <x:c r="N995" s="10" t="str">
        <x:v>NOT_MODELED</x:v>
      </x:c>
    </x:row>
    <x:row r="996" ht="85" customHeight="1">
      <x:c r="A996" s="10" t="str">
        <x:v>V-R2</x:v>
      </x:c>
      <x:c r="B996" s="10" t="str">
        <x:v>VOICE</x:v>
      </x:c>
      <x:c r="C996" s="10" t="str">
        <x:v>VOICE:S4-08</x:v>
      </x:c>
      <x:c r="D996" s="10" t="str">
        <x:v>VOICE:S4-08:input</x:v>
      </x:c>
      <x:c r="E996" s="10" t="str">
        <x:v>V-S4</x:v>
      </x:c>
      <x:c r="F996" s="10" t="n">
        <x:v>1</x:v>
      </x:c>
      <x:c r="G996" s="11" t="n">
        <x:v>0</x:v>
      </x:c>
      <x:c r="H996" s="11" t="n">
        <x:v>4.566666666666666</x:v>
      </x:c>
      <x:c r="I996" s="11" t="n">
        <x:f>H996-G996</x:f>
        <x:v>4.566666666666666</x:v>
      </x:c>
      <x:c r="J996" s="10" t="str">
        <x:v>새로 보이는 이 두 견적을 설치비는 제외하고 별도 비교표로 만들어줘.</x:v>
      </x:c>
      <x:c r="K996" s="10" t="str">
        <x:v>quote-L, quote-R의 설치비를 제외해 비교표 작성을 맡기겠습니다.</x:v>
      </x:c>
      <x:c r="L996" s="11"/>
      <x:c r="M996" s="11"/>
      <x:c r="N996" s="10" t="str">
        <x:v>NOT_MODELED</x:v>
      </x:c>
    </x:row>
    <x:row r="997" ht="85" customHeight="1">
      <x:c r="A997" s="10" t="str">
        <x:v>V-R3</x:v>
      </x:c>
      <x:c r="B997" s="10" t="str">
        <x:v>VOICE</x:v>
      </x:c>
      <x:c r="C997" s="10" t="str">
        <x:v>VOICE:S4-08</x:v>
      </x:c>
      <x:c r="D997" s="10" t="str">
        <x:v>VOICE:S4-08:input</x:v>
      </x:c>
      <x:c r="E997" s="10" t="str">
        <x:v>V-S4</x:v>
      </x:c>
      <x:c r="F997" s="10" t="n">
        <x:v>1</x:v>
      </x:c>
      <x:c r="G997" s="11" t="n">
        <x:v>0</x:v>
      </x:c>
      <x:c r="H997" s="11" t="n">
        <x:v>4.626666666666667</x:v>
      </x:c>
      <x:c r="I997" s="11" t="n">
        <x:f>H997-G997</x:f>
        <x:v>4.626666666666667</x:v>
      </x:c>
      <x:c r="J997" s="10" t="str">
        <x:v>새로 보이는 이 두 견적을 설치비는 제외하고 별도 비교표로 만들어줘.</x:v>
      </x:c>
      <x:c r="K997" s="10" t="str">
        <x:v>quote-L, quote-R의 설치비를 제외해 비교표 작성을 맡기겠습니다.</x:v>
      </x:c>
      <x:c r="L997" s="11"/>
      <x:c r="M997" s="11"/>
      <x:c r="N997" s="10" t="str">
        <x:v>NOT_MODELED</x:v>
      </x:c>
    </x:row>
    <x:row r="998" ht="85" customHeight="1">
      <x:c r="A998" s="10" t="str">
        <x:v>V-A</x:v>
      </x:c>
      <x:c r="B998" s="10" t="str">
        <x:v>VOICE</x:v>
      </x:c>
      <x:c r="C998" s="10" t="str">
        <x:v>VOICE:S4-09</x:v>
      </x:c>
      <x:c r="D998" s="10" t="str">
        <x:v>VOICE:S4-09:input</x:v>
      </x:c>
      <x:c r="E998" s="10" t="str">
        <x:v>V-S4</x:v>
      </x:c>
      <x:c r="F998" s="10" t="n">
        <x:v>1</x:v>
      </x:c>
      <x:c r="G998" s="11" t="n">
        <x:v>0</x:v>
      </x:c>
      <x:c r="H998" s="11" t="n">
        <x:v>3.4</x:v>
      </x:c>
      <x:c r="I998" s="11" t="n">
        <x:f>H998-G998</x:f>
        <x:v>3.4</x:v>
      </x:c>
      <x:c r="J998" s="10" t="str">
        <x:v>새로 보이는 이 두 견적을 설치비는 제외하고 별도 비교표로 만들어줘.</x:v>
      </x:c>
      <x:c r="K998" s="10" t="str">
        <x:v>quote-L, quote-R의 설치비를 제외해 비교표 작성을 맡기겠습니다.</x:v>
      </x:c>
      <x:c r="L998" s="11"/>
      <x:c r="M998" s="11"/>
      <x:c r="N998" s="10" t="str">
        <x:v>NOT_MODELED</x:v>
      </x:c>
    </x:row>
    <x:row r="999" ht="85" customHeight="1">
      <x:c r="A999" s="10" t="str">
        <x:v>V-R1</x:v>
      </x:c>
      <x:c r="B999" s="10" t="str">
        <x:v>VOICE</x:v>
      </x:c>
      <x:c r="C999" s="10" t="str">
        <x:v>VOICE:S4-09</x:v>
      </x:c>
      <x:c r="D999" s="10" t="str">
        <x:v>VOICE:S4-09:input</x:v>
      </x:c>
      <x:c r="E999" s="10" t="str">
        <x:v>V-S4</x:v>
      </x:c>
      <x:c r="F999" s="10" t="n">
        <x:v>1</x:v>
      </x:c>
      <x:c r="G999" s="11" t="n">
        <x:v>0</x:v>
      </x:c>
      <x:c r="H999" s="11" t="n">
        <x:v>5.666666666666667</x:v>
      </x:c>
      <x:c r="I999" s="11" t="n">
        <x:f>H999-G999</x:f>
        <x:v>5.666666666666667</x:v>
      </x:c>
      <x:c r="J999" s="10" t="str">
        <x:v>새로 보이는 이 두 견적을 설치비는 제외하고 별도 비교표로 만들어줘.</x:v>
      </x:c>
      <x:c r="K999" s="10" t="str">
        <x:v>quote-L, quote-R의 설치비를 제외해 비교표 작성을 맡기겠습니다.</x:v>
      </x:c>
      <x:c r="L999" s="11"/>
      <x:c r="M999" s="11"/>
      <x:c r="N999" s="10" t="str">
        <x:v>NOT_MODELED</x:v>
      </x:c>
    </x:row>
    <x:row r="1000" ht="85" customHeight="1">
      <x:c r="A1000" s="10" t="str">
        <x:v>V-R2</x:v>
      </x:c>
      <x:c r="B1000" s="10" t="str">
        <x:v>VOICE</x:v>
      </x:c>
      <x:c r="C1000" s="10" t="str">
        <x:v>VOICE:S4-09</x:v>
      </x:c>
      <x:c r="D1000" s="10" t="str">
        <x:v>VOICE:S4-09:input</x:v>
      </x:c>
      <x:c r="E1000" s="10" t="str">
        <x:v>V-S4</x:v>
      </x:c>
      <x:c r="F1000" s="10" t="n">
        <x:v>1</x:v>
      </x:c>
      <x:c r="G1000" s="11" t="n">
        <x:v>0</x:v>
      </x:c>
      <x:c r="H1000" s="11" t="n">
        <x:v>4.566666666666666</x:v>
      </x:c>
      <x:c r="I1000" s="11" t="n">
        <x:f>H1000-G1000</x:f>
        <x:v>4.566666666666666</x:v>
      </x:c>
      <x:c r="J1000" s="10" t="str">
        <x:v>새로 보이는 이 두 견적을 설치비는 제외하고 별도 비교표로 만들어줘.</x:v>
      </x:c>
      <x:c r="K1000" s="10" t="str">
        <x:v>quote-L, quote-R의 설치비를 제외해 비교표 작성을 맡기겠습니다.</x:v>
      </x:c>
      <x:c r="L1000" s="11"/>
      <x:c r="M1000" s="11"/>
      <x:c r="N1000" s="10" t="str">
        <x:v>NOT_MODELED</x:v>
      </x:c>
    </x:row>
    <x:row r="1001" ht="85" customHeight="1">
      <x:c r="A1001" s="10" t="str">
        <x:v>V-R3</x:v>
      </x:c>
      <x:c r="B1001" s="10" t="str">
        <x:v>VOICE</x:v>
      </x:c>
      <x:c r="C1001" s="10" t="str">
        <x:v>VOICE:S4-09</x:v>
      </x:c>
      <x:c r="D1001" s="10" t="str">
        <x:v>VOICE:S4-09:input</x:v>
      </x:c>
      <x:c r="E1001" s="10" t="str">
        <x:v>V-S4</x:v>
      </x:c>
      <x:c r="F1001" s="10" t="n">
        <x:v>1</x:v>
      </x:c>
      <x:c r="G1001" s="11" t="n">
        <x:v>0</x:v>
      </x:c>
      <x:c r="H1001" s="11" t="n">
        <x:v>4.626666666666667</x:v>
      </x:c>
      <x:c r="I1001" s="11" t="n">
        <x:f>H1001-G1001</x:f>
        <x:v>4.626666666666667</x:v>
      </x:c>
      <x:c r="J1001" s="10" t="str">
        <x:v>새로 보이는 이 두 견적을 설치비는 제외하고 별도 비교표로 만들어줘.</x:v>
      </x:c>
      <x:c r="K1001" s="10" t="str">
        <x:v>quote-L, quote-R의 설치비를 제외해 비교표 작성을 맡기겠습니다.</x:v>
      </x:c>
      <x:c r="L1001" s="11"/>
      <x:c r="M1001" s="11"/>
      <x:c r="N1001" s="10" t="str">
        <x:v>NOT_MODELED</x:v>
      </x:c>
    </x:row>
    <x:row r="1002" ht="85" customHeight="1">
      <x:c r="A1002" s="10" t="str">
        <x:v>V-A</x:v>
      </x:c>
      <x:c r="B1002" s="10" t="str">
        <x:v>VOICE</x:v>
      </x:c>
      <x:c r="C1002" s="10" t="str">
        <x:v>VOICE:S4-10</x:v>
      </x:c>
      <x:c r="D1002" s="10" t="str">
        <x:v>VOICE:S4-10:input</x:v>
      </x:c>
      <x:c r="E1002" s="10" t="str">
        <x:v>V-S4</x:v>
      </x:c>
      <x:c r="F1002" s="10" t="n">
        <x:v>1</x:v>
      </x:c>
      <x:c r="G1002" s="11" t="n">
        <x:v>0</x:v>
      </x:c>
      <x:c r="H1002" s="11" t="n">
        <x:v>3.4</x:v>
      </x:c>
      <x:c r="I1002" s="11" t="n">
        <x:f>H1002-G1002</x:f>
        <x:v>3.4</x:v>
      </x:c>
      <x:c r="J1002" s="10" t="str">
        <x:v>새로 보이는 이 두 견적을 설치비는 제외하고 별도 비교표로 만들어줘.</x:v>
      </x:c>
      <x:c r="K1002" s="10" t="str">
        <x:v>quote-L, quote-R의 설치비를 포함해 비교표 작성을 맡기겠습니다.</x:v>
      </x:c>
      <x:c r="L1002" s="11"/>
      <x:c r="M1002" s="11"/>
      <x:c r="N1002" s="10" t="str">
        <x:v>NOT_MODELED</x:v>
      </x:c>
    </x:row>
    <x:row r="1003" ht="85" customHeight="1">
      <x:c r="A1003" s="10" t="str">
        <x:v>V-R1</x:v>
      </x:c>
      <x:c r="B1003" s="10" t="str">
        <x:v>VOICE</x:v>
      </x:c>
      <x:c r="C1003" s="10" t="str">
        <x:v>VOICE:S4-10</x:v>
      </x:c>
      <x:c r="D1003" s="10" t="str">
        <x:v>VOICE:S4-10:input</x:v>
      </x:c>
      <x:c r="E1003" s="10" t="str">
        <x:v>V-S4</x:v>
      </x:c>
      <x:c r="F1003" s="10" t="n">
        <x:v>1</x:v>
      </x:c>
      <x:c r="G1003" s="11" t="n">
        <x:v>0</x:v>
      </x:c>
      <x:c r="H1003" s="11" t="n">
        <x:v>5.666666666666667</x:v>
      </x:c>
      <x:c r="I1003" s="11" t="n">
        <x:f>H1003-G1003</x:f>
        <x:v>5.666666666666667</x:v>
      </x:c>
      <x:c r="J1003" s="10" t="str">
        <x:v>새로 보이는 이 두 견적을 설치비는 제외하고 별도 비교표로 만들어줘.</x:v>
      </x:c>
      <x:c r="K1003" s="10" t="str">
        <x:v>quote-L, quote-R의 설치비를 포함해 비교표 작성을 맡기겠습니다.</x:v>
      </x:c>
      <x:c r="L1003" s="11"/>
      <x:c r="M1003" s="11"/>
      <x:c r="N1003" s="10" t="str">
        <x:v>NOT_MODELED</x:v>
      </x:c>
    </x:row>
    <x:row r="1004" ht="85" customHeight="1">
      <x:c r="A1004" s="10" t="str">
        <x:v>V-R2</x:v>
      </x:c>
      <x:c r="B1004" s="10" t="str">
        <x:v>VOICE</x:v>
      </x:c>
      <x:c r="C1004" s="10" t="str">
        <x:v>VOICE:S4-10</x:v>
      </x:c>
      <x:c r="D1004" s="10" t="str">
        <x:v>VOICE:S4-10:input</x:v>
      </x:c>
      <x:c r="E1004" s="10" t="str">
        <x:v>V-S4</x:v>
      </x:c>
      <x:c r="F1004" s="10" t="n">
        <x:v>1</x:v>
      </x:c>
      <x:c r="G1004" s="11" t="n">
        <x:v>0</x:v>
      </x:c>
      <x:c r="H1004" s="11" t="n">
        <x:v>4.566666666666666</x:v>
      </x:c>
      <x:c r="I1004" s="11" t="n">
        <x:f>H1004-G1004</x:f>
        <x:v>4.566666666666666</x:v>
      </x:c>
      <x:c r="J1004" s="10" t="str">
        <x:v>새로 보이는 이 두 견적을 설치비는 제외하고 별도 비교표로 만들어줘.</x:v>
      </x:c>
      <x:c r="K1004" s="10" t="str">
        <x:v>quote-L, quote-R의 설치비를 포함해 비교표 작성을 맡기겠습니다.</x:v>
      </x:c>
      <x:c r="L1004" s="11"/>
      <x:c r="M1004" s="11"/>
      <x:c r="N1004" s="10" t="str">
        <x:v>NOT_MODELED</x:v>
      </x:c>
    </x:row>
    <x:row r="1005" ht="85" customHeight="1">
      <x:c r="A1005" s="10" t="str">
        <x:v>V-R3</x:v>
      </x:c>
      <x:c r="B1005" s="10" t="str">
        <x:v>VOICE</x:v>
      </x:c>
      <x:c r="C1005" s="10" t="str">
        <x:v>VOICE:S4-10</x:v>
      </x:c>
      <x:c r="D1005" s="10" t="str">
        <x:v>VOICE:S4-10:input</x:v>
      </x:c>
      <x:c r="E1005" s="10" t="str">
        <x:v>V-S4</x:v>
      </x:c>
      <x:c r="F1005" s="10" t="n">
        <x:v>1</x:v>
      </x:c>
      <x:c r="G1005" s="11" t="n">
        <x:v>0</x:v>
      </x:c>
      <x:c r="H1005" s="11" t="n">
        <x:v>4.626666666666667</x:v>
      </x:c>
      <x:c r="I1005" s="11" t="n">
        <x:f>H1005-G1005</x:f>
        <x:v>4.626666666666667</x:v>
      </x:c>
      <x:c r="J1005" s="10" t="str">
        <x:v>새로 보이는 이 두 견적을 설치비는 제외하고 별도 비교표로 만들어줘.</x:v>
      </x:c>
      <x:c r="K1005" s="10" t="str">
        <x:v>quote-L, quote-R의 설치비를 포함해 비교표 작성을 맡기겠습니다.</x:v>
      </x:c>
      <x:c r="L1005" s="11"/>
      <x:c r="M1005" s="11"/>
      <x:c r="N1005" s="10" t="str">
        <x:v>NOT_MODELED</x:v>
      </x:c>
    </x:row>
    <x:row r="1006" ht="85" customHeight="1">
      <x:c r="A1006" s="10" t="str">
        <x:v>V-A</x:v>
      </x:c>
      <x:c r="B1006" s="10" t="str">
        <x:v>VOICE</x:v>
      </x:c>
      <x:c r="C1006" s="10" t="str">
        <x:v>VOICE:S4-11</x:v>
      </x:c>
      <x:c r="D1006" s="10" t="str">
        <x:v>VOICE:S4-11:input</x:v>
      </x:c>
      <x:c r="E1006" s="10" t="str">
        <x:v>V-S4</x:v>
      </x:c>
      <x:c r="F1006" s="10" t="n">
        <x:v>1</x:v>
      </x:c>
      <x:c r="G1006" s="11" t="n">
        <x:v>0</x:v>
      </x:c>
      <x:c r="H1006" s="11" t="n">
        <x:v>3.4</x:v>
      </x:c>
      <x:c r="I1006" s="11" t="n">
        <x:f>H1006-G1006</x:f>
        <x:v>3.4</x:v>
      </x:c>
      <x:c r="J1006" s="10" t="str">
        <x:v>새로 보이는 이 두 견적을 설치비는 제외하고 별도 비교표로 만들어줘.</x:v>
      </x:c>
      <x:c r="K1006" s="10" t="str">
        <x:v>quote-L, quote-R의 설치비를 제외해 비교표 작성을 맡기겠습니다.</x:v>
      </x:c>
      <x:c r="L1006" s="11"/>
      <x:c r="M1006" s="11"/>
      <x:c r="N1006" s="10" t="str">
        <x:v>NOT_MODELED</x:v>
      </x:c>
    </x:row>
    <x:row r="1007" ht="85" customHeight="1">
      <x:c r="A1007" s="10" t="str">
        <x:v>V-R1</x:v>
      </x:c>
      <x:c r="B1007" s="10" t="str">
        <x:v>VOICE</x:v>
      </x:c>
      <x:c r="C1007" s="10" t="str">
        <x:v>VOICE:S4-11</x:v>
      </x:c>
      <x:c r="D1007" s="10" t="str">
        <x:v>VOICE:S4-11:input</x:v>
      </x:c>
      <x:c r="E1007" s="10" t="str">
        <x:v>V-S4</x:v>
      </x:c>
      <x:c r="F1007" s="10" t="n">
        <x:v>1</x:v>
      </x:c>
      <x:c r="G1007" s="11" t="n">
        <x:v>0</x:v>
      </x:c>
      <x:c r="H1007" s="11" t="n">
        <x:v>5.666666666666667</x:v>
      </x:c>
      <x:c r="I1007" s="11" t="n">
        <x:f>H1007-G1007</x:f>
        <x:v>5.666666666666667</x:v>
      </x:c>
      <x:c r="J1007" s="10" t="str">
        <x:v>새로 보이는 이 두 견적을 설치비는 제외하고 별도 비교표로 만들어줘.</x:v>
      </x:c>
      <x:c r="K1007" s="10" t="str">
        <x:v>quote-L, quote-R의 설치비를 제외해 비교표 작성을 맡기겠습니다.</x:v>
      </x:c>
      <x:c r="L1007" s="11"/>
      <x:c r="M1007" s="11"/>
      <x:c r="N1007" s="10" t="str">
        <x:v>NOT_MODELED</x:v>
      </x:c>
    </x:row>
    <x:row r="1008" ht="85" customHeight="1">
      <x:c r="A1008" s="10" t="str">
        <x:v>V-R2</x:v>
      </x:c>
      <x:c r="B1008" s="10" t="str">
        <x:v>VOICE</x:v>
      </x:c>
      <x:c r="C1008" s="10" t="str">
        <x:v>VOICE:S4-11</x:v>
      </x:c>
      <x:c r="D1008" s="10" t="str">
        <x:v>VOICE:S4-11:input</x:v>
      </x:c>
      <x:c r="E1008" s="10" t="str">
        <x:v>V-S4</x:v>
      </x:c>
      <x:c r="F1008" s="10" t="n">
        <x:v>1</x:v>
      </x:c>
      <x:c r="G1008" s="11" t="n">
        <x:v>0</x:v>
      </x:c>
      <x:c r="H1008" s="11" t="n">
        <x:v>4.566666666666666</x:v>
      </x:c>
      <x:c r="I1008" s="11" t="n">
        <x:f>H1008-G1008</x:f>
        <x:v>4.566666666666666</x:v>
      </x:c>
      <x:c r="J1008" s="10" t="str">
        <x:v>새로 보이는 이 두 견적을 설치비는 제외하고 별도 비교표로 만들어줘.</x:v>
      </x:c>
      <x:c r="K1008" s="10" t="str">
        <x:v>quote-L, quote-R의 설치비를 제외해 비교표 작성을 맡기겠습니다.</x:v>
      </x:c>
      <x:c r="L1008" s="11"/>
      <x:c r="M1008" s="11"/>
      <x:c r="N1008" s="10" t="str">
        <x:v>NOT_MODELED</x:v>
      </x:c>
    </x:row>
    <x:row r="1009" ht="85" customHeight="1">
      <x:c r="A1009" s="10" t="str">
        <x:v>V-R3</x:v>
      </x:c>
      <x:c r="B1009" s="10" t="str">
        <x:v>VOICE</x:v>
      </x:c>
      <x:c r="C1009" s="10" t="str">
        <x:v>VOICE:S4-11</x:v>
      </x:c>
      <x:c r="D1009" s="10" t="str">
        <x:v>VOICE:S4-11:input</x:v>
      </x:c>
      <x:c r="E1009" s="10" t="str">
        <x:v>V-S4</x:v>
      </x:c>
      <x:c r="F1009" s="10" t="n">
        <x:v>1</x:v>
      </x:c>
      <x:c r="G1009" s="11" t="n">
        <x:v>0</x:v>
      </x:c>
      <x:c r="H1009" s="11" t="n">
        <x:v>4.626666666666667</x:v>
      </x:c>
      <x:c r="I1009" s="11" t="n">
        <x:f>H1009-G1009</x:f>
        <x:v>4.626666666666667</x:v>
      </x:c>
      <x:c r="J1009" s="10" t="str">
        <x:v>새로 보이는 이 두 견적을 설치비는 제외하고 별도 비교표로 만들어줘.</x:v>
      </x:c>
      <x:c r="K1009" s="10" t="str">
        <x:v>quote-L, quote-R의 설치비를 제외해 비교표 작성을 맡기겠습니다.</x:v>
      </x:c>
      <x:c r="L1009" s="11"/>
      <x:c r="M1009" s="11"/>
      <x:c r="N1009" s="10" t="str">
        <x:v>NOT_MODELED</x:v>
      </x:c>
    </x:row>
    <x:row r="1010" ht="85" customHeight="1">
      <x:c r="A1010" s="10" t="str">
        <x:v>V-A</x:v>
      </x:c>
      <x:c r="B1010" s="10" t="str">
        <x:v>VOICE</x:v>
      </x:c>
      <x:c r="C1010" s="10" t="str">
        <x:v>VOICE:S4-12</x:v>
      </x:c>
      <x:c r="D1010" s="10" t="str">
        <x:v>VOICE:S4-12:input</x:v>
      </x:c>
      <x:c r="E1010" s="10" t="str">
        <x:v>V-S4</x:v>
      </x:c>
      <x:c r="F1010" s="10" t="n">
        <x:v>1</x:v>
      </x:c>
      <x:c r="G1010" s="11" t="n">
        <x:v>0</x:v>
      </x:c>
      <x:c r="H1010" s="11" t="n">
        <x:v>3.4</x:v>
      </x:c>
      <x:c r="I1010" s="11" t="n">
        <x:f>H1010-G1010</x:f>
        <x:v>3.4</x:v>
      </x:c>
      <x:c r="J1010" s="10" t="str">
        <x:v>새로 보이는 이 두 견적을 설치비는 제외하고 별도 비교표로 만들어줘.</x:v>
      </x:c>
      <x:c r="K1010" s="10" t="str">
        <x:v>quote-L, quote-R의 설치비를 제외해 비교표 작성을 맡기겠습니다.</x:v>
      </x:c>
      <x:c r="L1010" s="11"/>
      <x:c r="M1010" s="11"/>
      <x:c r="N1010" s="10" t="str">
        <x:v>NOT_MODELED</x:v>
      </x:c>
    </x:row>
    <x:row r="1011" ht="85" customHeight="1">
      <x:c r="A1011" s="10" t="str">
        <x:v>V-R1</x:v>
      </x:c>
      <x:c r="B1011" s="10" t="str">
        <x:v>VOICE</x:v>
      </x:c>
      <x:c r="C1011" s="10" t="str">
        <x:v>VOICE:S4-12</x:v>
      </x:c>
      <x:c r="D1011" s="10" t="str">
        <x:v>VOICE:S4-12:input</x:v>
      </x:c>
      <x:c r="E1011" s="10" t="str">
        <x:v>V-S4</x:v>
      </x:c>
      <x:c r="F1011" s="10" t="n">
        <x:v>1</x:v>
      </x:c>
      <x:c r="G1011" s="11" t="n">
        <x:v>0</x:v>
      </x:c>
      <x:c r="H1011" s="11" t="n">
        <x:v>5.666666666666667</x:v>
      </x:c>
      <x:c r="I1011" s="11" t="n">
        <x:f>H1011-G1011</x:f>
        <x:v>5.666666666666667</x:v>
      </x:c>
      <x:c r="J1011" s="10" t="str">
        <x:v>새로 보이는 이 두 견적을 설치비는 제외하고 별도 비교표로 만들어줘.</x:v>
      </x:c>
      <x:c r="K1011" s="10" t="str">
        <x:v>quote-L, quote-R의 설치비를 제외해 비교표 작성을 맡기겠습니다.</x:v>
      </x:c>
      <x:c r="L1011" s="11"/>
      <x:c r="M1011" s="11"/>
      <x:c r="N1011" s="10" t="str">
        <x:v>NOT_MODELED</x:v>
      </x:c>
    </x:row>
    <x:row r="1012" ht="85" customHeight="1">
      <x:c r="A1012" s="10" t="str">
        <x:v>V-R2</x:v>
      </x:c>
      <x:c r="B1012" s="10" t="str">
        <x:v>VOICE</x:v>
      </x:c>
      <x:c r="C1012" s="10" t="str">
        <x:v>VOICE:S4-12</x:v>
      </x:c>
      <x:c r="D1012" s="10" t="str">
        <x:v>VOICE:S4-12:input</x:v>
      </x:c>
      <x:c r="E1012" s="10" t="str">
        <x:v>V-S4</x:v>
      </x:c>
      <x:c r="F1012" s="10" t="n">
        <x:v>1</x:v>
      </x:c>
      <x:c r="G1012" s="11" t="n">
        <x:v>0</x:v>
      </x:c>
      <x:c r="H1012" s="11" t="n">
        <x:v>4.566666666666666</x:v>
      </x:c>
      <x:c r="I1012" s="11" t="n">
        <x:f>H1012-G1012</x:f>
        <x:v>4.566666666666666</x:v>
      </x:c>
      <x:c r="J1012" s="10" t="str">
        <x:v>새로 보이는 이 두 견적을 설치비는 제외하고 별도 비교표로 만들어줘.</x:v>
      </x:c>
      <x:c r="K1012" s="10" t="str">
        <x:v>quote-L, quote-R의 설치비를 제외해 비교표 작성을 맡기겠습니다.</x:v>
      </x:c>
      <x:c r="L1012" s="11"/>
      <x:c r="M1012" s="11"/>
      <x:c r="N1012" s="10" t="str">
        <x:v>NOT_MODELED</x:v>
      </x:c>
    </x:row>
    <x:row r="1013" ht="85" customHeight="1">
      <x:c r="A1013" s="10" t="str">
        <x:v>V-R3</x:v>
      </x:c>
      <x:c r="B1013" s="10" t="str">
        <x:v>VOICE</x:v>
      </x:c>
      <x:c r="C1013" s="10" t="str">
        <x:v>VOICE:S4-12</x:v>
      </x:c>
      <x:c r="D1013" s="10" t="str">
        <x:v>VOICE:S4-12:input</x:v>
      </x:c>
      <x:c r="E1013" s="10" t="str">
        <x:v>V-S4</x:v>
      </x:c>
      <x:c r="F1013" s="10" t="n">
        <x:v>1</x:v>
      </x:c>
      <x:c r="G1013" s="11" t="n">
        <x:v>0</x:v>
      </x:c>
      <x:c r="H1013" s="11" t="n">
        <x:v>4.626666666666667</x:v>
      </x:c>
      <x:c r="I1013" s="11" t="n">
        <x:f>H1013-G1013</x:f>
        <x:v>4.626666666666667</x:v>
      </x:c>
      <x:c r="J1013" s="10" t="str">
        <x:v>새로 보이는 이 두 견적을 설치비는 제외하고 별도 비교표로 만들어줘.</x:v>
      </x:c>
      <x:c r="K1013" s="10" t="str">
        <x:v>quote-L, quote-R의 설치비를 제외해 비교표 작성을 맡기겠습니다.</x:v>
      </x:c>
      <x:c r="L1013" s="11"/>
      <x:c r="M1013" s="11"/>
      <x:c r="N1013" s="10" t="str">
        <x:v>NOT_MODELED</x:v>
      </x:c>
    </x:row>
    <x:row r="1014" ht="85" customHeight="1">
      <x:c r="A1014" s="10" t="str">
        <x:v>V-A</x:v>
      </x:c>
      <x:c r="B1014" s="10" t="str">
        <x:v>VOICE</x:v>
      </x:c>
      <x:c r="C1014" s="10" t="str">
        <x:v>VOICE:S4-13</x:v>
      </x:c>
      <x:c r="D1014" s="10" t="str">
        <x:v>VOICE:S4-13:input</x:v>
      </x:c>
      <x:c r="E1014" s="10" t="str">
        <x:v>V-S4</x:v>
      </x:c>
      <x:c r="F1014" s="10" t="n">
        <x:v>1</x:v>
      </x:c>
      <x:c r="G1014" s="11" t="n">
        <x:v>0</x:v>
      </x:c>
      <x:c r="H1014" s="11" t="n">
        <x:v>3.4</x:v>
      </x:c>
      <x:c r="I1014" s="11" t="n">
        <x:f>H1014-G1014</x:f>
        <x:v>3.4</x:v>
      </x:c>
      <x:c r="J1014" s="10" t="str">
        <x:v>새로 보이는 이 두 견적을 설치비는 제외하고 별도 비교표로 만들어줘.</x:v>
      </x:c>
      <x:c r="K1014" s="10" t="str">
        <x:v>quote-L, quote-R의 설치비를 제외해 비교표 작성을 맡기겠습니다.</x:v>
      </x:c>
      <x:c r="L1014" s="11"/>
      <x:c r="M1014" s="11"/>
      <x:c r="N1014" s="10" t="str">
        <x:v>NOT_MODELED</x:v>
      </x:c>
    </x:row>
    <x:row r="1015" ht="85" customHeight="1">
      <x:c r="A1015" s="10" t="str">
        <x:v>V-R1</x:v>
      </x:c>
      <x:c r="B1015" s="10" t="str">
        <x:v>VOICE</x:v>
      </x:c>
      <x:c r="C1015" s="10" t="str">
        <x:v>VOICE:S4-13</x:v>
      </x:c>
      <x:c r="D1015" s="10" t="str">
        <x:v>VOICE:S4-13:input</x:v>
      </x:c>
      <x:c r="E1015" s="10" t="str">
        <x:v>V-S4</x:v>
      </x:c>
      <x:c r="F1015" s="10" t="n">
        <x:v>1</x:v>
      </x:c>
      <x:c r="G1015" s="11" t="n">
        <x:v>0</x:v>
      </x:c>
      <x:c r="H1015" s="11" t="n">
        <x:v>5.666666666666667</x:v>
      </x:c>
      <x:c r="I1015" s="11" t="n">
        <x:f>H1015-G1015</x:f>
        <x:v>5.666666666666667</x:v>
      </x:c>
      <x:c r="J1015" s="10" t="str">
        <x:v>새로 보이는 이 두 견적을 설치비는 제외하고 별도 비교표로 만들어줘.</x:v>
      </x:c>
      <x:c r="K1015" s="10" t="str">
        <x:v>quote-L, quote-R의 설치비를 제외해 비교표 작성을 맡기겠습니다.</x:v>
      </x:c>
      <x:c r="L1015" s="11"/>
      <x:c r="M1015" s="11"/>
      <x:c r="N1015" s="10" t="str">
        <x:v>NOT_MODELED</x:v>
      </x:c>
    </x:row>
    <x:row r="1016" ht="85" customHeight="1">
      <x:c r="A1016" s="10" t="str">
        <x:v>V-R2</x:v>
      </x:c>
      <x:c r="B1016" s="10" t="str">
        <x:v>VOICE</x:v>
      </x:c>
      <x:c r="C1016" s="10" t="str">
        <x:v>VOICE:S4-13</x:v>
      </x:c>
      <x:c r="D1016" s="10" t="str">
        <x:v>VOICE:S4-13:input</x:v>
      </x:c>
      <x:c r="E1016" s="10" t="str">
        <x:v>V-S4</x:v>
      </x:c>
      <x:c r="F1016" s="10" t="n">
        <x:v>1</x:v>
      </x:c>
      <x:c r="G1016" s="11" t="n">
        <x:v>0</x:v>
      </x:c>
      <x:c r="H1016" s="11" t="n">
        <x:v>4.566666666666666</x:v>
      </x:c>
      <x:c r="I1016" s="11" t="n">
        <x:f>H1016-G1016</x:f>
        <x:v>4.566666666666666</x:v>
      </x:c>
      <x:c r="J1016" s="10" t="str">
        <x:v>새로 보이는 이 두 견적을 설치비는 제외하고 별도 비교표로 만들어줘.</x:v>
      </x:c>
      <x:c r="K1016" s="10" t="str">
        <x:v>quote-L, quote-R의 설치비를 제외해 비교표 작성을 맡기겠습니다.</x:v>
      </x:c>
      <x:c r="L1016" s="11"/>
      <x:c r="M1016" s="11"/>
      <x:c r="N1016" s="10" t="str">
        <x:v>NOT_MODELED</x:v>
      </x:c>
    </x:row>
    <x:row r="1017" ht="85" customHeight="1">
      <x:c r="A1017" s="10" t="str">
        <x:v>V-R3</x:v>
      </x:c>
      <x:c r="B1017" s="10" t="str">
        <x:v>VOICE</x:v>
      </x:c>
      <x:c r="C1017" s="10" t="str">
        <x:v>VOICE:S4-13</x:v>
      </x:c>
      <x:c r="D1017" s="10" t="str">
        <x:v>VOICE:S4-13:input</x:v>
      </x:c>
      <x:c r="E1017" s="10" t="str">
        <x:v>V-S4</x:v>
      </x:c>
      <x:c r="F1017" s="10" t="n">
        <x:v>1</x:v>
      </x:c>
      <x:c r="G1017" s="11" t="n">
        <x:v>0</x:v>
      </x:c>
      <x:c r="H1017" s="11" t="n">
        <x:v>4.626666666666667</x:v>
      </x:c>
      <x:c r="I1017" s="11" t="n">
        <x:f>H1017-G1017</x:f>
        <x:v>4.626666666666667</x:v>
      </x:c>
      <x:c r="J1017" s="10" t="str">
        <x:v>새로 보이는 이 두 견적을 설치비는 제외하고 별도 비교표로 만들어줘.</x:v>
      </x:c>
      <x:c r="K1017" s="10" t="str">
        <x:v>quote-L, quote-R의 설치비를 제외해 비교표 작성을 맡기겠습니다.</x:v>
      </x:c>
      <x:c r="L1017" s="11"/>
      <x:c r="M1017" s="11"/>
      <x:c r="N1017" s="10" t="str">
        <x:v>NOT_MODELED</x:v>
      </x:c>
    </x:row>
    <x:row r="1018" ht="85" customHeight="1">
      <x:c r="A1018" s="10" t="str">
        <x:v>V-A</x:v>
      </x:c>
      <x:c r="B1018" s="10" t="str">
        <x:v>VOICE</x:v>
      </x:c>
      <x:c r="C1018" s="10" t="str">
        <x:v>VOICE:S4-14</x:v>
      </x:c>
      <x:c r="D1018" s="10" t="str">
        <x:v>VOICE:S4-14:input</x:v>
      </x:c>
      <x:c r="E1018" s="10" t="str">
        <x:v>V-S4</x:v>
      </x:c>
      <x:c r="F1018" s="10" t="n">
        <x:v>1</x:v>
      </x:c>
      <x:c r="G1018" s="11" t="n">
        <x:v>0</x:v>
      </x:c>
      <x:c r="H1018" s="11" t="n">
        <x:v>3.4</x:v>
      </x:c>
      <x:c r="I1018" s="11" t="n">
        <x:f>H1018-G1018</x:f>
        <x:v>3.4</x:v>
      </x:c>
      <x:c r="J1018" s="10" t="str">
        <x:v>새로 보이는 이 두 견적을 설치비는 제외하고 별도 비교표로 만들어줘.</x:v>
      </x:c>
      <x:c r="K1018" s="10" t="str">
        <x:v>quote-L, quote-R의 설치비를 제외해 비교표 작성을 맡기겠습니다.</x:v>
      </x:c>
      <x:c r="L1018" s="11"/>
      <x:c r="M1018" s="11"/>
      <x:c r="N1018" s="10" t="str">
        <x:v>NOT_MODELED</x:v>
      </x:c>
    </x:row>
    <x:row r="1019" ht="85" customHeight="1">
      <x:c r="A1019" s="10" t="str">
        <x:v>V-R1</x:v>
      </x:c>
      <x:c r="B1019" s="10" t="str">
        <x:v>VOICE</x:v>
      </x:c>
      <x:c r="C1019" s="10" t="str">
        <x:v>VOICE:S4-14</x:v>
      </x:c>
      <x:c r="D1019" s="10" t="str">
        <x:v>VOICE:S4-14:input</x:v>
      </x:c>
      <x:c r="E1019" s="10" t="str">
        <x:v>V-S4</x:v>
      </x:c>
      <x:c r="F1019" s="10" t="n">
        <x:v>1</x:v>
      </x:c>
      <x:c r="G1019" s="11" t="n">
        <x:v>0</x:v>
      </x:c>
      <x:c r="H1019" s="11" t="n">
        <x:v>5.666666666666667</x:v>
      </x:c>
      <x:c r="I1019" s="11" t="n">
        <x:f>H1019-G1019</x:f>
        <x:v>5.666666666666667</x:v>
      </x:c>
      <x:c r="J1019" s="10" t="str">
        <x:v>새로 보이는 이 두 견적을 설치비는 제외하고 별도 비교표로 만들어줘.</x:v>
      </x:c>
      <x:c r="K1019" s="10" t="str">
        <x:v>quote-L, quote-R의 설치비를 제외해 비교표 작성을 맡기겠습니다.</x:v>
      </x:c>
      <x:c r="L1019" s="11"/>
      <x:c r="M1019" s="11"/>
      <x:c r="N1019" s="10" t="str">
        <x:v>NOT_MODELED</x:v>
      </x:c>
    </x:row>
    <x:row r="1020" ht="85" customHeight="1">
      <x:c r="A1020" s="10" t="str">
        <x:v>V-R2</x:v>
      </x:c>
      <x:c r="B1020" s="10" t="str">
        <x:v>VOICE</x:v>
      </x:c>
      <x:c r="C1020" s="10" t="str">
        <x:v>VOICE:S4-14</x:v>
      </x:c>
      <x:c r="D1020" s="10" t="str">
        <x:v>VOICE:S4-14:input</x:v>
      </x:c>
      <x:c r="E1020" s="10" t="str">
        <x:v>V-S4</x:v>
      </x:c>
      <x:c r="F1020" s="10" t="n">
        <x:v>1</x:v>
      </x:c>
      <x:c r="G1020" s="11" t="n">
        <x:v>0</x:v>
      </x:c>
      <x:c r="H1020" s="11" t="n">
        <x:v>4.566666666666666</x:v>
      </x:c>
      <x:c r="I1020" s="11" t="n">
        <x:f>H1020-G1020</x:f>
        <x:v>4.566666666666666</x:v>
      </x:c>
      <x:c r="J1020" s="10" t="str">
        <x:v>새로 보이는 이 두 견적을 설치비는 제외하고 별도 비교표로 만들어줘.</x:v>
      </x:c>
      <x:c r="K1020" s="10" t="str">
        <x:v>quote-L, quote-R의 설치비를 제외해 비교표 작성을 맡기겠습니다.</x:v>
      </x:c>
      <x:c r="L1020" s="11"/>
      <x:c r="M1020" s="11"/>
      <x:c r="N1020" s="10" t="str">
        <x:v>NOT_MODELED</x:v>
      </x:c>
    </x:row>
    <x:row r="1021" ht="85" customHeight="1">
      <x:c r="A1021" s="10" t="str">
        <x:v>V-R3</x:v>
      </x:c>
      <x:c r="B1021" s="10" t="str">
        <x:v>VOICE</x:v>
      </x:c>
      <x:c r="C1021" s="10" t="str">
        <x:v>VOICE:S4-14</x:v>
      </x:c>
      <x:c r="D1021" s="10" t="str">
        <x:v>VOICE:S4-14:input</x:v>
      </x:c>
      <x:c r="E1021" s="10" t="str">
        <x:v>V-S4</x:v>
      </x:c>
      <x:c r="F1021" s="10" t="n">
        <x:v>1</x:v>
      </x:c>
      <x:c r="G1021" s="11" t="n">
        <x:v>0</x:v>
      </x:c>
      <x:c r="H1021" s="11" t="n">
        <x:v>4.626666666666667</x:v>
      </x:c>
      <x:c r="I1021" s="11" t="n">
        <x:f>H1021-G1021</x:f>
        <x:v>4.626666666666667</x:v>
      </x:c>
      <x:c r="J1021" s="10" t="str">
        <x:v>새로 보이는 이 두 견적을 설치비는 제외하고 별도 비교표로 만들어줘.</x:v>
      </x:c>
      <x:c r="K1021" s="10" t="str">
        <x:v>quote-L, quote-R의 설치비를 제외해 비교표 작성을 맡기겠습니다.</x:v>
      </x:c>
      <x:c r="L1021" s="11"/>
      <x:c r="M1021" s="11"/>
      <x:c r="N1021" s="10" t="str">
        <x:v>NOT_MODELED</x:v>
      </x:c>
    </x:row>
    <x:row r="1022" ht="85" customHeight="1">
      <x:c r="A1022" s="10" t="str">
        <x:v>V-A</x:v>
      </x:c>
      <x:c r="B1022" s="10" t="str">
        <x:v>VOICE</x:v>
      </x:c>
      <x:c r="C1022" s="10" t="str">
        <x:v>VOICE:S4-15</x:v>
      </x:c>
      <x:c r="D1022" s="10" t="str">
        <x:v>VOICE:S4-15:input</x:v>
      </x:c>
      <x:c r="E1022" s="10" t="str">
        <x:v>V-S4</x:v>
      </x:c>
      <x:c r="F1022" s="10" t="n">
        <x:v>1</x:v>
      </x:c>
      <x:c r="G1022" s="11" t="n">
        <x:v>0</x:v>
      </x:c>
      <x:c r="H1022" s="11" t="n">
        <x:v>3.4</x:v>
      </x:c>
      <x:c r="I1022" s="11" t="n">
        <x:f>H1022-G1022</x:f>
        <x:v>3.4</x:v>
      </x:c>
      <x:c r="J1022" s="10" t="str">
        <x:v>새로 보이는 이 두 견적을 설치비는 제외하고 별도 비교표로 만들어줘.</x:v>
      </x:c>
      <x:c r="K1022" s="10" t="str">
        <x:v>quote-L, quote-R의 설치비를 제외해 비교표 작성을 맡기겠습니다.</x:v>
      </x:c>
      <x:c r="L1022" s="11"/>
      <x:c r="M1022" s="11"/>
      <x:c r="N1022" s="10" t="str">
        <x:v>NOT_MODELED</x:v>
      </x:c>
    </x:row>
    <x:row r="1023" ht="85" customHeight="1">
      <x:c r="A1023" s="10" t="str">
        <x:v>V-R1</x:v>
      </x:c>
      <x:c r="B1023" s="10" t="str">
        <x:v>VOICE</x:v>
      </x:c>
      <x:c r="C1023" s="10" t="str">
        <x:v>VOICE:S4-15</x:v>
      </x:c>
      <x:c r="D1023" s="10" t="str">
        <x:v>VOICE:S4-15:input</x:v>
      </x:c>
      <x:c r="E1023" s="10" t="str">
        <x:v>V-S4</x:v>
      </x:c>
      <x:c r="F1023" s="10" t="n">
        <x:v>1</x:v>
      </x:c>
      <x:c r="G1023" s="11" t="n">
        <x:v>0</x:v>
      </x:c>
      <x:c r="H1023" s="11" t="n">
        <x:v>5.666666666666667</x:v>
      </x:c>
      <x:c r="I1023" s="11" t="n">
        <x:f>H1023-G1023</x:f>
        <x:v>5.666666666666667</x:v>
      </x:c>
      <x:c r="J1023" s="10" t="str">
        <x:v>새로 보이는 이 두 견적을 설치비는 제외하고 별도 비교표로 만들어줘.</x:v>
      </x:c>
      <x:c r="K1023" s="10" t="str">
        <x:v>quote-L, quote-R의 설치비를 제외해 비교표 작성을 맡기겠습니다.</x:v>
      </x:c>
      <x:c r="L1023" s="11"/>
      <x:c r="M1023" s="11"/>
      <x:c r="N1023" s="10" t="str">
        <x:v>NOT_MODELED</x:v>
      </x:c>
    </x:row>
    <x:row r="1024" ht="85" customHeight="1">
      <x:c r="A1024" s="10" t="str">
        <x:v>V-R2</x:v>
      </x:c>
      <x:c r="B1024" s="10" t="str">
        <x:v>VOICE</x:v>
      </x:c>
      <x:c r="C1024" s="10" t="str">
        <x:v>VOICE:S4-15</x:v>
      </x:c>
      <x:c r="D1024" s="10" t="str">
        <x:v>VOICE:S4-15:input</x:v>
      </x:c>
      <x:c r="E1024" s="10" t="str">
        <x:v>V-S4</x:v>
      </x:c>
      <x:c r="F1024" s="10" t="n">
        <x:v>1</x:v>
      </x:c>
      <x:c r="G1024" s="11" t="n">
        <x:v>0</x:v>
      </x:c>
      <x:c r="H1024" s="11" t="n">
        <x:v>4.566666666666666</x:v>
      </x:c>
      <x:c r="I1024" s="11" t="n">
        <x:f>H1024-G1024</x:f>
        <x:v>4.566666666666666</x:v>
      </x:c>
      <x:c r="J1024" s="10" t="str">
        <x:v>새로 보이는 이 두 견적을 설치비는 제외하고 별도 비교표로 만들어줘.</x:v>
      </x:c>
      <x:c r="K1024" s="10" t="str">
        <x:v>quote-L, quote-R의 설치비를 제외해 비교표 작성을 맡기겠습니다.</x:v>
      </x:c>
      <x:c r="L1024" s="11"/>
      <x:c r="M1024" s="11"/>
      <x:c r="N1024" s="10" t="str">
        <x:v>NOT_MODELED</x:v>
      </x:c>
    </x:row>
    <x:row r="1025" ht="85" customHeight="1">
      <x:c r="A1025" s="10" t="str">
        <x:v>V-R3</x:v>
      </x:c>
      <x:c r="B1025" s="10" t="str">
        <x:v>VOICE</x:v>
      </x:c>
      <x:c r="C1025" s="10" t="str">
        <x:v>VOICE:S4-15</x:v>
      </x:c>
      <x:c r="D1025" s="10" t="str">
        <x:v>VOICE:S4-15:input</x:v>
      </x:c>
      <x:c r="E1025" s="10" t="str">
        <x:v>V-S4</x:v>
      </x:c>
      <x:c r="F1025" s="10" t="n">
        <x:v>1</x:v>
      </x:c>
      <x:c r="G1025" s="11" t="n">
        <x:v>0</x:v>
      </x:c>
      <x:c r="H1025" s="11" t="n">
        <x:v>4.626666666666667</x:v>
      </x:c>
      <x:c r="I1025" s="11" t="n">
        <x:f>H1025-G1025</x:f>
        <x:v>4.626666666666667</x:v>
      </x:c>
      <x:c r="J1025" s="10" t="str">
        <x:v>새로 보이는 이 두 견적을 설치비는 제외하고 별도 비교표로 만들어줘.</x:v>
      </x:c>
      <x:c r="K1025" s="10" t="str">
        <x:v>quote-L, quote-R의 설치비를 제외해 비교표 작성을 맡기겠습니다.</x:v>
      </x:c>
      <x:c r="L1025" s="11"/>
      <x:c r="M1025" s="11"/>
      <x:c r="N1025" s="10" t="str">
        <x:v>NOT_MODELED</x:v>
      </x:c>
    </x:row>
    <x:row r="1026" ht="85" customHeight="1">
      <x:c r="A1026" s="10" t="str">
        <x:v>V-A</x:v>
      </x:c>
      <x:c r="B1026" s="10" t="str">
        <x:v>VOICE</x:v>
      </x:c>
      <x:c r="C1026" s="10" t="str">
        <x:v>VOICE:S4-16</x:v>
      </x:c>
      <x:c r="D1026" s="10" t="str">
        <x:v>VOICE:S4-16:input</x:v>
      </x:c>
      <x:c r="E1026" s="10" t="str">
        <x:v>V-S4</x:v>
      </x:c>
      <x:c r="F1026" s="10" t="n">
        <x:v>1</x:v>
      </x:c>
      <x:c r="G1026" s="11" t="n">
        <x:v>0</x:v>
      </x:c>
      <x:c r="H1026" s="11" t="n">
        <x:v>3.4</x:v>
      </x:c>
      <x:c r="I1026" s="11" t="n">
        <x:f>H1026-G1026</x:f>
        <x:v>3.4</x:v>
      </x:c>
      <x:c r="J1026" s="10" t="str">
        <x:v>새로 보이는 이 두 견적을 설치비는 제외하고 별도 비교표로 만들어줘.</x:v>
      </x:c>
      <x:c r="K1026" s="10" t="str">
        <x:v>quote-L, quote-R의 설치비를 제외해 비교표 작성을 맡기겠습니다.</x:v>
      </x:c>
      <x:c r="L1026" s="11"/>
      <x:c r="M1026" s="11"/>
      <x:c r="N1026" s="10" t="str">
        <x:v>NOT_MODELED</x:v>
      </x:c>
    </x:row>
    <x:row r="1027" ht="85" customHeight="1">
      <x:c r="A1027" s="10" t="str">
        <x:v>V-R1</x:v>
      </x:c>
      <x:c r="B1027" s="10" t="str">
        <x:v>VOICE</x:v>
      </x:c>
      <x:c r="C1027" s="10" t="str">
        <x:v>VOICE:S4-16</x:v>
      </x:c>
      <x:c r="D1027" s="10" t="str">
        <x:v>VOICE:S4-16:input</x:v>
      </x:c>
      <x:c r="E1027" s="10" t="str">
        <x:v>V-S4</x:v>
      </x:c>
      <x:c r="F1027" s="10" t="n">
        <x:v>1</x:v>
      </x:c>
      <x:c r="G1027" s="11" t="n">
        <x:v>0</x:v>
      </x:c>
      <x:c r="H1027" s="11" t="n">
        <x:v>5.666666666666667</x:v>
      </x:c>
      <x:c r="I1027" s="11" t="n">
        <x:f>H1027-G1027</x:f>
        <x:v>5.666666666666667</x:v>
      </x:c>
      <x:c r="J1027" s="10" t="str">
        <x:v>새로 보이는 이 두 견적을 설치비는 제외하고 별도 비교표로 만들어줘.</x:v>
      </x:c>
      <x:c r="K1027" s="10" t="str">
        <x:v>quote-L, quote-R의 설치비를 제외해 비교표 작성을 맡기겠습니다.</x:v>
      </x:c>
      <x:c r="L1027" s="11"/>
      <x:c r="M1027" s="11"/>
      <x:c r="N1027" s="10" t="str">
        <x:v>NOT_MODELED</x:v>
      </x:c>
    </x:row>
    <x:row r="1028" ht="85" customHeight="1">
      <x:c r="A1028" s="10" t="str">
        <x:v>V-R2</x:v>
      </x:c>
      <x:c r="B1028" s="10" t="str">
        <x:v>VOICE</x:v>
      </x:c>
      <x:c r="C1028" s="10" t="str">
        <x:v>VOICE:S4-16</x:v>
      </x:c>
      <x:c r="D1028" s="10" t="str">
        <x:v>VOICE:S4-16:input</x:v>
      </x:c>
      <x:c r="E1028" s="10" t="str">
        <x:v>V-S4</x:v>
      </x:c>
      <x:c r="F1028" s="10" t="n">
        <x:v>1</x:v>
      </x:c>
      <x:c r="G1028" s="11" t="n">
        <x:v>0</x:v>
      </x:c>
      <x:c r="H1028" s="11" t="n">
        <x:v>4.566666666666666</x:v>
      </x:c>
      <x:c r="I1028" s="11" t="n">
        <x:f>H1028-G1028</x:f>
        <x:v>4.566666666666666</x:v>
      </x:c>
      <x:c r="J1028" s="10" t="str">
        <x:v>새로 보이는 이 두 견적을 설치비는 제외하고 별도 비교표로 만들어줘.</x:v>
      </x:c>
      <x:c r="K1028" s="10" t="str">
        <x:v>quote-L, quote-R의 설치비를 제외해 비교표 작성을 맡기겠습니다.</x:v>
      </x:c>
      <x:c r="L1028" s="11"/>
      <x:c r="M1028" s="11"/>
      <x:c r="N1028" s="10" t="str">
        <x:v>NOT_MODELED</x:v>
      </x:c>
    </x:row>
    <x:row r="1029" ht="85" customHeight="1">
      <x:c r="A1029" s="10" t="str">
        <x:v>V-R3</x:v>
      </x:c>
      <x:c r="B1029" s="10" t="str">
        <x:v>VOICE</x:v>
      </x:c>
      <x:c r="C1029" s="10" t="str">
        <x:v>VOICE:S4-16</x:v>
      </x:c>
      <x:c r="D1029" s="10" t="str">
        <x:v>VOICE:S4-16:input</x:v>
      </x:c>
      <x:c r="E1029" s="10" t="str">
        <x:v>V-S4</x:v>
      </x:c>
      <x:c r="F1029" s="10" t="n">
        <x:v>1</x:v>
      </x:c>
      <x:c r="G1029" s="11" t="n">
        <x:v>0</x:v>
      </x:c>
      <x:c r="H1029" s="11" t="n">
        <x:v>4.626666666666667</x:v>
      </x:c>
      <x:c r="I1029" s="11" t="n">
        <x:f>H1029-G1029</x:f>
        <x:v>4.626666666666667</x:v>
      </x:c>
      <x:c r="J1029" s="10" t="str">
        <x:v>새로 보이는 이 두 견적을 설치비는 제외하고 별도 비교표로 만들어줘.</x:v>
      </x:c>
      <x:c r="K1029" s="10" t="str">
        <x:v>quote-L, quote-R의 설치비를 제외해 비교표 작성을 맡기겠습니다.</x:v>
      </x:c>
      <x:c r="L1029" s="11"/>
      <x:c r="M1029" s="11"/>
      <x:c r="N1029" s="10" t="str">
        <x:v>NOT_MODELED</x:v>
      </x:c>
    </x:row>
    <x:row r="1030" ht="85" customHeight="1">
      <x:c r="A1030" s="10" t="str">
        <x:v>V-A</x:v>
      </x:c>
      <x:c r="B1030" s="10" t="str">
        <x:v>VOICE</x:v>
      </x:c>
      <x:c r="C1030" s="10" t="str">
        <x:v>VOICE:S4-17</x:v>
      </x:c>
      <x:c r="D1030" s="10" t="str">
        <x:v>VOICE:S4-17:input</x:v>
      </x:c>
      <x:c r="E1030" s="10" t="str">
        <x:v>V-S4</x:v>
      </x:c>
      <x:c r="F1030" s="10" t="n">
        <x:v>1</x:v>
      </x:c>
      <x:c r="G1030" s="11" t="n">
        <x:v>0</x:v>
      </x:c>
      <x:c r="H1030" s="11" t="n">
        <x:v>3.4</x:v>
      </x:c>
      <x:c r="I1030" s="11" t="n">
        <x:f>H1030-G1030</x:f>
        <x:v>3.4</x:v>
      </x:c>
      <x:c r="J1030" s="10" t="str">
        <x:v>새로 보이는 이 두 견적을 설치비는 제외하고 별도 비교표로 만들어줘.</x:v>
      </x:c>
      <x:c r="K1030" s="10" t="str">
        <x:v>quote-L, quote-R의 설치비를 제외해 비교표 작성을 맡기겠습니다.</x:v>
      </x:c>
      <x:c r="L1030" s="11"/>
      <x:c r="M1030" s="11"/>
      <x:c r="N1030" s="10" t="str">
        <x:v>NOT_MODELED</x:v>
      </x:c>
    </x:row>
    <x:row r="1031" ht="85" customHeight="1">
      <x:c r="A1031" s="10" t="str">
        <x:v>V-R1</x:v>
      </x:c>
      <x:c r="B1031" s="10" t="str">
        <x:v>VOICE</x:v>
      </x:c>
      <x:c r="C1031" s="10" t="str">
        <x:v>VOICE:S4-17</x:v>
      </x:c>
      <x:c r="D1031" s="10" t="str">
        <x:v>VOICE:S4-17:input</x:v>
      </x:c>
      <x:c r="E1031" s="10" t="str">
        <x:v>V-S4</x:v>
      </x:c>
      <x:c r="F1031" s="10" t="n">
        <x:v>1</x:v>
      </x:c>
      <x:c r="G1031" s="11" t="n">
        <x:v>0</x:v>
      </x:c>
      <x:c r="H1031" s="11" t="n">
        <x:v>5.666666666666667</x:v>
      </x:c>
      <x:c r="I1031" s="11" t="n">
        <x:f>H1031-G1031</x:f>
        <x:v>5.666666666666667</x:v>
      </x:c>
      <x:c r="J1031" s="10" t="str">
        <x:v>새로 보이는 이 두 견적을 설치비는 제외하고 별도 비교표로 만들어줘.</x:v>
      </x:c>
      <x:c r="K1031" s="10" t="str">
        <x:v>quote-L, quote-R의 설치비를 제외해 비교표 작성을 맡기겠습니다.</x:v>
      </x:c>
      <x:c r="L1031" s="11"/>
      <x:c r="M1031" s="11"/>
      <x:c r="N1031" s="10" t="str">
        <x:v>NOT_MODELED</x:v>
      </x:c>
    </x:row>
    <x:row r="1032" ht="85" customHeight="1">
      <x:c r="A1032" s="10" t="str">
        <x:v>V-R2</x:v>
      </x:c>
      <x:c r="B1032" s="10" t="str">
        <x:v>VOICE</x:v>
      </x:c>
      <x:c r="C1032" s="10" t="str">
        <x:v>VOICE:S4-17</x:v>
      </x:c>
      <x:c r="D1032" s="10" t="str">
        <x:v>VOICE:S4-17:input</x:v>
      </x:c>
      <x:c r="E1032" s="10" t="str">
        <x:v>V-S4</x:v>
      </x:c>
      <x:c r="F1032" s="10" t="n">
        <x:v>1</x:v>
      </x:c>
      <x:c r="G1032" s="11" t="n">
        <x:v>0</x:v>
      </x:c>
      <x:c r="H1032" s="11" t="n">
        <x:v>4.566666666666666</x:v>
      </x:c>
      <x:c r="I1032" s="11" t="n">
        <x:f>H1032-G1032</x:f>
        <x:v>4.566666666666666</x:v>
      </x:c>
      <x:c r="J1032" s="10" t="str">
        <x:v>새로 보이는 이 두 견적을 설치비는 제외하고 별도 비교표로 만들어줘.</x:v>
      </x:c>
      <x:c r="K1032" s="10" t="str">
        <x:v>quote-L, quote-R의 설치비를 제외해 비교표 작성을 맡기겠습니다.</x:v>
      </x:c>
      <x:c r="L1032" s="11"/>
      <x:c r="M1032" s="11"/>
      <x:c r="N1032" s="10" t="str">
        <x:v>NOT_MODELED</x:v>
      </x:c>
    </x:row>
    <x:row r="1033" ht="85" customHeight="1">
      <x:c r="A1033" s="10" t="str">
        <x:v>V-R3</x:v>
      </x:c>
      <x:c r="B1033" s="10" t="str">
        <x:v>VOICE</x:v>
      </x:c>
      <x:c r="C1033" s="10" t="str">
        <x:v>VOICE:S4-17</x:v>
      </x:c>
      <x:c r="D1033" s="10" t="str">
        <x:v>VOICE:S4-17:input</x:v>
      </x:c>
      <x:c r="E1033" s="10" t="str">
        <x:v>V-S4</x:v>
      </x:c>
      <x:c r="F1033" s="10" t="n">
        <x:v>1</x:v>
      </x:c>
      <x:c r="G1033" s="11" t="n">
        <x:v>0</x:v>
      </x:c>
      <x:c r="H1033" s="11" t="n">
        <x:v>4.626666666666667</x:v>
      </x:c>
      <x:c r="I1033" s="11" t="n">
        <x:f>H1033-G1033</x:f>
        <x:v>4.626666666666667</x:v>
      </x:c>
      <x:c r="J1033" s="10" t="str">
        <x:v>새로 보이는 이 두 견적을 설치비는 제외하고 별도 비교표로 만들어줘.</x:v>
      </x:c>
      <x:c r="K1033" s="10" t="str">
        <x:v>quote-L, quote-R의 설치비를 제외해 비교표 작성을 맡기겠습니다.</x:v>
      </x:c>
      <x:c r="L1033" s="11"/>
      <x:c r="M1033" s="11"/>
      <x:c r="N1033" s="10" t="str">
        <x:v>NOT_MODELED</x:v>
      </x:c>
    </x:row>
    <x:row r="1034" ht="85" customHeight="1">
      <x:c r="A1034" s="10" t="str">
        <x:v>V-A</x:v>
      </x:c>
      <x:c r="B1034" s="10" t="str">
        <x:v>VOICE</x:v>
      </x:c>
      <x:c r="C1034" s="10" t="str">
        <x:v>VOICE:S4-18</x:v>
      </x:c>
      <x:c r="D1034" s="10" t="str">
        <x:v>VOICE:S4-18:input</x:v>
      </x:c>
      <x:c r="E1034" s="10" t="str">
        <x:v>V-S4</x:v>
      </x:c>
      <x:c r="F1034" s="10" t="n">
        <x:v>1</x:v>
      </x:c>
      <x:c r="G1034" s="11" t="n">
        <x:v>0</x:v>
      </x:c>
      <x:c r="H1034" s="11" t="n">
        <x:v>3.4</x:v>
      </x:c>
      <x:c r="I1034" s="11" t="n">
        <x:f>H1034-G1034</x:f>
        <x:v>3.4</x:v>
      </x:c>
      <x:c r="J1034" s="10" t="str">
        <x:v>새로 보이는 이 두 견적을 설치비는 제외하고 별도 비교표로 만들어줘.</x:v>
      </x:c>
      <x:c r="K1034" s="10" t="str">
        <x:v>quote-L, quote-R의 설치비를 제외해 비교표 작성을 맡기겠습니다.</x:v>
      </x:c>
      <x:c r="L1034" s="11"/>
      <x:c r="M1034" s="11"/>
      <x:c r="N1034" s="10" t="str">
        <x:v>NOT_MODELED</x:v>
      </x:c>
    </x:row>
    <x:row r="1035" ht="85" customHeight="1">
      <x:c r="A1035" s="10" t="str">
        <x:v>V-R1</x:v>
      </x:c>
      <x:c r="B1035" s="10" t="str">
        <x:v>VOICE</x:v>
      </x:c>
      <x:c r="C1035" s="10" t="str">
        <x:v>VOICE:S4-18</x:v>
      </x:c>
      <x:c r="D1035" s="10" t="str">
        <x:v>VOICE:S4-18:input</x:v>
      </x:c>
      <x:c r="E1035" s="10" t="str">
        <x:v>V-S4</x:v>
      </x:c>
      <x:c r="F1035" s="10" t="n">
        <x:v>1</x:v>
      </x:c>
      <x:c r="G1035" s="11" t="n">
        <x:v>0</x:v>
      </x:c>
      <x:c r="H1035" s="11" t="n">
        <x:v>5.666666666666667</x:v>
      </x:c>
      <x:c r="I1035" s="11" t="n">
        <x:f>H1035-G1035</x:f>
        <x:v>5.666666666666667</x:v>
      </x:c>
      <x:c r="J1035" s="10" t="str">
        <x:v>새로 보이는 이 두 견적을 설치비는 제외하고 별도 비교표로 만들어줘.</x:v>
      </x:c>
      <x:c r="K1035" s="10" t="str">
        <x:v>quote-L, quote-R의 설치비를 제외해 비교표 작성을 맡기겠습니다.</x:v>
      </x:c>
      <x:c r="L1035" s="11"/>
      <x:c r="M1035" s="11"/>
      <x:c r="N1035" s="10" t="str">
        <x:v>NOT_MODELED</x:v>
      </x:c>
    </x:row>
    <x:row r="1036" ht="85" customHeight="1">
      <x:c r="A1036" s="10" t="str">
        <x:v>V-R2</x:v>
      </x:c>
      <x:c r="B1036" s="10" t="str">
        <x:v>VOICE</x:v>
      </x:c>
      <x:c r="C1036" s="10" t="str">
        <x:v>VOICE:S4-18</x:v>
      </x:c>
      <x:c r="D1036" s="10" t="str">
        <x:v>VOICE:S4-18:input</x:v>
      </x:c>
      <x:c r="E1036" s="10" t="str">
        <x:v>V-S4</x:v>
      </x:c>
      <x:c r="F1036" s="10" t="n">
        <x:v>1</x:v>
      </x:c>
      <x:c r="G1036" s="11" t="n">
        <x:v>0</x:v>
      </x:c>
      <x:c r="H1036" s="11" t="n">
        <x:v>4.566666666666666</x:v>
      </x:c>
      <x:c r="I1036" s="11" t="n">
        <x:f>H1036-G1036</x:f>
        <x:v>4.566666666666666</x:v>
      </x:c>
      <x:c r="J1036" s="10" t="str">
        <x:v>새로 보이는 이 두 견적을 설치비는 제외하고 별도 비교표로 만들어줘.</x:v>
      </x:c>
      <x:c r="K1036" s="10" t="str">
        <x:v>quote-L, quote-R의 설치비를 제외해 비교표 작성을 맡기겠습니다.</x:v>
      </x:c>
      <x:c r="L1036" s="11"/>
      <x:c r="M1036" s="11"/>
      <x:c r="N1036" s="10" t="str">
        <x:v>NOT_MODELED</x:v>
      </x:c>
    </x:row>
    <x:row r="1037" ht="85" customHeight="1">
      <x:c r="A1037" s="10" t="str">
        <x:v>V-R3</x:v>
      </x:c>
      <x:c r="B1037" s="10" t="str">
        <x:v>VOICE</x:v>
      </x:c>
      <x:c r="C1037" s="10" t="str">
        <x:v>VOICE:S4-18</x:v>
      </x:c>
      <x:c r="D1037" s="10" t="str">
        <x:v>VOICE:S4-18:input</x:v>
      </x:c>
      <x:c r="E1037" s="10" t="str">
        <x:v>V-S4</x:v>
      </x:c>
      <x:c r="F1037" s="10" t="n">
        <x:v>1</x:v>
      </x:c>
      <x:c r="G1037" s="11" t="n">
        <x:v>0</x:v>
      </x:c>
      <x:c r="H1037" s="11" t="n">
        <x:v>4.626666666666667</x:v>
      </x:c>
      <x:c r="I1037" s="11" t="n">
        <x:f>H1037-G1037</x:f>
        <x:v>4.626666666666667</x:v>
      </x:c>
      <x:c r="J1037" s="10" t="str">
        <x:v>새로 보이는 이 두 견적을 설치비는 제외하고 별도 비교표로 만들어줘.</x:v>
      </x:c>
      <x:c r="K1037" s="10" t="str">
        <x:v>quote-L, quote-R의 설치비를 제외해 비교표 작성을 맡기겠습니다.</x:v>
      </x:c>
      <x:c r="L1037" s="11"/>
      <x:c r="M1037" s="11"/>
      <x:c r="N1037" s="10" t="str">
        <x:v>NOT_MODELED</x:v>
      </x:c>
    </x:row>
    <x:row r="1038" ht="85" customHeight="1">
      <x:c r="A1038" s="10" t="str">
        <x:v>V-A</x:v>
      </x:c>
      <x:c r="B1038" s="10" t="str">
        <x:v>VOICE</x:v>
      </x:c>
      <x:c r="C1038" s="10" t="str">
        <x:v>VOICE:S4-19</x:v>
      </x:c>
      <x:c r="D1038" s="10" t="str">
        <x:v>VOICE:S4-19:input</x:v>
      </x:c>
      <x:c r="E1038" s="10" t="str">
        <x:v>V-S4</x:v>
      </x:c>
      <x:c r="F1038" s="10" t="n">
        <x:v>1</x:v>
      </x:c>
      <x:c r="G1038" s="11" t="n">
        <x:v>0</x:v>
      </x:c>
      <x:c r="H1038" s="11" t="n">
        <x:v>3.4</x:v>
      </x:c>
      <x:c r="I1038" s="11" t="n">
        <x:f>H1038-G1038</x:f>
        <x:v>3.4</x:v>
      </x:c>
      <x:c r="J1038" s="10" t="str">
        <x:v>새로 보이는 이 두 견적을 설치비는 제외하고 별도 비교표로 만들어줘.</x:v>
      </x:c>
      <x:c r="K1038" s="10" t="str">
        <x:v>quote-L, quote-R의 설치비를 제외해 비교표 작성을 맡기겠습니다.</x:v>
      </x:c>
      <x:c r="L1038" s="11"/>
      <x:c r="M1038" s="11"/>
      <x:c r="N1038" s="10" t="str">
        <x:v>NOT_MODELED</x:v>
      </x:c>
    </x:row>
    <x:row r="1039" ht="85" customHeight="1">
      <x:c r="A1039" s="10" t="str">
        <x:v>V-R1</x:v>
      </x:c>
      <x:c r="B1039" s="10" t="str">
        <x:v>VOICE</x:v>
      </x:c>
      <x:c r="C1039" s="10" t="str">
        <x:v>VOICE:S4-19</x:v>
      </x:c>
      <x:c r="D1039" s="10" t="str">
        <x:v>VOICE:S4-19:input</x:v>
      </x:c>
      <x:c r="E1039" s="10" t="str">
        <x:v>V-S4</x:v>
      </x:c>
      <x:c r="F1039" s="10" t="n">
        <x:v>1</x:v>
      </x:c>
      <x:c r="G1039" s="11" t="n">
        <x:v>0</x:v>
      </x:c>
      <x:c r="H1039" s="11" t="n">
        <x:v>5.666666666666667</x:v>
      </x:c>
      <x:c r="I1039" s="11" t="n">
        <x:f>H1039-G1039</x:f>
        <x:v>5.666666666666667</x:v>
      </x:c>
      <x:c r="J1039" s="10" t="str">
        <x:v>새로 보이는 이 두 견적을 설치비는 제외하고 별도 비교표로 만들어줘.</x:v>
      </x:c>
      <x:c r="K1039" s="10" t="str">
        <x:v>quote-L, quote-R의 설치비를 제외해 비교표 작성을 맡기겠습니다.</x:v>
      </x:c>
      <x:c r="L1039" s="11"/>
      <x:c r="M1039" s="11"/>
      <x:c r="N1039" s="10" t="str">
        <x:v>NOT_MODELED</x:v>
      </x:c>
    </x:row>
    <x:row r="1040" ht="85" customHeight="1">
      <x:c r="A1040" s="10" t="str">
        <x:v>V-R2</x:v>
      </x:c>
      <x:c r="B1040" s="10" t="str">
        <x:v>VOICE</x:v>
      </x:c>
      <x:c r="C1040" s="10" t="str">
        <x:v>VOICE:S4-19</x:v>
      </x:c>
      <x:c r="D1040" s="10" t="str">
        <x:v>VOICE:S4-19:input</x:v>
      </x:c>
      <x:c r="E1040" s="10" t="str">
        <x:v>V-S4</x:v>
      </x:c>
      <x:c r="F1040" s="10" t="n">
        <x:v>1</x:v>
      </x:c>
      <x:c r="G1040" s="11" t="n">
        <x:v>0</x:v>
      </x:c>
      <x:c r="H1040" s="11" t="n">
        <x:v>4.566666666666666</x:v>
      </x:c>
      <x:c r="I1040" s="11" t="n">
        <x:f>H1040-G1040</x:f>
        <x:v>4.566666666666666</x:v>
      </x:c>
      <x:c r="J1040" s="10" t="str">
        <x:v>새로 보이는 이 두 견적을 설치비는 제외하고 별도 비교표로 만들어줘.</x:v>
      </x:c>
      <x:c r="K1040" s="10" t="str">
        <x:v>quote-L, quote-R의 설치비를 제외해 비교표 작성을 맡기겠습니다.</x:v>
      </x:c>
      <x:c r="L1040" s="11"/>
      <x:c r="M1040" s="11"/>
      <x:c r="N1040" s="10" t="str">
        <x:v>NOT_MODELED</x:v>
      </x:c>
    </x:row>
    <x:row r="1041" ht="85" customHeight="1">
      <x:c r="A1041" s="10" t="str">
        <x:v>V-R3</x:v>
      </x:c>
      <x:c r="B1041" s="10" t="str">
        <x:v>VOICE</x:v>
      </x:c>
      <x:c r="C1041" s="10" t="str">
        <x:v>VOICE:S4-19</x:v>
      </x:c>
      <x:c r="D1041" s="10" t="str">
        <x:v>VOICE:S4-19:input</x:v>
      </x:c>
      <x:c r="E1041" s="10" t="str">
        <x:v>V-S4</x:v>
      </x:c>
      <x:c r="F1041" s="10" t="n">
        <x:v>1</x:v>
      </x:c>
      <x:c r="G1041" s="11" t="n">
        <x:v>0</x:v>
      </x:c>
      <x:c r="H1041" s="11" t="n">
        <x:v>4.626666666666667</x:v>
      </x:c>
      <x:c r="I1041" s="11" t="n">
        <x:f>H1041-G1041</x:f>
        <x:v>4.626666666666667</x:v>
      </x:c>
      <x:c r="J1041" s="10" t="str">
        <x:v>새로 보이는 이 두 견적을 설치비는 제외하고 별도 비교표로 만들어줘.</x:v>
      </x:c>
      <x:c r="K1041" s="10" t="str">
        <x:v>quote-L, quote-R의 설치비를 제외해 비교표 작성을 맡기겠습니다.</x:v>
      </x:c>
      <x:c r="L1041" s="11"/>
      <x:c r="M1041" s="11"/>
      <x:c r="N1041" s="10" t="str">
        <x:v>NOT_MODELED</x:v>
      </x:c>
    </x:row>
    <x:row r="1042" ht="85" customHeight="1">
      <x:c r="A1042" s="10" t="str">
        <x:v>V-A</x:v>
      </x:c>
      <x:c r="B1042" s="10" t="str">
        <x:v>VOICE</x:v>
      </x:c>
      <x:c r="C1042" s="10" t="str">
        <x:v>VOICE:S4-20</x:v>
      </x:c>
      <x:c r="D1042" s="10" t="str">
        <x:v>VOICE:S4-20:input</x:v>
      </x:c>
      <x:c r="E1042" s="10" t="str">
        <x:v>V-S4</x:v>
      </x:c>
      <x:c r="F1042" s="10" t="n">
        <x:v>1</x:v>
      </x:c>
      <x:c r="G1042" s="11" t="n">
        <x:v>0</x:v>
      </x:c>
      <x:c r="H1042" s="11" t="n">
        <x:v>3.4</x:v>
      </x:c>
      <x:c r="I1042" s="11" t="n">
        <x:f>H1042-G1042</x:f>
        <x:v>3.4</x:v>
      </x:c>
      <x:c r="J1042" s="10" t="str">
        <x:v>새로 보이는 이 두 견적을 설치비는 제외하고 별도 비교표로 만들어줘.</x:v>
      </x:c>
      <x:c r="K1042" s="10" t="str">
        <x:v>quote-L, quote-R의 설치비를 제외해 비교표 작성을 맡기겠습니다.</x:v>
      </x:c>
      <x:c r="L1042" s="11"/>
      <x:c r="M1042" s="11"/>
      <x:c r="N1042" s="10" t="str">
        <x:v>NOT_MODELED</x:v>
      </x:c>
    </x:row>
    <x:row r="1043" ht="85" customHeight="1">
      <x:c r="A1043" s="10" t="str">
        <x:v>V-R1</x:v>
      </x:c>
      <x:c r="B1043" s="10" t="str">
        <x:v>VOICE</x:v>
      </x:c>
      <x:c r="C1043" s="10" t="str">
        <x:v>VOICE:S4-20</x:v>
      </x:c>
      <x:c r="D1043" s="10" t="str">
        <x:v>VOICE:S4-20:input</x:v>
      </x:c>
      <x:c r="E1043" s="10" t="str">
        <x:v>V-S4</x:v>
      </x:c>
      <x:c r="F1043" s="10" t="n">
        <x:v>1</x:v>
      </x:c>
      <x:c r="G1043" s="11" t="n">
        <x:v>0</x:v>
      </x:c>
      <x:c r="H1043" s="11" t="n">
        <x:v>5.666666666666667</x:v>
      </x:c>
      <x:c r="I1043" s="11" t="n">
        <x:f>H1043-G1043</x:f>
        <x:v>5.666666666666667</x:v>
      </x:c>
      <x:c r="J1043" s="10" t="str">
        <x:v>새로 보이는 이 두 견적을 설치비는 제외하고 별도 비교표로 만들어줘.</x:v>
      </x:c>
      <x:c r="K1043" s="10" t="str">
        <x:v>quote-L, quote-R의 설치비를 제외해 비교표 작성을 맡기겠습니다.</x:v>
      </x:c>
      <x:c r="L1043" s="11"/>
      <x:c r="M1043" s="11"/>
      <x:c r="N1043" s="10" t="str">
        <x:v>NOT_MODELED</x:v>
      </x:c>
    </x:row>
    <x:row r="1044" ht="85" customHeight="1">
      <x:c r="A1044" s="10" t="str">
        <x:v>V-R2</x:v>
      </x:c>
      <x:c r="B1044" s="10" t="str">
        <x:v>VOICE</x:v>
      </x:c>
      <x:c r="C1044" s="10" t="str">
        <x:v>VOICE:S4-20</x:v>
      </x:c>
      <x:c r="D1044" s="10" t="str">
        <x:v>VOICE:S4-20:input</x:v>
      </x:c>
      <x:c r="E1044" s="10" t="str">
        <x:v>V-S4</x:v>
      </x:c>
      <x:c r="F1044" s="10" t="n">
        <x:v>1</x:v>
      </x:c>
      <x:c r="G1044" s="11" t="n">
        <x:v>0</x:v>
      </x:c>
      <x:c r="H1044" s="11" t="n">
        <x:v>4.566666666666666</x:v>
      </x:c>
      <x:c r="I1044" s="11" t="n">
        <x:f>H1044-G1044</x:f>
        <x:v>4.566666666666666</x:v>
      </x:c>
      <x:c r="J1044" s="10" t="str">
        <x:v>새로 보이는 이 두 견적을 설치비는 제외하고 별도 비교표로 만들어줘.</x:v>
      </x:c>
      <x:c r="K1044" s="10" t="str">
        <x:v>quote-L, quote-R의 설치비를 제외해 비교표 작성을 맡기겠습니다.</x:v>
      </x:c>
      <x:c r="L1044" s="11"/>
      <x:c r="M1044" s="11"/>
      <x:c r="N1044" s="10" t="str">
        <x:v>NOT_MODELED</x:v>
      </x:c>
    </x:row>
    <x:row r="1045" ht="85" customHeight="1">
      <x:c r="A1045" s="10" t="str">
        <x:v>V-R3</x:v>
      </x:c>
      <x:c r="B1045" s="10" t="str">
        <x:v>VOICE</x:v>
      </x:c>
      <x:c r="C1045" s="10" t="str">
        <x:v>VOICE:S4-20</x:v>
      </x:c>
      <x:c r="D1045" s="10" t="str">
        <x:v>VOICE:S4-20:input</x:v>
      </x:c>
      <x:c r="E1045" s="10" t="str">
        <x:v>V-S4</x:v>
      </x:c>
      <x:c r="F1045" s="10" t="n">
        <x:v>1</x:v>
      </x:c>
      <x:c r="G1045" s="11" t="n">
        <x:v>0</x:v>
      </x:c>
      <x:c r="H1045" s="11" t="n">
        <x:v>4.626666666666667</x:v>
      </x:c>
      <x:c r="I1045" s="11" t="n">
        <x:f>H1045-G1045</x:f>
        <x:v>4.626666666666667</x:v>
      </x:c>
      <x:c r="J1045" s="10" t="str">
        <x:v>새로 보이는 이 두 견적을 설치비는 제외하고 별도 비교표로 만들어줘.</x:v>
      </x:c>
      <x:c r="K1045" s="10" t="str">
        <x:v>quote-L, quote-R의 설치비를 제외해 비교표 작성을 맡기겠습니다.</x:v>
      </x:c>
      <x:c r="L1045" s="11"/>
      <x:c r="M1045" s="11"/>
      <x:c r="N1045" s="10" t="str">
        <x:v>NOT_MODELED</x:v>
      </x:c>
    </x:row>
    <x:row r="1046" ht="85" customHeight="1">
      <x:c r="A1046" s="10" t="str">
        <x:v>V-A</x:v>
      </x:c>
      <x:c r="B1046" s="10" t="str">
        <x:v>VOICE</x:v>
      </x:c>
      <x:c r="C1046" s="10" t="str">
        <x:v>VOICE:S5-01</x:v>
      </x:c>
      <x:c r="D1046" s="10" t="str">
        <x:v>VOICE:S5-01:input</x:v>
      </x:c>
      <x:c r="E1046" s="10" t="str">
        <x:v>V-S5</x:v>
      </x:c>
      <x:c r="F1046" s="10" t="n">
        <x:v>1</x:v>
      </x:c>
      <x:c r="G1046" s="11" t="n">
        <x:v>0</x:v>
      </x:c>
      <x:c r="H1046" s="11" t="n">
        <x:v>2.8333333333333335</x:v>
      </x:c>
      <x:c r="I1046" s="11" t="n">
        <x:f>H1046-G1046</x:f>
        <x:v>2.8333333333333335</x:v>
      </x:c>
      <x:c r="J1046" s="10" t="str">
        <x:v>같은 화면에서 왼쪽의 이 두 견적을 설치비는 제외하고 새 비교표로 만들어줘.</x:v>
      </x:c>
      <x:c r="K1046" s="10" t="str">
        <x:v>quote-L, quote-Z의 설치비를 제외해 비교표 작성을 맡기겠습니다.</x:v>
      </x:c>
      <x:c r="L1046" s="11"/>
      <x:c r="M1046" s="11"/>
      <x:c r="N1046" s="10" t="str">
        <x:v>NOT_MODELED</x:v>
      </x:c>
    </x:row>
    <x:row r="1047" ht="85" customHeight="1">
      <x:c r="A1047" s="10" t="str">
        <x:v>V-R1</x:v>
      </x:c>
      <x:c r="B1047" s="10" t="str">
        <x:v>VOICE</x:v>
      </x:c>
      <x:c r="C1047" s="10" t="str">
        <x:v>VOICE:S5-01</x:v>
      </x:c>
      <x:c r="D1047" s="10" t="str">
        <x:v>VOICE:S5-01:input</x:v>
      </x:c>
      <x:c r="E1047" s="10" t="str">
        <x:v>V-S5</x:v>
      </x:c>
      <x:c r="F1047" s="10" t="n">
        <x:v>1</x:v>
      </x:c>
      <x:c r="G1047" s="11" t="n">
        <x:v>0</x:v>
      </x:c>
      <x:c r="H1047" s="11" t="n">
        <x:v>2.6333333333333333</x:v>
      </x:c>
      <x:c r="I1047" s="11" t="n">
        <x:f>H1047-G1047</x:f>
        <x:v>2.6333333333333333</x:v>
      </x:c>
      <x:c r="J1047" s="10" t="str">
        <x:v>같은 화면에서 왼쪽의 이 두 견적을 설치비는 제외하고 새 비교표로 만들어줘.</x:v>
      </x:c>
      <x:c r="K1047" s="10" t="str">
        <x:v>quote-L, quote-R의 설치비를 제외해 비교표 작성을 맡기겠습니다.</x:v>
      </x:c>
      <x:c r="L1047" s="11"/>
      <x:c r="M1047" s="11"/>
      <x:c r="N1047" s="10" t="str">
        <x:v>NOT_MODELED</x:v>
      </x:c>
    </x:row>
    <x:row r="1048" ht="85" customHeight="1">
      <x:c r="A1048" s="10" t="str">
        <x:v>V-R2</x:v>
      </x:c>
      <x:c r="B1048" s="10" t="str">
        <x:v>VOICE</x:v>
      </x:c>
      <x:c r="C1048" s="10" t="str">
        <x:v>VOICE:S5-01</x:v>
      </x:c>
      <x:c r="D1048" s="10" t="str">
        <x:v>VOICE:S5-01:input</x:v>
      </x:c>
      <x:c r="E1048" s="10" t="str">
        <x:v>V-S5</x:v>
      </x:c>
      <x:c r="F1048" s="10" t="n">
        <x:v>1</x:v>
      </x:c>
      <x:c r="G1048" s="11" t="n">
        <x:v>0</x:v>
      </x:c>
      <x:c r="H1048" s="11" t="n">
        <x:v>2.6333333333333333</x:v>
      </x:c>
      <x:c r="I1048" s="11" t="n">
        <x:f>H1048-G1048</x:f>
        <x:v>2.6333333333333333</x:v>
      </x:c>
      <x:c r="J1048" s="10" t="str">
        <x:v>같은 화면에서 왼쪽의 이 두 견적을 설치비는 제외하고 새 비교표로 만들어줘.</x:v>
      </x:c>
      <x:c r="K1048" s="10" t="str">
        <x:v>quote-L, quote-R의 설치비를 제외해 비교표 작성을 맡기겠습니다.</x:v>
      </x:c>
      <x:c r="L1048" s="11"/>
      <x:c r="M1048" s="11"/>
      <x:c r="N1048" s="10" t="str">
        <x:v>NOT_MODELED</x:v>
      </x:c>
    </x:row>
    <x:row r="1049" ht="85" customHeight="1">
      <x:c r="A1049" s="10" t="str">
        <x:v>V-R3</x:v>
      </x:c>
      <x:c r="B1049" s="10" t="str">
        <x:v>VOICE</x:v>
      </x:c>
      <x:c r="C1049" s="10" t="str">
        <x:v>VOICE:S5-01</x:v>
      </x:c>
      <x:c r="D1049" s="10" t="str">
        <x:v>VOICE:S5-01:input</x:v>
      </x:c>
      <x:c r="E1049" s="10" t="str">
        <x:v>V-S5</x:v>
      </x:c>
      <x:c r="F1049" s="10" t="n">
        <x:v>1</x:v>
      </x:c>
      <x:c r="G1049" s="11" t="n">
        <x:v>0</x:v>
      </x:c>
      <x:c r="H1049" s="11" t="n">
        <x:v>2.6333333333333333</x:v>
      </x:c>
      <x:c r="I1049" s="11" t="n">
        <x:f>H1049-G1049</x:f>
        <x:v>2.6333333333333333</x:v>
      </x:c>
      <x:c r="J1049" s="10" t="str">
        <x:v>같은 화면에서 왼쪽의 이 두 견적을 설치비는 제외하고 새 비교표로 만들어줘.</x:v>
      </x:c>
      <x:c r="K1049" s="10" t="str">
        <x:v>quote-L, quote-R의 설치비를 제외해 비교표 작성을 맡기겠습니다.</x:v>
      </x:c>
      <x:c r="L1049" s="11"/>
      <x:c r="M1049" s="11"/>
      <x:c r="N1049" s="10" t="str">
        <x:v>NOT_MODELED</x:v>
      </x:c>
    </x:row>
    <x:row r="1050" ht="85" customHeight="1">
      <x:c r="A1050" s="10" t="str">
        <x:v>V-A</x:v>
      </x:c>
      <x:c r="B1050" s="10" t="str">
        <x:v>VOICE</x:v>
      </x:c>
      <x:c r="C1050" s="10" t="str">
        <x:v>VOICE:S5-02</x:v>
      </x:c>
      <x:c r="D1050" s="10" t="str">
        <x:v>VOICE:S5-02:input</x:v>
      </x:c>
      <x:c r="E1050" s="10" t="str">
        <x:v>V-S5</x:v>
      </x:c>
      <x:c r="F1050" s="10" t="n">
        <x:v>1</x:v>
      </x:c>
      <x:c r="G1050" s="11" t="n">
        <x:v>0</x:v>
      </x:c>
      <x:c r="H1050" s="11" t="n">
        <x:v>2.8333333333333335</x:v>
      </x:c>
      <x:c r="I1050" s="11" t="n">
        <x:f>H1050-G1050</x:f>
        <x:v>2.8333333333333335</x:v>
      </x:c>
      <x:c r="J1050" s="10" t="str">
        <x:v>같은 화면에서 왼쪽의 이 두 견적을 설치비는 제외하고 새 비교표로 만들어줘.</x:v>
      </x:c>
      <x:c r="K1050" s="10" t="str">
        <x:v>quote-L, quote-Z의 설치비를 제외해 비교표 작성을 맡기겠습니다.</x:v>
      </x:c>
      <x:c r="L1050" s="11"/>
      <x:c r="M1050" s="11"/>
      <x:c r="N1050" s="10" t="str">
        <x:v>NOT_MODELED</x:v>
      </x:c>
    </x:row>
    <x:row r="1051" ht="85" customHeight="1">
      <x:c r="A1051" s="10" t="str">
        <x:v>V-R1</x:v>
      </x:c>
      <x:c r="B1051" s="10" t="str">
        <x:v>VOICE</x:v>
      </x:c>
      <x:c r="C1051" s="10" t="str">
        <x:v>VOICE:S5-02</x:v>
      </x:c>
      <x:c r="D1051" s="10" t="str">
        <x:v>VOICE:S5-02:input</x:v>
      </x:c>
      <x:c r="E1051" s="10" t="str">
        <x:v>V-S5</x:v>
      </x:c>
      <x:c r="F1051" s="10" t="n">
        <x:v>1</x:v>
      </x:c>
      <x:c r="G1051" s="11" t="n">
        <x:v>0</x:v>
      </x:c>
      <x:c r="H1051" s="11" t="n">
        <x:v>2.6333333333333333</x:v>
      </x:c>
      <x:c r="I1051" s="11" t="n">
        <x:f>H1051-G1051</x:f>
        <x:v>2.6333333333333333</x:v>
      </x:c>
      <x:c r="J1051" s="10" t="str">
        <x:v>같은 화면에서 왼쪽의 이 두 견적을 설치비는 제외하고 새 비교표로 만들어줘.</x:v>
      </x:c>
      <x:c r="K1051" s="10" t="str">
        <x:v>quote-L, quote-R의 설치비를 제외해 비교표 작성을 맡기겠습니다.</x:v>
      </x:c>
      <x:c r="L1051" s="11"/>
      <x:c r="M1051" s="11"/>
      <x:c r="N1051" s="10" t="str">
        <x:v>NOT_MODELED</x:v>
      </x:c>
    </x:row>
    <x:row r="1052" ht="85" customHeight="1">
      <x:c r="A1052" s="10" t="str">
        <x:v>V-R2</x:v>
      </x:c>
      <x:c r="B1052" s="10" t="str">
        <x:v>VOICE</x:v>
      </x:c>
      <x:c r="C1052" s="10" t="str">
        <x:v>VOICE:S5-02</x:v>
      </x:c>
      <x:c r="D1052" s="10" t="str">
        <x:v>VOICE:S5-02:input</x:v>
      </x:c>
      <x:c r="E1052" s="10" t="str">
        <x:v>V-S5</x:v>
      </x:c>
      <x:c r="F1052" s="10" t="n">
        <x:v>1</x:v>
      </x:c>
      <x:c r="G1052" s="11" t="n">
        <x:v>0</x:v>
      </x:c>
      <x:c r="H1052" s="11" t="n">
        <x:v>2.6333333333333333</x:v>
      </x:c>
      <x:c r="I1052" s="11" t="n">
        <x:f>H1052-G1052</x:f>
        <x:v>2.6333333333333333</x:v>
      </x:c>
      <x:c r="J1052" s="10" t="str">
        <x:v>같은 화면에서 왼쪽의 이 두 견적을 설치비는 제외하고 새 비교표로 만들어줘.</x:v>
      </x:c>
      <x:c r="K1052" s="10" t="str">
        <x:v>quote-L, quote-R의 설치비를 제외해 비교표 작성을 맡기겠습니다.</x:v>
      </x:c>
      <x:c r="L1052" s="11"/>
      <x:c r="M1052" s="11"/>
      <x:c r="N1052" s="10" t="str">
        <x:v>NOT_MODELED</x:v>
      </x:c>
    </x:row>
    <x:row r="1053" ht="85" customHeight="1">
      <x:c r="A1053" s="10" t="str">
        <x:v>V-R3</x:v>
      </x:c>
      <x:c r="B1053" s="10" t="str">
        <x:v>VOICE</x:v>
      </x:c>
      <x:c r="C1053" s="10" t="str">
        <x:v>VOICE:S5-02</x:v>
      </x:c>
      <x:c r="D1053" s="10" t="str">
        <x:v>VOICE:S5-02:input</x:v>
      </x:c>
      <x:c r="E1053" s="10" t="str">
        <x:v>V-S5</x:v>
      </x:c>
      <x:c r="F1053" s="10" t="n">
        <x:v>1</x:v>
      </x:c>
      <x:c r="G1053" s="11" t="n">
        <x:v>0</x:v>
      </x:c>
      <x:c r="H1053" s="11" t="n">
        <x:v>2.6333333333333333</x:v>
      </x:c>
      <x:c r="I1053" s="11" t="n">
        <x:f>H1053-G1053</x:f>
        <x:v>2.6333333333333333</x:v>
      </x:c>
      <x:c r="J1053" s="10" t="str">
        <x:v>같은 화면에서 왼쪽의 이 두 견적을 설치비는 제외하고 새 비교표로 만들어줘.</x:v>
      </x:c>
      <x:c r="K1053" s="10" t="str">
        <x:v>quote-L, quote-R의 설치비를 제외해 비교표 작성을 맡기겠습니다.</x:v>
      </x:c>
      <x:c r="L1053" s="11"/>
      <x:c r="M1053" s="11"/>
      <x:c r="N1053" s="10" t="str">
        <x:v>NOT_MODELED</x:v>
      </x:c>
    </x:row>
    <x:row r="1054" ht="85" customHeight="1">
      <x:c r="A1054" s="10" t="str">
        <x:v>V-A</x:v>
      </x:c>
      <x:c r="B1054" s="10" t="str">
        <x:v>VOICE</x:v>
      </x:c>
      <x:c r="C1054" s="10" t="str">
        <x:v>VOICE:S5-03</x:v>
      </x:c>
      <x:c r="D1054" s="10" t="str">
        <x:v>VOICE:S5-03:input</x:v>
      </x:c>
      <x:c r="E1054" s="10" t="str">
        <x:v>V-S5</x:v>
      </x:c>
      <x:c r="F1054" s="10" t="n">
        <x:v>1</x:v>
      </x:c>
      <x:c r="G1054" s="11" t="n">
        <x:v>0</x:v>
      </x:c>
      <x:c r="H1054" s="11" t="n">
        <x:v>2.8333333333333335</x:v>
      </x:c>
      <x:c r="I1054" s="11" t="n">
        <x:f>H1054-G1054</x:f>
        <x:v>2.8333333333333335</x:v>
      </x:c>
      <x:c r="J1054" s="10" t="str">
        <x:v>같은 화면에서 왼쪽의 이 두 견적을 설치비는 제외하고 새 비교표로 만들어줘.</x:v>
      </x:c>
      <x:c r="K1054" s="10" t="str">
        <x:v>quote-L, quote-Z의 설치비를 제외해 비교표 작성을 맡기겠습니다.</x:v>
      </x:c>
      <x:c r="L1054" s="11"/>
      <x:c r="M1054" s="11"/>
      <x:c r="N1054" s="10" t="str">
        <x:v>NOT_MODELED</x:v>
      </x:c>
    </x:row>
    <x:row r="1055" ht="85" customHeight="1">
      <x:c r="A1055" s="10" t="str">
        <x:v>V-R1</x:v>
      </x:c>
      <x:c r="B1055" s="10" t="str">
        <x:v>VOICE</x:v>
      </x:c>
      <x:c r="C1055" s="10" t="str">
        <x:v>VOICE:S5-03</x:v>
      </x:c>
      <x:c r="D1055" s="10" t="str">
        <x:v>VOICE:S5-03:input</x:v>
      </x:c>
      <x:c r="E1055" s="10" t="str">
        <x:v>V-S5</x:v>
      </x:c>
      <x:c r="F1055" s="10" t="n">
        <x:v>1</x:v>
      </x:c>
      <x:c r="G1055" s="11" t="n">
        <x:v>0</x:v>
      </x:c>
      <x:c r="H1055" s="11" t="n">
        <x:v>2.6333333333333333</x:v>
      </x:c>
      <x:c r="I1055" s="11" t="n">
        <x:f>H1055-G1055</x:f>
        <x:v>2.6333333333333333</x:v>
      </x:c>
      <x:c r="J1055" s="10" t="str">
        <x:v>같은 화면에서 왼쪽의 이 두 견적을 설치비는 제외하고 새 비교표로 만들어줘.</x:v>
      </x:c>
      <x:c r="K1055" s="10" t="str">
        <x:v>quote-L, quote-R의 설치비를 제외해 비교표 작성을 맡기겠습니다.</x:v>
      </x:c>
      <x:c r="L1055" s="11"/>
      <x:c r="M1055" s="11"/>
      <x:c r="N1055" s="10" t="str">
        <x:v>NOT_MODELED</x:v>
      </x:c>
    </x:row>
    <x:row r="1056" ht="85" customHeight="1">
      <x:c r="A1056" s="10" t="str">
        <x:v>V-R2</x:v>
      </x:c>
      <x:c r="B1056" s="10" t="str">
        <x:v>VOICE</x:v>
      </x:c>
      <x:c r="C1056" s="10" t="str">
        <x:v>VOICE:S5-03</x:v>
      </x:c>
      <x:c r="D1056" s="10" t="str">
        <x:v>VOICE:S5-03:input</x:v>
      </x:c>
      <x:c r="E1056" s="10" t="str">
        <x:v>V-S5</x:v>
      </x:c>
      <x:c r="F1056" s="10" t="n">
        <x:v>1</x:v>
      </x:c>
      <x:c r="G1056" s="11" t="n">
        <x:v>0</x:v>
      </x:c>
      <x:c r="H1056" s="11" t="n">
        <x:v>2.6333333333333333</x:v>
      </x:c>
      <x:c r="I1056" s="11" t="n">
        <x:f>H1056-G1056</x:f>
        <x:v>2.6333333333333333</x:v>
      </x:c>
      <x:c r="J1056" s="10" t="str">
        <x:v>같은 화면에서 왼쪽의 이 두 견적을 설치비는 제외하고 새 비교표로 만들어줘.</x:v>
      </x:c>
      <x:c r="K1056" s="10" t="str">
        <x:v>quote-L, quote-R의 설치비를 제외해 비교표 작성을 맡기겠습니다.</x:v>
      </x:c>
      <x:c r="L1056" s="11"/>
      <x:c r="M1056" s="11"/>
      <x:c r="N1056" s="10" t="str">
        <x:v>NOT_MODELED</x:v>
      </x:c>
    </x:row>
    <x:row r="1057" ht="85" customHeight="1">
      <x:c r="A1057" s="10" t="str">
        <x:v>V-R3</x:v>
      </x:c>
      <x:c r="B1057" s="10" t="str">
        <x:v>VOICE</x:v>
      </x:c>
      <x:c r="C1057" s="10" t="str">
        <x:v>VOICE:S5-03</x:v>
      </x:c>
      <x:c r="D1057" s="10" t="str">
        <x:v>VOICE:S5-03:input</x:v>
      </x:c>
      <x:c r="E1057" s="10" t="str">
        <x:v>V-S5</x:v>
      </x:c>
      <x:c r="F1057" s="10" t="n">
        <x:v>1</x:v>
      </x:c>
      <x:c r="G1057" s="11" t="n">
        <x:v>0</x:v>
      </x:c>
      <x:c r="H1057" s="11" t="n">
        <x:v>2.6333333333333333</x:v>
      </x:c>
      <x:c r="I1057" s="11" t="n">
        <x:f>H1057-G1057</x:f>
        <x:v>2.6333333333333333</x:v>
      </x:c>
      <x:c r="J1057" s="10" t="str">
        <x:v>같은 화면에서 왼쪽의 이 두 견적을 설치비는 제외하고 새 비교표로 만들어줘.</x:v>
      </x:c>
      <x:c r="K1057" s="10" t="str">
        <x:v>quote-L, quote-R의 설치비를 제외해 비교표 작성을 맡기겠습니다.</x:v>
      </x:c>
      <x:c r="L1057" s="11"/>
      <x:c r="M1057" s="11"/>
      <x:c r="N1057" s="10" t="str">
        <x:v>NOT_MODELED</x:v>
      </x:c>
    </x:row>
    <x:row r="1058" ht="85" customHeight="1">
      <x:c r="A1058" s="10" t="str">
        <x:v>V-A</x:v>
      </x:c>
      <x:c r="B1058" s="10" t="str">
        <x:v>VOICE</x:v>
      </x:c>
      <x:c r="C1058" s="10" t="str">
        <x:v>VOICE:S5-04</x:v>
      </x:c>
      <x:c r="D1058" s="10" t="str">
        <x:v>VOICE:S5-04:input</x:v>
      </x:c>
      <x:c r="E1058" s="10" t="str">
        <x:v>V-S5</x:v>
      </x:c>
      <x:c r="F1058" s="10" t="n">
        <x:v>1</x:v>
      </x:c>
      <x:c r="G1058" s="11" t="n">
        <x:v>0</x:v>
      </x:c>
      <x:c r="H1058" s="11" t="n">
        <x:v>2.8333333333333335</x:v>
      </x:c>
      <x:c r="I1058" s="11" t="n">
        <x:f>H1058-G1058</x:f>
        <x:v>2.8333333333333335</x:v>
      </x:c>
      <x:c r="J1058" s="10" t="str">
        <x:v>같은 화면에서 왼쪽의 이 두 견적을 설치비는 제외하고 새 비교표로 만들어줘.</x:v>
      </x:c>
      <x:c r="K1058" s="10" t="str">
        <x:v>quote-L, quote-R의 설치비를 제외해 비교표 작성을 맡기겠습니다.</x:v>
      </x:c>
      <x:c r="L1058" s="11"/>
      <x:c r="M1058" s="11"/>
      <x:c r="N1058" s="10" t="str">
        <x:v>NOT_MODELED</x:v>
      </x:c>
    </x:row>
    <x:row r="1059" ht="85" customHeight="1">
      <x:c r="A1059" s="10" t="str">
        <x:v>V-R1</x:v>
      </x:c>
      <x:c r="B1059" s="10" t="str">
        <x:v>VOICE</x:v>
      </x:c>
      <x:c r="C1059" s="10" t="str">
        <x:v>VOICE:S5-04</x:v>
      </x:c>
      <x:c r="D1059" s="10" t="str">
        <x:v>VOICE:S5-04:input</x:v>
      </x:c>
      <x:c r="E1059" s="10" t="str">
        <x:v>V-S5</x:v>
      </x:c>
      <x:c r="F1059" s="10" t="n">
        <x:v>1</x:v>
      </x:c>
      <x:c r="G1059" s="11" t="n">
        <x:v>0</x:v>
      </x:c>
      <x:c r="H1059" s="11" t="n">
        <x:v>2.6333333333333333</x:v>
      </x:c>
      <x:c r="I1059" s="11" t="n">
        <x:f>H1059-G1059</x:f>
        <x:v>2.6333333333333333</x:v>
      </x:c>
      <x:c r="J1059" s="10" t="str">
        <x:v>같은 화면에서 왼쪽의 이 두 견적을 설치비는 제외하고 새 비교표로 만들어줘.</x:v>
      </x:c>
      <x:c r="K1059" s="10" t="str">
        <x:v>quote-L, quote-Z의 설치비를 제외해 비교표 작성을 맡기겠습니다.</x:v>
      </x:c>
      <x:c r="L1059" s="11"/>
      <x:c r="M1059" s="11"/>
      <x:c r="N1059" s="10" t="str">
        <x:v>NOT_MODELED</x:v>
      </x:c>
    </x:row>
    <x:row r="1060" ht="85" customHeight="1">
      <x:c r="A1060" s="10" t="str">
        <x:v>V-R2</x:v>
      </x:c>
      <x:c r="B1060" s="10" t="str">
        <x:v>VOICE</x:v>
      </x:c>
      <x:c r="C1060" s="10" t="str">
        <x:v>VOICE:S5-04</x:v>
      </x:c>
      <x:c r="D1060" s="10" t="str">
        <x:v>VOICE:S5-04:input</x:v>
      </x:c>
      <x:c r="E1060" s="10" t="str">
        <x:v>V-S5</x:v>
      </x:c>
      <x:c r="F1060" s="10" t="n">
        <x:v>1</x:v>
      </x:c>
      <x:c r="G1060" s="11" t="n">
        <x:v>0</x:v>
      </x:c>
      <x:c r="H1060" s="11" t="n">
        <x:v>2.6333333333333333</x:v>
      </x:c>
      <x:c r="I1060" s="11" t="n">
        <x:f>H1060-G1060</x:f>
        <x:v>2.6333333333333333</x:v>
      </x:c>
      <x:c r="J1060" s="10" t="str">
        <x:v>같은 화면에서 왼쪽의 이 두 견적을 설치비는 제외하고 새 비교표로 만들어줘.</x:v>
      </x:c>
      <x:c r="K1060" s="10" t="str">
        <x:v>quote-L, quote-Z의 설치비를 제외해 비교표 작성을 맡기겠습니다.</x:v>
      </x:c>
      <x:c r="L1060" s="11"/>
      <x:c r="M1060" s="11"/>
      <x:c r="N1060" s="10" t="str">
        <x:v>NOT_MODELED</x:v>
      </x:c>
    </x:row>
    <x:row r="1061" ht="85" customHeight="1">
      <x:c r="A1061" s="10" t="str">
        <x:v>V-R3</x:v>
      </x:c>
      <x:c r="B1061" s="10" t="str">
        <x:v>VOICE</x:v>
      </x:c>
      <x:c r="C1061" s="10" t="str">
        <x:v>VOICE:S5-04</x:v>
      </x:c>
      <x:c r="D1061" s="10" t="str">
        <x:v>VOICE:S5-04:input</x:v>
      </x:c>
      <x:c r="E1061" s="10" t="str">
        <x:v>V-S5</x:v>
      </x:c>
      <x:c r="F1061" s="10" t="n">
        <x:v>1</x:v>
      </x:c>
      <x:c r="G1061" s="11" t="n">
        <x:v>0</x:v>
      </x:c>
      <x:c r="H1061" s="11" t="n">
        <x:v>2.6333333333333333</x:v>
      </x:c>
      <x:c r="I1061" s="11" t="n">
        <x:f>H1061-G1061</x:f>
        <x:v>2.6333333333333333</x:v>
      </x:c>
      <x:c r="J1061" s="10" t="str">
        <x:v>같은 화면에서 왼쪽의 이 두 견적을 설치비는 제외하고 새 비교표로 만들어줘.</x:v>
      </x:c>
      <x:c r="K1061" s="10" t="str">
        <x:v>quote-L, quote-Z의 설치비를 제외해 비교표 작성을 맡기겠습니다.</x:v>
      </x:c>
      <x:c r="L1061" s="11"/>
      <x:c r="M1061" s="11"/>
      <x:c r="N1061" s="10" t="str">
        <x:v>NOT_MODELED</x:v>
      </x:c>
    </x:row>
    <x:row r="1062" ht="85" customHeight="1">
      <x:c r="A1062" s="10" t="str">
        <x:v>V-A</x:v>
      </x:c>
      <x:c r="B1062" s="10" t="str">
        <x:v>VOICE</x:v>
      </x:c>
      <x:c r="C1062" s="10" t="str">
        <x:v>VOICE:S5-05</x:v>
      </x:c>
      <x:c r="D1062" s="10" t="str">
        <x:v>VOICE:S5-05:input</x:v>
      </x:c>
      <x:c r="E1062" s="10" t="str">
        <x:v>V-S5</x:v>
      </x:c>
      <x:c r="F1062" s="10" t="n">
        <x:v>1</x:v>
      </x:c>
      <x:c r="G1062" s="11" t="n">
        <x:v>0</x:v>
      </x:c>
      <x:c r="H1062" s="11" t="n">
        <x:v>2.8333333333333335</x:v>
      </x:c>
      <x:c r="I1062" s="11" t="n">
        <x:f>H1062-G1062</x:f>
        <x:v>2.8333333333333335</x:v>
      </x:c>
      <x:c r="J1062" s="10" t="str">
        <x:v>같은 화면에서 왼쪽의 이 두 견적을 설치비는 제외하고 새 비교표로 만들어줘.</x:v>
      </x:c>
      <x:c r="K1062" s="10" t="str">
        <x:v>quote-L, quote-R의 설치비를 제외해 비교표 작성을 맡기겠습니다.</x:v>
      </x:c>
      <x:c r="L1062" s="11"/>
      <x:c r="M1062" s="11"/>
      <x:c r="N1062" s="10" t="str">
        <x:v>NOT_MODELED</x:v>
      </x:c>
    </x:row>
    <x:row r="1063" ht="85" customHeight="1">
      <x:c r="A1063" s="10" t="str">
        <x:v>V-R1</x:v>
      </x:c>
      <x:c r="B1063" s="10" t="str">
        <x:v>VOICE</x:v>
      </x:c>
      <x:c r="C1063" s="10" t="str">
        <x:v>VOICE:S5-05</x:v>
      </x:c>
      <x:c r="D1063" s="10" t="str">
        <x:v>VOICE:S5-05:input</x:v>
      </x:c>
      <x:c r="E1063" s="10" t="str">
        <x:v>V-S5</x:v>
      </x:c>
      <x:c r="F1063" s="10" t="n">
        <x:v>1</x:v>
      </x:c>
      <x:c r="G1063" s="11" t="n">
        <x:v>0</x:v>
      </x:c>
      <x:c r="H1063" s="11" t="n">
        <x:v>2.6333333333333333</x:v>
      </x:c>
      <x:c r="I1063" s="11" t="n">
        <x:f>H1063-G1063</x:f>
        <x:v>2.6333333333333333</x:v>
      </x:c>
      <x:c r="J1063" s="10" t="str">
        <x:v>같은 화면에서 왼쪽의 이 두 견적을 설치비는 제외하고 새 비교표로 만들어줘.</x:v>
      </x:c>
      <x:c r="K1063" s="10" t="str">
        <x:v>quote-L, quote-R의 설치비를 제외해 비교표 작성을 맡기겠습니다.</x:v>
      </x:c>
      <x:c r="L1063" s="11"/>
      <x:c r="M1063" s="11"/>
      <x:c r="N1063" s="10" t="str">
        <x:v>NOT_MODELED</x:v>
      </x:c>
    </x:row>
    <x:row r="1064" ht="85" customHeight="1">
      <x:c r="A1064" s="10" t="str">
        <x:v>V-R2</x:v>
      </x:c>
      <x:c r="B1064" s="10" t="str">
        <x:v>VOICE</x:v>
      </x:c>
      <x:c r="C1064" s="10" t="str">
        <x:v>VOICE:S5-05</x:v>
      </x:c>
      <x:c r="D1064" s="10" t="str">
        <x:v>VOICE:S5-05:input</x:v>
      </x:c>
      <x:c r="E1064" s="10" t="str">
        <x:v>V-S5</x:v>
      </x:c>
      <x:c r="F1064" s="10" t="n">
        <x:v>1</x:v>
      </x:c>
      <x:c r="G1064" s="11" t="n">
        <x:v>0</x:v>
      </x:c>
      <x:c r="H1064" s="11" t="n">
        <x:v>2.6333333333333333</x:v>
      </x:c>
      <x:c r="I1064" s="11" t="n">
        <x:f>H1064-G1064</x:f>
        <x:v>2.6333333333333333</x:v>
      </x:c>
      <x:c r="J1064" s="10" t="str">
        <x:v>같은 화면에서 왼쪽의 이 두 견적을 설치비는 제외하고 새 비교표로 만들어줘.</x:v>
      </x:c>
      <x:c r="K1064" s="10" t="str">
        <x:v>quote-L, quote-R의 설치비를 제외해 비교표 작성을 맡기겠습니다.</x:v>
      </x:c>
      <x:c r="L1064" s="11"/>
      <x:c r="M1064" s="11"/>
      <x:c r="N1064" s="10" t="str">
        <x:v>NOT_MODELED</x:v>
      </x:c>
    </x:row>
    <x:row r="1065" ht="85" customHeight="1">
      <x:c r="A1065" s="10" t="str">
        <x:v>V-R3</x:v>
      </x:c>
      <x:c r="B1065" s="10" t="str">
        <x:v>VOICE</x:v>
      </x:c>
      <x:c r="C1065" s="10" t="str">
        <x:v>VOICE:S5-05</x:v>
      </x:c>
      <x:c r="D1065" s="10" t="str">
        <x:v>VOICE:S5-05:input</x:v>
      </x:c>
      <x:c r="E1065" s="10" t="str">
        <x:v>V-S5</x:v>
      </x:c>
      <x:c r="F1065" s="10" t="n">
        <x:v>1</x:v>
      </x:c>
      <x:c r="G1065" s="11" t="n">
        <x:v>0</x:v>
      </x:c>
      <x:c r="H1065" s="11" t="n">
        <x:v>2.6333333333333333</x:v>
      </x:c>
      <x:c r="I1065" s="11" t="n">
        <x:f>H1065-G1065</x:f>
        <x:v>2.6333333333333333</x:v>
      </x:c>
      <x:c r="J1065" s="10" t="str">
        <x:v>같은 화면에서 왼쪽의 이 두 견적을 설치비는 제외하고 새 비교표로 만들어줘.</x:v>
      </x:c>
      <x:c r="K1065" s="10" t="str">
        <x:v>quote-L, quote-R의 설치비를 제외해 비교표 작성을 맡기겠습니다.</x:v>
      </x:c>
      <x:c r="L1065" s="11"/>
      <x:c r="M1065" s="11"/>
      <x:c r="N1065" s="10" t="str">
        <x:v>NOT_MODELED</x:v>
      </x:c>
    </x:row>
    <x:row r="1066" ht="85" customHeight="1">
      <x:c r="A1066" s="10" t="str">
        <x:v>V-A</x:v>
      </x:c>
      <x:c r="B1066" s="10" t="str">
        <x:v>VOICE</x:v>
      </x:c>
      <x:c r="C1066" s="10" t="str">
        <x:v>VOICE:S5-06</x:v>
      </x:c>
      <x:c r="D1066" s="10" t="str">
        <x:v>VOICE:S5-06:input</x:v>
      </x:c>
      <x:c r="E1066" s="10" t="str">
        <x:v>V-S5</x:v>
      </x:c>
      <x:c r="F1066" s="10" t="n">
        <x:v>1</x:v>
      </x:c>
      <x:c r="G1066" s="11" t="n">
        <x:v>0</x:v>
      </x:c>
      <x:c r="H1066" s="11" t="n">
        <x:v>2.8333333333333335</x:v>
      </x:c>
      <x:c r="I1066" s="11" t="n">
        <x:f>H1066-G1066</x:f>
        <x:v>2.8333333333333335</x:v>
      </x:c>
      <x:c r="J1066" s="10" t="str">
        <x:v>같은 화면에서 왼쪽의 이 두 견적을 설치비는 제외하고 새 비교표로 만들어줘.</x:v>
      </x:c>
      <x:c r="K1066" s="10" t="str">
        <x:v>quote-L, quote-R의 설치비를 제외해 비교표 작성을 맡기겠습니다.</x:v>
      </x:c>
      <x:c r="L1066" s="11"/>
      <x:c r="M1066" s="11"/>
      <x:c r="N1066" s="10" t="str">
        <x:v>NOT_MODELED</x:v>
      </x:c>
    </x:row>
    <x:row r="1067" ht="85" customHeight="1">
      <x:c r="A1067" s="10" t="str">
        <x:v>V-R1</x:v>
      </x:c>
      <x:c r="B1067" s="10" t="str">
        <x:v>VOICE</x:v>
      </x:c>
      <x:c r="C1067" s="10" t="str">
        <x:v>VOICE:S5-06</x:v>
      </x:c>
      <x:c r="D1067" s="10" t="str">
        <x:v>VOICE:S5-06:input</x:v>
      </x:c>
      <x:c r="E1067" s="10" t="str">
        <x:v>V-S5</x:v>
      </x:c>
      <x:c r="F1067" s="10" t="n">
        <x:v>1</x:v>
      </x:c>
      <x:c r="G1067" s="11" t="n">
        <x:v>0</x:v>
      </x:c>
      <x:c r="H1067" s="11" t="n">
        <x:v>2.6333333333333333</x:v>
      </x:c>
      <x:c r="I1067" s="11" t="n">
        <x:f>H1067-G1067</x:f>
        <x:v>2.6333333333333333</x:v>
      </x:c>
      <x:c r="J1067" s="10" t="str">
        <x:v>같은 화면에서 왼쪽의 이 두 견적을 설치비는 제외하고 새 비교표로 만들어줘.</x:v>
      </x:c>
      <x:c r="K1067" s="10" t="str">
        <x:v>quote-L, quote-R의 설치비를 제외해 비교표 작성을 맡기겠습니다.</x:v>
      </x:c>
      <x:c r="L1067" s="11"/>
      <x:c r="M1067" s="11"/>
      <x:c r="N1067" s="10" t="str">
        <x:v>NOT_MODELED</x:v>
      </x:c>
    </x:row>
    <x:row r="1068" ht="85" customHeight="1">
      <x:c r="A1068" s="10" t="str">
        <x:v>V-R2</x:v>
      </x:c>
      <x:c r="B1068" s="10" t="str">
        <x:v>VOICE</x:v>
      </x:c>
      <x:c r="C1068" s="10" t="str">
        <x:v>VOICE:S5-06</x:v>
      </x:c>
      <x:c r="D1068" s="10" t="str">
        <x:v>VOICE:S5-06:input</x:v>
      </x:c>
      <x:c r="E1068" s="10" t="str">
        <x:v>V-S5</x:v>
      </x:c>
      <x:c r="F1068" s="10" t="n">
        <x:v>1</x:v>
      </x:c>
      <x:c r="G1068" s="11" t="n">
        <x:v>0</x:v>
      </x:c>
      <x:c r="H1068" s="11" t="n">
        <x:v>2.6333333333333333</x:v>
      </x:c>
      <x:c r="I1068" s="11" t="n">
        <x:f>H1068-G1068</x:f>
        <x:v>2.6333333333333333</x:v>
      </x:c>
      <x:c r="J1068" s="10" t="str">
        <x:v>같은 화면에서 왼쪽의 이 두 견적을 설치비는 제외하고 새 비교표로 만들어줘.</x:v>
      </x:c>
      <x:c r="K1068" s="10" t="str">
        <x:v>quote-L, quote-R의 설치비를 제외해 비교표 작성을 맡기겠습니다.</x:v>
      </x:c>
      <x:c r="L1068" s="11"/>
      <x:c r="M1068" s="11"/>
      <x:c r="N1068" s="10" t="str">
        <x:v>NOT_MODELED</x:v>
      </x:c>
    </x:row>
    <x:row r="1069" ht="85" customHeight="1">
      <x:c r="A1069" s="10" t="str">
        <x:v>V-R3</x:v>
      </x:c>
      <x:c r="B1069" s="10" t="str">
        <x:v>VOICE</x:v>
      </x:c>
      <x:c r="C1069" s="10" t="str">
        <x:v>VOICE:S5-06</x:v>
      </x:c>
      <x:c r="D1069" s="10" t="str">
        <x:v>VOICE:S5-06:input</x:v>
      </x:c>
      <x:c r="E1069" s="10" t="str">
        <x:v>V-S5</x:v>
      </x:c>
      <x:c r="F1069" s="10" t="n">
        <x:v>1</x:v>
      </x:c>
      <x:c r="G1069" s="11" t="n">
        <x:v>0</x:v>
      </x:c>
      <x:c r="H1069" s="11" t="n">
        <x:v>2.6333333333333333</x:v>
      </x:c>
      <x:c r="I1069" s="11" t="n">
        <x:f>H1069-G1069</x:f>
        <x:v>2.6333333333333333</x:v>
      </x:c>
      <x:c r="J1069" s="10" t="str">
        <x:v>같은 화면에서 왼쪽의 이 두 견적을 설치비는 제외하고 새 비교표로 만들어줘.</x:v>
      </x:c>
      <x:c r="K1069" s="10" t="str">
        <x:v>quote-L, quote-R의 설치비를 제외해 비교표 작성을 맡기겠습니다.</x:v>
      </x:c>
      <x:c r="L1069" s="11"/>
      <x:c r="M1069" s="11"/>
      <x:c r="N1069" s="10" t="str">
        <x:v>NOT_MODELED</x:v>
      </x:c>
    </x:row>
    <x:row r="1070" ht="85" customHeight="1">
      <x:c r="A1070" s="10" t="str">
        <x:v>V-A</x:v>
      </x:c>
      <x:c r="B1070" s="10" t="str">
        <x:v>VOICE</x:v>
      </x:c>
      <x:c r="C1070" s="10" t="str">
        <x:v>VOICE:S5-07</x:v>
      </x:c>
      <x:c r="D1070" s="10" t="str">
        <x:v>VOICE:S5-07:input</x:v>
      </x:c>
      <x:c r="E1070" s="10" t="str">
        <x:v>V-S5</x:v>
      </x:c>
      <x:c r="F1070" s="10" t="n">
        <x:v>1</x:v>
      </x:c>
      <x:c r="G1070" s="11" t="n">
        <x:v>0</x:v>
      </x:c>
      <x:c r="H1070" s="11" t="n">
        <x:v>2.8333333333333335</x:v>
      </x:c>
      <x:c r="I1070" s="11" t="n">
        <x:f>H1070-G1070</x:f>
        <x:v>2.8333333333333335</x:v>
      </x:c>
      <x:c r="J1070" s="10" t="str">
        <x:v>같은 화면에서 왼쪽의 이 두 견적을 설치비는 제외하고 새 비교표로 만들어줘.</x:v>
      </x:c>
      <x:c r="K1070" s="10" t="str">
        <x:v>quote-L, quote-R의 설치비를 제외해 비교표 작성을 맡기겠습니다.</x:v>
      </x:c>
      <x:c r="L1070" s="11"/>
      <x:c r="M1070" s="11"/>
      <x:c r="N1070" s="10" t="str">
        <x:v>NOT_MODELED</x:v>
      </x:c>
    </x:row>
    <x:row r="1071" ht="85" customHeight="1">
      <x:c r="A1071" s="10" t="str">
        <x:v>V-R1</x:v>
      </x:c>
      <x:c r="B1071" s="10" t="str">
        <x:v>VOICE</x:v>
      </x:c>
      <x:c r="C1071" s="10" t="str">
        <x:v>VOICE:S5-07</x:v>
      </x:c>
      <x:c r="D1071" s="10" t="str">
        <x:v>VOICE:S5-07:input</x:v>
      </x:c>
      <x:c r="E1071" s="10" t="str">
        <x:v>V-S5</x:v>
      </x:c>
      <x:c r="F1071" s="10" t="n">
        <x:v>1</x:v>
      </x:c>
      <x:c r="G1071" s="11" t="n">
        <x:v>0</x:v>
      </x:c>
      <x:c r="H1071" s="11" t="n">
        <x:v>2.6333333333333333</x:v>
      </x:c>
      <x:c r="I1071" s="11" t="n">
        <x:f>H1071-G1071</x:f>
        <x:v>2.6333333333333333</x:v>
      </x:c>
      <x:c r="J1071" s="10" t="str">
        <x:v>같은 화면에서 왼쪽의 이 두 견적을 설치비는 제외하고 새 비교표로 만들어줘.</x:v>
      </x:c>
      <x:c r="K1071" s="10" t="str">
        <x:v>quote-L, quote-R의 설치비를 제외해 비교표 작성을 맡기겠습니다.</x:v>
      </x:c>
      <x:c r="L1071" s="11"/>
      <x:c r="M1071" s="11"/>
      <x:c r="N1071" s="10" t="str">
        <x:v>NOT_MODELED</x:v>
      </x:c>
    </x:row>
    <x:row r="1072" ht="85" customHeight="1">
      <x:c r="A1072" s="10" t="str">
        <x:v>V-R2</x:v>
      </x:c>
      <x:c r="B1072" s="10" t="str">
        <x:v>VOICE</x:v>
      </x:c>
      <x:c r="C1072" s="10" t="str">
        <x:v>VOICE:S5-07</x:v>
      </x:c>
      <x:c r="D1072" s="10" t="str">
        <x:v>VOICE:S5-07:input</x:v>
      </x:c>
      <x:c r="E1072" s="10" t="str">
        <x:v>V-S5</x:v>
      </x:c>
      <x:c r="F1072" s="10" t="n">
        <x:v>1</x:v>
      </x:c>
      <x:c r="G1072" s="11" t="n">
        <x:v>0</x:v>
      </x:c>
      <x:c r="H1072" s="11" t="n">
        <x:v>2.6333333333333333</x:v>
      </x:c>
      <x:c r="I1072" s="11" t="n">
        <x:f>H1072-G1072</x:f>
        <x:v>2.6333333333333333</x:v>
      </x:c>
      <x:c r="J1072" s="10" t="str">
        <x:v>같은 화면에서 왼쪽의 이 두 견적을 설치비는 제외하고 새 비교표로 만들어줘.</x:v>
      </x:c>
      <x:c r="K1072" s="10" t="str">
        <x:v>quote-L, quote-R의 설치비를 제외해 비교표 작성을 맡기겠습니다.</x:v>
      </x:c>
      <x:c r="L1072" s="11"/>
      <x:c r="M1072" s="11"/>
      <x:c r="N1072" s="10" t="str">
        <x:v>NOT_MODELED</x:v>
      </x:c>
    </x:row>
    <x:row r="1073" ht="85" customHeight="1">
      <x:c r="A1073" s="10" t="str">
        <x:v>V-R3</x:v>
      </x:c>
      <x:c r="B1073" s="10" t="str">
        <x:v>VOICE</x:v>
      </x:c>
      <x:c r="C1073" s="10" t="str">
        <x:v>VOICE:S5-07</x:v>
      </x:c>
      <x:c r="D1073" s="10" t="str">
        <x:v>VOICE:S5-07:input</x:v>
      </x:c>
      <x:c r="E1073" s="10" t="str">
        <x:v>V-S5</x:v>
      </x:c>
      <x:c r="F1073" s="10" t="n">
        <x:v>1</x:v>
      </x:c>
      <x:c r="G1073" s="11" t="n">
        <x:v>0</x:v>
      </x:c>
      <x:c r="H1073" s="11" t="n">
        <x:v>2.6333333333333333</x:v>
      </x:c>
      <x:c r="I1073" s="11" t="n">
        <x:f>H1073-G1073</x:f>
        <x:v>2.6333333333333333</x:v>
      </x:c>
      <x:c r="J1073" s="10" t="str">
        <x:v>같은 화면에서 왼쪽의 이 두 견적을 설치비는 제외하고 새 비교표로 만들어줘.</x:v>
      </x:c>
      <x:c r="K1073" s="10" t="str">
        <x:v>quote-L, quote-R의 설치비를 제외해 비교표 작성을 맡기겠습니다.</x:v>
      </x:c>
      <x:c r="L1073" s="11"/>
      <x:c r="M1073" s="11"/>
      <x:c r="N1073" s="10" t="str">
        <x:v>NOT_MODELED</x:v>
      </x:c>
    </x:row>
    <x:row r="1074" ht="85" customHeight="1">
      <x:c r="A1074" s="10" t="str">
        <x:v>V-A</x:v>
      </x:c>
      <x:c r="B1074" s="10" t="str">
        <x:v>VOICE</x:v>
      </x:c>
      <x:c r="C1074" s="10" t="str">
        <x:v>VOICE:S5-08</x:v>
      </x:c>
      <x:c r="D1074" s="10" t="str">
        <x:v>VOICE:S5-08:input</x:v>
      </x:c>
      <x:c r="E1074" s="10" t="str">
        <x:v>V-S5</x:v>
      </x:c>
      <x:c r="F1074" s="10" t="n">
        <x:v>1</x:v>
      </x:c>
      <x:c r="G1074" s="11" t="n">
        <x:v>0</x:v>
      </x:c>
      <x:c r="H1074" s="11" t="n">
        <x:v>2.8333333333333335</x:v>
      </x:c>
      <x:c r="I1074" s="11" t="n">
        <x:f>H1074-G1074</x:f>
        <x:v>2.8333333333333335</x:v>
      </x:c>
      <x:c r="J1074" s="10" t="str">
        <x:v>같은 화면에서 왼쪽의 이 두 견적을 설치비는 제외하고 새 비교표로 만들어줘.</x:v>
      </x:c>
      <x:c r="K1074" s="10" t="str">
        <x:v>quote-L, quote-R의 설치비를 제외해 비교표 작성을 맡기겠습니다.</x:v>
      </x:c>
      <x:c r="L1074" s="11"/>
      <x:c r="M1074" s="11"/>
      <x:c r="N1074" s="10" t="str">
        <x:v>NOT_MODELED</x:v>
      </x:c>
    </x:row>
    <x:row r="1075" ht="85" customHeight="1">
      <x:c r="A1075" s="10" t="str">
        <x:v>V-R1</x:v>
      </x:c>
      <x:c r="B1075" s="10" t="str">
        <x:v>VOICE</x:v>
      </x:c>
      <x:c r="C1075" s="10" t="str">
        <x:v>VOICE:S5-08</x:v>
      </x:c>
      <x:c r="D1075" s="10" t="str">
        <x:v>VOICE:S5-08:input</x:v>
      </x:c>
      <x:c r="E1075" s="10" t="str">
        <x:v>V-S5</x:v>
      </x:c>
      <x:c r="F1075" s="10" t="n">
        <x:v>1</x:v>
      </x:c>
      <x:c r="G1075" s="11" t="n">
        <x:v>0</x:v>
      </x:c>
      <x:c r="H1075" s="11" t="n">
        <x:v>2.6333333333333333</x:v>
      </x:c>
      <x:c r="I1075" s="11" t="n">
        <x:f>H1075-G1075</x:f>
        <x:v>2.6333333333333333</x:v>
      </x:c>
      <x:c r="J1075" s="10" t="str">
        <x:v>같은 화면에서 왼쪽의 이 두 견적을 설치비는 제외하고 새 비교표로 만들어줘.</x:v>
      </x:c>
      <x:c r="K1075" s="10" t="str">
        <x:v>quote-L, quote-R의 설치비를 제외해 비교표 작성을 맡기겠습니다.</x:v>
      </x:c>
      <x:c r="L1075" s="11"/>
      <x:c r="M1075" s="11"/>
      <x:c r="N1075" s="10" t="str">
        <x:v>NOT_MODELED</x:v>
      </x:c>
    </x:row>
    <x:row r="1076" ht="85" customHeight="1">
      <x:c r="A1076" s="10" t="str">
        <x:v>V-R2</x:v>
      </x:c>
      <x:c r="B1076" s="10" t="str">
        <x:v>VOICE</x:v>
      </x:c>
      <x:c r="C1076" s="10" t="str">
        <x:v>VOICE:S5-08</x:v>
      </x:c>
      <x:c r="D1076" s="10" t="str">
        <x:v>VOICE:S5-08:input</x:v>
      </x:c>
      <x:c r="E1076" s="10" t="str">
        <x:v>V-S5</x:v>
      </x:c>
      <x:c r="F1076" s="10" t="n">
        <x:v>1</x:v>
      </x:c>
      <x:c r="G1076" s="11" t="n">
        <x:v>0</x:v>
      </x:c>
      <x:c r="H1076" s="11" t="n">
        <x:v>2.6333333333333333</x:v>
      </x:c>
      <x:c r="I1076" s="11" t="n">
        <x:f>H1076-G1076</x:f>
        <x:v>2.6333333333333333</x:v>
      </x:c>
      <x:c r="J1076" s="10" t="str">
        <x:v>같은 화면에서 왼쪽의 이 두 견적을 설치비는 제외하고 새 비교표로 만들어줘.</x:v>
      </x:c>
      <x:c r="K1076" s="10" t="str">
        <x:v>quote-L, quote-R의 설치비를 제외해 비교표 작성을 맡기겠습니다.</x:v>
      </x:c>
      <x:c r="L1076" s="11"/>
      <x:c r="M1076" s="11"/>
      <x:c r="N1076" s="10" t="str">
        <x:v>NOT_MODELED</x:v>
      </x:c>
    </x:row>
    <x:row r="1077" ht="85" customHeight="1">
      <x:c r="A1077" s="10" t="str">
        <x:v>V-R3</x:v>
      </x:c>
      <x:c r="B1077" s="10" t="str">
        <x:v>VOICE</x:v>
      </x:c>
      <x:c r="C1077" s="10" t="str">
        <x:v>VOICE:S5-08</x:v>
      </x:c>
      <x:c r="D1077" s="10" t="str">
        <x:v>VOICE:S5-08:input</x:v>
      </x:c>
      <x:c r="E1077" s="10" t="str">
        <x:v>V-S5</x:v>
      </x:c>
      <x:c r="F1077" s="10" t="n">
        <x:v>1</x:v>
      </x:c>
      <x:c r="G1077" s="11" t="n">
        <x:v>0</x:v>
      </x:c>
      <x:c r="H1077" s="11" t="n">
        <x:v>2.6333333333333333</x:v>
      </x:c>
      <x:c r="I1077" s="11" t="n">
        <x:f>H1077-G1077</x:f>
        <x:v>2.6333333333333333</x:v>
      </x:c>
      <x:c r="J1077" s="10" t="str">
        <x:v>같은 화면에서 왼쪽의 이 두 견적을 설치비는 제외하고 새 비교표로 만들어줘.</x:v>
      </x:c>
      <x:c r="K1077" s="10" t="str">
        <x:v>quote-L, quote-R의 설치비를 제외해 비교표 작성을 맡기겠습니다.</x:v>
      </x:c>
      <x:c r="L1077" s="11"/>
      <x:c r="M1077" s="11"/>
      <x:c r="N1077" s="10" t="str">
        <x:v>NOT_MODELED</x:v>
      </x:c>
    </x:row>
    <x:row r="1078" ht="85" customHeight="1">
      <x:c r="A1078" s="10" t="str">
        <x:v>V-A</x:v>
      </x:c>
      <x:c r="B1078" s="10" t="str">
        <x:v>VOICE</x:v>
      </x:c>
      <x:c r="C1078" s="10" t="str">
        <x:v>VOICE:S5-09</x:v>
      </x:c>
      <x:c r="D1078" s="10" t="str">
        <x:v>VOICE:S5-09:input</x:v>
      </x:c>
      <x:c r="E1078" s="10" t="str">
        <x:v>V-S5</x:v>
      </x:c>
      <x:c r="F1078" s="10" t="n">
        <x:v>1</x:v>
      </x:c>
      <x:c r="G1078" s="11" t="n">
        <x:v>0</x:v>
      </x:c>
      <x:c r="H1078" s="11" t="n">
        <x:v>2.8333333333333335</x:v>
      </x:c>
      <x:c r="I1078" s="11" t="n">
        <x:f>H1078-G1078</x:f>
        <x:v>2.8333333333333335</x:v>
      </x:c>
      <x:c r="J1078" s="10" t="str">
        <x:v>같은 화면에서 왼쪽의 이 두 견적을 설치비는 제외하고 새 비교표로 만들어줘.</x:v>
      </x:c>
      <x:c r="K1078" s="10" t="str">
        <x:v>quote-L, quote-R의 설치비를 제외해 비교표 작성을 맡기겠습니다.</x:v>
      </x:c>
      <x:c r="L1078" s="11"/>
      <x:c r="M1078" s="11"/>
      <x:c r="N1078" s="10" t="str">
        <x:v>NOT_MODELED</x:v>
      </x:c>
    </x:row>
    <x:row r="1079" ht="85" customHeight="1">
      <x:c r="A1079" s="10" t="str">
        <x:v>V-R1</x:v>
      </x:c>
      <x:c r="B1079" s="10" t="str">
        <x:v>VOICE</x:v>
      </x:c>
      <x:c r="C1079" s="10" t="str">
        <x:v>VOICE:S5-09</x:v>
      </x:c>
      <x:c r="D1079" s="10" t="str">
        <x:v>VOICE:S5-09:input</x:v>
      </x:c>
      <x:c r="E1079" s="10" t="str">
        <x:v>V-S5</x:v>
      </x:c>
      <x:c r="F1079" s="10" t="n">
        <x:v>1</x:v>
      </x:c>
      <x:c r="G1079" s="11" t="n">
        <x:v>0</x:v>
      </x:c>
      <x:c r="H1079" s="11" t="n">
        <x:v>2.6333333333333333</x:v>
      </x:c>
      <x:c r="I1079" s="11" t="n">
        <x:f>H1079-G1079</x:f>
        <x:v>2.6333333333333333</x:v>
      </x:c>
      <x:c r="J1079" s="10" t="str">
        <x:v>같은 화면에서 왼쪽의 이 두 견적을 설치비는 제외하고 새 비교표로 만들어줘.</x:v>
      </x:c>
      <x:c r="K1079" s="10" t="str">
        <x:v>quote-L, quote-R의 설치비를 제외해 비교표 작성을 맡기겠습니다.</x:v>
      </x:c>
      <x:c r="L1079" s="11"/>
      <x:c r="M1079" s="11"/>
      <x:c r="N1079" s="10" t="str">
        <x:v>NOT_MODELED</x:v>
      </x:c>
    </x:row>
    <x:row r="1080" ht="85" customHeight="1">
      <x:c r="A1080" s="10" t="str">
        <x:v>V-R2</x:v>
      </x:c>
      <x:c r="B1080" s="10" t="str">
        <x:v>VOICE</x:v>
      </x:c>
      <x:c r="C1080" s="10" t="str">
        <x:v>VOICE:S5-09</x:v>
      </x:c>
      <x:c r="D1080" s="10" t="str">
        <x:v>VOICE:S5-09:input</x:v>
      </x:c>
      <x:c r="E1080" s="10" t="str">
        <x:v>V-S5</x:v>
      </x:c>
      <x:c r="F1080" s="10" t="n">
        <x:v>1</x:v>
      </x:c>
      <x:c r="G1080" s="11" t="n">
        <x:v>0</x:v>
      </x:c>
      <x:c r="H1080" s="11" t="n">
        <x:v>2.6333333333333333</x:v>
      </x:c>
      <x:c r="I1080" s="11" t="n">
        <x:f>H1080-G1080</x:f>
        <x:v>2.6333333333333333</x:v>
      </x:c>
      <x:c r="J1080" s="10" t="str">
        <x:v>같은 화면에서 왼쪽의 이 두 견적을 설치비는 제외하고 새 비교표로 만들어줘.</x:v>
      </x:c>
      <x:c r="K1080" s="10" t="str">
        <x:v>quote-L, quote-R의 설치비를 제외해 비교표 작성을 맡기겠습니다.</x:v>
      </x:c>
      <x:c r="L1080" s="11"/>
      <x:c r="M1080" s="11"/>
      <x:c r="N1080" s="10" t="str">
        <x:v>NOT_MODELED</x:v>
      </x:c>
    </x:row>
    <x:row r="1081" ht="85" customHeight="1">
      <x:c r="A1081" s="10" t="str">
        <x:v>V-R3</x:v>
      </x:c>
      <x:c r="B1081" s="10" t="str">
        <x:v>VOICE</x:v>
      </x:c>
      <x:c r="C1081" s="10" t="str">
        <x:v>VOICE:S5-09</x:v>
      </x:c>
      <x:c r="D1081" s="10" t="str">
        <x:v>VOICE:S5-09:input</x:v>
      </x:c>
      <x:c r="E1081" s="10" t="str">
        <x:v>V-S5</x:v>
      </x:c>
      <x:c r="F1081" s="10" t="n">
        <x:v>1</x:v>
      </x:c>
      <x:c r="G1081" s="11" t="n">
        <x:v>0</x:v>
      </x:c>
      <x:c r="H1081" s="11" t="n">
        <x:v>2.6333333333333333</x:v>
      </x:c>
      <x:c r="I1081" s="11" t="n">
        <x:f>H1081-G1081</x:f>
        <x:v>2.6333333333333333</x:v>
      </x:c>
      <x:c r="J1081" s="10" t="str">
        <x:v>같은 화면에서 왼쪽의 이 두 견적을 설치비는 제외하고 새 비교표로 만들어줘.</x:v>
      </x:c>
      <x:c r="K1081" s="10" t="str">
        <x:v>quote-L, quote-R의 설치비를 제외해 비교표 작성을 맡기겠습니다.</x:v>
      </x:c>
      <x:c r="L1081" s="11"/>
      <x:c r="M1081" s="11"/>
      <x:c r="N1081" s="10" t="str">
        <x:v>NOT_MODELED</x:v>
      </x:c>
    </x:row>
    <x:row r="1082" ht="85" customHeight="1">
      <x:c r="A1082" s="10" t="str">
        <x:v>V-A</x:v>
      </x:c>
      <x:c r="B1082" s="10" t="str">
        <x:v>VOICE</x:v>
      </x:c>
      <x:c r="C1082" s="10" t="str">
        <x:v>VOICE:S5-10</x:v>
      </x:c>
      <x:c r="D1082" s="10" t="str">
        <x:v>VOICE:S5-10:input</x:v>
      </x:c>
      <x:c r="E1082" s="10" t="str">
        <x:v>V-S5</x:v>
      </x:c>
      <x:c r="F1082" s="10" t="n">
        <x:v>1</x:v>
      </x:c>
      <x:c r="G1082" s="11" t="n">
        <x:v>0</x:v>
      </x:c>
      <x:c r="H1082" s="11" t="n">
        <x:v>2.8333333333333335</x:v>
      </x:c>
      <x:c r="I1082" s="11" t="n">
        <x:f>H1082-G1082</x:f>
        <x:v>2.8333333333333335</x:v>
      </x:c>
      <x:c r="J1082" s="10" t="str">
        <x:v>같은 화면에서 왼쪽의 이 두 견적을 설치비는 제외하고 새 비교표로 만들어줘.</x:v>
      </x:c>
      <x:c r="K1082" s="10" t="str">
        <x:v>quote-L, quote-R의 설치비를 포함해 비교표 작성을 맡기겠습니다.</x:v>
      </x:c>
      <x:c r="L1082" s="11"/>
      <x:c r="M1082" s="11"/>
      <x:c r="N1082" s="10" t="str">
        <x:v>NOT_MODELED</x:v>
      </x:c>
    </x:row>
    <x:row r="1083" ht="85" customHeight="1">
      <x:c r="A1083" s="10" t="str">
        <x:v>V-R1</x:v>
      </x:c>
      <x:c r="B1083" s="10" t="str">
        <x:v>VOICE</x:v>
      </x:c>
      <x:c r="C1083" s="10" t="str">
        <x:v>VOICE:S5-10</x:v>
      </x:c>
      <x:c r="D1083" s="10" t="str">
        <x:v>VOICE:S5-10:input</x:v>
      </x:c>
      <x:c r="E1083" s="10" t="str">
        <x:v>V-S5</x:v>
      </x:c>
      <x:c r="F1083" s="10" t="n">
        <x:v>1</x:v>
      </x:c>
      <x:c r="G1083" s="11" t="n">
        <x:v>0</x:v>
      </x:c>
      <x:c r="H1083" s="11" t="n">
        <x:v>2.6333333333333333</x:v>
      </x:c>
      <x:c r="I1083" s="11" t="n">
        <x:f>H1083-G1083</x:f>
        <x:v>2.6333333333333333</x:v>
      </x:c>
      <x:c r="J1083" s="10" t="str">
        <x:v>같은 화면에서 왼쪽의 이 두 견적을 설치비는 제외하고 새 비교표로 만들어줘.</x:v>
      </x:c>
      <x:c r="K1083" s="10" t="str">
        <x:v>quote-L, quote-R의 설치비를 포함해 비교표 작성을 맡기겠습니다.</x:v>
      </x:c>
      <x:c r="L1083" s="11"/>
      <x:c r="M1083" s="11"/>
      <x:c r="N1083" s="10" t="str">
        <x:v>NOT_MODELED</x:v>
      </x:c>
    </x:row>
    <x:row r="1084" ht="85" customHeight="1">
      <x:c r="A1084" s="10" t="str">
        <x:v>V-R2</x:v>
      </x:c>
      <x:c r="B1084" s="10" t="str">
        <x:v>VOICE</x:v>
      </x:c>
      <x:c r="C1084" s="10" t="str">
        <x:v>VOICE:S5-10</x:v>
      </x:c>
      <x:c r="D1084" s="10" t="str">
        <x:v>VOICE:S5-10:input</x:v>
      </x:c>
      <x:c r="E1084" s="10" t="str">
        <x:v>V-S5</x:v>
      </x:c>
      <x:c r="F1084" s="10" t="n">
        <x:v>1</x:v>
      </x:c>
      <x:c r="G1084" s="11" t="n">
        <x:v>0</x:v>
      </x:c>
      <x:c r="H1084" s="11" t="n">
        <x:v>2.6333333333333333</x:v>
      </x:c>
      <x:c r="I1084" s="11" t="n">
        <x:f>H1084-G1084</x:f>
        <x:v>2.6333333333333333</x:v>
      </x:c>
      <x:c r="J1084" s="10" t="str">
        <x:v>같은 화면에서 왼쪽의 이 두 견적을 설치비는 제외하고 새 비교표로 만들어줘.</x:v>
      </x:c>
      <x:c r="K1084" s="10" t="str">
        <x:v>quote-L, quote-R의 설치비를 포함해 비교표 작성을 맡기겠습니다.</x:v>
      </x:c>
      <x:c r="L1084" s="11"/>
      <x:c r="M1084" s="11"/>
      <x:c r="N1084" s="10" t="str">
        <x:v>NOT_MODELED</x:v>
      </x:c>
    </x:row>
    <x:row r="1085" ht="85" customHeight="1">
      <x:c r="A1085" s="10" t="str">
        <x:v>V-R3</x:v>
      </x:c>
      <x:c r="B1085" s="10" t="str">
        <x:v>VOICE</x:v>
      </x:c>
      <x:c r="C1085" s="10" t="str">
        <x:v>VOICE:S5-10</x:v>
      </x:c>
      <x:c r="D1085" s="10" t="str">
        <x:v>VOICE:S5-10:input</x:v>
      </x:c>
      <x:c r="E1085" s="10" t="str">
        <x:v>V-S5</x:v>
      </x:c>
      <x:c r="F1085" s="10" t="n">
        <x:v>1</x:v>
      </x:c>
      <x:c r="G1085" s="11" t="n">
        <x:v>0</x:v>
      </x:c>
      <x:c r="H1085" s="11" t="n">
        <x:v>2.6333333333333333</x:v>
      </x:c>
      <x:c r="I1085" s="11" t="n">
        <x:f>H1085-G1085</x:f>
        <x:v>2.6333333333333333</x:v>
      </x:c>
      <x:c r="J1085" s="10" t="str">
        <x:v>같은 화면에서 왼쪽의 이 두 견적을 설치비는 제외하고 새 비교표로 만들어줘.</x:v>
      </x:c>
      <x:c r="K1085" s="10" t="str">
        <x:v>quote-L, quote-R의 설치비를 포함해 비교표 작성을 맡기겠습니다.</x:v>
      </x:c>
      <x:c r="L1085" s="11"/>
      <x:c r="M1085" s="11"/>
      <x:c r="N1085" s="10" t="str">
        <x:v>NOT_MODELED</x:v>
      </x:c>
    </x:row>
    <x:row r="1086" ht="85" customHeight="1">
      <x:c r="A1086" s="10" t="str">
        <x:v>V-A</x:v>
      </x:c>
      <x:c r="B1086" s="10" t="str">
        <x:v>VOICE</x:v>
      </x:c>
      <x:c r="C1086" s="10" t="str">
        <x:v>VOICE:S5-11</x:v>
      </x:c>
      <x:c r="D1086" s="10" t="str">
        <x:v>VOICE:S5-11:input</x:v>
      </x:c>
      <x:c r="E1086" s="10" t="str">
        <x:v>V-S5</x:v>
      </x:c>
      <x:c r="F1086" s="10" t="n">
        <x:v>1</x:v>
      </x:c>
      <x:c r="G1086" s="11" t="n">
        <x:v>0</x:v>
      </x:c>
      <x:c r="H1086" s="11" t="n">
        <x:v>2.8333333333333335</x:v>
      </x:c>
      <x:c r="I1086" s="11" t="n">
        <x:f>H1086-G1086</x:f>
        <x:v>2.8333333333333335</x:v>
      </x:c>
      <x:c r="J1086" s="10" t="str">
        <x:v>같은 화면에서 왼쪽의 이 두 견적을 설치비는 제외하고 새 비교표로 만들어줘.</x:v>
      </x:c>
      <x:c r="K1086" s="10" t="str">
        <x:v>quote-L, quote-R의 설치비를 제외해 비교표 작성을 맡기겠습니다.</x:v>
      </x:c>
      <x:c r="L1086" s="11"/>
      <x:c r="M1086" s="11"/>
      <x:c r="N1086" s="10" t="str">
        <x:v>NOT_MODELED</x:v>
      </x:c>
    </x:row>
    <x:row r="1087" ht="85" customHeight="1">
      <x:c r="A1087" s="10" t="str">
        <x:v>V-R1</x:v>
      </x:c>
      <x:c r="B1087" s="10" t="str">
        <x:v>VOICE</x:v>
      </x:c>
      <x:c r="C1087" s="10" t="str">
        <x:v>VOICE:S5-11</x:v>
      </x:c>
      <x:c r="D1087" s="10" t="str">
        <x:v>VOICE:S5-11:input</x:v>
      </x:c>
      <x:c r="E1087" s="10" t="str">
        <x:v>V-S5</x:v>
      </x:c>
      <x:c r="F1087" s="10" t="n">
        <x:v>1</x:v>
      </x:c>
      <x:c r="G1087" s="11" t="n">
        <x:v>0</x:v>
      </x:c>
      <x:c r="H1087" s="11" t="n">
        <x:v>2.6333333333333333</x:v>
      </x:c>
      <x:c r="I1087" s="11" t="n">
        <x:f>H1087-G1087</x:f>
        <x:v>2.6333333333333333</x:v>
      </x:c>
      <x:c r="J1087" s="10" t="str">
        <x:v>같은 화면에서 왼쪽의 이 두 견적을 설치비는 제외하고 새 비교표로 만들어줘.</x:v>
      </x:c>
      <x:c r="K1087" s="10" t="str">
        <x:v>quote-L, quote-R의 설치비를 제외해 비교표 작성을 맡기겠습니다.</x:v>
      </x:c>
      <x:c r="L1087" s="11"/>
      <x:c r="M1087" s="11"/>
      <x:c r="N1087" s="10" t="str">
        <x:v>NOT_MODELED</x:v>
      </x:c>
    </x:row>
    <x:row r="1088" ht="85" customHeight="1">
      <x:c r="A1088" s="10" t="str">
        <x:v>V-R2</x:v>
      </x:c>
      <x:c r="B1088" s="10" t="str">
        <x:v>VOICE</x:v>
      </x:c>
      <x:c r="C1088" s="10" t="str">
        <x:v>VOICE:S5-11</x:v>
      </x:c>
      <x:c r="D1088" s="10" t="str">
        <x:v>VOICE:S5-11:input</x:v>
      </x:c>
      <x:c r="E1088" s="10" t="str">
        <x:v>V-S5</x:v>
      </x:c>
      <x:c r="F1088" s="10" t="n">
        <x:v>1</x:v>
      </x:c>
      <x:c r="G1088" s="11" t="n">
        <x:v>0</x:v>
      </x:c>
      <x:c r="H1088" s="11" t="n">
        <x:v>2.6333333333333333</x:v>
      </x:c>
      <x:c r="I1088" s="11" t="n">
        <x:f>H1088-G1088</x:f>
        <x:v>2.6333333333333333</x:v>
      </x:c>
      <x:c r="J1088" s="10" t="str">
        <x:v>같은 화면에서 왼쪽의 이 두 견적을 설치비는 제외하고 새 비교표로 만들어줘.</x:v>
      </x:c>
      <x:c r="K1088" s="10" t="str">
        <x:v>quote-L, quote-R의 설치비를 제외해 비교표 작성을 맡기겠습니다.</x:v>
      </x:c>
      <x:c r="L1088" s="11"/>
      <x:c r="M1088" s="11"/>
      <x:c r="N1088" s="10" t="str">
        <x:v>NOT_MODELED</x:v>
      </x:c>
    </x:row>
    <x:row r="1089" ht="85" customHeight="1">
      <x:c r="A1089" s="10" t="str">
        <x:v>V-R3</x:v>
      </x:c>
      <x:c r="B1089" s="10" t="str">
        <x:v>VOICE</x:v>
      </x:c>
      <x:c r="C1089" s="10" t="str">
        <x:v>VOICE:S5-11</x:v>
      </x:c>
      <x:c r="D1089" s="10" t="str">
        <x:v>VOICE:S5-11:input</x:v>
      </x:c>
      <x:c r="E1089" s="10" t="str">
        <x:v>V-S5</x:v>
      </x:c>
      <x:c r="F1089" s="10" t="n">
        <x:v>1</x:v>
      </x:c>
      <x:c r="G1089" s="11" t="n">
        <x:v>0</x:v>
      </x:c>
      <x:c r="H1089" s="11" t="n">
        <x:v>2.6333333333333333</x:v>
      </x:c>
      <x:c r="I1089" s="11" t="n">
        <x:f>H1089-G1089</x:f>
        <x:v>2.6333333333333333</x:v>
      </x:c>
      <x:c r="J1089" s="10" t="str">
        <x:v>같은 화면에서 왼쪽의 이 두 견적을 설치비는 제외하고 새 비교표로 만들어줘.</x:v>
      </x:c>
      <x:c r="K1089" s="10" t="str">
        <x:v>quote-L, quote-R의 설치비를 제외해 비교표 작성을 맡기겠습니다.</x:v>
      </x:c>
      <x:c r="L1089" s="11"/>
      <x:c r="M1089" s="11"/>
      <x:c r="N1089" s="10" t="str">
        <x:v>NOT_MODELED</x:v>
      </x:c>
    </x:row>
    <x:row r="1090" ht="85" customHeight="1">
      <x:c r="A1090" s="10" t="str">
        <x:v>V-A</x:v>
      </x:c>
      <x:c r="B1090" s="10" t="str">
        <x:v>VOICE</x:v>
      </x:c>
      <x:c r="C1090" s="10" t="str">
        <x:v>VOICE:S5-12</x:v>
      </x:c>
      <x:c r="D1090" s="10" t="str">
        <x:v>VOICE:S5-12:input</x:v>
      </x:c>
      <x:c r="E1090" s="10" t="str">
        <x:v>V-S5</x:v>
      </x:c>
      <x:c r="F1090" s="10" t="n">
        <x:v>1</x:v>
      </x:c>
      <x:c r="G1090" s="11" t="n">
        <x:v>0</x:v>
      </x:c>
      <x:c r="H1090" s="11" t="n">
        <x:v>2.8333333333333335</x:v>
      </x:c>
      <x:c r="I1090" s="11" t="n">
        <x:f>H1090-G1090</x:f>
        <x:v>2.8333333333333335</x:v>
      </x:c>
      <x:c r="J1090" s="10" t="str">
        <x:v>같은 화면에서 왼쪽의 이 두 견적을 설치비는 제외하고 새 비교표로 만들어줘.</x:v>
      </x:c>
      <x:c r="K1090" s="10" t="str">
        <x:v>quote-L, quote-R의 설치비를 제외해 비교표 작성을 맡기겠습니다.</x:v>
      </x:c>
      <x:c r="L1090" s="11"/>
      <x:c r="M1090" s="11"/>
      <x:c r="N1090" s="10" t="str">
        <x:v>NOT_MODELED</x:v>
      </x:c>
    </x:row>
    <x:row r="1091" ht="85" customHeight="1">
      <x:c r="A1091" s="10" t="str">
        <x:v>V-R1</x:v>
      </x:c>
      <x:c r="B1091" s="10" t="str">
        <x:v>VOICE</x:v>
      </x:c>
      <x:c r="C1091" s="10" t="str">
        <x:v>VOICE:S5-12</x:v>
      </x:c>
      <x:c r="D1091" s="10" t="str">
        <x:v>VOICE:S5-12:input</x:v>
      </x:c>
      <x:c r="E1091" s="10" t="str">
        <x:v>V-S5</x:v>
      </x:c>
      <x:c r="F1091" s="10" t="n">
        <x:v>1</x:v>
      </x:c>
      <x:c r="G1091" s="11" t="n">
        <x:v>0</x:v>
      </x:c>
      <x:c r="H1091" s="11" t="n">
        <x:v>2.6333333333333333</x:v>
      </x:c>
      <x:c r="I1091" s="11" t="n">
        <x:f>H1091-G1091</x:f>
        <x:v>2.6333333333333333</x:v>
      </x:c>
      <x:c r="J1091" s="10" t="str">
        <x:v>같은 화면에서 왼쪽의 이 두 견적을 설치비는 제외하고 새 비교표로 만들어줘.</x:v>
      </x:c>
      <x:c r="K1091" s="10" t="str">
        <x:v>quote-L, quote-R의 설치비를 제외해 비교표 작성을 맡기겠습니다.</x:v>
      </x:c>
      <x:c r="L1091" s="11"/>
      <x:c r="M1091" s="11"/>
      <x:c r="N1091" s="10" t="str">
        <x:v>NOT_MODELED</x:v>
      </x:c>
    </x:row>
    <x:row r="1092" ht="85" customHeight="1">
      <x:c r="A1092" s="10" t="str">
        <x:v>V-R2</x:v>
      </x:c>
      <x:c r="B1092" s="10" t="str">
        <x:v>VOICE</x:v>
      </x:c>
      <x:c r="C1092" s="10" t="str">
        <x:v>VOICE:S5-12</x:v>
      </x:c>
      <x:c r="D1092" s="10" t="str">
        <x:v>VOICE:S5-12:input</x:v>
      </x:c>
      <x:c r="E1092" s="10" t="str">
        <x:v>V-S5</x:v>
      </x:c>
      <x:c r="F1092" s="10" t="n">
        <x:v>1</x:v>
      </x:c>
      <x:c r="G1092" s="11" t="n">
        <x:v>0</x:v>
      </x:c>
      <x:c r="H1092" s="11" t="n">
        <x:v>2.6333333333333333</x:v>
      </x:c>
      <x:c r="I1092" s="11" t="n">
        <x:f>H1092-G1092</x:f>
        <x:v>2.6333333333333333</x:v>
      </x:c>
      <x:c r="J1092" s="10" t="str">
        <x:v>같은 화면에서 왼쪽의 이 두 견적을 설치비는 제외하고 새 비교표로 만들어줘.</x:v>
      </x:c>
      <x:c r="K1092" s="10" t="str">
        <x:v>quote-L, quote-R의 설치비를 제외해 비교표 작성을 맡기겠습니다.</x:v>
      </x:c>
      <x:c r="L1092" s="11"/>
      <x:c r="M1092" s="11"/>
      <x:c r="N1092" s="10" t="str">
        <x:v>NOT_MODELED</x:v>
      </x:c>
    </x:row>
    <x:row r="1093" ht="85" customHeight="1">
      <x:c r="A1093" s="10" t="str">
        <x:v>V-R3</x:v>
      </x:c>
      <x:c r="B1093" s="10" t="str">
        <x:v>VOICE</x:v>
      </x:c>
      <x:c r="C1093" s="10" t="str">
        <x:v>VOICE:S5-12</x:v>
      </x:c>
      <x:c r="D1093" s="10" t="str">
        <x:v>VOICE:S5-12:input</x:v>
      </x:c>
      <x:c r="E1093" s="10" t="str">
        <x:v>V-S5</x:v>
      </x:c>
      <x:c r="F1093" s="10" t="n">
        <x:v>1</x:v>
      </x:c>
      <x:c r="G1093" s="11" t="n">
        <x:v>0</x:v>
      </x:c>
      <x:c r="H1093" s="11" t="n">
        <x:v>2.6333333333333333</x:v>
      </x:c>
      <x:c r="I1093" s="11" t="n">
        <x:f>H1093-G1093</x:f>
        <x:v>2.6333333333333333</x:v>
      </x:c>
      <x:c r="J1093" s="10" t="str">
        <x:v>같은 화면에서 왼쪽의 이 두 견적을 설치비는 제외하고 새 비교표로 만들어줘.</x:v>
      </x:c>
      <x:c r="K1093" s="10" t="str">
        <x:v>quote-L, quote-R의 설치비를 제외해 비교표 작성을 맡기겠습니다.</x:v>
      </x:c>
      <x:c r="L1093" s="11"/>
      <x:c r="M1093" s="11"/>
      <x:c r="N1093" s="10" t="str">
        <x:v>NOT_MODELED</x:v>
      </x:c>
    </x:row>
    <x:row r="1094" ht="85" customHeight="1">
      <x:c r="A1094" s="10" t="str">
        <x:v>V-A</x:v>
      </x:c>
      <x:c r="B1094" s="10" t="str">
        <x:v>VOICE</x:v>
      </x:c>
      <x:c r="C1094" s="10" t="str">
        <x:v>VOICE:S5-13</x:v>
      </x:c>
      <x:c r="D1094" s="10" t="str">
        <x:v>VOICE:S5-13:input</x:v>
      </x:c>
      <x:c r="E1094" s="10" t="str">
        <x:v>V-S5</x:v>
      </x:c>
      <x:c r="F1094" s="10" t="n">
        <x:v>1</x:v>
      </x:c>
      <x:c r="G1094" s="11" t="n">
        <x:v>0</x:v>
      </x:c>
      <x:c r="H1094" s="11" t="n">
        <x:v>2.8333333333333335</x:v>
      </x:c>
      <x:c r="I1094" s="11" t="n">
        <x:f>H1094-G1094</x:f>
        <x:v>2.8333333333333335</x:v>
      </x:c>
      <x:c r="J1094" s="10" t="str">
        <x:v>같은 화면에서 왼쪽의 이 두 견적을 설치비는 제외하고 새 비교표로 만들어줘.</x:v>
      </x:c>
      <x:c r="K1094" s="10" t="str">
        <x:v>quote-L, quote-R의 설치비를 제외해 비교표 작성을 맡기겠습니다.</x:v>
      </x:c>
      <x:c r="L1094" s="11"/>
      <x:c r="M1094" s="11"/>
      <x:c r="N1094" s="10" t="str">
        <x:v>NOT_MODELED</x:v>
      </x:c>
    </x:row>
    <x:row r="1095" ht="85" customHeight="1">
      <x:c r="A1095" s="10" t="str">
        <x:v>V-R1</x:v>
      </x:c>
      <x:c r="B1095" s="10" t="str">
        <x:v>VOICE</x:v>
      </x:c>
      <x:c r="C1095" s="10" t="str">
        <x:v>VOICE:S5-13</x:v>
      </x:c>
      <x:c r="D1095" s="10" t="str">
        <x:v>VOICE:S5-13:input</x:v>
      </x:c>
      <x:c r="E1095" s="10" t="str">
        <x:v>V-S5</x:v>
      </x:c>
      <x:c r="F1095" s="10" t="n">
        <x:v>1</x:v>
      </x:c>
      <x:c r="G1095" s="11" t="n">
        <x:v>0</x:v>
      </x:c>
      <x:c r="H1095" s="11" t="n">
        <x:v>2.6333333333333333</x:v>
      </x:c>
      <x:c r="I1095" s="11" t="n">
        <x:f>H1095-G1095</x:f>
        <x:v>2.6333333333333333</x:v>
      </x:c>
      <x:c r="J1095" s="10" t="str">
        <x:v>같은 화면에서 왼쪽의 이 두 견적을 설치비는 제외하고 새 비교표로 만들어줘.</x:v>
      </x:c>
      <x:c r="K1095" s="10" t="str">
        <x:v>quote-L, quote-R의 설치비를 제외해 비교표 작성을 맡기겠습니다.</x:v>
      </x:c>
      <x:c r="L1095" s="11"/>
      <x:c r="M1095" s="11"/>
      <x:c r="N1095" s="10" t="str">
        <x:v>NOT_MODELED</x:v>
      </x:c>
    </x:row>
    <x:row r="1096" ht="85" customHeight="1">
      <x:c r="A1096" s="10" t="str">
        <x:v>V-R2</x:v>
      </x:c>
      <x:c r="B1096" s="10" t="str">
        <x:v>VOICE</x:v>
      </x:c>
      <x:c r="C1096" s="10" t="str">
        <x:v>VOICE:S5-13</x:v>
      </x:c>
      <x:c r="D1096" s="10" t="str">
        <x:v>VOICE:S5-13:input</x:v>
      </x:c>
      <x:c r="E1096" s="10" t="str">
        <x:v>V-S5</x:v>
      </x:c>
      <x:c r="F1096" s="10" t="n">
        <x:v>1</x:v>
      </x:c>
      <x:c r="G1096" s="11" t="n">
        <x:v>0</x:v>
      </x:c>
      <x:c r="H1096" s="11" t="n">
        <x:v>2.6333333333333333</x:v>
      </x:c>
      <x:c r="I1096" s="11" t="n">
        <x:f>H1096-G1096</x:f>
        <x:v>2.6333333333333333</x:v>
      </x:c>
      <x:c r="J1096" s="10" t="str">
        <x:v>같은 화면에서 왼쪽의 이 두 견적을 설치비는 제외하고 새 비교표로 만들어줘.</x:v>
      </x:c>
      <x:c r="K1096" s="10" t="str">
        <x:v>quote-L, quote-R의 설치비를 제외해 비교표 작성을 맡기겠습니다.</x:v>
      </x:c>
      <x:c r="L1096" s="11"/>
      <x:c r="M1096" s="11"/>
      <x:c r="N1096" s="10" t="str">
        <x:v>NOT_MODELED</x:v>
      </x:c>
    </x:row>
    <x:row r="1097" ht="85" customHeight="1">
      <x:c r="A1097" s="10" t="str">
        <x:v>V-R3</x:v>
      </x:c>
      <x:c r="B1097" s="10" t="str">
        <x:v>VOICE</x:v>
      </x:c>
      <x:c r="C1097" s="10" t="str">
        <x:v>VOICE:S5-13</x:v>
      </x:c>
      <x:c r="D1097" s="10" t="str">
        <x:v>VOICE:S5-13:input</x:v>
      </x:c>
      <x:c r="E1097" s="10" t="str">
        <x:v>V-S5</x:v>
      </x:c>
      <x:c r="F1097" s="10" t="n">
        <x:v>1</x:v>
      </x:c>
      <x:c r="G1097" s="11" t="n">
        <x:v>0</x:v>
      </x:c>
      <x:c r="H1097" s="11" t="n">
        <x:v>2.6333333333333333</x:v>
      </x:c>
      <x:c r="I1097" s="11" t="n">
        <x:f>H1097-G1097</x:f>
        <x:v>2.6333333333333333</x:v>
      </x:c>
      <x:c r="J1097" s="10" t="str">
        <x:v>같은 화면에서 왼쪽의 이 두 견적을 설치비는 제외하고 새 비교표로 만들어줘.</x:v>
      </x:c>
      <x:c r="K1097" s="10" t="str">
        <x:v>quote-L, quote-R의 설치비를 제외해 비교표 작성을 맡기겠습니다.</x:v>
      </x:c>
      <x:c r="L1097" s="11"/>
      <x:c r="M1097" s="11"/>
      <x:c r="N1097" s="10" t="str">
        <x:v>NOT_MODELED</x:v>
      </x:c>
    </x:row>
    <x:row r="1098" ht="85" customHeight="1">
      <x:c r="A1098" s="10" t="str">
        <x:v>V-A</x:v>
      </x:c>
      <x:c r="B1098" s="10" t="str">
        <x:v>VOICE</x:v>
      </x:c>
      <x:c r="C1098" s="10" t="str">
        <x:v>VOICE:S5-14</x:v>
      </x:c>
      <x:c r="D1098" s="10" t="str">
        <x:v>VOICE:S5-14:input</x:v>
      </x:c>
      <x:c r="E1098" s="10" t="str">
        <x:v>V-S5</x:v>
      </x:c>
      <x:c r="F1098" s="10" t="n">
        <x:v>1</x:v>
      </x:c>
      <x:c r="G1098" s="11" t="n">
        <x:v>0</x:v>
      </x:c>
      <x:c r="H1098" s="11" t="n">
        <x:v>2.8333333333333335</x:v>
      </x:c>
      <x:c r="I1098" s="11" t="n">
        <x:f>H1098-G1098</x:f>
        <x:v>2.8333333333333335</x:v>
      </x:c>
      <x:c r="J1098" s="10" t="str">
        <x:v>같은 화면에서 왼쪽의 이 두 견적을 설치비는 제외하고 새 비교표로 만들어줘.</x:v>
      </x:c>
      <x:c r="K1098" s="10" t="str">
        <x:v>quote-L, quote-R의 설치비를 제외해 비교표 작성을 맡기겠습니다.</x:v>
      </x:c>
      <x:c r="L1098" s="11"/>
      <x:c r="M1098" s="11"/>
      <x:c r="N1098" s="10" t="str">
        <x:v>NOT_MODELED</x:v>
      </x:c>
    </x:row>
    <x:row r="1099" ht="85" customHeight="1">
      <x:c r="A1099" s="10" t="str">
        <x:v>V-R1</x:v>
      </x:c>
      <x:c r="B1099" s="10" t="str">
        <x:v>VOICE</x:v>
      </x:c>
      <x:c r="C1099" s="10" t="str">
        <x:v>VOICE:S5-14</x:v>
      </x:c>
      <x:c r="D1099" s="10" t="str">
        <x:v>VOICE:S5-14:input</x:v>
      </x:c>
      <x:c r="E1099" s="10" t="str">
        <x:v>V-S5</x:v>
      </x:c>
      <x:c r="F1099" s="10" t="n">
        <x:v>1</x:v>
      </x:c>
      <x:c r="G1099" s="11" t="n">
        <x:v>0</x:v>
      </x:c>
      <x:c r="H1099" s="11" t="n">
        <x:v>2.6333333333333333</x:v>
      </x:c>
      <x:c r="I1099" s="11" t="n">
        <x:f>H1099-G1099</x:f>
        <x:v>2.6333333333333333</x:v>
      </x:c>
      <x:c r="J1099" s="10" t="str">
        <x:v>같은 화면에서 왼쪽의 이 두 견적을 설치비는 제외하고 새 비교표로 만들어줘.</x:v>
      </x:c>
      <x:c r="K1099" s="10" t="str">
        <x:v>quote-L, quote-R의 설치비를 제외해 비교표 작성을 맡기겠습니다.</x:v>
      </x:c>
      <x:c r="L1099" s="11"/>
      <x:c r="M1099" s="11"/>
      <x:c r="N1099" s="10" t="str">
        <x:v>NOT_MODELED</x:v>
      </x:c>
    </x:row>
    <x:row r="1100" ht="85" customHeight="1">
      <x:c r="A1100" s="10" t="str">
        <x:v>V-R2</x:v>
      </x:c>
      <x:c r="B1100" s="10" t="str">
        <x:v>VOICE</x:v>
      </x:c>
      <x:c r="C1100" s="10" t="str">
        <x:v>VOICE:S5-14</x:v>
      </x:c>
      <x:c r="D1100" s="10" t="str">
        <x:v>VOICE:S5-14:input</x:v>
      </x:c>
      <x:c r="E1100" s="10" t="str">
        <x:v>V-S5</x:v>
      </x:c>
      <x:c r="F1100" s="10" t="n">
        <x:v>1</x:v>
      </x:c>
      <x:c r="G1100" s="11" t="n">
        <x:v>0</x:v>
      </x:c>
      <x:c r="H1100" s="11" t="n">
        <x:v>2.6333333333333333</x:v>
      </x:c>
      <x:c r="I1100" s="11" t="n">
        <x:f>H1100-G1100</x:f>
        <x:v>2.6333333333333333</x:v>
      </x:c>
      <x:c r="J1100" s="10" t="str">
        <x:v>같은 화면에서 왼쪽의 이 두 견적을 설치비는 제외하고 새 비교표로 만들어줘.</x:v>
      </x:c>
      <x:c r="K1100" s="10" t="str">
        <x:v>quote-L, quote-R의 설치비를 제외해 비교표 작성을 맡기겠습니다.</x:v>
      </x:c>
      <x:c r="L1100" s="11"/>
      <x:c r="M1100" s="11"/>
      <x:c r="N1100" s="10" t="str">
        <x:v>NOT_MODELED</x:v>
      </x:c>
    </x:row>
    <x:row r="1101" ht="85" customHeight="1">
      <x:c r="A1101" s="10" t="str">
        <x:v>V-R3</x:v>
      </x:c>
      <x:c r="B1101" s="10" t="str">
        <x:v>VOICE</x:v>
      </x:c>
      <x:c r="C1101" s="10" t="str">
        <x:v>VOICE:S5-14</x:v>
      </x:c>
      <x:c r="D1101" s="10" t="str">
        <x:v>VOICE:S5-14:input</x:v>
      </x:c>
      <x:c r="E1101" s="10" t="str">
        <x:v>V-S5</x:v>
      </x:c>
      <x:c r="F1101" s="10" t="n">
        <x:v>1</x:v>
      </x:c>
      <x:c r="G1101" s="11" t="n">
        <x:v>0</x:v>
      </x:c>
      <x:c r="H1101" s="11" t="n">
        <x:v>2.6333333333333333</x:v>
      </x:c>
      <x:c r="I1101" s="11" t="n">
        <x:f>H1101-G1101</x:f>
        <x:v>2.6333333333333333</x:v>
      </x:c>
      <x:c r="J1101" s="10" t="str">
        <x:v>같은 화면에서 왼쪽의 이 두 견적을 설치비는 제외하고 새 비교표로 만들어줘.</x:v>
      </x:c>
      <x:c r="K1101" s="10" t="str">
        <x:v>quote-L, quote-R의 설치비를 제외해 비교표 작성을 맡기겠습니다.</x:v>
      </x:c>
      <x:c r="L1101" s="11"/>
      <x:c r="M1101" s="11"/>
      <x:c r="N1101" s="10" t="str">
        <x:v>NOT_MODELED</x:v>
      </x:c>
    </x:row>
    <x:row r="1102" ht="85" customHeight="1">
      <x:c r="A1102" s="10" t="str">
        <x:v>V-A</x:v>
      </x:c>
      <x:c r="B1102" s="10" t="str">
        <x:v>VOICE</x:v>
      </x:c>
      <x:c r="C1102" s="10" t="str">
        <x:v>VOICE:S5-15</x:v>
      </x:c>
      <x:c r="D1102" s="10" t="str">
        <x:v>VOICE:S5-15:input</x:v>
      </x:c>
      <x:c r="E1102" s="10" t="str">
        <x:v>V-S5</x:v>
      </x:c>
      <x:c r="F1102" s="10" t="n">
        <x:v>1</x:v>
      </x:c>
      <x:c r="G1102" s="11" t="n">
        <x:v>0</x:v>
      </x:c>
      <x:c r="H1102" s="11" t="n">
        <x:v>2.8333333333333335</x:v>
      </x:c>
      <x:c r="I1102" s="11" t="n">
        <x:f>H1102-G1102</x:f>
        <x:v>2.8333333333333335</x:v>
      </x:c>
      <x:c r="J1102" s="10" t="str">
        <x:v>같은 화면에서 왼쪽의 이 두 견적을 설치비는 제외하고 새 비교표로 만들어줘.</x:v>
      </x:c>
      <x:c r="K1102" s="10" t="str">
        <x:v>quote-L, quote-R의 설치비를 제외해 비교표 작성을 맡기겠습니다.</x:v>
      </x:c>
      <x:c r="L1102" s="11"/>
      <x:c r="M1102" s="11"/>
      <x:c r="N1102" s="10" t="str">
        <x:v>NOT_MODELED</x:v>
      </x:c>
    </x:row>
    <x:row r="1103" ht="85" customHeight="1">
      <x:c r="A1103" s="10" t="str">
        <x:v>V-R1</x:v>
      </x:c>
      <x:c r="B1103" s="10" t="str">
        <x:v>VOICE</x:v>
      </x:c>
      <x:c r="C1103" s="10" t="str">
        <x:v>VOICE:S5-15</x:v>
      </x:c>
      <x:c r="D1103" s="10" t="str">
        <x:v>VOICE:S5-15:input</x:v>
      </x:c>
      <x:c r="E1103" s="10" t="str">
        <x:v>V-S5</x:v>
      </x:c>
      <x:c r="F1103" s="10" t="n">
        <x:v>1</x:v>
      </x:c>
      <x:c r="G1103" s="11" t="n">
        <x:v>0</x:v>
      </x:c>
      <x:c r="H1103" s="11" t="n">
        <x:v>2.6333333333333333</x:v>
      </x:c>
      <x:c r="I1103" s="11" t="n">
        <x:f>H1103-G1103</x:f>
        <x:v>2.6333333333333333</x:v>
      </x:c>
      <x:c r="J1103" s="10" t="str">
        <x:v>같은 화면에서 왼쪽의 이 두 견적을 설치비는 제외하고 새 비교표로 만들어줘.</x:v>
      </x:c>
      <x:c r="K1103" s="10" t="str">
        <x:v>quote-L, quote-R의 설치비를 제외해 비교표 작성을 맡기겠습니다.</x:v>
      </x:c>
      <x:c r="L1103" s="11"/>
      <x:c r="M1103" s="11"/>
      <x:c r="N1103" s="10" t="str">
        <x:v>NOT_MODELED</x:v>
      </x:c>
    </x:row>
    <x:row r="1104" ht="85" customHeight="1">
      <x:c r="A1104" s="10" t="str">
        <x:v>V-R2</x:v>
      </x:c>
      <x:c r="B1104" s="10" t="str">
        <x:v>VOICE</x:v>
      </x:c>
      <x:c r="C1104" s="10" t="str">
        <x:v>VOICE:S5-15</x:v>
      </x:c>
      <x:c r="D1104" s="10" t="str">
        <x:v>VOICE:S5-15:input</x:v>
      </x:c>
      <x:c r="E1104" s="10" t="str">
        <x:v>V-S5</x:v>
      </x:c>
      <x:c r="F1104" s="10" t="n">
        <x:v>1</x:v>
      </x:c>
      <x:c r="G1104" s="11" t="n">
        <x:v>0</x:v>
      </x:c>
      <x:c r="H1104" s="11" t="n">
        <x:v>2.6333333333333333</x:v>
      </x:c>
      <x:c r="I1104" s="11" t="n">
        <x:f>H1104-G1104</x:f>
        <x:v>2.6333333333333333</x:v>
      </x:c>
      <x:c r="J1104" s="10" t="str">
        <x:v>같은 화면에서 왼쪽의 이 두 견적을 설치비는 제외하고 새 비교표로 만들어줘.</x:v>
      </x:c>
      <x:c r="K1104" s="10" t="str">
        <x:v>quote-L, quote-R의 설치비를 제외해 비교표 작성을 맡기겠습니다.</x:v>
      </x:c>
      <x:c r="L1104" s="11"/>
      <x:c r="M1104" s="11"/>
      <x:c r="N1104" s="10" t="str">
        <x:v>NOT_MODELED</x:v>
      </x:c>
    </x:row>
    <x:row r="1105" ht="85" customHeight="1">
      <x:c r="A1105" s="10" t="str">
        <x:v>V-R3</x:v>
      </x:c>
      <x:c r="B1105" s="10" t="str">
        <x:v>VOICE</x:v>
      </x:c>
      <x:c r="C1105" s="10" t="str">
        <x:v>VOICE:S5-15</x:v>
      </x:c>
      <x:c r="D1105" s="10" t="str">
        <x:v>VOICE:S5-15:input</x:v>
      </x:c>
      <x:c r="E1105" s="10" t="str">
        <x:v>V-S5</x:v>
      </x:c>
      <x:c r="F1105" s="10" t="n">
        <x:v>1</x:v>
      </x:c>
      <x:c r="G1105" s="11" t="n">
        <x:v>0</x:v>
      </x:c>
      <x:c r="H1105" s="11" t="n">
        <x:v>2.6333333333333333</x:v>
      </x:c>
      <x:c r="I1105" s="11" t="n">
        <x:f>H1105-G1105</x:f>
        <x:v>2.6333333333333333</x:v>
      </x:c>
      <x:c r="J1105" s="10" t="str">
        <x:v>같은 화면에서 왼쪽의 이 두 견적을 설치비는 제외하고 새 비교표로 만들어줘.</x:v>
      </x:c>
      <x:c r="K1105" s="10" t="str">
        <x:v>quote-L, quote-R의 설치비를 제외해 비교표 작성을 맡기겠습니다.</x:v>
      </x:c>
      <x:c r="L1105" s="11"/>
      <x:c r="M1105" s="11"/>
      <x:c r="N1105" s="10" t="str">
        <x:v>NOT_MODELED</x:v>
      </x:c>
    </x:row>
    <x:row r="1106" ht="85" customHeight="1">
      <x:c r="A1106" s="10" t="str">
        <x:v>V-A</x:v>
      </x:c>
      <x:c r="B1106" s="10" t="str">
        <x:v>VOICE</x:v>
      </x:c>
      <x:c r="C1106" s="10" t="str">
        <x:v>VOICE:S5-16</x:v>
      </x:c>
      <x:c r="D1106" s="10" t="str">
        <x:v>VOICE:S5-16:input</x:v>
      </x:c>
      <x:c r="E1106" s="10" t="str">
        <x:v>V-S5</x:v>
      </x:c>
      <x:c r="F1106" s="10" t="n">
        <x:v>1</x:v>
      </x:c>
      <x:c r="G1106" s="11" t="n">
        <x:v>0</x:v>
      </x:c>
      <x:c r="H1106" s="11" t="n">
        <x:v>2.8333333333333335</x:v>
      </x:c>
      <x:c r="I1106" s="11" t="n">
        <x:f>H1106-G1106</x:f>
        <x:v>2.8333333333333335</x:v>
      </x:c>
      <x:c r="J1106" s="10" t="str">
        <x:v>같은 화면에서 왼쪽의 이 두 견적을 설치비는 제외하고 새 비교표로 만들어줘.</x:v>
      </x:c>
      <x:c r="K1106" s="10" t="str">
        <x:v>quote-L, quote-R의 설치비를 제외해 비교표 작성을 맡기겠습니다.</x:v>
      </x:c>
      <x:c r="L1106" s="11"/>
      <x:c r="M1106" s="11"/>
      <x:c r="N1106" s="10" t="str">
        <x:v>NOT_MODELED</x:v>
      </x:c>
    </x:row>
    <x:row r="1107" ht="85" customHeight="1">
      <x:c r="A1107" s="10" t="str">
        <x:v>V-R1</x:v>
      </x:c>
      <x:c r="B1107" s="10" t="str">
        <x:v>VOICE</x:v>
      </x:c>
      <x:c r="C1107" s="10" t="str">
        <x:v>VOICE:S5-16</x:v>
      </x:c>
      <x:c r="D1107" s="10" t="str">
        <x:v>VOICE:S5-16:input</x:v>
      </x:c>
      <x:c r="E1107" s="10" t="str">
        <x:v>V-S5</x:v>
      </x:c>
      <x:c r="F1107" s="10" t="n">
        <x:v>1</x:v>
      </x:c>
      <x:c r="G1107" s="11" t="n">
        <x:v>0</x:v>
      </x:c>
      <x:c r="H1107" s="11" t="n">
        <x:v>2.6333333333333333</x:v>
      </x:c>
      <x:c r="I1107" s="11" t="n">
        <x:f>H1107-G1107</x:f>
        <x:v>2.6333333333333333</x:v>
      </x:c>
      <x:c r="J1107" s="10" t="str">
        <x:v>같은 화면에서 왼쪽의 이 두 견적을 설치비는 제외하고 새 비교표로 만들어줘.</x:v>
      </x:c>
      <x:c r="K1107" s="10" t="str">
        <x:v>quote-L, quote-R의 설치비를 제외해 비교표 작성을 맡기겠습니다.</x:v>
      </x:c>
      <x:c r="L1107" s="11"/>
      <x:c r="M1107" s="11"/>
      <x:c r="N1107" s="10" t="str">
        <x:v>NOT_MODELED</x:v>
      </x:c>
    </x:row>
    <x:row r="1108" ht="85" customHeight="1">
      <x:c r="A1108" s="10" t="str">
        <x:v>V-R2</x:v>
      </x:c>
      <x:c r="B1108" s="10" t="str">
        <x:v>VOICE</x:v>
      </x:c>
      <x:c r="C1108" s="10" t="str">
        <x:v>VOICE:S5-16</x:v>
      </x:c>
      <x:c r="D1108" s="10" t="str">
        <x:v>VOICE:S5-16:input</x:v>
      </x:c>
      <x:c r="E1108" s="10" t="str">
        <x:v>V-S5</x:v>
      </x:c>
      <x:c r="F1108" s="10" t="n">
        <x:v>1</x:v>
      </x:c>
      <x:c r="G1108" s="11" t="n">
        <x:v>0</x:v>
      </x:c>
      <x:c r="H1108" s="11" t="n">
        <x:v>2.6333333333333333</x:v>
      </x:c>
      <x:c r="I1108" s="11" t="n">
        <x:f>H1108-G1108</x:f>
        <x:v>2.6333333333333333</x:v>
      </x:c>
      <x:c r="J1108" s="10" t="str">
        <x:v>같은 화면에서 왼쪽의 이 두 견적을 설치비는 제외하고 새 비교표로 만들어줘.</x:v>
      </x:c>
      <x:c r="K1108" s="10" t="str">
        <x:v>quote-L, quote-R의 설치비를 제외해 비교표 작성을 맡기겠습니다.</x:v>
      </x:c>
      <x:c r="L1108" s="11"/>
      <x:c r="M1108" s="11"/>
      <x:c r="N1108" s="10" t="str">
        <x:v>NOT_MODELED</x:v>
      </x:c>
    </x:row>
    <x:row r="1109" ht="85" customHeight="1">
      <x:c r="A1109" s="10" t="str">
        <x:v>V-R3</x:v>
      </x:c>
      <x:c r="B1109" s="10" t="str">
        <x:v>VOICE</x:v>
      </x:c>
      <x:c r="C1109" s="10" t="str">
        <x:v>VOICE:S5-16</x:v>
      </x:c>
      <x:c r="D1109" s="10" t="str">
        <x:v>VOICE:S5-16:input</x:v>
      </x:c>
      <x:c r="E1109" s="10" t="str">
        <x:v>V-S5</x:v>
      </x:c>
      <x:c r="F1109" s="10" t="n">
        <x:v>1</x:v>
      </x:c>
      <x:c r="G1109" s="11" t="n">
        <x:v>0</x:v>
      </x:c>
      <x:c r="H1109" s="11" t="n">
        <x:v>2.6333333333333333</x:v>
      </x:c>
      <x:c r="I1109" s="11" t="n">
        <x:f>H1109-G1109</x:f>
        <x:v>2.6333333333333333</x:v>
      </x:c>
      <x:c r="J1109" s="10" t="str">
        <x:v>같은 화면에서 왼쪽의 이 두 견적을 설치비는 제외하고 새 비교표로 만들어줘.</x:v>
      </x:c>
      <x:c r="K1109" s="10" t="str">
        <x:v>quote-L, quote-R의 설치비를 제외해 비교표 작성을 맡기겠습니다.</x:v>
      </x:c>
      <x:c r="L1109" s="11"/>
      <x:c r="M1109" s="11"/>
      <x:c r="N1109" s="10" t="str">
        <x:v>NOT_MODELED</x:v>
      </x:c>
    </x:row>
    <x:row r="1110" ht="85" customHeight="1">
      <x:c r="A1110" s="10" t="str">
        <x:v>V-A</x:v>
      </x:c>
      <x:c r="B1110" s="10" t="str">
        <x:v>VOICE</x:v>
      </x:c>
      <x:c r="C1110" s="10" t="str">
        <x:v>VOICE:S5-17</x:v>
      </x:c>
      <x:c r="D1110" s="10" t="str">
        <x:v>VOICE:S5-17:input</x:v>
      </x:c>
      <x:c r="E1110" s="10" t="str">
        <x:v>V-S5</x:v>
      </x:c>
      <x:c r="F1110" s="10" t="n">
        <x:v>1</x:v>
      </x:c>
      <x:c r="G1110" s="11" t="n">
        <x:v>0</x:v>
      </x:c>
      <x:c r="H1110" s="11" t="n">
        <x:v>2.8333333333333335</x:v>
      </x:c>
      <x:c r="I1110" s="11" t="n">
        <x:f>H1110-G1110</x:f>
        <x:v>2.8333333333333335</x:v>
      </x:c>
      <x:c r="J1110" s="10" t="str">
        <x:v>같은 화면에서 왼쪽의 이 두 견적을 설치비는 제외하고 새 비교표로 만들어줘.</x:v>
      </x:c>
      <x:c r="K1110" s="10" t="str">
        <x:v>quote-L, quote-R의 설치비를 제외해 비교표 작성을 맡기겠습니다.</x:v>
      </x:c>
      <x:c r="L1110" s="11"/>
      <x:c r="M1110" s="11"/>
      <x:c r="N1110" s="10" t="str">
        <x:v>NOT_MODELED</x:v>
      </x:c>
    </x:row>
    <x:row r="1111" ht="85" customHeight="1">
      <x:c r="A1111" s="10" t="str">
        <x:v>V-R1</x:v>
      </x:c>
      <x:c r="B1111" s="10" t="str">
        <x:v>VOICE</x:v>
      </x:c>
      <x:c r="C1111" s="10" t="str">
        <x:v>VOICE:S5-17</x:v>
      </x:c>
      <x:c r="D1111" s="10" t="str">
        <x:v>VOICE:S5-17:input</x:v>
      </x:c>
      <x:c r="E1111" s="10" t="str">
        <x:v>V-S5</x:v>
      </x:c>
      <x:c r="F1111" s="10" t="n">
        <x:v>1</x:v>
      </x:c>
      <x:c r="G1111" s="11" t="n">
        <x:v>0</x:v>
      </x:c>
      <x:c r="H1111" s="11" t="n">
        <x:v>2.6333333333333333</x:v>
      </x:c>
      <x:c r="I1111" s="11" t="n">
        <x:f>H1111-G1111</x:f>
        <x:v>2.6333333333333333</x:v>
      </x:c>
      <x:c r="J1111" s="10" t="str">
        <x:v>같은 화면에서 왼쪽의 이 두 견적을 설치비는 제외하고 새 비교표로 만들어줘.</x:v>
      </x:c>
      <x:c r="K1111" s="10" t="str">
        <x:v>quote-L, quote-R의 설치비를 제외해 비교표 작성을 맡기겠습니다.</x:v>
      </x:c>
      <x:c r="L1111" s="11"/>
      <x:c r="M1111" s="11"/>
      <x:c r="N1111" s="10" t="str">
        <x:v>NOT_MODELED</x:v>
      </x:c>
    </x:row>
    <x:row r="1112" ht="85" customHeight="1">
      <x:c r="A1112" s="10" t="str">
        <x:v>V-R2</x:v>
      </x:c>
      <x:c r="B1112" s="10" t="str">
        <x:v>VOICE</x:v>
      </x:c>
      <x:c r="C1112" s="10" t="str">
        <x:v>VOICE:S5-17</x:v>
      </x:c>
      <x:c r="D1112" s="10" t="str">
        <x:v>VOICE:S5-17:input</x:v>
      </x:c>
      <x:c r="E1112" s="10" t="str">
        <x:v>V-S5</x:v>
      </x:c>
      <x:c r="F1112" s="10" t="n">
        <x:v>1</x:v>
      </x:c>
      <x:c r="G1112" s="11" t="n">
        <x:v>0</x:v>
      </x:c>
      <x:c r="H1112" s="11" t="n">
        <x:v>2.6333333333333333</x:v>
      </x:c>
      <x:c r="I1112" s="11" t="n">
        <x:f>H1112-G1112</x:f>
        <x:v>2.6333333333333333</x:v>
      </x:c>
      <x:c r="J1112" s="10" t="str">
        <x:v>같은 화면에서 왼쪽의 이 두 견적을 설치비는 제외하고 새 비교표로 만들어줘.</x:v>
      </x:c>
      <x:c r="K1112" s="10" t="str">
        <x:v>quote-L, quote-R의 설치비를 제외해 비교표 작성을 맡기겠습니다.</x:v>
      </x:c>
      <x:c r="L1112" s="11"/>
      <x:c r="M1112" s="11"/>
      <x:c r="N1112" s="10" t="str">
        <x:v>NOT_MODELED</x:v>
      </x:c>
    </x:row>
    <x:row r="1113" ht="85" customHeight="1">
      <x:c r="A1113" s="10" t="str">
        <x:v>V-R3</x:v>
      </x:c>
      <x:c r="B1113" s="10" t="str">
        <x:v>VOICE</x:v>
      </x:c>
      <x:c r="C1113" s="10" t="str">
        <x:v>VOICE:S5-17</x:v>
      </x:c>
      <x:c r="D1113" s="10" t="str">
        <x:v>VOICE:S5-17:input</x:v>
      </x:c>
      <x:c r="E1113" s="10" t="str">
        <x:v>V-S5</x:v>
      </x:c>
      <x:c r="F1113" s="10" t="n">
        <x:v>1</x:v>
      </x:c>
      <x:c r="G1113" s="11" t="n">
        <x:v>0</x:v>
      </x:c>
      <x:c r="H1113" s="11" t="n">
        <x:v>2.6333333333333333</x:v>
      </x:c>
      <x:c r="I1113" s="11" t="n">
        <x:f>H1113-G1113</x:f>
        <x:v>2.6333333333333333</x:v>
      </x:c>
      <x:c r="J1113" s="10" t="str">
        <x:v>같은 화면에서 왼쪽의 이 두 견적을 설치비는 제외하고 새 비교표로 만들어줘.</x:v>
      </x:c>
      <x:c r="K1113" s="10" t="str">
        <x:v>quote-L, quote-R의 설치비를 제외해 비교표 작성을 맡기겠습니다.</x:v>
      </x:c>
      <x:c r="L1113" s="11"/>
      <x:c r="M1113" s="11"/>
      <x:c r="N1113" s="10" t="str">
        <x:v>NOT_MODELED</x:v>
      </x:c>
    </x:row>
    <x:row r="1114" ht="85" customHeight="1">
      <x:c r="A1114" s="10" t="str">
        <x:v>V-A</x:v>
      </x:c>
      <x:c r="B1114" s="10" t="str">
        <x:v>VOICE</x:v>
      </x:c>
      <x:c r="C1114" s="10" t="str">
        <x:v>VOICE:S5-18</x:v>
      </x:c>
      <x:c r="D1114" s="10" t="str">
        <x:v>VOICE:S5-18:input</x:v>
      </x:c>
      <x:c r="E1114" s="10" t="str">
        <x:v>V-S5</x:v>
      </x:c>
      <x:c r="F1114" s="10" t="n">
        <x:v>1</x:v>
      </x:c>
      <x:c r="G1114" s="11" t="n">
        <x:v>0</x:v>
      </x:c>
      <x:c r="H1114" s="11" t="n">
        <x:v>2.8333333333333335</x:v>
      </x:c>
      <x:c r="I1114" s="11" t="n">
        <x:f>H1114-G1114</x:f>
        <x:v>2.8333333333333335</x:v>
      </x:c>
      <x:c r="J1114" s="10" t="str">
        <x:v>같은 화면에서 왼쪽의 이 두 견적을 설치비는 제외하고 새 비교표로 만들어줘.</x:v>
      </x:c>
      <x:c r="K1114" s="10" t="str">
        <x:v>quote-L, quote-R의 설치비를 제외해 비교표 작성을 맡기겠습니다.</x:v>
      </x:c>
      <x:c r="L1114" s="11"/>
      <x:c r="M1114" s="11"/>
      <x:c r="N1114" s="10" t="str">
        <x:v>NOT_MODELED</x:v>
      </x:c>
    </x:row>
    <x:row r="1115" ht="85" customHeight="1">
      <x:c r="A1115" s="10" t="str">
        <x:v>V-R1</x:v>
      </x:c>
      <x:c r="B1115" s="10" t="str">
        <x:v>VOICE</x:v>
      </x:c>
      <x:c r="C1115" s="10" t="str">
        <x:v>VOICE:S5-18</x:v>
      </x:c>
      <x:c r="D1115" s="10" t="str">
        <x:v>VOICE:S5-18:input</x:v>
      </x:c>
      <x:c r="E1115" s="10" t="str">
        <x:v>V-S5</x:v>
      </x:c>
      <x:c r="F1115" s="10" t="n">
        <x:v>1</x:v>
      </x:c>
      <x:c r="G1115" s="11" t="n">
        <x:v>0</x:v>
      </x:c>
      <x:c r="H1115" s="11" t="n">
        <x:v>2.6333333333333333</x:v>
      </x:c>
      <x:c r="I1115" s="11" t="n">
        <x:f>H1115-G1115</x:f>
        <x:v>2.6333333333333333</x:v>
      </x:c>
      <x:c r="J1115" s="10" t="str">
        <x:v>같은 화면에서 왼쪽의 이 두 견적을 설치비는 제외하고 새 비교표로 만들어줘.</x:v>
      </x:c>
      <x:c r="K1115" s="10" t="str">
        <x:v>quote-L, quote-R의 설치비를 제외해 비교표 작성을 맡기겠습니다.</x:v>
      </x:c>
      <x:c r="L1115" s="11"/>
      <x:c r="M1115" s="11"/>
      <x:c r="N1115" s="10" t="str">
        <x:v>NOT_MODELED</x:v>
      </x:c>
    </x:row>
    <x:row r="1116" ht="85" customHeight="1">
      <x:c r="A1116" s="10" t="str">
        <x:v>V-R2</x:v>
      </x:c>
      <x:c r="B1116" s="10" t="str">
        <x:v>VOICE</x:v>
      </x:c>
      <x:c r="C1116" s="10" t="str">
        <x:v>VOICE:S5-18</x:v>
      </x:c>
      <x:c r="D1116" s="10" t="str">
        <x:v>VOICE:S5-18:input</x:v>
      </x:c>
      <x:c r="E1116" s="10" t="str">
        <x:v>V-S5</x:v>
      </x:c>
      <x:c r="F1116" s="10" t="n">
        <x:v>1</x:v>
      </x:c>
      <x:c r="G1116" s="11" t="n">
        <x:v>0</x:v>
      </x:c>
      <x:c r="H1116" s="11" t="n">
        <x:v>2.6333333333333333</x:v>
      </x:c>
      <x:c r="I1116" s="11" t="n">
        <x:f>H1116-G1116</x:f>
        <x:v>2.6333333333333333</x:v>
      </x:c>
      <x:c r="J1116" s="10" t="str">
        <x:v>같은 화면에서 왼쪽의 이 두 견적을 설치비는 제외하고 새 비교표로 만들어줘.</x:v>
      </x:c>
      <x:c r="K1116" s="10" t="str">
        <x:v>quote-L, quote-R의 설치비를 제외해 비교표 작성을 맡기겠습니다.</x:v>
      </x:c>
      <x:c r="L1116" s="11"/>
      <x:c r="M1116" s="11"/>
      <x:c r="N1116" s="10" t="str">
        <x:v>NOT_MODELED</x:v>
      </x:c>
    </x:row>
    <x:row r="1117" ht="85" customHeight="1">
      <x:c r="A1117" s="10" t="str">
        <x:v>V-R3</x:v>
      </x:c>
      <x:c r="B1117" s="10" t="str">
        <x:v>VOICE</x:v>
      </x:c>
      <x:c r="C1117" s="10" t="str">
        <x:v>VOICE:S5-18</x:v>
      </x:c>
      <x:c r="D1117" s="10" t="str">
        <x:v>VOICE:S5-18:input</x:v>
      </x:c>
      <x:c r="E1117" s="10" t="str">
        <x:v>V-S5</x:v>
      </x:c>
      <x:c r="F1117" s="10" t="n">
        <x:v>1</x:v>
      </x:c>
      <x:c r="G1117" s="11" t="n">
        <x:v>0</x:v>
      </x:c>
      <x:c r="H1117" s="11" t="n">
        <x:v>2.6333333333333333</x:v>
      </x:c>
      <x:c r="I1117" s="11" t="n">
        <x:f>H1117-G1117</x:f>
        <x:v>2.6333333333333333</x:v>
      </x:c>
      <x:c r="J1117" s="10" t="str">
        <x:v>같은 화면에서 왼쪽의 이 두 견적을 설치비는 제외하고 새 비교표로 만들어줘.</x:v>
      </x:c>
      <x:c r="K1117" s="10" t="str">
        <x:v>quote-L, quote-R의 설치비를 제외해 비교표 작성을 맡기겠습니다.</x:v>
      </x:c>
      <x:c r="L1117" s="11"/>
      <x:c r="M1117" s="11"/>
      <x:c r="N1117" s="10" t="str">
        <x:v>NOT_MODELED</x:v>
      </x:c>
    </x:row>
    <x:row r="1118" ht="85" customHeight="1">
      <x:c r="A1118" s="10" t="str">
        <x:v>V-A</x:v>
      </x:c>
      <x:c r="B1118" s="10" t="str">
        <x:v>VOICE</x:v>
      </x:c>
      <x:c r="C1118" s="10" t="str">
        <x:v>VOICE:S5-19</x:v>
      </x:c>
      <x:c r="D1118" s="10" t="str">
        <x:v>VOICE:S5-19:input</x:v>
      </x:c>
      <x:c r="E1118" s="10" t="str">
        <x:v>V-S5</x:v>
      </x:c>
      <x:c r="F1118" s="10" t="n">
        <x:v>1</x:v>
      </x:c>
      <x:c r="G1118" s="11" t="n">
        <x:v>0</x:v>
      </x:c>
      <x:c r="H1118" s="11" t="n">
        <x:v>2.8333333333333335</x:v>
      </x:c>
      <x:c r="I1118" s="11" t="n">
        <x:f>H1118-G1118</x:f>
        <x:v>2.8333333333333335</x:v>
      </x:c>
      <x:c r="J1118" s="10" t="str">
        <x:v>같은 화면에서 왼쪽의 이 두 견적을 설치비는 제외하고 새 비교표로 만들어줘.</x:v>
      </x:c>
      <x:c r="K1118" s="10" t="str">
        <x:v>quote-L, quote-R의 설치비를 제외해 비교표 작성을 맡기겠습니다.</x:v>
      </x:c>
      <x:c r="L1118" s="11"/>
      <x:c r="M1118" s="11"/>
      <x:c r="N1118" s="10" t="str">
        <x:v>NOT_MODELED</x:v>
      </x:c>
    </x:row>
    <x:row r="1119" ht="85" customHeight="1">
      <x:c r="A1119" s="10" t="str">
        <x:v>V-R1</x:v>
      </x:c>
      <x:c r="B1119" s="10" t="str">
        <x:v>VOICE</x:v>
      </x:c>
      <x:c r="C1119" s="10" t="str">
        <x:v>VOICE:S5-19</x:v>
      </x:c>
      <x:c r="D1119" s="10" t="str">
        <x:v>VOICE:S5-19:input</x:v>
      </x:c>
      <x:c r="E1119" s="10" t="str">
        <x:v>V-S5</x:v>
      </x:c>
      <x:c r="F1119" s="10" t="n">
        <x:v>1</x:v>
      </x:c>
      <x:c r="G1119" s="11" t="n">
        <x:v>0</x:v>
      </x:c>
      <x:c r="H1119" s="11" t="n">
        <x:v>2.6333333333333333</x:v>
      </x:c>
      <x:c r="I1119" s="11" t="n">
        <x:f>H1119-G1119</x:f>
        <x:v>2.6333333333333333</x:v>
      </x:c>
      <x:c r="J1119" s="10" t="str">
        <x:v>같은 화면에서 왼쪽의 이 두 견적을 설치비는 제외하고 새 비교표로 만들어줘.</x:v>
      </x:c>
      <x:c r="K1119" s="10" t="str">
        <x:v>quote-L, quote-R의 설치비를 제외해 비교표 작성을 맡기겠습니다.</x:v>
      </x:c>
      <x:c r="L1119" s="11"/>
      <x:c r="M1119" s="11"/>
      <x:c r="N1119" s="10" t="str">
        <x:v>NOT_MODELED</x:v>
      </x:c>
    </x:row>
    <x:row r="1120" ht="85" customHeight="1">
      <x:c r="A1120" s="10" t="str">
        <x:v>V-R2</x:v>
      </x:c>
      <x:c r="B1120" s="10" t="str">
        <x:v>VOICE</x:v>
      </x:c>
      <x:c r="C1120" s="10" t="str">
        <x:v>VOICE:S5-19</x:v>
      </x:c>
      <x:c r="D1120" s="10" t="str">
        <x:v>VOICE:S5-19:input</x:v>
      </x:c>
      <x:c r="E1120" s="10" t="str">
        <x:v>V-S5</x:v>
      </x:c>
      <x:c r="F1120" s="10" t="n">
        <x:v>1</x:v>
      </x:c>
      <x:c r="G1120" s="11" t="n">
        <x:v>0</x:v>
      </x:c>
      <x:c r="H1120" s="11" t="n">
        <x:v>2.6333333333333333</x:v>
      </x:c>
      <x:c r="I1120" s="11" t="n">
        <x:f>H1120-G1120</x:f>
        <x:v>2.6333333333333333</x:v>
      </x:c>
      <x:c r="J1120" s="10" t="str">
        <x:v>같은 화면에서 왼쪽의 이 두 견적을 설치비는 제외하고 새 비교표로 만들어줘.</x:v>
      </x:c>
      <x:c r="K1120" s="10" t="str">
        <x:v>quote-L, quote-R의 설치비를 제외해 비교표 작성을 맡기겠습니다.</x:v>
      </x:c>
      <x:c r="L1120" s="11"/>
      <x:c r="M1120" s="11"/>
      <x:c r="N1120" s="10" t="str">
        <x:v>NOT_MODELED</x:v>
      </x:c>
    </x:row>
    <x:row r="1121" ht="85" customHeight="1">
      <x:c r="A1121" s="10" t="str">
        <x:v>V-R3</x:v>
      </x:c>
      <x:c r="B1121" s="10" t="str">
        <x:v>VOICE</x:v>
      </x:c>
      <x:c r="C1121" s="10" t="str">
        <x:v>VOICE:S5-19</x:v>
      </x:c>
      <x:c r="D1121" s="10" t="str">
        <x:v>VOICE:S5-19:input</x:v>
      </x:c>
      <x:c r="E1121" s="10" t="str">
        <x:v>V-S5</x:v>
      </x:c>
      <x:c r="F1121" s="10" t="n">
        <x:v>1</x:v>
      </x:c>
      <x:c r="G1121" s="11" t="n">
        <x:v>0</x:v>
      </x:c>
      <x:c r="H1121" s="11" t="n">
        <x:v>2.6333333333333333</x:v>
      </x:c>
      <x:c r="I1121" s="11" t="n">
        <x:f>H1121-G1121</x:f>
        <x:v>2.6333333333333333</x:v>
      </x:c>
      <x:c r="J1121" s="10" t="str">
        <x:v>같은 화면에서 왼쪽의 이 두 견적을 설치비는 제외하고 새 비교표로 만들어줘.</x:v>
      </x:c>
      <x:c r="K1121" s="10" t="str">
        <x:v>quote-L, quote-R의 설치비를 제외해 비교표 작성을 맡기겠습니다.</x:v>
      </x:c>
      <x:c r="L1121" s="11"/>
      <x:c r="M1121" s="11"/>
      <x:c r="N1121" s="10" t="str">
        <x:v>NOT_MODELED</x:v>
      </x:c>
    </x:row>
    <x:row r="1122" ht="85" customHeight="1">
      <x:c r="A1122" s="10" t="str">
        <x:v>V-A</x:v>
      </x:c>
      <x:c r="B1122" s="10" t="str">
        <x:v>VOICE</x:v>
      </x:c>
      <x:c r="C1122" s="10" t="str">
        <x:v>VOICE:S5-20</x:v>
      </x:c>
      <x:c r="D1122" s="10" t="str">
        <x:v>VOICE:S5-20:input</x:v>
      </x:c>
      <x:c r="E1122" s="10" t="str">
        <x:v>V-S5</x:v>
      </x:c>
      <x:c r="F1122" s="10" t="n">
        <x:v>1</x:v>
      </x:c>
      <x:c r="G1122" s="11" t="n">
        <x:v>0</x:v>
      </x:c>
      <x:c r="H1122" s="11" t="n">
        <x:v>2.8333333333333335</x:v>
      </x:c>
      <x:c r="I1122" s="11" t="n">
        <x:f>H1122-G1122</x:f>
        <x:v>2.8333333333333335</x:v>
      </x:c>
      <x:c r="J1122" s="10" t="str">
        <x:v>같은 화면에서 왼쪽의 이 두 견적을 설치비는 제외하고 새 비교표로 만들어줘.</x:v>
      </x:c>
      <x:c r="K1122" s="10" t="str">
        <x:v>quote-L, quote-R의 설치비를 제외해 비교표 작성을 맡기겠습니다.</x:v>
      </x:c>
      <x:c r="L1122" s="11"/>
      <x:c r="M1122" s="11"/>
      <x:c r="N1122" s="10" t="str">
        <x:v>NOT_MODELED</x:v>
      </x:c>
    </x:row>
    <x:row r="1123" ht="85" customHeight="1">
      <x:c r="A1123" s="10" t="str">
        <x:v>V-R1</x:v>
      </x:c>
      <x:c r="B1123" s="10" t="str">
        <x:v>VOICE</x:v>
      </x:c>
      <x:c r="C1123" s="10" t="str">
        <x:v>VOICE:S5-20</x:v>
      </x:c>
      <x:c r="D1123" s="10" t="str">
        <x:v>VOICE:S5-20:input</x:v>
      </x:c>
      <x:c r="E1123" s="10" t="str">
        <x:v>V-S5</x:v>
      </x:c>
      <x:c r="F1123" s="10" t="n">
        <x:v>1</x:v>
      </x:c>
      <x:c r="G1123" s="11" t="n">
        <x:v>0</x:v>
      </x:c>
      <x:c r="H1123" s="11" t="n">
        <x:v>2.6333333333333333</x:v>
      </x:c>
      <x:c r="I1123" s="11" t="n">
        <x:f>H1123-G1123</x:f>
        <x:v>2.6333333333333333</x:v>
      </x:c>
      <x:c r="J1123" s="10" t="str">
        <x:v>같은 화면에서 왼쪽의 이 두 견적을 설치비는 제외하고 새 비교표로 만들어줘.</x:v>
      </x:c>
      <x:c r="K1123" s="10" t="str">
        <x:v>quote-L, quote-R의 설치비를 제외해 비교표 작성을 맡기겠습니다.</x:v>
      </x:c>
      <x:c r="L1123" s="11"/>
      <x:c r="M1123" s="11"/>
      <x:c r="N1123" s="10" t="str">
        <x:v>NOT_MODELED</x:v>
      </x:c>
    </x:row>
    <x:row r="1124" ht="85" customHeight="1">
      <x:c r="A1124" s="10" t="str">
        <x:v>V-R2</x:v>
      </x:c>
      <x:c r="B1124" s="10" t="str">
        <x:v>VOICE</x:v>
      </x:c>
      <x:c r="C1124" s="10" t="str">
        <x:v>VOICE:S5-20</x:v>
      </x:c>
      <x:c r="D1124" s="10" t="str">
        <x:v>VOICE:S5-20:input</x:v>
      </x:c>
      <x:c r="E1124" s="10" t="str">
        <x:v>V-S5</x:v>
      </x:c>
      <x:c r="F1124" s="10" t="n">
        <x:v>1</x:v>
      </x:c>
      <x:c r="G1124" s="11" t="n">
        <x:v>0</x:v>
      </x:c>
      <x:c r="H1124" s="11" t="n">
        <x:v>2.6333333333333333</x:v>
      </x:c>
      <x:c r="I1124" s="11" t="n">
        <x:f>H1124-G1124</x:f>
        <x:v>2.6333333333333333</x:v>
      </x:c>
      <x:c r="J1124" s="10" t="str">
        <x:v>같은 화면에서 왼쪽의 이 두 견적을 설치비는 제외하고 새 비교표로 만들어줘.</x:v>
      </x:c>
      <x:c r="K1124" s="10" t="str">
        <x:v>quote-L, quote-R의 설치비를 제외해 비교표 작성을 맡기겠습니다.</x:v>
      </x:c>
      <x:c r="L1124" s="11"/>
      <x:c r="M1124" s="11"/>
      <x:c r="N1124" s="10" t="str">
        <x:v>NOT_MODELED</x:v>
      </x:c>
    </x:row>
    <x:row r="1125" ht="85" customHeight="1">
      <x:c r="A1125" s="10" t="str">
        <x:v>V-R3</x:v>
      </x:c>
      <x:c r="B1125" s="10" t="str">
        <x:v>VOICE</x:v>
      </x:c>
      <x:c r="C1125" s="10" t="str">
        <x:v>VOICE:S5-20</x:v>
      </x:c>
      <x:c r="D1125" s="10" t="str">
        <x:v>VOICE:S5-20:input</x:v>
      </x:c>
      <x:c r="E1125" s="10" t="str">
        <x:v>V-S5</x:v>
      </x:c>
      <x:c r="F1125" s="10" t="n">
        <x:v>1</x:v>
      </x:c>
      <x:c r="G1125" s="11" t="n">
        <x:v>0</x:v>
      </x:c>
      <x:c r="H1125" s="11" t="n">
        <x:v>2.6333333333333333</x:v>
      </x:c>
      <x:c r="I1125" s="11" t="n">
        <x:f>H1125-G1125</x:f>
        <x:v>2.6333333333333333</x:v>
      </x:c>
      <x:c r="J1125" s="10" t="str">
        <x:v>같은 화면에서 왼쪽의 이 두 견적을 설치비는 제외하고 새 비교표로 만들어줘.</x:v>
      </x:c>
      <x:c r="K1125" s="10" t="str">
        <x:v>quote-L, quote-R의 설치비를 제외해 비교표 작성을 맡기겠습니다.</x:v>
      </x:c>
      <x:c r="L1125" s="11"/>
      <x:c r="M1125" s="11"/>
      <x:c r="N1125" s="10" t="str">
        <x:v>NOT_MODELED</x:v>
      </x:c>
    </x:row>
    <x:row r="1126" ht="85" customHeight="1">
      <x:c r="A1126" s="10" t="str">
        <x:v>V-A</x:v>
      </x:c>
      <x:c r="B1126" s="10" t="str">
        <x:v>VOICE</x:v>
      </x:c>
      <x:c r="C1126" s="10" t="str">
        <x:v>VOICE:S6-01</x:v>
      </x:c>
      <x:c r="D1126" s="10" t="str">
        <x:v>VOICE:S6-01:input</x:v>
      </x:c>
      <x:c r="E1126" s="10" t="str">
        <x:v>V-S6</x:v>
      </x:c>
      <x:c r="F1126" s="10" t="n">
        <x:v>1</x:v>
      </x:c>
      <x:c r="G1126" s="11" t="n">
        <x:v>0</x:v>
      </x:c>
      <x:c r="H1126" s="11" t="n">
        <x:v>2.9666666666666663</x:v>
      </x:c>
      <x:c r="I1126" s="11" t="n">
        <x:f>H1126-G1126</x:f>
        <x:v>2.9666666666666663</x:v>
      </x:c>
      <x:c r="J1126" s="10" t="str">
        <x:v>지금 가리키는 이 두 견적을 설치비는 제외하고 비교표로 만들어줘.</x:v>
      </x:c>
      <x:c r="K1126" s="10" t="str">
        <x:v>quote-L, quote-Z의 설치비를 제외해 비교표 작성을 맡기겠습니다.</x:v>
      </x:c>
      <x:c r="L1126" s="11"/>
      <x:c r="M1126" s="11"/>
      <x:c r="N1126" s="10" t="str">
        <x:v>NOT_MODELED</x:v>
      </x:c>
    </x:row>
    <x:row r="1127" ht="85" customHeight="1">
      <x:c r="A1127" s="10" t="str">
        <x:v>V-R1</x:v>
      </x:c>
      <x:c r="B1127" s="10" t="str">
        <x:v>VOICE</x:v>
      </x:c>
      <x:c r="C1127" s="10" t="str">
        <x:v>VOICE:S6-01</x:v>
      </x:c>
      <x:c r="D1127" s="10" t="str">
        <x:v>VOICE:S6-01:input</x:v>
      </x:c>
      <x:c r="E1127" s="10" t="str">
        <x:v>V-S6</x:v>
      </x:c>
      <x:c r="F1127" s="10" t="n">
        <x:v>1</x:v>
      </x:c>
      <x:c r="G1127" s="11" t="n">
        <x:v>0</x:v>
      </x:c>
      <x:c r="H1127" s="11" t="n">
        <x:v>6.466666666666667</x:v>
      </x:c>
      <x:c r="I1127" s="11" t="n">
        <x:f>H1127-G1127</x:f>
        <x:v>6.466666666666667</x:v>
      </x:c>
      <x:c r="J1127" s="10" t="str">
        <x:v>지금 가리키는 이 두 견적을 설치비는 제외하고 비교표로 만들어줘.</x:v>
      </x:c>
      <x:c r="K1127" s="10" t="str">
        <x:v>quote-L, quote-R의 설치비를 제외해 비교표 작성을 맡기겠습니다.</x:v>
      </x:c>
      <x:c r="L1127" s="11"/>
      <x:c r="M1127" s="11"/>
      <x:c r="N1127" s="10" t="str">
        <x:v>NOT_MODELED</x:v>
      </x:c>
    </x:row>
    <x:row r="1128" ht="85" customHeight="1">
      <x:c r="A1128" s="10" t="str">
        <x:v>V-R2</x:v>
      </x:c>
      <x:c r="B1128" s="10" t="str">
        <x:v>VOICE</x:v>
      </x:c>
      <x:c r="C1128" s="10" t="str">
        <x:v>VOICE:S6-01</x:v>
      </x:c>
      <x:c r="D1128" s="10" t="str">
        <x:v>VOICE:S6-01:input</x:v>
      </x:c>
      <x:c r="E1128" s="10" t="str">
        <x:v>V-S6</x:v>
      </x:c>
      <x:c r="F1128" s="10" t="n">
        <x:v>1</x:v>
      </x:c>
      <x:c r="G1128" s="11" t="n">
        <x:v>0</x:v>
      </x:c>
      <x:c r="H1128" s="11" t="n">
        <x:v>6.466666666666667</x:v>
      </x:c>
      <x:c r="I1128" s="11" t="n">
        <x:f>H1128-G1128</x:f>
        <x:v>6.466666666666667</x:v>
      </x:c>
      <x:c r="J1128" s="10" t="str">
        <x:v>지금 가리키는 이 두 견적을 설치비는 제외하고 비교표로 만들어줘.</x:v>
      </x:c>
      <x:c r="K1128" s="10" t="str">
        <x:v>quote-L, quote-R의 설치비를 제외해 비교표 작성을 맡기겠습니다.</x:v>
      </x:c>
      <x:c r="L1128" s="11"/>
      <x:c r="M1128" s="11"/>
      <x:c r="N1128" s="10" t="str">
        <x:v>NOT_MODELED</x:v>
      </x:c>
    </x:row>
    <x:row r="1129" ht="85" customHeight="1">
      <x:c r="A1129" s="10" t="str">
        <x:v>V-R3</x:v>
      </x:c>
      <x:c r="B1129" s="10" t="str">
        <x:v>VOICE</x:v>
      </x:c>
      <x:c r="C1129" s="10" t="str">
        <x:v>VOICE:S6-01</x:v>
      </x:c>
      <x:c r="D1129" s="10" t="str">
        <x:v>VOICE:S6-01:input</x:v>
      </x:c>
      <x:c r="E1129" s="10" t="str">
        <x:v>V-S6</x:v>
      </x:c>
      <x:c r="F1129" s="10" t="n">
        <x:v>1</x:v>
      </x:c>
      <x:c r="G1129" s="11" t="n">
        <x:v>0</x:v>
      </x:c>
      <x:c r="H1129" s="11" t="n">
        <x:v>6.526666666666666</x:v>
      </x:c>
      <x:c r="I1129" s="11" t="n">
        <x:f>H1129-G1129</x:f>
        <x:v>6.526666666666666</x:v>
      </x:c>
      <x:c r="J1129" s="10" t="str">
        <x:v>지금 가리키는 이 두 견적을 설치비는 제외하고 비교표로 만들어줘.</x:v>
      </x:c>
      <x:c r="K1129" s="10" t="str">
        <x:v>quote-L, quote-R의 설치비를 제외해 비교표 작성을 맡기겠습니다.</x:v>
      </x:c>
      <x:c r="L1129" s="11"/>
      <x:c r="M1129" s="11"/>
      <x:c r="N1129" s="10" t="str">
        <x:v>NOT_MODELED</x:v>
      </x:c>
    </x:row>
    <x:row r="1130" ht="85" customHeight="1">
      <x:c r="A1130" s="10" t="str">
        <x:v>V-A</x:v>
      </x:c>
      <x:c r="B1130" s="10" t="str">
        <x:v>VOICE</x:v>
      </x:c>
      <x:c r="C1130" s="10" t="str">
        <x:v>VOICE:S6-02</x:v>
      </x:c>
      <x:c r="D1130" s="10" t="str">
        <x:v>VOICE:S6-02:input</x:v>
      </x:c>
      <x:c r="E1130" s="10" t="str">
        <x:v>V-S6</x:v>
      </x:c>
      <x:c r="F1130" s="10" t="n">
        <x:v>1</x:v>
      </x:c>
      <x:c r="G1130" s="11" t="n">
        <x:v>0</x:v>
      </x:c>
      <x:c r="H1130" s="11" t="n">
        <x:v>2.9666666666666663</x:v>
      </x:c>
      <x:c r="I1130" s="11" t="n">
        <x:f>H1130-G1130</x:f>
        <x:v>2.9666666666666663</x:v>
      </x:c>
      <x:c r="J1130" s="10" t="str">
        <x:v>지금 가리키는 이 두 견적을 설치비는 제외하고 비교표로 만들어줘.</x:v>
      </x:c>
      <x:c r="K1130" s="10" t="str">
        <x:v>quote-L, quote-R의 설치비를 제외해 비교표 작성을 맡기겠습니다.</x:v>
      </x:c>
      <x:c r="L1130" s="11"/>
      <x:c r="M1130" s="11"/>
      <x:c r="N1130" s="10" t="str">
        <x:v>NOT_MODELED</x:v>
      </x:c>
    </x:row>
    <x:row r="1131" ht="85" customHeight="1">
      <x:c r="A1131" s="10" t="str">
        <x:v>V-R1</x:v>
      </x:c>
      <x:c r="B1131" s="10" t="str">
        <x:v>VOICE</x:v>
      </x:c>
      <x:c r="C1131" s="10" t="str">
        <x:v>VOICE:S6-02</x:v>
      </x:c>
      <x:c r="D1131" s="10" t="str">
        <x:v>VOICE:S6-02:input</x:v>
      </x:c>
      <x:c r="E1131" s="10" t="str">
        <x:v>V-S6</x:v>
      </x:c>
      <x:c r="F1131" s="10" t="n">
        <x:v>1</x:v>
      </x:c>
      <x:c r="G1131" s="11" t="n">
        <x:v>0</x:v>
      </x:c>
      <x:c r="H1131" s="11" t="n">
        <x:v>6.466666666666667</x:v>
      </x:c>
      <x:c r="I1131" s="11" t="n">
        <x:f>H1131-G1131</x:f>
        <x:v>6.466666666666667</x:v>
      </x:c>
      <x:c r="J1131" s="10" t="str">
        <x:v>지금 가리키는 이 두 견적을 설치비는 제외하고 비교표로 만들어줘.</x:v>
      </x:c>
      <x:c r="K1131" s="10" t="str">
        <x:v>quote-L, quote-R의 설치비를 제외해 비교표 작성을 맡기겠습니다.</x:v>
      </x:c>
      <x:c r="L1131" s="11"/>
      <x:c r="M1131" s="11"/>
      <x:c r="N1131" s="10" t="str">
        <x:v>NOT_MODELED</x:v>
      </x:c>
    </x:row>
    <x:row r="1132" ht="85" customHeight="1">
      <x:c r="A1132" s="10" t="str">
        <x:v>V-R2</x:v>
      </x:c>
      <x:c r="B1132" s="10" t="str">
        <x:v>VOICE</x:v>
      </x:c>
      <x:c r="C1132" s="10" t="str">
        <x:v>VOICE:S6-02</x:v>
      </x:c>
      <x:c r="D1132" s="10" t="str">
        <x:v>VOICE:S6-02:input</x:v>
      </x:c>
      <x:c r="E1132" s="10" t="str">
        <x:v>V-S6</x:v>
      </x:c>
      <x:c r="F1132" s="10" t="n">
        <x:v>1</x:v>
      </x:c>
      <x:c r="G1132" s="11" t="n">
        <x:v>0</x:v>
      </x:c>
      <x:c r="H1132" s="11" t="n">
        <x:v>6.466666666666667</x:v>
      </x:c>
      <x:c r="I1132" s="11" t="n">
        <x:f>H1132-G1132</x:f>
        <x:v>6.466666666666667</x:v>
      </x:c>
      <x:c r="J1132" s="10" t="str">
        <x:v>지금 가리키는 이 두 견적을 설치비는 제외하고 비교표로 만들어줘.</x:v>
      </x:c>
      <x:c r="K1132" s="10" t="str">
        <x:v>quote-L, quote-R의 설치비를 제외해 비교표 작성을 맡기겠습니다.</x:v>
      </x:c>
      <x:c r="L1132" s="11"/>
      <x:c r="M1132" s="11"/>
      <x:c r="N1132" s="10" t="str">
        <x:v>NOT_MODELED</x:v>
      </x:c>
    </x:row>
    <x:row r="1133" ht="85" customHeight="1">
      <x:c r="A1133" s="10" t="str">
        <x:v>V-R3</x:v>
      </x:c>
      <x:c r="B1133" s="10" t="str">
        <x:v>VOICE</x:v>
      </x:c>
      <x:c r="C1133" s="10" t="str">
        <x:v>VOICE:S6-02</x:v>
      </x:c>
      <x:c r="D1133" s="10" t="str">
        <x:v>VOICE:S6-02:input</x:v>
      </x:c>
      <x:c r="E1133" s="10" t="str">
        <x:v>V-S6</x:v>
      </x:c>
      <x:c r="F1133" s="10" t="n">
        <x:v>1</x:v>
      </x:c>
      <x:c r="G1133" s="11" t="n">
        <x:v>0</x:v>
      </x:c>
      <x:c r="H1133" s="11" t="n">
        <x:v>6.526666666666666</x:v>
      </x:c>
      <x:c r="I1133" s="11" t="n">
        <x:f>H1133-G1133</x:f>
        <x:v>6.526666666666666</x:v>
      </x:c>
      <x:c r="J1133" s="10" t="str">
        <x:v>지금 가리키는 이 두 견적을 설치비는 제외하고 비교표로 만들어줘.</x:v>
      </x:c>
      <x:c r="K1133" s="10" t="str">
        <x:v>quote-L, quote-R의 설치비를 제외해 비교표 작성을 맡기겠습니다.</x:v>
      </x:c>
      <x:c r="L1133" s="11"/>
      <x:c r="M1133" s="11"/>
      <x:c r="N1133" s="10" t="str">
        <x:v>NOT_MODELED</x:v>
      </x:c>
    </x:row>
    <x:row r="1134" ht="85" customHeight="1">
      <x:c r="A1134" s="10" t="str">
        <x:v>V-A</x:v>
      </x:c>
      <x:c r="B1134" s="10" t="str">
        <x:v>VOICE</x:v>
      </x:c>
      <x:c r="C1134" s="10" t="str">
        <x:v>VOICE:S6-03</x:v>
      </x:c>
      <x:c r="D1134" s="10" t="str">
        <x:v>VOICE:S6-03:input</x:v>
      </x:c>
      <x:c r="E1134" s="10" t="str">
        <x:v>V-S6</x:v>
      </x:c>
      <x:c r="F1134" s="10" t="n">
        <x:v>1</x:v>
      </x:c>
      <x:c r="G1134" s="11" t="n">
        <x:v>0</x:v>
      </x:c>
      <x:c r="H1134" s="11" t="n">
        <x:v>2.9666666666666663</x:v>
      </x:c>
      <x:c r="I1134" s="11" t="n">
        <x:f>H1134-G1134</x:f>
        <x:v>2.9666666666666663</x:v>
      </x:c>
      <x:c r="J1134" s="10" t="str">
        <x:v>지금 가리키는 이 두 견적을 설치비는 제외하고 비교표로 만들어줘.</x:v>
      </x:c>
      <x:c r="K1134" s="10" t="str">
        <x:v>quote-L, quote-R의 설치비를 제외해 비교표 작성을 맡기겠습니다.</x:v>
      </x:c>
      <x:c r="L1134" s="11"/>
      <x:c r="M1134" s="11"/>
      <x:c r="N1134" s="10" t="str">
        <x:v>NOT_MODELED</x:v>
      </x:c>
    </x:row>
    <x:row r="1135" ht="85" customHeight="1">
      <x:c r="A1135" s="10" t="str">
        <x:v>V-R1</x:v>
      </x:c>
      <x:c r="B1135" s="10" t="str">
        <x:v>VOICE</x:v>
      </x:c>
      <x:c r="C1135" s="10" t="str">
        <x:v>VOICE:S6-03</x:v>
      </x:c>
      <x:c r="D1135" s="10" t="str">
        <x:v>VOICE:S6-03:input</x:v>
      </x:c>
      <x:c r="E1135" s="10" t="str">
        <x:v>V-S6</x:v>
      </x:c>
      <x:c r="F1135" s="10" t="n">
        <x:v>1</x:v>
      </x:c>
      <x:c r="G1135" s="11" t="n">
        <x:v>0</x:v>
      </x:c>
      <x:c r="H1135" s="11" t="n">
        <x:v>6.466666666666667</x:v>
      </x:c>
      <x:c r="I1135" s="11" t="n">
        <x:f>H1135-G1135</x:f>
        <x:v>6.466666666666667</x:v>
      </x:c>
      <x:c r="J1135" s="10" t="str">
        <x:v>지금 가리키는 이 두 견적을 설치비는 제외하고 비교표로 만들어줘.</x:v>
      </x:c>
      <x:c r="K1135" s="10" t="str">
        <x:v>quote-L, quote-R의 설치비를 제외해 비교표 작성을 맡기겠습니다.</x:v>
      </x:c>
      <x:c r="L1135" s="11"/>
      <x:c r="M1135" s="11"/>
      <x:c r="N1135" s="10" t="str">
        <x:v>NOT_MODELED</x:v>
      </x:c>
    </x:row>
    <x:row r="1136" ht="85" customHeight="1">
      <x:c r="A1136" s="10" t="str">
        <x:v>V-R2</x:v>
      </x:c>
      <x:c r="B1136" s="10" t="str">
        <x:v>VOICE</x:v>
      </x:c>
      <x:c r="C1136" s="10" t="str">
        <x:v>VOICE:S6-03</x:v>
      </x:c>
      <x:c r="D1136" s="10" t="str">
        <x:v>VOICE:S6-03:input</x:v>
      </x:c>
      <x:c r="E1136" s="10" t="str">
        <x:v>V-S6</x:v>
      </x:c>
      <x:c r="F1136" s="10" t="n">
        <x:v>1</x:v>
      </x:c>
      <x:c r="G1136" s="11" t="n">
        <x:v>0</x:v>
      </x:c>
      <x:c r="H1136" s="11" t="n">
        <x:v>6.466666666666667</x:v>
      </x:c>
      <x:c r="I1136" s="11" t="n">
        <x:f>H1136-G1136</x:f>
        <x:v>6.466666666666667</x:v>
      </x:c>
      <x:c r="J1136" s="10" t="str">
        <x:v>지금 가리키는 이 두 견적을 설치비는 제외하고 비교표로 만들어줘.</x:v>
      </x:c>
      <x:c r="K1136" s="10" t="str">
        <x:v>quote-L, quote-R의 설치비를 제외해 비교표 작성을 맡기겠습니다.</x:v>
      </x:c>
      <x:c r="L1136" s="11"/>
      <x:c r="M1136" s="11"/>
      <x:c r="N1136" s="10" t="str">
        <x:v>NOT_MODELED</x:v>
      </x:c>
    </x:row>
    <x:row r="1137" ht="85" customHeight="1">
      <x:c r="A1137" s="10" t="str">
        <x:v>V-R3</x:v>
      </x:c>
      <x:c r="B1137" s="10" t="str">
        <x:v>VOICE</x:v>
      </x:c>
      <x:c r="C1137" s="10" t="str">
        <x:v>VOICE:S6-03</x:v>
      </x:c>
      <x:c r="D1137" s="10" t="str">
        <x:v>VOICE:S6-03:input</x:v>
      </x:c>
      <x:c r="E1137" s="10" t="str">
        <x:v>V-S6</x:v>
      </x:c>
      <x:c r="F1137" s="10" t="n">
        <x:v>1</x:v>
      </x:c>
      <x:c r="G1137" s="11" t="n">
        <x:v>0</x:v>
      </x:c>
      <x:c r="H1137" s="11" t="n">
        <x:v>6.526666666666666</x:v>
      </x:c>
      <x:c r="I1137" s="11" t="n">
        <x:f>H1137-G1137</x:f>
        <x:v>6.526666666666666</x:v>
      </x:c>
      <x:c r="J1137" s="10" t="str">
        <x:v>지금 가리키는 이 두 견적을 설치비는 제외하고 비교표로 만들어줘.</x:v>
      </x:c>
      <x:c r="K1137" s="10" t="str">
        <x:v>quote-L, quote-R의 설치비를 제외해 비교표 작성을 맡기겠습니다.</x:v>
      </x:c>
      <x:c r="L1137" s="11"/>
      <x:c r="M1137" s="11"/>
      <x:c r="N1137" s="10" t="str">
        <x:v>NOT_MODELED</x:v>
      </x:c>
    </x:row>
    <x:row r="1138" ht="85" customHeight="1">
      <x:c r="A1138" s="10" t="str">
        <x:v>V-A</x:v>
      </x:c>
      <x:c r="B1138" s="10" t="str">
        <x:v>VOICE</x:v>
      </x:c>
      <x:c r="C1138" s="10" t="str">
        <x:v>VOICE:S6-04</x:v>
      </x:c>
      <x:c r="D1138" s="10" t="str">
        <x:v>VOICE:S6-04:input</x:v>
      </x:c>
      <x:c r="E1138" s="10" t="str">
        <x:v>V-S6</x:v>
      </x:c>
      <x:c r="F1138" s="10" t="n">
        <x:v>1</x:v>
      </x:c>
      <x:c r="G1138" s="11" t="n">
        <x:v>0</x:v>
      </x:c>
      <x:c r="H1138" s="11" t="n">
        <x:v>2.9666666666666663</x:v>
      </x:c>
      <x:c r="I1138" s="11" t="n">
        <x:f>H1138-G1138</x:f>
        <x:v>2.9666666666666663</x:v>
      </x:c>
      <x:c r="J1138" s="10" t="str">
        <x:v>지금 가리키는 이 두 견적을 설치비는 제외하고 비교표로 만들어줘.</x:v>
      </x:c>
      <x:c r="K1138" s="10" t="str">
        <x:v>quote-L, quote-R의 설치비를 제외해 비교표 작성을 맡기겠습니다.</x:v>
      </x:c>
      <x:c r="L1138" s="11"/>
      <x:c r="M1138" s="11"/>
      <x:c r="N1138" s="10" t="str">
        <x:v>NOT_MODELED</x:v>
      </x:c>
    </x:row>
    <x:row r="1139" ht="85" customHeight="1">
      <x:c r="A1139" s="10" t="str">
        <x:v>V-R1</x:v>
      </x:c>
      <x:c r="B1139" s="10" t="str">
        <x:v>VOICE</x:v>
      </x:c>
      <x:c r="C1139" s="10" t="str">
        <x:v>VOICE:S6-04</x:v>
      </x:c>
      <x:c r="D1139" s="10" t="str">
        <x:v>VOICE:S6-04:input</x:v>
      </x:c>
      <x:c r="E1139" s="10" t="str">
        <x:v>V-S6</x:v>
      </x:c>
      <x:c r="F1139" s="10" t="n">
        <x:v>1</x:v>
      </x:c>
      <x:c r="G1139" s="11" t="n">
        <x:v>0</x:v>
      </x:c>
      <x:c r="H1139" s="11" t="n">
        <x:v>6.466666666666667</x:v>
      </x:c>
      <x:c r="I1139" s="11" t="n">
        <x:f>H1139-G1139</x:f>
        <x:v>6.466666666666667</x:v>
      </x:c>
      <x:c r="J1139" s="10" t="str">
        <x:v>지금 가리키는 이 두 견적을 설치비는 제외하고 비교표로 만들어줘.</x:v>
      </x:c>
      <x:c r="K1139" s="10" t="str">
        <x:v>quote-L, quote-R의 설치비를 제외해 비교표 작성을 맡기겠습니다.</x:v>
      </x:c>
      <x:c r="L1139" s="11"/>
      <x:c r="M1139" s="11"/>
      <x:c r="N1139" s="10" t="str">
        <x:v>NOT_MODELED</x:v>
      </x:c>
    </x:row>
    <x:row r="1140" ht="85" customHeight="1">
      <x:c r="A1140" s="10" t="str">
        <x:v>V-R2</x:v>
      </x:c>
      <x:c r="B1140" s="10" t="str">
        <x:v>VOICE</x:v>
      </x:c>
      <x:c r="C1140" s="10" t="str">
        <x:v>VOICE:S6-04</x:v>
      </x:c>
      <x:c r="D1140" s="10" t="str">
        <x:v>VOICE:S6-04:input</x:v>
      </x:c>
      <x:c r="E1140" s="10" t="str">
        <x:v>V-S6</x:v>
      </x:c>
      <x:c r="F1140" s="10" t="n">
        <x:v>1</x:v>
      </x:c>
      <x:c r="G1140" s="11" t="n">
        <x:v>0</x:v>
      </x:c>
      <x:c r="H1140" s="11" t="n">
        <x:v>6.466666666666667</x:v>
      </x:c>
      <x:c r="I1140" s="11" t="n">
        <x:f>H1140-G1140</x:f>
        <x:v>6.466666666666667</x:v>
      </x:c>
      <x:c r="J1140" s="10" t="str">
        <x:v>지금 가리키는 이 두 견적을 설치비는 제외하고 비교표로 만들어줘.</x:v>
      </x:c>
      <x:c r="K1140" s="10" t="str">
        <x:v>quote-L, quote-R의 설치비를 제외해 비교표 작성을 맡기겠습니다.</x:v>
      </x:c>
      <x:c r="L1140" s="11"/>
      <x:c r="M1140" s="11"/>
      <x:c r="N1140" s="10" t="str">
        <x:v>NOT_MODELED</x:v>
      </x:c>
    </x:row>
    <x:row r="1141" ht="85" customHeight="1">
      <x:c r="A1141" s="10" t="str">
        <x:v>V-R3</x:v>
      </x:c>
      <x:c r="B1141" s="10" t="str">
        <x:v>VOICE</x:v>
      </x:c>
      <x:c r="C1141" s="10" t="str">
        <x:v>VOICE:S6-04</x:v>
      </x:c>
      <x:c r="D1141" s="10" t="str">
        <x:v>VOICE:S6-04:input</x:v>
      </x:c>
      <x:c r="E1141" s="10" t="str">
        <x:v>V-S6</x:v>
      </x:c>
      <x:c r="F1141" s="10" t="n">
        <x:v>1</x:v>
      </x:c>
      <x:c r="G1141" s="11" t="n">
        <x:v>0</x:v>
      </x:c>
      <x:c r="H1141" s="11" t="n">
        <x:v>6.526666666666666</x:v>
      </x:c>
      <x:c r="I1141" s="11" t="n">
        <x:f>H1141-G1141</x:f>
        <x:v>6.526666666666666</x:v>
      </x:c>
      <x:c r="J1141" s="10" t="str">
        <x:v>지금 가리키는 이 두 견적을 설치비는 제외하고 비교표로 만들어줘.</x:v>
      </x:c>
      <x:c r="K1141" s="10" t="str">
        <x:v>quote-L, quote-R의 설치비를 제외해 비교표 작성을 맡기겠습니다.</x:v>
      </x:c>
      <x:c r="L1141" s="11"/>
      <x:c r="M1141" s="11"/>
      <x:c r="N1141" s="10" t="str">
        <x:v>NOT_MODELED</x:v>
      </x:c>
    </x:row>
    <x:row r="1142" ht="85" customHeight="1">
      <x:c r="A1142" s="10" t="str">
        <x:v>V-A</x:v>
      </x:c>
      <x:c r="B1142" s="10" t="str">
        <x:v>VOICE</x:v>
      </x:c>
      <x:c r="C1142" s="10" t="str">
        <x:v>VOICE:S6-05</x:v>
      </x:c>
      <x:c r="D1142" s="10" t="str">
        <x:v>VOICE:S6-05:input</x:v>
      </x:c>
      <x:c r="E1142" s="10" t="str">
        <x:v>V-S6</x:v>
      </x:c>
      <x:c r="F1142" s="10" t="n">
        <x:v>1</x:v>
      </x:c>
      <x:c r="G1142" s="11" t="n">
        <x:v>0</x:v>
      </x:c>
      <x:c r="H1142" s="11" t="n">
        <x:v>2.9666666666666663</x:v>
      </x:c>
      <x:c r="I1142" s="11" t="n">
        <x:f>H1142-G1142</x:f>
        <x:v>2.9666666666666663</x:v>
      </x:c>
      <x:c r="J1142" s="10" t="str">
        <x:v>지금 가리키는 이 두 견적을 설치비는 제외하고 비교표로 만들어줘.</x:v>
      </x:c>
      <x:c r="K1142" s="10" t="str">
        <x:v>quote-L, quote-R의 설치비를 제외해 비교표 작성을 맡기겠습니다.</x:v>
      </x:c>
      <x:c r="L1142" s="11"/>
      <x:c r="M1142" s="11"/>
      <x:c r="N1142" s="10" t="str">
        <x:v>NOT_MODELED</x:v>
      </x:c>
    </x:row>
    <x:row r="1143" ht="85" customHeight="1">
      <x:c r="A1143" s="10" t="str">
        <x:v>V-R1</x:v>
      </x:c>
      <x:c r="B1143" s="10" t="str">
        <x:v>VOICE</x:v>
      </x:c>
      <x:c r="C1143" s="10" t="str">
        <x:v>VOICE:S6-05</x:v>
      </x:c>
      <x:c r="D1143" s="10" t="str">
        <x:v>VOICE:S6-05:input</x:v>
      </x:c>
      <x:c r="E1143" s="10" t="str">
        <x:v>V-S6</x:v>
      </x:c>
      <x:c r="F1143" s="10" t="n">
        <x:v>1</x:v>
      </x:c>
      <x:c r="G1143" s="11" t="n">
        <x:v>0</x:v>
      </x:c>
      <x:c r="H1143" s="11" t="n">
        <x:v>6.466666666666667</x:v>
      </x:c>
      <x:c r="I1143" s="11" t="n">
        <x:f>H1143-G1143</x:f>
        <x:v>6.466666666666667</x:v>
      </x:c>
      <x:c r="J1143" s="10" t="str">
        <x:v>지금 가리키는 이 두 견적을 설치비는 제외하고 비교표로 만들어줘.</x:v>
      </x:c>
      <x:c r="K1143" s="10" t="str">
        <x:v>quote-L, quote-R의 설치비를 제외해 비교표 작성을 맡기겠습니다.</x:v>
      </x:c>
      <x:c r="L1143" s="11"/>
      <x:c r="M1143" s="11"/>
      <x:c r="N1143" s="10" t="str">
        <x:v>NOT_MODELED</x:v>
      </x:c>
    </x:row>
    <x:row r="1144" ht="85" customHeight="1">
      <x:c r="A1144" s="10" t="str">
        <x:v>V-R2</x:v>
      </x:c>
      <x:c r="B1144" s="10" t="str">
        <x:v>VOICE</x:v>
      </x:c>
      <x:c r="C1144" s="10" t="str">
        <x:v>VOICE:S6-05</x:v>
      </x:c>
      <x:c r="D1144" s="10" t="str">
        <x:v>VOICE:S6-05:input</x:v>
      </x:c>
      <x:c r="E1144" s="10" t="str">
        <x:v>V-S6</x:v>
      </x:c>
      <x:c r="F1144" s="10" t="n">
        <x:v>1</x:v>
      </x:c>
      <x:c r="G1144" s="11" t="n">
        <x:v>0</x:v>
      </x:c>
      <x:c r="H1144" s="11" t="n">
        <x:v>6.466666666666667</x:v>
      </x:c>
      <x:c r="I1144" s="11" t="n">
        <x:f>H1144-G1144</x:f>
        <x:v>6.466666666666667</x:v>
      </x:c>
      <x:c r="J1144" s="10" t="str">
        <x:v>지금 가리키는 이 두 견적을 설치비는 제외하고 비교표로 만들어줘.</x:v>
      </x:c>
      <x:c r="K1144" s="10" t="str">
        <x:v>quote-L, quote-R의 설치비를 제외해 비교표 작성을 맡기겠습니다.</x:v>
      </x:c>
      <x:c r="L1144" s="11"/>
      <x:c r="M1144" s="11"/>
      <x:c r="N1144" s="10" t="str">
        <x:v>NOT_MODELED</x:v>
      </x:c>
    </x:row>
    <x:row r="1145" ht="85" customHeight="1">
      <x:c r="A1145" s="10" t="str">
        <x:v>V-R3</x:v>
      </x:c>
      <x:c r="B1145" s="10" t="str">
        <x:v>VOICE</x:v>
      </x:c>
      <x:c r="C1145" s="10" t="str">
        <x:v>VOICE:S6-05</x:v>
      </x:c>
      <x:c r="D1145" s="10" t="str">
        <x:v>VOICE:S6-05:input</x:v>
      </x:c>
      <x:c r="E1145" s="10" t="str">
        <x:v>V-S6</x:v>
      </x:c>
      <x:c r="F1145" s="10" t="n">
        <x:v>1</x:v>
      </x:c>
      <x:c r="G1145" s="11" t="n">
        <x:v>0</x:v>
      </x:c>
      <x:c r="H1145" s="11" t="n">
        <x:v>6.526666666666666</x:v>
      </x:c>
      <x:c r="I1145" s="11" t="n">
        <x:f>H1145-G1145</x:f>
        <x:v>6.526666666666666</x:v>
      </x:c>
      <x:c r="J1145" s="10" t="str">
        <x:v>지금 가리키는 이 두 견적을 설치비는 제외하고 비교표로 만들어줘.</x:v>
      </x:c>
      <x:c r="K1145" s="10" t="str">
        <x:v>quote-L, quote-R의 설치비를 제외해 비교표 작성을 맡기겠습니다.</x:v>
      </x:c>
      <x:c r="L1145" s="11"/>
      <x:c r="M1145" s="11"/>
      <x:c r="N1145" s="10" t="str">
        <x:v>NOT_MODELED</x:v>
      </x:c>
    </x:row>
    <x:row r="1146" ht="85" customHeight="1">
      <x:c r="A1146" s="10" t="str">
        <x:v>V-A</x:v>
      </x:c>
      <x:c r="B1146" s="10" t="str">
        <x:v>VOICE</x:v>
      </x:c>
      <x:c r="C1146" s="10" t="str">
        <x:v>VOICE:S6-06</x:v>
      </x:c>
      <x:c r="D1146" s="10" t="str">
        <x:v>VOICE:S6-06:input</x:v>
      </x:c>
      <x:c r="E1146" s="10" t="str">
        <x:v>V-S6</x:v>
      </x:c>
      <x:c r="F1146" s="10" t="n">
        <x:v>1</x:v>
      </x:c>
      <x:c r="G1146" s="11" t="n">
        <x:v>0</x:v>
      </x:c>
      <x:c r="H1146" s="11" t="n">
        <x:v>2.9666666666666663</x:v>
      </x:c>
      <x:c r="I1146" s="11" t="n">
        <x:f>H1146-G1146</x:f>
        <x:v>2.9666666666666663</x:v>
      </x:c>
      <x:c r="J1146" s="10" t="str">
        <x:v>지금 가리키는 이 두 견적을 설치비는 제외하고 비교표로 만들어줘.</x:v>
      </x:c>
      <x:c r="K1146" s="10" t="str">
        <x:v>quote-L, quote-R의 설치비를 제외해 비교표 작성을 맡기겠습니다.</x:v>
      </x:c>
      <x:c r="L1146" s="11"/>
      <x:c r="M1146" s="11"/>
      <x:c r="N1146" s="10" t="str">
        <x:v>NOT_MODELED</x:v>
      </x:c>
    </x:row>
    <x:row r="1147" ht="85" customHeight="1">
      <x:c r="A1147" s="10" t="str">
        <x:v>V-R1</x:v>
      </x:c>
      <x:c r="B1147" s="10" t="str">
        <x:v>VOICE</x:v>
      </x:c>
      <x:c r="C1147" s="10" t="str">
        <x:v>VOICE:S6-06</x:v>
      </x:c>
      <x:c r="D1147" s="10" t="str">
        <x:v>VOICE:S6-06:input</x:v>
      </x:c>
      <x:c r="E1147" s="10" t="str">
        <x:v>V-S6</x:v>
      </x:c>
      <x:c r="F1147" s="10" t="n">
        <x:v>1</x:v>
      </x:c>
      <x:c r="G1147" s="11" t="n">
        <x:v>0</x:v>
      </x:c>
      <x:c r="H1147" s="11" t="n">
        <x:v>6.466666666666667</x:v>
      </x:c>
      <x:c r="I1147" s="11" t="n">
        <x:f>H1147-G1147</x:f>
        <x:v>6.466666666666667</x:v>
      </x:c>
      <x:c r="J1147" s="10" t="str">
        <x:v>지금 가리키는 이 두 견적을 설치비는 제외하고 비교표로 만들어줘.</x:v>
      </x:c>
      <x:c r="K1147" s="10" t="str">
        <x:v>quote-L, quote-R의 설치비를 제외해 비교표 작성을 맡기겠습니다.</x:v>
      </x:c>
      <x:c r="L1147" s="11"/>
      <x:c r="M1147" s="11"/>
      <x:c r="N1147" s="10" t="str">
        <x:v>NOT_MODELED</x:v>
      </x:c>
    </x:row>
    <x:row r="1148" ht="85" customHeight="1">
      <x:c r="A1148" s="10" t="str">
        <x:v>V-R2</x:v>
      </x:c>
      <x:c r="B1148" s="10" t="str">
        <x:v>VOICE</x:v>
      </x:c>
      <x:c r="C1148" s="10" t="str">
        <x:v>VOICE:S6-06</x:v>
      </x:c>
      <x:c r="D1148" s="10" t="str">
        <x:v>VOICE:S6-06:input</x:v>
      </x:c>
      <x:c r="E1148" s="10" t="str">
        <x:v>V-S6</x:v>
      </x:c>
      <x:c r="F1148" s="10" t="n">
        <x:v>1</x:v>
      </x:c>
      <x:c r="G1148" s="11" t="n">
        <x:v>0</x:v>
      </x:c>
      <x:c r="H1148" s="11" t="n">
        <x:v>6.466666666666667</x:v>
      </x:c>
      <x:c r="I1148" s="11" t="n">
        <x:f>H1148-G1148</x:f>
        <x:v>6.466666666666667</x:v>
      </x:c>
      <x:c r="J1148" s="10" t="str">
        <x:v>지금 가리키는 이 두 견적을 설치비는 제외하고 비교표로 만들어줘.</x:v>
      </x:c>
      <x:c r="K1148" s="10" t="str">
        <x:v>quote-L, quote-R의 설치비를 제외해 비교표 작성을 맡기겠습니다.</x:v>
      </x:c>
      <x:c r="L1148" s="11"/>
      <x:c r="M1148" s="11"/>
      <x:c r="N1148" s="10" t="str">
        <x:v>NOT_MODELED</x:v>
      </x:c>
    </x:row>
    <x:row r="1149" ht="85" customHeight="1">
      <x:c r="A1149" s="10" t="str">
        <x:v>V-R3</x:v>
      </x:c>
      <x:c r="B1149" s="10" t="str">
        <x:v>VOICE</x:v>
      </x:c>
      <x:c r="C1149" s="10" t="str">
        <x:v>VOICE:S6-06</x:v>
      </x:c>
      <x:c r="D1149" s="10" t="str">
        <x:v>VOICE:S6-06:input</x:v>
      </x:c>
      <x:c r="E1149" s="10" t="str">
        <x:v>V-S6</x:v>
      </x:c>
      <x:c r="F1149" s="10" t="n">
        <x:v>1</x:v>
      </x:c>
      <x:c r="G1149" s="11" t="n">
        <x:v>0</x:v>
      </x:c>
      <x:c r="H1149" s="11" t="n">
        <x:v>6.526666666666666</x:v>
      </x:c>
      <x:c r="I1149" s="11" t="n">
        <x:f>H1149-G1149</x:f>
        <x:v>6.526666666666666</x:v>
      </x:c>
      <x:c r="J1149" s="10" t="str">
        <x:v>지금 가리키는 이 두 견적을 설치비는 제외하고 비교표로 만들어줘.</x:v>
      </x:c>
      <x:c r="K1149" s="10" t="str">
        <x:v>quote-L, quote-R의 설치비를 제외해 비교표 작성을 맡기겠습니다.</x:v>
      </x:c>
      <x:c r="L1149" s="11"/>
      <x:c r="M1149" s="11"/>
      <x:c r="N1149" s="10" t="str">
        <x:v>NOT_MODELED</x:v>
      </x:c>
    </x:row>
    <x:row r="1150" ht="85" customHeight="1">
      <x:c r="A1150" s="10" t="str">
        <x:v>V-A</x:v>
      </x:c>
      <x:c r="B1150" s="10" t="str">
        <x:v>VOICE</x:v>
      </x:c>
      <x:c r="C1150" s="10" t="str">
        <x:v>VOICE:S6-07</x:v>
      </x:c>
      <x:c r="D1150" s="10" t="str">
        <x:v>VOICE:S6-07:input</x:v>
      </x:c>
      <x:c r="E1150" s="10" t="str">
        <x:v>V-S6</x:v>
      </x:c>
      <x:c r="F1150" s="10" t="n">
        <x:v>1</x:v>
      </x:c>
      <x:c r="G1150" s="11" t="n">
        <x:v>0</x:v>
      </x:c>
      <x:c r="H1150" s="11" t="n">
        <x:v>2.9666666666666663</x:v>
      </x:c>
      <x:c r="I1150" s="11" t="n">
        <x:f>H1150-G1150</x:f>
        <x:v>2.9666666666666663</x:v>
      </x:c>
      <x:c r="J1150" s="10" t="str">
        <x:v>지금 가리키는 이 두 견적을 설치비는 제외하고 비교표로 만들어줘.</x:v>
      </x:c>
      <x:c r="K1150" s="10" t="str">
        <x:v>quote-L, quote-R의 설치비를 제외해 비교표 작성을 맡기겠습니다.</x:v>
      </x:c>
      <x:c r="L1150" s="11"/>
      <x:c r="M1150" s="11"/>
      <x:c r="N1150" s="10" t="str">
        <x:v>NOT_MODELED</x:v>
      </x:c>
    </x:row>
    <x:row r="1151" ht="85" customHeight="1">
      <x:c r="A1151" s="10" t="str">
        <x:v>V-R1</x:v>
      </x:c>
      <x:c r="B1151" s="10" t="str">
        <x:v>VOICE</x:v>
      </x:c>
      <x:c r="C1151" s="10" t="str">
        <x:v>VOICE:S6-07</x:v>
      </x:c>
      <x:c r="D1151" s="10" t="str">
        <x:v>VOICE:S6-07:input</x:v>
      </x:c>
      <x:c r="E1151" s="10" t="str">
        <x:v>V-S6</x:v>
      </x:c>
      <x:c r="F1151" s="10" t="n">
        <x:v>1</x:v>
      </x:c>
      <x:c r="G1151" s="11" t="n">
        <x:v>0</x:v>
      </x:c>
      <x:c r="H1151" s="11" t="n">
        <x:v>6.466666666666667</x:v>
      </x:c>
      <x:c r="I1151" s="11" t="n">
        <x:f>H1151-G1151</x:f>
        <x:v>6.466666666666667</x:v>
      </x:c>
      <x:c r="J1151" s="10" t="str">
        <x:v>지금 가리키는 이 두 견적을 설치비는 제외하고 비교표로 만들어줘.</x:v>
      </x:c>
      <x:c r="K1151" s="10" t="str">
        <x:v>quote-L, quote-R의 설치비를 제외해 비교표 작성을 맡기겠습니다.</x:v>
      </x:c>
      <x:c r="L1151" s="11"/>
      <x:c r="M1151" s="11"/>
      <x:c r="N1151" s="10" t="str">
        <x:v>NOT_MODELED</x:v>
      </x:c>
    </x:row>
    <x:row r="1152" ht="85" customHeight="1">
      <x:c r="A1152" s="10" t="str">
        <x:v>V-R2</x:v>
      </x:c>
      <x:c r="B1152" s="10" t="str">
        <x:v>VOICE</x:v>
      </x:c>
      <x:c r="C1152" s="10" t="str">
        <x:v>VOICE:S6-07</x:v>
      </x:c>
      <x:c r="D1152" s="10" t="str">
        <x:v>VOICE:S6-07:input</x:v>
      </x:c>
      <x:c r="E1152" s="10" t="str">
        <x:v>V-S6</x:v>
      </x:c>
      <x:c r="F1152" s="10" t="n">
        <x:v>1</x:v>
      </x:c>
      <x:c r="G1152" s="11" t="n">
        <x:v>0</x:v>
      </x:c>
      <x:c r="H1152" s="11" t="n">
        <x:v>6.466666666666667</x:v>
      </x:c>
      <x:c r="I1152" s="11" t="n">
        <x:f>H1152-G1152</x:f>
        <x:v>6.466666666666667</x:v>
      </x:c>
      <x:c r="J1152" s="10" t="str">
        <x:v>지금 가리키는 이 두 견적을 설치비는 제외하고 비교표로 만들어줘.</x:v>
      </x:c>
      <x:c r="K1152" s="10" t="str">
        <x:v>quote-L, quote-R의 설치비를 제외해 비교표 작성을 맡기겠습니다.</x:v>
      </x:c>
      <x:c r="L1152" s="11"/>
      <x:c r="M1152" s="11"/>
      <x:c r="N1152" s="10" t="str">
        <x:v>NOT_MODELED</x:v>
      </x:c>
    </x:row>
    <x:row r="1153" ht="85" customHeight="1">
      <x:c r="A1153" s="10" t="str">
        <x:v>V-R3</x:v>
      </x:c>
      <x:c r="B1153" s="10" t="str">
        <x:v>VOICE</x:v>
      </x:c>
      <x:c r="C1153" s="10" t="str">
        <x:v>VOICE:S6-07</x:v>
      </x:c>
      <x:c r="D1153" s="10" t="str">
        <x:v>VOICE:S6-07:input</x:v>
      </x:c>
      <x:c r="E1153" s="10" t="str">
        <x:v>V-S6</x:v>
      </x:c>
      <x:c r="F1153" s="10" t="n">
        <x:v>1</x:v>
      </x:c>
      <x:c r="G1153" s="11" t="n">
        <x:v>0</x:v>
      </x:c>
      <x:c r="H1153" s="11" t="n">
        <x:v>6.526666666666666</x:v>
      </x:c>
      <x:c r="I1153" s="11" t="n">
        <x:f>H1153-G1153</x:f>
        <x:v>6.526666666666666</x:v>
      </x:c>
      <x:c r="J1153" s="10" t="str">
        <x:v>지금 가리키는 이 두 견적을 설치비는 제외하고 비교표로 만들어줘.</x:v>
      </x:c>
      <x:c r="K1153" s="10" t="str">
        <x:v>quote-L, quote-R의 설치비를 제외해 비교표 작성을 맡기겠습니다.</x:v>
      </x:c>
      <x:c r="L1153" s="11"/>
      <x:c r="M1153" s="11"/>
      <x:c r="N1153" s="10" t="str">
        <x:v>NOT_MODELED</x:v>
      </x:c>
    </x:row>
    <x:row r="1154" ht="85" customHeight="1">
      <x:c r="A1154" s="10" t="str">
        <x:v>V-A</x:v>
      </x:c>
      <x:c r="B1154" s="10" t="str">
        <x:v>VOICE</x:v>
      </x:c>
      <x:c r="C1154" s="10" t="str">
        <x:v>VOICE:S6-08</x:v>
      </x:c>
      <x:c r="D1154" s="10" t="str">
        <x:v>VOICE:S6-08:input</x:v>
      </x:c>
      <x:c r="E1154" s="10" t="str">
        <x:v>V-S6</x:v>
      </x:c>
      <x:c r="F1154" s="10" t="n">
        <x:v>1</x:v>
      </x:c>
      <x:c r="G1154" s="11" t="n">
        <x:v>0</x:v>
      </x:c>
      <x:c r="H1154" s="11" t="n">
        <x:v>2.9666666666666663</x:v>
      </x:c>
      <x:c r="I1154" s="11" t="n">
        <x:f>H1154-G1154</x:f>
        <x:v>2.9666666666666663</x:v>
      </x:c>
      <x:c r="J1154" s="10" t="str">
        <x:v>지금 가리키는 이 두 견적을 설치비는 제외하고 비교표로 만들어줘.</x:v>
      </x:c>
      <x:c r="K1154" s="10" t="str">
        <x:v>quote-L, quote-R의 설치비를 제외해 비교표 작성을 맡기겠습니다.</x:v>
      </x:c>
      <x:c r="L1154" s="11"/>
      <x:c r="M1154" s="11"/>
      <x:c r="N1154" s="10" t="str">
        <x:v>NOT_MODELED</x:v>
      </x:c>
    </x:row>
    <x:row r="1155" ht="85" customHeight="1">
      <x:c r="A1155" s="10" t="str">
        <x:v>V-R1</x:v>
      </x:c>
      <x:c r="B1155" s="10" t="str">
        <x:v>VOICE</x:v>
      </x:c>
      <x:c r="C1155" s="10" t="str">
        <x:v>VOICE:S6-08</x:v>
      </x:c>
      <x:c r="D1155" s="10" t="str">
        <x:v>VOICE:S6-08:input</x:v>
      </x:c>
      <x:c r="E1155" s="10" t="str">
        <x:v>V-S6</x:v>
      </x:c>
      <x:c r="F1155" s="10" t="n">
        <x:v>1</x:v>
      </x:c>
      <x:c r="G1155" s="11" t="n">
        <x:v>0</x:v>
      </x:c>
      <x:c r="H1155" s="11" t="n">
        <x:v>6.466666666666667</x:v>
      </x:c>
      <x:c r="I1155" s="11" t="n">
        <x:f>H1155-G1155</x:f>
        <x:v>6.466666666666667</x:v>
      </x:c>
      <x:c r="J1155" s="10" t="str">
        <x:v>지금 가리키는 이 두 견적을 설치비는 제외하고 비교표로 만들어줘.</x:v>
      </x:c>
      <x:c r="K1155" s="10" t="str">
        <x:v>quote-L, quote-R의 설치비를 제외해 비교표 작성을 맡기겠습니다.</x:v>
      </x:c>
      <x:c r="L1155" s="11"/>
      <x:c r="M1155" s="11"/>
      <x:c r="N1155" s="10" t="str">
        <x:v>NOT_MODELED</x:v>
      </x:c>
    </x:row>
    <x:row r="1156" ht="85" customHeight="1">
      <x:c r="A1156" s="10" t="str">
        <x:v>V-R2</x:v>
      </x:c>
      <x:c r="B1156" s="10" t="str">
        <x:v>VOICE</x:v>
      </x:c>
      <x:c r="C1156" s="10" t="str">
        <x:v>VOICE:S6-08</x:v>
      </x:c>
      <x:c r="D1156" s="10" t="str">
        <x:v>VOICE:S6-08:input</x:v>
      </x:c>
      <x:c r="E1156" s="10" t="str">
        <x:v>V-S6</x:v>
      </x:c>
      <x:c r="F1156" s="10" t="n">
        <x:v>1</x:v>
      </x:c>
      <x:c r="G1156" s="11" t="n">
        <x:v>0</x:v>
      </x:c>
      <x:c r="H1156" s="11" t="n">
        <x:v>6.466666666666667</x:v>
      </x:c>
      <x:c r="I1156" s="11" t="n">
        <x:f>H1156-G1156</x:f>
        <x:v>6.466666666666667</x:v>
      </x:c>
      <x:c r="J1156" s="10" t="str">
        <x:v>지금 가리키는 이 두 견적을 설치비는 제외하고 비교표로 만들어줘.</x:v>
      </x:c>
      <x:c r="K1156" s="10" t="str">
        <x:v>quote-L, quote-R의 설치비를 제외해 비교표 작성을 맡기겠습니다.</x:v>
      </x:c>
      <x:c r="L1156" s="11"/>
      <x:c r="M1156" s="11"/>
      <x:c r="N1156" s="10" t="str">
        <x:v>NOT_MODELED</x:v>
      </x:c>
    </x:row>
    <x:row r="1157" ht="85" customHeight="1">
      <x:c r="A1157" s="10" t="str">
        <x:v>V-R3</x:v>
      </x:c>
      <x:c r="B1157" s="10" t="str">
        <x:v>VOICE</x:v>
      </x:c>
      <x:c r="C1157" s="10" t="str">
        <x:v>VOICE:S6-08</x:v>
      </x:c>
      <x:c r="D1157" s="10" t="str">
        <x:v>VOICE:S6-08:input</x:v>
      </x:c>
      <x:c r="E1157" s="10" t="str">
        <x:v>V-S6</x:v>
      </x:c>
      <x:c r="F1157" s="10" t="n">
        <x:v>1</x:v>
      </x:c>
      <x:c r="G1157" s="11" t="n">
        <x:v>0</x:v>
      </x:c>
      <x:c r="H1157" s="11" t="n">
        <x:v>6.526666666666666</x:v>
      </x:c>
      <x:c r="I1157" s="11" t="n">
        <x:f>H1157-G1157</x:f>
        <x:v>6.526666666666666</x:v>
      </x:c>
      <x:c r="J1157" s="10" t="str">
        <x:v>지금 가리키는 이 두 견적을 설치비는 제외하고 비교표로 만들어줘.</x:v>
      </x:c>
      <x:c r="K1157" s="10" t="str">
        <x:v>quote-L, quote-R의 설치비를 제외해 비교표 작성을 맡기겠습니다.</x:v>
      </x:c>
      <x:c r="L1157" s="11"/>
      <x:c r="M1157" s="11"/>
      <x:c r="N1157" s="10" t="str">
        <x:v>NOT_MODELED</x:v>
      </x:c>
    </x:row>
    <x:row r="1158" ht="85" customHeight="1">
      <x:c r="A1158" s="10" t="str">
        <x:v>V-A</x:v>
      </x:c>
      <x:c r="B1158" s="10" t="str">
        <x:v>VOICE</x:v>
      </x:c>
      <x:c r="C1158" s="10" t="str">
        <x:v>VOICE:S6-09</x:v>
      </x:c>
      <x:c r="D1158" s="10" t="str">
        <x:v>VOICE:S6-09:input</x:v>
      </x:c>
      <x:c r="E1158" s="10" t="str">
        <x:v>V-S6</x:v>
      </x:c>
      <x:c r="F1158" s="10" t="n">
        <x:v>1</x:v>
      </x:c>
      <x:c r="G1158" s="11" t="n">
        <x:v>0</x:v>
      </x:c>
      <x:c r="H1158" s="11" t="n">
        <x:v>2.9666666666666663</x:v>
      </x:c>
      <x:c r="I1158" s="11" t="n">
        <x:f>H1158-G1158</x:f>
        <x:v>2.9666666666666663</x:v>
      </x:c>
      <x:c r="J1158" s="10" t="str">
        <x:v>지금 가리키는 이 두 견적을 설치비는 제외하고 비교표로 만들어줘.</x:v>
      </x:c>
      <x:c r="K1158" s="10" t="str">
        <x:v>quote-L, quote-R의 설치비를 제외해 비교표 작성을 맡기겠습니다.</x:v>
      </x:c>
      <x:c r="L1158" s="11"/>
      <x:c r="M1158" s="11"/>
      <x:c r="N1158" s="10" t="str">
        <x:v>NOT_MODELED</x:v>
      </x:c>
    </x:row>
    <x:row r="1159" ht="85" customHeight="1">
      <x:c r="A1159" s="10" t="str">
        <x:v>V-R1</x:v>
      </x:c>
      <x:c r="B1159" s="10" t="str">
        <x:v>VOICE</x:v>
      </x:c>
      <x:c r="C1159" s="10" t="str">
        <x:v>VOICE:S6-09</x:v>
      </x:c>
      <x:c r="D1159" s="10" t="str">
        <x:v>VOICE:S6-09:input</x:v>
      </x:c>
      <x:c r="E1159" s="10" t="str">
        <x:v>V-S6</x:v>
      </x:c>
      <x:c r="F1159" s="10" t="n">
        <x:v>1</x:v>
      </x:c>
      <x:c r="G1159" s="11" t="n">
        <x:v>0</x:v>
      </x:c>
      <x:c r="H1159" s="11" t="n">
        <x:v>6.466666666666667</x:v>
      </x:c>
      <x:c r="I1159" s="11" t="n">
        <x:f>H1159-G1159</x:f>
        <x:v>6.466666666666667</x:v>
      </x:c>
      <x:c r="J1159" s="10" t="str">
        <x:v>지금 가리키는 이 두 견적을 설치비는 제외하고 비교표로 만들어줘.</x:v>
      </x:c>
      <x:c r="K1159" s="10" t="str">
        <x:v>quote-L, quote-R의 설치비를 제외해 비교표 작성을 맡기겠습니다.</x:v>
      </x:c>
      <x:c r="L1159" s="11"/>
      <x:c r="M1159" s="11"/>
      <x:c r="N1159" s="10" t="str">
        <x:v>NOT_MODELED</x:v>
      </x:c>
    </x:row>
    <x:row r="1160" ht="85" customHeight="1">
      <x:c r="A1160" s="10" t="str">
        <x:v>V-R2</x:v>
      </x:c>
      <x:c r="B1160" s="10" t="str">
        <x:v>VOICE</x:v>
      </x:c>
      <x:c r="C1160" s="10" t="str">
        <x:v>VOICE:S6-09</x:v>
      </x:c>
      <x:c r="D1160" s="10" t="str">
        <x:v>VOICE:S6-09:input</x:v>
      </x:c>
      <x:c r="E1160" s="10" t="str">
        <x:v>V-S6</x:v>
      </x:c>
      <x:c r="F1160" s="10" t="n">
        <x:v>1</x:v>
      </x:c>
      <x:c r="G1160" s="11" t="n">
        <x:v>0</x:v>
      </x:c>
      <x:c r="H1160" s="11" t="n">
        <x:v>6.466666666666667</x:v>
      </x:c>
      <x:c r="I1160" s="11" t="n">
        <x:f>H1160-G1160</x:f>
        <x:v>6.466666666666667</x:v>
      </x:c>
      <x:c r="J1160" s="10" t="str">
        <x:v>지금 가리키는 이 두 견적을 설치비는 제외하고 비교표로 만들어줘.</x:v>
      </x:c>
      <x:c r="K1160" s="10" t="str">
        <x:v>quote-L, quote-R의 설치비를 제외해 비교표 작성을 맡기겠습니다.</x:v>
      </x:c>
      <x:c r="L1160" s="11"/>
      <x:c r="M1160" s="11"/>
      <x:c r="N1160" s="10" t="str">
        <x:v>NOT_MODELED</x:v>
      </x:c>
    </x:row>
    <x:row r="1161" ht="85" customHeight="1">
      <x:c r="A1161" s="10" t="str">
        <x:v>V-R3</x:v>
      </x:c>
      <x:c r="B1161" s="10" t="str">
        <x:v>VOICE</x:v>
      </x:c>
      <x:c r="C1161" s="10" t="str">
        <x:v>VOICE:S6-09</x:v>
      </x:c>
      <x:c r="D1161" s="10" t="str">
        <x:v>VOICE:S6-09:input</x:v>
      </x:c>
      <x:c r="E1161" s="10" t="str">
        <x:v>V-S6</x:v>
      </x:c>
      <x:c r="F1161" s="10" t="n">
        <x:v>1</x:v>
      </x:c>
      <x:c r="G1161" s="11" t="n">
        <x:v>0</x:v>
      </x:c>
      <x:c r="H1161" s="11" t="n">
        <x:v>6.526666666666666</x:v>
      </x:c>
      <x:c r="I1161" s="11" t="n">
        <x:f>H1161-G1161</x:f>
        <x:v>6.526666666666666</x:v>
      </x:c>
      <x:c r="J1161" s="10" t="str">
        <x:v>지금 가리키는 이 두 견적을 설치비는 제외하고 비교표로 만들어줘.</x:v>
      </x:c>
      <x:c r="K1161" s="10" t="str">
        <x:v>quote-L, quote-R의 설치비를 제외해 비교표 작성을 맡기겠습니다.</x:v>
      </x:c>
      <x:c r="L1161" s="11"/>
      <x:c r="M1161" s="11"/>
      <x:c r="N1161" s="10" t="str">
        <x:v>NOT_MODELED</x:v>
      </x:c>
    </x:row>
    <x:row r="1162" ht="85" customHeight="1">
      <x:c r="A1162" s="10" t="str">
        <x:v>V-A</x:v>
      </x:c>
      <x:c r="B1162" s="10" t="str">
        <x:v>VOICE</x:v>
      </x:c>
      <x:c r="C1162" s="10" t="str">
        <x:v>VOICE:S6-10</x:v>
      </x:c>
      <x:c r="D1162" s="10" t="str">
        <x:v>VOICE:S6-10:input</x:v>
      </x:c>
      <x:c r="E1162" s="10" t="str">
        <x:v>V-S6</x:v>
      </x:c>
      <x:c r="F1162" s="10" t="n">
        <x:v>1</x:v>
      </x:c>
      <x:c r="G1162" s="11" t="n">
        <x:v>0</x:v>
      </x:c>
      <x:c r="H1162" s="11" t="n">
        <x:v>2.9666666666666663</x:v>
      </x:c>
      <x:c r="I1162" s="11" t="n">
        <x:f>H1162-G1162</x:f>
        <x:v>2.9666666666666663</x:v>
      </x:c>
      <x:c r="J1162" s="10" t="str">
        <x:v>지금 가리키는 이 두 견적을 설치비는 제외하고 비교표로 만들어줘.</x:v>
      </x:c>
      <x:c r="K1162" s="10" t="str">
        <x:v>quote-L, quote-R의 설치비를 제외해 비교표 작성을 맡기겠습니다.</x:v>
      </x:c>
      <x:c r="L1162" s="11"/>
      <x:c r="M1162" s="11"/>
      <x:c r="N1162" s="10" t="str">
        <x:v>NOT_MODELED</x:v>
      </x:c>
    </x:row>
    <x:row r="1163" ht="85" customHeight="1">
      <x:c r="A1163" s="10" t="str">
        <x:v>V-R1</x:v>
      </x:c>
      <x:c r="B1163" s="10" t="str">
        <x:v>VOICE</x:v>
      </x:c>
      <x:c r="C1163" s="10" t="str">
        <x:v>VOICE:S6-10</x:v>
      </x:c>
      <x:c r="D1163" s="10" t="str">
        <x:v>VOICE:S6-10:input</x:v>
      </x:c>
      <x:c r="E1163" s="10" t="str">
        <x:v>V-S6</x:v>
      </x:c>
      <x:c r="F1163" s="10" t="n">
        <x:v>1</x:v>
      </x:c>
      <x:c r="G1163" s="11" t="n">
        <x:v>0</x:v>
      </x:c>
      <x:c r="H1163" s="11" t="n">
        <x:v>6.466666666666667</x:v>
      </x:c>
      <x:c r="I1163" s="11" t="n">
        <x:f>H1163-G1163</x:f>
        <x:v>6.466666666666667</x:v>
      </x:c>
      <x:c r="J1163" s="10" t="str">
        <x:v>지금 가리키는 이 두 견적을 설치비는 제외하고 비교표로 만들어줘.</x:v>
      </x:c>
      <x:c r="K1163" s="10" t="str">
        <x:v>quote-L, quote-R의 설치비를 제외해 비교표 작성을 맡기겠습니다.</x:v>
      </x:c>
      <x:c r="L1163" s="11"/>
      <x:c r="M1163" s="11"/>
      <x:c r="N1163" s="10" t="str">
        <x:v>NOT_MODELED</x:v>
      </x:c>
    </x:row>
    <x:row r="1164" ht="85" customHeight="1">
      <x:c r="A1164" s="10" t="str">
        <x:v>V-R2</x:v>
      </x:c>
      <x:c r="B1164" s="10" t="str">
        <x:v>VOICE</x:v>
      </x:c>
      <x:c r="C1164" s="10" t="str">
        <x:v>VOICE:S6-10</x:v>
      </x:c>
      <x:c r="D1164" s="10" t="str">
        <x:v>VOICE:S6-10:input</x:v>
      </x:c>
      <x:c r="E1164" s="10" t="str">
        <x:v>V-S6</x:v>
      </x:c>
      <x:c r="F1164" s="10" t="n">
        <x:v>1</x:v>
      </x:c>
      <x:c r="G1164" s="11" t="n">
        <x:v>0</x:v>
      </x:c>
      <x:c r="H1164" s="11" t="n">
        <x:v>6.466666666666667</x:v>
      </x:c>
      <x:c r="I1164" s="11" t="n">
        <x:f>H1164-G1164</x:f>
        <x:v>6.466666666666667</x:v>
      </x:c>
      <x:c r="J1164" s="10" t="str">
        <x:v>지금 가리키는 이 두 견적을 설치비는 제외하고 비교표로 만들어줘.</x:v>
      </x:c>
      <x:c r="K1164" s="10" t="str">
        <x:v>quote-L, quote-R의 설치비를 제외해 비교표 작성을 맡기겠습니다.</x:v>
      </x:c>
      <x:c r="L1164" s="11"/>
      <x:c r="M1164" s="11"/>
      <x:c r="N1164" s="10" t="str">
        <x:v>NOT_MODELED</x:v>
      </x:c>
    </x:row>
    <x:row r="1165" ht="85" customHeight="1">
      <x:c r="A1165" s="10" t="str">
        <x:v>V-R3</x:v>
      </x:c>
      <x:c r="B1165" s="10" t="str">
        <x:v>VOICE</x:v>
      </x:c>
      <x:c r="C1165" s="10" t="str">
        <x:v>VOICE:S6-10</x:v>
      </x:c>
      <x:c r="D1165" s="10" t="str">
        <x:v>VOICE:S6-10:input</x:v>
      </x:c>
      <x:c r="E1165" s="10" t="str">
        <x:v>V-S6</x:v>
      </x:c>
      <x:c r="F1165" s="10" t="n">
        <x:v>1</x:v>
      </x:c>
      <x:c r="G1165" s="11" t="n">
        <x:v>0</x:v>
      </x:c>
      <x:c r="H1165" s="11" t="n">
        <x:v>6.526666666666666</x:v>
      </x:c>
      <x:c r="I1165" s="11" t="n">
        <x:f>H1165-G1165</x:f>
        <x:v>6.526666666666666</x:v>
      </x:c>
      <x:c r="J1165" s="10" t="str">
        <x:v>지금 가리키는 이 두 견적을 설치비는 제외하고 비교표로 만들어줘.</x:v>
      </x:c>
      <x:c r="K1165" s="10" t="str">
        <x:v>quote-L, quote-R의 설치비를 제외해 비교표 작성을 맡기겠습니다.</x:v>
      </x:c>
      <x:c r="L1165" s="11"/>
      <x:c r="M1165" s="11"/>
      <x:c r="N1165" s="10" t="str">
        <x:v>NOT_MODELED</x:v>
      </x:c>
    </x:row>
    <x:row r="1166" ht="85" customHeight="1">
      <x:c r="A1166" s="10" t="str">
        <x:v>V-A</x:v>
      </x:c>
      <x:c r="B1166" s="10" t="str">
        <x:v>VOICE</x:v>
      </x:c>
      <x:c r="C1166" s="10" t="str">
        <x:v>VOICE:S6-11</x:v>
      </x:c>
      <x:c r="D1166" s="10" t="str">
        <x:v>VOICE:S6-11:input</x:v>
      </x:c>
      <x:c r="E1166" s="10" t="str">
        <x:v>V-S6</x:v>
      </x:c>
      <x:c r="F1166" s="10" t="n">
        <x:v>1</x:v>
      </x:c>
      <x:c r="G1166" s="11" t="n">
        <x:v>0</x:v>
      </x:c>
      <x:c r="H1166" s="11" t="n">
        <x:v>2.9666666666666663</x:v>
      </x:c>
      <x:c r="I1166" s="11" t="n">
        <x:f>H1166-G1166</x:f>
        <x:v>2.9666666666666663</x:v>
      </x:c>
      <x:c r="J1166" s="10" t="str">
        <x:v>지금 가리키는 이 두 견적을 설치비는 제외하고 비교표로 만들어줘.</x:v>
      </x:c>
      <x:c r="K1166" s="10" t="str">
        <x:v>quote-L, quote-R의 설치비를 제외해 비교표 작성을 맡기겠습니다.</x:v>
      </x:c>
      <x:c r="L1166" s="11"/>
      <x:c r="M1166" s="11"/>
      <x:c r="N1166" s="10" t="str">
        <x:v>NOT_MODELED</x:v>
      </x:c>
    </x:row>
    <x:row r="1167" ht="85" customHeight="1">
      <x:c r="A1167" s="10" t="str">
        <x:v>V-R1</x:v>
      </x:c>
      <x:c r="B1167" s="10" t="str">
        <x:v>VOICE</x:v>
      </x:c>
      <x:c r="C1167" s="10" t="str">
        <x:v>VOICE:S6-11</x:v>
      </x:c>
      <x:c r="D1167" s="10" t="str">
        <x:v>VOICE:S6-11:input</x:v>
      </x:c>
      <x:c r="E1167" s="10" t="str">
        <x:v>V-S6</x:v>
      </x:c>
      <x:c r="F1167" s="10" t="n">
        <x:v>1</x:v>
      </x:c>
      <x:c r="G1167" s="11" t="n">
        <x:v>0</x:v>
      </x:c>
      <x:c r="H1167" s="11" t="n">
        <x:v>6.466666666666667</x:v>
      </x:c>
      <x:c r="I1167" s="11" t="n">
        <x:f>H1167-G1167</x:f>
        <x:v>6.466666666666667</x:v>
      </x:c>
      <x:c r="J1167" s="10" t="str">
        <x:v>지금 가리키는 이 두 견적을 설치비는 제외하고 비교표로 만들어줘.</x:v>
      </x:c>
      <x:c r="K1167" s="10" t="str">
        <x:v>quote-L, quote-R의 설치비를 제외해 비교표 작성을 맡기겠습니다.</x:v>
      </x:c>
      <x:c r="L1167" s="11"/>
      <x:c r="M1167" s="11"/>
      <x:c r="N1167" s="10" t="str">
        <x:v>NOT_MODELED</x:v>
      </x:c>
    </x:row>
    <x:row r="1168" ht="85" customHeight="1">
      <x:c r="A1168" s="10" t="str">
        <x:v>V-R2</x:v>
      </x:c>
      <x:c r="B1168" s="10" t="str">
        <x:v>VOICE</x:v>
      </x:c>
      <x:c r="C1168" s="10" t="str">
        <x:v>VOICE:S6-11</x:v>
      </x:c>
      <x:c r="D1168" s="10" t="str">
        <x:v>VOICE:S6-11:input</x:v>
      </x:c>
      <x:c r="E1168" s="10" t="str">
        <x:v>V-S6</x:v>
      </x:c>
      <x:c r="F1168" s="10" t="n">
        <x:v>1</x:v>
      </x:c>
      <x:c r="G1168" s="11" t="n">
        <x:v>0</x:v>
      </x:c>
      <x:c r="H1168" s="11" t="n">
        <x:v>6.466666666666667</x:v>
      </x:c>
      <x:c r="I1168" s="11" t="n">
        <x:f>H1168-G1168</x:f>
        <x:v>6.466666666666667</x:v>
      </x:c>
      <x:c r="J1168" s="10" t="str">
        <x:v>지금 가리키는 이 두 견적을 설치비는 제외하고 비교표로 만들어줘.</x:v>
      </x:c>
      <x:c r="K1168" s="10" t="str">
        <x:v>quote-L, quote-R의 설치비를 제외해 비교표 작성을 맡기겠습니다.</x:v>
      </x:c>
      <x:c r="L1168" s="11"/>
      <x:c r="M1168" s="11"/>
      <x:c r="N1168" s="10" t="str">
        <x:v>NOT_MODELED</x:v>
      </x:c>
    </x:row>
    <x:row r="1169" ht="85" customHeight="1">
      <x:c r="A1169" s="10" t="str">
        <x:v>V-R3</x:v>
      </x:c>
      <x:c r="B1169" s="10" t="str">
        <x:v>VOICE</x:v>
      </x:c>
      <x:c r="C1169" s="10" t="str">
        <x:v>VOICE:S6-11</x:v>
      </x:c>
      <x:c r="D1169" s="10" t="str">
        <x:v>VOICE:S6-11:input</x:v>
      </x:c>
      <x:c r="E1169" s="10" t="str">
        <x:v>V-S6</x:v>
      </x:c>
      <x:c r="F1169" s="10" t="n">
        <x:v>1</x:v>
      </x:c>
      <x:c r="G1169" s="11" t="n">
        <x:v>0</x:v>
      </x:c>
      <x:c r="H1169" s="11" t="n">
        <x:v>6.526666666666666</x:v>
      </x:c>
      <x:c r="I1169" s="11" t="n">
        <x:f>H1169-G1169</x:f>
        <x:v>6.526666666666666</x:v>
      </x:c>
      <x:c r="J1169" s="10" t="str">
        <x:v>지금 가리키는 이 두 견적을 설치비는 제외하고 비교표로 만들어줘.</x:v>
      </x:c>
      <x:c r="K1169" s="10" t="str">
        <x:v>quote-L, quote-R의 설치비를 제외해 비교표 작성을 맡기겠습니다.</x:v>
      </x:c>
      <x:c r="L1169" s="11"/>
      <x:c r="M1169" s="11"/>
      <x:c r="N1169" s="10" t="str">
        <x:v>NOT_MODELED</x:v>
      </x:c>
    </x:row>
    <x:row r="1170" ht="85" customHeight="1">
      <x:c r="A1170" s="10" t="str">
        <x:v>V-A</x:v>
      </x:c>
      <x:c r="B1170" s="10" t="str">
        <x:v>VOICE</x:v>
      </x:c>
      <x:c r="C1170" s="10" t="str">
        <x:v>VOICE:S6-12</x:v>
      </x:c>
      <x:c r="D1170" s="10" t="str">
        <x:v>VOICE:S6-12:input</x:v>
      </x:c>
      <x:c r="E1170" s="10" t="str">
        <x:v>V-S6</x:v>
      </x:c>
      <x:c r="F1170" s="10" t="n">
        <x:v>1</x:v>
      </x:c>
      <x:c r="G1170" s="11" t="n">
        <x:v>0</x:v>
      </x:c>
      <x:c r="H1170" s="11" t="n">
        <x:v>2.9666666666666663</x:v>
      </x:c>
      <x:c r="I1170" s="11" t="n">
        <x:f>H1170-G1170</x:f>
        <x:v>2.9666666666666663</x:v>
      </x:c>
      <x:c r="J1170" s="10" t="str">
        <x:v>지금 가리키는 이 두 견적을 설치비는 제외하고 비교표로 만들어줘.</x:v>
      </x:c>
      <x:c r="K1170" s="10" t="str">
        <x:v>quote-L, quote-R의 설치비를 제외해 비교표 작성을 맡기겠습니다.</x:v>
      </x:c>
      <x:c r="L1170" s="11"/>
      <x:c r="M1170" s="11"/>
      <x:c r="N1170" s="10" t="str">
        <x:v>NOT_MODELED</x:v>
      </x:c>
    </x:row>
    <x:row r="1171" ht="85" customHeight="1">
      <x:c r="A1171" s="10" t="str">
        <x:v>V-R1</x:v>
      </x:c>
      <x:c r="B1171" s="10" t="str">
        <x:v>VOICE</x:v>
      </x:c>
      <x:c r="C1171" s="10" t="str">
        <x:v>VOICE:S6-12</x:v>
      </x:c>
      <x:c r="D1171" s="10" t="str">
        <x:v>VOICE:S6-12:input</x:v>
      </x:c>
      <x:c r="E1171" s="10" t="str">
        <x:v>V-S6</x:v>
      </x:c>
      <x:c r="F1171" s="10" t="n">
        <x:v>1</x:v>
      </x:c>
      <x:c r="G1171" s="11" t="n">
        <x:v>0</x:v>
      </x:c>
      <x:c r="H1171" s="11" t="n">
        <x:v>6.466666666666667</x:v>
      </x:c>
      <x:c r="I1171" s="11" t="n">
        <x:f>H1171-G1171</x:f>
        <x:v>6.466666666666667</x:v>
      </x:c>
      <x:c r="J1171" s="10" t="str">
        <x:v>지금 가리키는 이 두 견적을 설치비는 제외하고 비교표로 만들어줘.</x:v>
      </x:c>
      <x:c r="K1171" s="10" t="str">
        <x:v>quote-L, quote-R의 설치비를 제외해 비교표 작성을 맡기겠습니다.</x:v>
      </x:c>
      <x:c r="L1171" s="11"/>
      <x:c r="M1171" s="11"/>
      <x:c r="N1171" s="10" t="str">
        <x:v>NOT_MODELED</x:v>
      </x:c>
    </x:row>
    <x:row r="1172" ht="85" customHeight="1">
      <x:c r="A1172" s="10" t="str">
        <x:v>V-R2</x:v>
      </x:c>
      <x:c r="B1172" s="10" t="str">
        <x:v>VOICE</x:v>
      </x:c>
      <x:c r="C1172" s="10" t="str">
        <x:v>VOICE:S6-12</x:v>
      </x:c>
      <x:c r="D1172" s="10" t="str">
        <x:v>VOICE:S6-12:input</x:v>
      </x:c>
      <x:c r="E1172" s="10" t="str">
        <x:v>V-S6</x:v>
      </x:c>
      <x:c r="F1172" s="10" t="n">
        <x:v>1</x:v>
      </x:c>
      <x:c r="G1172" s="11" t="n">
        <x:v>0</x:v>
      </x:c>
      <x:c r="H1172" s="11" t="n">
        <x:v>6.466666666666667</x:v>
      </x:c>
      <x:c r="I1172" s="11" t="n">
        <x:f>H1172-G1172</x:f>
        <x:v>6.466666666666667</x:v>
      </x:c>
      <x:c r="J1172" s="10" t="str">
        <x:v>지금 가리키는 이 두 견적을 설치비는 제외하고 비교표로 만들어줘.</x:v>
      </x:c>
      <x:c r="K1172" s="10" t="str">
        <x:v>quote-L, quote-R의 설치비를 제외해 비교표 작성을 맡기겠습니다.</x:v>
      </x:c>
      <x:c r="L1172" s="11"/>
      <x:c r="M1172" s="11"/>
      <x:c r="N1172" s="10" t="str">
        <x:v>NOT_MODELED</x:v>
      </x:c>
    </x:row>
    <x:row r="1173" ht="85" customHeight="1">
      <x:c r="A1173" s="10" t="str">
        <x:v>V-R3</x:v>
      </x:c>
      <x:c r="B1173" s="10" t="str">
        <x:v>VOICE</x:v>
      </x:c>
      <x:c r="C1173" s="10" t="str">
        <x:v>VOICE:S6-12</x:v>
      </x:c>
      <x:c r="D1173" s="10" t="str">
        <x:v>VOICE:S6-12:input</x:v>
      </x:c>
      <x:c r="E1173" s="10" t="str">
        <x:v>V-S6</x:v>
      </x:c>
      <x:c r="F1173" s="10" t="n">
        <x:v>1</x:v>
      </x:c>
      <x:c r="G1173" s="11" t="n">
        <x:v>0</x:v>
      </x:c>
      <x:c r="H1173" s="11" t="n">
        <x:v>6.526666666666666</x:v>
      </x:c>
      <x:c r="I1173" s="11" t="n">
        <x:f>H1173-G1173</x:f>
        <x:v>6.526666666666666</x:v>
      </x:c>
      <x:c r="J1173" s="10" t="str">
        <x:v>지금 가리키는 이 두 견적을 설치비는 제외하고 비교표로 만들어줘.</x:v>
      </x:c>
      <x:c r="K1173" s="10" t="str">
        <x:v>quote-L, quote-R의 설치비를 제외해 비교표 작성을 맡기겠습니다.</x:v>
      </x:c>
      <x:c r="L1173" s="11"/>
      <x:c r="M1173" s="11"/>
      <x:c r="N1173" s="10" t="str">
        <x:v>NOT_MODELED</x:v>
      </x:c>
    </x:row>
    <x:row r="1174" ht="85" customHeight="1">
      <x:c r="A1174" s="10" t="str">
        <x:v>V-A</x:v>
      </x:c>
      <x:c r="B1174" s="10" t="str">
        <x:v>VOICE</x:v>
      </x:c>
      <x:c r="C1174" s="10" t="str">
        <x:v>VOICE:S6-13</x:v>
      </x:c>
      <x:c r="D1174" s="10" t="str">
        <x:v>VOICE:S6-13:input</x:v>
      </x:c>
      <x:c r="E1174" s="10" t="str">
        <x:v>V-S6</x:v>
      </x:c>
      <x:c r="F1174" s="10" t="n">
        <x:v>1</x:v>
      </x:c>
      <x:c r="G1174" s="11" t="n">
        <x:v>0</x:v>
      </x:c>
      <x:c r="H1174" s="11" t="n">
        <x:v>2.9666666666666663</x:v>
      </x:c>
      <x:c r="I1174" s="11" t="n">
        <x:f>H1174-G1174</x:f>
        <x:v>2.9666666666666663</x:v>
      </x:c>
      <x:c r="J1174" s="10" t="str">
        <x:v>지금 가리키는 이 두 견적을 설치비는 제외하고 비교표로 만들어줘.</x:v>
      </x:c>
      <x:c r="K1174" s="10" t="str">
        <x:v>quote-L, quote-R의 설치비를 제외해 비교표 작성을 맡기겠습니다.</x:v>
      </x:c>
      <x:c r="L1174" s="11"/>
      <x:c r="M1174" s="11"/>
      <x:c r="N1174" s="10" t="str">
        <x:v>NOT_MODELED</x:v>
      </x:c>
    </x:row>
    <x:row r="1175" ht="85" customHeight="1">
      <x:c r="A1175" s="10" t="str">
        <x:v>V-R1</x:v>
      </x:c>
      <x:c r="B1175" s="10" t="str">
        <x:v>VOICE</x:v>
      </x:c>
      <x:c r="C1175" s="10" t="str">
        <x:v>VOICE:S6-13</x:v>
      </x:c>
      <x:c r="D1175" s="10" t="str">
        <x:v>VOICE:S6-13:input</x:v>
      </x:c>
      <x:c r="E1175" s="10" t="str">
        <x:v>V-S6</x:v>
      </x:c>
      <x:c r="F1175" s="10" t="n">
        <x:v>1</x:v>
      </x:c>
      <x:c r="G1175" s="11" t="n">
        <x:v>0</x:v>
      </x:c>
      <x:c r="H1175" s="11" t="n">
        <x:v>6.466666666666667</x:v>
      </x:c>
      <x:c r="I1175" s="11" t="n">
        <x:f>H1175-G1175</x:f>
        <x:v>6.466666666666667</x:v>
      </x:c>
      <x:c r="J1175" s="10" t="str">
        <x:v>지금 가리키는 이 두 견적을 설치비는 제외하고 비교표로 만들어줘.</x:v>
      </x:c>
      <x:c r="K1175" s="10" t="str">
        <x:v>quote-L, quote-R의 설치비를 제외해 비교표 작성을 맡기겠습니다.</x:v>
      </x:c>
      <x:c r="L1175" s="11"/>
      <x:c r="M1175" s="11"/>
      <x:c r="N1175" s="10" t="str">
        <x:v>NOT_MODELED</x:v>
      </x:c>
    </x:row>
    <x:row r="1176" ht="85" customHeight="1">
      <x:c r="A1176" s="10" t="str">
        <x:v>V-R2</x:v>
      </x:c>
      <x:c r="B1176" s="10" t="str">
        <x:v>VOICE</x:v>
      </x:c>
      <x:c r="C1176" s="10" t="str">
        <x:v>VOICE:S6-13</x:v>
      </x:c>
      <x:c r="D1176" s="10" t="str">
        <x:v>VOICE:S6-13:input</x:v>
      </x:c>
      <x:c r="E1176" s="10" t="str">
        <x:v>V-S6</x:v>
      </x:c>
      <x:c r="F1176" s="10" t="n">
        <x:v>1</x:v>
      </x:c>
      <x:c r="G1176" s="11" t="n">
        <x:v>0</x:v>
      </x:c>
      <x:c r="H1176" s="11" t="n">
        <x:v>6.466666666666667</x:v>
      </x:c>
      <x:c r="I1176" s="11" t="n">
        <x:f>H1176-G1176</x:f>
        <x:v>6.466666666666667</x:v>
      </x:c>
      <x:c r="J1176" s="10" t="str">
        <x:v>지금 가리키는 이 두 견적을 설치비는 제외하고 비교표로 만들어줘.</x:v>
      </x:c>
      <x:c r="K1176" s="10" t="str">
        <x:v>quote-L, quote-R의 설치비를 제외해 비교표 작성을 맡기겠습니다.</x:v>
      </x:c>
      <x:c r="L1176" s="11"/>
      <x:c r="M1176" s="11"/>
      <x:c r="N1176" s="10" t="str">
        <x:v>NOT_MODELED</x:v>
      </x:c>
    </x:row>
    <x:row r="1177" ht="85" customHeight="1">
      <x:c r="A1177" s="10" t="str">
        <x:v>V-R3</x:v>
      </x:c>
      <x:c r="B1177" s="10" t="str">
        <x:v>VOICE</x:v>
      </x:c>
      <x:c r="C1177" s="10" t="str">
        <x:v>VOICE:S6-13</x:v>
      </x:c>
      <x:c r="D1177" s="10" t="str">
        <x:v>VOICE:S6-13:input</x:v>
      </x:c>
      <x:c r="E1177" s="10" t="str">
        <x:v>V-S6</x:v>
      </x:c>
      <x:c r="F1177" s="10" t="n">
        <x:v>1</x:v>
      </x:c>
      <x:c r="G1177" s="11" t="n">
        <x:v>0</x:v>
      </x:c>
      <x:c r="H1177" s="11" t="n">
        <x:v>6.526666666666666</x:v>
      </x:c>
      <x:c r="I1177" s="11" t="n">
        <x:f>H1177-G1177</x:f>
        <x:v>6.526666666666666</x:v>
      </x:c>
      <x:c r="J1177" s="10" t="str">
        <x:v>지금 가리키는 이 두 견적을 설치비는 제외하고 비교표로 만들어줘.</x:v>
      </x:c>
      <x:c r="K1177" s="10" t="str">
        <x:v>quote-L, quote-R의 설치비를 제외해 비교표 작성을 맡기겠습니다.</x:v>
      </x:c>
      <x:c r="L1177" s="11"/>
      <x:c r="M1177" s="11"/>
      <x:c r="N1177" s="10" t="str">
        <x:v>NOT_MODELED</x:v>
      </x:c>
    </x:row>
    <x:row r="1178" ht="85" customHeight="1">
      <x:c r="A1178" s="10" t="str">
        <x:v>V-A</x:v>
      </x:c>
      <x:c r="B1178" s="10" t="str">
        <x:v>VOICE</x:v>
      </x:c>
      <x:c r="C1178" s="10" t="str">
        <x:v>VOICE:S6-14</x:v>
      </x:c>
      <x:c r="D1178" s="10" t="str">
        <x:v>VOICE:S6-14:input</x:v>
      </x:c>
      <x:c r="E1178" s="10" t="str">
        <x:v>V-S6</x:v>
      </x:c>
      <x:c r="F1178" s="10" t="n">
        <x:v>1</x:v>
      </x:c>
      <x:c r="G1178" s="11" t="n">
        <x:v>0</x:v>
      </x:c>
      <x:c r="H1178" s="11" t="n">
        <x:v>2.9666666666666663</x:v>
      </x:c>
      <x:c r="I1178" s="11" t="n">
        <x:f>H1178-G1178</x:f>
        <x:v>2.9666666666666663</x:v>
      </x:c>
      <x:c r="J1178" s="10" t="str">
        <x:v>지금 가리키는 이 두 견적을 설치비는 제외하고 비교표로 만들어줘.</x:v>
      </x:c>
      <x:c r="K1178" s="10" t="str">
        <x:v>quote-L, quote-R의 설치비를 제외해 비교표 작성을 맡기겠습니다.</x:v>
      </x:c>
      <x:c r="L1178" s="11"/>
      <x:c r="M1178" s="11"/>
      <x:c r="N1178" s="10" t="str">
        <x:v>NOT_MODELED</x:v>
      </x:c>
    </x:row>
    <x:row r="1179" ht="85" customHeight="1">
      <x:c r="A1179" s="10" t="str">
        <x:v>V-R1</x:v>
      </x:c>
      <x:c r="B1179" s="10" t="str">
        <x:v>VOICE</x:v>
      </x:c>
      <x:c r="C1179" s="10" t="str">
        <x:v>VOICE:S6-14</x:v>
      </x:c>
      <x:c r="D1179" s="10" t="str">
        <x:v>VOICE:S6-14:input</x:v>
      </x:c>
      <x:c r="E1179" s="10" t="str">
        <x:v>V-S6</x:v>
      </x:c>
      <x:c r="F1179" s="10" t="n">
        <x:v>1</x:v>
      </x:c>
      <x:c r="G1179" s="11" t="n">
        <x:v>0</x:v>
      </x:c>
      <x:c r="H1179" s="11" t="n">
        <x:v>6.466666666666667</x:v>
      </x:c>
      <x:c r="I1179" s="11" t="n">
        <x:f>H1179-G1179</x:f>
        <x:v>6.466666666666667</x:v>
      </x:c>
      <x:c r="J1179" s="10" t="str">
        <x:v>지금 가리키는 이 두 견적을 설치비는 제외하고 비교표로 만들어줘.</x:v>
      </x:c>
      <x:c r="K1179" s="10" t="str">
        <x:v>quote-L, quote-R의 설치비를 제외해 비교표 작성을 맡기겠습니다.</x:v>
      </x:c>
      <x:c r="L1179" s="11"/>
      <x:c r="M1179" s="11"/>
      <x:c r="N1179" s="10" t="str">
        <x:v>NOT_MODELED</x:v>
      </x:c>
    </x:row>
    <x:row r="1180" ht="85" customHeight="1">
      <x:c r="A1180" s="10" t="str">
        <x:v>V-R2</x:v>
      </x:c>
      <x:c r="B1180" s="10" t="str">
        <x:v>VOICE</x:v>
      </x:c>
      <x:c r="C1180" s="10" t="str">
        <x:v>VOICE:S6-14</x:v>
      </x:c>
      <x:c r="D1180" s="10" t="str">
        <x:v>VOICE:S6-14:input</x:v>
      </x:c>
      <x:c r="E1180" s="10" t="str">
        <x:v>V-S6</x:v>
      </x:c>
      <x:c r="F1180" s="10" t="n">
        <x:v>1</x:v>
      </x:c>
      <x:c r="G1180" s="11" t="n">
        <x:v>0</x:v>
      </x:c>
      <x:c r="H1180" s="11" t="n">
        <x:v>6.466666666666667</x:v>
      </x:c>
      <x:c r="I1180" s="11" t="n">
        <x:f>H1180-G1180</x:f>
        <x:v>6.466666666666667</x:v>
      </x:c>
      <x:c r="J1180" s="10" t="str">
        <x:v>지금 가리키는 이 두 견적을 설치비는 제외하고 비교표로 만들어줘.</x:v>
      </x:c>
      <x:c r="K1180" s="10" t="str">
        <x:v>quote-L, quote-R의 설치비를 제외해 비교표 작성을 맡기겠습니다.</x:v>
      </x:c>
      <x:c r="L1180" s="11"/>
      <x:c r="M1180" s="11"/>
      <x:c r="N1180" s="10" t="str">
        <x:v>NOT_MODELED</x:v>
      </x:c>
    </x:row>
    <x:row r="1181" ht="85" customHeight="1">
      <x:c r="A1181" s="10" t="str">
        <x:v>V-R3</x:v>
      </x:c>
      <x:c r="B1181" s="10" t="str">
        <x:v>VOICE</x:v>
      </x:c>
      <x:c r="C1181" s="10" t="str">
        <x:v>VOICE:S6-14</x:v>
      </x:c>
      <x:c r="D1181" s="10" t="str">
        <x:v>VOICE:S6-14:input</x:v>
      </x:c>
      <x:c r="E1181" s="10" t="str">
        <x:v>V-S6</x:v>
      </x:c>
      <x:c r="F1181" s="10" t="n">
        <x:v>1</x:v>
      </x:c>
      <x:c r="G1181" s="11" t="n">
        <x:v>0</x:v>
      </x:c>
      <x:c r="H1181" s="11" t="n">
        <x:v>6.526666666666666</x:v>
      </x:c>
      <x:c r="I1181" s="11" t="n">
        <x:f>H1181-G1181</x:f>
        <x:v>6.526666666666666</x:v>
      </x:c>
      <x:c r="J1181" s="10" t="str">
        <x:v>지금 가리키는 이 두 견적을 설치비는 제외하고 비교표로 만들어줘.</x:v>
      </x:c>
      <x:c r="K1181" s="10" t="str">
        <x:v>quote-L, quote-R의 설치비를 제외해 비교표 작성을 맡기겠습니다.</x:v>
      </x:c>
      <x:c r="L1181" s="11"/>
      <x:c r="M1181" s="11"/>
      <x:c r="N1181" s="10" t="str">
        <x:v>NOT_MODELED</x:v>
      </x:c>
    </x:row>
    <x:row r="1182" ht="85" customHeight="1">
      <x:c r="A1182" s="10" t="str">
        <x:v>V-A</x:v>
      </x:c>
      <x:c r="B1182" s="10" t="str">
        <x:v>VOICE</x:v>
      </x:c>
      <x:c r="C1182" s="10" t="str">
        <x:v>VOICE:S6-15</x:v>
      </x:c>
      <x:c r="D1182" s="10" t="str">
        <x:v>VOICE:S6-15:input</x:v>
      </x:c>
      <x:c r="E1182" s="10" t="str">
        <x:v>V-S6</x:v>
      </x:c>
      <x:c r="F1182" s="10" t="n">
        <x:v>1</x:v>
      </x:c>
      <x:c r="G1182" s="11" t="n">
        <x:v>0</x:v>
      </x:c>
      <x:c r="H1182" s="11" t="n">
        <x:v>2.9666666666666663</x:v>
      </x:c>
      <x:c r="I1182" s="11" t="n">
        <x:f>H1182-G1182</x:f>
        <x:v>2.9666666666666663</x:v>
      </x:c>
      <x:c r="J1182" s="10" t="str">
        <x:v>지금 가리키는 이 두 견적을 설치비는 제외하고 비교표로 만들어줘.</x:v>
      </x:c>
      <x:c r="K1182" s="10" t="str">
        <x:v>quote-L, quote-R의 설치비를 제외해 비교표 작성을 맡기겠습니다.</x:v>
      </x:c>
      <x:c r="L1182" s="11"/>
      <x:c r="M1182" s="11"/>
      <x:c r="N1182" s="10" t="str">
        <x:v>NOT_MODELED</x:v>
      </x:c>
    </x:row>
    <x:row r="1183" ht="85" customHeight="1">
      <x:c r="A1183" s="10" t="str">
        <x:v>V-R1</x:v>
      </x:c>
      <x:c r="B1183" s="10" t="str">
        <x:v>VOICE</x:v>
      </x:c>
      <x:c r="C1183" s="10" t="str">
        <x:v>VOICE:S6-15</x:v>
      </x:c>
      <x:c r="D1183" s="10" t="str">
        <x:v>VOICE:S6-15:input</x:v>
      </x:c>
      <x:c r="E1183" s="10" t="str">
        <x:v>V-S6</x:v>
      </x:c>
      <x:c r="F1183" s="10" t="n">
        <x:v>1</x:v>
      </x:c>
      <x:c r="G1183" s="11" t="n">
        <x:v>0</x:v>
      </x:c>
      <x:c r="H1183" s="11" t="n">
        <x:v>6.466666666666667</x:v>
      </x:c>
      <x:c r="I1183" s="11" t="n">
        <x:f>H1183-G1183</x:f>
        <x:v>6.466666666666667</x:v>
      </x:c>
      <x:c r="J1183" s="10" t="str">
        <x:v>지금 가리키는 이 두 견적을 설치비는 제외하고 비교표로 만들어줘.</x:v>
      </x:c>
      <x:c r="K1183" s="10" t="str">
        <x:v>quote-L, quote-R의 설치비를 제외해 비교표 작성을 맡기겠습니다.</x:v>
      </x:c>
      <x:c r="L1183" s="11"/>
      <x:c r="M1183" s="11"/>
      <x:c r="N1183" s="10" t="str">
        <x:v>NOT_MODELED</x:v>
      </x:c>
    </x:row>
    <x:row r="1184" ht="85" customHeight="1">
      <x:c r="A1184" s="10" t="str">
        <x:v>V-R2</x:v>
      </x:c>
      <x:c r="B1184" s="10" t="str">
        <x:v>VOICE</x:v>
      </x:c>
      <x:c r="C1184" s="10" t="str">
        <x:v>VOICE:S6-15</x:v>
      </x:c>
      <x:c r="D1184" s="10" t="str">
        <x:v>VOICE:S6-15:input</x:v>
      </x:c>
      <x:c r="E1184" s="10" t="str">
        <x:v>V-S6</x:v>
      </x:c>
      <x:c r="F1184" s="10" t="n">
        <x:v>1</x:v>
      </x:c>
      <x:c r="G1184" s="11" t="n">
        <x:v>0</x:v>
      </x:c>
      <x:c r="H1184" s="11" t="n">
        <x:v>6.466666666666667</x:v>
      </x:c>
      <x:c r="I1184" s="11" t="n">
        <x:f>H1184-G1184</x:f>
        <x:v>6.466666666666667</x:v>
      </x:c>
      <x:c r="J1184" s="10" t="str">
        <x:v>지금 가리키는 이 두 견적을 설치비는 제외하고 비교표로 만들어줘.</x:v>
      </x:c>
      <x:c r="K1184" s="10" t="str">
        <x:v>quote-L, quote-R의 설치비를 제외해 비교표 작성을 맡기겠습니다.</x:v>
      </x:c>
      <x:c r="L1184" s="11"/>
      <x:c r="M1184" s="11"/>
      <x:c r="N1184" s="10" t="str">
        <x:v>NOT_MODELED</x:v>
      </x:c>
    </x:row>
    <x:row r="1185" ht="85" customHeight="1">
      <x:c r="A1185" s="10" t="str">
        <x:v>V-R3</x:v>
      </x:c>
      <x:c r="B1185" s="10" t="str">
        <x:v>VOICE</x:v>
      </x:c>
      <x:c r="C1185" s="10" t="str">
        <x:v>VOICE:S6-15</x:v>
      </x:c>
      <x:c r="D1185" s="10" t="str">
        <x:v>VOICE:S6-15:input</x:v>
      </x:c>
      <x:c r="E1185" s="10" t="str">
        <x:v>V-S6</x:v>
      </x:c>
      <x:c r="F1185" s="10" t="n">
        <x:v>1</x:v>
      </x:c>
      <x:c r="G1185" s="11" t="n">
        <x:v>0</x:v>
      </x:c>
      <x:c r="H1185" s="11" t="n">
        <x:v>6.526666666666666</x:v>
      </x:c>
      <x:c r="I1185" s="11" t="n">
        <x:f>H1185-G1185</x:f>
        <x:v>6.526666666666666</x:v>
      </x:c>
      <x:c r="J1185" s="10" t="str">
        <x:v>지금 가리키는 이 두 견적을 설치비는 제외하고 비교표로 만들어줘.</x:v>
      </x:c>
      <x:c r="K1185" s="10" t="str">
        <x:v>quote-L, quote-R의 설치비를 제외해 비교표 작성을 맡기겠습니다.</x:v>
      </x:c>
      <x:c r="L1185" s="11"/>
      <x:c r="M1185" s="11"/>
      <x:c r="N1185" s="10" t="str">
        <x:v>NOT_MODELED</x:v>
      </x:c>
    </x:row>
    <x:row r="1186" ht="85" customHeight="1">
      <x:c r="A1186" s="10" t="str">
        <x:v>V-A</x:v>
      </x:c>
      <x:c r="B1186" s="10" t="str">
        <x:v>VOICE</x:v>
      </x:c>
      <x:c r="C1186" s="10" t="str">
        <x:v>VOICE:S6-16</x:v>
      </x:c>
      <x:c r="D1186" s="10" t="str">
        <x:v>VOICE:S6-16:input</x:v>
      </x:c>
      <x:c r="E1186" s="10" t="str">
        <x:v>V-S6</x:v>
      </x:c>
      <x:c r="F1186" s="10" t="n">
        <x:v>1</x:v>
      </x:c>
      <x:c r="G1186" s="11" t="n">
        <x:v>0</x:v>
      </x:c>
      <x:c r="H1186" s="11" t="n">
        <x:v>2.9666666666666663</x:v>
      </x:c>
      <x:c r="I1186" s="11" t="n">
        <x:f>H1186-G1186</x:f>
        <x:v>2.9666666666666663</x:v>
      </x:c>
      <x:c r="J1186" s="10" t="str">
        <x:v>지금 가리키는 이 두 견적을 설치비는 제외하고 비교표로 만들어줘.</x:v>
      </x:c>
      <x:c r="K1186" s="10" t="str">
        <x:v>quote-L, quote-R의 설치비를 제외해 비교표 작성을 맡기겠습니다.</x:v>
      </x:c>
      <x:c r="L1186" s="11"/>
      <x:c r="M1186" s="11"/>
      <x:c r="N1186" s="10" t="str">
        <x:v>NOT_MODELED</x:v>
      </x:c>
    </x:row>
    <x:row r="1187" ht="85" customHeight="1">
      <x:c r="A1187" s="10" t="str">
        <x:v>V-R1</x:v>
      </x:c>
      <x:c r="B1187" s="10" t="str">
        <x:v>VOICE</x:v>
      </x:c>
      <x:c r="C1187" s="10" t="str">
        <x:v>VOICE:S6-16</x:v>
      </x:c>
      <x:c r="D1187" s="10" t="str">
        <x:v>VOICE:S6-16:input</x:v>
      </x:c>
      <x:c r="E1187" s="10" t="str">
        <x:v>V-S6</x:v>
      </x:c>
      <x:c r="F1187" s="10" t="n">
        <x:v>1</x:v>
      </x:c>
      <x:c r="G1187" s="11" t="n">
        <x:v>0</x:v>
      </x:c>
      <x:c r="H1187" s="11" t="n">
        <x:v>6.466666666666667</x:v>
      </x:c>
      <x:c r="I1187" s="11" t="n">
        <x:f>H1187-G1187</x:f>
        <x:v>6.466666666666667</x:v>
      </x:c>
      <x:c r="J1187" s="10" t="str">
        <x:v>지금 가리키는 이 두 견적을 설치비는 제외하고 비교표로 만들어줘.</x:v>
      </x:c>
      <x:c r="K1187" s="10" t="str">
        <x:v>quote-L, quote-R의 설치비를 제외해 비교표 작성을 맡기겠습니다.</x:v>
      </x:c>
      <x:c r="L1187" s="11"/>
      <x:c r="M1187" s="11"/>
      <x:c r="N1187" s="10" t="str">
        <x:v>NOT_MODELED</x:v>
      </x:c>
    </x:row>
    <x:row r="1188" ht="85" customHeight="1">
      <x:c r="A1188" s="10" t="str">
        <x:v>V-R2</x:v>
      </x:c>
      <x:c r="B1188" s="10" t="str">
        <x:v>VOICE</x:v>
      </x:c>
      <x:c r="C1188" s="10" t="str">
        <x:v>VOICE:S6-16</x:v>
      </x:c>
      <x:c r="D1188" s="10" t="str">
        <x:v>VOICE:S6-16:input</x:v>
      </x:c>
      <x:c r="E1188" s="10" t="str">
        <x:v>V-S6</x:v>
      </x:c>
      <x:c r="F1188" s="10" t="n">
        <x:v>1</x:v>
      </x:c>
      <x:c r="G1188" s="11" t="n">
        <x:v>0</x:v>
      </x:c>
      <x:c r="H1188" s="11" t="n">
        <x:v>6.466666666666667</x:v>
      </x:c>
      <x:c r="I1188" s="11" t="n">
        <x:f>H1188-G1188</x:f>
        <x:v>6.466666666666667</x:v>
      </x:c>
      <x:c r="J1188" s="10" t="str">
        <x:v>지금 가리키는 이 두 견적을 설치비는 제외하고 비교표로 만들어줘.</x:v>
      </x:c>
      <x:c r="K1188" s="10" t="str">
        <x:v>quote-L, quote-R의 설치비를 제외해 비교표 작성을 맡기겠습니다.</x:v>
      </x:c>
      <x:c r="L1188" s="11"/>
      <x:c r="M1188" s="11"/>
      <x:c r="N1188" s="10" t="str">
        <x:v>NOT_MODELED</x:v>
      </x:c>
    </x:row>
    <x:row r="1189" ht="85" customHeight="1">
      <x:c r="A1189" s="10" t="str">
        <x:v>V-R3</x:v>
      </x:c>
      <x:c r="B1189" s="10" t="str">
        <x:v>VOICE</x:v>
      </x:c>
      <x:c r="C1189" s="10" t="str">
        <x:v>VOICE:S6-16</x:v>
      </x:c>
      <x:c r="D1189" s="10" t="str">
        <x:v>VOICE:S6-16:input</x:v>
      </x:c>
      <x:c r="E1189" s="10" t="str">
        <x:v>V-S6</x:v>
      </x:c>
      <x:c r="F1189" s="10" t="n">
        <x:v>1</x:v>
      </x:c>
      <x:c r="G1189" s="11" t="n">
        <x:v>0</x:v>
      </x:c>
      <x:c r="H1189" s="11" t="n">
        <x:v>6.526666666666666</x:v>
      </x:c>
      <x:c r="I1189" s="11" t="n">
        <x:f>H1189-G1189</x:f>
        <x:v>6.526666666666666</x:v>
      </x:c>
      <x:c r="J1189" s="10" t="str">
        <x:v>지금 가리키는 이 두 견적을 설치비는 제외하고 비교표로 만들어줘.</x:v>
      </x:c>
      <x:c r="K1189" s="10" t="str">
        <x:v>quote-L, quote-R의 설치비를 제외해 비교표 작성을 맡기겠습니다.</x:v>
      </x:c>
      <x:c r="L1189" s="11"/>
      <x:c r="M1189" s="11"/>
      <x:c r="N1189" s="10" t="str">
        <x:v>NOT_MODELED</x:v>
      </x:c>
    </x:row>
    <x:row r="1190" ht="85" customHeight="1">
      <x:c r="A1190" s="10" t="str">
        <x:v>V-A</x:v>
      </x:c>
      <x:c r="B1190" s="10" t="str">
        <x:v>VOICE</x:v>
      </x:c>
      <x:c r="C1190" s="10" t="str">
        <x:v>VOICE:S6-17</x:v>
      </x:c>
      <x:c r="D1190" s="10" t="str">
        <x:v>VOICE:S6-17:input</x:v>
      </x:c>
      <x:c r="E1190" s="10" t="str">
        <x:v>V-S6</x:v>
      </x:c>
      <x:c r="F1190" s="10" t="n">
        <x:v>1</x:v>
      </x:c>
      <x:c r="G1190" s="11" t="n">
        <x:v>0</x:v>
      </x:c>
      <x:c r="H1190" s="11" t="n">
        <x:v>2.9666666666666663</x:v>
      </x:c>
      <x:c r="I1190" s="11" t="n">
        <x:f>H1190-G1190</x:f>
        <x:v>2.9666666666666663</x:v>
      </x:c>
      <x:c r="J1190" s="10" t="str">
        <x:v>지금 가리키는 이 두 견적을 설치비는 제외하고 비교표로 만들어줘.</x:v>
      </x:c>
      <x:c r="K1190" s="10" t="str">
        <x:v>quote-L, quote-R의 설치비를 제외해 비교표 작성을 맡기겠습니다.</x:v>
      </x:c>
      <x:c r="L1190" s="11"/>
      <x:c r="M1190" s="11"/>
      <x:c r="N1190" s="10" t="str">
        <x:v>NOT_MODELED</x:v>
      </x:c>
    </x:row>
    <x:row r="1191" ht="85" customHeight="1">
      <x:c r="A1191" s="10" t="str">
        <x:v>V-R1</x:v>
      </x:c>
      <x:c r="B1191" s="10" t="str">
        <x:v>VOICE</x:v>
      </x:c>
      <x:c r="C1191" s="10" t="str">
        <x:v>VOICE:S6-17</x:v>
      </x:c>
      <x:c r="D1191" s="10" t="str">
        <x:v>VOICE:S6-17:input</x:v>
      </x:c>
      <x:c r="E1191" s="10" t="str">
        <x:v>V-S6</x:v>
      </x:c>
      <x:c r="F1191" s="10" t="n">
        <x:v>1</x:v>
      </x:c>
      <x:c r="G1191" s="11" t="n">
        <x:v>0</x:v>
      </x:c>
      <x:c r="H1191" s="11" t="n">
        <x:v>6.466666666666667</x:v>
      </x:c>
      <x:c r="I1191" s="11" t="n">
        <x:f>H1191-G1191</x:f>
        <x:v>6.466666666666667</x:v>
      </x:c>
      <x:c r="J1191" s="10" t="str">
        <x:v>지금 가리키는 이 두 견적을 설치비는 제외하고 비교표로 만들어줘.</x:v>
      </x:c>
      <x:c r="K1191" s="10" t="str">
        <x:v>quote-L, quote-R의 설치비를 제외해 비교표 작성을 맡기겠습니다.</x:v>
      </x:c>
      <x:c r="L1191" s="11"/>
      <x:c r="M1191" s="11"/>
      <x:c r="N1191" s="10" t="str">
        <x:v>NOT_MODELED</x:v>
      </x:c>
    </x:row>
    <x:row r="1192" ht="85" customHeight="1">
      <x:c r="A1192" s="10" t="str">
        <x:v>V-R2</x:v>
      </x:c>
      <x:c r="B1192" s="10" t="str">
        <x:v>VOICE</x:v>
      </x:c>
      <x:c r="C1192" s="10" t="str">
        <x:v>VOICE:S6-17</x:v>
      </x:c>
      <x:c r="D1192" s="10" t="str">
        <x:v>VOICE:S6-17:input</x:v>
      </x:c>
      <x:c r="E1192" s="10" t="str">
        <x:v>V-S6</x:v>
      </x:c>
      <x:c r="F1192" s="10" t="n">
        <x:v>1</x:v>
      </x:c>
      <x:c r="G1192" s="11" t="n">
        <x:v>0</x:v>
      </x:c>
      <x:c r="H1192" s="11" t="n">
        <x:v>6.466666666666667</x:v>
      </x:c>
      <x:c r="I1192" s="11" t="n">
        <x:f>H1192-G1192</x:f>
        <x:v>6.466666666666667</x:v>
      </x:c>
      <x:c r="J1192" s="10" t="str">
        <x:v>지금 가리키는 이 두 견적을 설치비는 제외하고 비교표로 만들어줘.</x:v>
      </x:c>
      <x:c r="K1192" s="10" t="str">
        <x:v>quote-L, quote-R의 설치비를 제외해 비교표 작성을 맡기겠습니다.</x:v>
      </x:c>
      <x:c r="L1192" s="11"/>
      <x:c r="M1192" s="11"/>
      <x:c r="N1192" s="10" t="str">
        <x:v>NOT_MODELED</x:v>
      </x:c>
    </x:row>
    <x:row r="1193" ht="85" customHeight="1">
      <x:c r="A1193" s="10" t="str">
        <x:v>V-R3</x:v>
      </x:c>
      <x:c r="B1193" s="10" t="str">
        <x:v>VOICE</x:v>
      </x:c>
      <x:c r="C1193" s="10" t="str">
        <x:v>VOICE:S6-17</x:v>
      </x:c>
      <x:c r="D1193" s="10" t="str">
        <x:v>VOICE:S6-17:input</x:v>
      </x:c>
      <x:c r="E1193" s="10" t="str">
        <x:v>V-S6</x:v>
      </x:c>
      <x:c r="F1193" s="10" t="n">
        <x:v>1</x:v>
      </x:c>
      <x:c r="G1193" s="11" t="n">
        <x:v>0</x:v>
      </x:c>
      <x:c r="H1193" s="11" t="n">
        <x:v>6.526666666666666</x:v>
      </x:c>
      <x:c r="I1193" s="11" t="n">
        <x:f>H1193-G1193</x:f>
        <x:v>6.526666666666666</x:v>
      </x:c>
      <x:c r="J1193" s="10" t="str">
        <x:v>지금 가리키는 이 두 견적을 설치비는 제외하고 비교표로 만들어줘.</x:v>
      </x:c>
      <x:c r="K1193" s="10" t="str">
        <x:v>quote-L, quote-R의 설치비를 제외해 비교표 작성을 맡기겠습니다.</x:v>
      </x:c>
      <x:c r="L1193" s="11"/>
      <x:c r="M1193" s="11"/>
      <x:c r="N1193" s="10" t="str">
        <x:v>NOT_MODELED</x:v>
      </x:c>
    </x:row>
    <x:row r="1194" ht="85" customHeight="1">
      <x:c r="A1194" s="10" t="str">
        <x:v>V-A</x:v>
      </x:c>
      <x:c r="B1194" s="10" t="str">
        <x:v>VOICE</x:v>
      </x:c>
      <x:c r="C1194" s="10" t="str">
        <x:v>VOICE:S6-18</x:v>
      </x:c>
      <x:c r="D1194" s="10" t="str">
        <x:v>VOICE:S6-18:input</x:v>
      </x:c>
      <x:c r="E1194" s="10" t="str">
        <x:v>V-S6</x:v>
      </x:c>
      <x:c r="F1194" s="10" t="n">
        <x:v>1</x:v>
      </x:c>
      <x:c r="G1194" s="11" t="n">
        <x:v>0</x:v>
      </x:c>
      <x:c r="H1194" s="11" t="n">
        <x:v>2.9666666666666663</x:v>
      </x:c>
      <x:c r="I1194" s="11" t="n">
        <x:f>H1194-G1194</x:f>
        <x:v>2.9666666666666663</x:v>
      </x:c>
      <x:c r="J1194" s="10" t="str">
        <x:v>지금 가리키는 이 두 견적을 설치비는 제외하고 비교표로 만들어줘.</x:v>
      </x:c>
      <x:c r="K1194" s="10" t="str">
        <x:v>quote-L, quote-R의 설치비를 제외해 비교표 작성을 맡기겠습니다.</x:v>
      </x:c>
      <x:c r="L1194" s="11"/>
      <x:c r="M1194" s="11"/>
      <x:c r="N1194" s="10" t="str">
        <x:v>NOT_MODELED</x:v>
      </x:c>
    </x:row>
    <x:row r="1195" ht="85" customHeight="1">
      <x:c r="A1195" s="10" t="str">
        <x:v>V-R1</x:v>
      </x:c>
      <x:c r="B1195" s="10" t="str">
        <x:v>VOICE</x:v>
      </x:c>
      <x:c r="C1195" s="10" t="str">
        <x:v>VOICE:S6-18</x:v>
      </x:c>
      <x:c r="D1195" s="10" t="str">
        <x:v>VOICE:S6-18:input</x:v>
      </x:c>
      <x:c r="E1195" s="10" t="str">
        <x:v>V-S6</x:v>
      </x:c>
      <x:c r="F1195" s="10" t="n">
        <x:v>1</x:v>
      </x:c>
      <x:c r="G1195" s="11" t="n">
        <x:v>0</x:v>
      </x:c>
      <x:c r="H1195" s="11" t="n">
        <x:v>6.466666666666667</x:v>
      </x:c>
      <x:c r="I1195" s="11" t="n">
        <x:f>H1195-G1195</x:f>
        <x:v>6.466666666666667</x:v>
      </x:c>
      <x:c r="J1195" s="10" t="str">
        <x:v>지금 가리키는 이 두 견적을 설치비는 제외하고 비교표로 만들어줘.</x:v>
      </x:c>
      <x:c r="K1195" s="10" t="str">
        <x:v>quote-L, quote-R의 설치비를 제외해 비교표 작성을 맡기겠습니다.</x:v>
      </x:c>
      <x:c r="L1195" s="11"/>
      <x:c r="M1195" s="11"/>
      <x:c r="N1195" s="10" t="str">
        <x:v>NOT_MODELED</x:v>
      </x:c>
    </x:row>
    <x:row r="1196" ht="85" customHeight="1">
      <x:c r="A1196" s="10" t="str">
        <x:v>V-R2</x:v>
      </x:c>
      <x:c r="B1196" s="10" t="str">
        <x:v>VOICE</x:v>
      </x:c>
      <x:c r="C1196" s="10" t="str">
        <x:v>VOICE:S6-18</x:v>
      </x:c>
      <x:c r="D1196" s="10" t="str">
        <x:v>VOICE:S6-18:input</x:v>
      </x:c>
      <x:c r="E1196" s="10" t="str">
        <x:v>V-S6</x:v>
      </x:c>
      <x:c r="F1196" s="10" t="n">
        <x:v>1</x:v>
      </x:c>
      <x:c r="G1196" s="11" t="n">
        <x:v>0</x:v>
      </x:c>
      <x:c r="H1196" s="11" t="n">
        <x:v>6.466666666666667</x:v>
      </x:c>
      <x:c r="I1196" s="11" t="n">
        <x:f>H1196-G1196</x:f>
        <x:v>6.466666666666667</x:v>
      </x:c>
      <x:c r="J1196" s="10" t="str">
        <x:v>지금 가리키는 이 두 견적을 설치비는 제외하고 비교표로 만들어줘.</x:v>
      </x:c>
      <x:c r="K1196" s="10" t="str">
        <x:v>quote-L, quote-R의 설치비를 제외해 비교표 작성을 맡기겠습니다.</x:v>
      </x:c>
      <x:c r="L1196" s="11"/>
      <x:c r="M1196" s="11"/>
      <x:c r="N1196" s="10" t="str">
        <x:v>NOT_MODELED</x:v>
      </x:c>
    </x:row>
    <x:row r="1197" ht="85" customHeight="1">
      <x:c r="A1197" s="10" t="str">
        <x:v>V-R3</x:v>
      </x:c>
      <x:c r="B1197" s="10" t="str">
        <x:v>VOICE</x:v>
      </x:c>
      <x:c r="C1197" s="10" t="str">
        <x:v>VOICE:S6-18</x:v>
      </x:c>
      <x:c r="D1197" s="10" t="str">
        <x:v>VOICE:S6-18:input</x:v>
      </x:c>
      <x:c r="E1197" s="10" t="str">
        <x:v>V-S6</x:v>
      </x:c>
      <x:c r="F1197" s="10" t="n">
        <x:v>1</x:v>
      </x:c>
      <x:c r="G1197" s="11" t="n">
        <x:v>0</x:v>
      </x:c>
      <x:c r="H1197" s="11" t="n">
        <x:v>6.526666666666666</x:v>
      </x:c>
      <x:c r="I1197" s="11" t="n">
        <x:f>H1197-G1197</x:f>
        <x:v>6.526666666666666</x:v>
      </x:c>
      <x:c r="J1197" s="10" t="str">
        <x:v>지금 가리키는 이 두 견적을 설치비는 제외하고 비교표로 만들어줘.</x:v>
      </x:c>
      <x:c r="K1197" s="10" t="str">
        <x:v>quote-L, quote-R의 설치비를 제외해 비교표 작성을 맡기겠습니다.</x:v>
      </x:c>
      <x:c r="L1197" s="11"/>
      <x:c r="M1197" s="11"/>
      <x:c r="N1197" s="10" t="str">
        <x:v>NOT_MODELED</x:v>
      </x:c>
    </x:row>
    <x:row r="1198" ht="85" customHeight="1">
      <x:c r="A1198" s="10" t="str">
        <x:v>V-A</x:v>
      </x:c>
      <x:c r="B1198" s="10" t="str">
        <x:v>VOICE</x:v>
      </x:c>
      <x:c r="C1198" s="10" t="str">
        <x:v>VOICE:S6-19</x:v>
      </x:c>
      <x:c r="D1198" s="10" t="str">
        <x:v>VOICE:S6-19:input</x:v>
      </x:c>
      <x:c r="E1198" s="10" t="str">
        <x:v>V-S6</x:v>
      </x:c>
      <x:c r="F1198" s="10" t="n">
        <x:v>1</x:v>
      </x:c>
      <x:c r="G1198" s="11" t="n">
        <x:v>0</x:v>
      </x:c>
      <x:c r="H1198" s="11" t="n">
        <x:v>2.9666666666666663</x:v>
      </x:c>
      <x:c r="I1198" s="11" t="n">
        <x:f>H1198-G1198</x:f>
        <x:v>2.9666666666666663</x:v>
      </x:c>
      <x:c r="J1198" s="10" t="str">
        <x:v>지금 가리키는 이 두 견적을 설치비는 제외하고 비교표로 만들어줘.</x:v>
      </x:c>
      <x:c r="K1198" s="10" t="str">
        <x:v>quote-L, quote-R의 설치비를 제외해 비교표 작성을 맡기겠습니다.</x:v>
      </x:c>
      <x:c r="L1198" s="11"/>
      <x:c r="M1198" s="11"/>
      <x:c r="N1198" s="10" t="str">
        <x:v>NOT_MODELED</x:v>
      </x:c>
    </x:row>
    <x:row r="1199" ht="85" customHeight="1">
      <x:c r="A1199" s="10" t="str">
        <x:v>V-R1</x:v>
      </x:c>
      <x:c r="B1199" s="10" t="str">
        <x:v>VOICE</x:v>
      </x:c>
      <x:c r="C1199" s="10" t="str">
        <x:v>VOICE:S6-19</x:v>
      </x:c>
      <x:c r="D1199" s="10" t="str">
        <x:v>VOICE:S6-19:input</x:v>
      </x:c>
      <x:c r="E1199" s="10" t="str">
        <x:v>V-S6</x:v>
      </x:c>
      <x:c r="F1199" s="10" t="n">
        <x:v>1</x:v>
      </x:c>
      <x:c r="G1199" s="11" t="n">
        <x:v>0</x:v>
      </x:c>
      <x:c r="H1199" s="11" t="n">
        <x:v>6.466666666666667</x:v>
      </x:c>
      <x:c r="I1199" s="11" t="n">
        <x:f>H1199-G1199</x:f>
        <x:v>6.466666666666667</x:v>
      </x:c>
      <x:c r="J1199" s="10" t="str">
        <x:v>지금 가리키는 이 두 견적을 설치비는 제외하고 비교표로 만들어줘.</x:v>
      </x:c>
      <x:c r="K1199" s="10" t="str">
        <x:v>quote-L, quote-R의 설치비를 제외해 비교표 작성을 맡기겠습니다.</x:v>
      </x:c>
      <x:c r="L1199" s="11"/>
      <x:c r="M1199" s="11"/>
      <x:c r="N1199" s="10" t="str">
        <x:v>NOT_MODELED</x:v>
      </x:c>
    </x:row>
    <x:row r="1200" ht="85" customHeight="1">
      <x:c r="A1200" s="10" t="str">
        <x:v>V-R2</x:v>
      </x:c>
      <x:c r="B1200" s="10" t="str">
        <x:v>VOICE</x:v>
      </x:c>
      <x:c r="C1200" s="10" t="str">
        <x:v>VOICE:S6-19</x:v>
      </x:c>
      <x:c r="D1200" s="10" t="str">
        <x:v>VOICE:S6-19:input</x:v>
      </x:c>
      <x:c r="E1200" s="10" t="str">
        <x:v>V-S6</x:v>
      </x:c>
      <x:c r="F1200" s="10" t="n">
        <x:v>1</x:v>
      </x:c>
      <x:c r="G1200" s="11" t="n">
        <x:v>0</x:v>
      </x:c>
      <x:c r="H1200" s="11" t="n">
        <x:v>6.466666666666667</x:v>
      </x:c>
      <x:c r="I1200" s="11" t="n">
        <x:f>H1200-G1200</x:f>
        <x:v>6.466666666666667</x:v>
      </x:c>
      <x:c r="J1200" s="10" t="str">
        <x:v>지금 가리키는 이 두 견적을 설치비는 제외하고 비교표로 만들어줘.</x:v>
      </x:c>
      <x:c r="K1200" s="10" t="str">
        <x:v>quote-L, quote-R의 설치비를 제외해 비교표 작성을 맡기겠습니다.</x:v>
      </x:c>
      <x:c r="L1200" s="11"/>
      <x:c r="M1200" s="11"/>
      <x:c r="N1200" s="10" t="str">
        <x:v>NOT_MODELED</x:v>
      </x:c>
    </x:row>
    <x:row r="1201" ht="85" customHeight="1">
      <x:c r="A1201" s="10" t="str">
        <x:v>V-R3</x:v>
      </x:c>
      <x:c r="B1201" s="10" t="str">
        <x:v>VOICE</x:v>
      </x:c>
      <x:c r="C1201" s="10" t="str">
        <x:v>VOICE:S6-19</x:v>
      </x:c>
      <x:c r="D1201" s="10" t="str">
        <x:v>VOICE:S6-19:input</x:v>
      </x:c>
      <x:c r="E1201" s="10" t="str">
        <x:v>V-S6</x:v>
      </x:c>
      <x:c r="F1201" s="10" t="n">
        <x:v>1</x:v>
      </x:c>
      <x:c r="G1201" s="11" t="n">
        <x:v>0</x:v>
      </x:c>
      <x:c r="H1201" s="11" t="n">
        <x:v>6.526666666666666</x:v>
      </x:c>
      <x:c r="I1201" s="11" t="n">
        <x:f>H1201-G1201</x:f>
        <x:v>6.526666666666666</x:v>
      </x:c>
      <x:c r="J1201" s="10" t="str">
        <x:v>지금 가리키는 이 두 견적을 설치비는 제외하고 비교표로 만들어줘.</x:v>
      </x:c>
      <x:c r="K1201" s="10" t="str">
        <x:v>quote-L, quote-R의 설치비를 제외해 비교표 작성을 맡기겠습니다.</x:v>
      </x:c>
      <x:c r="L1201" s="11"/>
      <x:c r="M1201" s="11"/>
      <x:c r="N1201" s="10" t="str">
        <x:v>NOT_MODELED</x:v>
      </x:c>
    </x:row>
    <x:row r="1202" ht="85" customHeight="1">
      <x:c r="A1202" s="10" t="str">
        <x:v>V-A</x:v>
      </x:c>
      <x:c r="B1202" s="10" t="str">
        <x:v>VOICE</x:v>
      </x:c>
      <x:c r="C1202" s="10" t="str">
        <x:v>VOICE:S6-20</x:v>
      </x:c>
      <x:c r="D1202" s="10" t="str">
        <x:v>VOICE:S6-20:input</x:v>
      </x:c>
      <x:c r="E1202" s="10" t="str">
        <x:v>V-S6</x:v>
      </x:c>
      <x:c r="F1202" s="10" t="n">
        <x:v>1</x:v>
      </x:c>
      <x:c r="G1202" s="11" t="n">
        <x:v>0</x:v>
      </x:c>
      <x:c r="H1202" s="11" t="n">
        <x:v>2.9666666666666663</x:v>
      </x:c>
      <x:c r="I1202" s="11" t="n">
        <x:f>H1202-G1202</x:f>
        <x:v>2.9666666666666663</x:v>
      </x:c>
      <x:c r="J1202" s="10" t="str">
        <x:v>지금 가리키는 이 두 견적을 설치비는 제외하고 비교표로 만들어줘.</x:v>
      </x:c>
      <x:c r="K1202" s="10" t="str">
        <x:v>quote-L, quote-R의 설치비를 제외해 비교표 작성을 맡기겠습니다.</x:v>
      </x:c>
      <x:c r="L1202" s="11"/>
      <x:c r="M1202" s="11"/>
      <x:c r="N1202" s="10" t="str">
        <x:v>NOT_MODELED</x:v>
      </x:c>
    </x:row>
    <x:row r="1203" ht="85" customHeight="1">
      <x:c r="A1203" s="10" t="str">
        <x:v>V-R1</x:v>
      </x:c>
      <x:c r="B1203" s="10" t="str">
        <x:v>VOICE</x:v>
      </x:c>
      <x:c r="C1203" s="10" t="str">
        <x:v>VOICE:S6-20</x:v>
      </x:c>
      <x:c r="D1203" s="10" t="str">
        <x:v>VOICE:S6-20:input</x:v>
      </x:c>
      <x:c r="E1203" s="10" t="str">
        <x:v>V-S6</x:v>
      </x:c>
      <x:c r="F1203" s="10" t="n">
        <x:v>1</x:v>
      </x:c>
      <x:c r="G1203" s="11" t="n">
        <x:v>0</x:v>
      </x:c>
      <x:c r="H1203" s="11" t="n">
        <x:v>6.466666666666667</x:v>
      </x:c>
      <x:c r="I1203" s="11" t="n">
        <x:f>H1203-G1203</x:f>
        <x:v>6.466666666666667</x:v>
      </x:c>
      <x:c r="J1203" s="10" t="str">
        <x:v>지금 가리키는 이 두 견적을 설치비는 제외하고 비교표로 만들어줘.</x:v>
      </x:c>
      <x:c r="K1203" s="10" t="str">
        <x:v>quote-L, quote-R의 설치비를 제외해 비교표 작성을 맡기겠습니다.</x:v>
      </x:c>
      <x:c r="L1203" s="11"/>
      <x:c r="M1203" s="11"/>
      <x:c r="N1203" s="10" t="str">
        <x:v>NOT_MODELED</x:v>
      </x:c>
    </x:row>
    <x:row r="1204" ht="85" customHeight="1">
      <x:c r="A1204" s="10" t="str">
        <x:v>V-R2</x:v>
      </x:c>
      <x:c r="B1204" s="10" t="str">
        <x:v>VOICE</x:v>
      </x:c>
      <x:c r="C1204" s="10" t="str">
        <x:v>VOICE:S6-20</x:v>
      </x:c>
      <x:c r="D1204" s="10" t="str">
        <x:v>VOICE:S6-20:input</x:v>
      </x:c>
      <x:c r="E1204" s="10" t="str">
        <x:v>V-S6</x:v>
      </x:c>
      <x:c r="F1204" s="10" t="n">
        <x:v>1</x:v>
      </x:c>
      <x:c r="G1204" s="11" t="n">
        <x:v>0</x:v>
      </x:c>
      <x:c r="H1204" s="11" t="n">
        <x:v>6.466666666666667</x:v>
      </x:c>
      <x:c r="I1204" s="11" t="n">
        <x:f>H1204-G1204</x:f>
        <x:v>6.466666666666667</x:v>
      </x:c>
      <x:c r="J1204" s="10" t="str">
        <x:v>지금 가리키는 이 두 견적을 설치비는 제외하고 비교표로 만들어줘.</x:v>
      </x:c>
      <x:c r="K1204" s="10" t="str">
        <x:v>quote-L, quote-R의 설치비를 제외해 비교표 작성을 맡기겠습니다.</x:v>
      </x:c>
      <x:c r="L1204" s="11"/>
      <x:c r="M1204" s="11"/>
      <x:c r="N1204" s="10" t="str">
        <x:v>NOT_MODELED</x:v>
      </x:c>
    </x:row>
    <x:row r="1205" ht="85" customHeight="1">
      <x:c r="A1205" s="10" t="str">
        <x:v>V-R3</x:v>
      </x:c>
      <x:c r="B1205" s="10" t="str">
        <x:v>VOICE</x:v>
      </x:c>
      <x:c r="C1205" s="10" t="str">
        <x:v>VOICE:S6-20</x:v>
      </x:c>
      <x:c r="D1205" s="10" t="str">
        <x:v>VOICE:S6-20:input</x:v>
      </x:c>
      <x:c r="E1205" s="10" t="str">
        <x:v>V-S6</x:v>
      </x:c>
      <x:c r="F1205" s="10" t="n">
        <x:v>1</x:v>
      </x:c>
      <x:c r="G1205" s="11" t="n">
        <x:v>0</x:v>
      </x:c>
      <x:c r="H1205" s="11" t="n">
        <x:v>6.526666666666666</x:v>
      </x:c>
      <x:c r="I1205" s="11" t="n">
        <x:f>H1205-G1205</x:f>
        <x:v>6.526666666666666</x:v>
      </x:c>
      <x:c r="J1205" s="10" t="str">
        <x:v>지금 가리키는 이 두 견적을 설치비는 제외하고 비교표로 만들어줘.</x:v>
      </x:c>
      <x:c r="K1205" s="10" t="str">
        <x:v>quote-L, quote-R의 설치비를 제외해 비교표 작성을 맡기겠습니다.</x:v>
      </x:c>
      <x:c r="L1205" s="11"/>
      <x:c r="M1205" s="11"/>
      <x:c r="N1205" s="10" t="str">
        <x:v>NOT_MODELED</x:v>
      </x:c>
    </x:row>
    <x:row r="1206" ht="85" customHeight="1">
      <x:c r="A1206" s="10" t="str">
        <x:v>D-A</x:v>
      </x:c>
      <x:c r="B1206" s="10" t="str">
        <x:v>DELIVERY</x:v>
      </x:c>
      <x:c r="C1206" s="10" t="str">
        <x:v>DELIVERY:S01-01</x:v>
      </x:c>
      <x:c r="D1206" s="10" t="str">
        <x:v>DELIVERY:S01-01:input</x:v>
      </x:c>
      <x:c r="E1206" s="10" t="str">
        <x:v>D-S01</x:v>
      </x:c>
      <x:c r="F1206" s="10" t="n">
        <x:v>1</x:v>
      </x:c>
      <x:c r="G1206" s="11" t="n">
        <x:v>0</x:v>
      </x:c>
      <x:c r="H1206" s="11" t="n">
        <x:v>0.908333333</x:v>
      </x:c>
      <x:c r="I1206" s="11" t="n">
        <x:f>H1206-G1206</x:f>
        <x:v>0.908333333</x:v>
      </x:c>
      <x:c r="J1206" s="10" t="str">
        <x:v>현재 보고서 처리 상태를 짧게 읽어줘.</x:v>
      </x:c>
      <x:c r="K1206" s="10" t="str">
        <x:v>보고서 요약은 완료됐고, 검토가 필요합니다.</x:v>
      </x:c>
      <x:c r="L1206" s="11" t="n">
        <x:v>1.313</x:v>
      </x:c>
      <x:c r="M1206" s="11" t="n">
        <x:f>L1206-G1206</x:f>
        <x:v>1.313</x:v>
      </x:c>
      <x:c r="N1206" s="10" t="str">
        <x:v>AUTHORED_AVAILABLE</x:v>
      </x:c>
    </x:row>
    <x:row r="1207" ht="85" customHeight="1">
      <x:c r="A1207" s="10" t="str">
        <x:v>D-B</x:v>
      </x:c>
      <x:c r="B1207" s="10" t="str">
        <x:v>DELIVERY</x:v>
      </x:c>
      <x:c r="C1207" s="10" t="str">
        <x:v>DELIVERY:S01-01</x:v>
      </x:c>
      <x:c r="D1207" s="10" t="str">
        <x:v>DELIVERY:S01-01:input</x:v>
      </x:c>
      <x:c r="E1207" s="10" t="str">
        <x:v>D-S01</x:v>
      </x:c>
      <x:c r="F1207" s="10" t="n">
        <x:v>1</x:v>
      </x:c>
      <x:c r="G1207" s="11" t="n">
        <x:v>0</x:v>
      </x:c>
      <x:c r="H1207" s="11" t="n">
        <x:v>0.908333333</x:v>
      </x:c>
      <x:c r="I1207" s="11" t="n">
        <x:f>H1207-G1207</x:f>
        <x:v>0.908333333</x:v>
      </x:c>
      <x:c r="J1207" s="10" t="str">
        <x:v>현재 보고서 처리 상태를 짧게 읽어줘.</x:v>
      </x:c>
      <x:c r="K1207" s="10" t="str">
        <x:v>보고서 요약은 완료됐고, 검토가 필요합니다.</x:v>
      </x:c>
      <x:c r="L1207" s="11" t="n">
        <x:v>1.313</x:v>
      </x:c>
      <x:c r="M1207" s="11" t="n">
        <x:f>L1207-G1207</x:f>
        <x:v>1.313</x:v>
      </x:c>
      <x:c r="N1207" s="10" t="str">
        <x:v>AUTHORED_AVAILABLE</x:v>
      </x:c>
    </x:row>
    <x:row r="1208" ht="85" customHeight="1">
      <x:c r="A1208" s="10" t="str">
        <x:v>D-A</x:v>
      </x:c>
      <x:c r="B1208" s="10" t="str">
        <x:v>DELIVERY</x:v>
      </x:c>
      <x:c r="C1208" s="10" t="str">
        <x:v>DELIVERY:S01-02</x:v>
      </x:c>
      <x:c r="D1208" s="10" t="str">
        <x:v>DELIVERY:S01-02:input</x:v>
      </x:c>
      <x:c r="E1208" s="10" t="str">
        <x:v>D-S01</x:v>
      </x:c>
      <x:c r="F1208" s="10" t="n">
        <x:v>1</x:v>
      </x:c>
      <x:c r="G1208" s="11" t="n">
        <x:v>0</x:v>
      </x:c>
      <x:c r="H1208" s="11" t="n">
        <x:v>0.936666667</x:v>
      </x:c>
      <x:c r="I1208" s="11" t="n">
        <x:f>H1208-G1208</x:f>
        <x:v>0.936666667</x:v>
      </x:c>
      <x:c r="J1208" s="10" t="str">
        <x:v>현재 보고서 처리 상태를 짧게 읽어줘.</x:v>
      </x:c>
      <x:c r="K1208" s="10" t="str">
        <x:v>보고서 요약은 완료됐고, 검토가 필요합니다.</x:v>
      </x:c>
      <x:c r="L1208" s="11" t="n">
        <x:v>1.341333334</x:v>
      </x:c>
      <x:c r="M1208" s="11" t="n">
        <x:f>L1208-G1208</x:f>
        <x:v>1.341333334</x:v>
      </x:c>
      <x:c r="N1208" s="10" t="str">
        <x:v>AUTHORED_AVAILABLE</x:v>
      </x:c>
    </x:row>
    <x:row r="1209" ht="85" customHeight="1">
      <x:c r="A1209" s="10" t="str">
        <x:v>D-B</x:v>
      </x:c>
      <x:c r="B1209" s="10" t="str">
        <x:v>DELIVERY</x:v>
      </x:c>
      <x:c r="C1209" s="10" t="str">
        <x:v>DELIVERY:S01-02</x:v>
      </x:c>
      <x:c r="D1209" s="10" t="str">
        <x:v>DELIVERY:S01-02:input</x:v>
      </x:c>
      <x:c r="E1209" s="10" t="str">
        <x:v>D-S01</x:v>
      </x:c>
      <x:c r="F1209" s="10" t="n">
        <x:v>1</x:v>
      </x:c>
      <x:c r="G1209" s="11" t="n">
        <x:v>0</x:v>
      </x:c>
      <x:c r="H1209" s="11" t="n">
        <x:v>0.936666667</x:v>
      </x:c>
      <x:c r="I1209" s="11" t="n">
        <x:f>H1209-G1209</x:f>
        <x:v>0.936666667</x:v>
      </x:c>
      <x:c r="J1209" s="10" t="str">
        <x:v>현재 보고서 처리 상태를 짧게 읽어줘.</x:v>
      </x:c>
      <x:c r="K1209" s="10" t="str">
        <x:v>보고서 요약은 완료됐고, 검토가 필요합니다.</x:v>
      </x:c>
      <x:c r="L1209" s="11" t="n">
        <x:v>1.341333334</x:v>
      </x:c>
      <x:c r="M1209" s="11" t="n">
        <x:f>L1209-G1209</x:f>
        <x:v>1.341333334</x:v>
      </x:c>
      <x:c r="N1209" s="10" t="str">
        <x:v>AUTHORED_AVAILABLE</x:v>
      </x:c>
    </x:row>
    <x:row r="1210" ht="85" customHeight="1">
      <x:c r="A1210" s="10" t="str">
        <x:v>D-A</x:v>
      </x:c>
      <x:c r="B1210" s="10" t="str">
        <x:v>DELIVERY</x:v>
      </x:c>
      <x:c r="C1210" s="10" t="str">
        <x:v>DELIVERY:S01-03</x:v>
      </x:c>
      <x:c r="D1210" s="10" t="str">
        <x:v>DELIVERY:S01-03:input</x:v>
      </x:c>
      <x:c r="E1210" s="10" t="str">
        <x:v>D-S01</x:v>
      </x:c>
      <x:c r="F1210" s="10" t="n">
        <x:v>1</x:v>
      </x:c>
      <x:c r="G1210" s="11" t="n">
        <x:v>0</x:v>
      </x:c>
      <x:c r="H1210" s="11" t="n">
        <x:v>0.89</x:v>
      </x:c>
      <x:c r="I1210" s="11" t="n">
        <x:f>H1210-G1210</x:f>
        <x:v>0.89</x:v>
      </x:c>
      <x:c r="J1210" s="10" t="str">
        <x:v>현재 보고서 처리 상태를 짧게 읽어줘.</x:v>
      </x:c>
      <x:c r="K1210" s="10" t="str">
        <x:v>보고서 요약은 완료됐고, 검토가 필요합니다.</x:v>
      </x:c>
      <x:c r="L1210" s="11" t="n">
        <x:v>1.294666667</x:v>
      </x:c>
      <x:c r="M1210" s="11" t="n">
        <x:f>L1210-G1210</x:f>
        <x:v>1.294666667</x:v>
      </x:c>
      <x:c r="N1210" s="10" t="str">
        <x:v>AUTHORED_AVAILABLE</x:v>
      </x:c>
    </x:row>
    <x:row r="1211" ht="85" customHeight="1">
      <x:c r="A1211" s="10" t="str">
        <x:v>D-B</x:v>
      </x:c>
      <x:c r="B1211" s="10" t="str">
        <x:v>DELIVERY</x:v>
      </x:c>
      <x:c r="C1211" s="10" t="str">
        <x:v>DELIVERY:S01-03</x:v>
      </x:c>
      <x:c r="D1211" s="10" t="str">
        <x:v>DELIVERY:S01-03:input</x:v>
      </x:c>
      <x:c r="E1211" s="10" t="str">
        <x:v>D-S01</x:v>
      </x:c>
      <x:c r="F1211" s="10" t="n">
        <x:v>1</x:v>
      </x:c>
      <x:c r="G1211" s="11" t="n">
        <x:v>0</x:v>
      </x:c>
      <x:c r="H1211" s="11" t="n">
        <x:v>0.89</x:v>
      </x:c>
      <x:c r="I1211" s="11" t="n">
        <x:f>H1211-G1211</x:f>
        <x:v>0.89</x:v>
      </x:c>
      <x:c r="J1211" s="10" t="str">
        <x:v>현재 보고서 처리 상태를 짧게 읽어줘.</x:v>
      </x:c>
      <x:c r="K1211" s="10" t="str">
        <x:v>보고서 요약은 완료됐고, 검토가 필요합니다.</x:v>
      </x:c>
      <x:c r="L1211" s="11" t="n">
        <x:v>1.294666667</x:v>
      </x:c>
      <x:c r="M1211" s="11" t="n">
        <x:f>L1211-G1211</x:f>
        <x:v>1.294666667</x:v>
      </x:c>
      <x:c r="N1211" s="10" t="str">
        <x:v>AUTHORED_AVAILABLE</x:v>
      </x:c>
    </x:row>
    <x:row r="1212" ht="85" customHeight="1">
      <x:c r="A1212" s="10" t="str">
        <x:v>D-A</x:v>
      </x:c>
      <x:c r="B1212" s="10" t="str">
        <x:v>DELIVERY</x:v>
      </x:c>
      <x:c r="C1212" s="10" t="str">
        <x:v>DELIVERY:S01-04</x:v>
      </x:c>
      <x:c r="D1212" s="10" t="str">
        <x:v>DELIVERY:S01-04:input</x:v>
      </x:c>
      <x:c r="E1212" s="10" t="str">
        <x:v>D-S01</x:v>
      </x:c>
      <x:c r="F1212" s="10" t="n">
        <x:v>1</x:v>
      </x:c>
      <x:c r="G1212" s="11" t="n">
        <x:v>0</x:v>
      </x:c>
      <x:c r="H1212" s="11" t="n">
        <x:v>0.918333333</x:v>
      </x:c>
      <x:c r="I1212" s="11" t="n">
        <x:f>H1212-G1212</x:f>
        <x:v>0.918333333</x:v>
      </x:c>
      <x:c r="J1212" s="10" t="str">
        <x:v>현재 보고서 처리 상태를 짧게 읽어줘.</x:v>
      </x:c>
      <x:c r="K1212" s="10" t="str">
        <x:v>보고서 요약은 완료됐고, 검토가 필요합니다.</x:v>
      </x:c>
      <x:c r="L1212" s="11" t="n">
        <x:v>1.323</x:v>
      </x:c>
      <x:c r="M1212" s="11" t="n">
        <x:f>L1212-G1212</x:f>
        <x:v>1.323</x:v>
      </x:c>
      <x:c r="N1212" s="10" t="str">
        <x:v>AUTHORED_AVAILABLE</x:v>
      </x:c>
    </x:row>
    <x:row r="1213" ht="85" customHeight="1">
      <x:c r="A1213" s="10" t="str">
        <x:v>D-B</x:v>
      </x:c>
      <x:c r="B1213" s="10" t="str">
        <x:v>DELIVERY</x:v>
      </x:c>
      <x:c r="C1213" s="10" t="str">
        <x:v>DELIVERY:S01-04</x:v>
      </x:c>
      <x:c r="D1213" s="10" t="str">
        <x:v>DELIVERY:S01-04:input</x:v>
      </x:c>
      <x:c r="E1213" s="10" t="str">
        <x:v>D-S01</x:v>
      </x:c>
      <x:c r="F1213" s="10" t="n">
        <x:v>1</x:v>
      </x:c>
      <x:c r="G1213" s="11" t="n">
        <x:v>0</x:v>
      </x:c>
      <x:c r="H1213" s="11" t="n">
        <x:v>0.918333333</x:v>
      </x:c>
      <x:c r="I1213" s="11" t="n">
        <x:f>H1213-G1213</x:f>
        <x:v>0.918333333</x:v>
      </x:c>
      <x:c r="J1213" s="10" t="str">
        <x:v>현재 보고서 처리 상태를 짧게 읽어줘.</x:v>
      </x:c>
      <x:c r="K1213" s="10" t="str">
        <x:v>보고서 요약은 완료됐고, 검토가 필요합니다.</x:v>
      </x:c>
      <x:c r="L1213" s="11" t="n">
        <x:v>1.323</x:v>
      </x:c>
      <x:c r="M1213" s="11" t="n">
        <x:f>L1213-G1213</x:f>
        <x:v>1.323</x:v>
      </x:c>
      <x:c r="N1213" s="10" t="str">
        <x:v>AUTHORED_AVAILABLE</x:v>
      </x:c>
    </x:row>
    <x:row r="1214" ht="85" customHeight="1">
      <x:c r="A1214" s="10" t="str">
        <x:v>D-A</x:v>
      </x:c>
      <x:c r="B1214" s="10" t="str">
        <x:v>DELIVERY</x:v>
      </x:c>
      <x:c r="C1214" s="10" t="str">
        <x:v>DELIVERY:S01-05</x:v>
      </x:c>
      <x:c r="D1214" s="10" t="str">
        <x:v>DELIVERY:S01-05:input</x:v>
      </x:c>
      <x:c r="E1214" s="10" t="str">
        <x:v>D-S01</x:v>
      </x:c>
      <x:c r="F1214" s="10" t="n">
        <x:v>1</x:v>
      </x:c>
      <x:c r="G1214" s="11" t="n">
        <x:v>0</x:v>
      </x:c>
      <x:c r="H1214" s="11" t="n">
        <x:v>0.946666667</x:v>
      </x:c>
      <x:c r="I1214" s="11" t="n">
        <x:f>H1214-G1214</x:f>
        <x:v>0.946666667</x:v>
      </x:c>
      <x:c r="J1214" s="10" t="str">
        <x:v>현재 보고서 처리 상태를 짧게 읽어줘.</x:v>
      </x:c>
      <x:c r="K1214" s="10" t="str">
        <x:v>보고서 요약은 완료됐고, 검토가 필요합니다.</x:v>
      </x:c>
      <x:c r="L1214" s="11" t="n">
        <x:v>1.351333334</x:v>
      </x:c>
      <x:c r="M1214" s="11" t="n">
        <x:f>L1214-G1214</x:f>
        <x:v>1.351333334</x:v>
      </x:c>
      <x:c r="N1214" s="10" t="str">
        <x:v>AUTHORED_AVAILABLE</x:v>
      </x:c>
    </x:row>
    <x:row r="1215" ht="85" customHeight="1">
      <x:c r="A1215" s="10" t="str">
        <x:v>D-B</x:v>
      </x:c>
      <x:c r="B1215" s="10" t="str">
        <x:v>DELIVERY</x:v>
      </x:c>
      <x:c r="C1215" s="10" t="str">
        <x:v>DELIVERY:S01-05</x:v>
      </x:c>
      <x:c r="D1215" s="10" t="str">
        <x:v>DELIVERY:S01-05:input</x:v>
      </x:c>
      <x:c r="E1215" s="10" t="str">
        <x:v>D-S01</x:v>
      </x:c>
      <x:c r="F1215" s="10" t="n">
        <x:v>1</x:v>
      </x:c>
      <x:c r="G1215" s="11" t="n">
        <x:v>0</x:v>
      </x:c>
      <x:c r="H1215" s="11" t="n">
        <x:v>0.946666667</x:v>
      </x:c>
      <x:c r="I1215" s="11" t="n">
        <x:f>H1215-G1215</x:f>
        <x:v>0.946666667</x:v>
      </x:c>
      <x:c r="J1215" s="10" t="str">
        <x:v>현재 보고서 처리 상태를 짧게 읽어줘.</x:v>
      </x:c>
      <x:c r="K1215" s="10" t="str">
        <x:v>보고서 요약은 완료됐고, 검토가 필요합니다.</x:v>
      </x:c>
      <x:c r="L1215" s="11" t="n">
        <x:v>1.351333334</x:v>
      </x:c>
      <x:c r="M1215" s="11" t="n">
        <x:f>L1215-G1215</x:f>
        <x:v>1.351333334</x:v>
      </x:c>
      <x:c r="N1215" s="10" t="str">
        <x:v>AUTHORED_AVAILABLE</x:v>
      </x:c>
    </x:row>
    <x:row r="1216" ht="85" customHeight="1">
      <x:c r="A1216" s="10" t="str">
        <x:v>D-A</x:v>
      </x:c>
      <x:c r="B1216" s="10" t="str">
        <x:v>DELIVERY</x:v>
      </x:c>
      <x:c r="C1216" s="10" t="str">
        <x:v>DELIVERY:S01-06</x:v>
      </x:c>
      <x:c r="D1216" s="10" t="str">
        <x:v>DELIVERY:S01-06:input</x:v>
      </x:c>
      <x:c r="E1216" s="10" t="str">
        <x:v>D-S01</x:v>
      </x:c>
      <x:c r="F1216" s="10" t="n">
        <x:v>1</x:v>
      </x:c>
      <x:c r="G1216" s="11" t="n">
        <x:v>0</x:v>
      </x:c>
      <x:c r="H1216" s="11" t="n">
        <x:v>0.9</x:v>
      </x:c>
      <x:c r="I1216" s="11" t="n">
        <x:f>H1216-G1216</x:f>
        <x:v>0.9</x:v>
      </x:c>
      <x:c r="J1216" s="10" t="str">
        <x:v>현재 보고서 처리 상태를 짧게 읽어줘.</x:v>
      </x:c>
      <x:c r="K1216" s="10" t="str">
        <x:v>보고서 요약은 완료됐고, 검토가 필요합니다.</x:v>
      </x:c>
      <x:c r="L1216" s="11" t="n">
        <x:v>1.304666667</x:v>
      </x:c>
      <x:c r="M1216" s="11" t="n">
        <x:f>L1216-G1216</x:f>
        <x:v>1.304666667</x:v>
      </x:c>
      <x:c r="N1216" s="10" t="str">
        <x:v>AUTHORED_AVAILABLE</x:v>
      </x:c>
    </x:row>
    <x:row r="1217" ht="85" customHeight="1">
      <x:c r="A1217" s="10" t="str">
        <x:v>D-B</x:v>
      </x:c>
      <x:c r="B1217" s="10" t="str">
        <x:v>DELIVERY</x:v>
      </x:c>
      <x:c r="C1217" s="10" t="str">
        <x:v>DELIVERY:S01-06</x:v>
      </x:c>
      <x:c r="D1217" s="10" t="str">
        <x:v>DELIVERY:S01-06:input</x:v>
      </x:c>
      <x:c r="E1217" s="10" t="str">
        <x:v>D-S01</x:v>
      </x:c>
      <x:c r="F1217" s="10" t="n">
        <x:v>1</x:v>
      </x:c>
      <x:c r="G1217" s="11" t="n">
        <x:v>0</x:v>
      </x:c>
      <x:c r="H1217" s="11" t="n">
        <x:v>0.9</x:v>
      </x:c>
      <x:c r="I1217" s="11" t="n">
        <x:f>H1217-G1217</x:f>
        <x:v>0.9</x:v>
      </x:c>
      <x:c r="J1217" s="10" t="str">
        <x:v>현재 보고서 처리 상태를 짧게 읽어줘.</x:v>
      </x:c>
      <x:c r="K1217" s="10" t="str">
        <x:v>보고서 요약은 완료됐고, 검토가 필요합니다.</x:v>
      </x:c>
      <x:c r="L1217" s="11" t="n">
        <x:v>1.304666667</x:v>
      </x:c>
      <x:c r="M1217" s="11" t="n">
        <x:f>L1217-G1217</x:f>
        <x:v>1.304666667</x:v>
      </x:c>
      <x:c r="N1217" s="10" t="str">
        <x:v>AUTHORED_AVAILABLE</x:v>
      </x:c>
    </x:row>
    <x:row r="1218" ht="85" customHeight="1">
      <x:c r="A1218" s="10" t="str">
        <x:v>D-A</x:v>
      </x:c>
      <x:c r="B1218" s="10" t="str">
        <x:v>DELIVERY</x:v>
      </x:c>
      <x:c r="C1218" s="10" t="str">
        <x:v>DELIVERY:S01-07</x:v>
      </x:c>
      <x:c r="D1218" s="10" t="str">
        <x:v>DELIVERY:S01-07:input</x:v>
      </x:c>
      <x:c r="E1218" s="10" t="str">
        <x:v>D-S01</x:v>
      </x:c>
      <x:c r="F1218" s="10" t="n">
        <x:v>1</x:v>
      </x:c>
      <x:c r="G1218" s="11" t="n">
        <x:v>0</x:v>
      </x:c>
      <x:c r="H1218" s="11" t="n">
        <x:v>0.928333333</x:v>
      </x:c>
      <x:c r="I1218" s="11" t="n">
        <x:f>H1218-G1218</x:f>
        <x:v>0.928333333</x:v>
      </x:c>
      <x:c r="J1218" s="10" t="str">
        <x:v>현재 보고서 처리 상태를 짧게 읽어줘.</x:v>
      </x:c>
      <x:c r="K1218" s="10" t="str">
        <x:v>보고서 요약은 완료됐고, 검토가 필요합니다.</x:v>
      </x:c>
      <x:c r="L1218" s="11" t="n">
        <x:v>1.333</x:v>
      </x:c>
      <x:c r="M1218" s="11" t="n">
        <x:f>L1218-G1218</x:f>
        <x:v>1.333</x:v>
      </x:c>
      <x:c r="N1218" s="10" t="str">
        <x:v>AUTHORED_AVAILABLE</x:v>
      </x:c>
    </x:row>
    <x:row r="1219" ht="85" customHeight="1">
      <x:c r="A1219" s="10" t="str">
        <x:v>D-B</x:v>
      </x:c>
      <x:c r="B1219" s="10" t="str">
        <x:v>DELIVERY</x:v>
      </x:c>
      <x:c r="C1219" s="10" t="str">
        <x:v>DELIVERY:S01-07</x:v>
      </x:c>
      <x:c r="D1219" s="10" t="str">
        <x:v>DELIVERY:S01-07:input</x:v>
      </x:c>
      <x:c r="E1219" s="10" t="str">
        <x:v>D-S01</x:v>
      </x:c>
      <x:c r="F1219" s="10" t="n">
        <x:v>1</x:v>
      </x:c>
      <x:c r="G1219" s="11" t="n">
        <x:v>0</x:v>
      </x:c>
      <x:c r="H1219" s="11" t="n">
        <x:v>0.928333333</x:v>
      </x:c>
      <x:c r="I1219" s="11" t="n">
        <x:f>H1219-G1219</x:f>
        <x:v>0.928333333</x:v>
      </x:c>
      <x:c r="J1219" s="10" t="str">
        <x:v>현재 보고서 처리 상태를 짧게 읽어줘.</x:v>
      </x:c>
      <x:c r="K1219" s="10" t="str">
        <x:v>보고서 요약은 완료됐고, 검토가 필요합니다.</x:v>
      </x:c>
      <x:c r="L1219" s="11" t="n">
        <x:v>1.333</x:v>
      </x:c>
      <x:c r="M1219" s="11" t="n">
        <x:f>L1219-G1219</x:f>
        <x:v>1.333</x:v>
      </x:c>
      <x:c r="N1219" s="10" t="str">
        <x:v>AUTHORED_AVAILABLE</x:v>
      </x:c>
    </x:row>
    <x:row r="1220" ht="85" customHeight="1">
      <x:c r="A1220" s="10" t="str">
        <x:v>D-A</x:v>
      </x:c>
      <x:c r="B1220" s="10" t="str">
        <x:v>DELIVERY</x:v>
      </x:c>
      <x:c r="C1220" s="10" t="str">
        <x:v>DELIVERY:S01-08</x:v>
      </x:c>
      <x:c r="D1220" s="10" t="str">
        <x:v>DELIVERY:S01-08:input</x:v>
      </x:c>
      <x:c r="E1220" s="10" t="str">
        <x:v>D-S01</x:v>
      </x:c>
      <x:c r="F1220" s="10" t="n">
        <x:v>1</x:v>
      </x:c>
      <x:c r="G1220" s="11" t="n">
        <x:v>0</x:v>
      </x:c>
      <x:c r="H1220" s="11" t="n">
        <x:v>0.956666667</x:v>
      </x:c>
      <x:c r="I1220" s="11" t="n">
        <x:f>H1220-G1220</x:f>
        <x:v>0.956666667</x:v>
      </x:c>
      <x:c r="J1220" s="10" t="str">
        <x:v>현재 보고서 처리 상태를 짧게 읽어줘.</x:v>
      </x:c>
      <x:c r="K1220" s="10" t="str">
        <x:v>보고서 요약은 완료됐고, 검토가 필요합니다.</x:v>
      </x:c>
      <x:c r="L1220" s="11" t="n">
        <x:v>1.361333334</x:v>
      </x:c>
      <x:c r="M1220" s="11" t="n">
        <x:f>L1220-G1220</x:f>
        <x:v>1.361333334</x:v>
      </x:c>
      <x:c r="N1220" s="10" t="str">
        <x:v>AUTHORED_AVAILABLE</x:v>
      </x:c>
    </x:row>
    <x:row r="1221" ht="85" customHeight="1">
      <x:c r="A1221" s="10" t="str">
        <x:v>D-B</x:v>
      </x:c>
      <x:c r="B1221" s="10" t="str">
        <x:v>DELIVERY</x:v>
      </x:c>
      <x:c r="C1221" s="10" t="str">
        <x:v>DELIVERY:S01-08</x:v>
      </x:c>
      <x:c r="D1221" s="10" t="str">
        <x:v>DELIVERY:S01-08:input</x:v>
      </x:c>
      <x:c r="E1221" s="10" t="str">
        <x:v>D-S01</x:v>
      </x:c>
      <x:c r="F1221" s="10" t="n">
        <x:v>1</x:v>
      </x:c>
      <x:c r="G1221" s="11" t="n">
        <x:v>0</x:v>
      </x:c>
      <x:c r="H1221" s="11" t="n">
        <x:v>0.956666667</x:v>
      </x:c>
      <x:c r="I1221" s="11" t="n">
        <x:f>H1221-G1221</x:f>
        <x:v>0.956666667</x:v>
      </x:c>
      <x:c r="J1221" s="10" t="str">
        <x:v>현재 보고서 처리 상태를 짧게 읽어줘.</x:v>
      </x:c>
      <x:c r="K1221" s="10" t="str">
        <x:v>보고서 요약은 완료됐고, 검토가 필요합니다.</x:v>
      </x:c>
      <x:c r="L1221" s="11" t="n">
        <x:v>1.361333334</x:v>
      </x:c>
      <x:c r="M1221" s="11" t="n">
        <x:f>L1221-G1221</x:f>
        <x:v>1.361333334</x:v>
      </x:c>
      <x:c r="N1221" s="10" t="str">
        <x:v>AUTHORED_AVAILABLE</x:v>
      </x:c>
    </x:row>
    <x:row r="1222" ht="85" customHeight="1">
      <x:c r="A1222" s="10" t="str">
        <x:v>D-A</x:v>
      </x:c>
      <x:c r="B1222" s="10" t="str">
        <x:v>DELIVERY</x:v>
      </x:c>
      <x:c r="C1222" s="10" t="str">
        <x:v>DELIVERY:S01-09</x:v>
      </x:c>
      <x:c r="D1222" s="10" t="str">
        <x:v>DELIVERY:S01-09:input</x:v>
      </x:c>
      <x:c r="E1222" s="10" t="str">
        <x:v>D-S01</x:v>
      </x:c>
      <x:c r="F1222" s="10" t="n">
        <x:v>1</x:v>
      </x:c>
      <x:c r="G1222" s="11" t="n">
        <x:v>0</x:v>
      </x:c>
      <x:c r="H1222" s="11" t="n">
        <x:v>0.91</x:v>
      </x:c>
      <x:c r="I1222" s="11" t="n">
        <x:f>H1222-G1222</x:f>
        <x:v>0.91</x:v>
      </x:c>
      <x:c r="J1222" s="10" t="str">
        <x:v>현재 보고서 처리 상태를 짧게 읽어줘.</x:v>
      </x:c>
      <x:c r="K1222" s="10" t="str">
        <x:v>보고서 요약은 완료됐고, 검토가 필요합니다.</x:v>
      </x:c>
      <x:c r="L1222" s="11" t="n">
        <x:v>1.314666667</x:v>
      </x:c>
      <x:c r="M1222" s="11" t="n">
        <x:f>L1222-G1222</x:f>
        <x:v>1.314666667</x:v>
      </x:c>
      <x:c r="N1222" s="10" t="str">
        <x:v>AUTHORED_AVAILABLE</x:v>
      </x:c>
    </x:row>
    <x:row r="1223" ht="85" customHeight="1">
      <x:c r="A1223" s="10" t="str">
        <x:v>D-B</x:v>
      </x:c>
      <x:c r="B1223" s="10" t="str">
        <x:v>DELIVERY</x:v>
      </x:c>
      <x:c r="C1223" s="10" t="str">
        <x:v>DELIVERY:S01-09</x:v>
      </x:c>
      <x:c r="D1223" s="10" t="str">
        <x:v>DELIVERY:S01-09:input</x:v>
      </x:c>
      <x:c r="E1223" s="10" t="str">
        <x:v>D-S01</x:v>
      </x:c>
      <x:c r="F1223" s="10" t="n">
        <x:v>1</x:v>
      </x:c>
      <x:c r="G1223" s="11" t="n">
        <x:v>0</x:v>
      </x:c>
      <x:c r="H1223" s="11" t="n">
        <x:v>0.91</x:v>
      </x:c>
      <x:c r="I1223" s="11" t="n">
        <x:f>H1223-G1223</x:f>
        <x:v>0.91</x:v>
      </x:c>
      <x:c r="J1223" s="10" t="str">
        <x:v>현재 보고서 처리 상태를 짧게 읽어줘.</x:v>
      </x:c>
      <x:c r="K1223" s="10" t="str">
        <x:v>보고서 요약은 완료됐고, 검토가 필요합니다.</x:v>
      </x:c>
      <x:c r="L1223" s="11" t="n">
        <x:v>1.314666667</x:v>
      </x:c>
      <x:c r="M1223" s="11" t="n">
        <x:f>L1223-G1223</x:f>
        <x:v>1.314666667</x:v>
      </x:c>
      <x:c r="N1223" s="10" t="str">
        <x:v>AUTHORED_AVAILABLE</x:v>
      </x:c>
    </x:row>
    <x:row r="1224" ht="85" customHeight="1">
      <x:c r="A1224" s="10" t="str">
        <x:v>D-A</x:v>
      </x:c>
      <x:c r="B1224" s="10" t="str">
        <x:v>DELIVERY</x:v>
      </x:c>
      <x:c r="C1224" s="10" t="str">
        <x:v>DELIVERY:S01-10</x:v>
      </x:c>
      <x:c r="D1224" s="10" t="str">
        <x:v>DELIVERY:S01-10:input</x:v>
      </x:c>
      <x:c r="E1224" s="10" t="str">
        <x:v>D-S01</x:v>
      </x:c>
      <x:c r="F1224" s="10" t="n">
        <x:v>1</x:v>
      </x:c>
      <x:c r="G1224" s="11" t="n">
        <x:v>0</x:v>
      </x:c>
      <x:c r="H1224" s="11" t="n">
        <x:v>0.938333333</x:v>
      </x:c>
      <x:c r="I1224" s="11" t="n">
        <x:f>H1224-G1224</x:f>
        <x:v>0.938333333</x:v>
      </x:c>
      <x:c r="J1224" s="10" t="str">
        <x:v>현재 보고서 처리 상태를 짧게 읽어줘.</x:v>
      </x:c>
      <x:c r="K1224" s="10" t="str">
        <x:v>보고서 요약은 완료됐고, 검토가 필요합니다.</x:v>
      </x:c>
      <x:c r="L1224" s="11" t="n">
        <x:v>1.343</x:v>
      </x:c>
      <x:c r="M1224" s="11" t="n">
        <x:f>L1224-G1224</x:f>
        <x:v>1.343</x:v>
      </x:c>
      <x:c r="N1224" s="10" t="str">
        <x:v>AUTHORED_AVAILABLE</x:v>
      </x:c>
    </x:row>
    <x:row r="1225" ht="85" customHeight="1">
      <x:c r="A1225" s="10" t="str">
        <x:v>D-B</x:v>
      </x:c>
      <x:c r="B1225" s="10" t="str">
        <x:v>DELIVERY</x:v>
      </x:c>
      <x:c r="C1225" s="10" t="str">
        <x:v>DELIVERY:S01-10</x:v>
      </x:c>
      <x:c r="D1225" s="10" t="str">
        <x:v>DELIVERY:S01-10:input</x:v>
      </x:c>
      <x:c r="E1225" s="10" t="str">
        <x:v>D-S01</x:v>
      </x:c>
      <x:c r="F1225" s="10" t="n">
        <x:v>1</x:v>
      </x:c>
      <x:c r="G1225" s="11" t="n">
        <x:v>0</x:v>
      </x:c>
      <x:c r="H1225" s="11" t="n">
        <x:v>0.938333333</x:v>
      </x:c>
      <x:c r="I1225" s="11" t="n">
        <x:f>H1225-G1225</x:f>
        <x:v>0.938333333</x:v>
      </x:c>
      <x:c r="J1225" s="10" t="str">
        <x:v>현재 보고서 처리 상태를 짧게 읽어줘.</x:v>
      </x:c>
      <x:c r="K1225" s="10" t="str">
        <x:v>보고서 요약은 완료됐고, 검토가 필요합니다.</x:v>
      </x:c>
      <x:c r="L1225" s="11" t="n">
        <x:v>1.343</x:v>
      </x:c>
      <x:c r="M1225" s="11" t="n">
        <x:f>L1225-G1225</x:f>
        <x:v>1.343</x:v>
      </x:c>
      <x:c r="N1225" s="10" t="str">
        <x:v>AUTHORED_AVAILABLE</x:v>
      </x:c>
    </x:row>
    <x:row r="1226" ht="85" customHeight="1">
      <x:c r="A1226" s="10" t="str">
        <x:v>D-A</x:v>
      </x:c>
      <x:c r="B1226" s="10" t="str">
        <x:v>DELIVERY</x:v>
      </x:c>
      <x:c r="C1226" s="10" t="str">
        <x:v>DELIVERY:S02-01</x:v>
      </x:c>
      <x:c r="D1226" s="10" t="str">
        <x:v>DELIVERY:S02-01:input</x:v>
      </x:c>
      <x:c r="E1226" s="10" t="str">
        <x:v>D-S02</x:v>
      </x:c>
      <x:c r="F1226" s="10" t="n">
        <x:v>1</x:v>
      </x:c>
      <x:c r="G1226" s="11" t="n">
        <x:v>0</x:v>
      </x:c>
      <x:c r="H1226" s="11" t="n">
        <x:v>0.908333333</x:v>
      </x:c>
      <x:c r="I1226" s="11" t="n">
        <x:f>H1226-G1226</x:f>
        <x:v>0.908333333</x:v>
      </x:c>
      <x:c r="J1226" s="10" t="str">
        <x:v>대기 중인 메일 질문부터 읽어줘.</x:v>
      </x:c>
      <x:c r="K1226" s="10" t="str">
        <x:v>수신자는 김 대리인가요?</x:v>
      </x:c>
      <x:c r="L1226" s="11" t="n">
        <x:v>0.908333333</x:v>
      </x:c>
      <x:c r="M1226" s="11" t="n">
        <x:f>L1226-G1226</x:f>
        <x:v>0.908333333</x:v>
      </x:c>
      <x:c r="N1226" s="10" t="str">
        <x:v>AUTHORED_AVAILABLE</x:v>
      </x:c>
    </x:row>
    <x:row r="1227" ht="85" customHeight="1">
      <x:c r="A1227" s="10" t="str">
        <x:v>D-B</x:v>
      </x:c>
      <x:c r="B1227" s="10" t="str">
        <x:v>DELIVERY</x:v>
      </x:c>
      <x:c r="C1227" s="10" t="str">
        <x:v>DELIVERY:S02-01</x:v>
      </x:c>
      <x:c r="D1227" s="10" t="str">
        <x:v>DELIVERY:S02-01:input</x:v>
      </x:c>
      <x:c r="E1227" s="10" t="str">
        <x:v>D-S02</x:v>
      </x:c>
      <x:c r="F1227" s="10" t="n">
        <x:v>1</x:v>
      </x:c>
      <x:c r="G1227" s="11" t="n">
        <x:v>0</x:v>
      </x:c>
      <x:c r="H1227" s="11" t="n">
        <x:v>0.908333333</x:v>
      </x:c>
      <x:c r="I1227" s="11" t="n">
        <x:f>H1227-G1227</x:f>
        <x:v>0.908333333</x:v>
      </x:c>
      <x:c r="J1227" s="10" t="str">
        <x:v>대기 중인 메일 질문부터 읽어줘.</x:v>
      </x:c>
      <x:c r="K1227" s="10" t="str">
        <x:v>수신자는 김 대리인가요?</x:v>
      </x:c>
      <x:c r="L1227" s="11" t="n">
        <x:v>1.309333333</x:v>
      </x:c>
      <x:c r="M1227" s="11" t="n">
        <x:f>L1227-G1227</x:f>
        <x:v>1.309333333</x:v>
      </x:c>
      <x:c r="N1227" s="10" t="str">
        <x:v>AUTHORED_AVAILABLE</x:v>
      </x:c>
    </x:row>
    <x:row r="1228" ht="85" customHeight="1">
      <x:c r="A1228" s="10" t="str">
        <x:v>D-A</x:v>
      </x:c>
      <x:c r="B1228" s="10" t="str">
        <x:v>DELIVERY</x:v>
      </x:c>
      <x:c r="C1228" s="10" t="str">
        <x:v>DELIVERY:S02-02</x:v>
      </x:c>
      <x:c r="D1228" s="10" t="str">
        <x:v>DELIVERY:S02-02:input</x:v>
      </x:c>
      <x:c r="E1228" s="10" t="str">
        <x:v>D-S02</x:v>
      </x:c>
      <x:c r="F1228" s="10" t="n">
        <x:v>1</x:v>
      </x:c>
      <x:c r="G1228" s="11" t="n">
        <x:v>0</x:v>
      </x:c>
      <x:c r="H1228" s="11" t="n">
        <x:v>0.936666667</x:v>
      </x:c>
      <x:c r="I1228" s="11" t="n">
        <x:f>H1228-G1228</x:f>
        <x:v>0.936666667</x:v>
      </x:c>
      <x:c r="J1228" s="10" t="str">
        <x:v>대기 중인 메일 질문부터 읽어줘.</x:v>
      </x:c>
      <x:c r="K1228" s="10" t="str">
        <x:v>수신자는 김 대리인가요?</x:v>
      </x:c>
      <x:c r="L1228" s="11" t="n">
        <x:v>0.936666667</x:v>
      </x:c>
      <x:c r="M1228" s="11" t="n">
        <x:f>L1228-G1228</x:f>
        <x:v>0.936666667</x:v>
      </x:c>
      <x:c r="N1228" s="10" t="str">
        <x:v>AUTHORED_AVAILABLE</x:v>
      </x:c>
    </x:row>
    <x:row r="1229" ht="85" customHeight="1">
      <x:c r="A1229" s="10" t="str">
        <x:v>D-B</x:v>
      </x:c>
      <x:c r="B1229" s="10" t="str">
        <x:v>DELIVERY</x:v>
      </x:c>
      <x:c r="C1229" s="10" t="str">
        <x:v>DELIVERY:S02-02</x:v>
      </x:c>
      <x:c r="D1229" s="10" t="str">
        <x:v>DELIVERY:S02-02:input</x:v>
      </x:c>
      <x:c r="E1229" s="10" t="str">
        <x:v>D-S02</x:v>
      </x:c>
      <x:c r="F1229" s="10" t="n">
        <x:v>1</x:v>
      </x:c>
      <x:c r="G1229" s="11" t="n">
        <x:v>0</x:v>
      </x:c>
      <x:c r="H1229" s="11" t="n">
        <x:v>0.936666667</x:v>
      </x:c>
      <x:c r="I1229" s="11" t="n">
        <x:f>H1229-G1229</x:f>
        <x:v>0.936666667</x:v>
      </x:c>
      <x:c r="J1229" s="10" t="str">
        <x:v>대기 중인 메일 질문부터 읽어줘.</x:v>
      </x:c>
      <x:c r="K1229" s="10" t="str">
        <x:v>수신자는 김 대리인가요?</x:v>
      </x:c>
      <x:c r="L1229" s="11" t="n">
        <x:v>1.337666667</x:v>
      </x:c>
      <x:c r="M1229" s="11" t="n">
        <x:f>L1229-G1229</x:f>
        <x:v>1.337666667</x:v>
      </x:c>
      <x:c r="N1229" s="10" t="str">
        <x:v>AUTHORED_AVAILABLE</x:v>
      </x:c>
    </x:row>
    <x:row r="1230" ht="85" customHeight="1">
      <x:c r="A1230" s="10" t="str">
        <x:v>D-A</x:v>
      </x:c>
      <x:c r="B1230" s="10" t="str">
        <x:v>DELIVERY</x:v>
      </x:c>
      <x:c r="C1230" s="10" t="str">
        <x:v>DELIVERY:S02-03</x:v>
      </x:c>
      <x:c r="D1230" s="10" t="str">
        <x:v>DELIVERY:S02-03:input</x:v>
      </x:c>
      <x:c r="E1230" s="10" t="str">
        <x:v>D-S02</x:v>
      </x:c>
      <x:c r="F1230" s="10" t="n">
        <x:v>1</x:v>
      </x:c>
      <x:c r="G1230" s="11" t="n">
        <x:v>0</x:v>
      </x:c>
      <x:c r="H1230" s="11" t="n">
        <x:v>0.89</x:v>
      </x:c>
      <x:c r="I1230" s="11" t="n">
        <x:f>H1230-G1230</x:f>
        <x:v>0.89</x:v>
      </x:c>
      <x:c r="J1230" s="10" t="str">
        <x:v>대기 중인 메일 질문부터 읽어줘.</x:v>
      </x:c>
      <x:c r="K1230" s="10" t="str">
        <x:v>수신자는 김 대리인가요?</x:v>
      </x:c>
      <x:c r="L1230" s="11" t="n">
        <x:v>0.89</x:v>
      </x:c>
      <x:c r="M1230" s="11" t="n">
        <x:f>L1230-G1230</x:f>
        <x:v>0.89</x:v>
      </x:c>
      <x:c r="N1230" s="10" t="str">
        <x:v>AUTHORED_AVAILABLE</x:v>
      </x:c>
    </x:row>
    <x:row r="1231" ht="85" customHeight="1">
      <x:c r="A1231" s="10" t="str">
        <x:v>D-B</x:v>
      </x:c>
      <x:c r="B1231" s="10" t="str">
        <x:v>DELIVERY</x:v>
      </x:c>
      <x:c r="C1231" s="10" t="str">
        <x:v>DELIVERY:S02-03</x:v>
      </x:c>
      <x:c r="D1231" s="10" t="str">
        <x:v>DELIVERY:S02-03:input</x:v>
      </x:c>
      <x:c r="E1231" s="10" t="str">
        <x:v>D-S02</x:v>
      </x:c>
      <x:c r="F1231" s="10" t="n">
        <x:v>1</x:v>
      </x:c>
      <x:c r="G1231" s="11" t="n">
        <x:v>0</x:v>
      </x:c>
      <x:c r="H1231" s="11" t="n">
        <x:v>0.89</x:v>
      </x:c>
      <x:c r="I1231" s="11" t="n">
        <x:f>H1231-G1231</x:f>
        <x:v>0.89</x:v>
      </x:c>
      <x:c r="J1231" s="10" t="str">
        <x:v>대기 중인 메일 질문부터 읽어줘.</x:v>
      </x:c>
      <x:c r="K1231" s="10" t="str">
        <x:v>수신자는 김 대리인가요?</x:v>
      </x:c>
      <x:c r="L1231" s="11" t="n">
        <x:v>1.291</x:v>
      </x:c>
      <x:c r="M1231" s="11" t="n">
        <x:f>L1231-G1231</x:f>
        <x:v>1.291</x:v>
      </x:c>
      <x:c r="N1231" s="10" t="str">
        <x:v>AUTHORED_AVAILABLE</x:v>
      </x:c>
    </x:row>
    <x:row r="1232" ht="85" customHeight="1">
      <x:c r="A1232" s="10" t="str">
        <x:v>D-A</x:v>
      </x:c>
      <x:c r="B1232" s="10" t="str">
        <x:v>DELIVERY</x:v>
      </x:c>
      <x:c r="C1232" s="10" t="str">
        <x:v>DELIVERY:S02-04</x:v>
      </x:c>
      <x:c r="D1232" s="10" t="str">
        <x:v>DELIVERY:S02-04:input</x:v>
      </x:c>
      <x:c r="E1232" s="10" t="str">
        <x:v>D-S02</x:v>
      </x:c>
      <x:c r="F1232" s="10" t="n">
        <x:v>1</x:v>
      </x:c>
      <x:c r="G1232" s="11" t="n">
        <x:v>0</x:v>
      </x:c>
      <x:c r="H1232" s="11" t="n">
        <x:v>0.918333333</x:v>
      </x:c>
      <x:c r="I1232" s="11" t="n">
        <x:f>H1232-G1232</x:f>
        <x:v>0.918333333</x:v>
      </x:c>
      <x:c r="J1232" s="10" t="str">
        <x:v>대기 중인 메일 질문부터 읽어줘.</x:v>
      </x:c>
      <x:c r="K1232" s="10" t="str">
        <x:v>수신자는 김 대리인가요?</x:v>
      </x:c>
      <x:c r="L1232" s="11" t="n">
        <x:v>0.918333333</x:v>
      </x:c>
      <x:c r="M1232" s="11" t="n">
        <x:f>L1232-G1232</x:f>
        <x:v>0.918333333</x:v>
      </x:c>
      <x:c r="N1232" s="10" t="str">
        <x:v>AUTHORED_AVAILABLE</x:v>
      </x:c>
    </x:row>
    <x:row r="1233" ht="85" customHeight="1">
      <x:c r="A1233" s="10" t="str">
        <x:v>D-B</x:v>
      </x:c>
      <x:c r="B1233" s="10" t="str">
        <x:v>DELIVERY</x:v>
      </x:c>
      <x:c r="C1233" s="10" t="str">
        <x:v>DELIVERY:S02-04</x:v>
      </x:c>
      <x:c r="D1233" s="10" t="str">
        <x:v>DELIVERY:S02-04:input</x:v>
      </x:c>
      <x:c r="E1233" s="10" t="str">
        <x:v>D-S02</x:v>
      </x:c>
      <x:c r="F1233" s="10" t="n">
        <x:v>1</x:v>
      </x:c>
      <x:c r="G1233" s="11" t="n">
        <x:v>0</x:v>
      </x:c>
      <x:c r="H1233" s="11" t="n">
        <x:v>0.918333333</x:v>
      </x:c>
      <x:c r="I1233" s="11" t="n">
        <x:f>H1233-G1233</x:f>
        <x:v>0.918333333</x:v>
      </x:c>
      <x:c r="J1233" s="10" t="str">
        <x:v>대기 중인 메일 질문부터 읽어줘.</x:v>
      </x:c>
      <x:c r="K1233" s="10" t="str">
        <x:v>수신자는 김 대리인가요?</x:v>
      </x:c>
      <x:c r="L1233" s="11" t="n">
        <x:v>1.319333333</x:v>
      </x:c>
      <x:c r="M1233" s="11" t="n">
        <x:f>L1233-G1233</x:f>
        <x:v>1.319333333</x:v>
      </x:c>
      <x:c r="N1233" s="10" t="str">
        <x:v>AUTHORED_AVAILABLE</x:v>
      </x:c>
    </x:row>
    <x:row r="1234" ht="85" customHeight="1">
      <x:c r="A1234" s="10" t="str">
        <x:v>D-A</x:v>
      </x:c>
      <x:c r="B1234" s="10" t="str">
        <x:v>DELIVERY</x:v>
      </x:c>
      <x:c r="C1234" s="10" t="str">
        <x:v>DELIVERY:S02-05</x:v>
      </x:c>
      <x:c r="D1234" s="10" t="str">
        <x:v>DELIVERY:S02-05:input</x:v>
      </x:c>
      <x:c r="E1234" s="10" t="str">
        <x:v>D-S02</x:v>
      </x:c>
      <x:c r="F1234" s="10" t="n">
        <x:v>1</x:v>
      </x:c>
      <x:c r="G1234" s="11" t="n">
        <x:v>0</x:v>
      </x:c>
      <x:c r="H1234" s="11" t="n">
        <x:v>0.946666667</x:v>
      </x:c>
      <x:c r="I1234" s="11" t="n">
        <x:f>H1234-G1234</x:f>
        <x:v>0.946666667</x:v>
      </x:c>
      <x:c r="J1234" s="10" t="str">
        <x:v>대기 중인 메일 질문부터 읽어줘.</x:v>
      </x:c>
      <x:c r="K1234" s="10" t="str">
        <x:v>수신자는 김 대리인가요?</x:v>
      </x:c>
      <x:c r="L1234" s="11" t="n">
        <x:v>0.946666667</x:v>
      </x:c>
      <x:c r="M1234" s="11" t="n">
        <x:f>L1234-G1234</x:f>
        <x:v>0.946666667</x:v>
      </x:c>
      <x:c r="N1234" s="10" t="str">
        <x:v>AUTHORED_AVAILABLE</x:v>
      </x:c>
    </x:row>
    <x:row r="1235" ht="85" customHeight="1">
      <x:c r="A1235" s="10" t="str">
        <x:v>D-B</x:v>
      </x:c>
      <x:c r="B1235" s="10" t="str">
        <x:v>DELIVERY</x:v>
      </x:c>
      <x:c r="C1235" s="10" t="str">
        <x:v>DELIVERY:S02-05</x:v>
      </x:c>
      <x:c r="D1235" s="10" t="str">
        <x:v>DELIVERY:S02-05:input</x:v>
      </x:c>
      <x:c r="E1235" s="10" t="str">
        <x:v>D-S02</x:v>
      </x:c>
      <x:c r="F1235" s="10" t="n">
        <x:v>1</x:v>
      </x:c>
      <x:c r="G1235" s="11" t="n">
        <x:v>0</x:v>
      </x:c>
      <x:c r="H1235" s="11" t="n">
        <x:v>0.946666667</x:v>
      </x:c>
      <x:c r="I1235" s="11" t="n">
        <x:f>H1235-G1235</x:f>
        <x:v>0.946666667</x:v>
      </x:c>
      <x:c r="J1235" s="10" t="str">
        <x:v>대기 중인 메일 질문부터 읽어줘.</x:v>
      </x:c>
      <x:c r="K1235" s="10" t="str">
        <x:v>수신자는 김 대리인가요?</x:v>
      </x:c>
      <x:c r="L1235" s="11" t="n">
        <x:v>1.347666667</x:v>
      </x:c>
      <x:c r="M1235" s="11" t="n">
        <x:f>L1235-G1235</x:f>
        <x:v>1.347666667</x:v>
      </x:c>
      <x:c r="N1235" s="10" t="str">
        <x:v>AUTHORED_AVAILABLE</x:v>
      </x:c>
    </x:row>
    <x:row r="1236" ht="85" customHeight="1">
      <x:c r="A1236" s="10" t="str">
        <x:v>D-A</x:v>
      </x:c>
      <x:c r="B1236" s="10" t="str">
        <x:v>DELIVERY</x:v>
      </x:c>
      <x:c r="C1236" s="10" t="str">
        <x:v>DELIVERY:S02-06</x:v>
      </x:c>
      <x:c r="D1236" s="10" t="str">
        <x:v>DELIVERY:S02-06:input</x:v>
      </x:c>
      <x:c r="E1236" s="10" t="str">
        <x:v>D-S02</x:v>
      </x:c>
      <x:c r="F1236" s="10" t="n">
        <x:v>1</x:v>
      </x:c>
      <x:c r="G1236" s="11" t="n">
        <x:v>0</x:v>
      </x:c>
      <x:c r="H1236" s="11" t="n">
        <x:v>0.9</x:v>
      </x:c>
      <x:c r="I1236" s="11" t="n">
        <x:f>H1236-G1236</x:f>
        <x:v>0.9</x:v>
      </x:c>
      <x:c r="J1236" s="10" t="str">
        <x:v>대기 중인 메일 질문부터 읽어줘.</x:v>
      </x:c>
      <x:c r="K1236" s="10" t="str">
        <x:v>수신자는 김 대리인가요?</x:v>
      </x:c>
      <x:c r="L1236" s="11" t="n">
        <x:v>0.9</x:v>
      </x:c>
      <x:c r="M1236" s="11" t="n">
        <x:f>L1236-G1236</x:f>
        <x:v>0.9</x:v>
      </x:c>
      <x:c r="N1236" s="10" t="str">
        <x:v>AUTHORED_AVAILABLE</x:v>
      </x:c>
    </x:row>
    <x:row r="1237" ht="85" customHeight="1">
      <x:c r="A1237" s="10" t="str">
        <x:v>D-B</x:v>
      </x:c>
      <x:c r="B1237" s="10" t="str">
        <x:v>DELIVERY</x:v>
      </x:c>
      <x:c r="C1237" s="10" t="str">
        <x:v>DELIVERY:S02-06</x:v>
      </x:c>
      <x:c r="D1237" s="10" t="str">
        <x:v>DELIVERY:S02-06:input</x:v>
      </x:c>
      <x:c r="E1237" s="10" t="str">
        <x:v>D-S02</x:v>
      </x:c>
      <x:c r="F1237" s="10" t="n">
        <x:v>1</x:v>
      </x:c>
      <x:c r="G1237" s="11" t="n">
        <x:v>0</x:v>
      </x:c>
      <x:c r="H1237" s="11" t="n">
        <x:v>0.9</x:v>
      </x:c>
      <x:c r="I1237" s="11" t="n">
        <x:f>H1237-G1237</x:f>
        <x:v>0.9</x:v>
      </x:c>
      <x:c r="J1237" s="10" t="str">
        <x:v>대기 중인 메일 질문부터 읽어줘.</x:v>
      </x:c>
      <x:c r="K1237" s="10" t="str">
        <x:v>수신자는 김 대리인가요?</x:v>
      </x:c>
      <x:c r="L1237" s="11" t="n">
        <x:v>1.301</x:v>
      </x:c>
      <x:c r="M1237" s="11" t="n">
        <x:f>L1237-G1237</x:f>
        <x:v>1.301</x:v>
      </x:c>
      <x:c r="N1237" s="10" t="str">
        <x:v>AUTHORED_AVAILABLE</x:v>
      </x:c>
    </x:row>
    <x:row r="1238" ht="85" customHeight="1">
      <x:c r="A1238" s="10" t="str">
        <x:v>D-A</x:v>
      </x:c>
      <x:c r="B1238" s="10" t="str">
        <x:v>DELIVERY</x:v>
      </x:c>
      <x:c r="C1238" s="10" t="str">
        <x:v>DELIVERY:S02-07</x:v>
      </x:c>
      <x:c r="D1238" s="10" t="str">
        <x:v>DELIVERY:S02-07:input</x:v>
      </x:c>
      <x:c r="E1238" s="10" t="str">
        <x:v>D-S02</x:v>
      </x:c>
      <x:c r="F1238" s="10" t="n">
        <x:v>1</x:v>
      </x:c>
      <x:c r="G1238" s="11" t="n">
        <x:v>0</x:v>
      </x:c>
      <x:c r="H1238" s="11" t="n">
        <x:v>0.928333333</x:v>
      </x:c>
      <x:c r="I1238" s="11" t="n">
        <x:f>H1238-G1238</x:f>
        <x:v>0.928333333</x:v>
      </x:c>
      <x:c r="J1238" s="10" t="str">
        <x:v>대기 중인 메일 질문부터 읽어줘.</x:v>
      </x:c>
      <x:c r="K1238" s="10" t="str">
        <x:v>수신자는 김 대리인가요?</x:v>
      </x:c>
      <x:c r="L1238" s="11" t="n">
        <x:v>0.928333333</x:v>
      </x:c>
      <x:c r="M1238" s="11" t="n">
        <x:f>L1238-G1238</x:f>
        <x:v>0.928333333</x:v>
      </x:c>
      <x:c r="N1238" s="10" t="str">
        <x:v>AUTHORED_AVAILABLE</x:v>
      </x:c>
    </x:row>
    <x:row r="1239" ht="85" customHeight="1">
      <x:c r="A1239" s="10" t="str">
        <x:v>D-B</x:v>
      </x:c>
      <x:c r="B1239" s="10" t="str">
        <x:v>DELIVERY</x:v>
      </x:c>
      <x:c r="C1239" s="10" t="str">
        <x:v>DELIVERY:S02-07</x:v>
      </x:c>
      <x:c r="D1239" s="10" t="str">
        <x:v>DELIVERY:S02-07:input</x:v>
      </x:c>
      <x:c r="E1239" s="10" t="str">
        <x:v>D-S02</x:v>
      </x:c>
      <x:c r="F1239" s="10" t="n">
        <x:v>1</x:v>
      </x:c>
      <x:c r="G1239" s="11" t="n">
        <x:v>0</x:v>
      </x:c>
      <x:c r="H1239" s="11" t="n">
        <x:v>0.928333333</x:v>
      </x:c>
      <x:c r="I1239" s="11" t="n">
        <x:f>H1239-G1239</x:f>
        <x:v>0.928333333</x:v>
      </x:c>
      <x:c r="J1239" s="10" t="str">
        <x:v>대기 중인 메일 질문부터 읽어줘.</x:v>
      </x:c>
      <x:c r="K1239" s="10" t="str">
        <x:v>수신자는 김 대리인가요?</x:v>
      </x:c>
      <x:c r="L1239" s="11" t="n">
        <x:v>1.329333333</x:v>
      </x:c>
      <x:c r="M1239" s="11" t="n">
        <x:f>L1239-G1239</x:f>
        <x:v>1.329333333</x:v>
      </x:c>
      <x:c r="N1239" s="10" t="str">
        <x:v>AUTHORED_AVAILABLE</x:v>
      </x:c>
    </x:row>
    <x:row r="1240" ht="85" customHeight="1">
      <x:c r="A1240" s="10" t="str">
        <x:v>D-A</x:v>
      </x:c>
      <x:c r="B1240" s="10" t="str">
        <x:v>DELIVERY</x:v>
      </x:c>
      <x:c r="C1240" s="10" t="str">
        <x:v>DELIVERY:S02-08</x:v>
      </x:c>
      <x:c r="D1240" s="10" t="str">
        <x:v>DELIVERY:S02-08:input</x:v>
      </x:c>
      <x:c r="E1240" s="10" t="str">
        <x:v>D-S02</x:v>
      </x:c>
      <x:c r="F1240" s="10" t="n">
        <x:v>1</x:v>
      </x:c>
      <x:c r="G1240" s="11" t="n">
        <x:v>0</x:v>
      </x:c>
      <x:c r="H1240" s="11" t="n">
        <x:v>0.956666667</x:v>
      </x:c>
      <x:c r="I1240" s="11" t="n">
        <x:f>H1240-G1240</x:f>
        <x:v>0.956666667</x:v>
      </x:c>
      <x:c r="J1240" s="10" t="str">
        <x:v>대기 중인 메일 질문부터 읽어줘.</x:v>
      </x:c>
      <x:c r="K1240" s="10" t="str">
        <x:v>수신자는 김 대리인가요?</x:v>
      </x:c>
      <x:c r="L1240" s="11" t="n">
        <x:v>0.956666667</x:v>
      </x:c>
      <x:c r="M1240" s="11" t="n">
        <x:f>L1240-G1240</x:f>
        <x:v>0.956666667</x:v>
      </x:c>
      <x:c r="N1240" s="10" t="str">
        <x:v>AUTHORED_AVAILABLE</x:v>
      </x:c>
    </x:row>
    <x:row r="1241" ht="85" customHeight="1">
      <x:c r="A1241" s="10" t="str">
        <x:v>D-B</x:v>
      </x:c>
      <x:c r="B1241" s="10" t="str">
        <x:v>DELIVERY</x:v>
      </x:c>
      <x:c r="C1241" s="10" t="str">
        <x:v>DELIVERY:S02-08</x:v>
      </x:c>
      <x:c r="D1241" s="10" t="str">
        <x:v>DELIVERY:S02-08:input</x:v>
      </x:c>
      <x:c r="E1241" s="10" t="str">
        <x:v>D-S02</x:v>
      </x:c>
      <x:c r="F1241" s="10" t="n">
        <x:v>1</x:v>
      </x:c>
      <x:c r="G1241" s="11" t="n">
        <x:v>0</x:v>
      </x:c>
      <x:c r="H1241" s="11" t="n">
        <x:v>0.956666667</x:v>
      </x:c>
      <x:c r="I1241" s="11" t="n">
        <x:f>H1241-G1241</x:f>
        <x:v>0.956666667</x:v>
      </x:c>
      <x:c r="J1241" s="10" t="str">
        <x:v>대기 중인 메일 질문부터 읽어줘.</x:v>
      </x:c>
      <x:c r="K1241" s="10" t="str">
        <x:v>수신자는 김 대리인가요?</x:v>
      </x:c>
      <x:c r="L1241" s="11" t="n">
        <x:v>1.357666667</x:v>
      </x:c>
      <x:c r="M1241" s="11" t="n">
        <x:f>L1241-G1241</x:f>
        <x:v>1.357666667</x:v>
      </x:c>
      <x:c r="N1241" s="10" t="str">
        <x:v>AUTHORED_AVAILABLE</x:v>
      </x:c>
    </x:row>
    <x:row r="1242" ht="85" customHeight="1">
      <x:c r="A1242" s="10" t="str">
        <x:v>D-A</x:v>
      </x:c>
      <x:c r="B1242" s="10" t="str">
        <x:v>DELIVERY</x:v>
      </x:c>
      <x:c r="C1242" s="10" t="str">
        <x:v>DELIVERY:S02-09</x:v>
      </x:c>
      <x:c r="D1242" s="10" t="str">
        <x:v>DELIVERY:S02-09:input</x:v>
      </x:c>
      <x:c r="E1242" s="10" t="str">
        <x:v>D-S02</x:v>
      </x:c>
      <x:c r="F1242" s="10" t="n">
        <x:v>1</x:v>
      </x:c>
      <x:c r="G1242" s="11" t="n">
        <x:v>0</x:v>
      </x:c>
      <x:c r="H1242" s="11" t="n">
        <x:v>0.91</x:v>
      </x:c>
      <x:c r="I1242" s="11" t="n">
        <x:f>H1242-G1242</x:f>
        <x:v>0.91</x:v>
      </x:c>
      <x:c r="J1242" s="10" t="str">
        <x:v>대기 중인 메일 질문부터 읽어줘.</x:v>
      </x:c>
      <x:c r="K1242" s="10" t="str">
        <x:v>수신자는 김 대리인가요?</x:v>
      </x:c>
      <x:c r="L1242" s="11" t="n">
        <x:v>0.91</x:v>
      </x:c>
      <x:c r="M1242" s="11" t="n">
        <x:f>L1242-G1242</x:f>
        <x:v>0.91</x:v>
      </x:c>
      <x:c r="N1242" s="10" t="str">
        <x:v>AUTHORED_AVAILABLE</x:v>
      </x:c>
    </x:row>
    <x:row r="1243" ht="85" customHeight="1">
      <x:c r="A1243" s="10" t="str">
        <x:v>D-B</x:v>
      </x:c>
      <x:c r="B1243" s="10" t="str">
        <x:v>DELIVERY</x:v>
      </x:c>
      <x:c r="C1243" s="10" t="str">
        <x:v>DELIVERY:S02-09</x:v>
      </x:c>
      <x:c r="D1243" s="10" t="str">
        <x:v>DELIVERY:S02-09:input</x:v>
      </x:c>
      <x:c r="E1243" s="10" t="str">
        <x:v>D-S02</x:v>
      </x:c>
      <x:c r="F1243" s="10" t="n">
        <x:v>1</x:v>
      </x:c>
      <x:c r="G1243" s="11" t="n">
        <x:v>0</x:v>
      </x:c>
      <x:c r="H1243" s="11" t="n">
        <x:v>0.91</x:v>
      </x:c>
      <x:c r="I1243" s="11" t="n">
        <x:f>H1243-G1243</x:f>
        <x:v>0.91</x:v>
      </x:c>
      <x:c r="J1243" s="10" t="str">
        <x:v>대기 중인 메일 질문부터 읽어줘.</x:v>
      </x:c>
      <x:c r="K1243" s="10" t="str">
        <x:v>수신자는 김 대리인가요?</x:v>
      </x:c>
      <x:c r="L1243" s="11" t="n">
        <x:v>1.311</x:v>
      </x:c>
      <x:c r="M1243" s="11" t="n">
        <x:f>L1243-G1243</x:f>
        <x:v>1.311</x:v>
      </x:c>
      <x:c r="N1243" s="10" t="str">
        <x:v>AUTHORED_AVAILABLE</x:v>
      </x:c>
    </x:row>
    <x:row r="1244" ht="85" customHeight="1">
      <x:c r="A1244" s="10" t="str">
        <x:v>D-A</x:v>
      </x:c>
      <x:c r="B1244" s="10" t="str">
        <x:v>DELIVERY</x:v>
      </x:c>
      <x:c r="C1244" s="10" t="str">
        <x:v>DELIVERY:S02-10</x:v>
      </x:c>
      <x:c r="D1244" s="10" t="str">
        <x:v>DELIVERY:S02-10:input</x:v>
      </x:c>
      <x:c r="E1244" s="10" t="str">
        <x:v>D-S02</x:v>
      </x:c>
      <x:c r="F1244" s="10" t="n">
        <x:v>1</x:v>
      </x:c>
      <x:c r="G1244" s="11" t="n">
        <x:v>0</x:v>
      </x:c>
      <x:c r="H1244" s="11" t="n">
        <x:v>0.938333333</x:v>
      </x:c>
      <x:c r="I1244" s="11" t="n">
        <x:f>H1244-G1244</x:f>
        <x:v>0.938333333</x:v>
      </x:c>
      <x:c r="J1244" s="10" t="str">
        <x:v>대기 중인 메일 질문부터 읽어줘.</x:v>
      </x:c>
      <x:c r="K1244" s="10" t="str">
        <x:v>수신자는 김 대리인가요?</x:v>
      </x:c>
      <x:c r="L1244" s="11" t="n">
        <x:v>0.938333333</x:v>
      </x:c>
      <x:c r="M1244" s="11" t="n">
        <x:f>L1244-G1244</x:f>
        <x:v>0.938333333</x:v>
      </x:c>
      <x:c r="N1244" s="10" t="str">
        <x:v>AUTHORED_AVAILABLE</x:v>
      </x:c>
    </x:row>
    <x:row r="1245" ht="85" customHeight="1">
      <x:c r="A1245" s="10" t="str">
        <x:v>D-B</x:v>
      </x:c>
      <x:c r="B1245" s="10" t="str">
        <x:v>DELIVERY</x:v>
      </x:c>
      <x:c r="C1245" s="10" t="str">
        <x:v>DELIVERY:S02-10</x:v>
      </x:c>
      <x:c r="D1245" s="10" t="str">
        <x:v>DELIVERY:S02-10:input</x:v>
      </x:c>
      <x:c r="E1245" s="10" t="str">
        <x:v>D-S02</x:v>
      </x:c>
      <x:c r="F1245" s="10" t="n">
        <x:v>1</x:v>
      </x:c>
      <x:c r="G1245" s="11" t="n">
        <x:v>0</x:v>
      </x:c>
      <x:c r="H1245" s="11" t="n">
        <x:v>0.938333333</x:v>
      </x:c>
      <x:c r="I1245" s="11" t="n">
        <x:f>H1245-G1245</x:f>
        <x:v>0.938333333</x:v>
      </x:c>
      <x:c r="J1245" s="10" t="str">
        <x:v>대기 중인 메일 질문부터 읽어줘.</x:v>
      </x:c>
      <x:c r="K1245" s="10" t="str">
        <x:v>수신자는 김 대리인가요?</x:v>
      </x:c>
      <x:c r="L1245" s="11" t="n">
        <x:v>1.339333333</x:v>
      </x:c>
      <x:c r="M1245" s="11" t="n">
        <x:f>L1245-G1245</x:f>
        <x:v>1.339333333</x:v>
      </x:c>
      <x:c r="N1245" s="10" t="str">
        <x:v>AUTHORED_AVAILABLE</x:v>
      </x:c>
    </x:row>
    <x:row r="1246" ht="85" customHeight="1">
      <x:c r="A1246" s="10" t="str">
        <x:v>D-A</x:v>
      </x:c>
      <x:c r="B1246" s="10" t="str">
        <x:v>DELIVERY</x:v>
      </x:c>
      <x:c r="C1246" s="10" t="str">
        <x:v>DELIVERY:S03-01</x:v>
      </x:c>
      <x:c r="D1246" s="10" t="str">
        <x:v>DELIVERY:S03-01:input</x:v>
      </x:c>
      <x:c r="E1246" s="10" t="str">
        <x:v>D-S03</x:v>
      </x:c>
      <x:c r="F1246" s="10" t="n">
        <x:v>1</x:v>
      </x:c>
      <x:c r="G1246" s="11" t="n">
        <x:v>0</x:v>
      </x:c>
      <x:c r="H1246" s="11" t="n">
        <x:v>0.908333333</x:v>
      </x:c>
      <x:c r="I1246" s="11" t="n">
        <x:f>H1246-G1246</x:f>
        <x:v>0.908333333</x:v>
      </x:c>
      <x:c r="J1246" s="10" t="str">
        <x:v>보고서는 6월 기준으로 다시 해줘. 메일 질문부터 들려줘.</x:v>
      </x:c>
      <x:c r="K1246" s="10" t="str">
        <x:v>보고서를 6월 기준으로 다시 요청하고, 메일 질문부터 읽겠습니다.</x:v>
      </x:c>
      <x:c r="L1246" s="11" t="n">
        <x:v>0.908333333</x:v>
      </x:c>
      <x:c r="M1246" s="11" t="n">
        <x:f>L1246-G1246</x:f>
        <x:v>0.908333333</x:v>
      </x:c>
      <x:c r="N1246" s="10" t="str">
        <x:v>AUTHORED_AVAILABLE</x:v>
      </x:c>
    </x:row>
    <x:row r="1247" ht="85" customHeight="1">
      <x:c r="A1247" s="10" t="str">
        <x:v>D-B</x:v>
      </x:c>
      <x:c r="B1247" s="10" t="str">
        <x:v>DELIVERY</x:v>
      </x:c>
      <x:c r="C1247" s="10" t="str">
        <x:v>DELIVERY:S03-01</x:v>
      </x:c>
      <x:c r="D1247" s="10" t="str">
        <x:v>DELIVERY:S03-01:input</x:v>
      </x:c>
      <x:c r="E1247" s="10" t="str">
        <x:v>D-S03</x:v>
      </x:c>
      <x:c r="F1247" s="10" t="n">
        <x:v>1</x:v>
      </x:c>
      <x:c r="G1247" s="11" t="n">
        <x:v>0</x:v>
      </x:c>
      <x:c r="H1247" s="11" t="n">
        <x:v>0.908333333</x:v>
      </x:c>
      <x:c r="I1247" s="11" t="n">
        <x:f>H1247-G1247</x:f>
        <x:v>0.908333333</x:v>
      </x:c>
      <x:c r="J1247" s="10" t="str">
        <x:v>보고서는 6월 기준으로 다시 해줘. 메일 질문부터 들려줘.</x:v>
      </x:c>
      <x:c r="K1247" s="10" t="str">
        <x:v>보고서를 6월 기준으로 다시 요청하고, 메일 질문부터 읽겠습니다.</x:v>
      </x:c>
      <x:c r="L1247" s="11" t="n">
        <x:v>1.309333333</x:v>
      </x:c>
      <x:c r="M1247" s="11" t="n">
        <x:f>L1247-G1247</x:f>
        <x:v>1.309333333</x:v>
      </x:c>
      <x:c r="N1247" s="10" t="str">
        <x:v>AUTHORED_AVAILABLE</x:v>
      </x:c>
    </x:row>
    <x:row r="1248" ht="85" customHeight="1">
      <x:c r="A1248" s="10" t="str">
        <x:v>D-A</x:v>
      </x:c>
      <x:c r="B1248" s="10" t="str">
        <x:v>DELIVERY</x:v>
      </x:c>
      <x:c r="C1248" s="10" t="str">
        <x:v>DELIVERY:S03-02</x:v>
      </x:c>
      <x:c r="D1248" s="10" t="str">
        <x:v>DELIVERY:S03-02:input</x:v>
      </x:c>
      <x:c r="E1248" s="10" t="str">
        <x:v>D-S03</x:v>
      </x:c>
      <x:c r="F1248" s="10" t="n">
        <x:v>1</x:v>
      </x:c>
      <x:c r="G1248" s="11" t="n">
        <x:v>0</x:v>
      </x:c>
      <x:c r="H1248" s="11" t="n">
        <x:v>0.936666667</x:v>
      </x:c>
      <x:c r="I1248" s="11" t="n">
        <x:f>H1248-G1248</x:f>
        <x:v>0.936666667</x:v>
      </x:c>
      <x:c r="J1248" s="10" t="str">
        <x:v>보고서는 6월 기준으로 다시 해줘. 메일 질문부터 들려줘.</x:v>
      </x:c>
      <x:c r="K1248" s="10" t="str">
        <x:v>보고서를 6월 기준으로 다시 요청하고, 메일 질문부터 읽겠습니다.</x:v>
      </x:c>
      <x:c r="L1248" s="11" t="n">
        <x:v>0.936666667</x:v>
      </x:c>
      <x:c r="M1248" s="11" t="n">
        <x:f>L1248-G1248</x:f>
        <x:v>0.936666667</x:v>
      </x:c>
      <x:c r="N1248" s="10" t="str">
        <x:v>AUTHORED_AVAILABLE</x:v>
      </x:c>
    </x:row>
    <x:row r="1249" ht="85" customHeight="1">
      <x:c r="A1249" s="10" t="str">
        <x:v>D-B</x:v>
      </x:c>
      <x:c r="B1249" s="10" t="str">
        <x:v>DELIVERY</x:v>
      </x:c>
      <x:c r="C1249" s="10" t="str">
        <x:v>DELIVERY:S03-02</x:v>
      </x:c>
      <x:c r="D1249" s="10" t="str">
        <x:v>DELIVERY:S03-02:input</x:v>
      </x:c>
      <x:c r="E1249" s="10" t="str">
        <x:v>D-S03</x:v>
      </x:c>
      <x:c r="F1249" s="10" t="n">
        <x:v>1</x:v>
      </x:c>
      <x:c r="G1249" s="11" t="n">
        <x:v>0</x:v>
      </x:c>
      <x:c r="H1249" s="11" t="n">
        <x:v>0.936666667</x:v>
      </x:c>
      <x:c r="I1249" s="11" t="n">
        <x:f>H1249-G1249</x:f>
        <x:v>0.936666667</x:v>
      </x:c>
      <x:c r="J1249" s="10" t="str">
        <x:v>보고서는 6월 기준으로 다시 해줘. 메일 질문부터 들려줘.</x:v>
      </x:c>
      <x:c r="K1249" s="10" t="str">
        <x:v>보고서를 6월 기준으로 다시 요청하고, 메일 질문부터 읽겠습니다.</x:v>
      </x:c>
      <x:c r="L1249" s="11" t="n">
        <x:v>1.337666667</x:v>
      </x:c>
      <x:c r="M1249" s="11" t="n">
        <x:f>L1249-G1249</x:f>
        <x:v>1.337666667</x:v>
      </x:c>
      <x:c r="N1249" s="10" t="str">
        <x:v>AUTHORED_AVAILABLE</x:v>
      </x:c>
    </x:row>
    <x:row r="1250" ht="85" customHeight="1">
      <x:c r="A1250" s="10" t="str">
        <x:v>D-A</x:v>
      </x:c>
      <x:c r="B1250" s="10" t="str">
        <x:v>DELIVERY</x:v>
      </x:c>
      <x:c r="C1250" s="10" t="str">
        <x:v>DELIVERY:S03-03</x:v>
      </x:c>
      <x:c r="D1250" s="10" t="str">
        <x:v>DELIVERY:S03-03:input</x:v>
      </x:c>
      <x:c r="E1250" s="10" t="str">
        <x:v>D-S03</x:v>
      </x:c>
      <x:c r="F1250" s="10" t="n">
        <x:v>1</x:v>
      </x:c>
      <x:c r="G1250" s="11" t="n">
        <x:v>0</x:v>
      </x:c>
      <x:c r="H1250" s="11" t="n">
        <x:v>0.89</x:v>
      </x:c>
      <x:c r="I1250" s="11" t="n">
        <x:f>H1250-G1250</x:f>
        <x:v>0.89</x:v>
      </x:c>
      <x:c r="J1250" s="10" t="str">
        <x:v>보고서는 6월 기준으로 다시 해줘. 메일 질문부터 들려줘.</x:v>
      </x:c>
      <x:c r="K1250" s="10" t="str">
        <x:v>보고서를 6월 기준으로 다시 요청하고, 메일 질문부터 읽겠습니다.</x:v>
      </x:c>
      <x:c r="L1250" s="11" t="n">
        <x:v>0.89</x:v>
      </x:c>
      <x:c r="M1250" s="11" t="n">
        <x:f>L1250-G1250</x:f>
        <x:v>0.89</x:v>
      </x:c>
      <x:c r="N1250" s="10" t="str">
        <x:v>AUTHORED_AVAILABLE</x:v>
      </x:c>
    </x:row>
    <x:row r="1251" ht="85" customHeight="1">
      <x:c r="A1251" s="10" t="str">
        <x:v>D-B</x:v>
      </x:c>
      <x:c r="B1251" s="10" t="str">
        <x:v>DELIVERY</x:v>
      </x:c>
      <x:c r="C1251" s="10" t="str">
        <x:v>DELIVERY:S03-03</x:v>
      </x:c>
      <x:c r="D1251" s="10" t="str">
        <x:v>DELIVERY:S03-03:input</x:v>
      </x:c>
      <x:c r="E1251" s="10" t="str">
        <x:v>D-S03</x:v>
      </x:c>
      <x:c r="F1251" s="10" t="n">
        <x:v>1</x:v>
      </x:c>
      <x:c r="G1251" s="11" t="n">
        <x:v>0</x:v>
      </x:c>
      <x:c r="H1251" s="11" t="n">
        <x:v>0.89</x:v>
      </x:c>
      <x:c r="I1251" s="11" t="n">
        <x:f>H1251-G1251</x:f>
        <x:v>0.89</x:v>
      </x:c>
      <x:c r="J1251" s="10" t="str">
        <x:v>보고서는 6월 기준으로 다시 해줘. 메일 질문부터 들려줘.</x:v>
      </x:c>
      <x:c r="K1251" s="10" t="str">
        <x:v>보고서를 6월 기준으로 다시 요청하고, 메일 질문부터 읽겠습니다.</x:v>
      </x:c>
      <x:c r="L1251" s="11" t="n">
        <x:v>1.291</x:v>
      </x:c>
      <x:c r="M1251" s="11" t="n">
        <x:f>L1251-G1251</x:f>
        <x:v>1.291</x:v>
      </x:c>
      <x:c r="N1251" s="10" t="str">
        <x:v>AUTHORED_AVAILABLE</x:v>
      </x:c>
    </x:row>
    <x:row r="1252" ht="85" customHeight="1">
      <x:c r="A1252" s="10" t="str">
        <x:v>D-A</x:v>
      </x:c>
      <x:c r="B1252" s="10" t="str">
        <x:v>DELIVERY</x:v>
      </x:c>
      <x:c r="C1252" s="10" t="str">
        <x:v>DELIVERY:S03-04</x:v>
      </x:c>
      <x:c r="D1252" s="10" t="str">
        <x:v>DELIVERY:S03-04:input</x:v>
      </x:c>
      <x:c r="E1252" s="10" t="str">
        <x:v>D-S03</x:v>
      </x:c>
      <x:c r="F1252" s="10" t="n">
        <x:v>1</x:v>
      </x:c>
      <x:c r="G1252" s="11" t="n">
        <x:v>0</x:v>
      </x:c>
      <x:c r="H1252" s="11" t="n">
        <x:v>0.918333333</x:v>
      </x:c>
      <x:c r="I1252" s="11" t="n">
        <x:f>H1252-G1252</x:f>
        <x:v>0.918333333</x:v>
      </x:c>
      <x:c r="J1252" s="10" t="str">
        <x:v>보고서는 6월 기준으로 다시 해줘. 메일 질문부터 들려줘.</x:v>
      </x:c>
      <x:c r="K1252" s="10" t="str">
        <x:v>보고서를 6월 기준으로 다시 요청하고, 메일 질문부터 읽겠습니다.</x:v>
      </x:c>
      <x:c r="L1252" s="11" t="n">
        <x:v>0.918333333</x:v>
      </x:c>
      <x:c r="M1252" s="11" t="n">
        <x:f>L1252-G1252</x:f>
        <x:v>0.918333333</x:v>
      </x:c>
      <x:c r="N1252" s="10" t="str">
        <x:v>AUTHORED_AVAILABLE</x:v>
      </x:c>
    </x:row>
    <x:row r="1253" ht="85" customHeight="1">
      <x:c r="A1253" s="10" t="str">
        <x:v>D-B</x:v>
      </x:c>
      <x:c r="B1253" s="10" t="str">
        <x:v>DELIVERY</x:v>
      </x:c>
      <x:c r="C1253" s="10" t="str">
        <x:v>DELIVERY:S03-04</x:v>
      </x:c>
      <x:c r="D1253" s="10" t="str">
        <x:v>DELIVERY:S03-04:input</x:v>
      </x:c>
      <x:c r="E1253" s="10" t="str">
        <x:v>D-S03</x:v>
      </x:c>
      <x:c r="F1253" s="10" t="n">
        <x:v>1</x:v>
      </x:c>
      <x:c r="G1253" s="11" t="n">
        <x:v>0</x:v>
      </x:c>
      <x:c r="H1253" s="11" t="n">
        <x:v>0.918333333</x:v>
      </x:c>
      <x:c r="I1253" s="11" t="n">
        <x:f>H1253-G1253</x:f>
        <x:v>0.918333333</x:v>
      </x:c>
      <x:c r="J1253" s="10" t="str">
        <x:v>보고서는 6월 기준으로 다시 해줘. 메일 질문부터 들려줘.</x:v>
      </x:c>
      <x:c r="K1253" s="10" t="str">
        <x:v>보고서를 6월 기준으로 다시 요청하고, 메일 질문부터 읽겠습니다.</x:v>
      </x:c>
      <x:c r="L1253" s="11" t="n">
        <x:v>1.319333333</x:v>
      </x:c>
      <x:c r="M1253" s="11" t="n">
        <x:f>L1253-G1253</x:f>
        <x:v>1.319333333</x:v>
      </x:c>
      <x:c r="N1253" s="10" t="str">
        <x:v>AUTHORED_AVAILABLE</x:v>
      </x:c>
    </x:row>
    <x:row r="1254" ht="85" customHeight="1">
      <x:c r="A1254" s="10" t="str">
        <x:v>D-A</x:v>
      </x:c>
      <x:c r="B1254" s="10" t="str">
        <x:v>DELIVERY</x:v>
      </x:c>
      <x:c r="C1254" s="10" t="str">
        <x:v>DELIVERY:S03-05</x:v>
      </x:c>
      <x:c r="D1254" s="10" t="str">
        <x:v>DELIVERY:S03-05:input</x:v>
      </x:c>
      <x:c r="E1254" s="10" t="str">
        <x:v>D-S03</x:v>
      </x:c>
      <x:c r="F1254" s="10" t="n">
        <x:v>1</x:v>
      </x:c>
      <x:c r="G1254" s="11" t="n">
        <x:v>0</x:v>
      </x:c>
      <x:c r="H1254" s="11" t="n">
        <x:v>0.946666667</x:v>
      </x:c>
      <x:c r="I1254" s="11" t="n">
        <x:f>H1254-G1254</x:f>
        <x:v>0.946666667</x:v>
      </x:c>
      <x:c r="J1254" s="10" t="str">
        <x:v>보고서는 6월 기준으로 다시 해줘. 메일 질문부터 들려줘.</x:v>
      </x:c>
      <x:c r="K1254" s="10" t="str">
        <x:v>보고서를 6월 기준으로 다시 요청하고, 메일 질문부터 읽겠습니다.</x:v>
      </x:c>
      <x:c r="L1254" s="11" t="n">
        <x:v>0.946666667</x:v>
      </x:c>
      <x:c r="M1254" s="11" t="n">
        <x:f>L1254-G1254</x:f>
        <x:v>0.946666667</x:v>
      </x:c>
      <x:c r="N1254" s="10" t="str">
        <x:v>AUTHORED_AVAILABLE</x:v>
      </x:c>
    </x:row>
    <x:row r="1255" ht="85" customHeight="1">
      <x:c r="A1255" s="10" t="str">
        <x:v>D-B</x:v>
      </x:c>
      <x:c r="B1255" s="10" t="str">
        <x:v>DELIVERY</x:v>
      </x:c>
      <x:c r="C1255" s="10" t="str">
        <x:v>DELIVERY:S03-05</x:v>
      </x:c>
      <x:c r="D1255" s="10" t="str">
        <x:v>DELIVERY:S03-05:input</x:v>
      </x:c>
      <x:c r="E1255" s="10" t="str">
        <x:v>D-S03</x:v>
      </x:c>
      <x:c r="F1255" s="10" t="n">
        <x:v>1</x:v>
      </x:c>
      <x:c r="G1255" s="11" t="n">
        <x:v>0</x:v>
      </x:c>
      <x:c r="H1255" s="11" t="n">
        <x:v>0.946666667</x:v>
      </x:c>
      <x:c r="I1255" s="11" t="n">
        <x:f>H1255-G1255</x:f>
        <x:v>0.946666667</x:v>
      </x:c>
      <x:c r="J1255" s="10" t="str">
        <x:v>보고서는 6월 기준으로 다시 해줘. 메일 질문부터 들려줘.</x:v>
      </x:c>
      <x:c r="K1255" s="10" t="str">
        <x:v>보고서를 6월 기준으로 다시 요청하고, 메일 질문부터 읽겠습니다.</x:v>
      </x:c>
      <x:c r="L1255" s="11" t="n">
        <x:v>1.347666667</x:v>
      </x:c>
      <x:c r="M1255" s="11" t="n">
        <x:f>L1255-G1255</x:f>
        <x:v>1.347666667</x:v>
      </x:c>
      <x:c r="N1255" s="10" t="str">
        <x:v>AUTHORED_AVAILABLE</x:v>
      </x:c>
    </x:row>
    <x:row r="1256" ht="85" customHeight="1">
      <x:c r="A1256" s="10" t="str">
        <x:v>D-A</x:v>
      </x:c>
      <x:c r="B1256" s="10" t="str">
        <x:v>DELIVERY</x:v>
      </x:c>
      <x:c r="C1256" s="10" t="str">
        <x:v>DELIVERY:S03-06</x:v>
      </x:c>
      <x:c r="D1256" s="10" t="str">
        <x:v>DELIVERY:S03-06:input</x:v>
      </x:c>
      <x:c r="E1256" s="10" t="str">
        <x:v>D-S03</x:v>
      </x:c>
      <x:c r="F1256" s="10" t="n">
        <x:v>1</x:v>
      </x:c>
      <x:c r="G1256" s="11" t="n">
        <x:v>0</x:v>
      </x:c>
      <x:c r="H1256" s="11" t="n">
        <x:v>0.9</x:v>
      </x:c>
      <x:c r="I1256" s="11" t="n">
        <x:f>H1256-G1256</x:f>
        <x:v>0.9</x:v>
      </x:c>
      <x:c r="J1256" s="10" t="str">
        <x:v>보고서는 6월 기준으로 다시 해줘. 메일 질문부터 들려줘.</x:v>
      </x:c>
      <x:c r="K1256" s="10" t="str">
        <x:v>보고서를 6월 기준으로 다시 요청하고, 메일 질문부터 읽겠습니다.</x:v>
      </x:c>
      <x:c r="L1256" s="11" t="n">
        <x:v>0.9</x:v>
      </x:c>
      <x:c r="M1256" s="11" t="n">
        <x:f>L1256-G1256</x:f>
        <x:v>0.9</x:v>
      </x:c>
      <x:c r="N1256" s="10" t="str">
        <x:v>AUTHORED_AVAILABLE</x:v>
      </x:c>
    </x:row>
    <x:row r="1257" ht="85" customHeight="1">
      <x:c r="A1257" s="10" t="str">
        <x:v>D-B</x:v>
      </x:c>
      <x:c r="B1257" s="10" t="str">
        <x:v>DELIVERY</x:v>
      </x:c>
      <x:c r="C1257" s="10" t="str">
        <x:v>DELIVERY:S03-06</x:v>
      </x:c>
      <x:c r="D1257" s="10" t="str">
        <x:v>DELIVERY:S03-06:input</x:v>
      </x:c>
      <x:c r="E1257" s="10" t="str">
        <x:v>D-S03</x:v>
      </x:c>
      <x:c r="F1257" s="10" t="n">
        <x:v>1</x:v>
      </x:c>
      <x:c r="G1257" s="11" t="n">
        <x:v>0</x:v>
      </x:c>
      <x:c r="H1257" s="11" t="n">
        <x:v>0.9</x:v>
      </x:c>
      <x:c r="I1257" s="11" t="n">
        <x:f>H1257-G1257</x:f>
        <x:v>0.9</x:v>
      </x:c>
      <x:c r="J1257" s="10" t="str">
        <x:v>보고서는 6월 기준으로 다시 해줘. 메일 질문부터 들려줘.</x:v>
      </x:c>
      <x:c r="K1257" s="10" t="str">
        <x:v>보고서를 6월 기준으로 다시 요청하고, 메일 질문부터 읽겠습니다.</x:v>
      </x:c>
      <x:c r="L1257" s="11" t="n">
        <x:v>1.301</x:v>
      </x:c>
      <x:c r="M1257" s="11" t="n">
        <x:f>L1257-G1257</x:f>
        <x:v>1.301</x:v>
      </x:c>
      <x:c r="N1257" s="10" t="str">
        <x:v>AUTHORED_AVAILABLE</x:v>
      </x:c>
    </x:row>
    <x:row r="1258" ht="85" customHeight="1">
      <x:c r="A1258" s="10" t="str">
        <x:v>D-A</x:v>
      </x:c>
      <x:c r="B1258" s="10" t="str">
        <x:v>DELIVERY</x:v>
      </x:c>
      <x:c r="C1258" s="10" t="str">
        <x:v>DELIVERY:S03-07</x:v>
      </x:c>
      <x:c r="D1258" s="10" t="str">
        <x:v>DELIVERY:S03-07:input</x:v>
      </x:c>
      <x:c r="E1258" s="10" t="str">
        <x:v>D-S03</x:v>
      </x:c>
      <x:c r="F1258" s="10" t="n">
        <x:v>1</x:v>
      </x:c>
      <x:c r="G1258" s="11" t="n">
        <x:v>0</x:v>
      </x:c>
      <x:c r="H1258" s="11" t="n">
        <x:v>0.928333333</x:v>
      </x:c>
      <x:c r="I1258" s="11" t="n">
        <x:f>H1258-G1258</x:f>
        <x:v>0.928333333</x:v>
      </x:c>
      <x:c r="J1258" s="10" t="str">
        <x:v>보고서는 6월 기준으로 다시 해줘. 메일 질문부터 들려줘.</x:v>
      </x:c>
      <x:c r="K1258" s="10" t="str">
        <x:v>보고서를 6월 기준으로 다시 요청하고, 메일 질문부터 읽겠습니다.</x:v>
      </x:c>
      <x:c r="L1258" s="11" t="n">
        <x:v>0.928333333</x:v>
      </x:c>
      <x:c r="M1258" s="11" t="n">
        <x:f>L1258-G1258</x:f>
        <x:v>0.928333333</x:v>
      </x:c>
      <x:c r="N1258" s="10" t="str">
        <x:v>AUTHORED_AVAILABLE</x:v>
      </x:c>
    </x:row>
    <x:row r="1259" ht="85" customHeight="1">
      <x:c r="A1259" s="10" t="str">
        <x:v>D-B</x:v>
      </x:c>
      <x:c r="B1259" s="10" t="str">
        <x:v>DELIVERY</x:v>
      </x:c>
      <x:c r="C1259" s="10" t="str">
        <x:v>DELIVERY:S03-07</x:v>
      </x:c>
      <x:c r="D1259" s="10" t="str">
        <x:v>DELIVERY:S03-07:input</x:v>
      </x:c>
      <x:c r="E1259" s="10" t="str">
        <x:v>D-S03</x:v>
      </x:c>
      <x:c r="F1259" s="10" t="n">
        <x:v>1</x:v>
      </x:c>
      <x:c r="G1259" s="11" t="n">
        <x:v>0</x:v>
      </x:c>
      <x:c r="H1259" s="11" t="n">
        <x:v>0.928333333</x:v>
      </x:c>
      <x:c r="I1259" s="11" t="n">
        <x:f>H1259-G1259</x:f>
        <x:v>0.928333333</x:v>
      </x:c>
      <x:c r="J1259" s="10" t="str">
        <x:v>보고서는 6월 기준으로 다시 해줘. 메일 질문부터 들려줘.</x:v>
      </x:c>
      <x:c r="K1259" s="10" t="str">
        <x:v>보고서를 6월 기준으로 다시 요청하고, 메일 질문부터 읽겠습니다.</x:v>
      </x:c>
      <x:c r="L1259" s="11" t="n">
        <x:v>1.329333333</x:v>
      </x:c>
      <x:c r="M1259" s="11" t="n">
        <x:f>L1259-G1259</x:f>
        <x:v>1.329333333</x:v>
      </x:c>
      <x:c r="N1259" s="10" t="str">
        <x:v>AUTHORED_AVAILABLE</x:v>
      </x:c>
    </x:row>
    <x:row r="1260" ht="85" customHeight="1">
      <x:c r="A1260" s="10" t="str">
        <x:v>D-A</x:v>
      </x:c>
      <x:c r="B1260" s="10" t="str">
        <x:v>DELIVERY</x:v>
      </x:c>
      <x:c r="C1260" s="10" t="str">
        <x:v>DELIVERY:S03-08</x:v>
      </x:c>
      <x:c r="D1260" s="10" t="str">
        <x:v>DELIVERY:S03-08:input</x:v>
      </x:c>
      <x:c r="E1260" s="10" t="str">
        <x:v>D-S03</x:v>
      </x:c>
      <x:c r="F1260" s="10" t="n">
        <x:v>1</x:v>
      </x:c>
      <x:c r="G1260" s="11" t="n">
        <x:v>0</x:v>
      </x:c>
      <x:c r="H1260" s="11" t="n">
        <x:v>0.956666667</x:v>
      </x:c>
      <x:c r="I1260" s="11" t="n">
        <x:f>H1260-G1260</x:f>
        <x:v>0.956666667</x:v>
      </x:c>
      <x:c r="J1260" s="10" t="str">
        <x:v>보고서는 6월 기준으로 다시 해줘. 메일 질문부터 들려줘.</x:v>
      </x:c>
      <x:c r="K1260" s="10" t="str">
        <x:v>보고서를 6월 기준으로 다시 요청하고, 메일 질문부터 읽겠습니다.</x:v>
      </x:c>
      <x:c r="L1260" s="11" t="n">
        <x:v>0.956666667</x:v>
      </x:c>
      <x:c r="M1260" s="11" t="n">
        <x:f>L1260-G1260</x:f>
        <x:v>0.956666667</x:v>
      </x:c>
      <x:c r="N1260" s="10" t="str">
        <x:v>AUTHORED_AVAILABLE</x:v>
      </x:c>
    </x:row>
    <x:row r="1261" ht="85" customHeight="1">
      <x:c r="A1261" s="10" t="str">
        <x:v>D-B</x:v>
      </x:c>
      <x:c r="B1261" s="10" t="str">
        <x:v>DELIVERY</x:v>
      </x:c>
      <x:c r="C1261" s="10" t="str">
        <x:v>DELIVERY:S03-08</x:v>
      </x:c>
      <x:c r="D1261" s="10" t="str">
        <x:v>DELIVERY:S03-08:input</x:v>
      </x:c>
      <x:c r="E1261" s="10" t="str">
        <x:v>D-S03</x:v>
      </x:c>
      <x:c r="F1261" s="10" t="n">
        <x:v>1</x:v>
      </x:c>
      <x:c r="G1261" s="11" t="n">
        <x:v>0</x:v>
      </x:c>
      <x:c r="H1261" s="11" t="n">
        <x:v>0.956666667</x:v>
      </x:c>
      <x:c r="I1261" s="11" t="n">
        <x:f>H1261-G1261</x:f>
        <x:v>0.956666667</x:v>
      </x:c>
      <x:c r="J1261" s="10" t="str">
        <x:v>보고서는 6월 기준으로 다시 해줘. 메일 질문부터 들려줘.</x:v>
      </x:c>
      <x:c r="K1261" s="10" t="str">
        <x:v>보고서를 6월 기준으로 다시 요청하고, 메일 질문부터 읽겠습니다.</x:v>
      </x:c>
      <x:c r="L1261" s="11" t="n">
        <x:v>1.357666667</x:v>
      </x:c>
      <x:c r="M1261" s="11" t="n">
        <x:f>L1261-G1261</x:f>
        <x:v>1.357666667</x:v>
      </x:c>
      <x:c r="N1261" s="10" t="str">
        <x:v>AUTHORED_AVAILABLE</x:v>
      </x:c>
    </x:row>
    <x:row r="1262" ht="85" customHeight="1">
      <x:c r="A1262" s="10" t="str">
        <x:v>D-A</x:v>
      </x:c>
      <x:c r="B1262" s="10" t="str">
        <x:v>DELIVERY</x:v>
      </x:c>
      <x:c r="C1262" s="10" t="str">
        <x:v>DELIVERY:S03-09</x:v>
      </x:c>
      <x:c r="D1262" s="10" t="str">
        <x:v>DELIVERY:S03-09:input</x:v>
      </x:c>
      <x:c r="E1262" s="10" t="str">
        <x:v>D-S03</x:v>
      </x:c>
      <x:c r="F1262" s="10" t="n">
        <x:v>1</x:v>
      </x:c>
      <x:c r="G1262" s="11" t="n">
        <x:v>0</x:v>
      </x:c>
      <x:c r="H1262" s="11" t="n">
        <x:v>0.91</x:v>
      </x:c>
      <x:c r="I1262" s="11" t="n">
        <x:f>H1262-G1262</x:f>
        <x:v>0.91</x:v>
      </x:c>
      <x:c r="J1262" s="10" t="str">
        <x:v>보고서는 6월 기준으로 다시 해줘. 메일 질문부터 들려줘.</x:v>
      </x:c>
      <x:c r="K1262" s="10" t="str">
        <x:v>보고서를 6월 기준으로 다시 요청하고, 메일 질문부터 읽겠습니다.</x:v>
      </x:c>
      <x:c r="L1262" s="11" t="n">
        <x:v>0.91</x:v>
      </x:c>
      <x:c r="M1262" s="11" t="n">
        <x:f>L1262-G1262</x:f>
        <x:v>0.91</x:v>
      </x:c>
      <x:c r="N1262" s="10" t="str">
        <x:v>AUTHORED_AVAILABLE</x:v>
      </x:c>
    </x:row>
    <x:row r="1263" ht="85" customHeight="1">
      <x:c r="A1263" s="10" t="str">
        <x:v>D-B</x:v>
      </x:c>
      <x:c r="B1263" s="10" t="str">
        <x:v>DELIVERY</x:v>
      </x:c>
      <x:c r="C1263" s="10" t="str">
        <x:v>DELIVERY:S03-09</x:v>
      </x:c>
      <x:c r="D1263" s="10" t="str">
        <x:v>DELIVERY:S03-09:input</x:v>
      </x:c>
      <x:c r="E1263" s="10" t="str">
        <x:v>D-S03</x:v>
      </x:c>
      <x:c r="F1263" s="10" t="n">
        <x:v>1</x:v>
      </x:c>
      <x:c r="G1263" s="11" t="n">
        <x:v>0</x:v>
      </x:c>
      <x:c r="H1263" s="11" t="n">
        <x:v>0.91</x:v>
      </x:c>
      <x:c r="I1263" s="11" t="n">
        <x:f>H1263-G1263</x:f>
        <x:v>0.91</x:v>
      </x:c>
      <x:c r="J1263" s="10" t="str">
        <x:v>보고서는 6월 기준으로 다시 해줘. 메일 질문부터 들려줘.</x:v>
      </x:c>
      <x:c r="K1263" s="10" t="str">
        <x:v>보고서를 6월 기준으로 다시 요청하고, 메일 질문부터 읽겠습니다.</x:v>
      </x:c>
      <x:c r="L1263" s="11" t="n">
        <x:v>1.311</x:v>
      </x:c>
      <x:c r="M1263" s="11" t="n">
        <x:f>L1263-G1263</x:f>
        <x:v>1.311</x:v>
      </x:c>
      <x:c r="N1263" s="10" t="str">
        <x:v>AUTHORED_AVAILABLE</x:v>
      </x:c>
    </x:row>
    <x:row r="1264" ht="85" customHeight="1">
      <x:c r="A1264" s="10" t="str">
        <x:v>D-A</x:v>
      </x:c>
      <x:c r="B1264" s="10" t="str">
        <x:v>DELIVERY</x:v>
      </x:c>
      <x:c r="C1264" s="10" t="str">
        <x:v>DELIVERY:S03-10</x:v>
      </x:c>
      <x:c r="D1264" s="10" t="str">
        <x:v>DELIVERY:S03-10:input</x:v>
      </x:c>
      <x:c r="E1264" s="10" t="str">
        <x:v>D-S03</x:v>
      </x:c>
      <x:c r="F1264" s="10" t="n">
        <x:v>1</x:v>
      </x:c>
      <x:c r="G1264" s="11" t="n">
        <x:v>0</x:v>
      </x:c>
      <x:c r="H1264" s="11" t="n">
        <x:v>0.938333333</x:v>
      </x:c>
      <x:c r="I1264" s="11" t="n">
        <x:f>H1264-G1264</x:f>
        <x:v>0.938333333</x:v>
      </x:c>
      <x:c r="J1264" s="10" t="str">
        <x:v>보고서는 6월 기준으로 다시 해줘. 메일 질문부터 들려줘.</x:v>
      </x:c>
      <x:c r="K1264" s="10" t="str">
        <x:v>보고서를 6월 기준으로 다시 요청하고, 메일 질문부터 읽겠습니다.</x:v>
      </x:c>
      <x:c r="L1264" s="11" t="n">
        <x:v>0.938333333</x:v>
      </x:c>
      <x:c r="M1264" s="11" t="n">
        <x:f>L1264-G1264</x:f>
        <x:v>0.938333333</x:v>
      </x:c>
      <x:c r="N1264" s="10" t="str">
        <x:v>AUTHORED_AVAILABLE</x:v>
      </x:c>
    </x:row>
    <x:row r="1265" ht="85" customHeight="1">
      <x:c r="A1265" s="10" t="str">
        <x:v>D-B</x:v>
      </x:c>
      <x:c r="B1265" s="10" t="str">
        <x:v>DELIVERY</x:v>
      </x:c>
      <x:c r="C1265" s="10" t="str">
        <x:v>DELIVERY:S03-10</x:v>
      </x:c>
      <x:c r="D1265" s="10" t="str">
        <x:v>DELIVERY:S03-10:input</x:v>
      </x:c>
      <x:c r="E1265" s="10" t="str">
        <x:v>D-S03</x:v>
      </x:c>
      <x:c r="F1265" s="10" t="n">
        <x:v>1</x:v>
      </x:c>
      <x:c r="G1265" s="11" t="n">
        <x:v>0</x:v>
      </x:c>
      <x:c r="H1265" s="11" t="n">
        <x:v>0.938333333</x:v>
      </x:c>
      <x:c r="I1265" s="11" t="n">
        <x:f>H1265-G1265</x:f>
        <x:v>0.938333333</x:v>
      </x:c>
      <x:c r="J1265" s="10" t="str">
        <x:v>보고서는 6월 기준으로 다시 해줘. 메일 질문부터 들려줘.</x:v>
      </x:c>
      <x:c r="K1265" s="10" t="str">
        <x:v>보고서를 6월 기준으로 다시 요청하고, 메일 질문부터 읽겠습니다.</x:v>
      </x:c>
      <x:c r="L1265" s="11" t="n">
        <x:v>1.339333333</x:v>
      </x:c>
      <x:c r="M1265" s="11" t="n">
        <x:f>L1265-G1265</x:f>
        <x:v>1.339333333</x:v>
      </x:c>
      <x:c r="N1265" s="10" t="str">
        <x:v>AUTHORED_AVAILABLE</x:v>
      </x:c>
    </x:row>
    <x:row r="1266" ht="85" customHeight="1">
      <x:c r="A1266" s="10" t="str">
        <x:v>D-A</x:v>
      </x:c>
      <x:c r="B1266" s="10" t="str">
        <x:v>DELIVERY</x:v>
      </x:c>
      <x:c r="C1266" s="10" t="str">
        <x:v>DELIVERY:S04-01</x:v>
      </x:c>
      <x:c r="D1266" s="10" t="str">
        <x:v>DELIVERY:S04-01:input</x:v>
      </x:c>
      <x:c r="E1266" s="10" t="str">
        <x:v>D-S04</x:v>
      </x:c>
      <x:c r="F1266" s="10" t="n">
        <x:v>1</x:v>
      </x:c>
      <x:c r="G1266" s="11" t="n">
        <x:v>0</x:v>
      </x:c>
      <x:c r="H1266" s="11" t="n">
        <x:v>0.908333333</x:v>
      </x:c>
      <x:c r="I1266" s="11" t="n">
        <x:f>H1266-G1266</x:f>
        <x:v>0.908333333</x:v>
      </x:c>
      <x:c r="J1266" s="10" t="str">
        <x:v>그 보고서 음성 안내는 취소하고, 취소했다고만 알려줘.</x:v>
      </x:c>
      <x:c r="K1266" s="10" t="str">
        <x:v>보고서 음성 안내를 취소했습니다. 화면 결과는 유지합니다.</x:v>
      </x:c>
      <x:c r="L1266" s="11" t="n">
        <x:v>1.315666666</x:v>
      </x:c>
      <x:c r="M1266" s="11" t="n">
        <x:f>L1266-G1266</x:f>
        <x:v>1.315666666</x:v>
      </x:c>
      <x:c r="N1266" s="10" t="str">
        <x:v>AUTHORED_AVAILABLE</x:v>
      </x:c>
    </x:row>
    <x:row r="1267" ht="85" customHeight="1">
      <x:c r="A1267" s="10" t="str">
        <x:v>D-B</x:v>
      </x:c>
      <x:c r="B1267" s="10" t="str">
        <x:v>DELIVERY</x:v>
      </x:c>
      <x:c r="C1267" s="10" t="str">
        <x:v>DELIVERY:S04-01</x:v>
      </x:c>
      <x:c r="D1267" s="10" t="str">
        <x:v>DELIVERY:S04-01:input</x:v>
      </x:c>
      <x:c r="E1267" s="10" t="str">
        <x:v>D-S04</x:v>
      </x:c>
      <x:c r="F1267" s="10" t="n">
        <x:v>1</x:v>
      </x:c>
      <x:c r="G1267" s="11" t="n">
        <x:v>0</x:v>
      </x:c>
      <x:c r="H1267" s="11" t="n">
        <x:v>0.908333333</x:v>
      </x:c>
      <x:c r="I1267" s="11" t="n">
        <x:f>H1267-G1267</x:f>
        <x:v>0.908333333</x:v>
      </x:c>
      <x:c r="J1267" s="10" t="str">
        <x:v>그 보고서 음성 안내는 취소하고, 취소했다고만 알려줘.</x:v>
      </x:c>
      <x:c r="K1267" s="10" t="str">
        <x:v>보고서 음성 안내를 취소했습니다. 화면 결과는 유지합니다.</x:v>
      </x:c>
      <x:c r="L1267" s="11" t="n">
        <x:v>1.315666666</x:v>
      </x:c>
      <x:c r="M1267" s="11" t="n">
        <x:f>L1267-G1267</x:f>
        <x:v>1.315666666</x:v>
      </x:c>
      <x:c r="N1267" s="10" t="str">
        <x:v>AUTHORED_AVAILABLE</x:v>
      </x:c>
    </x:row>
    <x:row r="1268" ht="85" customHeight="1">
      <x:c r="A1268" s="10" t="str">
        <x:v>D-A</x:v>
      </x:c>
      <x:c r="B1268" s="10" t="str">
        <x:v>DELIVERY</x:v>
      </x:c>
      <x:c r="C1268" s="10" t="str">
        <x:v>DELIVERY:S04-02</x:v>
      </x:c>
      <x:c r="D1268" s="10" t="str">
        <x:v>DELIVERY:S04-02:input</x:v>
      </x:c>
      <x:c r="E1268" s="10" t="str">
        <x:v>D-S04</x:v>
      </x:c>
      <x:c r="F1268" s="10" t="n">
        <x:v>1</x:v>
      </x:c>
      <x:c r="G1268" s="11" t="n">
        <x:v>0</x:v>
      </x:c>
      <x:c r="H1268" s="11" t="n">
        <x:v>0.936666667</x:v>
      </x:c>
      <x:c r="I1268" s="11" t="n">
        <x:f>H1268-G1268</x:f>
        <x:v>0.936666667</x:v>
      </x:c>
      <x:c r="J1268" s="10" t="str">
        <x:v>그 보고서 음성 안내는 취소하고, 취소했다고만 알려줘.</x:v>
      </x:c>
      <x:c r="K1268" s="10" t="str">
        <x:v>보고서 음성 안내를 취소했습니다. 화면 결과는 유지합니다.</x:v>
      </x:c>
      <x:c r="L1268" s="11" t="n">
        <x:v>1.344</x:v>
      </x:c>
      <x:c r="M1268" s="11" t="n">
        <x:f>L1268-G1268</x:f>
        <x:v>1.344</x:v>
      </x:c>
      <x:c r="N1268" s="10" t="str">
        <x:v>AUTHORED_AVAILABLE</x:v>
      </x:c>
    </x:row>
    <x:row r="1269" ht="85" customHeight="1">
      <x:c r="A1269" s="10" t="str">
        <x:v>D-B</x:v>
      </x:c>
      <x:c r="B1269" s="10" t="str">
        <x:v>DELIVERY</x:v>
      </x:c>
      <x:c r="C1269" s="10" t="str">
        <x:v>DELIVERY:S04-02</x:v>
      </x:c>
      <x:c r="D1269" s="10" t="str">
        <x:v>DELIVERY:S04-02:input</x:v>
      </x:c>
      <x:c r="E1269" s="10" t="str">
        <x:v>D-S04</x:v>
      </x:c>
      <x:c r="F1269" s="10" t="n">
        <x:v>1</x:v>
      </x:c>
      <x:c r="G1269" s="11" t="n">
        <x:v>0</x:v>
      </x:c>
      <x:c r="H1269" s="11" t="n">
        <x:v>0.936666667</x:v>
      </x:c>
      <x:c r="I1269" s="11" t="n">
        <x:f>H1269-G1269</x:f>
        <x:v>0.936666667</x:v>
      </x:c>
      <x:c r="J1269" s="10" t="str">
        <x:v>그 보고서 음성 안내는 취소하고, 취소했다고만 알려줘.</x:v>
      </x:c>
      <x:c r="K1269" s="10" t="str">
        <x:v>보고서 음성 안내를 취소했습니다. 화면 결과는 유지합니다.</x:v>
      </x:c>
      <x:c r="L1269" s="11" t="n">
        <x:v>1.344</x:v>
      </x:c>
      <x:c r="M1269" s="11" t="n">
        <x:f>L1269-G1269</x:f>
        <x:v>1.344</x:v>
      </x:c>
      <x:c r="N1269" s="10" t="str">
        <x:v>AUTHORED_AVAILABLE</x:v>
      </x:c>
    </x:row>
    <x:row r="1270" ht="85" customHeight="1">
      <x:c r="A1270" s="10" t="str">
        <x:v>D-A</x:v>
      </x:c>
      <x:c r="B1270" s="10" t="str">
        <x:v>DELIVERY</x:v>
      </x:c>
      <x:c r="C1270" s="10" t="str">
        <x:v>DELIVERY:S04-03</x:v>
      </x:c>
      <x:c r="D1270" s="10" t="str">
        <x:v>DELIVERY:S04-03:input</x:v>
      </x:c>
      <x:c r="E1270" s="10" t="str">
        <x:v>D-S04</x:v>
      </x:c>
      <x:c r="F1270" s="10" t="n">
        <x:v>1</x:v>
      </x:c>
      <x:c r="G1270" s="11" t="n">
        <x:v>0</x:v>
      </x:c>
      <x:c r="H1270" s="11" t="n">
        <x:v>0.89</x:v>
      </x:c>
      <x:c r="I1270" s="11" t="n">
        <x:f>H1270-G1270</x:f>
        <x:v>0.89</x:v>
      </x:c>
      <x:c r="J1270" s="10" t="str">
        <x:v>그 보고서 음성 안내는 취소하고, 취소했다고만 알려줘.</x:v>
      </x:c>
      <x:c r="K1270" s="10" t="str">
        <x:v>보고서 음성 안내를 취소했습니다. 화면 결과는 유지합니다.</x:v>
      </x:c>
      <x:c r="L1270" s="11" t="n">
        <x:v>1.297333333</x:v>
      </x:c>
      <x:c r="M1270" s="11" t="n">
        <x:f>L1270-G1270</x:f>
        <x:v>1.297333333</x:v>
      </x:c>
      <x:c r="N1270" s="10" t="str">
        <x:v>AUTHORED_AVAILABLE</x:v>
      </x:c>
    </x:row>
    <x:row r="1271" ht="85" customHeight="1">
      <x:c r="A1271" s="10" t="str">
        <x:v>D-B</x:v>
      </x:c>
      <x:c r="B1271" s="10" t="str">
        <x:v>DELIVERY</x:v>
      </x:c>
      <x:c r="C1271" s="10" t="str">
        <x:v>DELIVERY:S04-03</x:v>
      </x:c>
      <x:c r="D1271" s="10" t="str">
        <x:v>DELIVERY:S04-03:input</x:v>
      </x:c>
      <x:c r="E1271" s="10" t="str">
        <x:v>D-S04</x:v>
      </x:c>
      <x:c r="F1271" s="10" t="n">
        <x:v>1</x:v>
      </x:c>
      <x:c r="G1271" s="11" t="n">
        <x:v>0</x:v>
      </x:c>
      <x:c r="H1271" s="11" t="n">
        <x:v>0.89</x:v>
      </x:c>
      <x:c r="I1271" s="11" t="n">
        <x:f>H1271-G1271</x:f>
        <x:v>0.89</x:v>
      </x:c>
      <x:c r="J1271" s="10" t="str">
        <x:v>그 보고서 음성 안내는 취소하고, 취소했다고만 알려줘.</x:v>
      </x:c>
      <x:c r="K1271" s="10" t="str">
        <x:v>보고서 음성 안내를 취소했습니다. 화면 결과는 유지합니다.</x:v>
      </x:c>
      <x:c r="L1271" s="11" t="n">
        <x:v>1.297333333</x:v>
      </x:c>
      <x:c r="M1271" s="11" t="n">
        <x:f>L1271-G1271</x:f>
        <x:v>1.297333333</x:v>
      </x:c>
      <x:c r="N1271" s="10" t="str">
        <x:v>AUTHORED_AVAILABLE</x:v>
      </x:c>
    </x:row>
    <x:row r="1272" ht="85" customHeight="1">
      <x:c r="A1272" s="10" t="str">
        <x:v>D-A</x:v>
      </x:c>
      <x:c r="B1272" s="10" t="str">
        <x:v>DELIVERY</x:v>
      </x:c>
      <x:c r="C1272" s="10" t="str">
        <x:v>DELIVERY:S04-04</x:v>
      </x:c>
      <x:c r="D1272" s="10" t="str">
        <x:v>DELIVERY:S04-04:input</x:v>
      </x:c>
      <x:c r="E1272" s="10" t="str">
        <x:v>D-S04</x:v>
      </x:c>
      <x:c r="F1272" s="10" t="n">
        <x:v>1</x:v>
      </x:c>
      <x:c r="G1272" s="11" t="n">
        <x:v>0</x:v>
      </x:c>
      <x:c r="H1272" s="11" t="n">
        <x:v>0.918333333</x:v>
      </x:c>
      <x:c r="I1272" s="11" t="n">
        <x:f>H1272-G1272</x:f>
        <x:v>0.918333333</x:v>
      </x:c>
      <x:c r="J1272" s="10" t="str">
        <x:v>그 보고서 음성 안내는 취소하고, 취소했다고만 알려줘.</x:v>
      </x:c>
      <x:c r="K1272" s="10" t="str">
        <x:v>보고서 음성 안내를 취소했습니다. 화면 결과는 유지합니다.</x:v>
      </x:c>
      <x:c r="L1272" s="11" t="n">
        <x:v>1.325666666</x:v>
      </x:c>
      <x:c r="M1272" s="11" t="n">
        <x:f>L1272-G1272</x:f>
        <x:v>1.325666666</x:v>
      </x:c>
      <x:c r="N1272" s="10" t="str">
        <x:v>AUTHORED_AVAILABLE</x:v>
      </x:c>
    </x:row>
    <x:row r="1273" ht="85" customHeight="1">
      <x:c r="A1273" s="10" t="str">
        <x:v>D-B</x:v>
      </x:c>
      <x:c r="B1273" s="10" t="str">
        <x:v>DELIVERY</x:v>
      </x:c>
      <x:c r="C1273" s="10" t="str">
        <x:v>DELIVERY:S04-04</x:v>
      </x:c>
      <x:c r="D1273" s="10" t="str">
        <x:v>DELIVERY:S04-04:input</x:v>
      </x:c>
      <x:c r="E1273" s="10" t="str">
        <x:v>D-S04</x:v>
      </x:c>
      <x:c r="F1273" s="10" t="n">
        <x:v>1</x:v>
      </x:c>
      <x:c r="G1273" s="11" t="n">
        <x:v>0</x:v>
      </x:c>
      <x:c r="H1273" s="11" t="n">
        <x:v>0.918333333</x:v>
      </x:c>
      <x:c r="I1273" s="11" t="n">
        <x:f>H1273-G1273</x:f>
        <x:v>0.918333333</x:v>
      </x:c>
      <x:c r="J1273" s="10" t="str">
        <x:v>그 보고서 음성 안내는 취소하고, 취소했다고만 알려줘.</x:v>
      </x:c>
      <x:c r="K1273" s="10" t="str">
        <x:v>보고서 음성 안내를 취소했습니다. 화면 결과는 유지합니다.</x:v>
      </x:c>
      <x:c r="L1273" s="11" t="n">
        <x:v>1.325666666</x:v>
      </x:c>
      <x:c r="M1273" s="11" t="n">
        <x:f>L1273-G1273</x:f>
        <x:v>1.325666666</x:v>
      </x:c>
      <x:c r="N1273" s="10" t="str">
        <x:v>AUTHORED_AVAILABLE</x:v>
      </x:c>
    </x:row>
    <x:row r="1274" ht="85" customHeight="1">
      <x:c r="A1274" s="10" t="str">
        <x:v>D-A</x:v>
      </x:c>
      <x:c r="B1274" s="10" t="str">
        <x:v>DELIVERY</x:v>
      </x:c>
      <x:c r="C1274" s="10" t="str">
        <x:v>DELIVERY:S04-05</x:v>
      </x:c>
      <x:c r="D1274" s="10" t="str">
        <x:v>DELIVERY:S04-05:input</x:v>
      </x:c>
      <x:c r="E1274" s="10" t="str">
        <x:v>D-S04</x:v>
      </x:c>
      <x:c r="F1274" s="10" t="n">
        <x:v>1</x:v>
      </x:c>
      <x:c r="G1274" s="11" t="n">
        <x:v>0</x:v>
      </x:c>
      <x:c r="H1274" s="11" t="n">
        <x:v>0.946666667</x:v>
      </x:c>
      <x:c r="I1274" s="11" t="n">
        <x:f>H1274-G1274</x:f>
        <x:v>0.946666667</x:v>
      </x:c>
      <x:c r="J1274" s="10" t="str">
        <x:v>그 보고서 음성 안내는 취소하고, 취소했다고만 알려줘.</x:v>
      </x:c>
      <x:c r="K1274" s="10" t="str">
        <x:v>보고서 음성 안내를 취소했습니다. 화면 결과는 유지합니다.</x:v>
      </x:c>
      <x:c r="L1274" s="11" t="n">
        <x:v>1.354</x:v>
      </x:c>
      <x:c r="M1274" s="11" t="n">
        <x:f>L1274-G1274</x:f>
        <x:v>1.354</x:v>
      </x:c>
      <x:c r="N1274" s="10" t="str">
        <x:v>AUTHORED_AVAILABLE</x:v>
      </x:c>
    </x:row>
    <x:row r="1275" ht="85" customHeight="1">
      <x:c r="A1275" s="10" t="str">
        <x:v>D-B</x:v>
      </x:c>
      <x:c r="B1275" s="10" t="str">
        <x:v>DELIVERY</x:v>
      </x:c>
      <x:c r="C1275" s="10" t="str">
        <x:v>DELIVERY:S04-05</x:v>
      </x:c>
      <x:c r="D1275" s="10" t="str">
        <x:v>DELIVERY:S04-05:input</x:v>
      </x:c>
      <x:c r="E1275" s="10" t="str">
        <x:v>D-S04</x:v>
      </x:c>
      <x:c r="F1275" s="10" t="n">
        <x:v>1</x:v>
      </x:c>
      <x:c r="G1275" s="11" t="n">
        <x:v>0</x:v>
      </x:c>
      <x:c r="H1275" s="11" t="n">
        <x:v>0.946666667</x:v>
      </x:c>
      <x:c r="I1275" s="11" t="n">
        <x:f>H1275-G1275</x:f>
        <x:v>0.946666667</x:v>
      </x:c>
      <x:c r="J1275" s="10" t="str">
        <x:v>그 보고서 음성 안내는 취소하고, 취소했다고만 알려줘.</x:v>
      </x:c>
      <x:c r="K1275" s="10" t="str">
        <x:v>보고서 음성 안내를 취소했습니다. 화면 결과는 유지합니다.</x:v>
      </x:c>
      <x:c r="L1275" s="11" t="n">
        <x:v>1.354</x:v>
      </x:c>
      <x:c r="M1275" s="11" t="n">
        <x:f>L1275-G1275</x:f>
        <x:v>1.354</x:v>
      </x:c>
      <x:c r="N1275" s="10" t="str">
        <x:v>AUTHORED_AVAILABLE</x:v>
      </x:c>
    </x:row>
    <x:row r="1276" ht="85" customHeight="1">
      <x:c r="A1276" s="10" t="str">
        <x:v>D-A</x:v>
      </x:c>
      <x:c r="B1276" s="10" t="str">
        <x:v>DELIVERY</x:v>
      </x:c>
      <x:c r="C1276" s="10" t="str">
        <x:v>DELIVERY:S04-06</x:v>
      </x:c>
      <x:c r="D1276" s="10" t="str">
        <x:v>DELIVERY:S04-06:input</x:v>
      </x:c>
      <x:c r="E1276" s="10" t="str">
        <x:v>D-S04</x:v>
      </x:c>
      <x:c r="F1276" s="10" t="n">
        <x:v>1</x:v>
      </x:c>
      <x:c r="G1276" s="11" t="n">
        <x:v>0</x:v>
      </x:c>
      <x:c r="H1276" s="11" t="n">
        <x:v>0.9</x:v>
      </x:c>
      <x:c r="I1276" s="11" t="n">
        <x:f>H1276-G1276</x:f>
        <x:v>0.9</x:v>
      </x:c>
      <x:c r="J1276" s="10" t="str">
        <x:v>그 보고서 음성 안내는 취소하고, 취소했다고만 알려줘.</x:v>
      </x:c>
      <x:c r="K1276" s="10" t="str">
        <x:v>보고서 음성 안내를 취소했습니다. 화면 결과는 유지합니다.</x:v>
      </x:c>
      <x:c r="L1276" s="11" t="n">
        <x:v>1.307333333</x:v>
      </x:c>
      <x:c r="M1276" s="11" t="n">
        <x:f>L1276-G1276</x:f>
        <x:v>1.307333333</x:v>
      </x:c>
      <x:c r="N1276" s="10" t="str">
        <x:v>AUTHORED_AVAILABLE</x:v>
      </x:c>
    </x:row>
    <x:row r="1277" ht="85" customHeight="1">
      <x:c r="A1277" s="10" t="str">
        <x:v>D-B</x:v>
      </x:c>
      <x:c r="B1277" s="10" t="str">
        <x:v>DELIVERY</x:v>
      </x:c>
      <x:c r="C1277" s="10" t="str">
        <x:v>DELIVERY:S04-06</x:v>
      </x:c>
      <x:c r="D1277" s="10" t="str">
        <x:v>DELIVERY:S04-06:input</x:v>
      </x:c>
      <x:c r="E1277" s="10" t="str">
        <x:v>D-S04</x:v>
      </x:c>
      <x:c r="F1277" s="10" t="n">
        <x:v>1</x:v>
      </x:c>
      <x:c r="G1277" s="11" t="n">
        <x:v>0</x:v>
      </x:c>
      <x:c r="H1277" s="11" t="n">
        <x:v>0.9</x:v>
      </x:c>
      <x:c r="I1277" s="11" t="n">
        <x:f>H1277-G1277</x:f>
        <x:v>0.9</x:v>
      </x:c>
      <x:c r="J1277" s="10" t="str">
        <x:v>그 보고서 음성 안내는 취소하고, 취소했다고만 알려줘.</x:v>
      </x:c>
      <x:c r="K1277" s="10" t="str">
        <x:v>보고서 음성 안내를 취소했습니다. 화면 결과는 유지합니다.</x:v>
      </x:c>
      <x:c r="L1277" s="11" t="n">
        <x:v>1.307333333</x:v>
      </x:c>
      <x:c r="M1277" s="11" t="n">
        <x:f>L1277-G1277</x:f>
        <x:v>1.307333333</x:v>
      </x:c>
      <x:c r="N1277" s="10" t="str">
        <x:v>AUTHORED_AVAILABLE</x:v>
      </x:c>
    </x:row>
    <x:row r="1278" ht="85" customHeight="1">
      <x:c r="A1278" s="10" t="str">
        <x:v>D-A</x:v>
      </x:c>
      <x:c r="B1278" s="10" t="str">
        <x:v>DELIVERY</x:v>
      </x:c>
      <x:c r="C1278" s="10" t="str">
        <x:v>DELIVERY:S04-07</x:v>
      </x:c>
      <x:c r="D1278" s="10" t="str">
        <x:v>DELIVERY:S04-07:input</x:v>
      </x:c>
      <x:c r="E1278" s="10" t="str">
        <x:v>D-S04</x:v>
      </x:c>
      <x:c r="F1278" s="10" t="n">
        <x:v>1</x:v>
      </x:c>
      <x:c r="G1278" s="11" t="n">
        <x:v>0</x:v>
      </x:c>
      <x:c r="H1278" s="11" t="n">
        <x:v>0.928333333</x:v>
      </x:c>
      <x:c r="I1278" s="11" t="n">
        <x:f>H1278-G1278</x:f>
        <x:v>0.928333333</x:v>
      </x:c>
      <x:c r="J1278" s="10" t="str">
        <x:v>그 보고서 음성 안내는 취소하고, 취소했다고만 알려줘.</x:v>
      </x:c>
      <x:c r="K1278" s="10" t="str">
        <x:v>보고서 음성 안내를 취소했습니다. 화면 결과는 유지합니다.</x:v>
      </x:c>
      <x:c r="L1278" s="11" t="n">
        <x:v>1.335666666</x:v>
      </x:c>
      <x:c r="M1278" s="11" t="n">
        <x:f>L1278-G1278</x:f>
        <x:v>1.335666666</x:v>
      </x:c>
      <x:c r="N1278" s="10" t="str">
        <x:v>AUTHORED_AVAILABLE</x:v>
      </x:c>
    </x:row>
    <x:row r="1279" ht="85" customHeight="1">
      <x:c r="A1279" s="10" t="str">
        <x:v>D-B</x:v>
      </x:c>
      <x:c r="B1279" s="10" t="str">
        <x:v>DELIVERY</x:v>
      </x:c>
      <x:c r="C1279" s="10" t="str">
        <x:v>DELIVERY:S04-07</x:v>
      </x:c>
      <x:c r="D1279" s="10" t="str">
        <x:v>DELIVERY:S04-07:input</x:v>
      </x:c>
      <x:c r="E1279" s="10" t="str">
        <x:v>D-S04</x:v>
      </x:c>
      <x:c r="F1279" s="10" t="n">
        <x:v>1</x:v>
      </x:c>
      <x:c r="G1279" s="11" t="n">
        <x:v>0</x:v>
      </x:c>
      <x:c r="H1279" s="11" t="n">
        <x:v>0.928333333</x:v>
      </x:c>
      <x:c r="I1279" s="11" t="n">
        <x:f>H1279-G1279</x:f>
        <x:v>0.928333333</x:v>
      </x:c>
      <x:c r="J1279" s="10" t="str">
        <x:v>그 보고서 음성 안내는 취소하고, 취소했다고만 알려줘.</x:v>
      </x:c>
      <x:c r="K1279" s="10" t="str">
        <x:v>보고서 음성 안내를 취소했습니다. 화면 결과는 유지합니다.</x:v>
      </x:c>
      <x:c r="L1279" s="11" t="n">
        <x:v>1.335666666</x:v>
      </x:c>
      <x:c r="M1279" s="11" t="n">
        <x:f>L1279-G1279</x:f>
        <x:v>1.335666666</x:v>
      </x:c>
      <x:c r="N1279" s="10" t="str">
        <x:v>AUTHORED_AVAILABLE</x:v>
      </x:c>
    </x:row>
    <x:row r="1280" ht="85" customHeight="1">
      <x:c r="A1280" s="10" t="str">
        <x:v>D-A</x:v>
      </x:c>
      <x:c r="B1280" s="10" t="str">
        <x:v>DELIVERY</x:v>
      </x:c>
      <x:c r="C1280" s="10" t="str">
        <x:v>DELIVERY:S04-08</x:v>
      </x:c>
      <x:c r="D1280" s="10" t="str">
        <x:v>DELIVERY:S04-08:input</x:v>
      </x:c>
      <x:c r="E1280" s="10" t="str">
        <x:v>D-S04</x:v>
      </x:c>
      <x:c r="F1280" s="10" t="n">
        <x:v>1</x:v>
      </x:c>
      <x:c r="G1280" s="11" t="n">
        <x:v>0</x:v>
      </x:c>
      <x:c r="H1280" s="11" t="n">
        <x:v>0.956666667</x:v>
      </x:c>
      <x:c r="I1280" s="11" t="n">
        <x:f>H1280-G1280</x:f>
        <x:v>0.956666667</x:v>
      </x:c>
      <x:c r="J1280" s="10" t="str">
        <x:v>그 보고서 음성 안내는 취소하고, 취소했다고만 알려줘.</x:v>
      </x:c>
      <x:c r="K1280" s="10" t="str">
        <x:v>보고서 음성 안내를 취소했습니다. 화면 결과는 유지합니다.</x:v>
      </x:c>
      <x:c r="L1280" s="11" t="n">
        <x:v>1.364</x:v>
      </x:c>
      <x:c r="M1280" s="11" t="n">
        <x:f>L1280-G1280</x:f>
        <x:v>1.364</x:v>
      </x:c>
      <x:c r="N1280" s="10" t="str">
        <x:v>AUTHORED_AVAILABLE</x:v>
      </x:c>
    </x:row>
    <x:row r="1281" ht="85" customHeight="1">
      <x:c r="A1281" s="10" t="str">
        <x:v>D-B</x:v>
      </x:c>
      <x:c r="B1281" s="10" t="str">
        <x:v>DELIVERY</x:v>
      </x:c>
      <x:c r="C1281" s="10" t="str">
        <x:v>DELIVERY:S04-08</x:v>
      </x:c>
      <x:c r="D1281" s="10" t="str">
        <x:v>DELIVERY:S04-08:input</x:v>
      </x:c>
      <x:c r="E1281" s="10" t="str">
        <x:v>D-S04</x:v>
      </x:c>
      <x:c r="F1281" s="10" t="n">
        <x:v>1</x:v>
      </x:c>
      <x:c r="G1281" s="11" t="n">
        <x:v>0</x:v>
      </x:c>
      <x:c r="H1281" s="11" t="n">
        <x:v>0.956666667</x:v>
      </x:c>
      <x:c r="I1281" s="11" t="n">
        <x:f>H1281-G1281</x:f>
        <x:v>0.956666667</x:v>
      </x:c>
      <x:c r="J1281" s="10" t="str">
        <x:v>그 보고서 음성 안내는 취소하고, 취소했다고만 알려줘.</x:v>
      </x:c>
      <x:c r="K1281" s="10" t="str">
        <x:v>보고서 음성 안내를 취소했습니다. 화면 결과는 유지합니다.</x:v>
      </x:c>
      <x:c r="L1281" s="11" t="n">
        <x:v>1.364</x:v>
      </x:c>
      <x:c r="M1281" s="11" t="n">
        <x:f>L1281-G1281</x:f>
        <x:v>1.364</x:v>
      </x:c>
      <x:c r="N1281" s="10" t="str">
        <x:v>AUTHORED_AVAILABLE</x:v>
      </x:c>
    </x:row>
    <x:row r="1282" ht="85" customHeight="1">
      <x:c r="A1282" s="10" t="str">
        <x:v>D-A</x:v>
      </x:c>
      <x:c r="B1282" s="10" t="str">
        <x:v>DELIVERY</x:v>
      </x:c>
      <x:c r="C1282" s="10" t="str">
        <x:v>DELIVERY:S04-09</x:v>
      </x:c>
      <x:c r="D1282" s="10" t="str">
        <x:v>DELIVERY:S04-09:input</x:v>
      </x:c>
      <x:c r="E1282" s="10" t="str">
        <x:v>D-S04</x:v>
      </x:c>
      <x:c r="F1282" s="10" t="n">
        <x:v>1</x:v>
      </x:c>
      <x:c r="G1282" s="11" t="n">
        <x:v>0</x:v>
      </x:c>
      <x:c r="H1282" s="11" t="n">
        <x:v>0.91</x:v>
      </x:c>
      <x:c r="I1282" s="11" t="n">
        <x:f>H1282-G1282</x:f>
        <x:v>0.91</x:v>
      </x:c>
      <x:c r="J1282" s="10" t="str">
        <x:v>그 보고서 음성 안내는 취소하고, 취소했다고만 알려줘.</x:v>
      </x:c>
      <x:c r="K1282" s="10" t="str">
        <x:v>보고서 음성 안내를 취소했습니다. 화면 결과는 유지합니다.</x:v>
      </x:c>
      <x:c r="L1282" s="11" t="n">
        <x:v>1.317333333</x:v>
      </x:c>
      <x:c r="M1282" s="11" t="n">
        <x:f>L1282-G1282</x:f>
        <x:v>1.317333333</x:v>
      </x:c>
      <x:c r="N1282" s="10" t="str">
        <x:v>AUTHORED_AVAILABLE</x:v>
      </x:c>
    </x:row>
    <x:row r="1283" ht="85" customHeight="1">
      <x:c r="A1283" s="10" t="str">
        <x:v>D-B</x:v>
      </x:c>
      <x:c r="B1283" s="10" t="str">
        <x:v>DELIVERY</x:v>
      </x:c>
      <x:c r="C1283" s="10" t="str">
        <x:v>DELIVERY:S04-09</x:v>
      </x:c>
      <x:c r="D1283" s="10" t="str">
        <x:v>DELIVERY:S04-09:input</x:v>
      </x:c>
      <x:c r="E1283" s="10" t="str">
        <x:v>D-S04</x:v>
      </x:c>
      <x:c r="F1283" s="10" t="n">
        <x:v>1</x:v>
      </x:c>
      <x:c r="G1283" s="11" t="n">
        <x:v>0</x:v>
      </x:c>
      <x:c r="H1283" s="11" t="n">
        <x:v>0.91</x:v>
      </x:c>
      <x:c r="I1283" s="11" t="n">
        <x:f>H1283-G1283</x:f>
        <x:v>0.91</x:v>
      </x:c>
      <x:c r="J1283" s="10" t="str">
        <x:v>그 보고서 음성 안내는 취소하고, 취소했다고만 알려줘.</x:v>
      </x:c>
      <x:c r="K1283" s="10" t="str">
        <x:v>보고서 음성 안내를 취소했습니다. 화면 결과는 유지합니다.</x:v>
      </x:c>
      <x:c r="L1283" s="11" t="n">
        <x:v>1.317333333</x:v>
      </x:c>
      <x:c r="M1283" s="11" t="n">
        <x:f>L1283-G1283</x:f>
        <x:v>1.317333333</x:v>
      </x:c>
      <x:c r="N1283" s="10" t="str">
        <x:v>AUTHORED_AVAILABLE</x:v>
      </x:c>
    </x:row>
    <x:row r="1284" ht="85" customHeight="1">
      <x:c r="A1284" s="10" t="str">
        <x:v>D-A</x:v>
      </x:c>
      <x:c r="B1284" s="10" t="str">
        <x:v>DELIVERY</x:v>
      </x:c>
      <x:c r="C1284" s="10" t="str">
        <x:v>DELIVERY:S04-10</x:v>
      </x:c>
      <x:c r="D1284" s="10" t="str">
        <x:v>DELIVERY:S04-10:input</x:v>
      </x:c>
      <x:c r="E1284" s="10" t="str">
        <x:v>D-S04</x:v>
      </x:c>
      <x:c r="F1284" s="10" t="n">
        <x:v>1</x:v>
      </x:c>
      <x:c r="G1284" s="11" t="n">
        <x:v>0</x:v>
      </x:c>
      <x:c r="H1284" s="11" t="n">
        <x:v>0.938333333</x:v>
      </x:c>
      <x:c r="I1284" s="11" t="n">
        <x:f>H1284-G1284</x:f>
        <x:v>0.938333333</x:v>
      </x:c>
      <x:c r="J1284" s="10" t="str">
        <x:v>그 보고서 음성 안내는 취소하고, 취소했다고만 알려줘.</x:v>
      </x:c>
      <x:c r="K1284" s="10" t="str">
        <x:v>보고서 음성 안내를 취소했습니다. 화면 결과는 유지합니다.</x:v>
      </x:c>
      <x:c r="L1284" s="11" t="n">
        <x:v>1.345666666</x:v>
      </x:c>
      <x:c r="M1284" s="11" t="n">
        <x:f>L1284-G1284</x:f>
        <x:v>1.345666666</x:v>
      </x:c>
      <x:c r="N1284" s="10" t="str">
        <x:v>AUTHORED_AVAILABLE</x:v>
      </x:c>
    </x:row>
    <x:row r="1285" ht="85" customHeight="1">
      <x:c r="A1285" s="10" t="str">
        <x:v>D-B</x:v>
      </x:c>
      <x:c r="B1285" s="10" t="str">
        <x:v>DELIVERY</x:v>
      </x:c>
      <x:c r="C1285" s="10" t="str">
        <x:v>DELIVERY:S04-10</x:v>
      </x:c>
      <x:c r="D1285" s="10" t="str">
        <x:v>DELIVERY:S04-10:input</x:v>
      </x:c>
      <x:c r="E1285" s="10" t="str">
        <x:v>D-S04</x:v>
      </x:c>
      <x:c r="F1285" s="10" t="n">
        <x:v>1</x:v>
      </x:c>
      <x:c r="G1285" s="11" t="n">
        <x:v>0</x:v>
      </x:c>
      <x:c r="H1285" s="11" t="n">
        <x:v>0.938333333</x:v>
      </x:c>
      <x:c r="I1285" s="11" t="n">
        <x:f>H1285-G1285</x:f>
        <x:v>0.938333333</x:v>
      </x:c>
      <x:c r="J1285" s="10" t="str">
        <x:v>그 보고서 음성 안내는 취소하고, 취소했다고만 알려줘.</x:v>
      </x:c>
      <x:c r="K1285" s="10" t="str">
        <x:v>보고서 음성 안내를 취소했습니다. 화면 결과는 유지합니다.</x:v>
      </x:c>
      <x:c r="L1285" s="11" t="n">
        <x:v>1.345666666</x:v>
      </x:c>
      <x:c r="M1285" s="11" t="n">
        <x:f>L1285-G1285</x:f>
        <x:v>1.345666666</x:v>
      </x:c>
      <x:c r="N1285" s="10" t="str">
        <x:v>AUTHORED_AVAILABLE</x:v>
      </x:c>
    </x:row>
    <x:row r="1286" ht="85" customHeight="1">
      <x:c r="A1286" s="10" t="str">
        <x:v>D-A</x:v>
      </x:c>
      <x:c r="B1286" s="10" t="str">
        <x:v>DELIVERY</x:v>
      </x:c>
      <x:c r="C1286" s="10" t="str">
        <x:v>DELIVERY:S05-01</x:v>
      </x:c>
      <x:c r="D1286" s="10" t="str">
        <x:v>DELIVERY:S05-01:input</x:v>
      </x:c>
      <x:c r="E1286" s="10" t="str">
        <x:v>D-S05</x:v>
      </x:c>
      <x:c r="F1286" s="10" t="n">
        <x:v>1</x:v>
      </x:c>
      <x:c r="G1286" s="11" t="n">
        <x:v>0</x:v>
      </x:c>
      <x:c r="H1286" s="11" t="n">
        <x:v>0.908333333</x:v>
      </x:c>
      <x:c r="I1286" s="11" t="n">
        <x:f>H1286-G1286</x:f>
        <x:v>0.908333333</x:v>
      </x:c>
      <x:c r="J1286" s="10" t="str">
        <x:v>메일 질문부터 읽고, 이 설명은 멈춘 곳부터 계속해.</x:v>
      </x:c>
      <x:c r="K1286" s="10" t="str">
        <x:v>메일 질문을 읽은 뒤 보고서 설명을 이어갑니다.</x:v>
      </x:c>
      <x:c r="L1286" s="11" t="n">
        <x:v>0.908333333</x:v>
      </x:c>
      <x:c r="M1286" s="11" t="n">
        <x:f>L1286-G1286</x:f>
        <x:v>0.908333333</x:v>
      </x:c>
      <x:c r="N1286" s="10" t="str">
        <x:v>AUTHORED_AVAILABLE</x:v>
      </x:c>
    </x:row>
    <x:row r="1287" ht="85" customHeight="1">
      <x:c r="A1287" s="10" t="str">
        <x:v>D-B</x:v>
      </x:c>
      <x:c r="B1287" s="10" t="str">
        <x:v>DELIVERY</x:v>
      </x:c>
      <x:c r="C1287" s="10" t="str">
        <x:v>DELIVERY:S05-01</x:v>
      </x:c>
      <x:c r="D1287" s="10" t="str">
        <x:v>DELIVERY:S05-01:input</x:v>
      </x:c>
      <x:c r="E1287" s="10" t="str">
        <x:v>D-S05</x:v>
      </x:c>
      <x:c r="F1287" s="10" t="n">
        <x:v>1</x:v>
      </x:c>
      <x:c r="G1287" s="11" t="n">
        <x:v>0</x:v>
      </x:c>
      <x:c r="H1287" s="11" t="n">
        <x:v>0.908333333</x:v>
      </x:c>
      <x:c r="I1287" s="11" t="n">
        <x:f>H1287-G1287</x:f>
        <x:v>0.908333333</x:v>
      </x:c>
      <x:c r="J1287" s="10" t="str">
        <x:v>메일 질문부터 읽고, 이 설명은 멈춘 곳부터 계속해.</x:v>
      </x:c>
      <x:c r="K1287" s="10" t="str">
        <x:v>메일 질문을 읽은 뒤 보고서 설명을 이어갑니다.</x:v>
      </x:c>
      <x:c r="L1287" s="11" t="n">
        <x:v>1.309333333</x:v>
      </x:c>
      <x:c r="M1287" s="11" t="n">
        <x:f>L1287-G1287</x:f>
        <x:v>1.309333333</x:v>
      </x:c>
      <x:c r="N1287" s="10" t="str">
        <x:v>AUTHORED_AVAILABLE</x:v>
      </x:c>
    </x:row>
    <x:row r="1288" ht="85" customHeight="1">
      <x:c r="A1288" s="10" t="str">
        <x:v>D-A</x:v>
      </x:c>
      <x:c r="B1288" s="10" t="str">
        <x:v>DELIVERY</x:v>
      </x:c>
      <x:c r="C1288" s="10" t="str">
        <x:v>DELIVERY:S05-02</x:v>
      </x:c>
      <x:c r="D1288" s="10" t="str">
        <x:v>DELIVERY:S05-02:input</x:v>
      </x:c>
      <x:c r="E1288" s="10" t="str">
        <x:v>D-S05</x:v>
      </x:c>
      <x:c r="F1288" s="10" t="n">
        <x:v>1</x:v>
      </x:c>
      <x:c r="G1288" s="11" t="n">
        <x:v>0</x:v>
      </x:c>
      <x:c r="H1288" s="11" t="n">
        <x:v>0.936666667</x:v>
      </x:c>
      <x:c r="I1288" s="11" t="n">
        <x:f>H1288-G1288</x:f>
        <x:v>0.936666667</x:v>
      </x:c>
      <x:c r="J1288" s="10" t="str">
        <x:v>메일 질문부터 읽고, 이 설명은 멈춘 곳부터 계속해.</x:v>
      </x:c>
      <x:c r="K1288" s="10" t="str">
        <x:v>메일 질문을 읽은 뒤 보고서 설명을 이어갑니다.</x:v>
      </x:c>
      <x:c r="L1288" s="11" t="n">
        <x:v>0.936666667</x:v>
      </x:c>
      <x:c r="M1288" s="11" t="n">
        <x:f>L1288-G1288</x:f>
        <x:v>0.936666667</x:v>
      </x:c>
      <x:c r="N1288" s="10" t="str">
        <x:v>AUTHORED_AVAILABLE</x:v>
      </x:c>
    </x:row>
    <x:row r="1289" ht="85" customHeight="1">
      <x:c r="A1289" s="10" t="str">
        <x:v>D-B</x:v>
      </x:c>
      <x:c r="B1289" s="10" t="str">
        <x:v>DELIVERY</x:v>
      </x:c>
      <x:c r="C1289" s="10" t="str">
        <x:v>DELIVERY:S05-02</x:v>
      </x:c>
      <x:c r="D1289" s="10" t="str">
        <x:v>DELIVERY:S05-02:input</x:v>
      </x:c>
      <x:c r="E1289" s="10" t="str">
        <x:v>D-S05</x:v>
      </x:c>
      <x:c r="F1289" s="10" t="n">
        <x:v>1</x:v>
      </x:c>
      <x:c r="G1289" s="11" t="n">
        <x:v>0</x:v>
      </x:c>
      <x:c r="H1289" s="11" t="n">
        <x:v>0.936666667</x:v>
      </x:c>
      <x:c r="I1289" s="11" t="n">
        <x:f>H1289-G1289</x:f>
        <x:v>0.936666667</x:v>
      </x:c>
      <x:c r="J1289" s="10" t="str">
        <x:v>메일 질문부터 읽고, 이 설명은 멈춘 곳부터 계속해.</x:v>
      </x:c>
      <x:c r="K1289" s="10" t="str">
        <x:v>메일 질문을 읽은 뒤 보고서 설명을 이어갑니다.</x:v>
      </x:c>
      <x:c r="L1289" s="11" t="n">
        <x:v>1.337666667</x:v>
      </x:c>
      <x:c r="M1289" s="11" t="n">
        <x:f>L1289-G1289</x:f>
        <x:v>1.337666667</x:v>
      </x:c>
      <x:c r="N1289" s="10" t="str">
        <x:v>AUTHORED_AVAILABLE</x:v>
      </x:c>
    </x:row>
    <x:row r="1290" ht="85" customHeight="1">
      <x:c r="A1290" s="10" t="str">
        <x:v>D-A</x:v>
      </x:c>
      <x:c r="B1290" s="10" t="str">
        <x:v>DELIVERY</x:v>
      </x:c>
      <x:c r="C1290" s="10" t="str">
        <x:v>DELIVERY:S05-03</x:v>
      </x:c>
      <x:c r="D1290" s="10" t="str">
        <x:v>DELIVERY:S05-03:input</x:v>
      </x:c>
      <x:c r="E1290" s="10" t="str">
        <x:v>D-S05</x:v>
      </x:c>
      <x:c r="F1290" s="10" t="n">
        <x:v>1</x:v>
      </x:c>
      <x:c r="G1290" s="11" t="n">
        <x:v>0</x:v>
      </x:c>
      <x:c r="H1290" s="11" t="n">
        <x:v>0.89</x:v>
      </x:c>
      <x:c r="I1290" s="11" t="n">
        <x:f>H1290-G1290</x:f>
        <x:v>0.89</x:v>
      </x:c>
      <x:c r="J1290" s="10" t="str">
        <x:v>메일 질문부터 읽고, 이 설명은 멈춘 곳부터 계속해.</x:v>
      </x:c>
      <x:c r="K1290" s="10" t="str">
        <x:v>메일 질문을 읽은 뒤 보고서 설명을 이어갑니다.</x:v>
      </x:c>
      <x:c r="L1290" s="11" t="n">
        <x:v>0.89</x:v>
      </x:c>
      <x:c r="M1290" s="11" t="n">
        <x:f>L1290-G1290</x:f>
        <x:v>0.89</x:v>
      </x:c>
      <x:c r="N1290" s="10" t="str">
        <x:v>AUTHORED_AVAILABLE</x:v>
      </x:c>
    </x:row>
    <x:row r="1291" ht="85" customHeight="1">
      <x:c r="A1291" s="10" t="str">
        <x:v>D-B</x:v>
      </x:c>
      <x:c r="B1291" s="10" t="str">
        <x:v>DELIVERY</x:v>
      </x:c>
      <x:c r="C1291" s="10" t="str">
        <x:v>DELIVERY:S05-03</x:v>
      </x:c>
      <x:c r="D1291" s="10" t="str">
        <x:v>DELIVERY:S05-03:input</x:v>
      </x:c>
      <x:c r="E1291" s="10" t="str">
        <x:v>D-S05</x:v>
      </x:c>
      <x:c r="F1291" s="10" t="n">
        <x:v>1</x:v>
      </x:c>
      <x:c r="G1291" s="11" t="n">
        <x:v>0</x:v>
      </x:c>
      <x:c r="H1291" s="11" t="n">
        <x:v>0.89</x:v>
      </x:c>
      <x:c r="I1291" s="11" t="n">
        <x:f>H1291-G1291</x:f>
        <x:v>0.89</x:v>
      </x:c>
      <x:c r="J1291" s="10" t="str">
        <x:v>메일 질문부터 읽고, 이 설명은 멈춘 곳부터 계속해.</x:v>
      </x:c>
      <x:c r="K1291" s="10" t="str">
        <x:v>메일 질문을 읽은 뒤 보고서 설명을 이어갑니다.</x:v>
      </x:c>
      <x:c r="L1291" s="11" t="n">
        <x:v>1.291</x:v>
      </x:c>
      <x:c r="M1291" s="11" t="n">
        <x:f>L1291-G1291</x:f>
        <x:v>1.291</x:v>
      </x:c>
      <x:c r="N1291" s="10" t="str">
        <x:v>AUTHORED_AVAILABLE</x:v>
      </x:c>
    </x:row>
    <x:row r="1292" ht="85" customHeight="1">
      <x:c r="A1292" s="10" t="str">
        <x:v>D-A</x:v>
      </x:c>
      <x:c r="B1292" s="10" t="str">
        <x:v>DELIVERY</x:v>
      </x:c>
      <x:c r="C1292" s="10" t="str">
        <x:v>DELIVERY:S05-04</x:v>
      </x:c>
      <x:c r="D1292" s="10" t="str">
        <x:v>DELIVERY:S05-04:input</x:v>
      </x:c>
      <x:c r="E1292" s="10" t="str">
        <x:v>D-S05</x:v>
      </x:c>
      <x:c r="F1292" s="10" t="n">
        <x:v>1</x:v>
      </x:c>
      <x:c r="G1292" s="11" t="n">
        <x:v>0</x:v>
      </x:c>
      <x:c r="H1292" s="11" t="n">
        <x:v>0.918333333</x:v>
      </x:c>
      <x:c r="I1292" s="11" t="n">
        <x:f>H1292-G1292</x:f>
        <x:v>0.918333333</x:v>
      </x:c>
      <x:c r="J1292" s="10" t="str">
        <x:v>메일 질문부터 읽고, 이 설명은 멈춘 곳부터 계속해.</x:v>
      </x:c>
      <x:c r="K1292" s="10" t="str">
        <x:v>메일 질문을 읽은 뒤 보고서 설명을 이어갑니다.</x:v>
      </x:c>
      <x:c r="L1292" s="11" t="n">
        <x:v>0.918333333</x:v>
      </x:c>
      <x:c r="M1292" s="11" t="n">
        <x:f>L1292-G1292</x:f>
        <x:v>0.918333333</x:v>
      </x:c>
      <x:c r="N1292" s="10" t="str">
        <x:v>AUTHORED_AVAILABLE</x:v>
      </x:c>
    </x:row>
    <x:row r="1293" ht="85" customHeight="1">
      <x:c r="A1293" s="10" t="str">
        <x:v>D-B</x:v>
      </x:c>
      <x:c r="B1293" s="10" t="str">
        <x:v>DELIVERY</x:v>
      </x:c>
      <x:c r="C1293" s="10" t="str">
        <x:v>DELIVERY:S05-04</x:v>
      </x:c>
      <x:c r="D1293" s="10" t="str">
        <x:v>DELIVERY:S05-04:input</x:v>
      </x:c>
      <x:c r="E1293" s="10" t="str">
        <x:v>D-S05</x:v>
      </x:c>
      <x:c r="F1293" s="10" t="n">
        <x:v>1</x:v>
      </x:c>
      <x:c r="G1293" s="11" t="n">
        <x:v>0</x:v>
      </x:c>
      <x:c r="H1293" s="11" t="n">
        <x:v>0.918333333</x:v>
      </x:c>
      <x:c r="I1293" s="11" t="n">
        <x:f>H1293-G1293</x:f>
        <x:v>0.918333333</x:v>
      </x:c>
      <x:c r="J1293" s="10" t="str">
        <x:v>메일 질문부터 읽고, 이 설명은 멈춘 곳부터 계속해.</x:v>
      </x:c>
      <x:c r="K1293" s="10" t="str">
        <x:v>메일 질문을 읽은 뒤 보고서 설명을 이어갑니다.</x:v>
      </x:c>
      <x:c r="L1293" s="11" t="n">
        <x:v>1.319333333</x:v>
      </x:c>
      <x:c r="M1293" s="11" t="n">
        <x:f>L1293-G1293</x:f>
        <x:v>1.319333333</x:v>
      </x:c>
      <x:c r="N1293" s="10" t="str">
        <x:v>AUTHORED_AVAILABLE</x:v>
      </x:c>
    </x:row>
    <x:row r="1294" ht="85" customHeight="1">
      <x:c r="A1294" s="10" t="str">
        <x:v>D-A</x:v>
      </x:c>
      <x:c r="B1294" s="10" t="str">
        <x:v>DELIVERY</x:v>
      </x:c>
      <x:c r="C1294" s="10" t="str">
        <x:v>DELIVERY:S05-05</x:v>
      </x:c>
      <x:c r="D1294" s="10" t="str">
        <x:v>DELIVERY:S05-05:input</x:v>
      </x:c>
      <x:c r="E1294" s="10" t="str">
        <x:v>D-S05</x:v>
      </x:c>
      <x:c r="F1294" s="10" t="n">
        <x:v>1</x:v>
      </x:c>
      <x:c r="G1294" s="11" t="n">
        <x:v>0</x:v>
      </x:c>
      <x:c r="H1294" s="11" t="n">
        <x:v>0.946666667</x:v>
      </x:c>
      <x:c r="I1294" s="11" t="n">
        <x:f>H1294-G1294</x:f>
        <x:v>0.946666667</x:v>
      </x:c>
      <x:c r="J1294" s="10" t="str">
        <x:v>메일 질문부터 읽고, 이 설명은 멈춘 곳부터 계속해.</x:v>
      </x:c>
      <x:c r="K1294" s="10" t="str">
        <x:v>메일 질문을 읽은 뒤 보고서 설명을 이어갑니다.</x:v>
      </x:c>
      <x:c r="L1294" s="11" t="n">
        <x:v>0.946666667</x:v>
      </x:c>
      <x:c r="M1294" s="11" t="n">
        <x:f>L1294-G1294</x:f>
        <x:v>0.946666667</x:v>
      </x:c>
      <x:c r="N1294" s="10" t="str">
        <x:v>AUTHORED_AVAILABLE</x:v>
      </x:c>
    </x:row>
    <x:row r="1295" ht="85" customHeight="1">
      <x:c r="A1295" s="10" t="str">
        <x:v>D-B</x:v>
      </x:c>
      <x:c r="B1295" s="10" t="str">
        <x:v>DELIVERY</x:v>
      </x:c>
      <x:c r="C1295" s="10" t="str">
        <x:v>DELIVERY:S05-05</x:v>
      </x:c>
      <x:c r="D1295" s="10" t="str">
        <x:v>DELIVERY:S05-05:input</x:v>
      </x:c>
      <x:c r="E1295" s="10" t="str">
        <x:v>D-S05</x:v>
      </x:c>
      <x:c r="F1295" s="10" t="n">
        <x:v>1</x:v>
      </x:c>
      <x:c r="G1295" s="11" t="n">
        <x:v>0</x:v>
      </x:c>
      <x:c r="H1295" s="11" t="n">
        <x:v>0.946666667</x:v>
      </x:c>
      <x:c r="I1295" s="11" t="n">
        <x:f>H1295-G1295</x:f>
        <x:v>0.946666667</x:v>
      </x:c>
      <x:c r="J1295" s="10" t="str">
        <x:v>메일 질문부터 읽고, 이 설명은 멈춘 곳부터 계속해.</x:v>
      </x:c>
      <x:c r="K1295" s="10" t="str">
        <x:v>메일 질문을 읽은 뒤 보고서 설명을 이어갑니다.</x:v>
      </x:c>
      <x:c r="L1295" s="11" t="n">
        <x:v>1.347666667</x:v>
      </x:c>
      <x:c r="M1295" s="11" t="n">
        <x:f>L1295-G1295</x:f>
        <x:v>1.347666667</x:v>
      </x:c>
      <x:c r="N1295" s="10" t="str">
        <x:v>AUTHORED_AVAILABLE</x:v>
      </x:c>
    </x:row>
    <x:row r="1296" ht="85" customHeight="1">
      <x:c r="A1296" s="10" t="str">
        <x:v>D-A</x:v>
      </x:c>
      <x:c r="B1296" s="10" t="str">
        <x:v>DELIVERY</x:v>
      </x:c>
      <x:c r="C1296" s="10" t="str">
        <x:v>DELIVERY:S05-06</x:v>
      </x:c>
      <x:c r="D1296" s="10" t="str">
        <x:v>DELIVERY:S05-06:input</x:v>
      </x:c>
      <x:c r="E1296" s="10" t="str">
        <x:v>D-S05</x:v>
      </x:c>
      <x:c r="F1296" s="10" t="n">
        <x:v>1</x:v>
      </x:c>
      <x:c r="G1296" s="11" t="n">
        <x:v>0</x:v>
      </x:c>
      <x:c r="H1296" s="11" t="n">
        <x:v>0.9</x:v>
      </x:c>
      <x:c r="I1296" s="11" t="n">
        <x:f>H1296-G1296</x:f>
        <x:v>0.9</x:v>
      </x:c>
      <x:c r="J1296" s="10" t="str">
        <x:v>메일 질문부터 읽고, 이 설명은 멈춘 곳부터 계속해.</x:v>
      </x:c>
      <x:c r="K1296" s="10" t="str">
        <x:v>메일 질문을 읽은 뒤 보고서 설명을 이어갑니다.</x:v>
      </x:c>
      <x:c r="L1296" s="11" t="n">
        <x:v>0.9</x:v>
      </x:c>
      <x:c r="M1296" s="11" t="n">
        <x:f>L1296-G1296</x:f>
        <x:v>0.9</x:v>
      </x:c>
      <x:c r="N1296" s="10" t="str">
        <x:v>AUTHORED_AVAILABLE</x:v>
      </x:c>
    </x:row>
    <x:row r="1297" ht="85" customHeight="1">
      <x:c r="A1297" s="10" t="str">
        <x:v>D-B</x:v>
      </x:c>
      <x:c r="B1297" s="10" t="str">
        <x:v>DELIVERY</x:v>
      </x:c>
      <x:c r="C1297" s="10" t="str">
        <x:v>DELIVERY:S05-06</x:v>
      </x:c>
      <x:c r="D1297" s="10" t="str">
        <x:v>DELIVERY:S05-06:input</x:v>
      </x:c>
      <x:c r="E1297" s="10" t="str">
        <x:v>D-S05</x:v>
      </x:c>
      <x:c r="F1297" s="10" t="n">
        <x:v>1</x:v>
      </x:c>
      <x:c r="G1297" s="11" t="n">
        <x:v>0</x:v>
      </x:c>
      <x:c r="H1297" s="11" t="n">
        <x:v>0.9</x:v>
      </x:c>
      <x:c r="I1297" s="11" t="n">
        <x:f>H1297-G1297</x:f>
        <x:v>0.9</x:v>
      </x:c>
      <x:c r="J1297" s="10" t="str">
        <x:v>메일 질문부터 읽고, 이 설명은 멈춘 곳부터 계속해.</x:v>
      </x:c>
      <x:c r="K1297" s="10" t="str">
        <x:v>메일 질문을 읽은 뒤 보고서 설명을 이어갑니다.</x:v>
      </x:c>
      <x:c r="L1297" s="11" t="n">
        <x:v>1.301</x:v>
      </x:c>
      <x:c r="M1297" s="11" t="n">
        <x:f>L1297-G1297</x:f>
        <x:v>1.301</x:v>
      </x:c>
      <x:c r="N1297" s="10" t="str">
        <x:v>AUTHORED_AVAILABLE</x:v>
      </x:c>
    </x:row>
    <x:row r="1298" ht="85" customHeight="1">
      <x:c r="A1298" s="10" t="str">
        <x:v>D-A</x:v>
      </x:c>
      <x:c r="B1298" s="10" t="str">
        <x:v>DELIVERY</x:v>
      </x:c>
      <x:c r="C1298" s="10" t="str">
        <x:v>DELIVERY:S05-07</x:v>
      </x:c>
      <x:c r="D1298" s="10" t="str">
        <x:v>DELIVERY:S05-07:input</x:v>
      </x:c>
      <x:c r="E1298" s="10" t="str">
        <x:v>D-S05</x:v>
      </x:c>
      <x:c r="F1298" s="10" t="n">
        <x:v>1</x:v>
      </x:c>
      <x:c r="G1298" s="11" t="n">
        <x:v>0</x:v>
      </x:c>
      <x:c r="H1298" s="11" t="n">
        <x:v>0.928333333</x:v>
      </x:c>
      <x:c r="I1298" s="11" t="n">
        <x:f>H1298-G1298</x:f>
        <x:v>0.928333333</x:v>
      </x:c>
      <x:c r="J1298" s="10" t="str">
        <x:v>메일 질문부터 읽고, 이 설명은 멈춘 곳부터 계속해.</x:v>
      </x:c>
      <x:c r="K1298" s="10" t="str">
        <x:v>메일 질문을 읽은 뒤 보고서 설명을 이어갑니다.</x:v>
      </x:c>
      <x:c r="L1298" s="11" t="n">
        <x:v>0.928333333</x:v>
      </x:c>
      <x:c r="M1298" s="11" t="n">
        <x:f>L1298-G1298</x:f>
        <x:v>0.928333333</x:v>
      </x:c>
      <x:c r="N1298" s="10" t="str">
        <x:v>AUTHORED_AVAILABLE</x:v>
      </x:c>
    </x:row>
    <x:row r="1299" ht="85" customHeight="1">
      <x:c r="A1299" s="10" t="str">
        <x:v>D-B</x:v>
      </x:c>
      <x:c r="B1299" s="10" t="str">
        <x:v>DELIVERY</x:v>
      </x:c>
      <x:c r="C1299" s="10" t="str">
        <x:v>DELIVERY:S05-07</x:v>
      </x:c>
      <x:c r="D1299" s="10" t="str">
        <x:v>DELIVERY:S05-07:input</x:v>
      </x:c>
      <x:c r="E1299" s="10" t="str">
        <x:v>D-S05</x:v>
      </x:c>
      <x:c r="F1299" s="10" t="n">
        <x:v>1</x:v>
      </x:c>
      <x:c r="G1299" s="11" t="n">
        <x:v>0</x:v>
      </x:c>
      <x:c r="H1299" s="11" t="n">
        <x:v>0.928333333</x:v>
      </x:c>
      <x:c r="I1299" s="11" t="n">
        <x:f>H1299-G1299</x:f>
        <x:v>0.928333333</x:v>
      </x:c>
      <x:c r="J1299" s="10" t="str">
        <x:v>메일 질문부터 읽고, 이 설명은 멈춘 곳부터 계속해.</x:v>
      </x:c>
      <x:c r="K1299" s="10" t="str">
        <x:v>메일 질문을 읽은 뒤 보고서 설명을 이어갑니다.</x:v>
      </x:c>
      <x:c r="L1299" s="11" t="n">
        <x:v>1.329333333</x:v>
      </x:c>
      <x:c r="M1299" s="11" t="n">
        <x:f>L1299-G1299</x:f>
        <x:v>1.329333333</x:v>
      </x:c>
      <x:c r="N1299" s="10" t="str">
        <x:v>AUTHORED_AVAILABLE</x:v>
      </x:c>
    </x:row>
    <x:row r="1300" ht="85" customHeight="1">
      <x:c r="A1300" s="10" t="str">
        <x:v>D-A</x:v>
      </x:c>
      <x:c r="B1300" s="10" t="str">
        <x:v>DELIVERY</x:v>
      </x:c>
      <x:c r="C1300" s="10" t="str">
        <x:v>DELIVERY:S05-08</x:v>
      </x:c>
      <x:c r="D1300" s="10" t="str">
        <x:v>DELIVERY:S05-08:input</x:v>
      </x:c>
      <x:c r="E1300" s="10" t="str">
        <x:v>D-S05</x:v>
      </x:c>
      <x:c r="F1300" s="10" t="n">
        <x:v>1</x:v>
      </x:c>
      <x:c r="G1300" s="11" t="n">
        <x:v>0</x:v>
      </x:c>
      <x:c r="H1300" s="11" t="n">
        <x:v>0.956666667</x:v>
      </x:c>
      <x:c r="I1300" s="11" t="n">
        <x:f>H1300-G1300</x:f>
        <x:v>0.956666667</x:v>
      </x:c>
      <x:c r="J1300" s="10" t="str">
        <x:v>메일 질문부터 읽고, 이 설명은 멈춘 곳부터 계속해.</x:v>
      </x:c>
      <x:c r="K1300" s="10" t="str">
        <x:v>메일 질문을 읽은 뒤 보고서 설명을 이어갑니다.</x:v>
      </x:c>
      <x:c r="L1300" s="11" t="n">
        <x:v>0.956666667</x:v>
      </x:c>
      <x:c r="M1300" s="11" t="n">
        <x:f>L1300-G1300</x:f>
        <x:v>0.956666667</x:v>
      </x:c>
      <x:c r="N1300" s="10" t="str">
        <x:v>AUTHORED_AVAILABLE</x:v>
      </x:c>
    </x:row>
    <x:row r="1301" ht="85" customHeight="1">
      <x:c r="A1301" s="10" t="str">
        <x:v>D-B</x:v>
      </x:c>
      <x:c r="B1301" s="10" t="str">
        <x:v>DELIVERY</x:v>
      </x:c>
      <x:c r="C1301" s="10" t="str">
        <x:v>DELIVERY:S05-08</x:v>
      </x:c>
      <x:c r="D1301" s="10" t="str">
        <x:v>DELIVERY:S05-08:input</x:v>
      </x:c>
      <x:c r="E1301" s="10" t="str">
        <x:v>D-S05</x:v>
      </x:c>
      <x:c r="F1301" s="10" t="n">
        <x:v>1</x:v>
      </x:c>
      <x:c r="G1301" s="11" t="n">
        <x:v>0</x:v>
      </x:c>
      <x:c r="H1301" s="11" t="n">
        <x:v>0.956666667</x:v>
      </x:c>
      <x:c r="I1301" s="11" t="n">
        <x:f>H1301-G1301</x:f>
        <x:v>0.956666667</x:v>
      </x:c>
      <x:c r="J1301" s="10" t="str">
        <x:v>메일 질문부터 읽고, 이 설명은 멈춘 곳부터 계속해.</x:v>
      </x:c>
      <x:c r="K1301" s="10" t="str">
        <x:v>메일 질문을 읽은 뒤 보고서 설명을 이어갑니다.</x:v>
      </x:c>
      <x:c r="L1301" s="11" t="n">
        <x:v>1.357666667</x:v>
      </x:c>
      <x:c r="M1301" s="11" t="n">
        <x:f>L1301-G1301</x:f>
        <x:v>1.357666667</x:v>
      </x:c>
      <x:c r="N1301" s="10" t="str">
        <x:v>AUTHORED_AVAILABLE</x:v>
      </x:c>
    </x:row>
    <x:row r="1302" ht="85" customHeight="1">
      <x:c r="A1302" s="10" t="str">
        <x:v>D-A</x:v>
      </x:c>
      <x:c r="B1302" s="10" t="str">
        <x:v>DELIVERY</x:v>
      </x:c>
      <x:c r="C1302" s="10" t="str">
        <x:v>DELIVERY:S05-09</x:v>
      </x:c>
      <x:c r="D1302" s="10" t="str">
        <x:v>DELIVERY:S05-09:input</x:v>
      </x:c>
      <x:c r="E1302" s="10" t="str">
        <x:v>D-S05</x:v>
      </x:c>
      <x:c r="F1302" s="10" t="n">
        <x:v>1</x:v>
      </x:c>
      <x:c r="G1302" s="11" t="n">
        <x:v>0</x:v>
      </x:c>
      <x:c r="H1302" s="11" t="n">
        <x:v>0.91</x:v>
      </x:c>
      <x:c r="I1302" s="11" t="n">
        <x:f>H1302-G1302</x:f>
        <x:v>0.91</x:v>
      </x:c>
      <x:c r="J1302" s="10" t="str">
        <x:v>메일 질문부터 읽고, 이 설명은 멈춘 곳부터 계속해.</x:v>
      </x:c>
      <x:c r="K1302" s="10" t="str">
        <x:v>메일 질문을 읽은 뒤 보고서 설명을 이어갑니다.</x:v>
      </x:c>
      <x:c r="L1302" s="11" t="n">
        <x:v>0.91</x:v>
      </x:c>
      <x:c r="M1302" s="11" t="n">
        <x:f>L1302-G1302</x:f>
        <x:v>0.91</x:v>
      </x:c>
      <x:c r="N1302" s="10" t="str">
        <x:v>AUTHORED_AVAILABLE</x:v>
      </x:c>
    </x:row>
    <x:row r="1303" ht="85" customHeight="1">
      <x:c r="A1303" s="10" t="str">
        <x:v>D-B</x:v>
      </x:c>
      <x:c r="B1303" s="10" t="str">
        <x:v>DELIVERY</x:v>
      </x:c>
      <x:c r="C1303" s="10" t="str">
        <x:v>DELIVERY:S05-09</x:v>
      </x:c>
      <x:c r="D1303" s="10" t="str">
        <x:v>DELIVERY:S05-09:input</x:v>
      </x:c>
      <x:c r="E1303" s="10" t="str">
        <x:v>D-S05</x:v>
      </x:c>
      <x:c r="F1303" s="10" t="n">
        <x:v>1</x:v>
      </x:c>
      <x:c r="G1303" s="11" t="n">
        <x:v>0</x:v>
      </x:c>
      <x:c r="H1303" s="11" t="n">
        <x:v>0.91</x:v>
      </x:c>
      <x:c r="I1303" s="11" t="n">
        <x:f>H1303-G1303</x:f>
        <x:v>0.91</x:v>
      </x:c>
      <x:c r="J1303" s="10" t="str">
        <x:v>메일 질문부터 읽고, 이 설명은 멈춘 곳부터 계속해.</x:v>
      </x:c>
      <x:c r="K1303" s="10" t="str">
        <x:v>메일 질문을 읽은 뒤 보고서 설명을 이어갑니다.</x:v>
      </x:c>
      <x:c r="L1303" s="11" t="n">
        <x:v>1.311</x:v>
      </x:c>
      <x:c r="M1303" s="11" t="n">
        <x:f>L1303-G1303</x:f>
        <x:v>1.311</x:v>
      </x:c>
      <x:c r="N1303" s="10" t="str">
        <x:v>AUTHORED_AVAILABLE</x:v>
      </x:c>
    </x:row>
    <x:row r="1304" ht="85" customHeight="1">
      <x:c r="A1304" s="10" t="str">
        <x:v>D-A</x:v>
      </x:c>
      <x:c r="B1304" s="10" t="str">
        <x:v>DELIVERY</x:v>
      </x:c>
      <x:c r="C1304" s="10" t="str">
        <x:v>DELIVERY:S05-10</x:v>
      </x:c>
      <x:c r="D1304" s="10" t="str">
        <x:v>DELIVERY:S05-10:input</x:v>
      </x:c>
      <x:c r="E1304" s="10" t="str">
        <x:v>D-S05</x:v>
      </x:c>
      <x:c r="F1304" s="10" t="n">
        <x:v>1</x:v>
      </x:c>
      <x:c r="G1304" s="11" t="n">
        <x:v>0</x:v>
      </x:c>
      <x:c r="H1304" s="11" t="n">
        <x:v>0.938333333</x:v>
      </x:c>
      <x:c r="I1304" s="11" t="n">
        <x:f>H1304-G1304</x:f>
        <x:v>0.938333333</x:v>
      </x:c>
      <x:c r="J1304" s="10" t="str">
        <x:v>메일 질문부터 읽고, 이 설명은 멈춘 곳부터 계속해.</x:v>
      </x:c>
      <x:c r="K1304" s="10" t="str">
        <x:v>메일 질문을 읽은 뒤 보고서 설명을 이어갑니다.</x:v>
      </x:c>
      <x:c r="L1304" s="11" t="n">
        <x:v>0.938333333</x:v>
      </x:c>
      <x:c r="M1304" s="11" t="n">
        <x:f>L1304-G1304</x:f>
        <x:v>0.938333333</x:v>
      </x:c>
      <x:c r="N1304" s="10" t="str">
        <x:v>AUTHORED_AVAILABLE</x:v>
      </x:c>
    </x:row>
    <x:row r="1305" ht="85" customHeight="1">
      <x:c r="A1305" s="10" t="str">
        <x:v>D-B</x:v>
      </x:c>
      <x:c r="B1305" s="10" t="str">
        <x:v>DELIVERY</x:v>
      </x:c>
      <x:c r="C1305" s="10" t="str">
        <x:v>DELIVERY:S05-10</x:v>
      </x:c>
      <x:c r="D1305" s="10" t="str">
        <x:v>DELIVERY:S05-10:input</x:v>
      </x:c>
      <x:c r="E1305" s="10" t="str">
        <x:v>D-S05</x:v>
      </x:c>
      <x:c r="F1305" s="10" t="n">
        <x:v>1</x:v>
      </x:c>
      <x:c r="G1305" s="11" t="n">
        <x:v>0</x:v>
      </x:c>
      <x:c r="H1305" s="11" t="n">
        <x:v>0.938333333</x:v>
      </x:c>
      <x:c r="I1305" s="11" t="n">
        <x:f>H1305-G1305</x:f>
        <x:v>0.938333333</x:v>
      </x:c>
      <x:c r="J1305" s="10" t="str">
        <x:v>메일 질문부터 읽고, 이 설명은 멈춘 곳부터 계속해.</x:v>
      </x:c>
      <x:c r="K1305" s="10" t="str">
        <x:v>메일 질문을 읽은 뒤 보고서 설명을 이어갑니다.</x:v>
      </x:c>
      <x:c r="L1305" s="11" t="n">
        <x:v>1.339333333</x:v>
      </x:c>
      <x:c r="M1305" s="11" t="n">
        <x:f>L1305-G1305</x:f>
        <x:v>1.339333333</x:v>
      </x:c>
      <x:c r="N1305" s="10" t="str">
        <x:v>AUTHORED_AVAILABLE</x:v>
      </x:c>
    </x:row>
    <x:row r="1306" ht="85" customHeight="1">
      <x:c r="A1306" s="10" t="str">
        <x:v>D-A</x:v>
      </x:c>
      <x:c r="B1306" s="10" t="str">
        <x:v>DELIVERY</x:v>
      </x:c>
      <x:c r="C1306" s="10" t="str">
        <x:v>DELIVERY:S06-01</x:v>
      </x:c>
      <x:c r="D1306" s="10" t="str">
        <x:v>DELIVERY:S06-01:input</x:v>
      </x:c>
      <x:c r="E1306" s="10" t="str">
        <x:v>D-S06</x:v>
      </x:c>
      <x:c r="F1306" s="10" t="n">
        <x:v>1</x:v>
      </x:c>
      <x:c r="G1306" s="11" t="n">
        <x:v>0</x:v>
      </x:c>
      <x:c r="H1306" s="11" t="n">
        <x:v>0.908333333</x:v>
      </x:c>
      <x:c r="I1306" s="11" t="n">
        <x:f>H1306-G1306</x:f>
        <x:v>0.908333333</x:v>
      </x:c>
      <x:c r="J1306" s="10" t="str">
        <x:v>그 설명을 멈춘 곳부터 이어서 읽어줘.</x:v>
      </x:c>
      <x:c r="K1306" s="10" t="str">
        <x:v>보고서의 다음 항목은 비용 비교입니다.</x:v>
      </x:c>
      <x:c r="L1306" s="11" t="n">
        <x:v>0.908333333</x:v>
      </x:c>
      <x:c r="M1306" s="11" t="n">
        <x:f>L1306-G1306</x:f>
        <x:v>0.908333333</x:v>
      </x:c>
      <x:c r="N1306" s="10" t="str">
        <x:v>AUTHORED_AVAILABLE</x:v>
      </x:c>
    </x:row>
    <x:row r="1307" ht="85" customHeight="1">
      <x:c r="A1307" s="10" t="str">
        <x:v>D-B</x:v>
      </x:c>
      <x:c r="B1307" s="10" t="str">
        <x:v>DELIVERY</x:v>
      </x:c>
      <x:c r="C1307" s="10" t="str">
        <x:v>DELIVERY:S06-01</x:v>
      </x:c>
      <x:c r="D1307" s="10" t="str">
        <x:v>DELIVERY:S06-01:input</x:v>
      </x:c>
      <x:c r="E1307" s="10" t="str">
        <x:v>D-S06</x:v>
      </x:c>
      <x:c r="F1307" s="10" t="n">
        <x:v>1</x:v>
      </x:c>
      <x:c r="G1307" s="11" t="n">
        <x:v>0</x:v>
      </x:c>
      <x:c r="H1307" s="11" t="n">
        <x:v>0.908333333</x:v>
      </x:c>
      <x:c r="I1307" s="11" t="n">
        <x:f>H1307-G1307</x:f>
        <x:v>0.908333333</x:v>
      </x:c>
      <x:c r="J1307" s="10" t="str">
        <x:v>그 설명을 멈춘 곳부터 이어서 읽어줘.</x:v>
      </x:c>
      <x:c r="K1307" s="10" t="str">
        <x:v>보고서의 다음 항목은 비용 비교입니다.</x:v>
      </x:c>
      <x:c r="L1307" s="11" t="n">
        <x:v>0.908333333</x:v>
      </x:c>
      <x:c r="M1307" s="11" t="n">
        <x:f>L1307-G1307</x:f>
        <x:v>0.908333333</x:v>
      </x:c>
      <x:c r="N1307" s="10" t="str">
        <x:v>AUTHORED_AVAILABLE</x:v>
      </x:c>
    </x:row>
    <x:row r="1308" ht="85" customHeight="1">
      <x:c r="A1308" s="10" t="str">
        <x:v>D-A</x:v>
      </x:c>
      <x:c r="B1308" s="10" t="str">
        <x:v>DELIVERY</x:v>
      </x:c>
      <x:c r="C1308" s="10" t="str">
        <x:v>DELIVERY:S06-02</x:v>
      </x:c>
      <x:c r="D1308" s="10" t="str">
        <x:v>DELIVERY:S06-02:input</x:v>
      </x:c>
      <x:c r="E1308" s="10" t="str">
        <x:v>D-S06</x:v>
      </x:c>
      <x:c r="F1308" s="10" t="n">
        <x:v>1</x:v>
      </x:c>
      <x:c r="G1308" s="11" t="n">
        <x:v>0</x:v>
      </x:c>
      <x:c r="H1308" s="11" t="n">
        <x:v>0.936666667</x:v>
      </x:c>
      <x:c r="I1308" s="11" t="n">
        <x:f>H1308-G1308</x:f>
        <x:v>0.936666667</x:v>
      </x:c>
      <x:c r="J1308" s="10" t="str">
        <x:v>그 설명을 멈춘 곳부터 이어서 읽어줘.</x:v>
      </x:c>
      <x:c r="K1308" s="10" t="str">
        <x:v>보고서의 다음 항목은 비용 비교입니다.</x:v>
      </x:c>
      <x:c r="L1308" s="11" t="n">
        <x:v>0.936666667</x:v>
      </x:c>
      <x:c r="M1308" s="11" t="n">
        <x:f>L1308-G1308</x:f>
        <x:v>0.936666667</x:v>
      </x:c>
      <x:c r="N1308" s="10" t="str">
        <x:v>AUTHORED_AVAILABLE</x:v>
      </x:c>
    </x:row>
    <x:row r="1309" ht="85" customHeight="1">
      <x:c r="A1309" s="10" t="str">
        <x:v>D-B</x:v>
      </x:c>
      <x:c r="B1309" s="10" t="str">
        <x:v>DELIVERY</x:v>
      </x:c>
      <x:c r="C1309" s="10" t="str">
        <x:v>DELIVERY:S06-02</x:v>
      </x:c>
      <x:c r="D1309" s="10" t="str">
        <x:v>DELIVERY:S06-02:input</x:v>
      </x:c>
      <x:c r="E1309" s="10" t="str">
        <x:v>D-S06</x:v>
      </x:c>
      <x:c r="F1309" s="10" t="n">
        <x:v>1</x:v>
      </x:c>
      <x:c r="G1309" s="11" t="n">
        <x:v>0</x:v>
      </x:c>
      <x:c r="H1309" s="11" t="n">
        <x:v>0.936666667</x:v>
      </x:c>
      <x:c r="I1309" s="11" t="n">
        <x:f>H1309-G1309</x:f>
        <x:v>0.936666667</x:v>
      </x:c>
      <x:c r="J1309" s="10" t="str">
        <x:v>그 설명을 멈춘 곳부터 이어서 읽어줘.</x:v>
      </x:c>
      <x:c r="K1309" s="10" t="str">
        <x:v>보고서의 다음 항목은 비용 비교입니다.</x:v>
      </x:c>
      <x:c r="L1309" s="11" t="n">
        <x:v>0.936666667</x:v>
      </x:c>
      <x:c r="M1309" s="11" t="n">
        <x:f>L1309-G1309</x:f>
        <x:v>0.936666667</x:v>
      </x:c>
      <x:c r="N1309" s="10" t="str">
        <x:v>AUTHORED_AVAILABLE</x:v>
      </x:c>
    </x:row>
    <x:row r="1310" ht="85" customHeight="1">
      <x:c r="A1310" s="10" t="str">
        <x:v>D-A</x:v>
      </x:c>
      <x:c r="B1310" s="10" t="str">
        <x:v>DELIVERY</x:v>
      </x:c>
      <x:c r="C1310" s="10" t="str">
        <x:v>DELIVERY:S06-03</x:v>
      </x:c>
      <x:c r="D1310" s="10" t="str">
        <x:v>DELIVERY:S06-03:input</x:v>
      </x:c>
      <x:c r="E1310" s="10" t="str">
        <x:v>D-S06</x:v>
      </x:c>
      <x:c r="F1310" s="10" t="n">
        <x:v>1</x:v>
      </x:c>
      <x:c r="G1310" s="11" t="n">
        <x:v>0</x:v>
      </x:c>
      <x:c r="H1310" s="11" t="n">
        <x:v>0.89</x:v>
      </x:c>
      <x:c r="I1310" s="11" t="n">
        <x:f>H1310-G1310</x:f>
        <x:v>0.89</x:v>
      </x:c>
      <x:c r="J1310" s="10" t="str">
        <x:v>그 설명을 멈춘 곳부터 이어서 읽어줘.</x:v>
      </x:c>
      <x:c r="K1310" s="10" t="str">
        <x:v>보고서의 다음 항목은 비용 비교입니다.</x:v>
      </x:c>
      <x:c r="L1310" s="11" t="n">
        <x:v>0.89</x:v>
      </x:c>
      <x:c r="M1310" s="11" t="n">
        <x:f>L1310-G1310</x:f>
        <x:v>0.89</x:v>
      </x:c>
      <x:c r="N1310" s="10" t="str">
        <x:v>AUTHORED_AVAILABLE</x:v>
      </x:c>
    </x:row>
    <x:row r="1311" ht="85" customHeight="1">
      <x:c r="A1311" s="10" t="str">
        <x:v>D-B</x:v>
      </x:c>
      <x:c r="B1311" s="10" t="str">
        <x:v>DELIVERY</x:v>
      </x:c>
      <x:c r="C1311" s="10" t="str">
        <x:v>DELIVERY:S06-03</x:v>
      </x:c>
      <x:c r="D1311" s="10" t="str">
        <x:v>DELIVERY:S06-03:input</x:v>
      </x:c>
      <x:c r="E1311" s="10" t="str">
        <x:v>D-S06</x:v>
      </x:c>
      <x:c r="F1311" s="10" t="n">
        <x:v>1</x:v>
      </x:c>
      <x:c r="G1311" s="11" t="n">
        <x:v>0</x:v>
      </x:c>
      <x:c r="H1311" s="11" t="n">
        <x:v>0.89</x:v>
      </x:c>
      <x:c r="I1311" s="11" t="n">
        <x:f>H1311-G1311</x:f>
        <x:v>0.89</x:v>
      </x:c>
      <x:c r="J1311" s="10" t="str">
        <x:v>그 설명을 멈춘 곳부터 이어서 읽어줘.</x:v>
      </x:c>
      <x:c r="K1311" s="10" t="str">
        <x:v>보고서의 다음 항목은 비용 비교입니다.</x:v>
      </x:c>
      <x:c r="L1311" s="11" t="n">
        <x:v>0.89</x:v>
      </x:c>
      <x:c r="M1311" s="11" t="n">
        <x:f>L1311-G1311</x:f>
        <x:v>0.89</x:v>
      </x:c>
      <x:c r="N1311" s="10" t="str">
        <x:v>AUTHORED_AVAILABLE</x:v>
      </x:c>
    </x:row>
    <x:row r="1312" ht="85" customHeight="1">
      <x:c r="A1312" s="10" t="str">
        <x:v>D-A</x:v>
      </x:c>
      <x:c r="B1312" s="10" t="str">
        <x:v>DELIVERY</x:v>
      </x:c>
      <x:c r="C1312" s="10" t="str">
        <x:v>DELIVERY:S06-04</x:v>
      </x:c>
      <x:c r="D1312" s="10" t="str">
        <x:v>DELIVERY:S06-04:input</x:v>
      </x:c>
      <x:c r="E1312" s="10" t="str">
        <x:v>D-S06</x:v>
      </x:c>
      <x:c r="F1312" s="10" t="n">
        <x:v>1</x:v>
      </x:c>
      <x:c r="G1312" s="11" t="n">
        <x:v>0</x:v>
      </x:c>
      <x:c r="H1312" s="11" t="n">
        <x:v>0.918333333</x:v>
      </x:c>
      <x:c r="I1312" s="11" t="n">
        <x:f>H1312-G1312</x:f>
        <x:v>0.918333333</x:v>
      </x:c>
      <x:c r="J1312" s="10" t="str">
        <x:v>그 설명을 멈춘 곳부터 이어서 읽어줘.</x:v>
      </x:c>
      <x:c r="K1312" s="10" t="str">
        <x:v>보고서의 다음 항목은 비용 비교입니다.</x:v>
      </x:c>
      <x:c r="L1312" s="11" t="n">
        <x:v>0.918333333</x:v>
      </x:c>
      <x:c r="M1312" s="11" t="n">
        <x:f>L1312-G1312</x:f>
        <x:v>0.918333333</x:v>
      </x:c>
      <x:c r="N1312" s="10" t="str">
        <x:v>AUTHORED_AVAILABLE</x:v>
      </x:c>
    </x:row>
    <x:row r="1313" ht="85" customHeight="1">
      <x:c r="A1313" s="10" t="str">
        <x:v>D-B</x:v>
      </x:c>
      <x:c r="B1313" s="10" t="str">
        <x:v>DELIVERY</x:v>
      </x:c>
      <x:c r="C1313" s="10" t="str">
        <x:v>DELIVERY:S06-04</x:v>
      </x:c>
      <x:c r="D1313" s="10" t="str">
        <x:v>DELIVERY:S06-04:input</x:v>
      </x:c>
      <x:c r="E1313" s="10" t="str">
        <x:v>D-S06</x:v>
      </x:c>
      <x:c r="F1313" s="10" t="n">
        <x:v>1</x:v>
      </x:c>
      <x:c r="G1313" s="11" t="n">
        <x:v>0</x:v>
      </x:c>
      <x:c r="H1313" s="11" t="n">
        <x:v>0.918333333</x:v>
      </x:c>
      <x:c r="I1313" s="11" t="n">
        <x:f>H1313-G1313</x:f>
        <x:v>0.918333333</x:v>
      </x:c>
      <x:c r="J1313" s="10" t="str">
        <x:v>그 설명을 멈춘 곳부터 이어서 읽어줘.</x:v>
      </x:c>
      <x:c r="K1313" s="10" t="str">
        <x:v>보고서의 다음 항목은 비용 비교입니다.</x:v>
      </x:c>
      <x:c r="L1313" s="11" t="n">
        <x:v>0.918333333</x:v>
      </x:c>
      <x:c r="M1313" s="11" t="n">
        <x:f>L1313-G1313</x:f>
        <x:v>0.918333333</x:v>
      </x:c>
      <x:c r="N1313" s="10" t="str">
        <x:v>AUTHORED_AVAILABLE</x:v>
      </x:c>
    </x:row>
    <x:row r="1314" ht="85" customHeight="1">
      <x:c r="A1314" s="10" t="str">
        <x:v>D-A</x:v>
      </x:c>
      <x:c r="B1314" s="10" t="str">
        <x:v>DELIVERY</x:v>
      </x:c>
      <x:c r="C1314" s="10" t="str">
        <x:v>DELIVERY:S06-05</x:v>
      </x:c>
      <x:c r="D1314" s="10" t="str">
        <x:v>DELIVERY:S06-05:input</x:v>
      </x:c>
      <x:c r="E1314" s="10" t="str">
        <x:v>D-S06</x:v>
      </x:c>
      <x:c r="F1314" s="10" t="n">
        <x:v>1</x:v>
      </x:c>
      <x:c r="G1314" s="11" t="n">
        <x:v>0</x:v>
      </x:c>
      <x:c r="H1314" s="11" t="n">
        <x:v>0.946666667</x:v>
      </x:c>
      <x:c r="I1314" s="11" t="n">
        <x:f>H1314-G1314</x:f>
        <x:v>0.946666667</x:v>
      </x:c>
      <x:c r="J1314" s="10" t="str">
        <x:v>그 설명을 멈춘 곳부터 이어서 읽어줘.</x:v>
      </x:c>
      <x:c r="K1314" s="10" t="str">
        <x:v>보고서의 다음 항목은 비용 비교입니다.</x:v>
      </x:c>
      <x:c r="L1314" s="11" t="n">
        <x:v>0.946666667</x:v>
      </x:c>
      <x:c r="M1314" s="11" t="n">
        <x:f>L1314-G1314</x:f>
        <x:v>0.946666667</x:v>
      </x:c>
      <x:c r="N1314" s="10" t="str">
        <x:v>AUTHORED_AVAILABLE</x:v>
      </x:c>
    </x:row>
    <x:row r="1315" ht="85" customHeight="1">
      <x:c r="A1315" s="10" t="str">
        <x:v>D-B</x:v>
      </x:c>
      <x:c r="B1315" s="10" t="str">
        <x:v>DELIVERY</x:v>
      </x:c>
      <x:c r="C1315" s="10" t="str">
        <x:v>DELIVERY:S06-05</x:v>
      </x:c>
      <x:c r="D1315" s="10" t="str">
        <x:v>DELIVERY:S06-05:input</x:v>
      </x:c>
      <x:c r="E1315" s="10" t="str">
        <x:v>D-S06</x:v>
      </x:c>
      <x:c r="F1315" s="10" t="n">
        <x:v>1</x:v>
      </x:c>
      <x:c r="G1315" s="11" t="n">
        <x:v>0</x:v>
      </x:c>
      <x:c r="H1315" s="11" t="n">
        <x:v>0.946666667</x:v>
      </x:c>
      <x:c r="I1315" s="11" t="n">
        <x:f>H1315-G1315</x:f>
        <x:v>0.946666667</x:v>
      </x:c>
      <x:c r="J1315" s="10" t="str">
        <x:v>그 설명을 멈춘 곳부터 이어서 읽어줘.</x:v>
      </x:c>
      <x:c r="K1315" s="10" t="str">
        <x:v>보고서의 다음 항목은 비용 비교입니다.</x:v>
      </x:c>
      <x:c r="L1315" s="11" t="n">
        <x:v>0.946666667</x:v>
      </x:c>
      <x:c r="M1315" s="11" t="n">
        <x:f>L1315-G1315</x:f>
        <x:v>0.946666667</x:v>
      </x:c>
      <x:c r="N1315" s="10" t="str">
        <x:v>AUTHORED_AVAILABLE</x:v>
      </x:c>
    </x:row>
    <x:row r="1316" ht="85" customHeight="1">
      <x:c r="A1316" s="10" t="str">
        <x:v>D-A</x:v>
      </x:c>
      <x:c r="B1316" s="10" t="str">
        <x:v>DELIVERY</x:v>
      </x:c>
      <x:c r="C1316" s="10" t="str">
        <x:v>DELIVERY:S06-06</x:v>
      </x:c>
      <x:c r="D1316" s="10" t="str">
        <x:v>DELIVERY:S06-06:input</x:v>
      </x:c>
      <x:c r="E1316" s="10" t="str">
        <x:v>D-S06</x:v>
      </x:c>
      <x:c r="F1316" s="10" t="n">
        <x:v>1</x:v>
      </x:c>
      <x:c r="G1316" s="11" t="n">
        <x:v>0</x:v>
      </x:c>
      <x:c r="H1316" s="11" t="n">
        <x:v>0.9</x:v>
      </x:c>
      <x:c r="I1316" s="11" t="n">
        <x:f>H1316-G1316</x:f>
        <x:v>0.9</x:v>
      </x:c>
      <x:c r="J1316" s="10" t="str">
        <x:v>그 설명을 멈춘 곳부터 이어서 읽어줘.</x:v>
      </x:c>
      <x:c r="K1316" s="10" t="str">
        <x:v>보고서의 다음 항목은 비용 비교입니다.</x:v>
      </x:c>
      <x:c r="L1316" s="11" t="n">
        <x:v>0.9</x:v>
      </x:c>
      <x:c r="M1316" s="11" t="n">
        <x:f>L1316-G1316</x:f>
        <x:v>0.9</x:v>
      </x:c>
      <x:c r="N1316" s="10" t="str">
        <x:v>AUTHORED_AVAILABLE</x:v>
      </x:c>
    </x:row>
    <x:row r="1317" ht="85" customHeight="1">
      <x:c r="A1317" s="10" t="str">
        <x:v>D-B</x:v>
      </x:c>
      <x:c r="B1317" s="10" t="str">
        <x:v>DELIVERY</x:v>
      </x:c>
      <x:c r="C1317" s="10" t="str">
        <x:v>DELIVERY:S06-06</x:v>
      </x:c>
      <x:c r="D1317" s="10" t="str">
        <x:v>DELIVERY:S06-06:input</x:v>
      </x:c>
      <x:c r="E1317" s="10" t="str">
        <x:v>D-S06</x:v>
      </x:c>
      <x:c r="F1317" s="10" t="n">
        <x:v>1</x:v>
      </x:c>
      <x:c r="G1317" s="11" t="n">
        <x:v>0</x:v>
      </x:c>
      <x:c r="H1317" s="11" t="n">
        <x:v>0.9</x:v>
      </x:c>
      <x:c r="I1317" s="11" t="n">
        <x:f>H1317-G1317</x:f>
        <x:v>0.9</x:v>
      </x:c>
      <x:c r="J1317" s="10" t="str">
        <x:v>그 설명을 멈춘 곳부터 이어서 읽어줘.</x:v>
      </x:c>
      <x:c r="K1317" s="10" t="str">
        <x:v>보고서의 다음 항목은 비용 비교입니다.</x:v>
      </x:c>
      <x:c r="L1317" s="11" t="n">
        <x:v>0.9</x:v>
      </x:c>
      <x:c r="M1317" s="11" t="n">
        <x:f>L1317-G1317</x:f>
        <x:v>0.9</x:v>
      </x:c>
      <x:c r="N1317" s="10" t="str">
        <x:v>AUTHORED_AVAILABLE</x:v>
      </x:c>
    </x:row>
    <x:row r="1318" ht="85" customHeight="1">
      <x:c r="A1318" s="10" t="str">
        <x:v>D-A</x:v>
      </x:c>
      <x:c r="B1318" s="10" t="str">
        <x:v>DELIVERY</x:v>
      </x:c>
      <x:c r="C1318" s="10" t="str">
        <x:v>DELIVERY:S06-07</x:v>
      </x:c>
      <x:c r="D1318" s="10" t="str">
        <x:v>DELIVERY:S06-07:input</x:v>
      </x:c>
      <x:c r="E1318" s="10" t="str">
        <x:v>D-S06</x:v>
      </x:c>
      <x:c r="F1318" s="10" t="n">
        <x:v>1</x:v>
      </x:c>
      <x:c r="G1318" s="11" t="n">
        <x:v>0</x:v>
      </x:c>
      <x:c r="H1318" s="11" t="n">
        <x:v>0.928333333</x:v>
      </x:c>
      <x:c r="I1318" s="11" t="n">
        <x:f>H1318-G1318</x:f>
        <x:v>0.928333333</x:v>
      </x:c>
      <x:c r="J1318" s="10" t="str">
        <x:v>그 설명을 멈춘 곳부터 이어서 읽어줘.</x:v>
      </x:c>
      <x:c r="K1318" s="10" t="str">
        <x:v>보고서의 다음 항목은 비용 비교입니다.</x:v>
      </x:c>
      <x:c r="L1318" s="11" t="n">
        <x:v>0.928333333</x:v>
      </x:c>
      <x:c r="M1318" s="11" t="n">
        <x:f>L1318-G1318</x:f>
        <x:v>0.928333333</x:v>
      </x:c>
      <x:c r="N1318" s="10" t="str">
        <x:v>AUTHORED_AVAILABLE</x:v>
      </x:c>
    </x:row>
    <x:row r="1319" ht="85" customHeight="1">
      <x:c r="A1319" s="10" t="str">
        <x:v>D-B</x:v>
      </x:c>
      <x:c r="B1319" s="10" t="str">
        <x:v>DELIVERY</x:v>
      </x:c>
      <x:c r="C1319" s="10" t="str">
        <x:v>DELIVERY:S06-07</x:v>
      </x:c>
      <x:c r="D1319" s="10" t="str">
        <x:v>DELIVERY:S06-07:input</x:v>
      </x:c>
      <x:c r="E1319" s="10" t="str">
        <x:v>D-S06</x:v>
      </x:c>
      <x:c r="F1319" s="10" t="n">
        <x:v>1</x:v>
      </x:c>
      <x:c r="G1319" s="11" t="n">
        <x:v>0</x:v>
      </x:c>
      <x:c r="H1319" s="11" t="n">
        <x:v>0.928333333</x:v>
      </x:c>
      <x:c r="I1319" s="11" t="n">
        <x:f>H1319-G1319</x:f>
        <x:v>0.928333333</x:v>
      </x:c>
      <x:c r="J1319" s="10" t="str">
        <x:v>그 설명을 멈춘 곳부터 이어서 읽어줘.</x:v>
      </x:c>
      <x:c r="K1319" s="10" t="str">
        <x:v>보고서의 다음 항목은 비용 비교입니다.</x:v>
      </x:c>
      <x:c r="L1319" s="11" t="n">
        <x:v>0.928333333</x:v>
      </x:c>
      <x:c r="M1319" s="11" t="n">
        <x:f>L1319-G1319</x:f>
        <x:v>0.928333333</x:v>
      </x:c>
      <x:c r="N1319" s="10" t="str">
        <x:v>AUTHORED_AVAILABLE</x:v>
      </x:c>
    </x:row>
    <x:row r="1320" ht="85" customHeight="1">
      <x:c r="A1320" s="10" t="str">
        <x:v>D-A</x:v>
      </x:c>
      <x:c r="B1320" s="10" t="str">
        <x:v>DELIVERY</x:v>
      </x:c>
      <x:c r="C1320" s="10" t="str">
        <x:v>DELIVERY:S06-08</x:v>
      </x:c>
      <x:c r="D1320" s="10" t="str">
        <x:v>DELIVERY:S06-08:input</x:v>
      </x:c>
      <x:c r="E1320" s="10" t="str">
        <x:v>D-S06</x:v>
      </x:c>
      <x:c r="F1320" s="10" t="n">
        <x:v>1</x:v>
      </x:c>
      <x:c r="G1320" s="11" t="n">
        <x:v>0</x:v>
      </x:c>
      <x:c r="H1320" s="11" t="n">
        <x:v>0.956666667</x:v>
      </x:c>
      <x:c r="I1320" s="11" t="n">
        <x:f>H1320-G1320</x:f>
        <x:v>0.956666667</x:v>
      </x:c>
      <x:c r="J1320" s="10" t="str">
        <x:v>그 설명을 멈춘 곳부터 이어서 읽어줘.</x:v>
      </x:c>
      <x:c r="K1320" s="10" t="str">
        <x:v>보고서의 다음 항목은 비용 비교입니다.</x:v>
      </x:c>
      <x:c r="L1320" s="11" t="n">
        <x:v>0.956666667</x:v>
      </x:c>
      <x:c r="M1320" s="11" t="n">
        <x:f>L1320-G1320</x:f>
        <x:v>0.956666667</x:v>
      </x:c>
      <x:c r="N1320" s="10" t="str">
        <x:v>AUTHORED_AVAILABLE</x:v>
      </x:c>
    </x:row>
    <x:row r="1321" ht="85" customHeight="1">
      <x:c r="A1321" s="10" t="str">
        <x:v>D-B</x:v>
      </x:c>
      <x:c r="B1321" s="10" t="str">
        <x:v>DELIVERY</x:v>
      </x:c>
      <x:c r="C1321" s="10" t="str">
        <x:v>DELIVERY:S06-08</x:v>
      </x:c>
      <x:c r="D1321" s="10" t="str">
        <x:v>DELIVERY:S06-08:input</x:v>
      </x:c>
      <x:c r="E1321" s="10" t="str">
        <x:v>D-S06</x:v>
      </x:c>
      <x:c r="F1321" s="10" t="n">
        <x:v>1</x:v>
      </x:c>
      <x:c r="G1321" s="11" t="n">
        <x:v>0</x:v>
      </x:c>
      <x:c r="H1321" s="11" t="n">
        <x:v>0.956666667</x:v>
      </x:c>
      <x:c r="I1321" s="11" t="n">
        <x:f>H1321-G1321</x:f>
        <x:v>0.956666667</x:v>
      </x:c>
      <x:c r="J1321" s="10" t="str">
        <x:v>그 설명을 멈춘 곳부터 이어서 읽어줘.</x:v>
      </x:c>
      <x:c r="K1321" s="10" t="str">
        <x:v>보고서의 다음 항목은 비용 비교입니다.</x:v>
      </x:c>
      <x:c r="L1321" s="11" t="n">
        <x:v>0.956666667</x:v>
      </x:c>
      <x:c r="M1321" s="11" t="n">
        <x:f>L1321-G1321</x:f>
        <x:v>0.956666667</x:v>
      </x:c>
      <x:c r="N1321" s="10" t="str">
        <x:v>AUTHORED_AVAILABLE</x:v>
      </x:c>
    </x:row>
    <x:row r="1322" ht="85" customHeight="1">
      <x:c r="A1322" s="10" t="str">
        <x:v>D-A</x:v>
      </x:c>
      <x:c r="B1322" s="10" t="str">
        <x:v>DELIVERY</x:v>
      </x:c>
      <x:c r="C1322" s="10" t="str">
        <x:v>DELIVERY:S06-09</x:v>
      </x:c>
      <x:c r="D1322" s="10" t="str">
        <x:v>DELIVERY:S06-09:input</x:v>
      </x:c>
      <x:c r="E1322" s="10" t="str">
        <x:v>D-S06</x:v>
      </x:c>
      <x:c r="F1322" s="10" t="n">
        <x:v>1</x:v>
      </x:c>
      <x:c r="G1322" s="11" t="n">
        <x:v>0</x:v>
      </x:c>
      <x:c r="H1322" s="11" t="n">
        <x:v>0.91</x:v>
      </x:c>
      <x:c r="I1322" s="11" t="n">
        <x:f>H1322-G1322</x:f>
        <x:v>0.91</x:v>
      </x:c>
      <x:c r="J1322" s="10" t="str">
        <x:v>그 설명을 멈춘 곳부터 이어서 읽어줘.</x:v>
      </x:c>
      <x:c r="K1322" s="10" t="str">
        <x:v>보고서의 다음 항목은 비용 비교입니다.</x:v>
      </x:c>
      <x:c r="L1322" s="11" t="n">
        <x:v>0.91</x:v>
      </x:c>
      <x:c r="M1322" s="11" t="n">
        <x:f>L1322-G1322</x:f>
        <x:v>0.91</x:v>
      </x:c>
      <x:c r="N1322" s="10" t="str">
        <x:v>AUTHORED_AVAILABLE</x:v>
      </x:c>
    </x:row>
    <x:row r="1323" ht="85" customHeight="1">
      <x:c r="A1323" s="10" t="str">
        <x:v>D-B</x:v>
      </x:c>
      <x:c r="B1323" s="10" t="str">
        <x:v>DELIVERY</x:v>
      </x:c>
      <x:c r="C1323" s="10" t="str">
        <x:v>DELIVERY:S06-09</x:v>
      </x:c>
      <x:c r="D1323" s="10" t="str">
        <x:v>DELIVERY:S06-09:input</x:v>
      </x:c>
      <x:c r="E1323" s="10" t="str">
        <x:v>D-S06</x:v>
      </x:c>
      <x:c r="F1323" s="10" t="n">
        <x:v>1</x:v>
      </x:c>
      <x:c r="G1323" s="11" t="n">
        <x:v>0</x:v>
      </x:c>
      <x:c r="H1323" s="11" t="n">
        <x:v>0.91</x:v>
      </x:c>
      <x:c r="I1323" s="11" t="n">
        <x:f>H1323-G1323</x:f>
        <x:v>0.91</x:v>
      </x:c>
      <x:c r="J1323" s="10" t="str">
        <x:v>그 설명을 멈춘 곳부터 이어서 읽어줘.</x:v>
      </x:c>
      <x:c r="K1323" s="10" t="str">
        <x:v>보고서의 다음 항목은 비용 비교입니다.</x:v>
      </x:c>
      <x:c r="L1323" s="11" t="n">
        <x:v>0.91</x:v>
      </x:c>
      <x:c r="M1323" s="11" t="n">
        <x:f>L1323-G1323</x:f>
        <x:v>0.91</x:v>
      </x:c>
      <x:c r="N1323" s="10" t="str">
        <x:v>AUTHORED_AVAILABLE</x:v>
      </x:c>
    </x:row>
    <x:row r="1324" ht="85" customHeight="1">
      <x:c r="A1324" s="10" t="str">
        <x:v>D-A</x:v>
      </x:c>
      <x:c r="B1324" s="10" t="str">
        <x:v>DELIVERY</x:v>
      </x:c>
      <x:c r="C1324" s="10" t="str">
        <x:v>DELIVERY:S06-10</x:v>
      </x:c>
      <x:c r="D1324" s="10" t="str">
        <x:v>DELIVERY:S06-10:input</x:v>
      </x:c>
      <x:c r="E1324" s="10" t="str">
        <x:v>D-S06</x:v>
      </x:c>
      <x:c r="F1324" s="10" t="n">
        <x:v>1</x:v>
      </x:c>
      <x:c r="G1324" s="11" t="n">
        <x:v>0</x:v>
      </x:c>
      <x:c r="H1324" s="11" t="n">
        <x:v>0.938333333</x:v>
      </x:c>
      <x:c r="I1324" s="11" t="n">
        <x:f>H1324-G1324</x:f>
        <x:v>0.938333333</x:v>
      </x:c>
      <x:c r="J1324" s="10" t="str">
        <x:v>그 설명을 멈춘 곳부터 이어서 읽어줘.</x:v>
      </x:c>
      <x:c r="K1324" s="10" t="str">
        <x:v>보고서의 다음 항목은 비용 비교입니다.</x:v>
      </x:c>
      <x:c r="L1324" s="11" t="n">
        <x:v>0.938333333</x:v>
      </x:c>
      <x:c r="M1324" s="11" t="n">
        <x:f>L1324-G1324</x:f>
        <x:v>0.938333333</x:v>
      </x:c>
      <x:c r="N1324" s="10" t="str">
        <x:v>AUTHORED_AVAILABLE</x:v>
      </x:c>
    </x:row>
    <x:row r="1325" ht="85" customHeight="1">
      <x:c r="A1325" s="10" t="str">
        <x:v>D-B</x:v>
      </x:c>
      <x:c r="B1325" s="10" t="str">
        <x:v>DELIVERY</x:v>
      </x:c>
      <x:c r="C1325" s="10" t="str">
        <x:v>DELIVERY:S06-10</x:v>
      </x:c>
      <x:c r="D1325" s="10" t="str">
        <x:v>DELIVERY:S06-10:input</x:v>
      </x:c>
      <x:c r="E1325" s="10" t="str">
        <x:v>D-S06</x:v>
      </x:c>
      <x:c r="F1325" s="10" t="n">
        <x:v>1</x:v>
      </x:c>
      <x:c r="G1325" s="11" t="n">
        <x:v>0</x:v>
      </x:c>
      <x:c r="H1325" s="11" t="n">
        <x:v>0.938333333</x:v>
      </x:c>
      <x:c r="I1325" s="11" t="n">
        <x:f>H1325-G1325</x:f>
        <x:v>0.938333333</x:v>
      </x:c>
      <x:c r="J1325" s="10" t="str">
        <x:v>그 설명을 멈춘 곳부터 이어서 읽어줘.</x:v>
      </x:c>
      <x:c r="K1325" s="10" t="str">
        <x:v>보고서의 다음 항목은 비용 비교입니다.</x:v>
      </x:c>
      <x:c r="L1325" s="11" t="n">
        <x:v>0.938333333</x:v>
      </x:c>
      <x:c r="M1325" s="11" t="n">
        <x:f>L1325-G1325</x:f>
        <x:v>0.938333333</x:v>
      </x:c>
      <x:c r="N1325" s="10" t="str">
        <x:v>AUTHORED_AVAILABLE</x:v>
      </x:c>
    </x:row>
    <x:row r="1326" ht="85" customHeight="1">
      <x:c r="A1326" s="10" t="str">
        <x:v>D-A</x:v>
      </x:c>
      <x:c r="B1326" s="10" t="str">
        <x:v>DELIVERY</x:v>
      </x:c>
      <x:c r="C1326" s="10" t="str">
        <x:v>DELIVERY:S07-01</x:v>
      </x:c>
      <x:c r="D1326" s="10" t="str">
        <x:v>DELIVERY:S07-01:input</x:v>
      </x:c>
      <x:c r="E1326" s="10" t="str">
        <x:v>D-S07</x:v>
      </x:c>
      <x:c r="F1326" s="10" t="n">
        <x:v>1</x:v>
      </x:c>
      <x:c r="G1326" s="11" t="n">
        <x:v>0</x:v>
      </x:c>
      <x:c r="H1326" s="11" t="n">
        <x:v>0.908333333</x:v>
      </x:c>
      <x:c r="I1326" s="11" t="n">
        <x:f>H1326-G1326</x:f>
        <x:v>0.908333333</x:v>
      </x:c>
      <x:c r="J1326" s="10" t="str">
        <x:v>일정, 메일, 보고서 순서로 읽어줘.</x:v>
      </x:c>
      <x:c r="K1326" s="10" t="str">
        <x:v>일정, 메일, 보고서 순서로 읽겠습니다.</x:v>
      </x:c>
      <x:c r="L1326" s="11" t="n">
        <x:v>0.908333333</x:v>
      </x:c>
      <x:c r="M1326" s="11" t="n">
        <x:f>L1326-G1326</x:f>
        <x:v>0.908333333</x:v>
      </x:c>
      <x:c r="N1326" s="10" t="str">
        <x:v>AUTHORED_AVAILABLE</x:v>
      </x:c>
    </x:row>
    <x:row r="1327" ht="85" customHeight="1">
      <x:c r="A1327" s="10" t="str">
        <x:v>D-B</x:v>
      </x:c>
      <x:c r="B1327" s="10" t="str">
        <x:v>DELIVERY</x:v>
      </x:c>
      <x:c r="C1327" s="10" t="str">
        <x:v>DELIVERY:S07-01</x:v>
      </x:c>
      <x:c r="D1327" s="10" t="str">
        <x:v>DELIVERY:S07-01:input</x:v>
      </x:c>
      <x:c r="E1327" s="10" t="str">
        <x:v>D-S07</x:v>
      </x:c>
      <x:c r="F1327" s="10" t="n">
        <x:v>1</x:v>
      </x:c>
      <x:c r="G1327" s="11" t="n">
        <x:v>0</x:v>
      </x:c>
      <x:c r="H1327" s="11" t="n">
        <x:v>0.908333333</x:v>
      </x:c>
      <x:c r="I1327" s="11" t="n">
        <x:f>H1327-G1327</x:f>
        <x:v>0.908333333</x:v>
      </x:c>
      <x:c r="J1327" s="10" t="str">
        <x:v>일정, 메일, 보고서 순서로 읽어줘.</x:v>
      </x:c>
      <x:c r="K1327" s="10" t="str">
        <x:v>일정, 메일, 보고서 순서로 읽겠습니다.</x:v>
      </x:c>
      <x:c r="L1327" s="11" t="n">
        <x:v>1.310666666</x:v>
      </x:c>
      <x:c r="M1327" s="11" t="n">
        <x:f>L1327-G1327</x:f>
        <x:v>1.310666666</x:v>
      </x:c>
      <x:c r="N1327" s="10" t="str">
        <x:v>AUTHORED_AVAILABLE</x:v>
      </x:c>
    </x:row>
    <x:row r="1328" ht="85" customHeight="1">
      <x:c r="A1328" s="10" t="str">
        <x:v>D-A</x:v>
      </x:c>
      <x:c r="B1328" s="10" t="str">
        <x:v>DELIVERY</x:v>
      </x:c>
      <x:c r="C1328" s="10" t="str">
        <x:v>DELIVERY:S07-02</x:v>
      </x:c>
      <x:c r="D1328" s="10" t="str">
        <x:v>DELIVERY:S07-02:input</x:v>
      </x:c>
      <x:c r="E1328" s="10" t="str">
        <x:v>D-S07</x:v>
      </x:c>
      <x:c r="F1328" s="10" t="n">
        <x:v>1</x:v>
      </x:c>
      <x:c r="G1328" s="11" t="n">
        <x:v>0</x:v>
      </x:c>
      <x:c r="H1328" s="11" t="n">
        <x:v>0.936666667</x:v>
      </x:c>
      <x:c r="I1328" s="11" t="n">
        <x:f>H1328-G1328</x:f>
        <x:v>0.936666667</x:v>
      </x:c>
      <x:c r="J1328" s="10" t="str">
        <x:v>일정, 메일, 보고서 순서로 읽어줘.</x:v>
      </x:c>
      <x:c r="K1328" s="10" t="str">
        <x:v>일정, 메일, 보고서 순서로 읽겠습니다.</x:v>
      </x:c>
      <x:c r="L1328" s="11" t="n">
        <x:v>0.936666667</x:v>
      </x:c>
      <x:c r="M1328" s="11" t="n">
        <x:f>L1328-G1328</x:f>
        <x:v>0.936666667</x:v>
      </x:c>
      <x:c r="N1328" s="10" t="str">
        <x:v>AUTHORED_AVAILABLE</x:v>
      </x:c>
    </x:row>
    <x:row r="1329" ht="85" customHeight="1">
      <x:c r="A1329" s="10" t="str">
        <x:v>D-B</x:v>
      </x:c>
      <x:c r="B1329" s="10" t="str">
        <x:v>DELIVERY</x:v>
      </x:c>
      <x:c r="C1329" s="10" t="str">
        <x:v>DELIVERY:S07-02</x:v>
      </x:c>
      <x:c r="D1329" s="10" t="str">
        <x:v>DELIVERY:S07-02:input</x:v>
      </x:c>
      <x:c r="E1329" s="10" t="str">
        <x:v>D-S07</x:v>
      </x:c>
      <x:c r="F1329" s="10" t="n">
        <x:v>1</x:v>
      </x:c>
      <x:c r="G1329" s="11" t="n">
        <x:v>0</x:v>
      </x:c>
      <x:c r="H1329" s="11" t="n">
        <x:v>0.936666667</x:v>
      </x:c>
      <x:c r="I1329" s="11" t="n">
        <x:f>H1329-G1329</x:f>
        <x:v>0.936666667</x:v>
      </x:c>
      <x:c r="J1329" s="10" t="str">
        <x:v>일정, 메일, 보고서 순서로 읽어줘.</x:v>
      </x:c>
      <x:c r="K1329" s="10" t="str">
        <x:v>일정, 메일, 보고서 순서로 읽겠습니다.</x:v>
      </x:c>
      <x:c r="L1329" s="11" t="n">
        <x:v>1.339</x:v>
      </x:c>
      <x:c r="M1329" s="11" t="n">
        <x:f>L1329-G1329</x:f>
        <x:v>1.339</x:v>
      </x:c>
      <x:c r="N1329" s="10" t="str">
        <x:v>AUTHORED_AVAILABLE</x:v>
      </x:c>
    </x:row>
    <x:row r="1330" ht="85" customHeight="1">
      <x:c r="A1330" s="10" t="str">
        <x:v>D-A</x:v>
      </x:c>
      <x:c r="B1330" s="10" t="str">
        <x:v>DELIVERY</x:v>
      </x:c>
      <x:c r="C1330" s="10" t="str">
        <x:v>DELIVERY:S07-03</x:v>
      </x:c>
      <x:c r="D1330" s="10" t="str">
        <x:v>DELIVERY:S07-03:input</x:v>
      </x:c>
      <x:c r="E1330" s="10" t="str">
        <x:v>D-S07</x:v>
      </x:c>
      <x:c r="F1330" s="10" t="n">
        <x:v>1</x:v>
      </x:c>
      <x:c r="G1330" s="11" t="n">
        <x:v>0</x:v>
      </x:c>
      <x:c r="H1330" s="11" t="n">
        <x:v>0.89</x:v>
      </x:c>
      <x:c r="I1330" s="11" t="n">
        <x:f>H1330-G1330</x:f>
        <x:v>0.89</x:v>
      </x:c>
      <x:c r="J1330" s="10" t="str">
        <x:v>일정, 메일, 보고서 순서로 읽어줘.</x:v>
      </x:c>
      <x:c r="K1330" s="10" t="str">
        <x:v>일정, 메일, 보고서 순서로 읽겠습니다.</x:v>
      </x:c>
      <x:c r="L1330" s="11" t="n">
        <x:v>0.89</x:v>
      </x:c>
      <x:c r="M1330" s="11" t="n">
        <x:f>L1330-G1330</x:f>
        <x:v>0.89</x:v>
      </x:c>
      <x:c r="N1330" s="10" t="str">
        <x:v>AUTHORED_AVAILABLE</x:v>
      </x:c>
    </x:row>
    <x:row r="1331" ht="85" customHeight="1">
      <x:c r="A1331" s="10" t="str">
        <x:v>D-B</x:v>
      </x:c>
      <x:c r="B1331" s="10" t="str">
        <x:v>DELIVERY</x:v>
      </x:c>
      <x:c r="C1331" s="10" t="str">
        <x:v>DELIVERY:S07-03</x:v>
      </x:c>
      <x:c r="D1331" s="10" t="str">
        <x:v>DELIVERY:S07-03:input</x:v>
      </x:c>
      <x:c r="E1331" s="10" t="str">
        <x:v>D-S07</x:v>
      </x:c>
      <x:c r="F1331" s="10" t="n">
        <x:v>1</x:v>
      </x:c>
      <x:c r="G1331" s="11" t="n">
        <x:v>0</x:v>
      </x:c>
      <x:c r="H1331" s="11" t="n">
        <x:v>0.89</x:v>
      </x:c>
      <x:c r="I1331" s="11" t="n">
        <x:f>H1331-G1331</x:f>
        <x:v>0.89</x:v>
      </x:c>
      <x:c r="J1331" s="10" t="str">
        <x:v>일정, 메일, 보고서 순서로 읽어줘.</x:v>
      </x:c>
      <x:c r="K1331" s="10" t="str">
        <x:v>일정, 메일, 보고서 순서로 읽겠습니다.</x:v>
      </x:c>
      <x:c r="L1331" s="11" t="n">
        <x:v>1.292333333</x:v>
      </x:c>
      <x:c r="M1331" s="11" t="n">
        <x:f>L1331-G1331</x:f>
        <x:v>1.292333333</x:v>
      </x:c>
      <x:c r="N1331" s="10" t="str">
        <x:v>AUTHORED_AVAILABLE</x:v>
      </x:c>
    </x:row>
    <x:row r="1332" ht="85" customHeight="1">
      <x:c r="A1332" s="10" t="str">
        <x:v>D-A</x:v>
      </x:c>
      <x:c r="B1332" s="10" t="str">
        <x:v>DELIVERY</x:v>
      </x:c>
      <x:c r="C1332" s="10" t="str">
        <x:v>DELIVERY:S07-04</x:v>
      </x:c>
      <x:c r="D1332" s="10" t="str">
        <x:v>DELIVERY:S07-04:input</x:v>
      </x:c>
      <x:c r="E1332" s="10" t="str">
        <x:v>D-S07</x:v>
      </x:c>
      <x:c r="F1332" s="10" t="n">
        <x:v>1</x:v>
      </x:c>
      <x:c r="G1332" s="11" t="n">
        <x:v>0</x:v>
      </x:c>
      <x:c r="H1332" s="11" t="n">
        <x:v>0.918333333</x:v>
      </x:c>
      <x:c r="I1332" s="11" t="n">
        <x:f>H1332-G1332</x:f>
        <x:v>0.918333333</x:v>
      </x:c>
      <x:c r="J1332" s="10" t="str">
        <x:v>일정, 메일, 보고서 순서로 읽어줘.</x:v>
      </x:c>
      <x:c r="K1332" s="10" t="str">
        <x:v>일정, 메일, 보고서 순서로 읽겠습니다.</x:v>
      </x:c>
      <x:c r="L1332" s="11" t="n">
        <x:v>0.918333333</x:v>
      </x:c>
      <x:c r="M1332" s="11" t="n">
        <x:f>L1332-G1332</x:f>
        <x:v>0.918333333</x:v>
      </x:c>
      <x:c r="N1332" s="10" t="str">
        <x:v>AUTHORED_AVAILABLE</x:v>
      </x:c>
    </x:row>
    <x:row r="1333" ht="85" customHeight="1">
      <x:c r="A1333" s="10" t="str">
        <x:v>D-B</x:v>
      </x:c>
      <x:c r="B1333" s="10" t="str">
        <x:v>DELIVERY</x:v>
      </x:c>
      <x:c r="C1333" s="10" t="str">
        <x:v>DELIVERY:S07-04</x:v>
      </x:c>
      <x:c r="D1333" s="10" t="str">
        <x:v>DELIVERY:S07-04:input</x:v>
      </x:c>
      <x:c r="E1333" s="10" t="str">
        <x:v>D-S07</x:v>
      </x:c>
      <x:c r="F1333" s="10" t="n">
        <x:v>1</x:v>
      </x:c>
      <x:c r="G1333" s="11" t="n">
        <x:v>0</x:v>
      </x:c>
      <x:c r="H1333" s="11" t="n">
        <x:v>0.918333333</x:v>
      </x:c>
      <x:c r="I1333" s="11" t="n">
        <x:f>H1333-G1333</x:f>
        <x:v>0.918333333</x:v>
      </x:c>
      <x:c r="J1333" s="10" t="str">
        <x:v>일정, 메일, 보고서 순서로 읽어줘.</x:v>
      </x:c>
      <x:c r="K1333" s="10" t="str">
        <x:v>일정, 메일, 보고서 순서로 읽겠습니다.</x:v>
      </x:c>
      <x:c r="L1333" s="11" t="n">
        <x:v>1.320666666</x:v>
      </x:c>
      <x:c r="M1333" s="11" t="n">
        <x:f>L1333-G1333</x:f>
        <x:v>1.320666666</x:v>
      </x:c>
      <x:c r="N1333" s="10" t="str">
        <x:v>AUTHORED_AVAILABLE</x:v>
      </x:c>
    </x:row>
    <x:row r="1334" ht="85" customHeight="1">
      <x:c r="A1334" s="10" t="str">
        <x:v>D-A</x:v>
      </x:c>
      <x:c r="B1334" s="10" t="str">
        <x:v>DELIVERY</x:v>
      </x:c>
      <x:c r="C1334" s="10" t="str">
        <x:v>DELIVERY:S07-05</x:v>
      </x:c>
      <x:c r="D1334" s="10" t="str">
        <x:v>DELIVERY:S07-05:input</x:v>
      </x:c>
      <x:c r="E1334" s="10" t="str">
        <x:v>D-S07</x:v>
      </x:c>
      <x:c r="F1334" s="10" t="n">
        <x:v>1</x:v>
      </x:c>
      <x:c r="G1334" s="11" t="n">
        <x:v>0</x:v>
      </x:c>
      <x:c r="H1334" s="11" t="n">
        <x:v>0.946666667</x:v>
      </x:c>
      <x:c r="I1334" s="11" t="n">
        <x:f>H1334-G1334</x:f>
        <x:v>0.946666667</x:v>
      </x:c>
      <x:c r="J1334" s="10" t="str">
        <x:v>일정, 메일, 보고서 순서로 읽어줘.</x:v>
      </x:c>
      <x:c r="K1334" s="10" t="str">
        <x:v>일정, 메일, 보고서 순서로 읽겠습니다.</x:v>
      </x:c>
      <x:c r="L1334" s="11" t="n">
        <x:v>0.946666667</x:v>
      </x:c>
      <x:c r="M1334" s="11" t="n">
        <x:f>L1334-G1334</x:f>
        <x:v>0.946666667</x:v>
      </x:c>
      <x:c r="N1334" s="10" t="str">
        <x:v>AUTHORED_AVAILABLE</x:v>
      </x:c>
    </x:row>
    <x:row r="1335" ht="85" customHeight="1">
      <x:c r="A1335" s="10" t="str">
        <x:v>D-B</x:v>
      </x:c>
      <x:c r="B1335" s="10" t="str">
        <x:v>DELIVERY</x:v>
      </x:c>
      <x:c r="C1335" s="10" t="str">
        <x:v>DELIVERY:S07-05</x:v>
      </x:c>
      <x:c r="D1335" s="10" t="str">
        <x:v>DELIVERY:S07-05:input</x:v>
      </x:c>
      <x:c r="E1335" s="10" t="str">
        <x:v>D-S07</x:v>
      </x:c>
      <x:c r="F1335" s="10" t="n">
        <x:v>1</x:v>
      </x:c>
      <x:c r="G1335" s="11" t="n">
        <x:v>0</x:v>
      </x:c>
      <x:c r="H1335" s="11" t="n">
        <x:v>0.946666667</x:v>
      </x:c>
      <x:c r="I1335" s="11" t="n">
        <x:f>H1335-G1335</x:f>
        <x:v>0.946666667</x:v>
      </x:c>
      <x:c r="J1335" s="10" t="str">
        <x:v>일정, 메일, 보고서 순서로 읽어줘.</x:v>
      </x:c>
      <x:c r="K1335" s="10" t="str">
        <x:v>일정, 메일, 보고서 순서로 읽겠습니다.</x:v>
      </x:c>
      <x:c r="L1335" s="11" t="n">
        <x:v>1.349</x:v>
      </x:c>
      <x:c r="M1335" s="11" t="n">
        <x:f>L1335-G1335</x:f>
        <x:v>1.349</x:v>
      </x:c>
      <x:c r="N1335" s="10" t="str">
        <x:v>AUTHORED_AVAILABLE</x:v>
      </x:c>
    </x:row>
    <x:row r="1336" ht="85" customHeight="1">
      <x:c r="A1336" s="10" t="str">
        <x:v>D-A</x:v>
      </x:c>
      <x:c r="B1336" s="10" t="str">
        <x:v>DELIVERY</x:v>
      </x:c>
      <x:c r="C1336" s="10" t="str">
        <x:v>DELIVERY:S07-06</x:v>
      </x:c>
      <x:c r="D1336" s="10" t="str">
        <x:v>DELIVERY:S07-06:input</x:v>
      </x:c>
      <x:c r="E1336" s="10" t="str">
        <x:v>D-S07</x:v>
      </x:c>
      <x:c r="F1336" s="10" t="n">
        <x:v>1</x:v>
      </x:c>
      <x:c r="G1336" s="11" t="n">
        <x:v>0</x:v>
      </x:c>
      <x:c r="H1336" s="11" t="n">
        <x:v>0.9</x:v>
      </x:c>
      <x:c r="I1336" s="11" t="n">
        <x:f>H1336-G1336</x:f>
        <x:v>0.9</x:v>
      </x:c>
      <x:c r="J1336" s="10" t="str">
        <x:v>일정, 메일, 보고서 순서로 읽어줘.</x:v>
      </x:c>
      <x:c r="K1336" s="10" t="str">
        <x:v>일정, 메일, 보고서 순서로 읽겠습니다.</x:v>
      </x:c>
      <x:c r="L1336" s="11" t="n">
        <x:v>0.9</x:v>
      </x:c>
      <x:c r="M1336" s="11" t="n">
        <x:f>L1336-G1336</x:f>
        <x:v>0.9</x:v>
      </x:c>
      <x:c r="N1336" s="10" t="str">
        <x:v>AUTHORED_AVAILABLE</x:v>
      </x:c>
    </x:row>
    <x:row r="1337" ht="85" customHeight="1">
      <x:c r="A1337" s="10" t="str">
        <x:v>D-B</x:v>
      </x:c>
      <x:c r="B1337" s="10" t="str">
        <x:v>DELIVERY</x:v>
      </x:c>
      <x:c r="C1337" s="10" t="str">
        <x:v>DELIVERY:S07-06</x:v>
      </x:c>
      <x:c r="D1337" s="10" t="str">
        <x:v>DELIVERY:S07-06:input</x:v>
      </x:c>
      <x:c r="E1337" s="10" t="str">
        <x:v>D-S07</x:v>
      </x:c>
      <x:c r="F1337" s="10" t="n">
        <x:v>1</x:v>
      </x:c>
      <x:c r="G1337" s="11" t="n">
        <x:v>0</x:v>
      </x:c>
      <x:c r="H1337" s="11" t="n">
        <x:v>0.9</x:v>
      </x:c>
      <x:c r="I1337" s="11" t="n">
        <x:f>H1337-G1337</x:f>
        <x:v>0.9</x:v>
      </x:c>
      <x:c r="J1337" s="10" t="str">
        <x:v>일정, 메일, 보고서 순서로 읽어줘.</x:v>
      </x:c>
      <x:c r="K1337" s="10" t="str">
        <x:v>일정, 메일, 보고서 순서로 읽겠습니다.</x:v>
      </x:c>
      <x:c r="L1337" s="11" t="n">
        <x:v>1.302333333</x:v>
      </x:c>
      <x:c r="M1337" s="11" t="n">
        <x:f>L1337-G1337</x:f>
        <x:v>1.302333333</x:v>
      </x:c>
      <x:c r="N1337" s="10" t="str">
        <x:v>AUTHORED_AVAILABLE</x:v>
      </x:c>
    </x:row>
    <x:row r="1338" ht="85" customHeight="1">
      <x:c r="A1338" s="10" t="str">
        <x:v>D-A</x:v>
      </x:c>
      <x:c r="B1338" s="10" t="str">
        <x:v>DELIVERY</x:v>
      </x:c>
      <x:c r="C1338" s="10" t="str">
        <x:v>DELIVERY:S07-07</x:v>
      </x:c>
      <x:c r="D1338" s="10" t="str">
        <x:v>DELIVERY:S07-07:input</x:v>
      </x:c>
      <x:c r="E1338" s="10" t="str">
        <x:v>D-S07</x:v>
      </x:c>
      <x:c r="F1338" s="10" t="n">
        <x:v>1</x:v>
      </x:c>
      <x:c r="G1338" s="11" t="n">
        <x:v>0</x:v>
      </x:c>
      <x:c r="H1338" s="11" t="n">
        <x:v>0.928333333</x:v>
      </x:c>
      <x:c r="I1338" s="11" t="n">
        <x:f>H1338-G1338</x:f>
        <x:v>0.928333333</x:v>
      </x:c>
      <x:c r="J1338" s="10" t="str">
        <x:v>일정, 메일, 보고서 순서로 읽어줘.</x:v>
      </x:c>
      <x:c r="K1338" s="10" t="str">
        <x:v>일정, 메일, 보고서 순서로 읽겠습니다.</x:v>
      </x:c>
      <x:c r="L1338" s="11" t="n">
        <x:v>0.928333333</x:v>
      </x:c>
      <x:c r="M1338" s="11" t="n">
        <x:f>L1338-G1338</x:f>
        <x:v>0.928333333</x:v>
      </x:c>
      <x:c r="N1338" s="10" t="str">
        <x:v>AUTHORED_AVAILABLE</x:v>
      </x:c>
    </x:row>
    <x:row r="1339" ht="85" customHeight="1">
      <x:c r="A1339" s="10" t="str">
        <x:v>D-B</x:v>
      </x:c>
      <x:c r="B1339" s="10" t="str">
        <x:v>DELIVERY</x:v>
      </x:c>
      <x:c r="C1339" s="10" t="str">
        <x:v>DELIVERY:S07-07</x:v>
      </x:c>
      <x:c r="D1339" s="10" t="str">
        <x:v>DELIVERY:S07-07:input</x:v>
      </x:c>
      <x:c r="E1339" s="10" t="str">
        <x:v>D-S07</x:v>
      </x:c>
      <x:c r="F1339" s="10" t="n">
        <x:v>1</x:v>
      </x:c>
      <x:c r="G1339" s="11" t="n">
        <x:v>0</x:v>
      </x:c>
      <x:c r="H1339" s="11" t="n">
        <x:v>0.928333333</x:v>
      </x:c>
      <x:c r="I1339" s="11" t="n">
        <x:f>H1339-G1339</x:f>
        <x:v>0.928333333</x:v>
      </x:c>
      <x:c r="J1339" s="10" t="str">
        <x:v>일정, 메일, 보고서 순서로 읽어줘.</x:v>
      </x:c>
      <x:c r="K1339" s="10" t="str">
        <x:v>일정, 메일, 보고서 순서로 읽겠습니다.</x:v>
      </x:c>
      <x:c r="L1339" s="11" t="n">
        <x:v>1.330666666</x:v>
      </x:c>
      <x:c r="M1339" s="11" t="n">
        <x:f>L1339-G1339</x:f>
        <x:v>1.330666666</x:v>
      </x:c>
      <x:c r="N1339" s="10" t="str">
        <x:v>AUTHORED_AVAILABLE</x:v>
      </x:c>
    </x:row>
    <x:row r="1340" ht="85" customHeight="1">
      <x:c r="A1340" s="10" t="str">
        <x:v>D-A</x:v>
      </x:c>
      <x:c r="B1340" s="10" t="str">
        <x:v>DELIVERY</x:v>
      </x:c>
      <x:c r="C1340" s="10" t="str">
        <x:v>DELIVERY:S07-08</x:v>
      </x:c>
      <x:c r="D1340" s="10" t="str">
        <x:v>DELIVERY:S07-08:input</x:v>
      </x:c>
      <x:c r="E1340" s="10" t="str">
        <x:v>D-S07</x:v>
      </x:c>
      <x:c r="F1340" s="10" t="n">
        <x:v>1</x:v>
      </x:c>
      <x:c r="G1340" s="11" t="n">
        <x:v>0</x:v>
      </x:c>
      <x:c r="H1340" s="11" t="n">
        <x:v>0.956666667</x:v>
      </x:c>
      <x:c r="I1340" s="11" t="n">
        <x:f>H1340-G1340</x:f>
        <x:v>0.956666667</x:v>
      </x:c>
      <x:c r="J1340" s="10" t="str">
        <x:v>일정, 메일, 보고서 순서로 읽어줘.</x:v>
      </x:c>
      <x:c r="K1340" s="10" t="str">
        <x:v>일정, 메일, 보고서 순서로 읽겠습니다.</x:v>
      </x:c>
      <x:c r="L1340" s="11" t="n">
        <x:v>0.956666667</x:v>
      </x:c>
      <x:c r="M1340" s="11" t="n">
        <x:f>L1340-G1340</x:f>
        <x:v>0.956666667</x:v>
      </x:c>
      <x:c r="N1340" s="10" t="str">
        <x:v>AUTHORED_AVAILABLE</x:v>
      </x:c>
    </x:row>
    <x:row r="1341" ht="85" customHeight="1">
      <x:c r="A1341" s="10" t="str">
        <x:v>D-B</x:v>
      </x:c>
      <x:c r="B1341" s="10" t="str">
        <x:v>DELIVERY</x:v>
      </x:c>
      <x:c r="C1341" s="10" t="str">
        <x:v>DELIVERY:S07-08</x:v>
      </x:c>
      <x:c r="D1341" s="10" t="str">
        <x:v>DELIVERY:S07-08:input</x:v>
      </x:c>
      <x:c r="E1341" s="10" t="str">
        <x:v>D-S07</x:v>
      </x:c>
      <x:c r="F1341" s="10" t="n">
        <x:v>1</x:v>
      </x:c>
      <x:c r="G1341" s="11" t="n">
        <x:v>0</x:v>
      </x:c>
      <x:c r="H1341" s="11" t="n">
        <x:v>0.956666667</x:v>
      </x:c>
      <x:c r="I1341" s="11" t="n">
        <x:f>H1341-G1341</x:f>
        <x:v>0.956666667</x:v>
      </x:c>
      <x:c r="J1341" s="10" t="str">
        <x:v>일정, 메일, 보고서 순서로 읽어줘.</x:v>
      </x:c>
      <x:c r="K1341" s="10" t="str">
        <x:v>일정, 메일, 보고서 순서로 읽겠습니다.</x:v>
      </x:c>
      <x:c r="L1341" s="11" t="n">
        <x:v>1.359</x:v>
      </x:c>
      <x:c r="M1341" s="11" t="n">
        <x:f>L1341-G1341</x:f>
        <x:v>1.359</x:v>
      </x:c>
      <x:c r="N1341" s="10" t="str">
        <x:v>AUTHORED_AVAILABLE</x:v>
      </x:c>
    </x:row>
    <x:row r="1342" ht="85" customHeight="1">
      <x:c r="A1342" s="10" t="str">
        <x:v>D-A</x:v>
      </x:c>
      <x:c r="B1342" s="10" t="str">
        <x:v>DELIVERY</x:v>
      </x:c>
      <x:c r="C1342" s="10" t="str">
        <x:v>DELIVERY:S07-09</x:v>
      </x:c>
      <x:c r="D1342" s="10" t="str">
        <x:v>DELIVERY:S07-09:input</x:v>
      </x:c>
      <x:c r="E1342" s="10" t="str">
        <x:v>D-S07</x:v>
      </x:c>
      <x:c r="F1342" s="10" t="n">
        <x:v>1</x:v>
      </x:c>
      <x:c r="G1342" s="11" t="n">
        <x:v>0</x:v>
      </x:c>
      <x:c r="H1342" s="11" t="n">
        <x:v>0.91</x:v>
      </x:c>
      <x:c r="I1342" s="11" t="n">
        <x:f>H1342-G1342</x:f>
        <x:v>0.91</x:v>
      </x:c>
      <x:c r="J1342" s="10" t="str">
        <x:v>일정, 메일, 보고서 순서로 읽어줘.</x:v>
      </x:c>
      <x:c r="K1342" s="10" t="str">
        <x:v>일정, 메일, 보고서 순서로 읽겠습니다.</x:v>
      </x:c>
      <x:c r="L1342" s="11" t="n">
        <x:v>0.91</x:v>
      </x:c>
      <x:c r="M1342" s="11" t="n">
        <x:f>L1342-G1342</x:f>
        <x:v>0.91</x:v>
      </x:c>
      <x:c r="N1342" s="10" t="str">
        <x:v>AUTHORED_AVAILABLE</x:v>
      </x:c>
    </x:row>
    <x:row r="1343" ht="85" customHeight="1">
      <x:c r="A1343" s="10" t="str">
        <x:v>D-B</x:v>
      </x:c>
      <x:c r="B1343" s="10" t="str">
        <x:v>DELIVERY</x:v>
      </x:c>
      <x:c r="C1343" s="10" t="str">
        <x:v>DELIVERY:S07-09</x:v>
      </x:c>
      <x:c r="D1343" s="10" t="str">
        <x:v>DELIVERY:S07-09:input</x:v>
      </x:c>
      <x:c r="E1343" s="10" t="str">
        <x:v>D-S07</x:v>
      </x:c>
      <x:c r="F1343" s="10" t="n">
        <x:v>1</x:v>
      </x:c>
      <x:c r="G1343" s="11" t="n">
        <x:v>0</x:v>
      </x:c>
      <x:c r="H1343" s="11" t="n">
        <x:v>0.91</x:v>
      </x:c>
      <x:c r="I1343" s="11" t="n">
        <x:f>H1343-G1343</x:f>
        <x:v>0.91</x:v>
      </x:c>
      <x:c r="J1343" s="10" t="str">
        <x:v>일정, 메일, 보고서 순서로 읽어줘.</x:v>
      </x:c>
      <x:c r="K1343" s="10" t="str">
        <x:v>일정, 메일, 보고서 순서로 읽겠습니다.</x:v>
      </x:c>
      <x:c r="L1343" s="11" t="n">
        <x:v>1.312333333</x:v>
      </x:c>
      <x:c r="M1343" s="11" t="n">
        <x:f>L1343-G1343</x:f>
        <x:v>1.312333333</x:v>
      </x:c>
      <x:c r="N1343" s="10" t="str">
        <x:v>AUTHORED_AVAILABLE</x:v>
      </x:c>
    </x:row>
    <x:row r="1344" ht="85" customHeight="1">
      <x:c r="A1344" s="10" t="str">
        <x:v>D-A</x:v>
      </x:c>
      <x:c r="B1344" s="10" t="str">
        <x:v>DELIVERY</x:v>
      </x:c>
      <x:c r="C1344" s="10" t="str">
        <x:v>DELIVERY:S07-10</x:v>
      </x:c>
      <x:c r="D1344" s="10" t="str">
        <x:v>DELIVERY:S07-10:input</x:v>
      </x:c>
      <x:c r="E1344" s="10" t="str">
        <x:v>D-S07</x:v>
      </x:c>
      <x:c r="F1344" s="10" t="n">
        <x:v>1</x:v>
      </x:c>
      <x:c r="G1344" s="11" t="n">
        <x:v>0</x:v>
      </x:c>
      <x:c r="H1344" s="11" t="n">
        <x:v>0.938333333</x:v>
      </x:c>
      <x:c r="I1344" s="11" t="n">
        <x:f>H1344-G1344</x:f>
        <x:v>0.938333333</x:v>
      </x:c>
      <x:c r="J1344" s="10" t="str">
        <x:v>일정, 메일, 보고서 순서로 읽어줘.</x:v>
      </x:c>
      <x:c r="K1344" s="10" t="str">
        <x:v>일정, 메일, 보고서 순서로 읽겠습니다.</x:v>
      </x:c>
      <x:c r="L1344" s="11" t="n">
        <x:v>0.938333333</x:v>
      </x:c>
      <x:c r="M1344" s="11" t="n">
        <x:f>L1344-G1344</x:f>
        <x:v>0.938333333</x:v>
      </x:c>
      <x:c r="N1344" s="10" t="str">
        <x:v>AUTHORED_AVAILABLE</x:v>
      </x:c>
    </x:row>
    <x:row r="1345" ht="85" customHeight="1">
      <x:c r="A1345" s="10" t="str">
        <x:v>D-B</x:v>
      </x:c>
      <x:c r="B1345" s="10" t="str">
        <x:v>DELIVERY</x:v>
      </x:c>
      <x:c r="C1345" s="10" t="str">
        <x:v>DELIVERY:S07-10</x:v>
      </x:c>
      <x:c r="D1345" s="10" t="str">
        <x:v>DELIVERY:S07-10:input</x:v>
      </x:c>
      <x:c r="E1345" s="10" t="str">
        <x:v>D-S07</x:v>
      </x:c>
      <x:c r="F1345" s="10" t="n">
        <x:v>1</x:v>
      </x:c>
      <x:c r="G1345" s="11" t="n">
        <x:v>0</x:v>
      </x:c>
      <x:c r="H1345" s="11" t="n">
        <x:v>0.938333333</x:v>
      </x:c>
      <x:c r="I1345" s="11" t="n">
        <x:f>H1345-G1345</x:f>
        <x:v>0.938333333</x:v>
      </x:c>
      <x:c r="J1345" s="10" t="str">
        <x:v>일정, 메일, 보고서 순서로 읽어줘.</x:v>
      </x:c>
      <x:c r="K1345" s="10" t="str">
        <x:v>일정, 메일, 보고서 순서로 읽겠습니다.</x:v>
      </x:c>
      <x:c r="L1345" s="11" t="n">
        <x:v>1.340666666</x:v>
      </x:c>
      <x:c r="M1345" s="11" t="n">
        <x:f>L1345-G1345</x:f>
        <x:v>1.340666666</x:v>
      </x:c>
      <x:c r="N1345" s="10" t="str">
        <x:v>AUTHORED_AVAILABLE</x:v>
      </x:c>
    </x:row>
    <x:row r="1346" ht="85" customHeight="1">
      <x:c r="A1346" s="10" t="str">
        <x:v>D-A</x:v>
      </x:c>
      <x:c r="B1346" s="10" t="str">
        <x:v>DELIVERY</x:v>
      </x:c>
      <x:c r="C1346" s="10" t="str">
        <x:v>DELIVERY:S08-01</x:v>
      </x:c>
      <x:c r="D1346" s="10" t="str">
        <x:v>DELIVERY:S08-01:input</x:v>
      </x:c>
      <x:c r="E1346" s="10" t="str">
        <x:v>D-S08</x:v>
      </x:c>
      <x:c r="F1346" s="10" t="n">
        <x:v>1</x:v>
      </x:c>
      <x:c r="G1346" s="11" t="n">
        <x:v>0</x:v>
      </x:c>
      <x:c r="H1346" s="11" t="n">
        <x:v>0.908333333</x:v>
      </x:c>
      <x:c r="I1346" s="11" t="n">
        <x:f>H1346-G1346</x:f>
        <x:v>0.908333333</x:v>
      </x:c>
      <x:c r="J1346" s="10" t="str">
        <x:v>도착하는 메일 질문을 바로 읽어줘.</x:v>
      </x:c>
      <x:c r="K1346" s="10" t="str">
        <x:v>수신자는 김 대리인가요?</x:v>
      </x:c>
      <x:c r="L1346" s="11" t="n">
        <x:v>1.259333333</x:v>
      </x:c>
      <x:c r="M1346" s="11" t="n">
        <x:f>L1346-G1346</x:f>
        <x:v>1.259333333</x:v>
      </x:c>
      <x:c r="N1346" s="10" t="str">
        <x:v>AUTHORED_AVAILABLE</x:v>
      </x:c>
    </x:row>
    <x:row r="1347" ht="85" customHeight="1">
      <x:c r="A1347" s="10" t="str">
        <x:v>D-B</x:v>
      </x:c>
      <x:c r="B1347" s="10" t="str">
        <x:v>DELIVERY</x:v>
      </x:c>
      <x:c r="C1347" s="10" t="str">
        <x:v>DELIVERY:S08-01</x:v>
      </x:c>
      <x:c r="D1347" s="10" t="str">
        <x:v>DELIVERY:S08-01:input</x:v>
      </x:c>
      <x:c r="E1347" s="10" t="str">
        <x:v>D-S08</x:v>
      </x:c>
      <x:c r="F1347" s="10" t="n">
        <x:v>1</x:v>
      </x:c>
      <x:c r="G1347" s="11" t="n">
        <x:v>0</x:v>
      </x:c>
      <x:c r="H1347" s="11" t="n">
        <x:v>0.908333333</x:v>
      </x:c>
      <x:c r="I1347" s="11" t="n">
        <x:f>H1347-G1347</x:f>
        <x:v>0.908333333</x:v>
      </x:c>
      <x:c r="J1347" s="10" t="str">
        <x:v>도착하는 메일 질문을 바로 읽어줘.</x:v>
      </x:c>
      <x:c r="K1347" s="10" t="str">
        <x:v>수신자는 김 대리인가요?</x:v>
      </x:c>
      <x:c r="L1347" s="11" t="n">
        <x:v>1.309333333</x:v>
      </x:c>
      <x:c r="M1347" s="11" t="n">
        <x:f>L1347-G1347</x:f>
        <x:v>1.309333333</x:v>
      </x:c>
      <x:c r="N1347" s="10" t="str">
        <x:v>AUTHORED_AVAILABLE</x:v>
      </x:c>
    </x:row>
    <x:row r="1348" ht="85" customHeight="1">
      <x:c r="A1348" s="10" t="str">
        <x:v>D-A</x:v>
      </x:c>
      <x:c r="B1348" s="10" t="str">
        <x:v>DELIVERY</x:v>
      </x:c>
      <x:c r="C1348" s="10" t="str">
        <x:v>DELIVERY:S08-02</x:v>
      </x:c>
      <x:c r="D1348" s="10" t="str">
        <x:v>DELIVERY:S08-02:input</x:v>
      </x:c>
      <x:c r="E1348" s="10" t="str">
        <x:v>D-S08</x:v>
      </x:c>
      <x:c r="F1348" s="10" t="n">
        <x:v>1</x:v>
      </x:c>
      <x:c r="G1348" s="11" t="n">
        <x:v>0</x:v>
      </x:c>
      <x:c r="H1348" s="11" t="n">
        <x:v>0.936666667</x:v>
      </x:c>
      <x:c r="I1348" s="11" t="n">
        <x:f>H1348-G1348</x:f>
        <x:v>0.936666667</x:v>
      </x:c>
      <x:c r="J1348" s="10" t="str">
        <x:v>도착하는 메일 질문을 바로 읽어줘.</x:v>
      </x:c>
      <x:c r="K1348" s="10" t="str">
        <x:v>수신자는 김 대리인가요?</x:v>
      </x:c>
      <x:c r="L1348" s="11" t="n">
        <x:v>1.287666667</x:v>
      </x:c>
      <x:c r="M1348" s="11" t="n">
        <x:f>L1348-G1348</x:f>
        <x:v>1.287666667</x:v>
      </x:c>
      <x:c r="N1348" s="10" t="str">
        <x:v>AUTHORED_AVAILABLE</x:v>
      </x:c>
    </x:row>
    <x:row r="1349" ht="85" customHeight="1">
      <x:c r="A1349" s="10" t="str">
        <x:v>D-B</x:v>
      </x:c>
      <x:c r="B1349" s="10" t="str">
        <x:v>DELIVERY</x:v>
      </x:c>
      <x:c r="C1349" s="10" t="str">
        <x:v>DELIVERY:S08-02</x:v>
      </x:c>
      <x:c r="D1349" s="10" t="str">
        <x:v>DELIVERY:S08-02:input</x:v>
      </x:c>
      <x:c r="E1349" s="10" t="str">
        <x:v>D-S08</x:v>
      </x:c>
      <x:c r="F1349" s="10" t="n">
        <x:v>1</x:v>
      </x:c>
      <x:c r="G1349" s="11" t="n">
        <x:v>0</x:v>
      </x:c>
      <x:c r="H1349" s="11" t="n">
        <x:v>0.936666667</x:v>
      </x:c>
      <x:c r="I1349" s="11" t="n">
        <x:f>H1349-G1349</x:f>
        <x:v>0.936666667</x:v>
      </x:c>
      <x:c r="J1349" s="10" t="str">
        <x:v>도착하는 메일 질문을 바로 읽어줘.</x:v>
      </x:c>
      <x:c r="K1349" s="10" t="str">
        <x:v>수신자는 김 대리인가요?</x:v>
      </x:c>
      <x:c r="L1349" s="11" t="n">
        <x:v>1.337666667</x:v>
      </x:c>
      <x:c r="M1349" s="11" t="n">
        <x:f>L1349-G1349</x:f>
        <x:v>1.337666667</x:v>
      </x:c>
      <x:c r="N1349" s="10" t="str">
        <x:v>AUTHORED_AVAILABLE</x:v>
      </x:c>
    </x:row>
    <x:row r="1350" ht="85" customHeight="1">
      <x:c r="A1350" s="10" t="str">
        <x:v>D-A</x:v>
      </x:c>
      <x:c r="B1350" s="10" t="str">
        <x:v>DELIVERY</x:v>
      </x:c>
      <x:c r="C1350" s="10" t="str">
        <x:v>DELIVERY:S08-03</x:v>
      </x:c>
      <x:c r="D1350" s="10" t="str">
        <x:v>DELIVERY:S08-03:input</x:v>
      </x:c>
      <x:c r="E1350" s="10" t="str">
        <x:v>D-S08</x:v>
      </x:c>
      <x:c r="F1350" s="10" t="n">
        <x:v>1</x:v>
      </x:c>
      <x:c r="G1350" s="11" t="n">
        <x:v>0</x:v>
      </x:c>
      <x:c r="H1350" s="11" t="n">
        <x:v>0.89</x:v>
      </x:c>
      <x:c r="I1350" s="11" t="n">
        <x:f>H1350-G1350</x:f>
        <x:v>0.89</x:v>
      </x:c>
      <x:c r="J1350" s="10" t="str">
        <x:v>도착하는 메일 질문을 바로 읽어줘.</x:v>
      </x:c>
      <x:c r="K1350" s="10" t="str">
        <x:v>수신자는 김 대리인가요?</x:v>
      </x:c>
      <x:c r="L1350" s="11" t="n">
        <x:v>1.241</x:v>
      </x:c>
      <x:c r="M1350" s="11" t="n">
        <x:f>L1350-G1350</x:f>
        <x:v>1.241</x:v>
      </x:c>
      <x:c r="N1350" s="10" t="str">
        <x:v>AUTHORED_AVAILABLE</x:v>
      </x:c>
    </x:row>
    <x:row r="1351" ht="85" customHeight="1">
      <x:c r="A1351" s="10" t="str">
        <x:v>D-B</x:v>
      </x:c>
      <x:c r="B1351" s="10" t="str">
        <x:v>DELIVERY</x:v>
      </x:c>
      <x:c r="C1351" s="10" t="str">
        <x:v>DELIVERY:S08-03</x:v>
      </x:c>
      <x:c r="D1351" s="10" t="str">
        <x:v>DELIVERY:S08-03:input</x:v>
      </x:c>
      <x:c r="E1351" s="10" t="str">
        <x:v>D-S08</x:v>
      </x:c>
      <x:c r="F1351" s="10" t="n">
        <x:v>1</x:v>
      </x:c>
      <x:c r="G1351" s="11" t="n">
        <x:v>0</x:v>
      </x:c>
      <x:c r="H1351" s="11" t="n">
        <x:v>0.89</x:v>
      </x:c>
      <x:c r="I1351" s="11" t="n">
        <x:f>H1351-G1351</x:f>
        <x:v>0.89</x:v>
      </x:c>
      <x:c r="J1351" s="10" t="str">
        <x:v>도착하는 메일 질문을 바로 읽어줘.</x:v>
      </x:c>
      <x:c r="K1351" s="10" t="str">
        <x:v>수신자는 김 대리인가요?</x:v>
      </x:c>
      <x:c r="L1351" s="11" t="n">
        <x:v>1.291</x:v>
      </x:c>
      <x:c r="M1351" s="11" t="n">
        <x:f>L1351-G1351</x:f>
        <x:v>1.291</x:v>
      </x:c>
      <x:c r="N1351" s="10" t="str">
        <x:v>AUTHORED_AVAILABLE</x:v>
      </x:c>
    </x:row>
    <x:row r="1352" ht="85" customHeight="1">
      <x:c r="A1352" s="10" t="str">
        <x:v>D-A</x:v>
      </x:c>
      <x:c r="B1352" s="10" t="str">
        <x:v>DELIVERY</x:v>
      </x:c>
      <x:c r="C1352" s="10" t="str">
        <x:v>DELIVERY:S08-04</x:v>
      </x:c>
      <x:c r="D1352" s="10" t="str">
        <x:v>DELIVERY:S08-04:input</x:v>
      </x:c>
      <x:c r="E1352" s="10" t="str">
        <x:v>D-S08</x:v>
      </x:c>
      <x:c r="F1352" s="10" t="n">
        <x:v>1</x:v>
      </x:c>
      <x:c r="G1352" s="11" t="n">
        <x:v>0</x:v>
      </x:c>
      <x:c r="H1352" s="11" t="n">
        <x:v>0.918333333</x:v>
      </x:c>
      <x:c r="I1352" s="11" t="n">
        <x:f>H1352-G1352</x:f>
        <x:v>0.918333333</x:v>
      </x:c>
      <x:c r="J1352" s="10" t="str">
        <x:v>도착하는 메일 질문을 바로 읽어줘.</x:v>
      </x:c>
      <x:c r="K1352" s="10" t="str">
        <x:v>수신자는 김 대리인가요?</x:v>
      </x:c>
      <x:c r="L1352" s="11" t="n">
        <x:v>1.269333333</x:v>
      </x:c>
      <x:c r="M1352" s="11" t="n">
        <x:f>L1352-G1352</x:f>
        <x:v>1.269333333</x:v>
      </x:c>
      <x:c r="N1352" s="10" t="str">
        <x:v>AUTHORED_AVAILABLE</x:v>
      </x:c>
    </x:row>
    <x:row r="1353" ht="85" customHeight="1">
      <x:c r="A1353" s="10" t="str">
        <x:v>D-B</x:v>
      </x:c>
      <x:c r="B1353" s="10" t="str">
        <x:v>DELIVERY</x:v>
      </x:c>
      <x:c r="C1353" s="10" t="str">
        <x:v>DELIVERY:S08-04</x:v>
      </x:c>
      <x:c r="D1353" s="10" t="str">
        <x:v>DELIVERY:S08-04:input</x:v>
      </x:c>
      <x:c r="E1353" s="10" t="str">
        <x:v>D-S08</x:v>
      </x:c>
      <x:c r="F1353" s="10" t="n">
        <x:v>1</x:v>
      </x:c>
      <x:c r="G1353" s="11" t="n">
        <x:v>0</x:v>
      </x:c>
      <x:c r="H1353" s="11" t="n">
        <x:v>0.918333333</x:v>
      </x:c>
      <x:c r="I1353" s="11" t="n">
        <x:f>H1353-G1353</x:f>
        <x:v>0.918333333</x:v>
      </x:c>
      <x:c r="J1353" s="10" t="str">
        <x:v>도착하는 메일 질문을 바로 읽어줘.</x:v>
      </x:c>
      <x:c r="K1353" s="10" t="str">
        <x:v>수신자는 김 대리인가요?</x:v>
      </x:c>
      <x:c r="L1353" s="11" t="n">
        <x:v>1.319333333</x:v>
      </x:c>
      <x:c r="M1353" s="11" t="n">
        <x:f>L1353-G1353</x:f>
        <x:v>1.319333333</x:v>
      </x:c>
      <x:c r="N1353" s="10" t="str">
        <x:v>AUTHORED_AVAILABLE</x:v>
      </x:c>
    </x:row>
    <x:row r="1354" ht="85" customHeight="1">
      <x:c r="A1354" s="10" t="str">
        <x:v>D-A</x:v>
      </x:c>
      <x:c r="B1354" s="10" t="str">
        <x:v>DELIVERY</x:v>
      </x:c>
      <x:c r="C1354" s="10" t="str">
        <x:v>DELIVERY:S08-05</x:v>
      </x:c>
      <x:c r="D1354" s="10" t="str">
        <x:v>DELIVERY:S08-05:input</x:v>
      </x:c>
      <x:c r="E1354" s="10" t="str">
        <x:v>D-S08</x:v>
      </x:c>
      <x:c r="F1354" s="10" t="n">
        <x:v>1</x:v>
      </x:c>
      <x:c r="G1354" s="11" t="n">
        <x:v>0</x:v>
      </x:c>
      <x:c r="H1354" s="11" t="n">
        <x:v>0.946666667</x:v>
      </x:c>
      <x:c r="I1354" s="11" t="n">
        <x:f>H1354-G1354</x:f>
        <x:v>0.946666667</x:v>
      </x:c>
      <x:c r="J1354" s="10" t="str">
        <x:v>도착하는 메일 질문을 바로 읽어줘.</x:v>
      </x:c>
      <x:c r="K1354" s="10" t="str">
        <x:v>수신자는 김 대리인가요?</x:v>
      </x:c>
      <x:c r="L1354" s="11" t="n">
        <x:v>1.297666667</x:v>
      </x:c>
      <x:c r="M1354" s="11" t="n">
        <x:f>L1354-G1354</x:f>
        <x:v>1.297666667</x:v>
      </x:c>
      <x:c r="N1354" s="10" t="str">
        <x:v>AUTHORED_AVAILABLE</x:v>
      </x:c>
    </x:row>
    <x:row r="1355" ht="85" customHeight="1">
      <x:c r="A1355" s="10" t="str">
        <x:v>D-B</x:v>
      </x:c>
      <x:c r="B1355" s="10" t="str">
        <x:v>DELIVERY</x:v>
      </x:c>
      <x:c r="C1355" s="10" t="str">
        <x:v>DELIVERY:S08-05</x:v>
      </x:c>
      <x:c r="D1355" s="10" t="str">
        <x:v>DELIVERY:S08-05:input</x:v>
      </x:c>
      <x:c r="E1355" s="10" t="str">
        <x:v>D-S08</x:v>
      </x:c>
      <x:c r="F1355" s="10" t="n">
        <x:v>1</x:v>
      </x:c>
      <x:c r="G1355" s="11" t="n">
        <x:v>0</x:v>
      </x:c>
      <x:c r="H1355" s="11" t="n">
        <x:v>0.946666667</x:v>
      </x:c>
      <x:c r="I1355" s="11" t="n">
        <x:f>H1355-G1355</x:f>
        <x:v>0.946666667</x:v>
      </x:c>
      <x:c r="J1355" s="10" t="str">
        <x:v>도착하는 메일 질문을 바로 읽어줘.</x:v>
      </x:c>
      <x:c r="K1355" s="10" t="str">
        <x:v>수신자는 김 대리인가요?</x:v>
      </x:c>
      <x:c r="L1355" s="11" t="n">
        <x:v>1.347666667</x:v>
      </x:c>
      <x:c r="M1355" s="11" t="n">
        <x:f>L1355-G1355</x:f>
        <x:v>1.347666667</x:v>
      </x:c>
      <x:c r="N1355" s="10" t="str">
        <x:v>AUTHORED_AVAILABLE</x:v>
      </x:c>
    </x:row>
    <x:row r="1356" ht="85" customHeight="1">
      <x:c r="A1356" s="10" t="str">
        <x:v>D-A</x:v>
      </x:c>
      <x:c r="B1356" s="10" t="str">
        <x:v>DELIVERY</x:v>
      </x:c>
      <x:c r="C1356" s="10" t="str">
        <x:v>DELIVERY:S08-06</x:v>
      </x:c>
      <x:c r="D1356" s="10" t="str">
        <x:v>DELIVERY:S08-06:input</x:v>
      </x:c>
      <x:c r="E1356" s="10" t="str">
        <x:v>D-S08</x:v>
      </x:c>
      <x:c r="F1356" s="10" t="n">
        <x:v>1</x:v>
      </x:c>
      <x:c r="G1356" s="11" t="n">
        <x:v>0</x:v>
      </x:c>
      <x:c r="H1356" s="11" t="n">
        <x:v>0.9</x:v>
      </x:c>
      <x:c r="I1356" s="11" t="n">
        <x:f>H1356-G1356</x:f>
        <x:v>0.9</x:v>
      </x:c>
      <x:c r="J1356" s="10" t="str">
        <x:v>도착하는 메일 질문을 바로 읽어줘.</x:v>
      </x:c>
      <x:c r="K1356" s="10" t="str">
        <x:v>수신자는 김 대리인가요?</x:v>
      </x:c>
      <x:c r="L1356" s="11" t="n">
        <x:v>1.251</x:v>
      </x:c>
      <x:c r="M1356" s="11" t="n">
        <x:f>L1356-G1356</x:f>
        <x:v>1.251</x:v>
      </x:c>
      <x:c r="N1356" s="10" t="str">
        <x:v>AUTHORED_AVAILABLE</x:v>
      </x:c>
    </x:row>
    <x:row r="1357" ht="85" customHeight="1">
      <x:c r="A1357" s="10" t="str">
        <x:v>D-B</x:v>
      </x:c>
      <x:c r="B1357" s="10" t="str">
        <x:v>DELIVERY</x:v>
      </x:c>
      <x:c r="C1357" s="10" t="str">
        <x:v>DELIVERY:S08-06</x:v>
      </x:c>
      <x:c r="D1357" s="10" t="str">
        <x:v>DELIVERY:S08-06:input</x:v>
      </x:c>
      <x:c r="E1357" s="10" t="str">
        <x:v>D-S08</x:v>
      </x:c>
      <x:c r="F1357" s="10" t="n">
        <x:v>1</x:v>
      </x:c>
      <x:c r="G1357" s="11" t="n">
        <x:v>0</x:v>
      </x:c>
      <x:c r="H1357" s="11" t="n">
        <x:v>0.9</x:v>
      </x:c>
      <x:c r="I1357" s="11" t="n">
        <x:f>H1357-G1357</x:f>
        <x:v>0.9</x:v>
      </x:c>
      <x:c r="J1357" s="10" t="str">
        <x:v>도착하는 메일 질문을 바로 읽어줘.</x:v>
      </x:c>
      <x:c r="K1357" s="10" t="str">
        <x:v>수신자는 김 대리인가요?</x:v>
      </x:c>
      <x:c r="L1357" s="11" t="n">
        <x:v>1.301</x:v>
      </x:c>
      <x:c r="M1357" s="11" t="n">
        <x:f>L1357-G1357</x:f>
        <x:v>1.301</x:v>
      </x:c>
      <x:c r="N1357" s="10" t="str">
        <x:v>AUTHORED_AVAILABLE</x:v>
      </x:c>
    </x:row>
    <x:row r="1358" ht="85" customHeight="1">
      <x:c r="A1358" s="10" t="str">
        <x:v>D-A</x:v>
      </x:c>
      <x:c r="B1358" s="10" t="str">
        <x:v>DELIVERY</x:v>
      </x:c>
      <x:c r="C1358" s="10" t="str">
        <x:v>DELIVERY:S08-07</x:v>
      </x:c>
      <x:c r="D1358" s="10" t="str">
        <x:v>DELIVERY:S08-07:input</x:v>
      </x:c>
      <x:c r="E1358" s="10" t="str">
        <x:v>D-S08</x:v>
      </x:c>
      <x:c r="F1358" s="10" t="n">
        <x:v>1</x:v>
      </x:c>
      <x:c r="G1358" s="11" t="n">
        <x:v>0</x:v>
      </x:c>
      <x:c r="H1358" s="11" t="n">
        <x:v>0.928333333</x:v>
      </x:c>
      <x:c r="I1358" s="11" t="n">
        <x:f>H1358-G1358</x:f>
        <x:v>0.928333333</x:v>
      </x:c>
      <x:c r="J1358" s="10" t="str">
        <x:v>도착하는 메일 질문을 바로 읽어줘.</x:v>
      </x:c>
      <x:c r="K1358" s="10" t="str">
        <x:v>수신자는 김 대리인가요?</x:v>
      </x:c>
      <x:c r="L1358" s="11" t="n">
        <x:v>1.279333333</x:v>
      </x:c>
      <x:c r="M1358" s="11" t="n">
        <x:f>L1358-G1358</x:f>
        <x:v>1.279333333</x:v>
      </x:c>
      <x:c r="N1358" s="10" t="str">
        <x:v>AUTHORED_AVAILABLE</x:v>
      </x:c>
    </x:row>
    <x:row r="1359" ht="85" customHeight="1">
      <x:c r="A1359" s="10" t="str">
        <x:v>D-B</x:v>
      </x:c>
      <x:c r="B1359" s="10" t="str">
        <x:v>DELIVERY</x:v>
      </x:c>
      <x:c r="C1359" s="10" t="str">
        <x:v>DELIVERY:S08-07</x:v>
      </x:c>
      <x:c r="D1359" s="10" t="str">
        <x:v>DELIVERY:S08-07:input</x:v>
      </x:c>
      <x:c r="E1359" s="10" t="str">
        <x:v>D-S08</x:v>
      </x:c>
      <x:c r="F1359" s="10" t="n">
        <x:v>1</x:v>
      </x:c>
      <x:c r="G1359" s="11" t="n">
        <x:v>0</x:v>
      </x:c>
      <x:c r="H1359" s="11" t="n">
        <x:v>0.928333333</x:v>
      </x:c>
      <x:c r="I1359" s="11" t="n">
        <x:f>H1359-G1359</x:f>
        <x:v>0.928333333</x:v>
      </x:c>
      <x:c r="J1359" s="10" t="str">
        <x:v>도착하는 메일 질문을 바로 읽어줘.</x:v>
      </x:c>
      <x:c r="K1359" s="10" t="str">
        <x:v>수신자는 김 대리인가요?</x:v>
      </x:c>
      <x:c r="L1359" s="11" t="n">
        <x:v>1.329333333</x:v>
      </x:c>
      <x:c r="M1359" s="11" t="n">
        <x:f>L1359-G1359</x:f>
        <x:v>1.329333333</x:v>
      </x:c>
      <x:c r="N1359" s="10" t="str">
        <x:v>AUTHORED_AVAILABLE</x:v>
      </x:c>
    </x:row>
    <x:row r="1360" ht="85" customHeight="1">
      <x:c r="A1360" s="10" t="str">
        <x:v>D-A</x:v>
      </x:c>
      <x:c r="B1360" s="10" t="str">
        <x:v>DELIVERY</x:v>
      </x:c>
      <x:c r="C1360" s="10" t="str">
        <x:v>DELIVERY:S08-08</x:v>
      </x:c>
      <x:c r="D1360" s="10" t="str">
        <x:v>DELIVERY:S08-08:input</x:v>
      </x:c>
      <x:c r="E1360" s="10" t="str">
        <x:v>D-S08</x:v>
      </x:c>
      <x:c r="F1360" s="10" t="n">
        <x:v>1</x:v>
      </x:c>
      <x:c r="G1360" s="11" t="n">
        <x:v>0</x:v>
      </x:c>
      <x:c r="H1360" s="11" t="n">
        <x:v>0.956666667</x:v>
      </x:c>
      <x:c r="I1360" s="11" t="n">
        <x:f>H1360-G1360</x:f>
        <x:v>0.956666667</x:v>
      </x:c>
      <x:c r="J1360" s="10" t="str">
        <x:v>도착하는 메일 질문을 바로 읽어줘.</x:v>
      </x:c>
      <x:c r="K1360" s="10" t="str">
        <x:v>수신자는 김 대리인가요?</x:v>
      </x:c>
      <x:c r="L1360" s="11" t="n">
        <x:v>1.307666667</x:v>
      </x:c>
      <x:c r="M1360" s="11" t="n">
        <x:f>L1360-G1360</x:f>
        <x:v>1.307666667</x:v>
      </x:c>
      <x:c r="N1360" s="10" t="str">
        <x:v>AUTHORED_AVAILABLE</x:v>
      </x:c>
    </x:row>
    <x:row r="1361" ht="85" customHeight="1">
      <x:c r="A1361" s="10" t="str">
        <x:v>D-B</x:v>
      </x:c>
      <x:c r="B1361" s="10" t="str">
        <x:v>DELIVERY</x:v>
      </x:c>
      <x:c r="C1361" s="10" t="str">
        <x:v>DELIVERY:S08-08</x:v>
      </x:c>
      <x:c r="D1361" s="10" t="str">
        <x:v>DELIVERY:S08-08:input</x:v>
      </x:c>
      <x:c r="E1361" s="10" t="str">
        <x:v>D-S08</x:v>
      </x:c>
      <x:c r="F1361" s="10" t="n">
        <x:v>1</x:v>
      </x:c>
      <x:c r="G1361" s="11" t="n">
        <x:v>0</x:v>
      </x:c>
      <x:c r="H1361" s="11" t="n">
        <x:v>0.956666667</x:v>
      </x:c>
      <x:c r="I1361" s="11" t="n">
        <x:f>H1361-G1361</x:f>
        <x:v>0.956666667</x:v>
      </x:c>
      <x:c r="J1361" s="10" t="str">
        <x:v>도착하는 메일 질문을 바로 읽어줘.</x:v>
      </x:c>
      <x:c r="K1361" s="10" t="str">
        <x:v>수신자는 김 대리인가요?</x:v>
      </x:c>
      <x:c r="L1361" s="11" t="n">
        <x:v>1.357666667</x:v>
      </x:c>
      <x:c r="M1361" s="11" t="n">
        <x:f>L1361-G1361</x:f>
        <x:v>1.357666667</x:v>
      </x:c>
      <x:c r="N1361" s="10" t="str">
        <x:v>AUTHORED_AVAILABLE</x:v>
      </x:c>
    </x:row>
    <x:row r="1362" ht="85" customHeight="1">
      <x:c r="A1362" s="10" t="str">
        <x:v>D-A</x:v>
      </x:c>
      <x:c r="B1362" s="10" t="str">
        <x:v>DELIVERY</x:v>
      </x:c>
      <x:c r="C1362" s="10" t="str">
        <x:v>DELIVERY:S08-09</x:v>
      </x:c>
      <x:c r="D1362" s="10" t="str">
        <x:v>DELIVERY:S08-09:input</x:v>
      </x:c>
      <x:c r="E1362" s="10" t="str">
        <x:v>D-S08</x:v>
      </x:c>
      <x:c r="F1362" s="10" t="n">
        <x:v>1</x:v>
      </x:c>
      <x:c r="G1362" s="11" t="n">
        <x:v>0</x:v>
      </x:c>
      <x:c r="H1362" s="11" t="n">
        <x:v>0.91</x:v>
      </x:c>
      <x:c r="I1362" s="11" t="n">
        <x:f>H1362-G1362</x:f>
        <x:v>0.91</x:v>
      </x:c>
      <x:c r="J1362" s="10" t="str">
        <x:v>도착하는 메일 질문을 바로 읽어줘.</x:v>
      </x:c>
      <x:c r="K1362" s="10" t="str">
        <x:v>수신자는 김 대리인가요?</x:v>
      </x:c>
      <x:c r="L1362" s="11" t="n">
        <x:v>1.261</x:v>
      </x:c>
      <x:c r="M1362" s="11" t="n">
        <x:f>L1362-G1362</x:f>
        <x:v>1.261</x:v>
      </x:c>
      <x:c r="N1362" s="10" t="str">
        <x:v>AUTHORED_AVAILABLE</x:v>
      </x:c>
    </x:row>
    <x:row r="1363" ht="85" customHeight="1">
      <x:c r="A1363" s="10" t="str">
        <x:v>D-B</x:v>
      </x:c>
      <x:c r="B1363" s="10" t="str">
        <x:v>DELIVERY</x:v>
      </x:c>
      <x:c r="C1363" s="10" t="str">
        <x:v>DELIVERY:S08-09</x:v>
      </x:c>
      <x:c r="D1363" s="10" t="str">
        <x:v>DELIVERY:S08-09:input</x:v>
      </x:c>
      <x:c r="E1363" s="10" t="str">
        <x:v>D-S08</x:v>
      </x:c>
      <x:c r="F1363" s="10" t="n">
        <x:v>1</x:v>
      </x:c>
      <x:c r="G1363" s="11" t="n">
        <x:v>0</x:v>
      </x:c>
      <x:c r="H1363" s="11" t="n">
        <x:v>0.91</x:v>
      </x:c>
      <x:c r="I1363" s="11" t="n">
        <x:f>H1363-G1363</x:f>
        <x:v>0.91</x:v>
      </x:c>
      <x:c r="J1363" s="10" t="str">
        <x:v>도착하는 메일 질문을 바로 읽어줘.</x:v>
      </x:c>
      <x:c r="K1363" s="10" t="str">
        <x:v>수신자는 김 대리인가요?</x:v>
      </x:c>
      <x:c r="L1363" s="11" t="n">
        <x:v>1.311</x:v>
      </x:c>
      <x:c r="M1363" s="11" t="n">
        <x:f>L1363-G1363</x:f>
        <x:v>1.311</x:v>
      </x:c>
      <x:c r="N1363" s="10" t="str">
        <x:v>AUTHORED_AVAILABLE</x:v>
      </x:c>
    </x:row>
    <x:row r="1364" ht="85" customHeight="1">
      <x:c r="A1364" s="10" t="str">
        <x:v>D-A</x:v>
      </x:c>
      <x:c r="B1364" s="10" t="str">
        <x:v>DELIVERY</x:v>
      </x:c>
      <x:c r="C1364" s="10" t="str">
        <x:v>DELIVERY:S08-10</x:v>
      </x:c>
      <x:c r="D1364" s="10" t="str">
        <x:v>DELIVERY:S08-10:input</x:v>
      </x:c>
      <x:c r="E1364" s="10" t="str">
        <x:v>D-S08</x:v>
      </x:c>
      <x:c r="F1364" s="10" t="n">
        <x:v>1</x:v>
      </x:c>
      <x:c r="G1364" s="11" t="n">
        <x:v>0</x:v>
      </x:c>
      <x:c r="H1364" s="11" t="n">
        <x:v>0.938333333</x:v>
      </x:c>
      <x:c r="I1364" s="11" t="n">
        <x:f>H1364-G1364</x:f>
        <x:v>0.938333333</x:v>
      </x:c>
      <x:c r="J1364" s="10" t="str">
        <x:v>도착하는 메일 질문을 바로 읽어줘.</x:v>
      </x:c>
      <x:c r="K1364" s="10" t="str">
        <x:v>수신자는 김 대리인가요?</x:v>
      </x:c>
      <x:c r="L1364" s="11" t="n">
        <x:v>1.289333333</x:v>
      </x:c>
      <x:c r="M1364" s="11" t="n">
        <x:f>L1364-G1364</x:f>
        <x:v>1.289333333</x:v>
      </x:c>
      <x:c r="N1364" s="10" t="str">
        <x:v>AUTHORED_AVAILABLE</x:v>
      </x:c>
    </x:row>
    <x:row r="1365" ht="85" customHeight="1">
      <x:c r="A1365" s="10" t="str">
        <x:v>D-B</x:v>
      </x:c>
      <x:c r="B1365" s="10" t="str">
        <x:v>DELIVERY</x:v>
      </x:c>
      <x:c r="C1365" s="10" t="str">
        <x:v>DELIVERY:S08-10</x:v>
      </x:c>
      <x:c r="D1365" s="10" t="str">
        <x:v>DELIVERY:S08-10:input</x:v>
      </x:c>
      <x:c r="E1365" s="10" t="str">
        <x:v>D-S08</x:v>
      </x:c>
      <x:c r="F1365" s="10" t="n">
        <x:v>1</x:v>
      </x:c>
      <x:c r="G1365" s="11" t="n">
        <x:v>0</x:v>
      </x:c>
      <x:c r="H1365" s="11" t="n">
        <x:v>0.938333333</x:v>
      </x:c>
      <x:c r="I1365" s="11" t="n">
        <x:f>H1365-G1365</x:f>
        <x:v>0.938333333</x:v>
      </x:c>
      <x:c r="J1365" s="10" t="str">
        <x:v>도착하는 메일 질문을 바로 읽어줘.</x:v>
      </x:c>
      <x:c r="K1365" s="10" t="str">
        <x:v>수신자는 김 대리인가요?</x:v>
      </x:c>
      <x:c r="L1365" s="11" t="n">
        <x:v>1.339333333</x:v>
      </x:c>
      <x:c r="M1365" s="11" t="n">
        <x:f>L1365-G1365</x:f>
        <x:v>1.339333333</x:v>
      </x:c>
      <x:c r="N1365" s="10" t="str">
        <x:v>AUTHORED_AVAILABLE</x:v>
      </x:c>
    </x:row>
  </x:sheetData>
  <x:pageMargins left="0.7" right="0.7" top="0.75" bottom="0.75" header="0.3" footer="0.3"/>
  <x:tableParts count="1">
    <x:tablePart xmlns:r="http://schemas.openxmlformats.org/officeDocument/2006/relationships" r:id="Ra493f93aa2f24ae1"/>
  </x:tableParts>
</x:worksheet>
</file>

<file path=xl/worksheets/sheet4.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0.5600004196167" hidden="0" customWidth="1"/>
    <x:col min="2" max="2" width="8.329999923706055" hidden="0" customWidth="1"/>
    <x:col min="3" max="3" width="28.889999389648438" hidden="0" customWidth="1"/>
    <x:col min="4" max="4" width="31.670000076293945" hidden="0" customWidth="1"/>
    <x:col min="5" max="5" width="52.220001220703125" hidden="0" customWidth="1"/>
    <x:col min="6" max="6" width="52.220001220703125" hidden="0" customWidth="1"/>
    <x:col min="7" max="7" width="10.5600004196167" hidden="0" customWidth="1"/>
  </x:cols>
  <x:sheetData>
    <x:row r="1">
      <x:c r="A1" s="1"/>
      <x:c r="B1" s="1"/>
      <x:c r="C1" s="1"/>
      <x:c r="D1" s="1"/>
      <x:c r="E1" s="1"/>
      <x:c r="F1" s="1"/>
      <x:c r="G1" s="1"/>
    </x:row>
    <x:row r="2">
      <x:c r="A2" s="2" t="str">
        <x:v>표현별 최초 지칭 집합</x:v>
      </x:c>
      <x:c r="B2" s="1"/>
      <x:c r="C2" s="1"/>
      <x:c r="D2" s="1"/>
      <x:c r="E2" s="1"/>
      <x:c r="F2" s="1"/>
      <x:c r="G2" s="1"/>
    </x:row>
    <x:row r="3">
      <x:c r="A3" s="3" t="str">
        <x:v>정답과 채택 집합의 순서를 정규화해 완전 일치 여부를 계산한다.</x:v>
      </x:c>
      <x:c r="B3" s="1"/>
      <x:c r="C3" s="1"/>
      <x:c r="D3" s="1"/>
      <x:c r="E3" s="1"/>
      <x:c r="F3" s="1"/>
      <x:c r="G3" s="1"/>
    </x:row>
    <x:row r="4">
      <x:c r="A4" s="1"/>
      <x:c r="B4" s="1"/>
      <x:c r="C4" s="1"/>
      <x:c r="D4" s="1"/>
      <x:c r="E4" s="1"/>
      <x:c r="F4" s="1"/>
      <x:c r="G4" s="1"/>
    </x:row>
    <x:row r="5" ht="35" customHeight="1">
      <x:c r="A5" s="8" t="str">
        <x:v>구성</x:v>
      </x:c>
      <x:c r="B5" s="8" t="str">
        <x:v>층</x:v>
      </x:c>
      <x:c r="C5" s="8" t="str">
        <x:v>입력 ID</x:v>
      </x:c>
      <x:c r="D5" s="8" t="str">
        <x:v>표현 ID</x:v>
      </x:c>
      <x:c r="E5" s="8" t="str">
        <x:v>정답 집합</x:v>
      </x:c>
      <x:c r="F5" s="8" t="str">
        <x:v>채택 집합</x:v>
      </x:c>
      <x:c r="G5" s="8" t="str">
        <x:v>QA02 성공</x:v>
      </x:c>
    </x:row>
    <x:row r="6" ht="55" customHeight="1">
      <x:c r="A6" s="10" t="str">
        <x:v>T-BASE</x:v>
      </x:c>
      <x:c r="B6" s="10" t="str">
        <x:v>TEXT</x:v>
      </x:c>
      <x:c r="C6" s="10" t="str">
        <x:v>TEXT:SYN-F01-01-U01</x:v>
      </x:c>
      <x:c r="D6" s="10" t="str">
        <x:v>TEXT:SYN-F01-01-U01-R01</x:v>
      </x:c>
      <x:c r="E6" s="10" t="str">
        <x:v>["SYN-F01-01:D2@v1"]</x:v>
      </x:c>
      <x:c r="F6" s="10" t="str">
        <x:v>["SYN-F01-01:D2@v1"]</x:v>
      </x:c>
      <x:c r="G6" s="10" t="n">
        <x:f>IF(E6=F6,1,0)</x:f>
        <x:v>1</x:v>
      </x:c>
    </x:row>
    <x:row r="7" ht="55" customHeight="1">
      <x:c r="A7" s="10" t="str">
        <x:v>T-BASE</x:v>
      </x:c>
      <x:c r="B7" s="10" t="str">
        <x:v>TEXT</x:v>
      </x:c>
      <x:c r="C7" s="10" t="str">
        <x:v>TEXT:SYN-F01-01-U02</x:v>
      </x:c>
      <x:c r="D7" s="10" t="str">
        <x:v>TEXT:SYN-F01-01-U02-R01</x:v>
      </x:c>
      <x:c r="E7" s="10" t="str">
        <x:v>["SYN-F01-01:D2@v1"]</x:v>
      </x:c>
      <x:c r="F7" s="10" t="str">
        <x:v>["SYN-F01-01:D2@v1"]</x:v>
      </x:c>
      <x:c r="G7" s="10" t="n">
        <x:f>IF(E7=F7,1,0)</x:f>
        <x:v>1</x:v>
      </x:c>
    </x:row>
    <x:row r="8" ht="55" customHeight="1">
      <x:c r="A8" s="10" t="str">
        <x:v>T-EXEC</x:v>
      </x:c>
      <x:c r="B8" s="10" t="str">
        <x:v>TEXT</x:v>
      </x:c>
      <x:c r="C8" s="10" t="str">
        <x:v>TEXT:SYN-F01-01-U01</x:v>
      </x:c>
      <x:c r="D8" s="10" t="str">
        <x:v>TEXT:SYN-F01-01-U01-R01</x:v>
      </x:c>
      <x:c r="E8" s="10" t="str">
        <x:v>["SYN-F01-01:D2@v1"]</x:v>
      </x:c>
      <x:c r="F8" s="10" t="str">
        <x:v>["SYN-F01-01:D2@v1"]</x:v>
      </x:c>
      <x:c r="G8" s="10" t="n">
        <x:f>IF(E8=F8,1,0)</x:f>
        <x:v>1</x:v>
      </x:c>
    </x:row>
    <x:row r="9" ht="55" customHeight="1">
      <x:c r="A9" s="10" t="str">
        <x:v>T-EXEC</x:v>
      </x:c>
      <x:c r="B9" s="10" t="str">
        <x:v>TEXT</x:v>
      </x:c>
      <x:c r="C9" s="10" t="str">
        <x:v>TEXT:SYN-F01-01-U02</x:v>
      </x:c>
      <x:c r="D9" s="10" t="str">
        <x:v>TEXT:SYN-F01-01-U02-R01</x:v>
      </x:c>
      <x:c r="E9" s="10" t="str">
        <x:v>["SYN-F01-01:D2@v1"]</x:v>
      </x:c>
      <x:c r="F9" s="10" t="str">
        <x:v>["SYN-F01-01:D2@v1"]</x:v>
      </x:c>
      <x:c r="G9" s="10" t="n">
        <x:f>IF(E9=F9,1,0)</x:f>
        <x:v>1</x:v>
      </x:c>
    </x:row>
    <x:row r="10" ht="55" customHeight="1">
      <x:c r="A10" s="10" t="str">
        <x:v>T-REL</x:v>
      </x:c>
      <x:c r="B10" s="10" t="str">
        <x:v>TEXT</x:v>
      </x:c>
      <x:c r="C10" s="10" t="str">
        <x:v>TEXT:SYN-F01-01-U01</x:v>
      </x:c>
      <x:c r="D10" s="10" t="str">
        <x:v>TEXT:SYN-F01-01-U01-R01</x:v>
      </x:c>
      <x:c r="E10" s="10" t="str">
        <x:v>["SYN-F01-01:D2@v1"]</x:v>
      </x:c>
      <x:c r="F10" s="10" t="str">
        <x:v>["SYN-F01-01:D2@v1"]</x:v>
      </x:c>
      <x:c r="G10" s="10" t="n">
        <x:f>IF(E10=F10,1,0)</x:f>
        <x:v>1</x:v>
      </x:c>
    </x:row>
    <x:row r="11" ht="55" customHeight="1">
      <x:c r="A11" s="10" t="str">
        <x:v>T-REL</x:v>
      </x:c>
      <x:c r="B11" s="10" t="str">
        <x:v>TEXT</x:v>
      </x:c>
      <x:c r="C11" s="10" t="str">
        <x:v>TEXT:SYN-F01-01-U02</x:v>
      </x:c>
      <x:c r="D11" s="10" t="str">
        <x:v>TEXT:SYN-F01-01-U02-R01</x:v>
      </x:c>
      <x:c r="E11" s="10" t="str">
        <x:v>["SYN-F01-01:D2@v1"]</x:v>
      </x:c>
      <x:c r="F11" s="10" t="str">
        <x:v>["SYN-F01-01:D2@v1"]</x:v>
      </x:c>
      <x:c r="G11" s="10" t="n">
        <x:f>IF(E11=F11,1,0)</x:f>
        <x:v>1</x:v>
      </x:c>
    </x:row>
    <x:row r="12" ht="55" customHeight="1">
      <x:c r="A12" s="10" t="str">
        <x:v>T-BASE</x:v>
      </x:c>
      <x:c r="B12" s="10" t="str">
        <x:v>TEXT</x:v>
      </x:c>
      <x:c r="C12" s="10" t="str">
        <x:v>TEXT:SYN-F01-02-U01</x:v>
      </x:c>
      <x:c r="D12" s="10" t="str">
        <x:v>TEXT:SYN-F01-02-U01-R01</x:v>
      </x:c>
      <x:c r="E12" s="10" t="str">
        <x:v>["SYN-F01-02:D1@v1"]</x:v>
      </x:c>
      <x:c r="F12" s="10" t="str">
        <x:v>["SYN-F01-02:D1@v1"]</x:v>
      </x:c>
      <x:c r="G12" s="10" t="n">
        <x:f>IF(E12=F12,1,0)</x:f>
        <x:v>1</x:v>
      </x:c>
    </x:row>
    <x:row r="13" ht="55" customHeight="1">
      <x:c r="A13" s="10" t="str">
        <x:v>T-BASE</x:v>
      </x:c>
      <x:c r="B13" s="10" t="str">
        <x:v>TEXT</x:v>
      </x:c>
      <x:c r="C13" s="10" t="str">
        <x:v>TEXT:SYN-F01-02-U02</x:v>
      </x:c>
      <x:c r="D13" s="10" t="str">
        <x:v>TEXT:SYN-F01-02-U02-R01</x:v>
      </x:c>
      <x:c r="E13" s="10" t="str">
        <x:v>["SYN-F01-02:D1@v1"]</x:v>
      </x:c>
      <x:c r="F13" s="10" t="str">
        <x:v>["SYN-F01-02:D1@v1"]</x:v>
      </x:c>
      <x:c r="G13" s="10" t="n">
        <x:f>IF(E13=F13,1,0)</x:f>
        <x:v>1</x:v>
      </x:c>
    </x:row>
    <x:row r="14" ht="55" customHeight="1">
      <x:c r="A14" s="10" t="str">
        <x:v>T-EXEC</x:v>
      </x:c>
      <x:c r="B14" s="10" t="str">
        <x:v>TEXT</x:v>
      </x:c>
      <x:c r="C14" s="10" t="str">
        <x:v>TEXT:SYN-F01-02-U01</x:v>
      </x:c>
      <x:c r="D14" s="10" t="str">
        <x:v>TEXT:SYN-F01-02-U01-R01</x:v>
      </x:c>
      <x:c r="E14" s="10" t="str">
        <x:v>["SYN-F01-02:D1@v1"]</x:v>
      </x:c>
      <x:c r="F14" s="10" t="str">
        <x:v>["SYN-F01-02:D1@v1"]</x:v>
      </x:c>
      <x:c r="G14" s="10" t="n">
        <x:f>IF(E14=F14,1,0)</x:f>
        <x:v>1</x:v>
      </x:c>
    </x:row>
    <x:row r="15" ht="55" customHeight="1">
      <x:c r="A15" s="10" t="str">
        <x:v>T-EXEC</x:v>
      </x:c>
      <x:c r="B15" s="10" t="str">
        <x:v>TEXT</x:v>
      </x:c>
      <x:c r="C15" s="10" t="str">
        <x:v>TEXT:SYN-F01-02-U02</x:v>
      </x:c>
      <x:c r="D15" s="10" t="str">
        <x:v>TEXT:SYN-F01-02-U02-R01</x:v>
      </x:c>
      <x:c r="E15" s="10" t="str">
        <x:v>["SYN-F01-02:D1@v1"]</x:v>
      </x:c>
      <x:c r="F15" s="10" t="str">
        <x:v>["SYN-F01-02:D1@v1"]</x:v>
      </x:c>
      <x:c r="G15" s="10" t="n">
        <x:f>IF(E15=F15,1,0)</x:f>
        <x:v>1</x:v>
      </x:c>
    </x:row>
    <x:row r="16" ht="55" customHeight="1">
      <x:c r="A16" s="10" t="str">
        <x:v>T-REL</x:v>
      </x:c>
      <x:c r="B16" s="10" t="str">
        <x:v>TEXT</x:v>
      </x:c>
      <x:c r="C16" s="10" t="str">
        <x:v>TEXT:SYN-F01-02-U01</x:v>
      </x:c>
      <x:c r="D16" s="10" t="str">
        <x:v>TEXT:SYN-F01-02-U01-R01</x:v>
      </x:c>
      <x:c r="E16" s="10" t="str">
        <x:v>["SYN-F01-02:D1@v1"]</x:v>
      </x:c>
      <x:c r="F16" s="10" t="str">
        <x:v>["SYN-F01-02:D1@v1"]</x:v>
      </x:c>
      <x:c r="G16" s="10" t="n">
        <x:f>IF(E16=F16,1,0)</x:f>
        <x:v>1</x:v>
      </x:c>
    </x:row>
    <x:row r="17" ht="55" customHeight="1">
      <x:c r="A17" s="10" t="str">
        <x:v>T-REL</x:v>
      </x:c>
      <x:c r="B17" s="10" t="str">
        <x:v>TEXT</x:v>
      </x:c>
      <x:c r="C17" s="10" t="str">
        <x:v>TEXT:SYN-F01-02-U02</x:v>
      </x:c>
      <x:c r="D17" s="10" t="str">
        <x:v>TEXT:SYN-F01-02-U02-R01</x:v>
      </x:c>
      <x:c r="E17" s="10" t="str">
        <x:v>["SYN-F01-02:D1@v1"]</x:v>
      </x:c>
      <x:c r="F17" s="10" t="str">
        <x:v>["SYN-F01-02:D1@v1"]</x:v>
      </x:c>
      <x:c r="G17" s="10" t="n">
        <x:f>IF(E17=F17,1,0)</x:f>
        <x:v>1</x:v>
      </x:c>
    </x:row>
    <x:row r="18" ht="55" customHeight="1">
      <x:c r="A18" s="10" t="str">
        <x:v>T-BASE</x:v>
      </x:c>
      <x:c r="B18" s="10" t="str">
        <x:v>TEXT</x:v>
      </x:c>
      <x:c r="C18" s="10" t="str">
        <x:v>TEXT:SYN-F01-03-U01</x:v>
      </x:c>
      <x:c r="D18" s="10" t="str">
        <x:v>TEXT:SYN-F01-03-U01-R01</x:v>
      </x:c>
      <x:c r="E18" s="10" t="str">
        <x:v>["SYN-F01-03:D3@v1"]</x:v>
      </x:c>
      <x:c r="F18" s="10" t="str">
        <x:v>["SYN-F01-03:D3@v1"]</x:v>
      </x:c>
      <x:c r="G18" s="10" t="n">
        <x:f>IF(E18=F18,1,0)</x:f>
        <x:v>1</x:v>
      </x:c>
    </x:row>
    <x:row r="19" ht="55" customHeight="1">
      <x:c r="A19" s="10" t="str">
        <x:v>T-BASE</x:v>
      </x:c>
      <x:c r="B19" s="10" t="str">
        <x:v>TEXT</x:v>
      </x:c>
      <x:c r="C19" s="10" t="str">
        <x:v>TEXT:SYN-F01-03-U02</x:v>
      </x:c>
      <x:c r="D19" s="10" t="str">
        <x:v>TEXT:SYN-F01-03-U02-R01</x:v>
      </x:c>
      <x:c r="E19" s="10" t="str">
        <x:v>["SYN-F01-03:D3@v1"]</x:v>
      </x:c>
      <x:c r="F19" s="10" t="str">
        <x:v>["SYN-F01-03:D3@v1"]</x:v>
      </x:c>
      <x:c r="G19" s="10" t="n">
        <x:f>IF(E19=F19,1,0)</x:f>
        <x:v>1</x:v>
      </x:c>
    </x:row>
    <x:row r="20" ht="55" customHeight="1">
      <x:c r="A20" s="10" t="str">
        <x:v>T-EXEC</x:v>
      </x:c>
      <x:c r="B20" s="10" t="str">
        <x:v>TEXT</x:v>
      </x:c>
      <x:c r="C20" s="10" t="str">
        <x:v>TEXT:SYN-F01-03-U01</x:v>
      </x:c>
      <x:c r="D20" s="10" t="str">
        <x:v>TEXT:SYN-F01-03-U01-R01</x:v>
      </x:c>
      <x:c r="E20" s="10" t="str">
        <x:v>["SYN-F01-03:D3@v1"]</x:v>
      </x:c>
      <x:c r="F20" s="10" t="str">
        <x:v>["SYN-F01-03:D3@v1"]</x:v>
      </x:c>
      <x:c r="G20" s="10" t="n">
        <x:f>IF(E20=F20,1,0)</x:f>
        <x:v>1</x:v>
      </x:c>
    </x:row>
    <x:row r="21" ht="55" customHeight="1">
      <x:c r="A21" s="10" t="str">
        <x:v>T-EXEC</x:v>
      </x:c>
      <x:c r="B21" s="10" t="str">
        <x:v>TEXT</x:v>
      </x:c>
      <x:c r="C21" s="10" t="str">
        <x:v>TEXT:SYN-F01-03-U02</x:v>
      </x:c>
      <x:c r="D21" s="10" t="str">
        <x:v>TEXT:SYN-F01-03-U02-R01</x:v>
      </x:c>
      <x:c r="E21" s="10" t="str">
        <x:v>["SYN-F01-03:D3@v1"]</x:v>
      </x:c>
      <x:c r="F21" s="10" t="str">
        <x:v>["SYN-F01-03:D3@v1"]</x:v>
      </x:c>
      <x:c r="G21" s="10" t="n">
        <x:f>IF(E21=F21,1,0)</x:f>
        <x:v>1</x:v>
      </x:c>
    </x:row>
    <x:row r="22" ht="55" customHeight="1">
      <x:c r="A22" s="10" t="str">
        <x:v>T-REL</x:v>
      </x:c>
      <x:c r="B22" s="10" t="str">
        <x:v>TEXT</x:v>
      </x:c>
      <x:c r="C22" s="10" t="str">
        <x:v>TEXT:SYN-F01-03-U01</x:v>
      </x:c>
      <x:c r="D22" s="10" t="str">
        <x:v>TEXT:SYN-F01-03-U01-R01</x:v>
      </x:c>
      <x:c r="E22" s="10" t="str">
        <x:v>["SYN-F01-03:D3@v1"]</x:v>
      </x:c>
      <x:c r="F22" s="10" t="str">
        <x:v>["SYN-F01-03:D3@v1"]</x:v>
      </x:c>
      <x:c r="G22" s="10" t="n">
        <x:f>IF(E22=F22,1,0)</x:f>
        <x:v>1</x:v>
      </x:c>
    </x:row>
    <x:row r="23" ht="55" customHeight="1">
      <x:c r="A23" s="10" t="str">
        <x:v>T-REL</x:v>
      </x:c>
      <x:c r="B23" s="10" t="str">
        <x:v>TEXT</x:v>
      </x:c>
      <x:c r="C23" s="10" t="str">
        <x:v>TEXT:SYN-F01-03-U02</x:v>
      </x:c>
      <x:c r="D23" s="10" t="str">
        <x:v>TEXT:SYN-F01-03-U02-R01</x:v>
      </x:c>
      <x:c r="E23" s="10" t="str">
        <x:v>["SYN-F01-03:D3@v1"]</x:v>
      </x:c>
      <x:c r="F23" s="10" t="str">
        <x:v>["SYN-F01-03:D3@v1"]</x:v>
      </x:c>
      <x:c r="G23" s="10" t="n">
        <x:f>IF(E23=F23,1,0)</x:f>
        <x:v>1</x:v>
      </x:c>
    </x:row>
    <x:row r="24" ht="55" customHeight="1">
      <x:c r="A24" s="10" t="str">
        <x:v>T-BASE</x:v>
      </x:c>
      <x:c r="B24" s="10" t="str">
        <x:v>TEXT</x:v>
      </x:c>
      <x:c r="C24" s="10" t="str">
        <x:v>TEXT:SYN-F01-04-U01</x:v>
      </x:c>
      <x:c r="D24" s="10" t="str">
        <x:v>TEXT:SYN-F01-04-U01-R01</x:v>
      </x:c>
      <x:c r="E24" s="10" t="str">
        <x:v>["SYN-F01-04:D2@v1"]</x:v>
      </x:c>
      <x:c r="F24" s="10" t="str">
        <x:v>["SYN-F01-04:D2@v1"]</x:v>
      </x:c>
      <x:c r="G24" s="10" t="n">
        <x:f>IF(E24=F24,1,0)</x:f>
        <x:v>1</x:v>
      </x:c>
    </x:row>
    <x:row r="25" ht="55" customHeight="1">
      <x:c r="A25" s="10" t="str">
        <x:v>T-BASE</x:v>
      </x:c>
      <x:c r="B25" s="10" t="str">
        <x:v>TEXT</x:v>
      </x:c>
      <x:c r="C25" s="10" t="str">
        <x:v>TEXT:SYN-F01-04-U02</x:v>
      </x:c>
      <x:c r="D25" s="10" t="str">
        <x:v>TEXT:SYN-F01-04-U02-R01</x:v>
      </x:c>
      <x:c r="E25" s="10" t="str">
        <x:v>["SYN-F01-04:D2@v1"]</x:v>
      </x:c>
      <x:c r="F25" s="10" t="str">
        <x:v>["SYN-F01-04:D2@v1"]</x:v>
      </x:c>
      <x:c r="G25" s="10" t="n">
        <x:f>IF(E25=F25,1,0)</x:f>
        <x:v>1</x:v>
      </x:c>
    </x:row>
    <x:row r="26" ht="55" customHeight="1">
      <x:c r="A26" s="10" t="str">
        <x:v>T-EXEC</x:v>
      </x:c>
      <x:c r="B26" s="10" t="str">
        <x:v>TEXT</x:v>
      </x:c>
      <x:c r="C26" s="10" t="str">
        <x:v>TEXT:SYN-F01-04-U01</x:v>
      </x:c>
      <x:c r="D26" s="10" t="str">
        <x:v>TEXT:SYN-F01-04-U01-R01</x:v>
      </x:c>
      <x:c r="E26" s="10" t="str">
        <x:v>["SYN-F01-04:D2@v1"]</x:v>
      </x:c>
      <x:c r="F26" s="10" t="str">
        <x:v>["SYN-F01-04:D2@v1"]</x:v>
      </x:c>
      <x:c r="G26" s="10" t="n">
        <x:f>IF(E26=F26,1,0)</x:f>
        <x:v>1</x:v>
      </x:c>
    </x:row>
    <x:row r="27" ht="55" customHeight="1">
      <x:c r="A27" s="10" t="str">
        <x:v>T-EXEC</x:v>
      </x:c>
      <x:c r="B27" s="10" t="str">
        <x:v>TEXT</x:v>
      </x:c>
      <x:c r="C27" s="10" t="str">
        <x:v>TEXT:SYN-F01-04-U02</x:v>
      </x:c>
      <x:c r="D27" s="10" t="str">
        <x:v>TEXT:SYN-F01-04-U02-R01</x:v>
      </x:c>
      <x:c r="E27" s="10" t="str">
        <x:v>["SYN-F01-04:D2@v1"]</x:v>
      </x:c>
      <x:c r="F27" s="10" t="str">
        <x:v>["SYN-F01-04:D2@v1"]</x:v>
      </x:c>
      <x:c r="G27" s="10" t="n">
        <x:f>IF(E27=F27,1,0)</x:f>
        <x:v>1</x:v>
      </x:c>
    </x:row>
    <x:row r="28" ht="55" customHeight="1">
      <x:c r="A28" s="10" t="str">
        <x:v>T-REL</x:v>
      </x:c>
      <x:c r="B28" s="10" t="str">
        <x:v>TEXT</x:v>
      </x:c>
      <x:c r="C28" s="10" t="str">
        <x:v>TEXT:SYN-F01-04-U01</x:v>
      </x:c>
      <x:c r="D28" s="10" t="str">
        <x:v>TEXT:SYN-F01-04-U01-R01</x:v>
      </x:c>
      <x:c r="E28" s="10" t="str">
        <x:v>["SYN-F01-04:D2@v1"]</x:v>
      </x:c>
      <x:c r="F28" s="10" t="str">
        <x:v>["SYN-F01-04:D2@v1"]</x:v>
      </x:c>
      <x:c r="G28" s="10" t="n">
        <x:f>IF(E28=F28,1,0)</x:f>
        <x:v>1</x:v>
      </x:c>
    </x:row>
    <x:row r="29" ht="55" customHeight="1">
      <x:c r="A29" s="10" t="str">
        <x:v>T-REL</x:v>
      </x:c>
      <x:c r="B29" s="10" t="str">
        <x:v>TEXT</x:v>
      </x:c>
      <x:c r="C29" s="10" t="str">
        <x:v>TEXT:SYN-F01-04-U02</x:v>
      </x:c>
      <x:c r="D29" s="10" t="str">
        <x:v>TEXT:SYN-F01-04-U02-R01</x:v>
      </x:c>
      <x:c r="E29" s="10" t="str">
        <x:v>["SYN-F01-04:D2@v1"]</x:v>
      </x:c>
      <x:c r="F29" s="10" t="str">
        <x:v>["SYN-F01-04:D2@v1"]</x:v>
      </x:c>
      <x:c r="G29" s="10" t="n">
        <x:f>IF(E29=F29,1,0)</x:f>
        <x:v>1</x:v>
      </x:c>
    </x:row>
    <x:row r="30" ht="55" customHeight="1">
      <x:c r="A30" s="10" t="str">
        <x:v>T-BASE</x:v>
      </x:c>
      <x:c r="B30" s="10" t="str">
        <x:v>TEXT</x:v>
      </x:c>
      <x:c r="C30" s="10" t="str">
        <x:v>TEXT:SYN-F01-05-U01</x:v>
      </x:c>
      <x:c r="D30" s="10" t="str">
        <x:v>TEXT:SYN-F01-05-U01-R01</x:v>
      </x:c>
      <x:c r="E30" s="10" t="str">
        <x:v>["SYN-F01-05:D1@v1"]</x:v>
      </x:c>
      <x:c r="F30" s="10" t="str">
        <x:v>["SYN-F01-05:D1@v1"]</x:v>
      </x:c>
      <x:c r="G30" s="10" t="n">
        <x:f>IF(E30=F30,1,0)</x:f>
        <x:v>1</x:v>
      </x:c>
    </x:row>
    <x:row r="31" ht="55" customHeight="1">
      <x:c r="A31" s="10" t="str">
        <x:v>T-BASE</x:v>
      </x:c>
      <x:c r="B31" s="10" t="str">
        <x:v>TEXT</x:v>
      </x:c>
      <x:c r="C31" s="10" t="str">
        <x:v>TEXT:SYN-F01-05-U02</x:v>
      </x:c>
      <x:c r="D31" s="10" t="str">
        <x:v>TEXT:SYN-F01-05-U02-R01</x:v>
      </x:c>
      <x:c r="E31" s="10" t="str">
        <x:v>["SYN-F01-05:D1@v1"]</x:v>
      </x:c>
      <x:c r="F31" s="10" t="str">
        <x:v>["SYN-F01-05:D1@v1"]</x:v>
      </x:c>
      <x:c r="G31" s="10" t="n">
        <x:f>IF(E31=F31,1,0)</x:f>
        <x:v>1</x:v>
      </x:c>
    </x:row>
    <x:row r="32" ht="55" customHeight="1">
      <x:c r="A32" s="10" t="str">
        <x:v>T-EXEC</x:v>
      </x:c>
      <x:c r="B32" s="10" t="str">
        <x:v>TEXT</x:v>
      </x:c>
      <x:c r="C32" s="10" t="str">
        <x:v>TEXT:SYN-F01-05-U01</x:v>
      </x:c>
      <x:c r="D32" s="10" t="str">
        <x:v>TEXT:SYN-F01-05-U01-R01</x:v>
      </x:c>
      <x:c r="E32" s="10" t="str">
        <x:v>["SYN-F01-05:D1@v1"]</x:v>
      </x:c>
      <x:c r="F32" s="10" t="str">
        <x:v>["SYN-F01-05:D1@v1"]</x:v>
      </x:c>
      <x:c r="G32" s="10" t="n">
        <x:f>IF(E32=F32,1,0)</x:f>
        <x:v>1</x:v>
      </x:c>
    </x:row>
    <x:row r="33" ht="55" customHeight="1">
      <x:c r="A33" s="10" t="str">
        <x:v>T-EXEC</x:v>
      </x:c>
      <x:c r="B33" s="10" t="str">
        <x:v>TEXT</x:v>
      </x:c>
      <x:c r="C33" s="10" t="str">
        <x:v>TEXT:SYN-F01-05-U02</x:v>
      </x:c>
      <x:c r="D33" s="10" t="str">
        <x:v>TEXT:SYN-F01-05-U02-R01</x:v>
      </x:c>
      <x:c r="E33" s="10" t="str">
        <x:v>["SYN-F01-05:D1@v1"]</x:v>
      </x:c>
      <x:c r="F33" s="10" t="str">
        <x:v>["SYN-F01-05:D1@v1"]</x:v>
      </x:c>
      <x:c r="G33" s="10" t="n">
        <x:f>IF(E33=F33,1,0)</x:f>
        <x:v>1</x:v>
      </x:c>
    </x:row>
    <x:row r="34" ht="55" customHeight="1">
      <x:c r="A34" s="10" t="str">
        <x:v>T-REL</x:v>
      </x:c>
      <x:c r="B34" s="10" t="str">
        <x:v>TEXT</x:v>
      </x:c>
      <x:c r="C34" s="10" t="str">
        <x:v>TEXT:SYN-F01-05-U01</x:v>
      </x:c>
      <x:c r="D34" s="10" t="str">
        <x:v>TEXT:SYN-F01-05-U01-R01</x:v>
      </x:c>
      <x:c r="E34" s="10" t="str">
        <x:v>["SYN-F01-05:D1@v1"]</x:v>
      </x:c>
      <x:c r="F34" s="10" t="str">
        <x:v>["SYN-F01-05:D1@v1"]</x:v>
      </x:c>
      <x:c r="G34" s="10" t="n">
        <x:f>IF(E34=F34,1,0)</x:f>
        <x:v>1</x:v>
      </x:c>
    </x:row>
    <x:row r="35" ht="55" customHeight="1">
      <x:c r="A35" s="10" t="str">
        <x:v>T-REL</x:v>
      </x:c>
      <x:c r="B35" s="10" t="str">
        <x:v>TEXT</x:v>
      </x:c>
      <x:c r="C35" s="10" t="str">
        <x:v>TEXT:SYN-F01-05-U02</x:v>
      </x:c>
      <x:c r="D35" s="10" t="str">
        <x:v>TEXT:SYN-F01-05-U02-R01</x:v>
      </x:c>
      <x:c r="E35" s="10" t="str">
        <x:v>["SYN-F01-05:D1@v1"]</x:v>
      </x:c>
      <x:c r="F35" s="10" t="str">
        <x:v>["SYN-F01-05:D1@v1"]</x:v>
      </x:c>
      <x:c r="G35" s="10" t="n">
        <x:f>IF(E35=F35,1,0)</x:f>
        <x:v>1</x:v>
      </x:c>
    </x:row>
    <x:row r="36" ht="55" customHeight="1">
      <x:c r="A36" s="10" t="str">
        <x:v>T-BASE</x:v>
      </x:c>
      <x:c r="B36" s="10" t="str">
        <x:v>TEXT</x:v>
      </x:c>
      <x:c r="C36" s="10" t="str">
        <x:v>TEXT:SYN-F01-06-U01</x:v>
      </x:c>
      <x:c r="D36" s="10" t="str">
        <x:v>TEXT:SYN-F01-06-U01-R01</x:v>
      </x:c>
      <x:c r="E36" s="10" t="str">
        <x:v>["SYN-F01-06:D3@v1"]</x:v>
      </x:c>
      <x:c r="F36" s="10" t="str">
        <x:v>["SYN-F01-06:D3@v1"]</x:v>
      </x:c>
      <x:c r="G36" s="10" t="n">
        <x:f>IF(E36=F36,1,0)</x:f>
        <x:v>1</x:v>
      </x:c>
    </x:row>
    <x:row r="37" ht="55" customHeight="1">
      <x:c r="A37" s="10" t="str">
        <x:v>T-BASE</x:v>
      </x:c>
      <x:c r="B37" s="10" t="str">
        <x:v>TEXT</x:v>
      </x:c>
      <x:c r="C37" s="10" t="str">
        <x:v>TEXT:SYN-F01-06-U02</x:v>
      </x:c>
      <x:c r="D37" s="10" t="str">
        <x:v>TEXT:SYN-F01-06-U02-R01</x:v>
      </x:c>
      <x:c r="E37" s="10" t="str">
        <x:v>["SYN-F01-06:D3@v1"]</x:v>
      </x:c>
      <x:c r="F37" s="10" t="str">
        <x:v>["SYN-F01-06:D3@v1"]</x:v>
      </x:c>
      <x:c r="G37" s="10" t="n">
        <x:f>IF(E37=F37,1,0)</x:f>
        <x:v>1</x:v>
      </x:c>
    </x:row>
    <x:row r="38" ht="55" customHeight="1">
      <x:c r="A38" s="10" t="str">
        <x:v>T-EXEC</x:v>
      </x:c>
      <x:c r="B38" s="10" t="str">
        <x:v>TEXT</x:v>
      </x:c>
      <x:c r="C38" s="10" t="str">
        <x:v>TEXT:SYN-F01-06-U01</x:v>
      </x:c>
      <x:c r="D38" s="10" t="str">
        <x:v>TEXT:SYN-F01-06-U01-R01</x:v>
      </x:c>
      <x:c r="E38" s="10" t="str">
        <x:v>["SYN-F01-06:D3@v1"]</x:v>
      </x:c>
      <x:c r="F38" s="10" t="str">
        <x:v>["SYN-F01-06:D3@v1"]</x:v>
      </x:c>
      <x:c r="G38" s="10" t="n">
        <x:f>IF(E38=F38,1,0)</x:f>
        <x:v>1</x:v>
      </x:c>
    </x:row>
    <x:row r="39" ht="55" customHeight="1">
      <x:c r="A39" s="10" t="str">
        <x:v>T-EXEC</x:v>
      </x:c>
      <x:c r="B39" s="10" t="str">
        <x:v>TEXT</x:v>
      </x:c>
      <x:c r="C39" s="10" t="str">
        <x:v>TEXT:SYN-F01-06-U02</x:v>
      </x:c>
      <x:c r="D39" s="10" t="str">
        <x:v>TEXT:SYN-F01-06-U02-R01</x:v>
      </x:c>
      <x:c r="E39" s="10" t="str">
        <x:v>["SYN-F01-06:D3@v1"]</x:v>
      </x:c>
      <x:c r="F39" s="10" t="str">
        <x:v>["SYN-F01-06:D3@v1"]</x:v>
      </x:c>
      <x:c r="G39" s="10" t="n">
        <x:f>IF(E39=F39,1,0)</x:f>
        <x:v>1</x:v>
      </x:c>
    </x:row>
    <x:row r="40" ht="55" customHeight="1">
      <x:c r="A40" s="10" t="str">
        <x:v>T-REL</x:v>
      </x:c>
      <x:c r="B40" s="10" t="str">
        <x:v>TEXT</x:v>
      </x:c>
      <x:c r="C40" s="10" t="str">
        <x:v>TEXT:SYN-F01-06-U01</x:v>
      </x:c>
      <x:c r="D40" s="10" t="str">
        <x:v>TEXT:SYN-F01-06-U01-R01</x:v>
      </x:c>
      <x:c r="E40" s="10" t="str">
        <x:v>["SYN-F01-06:D3@v1"]</x:v>
      </x:c>
      <x:c r="F40" s="10" t="str">
        <x:v>["SYN-F01-06:D3@v1"]</x:v>
      </x:c>
      <x:c r="G40" s="10" t="n">
        <x:f>IF(E40=F40,1,0)</x:f>
        <x:v>1</x:v>
      </x:c>
    </x:row>
    <x:row r="41" ht="55" customHeight="1">
      <x:c r="A41" s="10" t="str">
        <x:v>T-REL</x:v>
      </x:c>
      <x:c r="B41" s="10" t="str">
        <x:v>TEXT</x:v>
      </x:c>
      <x:c r="C41" s="10" t="str">
        <x:v>TEXT:SYN-F01-06-U02</x:v>
      </x:c>
      <x:c r="D41" s="10" t="str">
        <x:v>TEXT:SYN-F01-06-U02-R01</x:v>
      </x:c>
      <x:c r="E41" s="10" t="str">
        <x:v>["SYN-F01-06:D3@v1"]</x:v>
      </x:c>
      <x:c r="F41" s="10" t="str">
        <x:v>["SYN-F01-06:D3@v1"]</x:v>
      </x:c>
      <x:c r="G41" s="10" t="n">
        <x:f>IF(E41=F41,1,0)</x:f>
        <x:v>1</x:v>
      </x:c>
    </x:row>
    <x:row r="42" ht="55" customHeight="1">
      <x:c r="A42" s="10" t="str">
        <x:v>T-BASE</x:v>
      </x:c>
      <x:c r="B42" s="10" t="str">
        <x:v>TEXT</x:v>
      </x:c>
      <x:c r="C42" s="10" t="str">
        <x:v>TEXT:SYN-F01-07-U01</x:v>
      </x:c>
      <x:c r="D42" s="10" t="str">
        <x:v>TEXT:SYN-F01-07-U01-R01</x:v>
      </x:c>
      <x:c r="E42" s="10" t="str">
        <x:v>["SYN-F01-07:D2@v1"]</x:v>
      </x:c>
      <x:c r="F42" s="10" t="str">
        <x:v>["SYN-F01-07:D2@v1"]</x:v>
      </x:c>
      <x:c r="G42" s="10" t="n">
        <x:f>IF(E42=F42,1,0)</x:f>
        <x:v>1</x:v>
      </x:c>
    </x:row>
    <x:row r="43" ht="55" customHeight="1">
      <x:c r="A43" s="10" t="str">
        <x:v>T-BASE</x:v>
      </x:c>
      <x:c r="B43" s="10" t="str">
        <x:v>TEXT</x:v>
      </x:c>
      <x:c r="C43" s="10" t="str">
        <x:v>TEXT:SYN-F01-07-U02</x:v>
      </x:c>
      <x:c r="D43" s="10" t="str">
        <x:v>TEXT:SYN-F01-07-U02-R01</x:v>
      </x:c>
      <x:c r="E43" s="10" t="str">
        <x:v>["SYN-F01-07:D2@v1"]</x:v>
      </x:c>
      <x:c r="F43" s="10" t="str">
        <x:v>["SYN-F01-07:D2@v1"]</x:v>
      </x:c>
      <x:c r="G43" s="10" t="n">
        <x:f>IF(E43=F43,1,0)</x:f>
        <x:v>1</x:v>
      </x:c>
    </x:row>
    <x:row r="44" ht="55" customHeight="1">
      <x:c r="A44" s="10" t="str">
        <x:v>T-EXEC</x:v>
      </x:c>
      <x:c r="B44" s="10" t="str">
        <x:v>TEXT</x:v>
      </x:c>
      <x:c r="C44" s="10" t="str">
        <x:v>TEXT:SYN-F01-07-U01</x:v>
      </x:c>
      <x:c r="D44" s="10" t="str">
        <x:v>TEXT:SYN-F01-07-U01-R01</x:v>
      </x:c>
      <x:c r="E44" s="10" t="str">
        <x:v>["SYN-F01-07:D2@v1"]</x:v>
      </x:c>
      <x:c r="F44" s="10" t="str">
        <x:v>["SYN-F01-07:D2@v1"]</x:v>
      </x:c>
      <x:c r="G44" s="10" t="n">
        <x:f>IF(E44=F44,1,0)</x:f>
        <x:v>1</x:v>
      </x:c>
    </x:row>
    <x:row r="45" ht="55" customHeight="1">
      <x:c r="A45" s="10" t="str">
        <x:v>T-EXEC</x:v>
      </x:c>
      <x:c r="B45" s="10" t="str">
        <x:v>TEXT</x:v>
      </x:c>
      <x:c r="C45" s="10" t="str">
        <x:v>TEXT:SYN-F01-07-U02</x:v>
      </x:c>
      <x:c r="D45" s="10" t="str">
        <x:v>TEXT:SYN-F01-07-U02-R01</x:v>
      </x:c>
      <x:c r="E45" s="10" t="str">
        <x:v>["SYN-F01-07:D2@v1"]</x:v>
      </x:c>
      <x:c r="F45" s="10" t="str">
        <x:v>["SYN-F01-07:D2@v1"]</x:v>
      </x:c>
      <x:c r="G45" s="10" t="n">
        <x:f>IF(E45=F45,1,0)</x:f>
        <x:v>1</x:v>
      </x:c>
    </x:row>
    <x:row r="46" ht="55" customHeight="1">
      <x:c r="A46" s="10" t="str">
        <x:v>T-REL</x:v>
      </x:c>
      <x:c r="B46" s="10" t="str">
        <x:v>TEXT</x:v>
      </x:c>
      <x:c r="C46" s="10" t="str">
        <x:v>TEXT:SYN-F01-07-U01</x:v>
      </x:c>
      <x:c r="D46" s="10" t="str">
        <x:v>TEXT:SYN-F01-07-U01-R01</x:v>
      </x:c>
      <x:c r="E46" s="10" t="str">
        <x:v>["SYN-F01-07:D2@v1"]</x:v>
      </x:c>
      <x:c r="F46" s="10" t="str">
        <x:v>["SYN-F01-07:D2@v1"]</x:v>
      </x:c>
      <x:c r="G46" s="10" t="n">
        <x:f>IF(E46=F46,1,0)</x:f>
        <x:v>1</x:v>
      </x:c>
    </x:row>
    <x:row r="47" ht="55" customHeight="1">
      <x:c r="A47" s="10" t="str">
        <x:v>T-REL</x:v>
      </x:c>
      <x:c r="B47" s="10" t="str">
        <x:v>TEXT</x:v>
      </x:c>
      <x:c r="C47" s="10" t="str">
        <x:v>TEXT:SYN-F01-07-U02</x:v>
      </x:c>
      <x:c r="D47" s="10" t="str">
        <x:v>TEXT:SYN-F01-07-U02-R01</x:v>
      </x:c>
      <x:c r="E47" s="10" t="str">
        <x:v>["SYN-F01-07:D2@v1"]</x:v>
      </x:c>
      <x:c r="F47" s="10" t="str">
        <x:v>["SYN-F01-07:D2@v1"]</x:v>
      </x:c>
      <x:c r="G47" s="10" t="n">
        <x:f>IF(E47=F47,1,0)</x:f>
        <x:v>1</x:v>
      </x:c>
    </x:row>
    <x:row r="48" ht="55" customHeight="1">
      <x:c r="A48" s="10" t="str">
        <x:v>T-BASE</x:v>
      </x:c>
      <x:c r="B48" s="10" t="str">
        <x:v>TEXT</x:v>
      </x:c>
      <x:c r="C48" s="10" t="str">
        <x:v>TEXT:SYN-F01-08-U01</x:v>
      </x:c>
      <x:c r="D48" s="10" t="str">
        <x:v>TEXT:SYN-F01-08-U01-R01</x:v>
      </x:c>
      <x:c r="E48" s="10" t="str">
        <x:v>["SYN-F01-08:D1@v1"]</x:v>
      </x:c>
      <x:c r="F48" s="10" t="str">
        <x:v>["SYN-F01-08:D1@v1"]</x:v>
      </x:c>
      <x:c r="G48" s="10" t="n">
        <x:f>IF(E48=F48,1,0)</x:f>
        <x:v>1</x:v>
      </x:c>
    </x:row>
    <x:row r="49" ht="55" customHeight="1">
      <x:c r="A49" s="10" t="str">
        <x:v>T-BASE</x:v>
      </x:c>
      <x:c r="B49" s="10" t="str">
        <x:v>TEXT</x:v>
      </x:c>
      <x:c r="C49" s="10" t="str">
        <x:v>TEXT:SYN-F01-08-U02</x:v>
      </x:c>
      <x:c r="D49" s="10" t="str">
        <x:v>TEXT:SYN-F01-08-U02-R01</x:v>
      </x:c>
      <x:c r="E49" s="10" t="str">
        <x:v>["SYN-F01-08:D1@v1"]</x:v>
      </x:c>
      <x:c r="F49" s="10" t="str">
        <x:v>["SYN-F01-08:D1@v1"]</x:v>
      </x:c>
      <x:c r="G49" s="10" t="n">
        <x:f>IF(E49=F49,1,0)</x:f>
        <x:v>1</x:v>
      </x:c>
    </x:row>
    <x:row r="50" ht="55" customHeight="1">
      <x:c r="A50" s="10" t="str">
        <x:v>T-EXEC</x:v>
      </x:c>
      <x:c r="B50" s="10" t="str">
        <x:v>TEXT</x:v>
      </x:c>
      <x:c r="C50" s="10" t="str">
        <x:v>TEXT:SYN-F01-08-U01</x:v>
      </x:c>
      <x:c r="D50" s="10" t="str">
        <x:v>TEXT:SYN-F01-08-U01-R01</x:v>
      </x:c>
      <x:c r="E50" s="10" t="str">
        <x:v>["SYN-F01-08:D1@v1"]</x:v>
      </x:c>
      <x:c r="F50" s="10" t="str">
        <x:v>["SYN-F01-08:D1@v1"]</x:v>
      </x:c>
      <x:c r="G50" s="10" t="n">
        <x:f>IF(E50=F50,1,0)</x:f>
        <x:v>1</x:v>
      </x:c>
    </x:row>
    <x:row r="51" ht="55" customHeight="1">
      <x:c r="A51" s="10" t="str">
        <x:v>T-EXEC</x:v>
      </x:c>
      <x:c r="B51" s="10" t="str">
        <x:v>TEXT</x:v>
      </x:c>
      <x:c r="C51" s="10" t="str">
        <x:v>TEXT:SYN-F01-08-U02</x:v>
      </x:c>
      <x:c r="D51" s="10" t="str">
        <x:v>TEXT:SYN-F01-08-U02-R01</x:v>
      </x:c>
      <x:c r="E51" s="10" t="str">
        <x:v>["SYN-F01-08:D1@v1"]</x:v>
      </x:c>
      <x:c r="F51" s="10" t="str">
        <x:v>["SYN-F01-08:D1@v1"]</x:v>
      </x:c>
      <x:c r="G51" s="10" t="n">
        <x:f>IF(E51=F51,1,0)</x:f>
        <x:v>1</x:v>
      </x:c>
    </x:row>
    <x:row r="52" ht="55" customHeight="1">
      <x:c r="A52" s="10" t="str">
        <x:v>T-REL</x:v>
      </x:c>
      <x:c r="B52" s="10" t="str">
        <x:v>TEXT</x:v>
      </x:c>
      <x:c r="C52" s="10" t="str">
        <x:v>TEXT:SYN-F01-08-U01</x:v>
      </x:c>
      <x:c r="D52" s="10" t="str">
        <x:v>TEXT:SYN-F01-08-U01-R01</x:v>
      </x:c>
      <x:c r="E52" s="10" t="str">
        <x:v>["SYN-F01-08:D1@v1"]</x:v>
      </x:c>
      <x:c r="F52" s="10" t="str">
        <x:v>["SYN-F01-08:D1@v1"]</x:v>
      </x:c>
      <x:c r="G52" s="10" t="n">
        <x:f>IF(E52=F52,1,0)</x:f>
        <x:v>1</x:v>
      </x:c>
    </x:row>
    <x:row r="53" ht="55" customHeight="1">
      <x:c r="A53" s="10" t="str">
        <x:v>T-REL</x:v>
      </x:c>
      <x:c r="B53" s="10" t="str">
        <x:v>TEXT</x:v>
      </x:c>
      <x:c r="C53" s="10" t="str">
        <x:v>TEXT:SYN-F01-08-U02</x:v>
      </x:c>
      <x:c r="D53" s="10" t="str">
        <x:v>TEXT:SYN-F01-08-U02-R01</x:v>
      </x:c>
      <x:c r="E53" s="10" t="str">
        <x:v>["SYN-F01-08:D1@v1"]</x:v>
      </x:c>
      <x:c r="F53" s="10" t="str">
        <x:v>["SYN-F01-08:D1@v1"]</x:v>
      </x:c>
      <x:c r="G53" s="10" t="n">
        <x:f>IF(E53=F53,1,0)</x:f>
        <x:v>1</x:v>
      </x:c>
    </x:row>
    <x:row r="54" ht="55" customHeight="1">
      <x:c r="A54" s="10" t="str">
        <x:v>T-BASE</x:v>
      </x:c>
      <x:c r="B54" s="10" t="str">
        <x:v>TEXT</x:v>
      </x:c>
      <x:c r="C54" s="10" t="str">
        <x:v>TEXT:SYN-F01-09-U01</x:v>
      </x:c>
      <x:c r="D54" s="10" t="str">
        <x:v>TEXT:SYN-F01-09-U01-R01</x:v>
      </x:c>
      <x:c r="E54" s="10" t="str">
        <x:v>["SYN-F01-09:D3@v1"]</x:v>
      </x:c>
      <x:c r="F54" s="10" t="str">
        <x:v>["SYN-F01-09:D3@v1"]</x:v>
      </x:c>
      <x:c r="G54" s="10" t="n">
        <x:f>IF(E54=F54,1,0)</x:f>
        <x:v>1</x:v>
      </x:c>
    </x:row>
    <x:row r="55" ht="55" customHeight="1">
      <x:c r="A55" s="10" t="str">
        <x:v>T-BASE</x:v>
      </x:c>
      <x:c r="B55" s="10" t="str">
        <x:v>TEXT</x:v>
      </x:c>
      <x:c r="C55" s="10" t="str">
        <x:v>TEXT:SYN-F01-09-U02</x:v>
      </x:c>
      <x:c r="D55" s="10" t="str">
        <x:v>TEXT:SYN-F01-09-U02-R01</x:v>
      </x:c>
      <x:c r="E55" s="10" t="str">
        <x:v>["SYN-F01-09:D3@v1"]</x:v>
      </x:c>
      <x:c r="F55" s="10" t="str">
        <x:v>["SYN-F01-09:D3@v1"]</x:v>
      </x:c>
      <x:c r="G55" s="10" t="n">
        <x:f>IF(E55=F55,1,0)</x:f>
        <x:v>1</x:v>
      </x:c>
    </x:row>
    <x:row r="56" ht="55" customHeight="1">
      <x:c r="A56" s="10" t="str">
        <x:v>T-EXEC</x:v>
      </x:c>
      <x:c r="B56" s="10" t="str">
        <x:v>TEXT</x:v>
      </x:c>
      <x:c r="C56" s="10" t="str">
        <x:v>TEXT:SYN-F01-09-U01</x:v>
      </x:c>
      <x:c r="D56" s="10" t="str">
        <x:v>TEXT:SYN-F01-09-U01-R01</x:v>
      </x:c>
      <x:c r="E56" s="10" t="str">
        <x:v>["SYN-F01-09:D3@v1"]</x:v>
      </x:c>
      <x:c r="F56" s="10" t="str">
        <x:v>["SYN-F01-09:D3@v1"]</x:v>
      </x:c>
      <x:c r="G56" s="10" t="n">
        <x:f>IF(E56=F56,1,0)</x:f>
        <x:v>1</x:v>
      </x:c>
    </x:row>
    <x:row r="57" ht="55" customHeight="1">
      <x:c r="A57" s="10" t="str">
        <x:v>T-EXEC</x:v>
      </x:c>
      <x:c r="B57" s="10" t="str">
        <x:v>TEXT</x:v>
      </x:c>
      <x:c r="C57" s="10" t="str">
        <x:v>TEXT:SYN-F01-09-U02</x:v>
      </x:c>
      <x:c r="D57" s="10" t="str">
        <x:v>TEXT:SYN-F01-09-U02-R01</x:v>
      </x:c>
      <x:c r="E57" s="10" t="str">
        <x:v>["SYN-F01-09:D3@v1"]</x:v>
      </x:c>
      <x:c r="F57" s="10" t="str">
        <x:v>["SYN-F01-09:D3@v1"]</x:v>
      </x:c>
      <x:c r="G57" s="10" t="n">
        <x:f>IF(E57=F57,1,0)</x:f>
        <x:v>1</x:v>
      </x:c>
    </x:row>
    <x:row r="58" ht="55" customHeight="1">
      <x:c r="A58" s="10" t="str">
        <x:v>T-REL</x:v>
      </x:c>
      <x:c r="B58" s="10" t="str">
        <x:v>TEXT</x:v>
      </x:c>
      <x:c r="C58" s="10" t="str">
        <x:v>TEXT:SYN-F01-09-U01</x:v>
      </x:c>
      <x:c r="D58" s="10" t="str">
        <x:v>TEXT:SYN-F01-09-U01-R01</x:v>
      </x:c>
      <x:c r="E58" s="10" t="str">
        <x:v>["SYN-F01-09:D3@v1"]</x:v>
      </x:c>
      <x:c r="F58" s="10" t="str">
        <x:v>["SYN-F01-09:D3@v1"]</x:v>
      </x:c>
      <x:c r="G58" s="10" t="n">
        <x:f>IF(E58=F58,1,0)</x:f>
        <x:v>1</x:v>
      </x:c>
    </x:row>
    <x:row r="59" ht="55" customHeight="1">
      <x:c r="A59" s="10" t="str">
        <x:v>T-REL</x:v>
      </x:c>
      <x:c r="B59" s="10" t="str">
        <x:v>TEXT</x:v>
      </x:c>
      <x:c r="C59" s="10" t="str">
        <x:v>TEXT:SYN-F01-09-U02</x:v>
      </x:c>
      <x:c r="D59" s="10" t="str">
        <x:v>TEXT:SYN-F01-09-U02-R01</x:v>
      </x:c>
      <x:c r="E59" s="10" t="str">
        <x:v>["SYN-F01-09:D3@v1"]</x:v>
      </x:c>
      <x:c r="F59" s="10" t="str">
        <x:v>["SYN-F01-09:D3@v1"]</x:v>
      </x:c>
      <x:c r="G59" s="10" t="n">
        <x:f>IF(E59=F59,1,0)</x:f>
        <x:v>1</x:v>
      </x:c>
    </x:row>
    <x:row r="60" ht="55" customHeight="1">
      <x:c r="A60" s="10" t="str">
        <x:v>T-BASE</x:v>
      </x:c>
      <x:c r="B60" s="10" t="str">
        <x:v>TEXT</x:v>
      </x:c>
      <x:c r="C60" s="10" t="str">
        <x:v>TEXT:SYN-F01-10-U01</x:v>
      </x:c>
      <x:c r="D60" s="10" t="str">
        <x:v>TEXT:SYN-F01-10-U01-R01</x:v>
      </x:c>
      <x:c r="E60" s="10" t="str">
        <x:v>["SYN-F01-10:D2@v1"]</x:v>
      </x:c>
      <x:c r="F60" s="10" t="str">
        <x:v>["SYN-F01-10:D2@v1"]</x:v>
      </x:c>
      <x:c r="G60" s="10" t="n">
        <x:f>IF(E60=F60,1,0)</x:f>
        <x:v>1</x:v>
      </x:c>
    </x:row>
    <x:row r="61" ht="55" customHeight="1">
      <x:c r="A61" s="10" t="str">
        <x:v>T-BASE</x:v>
      </x:c>
      <x:c r="B61" s="10" t="str">
        <x:v>TEXT</x:v>
      </x:c>
      <x:c r="C61" s="10" t="str">
        <x:v>TEXT:SYN-F01-10-U02</x:v>
      </x:c>
      <x:c r="D61" s="10" t="str">
        <x:v>TEXT:SYN-F01-10-U02-R01</x:v>
      </x:c>
      <x:c r="E61" s="10" t="str">
        <x:v>["SYN-F01-10:D2@v1"]</x:v>
      </x:c>
      <x:c r="F61" s="10" t="str">
        <x:v>["SYN-F01-10:D2@v1"]</x:v>
      </x:c>
      <x:c r="G61" s="10" t="n">
        <x:f>IF(E61=F61,1,0)</x:f>
        <x:v>1</x:v>
      </x:c>
    </x:row>
    <x:row r="62" ht="55" customHeight="1">
      <x:c r="A62" s="10" t="str">
        <x:v>T-EXEC</x:v>
      </x:c>
      <x:c r="B62" s="10" t="str">
        <x:v>TEXT</x:v>
      </x:c>
      <x:c r="C62" s="10" t="str">
        <x:v>TEXT:SYN-F01-10-U01</x:v>
      </x:c>
      <x:c r="D62" s="10" t="str">
        <x:v>TEXT:SYN-F01-10-U01-R01</x:v>
      </x:c>
      <x:c r="E62" s="10" t="str">
        <x:v>["SYN-F01-10:D2@v1"]</x:v>
      </x:c>
      <x:c r="F62" s="10" t="str">
        <x:v>["SYN-F01-10:D2@v1"]</x:v>
      </x:c>
      <x:c r="G62" s="10" t="n">
        <x:f>IF(E62=F62,1,0)</x:f>
        <x:v>1</x:v>
      </x:c>
    </x:row>
    <x:row r="63" ht="55" customHeight="1">
      <x:c r="A63" s="10" t="str">
        <x:v>T-EXEC</x:v>
      </x:c>
      <x:c r="B63" s="10" t="str">
        <x:v>TEXT</x:v>
      </x:c>
      <x:c r="C63" s="10" t="str">
        <x:v>TEXT:SYN-F01-10-U02</x:v>
      </x:c>
      <x:c r="D63" s="10" t="str">
        <x:v>TEXT:SYN-F01-10-U02-R01</x:v>
      </x:c>
      <x:c r="E63" s="10" t="str">
        <x:v>["SYN-F01-10:D2@v1"]</x:v>
      </x:c>
      <x:c r="F63" s="10" t="str">
        <x:v>["SYN-F01-10:D2@v1"]</x:v>
      </x:c>
      <x:c r="G63" s="10" t="n">
        <x:f>IF(E63=F63,1,0)</x:f>
        <x:v>1</x:v>
      </x:c>
    </x:row>
    <x:row r="64" ht="55" customHeight="1">
      <x:c r="A64" s="10" t="str">
        <x:v>T-REL</x:v>
      </x:c>
      <x:c r="B64" s="10" t="str">
        <x:v>TEXT</x:v>
      </x:c>
      <x:c r="C64" s="10" t="str">
        <x:v>TEXT:SYN-F01-10-U01</x:v>
      </x:c>
      <x:c r="D64" s="10" t="str">
        <x:v>TEXT:SYN-F01-10-U01-R01</x:v>
      </x:c>
      <x:c r="E64" s="10" t="str">
        <x:v>["SYN-F01-10:D2@v1"]</x:v>
      </x:c>
      <x:c r="F64" s="10" t="str">
        <x:v>["SYN-F01-10:D2@v1"]</x:v>
      </x:c>
      <x:c r="G64" s="10" t="n">
        <x:f>IF(E64=F64,1,0)</x:f>
        <x:v>1</x:v>
      </x:c>
    </x:row>
    <x:row r="65" ht="55" customHeight="1">
      <x:c r="A65" s="10" t="str">
        <x:v>T-REL</x:v>
      </x:c>
      <x:c r="B65" s="10" t="str">
        <x:v>TEXT</x:v>
      </x:c>
      <x:c r="C65" s="10" t="str">
        <x:v>TEXT:SYN-F01-10-U02</x:v>
      </x:c>
      <x:c r="D65" s="10" t="str">
        <x:v>TEXT:SYN-F01-10-U02-R01</x:v>
      </x:c>
      <x:c r="E65" s="10" t="str">
        <x:v>["SYN-F01-10:D2@v1"]</x:v>
      </x:c>
      <x:c r="F65" s="10" t="str">
        <x:v>["SYN-F01-10:D2@v1"]</x:v>
      </x:c>
      <x:c r="G65" s="10" t="n">
        <x:f>IF(E65=F65,1,0)</x:f>
        <x:v>1</x:v>
      </x:c>
    </x:row>
    <x:row r="66" ht="55" customHeight="1">
      <x:c r="A66" s="10" t="str">
        <x:v>T-BASE</x:v>
      </x:c>
      <x:c r="B66" s="10" t="str">
        <x:v>TEXT</x:v>
      </x:c>
      <x:c r="C66" s="10" t="str">
        <x:v>TEXT:SYN-F02-01-U01</x:v>
      </x:c>
      <x:c r="D66" s="10" t="str">
        <x:v>TEXT:SYN-F02-01-U01-R01</x:v>
      </x:c>
      <x:c r="E66" s="10" t="str">
        <x:v>["SYN-F02-01:D2@v1"]</x:v>
      </x:c>
      <x:c r="F66" s="10" t="str">
        <x:v>["SYN-F02-01:D2@v1"]</x:v>
      </x:c>
      <x:c r="G66" s="10" t="n">
        <x:f>IF(E66=F66,1,0)</x:f>
        <x:v>1</x:v>
      </x:c>
    </x:row>
    <x:row r="67" ht="55" customHeight="1">
      <x:c r="A67" s="10" t="str">
        <x:v>T-BASE</x:v>
      </x:c>
      <x:c r="B67" s="10" t="str">
        <x:v>TEXT</x:v>
      </x:c>
      <x:c r="C67" s="10" t="str">
        <x:v>TEXT:SYN-F02-01-U02</x:v>
      </x:c>
      <x:c r="D67" s="10" t="str">
        <x:v>TEXT:SYN-F02-01-U02-R01</x:v>
      </x:c>
      <x:c r="E67" s="10" t="str">
        <x:v>["SYN-F02-01:D2@v1#schedule"]</x:v>
      </x:c>
      <x:c r="F67" s="10" t="str">
        <x:v>["SYN-F02-01:D2@v1#schedule"]</x:v>
      </x:c>
      <x:c r="G67" s="10" t="n">
        <x:f>IF(E67=F67,1,0)</x:f>
        <x:v>1</x:v>
      </x:c>
    </x:row>
    <x:row r="68" ht="55" customHeight="1">
      <x:c r="A68" s="10" t="str">
        <x:v>T-EXEC</x:v>
      </x:c>
      <x:c r="B68" s="10" t="str">
        <x:v>TEXT</x:v>
      </x:c>
      <x:c r="C68" s="10" t="str">
        <x:v>TEXT:SYN-F02-01-U01</x:v>
      </x:c>
      <x:c r="D68" s="10" t="str">
        <x:v>TEXT:SYN-F02-01-U01-R01</x:v>
      </x:c>
      <x:c r="E68" s="10" t="str">
        <x:v>["SYN-F02-01:D2@v1"]</x:v>
      </x:c>
      <x:c r="F68" s="10" t="str">
        <x:v>["SYN-F02-01:D2@v1"]</x:v>
      </x:c>
      <x:c r="G68" s="10" t="n">
        <x:f>IF(E68=F68,1,0)</x:f>
        <x:v>1</x:v>
      </x:c>
    </x:row>
    <x:row r="69" ht="55" customHeight="1">
      <x:c r="A69" s="10" t="str">
        <x:v>T-EXEC</x:v>
      </x:c>
      <x:c r="B69" s="10" t="str">
        <x:v>TEXT</x:v>
      </x:c>
      <x:c r="C69" s="10" t="str">
        <x:v>TEXT:SYN-F02-01-U02</x:v>
      </x:c>
      <x:c r="D69" s="10" t="str">
        <x:v>TEXT:SYN-F02-01-U02-R01</x:v>
      </x:c>
      <x:c r="E69" s="10" t="str">
        <x:v>["SYN-F02-01:D2@v1#schedule"]</x:v>
      </x:c>
      <x:c r="F69" s="10" t="str">
        <x:v>["SYN-F02-01:D2@v1#schedule"]</x:v>
      </x:c>
      <x:c r="G69" s="10" t="n">
        <x:f>IF(E69=F69,1,0)</x:f>
        <x:v>1</x:v>
      </x:c>
    </x:row>
    <x:row r="70" ht="55" customHeight="1">
      <x:c r="A70" s="10" t="str">
        <x:v>T-REL</x:v>
      </x:c>
      <x:c r="B70" s="10" t="str">
        <x:v>TEXT</x:v>
      </x:c>
      <x:c r="C70" s="10" t="str">
        <x:v>TEXT:SYN-F02-01-U01</x:v>
      </x:c>
      <x:c r="D70" s="10" t="str">
        <x:v>TEXT:SYN-F02-01-U01-R01</x:v>
      </x:c>
      <x:c r="E70" s="10" t="str">
        <x:v>["SYN-F02-01:D2@v1"]</x:v>
      </x:c>
      <x:c r="F70" s="10" t="str">
        <x:v>["SYN-F02-01:D2@v1"]</x:v>
      </x:c>
      <x:c r="G70" s="10" t="n">
        <x:f>IF(E70=F70,1,0)</x:f>
        <x:v>1</x:v>
      </x:c>
    </x:row>
    <x:row r="71" ht="55" customHeight="1">
      <x:c r="A71" s="10" t="str">
        <x:v>T-REL</x:v>
      </x:c>
      <x:c r="B71" s="10" t="str">
        <x:v>TEXT</x:v>
      </x:c>
      <x:c r="C71" s="10" t="str">
        <x:v>TEXT:SYN-F02-01-U02</x:v>
      </x:c>
      <x:c r="D71" s="10" t="str">
        <x:v>TEXT:SYN-F02-01-U02-R01</x:v>
      </x:c>
      <x:c r="E71" s="10" t="str">
        <x:v>["SYN-F02-01:D2@v1#schedule"]</x:v>
      </x:c>
      <x:c r="F71" s="10" t="str">
        <x:v>["SYN-F02-01:D2@v1#schedule"]</x:v>
      </x:c>
      <x:c r="G71" s="10" t="n">
        <x:f>IF(E71=F71,1,0)</x:f>
        <x:v>1</x:v>
      </x:c>
    </x:row>
    <x:row r="72" ht="55" customHeight="1">
      <x:c r="A72" s="10" t="str">
        <x:v>T-BASE</x:v>
      </x:c>
      <x:c r="B72" s="10" t="str">
        <x:v>TEXT</x:v>
      </x:c>
      <x:c r="C72" s="10" t="str">
        <x:v>TEXT:SYN-F02-02-U01</x:v>
      </x:c>
      <x:c r="D72" s="10" t="str">
        <x:v>TEXT:SYN-F02-02-U01-R01</x:v>
      </x:c>
      <x:c r="E72" s="10" t="str">
        <x:v>["SYN-F02-02:D1@v1"]</x:v>
      </x:c>
      <x:c r="F72" s="10" t="str">
        <x:v>["SYN-F02-02:D2@v1"]</x:v>
      </x:c>
      <x:c r="G72" s="10" t="n">
        <x:f>IF(E72=F72,1,0)</x:f>
        <x:v>0</x:v>
      </x:c>
    </x:row>
    <x:row r="73" ht="55" customHeight="1">
      <x:c r="A73" s="10" t="str">
        <x:v>T-BASE</x:v>
      </x:c>
      <x:c r="B73" s="10" t="str">
        <x:v>TEXT</x:v>
      </x:c>
      <x:c r="C73" s="10" t="str">
        <x:v>TEXT:SYN-F02-02-U02</x:v>
      </x:c>
      <x:c r="D73" s="10" t="str">
        <x:v>TEXT:SYN-F02-02-U02-R01</x:v>
      </x:c>
      <x:c r="E73" s="10" t="str">
        <x:v>["SYN-F02-02:D1@v1#schedule"]</x:v>
      </x:c>
      <x:c r="F73" s="10" t="str">
        <x:v>["SYN-F02-02:D1@v1#schedule"]</x:v>
      </x:c>
      <x:c r="G73" s="10" t="n">
        <x:f>IF(E73=F73,1,0)</x:f>
        <x:v>1</x:v>
      </x:c>
    </x:row>
    <x:row r="74" ht="55" customHeight="1">
      <x:c r="A74" s="10" t="str">
        <x:v>T-EXEC</x:v>
      </x:c>
      <x:c r="B74" s="10" t="str">
        <x:v>TEXT</x:v>
      </x:c>
      <x:c r="C74" s="10" t="str">
        <x:v>TEXT:SYN-F02-02-U01</x:v>
      </x:c>
      <x:c r="D74" s="10" t="str">
        <x:v>TEXT:SYN-F02-02-U01-R01</x:v>
      </x:c>
      <x:c r="E74" s="10" t="str">
        <x:v>["SYN-F02-02:D1@v1"]</x:v>
      </x:c>
      <x:c r="F74" s="10" t="str">
        <x:v>["SYN-F02-02:D2@v1"]</x:v>
      </x:c>
      <x:c r="G74" s="10" t="n">
        <x:f>IF(E74=F74,1,0)</x:f>
        <x:v>0</x:v>
      </x:c>
    </x:row>
    <x:row r="75" ht="55" customHeight="1">
      <x:c r="A75" s="10" t="str">
        <x:v>T-EXEC</x:v>
      </x:c>
      <x:c r="B75" s="10" t="str">
        <x:v>TEXT</x:v>
      </x:c>
      <x:c r="C75" s="10" t="str">
        <x:v>TEXT:SYN-F02-02-U02</x:v>
      </x:c>
      <x:c r="D75" s="10" t="str">
        <x:v>TEXT:SYN-F02-02-U02-R01</x:v>
      </x:c>
      <x:c r="E75" s="10" t="str">
        <x:v>["SYN-F02-02:D1@v1#schedule"]</x:v>
      </x:c>
      <x:c r="F75" s="10" t="str">
        <x:v>["SYN-F02-02:D1@v1#schedule"]</x:v>
      </x:c>
      <x:c r="G75" s="10" t="n">
        <x:f>IF(E75=F75,1,0)</x:f>
        <x:v>1</x:v>
      </x:c>
    </x:row>
    <x:row r="76" ht="55" customHeight="1">
      <x:c r="A76" s="10" t="str">
        <x:v>T-REL</x:v>
      </x:c>
      <x:c r="B76" s="10" t="str">
        <x:v>TEXT</x:v>
      </x:c>
      <x:c r="C76" s="10" t="str">
        <x:v>TEXT:SYN-F02-02-U01</x:v>
      </x:c>
      <x:c r="D76" s="10" t="str">
        <x:v>TEXT:SYN-F02-02-U01-R01</x:v>
      </x:c>
      <x:c r="E76" s="10" t="str">
        <x:v>["SYN-F02-02:D1@v1"]</x:v>
      </x:c>
      <x:c r="F76" s="10" t="str">
        <x:v>["SYN-F02-02:D1@v1"]</x:v>
      </x:c>
      <x:c r="G76" s="10" t="n">
        <x:f>IF(E76=F76,1,0)</x:f>
        <x:v>1</x:v>
      </x:c>
    </x:row>
    <x:row r="77" ht="55" customHeight="1">
      <x:c r="A77" s="10" t="str">
        <x:v>T-REL</x:v>
      </x:c>
      <x:c r="B77" s="10" t="str">
        <x:v>TEXT</x:v>
      </x:c>
      <x:c r="C77" s="10" t="str">
        <x:v>TEXT:SYN-F02-02-U02</x:v>
      </x:c>
      <x:c r="D77" s="10" t="str">
        <x:v>TEXT:SYN-F02-02-U02-R01</x:v>
      </x:c>
      <x:c r="E77" s="10" t="str">
        <x:v>["SYN-F02-02:D1@v1#schedule"]</x:v>
      </x:c>
      <x:c r="F77" s="10" t="str">
        <x:v>["SYN-F02-02:D1@v1#schedule"]</x:v>
      </x:c>
      <x:c r="G77" s="10" t="n">
        <x:f>IF(E77=F77,1,0)</x:f>
        <x:v>1</x:v>
      </x:c>
    </x:row>
    <x:row r="78" ht="55" customHeight="1">
      <x:c r="A78" s="10" t="str">
        <x:v>T-BASE</x:v>
      </x:c>
      <x:c r="B78" s="10" t="str">
        <x:v>TEXT</x:v>
      </x:c>
      <x:c r="C78" s="10" t="str">
        <x:v>TEXT:SYN-F02-03-U01</x:v>
      </x:c>
      <x:c r="D78" s="10" t="str">
        <x:v>TEXT:SYN-F02-03-U01-R01</x:v>
      </x:c>
      <x:c r="E78" s="10" t="str">
        <x:v>["SYN-F02-03:D3@v1"]</x:v>
      </x:c>
      <x:c r="F78" s="10" t="str">
        <x:v>["SYN-F02-03:D3@v1"]</x:v>
      </x:c>
      <x:c r="G78" s="10" t="n">
        <x:f>IF(E78=F78,1,0)</x:f>
        <x:v>1</x:v>
      </x:c>
    </x:row>
    <x:row r="79" ht="55" customHeight="1">
      <x:c r="A79" s="10" t="str">
        <x:v>T-BASE</x:v>
      </x:c>
      <x:c r="B79" s="10" t="str">
        <x:v>TEXT</x:v>
      </x:c>
      <x:c r="C79" s="10" t="str">
        <x:v>TEXT:SYN-F02-03-U02</x:v>
      </x:c>
      <x:c r="D79" s="10" t="str">
        <x:v>TEXT:SYN-F02-03-U02-R01</x:v>
      </x:c>
      <x:c r="E79" s="10" t="str">
        <x:v>["SYN-F02-03:D3@v1#schedule"]</x:v>
      </x:c>
      <x:c r="F79" s="10" t="str">
        <x:v>["SYN-F02-03:D3@v1#schedule"]</x:v>
      </x:c>
      <x:c r="G79" s="10" t="n">
        <x:f>IF(E79=F79,1,0)</x:f>
        <x:v>1</x:v>
      </x:c>
    </x:row>
    <x:row r="80" ht="55" customHeight="1">
      <x:c r="A80" s="10" t="str">
        <x:v>T-EXEC</x:v>
      </x:c>
      <x:c r="B80" s="10" t="str">
        <x:v>TEXT</x:v>
      </x:c>
      <x:c r="C80" s="10" t="str">
        <x:v>TEXT:SYN-F02-03-U01</x:v>
      </x:c>
      <x:c r="D80" s="10" t="str">
        <x:v>TEXT:SYN-F02-03-U01-R01</x:v>
      </x:c>
      <x:c r="E80" s="10" t="str">
        <x:v>["SYN-F02-03:D3@v1"]</x:v>
      </x:c>
      <x:c r="F80" s="10" t="str">
        <x:v>["SYN-F02-03:D3@v1"]</x:v>
      </x:c>
      <x:c r="G80" s="10" t="n">
        <x:f>IF(E80=F80,1,0)</x:f>
        <x:v>1</x:v>
      </x:c>
    </x:row>
    <x:row r="81" ht="55" customHeight="1">
      <x:c r="A81" s="10" t="str">
        <x:v>T-EXEC</x:v>
      </x:c>
      <x:c r="B81" s="10" t="str">
        <x:v>TEXT</x:v>
      </x:c>
      <x:c r="C81" s="10" t="str">
        <x:v>TEXT:SYN-F02-03-U02</x:v>
      </x:c>
      <x:c r="D81" s="10" t="str">
        <x:v>TEXT:SYN-F02-03-U02-R01</x:v>
      </x:c>
      <x:c r="E81" s="10" t="str">
        <x:v>["SYN-F02-03:D3@v1#schedule"]</x:v>
      </x:c>
      <x:c r="F81" s="10" t="str">
        <x:v>["SYN-F02-03:D3@v1#schedule"]</x:v>
      </x:c>
      <x:c r="G81" s="10" t="n">
        <x:f>IF(E81=F81,1,0)</x:f>
        <x:v>1</x:v>
      </x:c>
    </x:row>
    <x:row r="82" ht="55" customHeight="1">
      <x:c r="A82" s="10" t="str">
        <x:v>T-REL</x:v>
      </x:c>
      <x:c r="B82" s="10" t="str">
        <x:v>TEXT</x:v>
      </x:c>
      <x:c r="C82" s="10" t="str">
        <x:v>TEXT:SYN-F02-03-U01</x:v>
      </x:c>
      <x:c r="D82" s="10" t="str">
        <x:v>TEXT:SYN-F02-03-U01-R01</x:v>
      </x:c>
      <x:c r="E82" s="10" t="str">
        <x:v>["SYN-F02-03:D3@v1"]</x:v>
      </x:c>
      <x:c r="F82" s="10" t="str">
        <x:v>["SYN-F02-03:D3@v1"]</x:v>
      </x:c>
      <x:c r="G82" s="10" t="n">
        <x:f>IF(E82=F82,1,0)</x:f>
        <x:v>1</x:v>
      </x:c>
    </x:row>
    <x:row r="83" ht="55" customHeight="1">
      <x:c r="A83" s="10" t="str">
        <x:v>T-REL</x:v>
      </x:c>
      <x:c r="B83" s="10" t="str">
        <x:v>TEXT</x:v>
      </x:c>
      <x:c r="C83" s="10" t="str">
        <x:v>TEXT:SYN-F02-03-U02</x:v>
      </x:c>
      <x:c r="D83" s="10" t="str">
        <x:v>TEXT:SYN-F02-03-U02-R01</x:v>
      </x:c>
      <x:c r="E83" s="10" t="str">
        <x:v>["SYN-F02-03:D3@v1#schedule"]</x:v>
      </x:c>
      <x:c r="F83" s="10" t="str">
        <x:v>["SYN-F02-03:D3@v1#schedule"]</x:v>
      </x:c>
      <x:c r="G83" s="10" t="n">
        <x:f>IF(E83=F83,1,0)</x:f>
        <x:v>1</x:v>
      </x:c>
    </x:row>
    <x:row r="84" ht="55" customHeight="1">
      <x:c r="A84" s="10" t="str">
        <x:v>T-BASE</x:v>
      </x:c>
      <x:c r="B84" s="10" t="str">
        <x:v>TEXT</x:v>
      </x:c>
      <x:c r="C84" s="10" t="str">
        <x:v>TEXT:SYN-F02-04-U01</x:v>
      </x:c>
      <x:c r="D84" s="10" t="str">
        <x:v>TEXT:SYN-F02-04-U01-R01</x:v>
      </x:c>
      <x:c r="E84" s="10" t="str">
        <x:v>["SYN-F02-04:D2@v1"]</x:v>
      </x:c>
      <x:c r="F84" s="10" t="str">
        <x:v>["SYN-F02-04:D2@v1"]</x:v>
      </x:c>
      <x:c r="G84" s="10" t="n">
        <x:f>IF(E84=F84,1,0)</x:f>
        <x:v>1</x:v>
      </x:c>
    </x:row>
    <x:row r="85" ht="55" customHeight="1">
      <x:c r="A85" s="10" t="str">
        <x:v>T-BASE</x:v>
      </x:c>
      <x:c r="B85" s="10" t="str">
        <x:v>TEXT</x:v>
      </x:c>
      <x:c r="C85" s="10" t="str">
        <x:v>TEXT:SYN-F02-04-U02</x:v>
      </x:c>
      <x:c r="D85" s="10" t="str">
        <x:v>TEXT:SYN-F02-04-U02-R01</x:v>
      </x:c>
      <x:c r="E85" s="10" t="str">
        <x:v>["SYN-F02-04:D2@v1#schedule"]</x:v>
      </x:c>
      <x:c r="F85" s="10" t="str">
        <x:v>["SYN-F02-04:D2@v1#schedule"]</x:v>
      </x:c>
      <x:c r="G85" s="10" t="n">
        <x:f>IF(E85=F85,1,0)</x:f>
        <x:v>1</x:v>
      </x:c>
    </x:row>
    <x:row r="86" ht="55" customHeight="1">
      <x:c r="A86" s="10" t="str">
        <x:v>T-EXEC</x:v>
      </x:c>
      <x:c r="B86" s="10" t="str">
        <x:v>TEXT</x:v>
      </x:c>
      <x:c r="C86" s="10" t="str">
        <x:v>TEXT:SYN-F02-04-U01</x:v>
      </x:c>
      <x:c r="D86" s="10" t="str">
        <x:v>TEXT:SYN-F02-04-U01-R01</x:v>
      </x:c>
      <x:c r="E86" s="10" t="str">
        <x:v>["SYN-F02-04:D2@v1"]</x:v>
      </x:c>
      <x:c r="F86" s="10" t="str">
        <x:v>["SYN-F02-04:D2@v1"]</x:v>
      </x:c>
      <x:c r="G86" s="10" t="n">
        <x:f>IF(E86=F86,1,0)</x:f>
        <x:v>1</x:v>
      </x:c>
    </x:row>
    <x:row r="87" ht="55" customHeight="1">
      <x:c r="A87" s="10" t="str">
        <x:v>T-EXEC</x:v>
      </x:c>
      <x:c r="B87" s="10" t="str">
        <x:v>TEXT</x:v>
      </x:c>
      <x:c r="C87" s="10" t="str">
        <x:v>TEXT:SYN-F02-04-U02</x:v>
      </x:c>
      <x:c r="D87" s="10" t="str">
        <x:v>TEXT:SYN-F02-04-U02-R01</x:v>
      </x:c>
      <x:c r="E87" s="10" t="str">
        <x:v>["SYN-F02-04:D2@v1#schedule"]</x:v>
      </x:c>
      <x:c r="F87" s="10" t="str">
        <x:v>["SYN-F02-04:D2@v1#schedule"]</x:v>
      </x:c>
      <x:c r="G87" s="10" t="n">
        <x:f>IF(E87=F87,1,0)</x:f>
        <x:v>1</x:v>
      </x:c>
    </x:row>
    <x:row r="88" ht="55" customHeight="1">
      <x:c r="A88" s="10" t="str">
        <x:v>T-REL</x:v>
      </x:c>
      <x:c r="B88" s="10" t="str">
        <x:v>TEXT</x:v>
      </x:c>
      <x:c r="C88" s="10" t="str">
        <x:v>TEXT:SYN-F02-04-U01</x:v>
      </x:c>
      <x:c r="D88" s="10" t="str">
        <x:v>TEXT:SYN-F02-04-U01-R01</x:v>
      </x:c>
      <x:c r="E88" s="10" t="str">
        <x:v>["SYN-F02-04:D2@v1"]</x:v>
      </x:c>
      <x:c r="F88" s="10" t="str">
        <x:v>["SYN-F02-04:D2@v1"]</x:v>
      </x:c>
      <x:c r="G88" s="10" t="n">
        <x:f>IF(E88=F88,1,0)</x:f>
        <x:v>1</x:v>
      </x:c>
    </x:row>
    <x:row r="89" ht="55" customHeight="1">
      <x:c r="A89" s="10" t="str">
        <x:v>T-REL</x:v>
      </x:c>
      <x:c r="B89" s="10" t="str">
        <x:v>TEXT</x:v>
      </x:c>
      <x:c r="C89" s="10" t="str">
        <x:v>TEXT:SYN-F02-04-U02</x:v>
      </x:c>
      <x:c r="D89" s="10" t="str">
        <x:v>TEXT:SYN-F02-04-U02-R01</x:v>
      </x:c>
      <x:c r="E89" s="10" t="str">
        <x:v>["SYN-F02-04:D2@v1#schedule"]</x:v>
      </x:c>
      <x:c r="F89" s="10" t="str">
        <x:v>["SYN-F02-04:D2@v1#schedule"]</x:v>
      </x:c>
      <x:c r="G89" s="10" t="n">
        <x:f>IF(E89=F89,1,0)</x:f>
        <x:v>1</x:v>
      </x:c>
    </x:row>
    <x:row r="90" ht="55" customHeight="1">
      <x:c r="A90" s="10" t="str">
        <x:v>T-BASE</x:v>
      </x:c>
      <x:c r="B90" s="10" t="str">
        <x:v>TEXT</x:v>
      </x:c>
      <x:c r="C90" s="10" t="str">
        <x:v>TEXT:SYN-F02-05-U01</x:v>
      </x:c>
      <x:c r="D90" s="10" t="str">
        <x:v>TEXT:SYN-F02-05-U01-R01</x:v>
      </x:c>
      <x:c r="E90" s="10" t="str">
        <x:v>["SYN-F02-05:D1@v1"]</x:v>
      </x:c>
      <x:c r="F90" s="10" t="str">
        <x:v>["SYN-F02-05:D1@v1"]</x:v>
      </x:c>
      <x:c r="G90" s="10" t="n">
        <x:f>IF(E90=F90,1,0)</x:f>
        <x:v>1</x:v>
      </x:c>
    </x:row>
    <x:row r="91" ht="55" customHeight="1">
      <x:c r="A91" s="10" t="str">
        <x:v>T-BASE</x:v>
      </x:c>
      <x:c r="B91" s="10" t="str">
        <x:v>TEXT</x:v>
      </x:c>
      <x:c r="C91" s="10" t="str">
        <x:v>TEXT:SYN-F02-05-U02</x:v>
      </x:c>
      <x:c r="D91" s="10" t="str">
        <x:v>TEXT:SYN-F02-05-U02-R01</x:v>
      </x:c>
      <x:c r="E91" s="10" t="str">
        <x:v>["SYN-F02-05:D1@v1#schedule"]</x:v>
      </x:c>
      <x:c r="F91" s="10" t="str">
        <x:v>["SYN-F02-05:D1@v1#schedule"]</x:v>
      </x:c>
      <x:c r="G91" s="10" t="n">
        <x:f>IF(E91=F91,1,0)</x:f>
        <x:v>1</x:v>
      </x:c>
    </x:row>
    <x:row r="92" ht="55" customHeight="1">
      <x:c r="A92" s="10" t="str">
        <x:v>T-EXEC</x:v>
      </x:c>
      <x:c r="B92" s="10" t="str">
        <x:v>TEXT</x:v>
      </x:c>
      <x:c r="C92" s="10" t="str">
        <x:v>TEXT:SYN-F02-05-U01</x:v>
      </x:c>
      <x:c r="D92" s="10" t="str">
        <x:v>TEXT:SYN-F02-05-U01-R01</x:v>
      </x:c>
      <x:c r="E92" s="10" t="str">
        <x:v>["SYN-F02-05:D1@v1"]</x:v>
      </x:c>
      <x:c r="F92" s="10" t="str">
        <x:v>["SYN-F02-05:D1@v1"]</x:v>
      </x:c>
      <x:c r="G92" s="10" t="n">
        <x:f>IF(E92=F92,1,0)</x:f>
        <x:v>1</x:v>
      </x:c>
    </x:row>
    <x:row r="93" ht="55" customHeight="1">
      <x:c r="A93" s="10" t="str">
        <x:v>T-EXEC</x:v>
      </x:c>
      <x:c r="B93" s="10" t="str">
        <x:v>TEXT</x:v>
      </x:c>
      <x:c r="C93" s="10" t="str">
        <x:v>TEXT:SYN-F02-05-U02</x:v>
      </x:c>
      <x:c r="D93" s="10" t="str">
        <x:v>TEXT:SYN-F02-05-U02-R01</x:v>
      </x:c>
      <x:c r="E93" s="10" t="str">
        <x:v>["SYN-F02-05:D1@v1#schedule"]</x:v>
      </x:c>
      <x:c r="F93" s="10" t="str">
        <x:v>["SYN-F02-05:D1@v1#schedule"]</x:v>
      </x:c>
      <x:c r="G93" s="10" t="n">
        <x:f>IF(E93=F93,1,0)</x:f>
        <x:v>1</x:v>
      </x:c>
    </x:row>
    <x:row r="94" ht="55" customHeight="1">
      <x:c r="A94" s="10" t="str">
        <x:v>T-REL</x:v>
      </x:c>
      <x:c r="B94" s="10" t="str">
        <x:v>TEXT</x:v>
      </x:c>
      <x:c r="C94" s="10" t="str">
        <x:v>TEXT:SYN-F02-05-U01</x:v>
      </x:c>
      <x:c r="D94" s="10" t="str">
        <x:v>TEXT:SYN-F02-05-U01-R01</x:v>
      </x:c>
      <x:c r="E94" s="10" t="str">
        <x:v>["SYN-F02-05:D1@v1"]</x:v>
      </x:c>
      <x:c r="F94" s="10" t="str">
        <x:v>["SYN-F02-05:D1@v1"]</x:v>
      </x:c>
      <x:c r="G94" s="10" t="n">
        <x:f>IF(E94=F94,1,0)</x:f>
        <x:v>1</x:v>
      </x:c>
    </x:row>
    <x:row r="95" ht="55" customHeight="1">
      <x:c r="A95" s="10" t="str">
        <x:v>T-REL</x:v>
      </x:c>
      <x:c r="B95" s="10" t="str">
        <x:v>TEXT</x:v>
      </x:c>
      <x:c r="C95" s="10" t="str">
        <x:v>TEXT:SYN-F02-05-U02</x:v>
      </x:c>
      <x:c r="D95" s="10" t="str">
        <x:v>TEXT:SYN-F02-05-U02-R01</x:v>
      </x:c>
      <x:c r="E95" s="10" t="str">
        <x:v>["SYN-F02-05:D1@v1#schedule"]</x:v>
      </x:c>
      <x:c r="F95" s="10" t="str">
        <x:v>["SYN-F02-05:D1@v1#schedule"]</x:v>
      </x:c>
      <x:c r="G95" s="10" t="n">
        <x:f>IF(E95=F95,1,0)</x:f>
        <x:v>1</x:v>
      </x:c>
    </x:row>
    <x:row r="96" ht="55" customHeight="1">
      <x:c r="A96" s="10" t="str">
        <x:v>T-BASE</x:v>
      </x:c>
      <x:c r="B96" s="10" t="str">
        <x:v>TEXT</x:v>
      </x:c>
      <x:c r="C96" s="10" t="str">
        <x:v>TEXT:SYN-F02-06-U01</x:v>
      </x:c>
      <x:c r="D96" s="10" t="str">
        <x:v>TEXT:SYN-F02-06-U01-R01</x:v>
      </x:c>
      <x:c r="E96" s="10" t="str">
        <x:v>["SYN-F02-06:D3@v1"]</x:v>
      </x:c>
      <x:c r="F96" s="10" t="str">
        <x:v>["SYN-F02-06:D3@v1"]</x:v>
      </x:c>
      <x:c r="G96" s="10" t="n">
        <x:f>IF(E96=F96,1,0)</x:f>
        <x:v>1</x:v>
      </x:c>
    </x:row>
    <x:row r="97" ht="55" customHeight="1">
      <x:c r="A97" s="10" t="str">
        <x:v>T-BASE</x:v>
      </x:c>
      <x:c r="B97" s="10" t="str">
        <x:v>TEXT</x:v>
      </x:c>
      <x:c r="C97" s="10" t="str">
        <x:v>TEXT:SYN-F02-06-U02</x:v>
      </x:c>
      <x:c r="D97" s="10" t="str">
        <x:v>TEXT:SYN-F02-06-U02-R01</x:v>
      </x:c>
      <x:c r="E97" s="10" t="str">
        <x:v>["SYN-F02-06:D3@v1#schedule"]</x:v>
      </x:c>
      <x:c r="F97" s="10" t="str">
        <x:v>["SYN-F02-06:D3@v1#schedule"]</x:v>
      </x:c>
      <x:c r="G97" s="10" t="n">
        <x:f>IF(E97=F97,1,0)</x:f>
        <x:v>1</x:v>
      </x:c>
    </x:row>
    <x:row r="98" ht="55" customHeight="1">
      <x:c r="A98" s="10" t="str">
        <x:v>T-EXEC</x:v>
      </x:c>
      <x:c r="B98" s="10" t="str">
        <x:v>TEXT</x:v>
      </x:c>
      <x:c r="C98" s="10" t="str">
        <x:v>TEXT:SYN-F02-06-U01</x:v>
      </x:c>
      <x:c r="D98" s="10" t="str">
        <x:v>TEXT:SYN-F02-06-U01-R01</x:v>
      </x:c>
      <x:c r="E98" s="10" t="str">
        <x:v>["SYN-F02-06:D3@v1"]</x:v>
      </x:c>
      <x:c r="F98" s="10" t="str">
        <x:v>["SYN-F02-06:D3@v1"]</x:v>
      </x:c>
      <x:c r="G98" s="10" t="n">
        <x:f>IF(E98=F98,1,0)</x:f>
        <x:v>1</x:v>
      </x:c>
    </x:row>
    <x:row r="99" ht="55" customHeight="1">
      <x:c r="A99" s="10" t="str">
        <x:v>T-EXEC</x:v>
      </x:c>
      <x:c r="B99" s="10" t="str">
        <x:v>TEXT</x:v>
      </x:c>
      <x:c r="C99" s="10" t="str">
        <x:v>TEXT:SYN-F02-06-U02</x:v>
      </x:c>
      <x:c r="D99" s="10" t="str">
        <x:v>TEXT:SYN-F02-06-U02-R01</x:v>
      </x:c>
      <x:c r="E99" s="10" t="str">
        <x:v>["SYN-F02-06:D3@v1#schedule"]</x:v>
      </x:c>
      <x:c r="F99" s="10" t="str">
        <x:v>["SYN-F02-06:D3@v1#schedule"]</x:v>
      </x:c>
      <x:c r="G99" s="10" t="n">
        <x:f>IF(E99=F99,1,0)</x:f>
        <x:v>1</x:v>
      </x:c>
    </x:row>
    <x:row r="100" ht="55" customHeight="1">
      <x:c r="A100" s="10" t="str">
        <x:v>T-REL</x:v>
      </x:c>
      <x:c r="B100" s="10" t="str">
        <x:v>TEXT</x:v>
      </x:c>
      <x:c r="C100" s="10" t="str">
        <x:v>TEXT:SYN-F02-06-U01</x:v>
      </x:c>
      <x:c r="D100" s="10" t="str">
        <x:v>TEXT:SYN-F02-06-U01-R01</x:v>
      </x:c>
      <x:c r="E100" s="10" t="str">
        <x:v>["SYN-F02-06:D3@v1"]</x:v>
      </x:c>
      <x:c r="F100" s="10" t="str">
        <x:v>["SYN-F02-06:D3@v1"]</x:v>
      </x:c>
      <x:c r="G100" s="10" t="n">
        <x:f>IF(E100=F100,1,0)</x:f>
        <x:v>1</x:v>
      </x:c>
    </x:row>
    <x:row r="101" ht="55" customHeight="1">
      <x:c r="A101" s="10" t="str">
        <x:v>T-REL</x:v>
      </x:c>
      <x:c r="B101" s="10" t="str">
        <x:v>TEXT</x:v>
      </x:c>
      <x:c r="C101" s="10" t="str">
        <x:v>TEXT:SYN-F02-06-U02</x:v>
      </x:c>
      <x:c r="D101" s="10" t="str">
        <x:v>TEXT:SYN-F02-06-U02-R01</x:v>
      </x:c>
      <x:c r="E101" s="10" t="str">
        <x:v>["SYN-F02-06:D3@v1#schedule"]</x:v>
      </x:c>
      <x:c r="F101" s="10" t="str">
        <x:v>["SYN-F02-06:D3@v1#schedule"]</x:v>
      </x:c>
      <x:c r="G101" s="10" t="n">
        <x:f>IF(E101=F101,1,0)</x:f>
        <x:v>1</x:v>
      </x:c>
    </x:row>
    <x:row r="102" ht="55" customHeight="1">
      <x:c r="A102" s="10" t="str">
        <x:v>T-BASE</x:v>
      </x:c>
      <x:c r="B102" s="10" t="str">
        <x:v>TEXT</x:v>
      </x:c>
      <x:c r="C102" s="10" t="str">
        <x:v>TEXT:SYN-F02-07-U01</x:v>
      </x:c>
      <x:c r="D102" s="10" t="str">
        <x:v>TEXT:SYN-F02-07-U01-R01</x:v>
      </x:c>
      <x:c r="E102" s="10" t="str">
        <x:v>["SYN-F02-07:D2@v1"]</x:v>
      </x:c>
      <x:c r="F102" s="10" t="str">
        <x:v>["SYN-F02-07:D2@v1"]</x:v>
      </x:c>
      <x:c r="G102" s="10" t="n">
        <x:f>IF(E102=F102,1,0)</x:f>
        <x:v>1</x:v>
      </x:c>
    </x:row>
    <x:row r="103" ht="55" customHeight="1">
      <x:c r="A103" s="10" t="str">
        <x:v>T-BASE</x:v>
      </x:c>
      <x:c r="B103" s="10" t="str">
        <x:v>TEXT</x:v>
      </x:c>
      <x:c r="C103" s="10" t="str">
        <x:v>TEXT:SYN-F02-07-U02</x:v>
      </x:c>
      <x:c r="D103" s="10" t="str">
        <x:v>TEXT:SYN-F02-07-U02-R01</x:v>
      </x:c>
      <x:c r="E103" s="10" t="str">
        <x:v>["SYN-F02-07:D2@v1#schedule"]</x:v>
      </x:c>
      <x:c r="F103" s="10" t="str">
        <x:v>["SYN-F02-07:D2@v1#schedule"]</x:v>
      </x:c>
      <x:c r="G103" s="10" t="n">
        <x:f>IF(E103=F103,1,0)</x:f>
        <x:v>1</x:v>
      </x:c>
    </x:row>
    <x:row r="104" ht="55" customHeight="1">
      <x:c r="A104" s="10" t="str">
        <x:v>T-EXEC</x:v>
      </x:c>
      <x:c r="B104" s="10" t="str">
        <x:v>TEXT</x:v>
      </x:c>
      <x:c r="C104" s="10" t="str">
        <x:v>TEXT:SYN-F02-07-U01</x:v>
      </x:c>
      <x:c r="D104" s="10" t="str">
        <x:v>TEXT:SYN-F02-07-U01-R01</x:v>
      </x:c>
      <x:c r="E104" s="10" t="str">
        <x:v>["SYN-F02-07:D2@v1"]</x:v>
      </x:c>
      <x:c r="F104" s="10" t="str">
        <x:v>["SYN-F02-07:D2@v1"]</x:v>
      </x:c>
      <x:c r="G104" s="10" t="n">
        <x:f>IF(E104=F104,1,0)</x:f>
        <x:v>1</x:v>
      </x:c>
    </x:row>
    <x:row r="105" ht="55" customHeight="1">
      <x:c r="A105" s="10" t="str">
        <x:v>T-EXEC</x:v>
      </x:c>
      <x:c r="B105" s="10" t="str">
        <x:v>TEXT</x:v>
      </x:c>
      <x:c r="C105" s="10" t="str">
        <x:v>TEXT:SYN-F02-07-U02</x:v>
      </x:c>
      <x:c r="D105" s="10" t="str">
        <x:v>TEXT:SYN-F02-07-U02-R01</x:v>
      </x:c>
      <x:c r="E105" s="10" t="str">
        <x:v>["SYN-F02-07:D2@v1#schedule"]</x:v>
      </x:c>
      <x:c r="F105" s="10" t="str">
        <x:v>["SYN-F02-07:D2@v1#schedule"]</x:v>
      </x:c>
      <x:c r="G105" s="10" t="n">
        <x:f>IF(E105=F105,1,0)</x:f>
        <x:v>1</x:v>
      </x:c>
    </x:row>
    <x:row r="106" ht="55" customHeight="1">
      <x:c r="A106" s="10" t="str">
        <x:v>T-REL</x:v>
      </x:c>
      <x:c r="B106" s="10" t="str">
        <x:v>TEXT</x:v>
      </x:c>
      <x:c r="C106" s="10" t="str">
        <x:v>TEXT:SYN-F02-07-U01</x:v>
      </x:c>
      <x:c r="D106" s="10" t="str">
        <x:v>TEXT:SYN-F02-07-U01-R01</x:v>
      </x:c>
      <x:c r="E106" s="10" t="str">
        <x:v>["SYN-F02-07:D2@v1"]</x:v>
      </x:c>
      <x:c r="F106" s="10" t="str">
        <x:v>["SYN-F02-07:D2@v1"]</x:v>
      </x:c>
      <x:c r="G106" s="10" t="n">
        <x:f>IF(E106=F106,1,0)</x:f>
        <x:v>1</x:v>
      </x:c>
    </x:row>
    <x:row r="107" ht="55" customHeight="1">
      <x:c r="A107" s="10" t="str">
        <x:v>T-REL</x:v>
      </x:c>
      <x:c r="B107" s="10" t="str">
        <x:v>TEXT</x:v>
      </x:c>
      <x:c r="C107" s="10" t="str">
        <x:v>TEXT:SYN-F02-07-U02</x:v>
      </x:c>
      <x:c r="D107" s="10" t="str">
        <x:v>TEXT:SYN-F02-07-U02-R01</x:v>
      </x:c>
      <x:c r="E107" s="10" t="str">
        <x:v>["SYN-F02-07:D2@v1#schedule"]</x:v>
      </x:c>
      <x:c r="F107" s="10" t="str">
        <x:v>["SYN-F02-07:D2@v1#schedule"]</x:v>
      </x:c>
      <x:c r="G107" s="10" t="n">
        <x:f>IF(E107=F107,1,0)</x:f>
        <x:v>1</x:v>
      </x:c>
    </x:row>
    <x:row r="108" ht="55" customHeight="1">
      <x:c r="A108" s="10" t="str">
        <x:v>T-BASE</x:v>
      </x:c>
      <x:c r="B108" s="10" t="str">
        <x:v>TEXT</x:v>
      </x:c>
      <x:c r="C108" s="10" t="str">
        <x:v>TEXT:SYN-F02-08-U01</x:v>
      </x:c>
      <x:c r="D108" s="10" t="str">
        <x:v>TEXT:SYN-F02-08-U01-R01</x:v>
      </x:c>
      <x:c r="E108" s="10" t="str">
        <x:v>["SYN-F02-08:D1@v1"]</x:v>
      </x:c>
      <x:c r="F108" s="10" t="str">
        <x:v>["SYN-F02-08:D2@v1"]</x:v>
      </x:c>
      <x:c r="G108" s="10" t="n">
        <x:f>IF(E108=F108,1,0)</x:f>
        <x:v>0</x:v>
      </x:c>
    </x:row>
    <x:row r="109" ht="55" customHeight="1">
      <x:c r="A109" s="10" t="str">
        <x:v>T-BASE</x:v>
      </x:c>
      <x:c r="B109" s="10" t="str">
        <x:v>TEXT</x:v>
      </x:c>
      <x:c r="C109" s="10" t="str">
        <x:v>TEXT:SYN-F02-08-U02</x:v>
      </x:c>
      <x:c r="D109" s="10" t="str">
        <x:v>TEXT:SYN-F02-08-U02-R01</x:v>
      </x:c>
      <x:c r="E109" s="10" t="str">
        <x:v>["SYN-F02-08:D1@v1#schedule"]</x:v>
      </x:c>
      <x:c r="F109" s="10" t="str">
        <x:v>["SYN-F02-08:D1@v1#schedule"]</x:v>
      </x:c>
      <x:c r="G109" s="10" t="n">
        <x:f>IF(E109=F109,1,0)</x:f>
        <x:v>1</x:v>
      </x:c>
    </x:row>
    <x:row r="110" ht="55" customHeight="1">
      <x:c r="A110" s="10" t="str">
        <x:v>T-EXEC</x:v>
      </x:c>
      <x:c r="B110" s="10" t="str">
        <x:v>TEXT</x:v>
      </x:c>
      <x:c r="C110" s="10" t="str">
        <x:v>TEXT:SYN-F02-08-U01</x:v>
      </x:c>
      <x:c r="D110" s="10" t="str">
        <x:v>TEXT:SYN-F02-08-U01-R01</x:v>
      </x:c>
      <x:c r="E110" s="10" t="str">
        <x:v>["SYN-F02-08:D1@v1"]</x:v>
      </x:c>
      <x:c r="F110" s="10" t="str">
        <x:v>["SYN-F02-08:D2@v1"]</x:v>
      </x:c>
      <x:c r="G110" s="10" t="n">
        <x:f>IF(E110=F110,1,0)</x:f>
        <x:v>0</x:v>
      </x:c>
    </x:row>
    <x:row r="111" ht="55" customHeight="1">
      <x:c r="A111" s="10" t="str">
        <x:v>T-EXEC</x:v>
      </x:c>
      <x:c r="B111" s="10" t="str">
        <x:v>TEXT</x:v>
      </x:c>
      <x:c r="C111" s="10" t="str">
        <x:v>TEXT:SYN-F02-08-U02</x:v>
      </x:c>
      <x:c r="D111" s="10" t="str">
        <x:v>TEXT:SYN-F02-08-U02-R01</x:v>
      </x:c>
      <x:c r="E111" s="10" t="str">
        <x:v>["SYN-F02-08:D1@v1#schedule"]</x:v>
      </x:c>
      <x:c r="F111" s="10" t="str">
        <x:v>["SYN-F02-08:D1@v1#schedule"]</x:v>
      </x:c>
      <x:c r="G111" s="10" t="n">
        <x:f>IF(E111=F111,1,0)</x:f>
        <x:v>1</x:v>
      </x:c>
    </x:row>
    <x:row r="112" ht="55" customHeight="1">
      <x:c r="A112" s="10" t="str">
        <x:v>T-REL</x:v>
      </x:c>
      <x:c r="B112" s="10" t="str">
        <x:v>TEXT</x:v>
      </x:c>
      <x:c r="C112" s="10" t="str">
        <x:v>TEXT:SYN-F02-08-U01</x:v>
      </x:c>
      <x:c r="D112" s="10" t="str">
        <x:v>TEXT:SYN-F02-08-U01-R01</x:v>
      </x:c>
      <x:c r="E112" s="10" t="str">
        <x:v>["SYN-F02-08:D1@v1"]</x:v>
      </x:c>
      <x:c r="F112" s="10" t="str">
        <x:v>["SYN-F02-08:D1@v1"]</x:v>
      </x:c>
      <x:c r="G112" s="10" t="n">
        <x:f>IF(E112=F112,1,0)</x:f>
        <x:v>1</x:v>
      </x:c>
    </x:row>
    <x:row r="113" ht="55" customHeight="1">
      <x:c r="A113" s="10" t="str">
        <x:v>T-REL</x:v>
      </x:c>
      <x:c r="B113" s="10" t="str">
        <x:v>TEXT</x:v>
      </x:c>
      <x:c r="C113" s="10" t="str">
        <x:v>TEXT:SYN-F02-08-U02</x:v>
      </x:c>
      <x:c r="D113" s="10" t="str">
        <x:v>TEXT:SYN-F02-08-U02-R01</x:v>
      </x:c>
      <x:c r="E113" s="10" t="str">
        <x:v>["SYN-F02-08:D1@v1#schedule"]</x:v>
      </x:c>
      <x:c r="F113" s="10" t="str">
        <x:v>["SYN-F02-08:D1@v1#schedule"]</x:v>
      </x:c>
      <x:c r="G113" s="10" t="n">
        <x:f>IF(E113=F113,1,0)</x:f>
        <x:v>1</x:v>
      </x:c>
    </x:row>
    <x:row r="114" ht="55" customHeight="1">
      <x:c r="A114" s="10" t="str">
        <x:v>T-BASE</x:v>
      </x:c>
      <x:c r="B114" s="10" t="str">
        <x:v>TEXT</x:v>
      </x:c>
      <x:c r="C114" s="10" t="str">
        <x:v>TEXT:SYN-F02-09-U01</x:v>
      </x:c>
      <x:c r="D114" s="10" t="str">
        <x:v>TEXT:SYN-F02-09-U01-R01</x:v>
      </x:c>
      <x:c r="E114" s="10" t="str">
        <x:v>["SYN-F02-09:D3@v1"]</x:v>
      </x:c>
      <x:c r="F114" s="10" t="str">
        <x:v>["SYN-F02-09:D3@v1"]</x:v>
      </x:c>
      <x:c r="G114" s="10" t="n">
        <x:f>IF(E114=F114,1,0)</x:f>
        <x:v>1</x:v>
      </x:c>
    </x:row>
    <x:row r="115" ht="55" customHeight="1">
      <x:c r="A115" s="10" t="str">
        <x:v>T-BASE</x:v>
      </x:c>
      <x:c r="B115" s="10" t="str">
        <x:v>TEXT</x:v>
      </x:c>
      <x:c r="C115" s="10" t="str">
        <x:v>TEXT:SYN-F02-09-U02</x:v>
      </x:c>
      <x:c r="D115" s="10" t="str">
        <x:v>TEXT:SYN-F02-09-U02-R01</x:v>
      </x:c>
      <x:c r="E115" s="10" t="str">
        <x:v>["SYN-F02-09:D3@v1#schedule"]</x:v>
      </x:c>
      <x:c r="F115" s="10" t="str">
        <x:v>["SYN-F02-09:D3@v1#schedule"]</x:v>
      </x:c>
      <x:c r="G115" s="10" t="n">
        <x:f>IF(E115=F115,1,0)</x:f>
        <x:v>1</x:v>
      </x:c>
    </x:row>
    <x:row r="116" ht="55" customHeight="1">
      <x:c r="A116" s="10" t="str">
        <x:v>T-EXEC</x:v>
      </x:c>
      <x:c r="B116" s="10" t="str">
        <x:v>TEXT</x:v>
      </x:c>
      <x:c r="C116" s="10" t="str">
        <x:v>TEXT:SYN-F02-09-U01</x:v>
      </x:c>
      <x:c r="D116" s="10" t="str">
        <x:v>TEXT:SYN-F02-09-U01-R01</x:v>
      </x:c>
      <x:c r="E116" s="10" t="str">
        <x:v>["SYN-F02-09:D3@v1"]</x:v>
      </x:c>
      <x:c r="F116" s="10" t="str">
        <x:v>["SYN-F02-09:D3@v1"]</x:v>
      </x:c>
      <x:c r="G116" s="10" t="n">
        <x:f>IF(E116=F116,1,0)</x:f>
        <x:v>1</x:v>
      </x:c>
    </x:row>
    <x:row r="117" ht="55" customHeight="1">
      <x:c r="A117" s="10" t="str">
        <x:v>T-EXEC</x:v>
      </x:c>
      <x:c r="B117" s="10" t="str">
        <x:v>TEXT</x:v>
      </x:c>
      <x:c r="C117" s="10" t="str">
        <x:v>TEXT:SYN-F02-09-U02</x:v>
      </x:c>
      <x:c r="D117" s="10" t="str">
        <x:v>TEXT:SYN-F02-09-U02-R01</x:v>
      </x:c>
      <x:c r="E117" s="10" t="str">
        <x:v>["SYN-F02-09:D3@v1#schedule"]</x:v>
      </x:c>
      <x:c r="F117" s="10" t="str">
        <x:v>["SYN-F02-09:D3@v1#schedule"]</x:v>
      </x:c>
      <x:c r="G117" s="10" t="n">
        <x:f>IF(E117=F117,1,0)</x:f>
        <x:v>1</x:v>
      </x:c>
    </x:row>
    <x:row r="118" ht="55" customHeight="1">
      <x:c r="A118" s="10" t="str">
        <x:v>T-REL</x:v>
      </x:c>
      <x:c r="B118" s="10" t="str">
        <x:v>TEXT</x:v>
      </x:c>
      <x:c r="C118" s="10" t="str">
        <x:v>TEXT:SYN-F02-09-U01</x:v>
      </x:c>
      <x:c r="D118" s="10" t="str">
        <x:v>TEXT:SYN-F02-09-U01-R01</x:v>
      </x:c>
      <x:c r="E118" s="10" t="str">
        <x:v>["SYN-F02-09:D3@v1"]</x:v>
      </x:c>
      <x:c r="F118" s="10" t="str">
        <x:v>["SYN-F02-09:D3@v1"]</x:v>
      </x:c>
      <x:c r="G118" s="10" t="n">
        <x:f>IF(E118=F118,1,0)</x:f>
        <x:v>1</x:v>
      </x:c>
    </x:row>
    <x:row r="119" ht="55" customHeight="1">
      <x:c r="A119" s="10" t="str">
        <x:v>T-REL</x:v>
      </x:c>
      <x:c r="B119" s="10" t="str">
        <x:v>TEXT</x:v>
      </x:c>
      <x:c r="C119" s="10" t="str">
        <x:v>TEXT:SYN-F02-09-U02</x:v>
      </x:c>
      <x:c r="D119" s="10" t="str">
        <x:v>TEXT:SYN-F02-09-U02-R01</x:v>
      </x:c>
      <x:c r="E119" s="10" t="str">
        <x:v>["SYN-F02-09:D3@v1#schedule"]</x:v>
      </x:c>
      <x:c r="F119" s="10" t="str">
        <x:v>["SYN-F02-09:D3@v1#schedule"]</x:v>
      </x:c>
      <x:c r="G119" s="10" t="n">
        <x:f>IF(E119=F119,1,0)</x:f>
        <x:v>1</x:v>
      </x:c>
    </x:row>
    <x:row r="120" ht="55" customHeight="1">
      <x:c r="A120" s="10" t="str">
        <x:v>T-BASE</x:v>
      </x:c>
      <x:c r="B120" s="10" t="str">
        <x:v>TEXT</x:v>
      </x:c>
      <x:c r="C120" s="10" t="str">
        <x:v>TEXT:SYN-F02-10-U01</x:v>
      </x:c>
      <x:c r="D120" s="10" t="str">
        <x:v>TEXT:SYN-F02-10-U01-R01</x:v>
      </x:c>
      <x:c r="E120" s="10" t="str">
        <x:v>["SYN-F02-10:D2@v1"]</x:v>
      </x:c>
      <x:c r="F120" s="10" t="str">
        <x:v>["SYN-F02-10:D2@v1"]</x:v>
      </x:c>
      <x:c r="G120" s="10" t="n">
        <x:f>IF(E120=F120,1,0)</x:f>
        <x:v>1</x:v>
      </x:c>
    </x:row>
    <x:row r="121" ht="55" customHeight="1">
      <x:c r="A121" s="10" t="str">
        <x:v>T-BASE</x:v>
      </x:c>
      <x:c r="B121" s="10" t="str">
        <x:v>TEXT</x:v>
      </x:c>
      <x:c r="C121" s="10" t="str">
        <x:v>TEXT:SYN-F02-10-U02</x:v>
      </x:c>
      <x:c r="D121" s="10" t="str">
        <x:v>TEXT:SYN-F02-10-U02-R01</x:v>
      </x:c>
      <x:c r="E121" s="10" t="str">
        <x:v>["SYN-F02-10:D2@v1#schedule"]</x:v>
      </x:c>
      <x:c r="F121" s="10" t="str">
        <x:v>["SYN-F02-10:D2@v1#schedule"]</x:v>
      </x:c>
      <x:c r="G121" s="10" t="n">
        <x:f>IF(E121=F121,1,0)</x:f>
        <x:v>1</x:v>
      </x:c>
    </x:row>
    <x:row r="122" ht="55" customHeight="1">
      <x:c r="A122" s="10" t="str">
        <x:v>T-EXEC</x:v>
      </x:c>
      <x:c r="B122" s="10" t="str">
        <x:v>TEXT</x:v>
      </x:c>
      <x:c r="C122" s="10" t="str">
        <x:v>TEXT:SYN-F02-10-U01</x:v>
      </x:c>
      <x:c r="D122" s="10" t="str">
        <x:v>TEXT:SYN-F02-10-U01-R01</x:v>
      </x:c>
      <x:c r="E122" s="10" t="str">
        <x:v>["SYN-F02-10:D2@v1"]</x:v>
      </x:c>
      <x:c r="F122" s="10" t="str">
        <x:v>["SYN-F02-10:D2@v1"]</x:v>
      </x:c>
      <x:c r="G122" s="10" t="n">
        <x:f>IF(E122=F122,1,0)</x:f>
        <x:v>1</x:v>
      </x:c>
    </x:row>
    <x:row r="123" ht="55" customHeight="1">
      <x:c r="A123" s="10" t="str">
        <x:v>T-EXEC</x:v>
      </x:c>
      <x:c r="B123" s="10" t="str">
        <x:v>TEXT</x:v>
      </x:c>
      <x:c r="C123" s="10" t="str">
        <x:v>TEXT:SYN-F02-10-U02</x:v>
      </x:c>
      <x:c r="D123" s="10" t="str">
        <x:v>TEXT:SYN-F02-10-U02-R01</x:v>
      </x:c>
      <x:c r="E123" s="10" t="str">
        <x:v>["SYN-F02-10:D2@v1#schedule"]</x:v>
      </x:c>
      <x:c r="F123" s="10" t="str">
        <x:v>["SYN-F02-10:D2@v1#schedule"]</x:v>
      </x:c>
      <x:c r="G123" s="10" t="n">
        <x:f>IF(E123=F123,1,0)</x:f>
        <x:v>1</x:v>
      </x:c>
    </x:row>
    <x:row r="124" ht="55" customHeight="1">
      <x:c r="A124" s="10" t="str">
        <x:v>T-REL</x:v>
      </x:c>
      <x:c r="B124" s="10" t="str">
        <x:v>TEXT</x:v>
      </x:c>
      <x:c r="C124" s="10" t="str">
        <x:v>TEXT:SYN-F02-10-U01</x:v>
      </x:c>
      <x:c r="D124" s="10" t="str">
        <x:v>TEXT:SYN-F02-10-U01-R01</x:v>
      </x:c>
      <x:c r="E124" s="10" t="str">
        <x:v>["SYN-F02-10:D2@v1"]</x:v>
      </x:c>
      <x:c r="F124" s="10" t="str">
        <x:v>["SYN-F02-10:D2@v1"]</x:v>
      </x:c>
      <x:c r="G124" s="10" t="n">
        <x:f>IF(E124=F124,1,0)</x:f>
        <x:v>1</x:v>
      </x:c>
    </x:row>
    <x:row r="125" ht="55" customHeight="1">
      <x:c r="A125" s="10" t="str">
        <x:v>T-REL</x:v>
      </x:c>
      <x:c r="B125" s="10" t="str">
        <x:v>TEXT</x:v>
      </x:c>
      <x:c r="C125" s="10" t="str">
        <x:v>TEXT:SYN-F02-10-U02</x:v>
      </x:c>
      <x:c r="D125" s="10" t="str">
        <x:v>TEXT:SYN-F02-10-U02-R01</x:v>
      </x:c>
      <x:c r="E125" s="10" t="str">
        <x:v>["SYN-F02-10:D2@v1#schedule"]</x:v>
      </x:c>
      <x:c r="F125" s="10" t="str">
        <x:v>["SYN-F02-10:D2@v1#schedule"]</x:v>
      </x:c>
      <x:c r="G125" s="10" t="n">
        <x:f>IF(E125=F125,1,0)</x:f>
        <x:v>1</x:v>
      </x:c>
    </x:row>
    <x:row r="126" ht="55" customHeight="1">
      <x:c r="A126" s="10" t="str">
        <x:v>T-BASE</x:v>
      </x:c>
      <x:c r="B126" s="10" t="str">
        <x:v>TEXT</x:v>
      </x:c>
      <x:c r="C126" s="10" t="str">
        <x:v>TEXT:SYN-F03-01-U01</x:v>
      </x:c>
      <x:c r="D126" s="10" t="str">
        <x:v>TEXT:SYN-F03-01-U01-R01</x:v>
      </x:c>
      <x:c r="E126" s="10" t="str">
        <x:v>["SYN-F03-01:D2@v1"]</x:v>
      </x:c>
      <x:c r="F126" s="10" t="str">
        <x:v>["SYN-F03-01:D2@v1"]</x:v>
      </x:c>
      <x:c r="G126" s="10" t="n">
        <x:f>IF(E126=F126,1,0)</x:f>
        <x:v>1</x:v>
      </x:c>
    </x:row>
    <x:row r="127" ht="55" customHeight="1">
      <x:c r="A127" s="10" t="str">
        <x:v>T-BASE</x:v>
      </x:c>
      <x:c r="B127" s="10" t="str">
        <x:v>TEXT</x:v>
      </x:c>
      <x:c r="C127" s="10" t="str">
        <x:v>TEXT:SYN-F03-01-U02</x:v>
      </x:c>
      <x:c r="D127" s="10" t="str">
        <x:v>TEXT:SYN-F03-01-U02-R01</x:v>
      </x:c>
      <x:c r="E127" s="10" t="str">
        <x:v>["SYN-F03-01:D2@v1"]</x:v>
      </x:c>
      <x:c r="F127" s="10" t="str">
        <x:v>["SYN-F03-01:D2@v1"]</x:v>
      </x:c>
      <x:c r="G127" s="10" t="n">
        <x:f>IF(E127=F127,1,0)</x:f>
        <x:v>1</x:v>
      </x:c>
    </x:row>
    <x:row r="128" ht="55" customHeight="1">
      <x:c r="A128" s="10" t="str">
        <x:v>T-BASE</x:v>
      </x:c>
      <x:c r="B128" s="10" t="str">
        <x:v>TEXT</x:v>
      </x:c>
      <x:c r="C128" s="10" t="str">
        <x:v>TEXT:SYN-F03-01-U02</x:v>
      </x:c>
      <x:c r="D128" s="10" t="str">
        <x:v>TEXT:SYN-F03-01-U02-R02</x:v>
      </x:c>
      <x:c r="E128" s="10" t="str">
        <x:v>["SYN-F03-01:D3@v1"]</x:v>
      </x:c>
      <x:c r="F128" s="10" t="str">
        <x:v>["SYN-F03-01:D3@v1"]</x:v>
      </x:c>
      <x:c r="G128" s="10" t="n">
        <x:f>IF(E128=F128,1,0)</x:f>
        <x:v>1</x:v>
      </x:c>
    </x:row>
    <x:row r="129" ht="55" customHeight="1">
      <x:c r="A129" s="10" t="str">
        <x:v>T-EXEC</x:v>
      </x:c>
      <x:c r="B129" s="10" t="str">
        <x:v>TEXT</x:v>
      </x:c>
      <x:c r="C129" s="10" t="str">
        <x:v>TEXT:SYN-F03-01-U01</x:v>
      </x:c>
      <x:c r="D129" s="10" t="str">
        <x:v>TEXT:SYN-F03-01-U01-R01</x:v>
      </x:c>
      <x:c r="E129" s="10" t="str">
        <x:v>["SYN-F03-01:D2@v1"]</x:v>
      </x:c>
      <x:c r="F129" s="10" t="str">
        <x:v>["SYN-F03-01:D2@v1"]</x:v>
      </x:c>
      <x:c r="G129" s="10" t="n">
        <x:f>IF(E129=F129,1,0)</x:f>
        <x:v>1</x:v>
      </x:c>
    </x:row>
    <x:row r="130" ht="55" customHeight="1">
      <x:c r="A130" s="10" t="str">
        <x:v>T-EXEC</x:v>
      </x:c>
      <x:c r="B130" s="10" t="str">
        <x:v>TEXT</x:v>
      </x:c>
      <x:c r="C130" s="10" t="str">
        <x:v>TEXT:SYN-F03-01-U02</x:v>
      </x:c>
      <x:c r="D130" s="10" t="str">
        <x:v>TEXT:SYN-F03-01-U02-R01</x:v>
      </x:c>
      <x:c r="E130" s="10" t="str">
        <x:v>["SYN-F03-01:D2@v1"]</x:v>
      </x:c>
      <x:c r="F130" s="10" t="str">
        <x:v>["SYN-F03-01:D2@v1"]</x:v>
      </x:c>
      <x:c r="G130" s="10" t="n">
        <x:f>IF(E130=F130,1,0)</x:f>
        <x:v>1</x:v>
      </x:c>
    </x:row>
    <x:row r="131" ht="55" customHeight="1">
      <x:c r="A131" s="10" t="str">
        <x:v>T-EXEC</x:v>
      </x:c>
      <x:c r="B131" s="10" t="str">
        <x:v>TEXT</x:v>
      </x:c>
      <x:c r="C131" s="10" t="str">
        <x:v>TEXT:SYN-F03-01-U02</x:v>
      </x:c>
      <x:c r="D131" s="10" t="str">
        <x:v>TEXT:SYN-F03-01-U02-R02</x:v>
      </x:c>
      <x:c r="E131" s="10" t="str">
        <x:v>["SYN-F03-01:D3@v1"]</x:v>
      </x:c>
      <x:c r="F131" s="10" t="str">
        <x:v>["SYN-F03-01:D3@v1"]</x:v>
      </x:c>
      <x:c r="G131" s="10" t="n">
        <x:f>IF(E131=F131,1,0)</x:f>
        <x:v>1</x:v>
      </x:c>
    </x:row>
    <x:row r="132" ht="55" customHeight="1">
      <x:c r="A132" s="10" t="str">
        <x:v>T-REL</x:v>
      </x:c>
      <x:c r="B132" s="10" t="str">
        <x:v>TEXT</x:v>
      </x:c>
      <x:c r="C132" s="10" t="str">
        <x:v>TEXT:SYN-F03-01-U01</x:v>
      </x:c>
      <x:c r="D132" s="10" t="str">
        <x:v>TEXT:SYN-F03-01-U01-R01</x:v>
      </x:c>
      <x:c r="E132" s="10" t="str">
        <x:v>["SYN-F03-01:D2@v1"]</x:v>
      </x:c>
      <x:c r="F132" s="10" t="str">
        <x:v>["SYN-F03-01:D2@v1"]</x:v>
      </x:c>
      <x:c r="G132" s="10" t="n">
        <x:f>IF(E132=F132,1,0)</x:f>
        <x:v>1</x:v>
      </x:c>
    </x:row>
    <x:row r="133" ht="55" customHeight="1">
      <x:c r="A133" s="10" t="str">
        <x:v>T-REL</x:v>
      </x:c>
      <x:c r="B133" s="10" t="str">
        <x:v>TEXT</x:v>
      </x:c>
      <x:c r="C133" s="10" t="str">
        <x:v>TEXT:SYN-F03-01-U02</x:v>
      </x:c>
      <x:c r="D133" s="10" t="str">
        <x:v>TEXT:SYN-F03-01-U02-R01</x:v>
      </x:c>
      <x:c r="E133" s="10" t="str">
        <x:v>["SYN-F03-01:D2@v1"]</x:v>
      </x:c>
      <x:c r="F133" s="10" t="str">
        <x:v>["SYN-F03-01:D2@v1"]</x:v>
      </x:c>
      <x:c r="G133" s="10" t="n">
        <x:f>IF(E133=F133,1,0)</x:f>
        <x:v>1</x:v>
      </x:c>
    </x:row>
    <x:row r="134" ht="55" customHeight="1">
      <x:c r="A134" s="10" t="str">
        <x:v>T-REL</x:v>
      </x:c>
      <x:c r="B134" s="10" t="str">
        <x:v>TEXT</x:v>
      </x:c>
      <x:c r="C134" s="10" t="str">
        <x:v>TEXT:SYN-F03-01-U02</x:v>
      </x:c>
      <x:c r="D134" s="10" t="str">
        <x:v>TEXT:SYN-F03-01-U02-R02</x:v>
      </x:c>
      <x:c r="E134" s="10" t="str">
        <x:v>["SYN-F03-01:D3@v1"]</x:v>
      </x:c>
      <x:c r="F134" s="10" t="str">
        <x:v>["SYN-F03-01:D3@v1"]</x:v>
      </x:c>
      <x:c r="G134" s="10" t="n">
        <x:f>IF(E134=F134,1,0)</x:f>
        <x:v>1</x:v>
      </x:c>
    </x:row>
    <x:row r="135" ht="55" customHeight="1">
      <x:c r="A135" s="10" t="str">
        <x:v>T-BASE</x:v>
      </x:c>
      <x:c r="B135" s="10" t="str">
        <x:v>TEXT</x:v>
      </x:c>
      <x:c r="C135" s="10" t="str">
        <x:v>TEXT:SYN-F03-02-U01</x:v>
      </x:c>
      <x:c r="D135" s="10" t="str">
        <x:v>TEXT:SYN-F03-02-U01-R01</x:v>
      </x:c>
      <x:c r="E135" s="10" t="str">
        <x:v>["SYN-F03-02:D1@v1"]</x:v>
      </x:c>
      <x:c r="F135" s="10" t="str">
        <x:v>["SYN-F03-02:D1@v1"]</x:v>
      </x:c>
      <x:c r="G135" s="10" t="n">
        <x:f>IF(E135=F135,1,0)</x:f>
        <x:v>1</x:v>
      </x:c>
    </x:row>
    <x:row r="136" ht="55" customHeight="1">
      <x:c r="A136" s="10" t="str">
        <x:v>T-BASE</x:v>
      </x:c>
      <x:c r="B136" s="10" t="str">
        <x:v>TEXT</x:v>
      </x:c>
      <x:c r="C136" s="10" t="str">
        <x:v>TEXT:SYN-F03-02-U02</x:v>
      </x:c>
      <x:c r="D136" s="10" t="str">
        <x:v>TEXT:SYN-F03-02-U02-R01</x:v>
      </x:c>
      <x:c r="E136" s="10" t="str">
        <x:v>["SYN-F03-02:D1@v1"]</x:v>
      </x:c>
      <x:c r="F136" s="10" t="str">
        <x:v>["SYN-F03-02:D1@v1"]</x:v>
      </x:c>
      <x:c r="G136" s="10" t="n">
        <x:f>IF(E136=F136,1,0)</x:f>
        <x:v>1</x:v>
      </x:c>
    </x:row>
    <x:row r="137" ht="55" customHeight="1">
      <x:c r="A137" s="10" t="str">
        <x:v>T-BASE</x:v>
      </x:c>
      <x:c r="B137" s="10" t="str">
        <x:v>TEXT</x:v>
      </x:c>
      <x:c r="C137" s="10" t="str">
        <x:v>TEXT:SYN-F03-02-U02</x:v>
      </x:c>
      <x:c r="D137" s="10" t="str">
        <x:v>TEXT:SYN-F03-02-U02-R02</x:v>
      </x:c>
      <x:c r="E137" s="10" t="str">
        <x:v>["SYN-F03-02:D2@v1"]</x:v>
      </x:c>
      <x:c r="F137" s="10" t="str">
        <x:v>["SYN-F03-02:D2@v1"]</x:v>
      </x:c>
      <x:c r="G137" s="10" t="n">
        <x:f>IF(E137=F137,1,0)</x:f>
        <x:v>1</x:v>
      </x:c>
    </x:row>
    <x:row r="138" ht="55" customHeight="1">
      <x:c r="A138" s="10" t="str">
        <x:v>T-EXEC</x:v>
      </x:c>
      <x:c r="B138" s="10" t="str">
        <x:v>TEXT</x:v>
      </x:c>
      <x:c r="C138" s="10" t="str">
        <x:v>TEXT:SYN-F03-02-U01</x:v>
      </x:c>
      <x:c r="D138" s="10" t="str">
        <x:v>TEXT:SYN-F03-02-U01-R01</x:v>
      </x:c>
      <x:c r="E138" s="10" t="str">
        <x:v>["SYN-F03-02:D1@v1"]</x:v>
      </x:c>
      <x:c r="F138" s="10" t="str">
        <x:v>["SYN-F03-02:D1@v1"]</x:v>
      </x:c>
      <x:c r="G138" s="10" t="n">
        <x:f>IF(E138=F138,1,0)</x:f>
        <x:v>1</x:v>
      </x:c>
    </x:row>
    <x:row r="139" ht="55" customHeight="1">
      <x:c r="A139" s="10" t="str">
        <x:v>T-EXEC</x:v>
      </x:c>
      <x:c r="B139" s="10" t="str">
        <x:v>TEXT</x:v>
      </x:c>
      <x:c r="C139" s="10" t="str">
        <x:v>TEXT:SYN-F03-02-U02</x:v>
      </x:c>
      <x:c r="D139" s="10" t="str">
        <x:v>TEXT:SYN-F03-02-U02-R01</x:v>
      </x:c>
      <x:c r="E139" s="10" t="str">
        <x:v>["SYN-F03-02:D1@v1"]</x:v>
      </x:c>
      <x:c r="F139" s="10" t="str">
        <x:v>["SYN-F03-02:D1@v1"]</x:v>
      </x:c>
      <x:c r="G139" s="10" t="n">
        <x:f>IF(E139=F139,1,0)</x:f>
        <x:v>1</x:v>
      </x:c>
    </x:row>
    <x:row r="140" ht="55" customHeight="1">
      <x:c r="A140" s="10" t="str">
        <x:v>T-EXEC</x:v>
      </x:c>
      <x:c r="B140" s="10" t="str">
        <x:v>TEXT</x:v>
      </x:c>
      <x:c r="C140" s="10" t="str">
        <x:v>TEXT:SYN-F03-02-U02</x:v>
      </x:c>
      <x:c r="D140" s="10" t="str">
        <x:v>TEXT:SYN-F03-02-U02-R02</x:v>
      </x:c>
      <x:c r="E140" s="10" t="str">
        <x:v>["SYN-F03-02:D2@v1"]</x:v>
      </x:c>
      <x:c r="F140" s="10" t="str">
        <x:v>["SYN-F03-02:D2@v1"]</x:v>
      </x:c>
      <x:c r="G140" s="10" t="n">
        <x:f>IF(E140=F140,1,0)</x:f>
        <x:v>1</x:v>
      </x:c>
    </x:row>
    <x:row r="141" ht="55" customHeight="1">
      <x:c r="A141" s="10" t="str">
        <x:v>T-REL</x:v>
      </x:c>
      <x:c r="B141" s="10" t="str">
        <x:v>TEXT</x:v>
      </x:c>
      <x:c r="C141" s="10" t="str">
        <x:v>TEXT:SYN-F03-02-U01</x:v>
      </x:c>
      <x:c r="D141" s="10" t="str">
        <x:v>TEXT:SYN-F03-02-U01-R01</x:v>
      </x:c>
      <x:c r="E141" s="10" t="str">
        <x:v>["SYN-F03-02:D1@v1"]</x:v>
      </x:c>
      <x:c r="F141" s="10" t="str">
        <x:v>["SYN-F03-02:D1@v1"]</x:v>
      </x:c>
      <x:c r="G141" s="10" t="n">
        <x:f>IF(E141=F141,1,0)</x:f>
        <x:v>1</x:v>
      </x:c>
    </x:row>
    <x:row r="142" ht="55" customHeight="1">
      <x:c r="A142" s="10" t="str">
        <x:v>T-REL</x:v>
      </x:c>
      <x:c r="B142" s="10" t="str">
        <x:v>TEXT</x:v>
      </x:c>
      <x:c r="C142" s="10" t="str">
        <x:v>TEXT:SYN-F03-02-U02</x:v>
      </x:c>
      <x:c r="D142" s="10" t="str">
        <x:v>TEXT:SYN-F03-02-U02-R01</x:v>
      </x:c>
      <x:c r="E142" s="10" t="str">
        <x:v>["SYN-F03-02:D1@v1"]</x:v>
      </x:c>
      <x:c r="F142" s="10" t="str">
        <x:v>["SYN-F03-02:D1@v1"]</x:v>
      </x:c>
      <x:c r="G142" s="10" t="n">
        <x:f>IF(E142=F142,1,0)</x:f>
        <x:v>1</x:v>
      </x:c>
    </x:row>
    <x:row r="143" ht="55" customHeight="1">
      <x:c r="A143" s="10" t="str">
        <x:v>T-REL</x:v>
      </x:c>
      <x:c r="B143" s="10" t="str">
        <x:v>TEXT</x:v>
      </x:c>
      <x:c r="C143" s="10" t="str">
        <x:v>TEXT:SYN-F03-02-U02</x:v>
      </x:c>
      <x:c r="D143" s="10" t="str">
        <x:v>TEXT:SYN-F03-02-U02-R02</x:v>
      </x:c>
      <x:c r="E143" s="10" t="str">
        <x:v>["SYN-F03-02:D2@v1"]</x:v>
      </x:c>
      <x:c r="F143" s="10" t="str">
        <x:v>["SYN-F03-02:D2@v1"]</x:v>
      </x:c>
      <x:c r="G143" s="10" t="n">
        <x:f>IF(E143=F143,1,0)</x:f>
        <x:v>1</x:v>
      </x:c>
    </x:row>
    <x:row r="144" ht="55" customHeight="1">
      <x:c r="A144" s="10" t="str">
        <x:v>T-BASE</x:v>
      </x:c>
      <x:c r="B144" s="10" t="str">
        <x:v>TEXT</x:v>
      </x:c>
      <x:c r="C144" s="10" t="str">
        <x:v>TEXT:SYN-F03-03-U01</x:v>
      </x:c>
      <x:c r="D144" s="10" t="str">
        <x:v>TEXT:SYN-F03-03-U01-R01</x:v>
      </x:c>
      <x:c r="E144" s="10" t="str">
        <x:v>["SYN-F03-03:D3@v1"]</x:v>
      </x:c>
      <x:c r="F144" s="10" t="str">
        <x:v>["SYN-F03-03:D1@v1"]</x:v>
      </x:c>
      <x:c r="G144" s="10" t="n">
        <x:f>IF(E144=F144,1,0)</x:f>
        <x:v>0</x:v>
      </x:c>
    </x:row>
    <x:row r="145" ht="55" customHeight="1">
      <x:c r="A145" s="10" t="str">
        <x:v>T-BASE</x:v>
      </x:c>
      <x:c r="B145" s="10" t="str">
        <x:v>TEXT</x:v>
      </x:c>
      <x:c r="C145" s="10" t="str">
        <x:v>TEXT:SYN-F03-03-U02</x:v>
      </x:c>
      <x:c r="D145" s="10" t="str">
        <x:v>TEXT:SYN-F03-03-U02-R01</x:v>
      </x:c>
      <x:c r="E145" s="10" t="str">
        <x:v>["SYN-F03-03:D3@v1"]</x:v>
      </x:c>
      <x:c r="F145" s="10" t="str">
        <x:v>["SYN-F03-03:D3@v1"]</x:v>
      </x:c>
      <x:c r="G145" s="10" t="n">
        <x:f>IF(E145=F145,1,0)</x:f>
        <x:v>1</x:v>
      </x:c>
    </x:row>
    <x:row r="146" ht="55" customHeight="1">
      <x:c r="A146" s="10" t="str">
        <x:v>T-BASE</x:v>
      </x:c>
      <x:c r="B146" s="10" t="str">
        <x:v>TEXT</x:v>
      </x:c>
      <x:c r="C146" s="10" t="str">
        <x:v>TEXT:SYN-F03-03-U02</x:v>
      </x:c>
      <x:c r="D146" s="10" t="str">
        <x:v>TEXT:SYN-F03-03-U02-R02</x:v>
      </x:c>
      <x:c r="E146" s="10" t="str">
        <x:v>["SYN-F03-03:D1@v1"]</x:v>
      </x:c>
      <x:c r="F146" s="10" t="str">
        <x:v>["SYN-F03-03:D1@v1"]</x:v>
      </x:c>
      <x:c r="G146" s="10" t="n">
        <x:f>IF(E146=F146,1,0)</x:f>
        <x:v>1</x:v>
      </x:c>
    </x:row>
    <x:row r="147" ht="55" customHeight="1">
      <x:c r="A147" s="10" t="str">
        <x:v>T-EXEC</x:v>
      </x:c>
      <x:c r="B147" s="10" t="str">
        <x:v>TEXT</x:v>
      </x:c>
      <x:c r="C147" s="10" t="str">
        <x:v>TEXT:SYN-F03-03-U01</x:v>
      </x:c>
      <x:c r="D147" s="10" t="str">
        <x:v>TEXT:SYN-F03-03-U01-R01</x:v>
      </x:c>
      <x:c r="E147" s="10" t="str">
        <x:v>["SYN-F03-03:D3@v1"]</x:v>
      </x:c>
      <x:c r="F147" s="10" t="str">
        <x:v>["SYN-F03-03:D1@v1"]</x:v>
      </x:c>
      <x:c r="G147" s="10" t="n">
        <x:f>IF(E147=F147,1,0)</x:f>
        <x:v>0</x:v>
      </x:c>
    </x:row>
    <x:row r="148" ht="55" customHeight="1">
      <x:c r="A148" s="10" t="str">
        <x:v>T-EXEC</x:v>
      </x:c>
      <x:c r="B148" s="10" t="str">
        <x:v>TEXT</x:v>
      </x:c>
      <x:c r="C148" s="10" t="str">
        <x:v>TEXT:SYN-F03-03-U02</x:v>
      </x:c>
      <x:c r="D148" s="10" t="str">
        <x:v>TEXT:SYN-F03-03-U02-R01</x:v>
      </x:c>
      <x:c r="E148" s="10" t="str">
        <x:v>["SYN-F03-03:D3@v1"]</x:v>
      </x:c>
      <x:c r="F148" s="10" t="str">
        <x:v>["SYN-F03-03:D3@v1"]</x:v>
      </x:c>
      <x:c r="G148" s="10" t="n">
        <x:f>IF(E148=F148,1,0)</x:f>
        <x:v>1</x:v>
      </x:c>
    </x:row>
    <x:row r="149" ht="55" customHeight="1">
      <x:c r="A149" s="10" t="str">
        <x:v>T-EXEC</x:v>
      </x:c>
      <x:c r="B149" s="10" t="str">
        <x:v>TEXT</x:v>
      </x:c>
      <x:c r="C149" s="10" t="str">
        <x:v>TEXT:SYN-F03-03-U02</x:v>
      </x:c>
      <x:c r="D149" s="10" t="str">
        <x:v>TEXT:SYN-F03-03-U02-R02</x:v>
      </x:c>
      <x:c r="E149" s="10" t="str">
        <x:v>["SYN-F03-03:D1@v1"]</x:v>
      </x:c>
      <x:c r="F149" s="10" t="str">
        <x:v>["SYN-F03-03:D1@v1"]</x:v>
      </x:c>
      <x:c r="G149" s="10" t="n">
        <x:f>IF(E149=F149,1,0)</x:f>
        <x:v>1</x:v>
      </x:c>
    </x:row>
    <x:row r="150" ht="55" customHeight="1">
      <x:c r="A150" s="10" t="str">
        <x:v>T-REL</x:v>
      </x:c>
      <x:c r="B150" s="10" t="str">
        <x:v>TEXT</x:v>
      </x:c>
      <x:c r="C150" s="10" t="str">
        <x:v>TEXT:SYN-F03-03-U01</x:v>
      </x:c>
      <x:c r="D150" s="10" t="str">
        <x:v>TEXT:SYN-F03-03-U01-R01</x:v>
      </x:c>
      <x:c r="E150" s="10" t="str">
        <x:v>["SYN-F03-03:D3@v1"]</x:v>
      </x:c>
      <x:c r="F150" s="10" t="str">
        <x:v>["SYN-F03-03:D3@v1"]</x:v>
      </x:c>
      <x:c r="G150" s="10" t="n">
        <x:f>IF(E150=F150,1,0)</x:f>
        <x:v>1</x:v>
      </x:c>
    </x:row>
    <x:row r="151" ht="55" customHeight="1">
      <x:c r="A151" s="10" t="str">
        <x:v>T-REL</x:v>
      </x:c>
      <x:c r="B151" s="10" t="str">
        <x:v>TEXT</x:v>
      </x:c>
      <x:c r="C151" s="10" t="str">
        <x:v>TEXT:SYN-F03-03-U02</x:v>
      </x:c>
      <x:c r="D151" s="10" t="str">
        <x:v>TEXT:SYN-F03-03-U02-R01</x:v>
      </x:c>
      <x:c r="E151" s="10" t="str">
        <x:v>["SYN-F03-03:D3@v1"]</x:v>
      </x:c>
      <x:c r="F151" s="10" t="str">
        <x:v>["SYN-F03-03:D3@v1"]</x:v>
      </x:c>
      <x:c r="G151" s="10" t="n">
        <x:f>IF(E151=F151,1,0)</x:f>
        <x:v>1</x:v>
      </x:c>
    </x:row>
    <x:row r="152" ht="55" customHeight="1">
      <x:c r="A152" s="10" t="str">
        <x:v>T-REL</x:v>
      </x:c>
      <x:c r="B152" s="10" t="str">
        <x:v>TEXT</x:v>
      </x:c>
      <x:c r="C152" s="10" t="str">
        <x:v>TEXT:SYN-F03-03-U02</x:v>
      </x:c>
      <x:c r="D152" s="10" t="str">
        <x:v>TEXT:SYN-F03-03-U02-R02</x:v>
      </x:c>
      <x:c r="E152" s="10" t="str">
        <x:v>["SYN-F03-03:D1@v1"]</x:v>
      </x:c>
      <x:c r="F152" s="10" t="str">
        <x:v>["SYN-F03-03:D1@v1"]</x:v>
      </x:c>
      <x:c r="G152" s="10" t="n">
        <x:f>IF(E152=F152,1,0)</x:f>
        <x:v>1</x:v>
      </x:c>
    </x:row>
    <x:row r="153" ht="55" customHeight="1">
      <x:c r="A153" s="10" t="str">
        <x:v>T-BASE</x:v>
      </x:c>
      <x:c r="B153" s="10" t="str">
        <x:v>TEXT</x:v>
      </x:c>
      <x:c r="C153" s="10" t="str">
        <x:v>TEXT:SYN-F03-04-U01</x:v>
      </x:c>
      <x:c r="D153" s="10" t="str">
        <x:v>TEXT:SYN-F03-04-U01-R01</x:v>
      </x:c>
      <x:c r="E153" s="10" t="str">
        <x:v>["SYN-F03-04:D2@v1"]</x:v>
      </x:c>
      <x:c r="F153" s="10" t="str">
        <x:v>["SYN-F03-04:D2@v1"]</x:v>
      </x:c>
      <x:c r="G153" s="10" t="n">
        <x:f>IF(E153=F153,1,0)</x:f>
        <x:v>1</x:v>
      </x:c>
    </x:row>
    <x:row r="154" ht="55" customHeight="1">
      <x:c r="A154" s="10" t="str">
        <x:v>T-BASE</x:v>
      </x:c>
      <x:c r="B154" s="10" t="str">
        <x:v>TEXT</x:v>
      </x:c>
      <x:c r="C154" s="10" t="str">
        <x:v>TEXT:SYN-F03-04-U02</x:v>
      </x:c>
      <x:c r="D154" s="10" t="str">
        <x:v>TEXT:SYN-F03-04-U02-R01</x:v>
      </x:c>
      <x:c r="E154" s="10" t="str">
        <x:v>["SYN-F03-04:D2@v1"]</x:v>
      </x:c>
      <x:c r="F154" s="10" t="str">
        <x:v>["SYN-F03-04:D2@v1"]</x:v>
      </x:c>
      <x:c r="G154" s="10" t="n">
        <x:f>IF(E154=F154,1,0)</x:f>
        <x:v>1</x:v>
      </x:c>
    </x:row>
    <x:row r="155" ht="55" customHeight="1">
      <x:c r="A155" s="10" t="str">
        <x:v>T-BASE</x:v>
      </x:c>
      <x:c r="B155" s="10" t="str">
        <x:v>TEXT</x:v>
      </x:c>
      <x:c r="C155" s="10" t="str">
        <x:v>TEXT:SYN-F03-04-U02</x:v>
      </x:c>
      <x:c r="D155" s="10" t="str">
        <x:v>TEXT:SYN-F03-04-U02-R02</x:v>
      </x:c>
      <x:c r="E155" s="10" t="str">
        <x:v>["SYN-F03-04:D3@v1"]</x:v>
      </x:c>
      <x:c r="F155" s="10" t="str">
        <x:v>["SYN-F03-04:D3@v1"]</x:v>
      </x:c>
      <x:c r="G155" s="10" t="n">
        <x:f>IF(E155=F155,1,0)</x:f>
        <x:v>1</x:v>
      </x:c>
    </x:row>
    <x:row r="156" ht="55" customHeight="1">
      <x:c r="A156" s="10" t="str">
        <x:v>T-EXEC</x:v>
      </x:c>
      <x:c r="B156" s="10" t="str">
        <x:v>TEXT</x:v>
      </x:c>
      <x:c r="C156" s="10" t="str">
        <x:v>TEXT:SYN-F03-04-U01</x:v>
      </x:c>
      <x:c r="D156" s="10" t="str">
        <x:v>TEXT:SYN-F03-04-U01-R01</x:v>
      </x:c>
      <x:c r="E156" s="10" t="str">
        <x:v>["SYN-F03-04:D2@v1"]</x:v>
      </x:c>
      <x:c r="F156" s="10" t="str">
        <x:v>["SYN-F03-04:D2@v1"]</x:v>
      </x:c>
      <x:c r="G156" s="10" t="n">
        <x:f>IF(E156=F156,1,0)</x:f>
        <x:v>1</x:v>
      </x:c>
    </x:row>
    <x:row r="157" ht="55" customHeight="1">
      <x:c r="A157" s="10" t="str">
        <x:v>T-EXEC</x:v>
      </x:c>
      <x:c r="B157" s="10" t="str">
        <x:v>TEXT</x:v>
      </x:c>
      <x:c r="C157" s="10" t="str">
        <x:v>TEXT:SYN-F03-04-U02</x:v>
      </x:c>
      <x:c r="D157" s="10" t="str">
        <x:v>TEXT:SYN-F03-04-U02-R01</x:v>
      </x:c>
      <x:c r="E157" s="10" t="str">
        <x:v>["SYN-F03-04:D2@v1"]</x:v>
      </x:c>
      <x:c r="F157" s="10" t="str">
        <x:v>["SYN-F03-04:D2@v1"]</x:v>
      </x:c>
      <x:c r="G157" s="10" t="n">
        <x:f>IF(E157=F157,1,0)</x:f>
        <x:v>1</x:v>
      </x:c>
    </x:row>
    <x:row r="158" ht="55" customHeight="1">
      <x:c r="A158" s="10" t="str">
        <x:v>T-EXEC</x:v>
      </x:c>
      <x:c r="B158" s="10" t="str">
        <x:v>TEXT</x:v>
      </x:c>
      <x:c r="C158" s="10" t="str">
        <x:v>TEXT:SYN-F03-04-U02</x:v>
      </x:c>
      <x:c r="D158" s="10" t="str">
        <x:v>TEXT:SYN-F03-04-U02-R02</x:v>
      </x:c>
      <x:c r="E158" s="10" t="str">
        <x:v>["SYN-F03-04:D3@v1"]</x:v>
      </x:c>
      <x:c r="F158" s="10" t="str">
        <x:v>["SYN-F03-04:D3@v1"]</x:v>
      </x:c>
      <x:c r="G158" s="10" t="n">
        <x:f>IF(E158=F158,1,0)</x:f>
        <x:v>1</x:v>
      </x:c>
    </x:row>
    <x:row r="159" ht="55" customHeight="1">
      <x:c r="A159" s="10" t="str">
        <x:v>T-REL</x:v>
      </x:c>
      <x:c r="B159" s="10" t="str">
        <x:v>TEXT</x:v>
      </x:c>
      <x:c r="C159" s="10" t="str">
        <x:v>TEXT:SYN-F03-04-U01</x:v>
      </x:c>
      <x:c r="D159" s="10" t="str">
        <x:v>TEXT:SYN-F03-04-U01-R01</x:v>
      </x:c>
      <x:c r="E159" s="10" t="str">
        <x:v>["SYN-F03-04:D2@v1"]</x:v>
      </x:c>
      <x:c r="F159" s="10" t="str">
        <x:v>["SYN-F03-04:D2@v1"]</x:v>
      </x:c>
      <x:c r="G159" s="10" t="n">
        <x:f>IF(E159=F159,1,0)</x:f>
        <x:v>1</x:v>
      </x:c>
    </x:row>
    <x:row r="160" ht="55" customHeight="1">
      <x:c r="A160" s="10" t="str">
        <x:v>T-REL</x:v>
      </x:c>
      <x:c r="B160" s="10" t="str">
        <x:v>TEXT</x:v>
      </x:c>
      <x:c r="C160" s="10" t="str">
        <x:v>TEXT:SYN-F03-04-U02</x:v>
      </x:c>
      <x:c r="D160" s="10" t="str">
        <x:v>TEXT:SYN-F03-04-U02-R01</x:v>
      </x:c>
      <x:c r="E160" s="10" t="str">
        <x:v>["SYN-F03-04:D2@v1"]</x:v>
      </x:c>
      <x:c r="F160" s="10" t="str">
        <x:v>["SYN-F03-04:D2@v1"]</x:v>
      </x:c>
      <x:c r="G160" s="10" t="n">
        <x:f>IF(E160=F160,1,0)</x:f>
        <x:v>1</x:v>
      </x:c>
    </x:row>
    <x:row r="161" ht="55" customHeight="1">
      <x:c r="A161" s="10" t="str">
        <x:v>T-REL</x:v>
      </x:c>
      <x:c r="B161" s="10" t="str">
        <x:v>TEXT</x:v>
      </x:c>
      <x:c r="C161" s="10" t="str">
        <x:v>TEXT:SYN-F03-04-U02</x:v>
      </x:c>
      <x:c r="D161" s="10" t="str">
        <x:v>TEXT:SYN-F03-04-U02-R02</x:v>
      </x:c>
      <x:c r="E161" s="10" t="str">
        <x:v>["SYN-F03-04:D3@v1"]</x:v>
      </x:c>
      <x:c r="F161" s="10" t="str">
        <x:v>["SYN-F03-04:D3@v1"]</x:v>
      </x:c>
      <x:c r="G161" s="10" t="n">
        <x:f>IF(E161=F161,1,0)</x:f>
        <x:v>1</x:v>
      </x:c>
    </x:row>
    <x:row r="162" ht="55" customHeight="1">
      <x:c r="A162" s="10" t="str">
        <x:v>T-BASE</x:v>
      </x:c>
      <x:c r="B162" s="10" t="str">
        <x:v>TEXT</x:v>
      </x:c>
      <x:c r="C162" s="10" t="str">
        <x:v>TEXT:SYN-F03-05-U01</x:v>
      </x:c>
      <x:c r="D162" s="10" t="str">
        <x:v>TEXT:SYN-F03-05-U01-R01</x:v>
      </x:c>
      <x:c r="E162" s="10" t="str">
        <x:v>["SYN-F03-05:D1@v1"]</x:v>
      </x:c>
      <x:c r="F162" s="10" t="str">
        <x:v>["SYN-F03-05:D1@v1"]</x:v>
      </x:c>
      <x:c r="G162" s="10" t="n">
        <x:f>IF(E162=F162,1,0)</x:f>
        <x:v>1</x:v>
      </x:c>
    </x:row>
    <x:row r="163" ht="55" customHeight="1">
      <x:c r="A163" s="10" t="str">
        <x:v>T-BASE</x:v>
      </x:c>
      <x:c r="B163" s="10" t="str">
        <x:v>TEXT</x:v>
      </x:c>
      <x:c r="C163" s="10" t="str">
        <x:v>TEXT:SYN-F03-05-U02</x:v>
      </x:c>
      <x:c r="D163" s="10" t="str">
        <x:v>TEXT:SYN-F03-05-U02-R01</x:v>
      </x:c>
      <x:c r="E163" s="10" t="str">
        <x:v>["SYN-F03-05:D1@v1"]</x:v>
      </x:c>
      <x:c r="F163" s="10" t="str">
        <x:v>["SYN-F03-05:D1@v1"]</x:v>
      </x:c>
      <x:c r="G163" s="10" t="n">
        <x:f>IF(E163=F163,1,0)</x:f>
        <x:v>1</x:v>
      </x:c>
    </x:row>
    <x:row r="164" ht="55" customHeight="1">
      <x:c r="A164" s="10" t="str">
        <x:v>T-BASE</x:v>
      </x:c>
      <x:c r="B164" s="10" t="str">
        <x:v>TEXT</x:v>
      </x:c>
      <x:c r="C164" s="10" t="str">
        <x:v>TEXT:SYN-F03-05-U02</x:v>
      </x:c>
      <x:c r="D164" s="10" t="str">
        <x:v>TEXT:SYN-F03-05-U02-R02</x:v>
      </x:c>
      <x:c r="E164" s="10" t="str">
        <x:v>["SYN-F03-05:D2@v1"]</x:v>
      </x:c>
      <x:c r="F164" s="10" t="str">
        <x:v>["SYN-F03-05:D2@v1"]</x:v>
      </x:c>
      <x:c r="G164" s="10" t="n">
        <x:f>IF(E164=F164,1,0)</x:f>
        <x:v>1</x:v>
      </x:c>
    </x:row>
    <x:row r="165" ht="55" customHeight="1">
      <x:c r="A165" s="10" t="str">
        <x:v>T-EXEC</x:v>
      </x:c>
      <x:c r="B165" s="10" t="str">
        <x:v>TEXT</x:v>
      </x:c>
      <x:c r="C165" s="10" t="str">
        <x:v>TEXT:SYN-F03-05-U01</x:v>
      </x:c>
      <x:c r="D165" s="10" t="str">
        <x:v>TEXT:SYN-F03-05-U01-R01</x:v>
      </x:c>
      <x:c r="E165" s="10" t="str">
        <x:v>["SYN-F03-05:D1@v1"]</x:v>
      </x:c>
      <x:c r="F165" s="10" t="str">
        <x:v>["SYN-F03-05:D1@v1"]</x:v>
      </x:c>
      <x:c r="G165" s="10" t="n">
        <x:f>IF(E165=F165,1,0)</x:f>
        <x:v>1</x:v>
      </x:c>
    </x:row>
    <x:row r="166" ht="55" customHeight="1">
      <x:c r="A166" s="10" t="str">
        <x:v>T-EXEC</x:v>
      </x:c>
      <x:c r="B166" s="10" t="str">
        <x:v>TEXT</x:v>
      </x:c>
      <x:c r="C166" s="10" t="str">
        <x:v>TEXT:SYN-F03-05-U02</x:v>
      </x:c>
      <x:c r="D166" s="10" t="str">
        <x:v>TEXT:SYN-F03-05-U02-R01</x:v>
      </x:c>
      <x:c r="E166" s="10" t="str">
        <x:v>["SYN-F03-05:D1@v1"]</x:v>
      </x:c>
      <x:c r="F166" s="10" t="str">
        <x:v>["SYN-F03-05:D1@v1"]</x:v>
      </x:c>
      <x:c r="G166" s="10" t="n">
        <x:f>IF(E166=F166,1,0)</x:f>
        <x:v>1</x:v>
      </x:c>
    </x:row>
    <x:row r="167" ht="55" customHeight="1">
      <x:c r="A167" s="10" t="str">
        <x:v>T-EXEC</x:v>
      </x:c>
      <x:c r="B167" s="10" t="str">
        <x:v>TEXT</x:v>
      </x:c>
      <x:c r="C167" s="10" t="str">
        <x:v>TEXT:SYN-F03-05-U02</x:v>
      </x:c>
      <x:c r="D167" s="10" t="str">
        <x:v>TEXT:SYN-F03-05-U02-R02</x:v>
      </x:c>
      <x:c r="E167" s="10" t="str">
        <x:v>["SYN-F03-05:D2@v1"]</x:v>
      </x:c>
      <x:c r="F167" s="10" t="str">
        <x:v>["SYN-F03-05:D2@v1"]</x:v>
      </x:c>
      <x:c r="G167" s="10" t="n">
        <x:f>IF(E167=F167,1,0)</x:f>
        <x:v>1</x:v>
      </x:c>
    </x:row>
    <x:row r="168" ht="55" customHeight="1">
      <x:c r="A168" s="10" t="str">
        <x:v>T-REL</x:v>
      </x:c>
      <x:c r="B168" s="10" t="str">
        <x:v>TEXT</x:v>
      </x:c>
      <x:c r="C168" s="10" t="str">
        <x:v>TEXT:SYN-F03-05-U01</x:v>
      </x:c>
      <x:c r="D168" s="10" t="str">
        <x:v>TEXT:SYN-F03-05-U01-R01</x:v>
      </x:c>
      <x:c r="E168" s="10" t="str">
        <x:v>["SYN-F03-05:D1@v1"]</x:v>
      </x:c>
      <x:c r="F168" s="10" t="str">
        <x:v>["SYN-F03-05:D1@v1"]</x:v>
      </x:c>
      <x:c r="G168" s="10" t="n">
        <x:f>IF(E168=F168,1,0)</x:f>
        <x:v>1</x:v>
      </x:c>
    </x:row>
    <x:row r="169" ht="55" customHeight="1">
      <x:c r="A169" s="10" t="str">
        <x:v>T-REL</x:v>
      </x:c>
      <x:c r="B169" s="10" t="str">
        <x:v>TEXT</x:v>
      </x:c>
      <x:c r="C169" s="10" t="str">
        <x:v>TEXT:SYN-F03-05-U02</x:v>
      </x:c>
      <x:c r="D169" s="10" t="str">
        <x:v>TEXT:SYN-F03-05-U02-R01</x:v>
      </x:c>
      <x:c r="E169" s="10" t="str">
        <x:v>["SYN-F03-05:D1@v1"]</x:v>
      </x:c>
      <x:c r="F169" s="10" t="str">
        <x:v>["SYN-F03-05:D1@v1"]</x:v>
      </x:c>
      <x:c r="G169" s="10" t="n">
        <x:f>IF(E169=F169,1,0)</x:f>
        <x:v>1</x:v>
      </x:c>
    </x:row>
    <x:row r="170" ht="55" customHeight="1">
      <x:c r="A170" s="10" t="str">
        <x:v>T-REL</x:v>
      </x:c>
      <x:c r="B170" s="10" t="str">
        <x:v>TEXT</x:v>
      </x:c>
      <x:c r="C170" s="10" t="str">
        <x:v>TEXT:SYN-F03-05-U02</x:v>
      </x:c>
      <x:c r="D170" s="10" t="str">
        <x:v>TEXT:SYN-F03-05-U02-R02</x:v>
      </x:c>
      <x:c r="E170" s="10" t="str">
        <x:v>["SYN-F03-05:D2@v1"]</x:v>
      </x:c>
      <x:c r="F170" s="10" t="str">
        <x:v>["SYN-F03-05:D2@v1"]</x:v>
      </x:c>
      <x:c r="G170" s="10" t="n">
        <x:f>IF(E170=F170,1,0)</x:f>
        <x:v>1</x:v>
      </x:c>
    </x:row>
    <x:row r="171" ht="55" customHeight="1">
      <x:c r="A171" s="10" t="str">
        <x:v>T-BASE</x:v>
      </x:c>
      <x:c r="B171" s="10" t="str">
        <x:v>TEXT</x:v>
      </x:c>
      <x:c r="C171" s="10" t="str">
        <x:v>TEXT:SYN-F03-06-U01</x:v>
      </x:c>
      <x:c r="D171" s="10" t="str">
        <x:v>TEXT:SYN-F03-06-U01-R01</x:v>
      </x:c>
      <x:c r="E171" s="10" t="str">
        <x:v>["SYN-F03-06:D3@v1"]</x:v>
      </x:c>
      <x:c r="F171" s="10" t="str">
        <x:v>["SYN-F03-06:D3@v1"]</x:v>
      </x:c>
      <x:c r="G171" s="10" t="n">
        <x:f>IF(E171=F171,1,0)</x:f>
        <x:v>1</x:v>
      </x:c>
    </x:row>
    <x:row r="172" ht="55" customHeight="1">
      <x:c r="A172" s="10" t="str">
        <x:v>T-BASE</x:v>
      </x:c>
      <x:c r="B172" s="10" t="str">
        <x:v>TEXT</x:v>
      </x:c>
      <x:c r="C172" s="10" t="str">
        <x:v>TEXT:SYN-F03-06-U02</x:v>
      </x:c>
      <x:c r="D172" s="10" t="str">
        <x:v>TEXT:SYN-F03-06-U02-R01</x:v>
      </x:c>
      <x:c r="E172" s="10" t="str">
        <x:v>["SYN-F03-06:D3@v1"]</x:v>
      </x:c>
      <x:c r="F172" s="10" t="str">
        <x:v>["SYN-F03-06:D3@v1"]</x:v>
      </x:c>
      <x:c r="G172" s="10" t="n">
        <x:f>IF(E172=F172,1,0)</x:f>
        <x:v>1</x:v>
      </x:c>
    </x:row>
    <x:row r="173" ht="55" customHeight="1">
      <x:c r="A173" s="10" t="str">
        <x:v>T-BASE</x:v>
      </x:c>
      <x:c r="B173" s="10" t="str">
        <x:v>TEXT</x:v>
      </x:c>
      <x:c r="C173" s="10" t="str">
        <x:v>TEXT:SYN-F03-06-U02</x:v>
      </x:c>
      <x:c r="D173" s="10" t="str">
        <x:v>TEXT:SYN-F03-06-U02-R02</x:v>
      </x:c>
      <x:c r="E173" s="10" t="str">
        <x:v>["SYN-F03-06:D1@v1"]</x:v>
      </x:c>
      <x:c r="F173" s="10" t="str">
        <x:v>["SYN-F03-06:D1@v1"]</x:v>
      </x:c>
      <x:c r="G173" s="10" t="n">
        <x:f>IF(E173=F173,1,0)</x:f>
        <x:v>1</x:v>
      </x:c>
    </x:row>
    <x:row r="174" ht="55" customHeight="1">
      <x:c r="A174" s="10" t="str">
        <x:v>T-EXEC</x:v>
      </x:c>
      <x:c r="B174" s="10" t="str">
        <x:v>TEXT</x:v>
      </x:c>
      <x:c r="C174" s="10" t="str">
        <x:v>TEXT:SYN-F03-06-U01</x:v>
      </x:c>
      <x:c r="D174" s="10" t="str">
        <x:v>TEXT:SYN-F03-06-U01-R01</x:v>
      </x:c>
      <x:c r="E174" s="10" t="str">
        <x:v>["SYN-F03-06:D3@v1"]</x:v>
      </x:c>
      <x:c r="F174" s="10" t="str">
        <x:v>["SYN-F03-06:D3@v1"]</x:v>
      </x:c>
      <x:c r="G174" s="10" t="n">
        <x:f>IF(E174=F174,1,0)</x:f>
        <x:v>1</x:v>
      </x:c>
    </x:row>
    <x:row r="175" ht="55" customHeight="1">
      <x:c r="A175" s="10" t="str">
        <x:v>T-EXEC</x:v>
      </x:c>
      <x:c r="B175" s="10" t="str">
        <x:v>TEXT</x:v>
      </x:c>
      <x:c r="C175" s="10" t="str">
        <x:v>TEXT:SYN-F03-06-U02</x:v>
      </x:c>
      <x:c r="D175" s="10" t="str">
        <x:v>TEXT:SYN-F03-06-U02-R01</x:v>
      </x:c>
      <x:c r="E175" s="10" t="str">
        <x:v>["SYN-F03-06:D3@v1"]</x:v>
      </x:c>
      <x:c r="F175" s="10" t="str">
        <x:v>["SYN-F03-06:D3@v1"]</x:v>
      </x:c>
      <x:c r="G175" s="10" t="n">
        <x:f>IF(E175=F175,1,0)</x:f>
        <x:v>1</x:v>
      </x:c>
    </x:row>
    <x:row r="176" ht="55" customHeight="1">
      <x:c r="A176" s="10" t="str">
        <x:v>T-EXEC</x:v>
      </x:c>
      <x:c r="B176" s="10" t="str">
        <x:v>TEXT</x:v>
      </x:c>
      <x:c r="C176" s="10" t="str">
        <x:v>TEXT:SYN-F03-06-U02</x:v>
      </x:c>
      <x:c r="D176" s="10" t="str">
        <x:v>TEXT:SYN-F03-06-U02-R02</x:v>
      </x:c>
      <x:c r="E176" s="10" t="str">
        <x:v>["SYN-F03-06:D1@v1"]</x:v>
      </x:c>
      <x:c r="F176" s="10" t="str">
        <x:v>["SYN-F03-06:D1@v1"]</x:v>
      </x:c>
      <x:c r="G176" s="10" t="n">
        <x:f>IF(E176=F176,1,0)</x:f>
        <x:v>1</x:v>
      </x:c>
    </x:row>
    <x:row r="177" ht="55" customHeight="1">
      <x:c r="A177" s="10" t="str">
        <x:v>T-REL</x:v>
      </x:c>
      <x:c r="B177" s="10" t="str">
        <x:v>TEXT</x:v>
      </x:c>
      <x:c r="C177" s="10" t="str">
        <x:v>TEXT:SYN-F03-06-U01</x:v>
      </x:c>
      <x:c r="D177" s="10" t="str">
        <x:v>TEXT:SYN-F03-06-U01-R01</x:v>
      </x:c>
      <x:c r="E177" s="10" t="str">
        <x:v>["SYN-F03-06:D3@v1"]</x:v>
      </x:c>
      <x:c r="F177" s="10" t="str">
        <x:v>["SYN-F03-06:D3@v1"]</x:v>
      </x:c>
      <x:c r="G177" s="10" t="n">
        <x:f>IF(E177=F177,1,0)</x:f>
        <x:v>1</x:v>
      </x:c>
    </x:row>
    <x:row r="178" ht="55" customHeight="1">
      <x:c r="A178" s="10" t="str">
        <x:v>T-REL</x:v>
      </x:c>
      <x:c r="B178" s="10" t="str">
        <x:v>TEXT</x:v>
      </x:c>
      <x:c r="C178" s="10" t="str">
        <x:v>TEXT:SYN-F03-06-U02</x:v>
      </x:c>
      <x:c r="D178" s="10" t="str">
        <x:v>TEXT:SYN-F03-06-U02-R01</x:v>
      </x:c>
      <x:c r="E178" s="10" t="str">
        <x:v>["SYN-F03-06:D3@v1"]</x:v>
      </x:c>
      <x:c r="F178" s="10" t="str">
        <x:v>["SYN-F03-06:D3@v1"]</x:v>
      </x:c>
      <x:c r="G178" s="10" t="n">
        <x:f>IF(E178=F178,1,0)</x:f>
        <x:v>1</x:v>
      </x:c>
    </x:row>
    <x:row r="179" ht="55" customHeight="1">
      <x:c r="A179" s="10" t="str">
        <x:v>T-REL</x:v>
      </x:c>
      <x:c r="B179" s="10" t="str">
        <x:v>TEXT</x:v>
      </x:c>
      <x:c r="C179" s="10" t="str">
        <x:v>TEXT:SYN-F03-06-U02</x:v>
      </x:c>
      <x:c r="D179" s="10" t="str">
        <x:v>TEXT:SYN-F03-06-U02-R02</x:v>
      </x:c>
      <x:c r="E179" s="10" t="str">
        <x:v>["SYN-F03-06:D1@v1"]</x:v>
      </x:c>
      <x:c r="F179" s="10" t="str">
        <x:v>["SYN-F03-06:D1@v1"]</x:v>
      </x:c>
      <x:c r="G179" s="10" t="n">
        <x:f>IF(E179=F179,1,0)</x:f>
        <x:v>1</x:v>
      </x:c>
    </x:row>
    <x:row r="180" ht="55" customHeight="1">
      <x:c r="A180" s="10" t="str">
        <x:v>T-BASE</x:v>
      </x:c>
      <x:c r="B180" s="10" t="str">
        <x:v>TEXT</x:v>
      </x:c>
      <x:c r="C180" s="10" t="str">
        <x:v>TEXT:SYN-F03-07-U01</x:v>
      </x:c>
      <x:c r="D180" s="10" t="str">
        <x:v>TEXT:SYN-F03-07-U01-R01</x:v>
      </x:c>
      <x:c r="E180" s="10" t="str">
        <x:v>["SYN-F03-07:D2@v1"]</x:v>
      </x:c>
      <x:c r="F180" s="10" t="str">
        <x:v>["SYN-F03-07:D2@v1"]</x:v>
      </x:c>
      <x:c r="G180" s="10" t="n">
        <x:f>IF(E180=F180,1,0)</x:f>
        <x:v>1</x:v>
      </x:c>
    </x:row>
    <x:row r="181" ht="55" customHeight="1">
      <x:c r="A181" s="10" t="str">
        <x:v>T-BASE</x:v>
      </x:c>
      <x:c r="B181" s="10" t="str">
        <x:v>TEXT</x:v>
      </x:c>
      <x:c r="C181" s="10" t="str">
        <x:v>TEXT:SYN-F03-07-U02</x:v>
      </x:c>
      <x:c r="D181" s="10" t="str">
        <x:v>TEXT:SYN-F03-07-U02-R01</x:v>
      </x:c>
      <x:c r="E181" s="10" t="str">
        <x:v>["SYN-F03-07:D2@v1"]</x:v>
      </x:c>
      <x:c r="F181" s="10" t="str">
        <x:v>["SYN-F03-07:D2@v1"]</x:v>
      </x:c>
      <x:c r="G181" s="10" t="n">
        <x:f>IF(E181=F181,1,0)</x:f>
        <x:v>1</x:v>
      </x:c>
    </x:row>
    <x:row r="182" ht="55" customHeight="1">
      <x:c r="A182" s="10" t="str">
        <x:v>T-BASE</x:v>
      </x:c>
      <x:c r="B182" s="10" t="str">
        <x:v>TEXT</x:v>
      </x:c>
      <x:c r="C182" s="10" t="str">
        <x:v>TEXT:SYN-F03-07-U02</x:v>
      </x:c>
      <x:c r="D182" s="10" t="str">
        <x:v>TEXT:SYN-F03-07-U02-R02</x:v>
      </x:c>
      <x:c r="E182" s="10" t="str">
        <x:v>["SYN-F03-07:D3@v1"]</x:v>
      </x:c>
      <x:c r="F182" s="10" t="str">
        <x:v>["SYN-F03-07:D3@v1"]</x:v>
      </x:c>
      <x:c r="G182" s="10" t="n">
        <x:f>IF(E182=F182,1,0)</x:f>
        <x:v>1</x:v>
      </x:c>
    </x:row>
    <x:row r="183" ht="55" customHeight="1">
      <x:c r="A183" s="10" t="str">
        <x:v>T-EXEC</x:v>
      </x:c>
      <x:c r="B183" s="10" t="str">
        <x:v>TEXT</x:v>
      </x:c>
      <x:c r="C183" s="10" t="str">
        <x:v>TEXT:SYN-F03-07-U01</x:v>
      </x:c>
      <x:c r="D183" s="10" t="str">
        <x:v>TEXT:SYN-F03-07-U01-R01</x:v>
      </x:c>
      <x:c r="E183" s="10" t="str">
        <x:v>["SYN-F03-07:D2@v1"]</x:v>
      </x:c>
      <x:c r="F183" s="10" t="str">
        <x:v>["SYN-F03-07:D2@v1"]</x:v>
      </x:c>
      <x:c r="G183" s="10" t="n">
        <x:f>IF(E183=F183,1,0)</x:f>
        <x:v>1</x:v>
      </x:c>
    </x:row>
    <x:row r="184" ht="55" customHeight="1">
      <x:c r="A184" s="10" t="str">
        <x:v>T-EXEC</x:v>
      </x:c>
      <x:c r="B184" s="10" t="str">
        <x:v>TEXT</x:v>
      </x:c>
      <x:c r="C184" s="10" t="str">
        <x:v>TEXT:SYN-F03-07-U02</x:v>
      </x:c>
      <x:c r="D184" s="10" t="str">
        <x:v>TEXT:SYN-F03-07-U02-R01</x:v>
      </x:c>
      <x:c r="E184" s="10" t="str">
        <x:v>["SYN-F03-07:D2@v1"]</x:v>
      </x:c>
      <x:c r="F184" s="10" t="str">
        <x:v>["SYN-F03-07:D2@v1"]</x:v>
      </x:c>
      <x:c r="G184" s="10" t="n">
        <x:f>IF(E184=F184,1,0)</x:f>
        <x:v>1</x:v>
      </x:c>
    </x:row>
    <x:row r="185" ht="55" customHeight="1">
      <x:c r="A185" s="10" t="str">
        <x:v>T-EXEC</x:v>
      </x:c>
      <x:c r="B185" s="10" t="str">
        <x:v>TEXT</x:v>
      </x:c>
      <x:c r="C185" s="10" t="str">
        <x:v>TEXT:SYN-F03-07-U02</x:v>
      </x:c>
      <x:c r="D185" s="10" t="str">
        <x:v>TEXT:SYN-F03-07-U02-R02</x:v>
      </x:c>
      <x:c r="E185" s="10" t="str">
        <x:v>["SYN-F03-07:D3@v1"]</x:v>
      </x:c>
      <x:c r="F185" s="10" t="str">
        <x:v>["SYN-F03-07:D3@v1"]</x:v>
      </x:c>
      <x:c r="G185" s="10" t="n">
        <x:f>IF(E185=F185,1,0)</x:f>
        <x:v>1</x:v>
      </x:c>
    </x:row>
    <x:row r="186" ht="55" customHeight="1">
      <x:c r="A186" s="10" t="str">
        <x:v>T-REL</x:v>
      </x:c>
      <x:c r="B186" s="10" t="str">
        <x:v>TEXT</x:v>
      </x:c>
      <x:c r="C186" s="10" t="str">
        <x:v>TEXT:SYN-F03-07-U01</x:v>
      </x:c>
      <x:c r="D186" s="10" t="str">
        <x:v>TEXT:SYN-F03-07-U01-R01</x:v>
      </x:c>
      <x:c r="E186" s="10" t="str">
        <x:v>["SYN-F03-07:D2@v1"]</x:v>
      </x:c>
      <x:c r="F186" s="10" t="str">
        <x:v>["SYN-F03-07:D2@v1"]</x:v>
      </x:c>
      <x:c r="G186" s="10" t="n">
        <x:f>IF(E186=F186,1,0)</x:f>
        <x:v>1</x:v>
      </x:c>
    </x:row>
    <x:row r="187" ht="55" customHeight="1">
      <x:c r="A187" s="10" t="str">
        <x:v>T-REL</x:v>
      </x:c>
      <x:c r="B187" s="10" t="str">
        <x:v>TEXT</x:v>
      </x:c>
      <x:c r="C187" s="10" t="str">
        <x:v>TEXT:SYN-F03-07-U02</x:v>
      </x:c>
      <x:c r="D187" s="10" t="str">
        <x:v>TEXT:SYN-F03-07-U02-R01</x:v>
      </x:c>
      <x:c r="E187" s="10" t="str">
        <x:v>["SYN-F03-07:D2@v1"]</x:v>
      </x:c>
      <x:c r="F187" s="10" t="str">
        <x:v>["SYN-F03-07:D2@v1"]</x:v>
      </x:c>
      <x:c r="G187" s="10" t="n">
        <x:f>IF(E187=F187,1,0)</x:f>
        <x:v>1</x:v>
      </x:c>
    </x:row>
    <x:row r="188" ht="55" customHeight="1">
      <x:c r="A188" s="10" t="str">
        <x:v>T-REL</x:v>
      </x:c>
      <x:c r="B188" s="10" t="str">
        <x:v>TEXT</x:v>
      </x:c>
      <x:c r="C188" s="10" t="str">
        <x:v>TEXT:SYN-F03-07-U02</x:v>
      </x:c>
      <x:c r="D188" s="10" t="str">
        <x:v>TEXT:SYN-F03-07-U02-R02</x:v>
      </x:c>
      <x:c r="E188" s="10" t="str">
        <x:v>["SYN-F03-07:D3@v1"]</x:v>
      </x:c>
      <x:c r="F188" s="10" t="str">
        <x:v>["SYN-F03-07:D3@v1"]</x:v>
      </x:c>
      <x:c r="G188" s="10" t="n">
        <x:f>IF(E188=F188,1,0)</x:f>
        <x:v>1</x:v>
      </x:c>
    </x:row>
    <x:row r="189" ht="55" customHeight="1">
      <x:c r="A189" s="10" t="str">
        <x:v>T-BASE</x:v>
      </x:c>
      <x:c r="B189" s="10" t="str">
        <x:v>TEXT</x:v>
      </x:c>
      <x:c r="C189" s="10" t="str">
        <x:v>TEXT:SYN-F03-08-U01</x:v>
      </x:c>
      <x:c r="D189" s="10" t="str">
        <x:v>TEXT:SYN-F03-08-U01-R01</x:v>
      </x:c>
      <x:c r="E189" s="10" t="str">
        <x:v>["SYN-F03-08:D1@v1"]</x:v>
      </x:c>
      <x:c r="F189" s="10" t="str">
        <x:v>["SYN-F03-08:D1@v1"]</x:v>
      </x:c>
      <x:c r="G189" s="10" t="n">
        <x:f>IF(E189=F189,1,0)</x:f>
        <x:v>1</x:v>
      </x:c>
    </x:row>
    <x:row r="190" ht="55" customHeight="1">
      <x:c r="A190" s="10" t="str">
        <x:v>T-BASE</x:v>
      </x:c>
      <x:c r="B190" s="10" t="str">
        <x:v>TEXT</x:v>
      </x:c>
      <x:c r="C190" s="10" t="str">
        <x:v>TEXT:SYN-F03-08-U02</x:v>
      </x:c>
      <x:c r="D190" s="10" t="str">
        <x:v>TEXT:SYN-F03-08-U02-R01</x:v>
      </x:c>
      <x:c r="E190" s="10" t="str">
        <x:v>["SYN-F03-08:D1@v1"]</x:v>
      </x:c>
      <x:c r="F190" s="10" t="str">
        <x:v>["SYN-F03-08:D1@v1"]</x:v>
      </x:c>
      <x:c r="G190" s="10" t="n">
        <x:f>IF(E190=F190,1,0)</x:f>
        <x:v>1</x:v>
      </x:c>
    </x:row>
    <x:row r="191" ht="55" customHeight="1">
      <x:c r="A191" s="10" t="str">
        <x:v>T-BASE</x:v>
      </x:c>
      <x:c r="B191" s="10" t="str">
        <x:v>TEXT</x:v>
      </x:c>
      <x:c r="C191" s="10" t="str">
        <x:v>TEXT:SYN-F03-08-U02</x:v>
      </x:c>
      <x:c r="D191" s="10" t="str">
        <x:v>TEXT:SYN-F03-08-U02-R02</x:v>
      </x:c>
      <x:c r="E191" s="10" t="str">
        <x:v>["SYN-F03-08:D2@v1"]</x:v>
      </x:c>
      <x:c r="F191" s="10" t="str">
        <x:v>["SYN-F03-08:D2@v1"]</x:v>
      </x:c>
      <x:c r="G191" s="10" t="n">
        <x:f>IF(E191=F191,1,0)</x:f>
        <x:v>1</x:v>
      </x:c>
    </x:row>
    <x:row r="192" ht="55" customHeight="1">
      <x:c r="A192" s="10" t="str">
        <x:v>T-EXEC</x:v>
      </x:c>
      <x:c r="B192" s="10" t="str">
        <x:v>TEXT</x:v>
      </x:c>
      <x:c r="C192" s="10" t="str">
        <x:v>TEXT:SYN-F03-08-U01</x:v>
      </x:c>
      <x:c r="D192" s="10" t="str">
        <x:v>TEXT:SYN-F03-08-U01-R01</x:v>
      </x:c>
      <x:c r="E192" s="10" t="str">
        <x:v>["SYN-F03-08:D1@v1"]</x:v>
      </x:c>
      <x:c r="F192" s="10" t="str">
        <x:v>["SYN-F03-08:D1@v1"]</x:v>
      </x:c>
      <x:c r="G192" s="10" t="n">
        <x:f>IF(E192=F192,1,0)</x:f>
        <x:v>1</x:v>
      </x:c>
    </x:row>
    <x:row r="193" ht="55" customHeight="1">
      <x:c r="A193" s="10" t="str">
        <x:v>T-EXEC</x:v>
      </x:c>
      <x:c r="B193" s="10" t="str">
        <x:v>TEXT</x:v>
      </x:c>
      <x:c r="C193" s="10" t="str">
        <x:v>TEXT:SYN-F03-08-U02</x:v>
      </x:c>
      <x:c r="D193" s="10" t="str">
        <x:v>TEXT:SYN-F03-08-U02-R01</x:v>
      </x:c>
      <x:c r="E193" s="10" t="str">
        <x:v>["SYN-F03-08:D1@v1"]</x:v>
      </x:c>
      <x:c r="F193" s="10" t="str">
        <x:v>["SYN-F03-08:D1@v1"]</x:v>
      </x:c>
      <x:c r="G193" s="10" t="n">
        <x:f>IF(E193=F193,1,0)</x:f>
        <x:v>1</x:v>
      </x:c>
    </x:row>
    <x:row r="194" ht="55" customHeight="1">
      <x:c r="A194" s="10" t="str">
        <x:v>T-EXEC</x:v>
      </x:c>
      <x:c r="B194" s="10" t="str">
        <x:v>TEXT</x:v>
      </x:c>
      <x:c r="C194" s="10" t="str">
        <x:v>TEXT:SYN-F03-08-U02</x:v>
      </x:c>
      <x:c r="D194" s="10" t="str">
        <x:v>TEXT:SYN-F03-08-U02-R02</x:v>
      </x:c>
      <x:c r="E194" s="10" t="str">
        <x:v>["SYN-F03-08:D2@v1"]</x:v>
      </x:c>
      <x:c r="F194" s="10" t="str">
        <x:v>["SYN-F03-08:D2@v1"]</x:v>
      </x:c>
      <x:c r="G194" s="10" t="n">
        <x:f>IF(E194=F194,1,0)</x:f>
        <x:v>1</x:v>
      </x:c>
    </x:row>
    <x:row r="195" ht="55" customHeight="1">
      <x:c r="A195" s="10" t="str">
        <x:v>T-REL</x:v>
      </x:c>
      <x:c r="B195" s="10" t="str">
        <x:v>TEXT</x:v>
      </x:c>
      <x:c r="C195" s="10" t="str">
        <x:v>TEXT:SYN-F03-08-U01</x:v>
      </x:c>
      <x:c r="D195" s="10" t="str">
        <x:v>TEXT:SYN-F03-08-U01-R01</x:v>
      </x:c>
      <x:c r="E195" s="10" t="str">
        <x:v>["SYN-F03-08:D1@v1"]</x:v>
      </x:c>
      <x:c r="F195" s="10" t="str">
        <x:v>["SYN-F03-08:D1@v1"]</x:v>
      </x:c>
      <x:c r="G195" s="10" t="n">
        <x:f>IF(E195=F195,1,0)</x:f>
        <x:v>1</x:v>
      </x:c>
    </x:row>
    <x:row r="196" ht="55" customHeight="1">
      <x:c r="A196" s="10" t="str">
        <x:v>T-REL</x:v>
      </x:c>
      <x:c r="B196" s="10" t="str">
        <x:v>TEXT</x:v>
      </x:c>
      <x:c r="C196" s="10" t="str">
        <x:v>TEXT:SYN-F03-08-U02</x:v>
      </x:c>
      <x:c r="D196" s="10" t="str">
        <x:v>TEXT:SYN-F03-08-U02-R01</x:v>
      </x:c>
      <x:c r="E196" s="10" t="str">
        <x:v>["SYN-F03-08:D1@v1"]</x:v>
      </x:c>
      <x:c r="F196" s="10" t="str">
        <x:v>["SYN-F03-08:D1@v1"]</x:v>
      </x:c>
      <x:c r="G196" s="10" t="n">
        <x:f>IF(E196=F196,1,0)</x:f>
        <x:v>1</x:v>
      </x:c>
    </x:row>
    <x:row r="197" ht="55" customHeight="1">
      <x:c r="A197" s="10" t="str">
        <x:v>T-REL</x:v>
      </x:c>
      <x:c r="B197" s="10" t="str">
        <x:v>TEXT</x:v>
      </x:c>
      <x:c r="C197" s="10" t="str">
        <x:v>TEXT:SYN-F03-08-U02</x:v>
      </x:c>
      <x:c r="D197" s="10" t="str">
        <x:v>TEXT:SYN-F03-08-U02-R02</x:v>
      </x:c>
      <x:c r="E197" s="10" t="str">
        <x:v>["SYN-F03-08:D2@v1"]</x:v>
      </x:c>
      <x:c r="F197" s="10" t="str">
        <x:v>["SYN-F03-08:D2@v1"]</x:v>
      </x:c>
      <x:c r="G197" s="10" t="n">
        <x:f>IF(E197=F197,1,0)</x:f>
        <x:v>1</x:v>
      </x:c>
    </x:row>
    <x:row r="198" ht="55" customHeight="1">
      <x:c r="A198" s="10" t="str">
        <x:v>T-BASE</x:v>
      </x:c>
      <x:c r="B198" s="10" t="str">
        <x:v>TEXT</x:v>
      </x:c>
      <x:c r="C198" s="10" t="str">
        <x:v>TEXT:SYN-F03-09-U01</x:v>
      </x:c>
      <x:c r="D198" s="10" t="str">
        <x:v>TEXT:SYN-F03-09-U01-R01</x:v>
      </x:c>
      <x:c r="E198" s="10" t="str">
        <x:v>["SYN-F03-09:D3@v1"]</x:v>
      </x:c>
      <x:c r="F198" s="10" t="str">
        <x:v>["SYN-F03-09:D1@v1"]</x:v>
      </x:c>
      <x:c r="G198" s="10" t="n">
        <x:f>IF(E198=F198,1,0)</x:f>
        <x:v>0</x:v>
      </x:c>
    </x:row>
    <x:row r="199" ht="55" customHeight="1">
      <x:c r="A199" s="10" t="str">
        <x:v>T-BASE</x:v>
      </x:c>
      <x:c r="B199" s="10" t="str">
        <x:v>TEXT</x:v>
      </x:c>
      <x:c r="C199" s="10" t="str">
        <x:v>TEXT:SYN-F03-09-U02</x:v>
      </x:c>
      <x:c r="D199" s="10" t="str">
        <x:v>TEXT:SYN-F03-09-U02-R01</x:v>
      </x:c>
      <x:c r="E199" s="10" t="str">
        <x:v>["SYN-F03-09:D3@v1"]</x:v>
      </x:c>
      <x:c r="F199" s="10" t="str">
        <x:v>["SYN-F03-09:D3@v1"]</x:v>
      </x:c>
      <x:c r="G199" s="10" t="n">
        <x:f>IF(E199=F199,1,0)</x:f>
        <x:v>1</x:v>
      </x:c>
    </x:row>
    <x:row r="200" ht="55" customHeight="1">
      <x:c r="A200" s="10" t="str">
        <x:v>T-BASE</x:v>
      </x:c>
      <x:c r="B200" s="10" t="str">
        <x:v>TEXT</x:v>
      </x:c>
      <x:c r="C200" s="10" t="str">
        <x:v>TEXT:SYN-F03-09-U02</x:v>
      </x:c>
      <x:c r="D200" s="10" t="str">
        <x:v>TEXT:SYN-F03-09-U02-R02</x:v>
      </x:c>
      <x:c r="E200" s="10" t="str">
        <x:v>["SYN-F03-09:D1@v1"]</x:v>
      </x:c>
      <x:c r="F200" s="10" t="str">
        <x:v>["SYN-F03-09:D1@v1"]</x:v>
      </x:c>
      <x:c r="G200" s="10" t="n">
        <x:f>IF(E200=F200,1,0)</x:f>
        <x:v>1</x:v>
      </x:c>
    </x:row>
    <x:row r="201" ht="55" customHeight="1">
      <x:c r="A201" s="10" t="str">
        <x:v>T-EXEC</x:v>
      </x:c>
      <x:c r="B201" s="10" t="str">
        <x:v>TEXT</x:v>
      </x:c>
      <x:c r="C201" s="10" t="str">
        <x:v>TEXT:SYN-F03-09-U01</x:v>
      </x:c>
      <x:c r="D201" s="10" t="str">
        <x:v>TEXT:SYN-F03-09-U01-R01</x:v>
      </x:c>
      <x:c r="E201" s="10" t="str">
        <x:v>["SYN-F03-09:D3@v1"]</x:v>
      </x:c>
      <x:c r="F201" s="10" t="str">
        <x:v>["SYN-F03-09:D1@v1"]</x:v>
      </x:c>
      <x:c r="G201" s="10" t="n">
        <x:f>IF(E201=F201,1,0)</x:f>
        <x:v>0</x:v>
      </x:c>
    </x:row>
    <x:row r="202" ht="55" customHeight="1">
      <x:c r="A202" s="10" t="str">
        <x:v>T-EXEC</x:v>
      </x:c>
      <x:c r="B202" s="10" t="str">
        <x:v>TEXT</x:v>
      </x:c>
      <x:c r="C202" s="10" t="str">
        <x:v>TEXT:SYN-F03-09-U02</x:v>
      </x:c>
      <x:c r="D202" s="10" t="str">
        <x:v>TEXT:SYN-F03-09-U02-R01</x:v>
      </x:c>
      <x:c r="E202" s="10" t="str">
        <x:v>["SYN-F03-09:D3@v1"]</x:v>
      </x:c>
      <x:c r="F202" s="10" t="str">
        <x:v>["SYN-F03-09:D3@v1"]</x:v>
      </x:c>
      <x:c r="G202" s="10" t="n">
        <x:f>IF(E202=F202,1,0)</x:f>
        <x:v>1</x:v>
      </x:c>
    </x:row>
    <x:row r="203" ht="55" customHeight="1">
      <x:c r="A203" s="10" t="str">
        <x:v>T-EXEC</x:v>
      </x:c>
      <x:c r="B203" s="10" t="str">
        <x:v>TEXT</x:v>
      </x:c>
      <x:c r="C203" s="10" t="str">
        <x:v>TEXT:SYN-F03-09-U02</x:v>
      </x:c>
      <x:c r="D203" s="10" t="str">
        <x:v>TEXT:SYN-F03-09-U02-R02</x:v>
      </x:c>
      <x:c r="E203" s="10" t="str">
        <x:v>["SYN-F03-09:D1@v1"]</x:v>
      </x:c>
      <x:c r="F203" s="10" t="str">
        <x:v>["SYN-F03-09:D1@v1"]</x:v>
      </x:c>
      <x:c r="G203" s="10" t="n">
        <x:f>IF(E203=F203,1,0)</x:f>
        <x:v>1</x:v>
      </x:c>
    </x:row>
    <x:row r="204" ht="55" customHeight="1">
      <x:c r="A204" s="10" t="str">
        <x:v>T-REL</x:v>
      </x:c>
      <x:c r="B204" s="10" t="str">
        <x:v>TEXT</x:v>
      </x:c>
      <x:c r="C204" s="10" t="str">
        <x:v>TEXT:SYN-F03-09-U01</x:v>
      </x:c>
      <x:c r="D204" s="10" t="str">
        <x:v>TEXT:SYN-F03-09-U01-R01</x:v>
      </x:c>
      <x:c r="E204" s="10" t="str">
        <x:v>["SYN-F03-09:D3@v1"]</x:v>
      </x:c>
      <x:c r="F204" s="10" t="str">
        <x:v>["SYN-F03-09:D1@v1"]</x:v>
      </x:c>
      <x:c r="G204" s="10" t="n">
        <x:f>IF(E204=F204,1,0)</x:f>
        <x:v>0</x:v>
      </x:c>
    </x:row>
    <x:row r="205" ht="55" customHeight="1">
      <x:c r="A205" s="10" t="str">
        <x:v>T-REL</x:v>
      </x:c>
      <x:c r="B205" s="10" t="str">
        <x:v>TEXT</x:v>
      </x:c>
      <x:c r="C205" s="10" t="str">
        <x:v>TEXT:SYN-F03-09-U02</x:v>
      </x:c>
      <x:c r="D205" s="10" t="str">
        <x:v>TEXT:SYN-F03-09-U02-R01</x:v>
      </x:c>
      <x:c r="E205" s="10" t="str">
        <x:v>["SYN-F03-09:D3@v1"]</x:v>
      </x:c>
      <x:c r="F205" s="10" t="str">
        <x:v>["SYN-F03-09:D3@v1"]</x:v>
      </x:c>
      <x:c r="G205" s="10" t="n">
        <x:f>IF(E205=F205,1,0)</x:f>
        <x:v>1</x:v>
      </x:c>
    </x:row>
    <x:row r="206" ht="55" customHeight="1">
      <x:c r="A206" s="10" t="str">
        <x:v>T-REL</x:v>
      </x:c>
      <x:c r="B206" s="10" t="str">
        <x:v>TEXT</x:v>
      </x:c>
      <x:c r="C206" s="10" t="str">
        <x:v>TEXT:SYN-F03-09-U02</x:v>
      </x:c>
      <x:c r="D206" s="10" t="str">
        <x:v>TEXT:SYN-F03-09-U02-R02</x:v>
      </x:c>
      <x:c r="E206" s="10" t="str">
        <x:v>["SYN-F03-09:D1@v1"]</x:v>
      </x:c>
      <x:c r="F206" s="10" t="str">
        <x:v>["SYN-F03-09:D1@v1"]</x:v>
      </x:c>
      <x:c r="G206" s="10" t="n">
        <x:f>IF(E206=F206,1,0)</x:f>
        <x:v>1</x:v>
      </x:c>
    </x:row>
    <x:row r="207" ht="55" customHeight="1">
      <x:c r="A207" s="10" t="str">
        <x:v>T-BASE</x:v>
      </x:c>
      <x:c r="B207" s="10" t="str">
        <x:v>TEXT</x:v>
      </x:c>
      <x:c r="C207" s="10" t="str">
        <x:v>TEXT:SYN-F03-10-U01</x:v>
      </x:c>
      <x:c r="D207" s="10" t="str">
        <x:v>TEXT:SYN-F03-10-U01-R01</x:v>
      </x:c>
      <x:c r="E207" s="10" t="str">
        <x:v>["SYN-F03-10:D2@v1"]</x:v>
      </x:c>
      <x:c r="F207" s="10" t="str">
        <x:v>["SYN-F03-10:D2@v1"]</x:v>
      </x:c>
      <x:c r="G207" s="10" t="n">
        <x:f>IF(E207=F207,1,0)</x:f>
        <x:v>1</x:v>
      </x:c>
    </x:row>
    <x:row r="208" ht="55" customHeight="1">
      <x:c r="A208" s="10" t="str">
        <x:v>T-BASE</x:v>
      </x:c>
      <x:c r="B208" s="10" t="str">
        <x:v>TEXT</x:v>
      </x:c>
      <x:c r="C208" s="10" t="str">
        <x:v>TEXT:SYN-F03-10-U02</x:v>
      </x:c>
      <x:c r="D208" s="10" t="str">
        <x:v>TEXT:SYN-F03-10-U02-R01</x:v>
      </x:c>
      <x:c r="E208" s="10" t="str">
        <x:v>["SYN-F03-10:D2@v1"]</x:v>
      </x:c>
      <x:c r="F208" s="10" t="str">
        <x:v>["SYN-F03-10:D2@v1"]</x:v>
      </x:c>
      <x:c r="G208" s="10" t="n">
        <x:f>IF(E208=F208,1,0)</x:f>
        <x:v>1</x:v>
      </x:c>
    </x:row>
    <x:row r="209" ht="55" customHeight="1">
      <x:c r="A209" s="10" t="str">
        <x:v>T-BASE</x:v>
      </x:c>
      <x:c r="B209" s="10" t="str">
        <x:v>TEXT</x:v>
      </x:c>
      <x:c r="C209" s="10" t="str">
        <x:v>TEXT:SYN-F03-10-U02</x:v>
      </x:c>
      <x:c r="D209" s="10" t="str">
        <x:v>TEXT:SYN-F03-10-U02-R02</x:v>
      </x:c>
      <x:c r="E209" s="10" t="str">
        <x:v>["SYN-F03-10:D3@v1"]</x:v>
      </x:c>
      <x:c r="F209" s="10" t="str">
        <x:v>["SYN-F03-10:D3@v1"]</x:v>
      </x:c>
      <x:c r="G209" s="10" t="n">
        <x:f>IF(E209=F209,1,0)</x:f>
        <x:v>1</x:v>
      </x:c>
    </x:row>
    <x:row r="210" ht="55" customHeight="1">
      <x:c r="A210" s="10" t="str">
        <x:v>T-EXEC</x:v>
      </x:c>
      <x:c r="B210" s="10" t="str">
        <x:v>TEXT</x:v>
      </x:c>
      <x:c r="C210" s="10" t="str">
        <x:v>TEXT:SYN-F03-10-U01</x:v>
      </x:c>
      <x:c r="D210" s="10" t="str">
        <x:v>TEXT:SYN-F03-10-U01-R01</x:v>
      </x:c>
      <x:c r="E210" s="10" t="str">
        <x:v>["SYN-F03-10:D2@v1"]</x:v>
      </x:c>
      <x:c r="F210" s="10" t="str">
        <x:v>["SYN-F03-10:D2@v1"]</x:v>
      </x:c>
      <x:c r="G210" s="10" t="n">
        <x:f>IF(E210=F210,1,0)</x:f>
        <x:v>1</x:v>
      </x:c>
    </x:row>
    <x:row r="211" ht="55" customHeight="1">
      <x:c r="A211" s="10" t="str">
        <x:v>T-EXEC</x:v>
      </x:c>
      <x:c r="B211" s="10" t="str">
        <x:v>TEXT</x:v>
      </x:c>
      <x:c r="C211" s="10" t="str">
        <x:v>TEXT:SYN-F03-10-U02</x:v>
      </x:c>
      <x:c r="D211" s="10" t="str">
        <x:v>TEXT:SYN-F03-10-U02-R01</x:v>
      </x:c>
      <x:c r="E211" s="10" t="str">
        <x:v>["SYN-F03-10:D2@v1"]</x:v>
      </x:c>
      <x:c r="F211" s="10" t="str">
        <x:v>["SYN-F03-10:D2@v1"]</x:v>
      </x:c>
      <x:c r="G211" s="10" t="n">
        <x:f>IF(E211=F211,1,0)</x:f>
        <x:v>1</x:v>
      </x:c>
    </x:row>
    <x:row r="212" ht="55" customHeight="1">
      <x:c r="A212" s="10" t="str">
        <x:v>T-EXEC</x:v>
      </x:c>
      <x:c r="B212" s="10" t="str">
        <x:v>TEXT</x:v>
      </x:c>
      <x:c r="C212" s="10" t="str">
        <x:v>TEXT:SYN-F03-10-U02</x:v>
      </x:c>
      <x:c r="D212" s="10" t="str">
        <x:v>TEXT:SYN-F03-10-U02-R02</x:v>
      </x:c>
      <x:c r="E212" s="10" t="str">
        <x:v>["SYN-F03-10:D3@v1"]</x:v>
      </x:c>
      <x:c r="F212" s="10" t="str">
        <x:v>["SYN-F03-10:D3@v1"]</x:v>
      </x:c>
      <x:c r="G212" s="10" t="n">
        <x:f>IF(E212=F212,1,0)</x:f>
        <x:v>1</x:v>
      </x:c>
    </x:row>
    <x:row r="213" ht="55" customHeight="1">
      <x:c r="A213" s="10" t="str">
        <x:v>T-REL</x:v>
      </x:c>
      <x:c r="B213" s="10" t="str">
        <x:v>TEXT</x:v>
      </x:c>
      <x:c r="C213" s="10" t="str">
        <x:v>TEXT:SYN-F03-10-U01</x:v>
      </x:c>
      <x:c r="D213" s="10" t="str">
        <x:v>TEXT:SYN-F03-10-U01-R01</x:v>
      </x:c>
      <x:c r="E213" s="10" t="str">
        <x:v>["SYN-F03-10:D2@v1"]</x:v>
      </x:c>
      <x:c r="F213" s="10" t="str">
        <x:v>["SYN-F03-10:D2@v1"]</x:v>
      </x:c>
      <x:c r="G213" s="10" t="n">
        <x:f>IF(E213=F213,1,0)</x:f>
        <x:v>1</x:v>
      </x:c>
    </x:row>
    <x:row r="214" ht="55" customHeight="1">
      <x:c r="A214" s="10" t="str">
        <x:v>T-REL</x:v>
      </x:c>
      <x:c r="B214" s="10" t="str">
        <x:v>TEXT</x:v>
      </x:c>
      <x:c r="C214" s="10" t="str">
        <x:v>TEXT:SYN-F03-10-U02</x:v>
      </x:c>
      <x:c r="D214" s="10" t="str">
        <x:v>TEXT:SYN-F03-10-U02-R01</x:v>
      </x:c>
      <x:c r="E214" s="10" t="str">
        <x:v>["SYN-F03-10:D2@v1"]</x:v>
      </x:c>
      <x:c r="F214" s="10" t="str">
        <x:v>["SYN-F03-10:D2@v1"]</x:v>
      </x:c>
      <x:c r="G214" s="10" t="n">
        <x:f>IF(E214=F214,1,0)</x:f>
        <x:v>1</x:v>
      </x:c>
    </x:row>
    <x:row r="215" ht="55" customHeight="1">
      <x:c r="A215" s="10" t="str">
        <x:v>T-REL</x:v>
      </x:c>
      <x:c r="B215" s="10" t="str">
        <x:v>TEXT</x:v>
      </x:c>
      <x:c r="C215" s="10" t="str">
        <x:v>TEXT:SYN-F03-10-U02</x:v>
      </x:c>
      <x:c r="D215" s="10" t="str">
        <x:v>TEXT:SYN-F03-10-U02-R02</x:v>
      </x:c>
      <x:c r="E215" s="10" t="str">
        <x:v>["SYN-F03-10:D3@v1"]</x:v>
      </x:c>
      <x:c r="F215" s="10" t="str">
        <x:v>["SYN-F03-10:D3@v1"]</x:v>
      </x:c>
      <x:c r="G215" s="10" t="n">
        <x:f>IF(E215=F215,1,0)</x:f>
        <x:v>1</x:v>
      </x:c>
    </x:row>
    <x:row r="216" ht="55" customHeight="1">
      <x:c r="A216" s="10" t="str">
        <x:v>T-BASE</x:v>
      </x:c>
      <x:c r="B216" s="10" t="str">
        <x:v>TEXT</x:v>
      </x:c>
      <x:c r="C216" s="10" t="str">
        <x:v>TEXT:SYN-F04-01-U01</x:v>
      </x:c>
      <x:c r="D216" s="10" t="str">
        <x:v>TEXT:SYN-F04-01-U01-R01</x:v>
      </x:c>
      <x:c r="E216" s="10" t="str">
        <x:v>["SYN-F04-01:D2@v1"]</x:v>
      </x:c>
      <x:c r="F216" s="10" t="str">
        <x:v>["SYN-F04-01:D2@v1"]</x:v>
      </x:c>
      <x:c r="G216" s="10" t="n">
        <x:f>IF(E216=F216,1,0)</x:f>
        <x:v>1</x:v>
      </x:c>
    </x:row>
    <x:row r="217" ht="55" customHeight="1">
      <x:c r="A217" s="10" t="str">
        <x:v>T-BASE</x:v>
      </x:c>
      <x:c r="B217" s="10" t="str">
        <x:v>TEXT</x:v>
      </x:c>
      <x:c r="C217" s="10" t="str">
        <x:v>TEXT:SYN-F04-01-U02</x:v>
      </x:c>
      <x:c r="D217" s="10" t="str">
        <x:v>TEXT:SYN-F04-01-U02-R01</x:v>
      </x:c>
      <x:c r="E217" s="10" t="str">
        <x:v>["SYN-F04-01:D2@v2"]</x:v>
      </x:c>
      <x:c r="F217" s="10" t="str">
        <x:v>["SYN-F04-01:D2@v2"]</x:v>
      </x:c>
      <x:c r="G217" s="10" t="n">
        <x:f>IF(E217=F217,1,0)</x:f>
        <x:v>1</x:v>
      </x:c>
    </x:row>
    <x:row r="218" ht="55" customHeight="1">
      <x:c r="A218" s="10" t="str">
        <x:v>T-EXEC</x:v>
      </x:c>
      <x:c r="B218" s="10" t="str">
        <x:v>TEXT</x:v>
      </x:c>
      <x:c r="C218" s="10" t="str">
        <x:v>TEXT:SYN-F04-01-U01</x:v>
      </x:c>
      <x:c r="D218" s="10" t="str">
        <x:v>TEXT:SYN-F04-01-U01-R01</x:v>
      </x:c>
      <x:c r="E218" s="10" t="str">
        <x:v>["SYN-F04-01:D2@v1"]</x:v>
      </x:c>
      <x:c r="F218" s="10" t="str">
        <x:v>["SYN-F04-01:D2@v1"]</x:v>
      </x:c>
      <x:c r="G218" s="10" t="n">
        <x:f>IF(E218=F218,1,0)</x:f>
        <x:v>1</x:v>
      </x:c>
    </x:row>
    <x:row r="219" ht="55" customHeight="1">
      <x:c r="A219" s="10" t="str">
        <x:v>T-EXEC</x:v>
      </x:c>
      <x:c r="B219" s="10" t="str">
        <x:v>TEXT</x:v>
      </x:c>
      <x:c r="C219" s="10" t="str">
        <x:v>TEXT:SYN-F04-01-U02</x:v>
      </x:c>
      <x:c r="D219" s="10" t="str">
        <x:v>TEXT:SYN-F04-01-U02-R01</x:v>
      </x:c>
      <x:c r="E219" s="10" t="str">
        <x:v>["SYN-F04-01:D2@v2"]</x:v>
      </x:c>
      <x:c r="F219" s="10" t="str">
        <x:v>["SYN-F04-01:D2@v2"]</x:v>
      </x:c>
      <x:c r="G219" s="10" t="n">
        <x:f>IF(E219=F219,1,0)</x:f>
        <x:v>1</x:v>
      </x:c>
    </x:row>
    <x:row r="220" ht="55" customHeight="1">
      <x:c r="A220" s="10" t="str">
        <x:v>T-REL</x:v>
      </x:c>
      <x:c r="B220" s="10" t="str">
        <x:v>TEXT</x:v>
      </x:c>
      <x:c r="C220" s="10" t="str">
        <x:v>TEXT:SYN-F04-01-U01</x:v>
      </x:c>
      <x:c r="D220" s="10" t="str">
        <x:v>TEXT:SYN-F04-01-U01-R01</x:v>
      </x:c>
      <x:c r="E220" s="10" t="str">
        <x:v>["SYN-F04-01:D2@v1"]</x:v>
      </x:c>
      <x:c r="F220" s="10" t="str">
        <x:v>["SYN-F04-01:D2@v1"]</x:v>
      </x:c>
      <x:c r="G220" s="10" t="n">
        <x:f>IF(E220=F220,1,0)</x:f>
        <x:v>1</x:v>
      </x:c>
    </x:row>
    <x:row r="221" ht="55" customHeight="1">
      <x:c r="A221" s="10" t="str">
        <x:v>T-REL</x:v>
      </x:c>
      <x:c r="B221" s="10" t="str">
        <x:v>TEXT</x:v>
      </x:c>
      <x:c r="C221" s="10" t="str">
        <x:v>TEXT:SYN-F04-01-U02</x:v>
      </x:c>
      <x:c r="D221" s="10" t="str">
        <x:v>TEXT:SYN-F04-01-U02-R01</x:v>
      </x:c>
      <x:c r="E221" s="10" t="str">
        <x:v>["SYN-F04-01:D2@v2"]</x:v>
      </x:c>
      <x:c r="F221" s="10" t="str">
        <x:v>["SYN-F04-01:D2@v2"]</x:v>
      </x:c>
      <x:c r="G221" s="10" t="n">
        <x:f>IF(E221=F221,1,0)</x:f>
        <x:v>1</x:v>
      </x:c>
    </x:row>
    <x:row r="222" ht="55" customHeight="1">
      <x:c r="A222" s="10" t="str">
        <x:v>T-BASE</x:v>
      </x:c>
      <x:c r="B222" s="10" t="str">
        <x:v>TEXT</x:v>
      </x:c>
      <x:c r="C222" s="10" t="str">
        <x:v>TEXT:SYN-F04-02-U01</x:v>
      </x:c>
      <x:c r="D222" s="10" t="str">
        <x:v>TEXT:SYN-F04-02-U01-R01</x:v>
      </x:c>
      <x:c r="E222" s="10" t="str">
        <x:v>["SYN-F04-02:D1@v1"]</x:v>
      </x:c>
      <x:c r="F222" s="10" t="str">
        <x:v>["SYN-F04-02:D1@v1"]</x:v>
      </x:c>
      <x:c r="G222" s="10" t="n">
        <x:f>IF(E222=F222,1,0)</x:f>
        <x:v>1</x:v>
      </x:c>
    </x:row>
    <x:row r="223" ht="55" customHeight="1">
      <x:c r="A223" s="10" t="str">
        <x:v>T-BASE</x:v>
      </x:c>
      <x:c r="B223" s="10" t="str">
        <x:v>TEXT</x:v>
      </x:c>
      <x:c r="C223" s="10" t="str">
        <x:v>TEXT:SYN-F04-02-U02</x:v>
      </x:c>
      <x:c r="D223" s="10" t="str">
        <x:v>TEXT:SYN-F04-02-U02-R01</x:v>
      </x:c>
      <x:c r="E223" s="10" t="str">
        <x:v>["SYN-F04-02:D1@v2"]</x:v>
      </x:c>
      <x:c r="F223" s="10" t="str">
        <x:v>["SYN-F04-02:D1@v2"]</x:v>
      </x:c>
      <x:c r="G223" s="10" t="n">
        <x:f>IF(E223=F223,1,0)</x:f>
        <x:v>1</x:v>
      </x:c>
    </x:row>
    <x:row r="224" ht="55" customHeight="1">
      <x:c r="A224" s="10" t="str">
        <x:v>T-EXEC</x:v>
      </x:c>
      <x:c r="B224" s="10" t="str">
        <x:v>TEXT</x:v>
      </x:c>
      <x:c r="C224" s="10" t="str">
        <x:v>TEXT:SYN-F04-02-U01</x:v>
      </x:c>
      <x:c r="D224" s="10" t="str">
        <x:v>TEXT:SYN-F04-02-U01-R01</x:v>
      </x:c>
      <x:c r="E224" s="10" t="str">
        <x:v>["SYN-F04-02:D1@v1"]</x:v>
      </x:c>
      <x:c r="F224" s="10" t="str">
        <x:v>["SYN-F04-02:D1@v1"]</x:v>
      </x:c>
      <x:c r="G224" s="10" t="n">
        <x:f>IF(E224=F224,1,0)</x:f>
        <x:v>1</x:v>
      </x:c>
    </x:row>
    <x:row r="225" ht="55" customHeight="1">
      <x:c r="A225" s="10" t="str">
        <x:v>T-EXEC</x:v>
      </x:c>
      <x:c r="B225" s="10" t="str">
        <x:v>TEXT</x:v>
      </x:c>
      <x:c r="C225" s="10" t="str">
        <x:v>TEXT:SYN-F04-02-U02</x:v>
      </x:c>
      <x:c r="D225" s="10" t="str">
        <x:v>TEXT:SYN-F04-02-U02-R01</x:v>
      </x:c>
      <x:c r="E225" s="10" t="str">
        <x:v>["SYN-F04-02:D1@v2"]</x:v>
      </x:c>
      <x:c r="F225" s="10" t="str">
        <x:v>["SYN-F04-02:D1@v2"]</x:v>
      </x:c>
      <x:c r="G225" s="10" t="n">
        <x:f>IF(E225=F225,1,0)</x:f>
        <x:v>1</x:v>
      </x:c>
    </x:row>
    <x:row r="226" ht="55" customHeight="1">
      <x:c r="A226" s="10" t="str">
        <x:v>T-REL</x:v>
      </x:c>
      <x:c r="B226" s="10" t="str">
        <x:v>TEXT</x:v>
      </x:c>
      <x:c r="C226" s="10" t="str">
        <x:v>TEXT:SYN-F04-02-U01</x:v>
      </x:c>
      <x:c r="D226" s="10" t="str">
        <x:v>TEXT:SYN-F04-02-U01-R01</x:v>
      </x:c>
      <x:c r="E226" s="10" t="str">
        <x:v>["SYN-F04-02:D1@v1"]</x:v>
      </x:c>
      <x:c r="F226" s="10" t="str">
        <x:v>["SYN-F04-02:D1@v1"]</x:v>
      </x:c>
      <x:c r="G226" s="10" t="n">
        <x:f>IF(E226=F226,1,0)</x:f>
        <x:v>1</x:v>
      </x:c>
    </x:row>
    <x:row r="227" ht="55" customHeight="1">
      <x:c r="A227" s="10" t="str">
        <x:v>T-REL</x:v>
      </x:c>
      <x:c r="B227" s="10" t="str">
        <x:v>TEXT</x:v>
      </x:c>
      <x:c r="C227" s="10" t="str">
        <x:v>TEXT:SYN-F04-02-U02</x:v>
      </x:c>
      <x:c r="D227" s="10" t="str">
        <x:v>TEXT:SYN-F04-02-U02-R01</x:v>
      </x:c>
      <x:c r="E227" s="10" t="str">
        <x:v>["SYN-F04-02:D1@v2"]</x:v>
      </x:c>
      <x:c r="F227" s="10" t="str">
        <x:v>["SYN-F04-02:D1@v2"]</x:v>
      </x:c>
      <x:c r="G227" s="10" t="n">
        <x:f>IF(E227=F227,1,0)</x:f>
        <x:v>1</x:v>
      </x:c>
    </x:row>
    <x:row r="228" ht="55" customHeight="1">
      <x:c r="A228" s="10" t="str">
        <x:v>T-BASE</x:v>
      </x:c>
      <x:c r="B228" s="10" t="str">
        <x:v>TEXT</x:v>
      </x:c>
      <x:c r="C228" s="10" t="str">
        <x:v>TEXT:SYN-F04-03-U01</x:v>
      </x:c>
      <x:c r="D228" s="10" t="str">
        <x:v>TEXT:SYN-F04-03-U01-R01</x:v>
      </x:c>
      <x:c r="E228" s="10" t="str">
        <x:v>["SYN-F04-03:D3@v1"]</x:v>
      </x:c>
      <x:c r="F228" s="10" t="str">
        <x:v>["SYN-F04-03:D3@v1"]</x:v>
      </x:c>
      <x:c r="G228" s="10" t="n">
        <x:f>IF(E228=F228,1,0)</x:f>
        <x:v>1</x:v>
      </x:c>
    </x:row>
    <x:row r="229" ht="55" customHeight="1">
      <x:c r="A229" s="10" t="str">
        <x:v>T-BASE</x:v>
      </x:c>
      <x:c r="B229" s="10" t="str">
        <x:v>TEXT</x:v>
      </x:c>
      <x:c r="C229" s="10" t="str">
        <x:v>TEXT:SYN-F04-03-U02</x:v>
      </x:c>
      <x:c r="D229" s="10" t="str">
        <x:v>TEXT:SYN-F04-03-U02-R01</x:v>
      </x:c>
      <x:c r="E229" s="10" t="str">
        <x:v>["SYN-F04-03:D3@v2"]</x:v>
      </x:c>
      <x:c r="F229" s="10" t="str">
        <x:v>["SYN-F04-03:D3@v2"]</x:v>
      </x:c>
      <x:c r="G229" s="10" t="n">
        <x:f>IF(E229=F229,1,0)</x:f>
        <x:v>1</x:v>
      </x:c>
    </x:row>
    <x:row r="230" ht="55" customHeight="1">
      <x:c r="A230" s="10" t="str">
        <x:v>T-EXEC</x:v>
      </x:c>
      <x:c r="B230" s="10" t="str">
        <x:v>TEXT</x:v>
      </x:c>
      <x:c r="C230" s="10" t="str">
        <x:v>TEXT:SYN-F04-03-U01</x:v>
      </x:c>
      <x:c r="D230" s="10" t="str">
        <x:v>TEXT:SYN-F04-03-U01-R01</x:v>
      </x:c>
      <x:c r="E230" s="10" t="str">
        <x:v>["SYN-F04-03:D3@v1"]</x:v>
      </x:c>
      <x:c r="F230" s="10" t="str">
        <x:v>["SYN-F04-03:D3@v1"]</x:v>
      </x:c>
      <x:c r="G230" s="10" t="n">
        <x:f>IF(E230=F230,1,0)</x:f>
        <x:v>1</x:v>
      </x:c>
    </x:row>
    <x:row r="231" ht="55" customHeight="1">
      <x:c r="A231" s="10" t="str">
        <x:v>T-EXEC</x:v>
      </x:c>
      <x:c r="B231" s="10" t="str">
        <x:v>TEXT</x:v>
      </x:c>
      <x:c r="C231" s="10" t="str">
        <x:v>TEXT:SYN-F04-03-U02</x:v>
      </x:c>
      <x:c r="D231" s="10" t="str">
        <x:v>TEXT:SYN-F04-03-U02-R01</x:v>
      </x:c>
      <x:c r="E231" s="10" t="str">
        <x:v>["SYN-F04-03:D3@v2"]</x:v>
      </x:c>
      <x:c r="F231" s="10" t="str">
        <x:v>["SYN-F04-03:D3@v2"]</x:v>
      </x:c>
      <x:c r="G231" s="10" t="n">
        <x:f>IF(E231=F231,1,0)</x:f>
        <x:v>1</x:v>
      </x:c>
    </x:row>
    <x:row r="232" ht="55" customHeight="1">
      <x:c r="A232" s="10" t="str">
        <x:v>T-REL</x:v>
      </x:c>
      <x:c r="B232" s="10" t="str">
        <x:v>TEXT</x:v>
      </x:c>
      <x:c r="C232" s="10" t="str">
        <x:v>TEXT:SYN-F04-03-U01</x:v>
      </x:c>
      <x:c r="D232" s="10" t="str">
        <x:v>TEXT:SYN-F04-03-U01-R01</x:v>
      </x:c>
      <x:c r="E232" s="10" t="str">
        <x:v>["SYN-F04-03:D3@v1"]</x:v>
      </x:c>
      <x:c r="F232" s="10" t="str">
        <x:v>["SYN-F04-03:D3@v1"]</x:v>
      </x:c>
      <x:c r="G232" s="10" t="n">
        <x:f>IF(E232=F232,1,0)</x:f>
        <x:v>1</x:v>
      </x:c>
    </x:row>
    <x:row r="233" ht="55" customHeight="1">
      <x:c r="A233" s="10" t="str">
        <x:v>T-REL</x:v>
      </x:c>
      <x:c r="B233" s="10" t="str">
        <x:v>TEXT</x:v>
      </x:c>
      <x:c r="C233" s="10" t="str">
        <x:v>TEXT:SYN-F04-03-U02</x:v>
      </x:c>
      <x:c r="D233" s="10" t="str">
        <x:v>TEXT:SYN-F04-03-U02-R01</x:v>
      </x:c>
      <x:c r="E233" s="10" t="str">
        <x:v>["SYN-F04-03:D3@v2"]</x:v>
      </x:c>
      <x:c r="F233" s="10" t="str">
        <x:v>["SYN-F04-03:D3@v2"]</x:v>
      </x:c>
      <x:c r="G233" s="10" t="n">
        <x:f>IF(E233=F233,1,0)</x:f>
        <x:v>1</x:v>
      </x:c>
    </x:row>
    <x:row r="234" ht="55" customHeight="1">
      <x:c r="A234" s="10" t="str">
        <x:v>T-BASE</x:v>
      </x:c>
      <x:c r="B234" s="10" t="str">
        <x:v>TEXT</x:v>
      </x:c>
      <x:c r="C234" s="10" t="str">
        <x:v>TEXT:SYN-F04-04-U01</x:v>
      </x:c>
      <x:c r="D234" s="10" t="str">
        <x:v>TEXT:SYN-F04-04-U01-R01</x:v>
      </x:c>
      <x:c r="E234" s="10" t="str">
        <x:v>["SYN-F04-04:D2@v1"]</x:v>
      </x:c>
      <x:c r="F234" s="10" t="str">
        <x:v>["SYN-F04-04:D2@v2"]</x:v>
      </x:c>
      <x:c r="G234" s="10" t="n">
        <x:f>IF(E234=F234,1,0)</x:f>
        <x:v>0</x:v>
      </x:c>
    </x:row>
    <x:row r="235" ht="55" customHeight="1">
      <x:c r="A235" s="10" t="str">
        <x:v>T-BASE</x:v>
      </x:c>
      <x:c r="B235" s="10" t="str">
        <x:v>TEXT</x:v>
      </x:c>
      <x:c r="C235" s="10" t="str">
        <x:v>TEXT:SYN-F04-04-U02</x:v>
      </x:c>
      <x:c r="D235" s="10" t="str">
        <x:v>TEXT:SYN-F04-04-U02-R01</x:v>
      </x:c>
      <x:c r="E235" s="10" t="str">
        <x:v>["SYN-F04-04:D2@v2"]</x:v>
      </x:c>
      <x:c r="F235" s="10" t="str">
        <x:v>["SYN-F04-04:D2@v2"]</x:v>
      </x:c>
      <x:c r="G235" s="10" t="n">
        <x:f>IF(E235=F235,1,0)</x:f>
        <x:v>1</x:v>
      </x:c>
    </x:row>
    <x:row r="236" ht="55" customHeight="1">
      <x:c r="A236" s="10" t="str">
        <x:v>T-EXEC</x:v>
      </x:c>
      <x:c r="B236" s="10" t="str">
        <x:v>TEXT</x:v>
      </x:c>
      <x:c r="C236" s="10" t="str">
        <x:v>TEXT:SYN-F04-04-U01</x:v>
      </x:c>
      <x:c r="D236" s="10" t="str">
        <x:v>TEXT:SYN-F04-04-U01-R01</x:v>
      </x:c>
      <x:c r="E236" s="10" t="str">
        <x:v>["SYN-F04-04:D2@v1"]</x:v>
      </x:c>
      <x:c r="F236" s="10" t="str">
        <x:v>["SYN-F04-04:D2@v2"]</x:v>
      </x:c>
      <x:c r="G236" s="10" t="n">
        <x:f>IF(E236=F236,1,0)</x:f>
        <x:v>0</x:v>
      </x:c>
    </x:row>
    <x:row r="237" ht="55" customHeight="1">
      <x:c r="A237" s="10" t="str">
        <x:v>T-EXEC</x:v>
      </x:c>
      <x:c r="B237" s="10" t="str">
        <x:v>TEXT</x:v>
      </x:c>
      <x:c r="C237" s="10" t="str">
        <x:v>TEXT:SYN-F04-04-U02</x:v>
      </x:c>
      <x:c r="D237" s="10" t="str">
        <x:v>TEXT:SYN-F04-04-U02-R01</x:v>
      </x:c>
      <x:c r="E237" s="10" t="str">
        <x:v>["SYN-F04-04:D2@v2"]</x:v>
      </x:c>
      <x:c r="F237" s="10" t="str">
        <x:v>["SYN-F04-04:D2@v2"]</x:v>
      </x:c>
      <x:c r="G237" s="10" t="n">
        <x:f>IF(E237=F237,1,0)</x:f>
        <x:v>1</x:v>
      </x:c>
    </x:row>
    <x:row r="238" ht="55" customHeight="1">
      <x:c r="A238" s="10" t="str">
        <x:v>T-REL</x:v>
      </x:c>
      <x:c r="B238" s="10" t="str">
        <x:v>TEXT</x:v>
      </x:c>
      <x:c r="C238" s="10" t="str">
        <x:v>TEXT:SYN-F04-04-U01</x:v>
      </x:c>
      <x:c r="D238" s="10" t="str">
        <x:v>TEXT:SYN-F04-04-U01-R01</x:v>
      </x:c>
      <x:c r="E238" s="10" t="str">
        <x:v>["SYN-F04-04:D2@v1"]</x:v>
      </x:c>
      <x:c r="F238" s="10" t="str">
        <x:v>["SYN-F04-04:D2@v1"]</x:v>
      </x:c>
      <x:c r="G238" s="10" t="n">
        <x:f>IF(E238=F238,1,0)</x:f>
        <x:v>1</x:v>
      </x:c>
    </x:row>
    <x:row r="239" ht="55" customHeight="1">
      <x:c r="A239" s="10" t="str">
        <x:v>T-REL</x:v>
      </x:c>
      <x:c r="B239" s="10" t="str">
        <x:v>TEXT</x:v>
      </x:c>
      <x:c r="C239" s="10" t="str">
        <x:v>TEXT:SYN-F04-04-U02</x:v>
      </x:c>
      <x:c r="D239" s="10" t="str">
        <x:v>TEXT:SYN-F04-04-U02-R01</x:v>
      </x:c>
      <x:c r="E239" s="10" t="str">
        <x:v>["SYN-F04-04:D2@v2"]</x:v>
      </x:c>
      <x:c r="F239" s="10" t="str">
        <x:v>["SYN-F04-04:D2@v2"]</x:v>
      </x:c>
      <x:c r="G239" s="10" t="n">
        <x:f>IF(E239=F239,1,0)</x:f>
        <x:v>1</x:v>
      </x:c>
    </x:row>
    <x:row r="240" ht="55" customHeight="1">
      <x:c r="A240" s="10" t="str">
        <x:v>T-BASE</x:v>
      </x:c>
      <x:c r="B240" s="10" t="str">
        <x:v>TEXT</x:v>
      </x:c>
      <x:c r="C240" s="10" t="str">
        <x:v>TEXT:SYN-F04-05-U01</x:v>
      </x:c>
      <x:c r="D240" s="10" t="str">
        <x:v>TEXT:SYN-F04-05-U01-R01</x:v>
      </x:c>
      <x:c r="E240" s="10" t="str">
        <x:v>["SYN-F04-05:D1@v1"]</x:v>
      </x:c>
      <x:c r="F240" s="10" t="str">
        <x:v>["SYN-F04-05:D1@v1"]</x:v>
      </x:c>
      <x:c r="G240" s="10" t="n">
        <x:f>IF(E240=F240,1,0)</x:f>
        <x:v>1</x:v>
      </x:c>
    </x:row>
    <x:row r="241" ht="55" customHeight="1">
      <x:c r="A241" s="10" t="str">
        <x:v>T-BASE</x:v>
      </x:c>
      <x:c r="B241" s="10" t="str">
        <x:v>TEXT</x:v>
      </x:c>
      <x:c r="C241" s="10" t="str">
        <x:v>TEXT:SYN-F04-05-U02</x:v>
      </x:c>
      <x:c r="D241" s="10" t="str">
        <x:v>TEXT:SYN-F04-05-U02-R01</x:v>
      </x:c>
      <x:c r="E241" s="10" t="str">
        <x:v>["SYN-F04-05:D1@v2"]</x:v>
      </x:c>
      <x:c r="F241" s="10" t="str">
        <x:v>["SYN-F04-05:D1@v2"]</x:v>
      </x:c>
      <x:c r="G241" s="10" t="n">
        <x:f>IF(E241=F241,1,0)</x:f>
        <x:v>1</x:v>
      </x:c>
    </x:row>
    <x:row r="242" ht="55" customHeight="1">
      <x:c r="A242" s="10" t="str">
        <x:v>T-EXEC</x:v>
      </x:c>
      <x:c r="B242" s="10" t="str">
        <x:v>TEXT</x:v>
      </x:c>
      <x:c r="C242" s="10" t="str">
        <x:v>TEXT:SYN-F04-05-U01</x:v>
      </x:c>
      <x:c r="D242" s="10" t="str">
        <x:v>TEXT:SYN-F04-05-U01-R01</x:v>
      </x:c>
      <x:c r="E242" s="10" t="str">
        <x:v>["SYN-F04-05:D1@v1"]</x:v>
      </x:c>
      <x:c r="F242" s="10" t="str">
        <x:v>["SYN-F04-05:D1@v1"]</x:v>
      </x:c>
      <x:c r="G242" s="10" t="n">
        <x:f>IF(E242=F242,1,0)</x:f>
        <x:v>1</x:v>
      </x:c>
    </x:row>
    <x:row r="243" ht="55" customHeight="1">
      <x:c r="A243" s="10" t="str">
        <x:v>T-EXEC</x:v>
      </x:c>
      <x:c r="B243" s="10" t="str">
        <x:v>TEXT</x:v>
      </x:c>
      <x:c r="C243" s="10" t="str">
        <x:v>TEXT:SYN-F04-05-U02</x:v>
      </x:c>
      <x:c r="D243" s="10" t="str">
        <x:v>TEXT:SYN-F04-05-U02-R01</x:v>
      </x:c>
      <x:c r="E243" s="10" t="str">
        <x:v>["SYN-F04-05:D1@v2"]</x:v>
      </x:c>
      <x:c r="F243" s="10" t="str">
        <x:v>["SYN-F04-05:D1@v2"]</x:v>
      </x:c>
      <x:c r="G243" s="10" t="n">
        <x:f>IF(E243=F243,1,0)</x:f>
        <x:v>1</x:v>
      </x:c>
    </x:row>
    <x:row r="244" ht="55" customHeight="1">
      <x:c r="A244" s="10" t="str">
        <x:v>T-REL</x:v>
      </x:c>
      <x:c r="B244" s="10" t="str">
        <x:v>TEXT</x:v>
      </x:c>
      <x:c r="C244" s="10" t="str">
        <x:v>TEXT:SYN-F04-05-U01</x:v>
      </x:c>
      <x:c r="D244" s="10" t="str">
        <x:v>TEXT:SYN-F04-05-U01-R01</x:v>
      </x:c>
      <x:c r="E244" s="10" t="str">
        <x:v>["SYN-F04-05:D1@v1"]</x:v>
      </x:c>
      <x:c r="F244" s="10" t="str">
        <x:v>["SYN-F04-05:D1@v1"]</x:v>
      </x:c>
      <x:c r="G244" s="10" t="n">
        <x:f>IF(E244=F244,1,0)</x:f>
        <x:v>1</x:v>
      </x:c>
    </x:row>
    <x:row r="245" ht="55" customHeight="1">
      <x:c r="A245" s="10" t="str">
        <x:v>T-REL</x:v>
      </x:c>
      <x:c r="B245" s="10" t="str">
        <x:v>TEXT</x:v>
      </x:c>
      <x:c r="C245" s="10" t="str">
        <x:v>TEXT:SYN-F04-05-U02</x:v>
      </x:c>
      <x:c r="D245" s="10" t="str">
        <x:v>TEXT:SYN-F04-05-U02-R01</x:v>
      </x:c>
      <x:c r="E245" s="10" t="str">
        <x:v>["SYN-F04-05:D1@v2"]</x:v>
      </x:c>
      <x:c r="F245" s="10" t="str">
        <x:v>["SYN-F04-05:D1@v2"]</x:v>
      </x:c>
      <x:c r="G245" s="10" t="n">
        <x:f>IF(E245=F245,1,0)</x:f>
        <x:v>1</x:v>
      </x:c>
    </x:row>
    <x:row r="246" ht="55" customHeight="1">
      <x:c r="A246" s="10" t="str">
        <x:v>T-BASE</x:v>
      </x:c>
      <x:c r="B246" s="10" t="str">
        <x:v>TEXT</x:v>
      </x:c>
      <x:c r="C246" s="10" t="str">
        <x:v>TEXT:SYN-F04-06-U01</x:v>
      </x:c>
      <x:c r="D246" s="10" t="str">
        <x:v>TEXT:SYN-F04-06-U01-R01</x:v>
      </x:c>
      <x:c r="E246" s="10" t="str">
        <x:v>["SYN-F04-06:D3@v1"]</x:v>
      </x:c>
      <x:c r="F246" s="10" t="str">
        <x:v>["SYN-F04-06:D3@v1"]</x:v>
      </x:c>
      <x:c r="G246" s="10" t="n">
        <x:f>IF(E246=F246,1,0)</x:f>
        <x:v>1</x:v>
      </x:c>
    </x:row>
    <x:row r="247" ht="55" customHeight="1">
      <x:c r="A247" s="10" t="str">
        <x:v>T-BASE</x:v>
      </x:c>
      <x:c r="B247" s="10" t="str">
        <x:v>TEXT</x:v>
      </x:c>
      <x:c r="C247" s="10" t="str">
        <x:v>TEXT:SYN-F04-06-U02</x:v>
      </x:c>
      <x:c r="D247" s="10" t="str">
        <x:v>TEXT:SYN-F04-06-U02-R01</x:v>
      </x:c>
      <x:c r="E247" s="10" t="str">
        <x:v>["SYN-F04-06:D3@v2"]</x:v>
      </x:c>
      <x:c r="F247" s="10" t="str">
        <x:v>["SYN-F04-06:D3@v2"]</x:v>
      </x:c>
      <x:c r="G247" s="10" t="n">
        <x:f>IF(E247=F247,1,0)</x:f>
        <x:v>1</x:v>
      </x:c>
    </x:row>
    <x:row r="248" ht="55" customHeight="1">
      <x:c r="A248" s="10" t="str">
        <x:v>T-EXEC</x:v>
      </x:c>
      <x:c r="B248" s="10" t="str">
        <x:v>TEXT</x:v>
      </x:c>
      <x:c r="C248" s="10" t="str">
        <x:v>TEXT:SYN-F04-06-U01</x:v>
      </x:c>
      <x:c r="D248" s="10" t="str">
        <x:v>TEXT:SYN-F04-06-U01-R01</x:v>
      </x:c>
      <x:c r="E248" s="10" t="str">
        <x:v>["SYN-F04-06:D3@v1"]</x:v>
      </x:c>
      <x:c r="F248" s="10" t="str">
        <x:v>["SYN-F04-06:D3@v1"]</x:v>
      </x:c>
      <x:c r="G248" s="10" t="n">
        <x:f>IF(E248=F248,1,0)</x:f>
        <x:v>1</x:v>
      </x:c>
    </x:row>
    <x:row r="249" ht="55" customHeight="1">
      <x:c r="A249" s="10" t="str">
        <x:v>T-EXEC</x:v>
      </x:c>
      <x:c r="B249" s="10" t="str">
        <x:v>TEXT</x:v>
      </x:c>
      <x:c r="C249" s="10" t="str">
        <x:v>TEXT:SYN-F04-06-U02</x:v>
      </x:c>
      <x:c r="D249" s="10" t="str">
        <x:v>TEXT:SYN-F04-06-U02-R01</x:v>
      </x:c>
      <x:c r="E249" s="10" t="str">
        <x:v>["SYN-F04-06:D3@v2"]</x:v>
      </x:c>
      <x:c r="F249" s="10" t="str">
        <x:v>["SYN-F04-06:D3@v2"]</x:v>
      </x:c>
      <x:c r="G249" s="10" t="n">
        <x:f>IF(E249=F249,1,0)</x:f>
        <x:v>1</x:v>
      </x:c>
    </x:row>
    <x:row r="250" ht="55" customHeight="1">
      <x:c r="A250" s="10" t="str">
        <x:v>T-REL</x:v>
      </x:c>
      <x:c r="B250" s="10" t="str">
        <x:v>TEXT</x:v>
      </x:c>
      <x:c r="C250" s="10" t="str">
        <x:v>TEXT:SYN-F04-06-U01</x:v>
      </x:c>
      <x:c r="D250" s="10" t="str">
        <x:v>TEXT:SYN-F04-06-U01-R01</x:v>
      </x:c>
      <x:c r="E250" s="10" t="str">
        <x:v>["SYN-F04-06:D3@v1"]</x:v>
      </x:c>
      <x:c r="F250" s="10" t="str">
        <x:v>["SYN-F04-06:D3@v1"]</x:v>
      </x:c>
      <x:c r="G250" s="10" t="n">
        <x:f>IF(E250=F250,1,0)</x:f>
        <x:v>1</x:v>
      </x:c>
    </x:row>
    <x:row r="251" ht="55" customHeight="1">
      <x:c r="A251" s="10" t="str">
        <x:v>T-REL</x:v>
      </x:c>
      <x:c r="B251" s="10" t="str">
        <x:v>TEXT</x:v>
      </x:c>
      <x:c r="C251" s="10" t="str">
        <x:v>TEXT:SYN-F04-06-U02</x:v>
      </x:c>
      <x:c r="D251" s="10" t="str">
        <x:v>TEXT:SYN-F04-06-U02-R01</x:v>
      </x:c>
      <x:c r="E251" s="10" t="str">
        <x:v>["SYN-F04-06:D3@v2"]</x:v>
      </x:c>
      <x:c r="F251" s="10" t="str">
        <x:v>["SYN-F04-06:D3@v2"]</x:v>
      </x:c>
      <x:c r="G251" s="10" t="n">
        <x:f>IF(E251=F251,1,0)</x:f>
        <x:v>1</x:v>
      </x:c>
    </x:row>
    <x:row r="252" ht="55" customHeight="1">
      <x:c r="A252" s="10" t="str">
        <x:v>T-BASE</x:v>
      </x:c>
      <x:c r="B252" s="10" t="str">
        <x:v>TEXT</x:v>
      </x:c>
      <x:c r="C252" s="10" t="str">
        <x:v>TEXT:SYN-F04-07-U01</x:v>
      </x:c>
      <x:c r="D252" s="10" t="str">
        <x:v>TEXT:SYN-F04-07-U01-R01</x:v>
      </x:c>
      <x:c r="E252" s="10" t="str">
        <x:v>["SYN-F04-07:D2@v1"]</x:v>
      </x:c>
      <x:c r="F252" s="10" t="str">
        <x:v>["SYN-F04-07:D2@v1"]</x:v>
      </x:c>
      <x:c r="G252" s="10" t="n">
        <x:f>IF(E252=F252,1,0)</x:f>
        <x:v>1</x:v>
      </x:c>
    </x:row>
    <x:row r="253" ht="55" customHeight="1">
      <x:c r="A253" s="10" t="str">
        <x:v>T-BASE</x:v>
      </x:c>
      <x:c r="B253" s="10" t="str">
        <x:v>TEXT</x:v>
      </x:c>
      <x:c r="C253" s="10" t="str">
        <x:v>TEXT:SYN-F04-07-U02</x:v>
      </x:c>
      <x:c r="D253" s="10" t="str">
        <x:v>TEXT:SYN-F04-07-U02-R01</x:v>
      </x:c>
      <x:c r="E253" s="10" t="str">
        <x:v>["SYN-F04-07:D2@v2"]</x:v>
      </x:c>
      <x:c r="F253" s="10" t="str">
        <x:v>["SYN-F04-07:D2@v2"]</x:v>
      </x:c>
      <x:c r="G253" s="10" t="n">
        <x:f>IF(E253=F253,1,0)</x:f>
        <x:v>1</x:v>
      </x:c>
    </x:row>
    <x:row r="254" ht="55" customHeight="1">
      <x:c r="A254" s="10" t="str">
        <x:v>T-EXEC</x:v>
      </x:c>
      <x:c r="B254" s="10" t="str">
        <x:v>TEXT</x:v>
      </x:c>
      <x:c r="C254" s="10" t="str">
        <x:v>TEXT:SYN-F04-07-U01</x:v>
      </x:c>
      <x:c r="D254" s="10" t="str">
        <x:v>TEXT:SYN-F04-07-U01-R01</x:v>
      </x:c>
      <x:c r="E254" s="10" t="str">
        <x:v>["SYN-F04-07:D2@v1"]</x:v>
      </x:c>
      <x:c r="F254" s="10" t="str">
        <x:v>["SYN-F04-07:D2@v1"]</x:v>
      </x:c>
      <x:c r="G254" s="10" t="n">
        <x:f>IF(E254=F254,1,0)</x:f>
        <x:v>1</x:v>
      </x:c>
    </x:row>
    <x:row r="255" ht="55" customHeight="1">
      <x:c r="A255" s="10" t="str">
        <x:v>T-EXEC</x:v>
      </x:c>
      <x:c r="B255" s="10" t="str">
        <x:v>TEXT</x:v>
      </x:c>
      <x:c r="C255" s="10" t="str">
        <x:v>TEXT:SYN-F04-07-U02</x:v>
      </x:c>
      <x:c r="D255" s="10" t="str">
        <x:v>TEXT:SYN-F04-07-U02-R01</x:v>
      </x:c>
      <x:c r="E255" s="10" t="str">
        <x:v>["SYN-F04-07:D2@v2"]</x:v>
      </x:c>
      <x:c r="F255" s="10" t="str">
        <x:v>["SYN-F04-07:D2@v2"]</x:v>
      </x:c>
      <x:c r="G255" s="10" t="n">
        <x:f>IF(E255=F255,1,0)</x:f>
        <x:v>1</x:v>
      </x:c>
    </x:row>
    <x:row r="256" ht="55" customHeight="1">
      <x:c r="A256" s="10" t="str">
        <x:v>T-REL</x:v>
      </x:c>
      <x:c r="B256" s="10" t="str">
        <x:v>TEXT</x:v>
      </x:c>
      <x:c r="C256" s="10" t="str">
        <x:v>TEXT:SYN-F04-07-U01</x:v>
      </x:c>
      <x:c r="D256" s="10" t="str">
        <x:v>TEXT:SYN-F04-07-U01-R01</x:v>
      </x:c>
      <x:c r="E256" s="10" t="str">
        <x:v>["SYN-F04-07:D2@v1"]</x:v>
      </x:c>
      <x:c r="F256" s="10" t="str">
        <x:v>["SYN-F04-07:D2@v1"]</x:v>
      </x:c>
      <x:c r="G256" s="10" t="n">
        <x:f>IF(E256=F256,1,0)</x:f>
        <x:v>1</x:v>
      </x:c>
    </x:row>
    <x:row r="257" ht="55" customHeight="1">
      <x:c r="A257" s="10" t="str">
        <x:v>T-REL</x:v>
      </x:c>
      <x:c r="B257" s="10" t="str">
        <x:v>TEXT</x:v>
      </x:c>
      <x:c r="C257" s="10" t="str">
        <x:v>TEXT:SYN-F04-07-U02</x:v>
      </x:c>
      <x:c r="D257" s="10" t="str">
        <x:v>TEXT:SYN-F04-07-U02-R01</x:v>
      </x:c>
      <x:c r="E257" s="10" t="str">
        <x:v>["SYN-F04-07:D2@v2"]</x:v>
      </x:c>
      <x:c r="F257" s="10" t="str">
        <x:v>["SYN-F04-07:D2@v2"]</x:v>
      </x:c>
      <x:c r="G257" s="10" t="n">
        <x:f>IF(E257=F257,1,0)</x:f>
        <x:v>1</x:v>
      </x:c>
    </x:row>
    <x:row r="258" ht="55" customHeight="1">
      <x:c r="A258" s="10" t="str">
        <x:v>T-BASE</x:v>
      </x:c>
      <x:c r="B258" s="10" t="str">
        <x:v>TEXT</x:v>
      </x:c>
      <x:c r="C258" s="10" t="str">
        <x:v>TEXT:SYN-F04-08-U01</x:v>
      </x:c>
      <x:c r="D258" s="10" t="str">
        <x:v>TEXT:SYN-F04-08-U01-R01</x:v>
      </x:c>
      <x:c r="E258" s="10" t="str">
        <x:v>["SYN-F04-08:D1@v1"]</x:v>
      </x:c>
      <x:c r="F258" s="10" t="str">
        <x:v>["SYN-F04-08:D1@v1"]</x:v>
      </x:c>
      <x:c r="G258" s="10" t="n">
        <x:f>IF(E258=F258,1,0)</x:f>
        <x:v>1</x:v>
      </x:c>
    </x:row>
    <x:row r="259" ht="55" customHeight="1">
      <x:c r="A259" s="10" t="str">
        <x:v>T-BASE</x:v>
      </x:c>
      <x:c r="B259" s="10" t="str">
        <x:v>TEXT</x:v>
      </x:c>
      <x:c r="C259" s="10" t="str">
        <x:v>TEXT:SYN-F04-08-U02</x:v>
      </x:c>
      <x:c r="D259" s="10" t="str">
        <x:v>TEXT:SYN-F04-08-U02-R01</x:v>
      </x:c>
      <x:c r="E259" s="10" t="str">
        <x:v>["SYN-F04-08:D1@v2"]</x:v>
      </x:c>
      <x:c r="F259" s="10" t="str">
        <x:v>["SYN-F04-08:D1@v2"]</x:v>
      </x:c>
      <x:c r="G259" s="10" t="n">
        <x:f>IF(E259=F259,1,0)</x:f>
        <x:v>1</x:v>
      </x:c>
    </x:row>
    <x:row r="260" ht="55" customHeight="1">
      <x:c r="A260" s="10" t="str">
        <x:v>T-EXEC</x:v>
      </x:c>
      <x:c r="B260" s="10" t="str">
        <x:v>TEXT</x:v>
      </x:c>
      <x:c r="C260" s="10" t="str">
        <x:v>TEXT:SYN-F04-08-U01</x:v>
      </x:c>
      <x:c r="D260" s="10" t="str">
        <x:v>TEXT:SYN-F04-08-U01-R01</x:v>
      </x:c>
      <x:c r="E260" s="10" t="str">
        <x:v>["SYN-F04-08:D1@v1"]</x:v>
      </x:c>
      <x:c r="F260" s="10" t="str">
        <x:v>["SYN-F04-08:D1@v1"]</x:v>
      </x:c>
      <x:c r="G260" s="10" t="n">
        <x:f>IF(E260=F260,1,0)</x:f>
        <x:v>1</x:v>
      </x:c>
    </x:row>
    <x:row r="261" ht="55" customHeight="1">
      <x:c r="A261" s="10" t="str">
        <x:v>T-EXEC</x:v>
      </x:c>
      <x:c r="B261" s="10" t="str">
        <x:v>TEXT</x:v>
      </x:c>
      <x:c r="C261" s="10" t="str">
        <x:v>TEXT:SYN-F04-08-U02</x:v>
      </x:c>
      <x:c r="D261" s="10" t="str">
        <x:v>TEXT:SYN-F04-08-U02-R01</x:v>
      </x:c>
      <x:c r="E261" s="10" t="str">
        <x:v>["SYN-F04-08:D1@v2"]</x:v>
      </x:c>
      <x:c r="F261" s="10" t="str">
        <x:v>["SYN-F04-08:D1@v2"]</x:v>
      </x:c>
      <x:c r="G261" s="10" t="n">
        <x:f>IF(E261=F261,1,0)</x:f>
        <x:v>1</x:v>
      </x:c>
    </x:row>
    <x:row r="262" ht="55" customHeight="1">
      <x:c r="A262" s="10" t="str">
        <x:v>T-REL</x:v>
      </x:c>
      <x:c r="B262" s="10" t="str">
        <x:v>TEXT</x:v>
      </x:c>
      <x:c r="C262" s="10" t="str">
        <x:v>TEXT:SYN-F04-08-U01</x:v>
      </x:c>
      <x:c r="D262" s="10" t="str">
        <x:v>TEXT:SYN-F04-08-U01-R01</x:v>
      </x:c>
      <x:c r="E262" s="10" t="str">
        <x:v>["SYN-F04-08:D1@v1"]</x:v>
      </x:c>
      <x:c r="F262" s="10" t="str">
        <x:v>["SYN-F04-08:D1@v1"]</x:v>
      </x:c>
      <x:c r="G262" s="10" t="n">
        <x:f>IF(E262=F262,1,0)</x:f>
        <x:v>1</x:v>
      </x:c>
    </x:row>
    <x:row r="263" ht="55" customHeight="1">
      <x:c r="A263" s="10" t="str">
        <x:v>T-REL</x:v>
      </x:c>
      <x:c r="B263" s="10" t="str">
        <x:v>TEXT</x:v>
      </x:c>
      <x:c r="C263" s="10" t="str">
        <x:v>TEXT:SYN-F04-08-U02</x:v>
      </x:c>
      <x:c r="D263" s="10" t="str">
        <x:v>TEXT:SYN-F04-08-U02-R01</x:v>
      </x:c>
      <x:c r="E263" s="10" t="str">
        <x:v>["SYN-F04-08:D1@v2"]</x:v>
      </x:c>
      <x:c r="F263" s="10" t="str">
        <x:v>["SYN-F04-08:D1@v2"]</x:v>
      </x:c>
      <x:c r="G263" s="10" t="n">
        <x:f>IF(E263=F263,1,0)</x:f>
        <x:v>1</x:v>
      </x:c>
    </x:row>
    <x:row r="264" ht="55" customHeight="1">
      <x:c r="A264" s="10" t="str">
        <x:v>T-BASE</x:v>
      </x:c>
      <x:c r="B264" s="10" t="str">
        <x:v>TEXT</x:v>
      </x:c>
      <x:c r="C264" s="10" t="str">
        <x:v>TEXT:SYN-F04-09-U01</x:v>
      </x:c>
      <x:c r="D264" s="10" t="str">
        <x:v>TEXT:SYN-F04-09-U01-R01</x:v>
      </x:c>
      <x:c r="E264" s="10" t="str">
        <x:v>["SYN-F04-09:D3@v1"]</x:v>
      </x:c>
      <x:c r="F264" s="10" t="str">
        <x:v>["SYN-F04-09:D3@v1"]</x:v>
      </x:c>
      <x:c r="G264" s="10" t="n">
        <x:f>IF(E264=F264,1,0)</x:f>
        <x:v>1</x:v>
      </x:c>
    </x:row>
    <x:row r="265" ht="55" customHeight="1">
      <x:c r="A265" s="10" t="str">
        <x:v>T-BASE</x:v>
      </x:c>
      <x:c r="B265" s="10" t="str">
        <x:v>TEXT</x:v>
      </x:c>
      <x:c r="C265" s="10" t="str">
        <x:v>TEXT:SYN-F04-09-U02</x:v>
      </x:c>
      <x:c r="D265" s="10" t="str">
        <x:v>TEXT:SYN-F04-09-U02-R01</x:v>
      </x:c>
      <x:c r="E265" s="10" t="str">
        <x:v>["SYN-F04-09:D3@v2"]</x:v>
      </x:c>
      <x:c r="F265" s="10" t="str">
        <x:v>["SYN-F04-09:D3@v2"]</x:v>
      </x:c>
      <x:c r="G265" s="10" t="n">
        <x:f>IF(E265=F265,1,0)</x:f>
        <x:v>1</x:v>
      </x:c>
    </x:row>
    <x:row r="266" ht="55" customHeight="1">
      <x:c r="A266" s="10" t="str">
        <x:v>T-EXEC</x:v>
      </x:c>
      <x:c r="B266" s="10" t="str">
        <x:v>TEXT</x:v>
      </x:c>
      <x:c r="C266" s="10" t="str">
        <x:v>TEXT:SYN-F04-09-U01</x:v>
      </x:c>
      <x:c r="D266" s="10" t="str">
        <x:v>TEXT:SYN-F04-09-U01-R01</x:v>
      </x:c>
      <x:c r="E266" s="10" t="str">
        <x:v>["SYN-F04-09:D3@v1"]</x:v>
      </x:c>
      <x:c r="F266" s="10" t="str">
        <x:v>["SYN-F04-09:D3@v1"]</x:v>
      </x:c>
      <x:c r="G266" s="10" t="n">
        <x:f>IF(E266=F266,1,0)</x:f>
        <x:v>1</x:v>
      </x:c>
    </x:row>
    <x:row r="267" ht="55" customHeight="1">
      <x:c r="A267" s="10" t="str">
        <x:v>T-EXEC</x:v>
      </x:c>
      <x:c r="B267" s="10" t="str">
        <x:v>TEXT</x:v>
      </x:c>
      <x:c r="C267" s="10" t="str">
        <x:v>TEXT:SYN-F04-09-U02</x:v>
      </x:c>
      <x:c r="D267" s="10" t="str">
        <x:v>TEXT:SYN-F04-09-U02-R01</x:v>
      </x:c>
      <x:c r="E267" s="10" t="str">
        <x:v>["SYN-F04-09:D3@v2"]</x:v>
      </x:c>
      <x:c r="F267" s="10" t="str">
        <x:v>["SYN-F04-09:D3@v2"]</x:v>
      </x:c>
      <x:c r="G267" s="10" t="n">
        <x:f>IF(E267=F267,1,0)</x:f>
        <x:v>1</x:v>
      </x:c>
    </x:row>
    <x:row r="268" ht="55" customHeight="1">
      <x:c r="A268" s="10" t="str">
        <x:v>T-REL</x:v>
      </x:c>
      <x:c r="B268" s="10" t="str">
        <x:v>TEXT</x:v>
      </x:c>
      <x:c r="C268" s="10" t="str">
        <x:v>TEXT:SYN-F04-09-U01</x:v>
      </x:c>
      <x:c r="D268" s="10" t="str">
        <x:v>TEXT:SYN-F04-09-U01-R01</x:v>
      </x:c>
      <x:c r="E268" s="10" t="str">
        <x:v>["SYN-F04-09:D3@v1"]</x:v>
      </x:c>
      <x:c r="F268" s="10" t="str">
        <x:v>["SYN-F04-09:D3@v1"]</x:v>
      </x:c>
      <x:c r="G268" s="10" t="n">
        <x:f>IF(E268=F268,1,0)</x:f>
        <x:v>1</x:v>
      </x:c>
    </x:row>
    <x:row r="269" ht="55" customHeight="1">
      <x:c r="A269" s="10" t="str">
        <x:v>T-REL</x:v>
      </x:c>
      <x:c r="B269" s="10" t="str">
        <x:v>TEXT</x:v>
      </x:c>
      <x:c r="C269" s="10" t="str">
        <x:v>TEXT:SYN-F04-09-U02</x:v>
      </x:c>
      <x:c r="D269" s="10" t="str">
        <x:v>TEXT:SYN-F04-09-U02-R01</x:v>
      </x:c>
      <x:c r="E269" s="10" t="str">
        <x:v>["SYN-F04-09:D3@v2"]</x:v>
      </x:c>
      <x:c r="F269" s="10" t="str">
        <x:v>["SYN-F04-09:D3@v2"]</x:v>
      </x:c>
      <x:c r="G269" s="10" t="n">
        <x:f>IF(E269=F269,1,0)</x:f>
        <x:v>1</x:v>
      </x:c>
    </x:row>
    <x:row r="270" ht="55" customHeight="1">
      <x:c r="A270" s="10" t="str">
        <x:v>T-BASE</x:v>
      </x:c>
      <x:c r="B270" s="10" t="str">
        <x:v>TEXT</x:v>
      </x:c>
      <x:c r="C270" s="10" t="str">
        <x:v>TEXT:SYN-F04-10-U01</x:v>
      </x:c>
      <x:c r="D270" s="10" t="str">
        <x:v>TEXT:SYN-F04-10-U01-R01</x:v>
      </x:c>
      <x:c r="E270" s="10" t="str">
        <x:v>["SYN-F04-10:D2@v1"]</x:v>
      </x:c>
      <x:c r="F270" s="10" t="str">
        <x:v>["SYN-F04-10:D2@v2"]</x:v>
      </x:c>
      <x:c r="G270" s="10" t="n">
        <x:f>IF(E270=F270,1,0)</x:f>
        <x:v>0</x:v>
      </x:c>
    </x:row>
    <x:row r="271" ht="55" customHeight="1">
      <x:c r="A271" s="10" t="str">
        <x:v>T-BASE</x:v>
      </x:c>
      <x:c r="B271" s="10" t="str">
        <x:v>TEXT</x:v>
      </x:c>
      <x:c r="C271" s="10" t="str">
        <x:v>TEXT:SYN-F04-10-U02</x:v>
      </x:c>
      <x:c r="D271" s="10" t="str">
        <x:v>TEXT:SYN-F04-10-U02-R01</x:v>
      </x:c>
      <x:c r="E271" s="10" t="str">
        <x:v>["SYN-F04-10:D2@v2"]</x:v>
      </x:c>
      <x:c r="F271" s="10" t="str">
        <x:v>["SYN-F04-10:D2@v2"]</x:v>
      </x:c>
      <x:c r="G271" s="10" t="n">
        <x:f>IF(E271=F271,1,0)</x:f>
        <x:v>1</x:v>
      </x:c>
    </x:row>
    <x:row r="272" ht="55" customHeight="1">
      <x:c r="A272" s="10" t="str">
        <x:v>T-EXEC</x:v>
      </x:c>
      <x:c r="B272" s="10" t="str">
        <x:v>TEXT</x:v>
      </x:c>
      <x:c r="C272" s="10" t="str">
        <x:v>TEXT:SYN-F04-10-U01</x:v>
      </x:c>
      <x:c r="D272" s="10" t="str">
        <x:v>TEXT:SYN-F04-10-U01-R01</x:v>
      </x:c>
      <x:c r="E272" s="10" t="str">
        <x:v>["SYN-F04-10:D2@v1"]</x:v>
      </x:c>
      <x:c r="F272" s="10" t="str">
        <x:v>["SYN-F04-10:D2@v2"]</x:v>
      </x:c>
      <x:c r="G272" s="10" t="n">
        <x:f>IF(E272=F272,1,0)</x:f>
        <x:v>0</x:v>
      </x:c>
    </x:row>
    <x:row r="273" ht="55" customHeight="1">
      <x:c r="A273" s="10" t="str">
        <x:v>T-EXEC</x:v>
      </x:c>
      <x:c r="B273" s="10" t="str">
        <x:v>TEXT</x:v>
      </x:c>
      <x:c r="C273" s="10" t="str">
        <x:v>TEXT:SYN-F04-10-U02</x:v>
      </x:c>
      <x:c r="D273" s="10" t="str">
        <x:v>TEXT:SYN-F04-10-U02-R01</x:v>
      </x:c>
      <x:c r="E273" s="10" t="str">
        <x:v>["SYN-F04-10:D2@v2"]</x:v>
      </x:c>
      <x:c r="F273" s="10" t="str">
        <x:v>["SYN-F04-10:D2@v2"]</x:v>
      </x:c>
      <x:c r="G273" s="10" t="n">
        <x:f>IF(E273=F273,1,0)</x:f>
        <x:v>1</x:v>
      </x:c>
    </x:row>
    <x:row r="274" ht="55" customHeight="1">
      <x:c r="A274" s="10" t="str">
        <x:v>T-REL</x:v>
      </x:c>
      <x:c r="B274" s="10" t="str">
        <x:v>TEXT</x:v>
      </x:c>
      <x:c r="C274" s="10" t="str">
        <x:v>TEXT:SYN-F04-10-U01</x:v>
      </x:c>
      <x:c r="D274" s="10" t="str">
        <x:v>TEXT:SYN-F04-10-U01-R01</x:v>
      </x:c>
      <x:c r="E274" s="10" t="str">
        <x:v>["SYN-F04-10:D2@v1"]</x:v>
      </x:c>
      <x:c r="F274" s="10" t="str">
        <x:v>["SYN-F04-10:D2@v2"]</x:v>
      </x:c>
      <x:c r="G274" s="10" t="n">
        <x:f>IF(E274=F274,1,0)</x:f>
        <x:v>0</x:v>
      </x:c>
    </x:row>
    <x:row r="275" ht="55" customHeight="1">
      <x:c r="A275" s="10" t="str">
        <x:v>T-REL</x:v>
      </x:c>
      <x:c r="B275" s="10" t="str">
        <x:v>TEXT</x:v>
      </x:c>
      <x:c r="C275" s="10" t="str">
        <x:v>TEXT:SYN-F04-10-U02</x:v>
      </x:c>
      <x:c r="D275" s="10" t="str">
        <x:v>TEXT:SYN-F04-10-U02-R01</x:v>
      </x:c>
      <x:c r="E275" s="10" t="str">
        <x:v>["SYN-F04-10:D2@v2"]</x:v>
      </x:c>
      <x:c r="F275" s="10" t="str">
        <x:v>["SYN-F04-10:D2@v2"]</x:v>
      </x:c>
      <x:c r="G275" s="10" t="n">
        <x:f>IF(E275=F275,1,0)</x:f>
        <x:v>1</x:v>
      </x:c>
    </x:row>
    <x:row r="276" ht="55" customHeight="1">
      <x:c r="A276" s="10" t="str">
        <x:v>T-BASE</x:v>
      </x:c>
      <x:c r="B276" s="10" t="str">
        <x:v>TEXT</x:v>
      </x:c>
      <x:c r="C276" s="10" t="str">
        <x:v>TEXT:SYN-F05-01-U01</x:v>
      </x:c>
      <x:c r="D276" s="10" t="str">
        <x:v>TEXT:SYN-F05-01-U01-R01</x:v>
      </x:c>
      <x:c r="E276" s="10" t="str">
        <x:v>["SYN-F05-01:D3@v1"]</x:v>
      </x:c>
      <x:c r="F276" s="10" t="str">
        <x:v>["SYN-F05-01:D3@v1"]</x:v>
      </x:c>
      <x:c r="G276" s="10" t="n">
        <x:f>IF(E276=F276,1,0)</x:f>
        <x:v>1</x:v>
      </x:c>
    </x:row>
    <x:row r="277" ht="55" customHeight="1">
      <x:c r="A277" s="10" t="str">
        <x:v>T-BASE</x:v>
      </x:c>
      <x:c r="B277" s="10" t="str">
        <x:v>TEXT</x:v>
      </x:c>
      <x:c r="C277" s="10" t="str">
        <x:v>TEXT:SYN-F05-01-U02</x:v>
      </x:c>
      <x:c r="D277" s="10" t="str">
        <x:v>TEXT:SYN-F05-01-U02-R01</x:v>
      </x:c>
      <x:c r="E277" s="10" t="str">
        <x:v>["SYN-F05-01:D3@v1"]</x:v>
      </x:c>
      <x:c r="F277" s="10" t="str">
        <x:v>["SYN-F05-01:D3@v1"]</x:v>
      </x:c>
      <x:c r="G277" s="10" t="n">
        <x:f>IF(E277=F277,1,0)</x:f>
        <x:v>1</x:v>
      </x:c>
    </x:row>
    <x:row r="278" ht="55" customHeight="1">
      <x:c r="A278" s="10" t="str">
        <x:v>T-EXEC</x:v>
      </x:c>
      <x:c r="B278" s="10" t="str">
        <x:v>TEXT</x:v>
      </x:c>
      <x:c r="C278" s="10" t="str">
        <x:v>TEXT:SYN-F05-01-U01</x:v>
      </x:c>
      <x:c r="D278" s="10" t="str">
        <x:v>TEXT:SYN-F05-01-U01-R01</x:v>
      </x:c>
      <x:c r="E278" s="10" t="str">
        <x:v>["SYN-F05-01:D3@v1"]</x:v>
      </x:c>
      <x:c r="F278" s="10" t="str">
        <x:v>["SYN-F05-01:D3@v1"]</x:v>
      </x:c>
      <x:c r="G278" s="10" t="n">
        <x:f>IF(E278=F278,1,0)</x:f>
        <x:v>1</x:v>
      </x:c>
    </x:row>
    <x:row r="279" ht="55" customHeight="1">
      <x:c r="A279" s="10" t="str">
        <x:v>T-EXEC</x:v>
      </x:c>
      <x:c r="B279" s="10" t="str">
        <x:v>TEXT</x:v>
      </x:c>
      <x:c r="C279" s="10" t="str">
        <x:v>TEXT:SYN-F05-01-U02</x:v>
      </x:c>
      <x:c r="D279" s="10" t="str">
        <x:v>TEXT:SYN-F05-01-U02-R01</x:v>
      </x:c>
      <x:c r="E279" s="10" t="str">
        <x:v>["SYN-F05-01:D3@v1"]</x:v>
      </x:c>
      <x:c r="F279" s="10" t="str">
        <x:v>["SYN-F05-01:D3@v1"]</x:v>
      </x:c>
      <x:c r="G279" s="10" t="n">
        <x:f>IF(E279=F279,1,0)</x:f>
        <x:v>1</x:v>
      </x:c>
    </x:row>
    <x:row r="280" ht="55" customHeight="1">
      <x:c r="A280" s="10" t="str">
        <x:v>T-REL</x:v>
      </x:c>
      <x:c r="B280" s="10" t="str">
        <x:v>TEXT</x:v>
      </x:c>
      <x:c r="C280" s="10" t="str">
        <x:v>TEXT:SYN-F05-01-U01</x:v>
      </x:c>
      <x:c r="D280" s="10" t="str">
        <x:v>TEXT:SYN-F05-01-U01-R01</x:v>
      </x:c>
      <x:c r="E280" s="10" t="str">
        <x:v>["SYN-F05-01:D3@v1"]</x:v>
      </x:c>
      <x:c r="F280" s="10" t="str">
        <x:v>["SYN-F05-01:D3@v1"]</x:v>
      </x:c>
      <x:c r="G280" s="10" t="n">
        <x:f>IF(E280=F280,1,0)</x:f>
        <x:v>1</x:v>
      </x:c>
    </x:row>
    <x:row r="281" ht="55" customHeight="1">
      <x:c r="A281" s="10" t="str">
        <x:v>T-REL</x:v>
      </x:c>
      <x:c r="B281" s="10" t="str">
        <x:v>TEXT</x:v>
      </x:c>
      <x:c r="C281" s="10" t="str">
        <x:v>TEXT:SYN-F05-01-U02</x:v>
      </x:c>
      <x:c r="D281" s="10" t="str">
        <x:v>TEXT:SYN-F05-01-U02-R01</x:v>
      </x:c>
      <x:c r="E281" s="10" t="str">
        <x:v>["SYN-F05-01:D3@v1"]</x:v>
      </x:c>
      <x:c r="F281" s="10" t="str">
        <x:v>["SYN-F05-01:D3@v1"]</x:v>
      </x:c>
      <x:c r="G281" s="10" t="n">
        <x:f>IF(E281=F281,1,0)</x:f>
        <x:v>1</x:v>
      </x:c>
    </x:row>
    <x:row r="282" ht="55" customHeight="1">
      <x:c r="A282" s="10" t="str">
        <x:v>T-BASE</x:v>
      </x:c>
      <x:c r="B282" s="10" t="str">
        <x:v>TEXT</x:v>
      </x:c>
      <x:c r="C282" s="10" t="str">
        <x:v>TEXT:SYN-F05-02-U01</x:v>
      </x:c>
      <x:c r="D282" s="10" t="str">
        <x:v>TEXT:SYN-F05-02-U01-R01</x:v>
      </x:c>
      <x:c r="E282" s="10" t="str">
        <x:v>["SYN-F05-02:D2@v1"]</x:v>
      </x:c>
      <x:c r="F282" s="10" t="str">
        <x:v>["SYN-F05-02:D2@v1"]</x:v>
      </x:c>
      <x:c r="G282" s="10" t="n">
        <x:f>IF(E282=F282,1,0)</x:f>
        <x:v>1</x:v>
      </x:c>
    </x:row>
    <x:row r="283" ht="55" customHeight="1">
      <x:c r="A283" s="10" t="str">
        <x:v>T-BASE</x:v>
      </x:c>
      <x:c r="B283" s="10" t="str">
        <x:v>TEXT</x:v>
      </x:c>
      <x:c r="C283" s="10" t="str">
        <x:v>TEXT:SYN-F05-02-U02</x:v>
      </x:c>
      <x:c r="D283" s="10" t="str">
        <x:v>TEXT:SYN-F05-02-U02-R01</x:v>
      </x:c>
      <x:c r="E283" s="10" t="str">
        <x:v>["SYN-F05-02:D2@v1"]</x:v>
      </x:c>
      <x:c r="F283" s="10" t="str">
        <x:v>["SYN-F05-02:D2@v1"]</x:v>
      </x:c>
      <x:c r="G283" s="10" t="n">
        <x:f>IF(E283=F283,1,0)</x:f>
        <x:v>1</x:v>
      </x:c>
    </x:row>
    <x:row r="284" ht="55" customHeight="1">
      <x:c r="A284" s="10" t="str">
        <x:v>T-EXEC</x:v>
      </x:c>
      <x:c r="B284" s="10" t="str">
        <x:v>TEXT</x:v>
      </x:c>
      <x:c r="C284" s="10" t="str">
        <x:v>TEXT:SYN-F05-02-U01</x:v>
      </x:c>
      <x:c r="D284" s="10" t="str">
        <x:v>TEXT:SYN-F05-02-U01-R01</x:v>
      </x:c>
      <x:c r="E284" s="10" t="str">
        <x:v>["SYN-F05-02:D2@v1"]</x:v>
      </x:c>
      <x:c r="F284" s="10" t="str">
        <x:v>["SYN-F05-02:D2@v1"]</x:v>
      </x:c>
      <x:c r="G284" s="10" t="n">
        <x:f>IF(E284=F284,1,0)</x:f>
        <x:v>1</x:v>
      </x:c>
    </x:row>
    <x:row r="285" ht="55" customHeight="1">
      <x:c r="A285" s="10" t="str">
        <x:v>T-EXEC</x:v>
      </x:c>
      <x:c r="B285" s="10" t="str">
        <x:v>TEXT</x:v>
      </x:c>
      <x:c r="C285" s="10" t="str">
        <x:v>TEXT:SYN-F05-02-U02</x:v>
      </x:c>
      <x:c r="D285" s="10" t="str">
        <x:v>TEXT:SYN-F05-02-U02-R01</x:v>
      </x:c>
      <x:c r="E285" s="10" t="str">
        <x:v>["SYN-F05-02:D2@v1"]</x:v>
      </x:c>
      <x:c r="F285" s="10" t="str">
        <x:v>["SYN-F05-02:D2@v1"]</x:v>
      </x:c>
      <x:c r="G285" s="10" t="n">
        <x:f>IF(E285=F285,1,0)</x:f>
        <x:v>1</x:v>
      </x:c>
    </x:row>
    <x:row r="286" ht="55" customHeight="1">
      <x:c r="A286" s="10" t="str">
        <x:v>T-REL</x:v>
      </x:c>
      <x:c r="B286" s="10" t="str">
        <x:v>TEXT</x:v>
      </x:c>
      <x:c r="C286" s="10" t="str">
        <x:v>TEXT:SYN-F05-02-U01</x:v>
      </x:c>
      <x:c r="D286" s="10" t="str">
        <x:v>TEXT:SYN-F05-02-U01-R01</x:v>
      </x:c>
      <x:c r="E286" s="10" t="str">
        <x:v>["SYN-F05-02:D2@v1"]</x:v>
      </x:c>
      <x:c r="F286" s="10" t="str">
        <x:v>["SYN-F05-02:D2@v1"]</x:v>
      </x:c>
      <x:c r="G286" s="10" t="n">
        <x:f>IF(E286=F286,1,0)</x:f>
        <x:v>1</x:v>
      </x:c>
    </x:row>
    <x:row r="287" ht="55" customHeight="1">
      <x:c r="A287" s="10" t="str">
        <x:v>T-REL</x:v>
      </x:c>
      <x:c r="B287" s="10" t="str">
        <x:v>TEXT</x:v>
      </x:c>
      <x:c r="C287" s="10" t="str">
        <x:v>TEXT:SYN-F05-02-U02</x:v>
      </x:c>
      <x:c r="D287" s="10" t="str">
        <x:v>TEXT:SYN-F05-02-U02-R01</x:v>
      </x:c>
      <x:c r="E287" s="10" t="str">
        <x:v>["SYN-F05-02:D2@v1"]</x:v>
      </x:c>
      <x:c r="F287" s="10" t="str">
        <x:v>["SYN-F05-02:D2@v1"]</x:v>
      </x:c>
      <x:c r="G287" s="10" t="n">
        <x:f>IF(E287=F287,1,0)</x:f>
        <x:v>1</x:v>
      </x:c>
    </x:row>
    <x:row r="288" ht="55" customHeight="1">
      <x:c r="A288" s="10" t="str">
        <x:v>T-BASE</x:v>
      </x:c>
      <x:c r="B288" s="10" t="str">
        <x:v>TEXT</x:v>
      </x:c>
      <x:c r="C288" s="10" t="str">
        <x:v>TEXT:SYN-F05-03-U01</x:v>
      </x:c>
      <x:c r="D288" s="10" t="str">
        <x:v>TEXT:SYN-F05-03-U01-R01</x:v>
      </x:c>
      <x:c r="E288" s="10" t="str">
        <x:v>["SYN-F05-03:D1@v1"]</x:v>
      </x:c>
      <x:c r="F288" s="10" t="str">
        <x:v>["SYN-F05-03:D1@v1"]</x:v>
      </x:c>
      <x:c r="G288" s="10" t="n">
        <x:f>IF(E288=F288,1,0)</x:f>
        <x:v>1</x:v>
      </x:c>
    </x:row>
    <x:row r="289" ht="55" customHeight="1">
      <x:c r="A289" s="10" t="str">
        <x:v>T-BASE</x:v>
      </x:c>
      <x:c r="B289" s="10" t="str">
        <x:v>TEXT</x:v>
      </x:c>
      <x:c r="C289" s="10" t="str">
        <x:v>TEXT:SYN-F05-03-U02</x:v>
      </x:c>
      <x:c r="D289" s="10" t="str">
        <x:v>TEXT:SYN-F05-03-U02-R01</x:v>
      </x:c>
      <x:c r="E289" s="10" t="str">
        <x:v>["SYN-F05-03:D1@v1"]</x:v>
      </x:c>
      <x:c r="F289" s="10" t="str">
        <x:v>["SYN-F05-03:D1@v1"]</x:v>
      </x:c>
      <x:c r="G289" s="10" t="n">
        <x:f>IF(E289=F289,1,0)</x:f>
        <x:v>1</x:v>
      </x:c>
    </x:row>
    <x:row r="290" ht="55" customHeight="1">
      <x:c r="A290" s="10" t="str">
        <x:v>T-EXEC</x:v>
      </x:c>
      <x:c r="B290" s="10" t="str">
        <x:v>TEXT</x:v>
      </x:c>
      <x:c r="C290" s="10" t="str">
        <x:v>TEXT:SYN-F05-03-U01</x:v>
      </x:c>
      <x:c r="D290" s="10" t="str">
        <x:v>TEXT:SYN-F05-03-U01-R01</x:v>
      </x:c>
      <x:c r="E290" s="10" t="str">
        <x:v>["SYN-F05-03:D1@v1"]</x:v>
      </x:c>
      <x:c r="F290" s="10" t="str">
        <x:v>["SYN-F05-03:D1@v1"]</x:v>
      </x:c>
      <x:c r="G290" s="10" t="n">
        <x:f>IF(E290=F290,1,0)</x:f>
        <x:v>1</x:v>
      </x:c>
    </x:row>
    <x:row r="291" ht="55" customHeight="1">
      <x:c r="A291" s="10" t="str">
        <x:v>T-EXEC</x:v>
      </x:c>
      <x:c r="B291" s="10" t="str">
        <x:v>TEXT</x:v>
      </x:c>
      <x:c r="C291" s="10" t="str">
        <x:v>TEXT:SYN-F05-03-U02</x:v>
      </x:c>
      <x:c r="D291" s="10" t="str">
        <x:v>TEXT:SYN-F05-03-U02-R01</x:v>
      </x:c>
      <x:c r="E291" s="10" t="str">
        <x:v>["SYN-F05-03:D1@v1"]</x:v>
      </x:c>
      <x:c r="F291" s="10" t="str">
        <x:v>["SYN-F05-03:D1@v1"]</x:v>
      </x:c>
      <x:c r="G291" s="10" t="n">
        <x:f>IF(E291=F291,1,0)</x:f>
        <x:v>1</x:v>
      </x:c>
    </x:row>
    <x:row r="292" ht="55" customHeight="1">
      <x:c r="A292" s="10" t="str">
        <x:v>T-REL</x:v>
      </x:c>
      <x:c r="B292" s="10" t="str">
        <x:v>TEXT</x:v>
      </x:c>
      <x:c r="C292" s="10" t="str">
        <x:v>TEXT:SYN-F05-03-U01</x:v>
      </x:c>
      <x:c r="D292" s="10" t="str">
        <x:v>TEXT:SYN-F05-03-U01-R01</x:v>
      </x:c>
      <x:c r="E292" s="10" t="str">
        <x:v>["SYN-F05-03:D1@v1"]</x:v>
      </x:c>
      <x:c r="F292" s="10" t="str">
        <x:v>["SYN-F05-03:D1@v1"]</x:v>
      </x:c>
      <x:c r="G292" s="10" t="n">
        <x:f>IF(E292=F292,1,0)</x:f>
        <x:v>1</x:v>
      </x:c>
    </x:row>
    <x:row r="293" ht="55" customHeight="1">
      <x:c r="A293" s="10" t="str">
        <x:v>T-REL</x:v>
      </x:c>
      <x:c r="B293" s="10" t="str">
        <x:v>TEXT</x:v>
      </x:c>
      <x:c r="C293" s="10" t="str">
        <x:v>TEXT:SYN-F05-03-U02</x:v>
      </x:c>
      <x:c r="D293" s="10" t="str">
        <x:v>TEXT:SYN-F05-03-U02-R01</x:v>
      </x:c>
      <x:c r="E293" s="10" t="str">
        <x:v>["SYN-F05-03:D1@v1"]</x:v>
      </x:c>
      <x:c r="F293" s="10" t="str">
        <x:v>["SYN-F05-03:D1@v1"]</x:v>
      </x:c>
      <x:c r="G293" s="10" t="n">
        <x:f>IF(E293=F293,1,0)</x:f>
        <x:v>1</x:v>
      </x:c>
    </x:row>
    <x:row r="294" ht="55" customHeight="1">
      <x:c r="A294" s="10" t="str">
        <x:v>T-BASE</x:v>
      </x:c>
      <x:c r="B294" s="10" t="str">
        <x:v>TEXT</x:v>
      </x:c>
      <x:c r="C294" s="10" t="str">
        <x:v>TEXT:SYN-F05-04-U01</x:v>
      </x:c>
      <x:c r="D294" s="10" t="str">
        <x:v>TEXT:SYN-F05-04-U01-R01</x:v>
      </x:c>
      <x:c r="E294" s="10" t="str">
        <x:v>["SYN-F05-04:D3@v1"]</x:v>
      </x:c>
      <x:c r="F294" s="10" t="str">
        <x:v>["SYN-F05-04:D3@v1"]</x:v>
      </x:c>
      <x:c r="G294" s="10" t="n">
        <x:f>IF(E294=F294,1,0)</x:f>
        <x:v>1</x:v>
      </x:c>
    </x:row>
    <x:row r="295" ht="55" customHeight="1">
      <x:c r="A295" s="10" t="str">
        <x:v>T-BASE</x:v>
      </x:c>
      <x:c r="B295" s="10" t="str">
        <x:v>TEXT</x:v>
      </x:c>
      <x:c r="C295" s="10" t="str">
        <x:v>TEXT:SYN-F05-04-U02</x:v>
      </x:c>
      <x:c r="D295" s="10" t="str">
        <x:v>TEXT:SYN-F05-04-U02-R01</x:v>
      </x:c>
      <x:c r="E295" s="10" t="str">
        <x:v>["SYN-F05-04:D3@v1"]</x:v>
      </x:c>
      <x:c r="F295" s="10" t="str">
        <x:v>["SYN-F05-04:D3@v1"]</x:v>
      </x:c>
      <x:c r="G295" s="10" t="n">
        <x:f>IF(E295=F295,1,0)</x:f>
        <x:v>1</x:v>
      </x:c>
    </x:row>
    <x:row r="296" ht="55" customHeight="1">
      <x:c r="A296" s="10" t="str">
        <x:v>T-EXEC</x:v>
      </x:c>
      <x:c r="B296" s="10" t="str">
        <x:v>TEXT</x:v>
      </x:c>
      <x:c r="C296" s="10" t="str">
        <x:v>TEXT:SYN-F05-04-U01</x:v>
      </x:c>
      <x:c r="D296" s="10" t="str">
        <x:v>TEXT:SYN-F05-04-U01-R01</x:v>
      </x:c>
      <x:c r="E296" s="10" t="str">
        <x:v>["SYN-F05-04:D3@v1"]</x:v>
      </x:c>
      <x:c r="F296" s="10" t="str">
        <x:v>["SYN-F05-04:D3@v1"]</x:v>
      </x:c>
      <x:c r="G296" s="10" t="n">
        <x:f>IF(E296=F296,1,0)</x:f>
        <x:v>1</x:v>
      </x:c>
    </x:row>
    <x:row r="297" ht="55" customHeight="1">
      <x:c r="A297" s="10" t="str">
        <x:v>T-EXEC</x:v>
      </x:c>
      <x:c r="B297" s="10" t="str">
        <x:v>TEXT</x:v>
      </x:c>
      <x:c r="C297" s="10" t="str">
        <x:v>TEXT:SYN-F05-04-U02</x:v>
      </x:c>
      <x:c r="D297" s="10" t="str">
        <x:v>TEXT:SYN-F05-04-U02-R01</x:v>
      </x:c>
      <x:c r="E297" s="10" t="str">
        <x:v>["SYN-F05-04:D3@v1"]</x:v>
      </x:c>
      <x:c r="F297" s="10" t="str">
        <x:v>["SYN-F05-04:D3@v1"]</x:v>
      </x:c>
      <x:c r="G297" s="10" t="n">
        <x:f>IF(E297=F297,1,0)</x:f>
        <x:v>1</x:v>
      </x:c>
    </x:row>
    <x:row r="298" ht="55" customHeight="1">
      <x:c r="A298" s="10" t="str">
        <x:v>T-REL</x:v>
      </x:c>
      <x:c r="B298" s="10" t="str">
        <x:v>TEXT</x:v>
      </x:c>
      <x:c r="C298" s="10" t="str">
        <x:v>TEXT:SYN-F05-04-U01</x:v>
      </x:c>
      <x:c r="D298" s="10" t="str">
        <x:v>TEXT:SYN-F05-04-U01-R01</x:v>
      </x:c>
      <x:c r="E298" s="10" t="str">
        <x:v>["SYN-F05-04:D3@v1"]</x:v>
      </x:c>
      <x:c r="F298" s="10" t="str">
        <x:v>["SYN-F05-04:D3@v1"]</x:v>
      </x:c>
      <x:c r="G298" s="10" t="n">
        <x:f>IF(E298=F298,1,0)</x:f>
        <x:v>1</x:v>
      </x:c>
    </x:row>
    <x:row r="299" ht="55" customHeight="1">
      <x:c r="A299" s="10" t="str">
        <x:v>T-REL</x:v>
      </x:c>
      <x:c r="B299" s="10" t="str">
        <x:v>TEXT</x:v>
      </x:c>
      <x:c r="C299" s="10" t="str">
        <x:v>TEXT:SYN-F05-04-U02</x:v>
      </x:c>
      <x:c r="D299" s="10" t="str">
        <x:v>TEXT:SYN-F05-04-U02-R01</x:v>
      </x:c>
      <x:c r="E299" s="10" t="str">
        <x:v>["SYN-F05-04:D3@v1"]</x:v>
      </x:c>
      <x:c r="F299" s="10" t="str">
        <x:v>["SYN-F05-04:D3@v1"]</x:v>
      </x:c>
      <x:c r="G299" s="10" t="n">
        <x:f>IF(E299=F299,1,0)</x:f>
        <x:v>1</x:v>
      </x:c>
    </x:row>
    <x:row r="300" ht="55" customHeight="1">
      <x:c r="A300" s="10" t="str">
        <x:v>T-BASE</x:v>
      </x:c>
      <x:c r="B300" s="10" t="str">
        <x:v>TEXT</x:v>
      </x:c>
      <x:c r="C300" s="10" t="str">
        <x:v>TEXT:SYN-F05-05-U01</x:v>
      </x:c>
      <x:c r="D300" s="10" t="str">
        <x:v>TEXT:SYN-F05-05-U01-R01</x:v>
      </x:c>
      <x:c r="E300" s="10" t="str">
        <x:v>["SYN-F05-05:D2@v1"]</x:v>
      </x:c>
      <x:c r="F300" s="10" t="str">
        <x:v>["SYN-F05-05:D2@v1"]</x:v>
      </x:c>
      <x:c r="G300" s="10" t="n">
        <x:f>IF(E300=F300,1,0)</x:f>
        <x:v>1</x:v>
      </x:c>
    </x:row>
    <x:row r="301" ht="55" customHeight="1">
      <x:c r="A301" s="10" t="str">
        <x:v>T-BASE</x:v>
      </x:c>
      <x:c r="B301" s="10" t="str">
        <x:v>TEXT</x:v>
      </x:c>
      <x:c r="C301" s="10" t="str">
        <x:v>TEXT:SYN-F05-05-U02</x:v>
      </x:c>
      <x:c r="D301" s="10" t="str">
        <x:v>TEXT:SYN-F05-05-U02-R01</x:v>
      </x:c>
      <x:c r="E301" s="10" t="str">
        <x:v>["SYN-F05-05:D2@v1"]</x:v>
      </x:c>
      <x:c r="F301" s="10" t="str">
        <x:v>["SYN-F05-05:D1@v1"]</x:v>
      </x:c>
      <x:c r="G301" s="10" t="n">
        <x:f>IF(E301=F301,1,0)</x:f>
        <x:v>0</x:v>
      </x:c>
    </x:row>
    <x:row r="302" ht="55" customHeight="1">
      <x:c r="A302" s="10" t="str">
        <x:v>T-EXEC</x:v>
      </x:c>
      <x:c r="B302" s="10" t="str">
        <x:v>TEXT</x:v>
      </x:c>
      <x:c r="C302" s="10" t="str">
        <x:v>TEXT:SYN-F05-05-U01</x:v>
      </x:c>
      <x:c r="D302" s="10" t="str">
        <x:v>TEXT:SYN-F05-05-U01-R01</x:v>
      </x:c>
      <x:c r="E302" s="10" t="str">
        <x:v>["SYN-F05-05:D2@v1"]</x:v>
      </x:c>
      <x:c r="F302" s="10" t="str">
        <x:v>["SYN-F05-05:D2@v1"]</x:v>
      </x:c>
      <x:c r="G302" s="10" t="n">
        <x:f>IF(E302=F302,1,0)</x:f>
        <x:v>1</x:v>
      </x:c>
    </x:row>
    <x:row r="303" ht="55" customHeight="1">
      <x:c r="A303" s="10" t="str">
        <x:v>T-EXEC</x:v>
      </x:c>
      <x:c r="B303" s="10" t="str">
        <x:v>TEXT</x:v>
      </x:c>
      <x:c r="C303" s="10" t="str">
        <x:v>TEXT:SYN-F05-05-U02</x:v>
      </x:c>
      <x:c r="D303" s="10" t="str">
        <x:v>TEXT:SYN-F05-05-U02-R01</x:v>
      </x:c>
      <x:c r="E303" s="10" t="str">
        <x:v>["SYN-F05-05:D2@v1"]</x:v>
      </x:c>
      <x:c r="F303" s="10" t="str">
        <x:v>["SYN-F05-05:D1@v1"]</x:v>
      </x:c>
      <x:c r="G303" s="10" t="n">
        <x:f>IF(E303=F303,1,0)</x:f>
        <x:v>0</x:v>
      </x:c>
    </x:row>
    <x:row r="304" ht="55" customHeight="1">
      <x:c r="A304" s="10" t="str">
        <x:v>T-REL</x:v>
      </x:c>
      <x:c r="B304" s="10" t="str">
        <x:v>TEXT</x:v>
      </x:c>
      <x:c r="C304" s="10" t="str">
        <x:v>TEXT:SYN-F05-05-U01</x:v>
      </x:c>
      <x:c r="D304" s="10" t="str">
        <x:v>TEXT:SYN-F05-05-U01-R01</x:v>
      </x:c>
      <x:c r="E304" s="10" t="str">
        <x:v>["SYN-F05-05:D2@v1"]</x:v>
      </x:c>
      <x:c r="F304" s="10" t="str">
        <x:v>["SYN-F05-05:D2@v1"]</x:v>
      </x:c>
      <x:c r="G304" s="10" t="n">
        <x:f>IF(E304=F304,1,0)</x:f>
        <x:v>1</x:v>
      </x:c>
    </x:row>
    <x:row r="305" ht="55" customHeight="1">
      <x:c r="A305" s="10" t="str">
        <x:v>T-REL</x:v>
      </x:c>
      <x:c r="B305" s="10" t="str">
        <x:v>TEXT</x:v>
      </x:c>
      <x:c r="C305" s="10" t="str">
        <x:v>TEXT:SYN-F05-05-U02</x:v>
      </x:c>
      <x:c r="D305" s="10" t="str">
        <x:v>TEXT:SYN-F05-05-U02-R01</x:v>
      </x:c>
      <x:c r="E305" s="10" t="str">
        <x:v>["SYN-F05-05:D2@v1"]</x:v>
      </x:c>
      <x:c r="F305" s="10" t="str">
        <x:v>["SYN-F05-05:D1@v1"]</x:v>
      </x:c>
      <x:c r="G305" s="10" t="n">
        <x:f>IF(E305=F305,1,0)</x:f>
        <x:v>0</x:v>
      </x:c>
    </x:row>
    <x:row r="306" ht="55" customHeight="1">
      <x:c r="A306" s="10" t="str">
        <x:v>T-BASE</x:v>
      </x:c>
      <x:c r="B306" s="10" t="str">
        <x:v>TEXT</x:v>
      </x:c>
      <x:c r="C306" s="10" t="str">
        <x:v>TEXT:SYN-F05-06-U01</x:v>
      </x:c>
      <x:c r="D306" s="10" t="str">
        <x:v>TEXT:SYN-F05-06-U01-R01</x:v>
      </x:c>
      <x:c r="E306" s="10" t="str">
        <x:v>["SYN-F05-06:D1@v1"]</x:v>
      </x:c>
      <x:c r="F306" s="10" t="str">
        <x:v>["SYN-F05-06:D1@v1"]</x:v>
      </x:c>
      <x:c r="G306" s="10" t="n">
        <x:f>IF(E306=F306,1,0)</x:f>
        <x:v>1</x:v>
      </x:c>
    </x:row>
    <x:row r="307" ht="55" customHeight="1">
      <x:c r="A307" s="10" t="str">
        <x:v>T-BASE</x:v>
      </x:c>
      <x:c r="B307" s="10" t="str">
        <x:v>TEXT</x:v>
      </x:c>
      <x:c r="C307" s="10" t="str">
        <x:v>TEXT:SYN-F05-06-U02</x:v>
      </x:c>
      <x:c r="D307" s="10" t="str">
        <x:v>TEXT:SYN-F05-06-U02-R01</x:v>
      </x:c>
      <x:c r="E307" s="10" t="str">
        <x:v>["SYN-F05-06:D1@v1"]</x:v>
      </x:c>
      <x:c r="F307" s="10" t="str">
        <x:v>["SYN-F05-06:D1@v1"]</x:v>
      </x:c>
      <x:c r="G307" s="10" t="n">
        <x:f>IF(E307=F307,1,0)</x:f>
        <x:v>1</x:v>
      </x:c>
    </x:row>
    <x:row r="308" ht="55" customHeight="1">
      <x:c r="A308" s="10" t="str">
        <x:v>T-EXEC</x:v>
      </x:c>
      <x:c r="B308" s="10" t="str">
        <x:v>TEXT</x:v>
      </x:c>
      <x:c r="C308" s="10" t="str">
        <x:v>TEXT:SYN-F05-06-U01</x:v>
      </x:c>
      <x:c r="D308" s="10" t="str">
        <x:v>TEXT:SYN-F05-06-U01-R01</x:v>
      </x:c>
      <x:c r="E308" s="10" t="str">
        <x:v>["SYN-F05-06:D1@v1"]</x:v>
      </x:c>
      <x:c r="F308" s="10" t="str">
        <x:v>["SYN-F05-06:D1@v1"]</x:v>
      </x:c>
      <x:c r="G308" s="10" t="n">
        <x:f>IF(E308=F308,1,0)</x:f>
        <x:v>1</x:v>
      </x:c>
    </x:row>
    <x:row r="309" ht="55" customHeight="1">
      <x:c r="A309" s="10" t="str">
        <x:v>T-EXEC</x:v>
      </x:c>
      <x:c r="B309" s="10" t="str">
        <x:v>TEXT</x:v>
      </x:c>
      <x:c r="C309" s="10" t="str">
        <x:v>TEXT:SYN-F05-06-U02</x:v>
      </x:c>
      <x:c r="D309" s="10" t="str">
        <x:v>TEXT:SYN-F05-06-U02-R01</x:v>
      </x:c>
      <x:c r="E309" s="10" t="str">
        <x:v>["SYN-F05-06:D1@v1"]</x:v>
      </x:c>
      <x:c r="F309" s="10" t="str">
        <x:v>["SYN-F05-06:D1@v1"]</x:v>
      </x:c>
      <x:c r="G309" s="10" t="n">
        <x:f>IF(E309=F309,1,0)</x:f>
        <x:v>1</x:v>
      </x:c>
    </x:row>
    <x:row r="310" ht="55" customHeight="1">
      <x:c r="A310" s="10" t="str">
        <x:v>T-REL</x:v>
      </x:c>
      <x:c r="B310" s="10" t="str">
        <x:v>TEXT</x:v>
      </x:c>
      <x:c r="C310" s="10" t="str">
        <x:v>TEXT:SYN-F05-06-U01</x:v>
      </x:c>
      <x:c r="D310" s="10" t="str">
        <x:v>TEXT:SYN-F05-06-U01-R01</x:v>
      </x:c>
      <x:c r="E310" s="10" t="str">
        <x:v>["SYN-F05-06:D1@v1"]</x:v>
      </x:c>
      <x:c r="F310" s="10" t="str">
        <x:v>["SYN-F05-06:D1@v1"]</x:v>
      </x:c>
      <x:c r="G310" s="10" t="n">
        <x:f>IF(E310=F310,1,0)</x:f>
        <x:v>1</x:v>
      </x:c>
    </x:row>
    <x:row r="311" ht="55" customHeight="1">
      <x:c r="A311" s="10" t="str">
        <x:v>T-REL</x:v>
      </x:c>
      <x:c r="B311" s="10" t="str">
        <x:v>TEXT</x:v>
      </x:c>
      <x:c r="C311" s="10" t="str">
        <x:v>TEXT:SYN-F05-06-U02</x:v>
      </x:c>
      <x:c r="D311" s="10" t="str">
        <x:v>TEXT:SYN-F05-06-U02-R01</x:v>
      </x:c>
      <x:c r="E311" s="10" t="str">
        <x:v>["SYN-F05-06:D1@v1"]</x:v>
      </x:c>
      <x:c r="F311" s="10" t="str">
        <x:v>["SYN-F05-06:D1@v1"]</x:v>
      </x:c>
      <x:c r="G311" s="10" t="n">
        <x:f>IF(E311=F311,1,0)</x:f>
        <x:v>1</x:v>
      </x:c>
    </x:row>
    <x:row r="312" ht="55" customHeight="1">
      <x:c r="A312" s="10" t="str">
        <x:v>T-BASE</x:v>
      </x:c>
      <x:c r="B312" s="10" t="str">
        <x:v>TEXT</x:v>
      </x:c>
      <x:c r="C312" s="10" t="str">
        <x:v>TEXT:SYN-F05-07-U01</x:v>
      </x:c>
      <x:c r="D312" s="10" t="str">
        <x:v>TEXT:SYN-F05-07-U01-R01</x:v>
      </x:c>
      <x:c r="E312" s="10" t="str">
        <x:v>["SYN-F05-07:D3@v1"]</x:v>
      </x:c>
      <x:c r="F312" s="10" t="str">
        <x:v>["SYN-F05-07:D3@v1"]</x:v>
      </x:c>
      <x:c r="G312" s="10" t="n">
        <x:f>IF(E312=F312,1,0)</x:f>
        <x:v>1</x:v>
      </x:c>
    </x:row>
    <x:row r="313" ht="55" customHeight="1">
      <x:c r="A313" s="10" t="str">
        <x:v>T-BASE</x:v>
      </x:c>
      <x:c r="B313" s="10" t="str">
        <x:v>TEXT</x:v>
      </x:c>
      <x:c r="C313" s="10" t="str">
        <x:v>TEXT:SYN-F05-07-U02</x:v>
      </x:c>
      <x:c r="D313" s="10" t="str">
        <x:v>TEXT:SYN-F05-07-U02-R01</x:v>
      </x:c>
      <x:c r="E313" s="10" t="str">
        <x:v>["SYN-F05-07:D3@v1"]</x:v>
      </x:c>
      <x:c r="F313" s="10" t="str">
        <x:v>["SYN-F05-07:D3@v1"]</x:v>
      </x:c>
      <x:c r="G313" s="10" t="n">
        <x:f>IF(E313=F313,1,0)</x:f>
        <x:v>1</x:v>
      </x:c>
    </x:row>
    <x:row r="314" ht="55" customHeight="1">
      <x:c r="A314" s="10" t="str">
        <x:v>T-EXEC</x:v>
      </x:c>
      <x:c r="B314" s="10" t="str">
        <x:v>TEXT</x:v>
      </x:c>
      <x:c r="C314" s="10" t="str">
        <x:v>TEXT:SYN-F05-07-U01</x:v>
      </x:c>
      <x:c r="D314" s="10" t="str">
        <x:v>TEXT:SYN-F05-07-U01-R01</x:v>
      </x:c>
      <x:c r="E314" s="10" t="str">
        <x:v>["SYN-F05-07:D3@v1"]</x:v>
      </x:c>
      <x:c r="F314" s="10" t="str">
        <x:v>["SYN-F05-07:D3@v1"]</x:v>
      </x:c>
      <x:c r="G314" s="10" t="n">
        <x:f>IF(E314=F314,1,0)</x:f>
        <x:v>1</x:v>
      </x:c>
    </x:row>
    <x:row r="315" ht="55" customHeight="1">
      <x:c r="A315" s="10" t="str">
        <x:v>T-EXEC</x:v>
      </x:c>
      <x:c r="B315" s="10" t="str">
        <x:v>TEXT</x:v>
      </x:c>
      <x:c r="C315" s="10" t="str">
        <x:v>TEXT:SYN-F05-07-U02</x:v>
      </x:c>
      <x:c r="D315" s="10" t="str">
        <x:v>TEXT:SYN-F05-07-U02-R01</x:v>
      </x:c>
      <x:c r="E315" s="10" t="str">
        <x:v>["SYN-F05-07:D3@v1"]</x:v>
      </x:c>
      <x:c r="F315" s="10" t="str">
        <x:v>["SYN-F05-07:D3@v1"]</x:v>
      </x:c>
      <x:c r="G315" s="10" t="n">
        <x:f>IF(E315=F315,1,0)</x:f>
        <x:v>1</x:v>
      </x:c>
    </x:row>
    <x:row r="316" ht="55" customHeight="1">
      <x:c r="A316" s="10" t="str">
        <x:v>T-REL</x:v>
      </x:c>
      <x:c r="B316" s="10" t="str">
        <x:v>TEXT</x:v>
      </x:c>
      <x:c r="C316" s="10" t="str">
        <x:v>TEXT:SYN-F05-07-U01</x:v>
      </x:c>
      <x:c r="D316" s="10" t="str">
        <x:v>TEXT:SYN-F05-07-U01-R01</x:v>
      </x:c>
      <x:c r="E316" s="10" t="str">
        <x:v>["SYN-F05-07:D3@v1"]</x:v>
      </x:c>
      <x:c r="F316" s="10" t="str">
        <x:v>["SYN-F05-07:D3@v1"]</x:v>
      </x:c>
      <x:c r="G316" s="10" t="n">
        <x:f>IF(E316=F316,1,0)</x:f>
        <x:v>1</x:v>
      </x:c>
    </x:row>
    <x:row r="317" ht="55" customHeight="1">
      <x:c r="A317" s="10" t="str">
        <x:v>T-REL</x:v>
      </x:c>
      <x:c r="B317" s="10" t="str">
        <x:v>TEXT</x:v>
      </x:c>
      <x:c r="C317" s="10" t="str">
        <x:v>TEXT:SYN-F05-07-U02</x:v>
      </x:c>
      <x:c r="D317" s="10" t="str">
        <x:v>TEXT:SYN-F05-07-U02-R01</x:v>
      </x:c>
      <x:c r="E317" s="10" t="str">
        <x:v>["SYN-F05-07:D3@v1"]</x:v>
      </x:c>
      <x:c r="F317" s="10" t="str">
        <x:v>["SYN-F05-07:D3@v1"]</x:v>
      </x:c>
      <x:c r="G317" s="10" t="n">
        <x:f>IF(E317=F317,1,0)</x:f>
        <x:v>1</x:v>
      </x:c>
    </x:row>
    <x:row r="318" ht="55" customHeight="1">
      <x:c r="A318" s="10" t="str">
        <x:v>T-BASE</x:v>
      </x:c>
      <x:c r="B318" s="10" t="str">
        <x:v>TEXT</x:v>
      </x:c>
      <x:c r="C318" s="10" t="str">
        <x:v>TEXT:SYN-F05-08-U01</x:v>
      </x:c>
      <x:c r="D318" s="10" t="str">
        <x:v>TEXT:SYN-F05-08-U01-R01</x:v>
      </x:c>
      <x:c r="E318" s="10" t="str">
        <x:v>["SYN-F05-08:D2@v1"]</x:v>
      </x:c>
      <x:c r="F318" s="10" t="str">
        <x:v>["SYN-F05-08:D2@v1"]</x:v>
      </x:c>
      <x:c r="G318" s="10" t="n">
        <x:f>IF(E318=F318,1,0)</x:f>
        <x:v>1</x:v>
      </x:c>
    </x:row>
    <x:row r="319" ht="55" customHeight="1">
      <x:c r="A319" s="10" t="str">
        <x:v>T-BASE</x:v>
      </x:c>
      <x:c r="B319" s="10" t="str">
        <x:v>TEXT</x:v>
      </x:c>
      <x:c r="C319" s="10" t="str">
        <x:v>TEXT:SYN-F05-08-U02</x:v>
      </x:c>
      <x:c r="D319" s="10" t="str">
        <x:v>TEXT:SYN-F05-08-U02-R01</x:v>
      </x:c>
      <x:c r="E319" s="10" t="str">
        <x:v>["SYN-F05-08:D2@v1"]</x:v>
      </x:c>
      <x:c r="F319" s="10" t="str">
        <x:v>["SYN-F05-08:D2@v1"]</x:v>
      </x:c>
      <x:c r="G319" s="10" t="n">
        <x:f>IF(E319=F319,1,0)</x:f>
        <x:v>1</x:v>
      </x:c>
    </x:row>
    <x:row r="320" ht="55" customHeight="1">
      <x:c r="A320" s="10" t="str">
        <x:v>T-EXEC</x:v>
      </x:c>
      <x:c r="B320" s="10" t="str">
        <x:v>TEXT</x:v>
      </x:c>
      <x:c r="C320" s="10" t="str">
        <x:v>TEXT:SYN-F05-08-U01</x:v>
      </x:c>
      <x:c r="D320" s="10" t="str">
        <x:v>TEXT:SYN-F05-08-U01-R01</x:v>
      </x:c>
      <x:c r="E320" s="10" t="str">
        <x:v>["SYN-F05-08:D2@v1"]</x:v>
      </x:c>
      <x:c r="F320" s="10" t="str">
        <x:v>["SYN-F05-08:D2@v1"]</x:v>
      </x:c>
      <x:c r="G320" s="10" t="n">
        <x:f>IF(E320=F320,1,0)</x:f>
        <x:v>1</x:v>
      </x:c>
    </x:row>
    <x:row r="321" ht="55" customHeight="1">
      <x:c r="A321" s="10" t="str">
        <x:v>T-EXEC</x:v>
      </x:c>
      <x:c r="B321" s="10" t="str">
        <x:v>TEXT</x:v>
      </x:c>
      <x:c r="C321" s="10" t="str">
        <x:v>TEXT:SYN-F05-08-U02</x:v>
      </x:c>
      <x:c r="D321" s="10" t="str">
        <x:v>TEXT:SYN-F05-08-U02-R01</x:v>
      </x:c>
      <x:c r="E321" s="10" t="str">
        <x:v>["SYN-F05-08:D2@v1"]</x:v>
      </x:c>
      <x:c r="F321" s="10" t="str">
        <x:v>["SYN-F05-08:D2@v1"]</x:v>
      </x:c>
      <x:c r="G321" s="10" t="n">
        <x:f>IF(E321=F321,1,0)</x:f>
        <x:v>1</x:v>
      </x:c>
    </x:row>
    <x:row r="322" ht="55" customHeight="1">
      <x:c r="A322" s="10" t="str">
        <x:v>T-REL</x:v>
      </x:c>
      <x:c r="B322" s="10" t="str">
        <x:v>TEXT</x:v>
      </x:c>
      <x:c r="C322" s="10" t="str">
        <x:v>TEXT:SYN-F05-08-U01</x:v>
      </x:c>
      <x:c r="D322" s="10" t="str">
        <x:v>TEXT:SYN-F05-08-U01-R01</x:v>
      </x:c>
      <x:c r="E322" s="10" t="str">
        <x:v>["SYN-F05-08:D2@v1"]</x:v>
      </x:c>
      <x:c r="F322" s="10" t="str">
        <x:v>["SYN-F05-08:D2@v1"]</x:v>
      </x:c>
      <x:c r="G322" s="10" t="n">
        <x:f>IF(E322=F322,1,0)</x:f>
        <x:v>1</x:v>
      </x:c>
    </x:row>
    <x:row r="323" ht="55" customHeight="1">
      <x:c r="A323" s="10" t="str">
        <x:v>T-REL</x:v>
      </x:c>
      <x:c r="B323" s="10" t="str">
        <x:v>TEXT</x:v>
      </x:c>
      <x:c r="C323" s="10" t="str">
        <x:v>TEXT:SYN-F05-08-U02</x:v>
      </x:c>
      <x:c r="D323" s="10" t="str">
        <x:v>TEXT:SYN-F05-08-U02-R01</x:v>
      </x:c>
      <x:c r="E323" s="10" t="str">
        <x:v>["SYN-F05-08:D2@v1"]</x:v>
      </x:c>
      <x:c r="F323" s="10" t="str">
        <x:v>["SYN-F05-08:D2@v1"]</x:v>
      </x:c>
      <x:c r="G323" s="10" t="n">
        <x:f>IF(E323=F323,1,0)</x:f>
        <x:v>1</x:v>
      </x:c>
    </x:row>
    <x:row r="324" ht="55" customHeight="1">
      <x:c r="A324" s="10" t="str">
        <x:v>T-BASE</x:v>
      </x:c>
      <x:c r="B324" s="10" t="str">
        <x:v>TEXT</x:v>
      </x:c>
      <x:c r="C324" s="10" t="str">
        <x:v>TEXT:SYN-F05-09-U01</x:v>
      </x:c>
      <x:c r="D324" s="10" t="str">
        <x:v>TEXT:SYN-F05-09-U01-R01</x:v>
      </x:c>
      <x:c r="E324" s="10" t="str">
        <x:v>["SYN-F05-09:D1@v1"]</x:v>
      </x:c>
      <x:c r="F324" s="10" t="str">
        <x:v>["SYN-F05-09:D1@v1"]</x:v>
      </x:c>
      <x:c r="G324" s="10" t="n">
        <x:f>IF(E324=F324,1,0)</x:f>
        <x:v>1</x:v>
      </x:c>
    </x:row>
    <x:row r="325" ht="55" customHeight="1">
      <x:c r="A325" s="10" t="str">
        <x:v>T-BASE</x:v>
      </x:c>
      <x:c r="B325" s="10" t="str">
        <x:v>TEXT</x:v>
      </x:c>
      <x:c r="C325" s="10" t="str">
        <x:v>TEXT:SYN-F05-09-U02</x:v>
      </x:c>
      <x:c r="D325" s="10" t="str">
        <x:v>TEXT:SYN-F05-09-U02-R01</x:v>
      </x:c>
      <x:c r="E325" s="10" t="str">
        <x:v>["SYN-F05-09:D1@v1"]</x:v>
      </x:c>
      <x:c r="F325" s="10" t="str">
        <x:v>["SYN-F05-09:D1@v1"]</x:v>
      </x:c>
      <x:c r="G325" s="10" t="n">
        <x:f>IF(E325=F325,1,0)</x:f>
        <x:v>1</x:v>
      </x:c>
    </x:row>
    <x:row r="326" ht="55" customHeight="1">
      <x:c r="A326" s="10" t="str">
        <x:v>T-EXEC</x:v>
      </x:c>
      <x:c r="B326" s="10" t="str">
        <x:v>TEXT</x:v>
      </x:c>
      <x:c r="C326" s="10" t="str">
        <x:v>TEXT:SYN-F05-09-U01</x:v>
      </x:c>
      <x:c r="D326" s="10" t="str">
        <x:v>TEXT:SYN-F05-09-U01-R01</x:v>
      </x:c>
      <x:c r="E326" s="10" t="str">
        <x:v>["SYN-F05-09:D1@v1"]</x:v>
      </x:c>
      <x:c r="F326" s="10" t="str">
        <x:v>["SYN-F05-09:D1@v1"]</x:v>
      </x:c>
      <x:c r="G326" s="10" t="n">
        <x:f>IF(E326=F326,1,0)</x:f>
        <x:v>1</x:v>
      </x:c>
    </x:row>
    <x:row r="327" ht="55" customHeight="1">
      <x:c r="A327" s="10" t="str">
        <x:v>T-EXEC</x:v>
      </x:c>
      <x:c r="B327" s="10" t="str">
        <x:v>TEXT</x:v>
      </x:c>
      <x:c r="C327" s="10" t="str">
        <x:v>TEXT:SYN-F05-09-U02</x:v>
      </x:c>
      <x:c r="D327" s="10" t="str">
        <x:v>TEXT:SYN-F05-09-U02-R01</x:v>
      </x:c>
      <x:c r="E327" s="10" t="str">
        <x:v>["SYN-F05-09:D1@v1"]</x:v>
      </x:c>
      <x:c r="F327" s="10" t="str">
        <x:v>["SYN-F05-09:D1@v1"]</x:v>
      </x:c>
      <x:c r="G327" s="10" t="n">
        <x:f>IF(E327=F327,1,0)</x:f>
        <x:v>1</x:v>
      </x:c>
    </x:row>
    <x:row r="328" ht="55" customHeight="1">
      <x:c r="A328" s="10" t="str">
        <x:v>T-REL</x:v>
      </x:c>
      <x:c r="B328" s="10" t="str">
        <x:v>TEXT</x:v>
      </x:c>
      <x:c r="C328" s="10" t="str">
        <x:v>TEXT:SYN-F05-09-U01</x:v>
      </x:c>
      <x:c r="D328" s="10" t="str">
        <x:v>TEXT:SYN-F05-09-U01-R01</x:v>
      </x:c>
      <x:c r="E328" s="10" t="str">
        <x:v>["SYN-F05-09:D1@v1"]</x:v>
      </x:c>
      <x:c r="F328" s="10" t="str">
        <x:v>["SYN-F05-09:D1@v1"]</x:v>
      </x:c>
      <x:c r="G328" s="10" t="n">
        <x:f>IF(E328=F328,1,0)</x:f>
        <x:v>1</x:v>
      </x:c>
    </x:row>
    <x:row r="329" ht="55" customHeight="1">
      <x:c r="A329" s="10" t="str">
        <x:v>T-REL</x:v>
      </x:c>
      <x:c r="B329" s="10" t="str">
        <x:v>TEXT</x:v>
      </x:c>
      <x:c r="C329" s="10" t="str">
        <x:v>TEXT:SYN-F05-09-U02</x:v>
      </x:c>
      <x:c r="D329" s="10" t="str">
        <x:v>TEXT:SYN-F05-09-U02-R01</x:v>
      </x:c>
      <x:c r="E329" s="10" t="str">
        <x:v>["SYN-F05-09:D1@v1"]</x:v>
      </x:c>
      <x:c r="F329" s="10" t="str">
        <x:v>["SYN-F05-09:D1@v1"]</x:v>
      </x:c>
      <x:c r="G329" s="10" t="n">
        <x:f>IF(E329=F329,1,0)</x:f>
        <x:v>1</x:v>
      </x:c>
    </x:row>
    <x:row r="330" ht="55" customHeight="1">
      <x:c r="A330" s="10" t="str">
        <x:v>T-BASE</x:v>
      </x:c>
      <x:c r="B330" s="10" t="str">
        <x:v>TEXT</x:v>
      </x:c>
      <x:c r="C330" s="10" t="str">
        <x:v>TEXT:SYN-F05-10-U01</x:v>
      </x:c>
      <x:c r="D330" s="10" t="str">
        <x:v>TEXT:SYN-F05-10-U01-R01</x:v>
      </x:c>
      <x:c r="E330" s="10" t="str">
        <x:v>["SYN-F05-10:D3@v1"]</x:v>
      </x:c>
      <x:c r="F330" s="10" t="str">
        <x:v>["SYN-F05-10:D3@v1"]</x:v>
      </x:c>
      <x:c r="G330" s="10" t="n">
        <x:f>IF(E330=F330,1,0)</x:f>
        <x:v>1</x:v>
      </x:c>
    </x:row>
    <x:row r="331" ht="55" customHeight="1">
      <x:c r="A331" s="10" t="str">
        <x:v>T-BASE</x:v>
      </x:c>
      <x:c r="B331" s="10" t="str">
        <x:v>TEXT</x:v>
      </x:c>
      <x:c r="C331" s="10" t="str">
        <x:v>TEXT:SYN-F05-10-U02</x:v>
      </x:c>
      <x:c r="D331" s="10" t="str">
        <x:v>TEXT:SYN-F05-10-U02-R01</x:v>
      </x:c>
      <x:c r="E331" s="10" t="str">
        <x:v>["SYN-F05-10:D3@v1"]</x:v>
      </x:c>
      <x:c r="F331" s="10" t="str">
        <x:v>["SYN-F05-10:D3@v1"]</x:v>
      </x:c>
      <x:c r="G331" s="10" t="n">
        <x:f>IF(E331=F331,1,0)</x:f>
        <x:v>1</x:v>
      </x:c>
    </x:row>
    <x:row r="332" ht="55" customHeight="1">
      <x:c r="A332" s="10" t="str">
        <x:v>T-EXEC</x:v>
      </x:c>
      <x:c r="B332" s="10" t="str">
        <x:v>TEXT</x:v>
      </x:c>
      <x:c r="C332" s="10" t="str">
        <x:v>TEXT:SYN-F05-10-U01</x:v>
      </x:c>
      <x:c r="D332" s="10" t="str">
        <x:v>TEXT:SYN-F05-10-U01-R01</x:v>
      </x:c>
      <x:c r="E332" s="10" t="str">
        <x:v>["SYN-F05-10:D3@v1"]</x:v>
      </x:c>
      <x:c r="F332" s="10" t="str">
        <x:v>["SYN-F05-10:D3@v1"]</x:v>
      </x:c>
      <x:c r="G332" s="10" t="n">
        <x:f>IF(E332=F332,1,0)</x:f>
        <x:v>1</x:v>
      </x:c>
    </x:row>
    <x:row r="333" ht="55" customHeight="1">
      <x:c r="A333" s="10" t="str">
        <x:v>T-EXEC</x:v>
      </x:c>
      <x:c r="B333" s="10" t="str">
        <x:v>TEXT</x:v>
      </x:c>
      <x:c r="C333" s="10" t="str">
        <x:v>TEXT:SYN-F05-10-U02</x:v>
      </x:c>
      <x:c r="D333" s="10" t="str">
        <x:v>TEXT:SYN-F05-10-U02-R01</x:v>
      </x:c>
      <x:c r="E333" s="10" t="str">
        <x:v>["SYN-F05-10:D3@v1"]</x:v>
      </x:c>
      <x:c r="F333" s="10" t="str">
        <x:v>["SYN-F05-10:D3@v1"]</x:v>
      </x:c>
      <x:c r="G333" s="10" t="n">
        <x:f>IF(E333=F333,1,0)</x:f>
        <x:v>1</x:v>
      </x:c>
    </x:row>
    <x:row r="334" ht="55" customHeight="1">
      <x:c r="A334" s="10" t="str">
        <x:v>T-REL</x:v>
      </x:c>
      <x:c r="B334" s="10" t="str">
        <x:v>TEXT</x:v>
      </x:c>
      <x:c r="C334" s="10" t="str">
        <x:v>TEXT:SYN-F05-10-U01</x:v>
      </x:c>
      <x:c r="D334" s="10" t="str">
        <x:v>TEXT:SYN-F05-10-U01-R01</x:v>
      </x:c>
      <x:c r="E334" s="10" t="str">
        <x:v>["SYN-F05-10:D3@v1"]</x:v>
      </x:c>
      <x:c r="F334" s="10" t="str">
        <x:v>["SYN-F05-10:D3@v1"]</x:v>
      </x:c>
      <x:c r="G334" s="10" t="n">
        <x:f>IF(E334=F334,1,0)</x:f>
        <x:v>1</x:v>
      </x:c>
    </x:row>
    <x:row r="335" ht="55" customHeight="1">
      <x:c r="A335" s="10" t="str">
        <x:v>T-REL</x:v>
      </x:c>
      <x:c r="B335" s="10" t="str">
        <x:v>TEXT</x:v>
      </x:c>
      <x:c r="C335" s="10" t="str">
        <x:v>TEXT:SYN-F05-10-U02</x:v>
      </x:c>
      <x:c r="D335" s="10" t="str">
        <x:v>TEXT:SYN-F05-10-U02-R01</x:v>
      </x:c>
      <x:c r="E335" s="10" t="str">
        <x:v>["SYN-F05-10:D3@v1"]</x:v>
      </x:c>
      <x:c r="F335" s="10" t="str">
        <x:v>["SYN-F05-10:D3@v1"]</x:v>
      </x:c>
      <x:c r="G335" s="10" t="n">
        <x:f>IF(E335=F335,1,0)</x:f>
        <x:v>1</x:v>
      </x:c>
    </x:row>
    <x:row r="336" ht="55" customHeight="1">
      <x:c r="A336" s="10" t="str">
        <x:v>T-BASE</x:v>
      </x:c>
      <x:c r="B336" s="10" t="str">
        <x:v>TEXT</x:v>
      </x:c>
      <x:c r="C336" s="10" t="str">
        <x:v>TEXT:SYN-F06-01-U01</x:v>
      </x:c>
      <x:c r="D336" s="10" t="str">
        <x:v>TEXT:SYN-F06-01-U01-R01</x:v>
      </x:c>
      <x:c r="E336" s="10" t="str">
        <x:v>["SYN-F06-01:D2@v1"]</x:v>
      </x:c>
      <x:c r="F336" s="10" t="str">
        <x:v>["SYN-F06-01:D2@v1"]</x:v>
      </x:c>
      <x:c r="G336" s="10" t="n">
        <x:f>IF(E336=F336,1,0)</x:f>
        <x:v>1</x:v>
      </x:c>
    </x:row>
    <x:row r="337" ht="55" customHeight="1">
      <x:c r="A337" s="10" t="str">
        <x:v>T-BASE</x:v>
      </x:c>
      <x:c r="B337" s="10" t="str">
        <x:v>TEXT</x:v>
      </x:c>
      <x:c r="C337" s="10" t="str">
        <x:v>TEXT:SYN-F06-01-U02</x:v>
      </x:c>
      <x:c r="D337" s="10" t="str">
        <x:v>TEXT:SYN-F06-01-U02-R01</x:v>
      </x:c>
      <x:c r="E337" s="10" t="str">
        <x:v>["SYN-F06-01:D2@v1"]</x:v>
      </x:c>
      <x:c r="F337" s="10" t="str">
        <x:v>["SYN-F06-01:D2@v1"]</x:v>
      </x:c>
      <x:c r="G337" s="10" t="n">
        <x:f>IF(E337=F337,1,0)</x:f>
        <x:v>1</x:v>
      </x:c>
    </x:row>
    <x:row r="338" ht="55" customHeight="1">
      <x:c r="A338" s="10" t="str">
        <x:v>T-EXEC</x:v>
      </x:c>
      <x:c r="B338" s="10" t="str">
        <x:v>TEXT</x:v>
      </x:c>
      <x:c r="C338" s="10" t="str">
        <x:v>TEXT:SYN-F06-01-U01</x:v>
      </x:c>
      <x:c r="D338" s="10" t="str">
        <x:v>TEXT:SYN-F06-01-U01-R01</x:v>
      </x:c>
      <x:c r="E338" s="10" t="str">
        <x:v>["SYN-F06-01:D2@v1"]</x:v>
      </x:c>
      <x:c r="F338" s="10" t="str">
        <x:v>["SYN-F06-01:D2@v1"]</x:v>
      </x:c>
      <x:c r="G338" s="10" t="n">
        <x:f>IF(E338=F338,1,0)</x:f>
        <x:v>1</x:v>
      </x:c>
    </x:row>
    <x:row r="339" ht="55" customHeight="1">
      <x:c r="A339" s="10" t="str">
        <x:v>T-EXEC</x:v>
      </x:c>
      <x:c r="B339" s="10" t="str">
        <x:v>TEXT</x:v>
      </x:c>
      <x:c r="C339" s="10" t="str">
        <x:v>TEXT:SYN-F06-01-U02</x:v>
      </x:c>
      <x:c r="D339" s="10" t="str">
        <x:v>TEXT:SYN-F06-01-U02-R01</x:v>
      </x:c>
      <x:c r="E339" s="10" t="str">
        <x:v>["SYN-F06-01:D2@v1"]</x:v>
      </x:c>
      <x:c r="F339" s="10" t="str">
        <x:v>["SYN-F06-01:D2@v1"]</x:v>
      </x:c>
      <x:c r="G339" s="10" t="n">
        <x:f>IF(E339=F339,1,0)</x:f>
        <x:v>1</x:v>
      </x:c>
    </x:row>
    <x:row r="340" ht="55" customHeight="1">
      <x:c r="A340" s="10" t="str">
        <x:v>T-REL</x:v>
      </x:c>
      <x:c r="B340" s="10" t="str">
        <x:v>TEXT</x:v>
      </x:c>
      <x:c r="C340" s="10" t="str">
        <x:v>TEXT:SYN-F06-01-U01</x:v>
      </x:c>
      <x:c r="D340" s="10" t="str">
        <x:v>TEXT:SYN-F06-01-U01-R01</x:v>
      </x:c>
      <x:c r="E340" s="10" t="str">
        <x:v>["SYN-F06-01:D2@v1"]</x:v>
      </x:c>
      <x:c r="F340" s="10" t="str">
        <x:v>["SYN-F06-01:D2@v1"]</x:v>
      </x:c>
      <x:c r="G340" s="10" t="n">
        <x:f>IF(E340=F340,1,0)</x:f>
        <x:v>1</x:v>
      </x:c>
    </x:row>
    <x:row r="341" ht="55" customHeight="1">
      <x:c r="A341" s="10" t="str">
        <x:v>T-REL</x:v>
      </x:c>
      <x:c r="B341" s="10" t="str">
        <x:v>TEXT</x:v>
      </x:c>
      <x:c r="C341" s="10" t="str">
        <x:v>TEXT:SYN-F06-01-U02</x:v>
      </x:c>
      <x:c r="D341" s="10" t="str">
        <x:v>TEXT:SYN-F06-01-U02-R01</x:v>
      </x:c>
      <x:c r="E341" s="10" t="str">
        <x:v>["SYN-F06-01:D2@v1"]</x:v>
      </x:c>
      <x:c r="F341" s="10" t="str">
        <x:v>["SYN-F06-01:D2@v1"]</x:v>
      </x:c>
      <x:c r="G341" s="10" t="n">
        <x:f>IF(E341=F341,1,0)</x:f>
        <x:v>1</x:v>
      </x:c>
    </x:row>
    <x:row r="342" ht="55" customHeight="1">
      <x:c r="A342" s="10" t="str">
        <x:v>T-BASE</x:v>
      </x:c>
      <x:c r="B342" s="10" t="str">
        <x:v>TEXT</x:v>
      </x:c>
      <x:c r="C342" s="10" t="str">
        <x:v>TEXT:SYN-F06-02-U01</x:v>
      </x:c>
      <x:c r="D342" s="10" t="str">
        <x:v>TEXT:SYN-F06-02-U01-R01</x:v>
      </x:c>
      <x:c r="E342" s="10" t="str">
        <x:v>["SYN-F06-02:D1@v1"]</x:v>
      </x:c>
      <x:c r="F342" s="10" t="str">
        <x:v>["SYN-F06-02:D1@v1"]</x:v>
      </x:c>
      <x:c r="G342" s="10" t="n">
        <x:f>IF(E342=F342,1,0)</x:f>
        <x:v>1</x:v>
      </x:c>
    </x:row>
    <x:row r="343" ht="55" customHeight="1">
      <x:c r="A343" s="10" t="str">
        <x:v>T-BASE</x:v>
      </x:c>
      <x:c r="B343" s="10" t="str">
        <x:v>TEXT</x:v>
      </x:c>
      <x:c r="C343" s="10" t="str">
        <x:v>TEXT:SYN-F06-02-U02</x:v>
      </x:c>
      <x:c r="D343" s="10" t="str">
        <x:v>TEXT:SYN-F06-02-U02-R01</x:v>
      </x:c>
      <x:c r="E343" s="10" t="str">
        <x:v>["SYN-F06-02:D1@v1"]</x:v>
      </x:c>
      <x:c r="F343" s="10" t="str">
        <x:v>["SYN-F06-02:D1@v1"]</x:v>
      </x:c>
      <x:c r="G343" s="10" t="n">
        <x:f>IF(E343=F343,1,0)</x:f>
        <x:v>1</x:v>
      </x:c>
    </x:row>
    <x:row r="344" ht="55" customHeight="1">
      <x:c r="A344" s="10" t="str">
        <x:v>T-EXEC</x:v>
      </x:c>
      <x:c r="B344" s="10" t="str">
        <x:v>TEXT</x:v>
      </x:c>
      <x:c r="C344" s="10" t="str">
        <x:v>TEXT:SYN-F06-02-U01</x:v>
      </x:c>
      <x:c r="D344" s="10" t="str">
        <x:v>TEXT:SYN-F06-02-U01-R01</x:v>
      </x:c>
      <x:c r="E344" s="10" t="str">
        <x:v>["SYN-F06-02:D1@v1"]</x:v>
      </x:c>
      <x:c r="F344" s="10" t="str">
        <x:v>["SYN-F06-02:D1@v1"]</x:v>
      </x:c>
      <x:c r="G344" s="10" t="n">
        <x:f>IF(E344=F344,1,0)</x:f>
        <x:v>1</x:v>
      </x:c>
    </x:row>
    <x:row r="345" ht="55" customHeight="1">
      <x:c r="A345" s="10" t="str">
        <x:v>T-EXEC</x:v>
      </x:c>
      <x:c r="B345" s="10" t="str">
        <x:v>TEXT</x:v>
      </x:c>
      <x:c r="C345" s="10" t="str">
        <x:v>TEXT:SYN-F06-02-U02</x:v>
      </x:c>
      <x:c r="D345" s="10" t="str">
        <x:v>TEXT:SYN-F06-02-U02-R01</x:v>
      </x:c>
      <x:c r="E345" s="10" t="str">
        <x:v>["SYN-F06-02:D1@v1"]</x:v>
      </x:c>
      <x:c r="F345" s="10" t="str">
        <x:v>["SYN-F06-02:D1@v1"]</x:v>
      </x:c>
      <x:c r="G345" s="10" t="n">
        <x:f>IF(E345=F345,1,0)</x:f>
        <x:v>1</x:v>
      </x:c>
    </x:row>
    <x:row r="346" ht="55" customHeight="1">
      <x:c r="A346" s="10" t="str">
        <x:v>T-REL</x:v>
      </x:c>
      <x:c r="B346" s="10" t="str">
        <x:v>TEXT</x:v>
      </x:c>
      <x:c r="C346" s="10" t="str">
        <x:v>TEXT:SYN-F06-02-U01</x:v>
      </x:c>
      <x:c r="D346" s="10" t="str">
        <x:v>TEXT:SYN-F06-02-U01-R01</x:v>
      </x:c>
      <x:c r="E346" s="10" t="str">
        <x:v>["SYN-F06-02:D1@v1"]</x:v>
      </x:c>
      <x:c r="F346" s="10" t="str">
        <x:v>["SYN-F06-02:D1@v1"]</x:v>
      </x:c>
      <x:c r="G346" s="10" t="n">
        <x:f>IF(E346=F346,1,0)</x:f>
        <x:v>1</x:v>
      </x:c>
    </x:row>
    <x:row r="347" ht="55" customHeight="1">
      <x:c r="A347" s="10" t="str">
        <x:v>T-REL</x:v>
      </x:c>
      <x:c r="B347" s="10" t="str">
        <x:v>TEXT</x:v>
      </x:c>
      <x:c r="C347" s="10" t="str">
        <x:v>TEXT:SYN-F06-02-U02</x:v>
      </x:c>
      <x:c r="D347" s="10" t="str">
        <x:v>TEXT:SYN-F06-02-U02-R01</x:v>
      </x:c>
      <x:c r="E347" s="10" t="str">
        <x:v>["SYN-F06-02:D1@v1"]</x:v>
      </x:c>
      <x:c r="F347" s="10" t="str">
        <x:v>["SYN-F06-02:D1@v1"]</x:v>
      </x:c>
      <x:c r="G347" s="10" t="n">
        <x:f>IF(E347=F347,1,0)</x:f>
        <x:v>1</x:v>
      </x:c>
    </x:row>
    <x:row r="348" ht="55" customHeight="1">
      <x:c r="A348" s="10" t="str">
        <x:v>T-BASE</x:v>
      </x:c>
      <x:c r="B348" s="10" t="str">
        <x:v>TEXT</x:v>
      </x:c>
      <x:c r="C348" s="10" t="str">
        <x:v>TEXT:SYN-F06-03-U01</x:v>
      </x:c>
      <x:c r="D348" s="10" t="str">
        <x:v>TEXT:SYN-F06-03-U01-R01</x:v>
      </x:c>
      <x:c r="E348" s="10" t="str">
        <x:v>["SYN-F06-03:D3@v1"]</x:v>
      </x:c>
      <x:c r="F348" s="10" t="str">
        <x:v>["SYN-F06-03:D3@v1"]</x:v>
      </x:c>
      <x:c r="G348" s="10" t="n">
        <x:f>IF(E348=F348,1,0)</x:f>
        <x:v>1</x:v>
      </x:c>
    </x:row>
    <x:row r="349" ht="55" customHeight="1">
      <x:c r="A349" s="10" t="str">
        <x:v>T-BASE</x:v>
      </x:c>
      <x:c r="B349" s="10" t="str">
        <x:v>TEXT</x:v>
      </x:c>
      <x:c r="C349" s="10" t="str">
        <x:v>TEXT:SYN-F06-03-U02</x:v>
      </x:c>
      <x:c r="D349" s="10" t="str">
        <x:v>TEXT:SYN-F06-03-U02-R01</x:v>
      </x:c>
      <x:c r="E349" s="10" t="str">
        <x:v>["SYN-F06-03:D3@v1"]</x:v>
      </x:c>
      <x:c r="F349" s="10" t="str">
        <x:v>["SYN-F06-03:D3@v1"]</x:v>
      </x:c>
      <x:c r="G349" s="10" t="n">
        <x:f>IF(E349=F349,1,0)</x:f>
        <x:v>1</x:v>
      </x:c>
    </x:row>
    <x:row r="350" ht="55" customHeight="1">
      <x:c r="A350" s="10" t="str">
        <x:v>T-EXEC</x:v>
      </x:c>
      <x:c r="B350" s="10" t="str">
        <x:v>TEXT</x:v>
      </x:c>
      <x:c r="C350" s="10" t="str">
        <x:v>TEXT:SYN-F06-03-U01</x:v>
      </x:c>
      <x:c r="D350" s="10" t="str">
        <x:v>TEXT:SYN-F06-03-U01-R01</x:v>
      </x:c>
      <x:c r="E350" s="10" t="str">
        <x:v>["SYN-F06-03:D3@v1"]</x:v>
      </x:c>
      <x:c r="F350" s="10" t="str">
        <x:v>["SYN-F06-03:D3@v1"]</x:v>
      </x:c>
      <x:c r="G350" s="10" t="n">
        <x:f>IF(E350=F350,1,0)</x:f>
        <x:v>1</x:v>
      </x:c>
    </x:row>
    <x:row r="351" ht="55" customHeight="1">
      <x:c r="A351" s="10" t="str">
        <x:v>T-EXEC</x:v>
      </x:c>
      <x:c r="B351" s="10" t="str">
        <x:v>TEXT</x:v>
      </x:c>
      <x:c r="C351" s="10" t="str">
        <x:v>TEXT:SYN-F06-03-U02</x:v>
      </x:c>
      <x:c r="D351" s="10" t="str">
        <x:v>TEXT:SYN-F06-03-U02-R01</x:v>
      </x:c>
      <x:c r="E351" s="10" t="str">
        <x:v>["SYN-F06-03:D3@v1"]</x:v>
      </x:c>
      <x:c r="F351" s="10" t="str">
        <x:v>["SYN-F06-03:D3@v1"]</x:v>
      </x:c>
      <x:c r="G351" s="10" t="n">
        <x:f>IF(E351=F351,1,0)</x:f>
        <x:v>1</x:v>
      </x:c>
    </x:row>
    <x:row r="352" ht="55" customHeight="1">
      <x:c r="A352" s="10" t="str">
        <x:v>T-REL</x:v>
      </x:c>
      <x:c r="B352" s="10" t="str">
        <x:v>TEXT</x:v>
      </x:c>
      <x:c r="C352" s="10" t="str">
        <x:v>TEXT:SYN-F06-03-U01</x:v>
      </x:c>
      <x:c r="D352" s="10" t="str">
        <x:v>TEXT:SYN-F06-03-U01-R01</x:v>
      </x:c>
      <x:c r="E352" s="10" t="str">
        <x:v>["SYN-F06-03:D3@v1"]</x:v>
      </x:c>
      <x:c r="F352" s="10" t="str">
        <x:v>["SYN-F06-03:D3@v1"]</x:v>
      </x:c>
      <x:c r="G352" s="10" t="n">
        <x:f>IF(E352=F352,1,0)</x:f>
        <x:v>1</x:v>
      </x:c>
    </x:row>
    <x:row r="353" ht="55" customHeight="1">
      <x:c r="A353" s="10" t="str">
        <x:v>T-REL</x:v>
      </x:c>
      <x:c r="B353" s="10" t="str">
        <x:v>TEXT</x:v>
      </x:c>
      <x:c r="C353" s="10" t="str">
        <x:v>TEXT:SYN-F06-03-U02</x:v>
      </x:c>
      <x:c r="D353" s="10" t="str">
        <x:v>TEXT:SYN-F06-03-U02-R01</x:v>
      </x:c>
      <x:c r="E353" s="10" t="str">
        <x:v>["SYN-F06-03:D3@v1"]</x:v>
      </x:c>
      <x:c r="F353" s="10" t="str">
        <x:v>["SYN-F06-03:D3@v1"]</x:v>
      </x:c>
      <x:c r="G353" s="10" t="n">
        <x:f>IF(E353=F353,1,0)</x:f>
        <x:v>1</x:v>
      </x:c>
    </x:row>
    <x:row r="354" ht="55" customHeight="1">
      <x:c r="A354" s="10" t="str">
        <x:v>T-BASE</x:v>
      </x:c>
      <x:c r="B354" s="10" t="str">
        <x:v>TEXT</x:v>
      </x:c>
      <x:c r="C354" s="10" t="str">
        <x:v>TEXT:SYN-F06-04-U01</x:v>
      </x:c>
      <x:c r="D354" s="10" t="str">
        <x:v>TEXT:SYN-F06-04-U01-R01</x:v>
      </x:c>
      <x:c r="E354" s="10" t="str">
        <x:v>["SYN-F06-04:D2@v1"]</x:v>
      </x:c>
      <x:c r="F354" s="10" t="str">
        <x:v>["SYN-F06-04:D2@v1"]</x:v>
      </x:c>
      <x:c r="G354" s="10" t="n">
        <x:f>IF(E354=F354,1,0)</x:f>
        <x:v>1</x:v>
      </x:c>
    </x:row>
    <x:row r="355" ht="55" customHeight="1">
      <x:c r="A355" s="10" t="str">
        <x:v>T-BASE</x:v>
      </x:c>
      <x:c r="B355" s="10" t="str">
        <x:v>TEXT</x:v>
      </x:c>
      <x:c r="C355" s="10" t="str">
        <x:v>TEXT:SYN-F06-04-U02</x:v>
      </x:c>
      <x:c r="D355" s="10" t="str">
        <x:v>TEXT:SYN-F06-04-U02-R01</x:v>
      </x:c>
      <x:c r="E355" s="10" t="str">
        <x:v>["SYN-F06-04:D2@v1"]</x:v>
      </x:c>
      <x:c r="F355" s="10" t="str">
        <x:v>["SYN-F06-04:D2@v1"]</x:v>
      </x:c>
      <x:c r="G355" s="10" t="n">
        <x:f>IF(E355=F355,1,0)</x:f>
        <x:v>1</x:v>
      </x:c>
    </x:row>
    <x:row r="356" ht="55" customHeight="1">
      <x:c r="A356" s="10" t="str">
        <x:v>T-EXEC</x:v>
      </x:c>
      <x:c r="B356" s="10" t="str">
        <x:v>TEXT</x:v>
      </x:c>
      <x:c r="C356" s="10" t="str">
        <x:v>TEXT:SYN-F06-04-U01</x:v>
      </x:c>
      <x:c r="D356" s="10" t="str">
        <x:v>TEXT:SYN-F06-04-U01-R01</x:v>
      </x:c>
      <x:c r="E356" s="10" t="str">
        <x:v>["SYN-F06-04:D2@v1"]</x:v>
      </x:c>
      <x:c r="F356" s="10" t="str">
        <x:v>["SYN-F06-04:D2@v1"]</x:v>
      </x:c>
      <x:c r="G356" s="10" t="n">
        <x:f>IF(E356=F356,1,0)</x:f>
        <x:v>1</x:v>
      </x:c>
    </x:row>
    <x:row r="357" ht="55" customHeight="1">
      <x:c r="A357" s="10" t="str">
        <x:v>T-EXEC</x:v>
      </x:c>
      <x:c r="B357" s="10" t="str">
        <x:v>TEXT</x:v>
      </x:c>
      <x:c r="C357" s="10" t="str">
        <x:v>TEXT:SYN-F06-04-U02</x:v>
      </x:c>
      <x:c r="D357" s="10" t="str">
        <x:v>TEXT:SYN-F06-04-U02-R01</x:v>
      </x:c>
      <x:c r="E357" s="10" t="str">
        <x:v>["SYN-F06-04:D2@v1"]</x:v>
      </x:c>
      <x:c r="F357" s="10" t="str">
        <x:v>["SYN-F06-04:D2@v1"]</x:v>
      </x:c>
      <x:c r="G357" s="10" t="n">
        <x:f>IF(E357=F357,1,0)</x:f>
        <x:v>1</x:v>
      </x:c>
    </x:row>
    <x:row r="358" ht="55" customHeight="1">
      <x:c r="A358" s="10" t="str">
        <x:v>T-REL</x:v>
      </x:c>
      <x:c r="B358" s="10" t="str">
        <x:v>TEXT</x:v>
      </x:c>
      <x:c r="C358" s="10" t="str">
        <x:v>TEXT:SYN-F06-04-U01</x:v>
      </x:c>
      <x:c r="D358" s="10" t="str">
        <x:v>TEXT:SYN-F06-04-U01-R01</x:v>
      </x:c>
      <x:c r="E358" s="10" t="str">
        <x:v>["SYN-F06-04:D2@v1"]</x:v>
      </x:c>
      <x:c r="F358" s="10" t="str">
        <x:v>["SYN-F06-04:D2@v1"]</x:v>
      </x:c>
      <x:c r="G358" s="10" t="n">
        <x:f>IF(E358=F358,1,0)</x:f>
        <x:v>1</x:v>
      </x:c>
    </x:row>
    <x:row r="359" ht="55" customHeight="1">
      <x:c r="A359" s="10" t="str">
        <x:v>T-REL</x:v>
      </x:c>
      <x:c r="B359" s="10" t="str">
        <x:v>TEXT</x:v>
      </x:c>
      <x:c r="C359" s="10" t="str">
        <x:v>TEXT:SYN-F06-04-U02</x:v>
      </x:c>
      <x:c r="D359" s="10" t="str">
        <x:v>TEXT:SYN-F06-04-U02-R01</x:v>
      </x:c>
      <x:c r="E359" s="10" t="str">
        <x:v>["SYN-F06-04:D2@v1"]</x:v>
      </x:c>
      <x:c r="F359" s="10" t="str">
        <x:v>["SYN-F06-04:D2@v1"]</x:v>
      </x:c>
      <x:c r="G359" s="10" t="n">
        <x:f>IF(E359=F359,1,0)</x:f>
        <x:v>1</x:v>
      </x:c>
    </x:row>
    <x:row r="360" ht="55" customHeight="1">
      <x:c r="A360" s="10" t="str">
        <x:v>T-BASE</x:v>
      </x:c>
      <x:c r="B360" s="10" t="str">
        <x:v>TEXT</x:v>
      </x:c>
      <x:c r="C360" s="10" t="str">
        <x:v>TEXT:SYN-F06-05-U01</x:v>
      </x:c>
      <x:c r="D360" s="10" t="str">
        <x:v>TEXT:SYN-F06-05-U01-R01</x:v>
      </x:c>
      <x:c r="E360" s="10" t="str">
        <x:v>["SYN-F06-05:D1@v1"]</x:v>
      </x:c>
      <x:c r="F360" s="10" t="str">
        <x:v>["SYN-F06-05:D1@v1"]</x:v>
      </x:c>
      <x:c r="G360" s="10" t="n">
        <x:f>IF(E360=F360,1,0)</x:f>
        <x:v>1</x:v>
      </x:c>
    </x:row>
    <x:row r="361" ht="55" customHeight="1">
      <x:c r="A361" s="10" t="str">
        <x:v>T-BASE</x:v>
      </x:c>
      <x:c r="B361" s="10" t="str">
        <x:v>TEXT</x:v>
      </x:c>
      <x:c r="C361" s="10" t="str">
        <x:v>TEXT:SYN-F06-05-U02</x:v>
      </x:c>
      <x:c r="D361" s="10" t="str">
        <x:v>TEXT:SYN-F06-05-U02-R01</x:v>
      </x:c>
      <x:c r="E361" s="10" t="str">
        <x:v>["SYN-F06-05:D1@v1"]</x:v>
      </x:c>
      <x:c r="F361" s="10" t="str">
        <x:v>["SYN-F06-05:D1@v1"]</x:v>
      </x:c>
      <x:c r="G361" s="10" t="n">
        <x:f>IF(E361=F361,1,0)</x:f>
        <x:v>1</x:v>
      </x:c>
    </x:row>
    <x:row r="362" ht="55" customHeight="1">
      <x:c r="A362" s="10" t="str">
        <x:v>T-EXEC</x:v>
      </x:c>
      <x:c r="B362" s="10" t="str">
        <x:v>TEXT</x:v>
      </x:c>
      <x:c r="C362" s="10" t="str">
        <x:v>TEXT:SYN-F06-05-U01</x:v>
      </x:c>
      <x:c r="D362" s="10" t="str">
        <x:v>TEXT:SYN-F06-05-U01-R01</x:v>
      </x:c>
      <x:c r="E362" s="10" t="str">
        <x:v>["SYN-F06-05:D1@v1"]</x:v>
      </x:c>
      <x:c r="F362" s="10" t="str">
        <x:v>["SYN-F06-05:D1@v1"]</x:v>
      </x:c>
      <x:c r="G362" s="10" t="n">
        <x:f>IF(E362=F362,1,0)</x:f>
        <x:v>1</x:v>
      </x:c>
    </x:row>
    <x:row r="363" ht="55" customHeight="1">
      <x:c r="A363" s="10" t="str">
        <x:v>T-EXEC</x:v>
      </x:c>
      <x:c r="B363" s="10" t="str">
        <x:v>TEXT</x:v>
      </x:c>
      <x:c r="C363" s="10" t="str">
        <x:v>TEXT:SYN-F06-05-U02</x:v>
      </x:c>
      <x:c r="D363" s="10" t="str">
        <x:v>TEXT:SYN-F06-05-U02-R01</x:v>
      </x:c>
      <x:c r="E363" s="10" t="str">
        <x:v>["SYN-F06-05:D1@v1"]</x:v>
      </x:c>
      <x:c r="F363" s="10" t="str">
        <x:v>["SYN-F06-05:D1@v1"]</x:v>
      </x:c>
      <x:c r="G363" s="10" t="n">
        <x:f>IF(E363=F363,1,0)</x:f>
        <x:v>1</x:v>
      </x:c>
    </x:row>
    <x:row r="364" ht="55" customHeight="1">
      <x:c r="A364" s="10" t="str">
        <x:v>T-REL</x:v>
      </x:c>
      <x:c r="B364" s="10" t="str">
        <x:v>TEXT</x:v>
      </x:c>
      <x:c r="C364" s="10" t="str">
        <x:v>TEXT:SYN-F06-05-U01</x:v>
      </x:c>
      <x:c r="D364" s="10" t="str">
        <x:v>TEXT:SYN-F06-05-U01-R01</x:v>
      </x:c>
      <x:c r="E364" s="10" t="str">
        <x:v>["SYN-F06-05:D1@v1"]</x:v>
      </x:c>
      <x:c r="F364" s="10" t="str">
        <x:v>["SYN-F06-05:D1@v1"]</x:v>
      </x:c>
      <x:c r="G364" s="10" t="n">
        <x:f>IF(E364=F364,1,0)</x:f>
        <x:v>1</x:v>
      </x:c>
    </x:row>
    <x:row r="365" ht="55" customHeight="1">
      <x:c r="A365" s="10" t="str">
        <x:v>T-REL</x:v>
      </x:c>
      <x:c r="B365" s="10" t="str">
        <x:v>TEXT</x:v>
      </x:c>
      <x:c r="C365" s="10" t="str">
        <x:v>TEXT:SYN-F06-05-U02</x:v>
      </x:c>
      <x:c r="D365" s="10" t="str">
        <x:v>TEXT:SYN-F06-05-U02-R01</x:v>
      </x:c>
      <x:c r="E365" s="10" t="str">
        <x:v>["SYN-F06-05:D1@v1"]</x:v>
      </x:c>
      <x:c r="F365" s="10" t="str">
        <x:v>["SYN-F06-05:D1@v1"]</x:v>
      </x:c>
      <x:c r="G365" s="10" t="n">
        <x:f>IF(E365=F365,1,0)</x:f>
        <x:v>1</x:v>
      </x:c>
    </x:row>
    <x:row r="366" ht="55" customHeight="1">
      <x:c r="A366" s="10" t="str">
        <x:v>T-BASE</x:v>
      </x:c>
      <x:c r="B366" s="10" t="str">
        <x:v>TEXT</x:v>
      </x:c>
      <x:c r="C366" s="10" t="str">
        <x:v>TEXT:SYN-F06-06-U01</x:v>
      </x:c>
      <x:c r="D366" s="10" t="str">
        <x:v>TEXT:SYN-F06-06-U01-R01</x:v>
      </x:c>
      <x:c r="E366" s="10" t="str">
        <x:v>["SYN-F06-06:D3@v1"]</x:v>
      </x:c>
      <x:c r="F366" s="10" t="str">
        <x:v>["SYN-F06-06:D3@v1"]</x:v>
      </x:c>
      <x:c r="G366" s="10" t="n">
        <x:f>IF(E366=F366,1,0)</x:f>
        <x:v>1</x:v>
      </x:c>
    </x:row>
    <x:row r="367" ht="55" customHeight="1">
      <x:c r="A367" s="10" t="str">
        <x:v>T-BASE</x:v>
      </x:c>
      <x:c r="B367" s="10" t="str">
        <x:v>TEXT</x:v>
      </x:c>
      <x:c r="C367" s="10" t="str">
        <x:v>TEXT:SYN-F06-06-U02</x:v>
      </x:c>
      <x:c r="D367" s="10" t="str">
        <x:v>TEXT:SYN-F06-06-U02-R01</x:v>
      </x:c>
      <x:c r="E367" s="10" t="str">
        <x:v>["SYN-F06-06:D3@v1"]</x:v>
      </x:c>
      <x:c r="F367" s="10" t="str">
        <x:v>["SYN-F06-06:D3@v1"]</x:v>
      </x:c>
      <x:c r="G367" s="10" t="n">
        <x:f>IF(E367=F367,1,0)</x:f>
        <x:v>1</x:v>
      </x:c>
    </x:row>
    <x:row r="368" ht="55" customHeight="1">
      <x:c r="A368" s="10" t="str">
        <x:v>T-EXEC</x:v>
      </x:c>
      <x:c r="B368" s="10" t="str">
        <x:v>TEXT</x:v>
      </x:c>
      <x:c r="C368" s="10" t="str">
        <x:v>TEXT:SYN-F06-06-U01</x:v>
      </x:c>
      <x:c r="D368" s="10" t="str">
        <x:v>TEXT:SYN-F06-06-U01-R01</x:v>
      </x:c>
      <x:c r="E368" s="10" t="str">
        <x:v>["SYN-F06-06:D3@v1"]</x:v>
      </x:c>
      <x:c r="F368" s="10" t="str">
        <x:v>["SYN-F06-06:D3@v1"]</x:v>
      </x:c>
      <x:c r="G368" s="10" t="n">
        <x:f>IF(E368=F368,1,0)</x:f>
        <x:v>1</x:v>
      </x:c>
    </x:row>
    <x:row r="369" ht="55" customHeight="1">
      <x:c r="A369" s="10" t="str">
        <x:v>T-EXEC</x:v>
      </x:c>
      <x:c r="B369" s="10" t="str">
        <x:v>TEXT</x:v>
      </x:c>
      <x:c r="C369" s="10" t="str">
        <x:v>TEXT:SYN-F06-06-U02</x:v>
      </x:c>
      <x:c r="D369" s="10" t="str">
        <x:v>TEXT:SYN-F06-06-U02-R01</x:v>
      </x:c>
      <x:c r="E369" s="10" t="str">
        <x:v>["SYN-F06-06:D3@v1"]</x:v>
      </x:c>
      <x:c r="F369" s="10" t="str">
        <x:v>["SYN-F06-06:D3@v1"]</x:v>
      </x:c>
      <x:c r="G369" s="10" t="n">
        <x:f>IF(E369=F369,1,0)</x:f>
        <x:v>1</x:v>
      </x:c>
    </x:row>
    <x:row r="370" ht="55" customHeight="1">
      <x:c r="A370" s="10" t="str">
        <x:v>T-REL</x:v>
      </x:c>
      <x:c r="B370" s="10" t="str">
        <x:v>TEXT</x:v>
      </x:c>
      <x:c r="C370" s="10" t="str">
        <x:v>TEXT:SYN-F06-06-U01</x:v>
      </x:c>
      <x:c r="D370" s="10" t="str">
        <x:v>TEXT:SYN-F06-06-U01-R01</x:v>
      </x:c>
      <x:c r="E370" s="10" t="str">
        <x:v>["SYN-F06-06:D3@v1"]</x:v>
      </x:c>
      <x:c r="F370" s="10" t="str">
        <x:v>["SYN-F06-06:D3@v1"]</x:v>
      </x:c>
      <x:c r="G370" s="10" t="n">
        <x:f>IF(E370=F370,1,0)</x:f>
        <x:v>1</x:v>
      </x:c>
    </x:row>
    <x:row r="371" ht="55" customHeight="1">
      <x:c r="A371" s="10" t="str">
        <x:v>T-REL</x:v>
      </x:c>
      <x:c r="B371" s="10" t="str">
        <x:v>TEXT</x:v>
      </x:c>
      <x:c r="C371" s="10" t="str">
        <x:v>TEXT:SYN-F06-06-U02</x:v>
      </x:c>
      <x:c r="D371" s="10" t="str">
        <x:v>TEXT:SYN-F06-06-U02-R01</x:v>
      </x:c>
      <x:c r="E371" s="10" t="str">
        <x:v>["SYN-F06-06:D3@v1"]</x:v>
      </x:c>
      <x:c r="F371" s="10" t="str">
        <x:v>["SYN-F06-06:D3@v1"]</x:v>
      </x:c>
      <x:c r="G371" s="10" t="n">
        <x:f>IF(E371=F371,1,0)</x:f>
        <x:v>1</x:v>
      </x:c>
    </x:row>
    <x:row r="372" ht="55" customHeight="1">
      <x:c r="A372" s="10" t="str">
        <x:v>T-BASE</x:v>
      </x:c>
      <x:c r="B372" s="10" t="str">
        <x:v>TEXT</x:v>
      </x:c>
      <x:c r="C372" s="10" t="str">
        <x:v>TEXT:SYN-F06-07-U01</x:v>
      </x:c>
      <x:c r="D372" s="10" t="str">
        <x:v>TEXT:SYN-F06-07-U01-R01</x:v>
      </x:c>
      <x:c r="E372" s="10" t="str">
        <x:v>["SYN-F06-07:D2@v1"]</x:v>
      </x:c>
      <x:c r="F372" s="10" t="str">
        <x:v>["SYN-F06-07:D2@v1"]</x:v>
      </x:c>
      <x:c r="G372" s="10" t="n">
        <x:f>IF(E372=F372,1,0)</x:f>
        <x:v>1</x:v>
      </x:c>
    </x:row>
    <x:row r="373" ht="55" customHeight="1">
      <x:c r="A373" s="10" t="str">
        <x:v>T-BASE</x:v>
      </x:c>
      <x:c r="B373" s="10" t="str">
        <x:v>TEXT</x:v>
      </x:c>
      <x:c r="C373" s="10" t="str">
        <x:v>TEXT:SYN-F06-07-U02</x:v>
      </x:c>
      <x:c r="D373" s="10" t="str">
        <x:v>TEXT:SYN-F06-07-U02-R01</x:v>
      </x:c>
      <x:c r="E373" s="10" t="str">
        <x:v>["SYN-F06-07:D2@v1"]</x:v>
      </x:c>
      <x:c r="F373" s="10" t="str">
        <x:v>["SYN-F06-07:D2@v1"]</x:v>
      </x:c>
      <x:c r="G373" s="10" t="n">
        <x:f>IF(E373=F373,1,0)</x:f>
        <x:v>1</x:v>
      </x:c>
    </x:row>
    <x:row r="374" ht="55" customHeight="1">
      <x:c r="A374" s="10" t="str">
        <x:v>T-EXEC</x:v>
      </x:c>
      <x:c r="B374" s="10" t="str">
        <x:v>TEXT</x:v>
      </x:c>
      <x:c r="C374" s="10" t="str">
        <x:v>TEXT:SYN-F06-07-U01</x:v>
      </x:c>
      <x:c r="D374" s="10" t="str">
        <x:v>TEXT:SYN-F06-07-U01-R01</x:v>
      </x:c>
      <x:c r="E374" s="10" t="str">
        <x:v>["SYN-F06-07:D2@v1"]</x:v>
      </x:c>
      <x:c r="F374" s="10" t="str">
        <x:v>["SYN-F06-07:D2@v1"]</x:v>
      </x:c>
      <x:c r="G374" s="10" t="n">
        <x:f>IF(E374=F374,1,0)</x:f>
        <x:v>1</x:v>
      </x:c>
    </x:row>
    <x:row r="375" ht="55" customHeight="1">
      <x:c r="A375" s="10" t="str">
        <x:v>T-EXEC</x:v>
      </x:c>
      <x:c r="B375" s="10" t="str">
        <x:v>TEXT</x:v>
      </x:c>
      <x:c r="C375" s="10" t="str">
        <x:v>TEXT:SYN-F06-07-U02</x:v>
      </x:c>
      <x:c r="D375" s="10" t="str">
        <x:v>TEXT:SYN-F06-07-U02-R01</x:v>
      </x:c>
      <x:c r="E375" s="10" t="str">
        <x:v>["SYN-F06-07:D2@v1"]</x:v>
      </x:c>
      <x:c r="F375" s="10" t="str">
        <x:v>["SYN-F06-07:D2@v1"]</x:v>
      </x:c>
      <x:c r="G375" s="10" t="n">
        <x:f>IF(E375=F375,1,0)</x:f>
        <x:v>1</x:v>
      </x:c>
    </x:row>
    <x:row r="376" ht="55" customHeight="1">
      <x:c r="A376" s="10" t="str">
        <x:v>T-REL</x:v>
      </x:c>
      <x:c r="B376" s="10" t="str">
        <x:v>TEXT</x:v>
      </x:c>
      <x:c r="C376" s="10" t="str">
        <x:v>TEXT:SYN-F06-07-U01</x:v>
      </x:c>
      <x:c r="D376" s="10" t="str">
        <x:v>TEXT:SYN-F06-07-U01-R01</x:v>
      </x:c>
      <x:c r="E376" s="10" t="str">
        <x:v>["SYN-F06-07:D2@v1"]</x:v>
      </x:c>
      <x:c r="F376" s="10" t="str">
        <x:v>["SYN-F06-07:D2@v1"]</x:v>
      </x:c>
      <x:c r="G376" s="10" t="n">
        <x:f>IF(E376=F376,1,0)</x:f>
        <x:v>1</x:v>
      </x:c>
    </x:row>
    <x:row r="377" ht="55" customHeight="1">
      <x:c r="A377" s="10" t="str">
        <x:v>T-REL</x:v>
      </x:c>
      <x:c r="B377" s="10" t="str">
        <x:v>TEXT</x:v>
      </x:c>
      <x:c r="C377" s="10" t="str">
        <x:v>TEXT:SYN-F06-07-U02</x:v>
      </x:c>
      <x:c r="D377" s="10" t="str">
        <x:v>TEXT:SYN-F06-07-U02-R01</x:v>
      </x:c>
      <x:c r="E377" s="10" t="str">
        <x:v>["SYN-F06-07:D2@v1"]</x:v>
      </x:c>
      <x:c r="F377" s="10" t="str">
        <x:v>["SYN-F06-07:D2@v1"]</x:v>
      </x:c>
      <x:c r="G377" s="10" t="n">
        <x:f>IF(E377=F377,1,0)</x:f>
        <x:v>1</x:v>
      </x:c>
    </x:row>
    <x:row r="378" ht="55" customHeight="1">
      <x:c r="A378" s="10" t="str">
        <x:v>T-BASE</x:v>
      </x:c>
      <x:c r="B378" s="10" t="str">
        <x:v>TEXT</x:v>
      </x:c>
      <x:c r="C378" s="10" t="str">
        <x:v>TEXT:SYN-F06-08-U01</x:v>
      </x:c>
      <x:c r="D378" s="10" t="str">
        <x:v>TEXT:SYN-F06-08-U01-R01</x:v>
      </x:c>
      <x:c r="E378" s="10" t="str">
        <x:v>["SYN-F06-08:D1@v1"]</x:v>
      </x:c>
      <x:c r="F378" s="10" t="str">
        <x:v>["SYN-F06-08:D1@v1"]</x:v>
      </x:c>
      <x:c r="G378" s="10" t="n">
        <x:f>IF(E378=F378,1,0)</x:f>
        <x:v>1</x:v>
      </x:c>
    </x:row>
    <x:row r="379" ht="55" customHeight="1">
      <x:c r="A379" s="10" t="str">
        <x:v>T-BASE</x:v>
      </x:c>
      <x:c r="B379" s="10" t="str">
        <x:v>TEXT</x:v>
      </x:c>
      <x:c r="C379" s="10" t="str">
        <x:v>TEXT:SYN-F06-08-U02</x:v>
      </x:c>
      <x:c r="D379" s="10" t="str">
        <x:v>TEXT:SYN-F06-08-U02-R01</x:v>
      </x:c>
      <x:c r="E379" s="10" t="str">
        <x:v>["SYN-F06-08:D1@v1"]</x:v>
      </x:c>
      <x:c r="F379" s="10" t="str">
        <x:v>["SYN-F06-08:D1@v1"]</x:v>
      </x:c>
      <x:c r="G379" s="10" t="n">
        <x:f>IF(E379=F379,1,0)</x:f>
        <x:v>1</x:v>
      </x:c>
    </x:row>
    <x:row r="380" ht="55" customHeight="1">
      <x:c r="A380" s="10" t="str">
        <x:v>T-EXEC</x:v>
      </x:c>
      <x:c r="B380" s="10" t="str">
        <x:v>TEXT</x:v>
      </x:c>
      <x:c r="C380" s="10" t="str">
        <x:v>TEXT:SYN-F06-08-U01</x:v>
      </x:c>
      <x:c r="D380" s="10" t="str">
        <x:v>TEXT:SYN-F06-08-U01-R01</x:v>
      </x:c>
      <x:c r="E380" s="10" t="str">
        <x:v>["SYN-F06-08:D1@v1"]</x:v>
      </x:c>
      <x:c r="F380" s="10" t="str">
        <x:v>["SYN-F06-08:D1@v1"]</x:v>
      </x:c>
      <x:c r="G380" s="10" t="n">
        <x:f>IF(E380=F380,1,0)</x:f>
        <x:v>1</x:v>
      </x:c>
    </x:row>
    <x:row r="381" ht="55" customHeight="1">
      <x:c r="A381" s="10" t="str">
        <x:v>T-EXEC</x:v>
      </x:c>
      <x:c r="B381" s="10" t="str">
        <x:v>TEXT</x:v>
      </x:c>
      <x:c r="C381" s="10" t="str">
        <x:v>TEXT:SYN-F06-08-U02</x:v>
      </x:c>
      <x:c r="D381" s="10" t="str">
        <x:v>TEXT:SYN-F06-08-U02-R01</x:v>
      </x:c>
      <x:c r="E381" s="10" t="str">
        <x:v>["SYN-F06-08:D1@v1"]</x:v>
      </x:c>
      <x:c r="F381" s="10" t="str">
        <x:v>["SYN-F06-08:D1@v1"]</x:v>
      </x:c>
      <x:c r="G381" s="10" t="n">
        <x:f>IF(E381=F381,1,0)</x:f>
        <x:v>1</x:v>
      </x:c>
    </x:row>
    <x:row r="382" ht="55" customHeight="1">
      <x:c r="A382" s="10" t="str">
        <x:v>T-REL</x:v>
      </x:c>
      <x:c r="B382" s="10" t="str">
        <x:v>TEXT</x:v>
      </x:c>
      <x:c r="C382" s="10" t="str">
        <x:v>TEXT:SYN-F06-08-U01</x:v>
      </x:c>
      <x:c r="D382" s="10" t="str">
        <x:v>TEXT:SYN-F06-08-U01-R01</x:v>
      </x:c>
      <x:c r="E382" s="10" t="str">
        <x:v>["SYN-F06-08:D1@v1"]</x:v>
      </x:c>
      <x:c r="F382" s="10" t="str">
        <x:v>["SYN-F06-08:D1@v1"]</x:v>
      </x:c>
      <x:c r="G382" s="10" t="n">
        <x:f>IF(E382=F382,1,0)</x:f>
        <x:v>1</x:v>
      </x:c>
    </x:row>
    <x:row r="383" ht="55" customHeight="1">
      <x:c r="A383" s="10" t="str">
        <x:v>T-REL</x:v>
      </x:c>
      <x:c r="B383" s="10" t="str">
        <x:v>TEXT</x:v>
      </x:c>
      <x:c r="C383" s="10" t="str">
        <x:v>TEXT:SYN-F06-08-U02</x:v>
      </x:c>
      <x:c r="D383" s="10" t="str">
        <x:v>TEXT:SYN-F06-08-U02-R01</x:v>
      </x:c>
      <x:c r="E383" s="10" t="str">
        <x:v>["SYN-F06-08:D1@v1"]</x:v>
      </x:c>
      <x:c r="F383" s="10" t="str">
        <x:v>["SYN-F06-08:D1@v1"]</x:v>
      </x:c>
      <x:c r="G383" s="10" t="n">
        <x:f>IF(E383=F383,1,0)</x:f>
        <x:v>1</x:v>
      </x:c>
    </x:row>
    <x:row r="384" ht="55" customHeight="1">
      <x:c r="A384" s="10" t="str">
        <x:v>T-BASE</x:v>
      </x:c>
      <x:c r="B384" s="10" t="str">
        <x:v>TEXT</x:v>
      </x:c>
      <x:c r="C384" s="10" t="str">
        <x:v>TEXT:SYN-F06-09-U01</x:v>
      </x:c>
      <x:c r="D384" s="10" t="str">
        <x:v>TEXT:SYN-F06-09-U01-R01</x:v>
      </x:c>
      <x:c r="E384" s="10" t="str">
        <x:v>["SYN-F06-09:D3@v1"]</x:v>
      </x:c>
      <x:c r="F384" s="10" t="str">
        <x:v>["SYN-F06-09:D3@v1"]</x:v>
      </x:c>
      <x:c r="G384" s="10" t="n">
        <x:f>IF(E384=F384,1,0)</x:f>
        <x:v>1</x:v>
      </x:c>
    </x:row>
    <x:row r="385" ht="55" customHeight="1">
      <x:c r="A385" s="10" t="str">
        <x:v>T-BASE</x:v>
      </x:c>
      <x:c r="B385" s="10" t="str">
        <x:v>TEXT</x:v>
      </x:c>
      <x:c r="C385" s="10" t="str">
        <x:v>TEXT:SYN-F06-09-U02</x:v>
      </x:c>
      <x:c r="D385" s="10" t="str">
        <x:v>TEXT:SYN-F06-09-U02-R01</x:v>
      </x:c>
      <x:c r="E385" s="10" t="str">
        <x:v>["SYN-F06-09:D3@v1"]</x:v>
      </x:c>
      <x:c r="F385" s="10" t="str">
        <x:v>["SYN-F06-09:D3@v1"]</x:v>
      </x:c>
      <x:c r="G385" s="10" t="n">
        <x:f>IF(E385=F385,1,0)</x:f>
        <x:v>1</x:v>
      </x:c>
    </x:row>
    <x:row r="386" ht="55" customHeight="1">
      <x:c r="A386" s="10" t="str">
        <x:v>T-EXEC</x:v>
      </x:c>
      <x:c r="B386" s="10" t="str">
        <x:v>TEXT</x:v>
      </x:c>
      <x:c r="C386" s="10" t="str">
        <x:v>TEXT:SYN-F06-09-U01</x:v>
      </x:c>
      <x:c r="D386" s="10" t="str">
        <x:v>TEXT:SYN-F06-09-U01-R01</x:v>
      </x:c>
      <x:c r="E386" s="10" t="str">
        <x:v>["SYN-F06-09:D3@v1"]</x:v>
      </x:c>
      <x:c r="F386" s="10" t="str">
        <x:v>["SYN-F06-09:D3@v1"]</x:v>
      </x:c>
      <x:c r="G386" s="10" t="n">
        <x:f>IF(E386=F386,1,0)</x:f>
        <x:v>1</x:v>
      </x:c>
    </x:row>
    <x:row r="387" ht="55" customHeight="1">
      <x:c r="A387" s="10" t="str">
        <x:v>T-EXEC</x:v>
      </x:c>
      <x:c r="B387" s="10" t="str">
        <x:v>TEXT</x:v>
      </x:c>
      <x:c r="C387" s="10" t="str">
        <x:v>TEXT:SYN-F06-09-U02</x:v>
      </x:c>
      <x:c r="D387" s="10" t="str">
        <x:v>TEXT:SYN-F06-09-U02-R01</x:v>
      </x:c>
      <x:c r="E387" s="10" t="str">
        <x:v>["SYN-F06-09:D3@v1"]</x:v>
      </x:c>
      <x:c r="F387" s="10" t="str">
        <x:v>["SYN-F06-09:D3@v1"]</x:v>
      </x:c>
      <x:c r="G387" s="10" t="n">
        <x:f>IF(E387=F387,1,0)</x:f>
        <x:v>1</x:v>
      </x:c>
    </x:row>
    <x:row r="388" ht="55" customHeight="1">
      <x:c r="A388" s="10" t="str">
        <x:v>T-REL</x:v>
      </x:c>
      <x:c r="B388" s="10" t="str">
        <x:v>TEXT</x:v>
      </x:c>
      <x:c r="C388" s="10" t="str">
        <x:v>TEXT:SYN-F06-09-U01</x:v>
      </x:c>
      <x:c r="D388" s="10" t="str">
        <x:v>TEXT:SYN-F06-09-U01-R01</x:v>
      </x:c>
      <x:c r="E388" s="10" t="str">
        <x:v>["SYN-F06-09:D3@v1"]</x:v>
      </x:c>
      <x:c r="F388" s="10" t="str">
        <x:v>["SYN-F06-09:D3@v1"]</x:v>
      </x:c>
      <x:c r="G388" s="10" t="n">
        <x:f>IF(E388=F388,1,0)</x:f>
        <x:v>1</x:v>
      </x:c>
    </x:row>
    <x:row r="389" ht="55" customHeight="1">
      <x:c r="A389" s="10" t="str">
        <x:v>T-REL</x:v>
      </x:c>
      <x:c r="B389" s="10" t="str">
        <x:v>TEXT</x:v>
      </x:c>
      <x:c r="C389" s="10" t="str">
        <x:v>TEXT:SYN-F06-09-U02</x:v>
      </x:c>
      <x:c r="D389" s="10" t="str">
        <x:v>TEXT:SYN-F06-09-U02-R01</x:v>
      </x:c>
      <x:c r="E389" s="10" t="str">
        <x:v>["SYN-F06-09:D3@v1"]</x:v>
      </x:c>
      <x:c r="F389" s="10" t="str">
        <x:v>["SYN-F06-09:D3@v1"]</x:v>
      </x:c>
      <x:c r="G389" s="10" t="n">
        <x:f>IF(E389=F389,1,0)</x:f>
        <x:v>1</x:v>
      </x:c>
    </x:row>
    <x:row r="390" ht="55" customHeight="1">
      <x:c r="A390" s="10" t="str">
        <x:v>T-BASE</x:v>
      </x:c>
      <x:c r="B390" s="10" t="str">
        <x:v>TEXT</x:v>
      </x:c>
      <x:c r="C390" s="10" t="str">
        <x:v>TEXT:SYN-F06-10-U01</x:v>
      </x:c>
      <x:c r="D390" s="10" t="str">
        <x:v>TEXT:SYN-F06-10-U01-R01</x:v>
      </x:c>
      <x:c r="E390" s="10" t="str">
        <x:v>["SYN-F06-10:D2@v1"]</x:v>
      </x:c>
      <x:c r="F390" s="10" t="str">
        <x:v>["SYN-F06-10:D2@v1"]</x:v>
      </x:c>
      <x:c r="G390" s="10" t="n">
        <x:f>IF(E390=F390,1,0)</x:f>
        <x:v>1</x:v>
      </x:c>
    </x:row>
    <x:row r="391" ht="55" customHeight="1">
      <x:c r="A391" s="10" t="str">
        <x:v>T-BASE</x:v>
      </x:c>
      <x:c r="B391" s="10" t="str">
        <x:v>TEXT</x:v>
      </x:c>
      <x:c r="C391" s="10" t="str">
        <x:v>TEXT:SYN-F06-10-U02</x:v>
      </x:c>
      <x:c r="D391" s="10" t="str">
        <x:v>TEXT:SYN-F06-10-U02-R01</x:v>
      </x:c>
      <x:c r="E391" s="10" t="str">
        <x:v>["SYN-F06-10:D2@v1"]</x:v>
      </x:c>
      <x:c r="F391" s="10" t="str">
        <x:v>["SYN-F06-10:D2@v1"]</x:v>
      </x:c>
      <x:c r="G391" s="10" t="n">
        <x:f>IF(E391=F391,1,0)</x:f>
        <x:v>1</x:v>
      </x:c>
    </x:row>
    <x:row r="392" ht="55" customHeight="1">
      <x:c r="A392" s="10" t="str">
        <x:v>T-EXEC</x:v>
      </x:c>
      <x:c r="B392" s="10" t="str">
        <x:v>TEXT</x:v>
      </x:c>
      <x:c r="C392" s="10" t="str">
        <x:v>TEXT:SYN-F06-10-U01</x:v>
      </x:c>
      <x:c r="D392" s="10" t="str">
        <x:v>TEXT:SYN-F06-10-U01-R01</x:v>
      </x:c>
      <x:c r="E392" s="10" t="str">
        <x:v>["SYN-F06-10:D2@v1"]</x:v>
      </x:c>
      <x:c r="F392" s="10" t="str">
        <x:v>["SYN-F06-10:D2@v1"]</x:v>
      </x:c>
      <x:c r="G392" s="10" t="n">
        <x:f>IF(E392=F392,1,0)</x:f>
        <x:v>1</x:v>
      </x:c>
    </x:row>
    <x:row r="393" ht="55" customHeight="1">
      <x:c r="A393" s="10" t="str">
        <x:v>T-EXEC</x:v>
      </x:c>
      <x:c r="B393" s="10" t="str">
        <x:v>TEXT</x:v>
      </x:c>
      <x:c r="C393" s="10" t="str">
        <x:v>TEXT:SYN-F06-10-U02</x:v>
      </x:c>
      <x:c r="D393" s="10" t="str">
        <x:v>TEXT:SYN-F06-10-U02-R01</x:v>
      </x:c>
      <x:c r="E393" s="10" t="str">
        <x:v>["SYN-F06-10:D2@v1"]</x:v>
      </x:c>
      <x:c r="F393" s="10" t="str">
        <x:v>["SYN-F06-10:D2@v1"]</x:v>
      </x:c>
      <x:c r="G393" s="10" t="n">
        <x:f>IF(E393=F393,1,0)</x:f>
        <x:v>1</x:v>
      </x:c>
    </x:row>
    <x:row r="394" ht="55" customHeight="1">
      <x:c r="A394" s="10" t="str">
        <x:v>T-REL</x:v>
      </x:c>
      <x:c r="B394" s="10" t="str">
        <x:v>TEXT</x:v>
      </x:c>
      <x:c r="C394" s="10" t="str">
        <x:v>TEXT:SYN-F06-10-U01</x:v>
      </x:c>
      <x:c r="D394" s="10" t="str">
        <x:v>TEXT:SYN-F06-10-U01-R01</x:v>
      </x:c>
      <x:c r="E394" s="10" t="str">
        <x:v>["SYN-F06-10:D2@v1"]</x:v>
      </x:c>
      <x:c r="F394" s="10" t="str">
        <x:v>["SYN-F06-10:D2@v1"]</x:v>
      </x:c>
      <x:c r="G394" s="10" t="n">
        <x:f>IF(E394=F394,1,0)</x:f>
        <x:v>1</x:v>
      </x:c>
    </x:row>
    <x:row r="395" ht="55" customHeight="1">
      <x:c r="A395" s="10" t="str">
        <x:v>T-REL</x:v>
      </x:c>
      <x:c r="B395" s="10" t="str">
        <x:v>TEXT</x:v>
      </x:c>
      <x:c r="C395" s="10" t="str">
        <x:v>TEXT:SYN-F06-10-U02</x:v>
      </x:c>
      <x:c r="D395" s="10" t="str">
        <x:v>TEXT:SYN-F06-10-U02-R01</x:v>
      </x:c>
      <x:c r="E395" s="10" t="str">
        <x:v>["SYN-F06-10:D2@v1"]</x:v>
      </x:c>
      <x:c r="F395" s="10" t="str">
        <x:v>["SYN-F06-10:D2@v1"]</x:v>
      </x:c>
      <x:c r="G395" s="10" t="n">
        <x:f>IF(E395=F395,1,0)</x:f>
        <x:v>1</x:v>
      </x:c>
    </x:row>
    <x:row r="396" ht="55" customHeight="1">
      <x:c r="A396" s="10" t="str">
        <x:v>T-BASE</x:v>
      </x:c>
      <x:c r="B396" s="10" t="str">
        <x:v>TEXT</x:v>
      </x:c>
      <x:c r="C396" s="10" t="str">
        <x:v>TEXT:SYN-F07-01-U01</x:v>
      </x:c>
      <x:c r="D396" s="10" t="str">
        <x:v>TEXT:SYN-F07-01-U01-R01</x:v>
      </x:c>
      <x:c r="E396" s="10" t="str">
        <x:v>["SYN-F07-01:D2@v1"]</x:v>
      </x:c>
      <x:c r="F396" s="10" t="str">
        <x:v>["SYN-F07-01:D2@v1"]</x:v>
      </x:c>
      <x:c r="G396" s="10" t="n">
        <x:f>IF(E396=F396,1,0)</x:f>
        <x:v>1</x:v>
      </x:c>
    </x:row>
    <x:row r="397" ht="55" customHeight="1">
      <x:c r="A397" s="10" t="str">
        <x:v>T-BASE</x:v>
      </x:c>
      <x:c r="B397" s="10" t="str">
        <x:v>TEXT</x:v>
      </x:c>
      <x:c r="C397" s="10" t="str">
        <x:v>TEXT:SYN-F07-01-U02</x:v>
      </x:c>
      <x:c r="D397" s="10" t="str">
        <x:v>TEXT:SYN-F07-01-U02-R01</x:v>
      </x:c>
      <x:c r="E397" s="10" t="str">
        <x:v>["SYN-F07-01:D2@v1"]</x:v>
      </x:c>
      <x:c r="F397" s="10" t="str">
        <x:v>["SYN-F07-01:D2@v1"]</x:v>
      </x:c>
      <x:c r="G397" s="10" t="n">
        <x:f>IF(E397=F397,1,0)</x:f>
        <x:v>1</x:v>
      </x:c>
    </x:row>
    <x:row r="398" ht="55" customHeight="1">
      <x:c r="A398" s="10" t="str">
        <x:v>T-EXEC</x:v>
      </x:c>
      <x:c r="B398" s="10" t="str">
        <x:v>TEXT</x:v>
      </x:c>
      <x:c r="C398" s="10" t="str">
        <x:v>TEXT:SYN-F07-01-U01</x:v>
      </x:c>
      <x:c r="D398" s="10" t="str">
        <x:v>TEXT:SYN-F07-01-U01-R01</x:v>
      </x:c>
      <x:c r="E398" s="10" t="str">
        <x:v>["SYN-F07-01:D2@v1"]</x:v>
      </x:c>
      <x:c r="F398" s="10" t="str">
        <x:v>["SYN-F07-01:D2@v1"]</x:v>
      </x:c>
      <x:c r="G398" s="10" t="n">
        <x:f>IF(E398=F398,1,0)</x:f>
        <x:v>1</x:v>
      </x:c>
    </x:row>
    <x:row r="399" ht="55" customHeight="1">
      <x:c r="A399" s="10" t="str">
        <x:v>T-EXEC</x:v>
      </x:c>
      <x:c r="B399" s="10" t="str">
        <x:v>TEXT</x:v>
      </x:c>
      <x:c r="C399" s="10" t="str">
        <x:v>TEXT:SYN-F07-01-U02</x:v>
      </x:c>
      <x:c r="D399" s="10" t="str">
        <x:v>TEXT:SYN-F07-01-U02-R01</x:v>
      </x:c>
      <x:c r="E399" s="10" t="str">
        <x:v>["SYN-F07-01:D2@v1"]</x:v>
      </x:c>
      <x:c r="F399" s="10" t="str">
        <x:v>["SYN-F07-01:D2@v1"]</x:v>
      </x:c>
      <x:c r="G399" s="10" t="n">
        <x:f>IF(E399=F399,1,0)</x:f>
        <x:v>1</x:v>
      </x:c>
    </x:row>
    <x:row r="400" ht="55" customHeight="1">
      <x:c r="A400" s="10" t="str">
        <x:v>T-REL</x:v>
      </x:c>
      <x:c r="B400" s="10" t="str">
        <x:v>TEXT</x:v>
      </x:c>
      <x:c r="C400" s="10" t="str">
        <x:v>TEXT:SYN-F07-01-U01</x:v>
      </x:c>
      <x:c r="D400" s="10" t="str">
        <x:v>TEXT:SYN-F07-01-U01-R01</x:v>
      </x:c>
      <x:c r="E400" s="10" t="str">
        <x:v>["SYN-F07-01:D2@v1"]</x:v>
      </x:c>
      <x:c r="F400" s="10" t="str">
        <x:v>["SYN-F07-01:D2@v1"]</x:v>
      </x:c>
      <x:c r="G400" s="10" t="n">
        <x:f>IF(E400=F400,1,0)</x:f>
        <x:v>1</x:v>
      </x:c>
    </x:row>
    <x:row r="401" ht="55" customHeight="1">
      <x:c r="A401" s="10" t="str">
        <x:v>T-REL</x:v>
      </x:c>
      <x:c r="B401" s="10" t="str">
        <x:v>TEXT</x:v>
      </x:c>
      <x:c r="C401" s="10" t="str">
        <x:v>TEXT:SYN-F07-01-U02</x:v>
      </x:c>
      <x:c r="D401" s="10" t="str">
        <x:v>TEXT:SYN-F07-01-U02-R01</x:v>
      </x:c>
      <x:c r="E401" s="10" t="str">
        <x:v>["SYN-F07-01:D2@v1"]</x:v>
      </x:c>
      <x:c r="F401" s="10" t="str">
        <x:v>["SYN-F07-01:D2@v1"]</x:v>
      </x:c>
      <x:c r="G401" s="10" t="n">
        <x:f>IF(E401=F401,1,0)</x:f>
        <x:v>1</x:v>
      </x:c>
    </x:row>
    <x:row r="402" ht="55" customHeight="1">
      <x:c r="A402" s="10" t="str">
        <x:v>T-BASE</x:v>
      </x:c>
      <x:c r="B402" s="10" t="str">
        <x:v>TEXT</x:v>
      </x:c>
      <x:c r="C402" s="10" t="str">
        <x:v>TEXT:SYN-F07-02-U01</x:v>
      </x:c>
      <x:c r="D402" s="10" t="str">
        <x:v>TEXT:SYN-F07-02-U01-R01</x:v>
      </x:c>
      <x:c r="E402" s="10" t="str">
        <x:v>["SYN-F07-02:D1@v1"]</x:v>
      </x:c>
      <x:c r="F402" s="10" t="str">
        <x:v>["SYN-F07-02:D1@v1"]</x:v>
      </x:c>
      <x:c r="G402" s="10" t="n">
        <x:f>IF(E402=F402,1,0)</x:f>
        <x:v>1</x:v>
      </x:c>
    </x:row>
    <x:row r="403" ht="55" customHeight="1">
      <x:c r="A403" s="10" t="str">
        <x:v>T-BASE</x:v>
      </x:c>
      <x:c r="B403" s="10" t="str">
        <x:v>TEXT</x:v>
      </x:c>
      <x:c r="C403" s="10" t="str">
        <x:v>TEXT:SYN-F07-02-U02</x:v>
      </x:c>
      <x:c r="D403" s="10" t="str">
        <x:v>TEXT:SYN-F07-02-U02-R01</x:v>
      </x:c>
      <x:c r="E403" s="10" t="str">
        <x:v>["SYN-F07-02:D1@v1"]</x:v>
      </x:c>
      <x:c r="F403" s="10" t="str">
        <x:v>["SYN-F07-02:D1@v1"]</x:v>
      </x:c>
      <x:c r="G403" s="10" t="n">
        <x:f>IF(E403=F403,1,0)</x:f>
        <x:v>1</x:v>
      </x:c>
    </x:row>
    <x:row r="404" ht="55" customHeight="1">
      <x:c r="A404" s="10" t="str">
        <x:v>T-EXEC</x:v>
      </x:c>
      <x:c r="B404" s="10" t="str">
        <x:v>TEXT</x:v>
      </x:c>
      <x:c r="C404" s="10" t="str">
        <x:v>TEXT:SYN-F07-02-U01</x:v>
      </x:c>
      <x:c r="D404" s="10" t="str">
        <x:v>TEXT:SYN-F07-02-U01-R01</x:v>
      </x:c>
      <x:c r="E404" s="10" t="str">
        <x:v>["SYN-F07-02:D1@v1"]</x:v>
      </x:c>
      <x:c r="F404" s="10" t="str">
        <x:v>["SYN-F07-02:D1@v1"]</x:v>
      </x:c>
      <x:c r="G404" s="10" t="n">
        <x:f>IF(E404=F404,1,0)</x:f>
        <x:v>1</x:v>
      </x:c>
    </x:row>
    <x:row r="405" ht="55" customHeight="1">
      <x:c r="A405" s="10" t="str">
        <x:v>T-EXEC</x:v>
      </x:c>
      <x:c r="B405" s="10" t="str">
        <x:v>TEXT</x:v>
      </x:c>
      <x:c r="C405" s="10" t="str">
        <x:v>TEXT:SYN-F07-02-U02</x:v>
      </x:c>
      <x:c r="D405" s="10" t="str">
        <x:v>TEXT:SYN-F07-02-U02-R01</x:v>
      </x:c>
      <x:c r="E405" s="10" t="str">
        <x:v>["SYN-F07-02:D1@v1"]</x:v>
      </x:c>
      <x:c r="F405" s="10" t="str">
        <x:v>["SYN-F07-02:D1@v1"]</x:v>
      </x:c>
      <x:c r="G405" s="10" t="n">
        <x:f>IF(E405=F405,1,0)</x:f>
        <x:v>1</x:v>
      </x:c>
    </x:row>
    <x:row r="406" ht="55" customHeight="1">
      <x:c r="A406" s="10" t="str">
        <x:v>T-REL</x:v>
      </x:c>
      <x:c r="B406" s="10" t="str">
        <x:v>TEXT</x:v>
      </x:c>
      <x:c r="C406" s="10" t="str">
        <x:v>TEXT:SYN-F07-02-U01</x:v>
      </x:c>
      <x:c r="D406" s="10" t="str">
        <x:v>TEXT:SYN-F07-02-U01-R01</x:v>
      </x:c>
      <x:c r="E406" s="10" t="str">
        <x:v>["SYN-F07-02:D1@v1"]</x:v>
      </x:c>
      <x:c r="F406" s="10" t="str">
        <x:v>["SYN-F07-02:D1@v1"]</x:v>
      </x:c>
      <x:c r="G406" s="10" t="n">
        <x:f>IF(E406=F406,1,0)</x:f>
        <x:v>1</x:v>
      </x:c>
    </x:row>
    <x:row r="407" ht="55" customHeight="1">
      <x:c r="A407" s="10" t="str">
        <x:v>T-REL</x:v>
      </x:c>
      <x:c r="B407" s="10" t="str">
        <x:v>TEXT</x:v>
      </x:c>
      <x:c r="C407" s="10" t="str">
        <x:v>TEXT:SYN-F07-02-U02</x:v>
      </x:c>
      <x:c r="D407" s="10" t="str">
        <x:v>TEXT:SYN-F07-02-U02-R01</x:v>
      </x:c>
      <x:c r="E407" s="10" t="str">
        <x:v>["SYN-F07-02:D1@v1"]</x:v>
      </x:c>
      <x:c r="F407" s="10" t="str">
        <x:v>["SYN-F07-02:D1@v1"]</x:v>
      </x:c>
      <x:c r="G407" s="10" t="n">
        <x:f>IF(E407=F407,1,0)</x:f>
        <x:v>1</x:v>
      </x:c>
    </x:row>
    <x:row r="408" ht="55" customHeight="1">
      <x:c r="A408" s="10" t="str">
        <x:v>T-BASE</x:v>
      </x:c>
      <x:c r="B408" s="10" t="str">
        <x:v>TEXT</x:v>
      </x:c>
      <x:c r="C408" s="10" t="str">
        <x:v>TEXT:SYN-F07-03-U01</x:v>
      </x:c>
      <x:c r="D408" s="10" t="str">
        <x:v>TEXT:SYN-F07-03-U01-R01</x:v>
      </x:c>
      <x:c r="E408" s="10" t="str">
        <x:v>["SYN-F07-03:D3@v1"]</x:v>
      </x:c>
      <x:c r="F408" s="10" t="str">
        <x:v>["SYN-F07-03:D3@v1"]</x:v>
      </x:c>
      <x:c r="G408" s="10" t="n">
        <x:f>IF(E408=F408,1,0)</x:f>
        <x:v>1</x:v>
      </x:c>
    </x:row>
    <x:row r="409" ht="55" customHeight="1">
      <x:c r="A409" s="10" t="str">
        <x:v>T-BASE</x:v>
      </x:c>
      <x:c r="B409" s="10" t="str">
        <x:v>TEXT</x:v>
      </x:c>
      <x:c r="C409" s="10" t="str">
        <x:v>TEXT:SYN-F07-03-U02</x:v>
      </x:c>
      <x:c r="D409" s="10" t="str">
        <x:v>TEXT:SYN-F07-03-U02-R01</x:v>
      </x:c>
      <x:c r="E409" s="10" t="str">
        <x:v>["SYN-F07-03:D3@v1"]</x:v>
      </x:c>
      <x:c r="F409" s="10" t="str">
        <x:v>["SYN-F07-03:D3@v1"]</x:v>
      </x:c>
      <x:c r="G409" s="10" t="n">
        <x:f>IF(E409=F409,1,0)</x:f>
        <x:v>1</x:v>
      </x:c>
    </x:row>
    <x:row r="410" ht="55" customHeight="1">
      <x:c r="A410" s="10" t="str">
        <x:v>T-EXEC</x:v>
      </x:c>
      <x:c r="B410" s="10" t="str">
        <x:v>TEXT</x:v>
      </x:c>
      <x:c r="C410" s="10" t="str">
        <x:v>TEXT:SYN-F07-03-U01</x:v>
      </x:c>
      <x:c r="D410" s="10" t="str">
        <x:v>TEXT:SYN-F07-03-U01-R01</x:v>
      </x:c>
      <x:c r="E410" s="10" t="str">
        <x:v>["SYN-F07-03:D3@v1"]</x:v>
      </x:c>
      <x:c r="F410" s="10" t="str">
        <x:v>["SYN-F07-03:D3@v1"]</x:v>
      </x:c>
      <x:c r="G410" s="10" t="n">
        <x:f>IF(E410=F410,1,0)</x:f>
        <x:v>1</x:v>
      </x:c>
    </x:row>
    <x:row r="411" ht="55" customHeight="1">
      <x:c r="A411" s="10" t="str">
        <x:v>T-EXEC</x:v>
      </x:c>
      <x:c r="B411" s="10" t="str">
        <x:v>TEXT</x:v>
      </x:c>
      <x:c r="C411" s="10" t="str">
        <x:v>TEXT:SYN-F07-03-U02</x:v>
      </x:c>
      <x:c r="D411" s="10" t="str">
        <x:v>TEXT:SYN-F07-03-U02-R01</x:v>
      </x:c>
      <x:c r="E411" s="10" t="str">
        <x:v>["SYN-F07-03:D3@v1"]</x:v>
      </x:c>
      <x:c r="F411" s="10" t="str">
        <x:v>["SYN-F07-03:D3@v1"]</x:v>
      </x:c>
      <x:c r="G411" s="10" t="n">
        <x:f>IF(E411=F411,1,0)</x:f>
        <x:v>1</x:v>
      </x:c>
    </x:row>
    <x:row r="412" ht="55" customHeight="1">
      <x:c r="A412" s="10" t="str">
        <x:v>T-REL</x:v>
      </x:c>
      <x:c r="B412" s="10" t="str">
        <x:v>TEXT</x:v>
      </x:c>
      <x:c r="C412" s="10" t="str">
        <x:v>TEXT:SYN-F07-03-U01</x:v>
      </x:c>
      <x:c r="D412" s="10" t="str">
        <x:v>TEXT:SYN-F07-03-U01-R01</x:v>
      </x:c>
      <x:c r="E412" s="10" t="str">
        <x:v>["SYN-F07-03:D3@v1"]</x:v>
      </x:c>
      <x:c r="F412" s="10" t="str">
        <x:v>["SYN-F07-03:D3@v1"]</x:v>
      </x:c>
      <x:c r="G412" s="10" t="n">
        <x:f>IF(E412=F412,1,0)</x:f>
        <x:v>1</x:v>
      </x:c>
    </x:row>
    <x:row r="413" ht="55" customHeight="1">
      <x:c r="A413" s="10" t="str">
        <x:v>T-REL</x:v>
      </x:c>
      <x:c r="B413" s="10" t="str">
        <x:v>TEXT</x:v>
      </x:c>
      <x:c r="C413" s="10" t="str">
        <x:v>TEXT:SYN-F07-03-U02</x:v>
      </x:c>
      <x:c r="D413" s="10" t="str">
        <x:v>TEXT:SYN-F07-03-U02-R01</x:v>
      </x:c>
      <x:c r="E413" s="10" t="str">
        <x:v>["SYN-F07-03:D3@v1"]</x:v>
      </x:c>
      <x:c r="F413" s="10" t="str">
        <x:v>["SYN-F07-03:D3@v1"]</x:v>
      </x:c>
      <x:c r="G413" s="10" t="n">
        <x:f>IF(E413=F413,1,0)</x:f>
        <x:v>1</x:v>
      </x:c>
    </x:row>
    <x:row r="414" ht="55" customHeight="1">
      <x:c r="A414" s="10" t="str">
        <x:v>T-BASE</x:v>
      </x:c>
      <x:c r="B414" s="10" t="str">
        <x:v>TEXT</x:v>
      </x:c>
      <x:c r="C414" s="10" t="str">
        <x:v>TEXT:SYN-F07-04-U01</x:v>
      </x:c>
      <x:c r="D414" s="10" t="str">
        <x:v>TEXT:SYN-F07-04-U01-R01</x:v>
      </x:c>
      <x:c r="E414" s="10" t="str">
        <x:v>["SYN-F07-04:D2@v1"]</x:v>
      </x:c>
      <x:c r="F414" s="10" t="str">
        <x:v>["SYN-F07-04:D2@v1"]</x:v>
      </x:c>
      <x:c r="G414" s="10" t="n">
        <x:f>IF(E414=F414,1,0)</x:f>
        <x:v>1</x:v>
      </x:c>
    </x:row>
    <x:row r="415" ht="55" customHeight="1">
      <x:c r="A415" s="10" t="str">
        <x:v>T-BASE</x:v>
      </x:c>
      <x:c r="B415" s="10" t="str">
        <x:v>TEXT</x:v>
      </x:c>
      <x:c r="C415" s="10" t="str">
        <x:v>TEXT:SYN-F07-04-U02</x:v>
      </x:c>
      <x:c r="D415" s="10" t="str">
        <x:v>TEXT:SYN-F07-04-U02-R01</x:v>
      </x:c>
      <x:c r="E415" s="10" t="str">
        <x:v>["SYN-F07-04:D2@v1"]</x:v>
      </x:c>
      <x:c r="F415" s="10" t="str">
        <x:v>["SYN-F07-04:D2@v1"]</x:v>
      </x:c>
      <x:c r="G415" s="10" t="n">
        <x:f>IF(E415=F415,1,0)</x:f>
        <x:v>1</x:v>
      </x:c>
    </x:row>
    <x:row r="416" ht="55" customHeight="1">
      <x:c r="A416" s="10" t="str">
        <x:v>T-EXEC</x:v>
      </x:c>
      <x:c r="B416" s="10" t="str">
        <x:v>TEXT</x:v>
      </x:c>
      <x:c r="C416" s="10" t="str">
        <x:v>TEXT:SYN-F07-04-U01</x:v>
      </x:c>
      <x:c r="D416" s="10" t="str">
        <x:v>TEXT:SYN-F07-04-U01-R01</x:v>
      </x:c>
      <x:c r="E416" s="10" t="str">
        <x:v>["SYN-F07-04:D2@v1"]</x:v>
      </x:c>
      <x:c r="F416" s="10" t="str">
        <x:v>["SYN-F07-04:D2@v1"]</x:v>
      </x:c>
      <x:c r="G416" s="10" t="n">
        <x:f>IF(E416=F416,1,0)</x:f>
        <x:v>1</x:v>
      </x:c>
    </x:row>
    <x:row r="417" ht="55" customHeight="1">
      <x:c r="A417" s="10" t="str">
        <x:v>T-EXEC</x:v>
      </x:c>
      <x:c r="B417" s="10" t="str">
        <x:v>TEXT</x:v>
      </x:c>
      <x:c r="C417" s="10" t="str">
        <x:v>TEXT:SYN-F07-04-U02</x:v>
      </x:c>
      <x:c r="D417" s="10" t="str">
        <x:v>TEXT:SYN-F07-04-U02-R01</x:v>
      </x:c>
      <x:c r="E417" s="10" t="str">
        <x:v>["SYN-F07-04:D2@v1"]</x:v>
      </x:c>
      <x:c r="F417" s="10" t="str">
        <x:v>["SYN-F07-04:D2@v1"]</x:v>
      </x:c>
      <x:c r="G417" s="10" t="n">
        <x:f>IF(E417=F417,1,0)</x:f>
        <x:v>1</x:v>
      </x:c>
    </x:row>
    <x:row r="418" ht="55" customHeight="1">
      <x:c r="A418" s="10" t="str">
        <x:v>T-REL</x:v>
      </x:c>
      <x:c r="B418" s="10" t="str">
        <x:v>TEXT</x:v>
      </x:c>
      <x:c r="C418" s="10" t="str">
        <x:v>TEXT:SYN-F07-04-U01</x:v>
      </x:c>
      <x:c r="D418" s="10" t="str">
        <x:v>TEXT:SYN-F07-04-U01-R01</x:v>
      </x:c>
      <x:c r="E418" s="10" t="str">
        <x:v>["SYN-F07-04:D2@v1"]</x:v>
      </x:c>
      <x:c r="F418" s="10" t="str">
        <x:v>["SYN-F07-04:D2@v1"]</x:v>
      </x:c>
      <x:c r="G418" s="10" t="n">
        <x:f>IF(E418=F418,1,0)</x:f>
        <x:v>1</x:v>
      </x:c>
    </x:row>
    <x:row r="419" ht="55" customHeight="1">
      <x:c r="A419" s="10" t="str">
        <x:v>T-REL</x:v>
      </x:c>
      <x:c r="B419" s="10" t="str">
        <x:v>TEXT</x:v>
      </x:c>
      <x:c r="C419" s="10" t="str">
        <x:v>TEXT:SYN-F07-04-U02</x:v>
      </x:c>
      <x:c r="D419" s="10" t="str">
        <x:v>TEXT:SYN-F07-04-U02-R01</x:v>
      </x:c>
      <x:c r="E419" s="10" t="str">
        <x:v>["SYN-F07-04:D2@v1"]</x:v>
      </x:c>
      <x:c r="F419" s="10" t="str">
        <x:v>["SYN-F07-04:D2@v1"]</x:v>
      </x:c>
      <x:c r="G419" s="10" t="n">
        <x:f>IF(E419=F419,1,0)</x:f>
        <x:v>1</x:v>
      </x:c>
    </x:row>
    <x:row r="420" ht="55" customHeight="1">
      <x:c r="A420" s="10" t="str">
        <x:v>T-BASE</x:v>
      </x:c>
      <x:c r="B420" s="10" t="str">
        <x:v>TEXT</x:v>
      </x:c>
      <x:c r="C420" s="10" t="str">
        <x:v>TEXT:SYN-F07-05-U01</x:v>
      </x:c>
      <x:c r="D420" s="10" t="str">
        <x:v>TEXT:SYN-F07-05-U01-R01</x:v>
      </x:c>
      <x:c r="E420" s="10" t="str">
        <x:v>["SYN-F07-05:D1@v1"]</x:v>
      </x:c>
      <x:c r="F420" s="10" t="str">
        <x:v>["SYN-F07-05:D1@v1"]</x:v>
      </x:c>
      <x:c r="G420" s="10" t="n">
        <x:f>IF(E420=F420,1,0)</x:f>
        <x:v>1</x:v>
      </x:c>
    </x:row>
    <x:row r="421" ht="55" customHeight="1">
      <x:c r="A421" s="10" t="str">
        <x:v>T-BASE</x:v>
      </x:c>
      <x:c r="B421" s="10" t="str">
        <x:v>TEXT</x:v>
      </x:c>
      <x:c r="C421" s="10" t="str">
        <x:v>TEXT:SYN-F07-05-U02</x:v>
      </x:c>
      <x:c r="D421" s="10" t="str">
        <x:v>TEXT:SYN-F07-05-U02-R01</x:v>
      </x:c>
      <x:c r="E421" s="10" t="str">
        <x:v>["SYN-F07-05:D1@v1"]</x:v>
      </x:c>
      <x:c r="F421" s="10" t="str">
        <x:v>["SYN-F07-05:D1@v1"]</x:v>
      </x:c>
      <x:c r="G421" s="10" t="n">
        <x:f>IF(E421=F421,1,0)</x:f>
        <x:v>1</x:v>
      </x:c>
    </x:row>
    <x:row r="422" ht="55" customHeight="1">
      <x:c r="A422" s="10" t="str">
        <x:v>T-EXEC</x:v>
      </x:c>
      <x:c r="B422" s="10" t="str">
        <x:v>TEXT</x:v>
      </x:c>
      <x:c r="C422" s="10" t="str">
        <x:v>TEXT:SYN-F07-05-U01</x:v>
      </x:c>
      <x:c r="D422" s="10" t="str">
        <x:v>TEXT:SYN-F07-05-U01-R01</x:v>
      </x:c>
      <x:c r="E422" s="10" t="str">
        <x:v>["SYN-F07-05:D1@v1"]</x:v>
      </x:c>
      <x:c r="F422" s="10" t="str">
        <x:v>["SYN-F07-05:D1@v1"]</x:v>
      </x:c>
      <x:c r="G422" s="10" t="n">
        <x:f>IF(E422=F422,1,0)</x:f>
        <x:v>1</x:v>
      </x:c>
    </x:row>
    <x:row r="423" ht="55" customHeight="1">
      <x:c r="A423" s="10" t="str">
        <x:v>T-EXEC</x:v>
      </x:c>
      <x:c r="B423" s="10" t="str">
        <x:v>TEXT</x:v>
      </x:c>
      <x:c r="C423" s="10" t="str">
        <x:v>TEXT:SYN-F07-05-U02</x:v>
      </x:c>
      <x:c r="D423" s="10" t="str">
        <x:v>TEXT:SYN-F07-05-U02-R01</x:v>
      </x:c>
      <x:c r="E423" s="10" t="str">
        <x:v>["SYN-F07-05:D1@v1"]</x:v>
      </x:c>
      <x:c r="F423" s="10" t="str">
        <x:v>["SYN-F07-05:D1@v1"]</x:v>
      </x:c>
      <x:c r="G423" s="10" t="n">
        <x:f>IF(E423=F423,1,0)</x:f>
        <x:v>1</x:v>
      </x:c>
    </x:row>
    <x:row r="424" ht="55" customHeight="1">
      <x:c r="A424" s="10" t="str">
        <x:v>T-REL</x:v>
      </x:c>
      <x:c r="B424" s="10" t="str">
        <x:v>TEXT</x:v>
      </x:c>
      <x:c r="C424" s="10" t="str">
        <x:v>TEXT:SYN-F07-05-U01</x:v>
      </x:c>
      <x:c r="D424" s="10" t="str">
        <x:v>TEXT:SYN-F07-05-U01-R01</x:v>
      </x:c>
      <x:c r="E424" s="10" t="str">
        <x:v>["SYN-F07-05:D1@v1"]</x:v>
      </x:c>
      <x:c r="F424" s="10" t="str">
        <x:v>["SYN-F07-05:D1@v1"]</x:v>
      </x:c>
      <x:c r="G424" s="10" t="n">
        <x:f>IF(E424=F424,1,0)</x:f>
        <x:v>1</x:v>
      </x:c>
    </x:row>
    <x:row r="425" ht="55" customHeight="1">
      <x:c r="A425" s="10" t="str">
        <x:v>T-REL</x:v>
      </x:c>
      <x:c r="B425" s="10" t="str">
        <x:v>TEXT</x:v>
      </x:c>
      <x:c r="C425" s="10" t="str">
        <x:v>TEXT:SYN-F07-05-U02</x:v>
      </x:c>
      <x:c r="D425" s="10" t="str">
        <x:v>TEXT:SYN-F07-05-U02-R01</x:v>
      </x:c>
      <x:c r="E425" s="10" t="str">
        <x:v>["SYN-F07-05:D1@v1"]</x:v>
      </x:c>
      <x:c r="F425" s="10" t="str">
        <x:v>["SYN-F07-05:D1@v1"]</x:v>
      </x:c>
      <x:c r="G425" s="10" t="n">
        <x:f>IF(E425=F425,1,0)</x:f>
        <x:v>1</x:v>
      </x:c>
    </x:row>
    <x:row r="426" ht="55" customHeight="1">
      <x:c r="A426" s="10" t="str">
        <x:v>T-BASE</x:v>
      </x:c>
      <x:c r="B426" s="10" t="str">
        <x:v>TEXT</x:v>
      </x:c>
      <x:c r="C426" s="10" t="str">
        <x:v>TEXT:SYN-F07-06-U01</x:v>
      </x:c>
      <x:c r="D426" s="10" t="str">
        <x:v>TEXT:SYN-F07-06-U01-R01</x:v>
      </x:c>
      <x:c r="E426" s="10" t="str">
        <x:v>["SYN-F07-06:D3@v1"]</x:v>
      </x:c>
      <x:c r="F426" s="10" t="str">
        <x:v>["SYN-F07-06:D3@v1"]</x:v>
      </x:c>
      <x:c r="G426" s="10" t="n">
        <x:f>IF(E426=F426,1,0)</x:f>
        <x:v>1</x:v>
      </x:c>
    </x:row>
    <x:row r="427" ht="55" customHeight="1">
      <x:c r="A427" s="10" t="str">
        <x:v>T-BASE</x:v>
      </x:c>
      <x:c r="B427" s="10" t="str">
        <x:v>TEXT</x:v>
      </x:c>
      <x:c r="C427" s="10" t="str">
        <x:v>TEXT:SYN-F07-06-U02</x:v>
      </x:c>
      <x:c r="D427" s="10" t="str">
        <x:v>TEXT:SYN-F07-06-U02-R01</x:v>
      </x:c>
      <x:c r="E427" s="10" t="str">
        <x:v>["SYN-F07-06:D3@v1"]</x:v>
      </x:c>
      <x:c r="F427" s="10" t="str">
        <x:v>["SYN-F07-06:D3@v1"]</x:v>
      </x:c>
      <x:c r="G427" s="10" t="n">
        <x:f>IF(E427=F427,1,0)</x:f>
        <x:v>1</x:v>
      </x:c>
    </x:row>
    <x:row r="428" ht="55" customHeight="1">
      <x:c r="A428" s="10" t="str">
        <x:v>T-EXEC</x:v>
      </x:c>
      <x:c r="B428" s="10" t="str">
        <x:v>TEXT</x:v>
      </x:c>
      <x:c r="C428" s="10" t="str">
        <x:v>TEXT:SYN-F07-06-U01</x:v>
      </x:c>
      <x:c r="D428" s="10" t="str">
        <x:v>TEXT:SYN-F07-06-U01-R01</x:v>
      </x:c>
      <x:c r="E428" s="10" t="str">
        <x:v>["SYN-F07-06:D3@v1"]</x:v>
      </x:c>
      <x:c r="F428" s="10" t="str">
        <x:v>["SYN-F07-06:D3@v1"]</x:v>
      </x:c>
      <x:c r="G428" s="10" t="n">
        <x:f>IF(E428=F428,1,0)</x:f>
        <x:v>1</x:v>
      </x:c>
    </x:row>
    <x:row r="429" ht="55" customHeight="1">
      <x:c r="A429" s="10" t="str">
        <x:v>T-EXEC</x:v>
      </x:c>
      <x:c r="B429" s="10" t="str">
        <x:v>TEXT</x:v>
      </x:c>
      <x:c r="C429" s="10" t="str">
        <x:v>TEXT:SYN-F07-06-U02</x:v>
      </x:c>
      <x:c r="D429" s="10" t="str">
        <x:v>TEXT:SYN-F07-06-U02-R01</x:v>
      </x:c>
      <x:c r="E429" s="10" t="str">
        <x:v>["SYN-F07-06:D3@v1"]</x:v>
      </x:c>
      <x:c r="F429" s="10" t="str">
        <x:v>["SYN-F07-06:D3@v1"]</x:v>
      </x:c>
      <x:c r="G429" s="10" t="n">
        <x:f>IF(E429=F429,1,0)</x:f>
        <x:v>1</x:v>
      </x:c>
    </x:row>
    <x:row r="430" ht="55" customHeight="1">
      <x:c r="A430" s="10" t="str">
        <x:v>T-REL</x:v>
      </x:c>
      <x:c r="B430" s="10" t="str">
        <x:v>TEXT</x:v>
      </x:c>
      <x:c r="C430" s="10" t="str">
        <x:v>TEXT:SYN-F07-06-U01</x:v>
      </x:c>
      <x:c r="D430" s="10" t="str">
        <x:v>TEXT:SYN-F07-06-U01-R01</x:v>
      </x:c>
      <x:c r="E430" s="10" t="str">
        <x:v>["SYN-F07-06:D3@v1"]</x:v>
      </x:c>
      <x:c r="F430" s="10" t="str">
        <x:v>["SYN-F07-06:D3@v1"]</x:v>
      </x:c>
      <x:c r="G430" s="10" t="n">
        <x:f>IF(E430=F430,1,0)</x:f>
        <x:v>1</x:v>
      </x:c>
    </x:row>
    <x:row r="431" ht="55" customHeight="1">
      <x:c r="A431" s="10" t="str">
        <x:v>T-REL</x:v>
      </x:c>
      <x:c r="B431" s="10" t="str">
        <x:v>TEXT</x:v>
      </x:c>
      <x:c r="C431" s="10" t="str">
        <x:v>TEXT:SYN-F07-06-U02</x:v>
      </x:c>
      <x:c r="D431" s="10" t="str">
        <x:v>TEXT:SYN-F07-06-U02-R01</x:v>
      </x:c>
      <x:c r="E431" s="10" t="str">
        <x:v>["SYN-F07-06:D3@v1"]</x:v>
      </x:c>
      <x:c r="F431" s="10" t="str">
        <x:v>["SYN-F07-06:D3@v1"]</x:v>
      </x:c>
      <x:c r="G431" s="10" t="n">
        <x:f>IF(E431=F431,1,0)</x:f>
        <x:v>1</x:v>
      </x:c>
    </x:row>
    <x:row r="432" ht="55" customHeight="1">
      <x:c r="A432" s="10" t="str">
        <x:v>T-BASE</x:v>
      </x:c>
      <x:c r="B432" s="10" t="str">
        <x:v>TEXT</x:v>
      </x:c>
      <x:c r="C432" s="10" t="str">
        <x:v>TEXT:SYN-F07-07-U01</x:v>
      </x:c>
      <x:c r="D432" s="10" t="str">
        <x:v>TEXT:SYN-F07-07-U01-R01</x:v>
      </x:c>
      <x:c r="E432" s="10" t="str">
        <x:v>["SYN-F07-07:D2@v1"]</x:v>
      </x:c>
      <x:c r="F432" s="10" t="str">
        <x:v>["SYN-F07-07:D3@v1"]</x:v>
      </x:c>
      <x:c r="G432" s="10" t="n">
        <x:f>IF(E432=F432,1,0)</x:f>
        <x:v>0</x:v>
      </x:c>
    </x:row>
    <x:row r="433" ht="55" customHeight="1">
      <x:c r="A433" s="10" t="str">
        <x:v>T-BASE</x:v>
      </x:c>
      <x:c r="B433" s="10" t="str">
        <x:v>TEXT</x:v>
      </x:c>
      <x:c r="C433" s="10" t="str">
        <x:v>TEXT:SYN-F07-07-U02</x:v>
      </x:c>
      <x:c r="D433" s="10" t="str">
        <x:v>TEXT:SYN-F07-07-U02-R01</x:v>
      </x:c>
      <x:c r="E433" s="10" t="str">
        <x:v>["SYN-F07-07:D2@v1"]</x:v>
      </x:c>
      <x:c r="F433" s="10" t="str">
        <x:v>["SYN-F07-07:D2@v1"]</x:v>
      </x:c>
      <x:c r="G433" s="10" t="n">
        <x:f>IF(E433=F433,1,0)</x:f>
        <x:v>1</x:v>
      </x:c>
    </x:row>
    <x:row r="434" ht="55" customHeight="1">
      <x:c r="A434" s="10" t="str">
        <x:v>T-EXEC</x:v>
      </x:c>
      <x:c r="B434" s="10" t="str">
        <x:v>TEXT</x:v>
      </x:c>
      <x:c r="C434" s="10" t="str">
        <x:v>TEXT:SYN-F07-07-U01</x:v>
      </x:c>
      <x:c r="D434" s="10" t="str">
        <x:v>TEXT:SYN-F07-07-U01-R01</x:v>
      </x:c>
      <x:c r="E434" s="10" t="str">
        <x:v>["SYN-F07-07:D2@v1"]</x:v>
      </x:c>
      <x:c r="F434" s="10" t="str">
        <x:v>["SYN-F07-07:D3@v1"]</x:v>
      </x:c>
      <x:c r="G434" s="10" t="n">
        <x:f>IF(E434=F434,1,0)</x:f>
        <x:v>0</x:v>
      </x:c>
    </x:row>
    <x:row r="435" ht="55" customHeight="1">
      <x:c r="A435" s="10" t="str">
        <x:v>T-EXEC</x:v>
      </x:c>
      <x:c r="B435" s="10" t="str">
        <x:v>TEXT</x:v>
      </x:c>
      <x:c r="C435" s="10" t="str">
        <x:v>TEXT:SYN-F07-07-U02</x:v>
      </x:c>
      <x:c r="D435" s="10" t="str">
        <x:v>TEXT:SYN-F07-07-U02-R01</x:v>
      </x:c>
      <x:c r="E435" s="10" t="str">
        <x:v>["SYN-F07-07:D2@v1"]</x:v>
      </x:c>
      <x:c r="F435" s="10" t="str">
        <x:v>["SYN-F07-07:D2@v1"]</x:v>
      </x:c>
      <x:c r="G435" s="10" t="n">
        <x:f>IF(E435=F435,1,0)</x:f>
        <x:v>1</x:v>
      </x:c>
    </x:row>
    <x:row r="436" ht="55" customHeight="1">
      <x:c r="A436" s="10" t="str">
        <x:v>T-REL</x:v>
      </x:c>
      <x:c r="B436" s="10" t="str">
        <x:v>TEXT</x:v>
      </x:c>
      <x:c r="C436" s="10" t="str">
        <x:v>TEXT:SYN-F07-07-U01</x:v>
      </x:c>
      <x:c r="D436" s="10" t="str">
        <x:v>TEXT:SYN-F07-07-U01-R01</x:v>
      </x:c>
      <x:c r="E436" s="10" t="str">
        <x:v>["SYN-F07-07:D2@v1"]</x:v>
      </x:c>
      <x:c r="F436" s="10" t="str">
        <x:v>["SYN-F07-07:D2@v1"]</x:v>
      </x:c>
      <x:c r="G436" s="10" t="n">
        <x:f>IF(E436=F436,1,0)</x:f>
        <x:v>1</x:v>
      </x:c>
    </x:row>
    <x:row r="437" ht="55" customHeight="1">
      <x:c r="A437" s="10" t="str">
        <x:v>T-REL</x:v>
      </x:c>
      <x:c r="B437" s="10" t="str">
        <x:v>TEXT</x:v>
      </x:c>
      <x:c r="C437" s="10" t="str">
        <x:v>TEXT:SYN-F07-07-U02</x:v>
      </x:c>
      <x:c r="D437" s="10" t="str">
        <x:v>TEXT:SYN-F07-07-U02-R01</x:v>
      </x:c>
      <x:c r="E437" s="10" t="str">
        <x:v>["SYN-F07-07:D2@v1"]</x:v>
      </x:c>
      <x:c r="F437" s="10" t="str">
        <x:v>["SYN-F07-07:D2@v1"]</x:v>
      </x:c>
      <x:c r="G437" s="10" t="n">
        <x:f>IF(E437=F437,1,0)</x:f>
        <x:v>1</x:v>
      </x:c>
    </x:row>
    <x:row r="438" ht="55" customHeight="1">
      <x:c r="A438" s="10" t="str">
        <x:v>T-BASE</x:v>
      </x:c>
      <x:c r="B438" s="10" t="str">
        <x:v>TEXT</x:v>
      </x:c>
      <x:c r="C438" s="10" t="str">
        <x:v>TEXT:SYN-F07-08-U01</x:v>
      </x:c>
      <x:c r="D438" s="10" t="str">
        <x:v>TEXT:SYN-F07-08-U01-R01</x:v>
      </x:c>
      <x:c r="E438" s="10" t="str">
        <x:v>["SYN-F07-08:D1@v1"]</x:v>
      </x:c>
      <x:c r="F438" s="10" t="str">
        <x:v>["SYN-F07-08:D1@v1"]</x:v>
      </x:c>
      <x:c r="G438" s="10" t="n">
        <x:f>IF(E438=F438,1,0)</x:f>
        <x:v>1</x:v>
      </x:c>
    </x:row>
    <x:row r="439" ht="55" customHeight="1">
      <x:c r="A439" s="10" t="str">
        <x:v>T-BASE</x:v>
      </x:c>
      <x:c r="B439" s="10" t="str">
        <x:v>TEXT</x:v>
      </x:c>
      <x:c r="C439" s="10" t="str">
        <x:v>TEXT:SYN-F07-08-U02</x:v>
      </x:c>
      <x:c r="D439" s="10" t="str">
        <x:v>TEXT:SYN-F07-08-U02-R01</x:v>
      </x:c>
      <x:c r="E439" s="10" t="str">
        <x:v>["SYN-F07-08:D1@v1"]</x:v>
      </x:c>
      <x:c r="F439" s="10" t="str">
        <x:v>["SYN-F07-08:D1@v1"]</x:v>
      </x:c>
      <x:c r="G439" s="10" t="n">
        <x:f>IF(E439=F439,1,0)</x:f>
        <x:v>1</x:v>
      </x:c>
    </x:row>
    <x:row r="440" ht="55" customHeight="1">
      <x:c r="A440" s="10" t="str">
        <x:v>T-EXEC</x:v>
      </x:c>
      <x:c r="B440" s="10" t="str">
        <x:v>TEXT</x:v>
      </x:c>
      <x:c r="C440" s="10" t="str">
        <x:v>TEXT:SYN-F07-08-U01</x:v>
      </x:c>
      <x:c r="D440" s="10" t="str">
        <x:v>TEXT:SYN-F07-08-U01-R01</x:v>
      </x:c>
      <x:c r="E440" s="10" t="str">
        <x:v>["SYN-F07-08:D1@v1"]</x:v>
      </x:c>
      <x:c r="F440" s="10" t="str">
        <x:v>["SYN-F07-08:D1@v1"]</x:v>
      </x:c>
      <x:c r="G440" s="10" t="n">
        <x:f>IF(E440=F440,1,0)</x:f>
        <x:v>1</x:v>
      </x:c>
    </x:row>
    <x:row r="441" ht="55" customHeight="1">
      <x:c r="A441" s="10" t="str">
        <x:v>T-EXEC</x:v>
      </x:c>
      <x:c r="B441" s="10" t="str">
        <x:v>TEXT</x:v>
      </x:c>
      <x:c r="C441" s="10" t="str">
        <x:v>TEXT:SYN-F07-08-U02</x:v>
      </x:c>
      <x:c r="D441" s="10" t="str">
        <x:v>TEXT:SYN-F07-08-U02-R01</x:v>
      </x:c>
      <x:c r="E441" s="10" t="str">
        <x:v>["SYN-F07-08:D1@v1"]</x:v>
      </x:c>
      <x:c r="F441" s="10" t="str">
        <x:v>["SYN-F07-08:D1@v1"]</x:v>
      </x:c>
      <x:c r="G441" s="10" t="n">
        <x:f>IF(E441=F441,1,0)</x:f>
        <x:v>1</x:v>
      </x:c>
    </x:row>
    <x:row r="442" ht="55" customHeight="1">
      <x:c r="A442" s="10" t="str">
        <x:v>T-REL</x:v>
      </x:c>
      <x:c r="B442" s="10" t="str">
        <x:v>TEXT</x:v>
      </x:c>
      <x:c r="C442" s="10" t="str">
        <x:v>TEXT:SYN-F07-08-U01</x:v>
      </x:c>
      <x:c r="D442" s="10" t="str">
        <x:v>TEXT:SYN-F07-08-U01-R01</x:v>
      </x:c>
      <x:c r="E442" s="10" t="str">
        <x:v>["SYN-F07-08:D1@v1"]</x:v>
      </x:c>
      <x:c r="F442" s="10" t="str">
        <x:v>["SYN-F07-08:D1@v1"]</x:v>
      </x:c>
      <x:c r="G442" s="10" t="n">
        <x:f>IF(E442=F442,1,0)</x:f>
        <x:v>1</x:v>
      </x:c>
    </x:row>
    <x:row r="443" ht="55" customHeight="1">
      <x:c r="A443" s="10" t="str">
        <x:v>T-REL</x:v>
      </x:c>
      <x:c r="B443" s="10" t="str">
        <x:v>TEXT</x:v>
      </x:c>
      <x:c r="C443" s="10" t="str">
        <x:v>TEXT:SYN-F07-08-U02</x:v>
      </x:c>
      <x:c r="D443" s="10" t="str">
        <x:v>TEXT:SYN-F07-08-U02-R01</x:v>
      </x:c>
      <x:c r="E443" s="10" t="str">
        <x:v>["SYN-F07-08:D1@v1"]</x:v>
      </x:c>
      <x:c r="F443" s="10" t="str">
        <x:v>["SYN-F07-08:D1@v1"]</x:v>
      </x:c>
      <x:c r="G443" s="10" t="n">
        <x:f>IF(E443=F443,1,0)</x:f>
        <x:v>1</x:v>
      </x:c>
    </x:row>
    <x:row r="444" ht="55" customHeight="1">
      <x:c r="A444" s="10" t="str">
        <x:v>T-BASE</x:v>
      </x:c>
      <x:c r="B444" s="10" t="str">
        <x:v>TEXT</x:v>
      </x:c>
      <x:c r="C444" s="10" t="str">
        <x:v>TEXT:SYN-F07-09-U01</x:v>
      </x:c>
      <x:c r="D444" s="10" t="str">
        <x:v>TEXT:SYN-F07-09-U01-R01</x:v>
      </x:c>
      <x:c r="E444" s="10" t="str">
        <x:v>["SYN-F07-09:D3@v1"]</x:v>
      </x:c>
      <x:c r="F444" s="10" t="str">
        <x:v>["SYN-F07-09:D3@v1"]</x:v>
      </x:c>
      <x:c r="G444" s="10" t="n">
        <x:f>IF(E444=F444,1,0)</x:f>
        <x:v>1</x:v>
      </x:c>
    </x:row>
    <x:row r="445" ht="55" customHeight="1">
      <x:c r="A445" s="10" t="str">
        <x:v>T-BASE</x:v>
      </x:c>
      <x:c r="B445" s="10" t="str">
        <x:v>TEXT</x:v>
      </x:c>
      <x:c r="C445" s="10" t="str">
        <x:v>TEXT:SYN-F07-09-U02</x:v>
      </x:c>
      <x:c r="D445" s="10" t="str">
        <x:v>TEXT:SYN-F07-09-U02-R01</x:v>
      </x:c>
      <x:c r="E445" s="10" t="str">
        <x:v>["SYN-F07-09:D3@v1"]</x:v>
      </x:c>
      <x:c r="F445" s="10" t="str">
        <x:v>["SYN-F07-09:D3@v1"]</x:v>
      </x:c>
      <x:c r="G445" s="10" t="n">
        <x:f>IF(E445=F445,1,0)</x:f>
        <x:v>1</x:v>
      </x:c>
    </x:row>
    <x:row r="446" ht="55" customHeight="1">
      <x:c r="A446" s="10" t="str">
        <x:v>T-EXEC</x:v>
      </x:c>
      <x:c r="B446" s="10" t="str">
        <x:v>TEXT</x:v>
      </x:c>
      <x:c r="C446" s="10" t="str">
        <x:v>TEXT:SYN-F07-09-U01</x:v>
      </x:c>
      <x:c r="D446" s="10" t="str">
        <x:v>TEXT:SYN-F07-09-U01-R01</x:v>
      </x:c>
      <x:c r="E446" s="10" t="str">
        <x:v>["SYN-F07-09:D3@v1"]</x:v>
      </x:c>
      <x:c r="F446" s="10" t="str">
        <x:v>["SYN-F07-09:D3@v1"]</x:v>
      </x:c>
      <x:c r="G446" s="10" t="n">
        <x:f>IF(E446=F446,1,0)</x:f>
        <x:v>1</x:v>
      </x:c>
    </x:row>
    <x:row r="447" ht="55" customHeight="1">
      <x:c r="A447" s="10" t="str">
        <x:v>T-EXEC</x:v>
      </x:c>
      <x:c r="B447" s="10" t="str">
        <x:v>TEXT</x:v>
      </x:c>
      <x:c r="C447" s="10" t="str">
        <x:v>TEXT:SYN-F07-09-U02</x:v>
      </x:c>
      <x:c r="D447" s="10" t="str">
        <x:v>TEXT:SYN-F07-09-U02-R01</x:v>
      </x:c>
      <x:c r="E447" s="10" t="str">
        <x:v>["SYN-F07-09:D3@v1"]</x:v>
      </x:c>
      <x:c r="F447" s="10" t="str">
        <x:v>["SYN-F07-09:D3@v1"]</x:v>
      </x:c>
      <x:c r="G447" s="10" t="n">
        <x:f>IF(E447=F447,1,0)</x:f>
        <x:v>1</x:v>
      </x:c>
    </x:row>
    <x:row r="448" ht="55" customHeight="1">
      <x:c r="A448" s="10" t="str">
        <x:v>T-REL</x:v>
      </x:c>
      <x:c r="B448" s="10" t="str">
        <x:v>TEXT</x:v>
      </x:c>
      <x:c r="C448" s="10" t="str">
        <x:v>TEXT:SYN-F07-09-U01</x:v>
      </x:c>
      <x:c r="D448" s="10" t="str">
        <x:v>TEXT:SYN-F07-09-U01-R01</x:v>
      </x:c>
      <x:c r="E448" s="10" t="str">
        <x:v>["SYN-F07-09:D3@v1"]</x:v>
      </x:c>
      <x:c r="F448" s="10" t="str">
        <x:v>["SYN-F07-09:D3@v1"]</x:v>
      </x:c>
      <x:c r="G448" s="10" t="n">
        <x:f>IF(E448=F448,1,0)</x:f>
        <x:v>1</x:v>
      </x:c>
    </x:row>
    <x:row r="449" ht="55" customHeight="1">
      <x:c r="A449" s="10" t="str">
        <x:v>T-REL</x:v>
      </x:c>
      <x:c r="B449" s="10" t="str">
        <x:v>TEXT</x:v>
      </x:c>
      <x:c r="C449" s="10" t="str">
        <x:v>TEXT:SYN-F07-09-U02</x:v>
      </x:c>
      <x:c r="D449" s="10" t="str">
        <x:v>TEXT:SYN-F07-09-U02-R01</x:v>
      </x:c>
      <x:c r="E449" s="10" t="str">
        <x:v>["SYN-F07-09:D3@v1"]</x:v>
      </x:c>
      <x:c r="F449" s="10" t="str">
        <x:v>["SYN-F07-09:D3@v1"]</x:v>
      </x:c>
      <x:c r="G449" s="10" t="n">
        <x:f>IF(E449=F449,1,0)</x:f>
        <x:v>1</x:v>
      </x:c>
    </x:row>
    <x:row r="450" ht="55" customHeight="1">
      <x:c r="A450" s="10" t="str">
        <x:v>T-BASE</x:v>
      </x:c>
      <x:c r="B450" s="10" t="str">
        <x:v>TEXT</x:v>
      </x:c>
      <x:c r="C450" s="10" t="str">
        <x:v>TEXT:SYN-F07-10-U01</x:v>
      </x:c>
      <x:c r="D450" s="10" t="str">
        <x:v>TEXT:SYN-F07-10-U01-R01</x:v>
      </x:c>
      <x:c r="E450" s="10" t="str">
        <x:v>["SYN-F07-10:D2@v1"]</x:v>
      </x:c>
      <x:c r="F450" s="10" t="str">
        <x:v>["SYN-F07-10:D2@v1"]</x:v>
      </x:c>
      <x:c r="G450" s="10" t="n">
        <x:f>IF(E450=F450,1,0)</x:f>
        <x:v>1</x:v>
      </x:c>
    </x:row>
    <x:row r="451" ht="55" customHeight="1">
      <x:c r="A451" s="10" t="str">
        <x:v>T-BASE</x:v>
      </x:c>
      <x:c r="B451" s="10" t="str">
        <x:v>TEXT</x:v>
      </x:c>
      <x:c r="C451" s="10" t="str">
        <x:v>TEXT:SYN-F07-10-U02</x:v>
      </x:c>
      <x:c r="D451" s="10" t="str">
        <x:v>TEXT:SYN-F07-10-U02-R01</x:v>
      </x:c>
      <x:c r="E451" s="10" t="str">
        <x:v>["SYN-F07-10:D2@v1"]</x:v>
      </x:c>
      <x:c r="F451" s="10" t="str">
        <x:v>["SYN-F07-10:D2@v1"]</x:v>
      </x:c>
      <x:c r="G451" s="10" t="n">
        <x:f>IF(E451=F451,1,0)</x:f>
        <x:v>1</x:v>
      </x:c>
    </x:row>
    <x:row r="452" ht="55" customHeight="1">
      <x:c r="A452" s="10" t="str">
        <x:v>T-EXEC</x:v>
      </x:c>
      <x:c r="B452" s="10" t="str">
        <x:v>TEXT</x:v>
      </x:c>
      <x:c r="C452" s="10" t="str">
        <x:v>TEXT:SYN-F07-10-U01</x:v>
      </x:c>
      <x:c r="D452" s="10" t="str">
        <x:v>TEXT:SYN-F07-10-U01-R01</x:v>
      </x:c>
      <x:c r="E452" s="10" t="str">
        <x:v>["SYN-F07-10:D2@v1"]</x:v>
      </x:c>
      <x:c r="F452" s="10" t="str">
        <x:v>["SYN-F07-10:D2@v1"]</x:v>
      </x:c>
      <x:c r="G452" s="10" t="n">
        <x:f>IF(E452=F452,1,0)</x:f>
        <x:v>1</x:v>
      </x:c>
    </x:row>
    <x:row r="453" ht="55" customHeight="1">
      <x:c r="A453" s="10" t="str">
        <x:v>T-EXEC</x:v>
      </x:c>
      <x:c r="B453" s="10" t="str">
        <x:v>TEXT</x:v>
      </x:c>
      <x:c r="C453" s="10" t="str">
        <x:v>TEXT:SYN-F07-10-U02</x:v>
      </x:c>
      <x:c r="D453" s="10" t="str">
        <x:v>TEXT:SYN-F07-10-U02-R01</x:v>
      </x:c>
      <x:c r="E453" s="10" t="str">
        <x:v>["SYN-F07-10:D2@v1"]</x:v>
      </x:c>
      <x:c r="F453" s="10" t="str">
        <x:v>["SYN-F07-10:D2@v1"]</x:v>
      </x:c>
      <x:c r="G453" s="10" t="n">
        <x:f>IF(E453=F453,1,0)</x:f>
        <x:v>1</x:v>
      </x:c>
    </x:row>
    <x:row r="454" ht="55" customHeight="1">
      <x:c r="A454" s="10" t="str">
        <x:v>T-REL</x:v>
      </x:c>
      <x:c r="B454" s="10" t="str">
        <x:v>TEXT</x:v>
      </x:c>
      <x:c r="C454" s="10" t="str">
        <x:v>TEXT:SYN-F07-10-U01</x:v>
      </x:c>
      <x:c r="D454" s="10" t="str">
        <x:v>TEXT:SYN-F07-10-U01-R01</x:v>
      </x:c>
      <x:c r="E454" s="10" t="str">
        <x:v>["SYN-F07-10:D2@v1"]</x:v>
      </x:c>
      <x:c r="F454" s="10" t="str">
        <x:v>["SYN-F07-10:D2@v1"]</x:v>
      </x:c>
      <x:c r="G454" s="10" t="n">
        <x:f>IF(E454=F454,1,0)</x:f>
        <x:v>1</x:v>
      </x:c>
    </x:row>
    <x:row r="455" ht="55" customHeight="1">
      <x:c r="A455" s="10" t="str">
        <x:v>T-REL</x:v>
      </x:c>
      <x:c r="B455" s="10" t="str">
        <x:v>TEXT</x:v>
      </x:c>
      <x:c r="C455" s="10" t="str">
        <x:v>TEXT:SYN-F07-10-U02</x:v>
      </x:c>
      <x:c r="D455" s="10" t="str">
        <x:v>TEXT:SYN-F07-10-U02-R01</x:v>
      </x:c>
      <x:c r="E455" s="10" t="str">
        <x:v>["SYN-F07-10:D2@v1"]</x:v>
      </x:c>
      <x:c r="F455" s="10" t="str">
        <x:v>["SYN-F07-10:D2@v1"]</x:v>
      </x:c>
      <x:c r="G455" s="10" t="n">
        <x:f>IF(E455=F455,1,0)</x:f>
        <x:v>1</x:v>
      </x:c>
    </x:row>
    <x:row r="456" ht="55" customHeight="1">
      <x:c r="A456" s="10" t="str">
        <x:v>T-BASE</x:v>
      </x:c>
      <x:c r="B456" s="10" t="str">
        <x:v>TEXT</x:v>
      </x:c>
      <x:c r="C456" s="10" t="str">
        <x:v>TEXT:SYN-F08-01-U01</x:v>
      </x:c>
      <x:c r="D456" s="10" t="str">
        <x:v>TEXT:SYN-F08-01-U01-R01</x:v>
      </x:c>
      <x:c r="E456" s="10" t="str">
        <x:v>["SYN-F08-01:D2@v1"]</x:v>
      </x:c>
      <x:c r="F456" s="10" t="str">
        <x:v>["SYN-F08-01:D2@v1"]</x:v>
      </x:c>
      <x:c r="G456" s="10" t="n">
        <x:f>IF(E456=F456,1,0)</x:f>
        <x:v>1</x:v>
      </x:c>
    </x:row>
    <x:row r="457" ht="55" customHeight="1">
      <x:c r="A457" s="10" t="str">
        <x:v>T-BASE</x:v>
      </x:c>
      <x:c r="B457" s="10" t="str">
        <x:v>TEXT</x:v>
      </x:c>
      <x:c r="C457" s="10" t="str">
        <x:v>TEXT:SYN-F08-01-U02</x:v>
      </x:c>
      <x:c r="D457" s="10" t="str">
        <x:v>TEXT:SYN-F08-01-U02-R01</x:v>
      </x:c>
      <x:c r="E457" s="10" t="str">
        <x:v>["SYN-F08-01:D2@v1#focus"]</x:v>
      </x:c>
      <x:c r="F457" s="10" t="str">
        <x:v>["SYN-F08-01:D2@v1#focus"]</x:v>
      </x:c>
      <x:c r="G457" s="10" t="n">
        <x:f>IF(E457=F457,1,0)</x:f>
        <x:v>1</x:v>
      </x:c>
    </x:row>
    <x:row r="458" ht="55" customHeight="1">
      <x:c r="A458" s="10" t="str">
        <x:v>T-EXEC</x:v>
      </x:c>
      <x:c r="B458" s="10" t="str">
        <x:v>TEXT</x:v>
      </x:c>
      <x:c r="C458" s="10" t="str">
        <x:v>TEXT:SYN-F08-01-U01</x:v>
      </x:c>
      <x:c r="D458" s="10" t="str">
        <x:v>TEXT:SYN-F08-01-U01-R01</x:v>
      </x:c>
      <x:c r="E458" s="10" t="str">
        <x:v>["SYN-F08-01:D2@v1"]</x:v>
      </x:c>
      <x:c r="F458" s="10" t="str">
        <x:v>["SYN-F08-01:D2@v1"]</x:v>
      </x:c>
      <x:c r="G458" s="10" t="n">
        <x:f>IF(E458=F458,1,0)</x:f>
        <x:v>1</x:v>
      </x:c>
    </x:row>
    <x:row r="459" ht="55" customHeight="1">
      <x:c r="A459" s="10" t="str">
        <x:v>T-EXEC</x:v>
      </x:c>
      <x:c r="B459" s="10" t="str">
        <x:v>TEXT</x:v>
      </x:c>
      <x:c r="C459" s="10" t="str">
        <x:v>TEXT:SYN-F08-01-U02</x:v>
      </x:c>
      <x:c r="D459" s="10" t="str">
        <x:v>TEXT:SYN-F08-01-U02-R01</x:v>
      </x:c>
      <x:c r="E459" s="10" t="str">
        <x:v>["SYN-F08-01:D2@v1#focus"]</x:v>
      </x:c>
      <x:c r="F459" s="10" t="str">
        <x:v>["SYN-F08-01:D2@v1#focus"]</x:v>
      </x:c>
      <x:c r="G459" s="10" t="n">
        <x:f>IF(E459=F459,1,0)</x:f>
        <x:v>1</x:v>
      </x:c>
    </x:row>
    <x:row r="460" ht="55" customHeight="1">
      <x:c r="A460" s="10" t="str">
        <x:v>T-REL</x:v>
      </x:c>
      <x:c r="B460" s="10" t="str">
        <x:v>TEXT</x:v>
      </x:c>
      <x:c r="C460" s="10" t="str">
        <x:v>TEXT:SYN-F08-01-U01</x:v>
      </x:c>
      <x:c r="D460" s="10" t="str">
        <x:v>TEXT:SYN-F08-01-U01-R01</x:v>
      </x:c>
      <x:c r="E460" s="10" t="str">
        <x:v>["SYN-F08-01:D2@v1"]</x:v>
      </x:c>
      <x:c r="F460" s="10" t="str">
        <x:v>["SYN-F08-01:D2@v1"]</x:v>
      </x:c>
      <x:c r="G460" s="10" t="n">
        <x:f>IF(E460=F460,1,0)</x:f>
        <x:v>1</x:v>
      </x:c>
    </x:row>
    <x:row r="461" ht="55" customHeight="1">
      <x:c r="A461" s="10" t="str">
        <x:v>T-REL</x:v>
      </x:c>
      <x:c r="B461" s="10" t="str">
        <x:v>TEXT</x:v>
      </x:c>
      <x:c r="C461" s="10" t="str">
        <x:v>TEXT:SYN-F08-01-U02</x:v>
      </x:c>
      <x:c r="D461" s="10" t="str">
        <x:v>TEXT:SYN-F08-01-U02-R01</x:v>
      </x:c>
      <x:c r="E461" s="10" t="str">
        <x:v>["SYN-F08-01:D2@v1#focus"]</x:v>
      </x:c>
      <x:c r="F461" s="10" t="str">
        <x:v>["SYN-F08-01:D2@v1#focus"]</x:v>
      </x:c>
      <x:c r="G461" s="10" t="n">
        <x:f>IF(E461=F461,1,0)</x:f>
        <x:v>1</x:v>
      </x:c>
    </x:row>
    <x:row r="462" ht="55" customHeight="1">
      <x:c r="A462" s="10" t="str">
        <x:v>T-BASE</x:v>
      </x:c>
      <x:c r="B462" s="10" t="str">
        <x:v>TEXT</x:v>
      </x:c>
      <x:c r="C462" s="10" t="str">
        <x:v>TEXT:SYN-F08-02-U01</x:v>
      </x:c>
      <x:c r="D462" s="10" t="str">
        <x:v>TEXT:SYN-F08-02-U01-R01</x:v>
      </x:c>
      <x:c r="E462" s="10" t="str">
        <x:v>["SYN-F08-02:D1@v1"]</x:v>
      </x:c>
      <x:c r="F462" s="10" t="str">
        <x:v>["SYN-F08-02:D1@v1"]</x:v>
      </x:c>
      <x:c r="G462" s="10" t="n">
        <x:f>IF(E462=F462,1,0)</x:f>
        <x:v>1</x:v>
      </x:c>
    </x:row>
    <x:row r="463" ht="55" customHeight="1">
      <x:c r="A463" s="10" t="str">
        <x:v>T-BASE</x:v>
      </x:c>
      <x:c r="B463" s="10" t="str">
        <x:v>TEXT</x:v>
      </x:c>
      <x:c r="C463" s="10" t="str">
        <x:v>TEXT:SYN-F08-02-U02</x:v>
      </x:c>
      <x:c r="D463" s="10" t="str">
        <x:v>TEXT:SYN-F08-02-U02-R01</x:v>
      </x:c>
      <x:c r="E463" s="10" t="str">
        <x:v>["SYN-F08-02:D1@v1#focus"]</x:v>
      </x:c>
      <x:c r="F463" s="10" t="str">
        <x:v>["SYN-F08-02:D1@v1#focus"]</x:v>
      </x:c>
      <x:c r="G463" s="10" t="n">
        <x:f>IF(E463=F463,1,0)</x:f>
        <x:v>1</x:v>
      </x:c>
    </x:row>
    <x:row r="464" ht="55" customHeight="1">
      <x:c r="A464" s="10" t="str">
        <x:v>T-EXEC</x:v>
      </x:c>
      <x:c r="B464" s="10" t="str">
        <x:v>TEXT</x:v>
      </x:c>
      <x:c r="C464" s="10" t="str">
        <x:v>TEXT:SYN-F08-02-U01</x:v>
      </x:c>
      <x:c r="D464" s="10" t="str">
        <x:v>TEXT:SYN-F08-02-U01-R01</x:v>
      </x:c>
      <x:c r="E464" s="10" t="str">
        <x:v>["SYN-F08-02:D1@v1"]</x:v>
      </x:c>
      <x:c r="F464" s="10" t="str">
        <x:v>["SYN-F08-02:D1@v1"]</x:v>
      </x:c>
      <x:c r="G464" s="10" t="n">
        <x:f>IF(E464=F464,1,0)</x:f>
        <x:v>1</x:v>
      </x:c>
    </x:row>
    <x:row r="465" ht="55" customHeight="1">
      <x:c r="A465" s="10" t="str">
        <x:v>T-EXEC</x:v>
      </x:c>
      <x:c r="B465" s="10" t="str">
        <x:v>TEXT</x:v>
      </x:c>
      <x:c r="C465" s="10" t="str">
        <x:v>TEXT:SYN-F08-02-U02</x:v>
      </x:c>
      <x:c r="D465" s="10" t="str">
        <x:v>TEXT:SYN-F08-02-U02-R01</x:v>
      </x:c>
      <x:c r="E465" s="10" t="str">
        <x:v>["SYN-F08-02:D1@v1#focus"]</x:v>
      </x:c>
      <x:c r="F465" s="10" t="str">
        <x:v>["SYN-F08-02:D1@v1#focus"]</x:v>
      </x:c>
      <x:c r="G465" s="10" t="n">
        <x:f>IF(E465=F465,1,0)</x:f>
        <x:v>1</x:v>
      </x:c>
    </x:row>
    <x:row r="466" ht="55" customHeight="1">
      <x:c r="A466" s="10" t="str">
        <x:v>T-REL</x:v>
      </x:c>
      <x:c r="B466" s="10" t="str">
        <x:v>TEXT</x:v>
      </x:c>
      <x:c r="C466" s="10" t="str">
        <x:v>TEXT:SYN-F08-02-U01</x:v>
      </x:c>
      <x:c r="D466" s="10" t="str">
        <x:v>TEXT:SYN-F08-02-U01-R01</x:v>
      </x:c>
      <x:c r="E466" s="10" t="str">
        <x:v>["SYN-F08-02:D1@v1"]</x:v>
      </x:c>
      <x:c r="F466" s="10" t="str">
        <x:v>["SYN-F08-02:D1@v1"]</x:v>
      </x:c>
      <x:c r="G466" s="10" t="n">
        <x:f>IF(E466=F466,1,0)</x:f>
        <x:v>1</x:v>
      </x:c>
    </x:row>
    <x:row r="467" ht="55" customHeight="1">
      <x:c r="A467" s="10" t="str">
        <x:v>T-REL</x:v>
      </x:c>
      <x:c r="B467" s="10" t="str">
        <x:v>TEXT</x:v>
      </x:c>
      <x:c r="C467" s="10" t="str">
        <x:v>TEXT:SYN-F08-02-U02</x:v>
      </x:c>
      <x:c r="D467" s="10" t="str">
        <x:v>TEXT:SYN-F08-02-U02-R01</x:v>
      </x:c>
      <x:c r="E467" s="10" t="str">
        <x:v>["SYN-F08-02:D1@v1#focus"]</x:v>
      </x:c>
      <x:c r="F467" s="10" t="str">
        <x:v>["SYN-F08-02:D1@v1#focus"]</x:v>
      </x:c>
      <x:c r="G467" s="10" t="n">
        <x:f>IF(E467=F467,1,0)</x:f>
        <x:v>1</x:v>
      </x:c>
    </x:row>
    <x:row r="468" ht="55" customHeight="1">
      <x:c r="A468" s="10" t="str">
        <x:v>T-BASE</x:v>
      </x:c>
      <x:c r="B468" s="10" t="str">
        <x:v>TEXT</x:v>
      </x:c>
      <x:c r="C468" s="10" t="str">
        <x:v>TEXT:SYN-F08-03-U01</x:v>
      </x:c>
      <x:c r="D468" s="10" t="str">
        <x:v>TEXT:SYN-F08-03-U01-R01</x:v>
      </x:c>
      <x:c r="E468" s="10" t="str">
        <x:v>["SYN-F08-03:D3@v1"]</x:v>
      </x:c>
      <x:c r="F468" s="10" t="str">
        <x:v>["SYN-F08-03:D3@v1"]</x:v>
      </x:c>
      <x:c r="G468" s="10" t="n">
        <x:f>IF(E468=F468,1,0)</x:f>
        <x:v>1</x:v>
      </x:c>
    </x:row>
    <x:row r="469" ht="55" customHeight="1">
      <x:c r="A469" s="10" t="str">
        <x:v>T-BASE</x:v>
      </x:c>
      <x:c r="B469" s="10" t="str">
        <x:v>TEXT</x:v>
      </x:c>
      <x:c r="C469" s="10" t="str">
        <x:v>TEXT:SYN-F08-03-U02</x:v>
      </x:c>
      <x:c r="D469" s="10" t="str">
        <x:v>TEXT:SYN-F08-03-U02-R01</x:v>
      </x:c>
      <x:c r="E469" s="10" t="str">
        <x:v>["SYN-F08-03:D3@v1#focus"]</x:v>
      </x:c>
      <x:c r="F469" s="10" t="str">
        <x:v>["SYN-F08-03:D3@v1#focus"]</x:v>
      </x:c>
      <x:c r="G469" s="10" t="n">
        <x:f>IF(E469=F469,1,0)</x:f>
        <x:v>1</x:v>
      </x:c>
    </x:row>
    <x:row r="470" ht="55" customHeight="1">
      <x:c r="A470" s="10" t="str">
        <x:v>T-EXEC</x:v>
      </x:c>
      <x:c r="B470" s="10" t="str">
        <x:v>TEXT</x:v>
      </x:c>
      <x:c r="C470" s="10" t="str">
        <x:v>TEXT:SYN-F08-03-U01</x:v>
      </x:c>
      <x:c r="D470" s="10" t="str">
        <x:v>TEXT:SYN-F08-03-U01-R01</x:v>
      </x:c>
      <x:c r="E470" s="10" t="str">
        <x:v>["SYN-F08-03:D3@v1"]</x:v>
      </x:c>
      <x:c r="F470" s="10" t="str">
        <x:v>["SYN-F08-03:D3@v1"]</x:v>
      </x:c>
      <x:c r="G470" s="10" t="n">
        <x:f>IF(E470=F470,1,0)</x:f>
        <x:v>1</x:v>
      </x:c>
    </x:row>
    <x:row r="471" ht="55" customHeight="1">
      <x:c r="A471" s="10" t="str">
        <x:v>T-EXEC</x:v>
      </x:c>
      <x:c r="B471" s="10" t="str">
        <x:v>TEXT</x:v>
      </x:c>
      <x:c r="C471" s="10" t="str">
        <x:v>TEXT:SYN-F08-03-U02</x:v>
      </x:c>
      <x:c r="D471" s="10" t="str">
        <x:v>TEXT:SYN-F08-03-U02-R01</x:v>
      </x:c>
      <x:c r="E471" s="10" t="str">
        <x:v>["SYN-F08-03:D3@v1#focus"]</x:v>
      </x:c>
      <x:c r="F471" s="10" t="str">
        <x:v>["SYN-F08-03:D3@v1#focus"]</x:v>
      </x:c>
      <x:c r="G471" s="10" t="n">
        <x:f>IF(E471=F471,1,0)</x:f>
        <x:v>1</x:v>
      </x:c>
    </x:row>
    <x:row r="472" ht="55" customHeight="1">
      <x:c r="A472" s="10" t="str">
        <x:v>T-REL</x:v>
      </x:c>
      <x:c r="B472" s="10" t="str">
        <x:v>TEXT</x:v>
      </x:c>
      <x:c r="C472" s="10" t="str">
        <x:v>TEXT:SYN-F08-03-U01</x:v>
      </x:c>
      <x:c r="D472" s="10" t="str">
        <x:v>TEXT:SYN-F08-03-U01-R01</x:v>
      </x:c>
      <x:c r="E472" s="10" t="str">
        <x:v>["SYN-F08-03:D3@v1"]</x:v>
      </x:c>
      <x:c r="F472" s="10" t="str">
        <x:v>["SYN-F08-03:D3@v1"]</x:v>
      </x:c>
      <x:c r="G472" s="10" t="n">
        <x:f>IF(E472=F472,1,0)</x:f>
        <x:v>1</x:v>
      </x:c>
    </x:row>
    <x:row r="473" ht="55" customHeight="1">
      <x:c r="A473" s="10" t="str">
        <x:v>T-REL</x:v>
      </x:c>
      <x:c r="B473" s="10" t="str">
        <x:v>TEXT</x:v>
      </x:c>
      <x:c r="C473" s="10" t="str">
        <x:v>TEXT:SYN-F08-03-U02</x:v>
      </x:c>
      <x:c r="D473" s="10" t="str">
        <x:v>TEXT:SYN-F08-03-U02-R01</x:v>
      </x:c>
      <x:c r="E473" s="10" t="str">
        <x:v>["SYN-F08-03:D3@v1#focus"]</x:v>
      </x:c>
      <x:c r="F473" s="10" t="str">
        <x:v>["SYN-F08-03:D3@v1#focus"]</x:v>
      </x:c>
      <x:c r="G473" s="10" t="n">
        <x:f>IF(E473=F473,1,0)</x:f>
        <x:v>1</x:v>
      </x:c>
    </x:row>
    <x:row r="474" ht="55" customHeight="1">
      <x:c r="A474" s="10" t="str">
        <x:v>T-BASE</x:v>
      </x:c>
      <x:c r="B474" s="10" t="str">
        <x:v>TEXT</x:v>
      </x:c>
      <x:c r="C474" s="10" t="str">
        <x:v>TEXT:SYN-F08-04-U01</x:v>
      </x:c>
      <x:c r="D474" s="10" t="str">
        <x:v>TEXT:SYN-F08-04-U01-R01</x:v>
      </x:c>
      <x:c r="E474" s="10" t="str">
        <x:v>["SYN-F08-04:D2@v1"]</x:v>
      </x:c>
      <x:c r="F474" s="10" t="str">
        <x:v>["SYN-F08-04:D2@v1"]</x:v>
      </x:c>
      <x:c r="G474" s="10" t="n">
        <x:f>IF(E474=F474,1,0)</x:f>
        <x:v>1</x:v>
      </x:c>
    </x:row>
    <x:row r="475" ht="55" customHeight="1">
      <x:c r="A475" s="10" t="str">
        <x:v>T-BASE</x:v>
      </x:c>
      <x:c r="B475" s="10" t="str">
        <x:v>TEXT</x:v>
      </x:c>
      <x:c r="C475" s="10" t="str">
        <x:v>TEXT:SYN-F08-04-U02</x:v>
      </x:c>
      <x:c r="D475" s="10" t="str">
        <x:v>TEXT:SYN-F08-04-U02-R01</x:v>
      </x:c>
      <x:c r="E475" s="10" t="str">
        <x:v>["SYN-F08-04:D2@v1#focus"]</x:v>
      </x:c>
      <x:c r="F475" s="10" t="str">
        <x:v>["SYN-F08-04:D2@v1#focus"]</x:v>
      </x:c>
      <x:c r="G475" s="10" t="n">
        <x:f>IF(E475=F475,1,0)</x:f>
        <x:v>1</x:v>
      </x:c>
    </x:row>
    <x:row r="476" ht="55" customHeight="1">
      <x:c r="A476" s="10" t="str">
        <x:v>T-EXEC</x:v>
      </x:c>
      <x:c r="B476" s="10" t="str">
        <x:v>TEXT</x:v>
      </x:c>
      <x:c r="C476" s="10" t="str">
        <x:v>TEXT:SYN-F08-04-U01</x:v>
      </x:c>
      <x:c r="D476" s="10" t="str">
        <x:v>TEXT:SYN-F08-04-U01-R01</x:v>
      </x:c>
      <x:c r="E476" s="10" t="str">
        <x:v>["SYN-F08-04:D2@v1"]</x:v>
      </x:c>
      <x:c r="F476" s="10" t="str">
        <x:v>["SYN-F08-04:D2@v1"]</x:v>
      </x:c>
      <x:c r="G476" s="10" t="n">
        <x:f>IF(E476=F476,1,0)</x:f>
        <x:v>1</x:v>
      </x:c>
    </x:row>
    <x:row r="477" ht="55" customHeight="1">
      <x:c r="A477" s="10" t="str">
        <x:v>T-EXEC</x:v>
      </x:c>
      <x:c r="B477" s="10" t="str">
        <x:v>TEXT</x:v>
      </x:c>
      <x:c r="C477" s="10" t="str">
        <x:v>TEXT:SYN-F08-04-U02</x:v>
      </x:c>
      <x:c r="D477" s="10" t="str">
        <x:v>TEXT:SYN-F08-04-U02-R01</x:v>
      </x:c>
      <x:c r="E477" s="10" t="str">
        <x:v>["SYN-F08-04:D2@v1#focus"]</x:v>
      </x:c>
      <x:c r="F477" s="10" t="str">
        <x:v>["SYN-F08-04:D2@v1#focus"]</x:v>
      </x:c>
      <x:c r="G477" s="10" t="n">
        <x:f>IF(E477=F477,1,0)</x:f>
        <x:v>1</x:v>
      </x:c>
    </x:row>
    <x:row r="478" ht="55" customHeight="1">
      <x:c r="A478" s="10" t="str">
        <x:v>T-REL</x:v>
      </x:c>
      <x:c r="B478" s="10" t="str">
        <x:v>TEXT</x:v>
      </x:c>
      <x:c r="C478" s="10" t="str">
        <x:v>TEXT:SYN-F08-04-U01</x:v>
      </x:c>
      <x:c r="D478" s="10" t="str">
        <x:v>TEXT:SYN-F08-04-U01-R01</x:v>
      </x:c>
      <x:c r="E478" s="10" t="str">
        <x:v>["SYN-F08-04:D2@v1"]</x:v>
      </x:c>
      <x:c r="F478" s="10" t="str">
        <x:v>["SYN-F08-04:D2@v1"]</x:v>
      </x:c>
      <x:c r="G478" s="10" t="n">
        <x:f>IF(E478=F478,1,0)</x:f>
        <x:v>1</x:v>
      </x:c>
    </x:row>
    <x:row r="479" ht="55" customHeight="1">
      <x:c r="A479" s="10" t="str">
        <x:v>T-REL</x:v>
      </x:c>
      <x:c r="B479" s="10" t="str">
        <x:v>TEXT</x:v>
      </x:c>
      <x:c r="C479" s="10" t="str">
        <x:v>TEXT:SYN-F08-04-U02</x:v>
      </x:c>
      <x:c r="D479" s="10" t="str">
        <x:v>TEXT:SYN-F08-04-U02-R01</x:v>
      </x:c>
      <x:c r="E479" s="10" t="str">
        <x:v>["SYN-F08-04:D2@v1#focus"]</x:v>
      </x:c>
      <x:c r="F479" s="10" t="str">
        <x:v>["SYN-F08-04:D2@v1#focus"]</x:v>
      </x:c>
      <x:c r="G479" s="10" t="n">
        <x:f>IF(E479=F479,1,0)</x:f>
        <x:v>1</x:v>
      </x:c>
    </x:row>
    <x:row r="480" ht="55" customHeight="1">
      <x:c r="A480" s="10" t="str">
        <x:v>T-BASE</x:v>
      </x:c>
      <x:c r="B480" s="10" t="str">
        <x:v>TEXT</x:v>
      </x:c>
      <x:c r="C480" s="10" t="str">
        <x:v>TEXT:SYN-F08-05-U01</x:v>
      </x:c>
      <x:c r="D480" s="10" t="str">
        <x:v>TEXT:SYN-F08-05-U01-R01</x:v>
      </x:c>
      <x:c r="E480" s="10" t="str">
        <x:v>["SYN-F08-05:D1@v1"]</x:v>
      </x:c>
      <x:c r="F480" s="10" t="str">
        <x:v>["SYN-F08-05:D1@v1"]</x:v>
      </x:c>
      <x:c r="G480" s="10" t="n">
        <x:f>IF(E480=F480,1,0)</x:f>
        <x:v>1</x:v>
      </x:c>
    </x:row>
    <x:row r="481" ht="55" customHeight="1">
      <x:c r="A481" s="10" t="str">
        <x:v>T-BASE</x:v>
      </x:c>
      <x:c r="B481" s="10" t="str">
        <x:v>TEXT</x:v>
      </x:c>
      <x:c r="C481" s="10" t="str">
        <x:v>TEXT:SYN-F08-05-U02</x:v>
      </x:c>
      <x:c r="D481" s="10" t="str">
        <x:v>TEXT:SYN-F08-05-U02-R01</x:v>
      </x:c>
      <x:c r="E481" s="10" t="str">
        <x:v>["SYN-F08-05:D1@v1#focus"]</x:v>
      </x:c>
      <x:c r="F481" s="10" t="str">
        <x:v>["SYN-F08-05:D1@v1#focus"]</x:v>
      </x:c>
      <x:c r="G481" s="10" t="n">
        <x:f>IF(E481=F481,1,0)</x:f>
        <x:v>1</x:v>
      </x:c>
    </x:row>
    <x:row r="482" ht="55" customHeight="1">
      <x:c r="A482" s="10" t="str">
        <x:v>T-EXEC</x:v>
      </x:c>
      <x:c r="B482" s="10" t="str">
        <x:v>TEXT</x:v>
      </x:c>
      <x:c r="C482" s="10" t="str">
        <x:v>TEXT:SYN-F08-05-U01</x:v>
      </x:c>
      <x:c r="D482" s="10" t="str">
        <x:v>TEXT:SYN-F08-05-U01-R01</x:v>
      </x:c>
      <x:c r="E482" s="10" t="str">
        <x:v>["SYN-F08-05:D1@v1"]</x:v>
      </x:c>
      <x:c r="F482" s="10" t="str">
        <x:v>["SYN-F08-05:D1@v1"]</x:v>
      </x:c>
      <x:c r="G482" s="10" t="n">
        <x:f>IF(E482=F482,1,0)</x:f>
        <x:v>1</x:v>
      </x:c>
    </x:row>
    <x:row r="483" ht="55" customHeight="1">
      <x:c r="A483" s="10" t="str">
        <x:v>T-EXEC</x:v>
      </x:c>
      <x:c r="B483" s="10" t="str">
        <x:v>TEXT</x:v>
      </x:c>
      <x:c r="C483" s="10" t="str">
        <x:v>TEXT:SYN-F08-05-U02</x:v>
      </x:c>
      <x:c r="D483" s="10" t="str">
        <x:v>TEXT:SYN-F08-05-U02-R01</x:v>
      </x:c>
      <x:c r="E483" s="10" t="str">
        <x:v>["SYN-F08-05:D1@v1#focus"]</x:v>
      </x:c>
      <x:c r="F483" s="10" t="str">
        <x:v>["SYN-F08-05:D1@v1#focus"]</x:v>
      </x:c>
      <x:c r="G483" s="10" t="n">
        <x:f>IF(E483=F483,1,0)</x:f>
        <x:v>1</x:v>
      </x:c>
    </x:row>
    <x:row r="484" ht="55" customHeight="1">
      <x:c r="A484" s="10" t="str">
        <x:v>T-REL</x:v>
      </x:c>
      <x:c r="B484" s="10" t="str">
        <x:v>TEXT</x:v>
      </x:c>
      <x:c r="C484" s="10" t="str">
        <x:v>TEXT:SYN-F08-05-U01</x:v>
      </x:c>
      <x:c r="D484" s="10" t="str">
        <x:v>TEXT:SYN-F08-05-U01-R01</x:v>
      </x:c>
      <x:c r="E484" s="10" t="str">
        <x:v>["SYN-F08-05:D1@v1"]</x:v>
      </x:c>
      <x:c r="F484" s="10" t="str">
        <x:v>["SYN-F08-05:D1@v1"]</x:v>
      </x:c>
      <x:c r="G484" s="10" t="n">
        <x:f>IF(E484=F484,1,0)</x:f>
        <x:v>1</x:v>
      </x:c>
    </x:row>
    <x:row r="485" ht="55" customHeight="1">
      <x:c r="A485" s="10" t="str">
        <x:v>T-REL</x:v>
      </x:c>
      <x:c r="B485" s="10" t="str">
        <x:v>TEXT</x:v>
      </x:c>
      <x:c r="C485" s="10" t="str">
        <x:v>TEXT:SYN-F08-05-U02</x:v>
      </x:c>
      <x:c r="D485" s="10" t="str">
        <x:v>TEXT:SYN-F08-05-U02-R01</x:v>
      </x:c>
      <x:c r="E485" s="10" t="str">
        <x:v>["SYN-F08-05:D1@v1#focus"]</x:v>
      </x:c>
      <x:c r="F485" s="10" t="str">
        <x:v>["SYN-F08-05:D1@v1#focus"]</x:v>
      </x:c>
      <x:c r="G485" s="10" t="n">
        <x:f>IF(E485=F485,1,0)</x:f>
        <x:v>1</x:v>
      </x:c>
    </x:row>
    <x:row r="486" ht="55" customHeight="1">
      <x:c r="A486" s="10" t="str">
        <x:v>T-BASE</x:v>
      </x:c>
      <x:c r="B486" s="10" t="str">
        <x:v>TEXT</x:v>
      </x:c>
      <x:c r="C486" s="10" t="str">
        <x:v>TEXT:SYN-F08-06-U01</x:v>
      </x:c>
      <x:c r="D486" s="10" t="str">
        <x:v>TEXT:SYN-F08-06-U01-R01</x:v>
      </x:c>
      <x:c r="E486" s="10" t="str">
        <x:v>["SYN-F08-06:D3@v1"]</x:v>
      </x:c>
      <x:c r="F486" s="10" t="str">
        <x:v>["SYN-F08-06:D3@v1"]</x:v>
      </x:c>
      <x:c r="G486" s="10" t="n">
        <x:f>IF(E486=F486,1,0)</x:f>
        <x:v>1</x:v>
      </x:c>
    </x:row>
    <x:row r="487" ht="55" customHeight="1">
      <x:c r="A487" s="10" t="str">
        <x:v>T-BASE</x:v>
      </x:c>
      <x:c r="B487" s="10" t="str">
        <x:v>TEXT</x:v>
      </x:c>
      <x:c r="C487" s="10" t="str">
        <x:v>TEXT:SYN-F08-06-U02</x:v>
      </x:c>
      <x:c r="D487" s="10" t="str">
        <x:v>TEXT:SYN-F08-06-U02-R01</x:v>
      </x:c>
      <x:c r="E487" s="10" t="str">
        <x:v>["SYN-F08-06:D3@v1#focus"]</x:v>
      </x:c>
      <x:c r="F487" s="10" t="str">
        <x:v>["SYN-F08-06:D3@v1#focus"]</x:v>
      </x:c>
      <x:c r="G487" s="10" t="n">
        <x:f>IF(E487=F487,1,0)</x:f>
        <x:v>1</x:v>
      </x:c>
    </x:row>
    <x:row r="488" ht="55" customHeight="1">
      <x:c r="A488" s="10" t="str">
        <x:v>T-EXEC</x:v>
      </x:c>
      <x:c r="B488" s="10" t="str">
        <x:v>TEXT</x:v>
      </x:c>
      <x:c r="C488" s="10" t="str">
        <x:v>TEXT:SYN-F08-06-U01</x:v>
      </x:c>
      <x:c r="D488" s="10" t="str">
        <x:v>TEXT:SYN-F08-06-U01-R01</x:v>
      </x:c>
      <x:c r="E488" s="10" t="str">
        <x:v>["SYN-F08-06:D3@v1"]</x:v>
      </x:c>
      <x:c r="F488" s="10" t="str">
        <x:v>["SYN-F08-06:D3@v1"]</x:v>
      </x:c>
      <x:c r="G488" s="10" t="n">
        <x:f>IF(E488=F488,1,0)</x:f>
        <x:v>1</x:v>
      </x:c>
    </x:row>
    <x:row r="489" ht="55" customHeight="1">
      <x:c r="A489" s="10" t="str">
        <x:v>T-EXEC</x:v>
      </x:c>
      <x:c r="B489" s="10" t="str">
        <x:v>TEXT</x:v>
      </x:c>
      <x:c r="C489" s="10" t="str">
        <x:v>TEXT:SYN-F08-06-U02</x:v>
      </x:c>
      <x:c r="D489" s="10" t="str">
        <x:v>TEXT:SYN-F08-06-U02-R01</x:v>
      </x:c>
      <x:c r="E489" s="10" t="str">
        <x:v>["SYN-F08-06:D3@v1#focus"]</x:v>
      </x:c>
      <x:c r="F489" s="10" t="str">
        <x:v>["SYN-F08-06:D3@v1#focus"]</x:v>
      </x:c>
      <x:c r="G489" s="10" t="n">
        <x:f>IF(E489=F489,1,0)</x:f>
        <x:v>1</x:v>
      </x:c>
    </x:row>
    <x:row r="490" ht="55" customHeight="1">
      <x:c r="A490" s="10" t="str">
        <x:v>T-REL</x:v>
      </x:c>
      <x:c r="B490" s="10" t="str">
        <x:v>TEXT</x:v>
      </x:c>
      <x:c r="C490" s="10" t="str">
        <x:v>TEXT:SYN-F08-06-U01</x:v>
      </x:c>
      <x:c r="D490" s="10" t="str">
        <x:v>TEXT:SYN-F08-06-U01-R01</x:v>
      </x:c>
      <x:c r="E490" s="10" t="str">
        <x:v>["SYN-F08-06:D3@v1"]</x:v>
      </x:c>
      <x:c r="F490" s="10" t="str">
        <x:v>["SYN-F08-06:D3@v1"]</x:v>
      </x:c>
      <x:c r="G490" s="10" t="n">
        <x:f>IF(E490=F490,1,0)</x:f>
        <x:v>1</x:v>
      </x:c>
    </x:row>
    <x:row r="491" ht="55" customHeight="1">
      <x:c r="A491" s="10" t="str">
        <x:v>T-REL</x:v>
      </x:c>
      <x:c r="B491" s="10" t="str">
        <x:v>TEXT</x:v>
      </x:c>
      <x:c r="C491" s="10" t="str">
        <x:v>TEXT:SYN-F08-06-U02</x:v>
      </x:c>
      <x:c r="D491" s="10" t="str">
        <x:v>TEXT:SYN-F08-06-U02-R01</x:v>
      </x:c>
      <x:c r="E491" s="10" t="str">
        <x:v>["SYN-F08-06:D3@v1#focus"]</x:v>
      </x:c>
      <x:c r="F491" s="10" t="str">
        <x:v>["SYN-F08-06:D3@v1#focus"]</x:v>
      </x:c>
      <x:c r="G491" s="10" t="n">
        <x:f>IF(E491=F491,1,0)</x:f>
        <x:v>1</x:v>
      </x:c>
    </x:row>
    <x:row r="492" ht="55" customHeight="1">
      <x:c r="A492" s="10" t="str">
        <x:v>T-BASE</x:v>
      </x:c>
      <x:c r="B492" s="10" t="str">
        <x:v>TEXT</x:v>
      </x:c>
      <x:c r="C492" s="10" t="str">
        <x:v>TEXT:SYN-F08-07-U01</x:v>
      </x:c>
      <x:c r="D492" s="10" t="str">
        <x:v>TEXT:SYN-F08-07-U01-R01</x:v>
      </x:c>
      <x:c r="E492" s="10" t="str">
        <x:v>["SYN-F08-07:D2@v1"]</x:v>
      </x:c>
      <x:c r="F492" s="10" t="str">
        <x:v>["SYN-F08-07:D2@v1"]</x:v>
      </x:c>
      <x:c r="G492" s="10" t="n">
        <x:f>IF(E492=F492,1,0)</x:f>
        <x:v>1</x:v>
      </x:c>
    </x:row>
    <x:row r="493" ht="55" customHeight="1">
      <x:c r="A493" s="10" t="str">
        <x:v>T-BASE</x:v>
      </x:c>
      <x:c r="B493" s="10" t="str">
        <x:v>TEXT</x:v>
      </x:c>
      <x:c r="C493" s="10" t="str">
        <x:v>TEXT:SYN-F08-07-U02</x:v>
      </x:c>
      <x:c r="D493" s="10" t="str">
        <x:v>TEXT:SYN-F08-07-U02-R01</x:v>
      </x:c>
      <x:c r="E493" s="10" t="str">
        <x:v>["SYN-F08-07:D2@v1#focus"]</x:v>
      </x:c>
      <x:c r="F493" s="10" t="str">
        <x:v>["SYN-F08-07:D2@v1#focus"]</x:v>
      </x:c>
      <x:c r="G493" s="10" t="n">
        <x:f>IF(E493=F493,1,0)</x:f>
        <x:v>1</x:v>
      </x:c>
    </x:row>
    <x:row r="494" ht="55" customHeight="1">
      <x:c r="A494" s="10" t="str">
        <x:v>T-EXEC</x:v>
      </x:c>
      <x:c r="B494" s="10" t="str">
        <x:v>TEXT</x:v>
      </x:c>
      <x:c r="C494" s="10" t="str">
        <x:v>TEXT:SYN-F08-07-U01</x:v>
      </x:c>
      <x:c r="D494" s="10" t="str">
        <x:v>TEXT:SYN-F08-07-U01-R01</x:v>
      </x:c>
      <x:c r="E494" s="10" t="str">
        <x:v>["SYN-F08-07:D2@v1"]</x:v>
      </x:c>
      <x:c r="F494" s="10" t="str">
        <x:v>["SYN-F08-07:D2@v1"]</x:v>
      </x:c>
      <x:c r="G494" s="10" t="n">
        <x:f>IF(E494=F494,1,0)</x:f>
        <x:v>1</x:v>
      </x:c>
    </x:row>
    <x:row r="495" ht="55" customHeight="1">
      <x:c r="A495" s="10" t="str">
        <x:v>T-EXEC</x:v>
      </x:c>
      <x:c r="B495" s="10" t="str">
        <x:v>TEXT</x:v>
      </x:c>
      <x:c r="C495" s="10" t="str">
        <x:v>TEXT:SYN-F08-07-U02</x:v>
      </x:c>
      <x:c r="D495" s="10" t="str">
        <x:v>TEXT:SYN-F08-07-U02-R01</x:v>
      </x:c>
      <x:c r="E495" s="10" t="str">
        <x:v>["SYN-F08-07:D2@v1#focus"]</x:v>
      </x:c>
      <x:c r="F495" s="10" t="str">
        <x:v>["SYN-F08-07:D2@v1#focus"]</x:v>
      </x:c>
      <x:c r="G495" s="10" t="n">
        <x:f>IF(E495=F495,1,0)</x:f>
        <x:v>1</x:v>
      </x:c>
    </x:row>
    <x:row r="496" ht="55" customHeight="1">
      <x:c r="A496" s="10" t="str">
        <x:v>T-REL</x:v>
      </x:c>
      <x:c r="B496" s="10" t="str">
        <x:v>TEXT</x:v>
      </x:c>
      <x:c r="C496" s="10" t="str">
        <x:v>TEXT:SYN-F08-07-U01</x:v>
      </x:c>
      <x:c r="D496" s="10" t="str">
        <x:v>TEXT:SYN-F08-07-U01-R01</x:v>
      </x:c>
      <x:c r="E496" s="10" t="str">
        <x:v>["SYN-F08-07:D2@v1"]</x:v>
      </x:c>
      <x:c r="F496" s="10" t="str">
        <x:v>["SYN-F08-07:D2@v1"]</x:v>
      </x:c>
      <x:c r="G496" s="10" t="n">
        <x:f>IF(E496=F496,1,0)</x:f>
        <x:v>1</x:v>
      </x:c>
    </x:row>
    <x:row r="497" ht="55" customHeight="1">
      <x:c r="A497" s="10" t="str">
        <x:v>T-REL</x:v>
      </x:c>
      <x:c r="B497" s="10" t="str">
        <x:v>TEXT</x:v>
      </x:c>
      <x:c r="C497" s="10" t="str">
        <x:v>TEXT:SYN-F08-07-U02</x:v>
      </x:c>
      <x:c r="D497" s="10" t="str">
        <x:v>TEXT:SYN-F08-07-U02-R01</x:v>
      </x:c>
      <x:c r="E497" s="10" t="str">
        <x:v>["SYN-F08-07:D2@v1#focus"]</x:v>
      </x:c>
      <x:c r="F497" s="10" t="str">
        <x:v>["SYN-F08-07:D2@v1#focus"]</x:v>
      </x:c>
      <x:c r="G497" s="10" t="n">
        <x:f>IF(E497=F497,1,0)</x:f>
        <x:v>1</x:v>
      </x:c>
    </x:row>
    <x:row r="498" ht="55" customHeight="1">
      <x:c r="A498" s="10" t="str">
        <x:v>T-BASE</x:v>
      </x:c>
      <x:c r="B498" s="10" t="str">
        <x:v>TEXT</x:v>
      </x:c>
      <x:c r="C498" s="10" t="str">
        <x:v>TEXT:SYN-F08-08-U01</x:v>
      </x:c>
      <x:c r="D498" s="10" t="str">
        <x:v>TEXT:SYN-F08-08-U01-R01</x:v>
      </x:c>
      <x:c r="E498" s="10" t="str">
        <x:v>["SYN-F08-08:D1@v1"]</x:v>
      </x:c>
      <x:c r="F498" s="10" t="str">
        <x:v>["SYN-F08-08:D1@v1"]</x:v>
      </x:c>
      <x:c r="G498" s="10" t="n">
        <x:f>IF(E498=F498,1,0)</x:f>
        <x:v>1</x:v>
      </x:c>
    </x:row>
    <x:row r="499" ht="55" customHeight="1">
      <x:c r="A499" s="10" t="str">
        <x:v>T-BASE</x:v>
      </x:c>
      <x:c r="B499" s="10" t="str">
        <x:v>TEXT</x:v>
      </x:c>
      <x:c r="C499" s="10" t="str">
        <x:v>TEXT:SYN-F08-08-U02</x:v>
      </x:c>
      <x:c r="D499" s="10" t="str">
        <x:v>TEXT:SYN-F08-08-U02-R01</x:v>
      </x:c>
      <x:c r="E499" s="10" t="str">
        <x:v>["SYN-F08-08:D1@v1#focus"]</x:v>
      </x:c>
      <x:c r="F499" s="10" t="str">
        <x:v>["SYN-F08-08:D1@v1#focus"]</x:v>
      </x:c>
      <x:c r="G499" s="10" t="n">
        <x:f>IF(E499=F499,1,0)</x:f>
        <x:v>1</x:v>
      </x:c>
    </x:row>
    <x:row r="500" ht="55" customHeight="1">
      <x:c r="A500" s="10" t="str">
        <x:v>T-EXEC</x:v>
      </x:c>
      <x:c r="B500" s="10" t="str">
        <x:v>TEXT</x:v>
      </x:c>
      <x:c r="C500" s="10" t="str">
        <x:v>TEXT:SYN-F08-08-U01</x:v>
      </x:c>
      <x:c r="D500" s="10" t="str">
        <x:v>TEXT:SYN-F08-08-U01-R01</x:v>
      </x:c>
      <x:c r="E500" s="10" t="str">
        <x:v>["SYN-F08-08:D1@v1"]</x:v>
      </x:c>
      <x:c r="F500" s="10" t="str">
        <x:v>["SYN-F08-08:D1@v1"]</x:v>
      </x:c>
      <x:c r="G500" s="10" t="n">
        <x:f>IF(E500=F500,1,0)</x:f>
        <x:v>1</x:v>
      </x:c>
    </x:row>
    <x:row r="501" ht="55" customHeight="1">
      <x:c r="A501" s="10" t="str">
        <x:v>T-EXEC</x:v>
      </x:c>
      <x:c r="B501" s="10" t="str">
        <x:v>TEXT</x:v>
      </x:c>
      <x:c r="C501" s="10" t="str">
        <x:v>TEXT:SYN-F08-08-U02</x:v>
      </x:c>
      <x:c r="D501" s="10" t="str">
        <x:v>TEXT:SYN-F08-08-U02-R01</x:v>
      </x:c>
      <x:c r="E501" s="10" t="str">
        <x:v>["SYN-F08-08:D1@v1#focus"]</x:v>
      </x:c>
      <x:c r="F501" s="10" t="str">
        <x:v>["SYN-F08-08:D1@v1#focus"]</x:v>
      </x:c>
      <x:c r="G501" s="10" t="n">
        <x:f>IF(E501=F501,1,0)</x:f>
        <x:v>1</x:v>
      </x:c>
    </x:row>
    <x:row r="502" ht="55" customHeight="1">
      <x:c r="A502" s="10" t="str">
        <x:v>T-REL</x:v>
      </x:c>
      <x:c r="B502" s="10" t="str">
        <x:v>TEXT</x:v>
      </x:c>
      <x:c r="C502" s="10" t="str">
        <x:v>TEXT:SYN-F08-08-U01</x:v>
      </x:c>
      <x:c r="D502" s="10" t="str">
        <x:v>TEXT:SYN-F08-08-U01-R01</x:v>
      </x:c>
      <x:c r="E502" s="10" t="str">
        <x:v>["SYN-F08-08:D1@v1"]</x:v>
      </x:c>
      <x:c r="F502" s="10" t="str">
        <x:v>["SYN-F08-08:D1@v1"]</x:v>
      </x:c>
      <x:c r="G502" s="10" t="n">
        <x:f>IF(E502=F502,1,0)</x:f>
        <x:v>1</x:v>
      </x:c>
    </x:row>
    <x:row r="503" ht="55" customHeight="1">
      <x:c r="A503" s="10" t="str">
        <x:v>T-REL</x:v>
      </x:c>
      <x:c r="B503" s="10" t="str">
        <x:v>TEXT</x:v>
      </x:c>
      <x:c r="C503" s="10" t="str">
        <x:v>TEXT:SYN-F08-08-U02</x:v>
      </x:c>
      <x:c r="D503" s="10" t="str">
        <x:v>TEXT:SYN-F08-08-U02-R01</x:v>
      </x:c>
      <x:c r="E503" s="10" t="str">
        <x:v>["SYN-F08-08:D1@v1#focus"]</x:v>
      </x:c>
      <x:c r="F503" s="10" t="str">
        <x:v>["SYN-F08-08:D1@v1#focus"]</x:v>
      </x:c>
      <x:c r="G503" s="10" t="n">
        <x:f>IF(E503=F503,1,0)</x:f>
        <x:v>1</x:v>
      </x:c>
    </x:row>
    <x:row r="504" ht="55" customHeight="1">
      <x:c r="A504" s="10" t="str">
        <x:v>T-BASE</x:v>
      </x:c>
      <x:c r="B504" s="10" t="str">
        <x:v>TEXT</x:v>
      </x:c>
      <x:c r="C504" s="10" t="str">
        <x:v>TEXT:SYN-F08-09-U01</x:v>
      </x:c>
      <x:c r="D504" s="10" t="str">
        <x:v>TEXT:SYN-F08-09-U01-R01</x:v>
      </x:c>
      <x:c r="E504" s="10" t="str">
        <x:v>["SYN-F08-09:D3@v1"]</x:v>
      </x:c>
      <x:c r="F504" s="10" t="str">
        <x:v>["SYN-F08-09:D3@v1"]</x:v>
      </x:c>
      <x:c r="G504" s="10" t="n">
        <x:f>IF(E504=F504,1,0)</x:f>
        <x:v>1</x:v>
      </x:c>
    </x:row>
    <x:row r="505" ht="55" customHeight="1">
      <x:c r="A505" s="10" t="str">
        <x:v>T-BASE</x:v>
      </x:c>
      <x:c r="B505" s="10" t="str">
        <x:v>TEXT</x:v>
      </x:c>
      <x:c r="C505" s="10" t="str">
        <x:v>TEXT:SYN-F08-09-U02</x:v>
      </x:c>
      <x:c r="D505" s="10" t="str">
        <x:v>TEXT:SYN-F08-09-U02-R01</x:v>
      </x:c>
      <x:c r="E505" s="10" t="str">
        <x:v>["SYN-F08-09:D3@v1#focus"]</x:v>
      </x:c>
      <x:c r="F505" s="10" t="str">
        <x:v>["SYN-F08-09:D3@v1#focus"]</x:v>
      </x:c>
      <x:c r="G505" s="10" t="n">
        <x:f>IF(E505=F505,1,0)</x:f>
        <x:v>1</x:v>
      </x:c>
    </x:row>
    <x:row r="506" ht="55" customHeight="1">
      <x:c r="A506" s="10" t="str">
        <x:v>T-EXEC</x:v>
      </x:c>
      <x:c r="B506" s="10" t="str">
        <x:v>TEXT</x:v>
      </x:c>
      <x:c r="C506" s="10" t="str">
        <x:v>TEXT:SYN-F08-09-U01</x:v>
      </x:c>
      <x:c r="D506" s="10" t="str">
        <x:v>TEXT:SYN-F08-09-U01-R01</x:v>
      </x:c>
      <x:c r="E506" s="10" t="str">
        <x:v>["SYN-F08-09:D3@v1"]</x:v>
      </x:c>
      <x:c r="F506" s="10" t="str">
        <x:v>["SYN-F08-09:D3@v1"]</x:v>
      </x:c>
      <x:c r="G506" s="10" t="n">
        <x:f>IF(E506=F506,1,0)</x:f>
        <x:v>1</x:v>
      </x:c>
    </x:row>
    <x:row r="507" ht="55" customHeight="1">
      <x:c r="A507" s="10" t="str">
        <x:v>T-EXEC</x:v>
      </x:c>
      <x:c r="B507" s="10" t="str">
        <x:v>TEXT</x:v>
      </x:c>
      <x:c r="C507" s="10" t="str">
        <x:v>TEXT:SYN-F08-09-U02</x:v>
      </x:c>
      <x:c r="D507" s="10" t="str">
        <x:v>TEXT:SYN-F08-09-U02-R01</x:v>
      </x:c>
      <x:c r="E507" s="10" t="str">
        <x:v>["SYN-F08-09:D3@v1#focus"]</x:v>
      </x:c>
      <x:c r="F507" s="10" t="str">
        <x:v>["SYN-F08-09:D3@v1#focus"]</x:v>
      </x:c>
      <x:c r="G507" s="10" t="n">
        <x:f>IF(E507=F507,1,0)</x:f>
        <x:v>1</x:v>
      </x:c>
    </x:row>
    <x:row r="508" ht="55" customHeight="1">
      <x:c r="A508" s="10" t="str">
        <x:v>T-REL</x:v>
      </x:c>
      <x:c r="B508" s="10" t="str">
        <x:v>TEXT</x:v>
      </x:c>
      <x:c r="C508" s="10" t="str">
        <x:v>TEXT:SYN-F08-09-U01</x:v>
      </x:c>
      <x:c r="D508" s="10" t="str">
        <x:v>TEXT:SYN-F08-09-U01-R01</x:v>
      </x:c>
      <x:c r="E508" s="10" t="str">
        <x:v>["SYN-F08-09:D3@v1"]</x:v>
      </x:c>
      <x:c r="F508" s="10" t="str">
        <x:v>["SYN-F08-09:D3@v1"]</x:v>
      </x:c>
      <x:c r="G508" s="10" t="n">
        <x:f>IF(E508=F508,1,0)</x:f>
        <x:v>1</x:v>
      </x:c>
    </x:row>
    <x:row r="509" ht="55" customHeight="1">
      <x:c r="A509" s="10" t="str">
        <x:v>T-REL</x:v>
      </x:c>
      <x:c r="B509" s="10" t="str">
        <x:v>TEXT</x:v>
      </x:c>
      <x:c r="C509" s="10" t="str">
        <x:v>TEXT:SYN-F08-09-U02</x:v>
      </x:c>
      <x:c r="D509" s="10" t="str">
        <x:v>TEXT:SYN-F08-09-U02-R01</x:v>
      </x:c>
      <x:c r="E509" s="10" t="str">
        <x:v>["SYN-F08-09:D3@v1#focus"]</x:v>
      </x:c>
      <x:c r="F509" s="10" t="str">
        <x:v>["SYN-F08-09:D3@v1#focus"]</x:v>
      </x:c>
      <x:c r="G509" s="10" t="n">
        <x:f>IF(E509=F509,1,0)</x:f>
        <x:v>1</x:v>
      </x:c>
    </x:row>
    <x:row r="510" ht="55" customHeight="1">
      <x:c r="A510" s="10" t="str">
        <x:v>T-BASE</x:v>
      </x:c>
      <x:c r="B510" s="10" t="str">
        <x:v>TEXT</x:v>
      </x:c>
      <x:c r="C510" s="10" t="str">
        <x:v>TEXT:SYN-F08-10-U01</x:v>
      </x:c>
      <x:c r="D510" s="10" t="str">
        <x:v>TEXT:SYN-F08-10-U01-R01</x:v>
      </x:c>
      <x:c r="E510" s="10" t="str">
        <x:v>["SYN-F08-10:D2@v1"]</x:v>
      </x:c>
      <x:c r="F510" s="10" t="str">
        <x:v>["SYN-F08-10:D2@v1"]</x:v>
      </x:c>
      <x:c r="G510" s="10" t="n">
        <x:f>IF(E510=F510,1,0)</x:f>
        <x:v>1</x:v>
      </x:c>
    </x:row>
    <x:row r="511" ht="55" customHeight="1">
      <x:c r="A511" s="10" t="str">
        <x:v>T-BASE</x:v>
      </x:c>
      <x:c r="B511" s="10" t="str">
        <x:v>TEXT</x:v>
      </x:c>
      <x:c r="C511" s="10" t="str">
        <x:v>TEXT:SYN-F08-10-U02</x:v>
      </x:c>
      <x:c r="D511" s="10" t="str">
        <x:v>TEXT:SYN-F08-10-U02-R01</x:v>
      </x:c>
      <x:c r="E511" s="10" t="str">
        <x:v>["SYN-F08-10:D2@v1#focus"]</x:v>
      </x:c>
      <x:c r="F511" s="10" t="str">
        <x:v>["SYN-F08-10:D2@v1#focus"]</x:v>
      </x:c>
      <x:c r="G511" s="10" t="n">
        <x:f>IF(E511=F511,1,0)</x:f>
        <x:v>1</x:v>
      </x:c>
    </x:row>
    <x:row r="512" ht="55" customHeight="1">
      <x:c r="A512" s="10" t="str">
        <x:v>T-EXEC</x:v>
      </x:c>
      <x:c r="B512" s="10" t="str">
        <x:v>TEXT</x:v>
      </x:c>
      <x:c r="C512" s="10" t="str">
        <x:v>TEXT:SYN-F08-10-U01</x:v>
      </x:c>
      <x:c r="D512" s="10" t="str">
        <x:v>TEXT:SYN-F08-10-U01-R01</x:v>
      </x:c>
      <x:c r="E512" s="10" t="str">
        <x:v>["SYN-F08-10:D2@v1"]</x:v>
      </x:c>
      <x:c r="F512" s="10" t="str">
        <x:v>["SYN-F08-10:D2@v1"]</x:v>
      </x:c>
      <x:c r="G512" s="10" t="n">
        <x:f>IF(E512=F512,1,0)</x:f>
        <x:v>1</x:v>
      </x:c>
    </x:row>
    <x:row r="513" ht="55" customHeight="1">
      <x:c r="A513" s="10" t="str">
        <x:v>T-EXEC</x:v>
      </x:c>
      <x:c r="B513" s="10" t="str">
        <x:v>TEXT</x:v>
      </x:c>
      <x:c r="C513" s="10" t="str">
        <x:v>TEXT:SYN-F08-10-U02</x:v>
      </x:c>
      <x:c r="D513" s="10" t="str">
        <x:v>TEXT:SYN-F08-10-U02-R01</x:v>
      </x:c>
      <x:c r="E513" s="10" t="str">
        <x:v>["SYN-F08-10:D2@v1#focus"]</x:v>
      </x:c>
      <x:c r="F513" s="10" t="str">
        <x:v>["SYN-F08-10:D2@v1#focus"]</x:v>
      </x:c>
      <x:c r="G513" s="10" t="n">
        <x:f>IF(E513=F513,1,0)</x:f>
        <x:v>1</x:v>
      </x:c>
    </x:row>
    <x:row r="514" ht="55" customHeight="1">
      <x:c r="A514" s="10" t="str">
        <x:v>T-REL</x:v>
      </x:c>
      <x:c r="B514" s="10" t="str">
        <x:v>TEXT</x:v>
      </x:c>
      <x:c r="C514" s="10" t="str">
        <x:v>TEXT:SYN-F08-10-U01</x:v>
      </x:c>
      <x:c r="D514" s="10" t="str">
        <x:v>TEXT:SYN-F08-10-U01-R01</x:v>
      </x:c>
      <x:c r="E514" s="10" t="str">
        <x:v>["SYN-F08-10:D2@v1"]</x:v>
      </x:c>
      <x:c r="F514" s="10" t="str">
        <x:v>["SYN-F08-10:D2@v1"]</x:v>
      </x:c>
      <x:c r="G514" s="10" t="n">
        <x:f>IF(E514=F514,1,0)</x:f>
        <x:v>1</x:v>
      </x:c>
    </x:row>
    <x:row r="515" ht="55" customHeight="1">
      <x:c r="A515" s="10" t="str">
        <x:v>T-REL</x:v>
      </x:c>
      <x:c r="B515" s="10" t="str">
        <x:v>TEXT</x:v>
      </x:c>
      <x:c r="C515" s="10" t="str">
        <x:v>TEXT:SYN-F08-10-U02</x:v>
      </x:c>
      <x:c r="D515" s="10" t="str">
        <x:v>TEXT:SYN-F08-10-U02-R01</x:v>
      </x:c>
      <x:c r="E515" s="10" t="str">
        <x:v>["SYN-F08-10:D2@v1#focus"]</x:v>
      </x:c>
      <x:c r="F515" s="10" t="str">
        <x:v>["SYN-F08-10:D2@v1#focus"]</x:v>
      </x:c>
      <x:c r="G515" s="10" t="n">
        <x:f>IF(E515=F515,1,0)</x:f>
        <x:v>1</x:v>
      </x:c>
    </x:row>
    <x:row r="516" ht="55" customHeight="1">
      <x:c r="A516" s="10" t="str">
        <x:v>T-BASE</x:v>
      </x:c>
      <x:c r="B516" s="10" t="str">
        <x:v>TEXT</x:v>
      </x:c>
      <x:c r="C516" s="10" t="str">
        <x:v>TEXT:SYN-F09-01-U01</x:v>
      </x:c>
      <x:c r="D516" s="10" t="str">
        <x:v>TEXT:SYN-F09-01-U01-R01</x:v>
      </x:c>
      <x:c r="E516" s="10" t="str">
        <x:v>["SYN-F09-01:D1@v1"]</x:v>
      </x:c>
      <x:c r="F516" s="10" t="str">
        <x:v>["SYN-F09-01:D1@v1"]</x:v>
      </x:c>
      <x:c r="G516" s="10" t="n">
        <x:f>IF(E516=F516,1,0)</x:f>
        <x:v>1</x:v>
      </x:c>
    </x:row>
    <x:row r="517" ht="55" customHeight="1">
      <x:c r="A517" s="10" t="str">
        <x:v>T-BASE</x:v>
      </x:c>
      <x:c r="B517" s="10" t="str">
        <x:v>TEXT</x:v>
      </x:c>
      <x:c r="C517" s="10" t="str">
        <x:v>TEXT:SYN-F09-01-U02</x:v>
      </x:c>
      <x:c r="D517" s="10" t="str">
        <x:v>TEXT:SYN-F09-01-U02-R01</x:v>
      </x:c>
      <x:c r="E517" s="10" t="str">
        <x:v>["SYN-F09-01:D3@v1"]</x:v>
      </x:c>
      <x:c r="F517" s="10" t="str">
        <x:v>["SYN-F09-01:D3@v1"]</x:v>
      </x:c>
      <x:c r="G517" s="10" t="n">
        <x:f>IF(E517=F517,1,0)</x:f>
        <x:v>1</x:v>
      </x:c>
    </x:row>
    <x:row r="518" ht="55" customHeight="1">
      <x:c r="A518" s="10" t="str">
        <x:v>T-EXEC</x:v>
      </x:c>
      <x:c r="B518" s="10" t="str">
        <x:v>TEXT</x:v>
      </x:c>
      <x:c r="C518" s="10" t="str">
        <x:v>TEXT:SYN-F09-01-U01</x:v>
      </x:c>
      <x:c r="D518" s="10" t="str">
        <x:v>TEXT:SYN-F09-01-U01-R01</x:v>
      </x:c>
      <x:c r="E518" s="10" t="str">
        <x:v>["SYN-F09-01:D1@v1"]</x:v>
      </x:c>
      <x:c r="F518" s="10" t="str">
        <x:v>["SYN-F09-01:D1@v1"]</x:v>
      </x:c>
      <x:c r="G518" s="10" t="n">
        <x:f>IF(E518=F518,1,0)</x:f>
        <x:v>1</x:v>
      </x:c>
    </x:row>
    <x:row r="519" ht="55" customHeight="1">
      <x:c r="A519" s="10" t="str">
        <x:v>T-EXEC</x:v>
      </x:c>
      <x:c r="B519" s="10" t="str">
        <x:v>TEXT</x:v>
      </x:c>
      <x:c r="C519" s="10" t="str">
        <x:v>TEXT:SYN-F09-01-U02</x:v>
      </x:c>
      <x:c r="D519" s="10" t="str">
        <x:v>TEXT:SYN-F09-01-U02-R01</x:v>
      </x:c>
      <x:c r="E519" s="10" t="str">
        <x:v>["SYN-F09-01:D3@v1"]</x:v>
      </x:c>
      <x:c r="F519" s="10" t="str">
        <x:v>["SYN-F09-01:D3@v1"]</x:v>
      </x:c>
      <x:c r="G519" s="10" t="n">
        <x:f>IF(E519=F519,1,0)</x:f>
        <x:v>1</x:v>
      </x:c>
    </x:row>
    <x:row r="520" ht="55" customHeight="1">
      <x:c r="A520" s="10" t="str">
        <x:v>T-REL</x:v>
      </x:c>
      <x:c r="B520" s="10" t="str">
        <x:v>TEXT</x:v>
      </x:c>
      <x:c r="C520" s="10" t="str">
        <x:v>TEXT:SYN-F09-01-U01</x:v>
      </x:c>
      <x:c r="D520" s="10" t="str">
        <x:v>TEXT:SYN-F09-01-U01-R01</x:v>
      </x:c>
      <x:c r="E520" s="10" t="str">
        <x:v>["SYN-F09-01:D1@v1"]</x:v>
      </x:c>
      <x:c r="F520" s="10" t="str">
        <x:v>["SYN-F09-01:D1@v1"]</x:v>
      </x:c>
      <x:c r="G520" s="10" t="n">
        <x:f>IF(E520=F520,1,0)</x:f>
        <x:v>1</x:v>
      </x:c>
    </x:row>
    <x:row r="521" ht="55" customHeight="1">
      <x:c r="A521" s="10" t="str">
        <x:v>T-REL</x:v>
      </x:c>
      <x:c r="B521" s="10" t="str">
        <x:v>TEXT</x:v>
      </x:c>
      <x:c r="C521" s="10" t="str">
        <x:v>TEXT:SYN-F09-01-U02</x:v>
      </x:c>
      <x:c r="D521" s="10" t="str">
        <x:v>TEXT:SYN-F09-01-U02-R01</x:v>
      </x:c>
      <x:c r="E521" s="10" t="str">
        <x:v>["SYN-F09-01:D3@v1"]</x:v>
      </x:c>
      <x:c r="F521" s="10" t="str">
        <x:v>["SYN-F09-01:D3@v1"]</x:v>
      </x:c>
      <x:c r="G521" s="10" t="n">
        <x:f>IF(E521=F521,1,0)</x:f>
        <x:v>1</x:v>
      </x:c>
    </x:row>
    <x:row r="522" ht="55" customHeight="1">
      <x:c r="A522" s="10" t="str">
        <x:v>T-BASE</x:v>
      </x:c>
      <x:c r="B522" s="10" t="str">
        <x:v>TEXT</x:v>
      </x:c>
      <x:c r="C522" s="10" t="str">
        <x:v>TEXT:SYN-F09-02-U01</x:v>
      </x:c>
      <x:c r="D522" s="10" t="str">
        <x:v>TEXT:SYN-F09-02-U01-R01</x:v>
      </x:c>
      <x:c r="E522" s="10" t="str">
        <x:v>["SYN-F09-02:D3@v1"]</x:v>
      </x:c>
      <x:c r="F522" s="10" t="str">
        <x:v>["SYN-F09-02:D3@v1"]</x:v>
      </x:c>
      <x:c r="G522" s="10" t="n">
        <x:f>IF(E522=F522,1,0)</x:f>
        <x:v>1</x:v>
      </x:c>
    </x:row>
    <x:row r="523" ht="55" customHeight="1">
      <x:c r="A523" s="10" t="str">
        <x:v>T-BASE</x:v>
      </x:c>
      <x:c r="B523" s="10" t="str">
        <x:v>TEXT</x:v>
      </x:c>
      <x:c r="C523" s="10" t="str">
        <x:v>TEXT:SYN-F09-02-U02</x:v>
      </x:c>
      <x:c r="D523" s="10" t="str">
        <x:v>TEXT:SYN-F09-02-U02-R01</x:v>
      </x:c>
      <x:c r="E523" s="10" t="str">
        <x:v>["SYN-F09-02:D2@v1"]</x:v>
      </x:c>
      <x:c r="F523" s="10" t="str">
        <x:v>["SYN-F09-02:D2@v1"]</x:v>
      </x:c>
      <x:c r="G523" s="10" t="n">
        <x:f>IF(E523=F523,1,0)</x:f>
        <x:v>1</x:v>
      </x:c>
    </x:row>
    <x:row r="524" ht="55" customHeight="1">
      <x:c r="A524" s="10" t="str">
        <x:v>T-EXEC</x:v>
      </x:c>
      <x:c r="B524" s="10" t="str">
        <x:v>TEXT</x:v>
      </x:c>
      <x:c r="C524" s="10" t="str">
        <x:v>TEXT:SYN-F09-02-U01</x:v>
      </x:c>
      <x:c r="D524" s="10" t="str">
        <x:v>TEXT:SYN-F09-02-U01-R01</x:v>
      </x:c>
      <x:c r="E524" s="10" t="str">
        <x:v>["SYN-F09-02:D3@v1"]</x:v>
      </x:c>
      <x:c r="F524" s="10" t="str">
        <x:v>["SYN-F09-02:D3@v1"]</x:v>
      </x:c>
      <x:c r="G524" s="10" t="n">
        <x:f>IF(E524=F524,1,0)</x:f>
        <x:v>1</x:v>
      </x:c>
    </x:row>
    <x:row r="525" ht="55" customHeight="1">
      <x:c r="A525" s="10" t="str">
        <x:v>T-EXEC</x:v>
      </x:c>
      <x:c r="B525" s="10" t="str">
        <x:v>TEXT</x:v>
      </x:c>
      <x:c r="C525" s="10" t="str">
        <x:v>TEXT:SYN-F09-02-U02</x:v>
      </x:c>
      <x:c r="D525" s="10" t="str">
        <x:v>TEXT:SYN-F09-02-U02-R01</x:v>
      </x:c>
      <x:c r="E525" s="10" t="str">
        <x:v>["SYN-F09-02:D2@v1"]</x:v>
      </x:c>
      <x:c r="F525" s="10" t="str">
        <x:v>["SYN-F09-02:D2@v1"]</x:v>
      </x:c>
      <x:c r="G525" s="10" t="n">
        <x:f>IF(E525=F525,1,0)</x:f>
        <x:v>1</x:v>
      </x:c>
    </x:row>
    <x:row r="526" ht="55" customHeight="1">
      <x:c r="A526" s="10" t="str">
        <x:v>T-REL</x:v>
      </x:c>
      <x:c r="B526" s="10" t="str">
        <x:v>TEXT</x:v>
      </x:c>
      <x:c r="C526" s="10" t="str">
        <x:v>TEXT:SYN-F09-02-U01</x:v>
      </x:c>
      <x:c r="D526" s="10" t="str">
        <x:v>TEXT:SYN-F09-02-U01-R01</x:v>
      </x:c>
      <x:c r="E526" s="10" t="str">
        <x:v>["SYN-F09-02:D3@v1"]</x:v>
      </x:c>
      <x:c r="F526" s="10" t="str">
        <x:v>["SYN-F09-02:D3@v1"]</x:v>
      </x:c>
      <x:c r="G526" s="10" t="n">
        <x:f>IF(E526=F526,1,0)</x:f>
        <x:v>1</x:v>
      </x:c>
    </x:row>
    <x:row r="527" ht="55" customHeight="1">
      <x:c r="A527" s="10" t="str">
        <x:v>T-REL</x:v>
      </x:c>
      <x:c r="B527" s="10" t="str">
        <x:v>TEXT</x:v>
      </x:c>
      <x:c r="C527" s="10" t="str">
        <x:v>TEXT:SYN-F09-02-U02</x:v>
      </x:c>
      <x:c r="D527" s="10" t="str">
        <x:v>TEXT:SYN-F09-02-U02-R01</x:v>
      </x:c>
      <x:c r="E527" s="10" t="str">
        <x:v>["SYN-F09-02:D2@v1"]</x:v>
      </x:c>
      <x:c r="F527" s="10" t="str">
        <x:v>["SYN-F09-02:D2@v1"]</x:v>
      </x:c>
      <x:c r="G527" s="10" t="n">
        <x:f>IF(E527=F527,1,0)</x:f>
        <x:v>1</x:v>
      </x:c>
    </x:row>
    <x:row r="528" ht="55" customHeight="1">
      <x:c r="A528" s="10" t="str">
        <x:v>T-BASE</x:v>
      </x:c>
      <x:c r="B528" s="10" t="str">
        <x:v>TEXT</x:v>
      </x:c>
      <x:c r="C528" s="10" t="str">
        <x:v>TEXT:SYN-F09-03-U01</x:v>
      </x:c>
      <x:c r="D528" s="10" t="str">
        <x:v>TEXT:SYN-F09-03-U01-R01</x:v>
      </x:c>
      <x:c r="E528" s="10" t="str">
        <x:v>["SYN-F09-03:D2@v1"]</x:v>
      </x:c>
      <x:c r="F528" s="10" t="str">
        <x:v>["SYN-F09-03:D2@v1"]</x:v>
      </x:c>
      <x:c r="G528" s="10" t="n">
        <x:f>IF(E528=F528,1,0)</x:f>
        <x:v>1</x:v>
      </x:c>
    </x:row>
    <x:row r="529" ht="55" customHeight="1">
      <x:c r="A529" s="10" t="str">
        <x:v>T-BASE</x:v>
      </x:c>
      <x:c r="B529" s="10" t="str">
        <x:v>TEXT</x:v>
      </x:c>
      <x:c r="C529" s="10" t="str">
        <x:v>TEXT:SYN-F09-03-U02</x:v>
      </x:c>
      <x:c r="D529" s="10" t="str">
        <x:v>TEXT:SYN-F09-03-U02-R01</x:v>
      </x:c>
      <x:c r="E529" s="10" t="str">
        <x:v>["SYN-F09-03:D1@v1"]</x:v>
      </x:c>
      <x:c r="F529" s="10" t="str">
        <x:v>["SYN-F09-03:D2@v1"]</x:v>
      </x:c>
      <x:c r="G529" s="10" t="n">
        <x:f>IF(E529=F529,1,0)</x:f>
        <x:v>0</x:v>
      </x:c>
    </x:row>
    <x:row r="530" ht="55" customHeight="1">
      <x:c r="A530" s="10" t="str">
        <x:v>T-EXEC</x:v>
      </x:c>
      <x:c r="B530" s="10" t="str">
        <x:v>TEXT</x:v>
      </x:c>
      <x:c r="C530" s="10" t="str">
        <x:v>TEXT:SYN-F09-03-U01</x:v>
      </x:c>
      <x:c r="D530" s="10" t="str">
        <x:v>TEXT:SYN-F09-03-U01-R01</x:v>
      </x:c>
      <x:c r="E530" s="10" t="str">
        <x:v>["SYN-F09-03:D2@v1"]</x:v>
      </x:c>
      <x:c r="F530" s="10" t="str">
        <x:v>["SYN-F09-03:D2@v1"]</x:v>
      </x:c>
      <x:c r="G530" s="10" t="n">
        <x:f>IF(E530=F530,1,0)</x:f>
        <x:v>1</x:v>
      </x:c>
    </x:row>
    <x:row r="531" ht="55" customHeight="1">
      <x:c r="A531" s="10" t="str">
        <x:v>T-EXEC</x:v>
      </x:c>
      <x:c r="B531" s="10" t="str">
        <x:v>TEXT</x:v>
      </x:c>
      <x:c r="C531" s="10" t="str">
        <x:v>TEXT:SYN-F09-03-U02</x:v>
      </x:c>
      <x:c r="D531" s="10" t="str">
        <x:v>TEXT:SYN-F09-03-U02-R01</x:v>
      </x:c>
      <x:c r="E531" s="10" t="str">
        <x:v>["SYN-F09-03:D1@v1"]</x:v>
      </x:c>
      <x:c r="F531" s="10" t="str">
        <x:v>["SYN-F09-03:D2@v1"]</x:v>
      </x:c>
      <x:c r="G531" s="10" t="n">
        <x:f>IF(E531=F531,1,0)</x:f>
        <x:v>0</x:v>
      </x:c>
    </x:row>
    <x:row r="532" ht="55" customHeight="1">
      <x:c r="A532" s="10" t="str">
        <x:v>T-REL</x:v>
      </x:c>
      <x:c r="B532" s="10" t="str">
        <x:v>TEXT</x:v>
      </x:c>
      <x:c r="C532" s="10" t="str">
        <x:v>TEXT:SYN-F09-03-U01</x:v>
      </x:c>
      <x:c r="D532" s="10" t="str">
        <x:v>TEXT:SYN-F09-03-U01-R01</x:v>
      </x:c>
      <x:c r="E532" s="10" t="str">
        <x:v>["SYN-F09-03:D2@v1"]</x:v>
      </x:c>
      <x:c r="F532" s="10" t="str">
        <x:v>["SYN-F09-03:D2@v1"]</x:v>
      </x:c>
      <x:c r="G532" s="10" t="n">
        <x:f>IF(E532=F532,1,0)</x:f>
        <x:v>1</x:v>
      </x:c>
    </x:row>
    <x:row r="533" ht="55" customHeight="1">
      <x:c r="A533" s="10" t="str">
        <x:v>T-REL</x:v>
      </x:c>
      <x:c r="B533" s="10" t="str">
        <x:v>TEXT</x:v>
      </x:c>
      <x:c r="C533" s="10" t="str">
        <x:v>TEXT:SYN-F09-03-U02</x:v>
      </x:c>
      <x:c r="D533" s="10" t="str">
        <x:v>TEXT:SYN-F09-03-U02-R01</x:v>
      </x:c>
      <x:c r="E533" s="10" t="str">
        <x:v>["SYN-F09-03:D1@v1"]</x:v>
      </x:c>
      <x:c r="F533" s="10" t="str">
        <x:v>["SYN-F09-03:D2@v1"]</x:v>
      </x:c>
      <x:c r="G533" s="10" t="n">
        <x:f>IF(E533=F533,1,0)</x:f>
        <x:v>0</x:v>
      </x:c>
    </x:row>
    <x:row r="534" ht="55" customHeight="1">
      <x:c r="A534" s="10" t="str">
        <x:v>T-BASE</x:v>
      </x:c>
      <x:c r="B534" s="10" t="str">
        <x:v>TEXT</x:v>
      </x:c>
      <x:c r="C534" s="10" t="str">
        <x:v>TEXT:SYN-F09-04-U01</x:v>
      </x:c>
      <x:c r="D534" s="10" t="str">
        <x:v>TEXT:SYN-F09-04-U01-R01</x:v>
      </x:c>
      <x:c r="E534" s="10" t="str">
        <x:v>["SYN-F09-04:D1@v1"]</x:v>
      </x:c>
      <x:c r="F534" s="10" t="str">
        <x:v>["SYN-F09-04:D1@v1"]</x:v>
      </x:c>
      <x:c r="G534" s="10" t="n">
        <x:f>IF(E534=F534,1,0)</x:f>
        <x:v>1</x:v>
      </x:c>
    </x:row>
    <x:row r="535" ht="55" customHeight="1">
      <x:c r="A535" s="10" t="str">
        <x:v>T-BASE</x:v>
      </x:c>
      <x:c r="B535" s="10" t="str">
        <x:v>TEXT</x:v>
      </x:c>
      <x:c r="C535" s="10" t="str">
        <x:v>TEXT:SYN-F09-04-U02</x:v>
      </x:c>
      <x:c r="D535" s="10" t="str">
        <x:v>TEXT:SYN-F09-04-U02-R01</x:v>
      </x:c>
      <x:c r="E535" s="10" t="str">
        <x:v>["SYN-F09-04:D3@v1"]</x:v>
      </x:c>
      <x:c r="F535" s="10" t="str">
        <x:v>["SYN-F09-04:D3@v1"]</x:v>
      </x:c>
      <x:c r="G535" s="10" t="n">
        <x:f>IF(E535=F535,1,0)</x:f>
        <x:v>1</x:v>
      </x:c>
    </x:row>
    <x:row r="536" ht="55" customHeight="1">
      <x:c r="A536" s="10" t="str">
        <x:v>T-EXEC</x:v>
      </x:c>
      <x:c r="B536" s="10" t="str">
        <x:v>TEXT</x:v>
      </x:c>
      <x:c r="C536" s="10" t="str">
        <x:v>TEXT:SYN-F09-04-U01</x:v>
      </x:c>
      <x:c r="D536" s="10" t="str">
        <x:v>TEXT:SYN-F09-04-U01-R01</x:v>
      </x:c>
      <x:c r="E536" s="10" t="str">
        <x:v>["SYN-F09-04:D1@v1"]</x:v>
      </x:c>
      <x:c r="F536" s="10" t="str">
        <x:v>["SYN-F09-04:D1@v1"]</x:v>
      </x:c>
      <x:c r="G536" s="10" t="n">
        <x:f>IF(E536=F536,1,0)</x:f>
        <x:v>1</x:v>
      </x:c>
    </x:row>
    <x:row r="537" ht="55" customHeight="1">
      <x:c r="A537" s="10" t="str">
        <x:v>T-EXEC</x:v>
      </x:c>
      <x:c r="B537" s="10" t="str">
        <x:v>TEXT</x:v>
      </x:c>
      <x:c r="C537" s="10" t="str">
        <x:v>TEXT:SYN-F09-04-U02</x:v>
      </x:c>
      <x:c r="D537" s="10" t="str">
        <x:v>TEXT:SYN-F09-04-U02-R01</x:v>
      </x:c>
      <x:c r="E537" s="10" t="str">
        <x:v>["SYN-F09-04:D3@v1"]</x:v>
      </x:c>
      <x:c r="F537" s="10" t="str">
        <x:v>["SYN-F09-04:D3@v1"]</x:v>
      </x:c>
      <x:c r="G537" s="10" t="n">
        <x:f>IF(E537=F537,1,0)</x:f>
        <x:v>1</x:v>
      </x:c>
    </x:row>
    <x:row r="538" ht="55" customHeight="1">
      <x:c r="A538" s="10" t="str">
        <x:v>T-REL</x:v>
      </x:c>
      <x:c r="B538" s="10" t="str">
        <x:v>TEXT</x:v>
      </x:c>
      <x:c r="C538" s="10" t="str">
        <x:v>TEXT:SYN-F09-04-U01</x:v>
      </x:c>
      <x:c r="D538" s="10" t="str">
        <x:v>TEXT:SYN-F09-04-U01-R01</x:v>
      </x:c>
      <x:c r="E538" s="10" t="str">
        <x:v>["SYN-F09-04:D1@v1"]</x:v>
      </x:c>
      <x:c r="F538" s="10" t="str">
        <x:v>["SYN-F09-04:D1@v1"]</x:v>
      </x:c>
      <x:c r="G538" s="10" t="n">
        <x:f>IF(E538=F538,1,0)</x:f>
        <x:v>1</x:v>
      </x:c>
    </x:row>
    <x:row r="539" ht="55" customHeight="1">
      <x:c r="A539" s="10" t="str">
        <x:v>T-REL</x:v>
      </x:c>
      <x:c r="B539" s="10" t="str">
        <x:v>TEXT</x:v>
      </x:c>
      <x:c r="C539" s="10" t="str">
        <x:v>TEXT:SYN-F09-04-U02</x:v>
      </x:c>
      <x:c r="D539" s="10" t="str">
        <x:v>TEXT:SYN-F09-04-U02-R01</x:v>
      </x:c>
      <x:c r="E539" s="10" t="str">
        <x:v>["SYN-F09-04:D3@v1"]</x:v>
      </x:c>
      <x:c r="F539" s="10" t="str">
        <x:v>["SYN-F09-04:D3@v1"]</x:v>
      </x:c>
      <x:c r="G539" s="10" t="n">
        <x:f>IF(E539=F539,1,0)</x:f>
        <x:v>1</x:v>
      </x:c>
    </x:row>
    <x:row r="540" ht="55" customHeight="1">
      <x:c r="A540" s="10" t="str">
        <x:v>T-BASE</x:v>
      </x:c>
      <x:c r="B540" s="10" t="str">
        <x:v>TEXT</x:v>
      </x:c>
      <x:c r="C540" s="10" t="str">
        <x:v>TEXT:SYN-F09-05-U01</x:v>
      </x:c>
      <x:c r="D540" s="10" t="str">
        <x:v>TEXT:SYN-F09-05-U01-R01</x:v>
      </x:c>
      <x:c r="E540" s="10" t="str">
        <x:v>["SYN-F09-05:D3@v1"]</x:v>
      </x:c>
      <x:c r="F540" s="10" t="str">
        <x:v>["SYN-F09-05:D3@v1"]</x:v>
      </x:c>
      <x:c r="G540" s="10" t="n">
        <x:f>IF(E540=F540,1,0)</x:f>
        <x:v>1</x:v>
      </x:c>
    </x:row>
    <x:row r="541" ht="55" customHeight="1">
      <x:c r="A541" s="10" t="str">
        <x:v>T-BASE</x:v>
      </x:c>
      <x:c r="B541" s="10" t="str">
        <x:v>TEXT</x:v>
      </x:c>
      <x:c r="C541" s="10" t="str">
        <x:v>TEXT:SYN-F09-05-U02</x:v>
      </x:c>
      <x:c r="D541" s="10" t="str">
        <x:v>TEXT:SYN-F09-05-U02-R01</x:v>
      </x:c>
      <x:c r="E541" s="10" t="str">
        <x:v>["SYN-F09-05:D2@v1"]</x:v>
      </x:c>
      <x:c r="F541" s="10" t="str">
        <x:v>["SYN-F09-05:D2@v1"]</x:v>
      </x:c>
      <x:c r="G541" s="10" t="n">
        <x:f>IF(E541=F541,1,0)</x:f>
        <x:v>1</x:v>
      </x:c>
    </x:row>
    <x:row r="542" ht="55" customHeight="1">
      <x:c r="A542" s="10" t="str">
        <x:v>T-EXEC</x:v>
      </x:c>
      <x:c r="B542" s="10" t="str">
        <x:v>TEXT</x:v>
      </x:c>
      <x:c r="C542" s="10" t="str">
        <x:v>TEXT:SYN-F09-05-U01</x:v>
      </x:c>
      <x:c r="D542" s="10" t="str">
        <x:v>TEXT:SYN-F09-05-U01-R01</x:v>
      </x:c>
      <x:c r="E542" s="10" t="str">
        <x:v>["SYN-F09-05:D3@v1"]</x:v>
      </x:c>
      <x:c r="F542" s="10" t="str">
        <x:v>["SYN-F09-05:D3@v1"]</x:v>
      </x:c>
      <x:c r="G542" s="10" t="n">
        <x:f>IF(E542=F542,1,0)</x:f>
        <x:v>1</x:v>
      </x:c>
    </x:row>
    <x:row r="543" ht="55" customHeight="1">
      <x:c r="A543" s="10" t="str">
        <x:v>T-EXEC</x:v>
      </x:c>
      <x:c r="B543" s="10" t="str">
        <x:v>TEXT</x:v>
      </x:c>
      <x:c r="C543" s="10" t="str">
        <x:v>TEXT:SYN-F09-05-U02</x:v>
      </x:c>
      <x:c r="D543" s="10" t="str">
        <x:v>TEXT:SYN-F09-05-U02-R01</x:v>
      </x:c>
      <x:c r="E543" s="10" t="str">
        <x:v>["SYN-F09-05:D2@v1"]</x:v>
      </x:c>
      <x:c r="F543" s="10" t="str">
        <x:v>["SYN-F09-05:D2@v1"]</x:v>
      </x:c>
      <x:c r="G543" s="10" t="n">
        <x:f>IF(E543=F543,1,0)</x:f>
        <x:v>1</x:v>
      </x:c>
    </x:row>
    <x:row r="544" ht="55" customHeight="1">
      <x:c r="A544" s="10" t="str">
        <x:v>T-REL</x:v>
      </x:c>
      <x:c r="B544" s="10" t="str">
        <x:v>TEXT</x:v>
      </x:c>
      <x:c r="C544" s="10" t="str">
        <x:v>TEXT:SYN-F09-05-U01</x:v>
      </x:c>
      <x:c r="D544" s="10" t="str">
        <x:v>TEXT:SYN-F09-05-U01-R01</x:v>
      </x:c>
      <x:c r="E544" s="10" t="str">
        <x:v>["SYN-F09-05:D3@v1"]</x:v>
      </x:c>
      <x:c r="F544" s="10" t="str">
        <x:v>["SYN-F09-05:D3@v1"]</x:v>
      </x:c>
      <x:c r="G544" s="10" t="n">
        <x:f>IF(E544=F544,1,0)</x:f>
        <x:v>1</x:v>
      </x:c>
    </x:row>
    <x:row r="545" ht="55" customHeight="1">
      <x:c r="A545" s="10" t="str">
        <x:v>T-REL</x:v>
      </x:c>
      <x:c r="B545" s="10" t="str">
        <x:v>TEXT</x:v>
      </x:c>
      <x:c r="C545" s="10" t="str">
        <x:v>TEXT:SYN-F09-05-U02</x:v>
      </x:c>
      <x:c r="D545" s="10" t="str">
        <x:v>TEXT:SYN-F09-05-U02-R01</x:v>
      </x:c>
      <x:c r="E545" s="10" t="str">
        <x:v>["SYN-F09-05:D2@v1"]</x:v>
      </x:c>
      <x:c r="F545" s="10" t="str">
        <x:v>["SYN-F09-05:D2@v1"]</x:v>
      </x:c>
      <x:c r="G545" s="10" t="n">
        <x:f>IF(E545=F545,1,0)</x:f>
        <x:v>1</x:v>
      </x:c>
    </x:row>
    <x:row r="546" ht="55" customHeight="1">
      <x:c r="A546" s="10" t="str">
        <x:v>T-BASE</x:v>
      </x:c>
      <x:c r="B546" s="10" t="str">
        <x:v>TEXT</x:v>
      </x:c>
      <x:c r="C546" s="10" t="str">
        <x:v>TEXT:SYN-F09-06-U01</x:v>
      </x:c>
      <x:c r="D546" s="10" t="str">
        <x:v>TEXT:SYN-F09-06-U01-R01</x:v>
      </x:c>
      <x:c r="E546" s="10" t="str">
        <x:v>["SYN-F09-06:D2@v1"]</x:v>
      </x:c>
      <x:c r="F546" s="10" t="str">
        <x:v>["SYN-F09-06:D2@v1"]</x:v>
      </x:c>
      <x:c r="G546" s="10" t="n">
        <x:f>IF(E546=F546,1,0)</x:f>
        <x:v>1</x:v>
      </x:c>
    </x:row>
    <x:row r="547" ht="55" customHeight="1">
      <x:c r="A547" s="10" t="str">
        <x:v>T-BASE</x:v>
      </x:c>
      <x:c r="B547" s="10" t="str">
        <x:v>TEXT</x:v>
      </x:c>
      <x:c r="C547" s="10" t="str">
        <x:v>TEXT:SYN-F09-06-U02</x:v>
      </x:c>
      <x:c r="D547" s="10" t="str">
        <x:v>TEXT:SYN-F09-06-U02-R01</x:v>
      </x:c>
      <x:c r="E547" s="10" t="str">
        <x:v>["SYN-F09-06:D1@v1"]</x:v>
      </x:c>
      <x:c r="F547" s="10" t="str">
        <x:v>["SYN-F09-06:D2@v1"]</x:v>
      </x:c>
      <x:c r="G547" s="10" t="n">
        <x:f>IF(E547=F547,1,0)</x:f>
        <x:v>0</x:v>
      </x:c>
    </x:row>
    <x:row r="548" ht="55" customHeight="1">
      <x:c r="A548" s="10" t="str">
        <x:v>T-EXEC</x:v>
      </x:c>
      <x:c r="B548" s="10" t="str">
        <x:v>TEXT</x:v>
      </x:c>
      <x:c r="C548" s="10" t="str">
        <x:v>TEXT:SYN-F09-06-U01</x:v>
      </x:c>
      <x:c r="D548" s="10" t="str">
        <x:v>TEXT:SYN-F09-06-U01-R01</x:v>
      </x:c>
      <x:c r="E548" s="10" t="str">
        <x:v>["SYN-F09-06:D2@v1"]</x:v>
      </x:c>
      <x:c r="F548" s="10" t="str">
        <x:v>["SYN-F09-06:D2@v1"]</x:v>
      </x:c>
      <x:c r="G548" s="10" t="n">
        <x:f>IF(E548=F548,1,0)</x:f>
        <x:v>1</x:v>
      </x:c>
    </x:row>
    <x:row r="549" ht="55" customHeight="1">
      <x:c r="A549" s="10" t="str">
        <x:v>T-EXEC</x:v>
      </x:c>
      <x:c r="B549" s="10" t="str">
        <x:v>TEXT</x:v>
      </x:c>
      <x:c r="C549" s="10" t="str">
        <x:v>TEXT:SYN-F09-06-U02</x:v>
      </x:c>
      <x:c r="D549" s="10" t="str">
        <x:v>TEXT:SYN-F09-06-U02-R01</x:v>
      </x:c>
      <x:c r="E549" s="10" t="str">
        <x:v>["SYN-F09-06:D1@v1"]</x:v>
      </x:c>
      <x:c r="F549" s="10" t="str">
        <x:v>["SYN-F09-06:D2@v1"]</x:v>
      </x:c>
      <x:c r="G549" s="10" t="n">
        <x:f>IF(E549=F549,1,0)</x:f>
        <x:v>0</x:v>
      </x:c>
    </x:row>
    <x:row r="550" ht="55" customHeight="1">
      <x:c r="A550" s="10" t="str">
        <x:v>T-REL</x:v>
      </x:c>
      <x:c r="B550" s="10" t="str">
        <x:v>TEXT</x:v>
      </x:c>
      <x:c r="C550" s="10" t="str">
        <x:v>TEXT:SYN-F09-06-U01</x:v>
      </x:c>
      <x:c r="D550" s="10" t="str">
        <x:v>TEXT:SYN-F09-06-U01-R01</x:v>
      </x:c>
      <x:c r="E550" s="10" t="str">
        <x:v>["SYN-F09-06:D2@v1"]</x:v>
      </x:c>
      <x:c r="F550" s="10" t="str">
        <x:v>["SYN-F09-06:D2@v1"]</x:v>
      </x:c>
      <x:c r="G550" s="10" t="n">
        <x:f>IF(E550=F550,1,0)</x:f>
        <x:v>1</x:v>
      </x:c>
    </x:row>
    <x:row r="551" ht="55" customHeight="1">
      <x:c r="A551" s="10" t="str">
        <x:v>T-REL</x:v>
      </x:c>
      <x:c r="B551" s="10" t="str">
        <x:v>TEXT</x:v>
      </x:c>
      <x:c r="C551" s="10" t="str">
        <x:v>TEXT:SYN-F09-06-U02</x:v>
      </x:c>
      <x:c r="D551" s="10" t="str">
        <x:v>TEXT:SYN-F09-06-U02-R01</x:v>
      </x:c>
      <x:c r="E551" s="10" t="str">
        <x:v>["SYN-F09-06:D1@v1"]</x:v>
      </x:c>
      <x:c r="F551" s="10" t="str">
        <x:v>["SYN-F09-06:D2@v1"]</x:v>
      </x:c>
      <x:c r="G551" s="10" t="n">
        <x:f>IF(E551=F551,1,0)</x:f>
        <x:v>0</x:v>
      </x:c>
    </x:row>
    <x:row r="552" ht="55" customHeight="1">
      <x:c r="A552" s="10" t="str">
        <x:v>T-BASE</x:v>
      </x:c>
      <x:c r="B552" s="10" t="str">
        <x:v>TEXT</x:v>
      </x:c>
      <x:c r="C552" s="10" t="str">
        <x:v>TEXT:SYN-F09-07-U01</x:v>
      </x:c>
      <x:c r="D552" s="10" t="str">
        <x:v>TEXT:SYN-F09-07-U01-R01</x:v>
      </x:c>
      <x:c r="E552" s="10" t="str">
        <x:v>["SYN-F09-07:D1@v1"]</x:v>
      </x:c>
      <x:c r="F552" s="10" t="str">
        <x:v>["SYN-F09-07:D1@v1"]</x:v>
      </x:c>
      <x:c r="G552" s="10" t="n">
        <x:f>IF(E552=F552,1,0)</x:f>
        <x:v>1</x:v>
      </x:c>
    </x:row>
    <x:row r="553" ht="55" customHeight="1">
      <x:c r="A553" s="10" t="str">
        <x:v>T-BASE</x:v>
      </x:c>
      <x:c r="B553" s="10" t="str">
        <x:v>TEXT</x:v>
      </x:c>
      <x:c r="C553" s="10" t="str">
        <x:v>TEXT:SYN-F09-07-U02</x:v>
      </x:c>
      <x:c r="D553" s="10" t="str">
        <x:v>TEXT:SYN-F09-07-U02-R01</x:v>
      </x:c>
      <x:c r="E553" s="10" t="str">
        <x:v>["SYN-F09-07:D3@v1"]</x:v>
      </x:c>
      <x:c r="F553" s="10" t="str">
        <x:v>["SYN-F09-07:D3@v1"]</x:v>
      </x:c>
      <x:c r="G553" s="10" t="n">
        <x:f>IF(E553=F553,1,0)</x:f>
        <x:v>1</x:v>
      </x:c>
    </x:row>
    <x:row r="554" ht="55" customHeight="1">
      <x:c r="A554" s="10" t="str">
        <x:v>T-EXEC</x:v>
      </x:c>
      <x:c r="B554" s="10" t="str">
        <x:v>TEXT</x:v>
      </x:c>
      <x:c r="C554" s="10" t="str">
        <x:v>TEXT:SYN-F09-07-U01</x:v>
      </x:c>
      <x:c r="D554" s="10" t="str">
        <x:v>TEXT:SYN-F09-07-U01-R01</x:v>
      </x:c>
      <x:c r="E554" s="10" t="str">
        <x:v>["SYN-F09-07:D1@v1"]</x:v>
      </x:c>
      <x:c r="F554" s="10" t="str">
        <x:v>["SYN-F09-07:D1@v1"]</x:v>
      </x:c>
      <x:c r="G554" s="10" t="n">
        <x:f>IF(E554=F554,1,0)</x:f>
        <x:v>1</x:v>
      </x:c>
    </x:row>
    <x:row r="555" ht="55" customHeight="1">
      <x:c r="A555" s="10" t="str">
        <x:v>T-EXEC</x:v>
      </x:c>
      <x:c r="B555" s="10" t="str">
        <x:v>TEXT</x:v>
      </x:c>
      <x:c r="C555" s="10" t="str">
        <x:v>TEXT:SYN-F09-07-U02</x:v>
      </x:c>
      <x:c r="D555" s="10" t="str">
        <x:v>TEXT:SYN-F09-07-U02-R01</x:v>
      </x:c>
      <x:c r="E555" s="10" t="str">
        <x:v>["SYN-F09-07:D3@v1"]</x:v>
      </x:c>
      <x:c r="F555" s="10" t="str">
        <x:v>["SYN-F09-07:D3@v1"]</x:v>
      </x:c>
      <x:c r="G555" s="10" t="n">
        <x:f>IF(E555=F555,1,0)</x:f>
        <x:v>1</x:v>
      </x:c>
    </x:row>
    <x:row r="556" ht="55" customHeight="1">
      <x:c r="A556" s="10" t="str">
        <x:v>T-REL</x:v>
      </x:c>
      <x:c r="B556" s="10" t="str">
        <x:v>TEXT</x:v>
      </x:c>
      <x:c r="C556" s="10" t="str">
        <x:v>TEXT:SYN-F09-07-U01</x:v>
      </x:c>
      <x:c r="D556" s="10" t="str">
        <x:v>TEXT:SYN-F09-07-U01-R01</x:v>
      </x:c>
      <x:c r="E556" s="10" t="str">
        <x:v>["SYN-F09-07:D1@v1"]</x:v>
      </x:c>
      <x:c r="F556" s="10" t="str">
        <x:v>["SYN-F09-07:D1@v1"]</x:v>
      </x:c>
      <x:c r="G556" s="10" t="n">
        <x:f>IF(E556=F556,1,0)</x:f>
        <x:v>1</x:v>
      </x:c>
    </x:row>
    <x:row r="557" ht="55" customHeight="1">
      <x:c r="A557" s="10" t="str">
        <x:v>T-REL</x:v>
      </x:c>
      <x:c r="B557" s="10" t="str">
        <x:v>TEXT</x:v>
      </x:c>
      <x:c r="C557" s="10" t="str">
        <x:v>TEXT:SYN-F09-07-U02</x:v>
      </x:c>
      <x:c r="D557" s="10" t="str">
        <x:v>TEXT:SYN-F09-07-U02-R01</x:v>
      </x:c>
      <x:c r="E557" s="10" t="str">
        <x:v>["SYN-F09-07:D3@v1"]</x:v>
      </x:c>
      <x:c r="F557" s="10" t="str">
        <x:v>["SYN-F09-07:D3@v1"]</x:v>
      </x:c>
      <x:c r="G557" s="10" t="n">
        <x:f>IF(E557=F557,1,0)</x:f>
        <x:v>1</x:v>
      </x:c>
    </x:row>
    <x:row r="558" ht="55" customHeight="1">
      <x:c r="A558" s="10" t="str">
        <x:v>T-BASE</x:v>
      </x:c>
      <x:c r="B558" s="10" t="str">
        <x:v>TEXT</x:v>
      </x:c>
      <x:c r="C558" s="10" t="str">
        <x:v>TEXT:SYN-F09-08-U01</x:v>
      </x:c>
      <x:c r="D558" s="10" t="str">
        <x:v>TEXT:SYN-F09-08-U01-R01</x:v>
      </x:c>
      <x:c r="E558" s="10" t="str">
        <x:v>["SYN-F09-08:D3@v1"]</x:v>
      </x:c>
      <x:c r="F558" s="10" t="str">
        <x:v>["SYN-F09-08:D3@v1"]</x:v>
      </x:c>
      <x:c r="G558" s="10" t="n">
        <x:f>IF(E558=F558,1,0)</x:f>
        <x:v>1</x:v>
      </x:c>
    </x:row>
    <x:row r="559" ht="55" customHeight="1">
      <x:c r="A559" s="10" t="str">
        <x:v>T-BASE</x:v>
      </x:c>
      <x:c r="B559" s="10" t="str">
        <x:v>TEXT</x:v>
      </x:c>
      <x:c r="C559" s="10" t="str">
        <x:v>TEXT:SYN-F09-08-U02</x:v>
      </x:c>
      <x:c r="D559" s="10" t="str">
        <x:v>TEXT:SYN-F09-08-U02-R01</x:v>
      </x:c>
      <x:c r="E559" s="10" t="str">
        <x:v>["SYN-F09-08:D2@v1"]</x:v>
      </x:c>
      <x:c r="F559" s="10" t="str">
        <x:v>["SYN-F09-08:D2@v1"]</x:v>
      </x:c>
      <x:c r="G559" s="10" t="n">
        <x:f>IF(E559=F559,1,0)</x:f>
        <x:v>1</x:v>
      </x:c>
    </x:row>
    <x:row r="560" ht="55" customHeight="1">
      <x:c r="A560" s="10" t="str">
        <x:v>T-EXEC</x:v>
      </x:c>
      <x:c r="B560" s="10" t="str">
        <x:v>TEXT</x:v>
      </x:c>
      <x:c r="C560" s="10" t="str">
        <x:v>TEXT:SYN-F09-08-U01</x:v>
      </x:c>
      <x:c r="D560" s="10" t="str">
        <x:v>TEXT:SYN-F09-08-U01-R01</x:v>
      </x:c>
      <x:c r="E560" s="10" t="str">
        <x:v>["SYN-F09-08:D3@v1"]</x:v>
      </x:c>
      <x:c r="F560" s="10" t="str">
        <x:v>["SYN-F09-08:D3@v1"]</x:v>
      </x:c>
      <x:c r="G560" s="10" t="n">
        <x:f>IF(E560=F560,1,0)</x:f>
        <x:v>1</x:v>
      </x:c>
    </x:row>
    <x:row r="561" ht="55" customHeight="1">
      <x:c r="A561" s="10" t="str">
        <x:v>T-EXEC</x:v>
      </x:c>
      <x:c r="B561" s="10" t="str">
        <x:v>TEXT</x:v>
      </x:c>
      <x:c r="C561" s="10" t="str">
        <x:v>TEXT:SYN-F09-08-U02</x:v>
      </x:c>
      <x:c r="D561" s="10" t="str">
        <x:v>TEXT:SYN-F09-08-U02-R01</x:v>
      </x:c>
      <x:c r="E561" s="10" t="str">
        <x:v>["SYN-F09-08:D2@v1"]</x:v>
      </x:c>
      <x:c r="F561" s="10" t="str">
        <x:v>["SYN-F09-08:D2@v1"]</x:v>
      </x:c>
      <x:c r="G561" s="10" t="n">
        <x:f>IF(E561=F561,1,0)</x:f>
        <x:v>1</x:v>
      </x:c>
    </x:row>
    <x:row r="562" ht="55" customHeight="1">
      <x:c r="A562" s="10" t="str">
        <x:v>T-REL</x:v>
      </x:c>
      <x:c r="B562" s="10" t="str">
        <x:v>TEXT</x:v>
      </x:c>
      <x:c r="C562" s="10" t="str">
        <x:v>TEXT:SYN-F09-08-U01</x:v>
      </x:c>
      <x:c r="D562" s="10" t="str">
        <x:v>TEXT:SYN-F09-08-U01-R01</x:v>
      </x:c>
      <x:c r="E562" s="10" t="str">
        <x:v>["SYN-F09-08:D3@v1"]</x:v>
      </x:c>
      <x:c r="F562" s="10" t="str">
        <x:v>["SYN-F09-08:D3@v1"]</x:v>
      </x:c>
      <x:c r="G562" s="10" t="n">
        <x:f>IF(E562=F562,1,0)</x:f>
        <x:v>1</x:v>
      </x:c>
    </x:row>
    <x:row r="563" ht="55" customHeight="1">
      <x:c r="A563" s="10" t="str">
        <x:v>T-REL</x:v>
      </x:c>
      <x:c r="B563" s="10" t="str">
        <x:v>TEXT</x:v>
      </x:c>
      <x:c r="C563" s="10" t="str">
        <x:v>TEXT:SYN-F09-08-U02</x:v>
      </x:c>
      <x:c r="D563" s="10" t="str">
        <x:v>TEXT:SYN-F09-08-U02-R01</x:v>
      </x:c>
      <x:c r="E563" s="10" t="str">
        <x:v>["SYN-F09-08:D2@v1"]</x:v>
      </x:c>
      <x:c r="F563" s="10" t="str">
        <x:v>["SYN-F09-08:D2@v1"]</x:v>
      </x:c>
      <x:c r="G563" s="10" t="n">
        <x:f>IF(E563=F563,1,0)</x:f>
        <x:v>1</x:v>
      </x:c>
    </x:row>
    <x:row r="564" ht="55" customHeight="1">
      <x:c r="A564" s="10" t="str">
        <x:v>T-BASE</x:v>
      </x:c>
      <x:c r="B564" s="10" t="str">
        <x:v>TEXT</x:v>
      </x:c>
      <x:c r="C564" s="10" t="str">
        <x:v>TEXT:SYN-F09-09-U01</x:v>
      </x:c>
      <x:c r="D564" s="10" t="str">
        <x:v>TEXT:SYN-F09-09-U01-R01</x:v>
      </x:c>
      <x:c r="E564" s="10" t="str">
        <x:v>["SYN-F09-09:D2@v1"]</x:v>
      </x:c>
      <x:c r="F564" s="10" t="str">
        <x:v>["SYN-F09-09:D2@v1"]</x:v>
      </x:c>
      <x:c r="G564" s="10" t="n">
        <x:f>IF(E564=F564,1,0)</x:f>
        <x:v>1</x:v>
      </x:c>
    </x:row>
    <x:row r="565" ht="55" customHeight="1">
      <x:c r="A565" s="10" t="str">
        <x:v>T-BASE</x:v>
      </x:c>
      <x:c r="B565" s="10" t="str">
        <x:v>TEXT</x:v>
      </x:c>
      <x:c r="C565" s="10" t="str">
        <x:v>TEXT:SYN-F09-09-U02</x:v>
      </x:c>
      <x:c r="D565" s="10" t="str">
        <x:v>TEXT:SYN-F09-09-U02-R01</x:v>
      </x:c>
      <x:c r="E565" s="10" t="str">
        <x:v>["SYN-F09-09:D1@v1"]</x:v>
      </x:c>
      <x:c r="F565" s="10" t="str">
        <x:v>["SYN-F09-09:D1@v1"]</x:v>
      </x:c>
      <x:c r="G565" s="10" t="n">
        <x:f>IF(E565=F565,1,0)</x:f>
        <x:v>1</x:v>
      </x:c>
    </x:row>
    <x:row r="566" ht="55" customHeight="1">
      <x:c r="A566" s="10" t="str">
        <x:v>T-EXEC</x:v>
      </x:c>
      <x:c r="B566" s="10" t="str">
        <x:v>TEXT</x:v>
      </x:c>
      <x:c r="C566" s="10" t="str">
        <x:v>TEXT:SYN-F09-09-U01</x:v>
      </x:c>
      <x:c r="D566" s="10" t="str">
        <x:v>TEXT:SYN-F09-09-U01-R01</x:v>
      </x:c>
      <x:c r="E566" s="10" t="str">
        <x:v>["SYN-F09-09:D2@v1"]</x:v>
      </x:c>
      <x:c r="F566" s="10" t="str">
        <x:v>["SYN-F09-09:D2@v1"]</x:v>
      </x:c>
      <x:c r="G566" s="10" t="n">
        <x:f>IF(E566=F566,1,0)</x:f>
        <x:v>1</x:v>
      </x:c>
    </x:row>
    <x:row r="567" ht="55" customHeight="1">
      <x:c r="A567" s="10" t="str">
        <x:v>T-EXEC</x:v>
      </x:c>
      <x:c r="B567" s="10" t="str">
        <x:v>TEXT</x:v>
      </x:c>
      <x:c r="C567" s="10" t="str">
        <x:v>TEXT:SYN-F09-09-U02</x:v>
      </x:c>
      <x:c r="D567" s="10" t="str">
        <x:v>TEXT:SYN-F09-09-U02-R01</x:v>
      </x:c>
      <x:c r="E567" s="10" t="str">
        <x:v>["SYN-F09-09:D1@v1"]</x:v>
      </x:c>
      <x:c r="F567" s="10" t="str">
        <x:v>["SYN-F09-09:D1@v1"]</x:v>
      </x:c>
      <x:c r="G567" s="10" t="n">
        <x:f>IF(E567=F567,1,0)</x:f>
        <x:v>1</x:v>
      </x:c>
    </x:row>
    <x:row r="568" ht="55" customHeight="1">
      <x:c r="A568" s="10" t="str">
        <x:v>T-REL</x:v>
      </x:c>
      <x:c r="B568" s="10" t="str">
        <x:v>TEXT</x:v>
      </x:c>
      <x:c r="C568" s="10" t="str">
        <x:v>TEXT:SYN-F09-09-U01</x:v>
      </x:c>
      <x:c r="D568" s="10" t="str">
        <x:v>TEXT:SYN-F09-09-U01-R01</x:v>
      </x:c>
      <x:c r="E568" s="10" t="str">
        <x:v>["SYN-F09-09:D2@v1"]</x:v>
      </x:c>
      <x:c r="F568" s="10" t="str">
        <x:v>["SYN-F09-09:D2@v1"]</x:v>
      </x:c>
      <x:c r="G568" s="10" t="n">
        <x:f>IF(E568=F568,1,0)</x:f>
        <x:v>1</x:v>
      </x:c>
    </x:row>
    <x:row r="569" ht="55" customHeight="1">
      <x:c r="A569" s="10" t="str">
        <x:v>T-REL</x:v>
      </x:c>
      <x:c r="B569" s="10" t="str">
        <x:v>TEXT</x:v>
      </x:c>
      <x:c r="C569" s="10" t="str">
        <x:v>TEXT:SYN-F09-09-U02</x:v>
      </x:c>
      <x:c r="D569" s="10" t="str">
        <x:v>TEXT:SYN-F09-09-U02-R01</x:v>
      </x:c>
      <x:c r="E569" s="10" t="str">
        <x:v>["SYN-F09-09:D1@v1"]</x:v>
      </x:c>
      <x:c r="F569" s="10" t="str">
        <x:v>["SYN-F09-09:D1@v1"]</x:v>
      </x:c>
      <x:c r="G569" s="10" t="n">
        <x:f>IF(E569=F569,1,0)</x:f>
        <x:v>1</x:v>
      </x:c>
    </x:row>
    <x:row r="570" ht="55" customHeight="1">
      <x:c r="A570" s="10" t="str">
        <x:v>T-BASE</x:v>
      </x:c>
      <x:c r="B570" s="10" t="str">
        <x:v>TEXT</x:v>
      </x:c>
      <x:c r="C570" s="10" t="str">
        <x:v>TEXT:SYN-F09-10-U01</x:v>
      </x:c>
      <x:c r="D570" s="10" t="str">
        <x:v>TEXT:SYN-F09-10-U01-R01</x:v>
      </x:c>
      <x:c r="E570" s="10" t="str">
        <x:v>["SYN-F09-10:D1@v1"]</x:v>
      </x:c>
      <x:c r="F570" s="10" t="str">
        <x:v>["SYN-F09-10:D1@v1"]</x:v>
      </x:c>
      <x:c r="G570" s="10" t="n">
        <x:f>IF(E570=F570,1,0)</x:f>
        <x:v>1</x:v>
      </x:c>
    </x:row>
    <x:row r="571" ht="55" customHeight="1">
      <x:c r="A571" s="10" t="str">
        <x:v>T-BASE</x:v>
      </x:c>
      <x:c r="B571" s="10" t="str">
        <x:v>TEXT</x:v>
      </x:c>
      <x:c r="C571" s="10" t="str">
        <x:v>TEXT:SYN-F09-10-U02</x:v>
      </x:c>
      <x:c r="D571" s="10" t="str">
        <x:v>TEXT:SYN-F09-10-U02-R01</x:v>
      </x:c>
      <x:c r="E571" s="10" t="str">
        <x:v>["SYN-F09-10:D3@v1"]</x:v>
      </x:c>
      <x:c r="F571" s="10" t="str">
        <x:v>["SYN-F09-10:D3@v1"]</x:v>
      </x:c>
      <x:c r="G571" s="10" t="n">
        <x:f>IF(E571=F571,1,0)</x:f>
        <x:v>1</x:v>
      </x:c>
    </x:row>
    <x:row r="572" ht="55" customHeight="1">
      <x:c r="A572" s="10" t="str">
        <x:v>T-EXEC</x:v>
      </x:c>
      <x:c r="B572" s="10" t="str">
        <x:v>TEXT</x:v>
      </x:c>
      <x:c r="C572" s="10" t="str">
        <x:v>TEXT:SYN-F09-10-U01</x:v>
      </x:c>
      <x:c r="D572" s="10" t="str">
        <x:v>TEXT:SYN-F09-10-U01-R01</x:v>
      </x:c>
      <x:c r="E572" s="10" t="str">
        <x:v>["SYN-F09-10:D1@v1"]</x:v>
      </x:c>
      <x:c r="F572" s="10" t="str">
        <x:v>["SYN-F09-10:D1@v1"]</x:v>
      </x:c>
      <x:c r="G572" s="10" t="n">
        <x:f>IF(E572=F572,1,0)</x:f>
        <x:v>1</x:v>
      </x:c>
    </x:row>
    <x:row r="573" ht="55" customHeight="1">
      <x:c r="A573" s="10" t="str">
        <x:v>T-EXEC</x:v>
      </x:c>
      <x:c r="B573" s="10" t="str">
        <x:v>TEXT</x:v>
      </x:c>
      <x:c r="C573" s="10" t="str">
        <x:v>TEXT:SYN-F09-10-U02</x:v>
      </x:c>
      <x:c r="D573" s="10" t="str">
        <x:v>TEXT:SYN-F09-10-U02-R01</x:v>
      </x:c>
      <x:c r="E573" s="10" t="str">
        <x:v>["SYN-F09-10:D3@v1"]</x:v>
      </x:c>
      <x:c r="F573" s="10" t="str">
        <x:v>["SYN-F09-10:D3@v1"]</x:v>
      </x:c>
      <x:c r="G573" s="10" t="n">
        <x:f>IF(E573=F573,1,0)</x:f>
        <x:v>1</x:v>
      </x:c>
    </x:row>
    <x:row r="574" ht="55" customHeight="1">
      <x:c r="A574" s="10" t="str">
        <x:v>T-REL</x:v>
      </x:c>
      <x:c r="B574" s="10" t="str">
        <x:v>TEXT</x:v>
      </x:c>
      <x:c r="C574" s="10" t="str">
        <x:v>TEXT:SYN-F09-10-U01</x:v>
      </x:c>
      <x:c r="D574" s="10" t="str">
        <x:v>TEXT:SYN-F09-10-U01-R01</x:v>
      </x:c>
      <x:c r="E574" s="10" t="str">
        <x:v>["SYN-F09-10:D1@v1"]</x:v>
      </x:c>
      <x:c r="F574" s="10" t="str">
        <x:v>["SYN-F09-10:D1@v1"]</x:v>
      </x:c>
      <x:c r="G574" s="10" t="n">
        <x:f>IF(E574=F574,1,0)</x:f>
        <x:v>1</x:v>
      </x:c>
    </x:row>
    <x:row r="575" ht="55" customHeight="1">
      <x:c r="A575" s="10" t="str">
        <x:v>T-REL</x:v>
      </x:c>
      <x:c r="B575" s="10" t="str">
        <x:v>TEXT</x:v>
      </x:c>
      <x:c r="C575" s="10" t="str">
        <x:v>TEXT:SYN-F09-10-U02</x:v>
      </x:c>
      <x:c r="D575" s="10" t="str">
        <x:v>TEXT:SYN-F09-10-U02-R01</x:v>
      </x:c>
      <x:c r="E575" s="10" t="str">
        <x:v>["SYN-F09-10:D3@v1"]</x:v>
      </x:c>
      <x:c r="F575" s="10" t="str">
        <x:v>["SYN-F09-10:D3@v1"]</x:v>
      </x:c>
      <x:c r="G575" s="10" t="n">
        <x:f>IF(E575=F575,1,0)</x:f>
        <x:v>1</x:v>
      </x:c>
    </x:row>
    <x:row r="576" ht="55" customHeight="1">
      <x:c r="A576" s="10" t="str">
        <x:v>T-BASE</x:v>
      </x:c>
      <x:c r="B576" s="10" t="str">
        <x:v>TEXT</x:v>
      </x:c>
      <x:c r="C576" s="10" t="str">
        <x:v>TEXT:SYN-F10-01-U01</x:v>
      </x:c>
      <x:c r="D576" s="10" t="str">
        <x:v>TEXT:SYN-F10-01-U01-R01</x:v>
      </x:c>
      <x:c r="E576" s="10" t="str">
        <x:v>["SYN-F10-01:D2@v1"]</x:v>
      </x:c>
      <x:c r="F576" s="10" t="str">
        <x:v>["SYN-F10-01:D2@v1"]</x:v>
      </x:c>
      <x:c r="G576" s="10" t="n">
        <x:f>IF(E576=F576,1,0)</x:f>
        <x:v>1</x:v>
      </x:c>
    </x:row>
    <x:row r="577" ht="55" customHeight="1">
      <x:c r="A577" s="10" t="str">
        <x:v>T-BASE</x:v>
      </x:c>
      <x:c r="B577" s="10" t="str">
        <x:v>TEXT</x:v>
      </x:c>
      <x:c r="C577" s="10" t="str">
        <x:v>TEXT:SYN-F10-01-U01</x:v>
      </x:c>
      <x:c r="D577" s="10" t="str">
        <x:v>TEXT:SYN-F10-01-U01-R02</x:v>
      </x:c>
      <x:c r="E577" s="10" t="str">
        <x:v>["SYN-F10-01:N@v1"]</x:v>
      </x:c>
      <x:c r="F577" s="10" t="str">
        <x:v>["SYN-F10-01:N@v1"]</x:v>
      </x:c>
      <x:c r="G577" s="10" t="n">
        <x:f>IF(E577=F577,1,0)</x:f>
        <x:v>1</x:v>
      </x:c>
    </x:row>
    <x:row r="578" ht="55" customHeight="1">
      <x:c r="A578" s="10" t="str">
        <x:v>T-BASE</x:v>
      </x:c>
      <x:c r="B578" s="10" t="str">
        <x:v>TEXT</x:v>
      </x:c>
      <x:c r="C578" s="10" t="str">
        <x:v>TEXT:SYN-F10-01-U02</x:v>
      </x:c>
      <x:c r="D578" s="10" t="str">
        <x:v>TEXT:SYN-F10-01-U02-R01</x:v>
      </x:c>
      <x:c r="E578" s="10" t="str">
        <x:v>["SYN-F10-01:N@v1"]</x:v>
      </x:c>
      <x:c r="F578" s="10" t="str">
        <x:v>["SYN-F10-01:N@v1"]</x:v>
      </x:c>
      <x:c r="G578" s="10" t="n">
        <x:f>IF(E578=F578,1,0)</x:f>
        <x:v>1</x:v>
      </x:c>
    </x:row>
    <x:row r="579" ht="55" customHeight="1">
      <x:c r="A579" s="10" t="str">
        <x:v>T-EXEC</x:v>
      </x:c>
      <x:c r="B579" s="10" t="str">
        <x:v>TEXT</x:v>
      </x:c>
      <x:c r="C579" s="10" t="str">
        <x:v>TEXT:SYN-F10-01-U01</x:v>
      </x:c>
      <x:c r="D579" s="10" t="str">
        <x:v>TEXT:SYN-F10-01-U01-R01</x:v>
      </x:c>
      <x:c r="E579" s="10" t="str">
        <x:v>["SYN-F10-01:D2@v1"]</x:v>
      </x:c>
      <x:c r="F579" s="10" t="str">
        <x:v>["SYN-F10-01:D2@v1"]</x:v>
      </x:c>
      <x:c r="G579" s="10" t="n">
        <x:f>IF(E579=F579,1,0)</x:f>
        <x:v>1</x:v>
      </x:c>
    </x:row>
    <x:row r="580" ht="55" customHeight="1">
      <x:c r="A580" s="10" t="str">
        <x:v>T-EXEC</x:v>
      </x:c>
      <x:c r="B580" s="10" t="str">
        <x:v>TEXT</x:v>
      </x:c>
      <x:c r="C580" s="10" t="str">
        <x:v>TEXT:SYN-F10-01-U01</x:v>
      </x:c>
      <x:c r="D580" s="10" t="str">
        <x:v>TEXT:SYN-F10-01-U01-R02</x:v>
      </x:c>
      <x:c r="E580" s="10" t="str">
        <x:v>["SYN-F10-01:N@v1"]</x:v>
      </x:c>
      <x:c r="F580" s="10" t="str">
        <x:v>["SYN-F10-01:N@v1"]</x:v>
      </x:c>
      <x:c r="G580" s="10" t="n">
        <x:f>IF(E580=F580,1,0)</x:f>
        <x:v>1</x:v>
      </x:c>
    </x:row>
    <x:row r="581" ht="55" customHeight="1">
      <x:c r="A581" s="10" t="str">
        <x:v>T-EXEC</x:v>
      </x:c>
      <x:c r="B581" s="10" t="str">
        <x:v>TEXT</x:v>
      </x:c>
      <x:c r="C581" s="10" t="str">
        <x:v>TEXT:SYN-F10-01-U02</x:v>
      </x:c>
      <x:c r="D581" s="10" t="str">
        <x:v>TEXT:SYN-F10-01-U02-R01</x:v>
      </x:c>
      <x:c r="E581" s="10" t="str">
        <x:v>["SYN-F10-01:N@v1"]</x:v>
      </x:c>
      <x:c r="F581" s="10" t="str">
        <x:v>["SYN-F10-01:N@v1"]</x:v>
      </x:c>
      <x:c r="G581" s="10" t="n">
        <x:f>IF(E581=F581,1,0)</x:f>
        <x:v>1</x:v>
      </x:c>
    </x:row>
    <x:row r="582" ht="55" customHeight="1">
      <x:c r="A582" s="10" t="str">
        <x:v>T-REL</x:v>
      </x:c>
      <x:c r="B582" s="10" t="str">
        <x:v>TEXT</x:v>
      </x:c>
      <x:c r="C582" s="10" t="str">
        <x:v>TEXT:SYN-F10-01-U01</x:v>
      </x:c>
      <x:c r="D582" s="10" t="str">
        <x:v>TEXT:SYN-F10-01-U01-R01</x:v>
      </x:c>
      <x:c r="E582" s="10" t="str">
        <x:v>["SYN-F10-01:D2@v1"]</x:v>
      </x:c>
      <x:c r="F582" s="10" t="str">
        <x:v>["SYN-F10-01:D2@v1"]</x:v>
      </x:c>
      <x:c r="G582" s="10" t="n">
        <x:f>IF(E582=F582,1,0)</x:f>
        <x:v>1</x:v>
      </x:c>
    </x:row>
    <x:row r="583" ht="55" customHeight="1">
      <x:c r="A583" s="10" t="str">
        <x:v>T-REL</x:v>
      </x:c>
      <x:c r="B583" s="10" t="str">
        <x:v>TEXT</x:v>
      </x:c>
      <x:c r="C583" s="10" t="str">
        <x:v>TEXT:SYN-F10-01-U01</x:v>
      </x:c>
      <x:c r="D583" s="10" t="str">
        <x:v>TEXT:SYN-F10-01-U01-R02</x:v>
      </x:c>
      <x:c r="E583" s="10" t="str">
        <x:v>["SYN-F10-01:N@v1"]</x:v>
      </x:c>
      <x:c r="F583" s="10" t="str">
        <x:v>["SYN-F10-01:N@v1"]</x:v>
      </x:c>
      <x:c r="G583" s="10" t="n">
        <x:f>IF(E583=F583,1,0)</x:f>
        <x:v>1</x:v>
      </x:c>
    </x:row>
    <x:row r="584" ht="55" customHeight="1">
      <x:c r="A584" s="10" t="str">
        <x:v>T-REL</x:v>
      </x:c>
      <x:c r="B584" s="10" t="str">
        <x:v>TEXT</x:v>
      </x:c>
      <x:c r="C584" s="10" t="str">
        <x:v>TEXT:SYN-F10-01-U02</x:v>
      </x:c>
      <x:c r="D584" s="10" t="str">
        <x:v>TEXT:SYN-F10-01-U02-R01</x:v>
      </x:c>
      <x:c r="E584" s="10" t="str">
        <x:v>["SYN-F10-01:N@v1"]</x:v>
      </x:c>
      <x:c r="F584" s="10" t="str">
        <x:v>["SYN-F10-01:N@v1"]</x:v>
      </x:c>
      <x:c r="G584" s="10" t="n">
        <x:f>IF(E584=F584,1,0)</x:f>
        <x:v>1</x:v>
      </x:c>
    </x:row>
    <x:row r="585" ht="55" customHeight="1">
      <x:c r="A585" s="10" t="str">
        <x:v>T-BASE</x:v>
      </x:c>
      <x:c r="B585" s="10" t="str">
        <x:v>TEXT</x:v>
      </x:c>
      <x:c r="C585" s="10" t="str">
        <x:v>TEXT:SYN-F10-02-U01</x:v>
      </x:c>
      <x:c r="D585" s="10" t="str">
        <x:v>TEXT:SYN-F10-02-U01-R01</x:v>
      </x:c>
      <x:c r="E585" s="10" t="str">
        <x:v>["SYN-F10-02:D1@v1"]</x:v>
      </x:c>
      <x:c r="F585" s="10" t="str">
        <x:v>["SYN-F10-02:D1@v1"]</x:v>
      </x:c>
      <x:c r="G585" s="10" t="n">
        <x:f>IF(E585=F585,1,0)</x:f>
        <x:v>1</x:v>
      </x:c>
    </x:row>
    <x:row r="586" ht="55" customHeight="1">
      <x:c r="A586" s="10" t="str">
        <x:v>T-BASE</x:v>
      </x:c>
      <x:c r="B586" s="10" t="str">
        <x:v>TEXT</x:v>
      </x:c>
      <x:c r="C586" s="10" t="str">
        <x:v>TEXT:SYN-F10-02-U01</x:v>
      </x:c>
      <x:c r="D586" s="10" t="str">
        <x:v>TEXT:SYN-F10-02-U01-R02</x:v>
      </x:c>
      <x:c r="E586" s="10" t="str">
        <x:v>["SYN-F10-02:N@v1"]</x:v>
      </x:c>
      <x:c r="F586" s="10" t="str">
        <x:v>["SYN-F10-02:N@v1"]</x:v>
      </x:c>
      <x:c r="G586" s="10" t="n">
        <x:f>IF(E586=F586,1,0)</x:f>
        <x:v>1</x:v>
      </x:c>
    </x:row>
    <x:row r="587" ht="55" customHeight="1">
      <x:c r="A587" s="10" t="str">
        <x:v>T-BASE</x:v>
      </x:c>
      <x:c r="B587" s="10" t="str">
        <x:v>TEXT</x:v>
      </x:c>
      <x:c r="C587" s="10" t="str">
        <x:v>TEXT:SYN-F10-02-U02</x:v>
      </x:c>
      <x:c r="D587" s="10" t="str">
        <x:v>TEXT:SYN-F10-02-U02-R01</x:v>
      </x:c>
      <x:c r="E587" s="10" t="str">
        <x:v>["SYN-F10-02:N@v1"]</x:v>
      </x:c>
      <x:c r="F587" s="10" t="str">
        <x:v>["SYN-F10-02:N@v1"]</x:v>
      </x:c>
      <x:c r="G587" s="10" t="n">
        <x:f>IF(E587=F587,1,0)</x:f>
        <x:v>1</x:v>
      </x:c>
    </x:row>
    <x:row r="588" ht="55" customHeight="1">
      <x:c r="A588" s="10" t="str">
        <x:v>T-EXEC</x:v>
      </x:c>
      <x:c r="B588" s="10" t="str">
        <x:v>TEXT</x:v>
      </x:c>
      <x:c r="C588" s="10" t="str">
        <x:v>TEXT:SYN-F10-02-U01</x:v>
      </x:c>
      <x:c r="D588" s="10" t="str">
        <x:v>TEXT:SYN-F10-02-U01-R01</x:v>
      </x:c>
      <x:c r="E588" s="10" t="str">
        <x:v>["SYN-F10-02:D1@v1"]</x:v>
      </x:c>
      <x:c r="F588" s="10" t="str">
        <x:v>["SYN-F10-02:D1@v1"]</x:v>
      </x:c>
      <x:c r="G588" s="10" t="n">
        <x:f>IF(E588=F588,1,0)</x:f>
        <x:v>1</x:v>
      </x:c>
    </x:row>
    <x:row r="589" ht="55" customHeight="1">
      <x:c r="A589" s="10" t="str">
        <x:v>T-EXEC</x:v>
      </x:c>
      <x:c r="B589" s="10" t="str">
        <x:v>TEXT</x:v>
      </x:c>
      <x:c r="C589" s="10" t="str">
        <x:v>TEXT:SYN-F10-02-U01</x:v>
      </x:c>
      <x:c r="D589" s="10" t="str">
        <x:v>TEXT:SYN-F10-02-U01-R02</x:v>
      </x:c>
      <x:c r="E589" s="10" t="str">
        <x:v>["SYN-F10-02:N@v1"]</x:v>
      </x:c>
      <x:c r="F589" s="10" t="str">
        <x:v>["SYN-F10-02:N@v1"]</x:v>
      </x:c>
      <x:c r="G589" s="10" t="n">
        <x:f>IF(E589=F589,1,0)</x:f>
        <x:v>1</x:v>
      </x:c>
    </x:row>
    <x:row r="590" ht="55" customHeight="1">
      <x:c r="A590" s="10" t="str">
        <x:v>T-EXEC</x:v>
      </x:c>
      <x:c r="B590" s="10" t="str">
        <x:v>TEXT</x:v>
      </x:c>
      <x:c r="C590" s="10" t="str">
        <x:v>TEXT:SYN-F10-02-U02</x:v>
      </x:c>
      <x:c r="D590" s="10" t="str">
        <x:v>TEXT:SYN-F10-02-U02-R01</x:v>
      </x:c>
      <x:c r="E590" s="10" t="str">
        <x:v>["SYN-F10-02:N@v1"]</x:v>
      </x:c>
      <x:c r="F590" s="10" t="str">
        <x:v>["SYN-F10-02:D1@v1"]</x:v>
      </x:c>
      <x:c r="G590" s="10" t="n">
        <x:f>IF(E590=F590,1,0)</x:f>
        <x:v>0</x:v>
      </x:c>
    </x:row>
    <x:row r="591" ht="55" customHeight="1">
      <x:c r="A591" s="10" t="str">
        <x:v>T-REL</x:v>
      </x:c>
      <x:c r="B591" s="10" t="str">
        <x:v>TEXT</x:v>
      </x:c>
      <x:c r="C591" s="10" t="str">
        <x:v>TEXT:SYN-F10-02-U01</x:v>
      </x:c>
      <x:c r="D591" s="10" t="str">
        <x:v>TEXT:SYN-F10-02-U01-R01</x:v>
      </x:c>
      <x:c r="E591" s="10" t="str">
        <x:v>["SYN-F10-02:D1@v1"]</x:v>
      </x:c>
      <x:c r="F591" s="10" t="str">
        <x:v>["SYN-F10-02:D1@v1"]</x:v>
      </x:c>
      <x:c r="G591" s="10" t="n">
        <x:f>IF(E591=F591,1,0)</x:f>
        <x:v>1</x:v>
      </x:c>
    </x:row>
    <x:row r="592" ht="55" customHeight="1">
      <x:c r="A592" s="10" t="str">
        <x:v>T-REL</x:v>
      </x:c>
      <x:c r="B592" s="10" t="str">
        <x:v>TEXT</x:v>
      </x:c>
      <x:c r="C592" s="10" t="str">
        <x:v>TEXT:SYN-F10-02-U01</x:v>
      </x:c>
      <x:c r="D592" s="10" t="str">
        <x:v>TEXT:SYN-F10-02-U01-R02</x:v>
      </x:c>
      <x:c r="E592" s="10" t="str">
        <x:v>["SYN-F10-02:N@v1"]</x:v>
      </x:c>
      <x:c r="F592" s="10" t="str">
        <x:v>["SYN-F10-02:N@v1"]</x:v>
      </x:c>
      <x:c r="G592" s="10" t="n">
        <x:f>IF(E592=F592,1,0)</x:f>
        <x:v>1</x:v>
      </x:c>
    </x:row>
    <x:row r="593" ht="55" customHeight="1">
      <x:c r="A593" s="10" t="str">
        <x:v>T-REL</x:v>
      </x:c>
      <x:c r="B593" s="10" t="str">
        <x:v>TEXT</x:v>
      </x:c>
      <x:c r="C593" s="10" t="str">
        <x:v>TEXT:SYN-F10-02-U02</x:v>
      </x:c>
      <x:c r="D593" s="10" t="str">
        <x:v>TEXT:SYN-F10-02-U02-R01</x:v>
      </x:c>
      <x:c r="E593" s="10" t="str">
        <x:v>["SYN-F10-02:N@v1"]</x:v>
      </x:c>
      <x:c r="F593" s="10" t="str">
        <x:v>["SYN-F10-02:N@v1"]</x:v>
      </x:c>
      <x:c r="G593" s="10" t="n">
        <x:f>IF(E593=F593,1,0)</x:f>
        <x:v>1</x:v>
      </x:c>
    </x:row>
    <x:row r="594" ht="55" customHeight="1">
      <x:c r="A594" s="10" t="str">
        <x:v>T-BASE</x:v>
      </x:c>
      <x:c r="B594" s="10" t="str">
        <x:v>TEXT</x:v>
      </x:c>
      <x:c r="C594" s="10" t="str">
        <x:v>TEXT:SYN-F10-03-U01</x:v>
      </x:c>
      <x:c r="D594" s="10" t="str">
        <x:v>TEXT:SYN-F10-03-U01-R01</x:v>
      </x:c>
      <x:c r="E594" s="10" t="str">
        <x:v>["SYN-F10-03:D3@v1"]</x:v>
      </x:c>
      <x:c r="F594" s="10" t="str">
        <x:v>["SYN-F10-03:D3@v1"]</x:v>
      </x:c>
      <x:c r="G594" s="10" t="n">
        <x:f>IF(E594=F594,1,0)</x:f>
        <x:v>1</x:v>
      </x:c>
    </x:row>
    <x:row r="595" ht="55" customHeight="1">
      <x:c r="A595" s="10" t="str">
        <x:v>T-BASE</x:v>
      </x:c>
      <x:c r="B595" s="10" t="str">
        <x:v>TEXT</x:v>
      </x:c>
      <x:c r="C595" s="10" t="str">
        <x:v>TEXT:SYN-F10-03-U01</x:v>
      </x:c>
      <x:c r="D595" s="10" t="str">
        <x:v>TEXT:SYN-F10-03-U01-R02</x:v>
      </x:c>
      <x:c r="E595" s="10" t="str">
        <x:v>["SYN-F10-03:N@v1"]</x:v>
      </x:c>
      <x:c r="F595" s="10" t="str">
        <x:v>["SYN-F10-03:N@v1"]</x:v>
      </x:c>
      <x:c r="G595" s="10" t="n">
        <x:f>IF(E595=F595,1,0)</x:f>
        <x:v>1</x:v>
      </x:c>
    </x:row>
    <x:row r="596" ht="55" customHeight="1">
      <x:c r="A596" s="10" t="str">
        <x:v>T-BASE</x:v>
      </x:c>
      <x:c r="B596" s="10" t="str">
        <x:v>TEXT</x:v>
      </x:c>
      <x:c r="C596" s="10" t="str">
        <x:v>TEXT:SYN-F10-03-U02</x:v>
      </x:c>
      <x:c r="D596" s="10" t="str">
        <x:v>TEXT:SYN-F10-03-U02-R01</x:v>
      </x:c>
      <x:c r="E596" s="10" t="str">
        <x:v>["SYN-F10-03:N@v1"]</x:v>
      </x:c>
      <x:c r="F596" s="10" t="str">
        <x:v>["SYN-F10-03:N@v1"]</x:v>
      </x:c>
      <x:c r="G596" s="10" t="n">
        <x:f>IF(E596=F596,1,0)</x:f>
        <x:v>1</x:v>
      </x:c>
    </x:row>
    <x:row r="597" ht="55" customHeight="1">
      <x:c r="A597" s="10" t="str">
        <x:v>T-EXEC</x:v>
      </x:c>
      <x:c r="B597" s="10" t="str">
        <x:v>TEXT</x:v>
      </x:c>
      <x:c r="C597" s="10" t="str">
        <x:v>TEXT:SYN-F10-03-U01</x:v>
      </x:c>
      <x:c r="D597" s="10" t="str">
        <x:v>TEXT:SYN-F10-03-U01-R01</x:v>
      </x:c>
      <x:c r="E597" s="10" t="str">
        <x:v>["SYN-F10-03:D3@v1"]</x:v>
      </x:c>
      <x:c r="F597" s="10" t="str">
        <x:v>["SYN-F10-03:D3@v1"]</x:v>
      </x:c>
      <x:c r="G597" s="10" t="n">
        <x:f>IF(E597=F597,1,0)</x:f>
        <x:v>1</x:v>
      </x:c>
    </x:row>
    <x:row r="598" ht="55" customHeight="1">
      <x:c r="A598" s="10" t="str">
        <x:v>T-EXEC</x:v>
      </x:c>
      <x:c r="B598" s="10" t="str">
        <x:v>TEXT</x:v>
      </x:c>
      <x:c r="C598" s="10" t="str">
        <x:v>TEXT:SYN-F10-03-U01</x:v>
      </x:c>
      <x:c r="D598" s="10" t="str">
        <x:v>TEXT:SYN-F10-03-U01-R02</x:v>
      </x:c>
      <x:c r="E598" s="10" t="str">
        <x:v>["SYN-F10-03:N@v1"]</x:v>
      </x:c>
      <x:c r="F598" s="10" t="str">
        <x:v>["SYN-F10-03:N@v1"]</x:v>
      </x:c>
      <x:c r="G598" s="10" t="n">
        <x:f>IF(E598=F598,1,0)</x:f>
        <x:v>1</x:v>
      </x:c>
    </x:row>
    <x:row r="599" ht="55" customHeight="1">
      <x:c r="A599" s="10" t="str">
        <x:v>T-EXEC</x:v>
      </x:c>
      <x:c r="B599" s="10" t="str">
        <x:v>TEXT</x:v>
      </x:c>
      <x:c r="C599" s="10" t="str">
        <x:v>TEXT:SYN-F10-03-U02</x:v>
      </x:c>
      <x:c r="D599" s="10" t="str">
        <x:v>TEXT:SYN-F10-03-U02-R01</x:v>
      </x:c>
      <x:c r="E599" s="10" t="str">
        <x:v>["SYN-F10-03:N@v1"]</x:v>
      </x:c>
      <x:c r="F599" s="10" t="str">
        <x:v>["SYN-F10-03:N@v1"]</x:v>
      </x:c>
      <x:c r="G599" s="10" t="n">
        <x:f>IF(E599=F599,1,0)</x:f>
        <x:v>1</x:v>
      </x:c>
    </x:row>
    <x:row r="600" ht="55" customHeight="1">
      <x:c r="A600" s="10" t="str">
        <x:v>T-REL</x:v>
      </x:c>
      <x:c r="B600" s="10" t="str">
        <x:v>TEXT</x:v>
      </x:c>
      <x:c r="C600" s="10" t="str">
        <x:v>TEXT:SYN-F10-03-U01</x:v>
      </x:c>
      <x:c r="D600" s="10" t="str">
        <x:v>TEXT:SYN-F10-03-U01-R01</x:v>
      </x:c>
      <x:c r="E600" s="10" t="str">
        <x:v>["SYN-F10-03:D3@v1"]</x:v>
      </x:c>
      <x:c r="F600" s="10" t="str">
        <x:v>["SYN-F10-03:D3@v1"]</x:v>
      </x:c>
      <x:c r="G600" s="10" t="n">
        <x:f>IF(E600=F600,1,0)</x:f>
        <x:v>1</x:v>
      </x:c>
    </x:row>
    <x:row r="601" ht="55" customHeight="1">
      <x:c r="A601" s="10" t="str">
        <x:v>T-REL</x:v>
      </x:c>
      <x:c r="B601" s="10" t="str">
        <x:v>TEXT</x:v>
      </x:c>
      <x:c r="C601" s="10" t="str">
        <x:v>TEXT:SYN-F10-03-U01</x:v>
      </x:c>
      <x:c r="D601" s="10" t="str">
        <x:v>TEXT:SYN-F10-03-U01-R02</x:v>
      </x:c>
      <x:c r="E601" s="10" t="str">
        <x:v>["SYN-F10-03:N@v1"]</x:v>
      </x:c>
      <x:c r="F601" s="10" t="str">
        <x:v>["SYN-F10-03:N@v1"]</x:v>
      </x:c>
      <x:c r="G601" s="10" t="n">
        <x:f>IF(E601=F601,1,0)</x:f>
        <x:v>1</x:v>
      </x:c>
    </x:row>
    <x:row r="602" ht="55" customHeight="1">
      <x:c r="A602" s="10" t="str">
        <x:v>T-REL</x:v>
      </x:c>
      <x:c r="B602" s="10" t="str">
        <x:v>TEXT</x:v>
      </x:c>
      <x:c r="C602" s="10" t="str">
        <x:v>TEXT:SYN-F10-03-U02</x:v>
      </x:c>
      <x:c r="D602" s="10" t="str">
        <x:v>TEXT:SYN-F10-03-U02-R01</x:v>
      </x:c>
      <x:c r="E602" s="10" t="str">
        <x:v>["SYN-F10-03:N@v1"]</x:v>
      </x:c>
      <x:c r="F602" s="10" t="str">
        <x:v>["SYN-F10-03:N@v1"]</x:v>
      </x:c>
      <x:c r="G602" s="10" t="n">
        <x:f>IF(E602=F602,1,0)</x:f>
        <x:v>1</x:v>
      </x:c>
    </x:row>
    <x:row r="603" ht="55" customHeight="1">
      <x:c r="A603" s="10" t="str">
        <x:v>T-BASE</x:v>
      </x:c>
      <x:c r="B603" s="10" t="str">
        <x:v>TEXT</x:v>
      </x:c>
      <x:c r="C603" s="10" t="str">
        <x:v>TEXT:SYN-F10-04-U01</x:v>
      </x:c>
      <x:c r="D603" s="10" t="str">
        <x:v>TEXT:SYN-F10-04-U01-R01</x:v>
      </x:c>
      <x:c r="E603" s="10" t="str">
        <x:v>["SYN-F10-04:D2@v1"]</x:v>
      </x:c>
      <x:c r="F603" s="10" t="str">
        <x:v>["SYN-F10-04:D2@v1"]</x:v>
      </x:c>
      <x:c r="G603" s="10" t="n">
        <x:f>IF(E603=F603,1,0)</x:f>
        <x:v>1</x:v>
      </x:c>
    </x:row>
    <x:row r="604" ht="55" customHeight="1">
      <x:c r="A604" s="10" t="str">
        <x:v>T-BASE</x:v>
      </x:c>
      <x:c r="B604" s="10" t="str">
        <x:v>TEXT</x:v>
      </x:c>
      <x:c r="C604" s="10" t="str">
        <x:v>TEXT:SYN-F10-04-U01</x:v>
      </x:c>
      <x:c r="D604" s="10" t="str">
        <x:v>TEXT:SYN-F10-04-U01-R02</x:v>
      </x:c>
      <x:c r="E604" s="10" t="str">
        <x:v>["SYN-F10-04:N@v1"]</x:v>
      </x:c>
      <x:c r="F604" s="10" t="str">
        <x:v>["SYN-F10-04:N@v1"]</x:v>
      </x:c>
      <x:c r="G604" s="10" t="n">
        <x:f>IF(E604=F604,1,0)</x:f>
        <x:v>1</x:v>
      </x:c>
    </x:row>
    <x:row r="605" ht="55" customHeight="1">
      <x:c r="A605" s="10" t="str">
        <x:v>T-BASE</x:v>
      </x:c>
      <x:c r="B605" s="10" t="str">
        <x:v>TEXT</x:v>
      </x:c>
      <x:c r="C605" s="10" t="str">
        <x:v>TEXT:SYN-F10-04-U02</x:v>
      </x:c>
      <x:c r="D605" s="10" t="str">
        <x:v>TEXT:SYN-F10-04-U02-R01</x:v>
      </x:c>
      <x:c r="E605" s="10" t="str">
        <x:v>["SYN-F10-04:N@v1"]</x:v>
      </x:c>
      <x:c r="F605" s="10" t="str">
        <x:v>["SYN-F10-04:N@v1"]</x:v>
      </x:c>
      <x:c r="G605" s="10" t="n">
        <x:f>IF(E605=F605,1,0)</x:f>
        <x:v>1</x:v>
      </x:c>
    </x:row>
    <x:row r="606" ht="55" customHeight="1">
      <x:c r="A606" s="10" t="str">
        <x:v>T-EXEC</x:v>
      </x:c>
      <x:c r="B606" s="10" t="str">
        <x:v>TEXT</x:v>
      </x:c>
      <x:c r="C606" s="10" t="str">
        <x:v>TEXT:SYN-F10-04-U01</x:v>
      </x:c>
      <x:c r="D606" s="10" t="str">
        <x:v>TEXT:SYN-F10-04-U01-R01</x:v>
      </x:c>
      <x:c r="E606" s="10" t="str">
        <x:v>["SYN-F10-04:D2@v1"]</x:v>
      </x:c>
      <x:c r="F606" s="10" t="str">
        <x:v>["SYN-F10-04:D2@v1"]</x:v>
      </x:c>
      <x:c r="G606" s="10" t="n">
        <x:f>IF(E606=F606,1,0)</x:f>
        <x:v>1</x:v>
      </x:c>
    </x:row>
    <x:row r="607" ht="55" customHeight="1">
      <x:c r="A607" s="10" t="str">
        <x:v>T-EXEC</x:v>
      </x:c>
      <x:c r="B607" s="10" t="str">
        <x:v>TEXT</x:v>
      </x:c>
      <x:c r="C607" s="10" t="str">
        <x:v>TEXT:SYN-F10-04-U01</x:v>
      </x:c>
      <x:c r="D607" s="10" t="str">
        <x:v>TEXT:SYN-F10-04-U01-R02</x:v>
      </x:c>
      <x:c r="E607" s="10" t="str">
        <x:v>["SYN-F10-04:N@v1"]</x:v>
      </x:c>
      <x:c r="F607" s="10" t="str">
        <x:v>["SYN-F10-04:N@v1"]</x:v>
      </x:c>
      <x:c r="G607" s="10" t="n">
        <x:f>IF(E607=F607,1,0)</x:f>
        <x:v>1</x:v>
      </x:c>
    </x:row>
    <x:row r="608" ht="55" customHeight="1">
      <x:c r="A608" s="10" t="str">
        <x:v>T-EXEC</x:v>
      </x:c>
      <x:c r="B608" s="10" t="str">
        <x:v>TEXT</x:v>
      </x:c>
      <x:c r="C608" s="10" t="str">
        <x:v>TEXT:SYN-F10-04-U02</x:v>
      </x:c>
      <x:c r="D608" s="10" t="str">
        <x:v>TEXT:SYN-F10-04-U02-R01</x:v>
      </x:c>
      <x:c r="E608" s="10" t="str">
        <x:v>["SYN-F10-04:N@v1"]</x:v>
      </x:c>
      <x:c r="F608" s="10" t="str">
        <x:v>["SYN-F10-04:N@v1"]</x:v>
      </x:c>
      <x:c r="G608" s="10" t="n">
        <x:f>IF(E608=F608,1,0)</x:f>
        <x:v>1</x:v>
      </x:c>
    </x:row>
    <x:row r="609" ht="55" customHeight="1">
      <x:c r="A609" s="10" t="str">
        <x:v>T-REL</x:v>
      </x:c>
      <x:c r="B609" s="10" t="str">
        <x:v>TEXT</x:v>
      </x:c>
      <x:c r="C609" s="10" t="str">
        <x:v>TEXT:SYN-F10-04-U01</x:v>
      </x:c>
      <x:c r="D609" s="10" t="str">
        <x:v>TEXT:SYN-F10-04-U01-R01</x:v>
      </x:c>
      <x:c r="E609" s="10" t="str">
        <x:v>["SYN-F10-04:D2@v1"]</x:v>
      </x:c>
      <x:c r="F609" s="10" t="str">
        <x:v>["SYN-F10-04:D2@v1"]</x:v>
      </x:c>
      <x:c r="G609" s="10" t="n">
        <x:f>IF(E609=F609,1,0)</x:f>
        <x:v>1</x:v>
      </x:c>
    </x:row>
    <x:row r="610" ht="55" customHeight="1">
      <x:c r="A610" s="10" t="str">
        <x:v>T-REL</x:v>
      </x:c>
      <x:c r="B610" s="10" t="str">
        <x:v>TEXT</x:v>
      </x:c>
      <x:c r="C610" s="10" t="str">
        <x:v>TEXT:SYN-F10-04-U01</x:v>
      </x:c>
      <x:c r="D610" s="10" t="str">
        <x:v>TEXT:SYN-F10-04-U01-R02</x:v>
      </x:c>
      <x:c r="E610" s="10" t="str">
        <x:v>["SYN-F10-04:N@v1"]</x:v>
      </x:c>
      <x:c r="F610" s="10" t="str">
        <x:v>["SYN-F10-04:N@v1"]</x:v>
      </x:c>
      <x:c r="G610" s="10" t="n">
        <x:f>IF(E610=F610,1,0)</x:f>
        <x:v>1</x:v>
      </x:c>
    </x:row>
    <x:row r="611" ht="55" customHeight="1">
      <x:c r="A611" s="10" t="str">
        <x:v>T-REL</x:v>
      </x:c>
      <x:c r="B611" s="10" t="str">
        <x:v>TEXT</x:v>
      </x:c>
      <x:c r="C611" s="10" t="str">
        <x:v>TEXT:SYN-F10-04-U02</x:v>
      </x:c>
      <x:c r="D611" s="10" t="str">
        <x:v>TEXT:SYN-F10-04-U02-R01</x:v>
      </x:c>
      <x:c r="E611" s="10" t="str">
        <x:v>["SYN-F10-04:N@v1"]</x:v>
      </x:c>
      <x:c r="F611" s="10" t="str">
        <x:v>["SYN-F10-04:N@v1"]</x:v>
      </x:c>
      <x:c r="G611" s="10" t="n">
        <x:f>IF(E611=F611,1,0)</x:f>
        <x:v>1</x:v>
      </x:c>
    </x:row>
    <x:row r="612" ht="55" customHeight="1">
      <x:c r="A612" s="10" t="str">
        <x:v>T-BASE</x:v>
      </x:c>
      <x:c r="B612" s="10" t="str">
        <x:v>TEXT</x:v>
      </x:c>
      <x:c r="C612" s="10" t="str">
        <x:v>TEXT:SYN-F10-05-U01</x:v>
      </x:c>
      <x:c r="D612" s="10" t="str">
        <x:v>TEXT:SYN-F10-05-U01-R01</x:v>
      </x:c>
      <x:c r="E612" s="10" t="str">
        <x:v>["SYN-F10-05:D1@v1"]</x:v>
      </x:c>
      <x:c r="F612" s="10" t="str">
        <x:v>["SYN-F10-05:D1@v1"]</x:v>
      </x:c>
      <x:c r="G612" s="10" t="n">
        <x:f>IF(E612=F612,1,0)</x:f>
        <x:v>1</x:v>
      </x:c>
    </x:row>
    <x:row r="613" ht="55" customHeight="1">
      <x:c r="A613" s="10" t="str">
        <x:v>T-BASE</x:v>
      </x:c>
      <x:c r="B613" s="10" t="str">
        <x:v>TEXT</x:v>
      </x:c>
      <x:c r="C613" s="10" t="str">
        <x:v>TEXT:SYN-F10-05-U01</x:v>
      </x:c>
      <x:c r="D613" s="10" t="str">
        <x:v>TEXT:SYN-F10-05-U01-R02</x:v>
      </x:c>
      <x:c r="E613" s="10" t="str">
        <x:v>["SYN-F10-05:N@v1"]</x:v>
      </x:c>
      <x:c r="F613" s="10" t="str">
        <x:v>["SYN-F10-05:N@v1"]</x:v>
      </x:c>
      <x:c r="G613" s="10" t="n">
        <x:f>IF(E613=F613,1,0)</x:f>
        <x:v>1</x:v>
      </x:c>
    </x:row>
    <x:row r="614" ht="55" customHeight="1">
      <x:c r="A614" s="10" t="str">
        <x:v>T-BASE</x:v>
      </x:c>
      <x:c r="B614" s="10" t="str">
        <x:v>TEXT</x:v>
      </x:c>
      <x:c r="C614" s="10" t="str">
        <x:v>TEXT:SYN-F10-05-U02</x:v>
      </x:c>
      <x:c r="D614" s="10" t="str">
        <x:v>TEXT:SYN-F10-05-U02-R01</x:v>
      </x:c>
      <x:c r="E614" s="10" t="str">
        <x:v>["SYN-F10-05:N@v1"]</x:v>
      </x:c>
      <x:c r="F614" s="10" t="str">
        <x:v>["SYN-F10-05:N@v1"]</x:v>
      </x:c>
      <x:c r="G614" s="10" t="n">
        <x:f>IF(E614=F614,1,0)</x:f>
        <x:v>1</x:v>
      </x:c>
    </x:row>
    <x:row r="615" ht="55" customHeight="1">
      <x:c r="A615" s="10" t="str">
        <x:v>T-EXEC</x:v>
      </x:c>
      <x:c r="B615" s="10" t="str">
        <x:v>TEXT</x:v>
      </x:c>
      <x:c r="C615" s="10" t="str">
        <x:v>TEXT:SYN-F10-05-U01</x:v>
      </x:c>
      <x:c r="D615" s="10" t="str">
        <x:v>TEXT:SYN-F10-05-U01-R01</x:v>
      </x:c>
      <x:c r="E615" s="10" t="str">
        <x:v>["SYN-F10-05:D1@v1"]</x:v>
      </x:c>
      <x:c r="F615" s="10" t="str">
        <x:v>["SYN-F10-05:D1@v1"]</x:v>
      </x:c>
      <x:c r="G615" s="10" t="n">
        <x:f>IF(E615=F615,1,0)</x:f>
        <x:v>1</x:v>
      </x:c>
    </x:row>
    <x:row r="616" ht="55" customHeight="1">
      <x:c r="A616" s="10" t="str">
        <x:v>T-EXEC</x:v>
      </x:c>
      <x:c r="B616" s="10" t="str">
        <x:v>TEXT</x:v>
      </x:c>
      <x:c r="C616" s="10" t="str">
        <x:v>TEXT:SYN-F10-05-U01</x:v>
      </x:c>
      <x:c r="D616" s="10" t="str">
        <x:v>TEXT:SYN-F10-05-U01-R02</x:v>
      </x:c>
      <x:c r="E616" s="10" t="str">
        <x:v>["SYN-F10-05:N@v1"]</x:v>
      </x:c>
      <x:c r="F616" s="10" t="str">
        <x:v>["SYN-F10-05:N@v1"]</x:v>
      </x:c>
      <x:c r="G616" s="10" t="n">
        <x:f>IF(E616=F616,1,0)</x:f>
        <x:v>1</x:v>
      </x:c>
    </x:row>
    <x:row r="617" ht="55" customHeight="1">
      <x:c r="A617" s="10" t="str">
        <x:v>T-EXEC</x:v>
      </x:c>
      <x:c r="B617" s="10" t="str">
        <x:v>TEXT</x:v>
      </x:c>
      <x:c r="C617" s="10" t="str">
        <x:v>TEXT:SYN-F10-05-U02</x:v>
      </x:c>
      <x:c r="D617" s="10" t="str">
        <x:v>TEXT:SYN-F10-05-U02-R01</x:v>
      </x:c>
      <x:c r="E617" s="10" t="str">
        <x:v>["SYN-F10-05:N@v1"]</x:v>
      </x:c>
      <x:c r="F617" s="10" t="str">
        <x:v>["SYN-F10-05:N@v1"]</x:v>
      </x:c>
      <x:c r="G617" s="10" t="n">
        <x:f>IF(E617=F617,1,0)</x:f>
        <x:v>1</x:v>
      </x:c>
    </x:row>
    <x:row r="618" ht="55" customHeight="1">
      <x:c r="A618" s="10" t="str">
        <x:v>T-REL</x:v>
      </x:c>
      <x:c r="B618" s="10" t="str">
        <x:v>TEXT</x:v>
      </x:c>
      <x:c r="C618" s="10" t="str">
        <x:v>TEXT:SYN-F10-05-U01</x:v>
      </x:c>
      <x:c r="D618" s="10" t="str">
        <x:v>TEXT:SYN-F10-05-U01-R01</x:v>
      </x:c>
      <x:c r="E618" s="10" t="str">
        <x:v>["SYN-F10-05:D1@v1"]</x:v>
      </x:c>
      <x:c r="F618" s="10" t="str">
        <x:v>["SYN-F10-05:D1@v1"]</x:v>
      </x:c>
      <x:c r="G618" s="10" t="n">
        <x:f>IF(E618=F618,1,0)</x:f>
        <x:v>1</x:v>
      </x:c>
    </x:row>
    <x:row r="619" ht="55" customHeight="1">
      <x:c r="A619" s="10" t="str">
        <x:v>T-REL</x:v>
      </x:c>
      <x:c r="B619" s="10" t="str">
        <x:v>TEXT</x:v>
      </x:c>
      <x:c r="C619" s="10" t="str">
        <x:v>TEXT:SYN-F10-05-U01</x:v>
      </x:c>
      <x:c r="D619" s="10" t="str">
        <x:v>TEXT:SYN-F10-05-U01-R02</x:v>
      </x:c>
      <x:c r="E619" s="10" t="str">
        <x:v>["SYN-F10-05:N@v1"]</x:v>
      </x:c>
      <x:c r="F619" s="10" t="str">
        <x:v>["SYN-F10-05:N@v1"]</x:v>
      </x:c>
      <x:c r="G619" s="10" t="n">
        <x:f>IF(E619=F619,1,0)</x:f>
        <x:v>1</x:v>
      </x:c>
    </x:row>
    <x:row r="620" ht="55" customHeight="1">
      <x:c r="A620" s="10" t="str">
        <x:v>T-REL</x:v>
      </x:c>
      <x:c r="B620" s="10" t="str">
        <x:v>TEXT</x:v>
      </x:c>
      <x:c r="C620" s="10" t="str">
        <x:v>TEXT:SYN-F10-05-U02</x:v>
      </x:c>
      <x:c r="D620" s="10" t="str">
        <x:v>TEXT:SYN-F10-05-U02-R01</x:v>
      </x:c>
      <x:c r="E620" s="10" t="str">
        <x:v>["SYN-F10-05:N@v1"]</x:v>
      </x:c>
      <x:c r="F620" s="10" t="str">
        <x:v>["SYN-F10-05:N@v1"]</x:v>
      </x:c>
      <x:c r="G620" s="10" t="n">
        <x:f>IF(E620=F620,1,0)</x:f>
        <x:v>1</x:v>
      </x:c>
    </x:row>
    <x:row r="621" ht="55" customHeight="1">
      <x:c r="A621" s="10" t="str">
        <x:v>T-BASE</x:v>
      </x:c>
      <x:c r="B621" s="10" t="str">
        <x:v>TEXT</x:v>
      </x:c>
      <x:c r="C621" s="10" t="str">
        <x:v>TEXT:SYN-F10-06-U01</x:v>
      </x:c>
      <x:c r="D621" s="10" t="str">
        <x:v>TEXT:SYN-F10-06-U01-R01</x:v>
      </x:c>
      <x:c r="E621" s="10" t="str">
        <x:v>["SYN-F10-06:D3@v1"]</x:v>
      </x:c>
      <x:c r="F621" s="10" t="str">
        <x:v>["SYN-F10-06:D3@v1"]</x:v>
      </x:c>
      <x:c r="G621" s="10" t="n">
        <x:f>IF(E621=F621,1,0)</x:f>
        <x:v>1</x:v>
      </x:c>
    </x:row>
    <x:row r="622" ht="55" customHeight="1">
      <x:c r="A622" s="10" t="str">
        <x:v>T-BASE</x:v>
      </x:c>
      <x:c r="B622" s="10" t="str">
        <x:v>TEXT</x:v>
      </x:c>
      <x:c r="C622" s="10" t="str">
        <x:v>TEXT:SYN-F10-06-U01</x:v>
      </x:c>
      <x:c r="D622" s="10" t="str">
        <x:v>TEXT:SYN-F10-06-U01-R02</x:v>
      </x:c>
      <x:c r="E622" s="10" t="str">
        <x:v>["SYN-F10-06:N@v1"]</x:v>
      </x:c>
      <x:c r="F622" s="10" t="str">
        <x:v>["SYN-F10-06:N@v1"]</x:v>
      </x:c>
      <x:c r="G622" s="10" t="n">
        <x:f>IF(E622=F622,1,0)</x:f>
        <x:v>1</x:v>
      </x:c>
    </x:row>
    <x:row r="623" ht="55" customHeight="1">
      <x:c r="A623" s="10" t="str">
        <x:v>T-BASE</x:v>
      </x:c>
      <x:c r="B623" s="10" t="str">
        <x:v>TEXT</x:v>
      </x:c>
      <x:c r="C623" s="10" t="str">
        <x:v>TEXT:SYN-F10-06-U02</x:v>
      </x:c>
      <x:c r="D623" s="10" t="str">
        <x:v>TEXT:SYN-F10-06-U02-R01</x:v>
      </x:c>
      <x:c r="E623" s="10" t="str">
        <x:v>["SYN-F10-06:N@v1"]</x:v>
      </x:c>
      <x:c r="F623" s="10" t="str">
        <x:v>["SYN-F10-06:N@v1"]</x:v>
      </x:c>
      <x:c r="G623" s="10" t="n">
        <x:f>IF(E623=F623,1,0)</x:f>
        <x:v>1</x:v>
      </x:c>
    </x:row>
    <x:row r="624" ht="55" customHeight="1">
      <x:c r="A624" s="10" t="str">
        <x:v>T-EXEC</x:v>
      </x:c>
      <x:c r="B624" s="10" t="str">
        <x:v>TEXT</x:v>
      </x:c>
      <x:c r="C624" s="10" t="str">
        <x:v>TEXT:SYN-F10-06-U01</x:v>
      </x:c>
      <x:c r="D624" s="10" t="str">
        <x:v>TEXT:SYN-F10-06-U01-R01</x:v>
      </x:c>
      <x:c r="E624" s="10" t="str">
        <x:v>["SYN-F10-06:D3@v1"]</x:v>
      </x:c>
      <x:c r="F624" s="10" t="str">
        <x:v>["SYN-F10-06:D3@v1"]</x:v>
      </x:c>
      <x:c r="G624" s="10" t="n">
        <x:f>IF(E624=F624,1,0)</x:f>
        <x:v>1</x:v>
      </x:c>
    </x:row>
    <x:row r="625" ht="55" customHeight="1">
      <x:c r="A625" s="10" t="str">
        <x:v>T-EXEC</x:v>
      </x:c>
      <x:c r="B625" s="10" t="str">
        <x:v>TEXT</x:v>
      </x:c>
      <x:c r="C625" s="10" t="str">
        <x:v>TEXT:SYN-F10-06-U01</x:v>
      </x:c>
      <x:c r="D625" s="10" t="str">
        <x:v>TEXT:SYN-F10-06-U01-R02</x:v>
      </x:c>
      <x:c r="E625" s="10" t="str">
        <x:v>["SYN-F10-06:N@v1"]</x:v>
      </x:c>
      <x:c r="F625" s="10" t="str">
        <x:v>["SYN-F10-06:N@v1"]</x:v>
      </x:c>
      <x:c r="G625" s="10" t="n">
        <x:f>IF(E625=F625,1,0)</x:f>
        <x:v>1</x:v>
      </x:c>
    </x:row>
    <x:row r="626" ht="55" customHeight="1">
      <x:c r="A626" s="10" t="str">
        <x:v>T-EXEC</x:v>
      </x:c>
      <x:c r="B626" s="10" t="str">
        <x:v>TEXT</x:v>
      </x:c>
      <x:c r="C626" s="10" t="str">
        <x:v>TEXT:SYN-F10-06-U02</x:v>
      </x:c>
      <x:c r="D626" s="10" t="str">
        <x:v>TEXT:SYN-F10-06-U02-R01</x:v>
      </x:c>
      <x:c r="E626" s="10" t="str">
        <x:v>["SYN-F10-06:N@v1"]</x:v>
      </x:c>
      <x:c r="F626" s="10" t="str">
        <x:v>["SYN-F10-06:D3@v1"]</x:v>
      </x:c>
      <x:c r="G626" s="10" t="n">
        <x:f>IF(E626=F626,1,0)</x:f>
        <x:v>0</x:v>
      </x:c>
    </x:row>
    <x:row r="627" ht="55" customHeight="1">
      <x:c r="A627" s="10" t="str">
        <x:v>T-REL</x:v>
      </x:c>
      <x:c r="B627" s="10" t="str">
        <x:v>TEXT</x:v>
      </x:c>
      <x:c r="C627" s="10" t="str">
        <x:v>TEXT:SYN-F10-06-U01</x:v>
      </x:c>
      <x:c r="D627" s="10" t="str">
        <x:v>TEXT:SYN-F10-06-U01-R01</x:v>
      </x:c>
      <x:c r="E627" s="10" t="str">
        <x:v>["SYN-F10-06:D3@v1"]</x:v>
      </x:c>
      <x:c r="F627" s="10" t="str">
        <x:v>["SYN-F10-06:D3@v1"]</x:v>
      </x:c>
      <x:c r="G627" s="10" t="n">
        <x:f>IF(E627=F627,1,0)</x:f>
        <x:v>1</x:v>
      </x:c>
    </x:row>
    <x:row r="628" ht="55" customHeight="1">
      <x:c r="A628" s="10" t="str">
        <x:v>T-REL</x:v>
      </x:c>
      <x:c r="B628" s="10" t="str">
        <x:v>TEXT</x:v>
      </x:c>
      <x:c r="C628" s="10" t="str">
        <x:v>TEXT:SYN-F10-06-U01</x:v>
      </x:c>
      <x:c r="D628" s="10" t="str">
        <x:v>TEXT:SYN-F10-06-U01-R02</x:v>
      </x:c>
      <x:c r="E628" s="10" t="str">
        <x:v>["SYN-F10-06:N@v1"]</x:v>
      </x:c>
      <x:c r="F628" s="10" t="str">
        <x:v>["SYN-F10-06:N@v1"]</x:v>
      </x:c>
      <x:c r="G628" s="10" t="n">
        <x:f>IF(E628=F628,1,0)</x:f>
        <x:v>1</x:v>
      </x:c>
    </x:row>
    <x:row r="629" ht="55" customHeight="1">
      <x:c r="A629" s="10" t="str">
        <x:v>T-REL</x:v>
      </x:c>
      <x:c r="B629" s="10" t="str">
        <x:v>TEXT</x:v>
      </x:c>
      <x:c r="C629" s="10" t="str">
        <x:v>TEXT:SYN-F10-06-U02</x:v>
      </x:c>
      <x:c r="D629" s="10" t="str">
        <x:v>TEXT:SYN-F10-06-U02-R01</x:v>
      </x:c>
      <x:c r="E629" s="10" t="str">
        <x:v>["SYN-F10-06:N@v1"]</x:v>
      </x:c>
      <x:c r="F629" s="10" t="str">
        <x:v>["SYN-F10-06:N@v1"]</x:v>
      </x:c>
      <x:c r="G629" s="10" t="n">
        <x:f>IF(E629=F629,1,0)</x:f>
        <x:v>1</x:v>
      </x:c>
    </x:row>
    <x:row r="630" ht="55" customHeight="1">
      <x:c r="A630" s="10" t="str">
        <x:v>T-BASE</x:v>
      </x:c>
      <x:c r="B630" s="10" t="str">
        <x:v>TEXT</x:v>
      </x:c>
      <x:c r="C630" s="10" t="str">
        <x:v>TEXT:SYN-F10-07-U01</x:v>
      </x:c>
      <x:c r="D630" s="10" t="str">
        <x:v>TEXT:SYN-F10-07-U01-R01</x:v>
      </x:c>
      <x:c r="E630" s="10" t="str">
        <x:v>["SYN-F10-07:D2@v1"]</x:v>
      </x:c>
      <x:c r="F630" s="10" t="str">
        <x:v>["SYN-F10-07:D2@v1"]</x:v>
      </x:c>
      <x:c r="G630" s="10" t="n">
        <x:f>IF(E630=F630,1,0)</x:f>
        <x:v>1</x:v>
      </x:c>
    </x:row>
    <x:row r="631" ht="55" customHeight="1">
      <x:c r="A631" s="10" t="str">
        <x:v>T-BASE</x:v>
      </x:c>
      <x:c r="B631" s="10" t="str">
        <x:v>TEXT</x:v>
      </x:c>
      <x:c r="C631" s="10" t="str">
        <x:v>TEXT:SYN-F10-07-U01</x:v>
      </x:c>
      <x:c r="D631" s="10" t="str">
        <x:v>TEXT:SYN-F10-07-U01-R02</x:v>
      </x:c>
      <x:c r="E631" s="10" t="str">
        <x:v>["SYN-F10-07:N@v1"]</x:v>
      </x:c>
      <x:c r="F631" s="10" t="str">
        <x:v>["SYN-F10-07:N@v1"]</x:v>
      </x:c>
      <x:c r="G631" s="10" t="n">
        <x:f>IF(E631=F631,1,0)</x:f>
        <x:v>1</x:v>
      </x:c>
    </x:row>
    <x:row r="632" ht="55" customHeight="1">
      <x:c r="A632" s="10" t="str">
        <x:v>T-BASE</x:v>
      </x:c>
      <x:c r="B632" s="10" t="str">
        <x:v>TEXT</x:v>
      </x:c>
      <x:c r="C632" s="10" t="str">
        <x:v>TEXT:SYN-F10-07-U02</x:v>
      </x:c>
      <x:c r="D632" s="10" t="str">
        <x:v>TEXT:SYN-F10-07-U02-R01</x:v>
      </x:c>
      <x:c r="E632" s="10" t="str">
        <x:v>["SYN-F10-07:N@v1"]</x:v>
      </x:c>
      <x:c r="F632" s="10" t="str">
        <x:v>["SYN-F10-07:N@v1"]</x:v>
      </x:c>
      <x:c r="G632" s="10" t="n">
        <x:f>IF(E632=F632,1,0)</x:f>
        <x:v>1</x:v>
      </x:c>
    </x:row>
    <x:row r="633" ht="55" customHeight="1">
      <x:c r="A633" s="10" t="str">
        <x:v>T-EXEC</x:v>
      </x:c>
      <x:c r="B633" s="10" t="str">
        <x:v>TEXT</x:v>
      </x:c>
      <x:c r="C633" s="10" t="str">
        <x:v>TEXT:SYN-F10-07-U01</x:v>
      </x:c>
      <x:c r="D633" s="10" t="str">
        <x:v>TEXT:SYN-F10-07-U01-R01</x:v>
      </x:c>
      <x:c r="E633" s="10" t="str">
        <x:v>["SYN-F10-07:D2@v1"]</x:v>
      </x:c>
      <x:c r="F633" s="10" t="str">
        <x:v>["SYN-F10-07:D2@v1"]</x:v>
      </x:c>
      <x:c r="G633" s="10" t="n">
        <x:f>IF(E633=F633,1,0)</x:f>
        <x:v>1</x:v>
      </x:c>
    </x:row>
    <x:row r="634" ht="55" customHeight="1">
      <x:c r="A634" s="10" t="str">
        <x:v>T-EXEC</x:v>
      </x:c>
      <x:c r="B634" s="10" t="str">
        <x:v>TEXT</x:v>
      </x:c>
      <x:c r="C634" s="10" t="str">
        <x:v>TEXT:SYN-F10-07-U01</x:v>
      </x:c>
      <x:c r="D634" s="10" t="str">
        <x:v>TEXT:SYN-F10-07-U01-R02</x:v>
      </x:c>
      <x:c r="E634" s="10" t="str">
        <x:v>["SYN-F10-07:N@v1"]</x:v>
      </x:c>
      <x:c r="F634" s="10" t="str">
        <x:v>["SYN-F10-07:N@v1"]</x:v>
      </x:c>
      <x:c r="G634" s="10" t="n">
        <x:f>IF(E634=F634,1,0)</x:f>
        <x:v>1</x:v>
      </x:c>
    </x:row>
    <x:row r="635" ht="55" customHeight="1">
      <x:c r="A635" s="10" t="str">
        <x:v>T-EXEC</x:v>
      </x:c>
      <x:c r="B635" s="10" t="str">
        <x:v>TEXT</x:v>
      </x:c>
      <x:c r="C635" s="10" t="str">
        <x:v>TEXT:SYN-F10-07-U02</x:v>
      </x:c>
      <x:c r="D635" s="10" t="str">
        <x:v>TEXT:SYN-F10-07-U02-R01</x:v>
      </x:c>
      <x:c r="E635" s="10" t="str">
        <x:v>["SYN-F10-07:N@v1"]</x:v>
      </x:c>
      <x:c r="F635" s="10" t="str">
        <x:v>["SYN-F10-07:N@v1"]</x:v>
      </x:c>
      <x:c r="G635" s="10" t="n">
        <x:f>IF(E635=F635,1,0)</x:f>
        <x:v>1</x:v>
      </x:c>
    </x:row>
    <x:row r="636" ht="55" customHeight="1">
      <x:c r="A636" s="10" t="str">
        <x:v>T-REL</x:v>
      </x:c>
      <x:c r="B636" s="10" t="str">
        <x:v>TEXT</x:v>
      </x:c>
      <x:c r="C636" s="10" t="str">
        <x:v>TEXT:SYN-F10-07-U01</x:v>
      </x:c>
      <x:c r="D636" s="10" t="str">
        <x:v>TEXT:SYN-F10-07-U01-R01</x:v>
      </x:c>
      <x:c r="E636" s="10" t="str">
        <x:v>["SYN-F10-07:D2@v1"]</x:v>
      </x:c>
      <x:c r="F636" s="10" t="str">
        <x:v>["SYN-F10-07:D2@v1"]</x:v>
      </x:c>
      <x:c r="G636" s="10" t="n">
        <x:f>IF(E636=F636,1,0)</x:f>
        <x:v>1</x:v>
      </x:c>
    </x:row>
    <x:row r="637" ht="55" customHeight="1">
      <x:c r="A637" s="10" t="str">
        <x:v>T-REL</x:v>
      </x:c>
      <x:c r="B637" s="10" t="str">
        <x:v>TEXT</x:v>
      </x:c>
      <x:c r="C637" s="10" t="str">
        <x:v>TEXT:SYN-F10-07-U01</x:v>
      </x:c>
      <x:c r="D637" s="10" t="str">
        <x:v>TEXT:SYN-F10-07-U01-R02</x:v>
      </x:c>
      <x:c r="E637" s="10" t="str">
        <x:v>["SYN-F10-07:N@v1"]</x:v>
      </x:c>
      <x:c r="F637" s="10" t="str">
        <x:v>["SYN-F10-07:N@v1"]</x:v>
      </x:c>
      <x:c r="G637" s="10" t="n">
        <x:f>IF(E637=F637,1,0)</x:f>
        <x:v>1</x:v>
      </x:c>
    </x:row>
    <x:row r="638" ht="55" customHeight="1">
      <x:c r="A638" s="10" t="str">
        <x:v>T-REL</x:v>
      </x:c>
      <x:c r="B638" s="10" t="str">
        <x:v>TEXT</x:v>
      </x:c>
      <x:c r="C638" s="10" t="str">
        <x:v>TEXT:SYN-F10-07-U02</x:v>
      </x:c>
      <x:c r="D638" s="10" t="str">
        <x:v>TEXT:SYN-F10-07-U02-R01</x:v>
      </x:c>
      <x:c r="E638" s="10" t="str">
        <x:v>["SYN-F10-07:N@v1"]</x:v>
      </x:c>
      <x:c r="F638" s="10" t="str">
        <x:v>["SYN-F10-07:N@v1"]</x:v>
      </x:c>
      <x:c r="G638" s="10" t="n">
        <x:f>IF(E638=F638,1,0)</x:f>
        <x:v>1</x:v>
      </x:c>
    </x:row>
    <x:row r="639" ht="55" customHeight="1">
      <x:c r="A639" s="10" t="str">
        <x:v>T-BASE</x:v>
      </x:c>
      <x:c r="B639" s="10" t="str">
        <x:v>TEXT</x:v>
      </x:c>
      <x:c r="C639" s="10" t="str">
        <x:v>TEXT:SYN-F10-08-U01</x:v>
      </x:c>
      <x:c r="D639" s="10" t="str">
        <x:v>TEXT:SYN-F10-08-U01-R01</x:v>
      </x:c>
      <x:c r="E639" s="10" t="str">
        <x:v>["SYN-F10-08:D1@v1"]</x:v>
      </x:c>
      <x:c r="F639" s="10" t="str">
        <x:v>["SYN-F10-08:D1@v1"]</x:v>
      </x:c>
      <x:c r="G639" s="10" t="n">
        <x:f>IF(E639=F639,1,0)</x:f>
        <x:v>1</x:v>
      </x:c>
    </x:row>
    <x:row r="640" ht="55" customHeight="1">
      <x:c r="A640" s="10" t="str">
        <x:v>T-BASE</x:v>
      </x:c>
      <x:c r="B640" s="10" t="str">
        <x:v>TEXT</x:v>
      </x:c>
      <x:c r="C640" s="10" t="str">
        <x:v>TEXT:SYN-F10-08-U01</x:v>
      </x:c>
      <x:c r="D640" s="10" t="str">
        <x:v>TEXT:SYN-F10-08-U01-R02</x:v>
      </x:c>
      <x:c r="E640" s="10" t="str">
        <x:v>["SYN-F10-08:N@v1"]</x:v>
      </x:c>
      <x:c r="F640" s="10" t="str">
        <x:v>["SYN-F10-08:N@v1"]</x:v>
      </x:c>
      <x:c r="G640" s="10" t="n">
        <x:f>IF(E640=F640,1,0)</x:f>
        <x:v>1</x:v>
      </x:c>
    </x:row>
    <x:row r="641" ht="55" customHeight="1">
      <x:c r="A641" s="10" t="str">
        <x:v>T-BASE</x:v>
      </x:c>
      <x:c r="B641" s="10" t="str">
        <x:v>TEXT</x:v>
      </x:c>
      <x:c r="C641" s="10" t="str">
        <x:v>TEXT:SYN-F10-08-U02</x:v>
      </x:c>
      <x:c r="D641" s="10" t="str">
        <x:v>TEXT:SYN-F10-08-U02-R01</x:v>
      </x:c>
      <x:c r="E641" s="10" t="str">
        <x:v>["SYN-F10-08:N@v1"]</x:v>
      </x:c>
      <x:c r="F641" s="10" t="str">
        <x:v>["SYN-F10-08:N@v1"]</x:v>
      </x:c>
      <x:c r="G641" s="10" t="n">
        <x:f>IF(E641=F641,1,0)</x:f>
        <x:v>1</x:v>
      </x:c>
    </x:row>
    <x:row r="642" ht="55" customHeight="1">
      <x:c r="A642" s="10" t="str">
        <x:v>T-EXEC</x:v>
      </x:c>
      <x:c r="B642" s="10" t="str">
        <x:v>TEXT</x:v>
      </x:c>
      <x:c r="C642" s="10" t="str">
        <x:v>TEXT:SYN-F10-08-U01</x:v>
      </x:c>
      <x:c r="D642" s="10" t="str">
        <x:v>TEXT:SYN-F10-08-U01-R01</x:v>
      </x:c>
      <x:c r="E642" s="10" t="str">
        <x:v>["SYN-F10-08:D1@v1"]</x:v>
      </x:c>
      <x:c r="F642" s="10" t="str">
        <x:v>["SYN-F10-08:D1@v1"]</x:v>
      </x:c>
      <x:c r="G642" s="10" t="n">
        <x:f>IF(E642=F642,1,0)</x:f>
        <x:v>1</x:v>
      </x:c>
    </x:row>
    <x:row r="643" ht="55" customHeight="1">
      <x:c r="A643" s="10" t="str">
        <x:v>T-EXEC</x:v>
      </x:c>
      <x:c r="B643" s="10" t="str">
        <x:v>TEXT</x:v>
      </x:c>
      <x:c r="C643" s="10" t="str">
        <x:v>TEXT:SYN-F10-08-U01</x:v>
      </x:c>
      <x:c r="D643" s="10" t="str">
        <x:v>TEXT:SYN-F10-08-U01-R02</x:v>
      </x:c>
      <x:c r="E643" s="10" t="str">
        <x:v>["SYN-F10-08:N@v1"]</x:v>
      </x:c>
      <x:c r="F643" s="10" t="str">
        <x:v>["SYN-F10-08:N@v1"]</x:v>
      </x:c>
      <x:c r="G643" s="10" t="n">
        <x:f>IF(E643=F643,1,0)</x:f>
        <x:v>1</x:v>
      </x:c>
    </x:row>
    <x:row r="644" ht="55" customHeight="1">
      <x:c r="A644" s="10" t="str">
        <x:v>T-EXEC</x:v>
      </x:c>
      <x:c r="B644" s="10" t="str">
        <x:v>TEXT</x:v>
      </x:c>
      <x:c r="C644" s="10" t="str">
        <x:v>TEXT:SYN-F10-08-U02</x:v>
      </x:c>
      <x:c r="D644" s="10" t="str">
        <x:v>TEXT:SYN-F10-08-U02-R01</x:v>
      </x:c>
      <x:c r="E644" s="10" t="str">
        <x:v>["SYN-F10-08:N@v1"]</x:v>
      </x:c>
      <x:c r="F644" s="10" t="str">
        <x:v>["SYN-F10-08:N@v1"]</x:v>
      </x:c>
      <x:c r="G644" s="10" t="n">
        <x:f>IF(E644=F644,1,0)</x:f>
        <x:v>1</x:v>
      </x:c>
    </x:row>
    <x:row r="645" ht="55" customHeight="1">
      <x:c r="A645" s="10" t="str">
        <x:v>T-REL</x:v>
      </x:c>
      <x:c r="B645" s="10" t="str">
        <x:v>TEXT</x:v>
      </x:c>
      <x:c r="C645" s="10" t="str">
        <x:v>TEXT:SYN-F10-08-U01</x:v>
      </x:c>
      <x:c r="D645" s="10" t="str">
        <x:v>TEXT:SYN-F10-08-U01-R01</x:v>
      </x:c>
      <x:c r="E645" s="10" t="str">
        <x:v>["SYN-F10-08:D1@v1"]</x:v>
      </x:c>
      <x:c r="F645" s="10" t="str">
        <x:v>["SYN-F10-08:D1@v1"]</x:v>
      </x:c>
      <x:c r="G645" s="10" t="n">
        <x:f>IF(E645=F645,1,0)</x:f>
        <x:v>1</x:v>
      </x:c>
    </x:row>
    <x:row r="646" ht="55" customHeight="1">
      <x:c r="A646" s="10" t="str">
        <x:v>T-REL</x:v>
      </x:c>
      <x:c r="B646" s="10" t="str">
        <x:v>TEXT</x:v>
      </x:c>
      <x:c r="C646" s="10" t="str">
        <x:v>TEXT:SYN-F10-08-U01</x:v>
      </x:c>
      <x:c r="D646" s="10" t="str">
        <x:v>TEXT:SYN-F10-08-U01-R02</x:v>
      </x:c>
      <x:c r="E646" s="10" t="str">
        <x:v>["SYN-F10-08:N@v1"]</x:v>
      </x:c>
      <x:c r="F646" s="10" t="str">
        <x:v>["SYN-F10-08:N@v1"]</x:v>
      </x:c>
      <x:c r="G646" s="10" t="n">
        <x:f>IF(E646=F646,1,0)</x:f>
        <x:v>1</x:v>
      </x:c>
    </x:row>
    <x:row r="647" ht="55" customHeight="1">
      <x:c r="A647" s="10" t="str">
        <x:v>T-REL</x:v>
      </x:c>
      <x:c r="B647" s="10" t="str">
        <x:v>TEXT</x:v>
      </x:c>
      <x:c r="C647" s="10" t="str">
        <x:v>TEXT:SYN-F10-08-U02</x:v>
      </x:c>
      <x:c r="D647" s="10" t="str">
        <x:v>TEXT:SYN-F10-08-U02-R01</x:v>
      </x:c>
      <x:c r="E647" s="10" t="str">
        <x:v>["SYN-F10-08:N@v1"]</x:v>
      </x:c>
      <x:c r="F647" s="10" t="str">
        <x:v>["SYN-F10-08:N@v1"]</x:v>
      </x:c>
      <x:c r="G647" s="10" t="n">
        <x:f>IF(E647=F647,1,0)</x:f>
        <x:v>1</x:v>
      </x:c>
    </x:row>
    <x:row r="648" ht="55" customHeight="1">
      <x:c r="A648" s="10" t="str">
        <x:v>T-BASE</x:v>
      </x:c>
      <x:c r="B648" s="10" t="str">
        <x:v>TEXT</x:v>
      </x:c>
      <x:c r="C648" s="10" t="str">
        <x:v>TEXT:SYN-F10-09-U01</x:v>
      </x:c>
      <x:c r="D648" s="10" t="str">
        <x:v>TEXT:SYN-F10-09-U01-R01</x:v>
      </x:c>
      <x:c r="E648" s="10" t="str">
        <x:v>["SYN-F10-09:D3@v1"]</x:v>
      </x:c>
      <x:c r="F648" s="10" t="str">
        <x:v>["SYN-F10-09:D3@v1"]</x:v>
      </x:c>
      <x:c r="G648" s="10" t="n">
        <x:f>IF(E648=F648,1,0)</x:f>
        <x:v>1</x:v>
      </x:c>
    </x:row>
    <x:row r="649" ht="55" customHeight="1">
      <x:c r="A649" s="10" t="str">
        <x:v>T-BASE</x:v>
      </x:c>
      <x:c r="B649" s="10" t="str">
        <x:v>TEXT</x:v>
      </x:c>
      <x:c r="C649" s="10" t="str">
        <x:v>TEXT:SYN-F10-09-U01</x:v>
      </x:c>
      <x:c r="D649" s="10" t="str">
        <x:v>TEXT:SYN-F10-09-U01-R02</x:v>
      </x:c>
      <x:c r="E649" s="10" t="str">
        <x:v>["SYN-F10-09:N@v1"]</x:v>
      </x:c>
      <x:c r="F649" s="10" t="str">
        <x:v>["SYN-F10-09:N@v1"]</x:v>
      </x:c>
      <x:c r="G649" s="10" t="n">
        <x:f>IF(E649=F649,1,0)</x:f>
        <x:v>1</x:v>
      </x:c>
    </x:row>
    <x:row r="650" ht="55" customHeight="1">
      <x:c r="A650" s="10" t="str">
        <x:v>T-BASE</x:v>
      </x:c>
      <x:c r="B650" s="10" t="str">
        <x:v>TEXT</x:v>
      </x:c>
      <x:c r="C650" s="10" t="str">
        <x:v>TEXT:SYN-F10-09-U02</x:v>
      </x:c>
      <x:c r="D650" s="10" t="str">
        <x:v>TEXT:SYN-F10-09-U02-R01</x:v>
      </x:c>
      <x:c r="E650" s="10" t="str">
        <x:v>["SYN-F10-09:N@v1"]</x:v>
      </x:c>
      <x:c r="F650" s="10" t="str">
        <x:v>["SYN-F10-09:N@v1"]</x:v>
      </x:c>
      <x:c r="G650" s="10" t="n">
        <x:f>IF(E650=F650,1,0)</x:f>
        <x:v>1</x:v>
      </x:c>
    </x:row>
    <x:row r="651" ht="55" customHeight="1">
      <x:c r="A651" s="10" t="str">
        <x:v>T-EXEC</x:v>
      </x:c>
      <x:c r="B651" s="10" t="str">
        <x:v>TEXT</x:v>
      </x:c>
      <x:c r="C651" s="10" t="str">
        <x:v>TEXT:SYN-F10-09-U01</x:v>
      </x:c>
      <x:c r="D651" s="10" t="str">
        <x:v>TEXT:SYN-F10-09-U01-R01</x:v>
      </x:c>
      <x:c r="E651" s="10" t="str">
        <x:v>["SYN-F10-09:D3@v1"]</x:v>
      </x:c>
      <x:c r="F651" s="10" t="str">
        <x:v>["SYN-F10-09:D3@v1"]</x:v>
      </x:c>
      <x:c r="G651" s="10" t="n">
        <x:f>IF(E651=F651,1,0)</x:f>
        <x:v>1</x:v>
      </x:c>
    </x:row>
    <x:row r="652" ht="55" customHeight="1">
      <x:c r="A652" s="10" t="str">
        <x:v>T-EXEC</x:v>
      </x:c>
      <x:c r="B652" s="10" t="str">
        <x:v>TEXT</x:v>
      </x:c>
      <x:c r="C652" s="10" t="str">
        <x:v>TEXT:SYN-F10-09-U01</x:v>
      </x:c>
      <x:c r="D652" s="10" t="str">
        <x:v>TEXT:SYN-F10-09-U01-R02</x:v>
      </x:c>
      <x:c r="E652" s="10" t="str">
        <x:v>["SYN-F10-09:N@v1"]</x:v>
      </x:c>
      <x:c r="F652" s="10" t="str">
        <x:v>["SYN-F10-09:N@v1"]</x:v>
      </x:c>
      <x:c r="G652" s="10" t="n">
        <x:f>IF(E652=F652,1,0)</x:f>
        <x:v>1</x:v>
      </x:c>
    </x:row>
    <x:row r="653" ht="55" customHeight="1">
      <x:c r="A653" s="10" t="str">
        <x:v>T-EXEC</x:v>
      </x:c>
      <x:c r="B653" s="10" t="str">
        <x:v>TEXT</x:v>
      </x:c>
      <x:c r="C653" s="10" t="str">
        <x:v>TEXT:SYN-F10-09-U02</x:v>
      </x:c>
      <x:c r="D653" s="10" t="str">
        <x:v>TEXT:SYN-F10-09-U02-R01</x:v>
      </x:c>
      <x:c r="E653" s="10" t="str">
        <x:v>["SYN-F10-09:N@v1"]</x:v>
      </x:c>
      <x:c r="F653" s="10" t="str">
        <x:v>["SYN-F10-09:N@v1"]</x:v>
      </x:c>
      <x:c r="G653" s="10" t="n">
        <x:f>IF(E653=F653,1,0)</x:f>
        <x:v>1</x:v>
      </x:c>
    </x:row>
    <x:row r="654" ht="55" customHeight="1">
      <x:c r="A654" s="10" t="str">
        <x:v>T-REL</x:v>
      </x:c>
      <x:c r="B654" s="10" t="str">
        <x:v>TEXT</x:v>
      </x:c>
      <x:c r="C654" s="10" t="str">
        <x:v>TEXT:SYN-F10-09-U01</x:v>
      </x:c>
      <x:c r="D654" s="10" t="str">
        <x:v>TEXT:SYN-F10-09-U01-R01</x:v>
      </x:c>
      <x:c r="E654" s="10" t="str">
        <x:v>["SYN-F10-09:D3@v1"]</x:v>
      </x:c>
      <x:c r="F654" s="10" t="str">
        <x:v>["SYN-F10-09:D3@v1"]</x:v>
      </x:c>
      <x:c r="G654" s="10" t="n">
        <x:f>IF(E654=F654,1,0)</x:f>
        <x:v>1</x:v>
      </x:c>
    </x:row>
    <x:row r="655" ht="55" customHeight="1">
      <x:c r="A655" s="10" t="str">
        <x:v>T-REL</x:v>
      </x:c>
      <x:c r="B655" s="10" t="str">
        <x:v>TEXT</x:v>
      </x:c>
      <x:c r="C655" s="10" t="str">
        <x:v>TEXT:SYN-F10-09-U01</x:v>
      </x:c>
      <x:c r="D655" s="10" t="str">
        <x:v>TEXT:SYN-F10-09-U01-R02</x:v>
      </x:c>
      <x:c r="E655" s="10" t="str">
        <x:v>["SYN-F10-09:N@v1"]</x:v>
      </x:c>
      <x:c r="F655" s="10" t="str">
        <x:v>["SYN-F10-09:N@v1"]</x:v>
      </x:c>
      <x:c r="G655" s="10" t="n">
        <x:f>IF(E655=F655,1,0)</x:f>
        <x:v>1</x:v>
      </x:c>
    </x:row>
    <x:row r="656" ht="55" customHeight="1">
      <x:c r="A656" s="10" t="str">
        <x:v>T-REL</x:v>
      </x:c>
      <x:c r="B656" s="10" t="str">
        <x:v>TEXT</x:v>
      </x:c>
      <x:c r="C656" s="10" t="str">
        <x:v>TEXT:SYN-F10-09-U02</x:v>
      </x:c>
      <x:c r="D656" s="10" t="str">
        <x:v>TEXT:SYN-F10-09-U02-R01</x:v>
      </x:c>
      <x:c r="E656" s="10" t="str">
        <x:v>["SYN-F10-09:N@v1"]</x:v>
      </x:c>
      <x:c r="F656" s="10" t="str">
        <x:v>["SYN-F10-09:N@v1"]</x:v>
      </x:c>
      <x:c r="G656" s="10" t="n">
        <x:f>IF(E656=F656,1,0)</x:f>
        <x:v>1</x:v>
      </x:c>
    </x:row>
    <x:row r="657" ht="55" customHeight="1">
      <x:c r="A657" s="10" t="str">
        <x:v>T-BASE</x:v>
      </x:c>
      <x:c r="B657" s="10" t="str">
        <x:v>TEXT</x:v>
      </x:c>
      <x:c r="C657" s="10" t="str">
        <x:v>TEXT:SYN-F10-10-U01</x:v>
      </x:c>
      <x:c r="D657" s="10" t="str">
        <x:v>TEXT:SYN-F10-10-U01-R01</x:v>
      </x:c>
      <x:c r="E657" s="10" t="str">
        <x:v>["SYN-F10-10:D2@v1"]</x:v>
      </x:c>
      <x:c r="F657" s="10" t="str">
        <x:v>["SYN-F10-10:D2@v1"]</x:v>
      </x:c>
      <x:c r="G657" s="10" t="n">
        <x:f>IF(E657=F657,1,0)</x:f>
        <x:v>1</x:v>
      </x:c>
    </x:row>
    <x:row r="658" ht="55" customHeight="1">
      <x:c r="A658" s="10" t="str">
        <x:v>T-BASE</x:v>
      </x:c>
      <x:c r="B658" s="10" t="str">
        <x:v>TEXT</x:v>
      </x:c>
      <x:c r="C658" s="10" t="str">
        <x:v>TEXT:SYN-F10-10-U01</x:v>
      </x:c>
      <x:c r="D658" s="10" t="str">
        <x:v>TEXT:SYN-F10-10-U01-R02</x:v>
      </x:c>
      <x:c r="E658" s="10" t="str">
        <x:v>["SYN-F10-10:N@v1"]</x:v>
      </x:c>
      <x:c r="F658" s="10" t="str">
        <x:v>["SYN-F10-10:N@v1"]</x:v>
      </x:c>
      <x:c r="G658" s="10" t="n">
        <x:f>IF(E658=F658,1,0)</x:f>
        <x:v>1</x:v>
      </x:c>
    </x:row>
    <x:row r="659" ht="55" customHeight="1">
      <x:c r="A659" s="10" t="str">
        <x:v>T-BASE</x:v>
      </x:c>
      <x:c r="B659" s="10" t="str">
        <x:v>TEXT</x:v>
      </x:c>
      <x:c r="C659" s="10" t="str">
        <x:v>TEXT:SYN-F10-10-U02</x:v>
      </x:c>
      <x:c r="D659" s="10" t="str">
        <x:v>TEXT:SYN-F10-10-U02-R01</x:v>
      </x:c>
      <x:c r="E659" s="10" t="str">
        <x:v>["SYN-F10-10:N@v1"]</x:v>
      </x:c>
      <x:c r="F659" s="10" t="str">
        <x:v>["SYN-F10-10:N@v1"]</x:v>
      </x:c>
      <x:c r="G659" s="10" t="n">
        <x:f>IF(E659=F659,1,0)</x:f>
        <x:v>1</x:v>
      </x:c>
    </x:row>
    <x:row r="660" ht="55" customHeight="1">
      <x:c r="A660" s="10" t="str">
        <x:v>T-EXEC</x:v>
      </x:c>
      <x:c r="B660" s="10" t="str">
        <x:v>TEXT</x:v>
      </x:c>
      <x:c r="C660" s="10" t="str">
        <x:v>TEXT:SYN-F10-10-U01</x:v>
      </x:c>
      <x:c r="D660" s="10" t="str">
        <x:v>TEXT:SYN-F10-10-U01-R01</x:v>
      </x:c>
      <x:c r="E660" s="10" t="str">
        <x:v>["SYN-F10-10:D2@v1"]</x:v>
      </x:c>
      <x:c r="F660" s="10" t="str">
        <x:v>["SYN-F10-10:D2@v1"]</x:v>
      </x:c>
      <x:c r="G660" s="10" t="n">
        <x:f>IF(E660=F660,1,0)</x:f>
        <x:v>1</x:v>
      </x:c>
    </x:row>
    <x:row r="661" ht="55" customHeight="1">
      <x:c r="A661" s="10" t="str">
        <x:v>T-EXEC</x:v>
      </x:c>
      <x:c r="B661" s="10" t="str">
        <x:v>TEXT</x:v>
      </x:c>
      <x:c r="C661" s="10" t="str">
        <x:v>TEXT:SYN-F10-10-U01</x:v>
      </x:c>
      <x:c r="D661" s="10" t="str">
        <x:v>TEXT:SYN-F10-10-U01-R02</x:v>
      </x:c>
      <x:c r="E661" s="10" t="str">
        <x:v>["SYN-F10-10:N@v1"]</x:v>
      </x:c>
      <x:c r="F661" s="10" t="str">
        <x:v>["SYN-F10-10:N@v1"]</x:v>
      </x:c>
      <x:c r="G661" s="10" t="n">
        <x:f>IF(E661=F661,1,0)</x:f>
        <x:v>1</x:v>
      </x:c>
    </x:row>
    <x:row r="662" ht="55" customHeight="1">
      <x:c r="A662" s="10" t="str">
        <x:v>T-EXEC</x:v>
      </x:c>
      <x:c r="B662" s="10" t="str">
        <x:v>TEXT</x:v>
      </x:c>
      <x:c r="C662" s="10" t="str">
        <x:v>TEXT:SYN-F10-10-U02</x:v>
      </x:c>
      <x:c r="D662" s="10" t="str">
        <x:v>TEXT:SYN-F10-10-U02-R01</x:v>
      </x:c>
      <x:c r="E662" s="10" t="str">
        <x:v>["SYN-F10-10:N@v1"]</x:v>
      </x:c>
      <x:c r="F662" s="10" t="str">
        <x:v>["SYN-F10-10:N@v1"]</x:v>
      </x:c>
      <x:c r="G662" s="10" t="n">
        <x:f>IF(E662=F662,1,0)</x:f>
        <x:v>1</x:v>
      </x:c>
    </x:row>
    <x:row r="663" ht="55" customHeight="1">
      <x:c r="A663" s="10" t="str">
        <x:v>T-REL</x:v>
      </x:c>
      <x:c r="B663" s="10" t="str">
        <x:v>TEXT</x:v>
      </x:c>
      <x:c r="C663" s="10" t="str">
        <x:v>TEXT:SYN-F10-10-U01</x:v>
      </x:c>
      <x:c r="D663" s="10" t="str">
        <x:v>TEXT:SYN-F10-10-U01-R01</x:v>
      </x:c>
      <x:c r="E663" s="10" t="str">
        <x:v>["SYN-F10-10:D2@v1"]</x:v>
      </x:c>
      <x:c r="F663" s="10" t="str">
        <x:v>["SYN-F10-10:D2@v1"]</x:v>
      </x:c>
      <x:c r="G663" s="10" t="n">
        <x:f>IF(E663=F663,1,0)</x:f>
        <x:v>1</x:v>
      </x:c>
    </x:row>
    <x:row r="664" ht="55" customHeight="1">
      <x:c r="A664" s="10" t="str">
        <x:v>T-REL</x:v>
      </x:c>
      <x:c r="B664" s="10" t="str">
        <x:v>TEXT</x:v>
      </x:c>
      <x:c r="C664" s="10" t="str">
        <x:v>TEXT:SYN-F10-10-U01</x:v>
      </x:c>
      <x:c r="D664" s="10" t="str">
        <x:v>TEXT:SYN-F10-10-U01-R02</x:v>
      </x:c>
      <x:c r="E664" s="10" t="str">
        <x:v>["SYN-F10-10:N@v1"]</x:v>
      </x:c>
      <x:c r="F664" s="10" t="str">
        <x:v>["SYN-F10-10:N@v1"]</x:v>
      </x:c>
      <x:c r="G664" s="10" t="n">
        <x:f>IF(E664=F664,1,0)</x:f>
        <x:v>1</x:v>
      </x:c>
    </x:row>
    <x:row r="665" ht="55" customHeight="1">
      <x:c r="A665" s="10" t="str">
        <x:v>T-REL</x:v>
      </x:c>
      <x:c r="B665" s="10" t="str">
        <x:v>TEXT</x:v>
      </x:c>
      <x:c r="C665" s="10" t="str">
        <x:v>TEXT:SYN-F10-10-U02</x:v>
      </x:c>
      <x:c r="D665" s="10" t="str">
        <x:v>TEXT:SYN-F10-10-U02-R01</x:v>
      </x:c>
      <x:c r="E665" s="10" t="str">
        <x:v>["SYN-F10-10:N@v1"]</x:v>
      </x:c>
      <x:c r="F665" s="10" t="str">
        <x:v>["SYN-F10-10:N@v1"]</x:v>
      </x:c>
      <x:c r="G665" s="10" t="n">
        <x:f>IF(E665=F665,1,0)</x:f>
        <x:v>1</x:v>
      </x:c>
    </x:row>
    <x:row r="666" ht="55" customHeight="1">
      <x:c r="A666" s="10" t="str">
        <x:v>T-BASE</x:v>
      </x:c>
      <x:c r="B666" s="10" t="str">
        <x:v>TEXT</x:v>
      </x:c>
      <x:c r="C666" s="10" t="str">
        <x:v>TEXT:SYN-F11-01-U01</x:v>
      </x:c>
      <x:c r="D666" s="10" t="str">
        <x:v>TEXT:SYN-F11-01-U01-R01</x:v>
      </x:c>
      <x:c r="E666" s="10" t="str">
        <x:v>["SYN-F11-01:D1@v1","SYN-F11-01:D2@v1"]</x:v>
      </x:c>
      <x:c r="F666" s="10" t="str">
        <x:v>["SYN-F11-01:D1@v1","SYN-F11-01:D2@v1"]</x:v>
      </x:c>
      <x:c r="G666" s="10" t="n">
        <x:f>IF(E666=F666,1,0)</x:f>
        <x:v>1</x:v>
      </x:c>
    </x:row>
    <x:row r="667" ht="55" customHeight="1">
      <x:c r="A667" s="10" t="str">
        <x:v>T-BASE</x:v>
      </x:c>
      <x:c r="B667" s="10" t="str">
        <x:v>TEXT</x:v>
      </x:c>
      <x:c r="C667" s="10" t="str">
        <x:v>TEXT:SYN-F11-01-U02</x:v>
      </x:c>
      <x:c r="D667" s="10" t="str">
        <x:v>TEXT:SYN-F11-01-U02-R01</x:v>
      </x:c>
      <x:c r="E667" s="10" t="str">
        <x:v>["SYN-F11-01:D2@v1"]</x:v>
      </x:c>
      <x:c r="F667" s="10" t="str">
        <x:v>["SYN-F11-01:D2@v1"]</x:v>
      </x:c>
      <x:c r="G667" s="10" t="n">
        <x:f>IF(E667=F667,1,0)</x:f>
        <x:v>1</x:v>
      </x:c>
    </x:row>
    <x:row r="668" ht="55" customHeight="1">
      <x:c r="A668" s="10" t="str">
        <x:v>T-EXEC</x:v>
      </x:c>
      <x:c r="B668" s="10" t="str">
        <x:v>TEXT</x:v>
      </x:c>
      <x:c r="C668" s="10" t="str">
        <x:v>TEXT:SYN-F11-01-U01</x:v>
      </x:c>
      <x:c r="D668" s="10" t="str">
        <x:v>TEXT:SYN-F11-01-U01-R01</x:v>
      </x:c>
      <x:c r="E668" s="10" t="str">
        <x:v>["SYN-F11-01:D1@v1","SYN-F11-01:D2@v1"]</x:v>
      </x:c>
      <x:c r="F668" s="10" t="str">
        <x:v>["SYN-F11-01:D1@v1","SYN-F11-01:D2@v1"]</x:v>
      </x:c>
      <x:c r="G668" s="10" t="n">
        <x:f>IF(E668=F668,1,0)</x:f>
        <x:v>1</x:v>
      </x:c>
    </x:row>
    <x:row r="669" ht="55" customHeight="1">
      <x:c r="A669" s="10" t="str">
        <x:v>T-EXEC</x:v>
      </x:c>
      <x:c r="B669" s="10" t="str">
        <x:v>TEXT</x:v>
      </x:c>
      <x:c r="C669" s="10" t="str">
        <x:v>TEXT:SYN-F11-01-U02</x:v>
      </x:c>
      <x:c r="D669" s="10" t="str">
        <x:v>TEXT:SYN-F11-01-U02-R01</x:v>
      </x:c>
      <x:c r="E669" s="10" t="str">
        <x:v>["SYN-F11-01:D2@v1"]</x:v>
      </x:c>
      <x:c r="F669" s="10" t="str">
        <x:v>["SYN-F11-01:D2@v1"]</x:v>
      </x:c>
      <x:c r="G669" s="10" t="n">
        <x:f>IF(E669=F669,1,0)</x:f>
        <x:v>1</x:v>
      </x:c>
    </x:row>
    <x:row r="670" ht="55" customHeight="1">
      <x:c r="A670" s="10" t="str">
        <x:v>T-REL</x:v>
      </x:c>
      <x:c r="B670" s="10" t="str">
        <x:v>TEXT</x:v>
      </x:c>
      <x:c r="C670" s="10" t="str">
        <x:v>TEXT:SYN-F11-01-U01</x:v>
      </x:c>
      <x:c r="D670" s="10" t="str">
        <x:v>TEXT:SYN-F11-01-U01-R01</x:v>
      </x:c>
      <x:c r="E670" s="10" t="str">
        <x:v>["SYN-F11-01:D1@v1","SYN-F11-01:D2@v1"]</x:v>
      </x:c>
      <x:c r="F670" s="10" t="str">
        <x:v>["SYN-F11-01:D1@v1","SYN-F11-01:D2@v1"]</x:v>
      </x:c>
      <x:c r="G670" s="10" t="n">
        <x:f>IF(E670=F670,1,0)</x:f>
        <x:v>1</x:v>
      </x:c>
    </x:row>
    <x:row r="671" ht="55" customHeight="1">
      <x:c r="A671" s="10" t="str">
        <x:v>T-REL</x:v>
      </x:c>
      <x:c r="B671" s="10" t="str">
        <x:v>TEXT</x:v>
      </x:c>
      <x:c r="C671" s="10" t="str">
        <x:v>TEXT:SYN-F11-01-U02</x:v>
      </x:c>
      <x:c r="D671" s="10" t="str">
        <x:v>TEXT:SYN-F11-01-U02-R01</x:v>
      </x:c>
      <x:c r="E671" s="10" t="str">
        <x:v>["SYN-F11-01:D2@v1"]</x:v>
      </x:c>
      <x:c r="F671" s="10" t="str">
        <x:v>["SYN-F11-01:D2@v1"]</x:v>
      </x:c>
      <x:c r="G671" s="10" t="n">
        <x:f>IF(E671=F671,1,0)</x:f>
        <x:v>1</x:v>
      </x:c>
    </x:row>
    <x:row r="672" ht="55" customHeight="1">
      <x:c r="A672" s="10" t="str">
        <x:v>T-BASE</x:v>
      </x:c>
      <x:c r="B672" s="10" t="str">
        <x:v>TEXT</x:v>
      </x:c>
      <x:c r="C672" s="10" t="str">
        <x:v>TEXT:SYN-F11-02-U01</x:v>
      </x:c>
      <x:c r="D672" s="10" t="str">
        <x:v>TEXT:SYN-F11-02-U01-R01</x:v>
      </x:c>
      <x:c r="E672" s="10" t="str">
        <x:v>["SYN-F11-02:D2@v1","SYN-F11-02:D3@v1"]</x:v>
      </x:c>
      <x:c r="F672" s="10" t="str">
        <x:v>["SYN-F11-02:D2@v1","SYN-F11-02:D3@v1"]</x:v>
      </x:c>
      <x:c r="G672" s="10" t="n">
        <x:f>IF(E672=F672,1,0)</x:f>
        <x:v>1</x:v>
      </x:c>
    </x:row>
    <x:row r="673" ht="55" customHeight="1">
      <x:c r="A673" s="10" t="str">
        <x:v>T-BASE</x:v>
      </x:c>
      <x:c r="B673" s="10" t="str">
        <x:v>TEXT</x:v>
      </x:c>
      <x:c r="C673" s="10" t="str">
        <x:v>TEXT:SYN-F11-02-U02</x:v>
      </x:c>
      <x:c r="D673" s="10" t="str">
        <x:v>TEXT:SYN-F11-02-U02-R01</x:v>
      </x:c>
      <x:c r="E673" s="10" t="str">
        <x:v>["SYN-F11-02:D3@v1"]</x:v>
      </x:c>
      <x:c r="F673" s="10" t="str">
        <x:v>["SYN-F11-02:D3@v1"]</x:v>
      </x:c>
      <x:c r="G673" s="10" t="n">
        <x:f>IF(E673=F673,1,0)</x:f>
        <x:v>1</x:v>
      </x:c>
    </x:row>
    <x:row r="674" ht="55" customHeight="1">
      <x:c r="A674" s="10" t="str">
        <x:v>T-EXEC</x:v>
      </x:c>
      <x:c r="B674" s="10" t="str">
        <x:v>TEXT</x:v>
      </x:c>
      <x:c r="C674" s="10" t="str">
        <x:v>TEXT:SYN-F11-02-U01</x:v>
      </x:c>
      <x:c r="D674" s="10" t="str">
        <x:v>TEXT:SYN-F11-02-U01-R01</x:v>
      </x:c>
      <x:c r="E674" s="10" t="str">
        <x:v>["SYN-F11-02:D2@v1","SYN-F11-02:D3@v1"]</x:v>
      </x:c>
      <x:c r="F674" s="10" t="str">
        <x:v>["SYN-F11-02:D2@v1","SYN-F11-02:D3@v1"]</x:v>
      </x:c>
      <x:c r="G674" s="10" t="n">
        <x:f>IF(E674=F674,1,0)</x:f>
        <x:v>1</x:v>
      </x:c>
    </x:row>
    <x:row r="675" ht="55" customHeight="1">
      <x:c r="A675" s="10" t="str">
        <x:v>T-EXEC</x:v>
      </x:c>
      <x:c r="B675" s="10" t="str">
        <x:v>TEXT</x:v>
      </x:c>
      <x:c r="C675" s="10" t="str">
        <x:v>TEXT:SYN-F11-02-U02</x:v>
      </x:c>
      <x:c r="D675" s="10" t="str">
        <x:v>TEXT:SYN-F11-02-U02-R01</x:v>
      </x:c>
      <x:c r="E675" s="10" t="str">
        <x:v>["SYN-F11-02:D3@v1"]</x:v>
      </x:c>
      <x:c r="F675" s="10" t="str">
        <x:v>["SYN-F11-02:D2@v1"]</x:v>
      </x:c>
      <x:c r="G675" s="10" t="n">
        <x:f>IF(E675=F675,1,0)</x:f>
        <x:v>0</x:v>
      </x:c>
    </x:row>
    <x:row r="676" ht="55" customHeight="1">
      <x:c r="A676" s="10" t="str">
        <x:v>T-REL</x:v>
      </x:c>
      <x:c r="B676" s="10" t="str">
        <x:v>TEXT</x:v>
      </x:c>
      <x:c r="C676" s="10" t="str">
        <x:v>TEXT:SYN-F11-02-U01</x:v>
      </x:c>
      <x:c r="D676" s="10" t="str">
        <x:v>TEXT:SYN-F11-02-U01-R01</x:v>
      </x:c>
      <x:c r="E676" s="10" t="str">
        <x:v>["SYN-F11-02:D2@v1","SYN-F11-02:D3@v1"]</x:v>
      </x:c>
      <x:c r="F676" s="10" t="str">
        <x:v>["SYN-F11-02:D2@v1","SYN-F11-02:D3@v1"]</x:v>
      </x:c>
      <x:c r="G676" s="10" t="n">
        <x:f>IF(E676=F676,1,0)</x:f>
        <x:v>1</x:v>
      </x:c>
    </x:row>
    <x:row r="677" ht="55" customHeight="1">
      <x:c r="A677" s="10" t="str">
        <x:v>T-REL</x:v>
      </x:c>
      <x:c r="B677" s="10" t="str">
        <x:v>TEXT</x:v>
      </x:c>
      <x:c r="C677" s="10" t="str">
        <x:v>TEXT:SYN-F11-02-U02</x:v>
      </x:c>
      <x:c r="D677" s="10" t="str">
        <x:v>TEXT:SYN-F11-02-U02-R01</x:v>
      </x:c>
      <x:c r="E677" s="10" t="str">
        <x:v>["SYN-F11-02:D3@v1"]</x:v>
      </x:c>
      <x:c r="F677" s="10" t="str">
        <x:v>["SYN-F11-02:D3@v1"]</x:v>
      </x:c>
      <x:c r="G677" s="10" t="n">
        <x:f>IF(E677=F677,1,0)</x:f>
        <x:v>1</x:v>
      </x:c>
    </x:row>
    <x:row r="678" ht="55" customHeight="1">
      <x:c r="A678" s="10" t="str">
        <x:v>T-BASE</x:v>
      </x:c>
      <x:c r="B678" s="10" t="str">
        <x:v>TEXT</x:v>
      </x:c>
      <x:c r="C678" s="10" t="str">
        <x:v>TEXT:SYN-F11-03-U01</x:v>
      </x:c>
      <x:c r="D678" s="10" t="str">
        <x:v>TEXT:SYN-F11-03-U01-R01</x:v>
      </x:c>
      <x:c r="E678" s="10" t="str">
        <x:v>["SYN-F11-03:D1@v1","SYN-F11-03:D3@v1"]</x:v>
      </x:c>
      <x:c r="F678" s="10" t="str">
        <x:v>["SYN-F11-03:D1@v1","SYN-F11-03:D3@v1"]</x:v>
      </x:c>
      <x:c r="G678" s="10" t="n">
        <x:f>IF(E678=F678,1,0)</x:f>
        <x:v>1</x:v>
      </x:c>
    </x:row>
    <x:row r="679" ht="55" customHeight="1">
      <x:c r="A679" s="10" t="str">
        <x:v>T-BASE</x:v>
      </x:c>
      <x:c r="B679" s="10" t="str">
        <x:v>TEXT</x:v>
      </x:c>
      <x:c r="C679" s="10" t="str">
        <x:v>TEXT:SYN-F11-03-U02</x:v>
      </x:c>
      <x:c r="D679" s="10" t="str">
        <x:v>TEXT:SYN-F11-03-U02-R01</x:v>
      </x:c>
      <x:c r="E679" s="10" t="str">
        <x:v>["SYN-F11-03:D1@v1"]</x:v>
      </x:c>
      <x:c r="F679" s="10" t="str">
        <x:v>["SYN-F11-03:D1@v1"]</x:v>
      </x:c>
      <x:c r="G679" s="10" t="n">
        <x:f>IF(E679=F679,1,0)</x:f>
        <x:v>1</x:v>
      </x:c>
    </x:row>
    <x:row r="680" ht="55" customHeight="1">
      <x:c r="A680" s="10" t="str">
        <x:v>T-EXEC</x:v>
      </x:c>
      <x:c r="B680" s="10" t="str">
        <x:v>TEXT</x:v>
      </x:c>
      <x:c r="C680" s="10" t="str">
        <x:v>TEXT:SYN-F11-03-U01</x:v>
      </x:c>
      <x:c r="D680" s="10" t="str">
        <x:v>TEXT:SYN-F11-03-U01-R01</x:v>
      </x:c>
      <x:c r="E680" s="10" t="str">
        <x:v>["SYN-F11-03:D1@v1","SYN-F11-03:D3@v1"]</x:v>
      </x:c>
      <x:c r="F680" s="10" t="str">
        <x:v>["SYN-F11-03:D1@v1","SYN-F11-03:D3@v1"]</x:v>
      </x:c>
      <x:c r="G680" s="10" t="n">
        <x:f>IF(E680=F680,1,0)</x:f>
        <x:v>1</x:v>
      </x:c>
    </x:row>
    <x:row r="681" ht="55" customHeight="1">
      <x:c r="A681" s="10" t="str">
        <x:v>T-EXEC</x:v>
      </x:c>
      <x:c r="B681" s="10" t="str">
        <x:v>TEXT</x:v>
      </x:c>
      <x:c r="C681" s="10" t="str">
        <x:v>TEXT:SYN-F11-03-U02</x:v>
      </x:c>
      <x:c r="D681" s="10" t="str">
        <x:v>TEXT:SYN-F11-03-U02-R01</x:v>
      </x:c>
      <x:c r="E681" s="10" t="str">
        <x:v>["SYN-F11-03:D1@v1"]</x:v>
      </x:c>
      <x:c r="F681" s="10" t="str">
        <x:v>["SYN-F11-03:D1@v1"]</x:v>
      </x:c>
      <x:c r="G681" s="10" t="n">
        <x:f>IF(E681=F681,1,0)</x:f>
        <x:v>1</x:v>
      </x:c>
    </x:row>
    <x:row r="682" ht="55" customHeight="1">
      <x:c r="A682" s="10" t="str">
        <x:v>T-REL</x:v>
      </x:c>
      <x:c r="B682" s="10" t="str">
        <x:v>TEXT</x:v>
      </x:c>
      <x:c r="C682" s="10" t="str">
        <x:v>TEXT:SYN-F11-03-U01</x:v>
      </x:c>
      <x:c r="D682" s="10" t="str">
        <x:v>TEXT:SYN-F11-03-U01-R01</x:v>
      </x:c>
      <x:c r="E682" s="10" t="str">
        <x:v>["SYN-F11-03:D1@v1","SYN-F11-03:D3@v1"]</x:v>
      </x:c>
      <x:c r="F682" s="10" t="str">
        <x:v>["SYN-F11-03:D1@v1","SYN-F11-03:D3@v1"]</x:v>
      </x:c>
      <x:c r="G682" s="10" t="n">
        <x:f>IF(E682=F682,1,0)</x:f>
        <x:v>1</x:v>
      </x:c>
    </x:row>
    <x:row r="683" ht="55" customHeight="1">
      <x:c r="A683" s="10" t="str">
        <x:v>T-REL</x:v>
      </x:c>
      <x:c r="B683" s="10" t="str">
        <x:v>TEXT</x:v>
      </x:c>
      <x:c r="C683" s="10" t="str">
        <x:v>TEXT:SYN-F11-03-U02</x:v>
      </x:c>
      <x:c r="D683" s="10" t="str">
        <x:v>TEXT:SYN-F11-03-U02-R01</x:v>
      </x:c>
      <x:c r="E683" s="10" t="str">
        <x:v>["SYN-F11-03:D1@v1"]</x:v>
      </x:c>
      <x:c r="F683" s="10" t="str">
        <x:v>["SYN-F11-03:D1@v1"]</x:v>
      </x:c>
      <x:c r="G683" s="10" t="n">
        <x:f>IF(E683=F683,1,0)</x:f>
        <x:v>1</x:v>
      </x:c>
    </x:row>
    <x:row r="684" ht="55" customHeight="1">
      <x:c r="A684" s="10" t="str">
        <x:v>T-BASE</x:v>
      </x:c>
      <x:c r="B684" s="10" t="str">
        <x:v>TEXT</x:v>
      </x:c>
      <x:c r="C684" s="10" t="str">
        <x:v>TEXT:SYN-F11-04-U01</x:v>
      </x:c>
      <x:c r="D684" s="10" t="str">
        <x:v>TEXT:SYN-F11-04-U01-R01</x:v>
      </x:c>
      <x:c r="E684" s="10" t="str">
        <x:v>["SYN-F11-04:D1@v1","SYN-F11-04:D2@v1"]</x:v>
      </x:c>
      <x:c r="F684" s="10" t="str">
        <x:v>["SYN-F11-04:D1@v1","SYN-F11-04:D2@v1"]</x:v>
      </x:c>
      <x:c r="G684" s="10" t="n">
        <x:f>IF(E684=F684,1,0)</x:f>
        <x:v>1</x:v>
      </x:c>
    </x:row>
    <x:row r="685" ht="55" customHeight="1">
      <x:c r="A685" s="10" t="str">
        <x:v>T-BASE</x:v>
      </x:c>
      <x:c r="B685" s="10" t="str">
        <x:v>TEXT</x:v>
      </x:c>
      <x:c r="C685" s="10" t="str">
        <x:v>TEXT:SYN-F11-04-U02</x:v>
      </x:c>
      <x:c r="D685" s="10" t="str">
        <x:v>TEXT:SYN-F11-04-U02-R01</x:v>
      </x:c>
      <x:c r="E685" s="10" t="str">
        <x:v>["SYN-F11-04:D1@v1"]</x:v>
      </x:c>
      <x:c r="F685" s="10" t="str">
        <x:v>["SYN-F11-04:D1@v1"]</x:v>
      </x:c>
      <x:c r="G685" s="10" t="n">
        <x:f>IF(E685=F685,1,0)</x:f>
        <x:v>1</x:v>
      </x:c>
    </x:row>
    <x:row r="686" ht="55" customHeight="1">
      <x:c r="A686" s="10" t="str">
        <x:v>T-EXEC</x:v>
      </x:c>
      <x:c r="B686" s="10" t="str">
        <x:v>TEXT</x:v>
      </x:c>
      <x:c r="C686" s="10" t="str">
        <x:v>TEXT:SYN-F11-04-U01</x:v>
      </x:c>
      <x:c r="D686" s="10" t="str">
        <x:v>TEXT:SYN-F11-04-U01-R01</x:v>
      </x:c>
      <x:c r="E686" s="10" t="str">
        <x:v>["SYN-F11-04:D1@v1","SYN-F11-04:D2@v1"]</x:v>
      </x:c>
      <x:c r="F686" s="10" t="str">
        <x:v>["SYN-F11-04:D1@v1","SYN-F11-04:D2@v1"]</x:v>
      </x:c>
      <x:c r="G686" s="10" t="n">
        <x:f>IF(E686=F686,1,0)</x:f>
        <x:v>1</x:v>
      </x:c>
    </x:row>
    <x:row r="687" ht="55" customHeight="1">
      <x:c r="A687" s="10" t="str">
        <x:v>T-EXEC</x:v>
      </x:c>
      <x:c r="B687" s="10" t="str">
        <x:v>TEXT</x:v>
      </x:c>
      <x:c r="C687" s="10" t="str">
        <x:v>TEXT:SYN-F11-04-U02</x:v>
      </x:c>
      <x:c r="D687" s="10" t="str">
        <x:v>TEXT:SYN-F11-04-U02-R01</x:v>
      </x:c>
      <x:c r="E687" s="10" t="str">
        <x:v>["SYN-F11-04:D1@v1"]</x:v>
      </x:c>
      <x:c r="F687" s="10" t="str">
        <x:v>["SYN-F11-04:D1@v1"]</x:v>
      </x:c>
      <x:c r="G687" s="10" t="n">
        <x:f>IF(E687=F687,1,0)</x:f>
        <x:v>1</x:v>
      </x:c>
    </x:row>
    <x:row r="688" ht="55" customHeight="1">
      <x:c r="A688" s="10" t="str">
        <x:v>T-REL</x:v>
      </x:c>
      <x:c r="B688" s="10" t="str">
        <x:v>TEXT</x:v>
      </x:c>
      <x:c r="C688" s="10" t="str">
        <x:v>TEXT:SYN-F11-04-U01</x:v>
      </x:c>
      <x:c r="D688" s="10" t="str">
        <x:v>TEXT:SYN-F11-04-U01-R01</x:v>
      </x:c>
      <x:c r="E688" s="10" t="str">
        <x:v>["SYN-F11-04:D1@v1","SYN-F11-04:D2@v1"]</x:v>
      </x:c>
      <x:c r="F688" s="10" t="str">
        <x:v>["SYN-F11-04:D1@v1","SYN-F11-04:D2@v1"]</x:v>
      </x:c>
      <x:c r="G688" s="10" t="n">
        <x:f>IF(E688=F688,1,0)</x:f>
        <x:v>1</x:v>
      </x:c>
    </x:row>
    <x:row r="689" ht="55" customHeight="1">
      <x:c r="A689" s="10" t="str">
        <x:v>T-REL</x:v>
      </x:c>
      <x:c r="B689" s="10" t="str">
        <x:v>TEXT</x:v>
      </x:c>
      <x:c r="C689" s="10" t="str">
        <x:v>TEXT:SYN-F11-04-U02</x:v>
      </x:c>
      <x:c r="D689" s="10" t="str">
        <x:v>TEXT:SYN-F11-04-U02-R01</x:v>
      </x:c>
      <x:c r="E689" s="10" t="str">
        <x:v>["SYN-F11-04:D1@v1"]</x:v>
      </x:c>
      <x:c r="F689" s="10" t="str">
        <x:v>["SYN-F11-04:D1@v1"]</x:v>
      </x:c>
      <x:c r="G689" s="10" t="n">
        <x:f>IF(E689=F689,1,0)</x:f>
        <x:v>1</x:v>
      </x:c>
    </x:row>
    <x:row r="690" ht="55" customHeight="1">
      <x:c r="A690" s="10" t="str">
        <x:v>T-BASE</x:v>
      </x:c>
      <x:c r="B690" s="10" t="str">
        <x:v>TEXT</x:v>
      </x:c>
      <x:c r="C690" s="10" t="str">
        <x:v>TEXT:SYN-F11-05-U01</x:v>
      </x:c>
      <x:c r="D690" s="10" t="str">
        <x:v>TEXT:SYN-F11-05-U01-R01</x:v>
      </x:c>
      <x:c r="E690" s="10" t="str">
        <x:v>["SYN-F11-05:D2@v1","SYN-F11-05:D3@v1"]</x:v>
      </x:c>
      <x:c r="F690" s="10" t="str">
        <x:v>["SYN-F11-05:D2@v1","SYN-F11-05:D3@v1"]</x:v>
      </x:c>
      <x:c r="G690" s="10" t="n">
        <x:f>IF(E690=F690,1,0)</x:f>
        <x:v>1</x:v>
      </x:c>
    </x:row>
    <x:row r="691" ht="55" customHeight="1">
      <x:c r="A691" s="10" t="str">
        <x:v>T-BASE</x:v>
      </x:c>
      <x:c r="B691" s="10" t="str">
        <x:v>TEXT</x:v>
      </x:c>
      <x:c r="C691" s="10" t="str">
        <x:v>TEXT:SYN-F11-05-U02</x:v>
      </x:c>
      <x:c r="D691" s="10" t="str">
        <x:v>TEXT:SYN-F11-05-U02-R01</x:v>
      </x:c>
      <x:c r="E691" s="10" t="str">
        <x:v>["SYN-F11-05:D2@v1"]</x:v>
      </x:c>
      <x:c r="F691" s="10" t="str">
        <x:v>["SYN-F11-05:D2@v1"]</x:v>
      </x:c>
      <x:c r="G691" s="10" t="n">
        <x:f>IF(E691=F691,1,0)</x:f>
        <x:v>1</x:v>
      </x:c>
    </x:row>
    <x:row r="692" ht="55" customHeight="1">
      <x:c r="A692" s="10" t="str">
        <x:v>T-EXEC</x:v>
      </x:c>
      <x:c r="B692" s="10" t="str">
        <x:v>TEXT</x:v>
      </x:c>
      <x:c r="C692" s="10" t="str">
        <x:v>TEXT:SYN-F11-05-U01</x:v>
      </x:c>
      <x:c r="D692" s="10" t="str">
        <x:v>TEXT:SYN-F11-05-U01-R01</x:v>
      </x:c>
      <x:c r="E692" s="10" t="str">
        <x:v>["SYN-F11-05:D2@v1","SYN-F11-05:D3@v1"]</x:v>
      </x:c>
      <x:c r="F692" s="10" t="str">
        <x:v>["SYN-F11-05:D2@v1","SYN-F11-05:D3@v1"]</x:v>
      </x:c>
      <x:c r="G692" s="10" t="n">
        <x:f>IF(E692=F692,1,0)</x:f>
        <x:v>1</x:v>
      </x:c>
    </x:row>
    <x:row r="693" ht="55" customHeight="1">
      <x:c r="A693" s="10" t="str">
        <x:v>T-EXEC</x:v>
      </x:c>
      <x:c r="B693" s="10" t="str">
        <x:v>TEXT</x:v>
      </x:c>
      <x:c r="C693" s="10" t="str">
        <x:v>TEXT:SYN-F11-05-U02</x:v>
      </x:c>
      <x:c r="D693" s="10" t="str">
        <x:v>TEXT:SYN-F11-05-U02-R01</x:v>
      </x:c>
      <x:c r="E693" s="10" t="str">
        <x:v>["SYN-F11-05:D2@v1"]</x:v>
      </x:c>
      <x:c r="F693" s="10" t="str">
        <x:v>["SYN-F11-05:D2@v1"]</x:v>
      </x:c>
      <x:c r="G693" s="10" t="n">
        <x:f>IF(E693=F693,1,0)</x:f>
        <x:v>1</x:v>
      </x:c>
    </x:row>
    <x:row r="694" ht="55" customHeight="1">
      <x:c r="A694" s="10" t="str">
        <x:v>T-REL</x:v>
      </x:c>
      <x:c r="B694" s="10" t="str">
        <x:v>TEXT</x:v>
      </x:c>
      <x:c r="C694" s="10" t="str">
        <x:v>TEXT:SYN-F11-05-U01</x:v>
      </x:c>
      <x:c r="D694" s="10" t="str">
        <x:v>TEXT:SYN-F11-05-U01-R01</x:v>
      </x:c>
      <x:c r="E694" s="10" t="str">
        <x:v>["SYN-F11-05:D2@v1","SYN-F11-05:D3@v1"]</x:v>
      </x:c>
      <x:c r="F694" s="10" t="str">
        <x:v>["SYN-F11-05:D2@v1","SYN-F11-05:D3@v1"]</x:v>
      </x:c>
      <x:c r="G694" s="10" t="n">
        <x:f>IF(E694=F694,1,0)</x:f>
        <x:v>1</x:v>
      </x:c>
    </x:row>
    <x:row r="695" ht="55" customHeight="1">
      <x:c r="A695" s="10" t="str">
        <x:v>T-REL</x:v>
      </x:c>
      <x:c r="B695" s="10" t="str">
        <x:v>TEXT</x:v>
      </x:c>
      <x:c r="C695" s="10" t="str">
        <x:v>TEXT:SYN-F11-05-U02</x:v>
      </x:c>
      <x:c r="D695" s="10" t="str">
        <x:v>TEXT:SYN-F11-05-U02-R01</x:v>
      </x:c>
      <x:c r="E695" s="10" t="str">
        <x:v>["SYN-F11-05:D2@v1"]</x:v>
      </x:c>
      <x:c r="F695" s="10" t="str">
        <x:v>["SYN-F11-05:D2@v1"]</x:v>
      </x:c>
      <x:c r="G695" s="10" t="n">
        <x:f>IF(E695=F695,1,0)</x:f>
        <x:v>1</x:v>
      </x:c>
    </x:row>
    <x:row r="696" ht="55" customHeight="1">
      <x:c r="A696" s="10" t="str">
        <x:v>T-BASE</x:v>
      </x:c>
      <x:c r="B696" s="10" t="str">
        <x:v>TEXT</x:v>
      </x:c>
      <x:c r="C696" s="10" t="str">
        <x:v>TEXT:SYN-F11-06-U01</x:v>
      </x:c>
      <x:c r="D696" s="10" t="str">
        <x:v>TEXT:SYN-F11-06-U01-R01</x:v>
      </x:c>
      <x:c r="E696" s="10" t="str">
        <x:v>["SYN-F11-06:D1@v1","SYN-F11-06:D3@v1"]</x:v>
      </x:c>
      <x:c r="F696" s="10" t="str">
        <x:v>["SYN-F11-06:D1@v1","SYN-F11-06:D3@v1"]</x:v>
      </x:c>
      <x:c r="G696" s="10" t="n">
        <x:f>IF(E696=F696,1,0)</x:f>
        <x:v>1</x:v>
      </x:c>
    </x:row>
    <x:row r="697" ht="55" customHeight="1">
      <x:c r="A697" s="10" t="str">
        <x:v>T-BASE</x:v>
      </x:c>
      <x:c r="B697" s="10" t="str">
        <x:v>TEXT</x:v>
      </x:c>
      <x:c r="C697" s="10" t="str">
        <x:v>TEXT:SYN-F11-06-U02</x:v>
      </x:c>
      <x:c r="D697" s="10" t="str">
        <x:v>TEXT:SYN-F11-06-U02-R01</x:v>
      </x:c>
      <x:c r="E697" s="10" t="str">
        <x:v>["SYN-F11-06:D3@v1"]</x:v>
      </x:c>
      <x:c r="F697" s="10" t="str">
        <x:v>["SYN-F11-06:D3@v1"]</x:v>
      </x:c>
      <x:c r="G697" s="10" t="n">
        <x:f>IF(E697=F697,1,0)</x:f>
        <x:v>1</x:v>
      </x:c>
    </x:row>
    <x:row r="698" ht="55" customHeight="1">
      <x:c r="A698" s="10" t="str">
        <x:v>T-EXEC</x:v>
      </x:c>
      <x:c r="B698" s="10" t="str">
        <x:v>TEXT</x:v>
      </x:c>
      <x:c r="C698" s="10" t="str">
        <x:v>TEXT:SYN-F11-06-U01</x:v>
      </x:c>
      <x:c r="D698" s="10" t="str">
        <x:v>TEXT:SYN-F11-06-U01-R01</x:v>
      </x:c>
      <x:c r="E698" s="10" t="str">
        <x:v>["SYN-F11-06:D1@v1","SYN-F11-06:D3@v1"]</x:v>
      </x:c>
      <x:c r="F698" s="10" t="str">
        <x:v>["SYN-F11-06:D1@v1","SYN-F11-06:D3@v1"]</x:v>
      </x:c>
      <x:c r="G698" s="10" t="n">
        <x:f>IF(E698=F698,1,0)</x:f>
        <x:v>1</x:v>
      </x:c>
    </x:row>
    <x:row r="699" ht="55" customHeight="1">
      <x:c r="A699" s="10" t="str">
        <x:v>T-EXEC</x:v>
      </x:c>
      <x:c r="B699" s="10" t="str">
        <x:v>TEXT</x:v>
      </x:c>
      <x:c r="C699" s="10" t="str">
        <x:v>TEXT:SYN-F11-06-U02</x:v>
      </x:c>
      <x:c r="D699" s="10" t="str">
        <x:v>TEXT:SYN-F11-06-U02-R01</x:v>
      </x:c>
      <x:c r="E699" s="10" t="str">
        <x:v>["SYN-F11-06:D3@v1"]</x:v>
      </x:c>
      <x:c r="F699" s="10" t="str">
        <x:v>["SYN-F11-06:D1@v1"]</x:v>
      </x:c>
      <x:c r="G699" s="10" t="n">
        <x:f>IF(E699=F699,1,0)</x:f>
        <x:v>0</x:v>
      </x:c>
    </x:row>
    <x:row r="700" ht="55" customHeight="1">
      <x:c r="A700" s="10" t="str">
        <x:v>T-REL</x:v>
      </x:c>
      <x:c r="B700" s="10" t="str">
        <x:v>TEXT</x:v>
      </x:c>
      <x:c r="C700" s="10" t="str">
        <x:v>TEXT:SYN-F11-06-U01</x:v>
      </x:c>
      <x:c r="D700" s="10" t="str">
        <x:v>TEXT:SYN-F11-06-U01-R01</x:v>
      </x:c>
      <x:c r="E700" s="10" t="str">
        <x:v>["SYN-F11-06:D1@v1","SYN-F11-06:D3@v1"]</x:v>
      </x:c>
      <x:c r="F700" s="10" t="str">
        <x:v>["SYN-F11-06:D1@v1","SYN-F11-06:D3@v1"]</x:v>
      </x:c>
      <x:c r="G700" s="10" t="n">
        <x:f>IF(E700=F700,1,0)</x:f>
        <x:v>1</x:v>
      </x:c>
    </x:row>
    <x:row r="701" ht="55" customHeight="1">
      <x:c r="A701" s="10" t="str">
        <x:v>T-REL</x:v>
      </x:c>
      <x:c r="B701" s="10" t="str">
        <x:v>TEXT</x:v>
      </x:c>
      <x:c r="C701" s="10" t="str">
        <x:v>TEXT:SYN-F11-06-U02</x:v>
      </x:c>
      <x:c r="D701" s="10" t="str">
        <x:v>TEXT:SYN-F11-06-U02-R01</x:v>
      </x:c>
      <x:c r="E701" s="10" t="str">
        <x:v>["SYN-F11-06:D3@v1"]</x:v>
      </x:c>
      <x:c r="F701" s="10" t="str">
        <x:v>["SYN-F11-06:D3@v1"]</x:v>
      </x:c>
      <x:c r="G701" s="10" t="n">
        <x:f>IF(E701=F701,1,0)</x:f>
        <x:v>1</x:v>
      </x:c>
    </x:row>
    <x:row r="702" ht="55" customHeight="1">
      <x:c r="A702" s="10" t="str">
        <x:v>T-BASE</x:v>
      </x:c>
      <x:c r="B702" s="10" t="str">
        <x:v>TEXT</x:v>
      </x:c>
      <x:c r="C702" s="10" t="str">
        <x:v>TEXT:SYN-F11-07-U01</x:v>
      </x:c>
      <x:c r="D702" s="10" t="str">
        <x:v>TEXT:SYN-F11-07-U01-R01</x:v>
      </x:c>
      <x:c r="E702" s="10" t="str">
        <x:v>["SYN-F11-07:D1@v1","SYN-F11-07:D2@v1"]</x:v>
      </x:c>
      <x:c r="F702" s="10" t="str">
        <x:v>["SYN-F11-07:D1@v1","SYN-F11-07:D2@v1"]</x:v>
      </x:c>
      <x:c r="G702" s="10" t="n">
        <x:f>IF(E702=F702,1,0)</x:f>
        <x:v>1</x:v>
      </x:c>
    </x:row>
    <x:row r="703" ht="55" customHeight="1">
      <x:c r="A703" s="10" t="str">
        <x:v>T-BASE</x:v>
      </x:c>
      <x:c r="B703" s="10" t="str">
        <x:v>TEXT</x:v>
      </x:c>
      <x:c r="C703" s="10" t="str">
        <x:v>TEXT:SYN-F11-07-U02</x:v>
      </x:c>
      <x:c r="D703" s="10" t="str">
        <x:v>TEXT:SYN-F11-07-U02-R01</x:v>
      </x:c>
      <x:c r="E703" s="10" t="str">
        <x:v>["SYN-F11-07:D1@v1"]</x:v>
      </x:c>
      <x:c r="F703" s="10" t="str">
        <x:v>["SYN-F11-07:D2@v1"]</x:v>
      </x:c>
      <x:c r="G703" s="10" t="n">
        <x:f>IF(E703=F703,1,0)</x:f>
        <x:v>0</x:v>
      </x:c>
    </x:row>
    <x:row r="704" ht="55" customHeight="1">
      <x:c r="A704" s="10" t="str">
        <x:v>T-EXEC</x:v>
      </x:c>
      <x:c r="B704" s="10" t="str">
        <x:v>TEXT</x:v>
      </x:c>
      <x:c r="C704" s="10" t="str">
        <x:v>TEXT:SYN-F11-07-U01</x:v>
      </x:c>
      <x:c r="D704" s="10" t="str">
        <x:v>TEXT:SYN-F11-07-U01-R01</x:v>
      </x:c>
      <x:c r="E704" s="10" t="str">
        <x:v>["SYN-F11-07:D1@v1","SYN-F11-07:D2@v1"]</x:v>
      </x:c>
      <x:c r="F704" s="10" t="str">
        <x:v>["SYN-F11-07:D1@v1","SYN-F11-07:D2@v1"]</x:v>
      </x:c>
      <x:c r="G704" s="10" t="n">
        <x:f>IF(E704=F704,1,0)</x:f>
        <x:v>1</x:v>
      </x:c>
    </x:row>
    <x:row r="705" ht="55" customHeight="1">
      <x:c r="A705" s="10" t="str">
        <x:v>T-EXEC</x:v>
      </x:c>
      <x:c r="B705" s="10" t="str">
        <x:v>TEXT</x:v>
      </x:c>
      <x:c r="C705" s="10" t="str">
        <x:v>TEXT:SYN-F11-07-U02</x:v>
      </x:c>
      <x:c r="D705" s="10" t="str">
        <x:v>TEXT:SYN-F11-07-U02-R01</x:v>
      </x:c>
      <x:c r="E705" s="10" t="str">
        <x:v>["SYN-F11-07:D1@v1"]</x:v>
      </x:c>
      <x:c r="F705" s="10" t="str">
        <x:v>["SYN-F11-07:D2@v1"]</x:v>
      </x:c>
      <x:c r="G705" s="10" t="n">
        <x:f>IF(E705=F705,1,0)</x:f>
        <x:v>0</x:v>
      </x:c>
    </x:row>
    <x:row r="706" ht="55" customHeight="1">
      <x:c r="A706" s="10" t="str">
        <x:v>T-REL</x:v>
      </x:c>
      <x:c r="B706" s="10" t="str">
        <x:v>TEXT</x:v>
      </x:c>
      <x:c r="C706" s="10" t="str">
        <x:v>TEXT:SYN-F11-07-U01</x:v>
      </x:c>
      <x:c r="D706" s="10" t="str">
        <x:v>TEXT:SYN-F11-07-U01-R01</x:v>
      </x:c>
      <x:c r="E706" s="10" t="str">
        <x:v>["SYN-F11-07:D1@v1","SYN-F11-07:D2@v1"]</x:v>
      </x:c>
      <x:c r="F706" s="10" t="str">
        <x:v>["SYN-F11-07:D1@v1","SYN-F11-07:D2@v1"]</x:v>
      </x:c>
      <x:c r="G706" s="10" t="n">
        <x:f>IF(E706=F706,1,0)</x:f>
        <x:v>1</x:v>
      </x:c>
    </x:row>
    <x:row r="707" ht="55" customHeight="1">
      <x:c r="A707" s="10" t="str">
        <x:v>T-REL</x:v>
      </x:c>
      <x:c r="B707" s="10" t="str">
        <x:v>TEXT</x:v>
      </x:c>
      <x:c r="C707" s="10" t="str">
        <x:v>TEXT:SYN-F11-07-U02</x:v>
      </x:c>
      <x:c r="D707" s="10" t="str">
        <x:v>TEXT:SYN-F11-07-U02-R01</x:v>
      </x:c>
      <x:c r="E707" s="10" t="str">
        <x:v>["SYN-F11-07:D1@v1"]</x:v>
      </x:c>
      <x:c r="F707" s="10" t="str">
        <x:v>["SYN-F11-07:D2@v1"]</x:v>
      </x:c>
      <x:c r="G707" s="10" t="n">
        <x:f>IF(E707=F707,1,0)</x:f>
        <x:v>0</x:v>
      </x:c>
    </x:row>
    <x:row r="708" ht="55" customHeight="1">
      <x:c r="A708" s="10" t="str">
        <x:v>T-BASE</x:v>
      </x:c>
      <x:c r="B708" s="10" t="str">
        <x:v>TEXT</x:v>
      </x:c>
      <x:c r="C708" s="10" t="str">
        <x:v>TEXT:SYN-F11-08-U01</x:v>
      </x:c>
      <x:c r="D708" s="10" t="str">
        <x:v>TEXT:SYN-F11-08-U01-R01</x:v>
      </x:c>
      <x:c r="E708" s="10" t="str">
        <x:v>["SYN-F11-08:D2@v1","SYN-F11-08:D3@v1"]</x:v>
      </x:c>
      <x:c r="F708" s="10" t="str">
        <x:v>["SYN-F11-08:D2@v1","SYN-F11-08:D3@v1"]</x:v>
      </x:c>
      <x:c r="G708" s="10" t="n">
        <x:f>IF(E708=F708,1,0)</x:f>
        <x:v>1</x:v>
      </x:c>
    </x:row>
    <x:row r="709" ht="55" customHeight="1">
      <x:c r="A709" s="10" t="str">
        <x:v>T-BASE</x:v>
      </x:c>
      <x:c r="B709" s="10" t="str">
        <x:v>TEXT</x:v>
      </x:c>
      <x:c r="C709" s="10" t="str">
        <x:v>TEXT:SYN-F11-08-U02</x:v>
      </x:c>
      <x:c r="D709" s="10" t="str">
        <x:v>TEXT:SYN-F11-08-U02-R01</x:v>
      </x:c>
      <x:c r="E709" s="10" t="str">
        <x:v>["SYN-F11-08:D2@v1"]</x:v>
      </x:c>
      <x:c r="F709" s="10" t="str">
        <x:v>["SYN-F11-08:D2@v1"]</x:v>
      </x:c>
      <x:c r="G709" s="10" t="n">
        <x:f>IF(E709=F709,1,0)</x:f>
        <x:v>1</x:v>
      </x:c>
    </x:row>
    <x:row r="710" ht="55" customHeight="1">
      <x:c r="A710" s="10" t="str">
        <x:v>T-EXEC</x:v>
      </x:c>
      <x:c r="B710" s="10" t="str">
        <x:v>TEXT</x:v>
      </x:c>
      <x:c r="C710" s="10" t="str">
        <x:v>TEXT:SYN-F11-08-U01</x:v>
      </x:c>
      <x:c r="D710" s="10" t="str">
        <x:v>TEXT:SYN-F11-08-U01-R01</x:v>
      </x:c>
      <x:c r="E710" s="10" t="str">
        <x:v>["SYN-F11-08:D2@v1","SYN-F11-08:D3@v1"]</x:v>
      </x:c>
      <x:c r="F710" s="10" t="str">
        <x:v>["SYN-F11-08:D2@v1","SYN-F11-08:D3@v1"]</x:v>
      </x:c>
      <x:c r="G710" s="10" t="n">
        <x:f>IF(E710=F710,1,0)</x:f>
        <x:v>1</x:v>
      </x:c>
    </x:row>
    <x:row r="711" ht="55" customHeight="1">
      <x:c r="A711" s="10" t="str">
        <x:v>T-EXEC</x:v>
      </x:c>
      <x:c r="B711" s="10" t="str">
        <x:v>TEXT</x:v>
      </x:c>
      <x:c r="C711" s="10" t="str">
        <x:v>TEXT:SYN-F11-08-U02</x:v>
      </x:c>
      <x:c r="D711" s="10" t="str">
        <x:v>TEXT:SYN-F11-08-U02-R01</x:v>
      </x:c>
      <x:c r="E711" s="10" t="str">
        <x:v>["SYN-F11-08:D2@v1"]</x:v>
      </x:c>
      <x:c r="F711" s="10" t="str">
        <x:v>["SYN-F11-08:D2@v1"]</x:v>
      </x:c>
      <x:c r="G711" s="10" t="n">
        <x:f>IF(E711=F711,1,0)</x:f>
        <x:v>1</x:v>
      </x:c>
    </x:row>
    <x:row r="712" ht="55" customHeight="1">
      <x:c r="A712" s="10" t="str">
        <x:v>T-REL</x:v>
      </x:c>
      <x:c r="B712" s="10" t="str">
        <x:v>TEXT</x:v>
      </x:c>
      <x:c r="C712" s="10" t="str">
        <x:v>TEXT:SYN-F11-08-U01</x:v>
      </x:c>
      <x:c r="D712" s="10" t="str">
        <x:v>TEXT:SYN-F11-08-U01-R01</x:v>
      </x:c>
      <x:c r="E712" s="10" t="str">
        <x:v>["SYN-F11-08:D2@v1","SYN-F11-08:D3@v1"]</x:v>
      </x:c>
      <x:c r="F712" s="10" t="str">
        <x:v>["SYN-F11-08:D2@v1","SYN-F11-08:D3@v1"]</x:v>
      </x:c>
      <x:c r="G712" s="10" t="n">
        <x:f>IF(E712=F712,1,0)</x:f>
        <x:v>1</x:v>
      </x:c>
    </x:row>
    <x:row r="713" ht="55" customHeight="1">
      <x:c r="A713" s="10" t="str">
        <x:v>T-REL</x:v>
      </x:c>
      <x:c r="B713" s="10" t="str">
        <x:v>TEXT</x:v>
      </x:c>
      <x:c r="C713" s="10" t="str">
        <x:v>TEXT:SYN-F11-08-U02</x:v>
      </x:c>
      <x:c r="D713" s="10" t="str">
        <x:v>TEXT:SYN-F11-08-U02-R01</x:v>
      </x:c>
      <x:c r="E713" s="10" t="str">
        <x:v>["SYN-F11-08:D2@v1"]</x:v>
      </x:c>
      <x:c r="F713" s="10" t="str">
        <x:v>["SYN-F11-08:D2@v1"]</x:v>
      </x:c>
      <x:c r="G713" s="10" t="n">
        <x:f>IF(E713=F713,1,0)</x:f>
        <x:v>1</x:v>
      </x:c>
    </x:row>
    <x:row r="714" ht="55" customHeight="1">
      <x:c r="A714" s="10" t="str">
        <x:v>T-BASE</x:v>
      </x:c>
      <x:c r="B714" s="10" t="str">
        <x:v>TEXT</x:v>
      </x:c>
      <x:c r="C714" s="10" t="str">
        <x:v>TEXT:SYN-F11-09-U01</x:v>
      </x:c>
      <x:c r="D714" s="10" t="str">
        <x:v>TEXT:SYN-F11-09-U01-R01</x:v>
      </x:c>
      <x:c r="E714" s="10" t="str">
        <x:v>["SYN-F11-09:D1@v1","SYN-F11-09:D3@v1"]</x:v>
      </x:c>
      <x:c r="F714" s="10" t="str">
        <x:v>["SYN-F11-09:D1@v1","SYN-F11-09:D3@v1"]</x:v>
      </x:c>
      <x:c r="G714" s="10" t="n">
        <x:f>IF(E714=F714,1,0)</x:f>
        <x:v>1</x:v>
      </x:c>
    </x:row>
    <x:row r="715" ht="55" customHeight="1">
      <x:c r="A715" s="10" t="str">
        <x:v>T-BASE</x:v>
      </x:c>
      <x:c r="B715" s="10" t="str">
        <x:v>TEXT</x:v>
      </x:c>
      <x:c r="C715" s="10" t="str">
        <x:v>TEXT:SYN-F11-09-U02</x:v>
      </x:c>
      <x:c r="D715" s="10" t="str">
        <x:v>TEXT:SYN-F11-09-U02-R01</x:v>
      </x:c>
      <x:c r="E715" s="10" t="str">
        <x:v>["SYN-F11-09:D1@v1"]</x:v>
      </x:c>
      <x:c r="F715" s="10" t="str">
        <x:v>["SYN-F11-09:D3@v1"]</x:v>
      </x:c>
      <x:c r="G715" s="10" t="n">
        <x:f>IF(E715=F715,1,0)</x:f>
        <x:v>0</x:v>
      </x:c>
    </x:row>
    <x:row r="716" ht="55" customHeight="1">
      <x:c r="A716" s="10" t="str">
        <x:v>T-EXEC</x:v>
      </x:c>
      <x:c r="B716" s="10" t="str">
        <x:v>TEXT</x:v>
      </x:c>
      <x:c r="C716" s="10" t="str">
        <x:v>TEXT:SYN-F11-09-U01</x:v>
      </x:c>
      <x:c r="D716" s="10" t="str">
        <x:v>TEXT:SYN-F11-09-U01-R01</x:v>
      </x:c>
      <x:c r="E716" s="10" t="str">
        <x:v>["SYN-F11-09:D1@v1","SYN-F11-09:D3@v1"]</x:v>
      </x:c>
      <x:c r="F716" s="10" t="str">
        <x:v>["SYN-F11-09:D1@v1","SYN-F11-09:D3@v1"]</x:v>
      </x:c>
      <x:c r="G716" s="10" t="n">
        <x:f>IF(E716=F716,1,0)</x:f>
        <x:v>1</x:v>
      </x:c>
    </x:row>
    <x:row r="717" ht="55" customHeight="1">
      <x:c r="A717" s="10" t="str">
        <x:v>T-EXEC</x:v>
      </x:c>
      <x:c r="B717" s="10" t="str">
        <x:v>TEXT</x:v>
      </x:c>
      <x:c r="C717" s="10" t="str">
        <x:v>TEXT:SYN-F11-09-U02</x:v>
      </x:c>
      <x:c r="D717" s="10" t="str">
        <x:v>TEXT:SYN-F11-09-U02-R01</x:v>
      </x:c>
      <x:c r="E717" s="10" t="str">
        <x:v>["SYN-F11-09:D1@v1"]</x:v>
      </x:c>
      <x:c r="F717" s="10" t="str">
        <x:v>["SYN-F11-09:D3@v1"]</x:v>
      </x:c>
      <x:c r="G717" s="10" t="n">
        <x:f>IF(E717=F717,1,0)</x:f>
        <x:v>0</x:v>
      </x:c>
    </x:row>
    <x:row r="718" ht="55" customHeight="1">
      <x:c r="A718" s="10" t="str">
        <x:v>T-REL</x:v>
      </x:c>
      <x:c r="B718" s="10" t="str">
        <x:v>TEXT</x:v>
      </x:c>
      <x:c r="C718" s="10" t="str">
        <x:v>TEXT:SYN-F11-09-U01</x:v>
      </x:c>
      <x:c r="D718" s="10" t="str">
        <x:v>TEXT:SYN-F11-09-U01-R01</x:v>
      </x:c>
      <x:c r="E718" s="10" t="str">
        <x:v>["SYN-F11-09:D1@v1","SYN-F11-09:D3@v1"]</x:v>
      </x:c>
      <x:c r="F718" s="10" t="str">
        <x:v>["SYN-F11-09:D1@v1","SYN-F11-09:D3@v1"]</x:v>
      </x:c>
      <x:c r="G718" s="10" t="n">
        <x:f>IF(E718=F718,1,0)</x:f>
        <x:v>1</x:v>
      </x:c>
    </x:row>
    <x:row r="719" ht="55" customHeight="1">
      <x:c r="A719" s="10" t="str">
        <x:v>T-REL</x:v>
      </x:c>
      <x:c r="B719" s="10" t="str">
        <x:v>TEXT</x:v>
      </x:c>
      <x:c r="C719" s="10" t="str">
        <x:v>TEXT:SYN-F11-09-U02</x:v>
      </x:c>
      <x:c r="D719" s="10" t="str">
        <x:v>TEXT:SYN-F11-09-U02-R01</x:v>
      </x:c>
      <x:c r="E719" s="10" t="str">
        <x:v>["SYN-F11-09:D1@v1"]</x:v>
      </x:c>
      <x:c r="F719" s="10" t="str">
        <x:v>["SYN-F11-09:D3@v1"]</x:v>
      </x:c>
      <x:c r="G719" s="10" t="n">
        <x:f>IF(E719=F719,1,0)</x:f>
        <x:v>0</x:v>
      </x:c>
    </x:row>
    <x:row r="720" ht="55" customHeight="1">
      <x:c r="A720" s="10" t="str">
        <x:v>T-BASE</x:v>
      </x:c>
      <x:c r="B720" s="10" t="str">
        <x:v>TEXT</x:v>
      </x:c>
      <x:c r="C720" s="10" t="str">
        <x:v>TEXT:SYN-F11-10-U01</x:v>
      </x:c>
      <x:c r="D720" s="10" t="str">
        <x:v>TEXT:SYN-F11-10-U01-R01</x:v>
      </x:c>
      <x:c r="E720" s="10" t="str">
        <x:v>["SYN-F11-10:D1@v1","SYN-F11-10:D2@v1"]</x:v>
      </x:c>
      <x:c r="F720" s="10" t="str">
        <x:v>["SYN-F11-10:D1@v1","SYN-F11-10:D2@v1"]</x:v>
      </x:c>
      <x:c r="G720" s="10" t="n">
        <x:f>IF(E720=F720,1,0)</x:f>
        <x:v>1</x:v>
      </x:c>
    </x:row>
    <x:row r="721" ht="55" customHeight="1">
      <x:c r="A721" s="10" t="str">
        <x:v>T-BASE</x:v>
      </x:c>
      <x:c r="B721" s="10" t="str">
        <x:v>TEXT</x:v>
      </x:c>
      <x:c r="C721" s="10" t="str">
        <x:v>TEXT:SYN-F11-10-U02</x:v>
      </x:c>
      <x:c r="D721" s="10" t="str">
        <x:v>TEXT:SYN-F11-10-U02-R01</x:v>
      </x:c>
      <x:c r="E721" s="10" t="str">
        <x:v>["SYN-F11-10:D2@v1"]</x:v>
      </x:c>
      <x:c r="F721" s="10" t="str">
        <x:v>["SYN-F11-10:D2@v1"]</x:v>
      </x:c>
      <x:c r="G721" s="10" t="n">
        <x:f>IF(E721=F721,1,0)</x:f>
        <x:v>1</x:v>
      </x:c>
    </x:row>
    <x:row r="722" ht="55" customHeight="1">
      <x:c r="A722" s="10" t="str">
        <x:v>T-EXEC</x:v>
      </x:c>
      <x:c r="B722" s="10" t="str">
        <x:v>TEXT</x:v>
      </x:c>
      <x:c r="C722" s="10" t="str">
        <x:v>TEXT:SYN-F11-10-U01</x:v>
      </x:c>
      <x:c r="D722" s="10" t="str">
        <x:v>TEXT:SYN-F11-10-U01-R01</x:v>
      </x:c>
      <x:c r="E722" s="10" t="str">
        <x:v>["SYN-F11-10:D1@v1","SYN-F11-10:D2@v1"]</x:v>
      </x:c>
      <x:c r="F722" s="10" t="str">
        <x:v>["SYN-F11-10:D1@v1","SYN-F11-10:D2@v1"]</x:v>
      </x:c>
      <x:c r="G722" s="10" t="n">
        <x:f>IF(E722=F722,1,0)</x:f>
        <x:v>1</x:v>
      </x:c>
    </x:row>
    <x:row r="723" ht="55" customHeight="1">
      <x:c r="A723" s="10" t="str">
        <x:v>T-EXEC</x:v>
      </x:c>
      <x:c r="B723" s="10" t="str">
        <x:v>TEXT</x:v>
      </x:c>
      <x:c r="C723" s="10" t="str">
        <x:v>TEXT:SYN-F11-10-U02</x:v>
      </x:c>
      <x:c r="D723" s="10" t="str">
        <x:v>TEXT:SYN-F11-10-U02-R01</x:v>
      </x:c>
      <x:c r="E723" s="10" t="str">
        <x:v>["SYN-F11-10:D2@v1"]</x:v>
      </x:c>
      <x:c r="F723" s="10" t="str">
        <x:v>["SYN-F11-10:D2@v1"]</x:v>
      </x:c>
      <x:c r="G723" s="10" t="n">
        <x:f>IF(E723=F723,1,0)</x:f>
        <x:v>1</x:v>
      </x:c>
    </x:row>
    <x:row r="724" ht="55" customHeight="1">
      <x:c r="A724" s="10" t="str">
        <x:v>T-REL</x:v>
      </x:c>
      <x:c r="B724" s="10" t="str">
        <x:v>TEXT</x:v>
      </x:c>
      <x:c r="C724" s="10" t="str">
        <x:v>TEXT:SYN-F11-10-U01</x:v>
      </x:c>
      <x:c r="D724" s="10" t="str">
        <x:v>TEXT:SYN-F11-10-U01-R01</x:v>
      </x:c>
      <x:c r="E724" s="10" t="str">
        <x:v>["SYN-F11-10:D1@v1","SYN-F11-10:D2@v1"]</x:v>
      </x:c>
      <x:c r="F724" s="10" t="str">
        <x:v>["SYN-F11-10:D1@v1","SYN-F11-10:D2@v1"]</x:v>
      </x:c>
      <x:c r="G724" s="10" t="n">
        <x:f>IF(E724=F724,1,0)</x:f>
        <x:v>1</x:v>
      </x:c>
    </x:row>
    <x:row r="725" ht="55" customHeight="1">
      <x:c r="A725" s="10" t="str">
        <x:v>T-REL</x:v>
      </x:c>
      <x:c r="B725" s="10" t="str">
        <x:v>TEXT</x:v>
      </x:c>
      <x:c r="C725" s="10" t="str">
        <x:v>TEXT:SYN-F11-10-U02</x:v>
      </x:c>
      <x:c r="D725" s="10" t="str">
        <x:v>TEXT:SYN-F11-10-U02-R01</x:v>
      </x:c>
      <x:c r="E725" s="10" t="str">
        <x:v>["SYN-F11-10:D2@v1"]</x:v>
      </x:c>
      <x:c r="F725" s="10" t="str">
        <x:v>["SYN-F11-10:D2@v1"]</x:v>
      </x:c>
      <x:c r="G725" s="10" t="n">
        <x:f>IF(E725=F725,1,0)</x:f>
        <x:v>1</x:v>
      </x:c>
    </x:row>
    <x:row r="726" ht="55" customHeight="1">
      <x:c r="A726" s="10" t="str">
        <x:v>T-BASE</x:v>
      </x:c>
      <x:c r="B726" s="10" t="str">
        <x:v>TEXT</x:v>
      </x:c>
      <x:c r="C726" s="10" t="str">
        <x:v>TEXT:SYN-F12-01-U01</x:v>
      </x:c>
      <x:c r="D726" s="10" t="str">
        <x:v>TEXT:SYN-F12-01-U01-R01</x:v>
      </x:c>
      <x:c r="E726" s="10" t="str">
        <x:v>["SYN-F12-01:D2@v1"]</x:v>
      </x:c>
      <x:c r="F726" s="10" t="str">
        <x:v>["SYN-F12-01:D2@v1"]</x:v>
      </x:c>
      <x:c r="G726" s="10" t="n">
        <x:f>IF(E726=F726,1,0)</x:f>
        <x:v>1</x:v>
      </x:c>
    </x:row>
    <x:row r="727" ht="55" customHeight="1">
      <x:c r="A727" s="10" t="str">
        <x:v>T-EXEC</x:v>
      </x:c>
      <x:c r="B727" s="10" t="str">
        <x:v>TEXT</x:v>
      </x:c>
      <x:c r="C727" s="10" t="str">
        <x:v>TEXT:SYN-F12-01-U01</x:v>
      </x:c>
      <x:c r="D727" s="10" t="str">
        <x:v>TEXT:SYN-F12-01-U01-R01</x:v>
      </x:c>
      <x:c r="E727" s="10" t="str">
        <x:v>["SYN-F12-01:D2@v1"]</x:v>
      </x:c>
      <x:c r="F727" s="10" t="str">
        <x:v>["SYN-F12-01:D2@v1"]</x:v>
      </x:c>
      <x:c r="G727" s="10" t="n">
        <x:f>IF(E727=F727,1,0)</x:f>
        <x:v>1</x:v>
      </x:c>
    </x:row>
    <x:row r="728" ht="55" customHeight="1">
      <x:c r="A728" s="10" t="str">
        <x:v>T-REL</x:v>
      </x:c>
      <x:c r="B728" s="10" t="str">
        <x:v>TEXT</x:v>
      </x:c>
      <x:c r="C728" s="10" t="str">
        <x:v>TEXT:SYN-F12-01-U01</x:v>
      </x:c>
      <x:c r="D728" s="10" t="str">
        <x:v>TEXT:SYN-F12-01-U01-R01</x:v>
      </x:c>
      <x:c r="E728" s="10" t="str">
        <x:v>["SYN-F12-01:D2@v1"]</x:v>
      </x:c>
      <x:c r="F728" s="10" t="str">
        <x:v>["SYN-F12-01:D2@v1"]</x:v>
      </x:c>
      <x:c r="G728" s="10" t="n">
        <x:f>IF(E728=F728,1,0)</x:f>
        <x:v>1</x:v>
      </x:c>
    </x:row>
    <x:row r="729" ht="55" customHeight="1">
      <x:c r="A729" s="10" t="str">
        <x:v>T-BASE</x:v>
      </x:c>
      <x:c r="B729" s="10" t="str">
        <x:v>TEXT</x:v>
      </x:c>
      <x:c r="C729" s="10" t="str">
        <x:v>TEXT:SYN-F12-02-U01</x:v>
      </x:c>
      <x:c r="D729" s="10" t="str">
        <x:v>TEXT:SYN-F12-02-U01-R01</x:v>
      </x:c>
      <x:c r="E729" s="10" t="str">
        <x:v>["SYN-F12-02:D1@v1"]</x:v>
      </x:c>
      <x:c r="F729" s="10" t="str">
        <x:v>["SYN-F12-02:D1@v1"]</x:v>
      </x:c>
      <x:c r="G729" s="10" t="n">
        <x:f>IF(E729=F729,1,0)</x:f>
        <x:v>1</x:v>
      </x:c>
    </x:row>
    <x:row r="730" ht="55" customHeight="1">
      <x:c r="A730" s="10" t="str">
        <x:v>T-EXEC</x:v>
      </x:c>
      <x:c r="B730" s="10" t="str">
        <x:v>TEXT</x:v>
      </x:c>
      <x:c r="C730" s="10" t="str">
        <x:v>TEXT:SYN-F12-02-U01</x:v>
      </x:c>
      <x:c r="D730" s="10" t="str">
        <x:v>TEXT:SYN-F12-02-U01-R01</x:v>
      </x:c>
      <x:c r="E730" s="10" t="str">
        <x:v>["SYN-F12-02:D1@v1"]</x:v>
      </x:c>
      <x:c r="F730" s="10" t="str">
        <x:v>["SYN-F12-02:D1@v1"]</x:v>
      </x:c>
      <x:c r="G730" s="10" t="n">
        <x:f>IF(E730=F730,1,0)</x:f>
        <x:v>1</x:v>
      </x:c>
    </x:row>
    <x:row r="731" ht="55" customHeight="1">
      <x:c r="A731" s="10" t="str">
        <x:v>T-REL</x:v>
      </x:c>
      <x:c r="B731" s="10" t="str">
        <x:v>TEXT</x:v>
      </x:c>
      <x:c r="C731" s="10" t="str">
        <x:v>TEXT:SYN-F12-02-U01</x:v>
      </x:c>
      <x:c r="D731" s="10" t="str">
        <x:v>TEXT:SYN-F12-02-U01-R01</x:v>
      </x:c>
      <x:c r="E731" s="10" t="str">
        <x:v>["SYN-F12-02:D1@v1"]</x:v>
      </x:c>
      <x:c r="F731" s="10" t="str">
        <x:v>["SYN-F12-02:D1@v1"]</x:v>
      </x:c>
      <x:c r="G731" s="10" t="n">
        <x:f>IF(E731=F731,1,0)</x:f>
        <x:v>1</x:v>
      </x:c>
    </x:row>
    <x:row r="732" ht="55" customHeight="1">
      <x:c r="A732" s="10" t="str">
        <x:v>T-BASE</x:v>
      </x:c>
      <x:c r="B732" s="10" t="str">
        <x:v>TEXT</x:v>
      </x:c>
      <x:c r="C732" s="10" t="str">
        <x:v>TEXT:SYN-F12-03-U01</x:v>
      </x:c>
      <x:c r="D732" s="10" t="str">
        <x:v>TEXT:SYN-F12-03-U01-R01</x:v>
      </x:c>
      <x:c r="E732" s="10" t="str">
        <x:v>["SYN-F12-03:D3@v1"]</x:v>
      </x:c>
      <x:c r="F732" s="10" t="str">
        <x:v>["SYN-F12-03:D3@v1"]</x:v>
      </x:c>
      <x:c r="G732" s="10" t="n">
        <x:f>IF(E732=F732,1,0)</x:f>
        <x:v>1</x:v>
      </x:c>
    </x:row>
    <x:row r="733" ht="55" customHeight="1">
      <x:c r="A733" s="10" t="str">
        <x:v>T-EXEC</x:v>
      </x:c>
      <x:c r="B733" s="10" t="str">
        <x:v>TEXT</x:v>
      </x:c>
      <x:c r="C733" s="10" t="str">
        <x:v>TEXT:SYN-F12-03-U01</x:v>
      </x:c>
      <x:c r="D733" s="10" t="str">
        <x:v>TEXT:SYN-F12-03-U01-R01</x:v>
      </x:c>
      <x:c r="E733" s="10" t="str">
        <x:v>["SYN-F12-03:D3@v1"]</x:v>
      </x:c>
      <x:c r="F733" s="10" t="str">
        <x:v>["SYN-F12-03:D3@v1"]</x:v>
      </x:c>
      <x:c r="G733" s="10" t="n">
        <x:f>IF(E733=F733,1,0)</x:f>
        <x:v>1</x:v>
      </x:c>
    </x:row>
    <x:row r="734" ht="55" customHeight="1">
      <x:c r="A734" s="10" t="str">
        <x:v>T-REL</x:v>
      </x:c>
      <x:c r="B734" s="10" t="str">
        <x:v>TEXT</x:v>
      </x:c>
      <x:c r="C734" s="10" t="str">
        <x:v>TEXT:SYN-F12-03-U01</x:v>
      </x:c>
      <x:c r="D734" s="10" t="str">
        <x:v>TEXT:SYN-F12-03-U01-R01</x:v>
      </x:c>
      <x:c r="E734" s="10" t="str">
        <x:v>["SYN-F12-03:D3@v1"]</x:v>
      </x:c>
      <x:c r="F734" s="10" t="str">
        <x:v>["SYN-F12-03:D3@v1"]</x:v>
      </x:c>
      <x:c r="G734" s="10" t="n">
        <x:f>IF(E734=F734,1,0)</x:f>
        <x:v>1</x:v>
      </x:c>
    </x:row>
    <x:row r="735" ht="55" customHeight="1">
      <x:c r="A735" s="10" t="str">
        <x:v>T-BASE</x:v>
      </x:c>
      <x:c r="B735" s="10" t="str">
        <x:v>TEXT</x:v>
      </x:c>
      <x:c r="C735" s="10" t="str">
        <x:v>TEXT:SYN-F12-04-U01</x:v>
      </x:c>
      <x:c r="D735" s="10" t="str">
        <x:v>TEXT:SYN-F12-04-U01-R01</x:v>
      </x:c>
      <x:c r="E735" s="10" t="str">
        <x:v>["SYN-F12-04:D2@v1"]</x:v>
      </x:c>
      <x:c r="F735" s="10" t="str">
        <x:v>["SYN-F12-04:D2@v1"]</x:v>
      </x:c>
      <x:c r="G735" s="10" t="n">
        <x:f>IF(E735=F735,1,0)</x:f>
        <x:v>1</x:v>
      </x:c>
    </x:row>
    <x:row r="736" ht="55" customHeight="1">
      <x:c r="A736" s="10" t="str">
        <x:v>T-EXEC</x:v>
      </x:c>
      <x:c r="B736" s="10" t="str">
        <x:v>TEXT</x:v>
      </x:c>
      <x:c r="C736" s="10" t="str">
        <x:v>TEXT:SYN-F12-04-U01</x:v>
      </x:c>
      <x:c r="D736" s="10" t="str">
        <x:v>TEXT:SYN-F12-04-U01-R01</x:v>
      </x:c>
      <x:c r="E736" s="10" t="str">
        <x:v>["SYN-F12-04:D2@v1"]</x:v>
      </x:c>
      <x:c r="F736" s="10" t="str">
        <x:v>["SYN-F12-04:D2@v1"]</x:v>
      </x:c>
      <x:c r="G736" s="10" t="n">
        <x:f>IF(E736=F736,1,0)</x:f>
        <x:v>1</x:v>
      </x:c>
    </x:row>
    <x:row r="737" ht="55" customHeight="1">
      <x:c r="A737" s="10" t="str">
        <x:v>T-REL</x:v>
      </x:c>
      <x:c r="B737" s="10" t="str">
        <x:v>TEXT</x:v>
      </x:c>
      <x:c r="C737" s="10" t="str">
        <x:v>TEXT:SYN-F12-04-U01</x:v>
      </x:c>
      <x:c r="D737" s="10" t="str">
        <x:v>TEXT:SYN-F12-04-U01-R01</x:v>
      </x:c>
      <x:c r="E737" s="10" t="str">
        <x:v>["SYN-F12-04:D2@v1"]</x:v>
      </x:c>
      <x:c r="F737" s="10" t="str">
        <x:v>["SYN-F12-04:D2@v1"]</x:v>
      </x:c>
      <x:c r="G737" s="10" t="n">
        <x:f>IF(E737=F737,1,0)</x:f>
        <x:v>1</x:v>
      </x:c>
    </x:row>
    <x:row r="738" ht="55" customHeight="1">
      <x:c r="A738" s="10" t="str">
        <x:v>T-BASE</x:v>
      </x:c>
      <x:c r="B738" s="10" t="str">
        <x:v>TEXT</x:v>
      </x:c>
      <x:c r="C738" s="10" t="str">
        <x:v>TEXT:SYN-F12-05-U01</x:v>
      </x:c>
      <x:c r="D738" s="10" t="str">
        <x:v>TEXT:SYN-F12-05-U01-R01</x:v>
      </x:c>
      <x:c r="E738" s="10" t="str">
        <x:v>["SYN-F12-05:D1@v1"]</x:v>
      </x:c>
      <x:c r="F738" s="10" t="str">
        <x:v>["SYN-F12-05:D1@v1"]</x:v>
      </x:c>
      <x:c r="G738" s="10" t="n">
        <x:f>IF(E738=F738,1,0)</x:f>
        <x:v>1</x:v>
      </x:c>
    </x:row>
    <x:row r="739" ht="55" customHeight="1">
      <x:c r="A739" s="10" t="str">
        <x:v>T-EXEC</x:v>
      </x:c>
      <x:c r="B739" s="10" t="str">
        <x:v>TEXT</x:v>
      </x:c>
      <x:c r="C739" s="10" t="str">
        <x:v>TEXT:SYN-F12-05-U01</x:v>
      </x:c>
      <x:c r="D739" s="10" t="str">
        <x:v>TEXT:SYN-F12-05-U01-R01</x:v>
      </x:c>
      <x:c r="E739" s="10" t="str">
        <x:v>["SYN-F12-05:D1@v1"]</x:v>
      </x:c>
      <x:c r="F739" s="10" t="str">
        <x:v>["SYN-F12-05:D1@v1"]</x:v>
      </x:c>
      <x:c r="G739" s="10" t="n">
        <x:f>IF(E739=F739,1,0)</x:f>
        <x:v>1</x:v>
      </x:c>
    </x:row>
    <x:row r="740" ht="55" customHeight="1">
      <x:c r="A740" s="10" t="str">
        <x:v>T-REL</x:v>
      </x:c>
      <x:c r="B740" s="10" t="str">
        <x:v>TEXT</x:v>
      </x:c>
      <x:c r="C740" s="10" t="str">
        <x:v>TEXT:SYN-F12-05-U01</x:v>
      </x:c>
      <x:c r="D740" s="10" t="str">
        <x:v>TEXT:SYN-F12-05-U01-R01</x:v>
      </x:c>
      <x:c r="E740" s="10" t="str">
        <x:v>["SYN-F12-05:D1@v1"]</x:v>
      </x:c>
      <x:c r="F740" s="10" t="str">
        <x:v>["SYN-F12-05:D1@v1"]</x:v>
      </x:c>
      <x:c r="G740" s="10" t="n">
        <x:f>IF(E740=F740,1,0)</x:f>
        <x:v>1</x:v>
      </x:c>
    </x:row>
    <x:row r="741" ht="55" customHeight="1">
      <x:c r="A741" s="10" t="str">
        <x:v>T-BASE</x:v>
      </x:c>
      <x:c r="B741" s="10" t="str">
        <x:v>TEXT</x:v>
      </x:c>
      <x:c r="C741" s="10" t="str">
        <x:v>TEXT:SYN-F12-06-U01</x:v>
      </x:c>
      <x:c r="D741" s="10" t="str">
        <x:v>TEXT:SYN-F12-06-U01-R01</x:v>
      </x:c>
      <x:c r="E741" s="10" t="str">
        <x:v>["SYN-F12-06:D3@v1"]</x:v>
      </x:c>
      <x:c r="F741" s="10" t="str">
        <x:v>["SYN-F12-06:D3@v1"]</x:v>
      </x:c>
      <x:c r="G741" s="10" t="n">
        <x:f>IF(E741=F741,1,0)</x:f>
        <x:v>1</x:v>
      </x:c>
    </x:row>
    <x:row r="742" ht="55" customHeight="1">
      <x:c r="A742" s="10" t="str">
        <x:v>T-EXEC</x:v>
      </x:c>
      <x:c r="B742" s="10" t="str">
        <x:v>TEXT</x:v>
      </x:c>
      <x:c r="C742" s="10" t="str">
        <x:v>TEXT:SYN-F12-06-U01</x:v>
      </x:c>
      <x:c r="D742" s="10" t="str">
        <x:v>TEXT:SYN-F12-06-U01-R01</x:v>
      </x:c>
      <x:c r="E742" s="10" t="str">
        <x:v>["SYN-F12-06:D3@v1"]</x:v>
      </x:c>
      <x:c r="F742" s="10" t="str">
        <x:v>["SYN-F12-06:D3@v1"]</x:v>
      </x:c>
      <x:c r="G742" s="10" t="n">
        <x:f>IF(E742=F742,1,0)</x:f>
        <x:v>1</x:v>
      </x:c>
    </x:row>
    <x:row r="743" ht="55" customHeight="1">
      <x:c r="A743" s="10" t="str">
        <x:v>T-REL</x:v>
      </x:c>
      <x:c r="B743" s="10" t="str">
        <x:v>TEXT</x:v>
      </x:c>
      <x:c r="C743" s="10" t="str">
        <x:v>TEXT:SYN-F12-06-U01</x:v>
      </x:c>
      <x:c r="D743" s="10" t="str">
        <x:v>TEXT:SYN-F12-06-U01-R01</x:v>
      </x:c>
      <x:c r="E743" s="10" t="str">
        <x:v>["SYN-F12-06:D3@v1"]</x:v>
      </x:c>
      <x:c r="F743" s="10" t="str">
        <x:v>["SYN-F12-06:D3@v1"]</x:v>
      </x:c>
      <x:c r="G743" s="10" t="n">
        <x:f>IF(E743=F743,1,0)</x:f>
        <x:v>1</x:v>
      </x:c>
    </x:row>
    <x:row r="744" ht="55" customHeight="1">
      <x:c r="A744" s="10" t="str">
        <x:v>T-BASE</x:v>
      </x:c>
      <x:c r="B744" s="10" t="str">
        <x:v>TEXT</x:v>
      </x:c>
      <x:c r="C744" s="10" t="str">
        <x:v>TEXT:SYN-F12-07-U01</x:v>
      </x:c>
      <x:c r="D744" s="10" t="str">
        <x:v>TEXT:SYN-F12-07-U01-R01</x:v>
      </x:c>
      <x:c r="E744" s="10" t="str">
        <x:v>["SYN-F12-07:D2@v1"]</x:v>
      </x:c>
      <x:c r="F744" s="10" t="str">
        <x:v>["SYN-F12-07:D2@v1"]</x:v>
      </x:c>
      <x:c r="G744" s="10" t="n">
        <x:f>IF(E744=F744,1,0)</x:f>
        <x:v>1</x:v>
      </x:c>
    </x:row>
    <x:row r="745" ht="55" customHeight="1">
      <x:c r="A745" s="10" t="str">
        <x:v>T-EXEC</x:v>
      </x:c>
      <x:c r="B745" s="10" t="str">
        <x:v>TEXT</x:v>
      </x:c>
      <x:c r="C745" s="10" t="str">
        <x:v>TEXT:SYN-F12-07-U01</x:v>
      </x:c>
      <x:c r="D745" s="10" t="str">
        <x:v>TEXT:SYN-F12-07-U01-R01</x:v>
      </x:c>
      <x:c r="E745" s="10" t="str">
        <x:v>["SYN-F12-07:D2@v1"]</x:v>
      </x:c>
      <x:c r="F745" s="10" t="str">
        <x:v>["SYN-F12-07:D2@v1"]</x:v>
      </x:c>
      <x:c r="G745" s="10" t="n">
        <x:f>IF(E745=F745,1,0)</x:f>
        <x:v>1</x:v>
      </x:c>
    </x:row>
    <x:row r="746" ht="55" customHeight="1">
      <x:c r="A746" s="10" t="str">
        <x:v>T-REL</x:v>
      </x:c>
      <x:c r="B746" s="10" t="str">
        <x:v>TEXT</x:v>
      </x:c>
      <x:c r="C746" s="10" t="str">
        <x:v>TEXT:SYN-F12-07-U01</x:v>
      </x:c>
      <x:c r="D746" s="10" t="str">
        <x:v>TEXT:SYN-F12-07-U01-R01</x:v>
      </x:c>
      <x:c r="E746" s="10" t="str">
        <x:v>["SYN-F12-07:D2@v1"]</x:v>
      </x:c>
      <x:c r="F746" s="10" t="str">
        <x:v>["SYN-F12-07:D2@v1"]</x:v>
      </x:c>
      <x:c r="G746" s="10" t="n">
        <x:f>IF(E746=F746,1,0)</x:f>
        <x:v>1</x:v>
      </x:c>
    </x:row>
    <x:row r="747" ht="55" customHeight="1">
      <x:c r="A747" s="10" t="str">
        <x:v>T-BASE</x:v>
      </x:c>
      <x:c r="B747" s="10" t="str">
        <x:v>TEXT</x:v>
      </x:c>
      <x:c r="C747" s="10" t="str">
        <x:v>TEXT:SYN-F12-08-U01</x:v>
      </x:c>
      <x:c r="D747" s="10" t="str">
        <x:v>TEXT:SYN-F12-08-U01-R01</x:v>
      </x:c>
      <x:c r="E747" s="10" t="str">
        <x:v>["SYN-F12-08:D1@v1"]</x:v>
      </x:c>
      <x:c r="F747" s="10" t="str">
        <x:v>["SYN-F12-08:D1@v1"]</x:v>
      </x:c>
      <x:c r="G747" s="10" t="n">
        <x:f>IF(E747=F747,1,0)</x:f>
        <x:v>1</x:v>
      </x:c>
    </x:row>
    <x:row r="748" ht="55" customHeight="1">
      <x:c r="A748" s="10" t="str">
        <x:v>T-EXEC</x:v>
      </x:c>
      <x:c r="B748" s="10" t="str">
        <x:v>TEXT</x:v>
      </x:c>
      <x:c r="C748" s="10" t="str">
        <x:v>TEXT:SYN-F12-08-U01</x:v>
      </x:c>
      <x:c r="D748" s="10" t="str">
        <x:v>TEXT:SYN-F12-08-U01-R01</x:v>
      </x:c>
      <x:c r="E748" s="10" t="str">
        <x:v>["SYN-F12-08:D1@v1"]</x:v>
      </x:c>
      <x:c r="F748" s="10" t="str">
        <x:v>["SYN-F12-08:D1@v1"]</x:v>
      </x:c>
      <x:c r="G748" s="10" t="n">
        <x:f>IF(E748=F748,1,0)</x:f>
        <x:v>1</x:v>
      </x:c>
    </x:row>
    <x:row r="749" ht="55" customHeight="1">
      <x:c r="A749" s="10" t="str">
        <x:v>T-REL</x:v>
      </x:c>
      <x:c r="B749" s="10" t="str">
        <x:v>TEXT</x:v>
      </x:c>
      <x:c r="C749" s="10" t="str">
        <x:v>TEXT:SYN-F12-08-U01</x:v>
      </x:c>
      <x:c r="D749" s="10" t="str">
        <x:v>TEXT:SYN-F12-08-U01-R01</x:v>
      </x:c>
      <x:c r="E749" s="10" t="str">
        <x:v>["SYN-F12-08:D1@v1"]</x:v>
      </x:c>
      <x:c r="F749" s="10" t="str">
        <x:v>["SYN-F12-08:D1@v1"]</x:v>
      </x:c>
      <x:c r="G749" s="10" t="n">
        <x:f>IF(E749=F749,1,0)</x:f>
        <x:v>1</x:v>
      </x:c>
    </x:row>
    <x:row r="750" ht="55" customHeight="1">
      <x:c r="A750" s="10" t="str">
        <x:v>T-BASE</x:v>
      </x:c>
      <x:c r="B750" s="10" t="str">
        <x:v>TEXT</x:v>
      </x:c>
      <x:c r="C750" s="10" t="str">
        <x:v>TEXT:SYN-F12-09-U01</x:v>
      </x:c>
      <x:c r="D750" s="10" t="str">
        <x:v>TEXT:SYN-F12-09-U01-R01</x:v>
      </x:c>
      <x:c r="E750" s="10" t="str">
        <x:v>["SYN-F12-09:D3@v1"]</x:v>
      </x:c>
      <x:c r="F750" s="10" t="str">
        <x:v>["SYN-F12-09:D3@v1"]</x:v>
      </x:c>
      <x:c r="G750" s="10" t="n">
        <x:f>IF(E750=F750,1,0)</x:f>
        <x:v>1</x:v>
      </x:c>
    </x:row>
    <x:row r="751" ht="55" customHeight="1">
      <x:c r="A751" s="10" t="str">
        <x:v>T-EXEC</x:v>
      </x:c>
      <x:c r="B751" s="10" t="str">
        <x:v>TEXT</x:v>
      </x:c>
      <x:c r="C751" s="10" t="str">
        <x:v>TEXT:SYN-F12-09-U01</x:v>
      </x:c>
      <x:c r="D751" s="10" t="str">
        <x:v>TEXT:SYN-F12-09-U01-R01</x:v>
      </x:c>
      <x:c r="E751" s="10" t="str">
        <x:v>["SYN-F12-09:D3@v1"]</x:v>
      </x:c>
      <x:c r="F751" s="10" t="str">
        <x:v>["SYN-F12-09:D3@v1"]</x:v>
      </x:c>
      <x:c r="G751" s="10" t="n">
        <x:f>IF(E751=F751,1,0)</x:f>
        <x:v>1</x:v>
      </x:c>
    </x:row>
    <x:row r="752" ht="55" customHeight="1">
      <x:c r="A752" s="10" t="str">
        <x:v>T-REL</x:v>
      </x:c>
      <x:c r="B752" s="10" t="str">
        <x:v>TEXT</x:v>
      </x:c>
      <x:c r="C752" s="10" t="str">
        <x:v>TEXT:SYN-F12-09-U01</x:v>
      </x:c>
      <x:c r="D752" s="10" t="str">
        <x:v>TEXT:SYN-F12-09-U01-R01</x:v>
      </x:c>
      <x:c r="E752" s="10" t="str">
        <x:v>["SYN-F12-09:D3@v1"]</x:v>
      </x:c>
      <x:c r="F752" s="10" t="str">
        <x:v>["SYN-F12-09:D3@v1"]</x:v>
      </x:c>
      <x:c r="G752" s="10" t="n">
        <x:f>IF(E752=F752,1,0)</x:f>
        <x:v>1</x:v>
      </x:c>
    </x:row>
    <x:row r="753" ht="55" customHeight="1">
      <x:c r="A753" s="10" t="str">
        <x:v>T-BASE</x:v>
      </x:c>
      <x:c r="B753" s="10" t="str">
        <x:v>TEXT</x:v>
      </x:c>
      <x:c r="C753" s="10" t="str">
        <x:v>TEXT:SYN-F12-10-U01</x:v>
      </x:c>
      <x:c r="D753" s="10" t="str">
        <x:v>TEXT:SYN-F12-10-U01-R01</x:v>
      </x:c>
      <x:c r="E753" s="10" t="str">
        <x:v>["SYN-F12-10:D2@v1"]</x:v>
      </x:c>
      <x:c r="F753" s="10" t="str">
        <x:v>["SYN-F12-10:D2@v1"]</x:v>
      </x:c>
      <x:c r="G753" s="10" t="n">
        <x:f>IF(E753=F753,1,0)</x:f>
        <x:v>1</x:v>
      </x:c>
    </x:row>
    <x:row r="754" ht="55" customHeight="1">
      <x:c r="A754" s="10" t="str">
        <x:v>T-EXEC</x:v>
      </x:c>
      <x:c r="B754" s="10" t="str">
        <x:v>TEXT</x:v>
      </x:c>
      <x:c r="C754" s="10" t="str">
        <x:v>TEXT:SYN-F12-10-U01</x:v>
      </x:c>
      <x:c r="D754" s="10" t="str">
        <x:v>TEXT:SYN-F12-10-U01-R01</x:v>
      </x:c>
      <x:c r="E754" s="10" t="str">
        <x:v>["SYN-F12-10:D2@v1"]</x:v>
      </x:c>
      <x:c r="F754" s="10" t="str">
        <x:v>["SYN-F12-10:D2@v1"]</x:v>
      </x:c>
      <x:c r="G754" s="10" t="n">
        <x:f>IF(E754=F754,1,0)</x:f>
        <x:v>1</x:v>
      </x:c>
    </x:row>
    <x:row r="755" ht="55" customHeight="1">
      <x:c r="A755" s="10" t="str">
        <x:v>T-REL</x:v>
      </x:c>
      <x:c r="B755" s="10" t="str">
        <x:v>TEXT</x:v>
      </x:c>
      <x:c r="C755" s="10" t="str">
        <x:v>TEXT:SYN-F12-10-U01</x:v>
      </x:c>
      <x:c r="D755" s="10" t="str">
        <x:v>TEXT:SYN-F12-10-U01-R01</x:v>
      </x:c>
      <x:c r="E755" s="10" t="str">
        <x:v>["SYN-F12-10:D2@v1"]</x:v>
      </x:c>
      <x:c r="F755" s="10" t="str">
        <x:v>["SYN-F12-10:D2@v1"]</x:v>
      </x:c>
      <x:c r="G755" s="10" t="n">
        <x:f>IF(E755=F755,1,0)</x:f>
        <x:v>1</x:v>
      </x:c>
    </x:row>
    <x:row r="756" ht="55" customHeight="1">
      <x:c r="A756" s="10" t="str">
        <x:v>V-A</x:v>
      </x:c>
      <x:c r="B756" s="10" t="str">
        <x:v>VOICE</x:v>
      </x:c>
      <x:c r="C756" s="10" t="str">
        <x:v>VOICE:S1-01:input</x:v>
      </x:c>
      <x:c r="D756" s="10" t="str">
        <x:v>VOICE:S1-01:expression</x:v>
      </x:c>
      <x:c r="E756" s="10" t="str">
        <x:v>["S1-01:quote-L","S1-01:quote-R"]</x:v>
      </x:c>
      <x:c r="F756" s="10" t="str">
        <x:v>["S1-01:quote-L","S1-01:quote-R"]</x:v>
      </x:c>
      <x:c r="G756" s="10" t="n">
        <x:f>IF(E756=F756,1,0)</x:f>
        <x:v>1</x:v>
      </x:c>
    </x:row>
    <x:row r="757" ht="55" customHeight="1">
      <x:c r="A757" s="10" t="str">
        <x:v>V-R1</x:v>
      </x:c>
      <x:c r="B757" s="10" t="str">
        <x:v>VOICE</x:v>
      </x:c>
      <x:c r="C757" s="10" t="str">
        <x:v>VOICE:S1-01:input</x:v>
      </x:c>
      <x:c r="D757" s="10" t="str">
        <x:v>VOICE:S1-01:expression</x:v>
      </x:c>
      <x:c r="E757" s="10" t="str">
        <x:v>["S1-01:quote-L","S1-01:quote-R"]</x:v>
      </x:c>
      <x:c r="F757" s="10" t="str">
        <x:v>["S1-01:quote-L","S1-01:quote-R"]</x:v>
      </x:c>
      <x:c r="G757" s="10" t="n">
        <x:f>IF(E757=F757,1,0)</x:f>
        <x:v>1</x:v>
      </x:c>
    </x:row>
    <x:row r="758" ht="55" customHeight="1">
      <x:c r="A758" s="10" t="str">
        <x:v>V-R2</x:v>
      </x:c>
      <x:c r="B758" s="10" t="str">
        <x:v>VOICE</x:v>
      </x:c>
      <x:c r="C758" s="10" t="str">
        <x:v>VOICE:S1-01:input</x:v>
      </x:c>
      <x:c r="D758" s="10" t="str">
        <x:v>VOICE:S1-01:expression</x:v>
      </x:c>
      <x:c r="E758" s="10" t="str">
        <x:v>["S1-01:quote-L","S1-01:quote-R"]</x:v>
      </x:c>
      <x:c r="F758" s="10" t="str">
        <x:v>["S1-01:quote-L","S1-01:quote-R"]</x:v>
      </x:c>
      <x:c r="G758" s="10" t="n">
        <x:f>IF(E758=F758,1,0)</x:f>
        <x:v>1</x:v>
      </x:c>
    </x:row>
    <x:row r="759" ht="55" customHeight="1">
      <x:c r="A759" s="10" t="str">
        <x:v>V-R3</x:v>
      </x:c>
      <x:c r="B759" s="10" t="str">
        <x:v>VOICE</x:v>
      </x:c>
      <x:c r="C759" s="10" t="str">
        <x:v>VOICE:S1-01:input</x:v>
      </x:c>
      <x:c r="D759" s="10" t="str">
        <x:v>VOICE:S1-01:expression</x:v>
      </x:c>
      <x:c r="E759" s="10" t="str">
        <x:v>["S1-01:quote-L","S1-01:quote-R"]</x:v>
      </x:c>
      <x:c r="F759" s="10" t="str">
        <x:v>["S1-01:quote-L","S1-01:quote-R"]</x:v>
      </x:c>
      <x:c r="G759" s="10" t="n">
        <x:f>IF(E759=F759,1,0)</x:f>
        <x:v>1</x:v>
      </x:c>
    </x:row>
    <x:row r="760" ht="55" customHeight="1">
      <x:c r="A760" s="10" t="str">
        <x:v>V-A</x:v>
      </x:c>
      <x:c r="B760" s="10" t="str">
        <x:v>VOICE</x:v>
      </x:c>
      <x:c r="C760" s="10" t="str">
        <x:v>VOICE:S1-02:input</x:v>
      </x:c>
      <x:c r="D760" s="10" t="str">
        <x:v>VOICE:S1-02:expression</x:v>
      </x:c>
      <x:c r="E760" s="10" t="str">
        <x:v>["S1-02:quote-L","S1-02:quote-R"]</x:v>
      </x:c>
      <x:c r="F760" s="10" t="str">
        <x:v>["S1-02:quote-L","S1-02:quote-R"]</x:v>
      </x:c>
      <x:c r="G760" s="10" t="n">
        <x:f>IF(E760=F760,1,0)</x:f>
        <x:v>1</x:v>
      </x:c>
    </x:row>
    <x:row r="761" ht="55" customHeight="1">
      <x:c r="A761" s="10" t="str">
        <x:v>V-R1</x:v>
      </x:c>
      <x:c r="B761" s="10" t="str">
        <x:v>VOICE</x:v>
      </x:c>
      <x:c r="C761" s="10" t="str">
        <x:v>VOICE:S1-02:input</x:v>
      </x:c>
      <x:c r="D761" s="10" t="str">
        <x:v>VOICE:S1-02:expression</x:v>
      </x:c>
      <x:c r="E761" s="10" t="str">
        <x:v>["S1-02:quote-L","S1-02:quote-R"]</x:v>
      </x:c>
      <x:c r="F761" s="10" t="str">
        <x:v>["S1-02:quote-L","S1-02:quote-R"]</x:v>
      </x:c>
      <x:c r="G761" s="10" t="n">
        <x:f>IF(E761=F761,1,0)</x:f>
        <x:v>1</x:v>
      </x:c>
    </x:row>
    <x:row r="762" ht="55" customHeight="1">
      <x:c r="A762" s="10" t="str">
        <x:v>V-R2</x:v>
      </x:c>
      <x:c r="B762" s="10" t="str">
        <x:v>VOICE</x:v>
      </x:c>
      <x:c r="C762" s="10" t="str">
        <x:v>VOICE:S1-02:input</x:v>
      </x:c>
      <x:c r="D762" s="10" t="str">
        <x:v>VOICE:S1-02:expression</x:v>
      </x:c>
      <x:c r="E762" s="10" t="str">
        <x:v>["S1-02:quote-L","S1-02:quote-R"]</x:v>
      </x:c>
      <x:c r="F762" s="10" t="str">
        <x:v>["S1-02:quote-L","S1-02:quote-R"]</x:v>
      </x:c>
      <x:c r="G762" s="10" t="n">
        <x:f>IF(E762=F762,1,0)</x:f>
        <x:v>1</x:v>
      </x:c>
    </x:row>
    <x:row r="763" ht="55" customHeight="1">
      <x:c r="A763" s="10" t="str">
        <x:v>V-R3</x:v>
      </x:c>
      <x:c r="B763" s="10" t="str">
        <x:v>VOICE</x:v>
      </x:c>
      <x:c r="C763" s="10" t="str">
        <x:v>VOICE:S1-02:input</x:v>
      </x:c>
      <x:c r="D763" s="10" t="str">
        <x:v>VOICE:S1-02:expression</x:v>
      </x:c>
      <x:c r="E763" s="10" t="str">
        <x:v>["S1-02:quote-L","S1-02:quote-R"]</x:v>
      </x:c>
      <x:c r="F763" s="10" t="str">
        <x:v>["S1-02:quote-L","S1-02:quote-R"]</x:v>
      </x:c>
      <x:c r="G763" s="10" t="n">
        <x:f>IF(E763=F763,1,0)</x:f>
        <x:v>1</x:v>
      </x:c>
    </x:row>
    <x:row r="764" ht="55" customHeight="1">
      <x:c r="A764" s="10" t="str">
        <x:v>V-A</x:v>
      </x:c>
      <x:c r="B764" s="10" t="str">
        <x:v>VOICE</x:v>
      </x:c>
      <x:c r="C764" s="10" t="str">
        <x:v>VOICE:S1-03:input</x:v>
      </x:c>
      <x:c r="D764" s="10" t="str">
        <x:v>VOICE:S1-03:expression</x:v>
      </x:c>
      <x:c r="E764" s="10" t="str">
        <x:v>["S1-03:quote-L","S1-03:quote-R"]</x:v>
      </x:c>
      <x:c r="F764" s="10" t="str">
        <x:v>["S1-03:quote-L","S1-03:quote-R"]</x:v>
      </x:c>
      <x:c r="G764" s="10" t="n">
        <x:f>IF(E764=F764,1,0)</x:f>
        <x:v>1</x:v>
      </x:c>
    </x:row>
    <x:row r="765" ht="55" customHeight="1">
      <x:c r="A765" s="10" t="str">
        <x:v>V-R1</x:v>
      </x:c>
      <x:c r="B765" s="10" t="str">
        <x:v>VOICE</x:v>
      </x:c>
      <x:c r="C765" s="10" t="str">
        <x:v>VOICE:S1-03:input</x:v>
      </x:c>
      <x:c r="D765" s="10" t="str">
        <x:v>VOICE:S1-03:expression</x:v>
      </x:c>
      <x:c r="E765" s="10" t="str">
        <x:v>["S1-03:quote-L","S1-03:quote-R"]</x:v>
      </x:c>
      <x:c r="F765" s="10" t="str">
        <x:v>["S1-03:quote-L","S1-03:quote-R"]</x:v>
      </x:c>
      <x:c r="G765" s="10" t="n">
        <x:f>IF(E765=F765,1,0)</x:f>
        <x:v>1</x:v>
      </x:c>
    </x:row>
    <x:row r="766" ht="55" customHeight="1">
      <x:c r="A766" s="10" t="str">
        <x:v>V-R2</x:v>
      </x:c>
      <x:c r="B766" s="10" t="str">
        <x:v>VOICE</x:v>
      </x:c>
      <x:c r="C766" s="10" t="str">
        <x:v>VOICE:S1-03:input</x:v>
      </x:c>
      <x:c r="D766" s="10" t="str">
        <x:v>VOICE:S1-03:expression</x:v>
      </x:c>
      <x:c r="E766" s="10" t="str">
        <x:v>["S1-03:quote-L","S1-03:quote-R"]</x:v>
      </x:c>
      <x:c r="F766" s="10" t="str">
        <x:v>["S1-03:quote-L","S1-03:quote-R"]</x:v>
      </x:c>
      <x:c r="G766" s="10" t="n">
        <x:f>IF(E766=F766,1,0)</x:f>
        <x:v>1</x:v>
      </x:c>
    </x:row>
    <x:row r="767" ht="55" customHeight="1">
      <x:c r="A767" s="10" t="str">
        <x:v>V-R3</x:v>
      </x:c>
      <x:c r="B767" s="10" t="str">
        <x:v>VOICE</x:v>
      </x:c>
      <x:c r="C767" s="10" t="str">
        <x:v>VOICE:S1-03:input</x:v>
      </x:c>
      <x:c r="D767" s="10" t="str">
        <x:v>VOICE:S1-03:expression</x:v>
      </x:c>
      <x:c r="E767" s="10" t="str">
        <x:v>["S1-03:quote-L","S1-03:quote-R"]</x:v>
      </x:c>
      <x:c r="F767" s="10" t="str">
        <x:v>["S1-03:quote-L","S1-03:quote-R"]</x:v>
      </x:c>
      <x:c r="G767" s="10" t="n">
        <x:f>IF(E767=F767,1,0)</x:f>
        <x:v>1</x:v>
      </x:c>
    </x:row>
    <x:row r="768" ht="55" customHeight="1">
      <x:c r="A768" s="10" t="str">
        <x:v>V-A</x:v>
      </x:c>
      <x:c r="B768" s="10" t="str">
        <x:v>VOICE</x:v>
      </x:c>
      <x:c r="C768" s="10" t="str">
        <x:v>VOICE:S1-04:input</x:v>
      </x:c>
      <x:c r="D768" s="10" t="str">
        <x:v>VOICE:S1-04:expression</x:v>
      </x:c>
      <x:c r="E768" s="10" t="str">
        <x:v>["S1-04:quote-L","S1-04:quote-R"]</x:v>
      </x:c>
      <x:c r="F768" s="10" t="str">
        <x:v>["S1-04:quote-L","S1-04:quote-R"]</x:v>
      </x:c>
      <x:c r="G768" s="10" t="n">
        <x:f>IF(E768=F768,1,0)</x:f>
        <x:v>1</x:v>
      </x:c>
    </x:row>
    <x:row r="769" ht="55" customHeight="1">
      <x:c r="A769" s="10" t="str">
        <x:v>V-R1</x:v>
      </x:c>
      <x:c r="B769" s="10" t="str">
        <x:v>VOICE</x:v>
      </x:c>
      <x:c r="C769" s="10" t="str">
        <x:v>VOICE:S1-04:input</x:v>
      </x:c>
      <x:c r="D769" s="10" t="str">
        <x:v>VOICE:S1-04:expression</x:v>
      </x:c>
      <x:c r="E769" s="10" t="str">
        <x:v>["S1-04:quote-L","S1-04:quote-R"]</x:v>
      </x:c>
      <x:c r="F769" s="10" t="str">
        <x:v>["S1-04:quote-L","S1-04:quote-R"]</x:v>
      </x:c>
      <x:c r="G769" s="10" t="n">
        <x:f>IF(E769=F769,1,0)</x:f>
        <x:v>1</x:v>
      </x:c>
    </x:row>
    <x:row r="770" ht="55" customHeight="1">
      <x:c r="A770" s="10" t="str">
        <x:v>V-R2</x:v>
      </x:c>
      <x:c r="B770" s="10" t="str">
        <x:v>VOICE</x:v>
      </x:c>
      <x:c r="C770" s="10" t="str">
        <x:v>VOICE:S1-04:input</x:v>
      </x:c>
      <x:c r="D770" s="10" t="str">
        <x:v>VOICE:S1-04:expression</x:v>
      </x:c>
      <x:c r="E770" s="10" t="str">
        <x:v>["S1-04:quote-L","S1-04:quote-R"]</x:v>
      </x:c>
      <x:c r="F770" s="10" t="str">
        <x:v>["S1-04:quote-L","S1-04:quote-R"]</x:v>
      </x:c>
      <x:c r="G770" s="10" t="n">
        <x:f>IF(E770=F770,1,0)</x:f>
        <x:v>1</x:v>
      </x:c>
    </x:row>
    <x:row r="771" ht="55" customHeight="1">
      <x:c r="A771" s="10" t="str">
        <x:v>V-R3</x:v>
      </x:c>
      <x:c r="B771" s="10" t="str">
        <x:v>VOICE</x:v>
      </x:c>
      <x:c r="C771" s="10" t="str">
        <x:v>VOICE:S1-04:input</x:v>
      </x:c>
      <x:c r="D771" s="10" t="str">
        <x:v>VOICE:S1-04:expression</x:v>
      </x:c>
      <x:c r="E771" s="10" t="str">
        <x:v>["S1-04:quote-L","S1-04:quote-R"]</x:v>
      </x:c>
      <x:c r="F771" s="10" t="str">
        <x:v>["S1-04:quote-L","S1-04:quote-R"]</x:v>
      </x:c>
      <x:c r="G771" s="10" t="n">
        <x:f>IF(E771=F771,1,0)</x:f>
        <x:v>1</x:v>
      </x:c>
    </x:row>
    <x:row r="772" ht="55" customHeight="1">
      <x:c r="A772" s="10" t="str">
        <x:v>V-A</x:v>
      </x:c>
      <x:c r="B772" s="10" t="str">
        <x:v>VOICE</x:v>
      </x:c>
      <x:c r="C772" s="10" t="str">
        <x:v>VOICE:S1-05:input</x:v>
      </x:c>
      <x:c r="D772" s="10" t="str">
        <x:v>VOICE:S1-05:expression</x:v>
      </x:c>
      <x:c r="E772" s="10" t="str">
        <x:v>["S1-05:quote-L","S1-05:quote-R"]</x:v>
      </x:c>
      <x:c r="F772" s="10" t="str">
        <x:v>["S1-05:quote-L","S1-05:quote-R"]</x:v>
      </x:c>
      <x:c r="G772" s="10" t="n">
        <x:f>IF(E772=F772,1,0)</x:f>
        <x:v>1</x:v>
      </x:c>
    </x:row>
    <x:row r="773" ht="55" customHeight="1">
      <x:c r="A773" s="10" t="str">
        <x:v>V-R1</x:v>
      </x:c>
      <x:c r="B773" s="10" t="str">
        <x:v>VOICE</x:v>
      </x:c>
      <x:c r="C773" s="10" t="str">
        <x:v>VOICE:S1-05:input</x:v>
      </x:c>
      <x:c r="D773" s="10" t="str">
        <x:v>VOICE:S1-05:expression</x:v>
      </x:c>
      <x:c r="E773" s="10" t="str">
        <x:v>["S1-05:quote-L","S1-05:quote-R"]</x:v>
      </x:c>
      <x:c r="F773" s="10" t="str">
        <x:v>["S1-05:quote-L","S1-05:quote-R"]</x:v>
      </x:c>
      <x:c r="G773" s="10" t="n">
        <x:f>IF(E773=F773,1,0)</x:f>
        <x:v>1</x:v>
      </x:c>
    </x:row>
    <x:row r="774" ht="55" customHeight="1">
      <x:c r="A774" s="10" t="str">
        <x:v>V-R2</x:v>
      </x:c>
      <x:c r="B774" s="10" t="str">
        <x:v>VOICE</x:v>
      </x:c>
      <x:c r="C774" s="10" t="str">
        <x:v>VOICE:S1-05:input</x:v>
      </x:c>
      <x:c r="D774" s="10" t="str">
        <x:v>VOICE:S1-05:expression</x:v>
      </x:c>
      <x:c r="E774" s="10" t="str">
        <x:v>["S1-05:quote-L","S1-05:quote-R"]</x:v>
      </x:c>
      <x:c r="F774" s="10" t="str">
        <x:v>["S1-05:quote-L","S1-05:quote-R"]</x:v>
      </x:c>
      <x:c r="G774" s="10" t="n">
        <x:f>IF(E774=F774,1,0)</x:f>
        <x:v>1</x:v>
      </x:c>
    </x:row>
    <x:row r="775" ht="55" customHeight="1">
      <x:c r="A775" s="10" t="str">
        <x:v>V-R3</x:v>
      </x:c>
      <x:c r="B775" s="10" t="str">
        <x:v>VOICE</x:v>
      </x:c>
      <x:c r="C775" s="10" t="str">
        <x:v>VOICE:S1-05:input</x:v>
      </x:c>
      <x:c r="D775" s="10" t="str">
        <x:v>VOICE:S1-05:expression</x:v>
      </x:c>
      <x:c r="E775" s="10" t="str">
        <x:v>["S1-05:quote-L","S1-05:quote-R"]</x:v>
      </x:c>
      <x:c r="F775" s="10" t="str">
        <x:v>["S1-05:quote-L","S1-05:quote-R"]</x:v>
      </x:c>
      <x:c r="G775" s="10" t="n">
        <x:f>IF(E775=F775,1,0)</x:f>
        <x:v>1</x:v>
      </x:c>
    </x:row>
    <x:row r="776" ht="55" customHeight="1">
      <x:c r="A776" s="10" t="str">
        <x:v>V-A</x:v>
      </x:c>
      <x:c r="B776" s="10" t="str">
        <x:v>VOICE</x:v>
      </x:c>
      <x:c r="C776" s="10" t="str">
        <x:v>VOICE:S1-06:input</x:v>
      </x:c>
      <x:c r="D776" s="10" t="str">
        <x:v>VOICE:S1-06:expression</x:v>
      </x:c>
      <x:c r="E776" s="10" t="str">
        <x:v>["S1-06:quote-L","S1-06:quote-R"]</x:v>
      </x:c>
      <x:c r="F776" s="10" t="str">
        <x:v>["S1-06:quote-L","S1-06:quote-R"]</x:v>
      </x:c>
      <x:c r="G776" s="10" t="n">
        <x:f>IF(E776=F776,1,0)</x:f>
        <x:v>1</x:v>
      </x:c>
    </x:row>
    <x:row r="777" ht="55" customHeight="1">
      <x:c r="A777" s="10" t="str">
        <x:v>V-R1</x:v>
      </x:c>
      <x:c r="B777" s="10" t="str">
        <x:v>VOICE</x:v>
      </x:c>
      <x:c r="C777" s="10" t="str">
        <x:v>VOICE:S1-06:input</x:v>
      </x:c>
      <x:c r="D777" s="10" t="str">
        <x:v>VOICE:S1-06:expression</x:v>
      </x:c>
      <x:c r="E777" s="10" t="str">
        <x:v>["S1-06:quote-L","S1-06:quote-R"]</x:v>
      </x:c>
      <x:c r="F777" s="10" t="str">
        <x:v>["S1-06:quote-L","S1-06:quote-R"]</x:v>
      </x:c>
      <x:c r="G777" s="10" t="n">
        <x:f>IF(E777=F777,1,0)</x:f>
        <x:v>1</x:v>
      </x:c>
    </x:row>
    <x:row r="778" ht="55" customHeight="1">
      <x:c r="A778" s="10" t="str">
        <x:v>V-R2</x:v>
      </x:c>
      <x:c r="B778" s="10" t="str">
        <x:v>VOICE</x:v>
      </x:c>
      <x:c r="C778" s="10" t="str">
        <x:v>VOICE:S1-06:input</x:v>
      </x:c>
      <x:c r="D778" s="10" t="str">
        <x:v>VOICE:S1-06:expression</x:v>
      </x:c>
      <x:c r="E778" s="10" t="str">
        <x:v>["S1-06:quote-L","S1-06:quote-R"]</x:v>
      </x:c>
      <x:c r="F778" s="10" t="str">
        <x:v>["S1-06:quote-L","S1-06:quote-R"]</x:v>
      </x:c>
      <x:c r="G778" s="10" t="n">
        <x:f>IF(E778=F778,1,0)</x:f>
        <x:v>1</x:v>
      </x:c>
    </x:row>
    <x:row r="779" ht="55" customHeight="1">
      <x:c r="A779" s="10" t="str">
        <x:v>V-R3</x:v>
      </x:c>
      <x:c r="B779" s="10" t="str">
        <x:v>VOICE</x:v>
      </x:c>
      <x:c r="C779" s="10" t="str">
        <x:v>VOICE:S1-06:input</x:v>
      </x:c>
      <x:c r="D779" s="10" t="str">
        <x:v>VOICE:S1-06:expression</x:v>
      </x:c>
      <x:c r="E779" s="10" t="str">
        <x:v>["S1-06:quote-L","S1-06:quote-R"]</x:v>
      </x:c>
      <x:c r="F779" s="10" t="str">
        <x:v>["S1-06:quote-L","S1-06:quote-R"]</x:v>
      </x:c>
      <x:c r="G779" s="10" t="n">
        <x:f>IF(E779=F779,1,0)</x:f>
        <x:v>1</x:v>
      </x:c>
    </x:row>
    <x:row r="780" ht="55" customHeight="1">
      <x:c r="A780" s="10" t="str">
        <x:v>V-A</x:v>
      </x:c>
      <x:c r="B780" s="10" t="str">
        <x:v>VOICE</x:v>
      </x:c>
      <x:c r="C780" s="10" t="str">
        <x:v>VOICE:S1-07:input</x:v>
      </x:c>
      <x:c r="D780" s="10" t="str">
        <x:v>VOICE:S1-07:expression</x:v>
      </x:c>
      <x:c r="E780" s="10" t="str">
        <x:v>["S1-07:quote-L","S1-07:quote-R"]</x:v>
      </x:c>
      <x:c r="F780" s="10" t="str">
        <x:v>["S1-07:quote-L","S1-07:quote-R"]</x:v>
      </x:c>
      <x:c r="G780" s="10" t="n">
        <x:f>IF(E780=F780,1,0)</x:f>
        <x:v>1</x:v>
      </x:c>
    </x:row>
    <x:row r="781" ht="55" customHeight="1">
      <x:c r="A781" s="10" t="str">
        <x:v>V-R1</x:v>
      </x:c>
      <x:c r="B781" s="10" t="str">
        <x:v>VOICE</x:v>
      </x:c>
      <x:c r="C781" s="10" t="str">
        <x:v>VOICE:S1-07:input</x:v>
      </x:c>
      <x:c r="D781" s="10" t="str">
        <x:v>VOICE:S1-07:expression</x:v>
      </x:c>
      <x:c r="E781" s="10" t="str">
        <x:v>["S1-07:quote-L","S1-07:quote-R"]</x:v>
      </x:c>
      <x:c r="F781" s="10" t="str">
        <x:v>["S1-07:quote-L","S1-07:quote-R"]</x:v>
      </x:c>
      <x:c r="G781" s="10" t="n">
        <x:f>IF(E781=F781,1,0)</x:f>
        <x:v>1</x:v>
      </x:c>
    </x:row>
    <x:row r="782" ht="55" customHeight="1">
      <x:c r="A782" s="10" t="str">
        <x:v>V-R2</x:v>
      </x:c>
      <x:c r="B782" s="10" t="str">
        <x:v>VOICE</x:v>
      </x:c>
      <x:c r="C782" s="10" t="str">
        <x:v>VOICE:S1-07:input</x:v>
      </x:c>
      <x:c r="D782" s="10" t="str">
        <x:v>VOICE:S1-07:expression</x:v>
      </x:c>
      <x:c r="E782" s="10" t="str">
        <x:v>["S1-07:quote-L","S1-07:quote-R"]</x:v>
      </x:c>
      <x:c r="F782" s="10" t="str">
        <x:v>["S1-07:quote-L","S1-07:quote-R"]</x:v>
      </x:c>
      <x:c r="G782" s="10" t="n">
        <x:f>IF(E782=F782,1,0)</x:f>
        <x:v>1</x:v>
      </x:c>
    </x:row>
    <x:row r="783" ht="55" customHeight="1">
      <x:c r="A783" s="10" t="str">
        <x:v>V-R3</x:v>
      </x:c>
      <x:c r="B783" s="10" t="str">
        <x:v>VOICE</x:v>
      </x:c>
      <x:c r="C783" s="10" t="str">
        <x:v>VOICE:S1-07:input</x:v>
      </x:c>
      <x:c r="D783" s="10" t="str">
        <x:v>VOICE:S1-07:expression</x:v>
      </x:c>
      <x:c r="E783" s="10" t="str">
        <x:v>["S1-07:quote-L","S1-07:quote-R"]</x:v>
      </x:c>
      <x:c r="F783" s="10" t="str">
        <x:v>["S1-07:quote-L","S1-07:quote-R"]</x:v>
      </x:c>
      <x:c r="G783" s="10" t="n">
        <x:f>IF(E783=F783,1,0)</x:f>
        <x:v>1</x:v>
      </x:c>
    </x:row>
    <x:row r="784" ht="55" customHeight="1">
      <x:c r="A784" s="10" t="str">
        <x:v>V-A</x:v>
      </x:c>
      <x:c r="B784" s="10" t="str">
        <x:v>VOICE</x:v>
      </x:c>
      <x:c r="C784" s="10" t="str">
        <x:v>VOICE:S1-08:input</x:v>
      </x:c>
      <x:c r="D784" s="10" t="str">
        <x:v>VOICE:S1-08:expression</x:v>
      </x:c>
      <x:c r="E784" s="10" t="str">
        <x:v>["S1-08:quote-L","S1-08:quote-R"]</x:v>
      </x:c>
      <x:c r="F784" s="10" t="str">
        <x:v>["S1-08:quote-L","S1-08:quote-R"]</x:v>
      </x:c>
      <x:c r="G784" s="10" t="n">
        <x:f>IF(E784=F784,1,0)</x:f>
        <x:v>1</x:v>
      </x:c>
    </x:row>
    <x:row r="785" ht="55" customHeight="1">
      <x:c r="A785" s="10" t="str">
        <x:v>V-R1</x:v>
      </x:c>
      <x:c r="B785" s="10" t="str">
        <x:v>VOICE</x:v>
      </x:c>
      <x:c r="C785" s="10" t="str">
        <x:v>VOICE:S1-08:input</x:v>
      </x:c>
      <x:c r="D785" s="10" t="str">
        <x:v>VOICE:S1-08:expression</x:v>
      </x:c>
      <x:c r="E785" s="10" t="str">
        <x:v>["S1-08:quote-L","S1-08:quote-R"]</x:v>
      </x:c>
      <x:c r="F785" s="10" t="str">
        <x:v>["S1-08:quote-L","S1-08:quote-R"]</x:v>
      </x:c>
      <x:c r="G785" s="10" t="n">
        <x:f>IF(E785=F785,1,0)</x:f>
        <x:v>1</x:v>
      </x:c>
    </x:row>
    <x:row r="786" ht="55" customHeight="1">
      <x:c r="A786" s="10" t="str">
        <x:v>V-R2</x:v>
      </x:c>
      <x:c r="B786" s="10" t="str">
        <x:v>VOICE</x:v>
      </x:c>
      <x:c r="C786" s="10" t="str">
        <x:v>VOICE:S1-08:input</x:v>
      </x:c>
      <x:c r="D786" s="10" t="str">
        <x:v>VOICE:S1-08:expression</x:v>
      </x:c>
      <x:c r="E786" s="10" t="str">
        <x:v>["S1-08:quote-L","S1-08:quote-R"]</x:v>
      </x:c>
      <x:c r="F786" s="10" t="str">
        <x:v>["S1-08:quote-L","S1-08:quote-R"]</x:v>
      </x:c>
      <x:c r="G786" s="10" t="n">
        <x:f>IF(E786=F786,1,0)</x:f>
        <x:v>1</x:v>
      </x:c>
    </x:row>
    <x:row r="787" ht="55" customHeight="1">
      <x:c r="A787" s="10" t="str">
        <x:v>V-R3</x:v>
      </x:c>
      <x:c r="B787" s="10" t="str">
        <x:v>VOICE</x:v>
      </x:c>
      <x:c r="C787" s="10" t="str">
        <x:v>VOICE:S1-08:input</x:v>
      </x:c>
      <x:c r="D787" s="10" t="str">
        <x:v>VOICE:S1-08:expression</x:v>
      </x:c>
      <x:c r="E787" s="10" t="str">
        <x:v>["S1-08:quote-L","S1-08:quote-R"]</x:v>
      </x:c>
      <x:c r="F787" s="10" t="str">
        <x:v>["S1-08:quote-L","S1-08:quote-R"]</x:v>
      </x:c>
      <x:c r="G787" s="10" t="n">
        <x:f>IF(E787=F787,1,0)</x:f>
        <x:v>1</x:v>
      </x:c>
    </x:row>
    <x:row r="788" ht="55" customHeight="1">
      <x:c r="A788" s="10" t="str">
        <x:v>V-A</x:v>
      </x:c>
      <x:c r="B788" s="10" t="str">
        <x:v>VOICE</x:v>
      </x:c>
      <x:c r="C788" s="10" t="str">
        <x:v>VOICE:S1-09:input</x:v>
      </x:c>
      <x:c r="D788" s="10" t="str">
        <x:v>VOICE:S1-09:expression</x:v>
      </x:c>
      <x:c r="E788" s="10" t="str">
        <x:v>["S1-09:quote-L","S1-09:quote-R"]</x:v>
      </x:c>
      <x:c r="F788" s="10" t="str">
        <x:v>["S1-09:quote-L","S1-09:quote-R"]</x:v>
      </x:c>
      <x:c r="G788" s="10" t="n">
        <x:f>IF(E788=F788,1,0)</x:f>
        <x:v>1</x:v>
      </x:c>
    </x:row>
    <x:row r="789" ht="55" customHeight="1">
      <x:c r="A789" s="10" t="str">
        <x:v>V-R1</x:v>
      </x:c>
      <x:c r="B789" s="10" t="str">
        <x:v>VOICE</x:v>
      </x:c>
      <x:c r="C789" s="10" t="str">
        <x:v>VOICE:S1-09:input</x:v>
      </x:c>
      <x:c r="D789" s="10" t="str">
        <x:v>VOICE:S1-09:expression</x:v>
      </x:c>
      <x:c r="E789" s="10" t="str">
        <x:v>["S1-09:quote-L","S1-09:quote-R"]</x:v>
      </x:c>
      <x:c r="F789" s="10" t="str">
        <x:v>["S1-09:quote-L","S1-09:quote-R"]</x:v>
      </x:c>
      <x:c r="G789" s="10" t="n">
        <x:f>IF(E789=F789,1,0)</x:f>
        <x:v>1</x:v>
      </x:c>
    </x:row>
    <x:row r="790" ht="55" customHeight="1">
      <x:c r="A790" s="10" t="str">
        <x:v>V-R2</x:v>
      </x:c>
      <x:c r="B790" s="10" t="str">
        <x:v>VOICE</x:v>
      </x:c>
      <x:c r="C790" s="10" t="str">
        <x:v>VOICE:S1-09:input</x:v>
      </x:c>
      <x:c r="D790" s="10" t="str">
        <x:v>VOICE:S1-09:expression</x:v>
      </x:c>
      <x:c r="E790" s="10" t="str">
        <x:v>["S1-09:quote-L","S1-09:quote-R"]</x:v>
      </x:c>
      <x:c r="F790" s="10" t="str">
        <x:v>["S1-09:quote-L","S1-09:quote-R"]</x:v>
      </x:c>
      <x:c r="G790" s="10" t="n">
        <x:f>IF(E790=F790,1,0)</x:f>
        <x:v>1</x:v>
      </x:c>
    </x:row>
    <x:row r="791" ht="55" customHeight="1">
      <x:c r="A791" s="10" t="str">
        <x:v>V-R3</x:v>
      </x:c>
      <x:c r="B791" s="10" t="str">
        <x:v>VOICE</x:v>
      </x:c>
      <x:c r="C791" s="10" t="str">
        <x:v>VOICE:S1-09:input</x:v>
      </x:c>
      <x:c r="D791" s="10" t="str">
        <x:v>VOICE:S1-09:expression</x:v>
      </x:c>
      <x:c r="E791" s="10" t="str">
        <x:v>["S1-09:quote-L","S1-09:quote-R"]</x:v>
      </x:c>
      <x:c r="F791" s="10" t="str">
        <x:v>["S1-09:quote-L","S1-09:quote-R"]</x:v>
      </x:c>
      <x:c r="G791" s="10" t="n">
        <x:f>IF(E791=F791,1,0)</x:f>
        <x:v>1</x:v>
      </x:c>
    </x:row>
    <x:row r="792" ht="55" customHeight="1">
      <x:c r="A792" s="10" t="str">
        <x:v>V-A</x:v>
      </x:c>
      <x:c r="B792" s="10" t="str">
        <x:v>VOICE</x:v>
      </x:c>
      <x:c r="C792" s="10" t="str">
        <x:v>VOICE:S1-10:input</x:v>
      </x:c>
      <x:c r="D792" s="10" t="str">
        <x:v>VOICE:S1-10:expression</x:v>
      </x:c>
      <x:c r="E792" s="10" t="str">
        <x:v>["S1-10:quote-L","S1-10:quote-R"]</x:v>
      </x:c>
      <x:c r="F792" s="10" t="str">
        <x:v>["S1-10:quote-L","S1-10:quote-R"]</x:v>
      </x:c>
      <x:c r="G792" s="10" t="n">
        <x:f>IF(E792=F792,1,0)</x:f>
        <x:v>1</x:v>
      </x:c>
    </x:row>
    <x:row r="793" ht="55" customHeight="1">
      <x:c r="A793" s="10" t="str">
        <x:v>V-R1</x:v>
      </x:c>
      <x:c r="B793" s="10" t="str">
        <x:v>VOICE</x:v>
      </x:c>
      <x:c r="C793" s="10" t="str">
        <x:v>VOICE:S1-10:input</x:v>
      </x:c>
      <x:c r="D793" s="10" t="str">
        <x:v>VOICE:S1-10:expression</x:v>
      </x:c>
      <x:c r="E793" s="10" t="str">
        <x:v>["S1-10:quote-L","S1-10:quote-R"]</x:v>
      </x:c>
      <x:c r="F793" s="10" t="str">
        <x:v>["S1-10:quote-L","S1-10:quote-R"]</x:v>
      </x:c>
      <x:c r="G793" s="10" t="n">
        <x:f>IF(E793=F793,1,0)</x:f>
        <x:v>1</x:v>
      </x:c>
    </x:row>
    <x:row r="794" ht="55" customHeight="1">
      <x:c r="A794" s="10" t="str">
        <x:v>V-R2</x:v>
      </x:c>
      <x:c r="B794" s="10" t="str">
        <x:v>VOICE</x:v>
      </x:c>
      <x:c r="C794" s="10" t="str">
        <x:v>VOICE:S1-10:input</x:v>
      </x:c>
      <x:c r="D794" s="10" t="str">
        <x:v>VOICE:S1-10:expression</x:v>
      </x:c>
      <x:c r="E794" s="10" t="str">
        <x:v>["S1-10:quote-L","S1-10:quote-R"]</x:v>
      </x:c>
      <x:c r="F794" s="10" t="str">
        <x:v>["S1-10:quote-L","S1-10:quote-R"]</x:v>
      </x:c>
      <x:c r="G794" s="10" t="n">
        <x:f>IF(E794=F794,1,0)</x:f>
        <x:v>1</x:v>
      </x:c>
    </x:row>
    <x:row r="795" ht="55" customHeight="1">
      <x:c r="A795" s="10" t="str">
        <x:v>V-R3</x:v>
      </x:c>
      <x:c r="B795" s="10" t="str">
        <x:v>VOICE</x:v>
      </x:c>
      <x:c r="C795" s="10" t="str">
        <x:v>VOICE:S1-10:input</x:v>
      </x:c>
      <x:c r="D795" s="10" t="str">
        <x:v>VOICE:S1-10:expression</x:v>
      </x:c>
      <x:c r="E795" s="10" t="str">
        <x:v>["S1-10:quote-L","S1-10:quote-R"]</x:v>
      </x:c>
      <x:c r="F795" s="10" t="str">
        <x:v>["S1-10:quote-L","S1-10:quote-R"]</x:v>
      </x:c>
      <x:c r="G795" s="10" t="n">
        <x:f>IF(E795=F795,1,0)</x:f>
        <x:v>1</x:v>
      </x:c>
    </x:row>
    <x:row r="796" ht="55" customHeight="1">
      <x:c r="A796" s="10" t="str">
        <x:v>V-A</x:v>
      </x:c>
      <x:c r="B796" s="10" t="str">
        <x:v>VOICE</x:v>
      </x:c>
      <x:c r="C796" s="10" t="str">
        <x:v>VOICE:S1-11:input</x:v>
      </x:c>
      <x:c r="D796" s="10" t="str">
        <x:v>VOICE:S1-11:expression</x:v>
      </x:c>
      <x:c r="E796" s="10" t="str">
        <x:v>["S1-11:quote-L","S1-11:quote-R"]</x:v>
      </x:c>
      <x:c r="F796" s="10" t="str">
        <x:v>["S1-11:quote-L","S1-11:quote-R"]</x:v>
      </x:c>
      <x:c r="G796" s="10" t="n">
        <x:f>IF(E796=F796,1,0)</x:f>
        <x:v>1</x:v>
      </x:c>
    </x:row>
    <x:row r="797" ht="55" customHeight="1">
      <x:c r="A797" s="10" t="str">
        <x:v>V-R1</x:v>
      </x:c>
      <x:c r="B797" s="10" t="str">
        <x:v>VOICE</x:v>
      </x:c>
      <x:c r="C797" s="10" t="str">
        <x:v>VOICE:S1-11:input</x:v>
      </x:c>
      <x:c r="D797" s="10" t="str">
        <x:v>VOICE:S1-11:expression</x:v>
      </x:c>
      <x:c r="E797" s="10" t="str">
        <x:v>["S1-11:quote-L","S1-11:quote-R"]</x:v>
      </x:c>
      <x:c r="F797" s="10" t="str">
        <x:v>["S1-11:quote-L","S1-11:quote-R"]</x:v>
      </x:c>
      <x:c r="G797" s="10" t="n">
        <x:f>IF(E797=F797,1,0)</x:f>
        <x:v>1</x:v>
      </x:c>
    </x:row>
    <x:row r="798" ht="55" customHeight="1">
      <x:c r="A798" s="10" t="str">
        <x:v>V-R2</x:v>
      </x:c>
      <x:c r="B798" s="10" t="str">
        <x:v>VOICE</x:v>
      </x:c>
      <x:c r="C798" s="10" t="str">
        <x:v>VOICE:S1-11:input</x:v>
      </x:c>
      <x:c r="D798" s="10" t="str">
        <x:v>VOICE:S1-11:expression</x:v>
      </x:c>
      <x:c r="E798" s="10" t="str">
        <x:v>["S1-11:quote-L","S1-11:quote-R"]</x:v>
      </x:c>
      <x:c r="F798" s="10" t="str">
        <x:v>["S1-11:quote-L","S1-11:quote-R"]</x:v>
      </x:c>
      <x:c r="G798" s="10" t="n">
        <x:f>IF(E798=F798,1,0)</x:f>
        <x:v>1</x:v>
      </x:c>
    </x:row>
    <x:row r="799" ht="55" customHeight="1">
      <x:c r="A799" s="10" t="str">
        <x:v>V-R3</x:v>
      </x:c>
      <x:c r="B799" s="10" t="str">
        <x:v>VOICE</x:v>
      </x:c>
      <x:c r="C799" s="10" t="str">
        <x:v>VOICE:S1-11:input</x:v>
      </x:c>
      <x:c r="D799" s="10" t="str">
        <x:v>VOICE:S1-11:expression</x:v>
      </x:c>
      <x:c r="E799" s="10" t="str">
        <x:v>["S1-11:quote-L","S1-11:quote-R"]</x:v>
      </x:c>
      <x:c r="F799" s="10" t="str">
        <x:v>["S1-11:quote-L","S1-11:quote-R"]</x:v>
      </x:c>
      <x:c r="G799" s="10" t="n">
        <x:f>IF(E799=F799,1,0)</x:f>
        <x:v>1</x:v>
      </x:c>
    </x:row>
    <x:row r="800" ht="55" customHeight="1">
      <x:c r="A800" s="10" t="str">
        <x:v>V-A</x:v>
      </x:c>
      <x:c r="B800" s="10" t="str">
        <x:v>VOICE</x:v>
      </x:c>
      <x:c r="C800" s="10" t="str">
        <x:v>VOICE:S1-12:input</x:v>
      </x:c>
      <x:c r="D800" s="10" t="str">
        <x:v>VOICE:S1-12:expression</x:v>
      </x:c>
      <x:c r="E800" s="10" t="str">
        <x:v>["S1-12:quote-L","S1-12:quote-R"]</x:v>
      </x:c>
      <x:c r="F800" s="10" t="str">
        <x:v>["S1-12:quote-L","S1-12:quote-R"]</x:v>
      </x:c>
      <x:c r="G800" s="10" t="n">
        <x:f>IF(E800=F800,1,0)</x:f>
        <x:v>1</x:v>
      </x:c>
    </x:row>
    <x:row r="801" ht="55" customHeight="1">
      <x:c r="A801" s="10" t="str">
        <x:v>V-R1</x:v>
      </x:c>
      <x:c r="B801" s="10" t="str">
        <x:v>VOICE</x:v>
      </x:c>
      <x:c r="C801" s="10" t="str">
        <x:v>VOICE:S1-12:input</x:v>
      </x:c>
      <x:c r="D801" s="10" t="str">
        <x:v>VOICE:S1-12:expression</x:v>
      </x:c>
      <x:c r="E801" s="10" t="str">
        <x:v>["S1-12:quote-L","S1-12:quote-R"]</x:v>
      </x:c>
      <x:c r="F801" s="10" t="str">
        <x:v>["S1-12:quote-L","S1-12:quote-R"]</x:v>
      </x:c>
      <x:c r="G801" s="10" t="n">
        <x:f>IF(E801=F801,1,0)</x:f>
        <x:v>1</x:v>
      </x:c>
    </x:row>
    <x:row r="802" ht="55" customHeight="1">
      <x:c r="A802" s="10" t="str">
        <x:v>V-R2</x:v>
      </x:c>
      <x:c r="B802" s="10" t="str">
        <x:v>VOICE</x:v>
      </x:c>
      <x:c r="C802" s="10" t="str">
        <x:v>VOICE:S1-12:input</x:v>
      </x:c>
      <x:c r="D802" s="10" t="str">
        <x:v>VOICE:S1-12:expression</x:v>
      </x:c>
      <x:c r="E802" s="10" t="str">
        <x:v>["S1-12:quote-L","S1-12:quote-R"]</x:v>
      </x:c>
      <x:c r="F802" s="10" t="str">
        <x:v>["S1-12:quote-L","S1-12:quote-R"]</x:v>
      </x:c>
      <x:c r="G802" s="10" t="n">
        <x:f>IF(E802=F802,1,0)</x:f>
        <x:v>1</x:v>
      </x:c>
    </x:row>
    <x:row r="803" ht="55" customHeight="1">
      <x:c r="A803" s="10" t="str">
        <x:v>V-R3</x:v>
      </x:c>
      <x:c r="B803" s="10" t="str">
        <x:v>VOICE</x:v>
      </x:c>
      <x:c r="C803" s="10" t="str">
        <x:v>VOICE:S1-12:input</x:v>
      </x:c>
      <x:c r="D803" s="10" t="str">
        <x:v>VOICE:S1-12:expression</x:v>
      </x:c>
      <x:c r="E803" s="10" t="str">
        <x:v>["S1-12:quote-L","S1-12:quote-R"]</x:v>
      </x:c>
      <x:c r="F803" s="10" t="str">
        <x:v>["S1-12:quote-L","S1-12:quote-R"]</x:v>
      </x:c>
      <x:c r="G803" s="10" t="n">
        <x:f>IF(E803=F803,1,0)</x:f>
        <x:v>1</x:v>
      </x:c>
    </x:row>
    <x:row r="804" ht="55" customHeight="1">
      <x:c r="A804" s="10" t="str">
        <x:v>V-A</x:v>
      </x:c>
      <x:c r="B804" s="10" t="str">
        <x:v>VOICE</x:v>
      </x:c>
      <x:c r="C804" s="10" t="str">
        <x:v>VOICE:S1-13:input</x:v>
      </x:c>
      <x:c r="D804" s="10" t="str">
        <x:v>VOICE:S1-13:expression</x:v>
      </x:c>
      <x:c r="E804" s="10" t="str">
        <x:v>["S1-13:quote-L","S1-13:quote-R"]</x:v>
      </x:c>
      <x:c r="F804" s="10" t="str">
        <x:v>["S1-13:quote-L","S1-13:quote-R"]</x:v>
      </x:c>
      <x:c r="G804" s="10" t="n">
        <x:f>IF(E804=F804,1,0)</x:f>
        <x:v>1</x:v>
      </x:c>
    </x:row>
    <x:row r="805" ht="55" customHeight="1">
      <x:c r="A805" s="10" t="str">
        <x:v>V-R1</x:v>
      </x:c>
      <x:c r="B805" s="10" t="str">
        <x:v>VOICE</x:v>
      </x:c>
      <x:c r="C805" s="10" t="str">
        <x:v>VOICE:S1-13:input</x:v>
      </x:c>
      <x:c r="D805" s="10" t="str">
        <x:v>VOICE:S1-13:expression</x:v>
      </x:c>
      <x:c r="E805" s="10" t="str">
        <x:v>["S1-13:quote-L","S1-13:quote-R"]</x:v>
      </x:c>
      <x:c r="F805" s="10" t="str">
        <x:v>["S1-13:quote-L","S1-13:quote-R"]</x:v>
      </x:c>
      <x:c r="G805" s="10" t="n">
        <x:f>IF(E805=F805,1,0)</x:f>
        <x:v>1</x:v>
      </x:c>
    </x:row>
    <x:row r="806" ht="55" customHeight="1">
      <x:c r="A806" s="10" t="str">
        <x:v>V-R2</x:v>
      </x:c>
      <x:c r="B806" s="10" t="str">
        <x:v>VOICE</x:v>
      </x:c>
      <x:c r="C806" s="10" t="str">
        <x:v>VOICE:S1-13:input</x:v>
      </x:c>
      <x:c r="D806" s="10" t="str">
        <x:v>VOICE:S1-13:expression</x:v>
      </x:c>
      <x:c r="E806" s="10" t="str">
        <x:v>["S1-13:quote-L","S1-13:quote-R"]</x:v>
      </x:c>
      <x:c r="F806" s="10" t="str">
        <x:v>["S1-13:quote-L","S1-13:quote-R"]</x:v>
      </x:c>
      <x:c r="G806" s="10" t="n">
        <x:f>IF(E806=F806,1,0)</x:f>
        <x:v>1</x:v>
      </x:c>
    </x:row>
    <x:row r="807" ht="55" customHeight="1">
      <x:c r="A807" s="10" t="str">
        <x:v>V-R3</x:v>
      </x:c>
      <x:c r="B807" s="10" t="str">
        <x:v>VOICE</x:v>
      </x:c>
      <x:c r="C807" s="10" t="str">
        <x:v>VOICE:S1-13:input</x:v>
      </x:c>
      <x:c r="D807" s="10" t="str">
        <x:v>VOICE:S1-13:expression</x:v>
      </x:c>
      <x:c r="E807" s="10" t="str">
        <x:v>["S1-13:quote-L","S1-13:quote-R"]</x:v>
      </x:c>
      <x:c r="F807" s="10" t="str">
        <x:v>["S1-13:quote-L","S1-13:quote-R"]</x:v>
      </x:c>
      <x:c r="G807" s="10" t="n">
        <x:f>IF(E807=F807,1,0)</x:f>
        <x:v>1</x:v>
      </x:c>
    </x:row>
    <x:row r="808" ht="55" customHeight="1">
      <x:c r="A808" s="10" t="str">
        <x:v>V-A</x:v>
      </x:c>
      <x:c r="B808" s="10" t="str">
        <x:v>VOICE</x:v>
      </x:c>
      <x:c r="C808" s="10" t="str">
        <x:v>VOICE:S1-14:input</x:v>
      </x:c>
      <x:c r="D808" s="10" t="str">
        <x:v>VOICE:S1-14:expression</x:v>
      </x:c>
      <x:c r="E808" s="10" t="str">
        <x:v>["S1-14:quote-L","S1-14:quote-R"]</x:v>
      </x:c>
      <x:c r="F808" s="10" t="str">
        <x:v>["S1-14:quote-L","S1-14:quote-R"]</x:v>
      </x:c>
      <x:c r="G808" s="10" t="n">
        <x:f>IF(E808=F808,1,0)</x:f>
        <x:v>1</x:v>
      </x:c>
    </x:row>
    <x:row r="809" ht="55" customHeight="1">
      <x:c r="A809" s="10" t="str">
        <x:v>V-R1</x:v>
      </x:c>
      <x:c r="B809" s="10" t="str">
        <x:v>VOICE</x:v>
      </x:c>
      <x:c r="C809" s="10" t="str">
        <x:v>VOICE:S1-14:input</x:v>
      </x:c>
      <x:c r="D809" s="10" t="str">
        <x:v>VOICE:S1-14:expression</x:v>
      </x:c>
      <x:c r="E809" s="10" t="str">
        <x:v>["S1-14:quote-L","S1-14:quote-R"]</x:v>
      </x:c>
      <x:c r="F809" s="10" t="str">
        <x:v>["S1-14:quote-L","S1-14:quote-R"]</x:v>
      </x:c>
      <x:c r="G809" s="10" t="n">
        <x:f>IF(E809=F809,1,0)</x:f>
        <x:v>1</x:v>
      </x:c>
    </x:row>
    <x:row r="810" ht="55" customHeight="1">
      <x:c r="A810" s="10" t="str">
        <x:v>V-R2</x:v>
      </x:c>
      <x:c r="B810" s="10" t="str">
        <x:v>VOICE</x:v>
      </x:c>
      <x:c r="C810" s="10" t="str">
        <x:v>VOICE:S1-14:input</x:v>
      </x:c>
      <x:c r="D810" s="10" t="str">
        <x:v>VOICE:S1-14:expression</x:v>
      </x:c>
      <x:c r="E810" s="10" t="str">
        <x:v>["S1-14:quote-L","S1-14:quote-R"]</x:v>
      </x:c>
      <x:c r="F810" s="10" t="str">
        <x:v>["S1-14:quote-L","S1-14:quote-R"]</x:v>
      </x:c>
      <x:c r="G810" s="10" t="n">
        <x:f>IF(E810=F810,1,0)</x:f>
        <x:v>1</x:v>
      </x:c>
    </x:row>
    <x:row r="811" ht="55" customHeight="1">
      <x:c r="A811" s="10" t="str">
        <x:v>V-R3</x:v>
      </x:c>
      <x:c r="B811" s="10" t="str">
        <x:v>VOICE</x:v>
      </x:c>
      <x:c r="C811" s="10" t="str">
        <x:v>VOICE:S1-14:input</x:v>
      </x:c>
      <x:c r="D811" s="10" t="str">
        <x:v>VOICE:S1-14:expression</x:v>
      </x:c>
      <x:c r="E811" s="10" t="str">
        <x:v>["S1-14:quote-L","S1-14:quote-R"]</x:v>
      </x:c>
      <x:c r="F811" s="10" t="str">
        <x:v>["S1-14:quote-L","S1-14:quote-R"]</x:v>
      </x:c>
      <x:c r="G811" s="10" t="n">
        <x:f>IF(E811=F811,1,0)</x:f>
        <x:v>1</x:v>
      </x:c>
    </x:row>
    <x:row r="812" ht="55" customHeight="1">
      <x:c r="A812" s="10" t="str">
        <x:v>V-A</x:v>
      </x:c>
      <x:c r="B812" s="10" t="str">
        <x:v>VOICE</x:v>
      </x:c>
      <x:c r="C812" s="10" t="str">
        <x:v>VOICE:S1-15:input</x:v>
      </x:c>
      <x:c r="D812" s="10" t="str">
        <x:v>VOICE:S1-15:expression</x:v>
      </x:c>
      <x:c r="E812" s="10" t="str">
        <x:v>["S1-15:quote-L","S1-15:quote-R"]</x:v>
      </x:c>
      <x:c r="F812" s="10" t="str">
        <x:v>["S1-15:quote-L","S1-15:quote-R"]</x:v>
      </x:c>
      <x:c r="G812" s="10" t="n">
        <x:f>IF(E812=F812,1,0)</x:f>
        <x:v>1</x:v>
      </x:c>
    </x:row>
    <x:row r="813" ht="55" customHeight="1">
      <x:c r="A813" s="10" t="str">
        <x:v>V-R1</x:v>
      </x:c>
      <x:c r="B813" s="10" t="str">
        <x:v>VOICE</x:v>
      </x:c>
      <x:c r="C813" s="10" t="str">
        <x:v>VOICE:S1-15:input</x:v>
      </x:c>
      <x:c r="D813" s="10" t="str">
        <x:v>VOICE:S1-15:expression</x:v>
      </x:c>
      <x:c r="E813" s="10" t="str">
        <x:v>["S1-15:quote-L","S1-15:quote-R"]</x:v>
      </x:c>
      <x:c r="F813" s="10" t="str">
        <x:v>["S1-15:quote-L","S1-15:quote-R"]</x:v>
      </x:c>
      <x:c r="G813" s="10" t="n">
        <x:f>IF(E813=F813,1,0)</x:f>
        <x:v>1</x:v>
      </x:c>
    </x:row>
    <x:row r="814" ht="55" customHeight="1">
      <x:c r="A814" s="10" t="str">
        <x:v>V-R2</x:v>
      </x:c>
      <x:c r="B814" s="10" t="str">
        <x:v>VOICE</x:v>
      </x:c>
      <x:c r="C814" s="10" t="str">
        <x:v>VOICE:S1-15:input</x:v>
      </x:c>
      <x:c r="D814" s="10" t="str">
        <x:v>VOICE:S1-15:expression</x:v>
      </x:c>
      <x:c r="E814" s="10" t="str">
        <x:v>["S1-15:quote-L","S1-15:quote-R"]</x:v>
      </x:c>
      <x:c r="F814" s="10" t="str">
        <x:v>["S1-15:quote-L","S1-15:quote-R"]</x:v>
      </x:c>
      <x:c r="G814" s="10" t="n">
        <x:f>IF(E814=F814,1,0)</x:f>
        <x:v>1</x:v>
      </x:c>
    </x:row>
    <x:row r="815" ht="55" customHeight="1">
      <x:c r="A815" s="10" t="str">
        <x:v>V-R3</x:v>
      </x:c>
      <x:c r="B815" s="10" t="str">
        <x:v>VOICE</x:v>
      </x:c>
      <x:c r="C815" s="10" t="str">
        <x:v>VOICE:S1-15:input</x:v>
      </x:c>
      <x:c r="D815" s="10" t="str">
        <x:v>VOICE:S1-15:expression</x:v>
      </x:c>
      <x:c r="E815" s="10" t="str">
        <x:v>["S1-15:quote-L","S1-15:quote-R"]</x:v>
      </x:c>
      <x:c r="F815" s="10" t="str">
        <x:v>["S1-15:quote-L","S1-15:quote-R"]</x:v>
      </x:c>
      <x:c r="G815" s="10" t="n">
        <x:f>IF(E815=F815,1,0)</x:f>
        <x:v>1</x:v>
      </x:c>
    </x:row>
    <x:row r="816" ht="55" customHeight="1">
      <x:c r="A816" s="10" t="str">
        <x:v>V-A</x:v>
      </x:c>
      <x:c r="B816" s="10" t="str">
        <x:v>VOICE</x:v>
      </x:c>
      <x:c r="C816" s="10" t="str">
        <x:v>VOICE:S1-16:input</x:v>
      </x:c>
      <x:c r="D816" s="10" t="str">
        <x:v>VOICE:S1-16:expression</x:v>
      </x:c>
      <x:c r="E816" s="10" t="str">
        <x:v>["S1-16:quote-L","S1-16:quote-R"]</x:v>
      </x:c>
      <x:c r="F816" s="10" t="str">
        <x:v>["S1-16:quote-L","S1-16:quote-R"]</x:v>
      </x:c>
      <x:c r="G816" s="10" t="n">
        <x:f>IF(E816=F816,1,0)</x:f>
        <x:v>1</x:v>
      </x:c>
    </x:row>
    <x:row r="817" ht="55" customHeight="1">
      <x:c r="A817" s="10" t="str">
        <x:v>V-R1</x:v>
      </x:c>
      <x:c r="B817" s="10" t="str">
        <x:v>VOICE</x:v>
      </x:c>
      <x:c r="C817" s="10" t="str">
        <x:v>VOICE:S1-16:input</x:v>
      </x:c>
      <x:c r="D817" s="10" t="str">
        <x:v>VOICE:S1-16:expression</x:v>
      </x:c>
      <x:c r="E817" s="10" t="str">
        <x:v>["S1-16:quote-L","S1-16:quote-R"]</x:v>
      </x:c>
      <x:c r="F817" s="10" t="str">
        <x:v>["S1-16:quote-L","S1-16:quote-R"]</x:v>
      </x:c>
      <x:c r="G817" s="10" t="n">
        <x:f>IF(E817=F817,1,0)</x:f>
        <x:v>1</x:v>
      </x:c>
    </x:row>
    <x:row r="818" ht="55" customHeight="1">
      <x:c r="A818" s="10" t="str">
        <x:v>V-R2</x:v>
      </x:c>
      <x:c r="B818" s="10" t="str">
        <x:v>VOICE</x:v>
      </x:c>
      <x:c r="C818" s="10" t="str">
        <x:v>VOICE:S1-16:input</x:v>
      </x:c>
      <x:c r="D818" s="10" t="str">
        <x:v>VOICE:S1-16:expression</x:v>
      </x:c>
      <x:c r="E818" s="10" t="str">
        <x:v>["S1-16:quote-L","S1-16:quote-R"]</x:v>
      </x:c>
      <x:c r="F818" s="10" t="str">
        <x:v>["S1-16:quote-L","S1-16:quote-R"]</x:v>
      </x:c>
      <x:c r="G818" s="10" t="n">
        <x:f>IF(E818=F818,1,0)</x:f>
        <x:v>1</x:v>
      </x:c>
    </x:row>
    <x:row r="819" ht="55" customHeight="1">
      <x:c r="A819" s="10" t="str">
        <x:v>V-R3</x:v>
      </x:c>
      <x:c r="B819" s="10" t="str">
        <x:v>VOICE</x:v>
      </x:c>
      <x:c r="C819" s="10" t="str">
        <x:v>VOICE:S1-16:input</x:v>
      </x:c>
      <x:c r="D819" s="10" t="str">
        <x:v>VOICE:S1-16:expression</x:v>
      </x:c>
      <x:c r="E819" s="10" t="str">
        <x:v>["S1-16:quote-L","S1-16:quote-R"]</x:v>
      </x:c>
      <x:c r="F819" s="10" t="str">
        <x:v>["S1-16:quote-L","S1-16:quote-R"]</x:v>
      </x:c>
      <x:c r="G819" s="10" t="n">
        <x:f>IF(E819=F819,1,0)</x:f>
        <x:v>1</x:v>
      </x:c>
    </x:row>
    <x:row r="820" ht="55" customHeight="1">
      <x:c r="A820" s="10" t="str">
        <x:v>V-A</x:v>
      </x:c>
      <x:c r="B820" s="10" t="str">
        <x:v>VOICE</x:v>
      </x:c>
      <x:c r="C820" s="10" t="str">
        <x:v>VOICE:S1-17:input</x:v>
      </x:c>
      <x:c r="D820" s="10" t="str">
        <x:v>VOICE:S1-17:expression</x:v>
      </x:c>
      <x:c r="E820" s="10" t="str">
        <x:v>["S1-17:quote-L","S1-17:quote-R"]</x:v>
      </x:c>
      <x:c r="F820" s="10" t="str">
        <x:v>["S1-17:quote-L","S1-17:quote-R"]</x:v>
      </x:c>
      <x:c r="G820" s="10" t="n">
        <x:f>IF(E820=F820,1,0)</x:f>
        <x:v>1</x:v>
      </x:c>
    </x:row>
    <x:row r="821" ht="55" customHeight="1">
      <x:c r="A821" s="10" t="str">
        <x:v>V-R1</x:v>
      </x:c>
      <x:c r="B821" s="10" t="str">
        <x:v>VOICE</x:v>
      </x:c>
      <x:c r="C821" s="10" t="str">
        <x:v>VOICE:S1-17:input</x:v>
      </x:c>
      <x:c r="D821" s="10" t="str">
        <x:v>VOICE:S1-17:expression</x:v>
      </x:c>
      <x:c r="E821" s="10" t="str">
        <x:v>["S1-17:quote-L","S1-17:quote-R"]</x:v>
      </x:c>
      <x:c r="F821" s="10" t="str">
        <x:v>["S1-17:quote-L","S1-17:quote-R"]</x:v>
      </x:c>
      <x:c r="G821" s="10" t="n">
        <x:f>IF(E821=F821,1,0)</x:f>
        <x:v>1</x:v>
      </x:c>
    </x:row>
    <x:row r="822" ht="55" customHeight="1">
      <x:c r="A822" s="10" t="str">
        <x:v>V-R2</x:v>
      </x:c>
      <x:c r="B822" s="10" t="str">
        <x:v>VOICE</x:v>
      </x:c>
      <x:c r="C822" s="10" t="str">
        <x:v>VOICE:S1-17:input</x:v>
      </x:c>
      <x:c r="D822" s="10" t="str">
        <x:v>VOICE:S1-17:expression</x:v>
      </x:c>
      <x:c r="E822" s="10" t="str">
        <x:v>["S1-17:quote-L","S1-17:quote-R"]</x:v>
      </x:c>
      <x:c r="F822" s="10" t="str">
        <x:v>["S1-17:quote-L","S1-17:quote-R"]</x:v>
      </x:c>
      <x:c r="G822" s="10" t="n">
        <x:f>IF(E822=F822,1,0)</x:f>
        <x:v>1</x:v>
      </x:c>
    </x:row>
    <x:row r="823" ht="55" customHeight="1">
      <x:c r="A823" s="10" t="str">
        <x:v>V-R3</x:v>
      </x:c>
      <x:c r="B823" s="10" t="str">
        <x:v>VOICE</x:v>
      </x:c>
      <x:c r="C823" s="10" t="str">
        <x:v>VOICE:S1-17:input</x:v>
      </x:c>
      <x:c r="D823" s="10" t="str">
        <x:v>VOICE:S1-17:expression</x:v>
      </x:c>
      <x:c r="E823" s="10" t="str">
        <x:v>["S1-17:quote-L","S1-17:quote-R"]</x:v>
      </x:c>
      <x:c r="F823" s="10" t="str">
        <x:v>["S1-17:quote-L","S1-17:quote-R"]</x:v>
      </x:c>
      <x:c r="G823" s="10" t="n">
        <x:f>IF(E823=F823,1,0)</x:f>
        <x:v>1</x:v>
      </x:c>
    </x:row>
    <x:row r="824" ht="55" customHeight="1">
      <x:c r="A824" s="10" t="str">
        <x:v>V-A</x:v>
      </x:c>
      <x:c r="B824" s="10" t="str">
        <x:v>VOICE</x:v>
      </x:c>
      <x:c r="C824" s="10" t="str">
        <x:v>VOICE:S1-18:input</x:v>
      </x:c>
      <x:c r="D824" s="10" t="str">
        <x:v>VOICE:S1-18:expression</x:v>
      </x:c>
      <x:c r="E824" s="10" t="str">
        <x:v>["S1-18:quote-L","S1-18:quote-R"]</x:v>
      </x:c>
      <x:c r="F824" s="10" t="str">
        <x:v>["S1-18:quote-L","S1-18:quote-R"]</x:v>
      </x:c>
      <x:c r="G824" s="10" t="n">
        <x:f>IF(E824=F824,1,0)</x:f>
        <x:v>1</x:v>
      </x:c>
    </x:row>
    <x:row r="825" ht="55" customHeight="1">
      <x:c r="A825" s="10" t="str">
        <x:v>V-R1</x:v>
      </x:c>
      <x:c r="B825" s="10" t="str">
        <x:v>VOICE</x:v>
      </x:c>
      <x:c r="C825" s="10" t="str">
        <x:v>VOICE:S1-18:input</x:v>
      </x:c>
      <x:c r="D825" s="10" t="str">
        <x:v>VOICE:S1-18:expression</x:v>
      </x:c>
      <x:c r="E825" s="10" t="str">
        <x:v>["S1-18:quote-L","S1-18:quote-R"]</x:v>
      </x:c>
      <x:c r="F825" s="10" t="str">
        <x:v>["S1-18:quote-L","S1-18:quote-R"]</x:v>
      </x:c>
      <x:c r="G825" s="10" t="n">
        <x:f>IF(E825=F825,1,0)</x:f>
        <x:v>1</x:v>
      </x:c>
    </x:row>
    <x:row r="826" ht="55" customHeight="1">
      <x:c r="A826" s="10" t="str">
        <x:v>V-R2</x:v>
      </x:c>
      <x:c r="B826" s="10" t="str">
        <x:v>VOICE</x:v>
      </x:c>
      <x:c r="C826" s="10" t="str">
        <x:v>VOICE:S1-18:input</x:v>
      </x:c>
      <x:c r="D826" s="10" t="str">
        <x:v>VOICE:S1-18:expression</x:v>
      </x:c>
      <x:c r="E826" s="10" t="str">
        <x:v>["S1-18:quote-L","S1-18:quote-R"]</x:v>
      </x:c>
      <x:c r="F826" s="10" t="str">
        <x:v>["S1-18:quote-L","S1-18:quote-R"]</x:v>
      </x:c>
      <x:c r="G826" s="10" t="n">
        <x:f>IF(E826=F826,1,0)</x:f>
        <x:v>1</x:v>
      </x:c>
    </x:row>
    <x:row r="827" ht="55" customHeight="1">
      <x:c r="A827" s="10" t="str">
        <x:v>V-R3</x:v>
      </x:c>
      <x:c r="B827" s="10" t="str">
        <x:v>VOICE</x:v>
      </x:c>
      <x:c r="C827" s="10" t="str">
        <x:v>VOICE:S1-18:input</x:v>
      </x:c>
      <x:c r="D827" s="10" t="str">
        <x:v>VOICE:S1-18:expression</x:v>
      </x:c>
      <x:c r="E827" s="10" t="str">
        <x:v>["S1-18:quote-L","S1-18:quote-R"]</x:v>
      </x:c>
      <x:c r="F827" s="10" t="str">
        <x:v>["S1-18:quote-L","S1-18:quote-R"]</x:v>
      </x:c>
      <x:c r="G827" s="10" t="n">
        <x:f>IF(E827=F827,1,0)</x:f>
        <x:v>1</x:v>
      </x:c>
    </x:row>
    <x:row r="828" ht="55" customHeight="1">
      <x:c r="A828" s="10" t="str">
        <x:v>V-A</x:v>
      </x:c>
      <x:c r="B828" s="10" t="str">
        <x:v>VOICE</x:v>
      </x:c>
      <x:c r="C828" s="10" t="str">
        <x:v>VOICE:S1-19:input</x:v>
      </x:c>
      <x:c r="D828" s="10" t="str">
        <x:v>VOICE:S1-19:expression</x:v>
      </x:c>
      <x:c r="E828" s="10" t="str">
        <x:v>["S1-19:quote-L","S1-19:quote-R"]</x:v>
      </x:c>
      <x:c r="F828" s="10" t="str">
        <x:v>["S1-19:quote-L","S1-19:quote-R"]</x:v>
      </x:c>
      <x:c r="G828" s="10" t="n">
        <x:f>IF(E828=F828,1,0)</x:f>
        <x:v>1</x:v>
      </x:c>
    </x:row>
    <x:row r="829" ht="55" customHeight="1">
      <x:c r="A829" s="10" t="str">
        <x:v>V-R1</x:v>
      </x:c>
      <x:c r="B829" s="10" t="str">
        <x:v>VOICE</x:v>
      </x:c>
      <x:c r="C829" s="10" t="str">
        <x:v>VOICE:S1-19:input</x:v>
      </x:c>
      <x:c r="D829" s="10" t="str">
        <x:v>VOICE:S1-19:expression</x:v>
      </x:c>
      <x:c r="E829" s="10" t="str">
        <x:v>["S1-19:quote-L","S1-19:quote-R"]</x:v>
      </x:c>
      <x:c r="F829" s="10" t="str">
        <x:v>["S1-19:quote-L","S1-19:quote-R"]</x:v>
      </x:c>
      <x:c r="G829" s="10" t="n">
        <x:f>IF(E829=F829,1,0)</x:f>
        <x:v>1</x:v>
      </x:c>
    </x:row>
    <x:row r="830" ht="55" customHeight="1">
      <x:c r="A830" s="10" t="str">
        <x:v>V-R2</x:v>
      </x:c>
      <x:c r="B830" s="10" t="str">
        <x:v>VOICE</x:v>
      </x:c>
      <x:c r="C830" s="10" t="str">
        <x:v>VOICE:S1-19:input</x:v>
      </x:c>
      <x:c r="D830" s="10" t="str">
        <x:v>VOICE:S1-19:expression</x:v>
      </x:c>
      <x:c r="E830" s="10" t="str">
        <x:v>["S1-19:quote-L","S1-19:quote-R"]</x:v>
      </x:c>
      <x:c r="F830" s="10" t="str">
        <x:v>["S1-19:quote-L","S1-19:quote-R"]</x:v>
      </x:c>
      <x:c r="G830" s="10" t="n">
        <x:f>IF(E830=F830,1,0)</x:f>
        <x:v>1</x:v>
      </x:c>
    </x:row>
    <x:row r="831" ht="55" customHeight="1">
      <x:c r="A831" s="10" t="str">
        <x:v>V-R3</x:v>
      </x:c>
      <x:c r="B831" s="10" t="str">
        <x:v>VOICE</x:v>
      </x:c>
      <x:c r="C831" s="10" t="str">
        <x:v>VOICE:S1-19:input</x:v>
      </x:c>
      <x:c r="D831" s="10" t="str">
        <x:v>VOICE:S1-19:expression</x:v>
      </x:c>
      <x:c r="E831" s="10" t="str">
        <x:v>["S1-19:quote-L","S1-19:quote-R"]</x:v>
      </x:c>
      <x:c r="F831" s="10" t="str">
        <x:v>["S1-19:quote-L","S1-19:quote-R"]</x:v>
      </x:c>
      <x:c r="G831" s="10" t="n">
        <x:f>IF(E831=F831,1,0)</x:f>
        <x:v>1</x:v>
      </x:c>
    </x:row>
    <x:row r="832" ht="55" customHeight="1">
      <x:c r="A832" s="10" t="str">
        <x:v>V-A</x:v>
      </x:c>
      <x:c r="B832" s="10" t="str">
        <x:v>VOICE</x:v>
      </x:c>
      <x:c r="C832" s="10" t="str">
        <x:v>VOICE:S1-20:input</x:v>
      </x:c>
      <x:c r="D832" s="10" t="str">
        <x:v>VOICE:S1-20:expression</x:v>
      </x:c>
      <x:c r="E832" s="10" t="str">
        <x:v>["S1-20:quote-L","S1-20:quote-R"]</x:v>
      </x:c>
      <x:c r="F832" s="10" t="str">
        <x:v>["S1-20:quote-L","S1-20:quote-R"]</x:v>
      </x:c>
      <x:c r="G832" s="10" t="n">
        <x:f>IF(E832=F832,1,0)</x:f>
        <x:v>1</x:v>
      </x:c>
    </x:row>
    <x:row r="833" ht="55" customHeight="1">
      <x:c r="A833" s="10" t="str">
        <x:v>V-R1</x:v>
      </x:c>
      <x:c r="B833" s="10" t="str">
        <x:v>VOICE</x:v>
      </x:c>
      <x:c r="C833" s="10" t="str">
        <x:v>VOICE:S1-20:input</x:v>
      </x:c>
      <x:c r="D833" s="10" t="str">
        <x:v>VOICE:S1-20:expression</x:v>
      </x:c>
      <x:c r="E833" s="10" t="str">
        <x:v>["S1-20:quote-L","S1-20:quote-R"]</x:v>
      </x:c>
      <x:c r="F833" s="10" t="str">
        <x:v>["S1-20:quote-L","S1-20:quote-R"]</x:v>
      </x:c>
      <x:c r="G833" s="10" t="n">
        <x:f>IF(E833=F833,1,0)</x:f>
        <x:v>1</x:v>
      </x:c>
    </x:row>
    <x:row r="834" ht="55" customHeight="1">
      <x:c r="A834" s="10" t="str">
        <x:v>V-R2</x:v>
      </x:c>
      <x:c r="B834" s="10" t="str">
        <x:v>VOICE</x:v>
      </x:c>
      <x:c r="C834" s="10" t="str">
        <x:v>VOICE:S1-20:input</x:v>
      </x:c>
      <x:c r="D834" s="10" t="str">
        <x:v>VOICE:S1-20:expression</x:v>
      </x:c>
      <x:c r="E834" s="10" t="str">
        <x:v>["S1-20:quote-L","S1-20:quote-R"]</x:v>
      </x:c>
      <x:c r="F834" s="10" t="str">
        <x:v>["S1-20:quote-L","S1-20:quote-R"]</x:v>
      </x:c>
      <x:c r="G834" s="10" t="n">
        <x:f>IF(E834=F834,1,0)</x:f>
        <x:v>1</x:v>
      </x:c>
    </x:row>
    <x:row r="835" ht="55" customHeight="1">
      <x:c r="A835" s="10" t="str">
        <x:v>V-R3</x:v>
      </x:c>
      <x:c r="B835" s="10" t="str">
        <x:v>VOICE</x:v>
      </x:c>
      <x:c r="C835" s="10" t="str">
        <x:v>VOICE:S1-20:input</x:v>
      </x:c>
      <x:c r="D835" s="10" t="str">
        <x:v>VOICE:S1-20:expression</x:v>
      </x:c>
      <x:c r="E835" s="10" t="str">
        <x:v>["S1-20:quote-L","S1-20:quote-R"]</x:v>
      </x:c>
      <x:c r="F835" s="10" t="str">
        <x:v>["S1-20:quote-L","S1-20:quote-R"]</x:v>
      </x:c>
      <x:c r="G835" s="10" t="n">
        <x:f>IF(E835=F835,1,0)</x:f>
        <x:v>1</x:v>
      </x:c>
    </x:row>
    <x:row r="836" ht="55" customHeight="1">
      <x:c r="A836" s="10" t="str">
        <x:v>V-A</x:v>
      </x:c>
      <x:c r="B836" s="10" t="str">
        <x:v>VOICE</x:v>
      </x:c>
      <x:c r="C836" s="10" t="str">
        <x:v>VOICE:S2-01:input</x:v>
      </x:c>
      <x:c r="D836" s="10" t="str">
        <x:v>VOICE:S2-01:expression</x:v>
      </x:c>
      <x:c r="E836" s="10" t="str">
        <x:v>["S2-01:quote-L","S2-01:quote-R"]</x:v>
      </x:c>
      <x:c r="F836" s="10" t="str">
        <x:v>["S2-01:quote-L","S2-01:quote-Z"]</x:v>
      </x:c>
      <x:c r="G836" s="10" t="n">
        <x:f>IF(E836=F836,1,0)</x:f>
        <x:v>0</x:v>
      </x:c>
    </x:row>
    <x:row r="837" ht="55" customHeight="1">
      <x:c r="A837" s="10" t="str">
        <x:v>V-R1</x:v>
      </x:c>
      <x:c r="B837" s="10" t="str">
        <x:v>VOICE</x:v>
      </x:c>
      <x:c r="C837" s="10" t="str">
        <x:v>VOICE:S2-01:input</x:v>
      </x:c>
      <x:c r="D837" s="10" t="str">
        <x:v>VOICE:S2-01:expression</x:v>
      </x:c>
      <x:c r="E837" s="10" t="str">
        <x:v>["S2-01:quote-L","S2-01:quote-R"]</x:v>
      </x:c>
      <x:c r="F837" s="10" t="str">
        <x:v>["S2-01:quote-L","S2-01:quote-R"]</x:v>
      </x:c>
      <x:c r="G837" s="10" t="n">
        <x:f>IF(E837=F837,1,0)</x:f>
        <x:v>1</x:v>
      </x:c>
    </x:row>
    <x:row r="838" ht="55" customHeight="1">
      <x:c r="A838" s="10" t="str">
        <x:v>V-R2</x:v>
      </x:c>
      <x:c r="B838" s="10" t="str">
        <x:v>VOICE</x:v>
      </x:c>
      <x:c r="C838" s="10" t="str">
        <x:v>VOICE:S2-01:input</x:v>
      </x:c>
      <x:c r="D838" s="10" t="str">
        <x:v>VOICE:S2-01:expression</x:v>
      </x:c>
      <x:c r="E838" s="10" t="str">
        <x:v>["S2-01:quote-L","S2-01:quote-R"]</x:v>
      </x:c>
      <x:c r="F838" s="10" t="str">
        <x:v>["S2-01:quote-L","S2-01:quote-R"]</x:v>
      </x:c>
      <x:c r="G838" s="10" t="n">
        <x:f>IF(E838=F838,1,0)</x:f>
        <x:v>1</x:v>
      </x:c>
    </x:row>
    <x:row r="839" ht="55" customHeight="1">
      <x:c r="A839" s="10" t="str">
        <x:v>V-R3</x:v>
      </x:c>
      <x:c r="B839" s="10" t="str">
        <x:v>VOICE</x:v>
      </x:c>
      <x:c r="C839" s="10" t="str">
        <x:v>VOICE:S2-01:input</x:v>
      </x:c>
      <x:c r="D839" s="10" t="str">
        <x:v>VOICE:S2-01:expression</x:v>
      </x:c>
      <x:c r="E839" s="10" t="str">
        <x:v>["S2-01:quote-L","S2-01:quote-R"]</x:v>
      </x:c>
      <x:c r="F839" s="10" t="str">
        <x:v>["S2-01:quote-L","S2-01:quote-R"]</x:v>
      </x:c>
      <x:c r="G839" s="10" t="n">
        <x:f>IF(E839=F839,1,0)</x:f>
        <x:v>1</x:v>
      </x:c>
    </x:row>
    <x:row r="840" ht="55" customHeight="1">
      <x:c r="A840" s="10" t="str">
        <x:v>V-A</x:v>
      </x:c>
      <x:c r="B840" s="10" t="str">
        <x:v>VOICE</x:v>
      </x:c>
      <x:c r="C840" s="10" t="str">
        <x:v>VOICE:S2-02:input</x:v>
      </x:c>
      <x:c r="D840" s="10" t="str">
        <x:v>VOICE:S2-02:expression</x:v>
      </x:c>
      <x:c r="E840" s="10" t="str">
        <x:v>["S2-02:quote-L","S2-02:quote-R"]</x:v>
      </x:c>
      <x:c r="F840" s="10" t="str">
        <x:v>["S2-02:quote-L","S2-02:quote-Z"]</x:v>
      </x:c>
      <x:c r="G840" s="10" t="n">
        <x:f>IF(E840=F840,1,0)</x:f>
        <x:v>0</x:v>
      </x:c>
    </x:row>
    <x:row r="841" ht="55" customHeight="1">
      <x:c r="A841" s="10" t="str">
        <x:v>V-R1</x:v>
      </x:c>
      <x:c r="B841" s="10" t="str">
        <x:v>VOICE</x:v>
      </x:c>
      <x:c r="C841" s="10" t="str">
        <x:v>VOICE:S2-02:input</x:v>
      </x:c>
      <x:c r="D841" s="10" t="str">
        <x:v>VOICE:S2-02:expression</x:v>
      </x:c>
      <x:c r="E841" s="10" t="str">
        <x:v>["S2-02:quote-L","S2-02:quote-R"]</x:v>
      </x:c>
      <x:c r="F841" s="10" t="str">
        <x:v>["S2-02:quote-L","S2-02:quote-R"]</x:v>
      </x:c>
      <x:c r="G841" s="10" t="n">
        <x:f>IF(E841=F841,1,0)</x:f>
        <x:v>1</x:v>
      </x:c>
    </x:row>
    <x:row r="842" ht="55" customHeight="1">
      <x:c r="A842" s="10" t="str">
        <x:v>V-R2</x:v>
      </x:c>
      <x:c r="B842" s="10" t="str">
        <x:v>VOICE</x:v>
      </x:c>
      <x:c r="C842" s="10" t="str">
        <x:v>VOICE:S2-02:input</x:v>
      </x:c>
      <x:c r="D842" s="10" t="str">
        <x:v>VOICE:S2-02:expression</x:v>
      </x:c>
      <x:c r="E842" s="10" t="str">
        <x:v>["S2-02:quote-L","S2-02:quote-R"]</x:v>
      </x:c>
      <x:c r="F842" s="10" t="str">
        <x:v>["S2-02:quote-L","S2-02:quote-R"]</x:v>
      </x:c>
      <x:c r="G842" s="10" t="n">
        <x:f>IF(E842=F842,1,0)</x:f>
        <x:v>1</x:v>
      </x:c>
    </x:row>
    <x:row r="843" ht="55" customHeight="1">
      <x:c r="A843" s="10" t="str">
        <x:v>V-R3</x:v>
      </x:c>
      <x:c r="B843" s="10" t="str">
        <x:v>VOICE</x:v>
      </x:c>
      <x:c r="C843" s="10" t="str">
        <x:v>VOICE:S2-02:input</x:v>
      </x:c>
      <x:c r="D843" s="10" t="str">
        <x:v>VOICE:S2-02:expression</x:v>
      </x:c>
      <x:c r="E843" s="10" t="str">
        <x:v>["S2-02:quote-L","S2-02:quote-R"]</x:v>
      </x:c>
      <x:c r="F843" s="10" t="str">
        <x:v>["S2-02:quote-L","S2-02:quote-R"]</x:v>
      </x:c>
      <x:c r="G843" s="10" t="n">
        <x:f>IF(E843=F843,1,0)</x:f>
        <x:v>1</x:v>
      </x:c>
    </x:row>
    <x:row r="844" ht="55" customHeight="1">
      <x:c r="A844" s="10" t="str">
        <x:v>V-A</x:v>
      </x:c>
      <x:c r="B844" s="10" t="str">
        <x:v>VOICE</x:v>
      </x:c>
      <x:c r="C844" s="10" t="str">
        <x:v>VOICE:S2-03:input</x:v>
      </x:c>
      <x:c r="D844" s="10" t="str">
        <x:v>VOICE:S2-03:expression</x:v>
      </x:c>
      <x:c r="E844" s="10" t="str">
        <x:v>["S2-03:quote-L","S2-03:quote-R"]</x:v>
      </x:c>
      <x:c r="F844" s="10" t="str">
        <x:v>["S2-03:quote-L","S2-03:quote-Z"]</x:v>
      </x:c>
      <x:c r="G844" s="10" t="n">
        <x:f>IF(E844=F844,1,0)</x:f>
        <x:v>0</x:v>
      </x:c>
    </x:row>
    <x:row r="845" ht="55" customHeight="1">
      <x:c r="A845" s="10" t="str">
        <x:v>V-R1</x:v>
      </x:c>
      <x:c r="B845" s="10" t="str">
        <x:v>VOICE</x:v>
      </x:c>
      <x:c r="C845" s="10" t="str">
        <x:v>VOICE:S2-03:input</x:v>
      </x:c>
      <x:c r="D845" s="10" t="str">
        <x:v>VOICE:S2-03:expression</x:v>
      </x:c>
      <x:c r="E845" s="10" t="str">
        <x:v>["S2-03:quote-L","S2-03:quote-R"]</x:v>
      </x:c>
      <x:c r="F845" s="10" t="str">
        <x:v>["S2-03:quote-L","S2-03:quote-Z"]</x:v>
      </x:c>
      <x:c r="G845" s="10" t="n">
        <x:f>IF(E845=F845,1,0)</x:f>
        <x:v>0</x:v>
      </x:c>
    </x:row>
    <x:row r="846" ht="55" customHeight="1">
      <x:c r="A846" s="10" t="str">
        <x:v>V-R2</x:v>
      </x:c>
      <x:c r="B846" s="10" t="str">
        <x:v>VOICE</x:v>
      </x:c>
      <x:c r="C846" s="10" t="str">
        <x:v>VOICE:S2-03:input</x:v>
      </x:c>
      <x:c r="D846" s="10" t="str">
        <x:v>VOICE:S2-03:expression</x:v>
      </x:c>
      <x:c r="E846" s="10" t="str">
        <x:v>["S2-03:quote-L","S2-03:quote-R"]</x:v>
      </x:c>
      <x:c r="F846" s="10" t="str">
        <x:v>["S2-03:quote-L","S2-03:quote-Z"]</x:v>
      </x:c>
      <x:c r="G846" s="10" t="n">
        <x:f>IF(E846=F846,1,0)</x:f>
        <x:v>0</x:v>
      </x:c>
    </x:row>
    <x:row r="847" ht="55" customHeight="1">
      <x:c r="A847" s="10" t="str">
        <x:v>V-R3</x:v>
      </x:c>
      <x:c r="B847" s="10" t="str">
        <x:v>VOICE</x:v>
      </x:c>
      <x:c r="C847" s="10" t="str">
        <x:v>VOICE:S2-03:input</x:v>
      </x:c>
      <x:c r="D847" s="10" t="str">
        <x:v>VOICE:S2-03:expression</x:v>
      </x:c>
      <x:c r="E847" s="10" t="str">
        <x:v>["S2-03:quote-L","S2-03:quote-R"]</x:v>
      </x:c>
      <x:c r="F847" s="10" t="str">
        <x:v>["S2-03:quote-L","S2-03:quote-Z"]</x:v>
      </x:c>
      <x:c r="G847" s="10" t="n">
        <x:f>IF(E847=F847,1,0)</x:f>
        <x:v>0</x:v>
      </x:c>
    </x:row>
    <x:row r="848" ht="55" customHeight="1">
      <x:c r="A848" s="10" t="str">
        <x:v>V-A</x:v>
      </x:c>
      <x:c r="B848" s="10" t="str">
        <x:v>VOICE</x:v>
      </x:c>
      <x:c r="C848" s="10" t="str">
        <x:v>VOICE:S2-04:input</x:v>
      </x:c>
      <x:c r="D848" s="10" t="str">
        <x:v>VOICE:S2-04:expression</x:v>
      </x:c>
      <x:c r="E848" s="10" t="str">
        <x:v>["S2-04:quote-L","S2-04:quote-R"]</x:v>
      </x:c>
      <x:c r="F848" s="10" t="str">
        <x:v>["S2-04:quote-L","S2-04:quote-R"]</x:v>
      </x:c>
      <x:c r="G848" s="10" t="n">
        <x:f>IF(E848=F848,1,0)</x:f>
        <x:v>1</x:v>
      </x:c>
    </x:row>
    <x:row r="849" ht="55" customHeight="1">
      <x:c r="A849" s="10" t="str">
        <x:v>V-R1</x:v>
      </x:c>
      <x:c r="B849" s="10" t="str">
        <x:v>VOICE</x:v>
      </x:c>
      <x:c r="C849" s="10" t="str">
        <x:v>VOICE:S2-04:input</x:v>
      </x:c>
      <x:c r="D849" s="10" t="str">
        <x:v>VOICE:S2-04:expression</x:v>
      </x:c>
      <x:c r="E849" s="10" t="str">
        <x:v>["S2-04:quote-L","S2-04:quote-R"]</x:v>
      </x:c>
      <x:c r="F849" s="10" t="str">
        <x:v>["S2-04:quote-L","S2-04:quote-R"]</x:v>
      </x:c>
      <x:c r="G849" s="10" t="n">
        <x:f>IF(E849=F849,1,0)</x:f>
        <x:v>1</x:v>
      </x:c>
    </x:row>
    <x:row r="850" ht="55" customHeight="1">
      <x:c r="A850" s="10" t="str">
        <x:v>V-R2</x:v>
      </x:c>
      <x:c r="B850" s="10" t="str">
        <x:v>VOICE</x:v>
      </x:c>
      <x:c r="C850" s="10" t="str">
        <x:v>VOICE:S2-04:input</x:v>
      </x:c>
      <x:c r="D850" s="10" t="str">
        <x:v>VOICE:S2-04:expression</x:v>
      </x:c>
      <x:c r="E850" s="10" t="str">
        <x:v>["S2-04:quote-L","S2-04:quote-R"]</x:v>
      </x:c>
      <x:c r="F850" s="10" t="str">
        <x:v>["S2-04:quote-L","S2-04:quote-R"]</x:v>
      </x:c>
      <x:c r="G850" s="10" t="n">
        <x:f>IF(E850=F850,1,0)</x:f>
        <x:v>1</x:v>
      </x:c>
    </x:row>
    <x:row r="851" ht="55" customHeight="1">
      <x:c r="A851" s="10" t="str">
        <x:v>V-R3</x:v>
      </x:c>
      <x:c r="B851" s="10" t="str">
        <x:v>VOICE</x:v>
      </x:c>
      <x:c r="C851" s="10" t="str">
        <x:v>VOICE:S2-04:input</x:v>
      </x:c>
      <x:c r="D851" s="10" t="str">
        <x:v>VOICE:S2-04:expression</x:v>
      </x:c>
      <x:c r="E851" s="10" t="str">
        <x:v>["S2-04:quote-L","S2-04:quote-R"]</x:v>
      </x:c>
      <x:c r="F851" s="10" t="str">
        <x:v>["S2-04:quote-L","S2-04:quote-R"]</x:v>
      </x:c>
      <x:c r="G851" s="10" t="n">
        <x:f>IF(E851=F851,1,0)</x:f>
        <x:v>1</x:v>
      </x:c>
    </x:row>
    <x:row r="852" ht="55" customHeight="1">
      <x:c r="A852" s="10" t="str">
        <x:v>V-A</x:v>
      </x:c>
      <x:c r="B852" s="10" t="str">
        <x:v>VOICE</x:v>
      </x:c>
      <x:c r="C852" s="10" t="str">
        <x:v>VOICE:S2-05:input</x:v>
      </x:c>
      <x:c r="D852" s="10" t="str">
        <x:v>VOICE:S2-05:expression</x:v>
      </x:c>
      <x:c r="E852" s="10" t="str">
        <x:v>["S2-05:quote-L","S2-05:quote-R"]</x:v>
      </x:c>
      <x:c r="F852" s="10" t="str">
        <x:v>["S2-05:quote-L","S2-05:quote-R"]</x:v>
      </x:c>
      <x:c r="G852" s="10" t="n">
        <x:f>IF(E852=F852,1,0)</x:f>
        <x:v>1</x:v>
      </x:c>
    </x:row>
    <x:row r="853" ht="55" customHeight="1">
      <x:c r="A853" s="10" t="str">
        <x:v>V-R1</x:v>
      </x:c>
      <x:c r="B853" s="10" t="str">
        <x:v>VOICE</x:v>
      </x:c>
      <x:c r="C853" s="10" t="str">
        <x:v>VOICE:S2-05:input</x:v>
      </x:c>
      <x:c r="D853" s="10" t="str">
        <x:v>VOICE:S2-05:expression</x:v>
      </x:c>
      <x:c r="E853" s="10" t="str">
        <x:v>["S2-05:quote-L","S2-05:quote-R"]</x:v>
      </x:c>
      <x:c r="F853" s="10" t="str">
        <x:v>["S2-05:quote-L","S2-05:quote-R"]</x:v>
      </x:c>
      <x:c r="G853" s="10" t="n">
        <x:f>IF(E853=F853,1,0)</x:f>
        <x:v>1</x:v>
      </x:c>
    </x:row>
    <x:row r="854" ht="55" customHeight="1">
      <x:c r="A854" s="10" t="str">
        <x:v>V-R2</x:v>
      </x:c>
      <x:c r="B854" s="10" t="str">
        <x:v>VOICE</x:v>
      </x:c>
      <x:c r="C854" s="10" t="str">
        <x:v>VOICE:S2-05:input</x:v>
      </x:c>
      <x:c r="D854" s="10" t="str">
        <x:v>VOICE:S2-05:expression</x:v>
      </x:c>
      <x:c r="E854" s="10" t="str">
        <x:v>["S2-05:quote-L","S2-05:quote-R"]</x:v>
      </x:c>
      <x:c r="F854" s="10" t="str">
        <x:v>["S2-05:quote-L","S2-05:quote-R"]</x:v>
      </x:c>
      <x:c r="G854" s="10" t="n">
        <x:f>IF(E854=F854,1,0)</x:f>
        <x:v>1</x:v>
      </x:c>
    </x:row>
    <x:row r="855" ht="55" customHeight="1">
      <x:c r="A855" s="10" t="str">
        <x:v>V-R3</x:v>
      </x:c>
      <x:c r="B855" s="10" t="str">
        <x:v>VOICE</x:v>
      </x:c>
      <x:c r="C855" s="10" t="str">
        <x:v>VOICE:S2-05:input</x:v>
      </x:c>
      <x:c r="D855" s="10" t="str">
        <x:v>VOICE:S2-05:expression</x:v>
      </x:c>
      <x:c r="E855" s="10" t="str">
        <x:v>["S2-05:quote-L","S2-05:quote-R"]</x:v>
      </x:c>
      <x:c r="F855" s="10" t="str">
        <x:v>["S2-05:quote-L","S2-05:quote-R"]</x:v>
      </x:c>
      <x:c r="G855" s="10" t="n">
        <x:f>IF(E855=F855,1,0)</x:f>
        <x:v>1</x:v>
      </x:c>
    </x:row>
    <x:row r="856" ht="55" customHeight="1">
      <x:c r="A856" s="10" t="str">
        <x:v>V-A</x:v>
      </x:c>
      <x:c r="B856" s="10" t="str">
        <x:v>VOICE</x:v>
      </x:c>
      <x:c r="C856" s="10" t="str">
        <x:v>VOICE:S2-06:input</x:v>
      </x:c>
      <x:c r="D856" s="10" t="str">
        <x:v>VOICE:S2-06:expression</x:v>
      </x:c>
      <x:c r="E856" s="10" t="str">
        <x:v>["S2-06:quote-L","S2-06:quote-R"]</x:v>
      </x:c>
      <x:c r="F856" s="10" t="str">
        <x:v>["S2-06:quote-L","S2-06:quote-R"]</x:v>
      </x:c>
      <x:c r="G856" s="10" t="n">
        <x:f>IF(E856=F856,1,0)</x:f>
        <x:v>1</x:v>
      </x:c>
    </x:row>
    <x:row r="857" ht="55" customHeight="1">
      <x:c r="A857" s="10" t="str">
        <x:v>V-R1</x:v>
      </x:c>
      <x:c r="B857" s="10" t="str">
        <x:v>VOICE</x:v>
      </x:c>
      <x:c r="C857" s="10" t="str">
        <x:v>VOICE:S2-06:input</x:v>
      </x:c>
      <x:c r="D857" s="10" t="str">
        <x:v>VOICE:S2-06:expression</x:v>
      </x:c>
      <x:c r="E857" s="10" t="str">
        <x:v>["S2-06:quote-L","S2-06:quote-R"]</x:v>
      </x:c>
      <x:c r="F857" s="10" t="str">
        <x:v>["S2-06:quote-L","S2-06:quote-R"]</x:v>
      </x:c>
      <x:c r="G857" s="10" t="n">
        <x:f>IF(E857=F857,1,0)</x:f>
        <x:v>1</x:v>
      </x:c>
    </x:row>
    <x:row r="858" ht="55" customHeight="1">
      <x:c r="A858" s="10" t="str">
        <x:v>V-R2</x:v>
      </x:c>
      <x:c r="B858" s="10" t="str">
        <x:v>VOICE</x:v>
      </x:c>
      <x:c r="C858" s="10" t="str">
        <x:v>VOICE:S2-06:input</x:v>
      </x:c>
      <x:c r="D858" s="10" t="str">
        <x:v>VOICE:S2-06:expression</x:v>
      </x:c>
      <x:c r="E858" s="10" t="str">
        <x:v>["S2-06:quote-L","S2-06:quote-R"]</x:v>
      </x:c>
      <x:c r="F858" s="10" t="str">
        <x:v>["S2-06:quote-L","S2-06:quote-R"]</x:v>
      </x:c>
      <x:c r="G858" s="10" t="n">
        <x:f>IF(E858=F858,1,0)</x:f>
        <x:v>1</x:v>
      </x:c>
    </x:row>
    <x:row r="859" ht="55" customHeight="1">
      <x:c r="A859" s="10" t="str">
        <x:v>V-R3</x:v>
      </x:c>
      <x:c r="B859" s="10" t="str">
        <x:v>VOICE</x:v>
      </x:c>
      <x:c r="C859" s="10" t="str">
        <x:v>VOICE:S2-06:input</x:v>
      </x:c>
      <x:c r="D859" s="10" t="str">
        <x:v>VOICE:S2-06:expression</x:v>
      </x:c>
      <x:c r="E859" s="10" t="str">
        <x:v>["S2-06:quote-L","S2-06:quote-R"]</x:v>
      </x:c>
      <x:c r="F859" s="10" t="str">
        <x:v>["S2-06:quote-L","S2-06:quote-R"]</x:v>
      </x:c>
      <x:c r="G859" s="10" t="n">
        <x:f>IF(E859=F859,1,0)</x:f>
        <x:v>1</x:v>
      </x:c>
    </x:row>
    <x:row r="860" ht="55" customHeight="1">
      <x:c r="A860" s="10" t="str">
        <x:v>V-A</x:v>
      </x:c>
      <x:c r="B860" s="10" t="str">
        <x:v>VOICE</x:v>
      </x:c>
      <x:c r="C860" s="10" t="str">
        <x:v>VOICE:S2-07:input</x:v>
      </x:c>
      <x:c r="D860" s="10" t="str">
        <x:v>VOICE:S2-07:expression</x:v>
      </x:c>
      <x:c r="E860" s="10" t="str">
        <x:v>["S2-07:quote-L","S2-07:quote-R"]</x:v>
      </x:c>
      <x:c r="F860" s="10" t="str">
        <x:v>["S2-07:quote-L","S2-07:quote-R"]</x:v>
      </x:c>
      <x:c r="G860" s="10" t="n">
        <x:f>IF(E860=F860,1,0)</x:f>
        <x:v>1</x:v>
      </x:c>
    </x:row>
    <x:row r="861" ht="55" customHeight="1">
      <x:c r="A861" s="10" t="str">
        <x:v>V-R1</x:v>
      </x:c>
      <x:c r="B861" s="10" t="str">
        <x:v>VOICE</x:v>
      </x:c>
      <x:c r="C861" s="10" t="str">
        <x:v>VOICE:S2-07:input</x:v>
      </x:c>
      <x:c r="D861" s="10" t="str">
        <x:v>VOICE:S2-07:expression</x:v>
      </x:c>
      <x:c r="E861" s="10" t="str">
        <x:v>["S2-07:quote-L","S2-07:quote-R"]</x:v>
      </x:c>
      <x:c r="F861" s="10" t="str">
        <x:v>["S2-07:quote-L","S2-07:quote-R"]</x:v>
      </x:c>
      <x:c r="G861" s="10" t="n">
        <x:f>IF(E861=F861,1,0)</x:f>
        <x:v>1</x:v>
      </x:c>
    </x:row>
    <x:row r="862" ht="55" customHeight="1">
      <x:c r="A862" s="10" t="str">
        <x:v>V-R2</x:v>
      </x:c>
      <x:c r="B862" s="10" t="str">
        <x:v>VOICE</x:v>
      </x:c>
      <x:c r="C862" s="10" t="str">
        <x:v>VOICE:S2-07:input</x:v>
      </x:c>
      <x:c r="D862" s="10" t="str">
        <x:v>VOICE:S2-07:expression</x:v>
      </x:c>
      <x:c r="E862" s="10" t="str">
        <x:v>["S2-07:quote-L","S2-07:quote-R"]</x:v>
      </x:c>
      <x:c r="F862" s="10" t="str">
        <x:v>["S2-07:quote-L","S2-07:quote-R"]</x:v>
      </x:c>
      <x:c r="G862" s="10" t="n">
        <x:f>IF(E862=F862,1,0)</x:f>
        <x:v>1</x:v>
      </x:c>
    </x:row>
    <x:row r="863" ht="55" customHeight="1">
      <x:c r="A863" s="10" t="str">
        <x:v>V-R3</x:v>
      </x:c>
      <x:c r="B863" s="10" t="str">
        <x:v>VOICE</x:v>
      </x:c>
      <x:c r="C863" s="10" t="str">
        <x:v>VOICE:S2-07:input</x:v>
      </x:c>
      <x:c r="D863" s="10" t="str">
        <x:v>VOICE:S2-07:expression</x:v>
      </x:c>
      <x:c r="E863" s="10" t="str">
        <x:v>["S2-07:quote-L","S2-07:quote-R"]</x:v>
      </x:c>
      <x:c r="F863" s="10" t="str">
        <x:v>["S2-07:quote-L","S2-07:quote-R"]</x:v>
      </x:c>
      <x:c r="G863" s="10" t="n">
        <x:f>IF(E863=F863,1,0)</x:f>
        <x:v>1</x:v>
      </x:c>
    </x:row>
    <x:row r="864" ht="55" customHeight="1">
      <x:c r="A864" s="10" t="str">
        <x:v>V-A</x:v>
      </x:c>
      <x:c r="B864" s="10" t="str">
        <x:v>VOICE</x:v>
      </x:c>
      <x:c r="C864" s="10" t="str">
        <x:v>VOICE:S2-08:input</x:v>
      </x:c>
      <x:c r="D864" s="10" t="str">
        <x:v>VOICE:S2-08:expression</x:v>
      </x:c>
      <x:c r="E864" s="10" t="str">
        <x:v>["S2-08:quote-L","S2-08:quote-R"]</x:v>
      </x:c>
      <x:c r="F864" s="10" t="str">
        <x:v>["S2-08:quote-L","S2-08:quote-R"]</x:v>
      </x:c>
      <x:c r="G864" s="10" t="n">
        <x:f>IF(E864=F864,1,0)</x:f>
        <x:v>1</x:v>
      </x:c>
    </x:row>
    <x:row r="865" ht="55" customHeight="1">
      <x:c r="A865" s="10" t="str">
        <x:v>V-R1</x:v>
      </x:c>
      <x:c r="B865" s="10" t="str">
        <x:v>VOICE</x:v>
      </x:c>
      <x:c r="C865" s="10" t="str">
        <x:v>VOICE:S2-08:input</x:v>
      </x:c>
      <x:c r="D865" s="10" t="str">
        <x:v>VOICE:S2-08:expression</x:v>
      </x:c>
      <x:c r="E865" s="10" t="str">
        <x:v>["S2-08:quote-L","S2-08:quote-R"]</x:v>
      </x:c>
      <x:c r="F865" s="10" t="str">
        <x:v>["S2-08:quote-L","S2-08:quote-R"]</x:v>
      </x:c>
      <x:c r="G865" s="10" t="n">
        <x:f>IF(E865=F865,1,0)</x:f>
        <x:v>1</x:v>
      </x:c>
    </x:row>
    <x:row r="866" ht="55" customHeight="1">
      <x:c r="A866" s="10" t="str">
        <x:v>V-R2</x:v>
      </x:c>
      <x:c r="B866" s="10" t="str">
        <x:v>VOICE</x:v>
      </x:c>
      <x:c r="C866" s="10" t="str">
        <x:v>VOICE:S2-08:input</x:v>
      </x:c>
      <x:c r="D866" s="10" t="str">
        <x:v>VOICE:S2-08:expression</x:v>
      </x:c>
      <x:c r="E866" s="10" t="str">
        <x:v>["S2-08:quote-L","S2-08:quote-R"]</x:v>
      </x:c>
      <x:c r="F866" s="10" t="str">
        <x:v>["S2-08:quote-L","S2-08:quote-R"]</x:v>
      </x:c>
      <x:c r="G866" s="10" t="n">
        <x:f>IF(E866=F866,1,0)</x:f>
        <x:v>1</x:v>
      </x:c>
    </x:row>
    <x:row r="867" ht="55" customHeight="1">
      <x:c r="A867" s="10" t="str">
        <x:v>V-R3</x:v>
      </x:c>
      <x:c r="B867" s="10" t="str">
        <x:v>VOICE</x:v>
      </x:c>
      <x:c r="C867" s="10" t="str">
        <x:v>VOICE:S2-08:input</x:v>
      </x:c>
      <x:c r="D867" s="10" t="str">
        <x:v>VOICE:S2-08:expression</x:v>
      </x:c>
      <x:c r="E867" s="10" t="str">
        <x:v>["S2-08:quote-L","S2-08:quote-R"]</x:v>
      </x:c>
      <x:c r="F867" s="10" t="str">
        <x:v>["S2-08:quote-L","S2-08:quote-R"]</x:v>
      </x:c>
      <x:c r="G867" s="10" t="n">
        <x:f>IF(E867=F867,1,0)</x:f>
        <x:v>1</x:v>
      </x:c>
    </x:row>
    <x:row r="868" ht="55" customHeight="1">
      <x:c r="A868" s="10" t="str">
        <x:v>V-A</x:v>
      </x:c>
      <x:c r="B868" s="10" t="str">
        <x:v>VOICE</x:v>
      </x:c>
      <x:c r="C868" s="10" t="str">
        <x:v>VOICE:S2-09:input</x:v>
      </x:c>
      <x:c r="D868" s="10" t="str">
        <x:v>VOICE:S2-09:expression</x:v>
      </x:c>
      <x:c r="E868" s="10" t="str">
        <x:v>["S2-09:quote-L","S2-09:quote-R"]</x:v>
      </x:c>
      <x:c r="F868" s="10" t="str">
        <x:v>["S2-09:quote-L","S2-09:quote-R"]</x:v>
      </x:c>
      <x:c r="G868" s="10" t="n">
        <x:f>IF(E868=F868,1,0)</x:f>
        <x:v>1</x:v>
      </x:c>
    </x:row>
    <x:row r="869" ht="55" customHeight="1">
      <x:c r="A869" s="10" t="str">
        <x:v>V-R1</x:v>
      </x:c>
      <x:c r="B869" s="10" t="str">
        <x:v>VOICE</x:v>
      </x:c>
      <x:c r="C869" s="10" t="str">
        <x:v>VOICE:S2-09:input</x:v>
      </x:c>
      <x:c r="D869" s="10" t="str">
        <x:v>VOICE:S2-09:expression</x:v>
      </x:c>
      <x:c r="E869" s="10" t="str">
        <x:v>["S2-09:quote-L","S2-09:quote-R"]</x:v>
      </x:c>
      <x:c r="F869" s="10" t="str">
        <x:v>["S2-09:quote-L","S2-09:quote-R"]</x:v>
      </x:c>
      <x:c r="G869" s="10" t="n">
        <x:f>IF(E869=F869,1,0)</x:f>
        <x:v>1</x:v>
      </x:c>
    </x:row>
    <x:row r="870" ht="55" customHeight="1">
      <x:c r="A870" s="10" t="str">
        <x:v>V-R2</x:v>
      </x:c>
      <x:c r="B870" s="10" t="str">
        <x:v>VOICE</x:v>
      </x:c>
      <x:c r="C870" s="10" t="str">
        <x:v>VOICE:S2-09:input</x:v>
      </x:c>
      <x:c r="D870" s="10" t="str">
        <x:v>VOICE:S2-09:expression</x:v>
      </x:c>
      <x:c r="E870" s="10" t="str">
        <x:v>["S2-09:quote-L","S2-09:quote-R"]</x:v>
      </x:c>
      <x:c r="F870" s="10" t="str">
        <x:v>["S2-09:quote-L","S2-09:quote-R"]</x:v>
      </x:c>
      <x:c r="G870" s="10" t="n">
        <x:f>IF(E870=F870,1,0)</x:f>
        <x:v>1</x:v>
      </x:c>
    </x:row>
    <x:row r="871" ht="55" customHeight="1">
      <x:c r="A871" s="10" t="str">
        <x:v>V-R3</x:v>
      </x:c>
      <x:c r="B871" s="10" t="str">
        <x:v>VOICE</x:v>
      </x:c>
      <x:c r="C871" s="10" t="str">
        <x:v>VOICE:S2-09:input</x:v>
      </x:c>
      <x:c r="D871" s="10" t="str">
        <x:v>VOICE:S2-09:expression</x:v>
      </x:c>
      <x:c r="E871" s="10" t="str">
        <x:v>["S2-09:quote-L","S2-09:quote-R"]</x:v>
      </x:c>
      <x:c r="F871" s="10" t="str">
        <x:v>["S2-09:quote-L","S2-09:quote-R"]</x:v>
      </x:c>
      <x:c r="G871" s="10" t="n">
        <x:f>IF(E871=F871,1,0)</x:f>
        <x:v>1</x:v>
      </x:c>
    </x:row>
    <x:row r="872" ht="55" customHeight="1">
      <x:c r="A872" s="10" t="str">
        <x:v>V-A</x:v>
      </x:c>
      <x:c r="B872" s="10" t="str">
        <x:v>VOICE</x:v>
      </x:c>
      <x:c r="C872" s="10" t="str">
        <x:v>VOICE:S2-10:input</x:v>
      </x:c>
      <x:c r="D872" s="10" t="str">
        <x:v>VOICE:S2-10:expression</x:v>
      </x:c>
      <x:c r="E872" s="10" t="str">
        <x:v>["S2-10:quote-L","S2-10:quote-R"]</x:v>
      </x:c>
      <x:c r="F872" s="10" t="str">
        <x:v>["S2-10:quote-L","S2-10:quote-R"]</x:v>
      </x:c>
      <x:c r="G872" s="10" t="n">
        <x:f>IF(E872=F872,1,0)</x:f>
        <x:v>1</x:v>
      </x:c>
    </x:row>
    <x:row r="873" ht="55" customHeight="1">
      <x:c r="A873" s="10" t="str">
        <x:v>V-R1</x:v>
      </x:c>
      <x:c r="B873" s="10" t="str">
        <x:v>VOICE</x:v>
      </x:c>
      <x:c r="C873" s="10" t="str">
        <x:v>VOICE:S2-10:input</x:v>
      </x:c>
      <x:c r="D873" s="10" t="str">
        <x:v>VOICE:S2-10:expression</x:v>
      </x:c>
      <x:c r="E873" s="10" t="str">
        <x:v>["S2-10:quote-L","S2-10:quote-R"]</x:v>
      </x:c>
      <x:c r="F873" s="10" t="str">
        <x:v>["S2-10:quote-L","S2-10:quote-R"]</x:v>
      </x:c>
      <x:c r="G873" s="10" t="n">
        <x:f>IF(E873=F873,1,0)</x:f>
        <x:v>1</x:v>
      </x:c>
    </x:row>
    <x:row r="874" ht="55" customHeight="1">
      <x:c r="A874" s="10" t="str">
        <x:v>V-R2</x:v>
      </x:c>
      <x:c r="B874" s="10" t="str">
        <x:v>VOICE</x:v>
      </x:c>
      <x:c r="C874" s="10" t="str">
        <x:v>VOICE:S2-10:input</x:v>
      </x:c>
      <x:c r="D874" s="10" t="str">
        <x:v>VOICE:S2-10:expression</x:v>
      </x:c>
      <x:c r="E874" s="10" t="str">
        <x:v>["S2-10:quote-L","S2-10:quote-R"]</x:v>
      </x:c>
      <x:c r="F874" s="10" t="str">
        <x:v>["S2-10:quote-L","S2-10:quote-R"]</x:v>
      </x:c>
      <x:c r="G874" s="10" t="n">
        <x:f>IF(E874=F874,1,0)</x:f>
        <x:v>1</x:v>
      </x:c>
    </x:row>
    <x:row r="875" ht="55" customHeight="1">
      <x:c r="A875" s="10" t="str">
        <x:v>V-R3</x:v>
      </x:c>
      <x:c r="B875" s="10" t="str">
        <x:v>VOICE</x:v>
      </x:c>
      <x:c r="C875" s="10" t="str">
        <x:v>VOICE:S2-10:input</x:v>
      </x:c>
      <x:c r="D875" s="10" t="str">
        <x:v>VOICE:S2-10:expression</x:v>
      </x:c>
      <x:c r="E875" s="10" t="str">
        <x:v>["S2-10:quote-L","S2-10:quote-R"]</x:v>
      </x:c>
      <x:c r="F875" s="10" t="str">
        <x:v>["S2-10:quote-L","S2-10:quote-R"]</x:v>
      </x:c>
      <x:c r="G875" s="10" t="n">
        <x:f>IF(E875=F875,1,0)</x:f>
        <x:v>1</x:v>
      </x:c>
    </x:row>
    <x:row r="876" ht="55" customHeight="1">
      <x:c r="A876" s="10" t="str">
        <x:v>V-A</x:v>
      </x:c>
      <x:c r="B876" s="10" t="str">
        <x:v>VOICE</x:v>
      </x:c>
      <x:c r="C876" s="10" t="str">
        <x:v>VOICE:S2-11:input</x:v>
      </x:c>
      <x:c r="D876" s="10" t="str">
        <x:v>VOICE:S2-11:expression</x:v>
      </x:c>
      <x:c r="E876" s="10" t="str">
        <x:v>["S2-11:quote-L","S2-11:quote-R"]</x:v>
      </x:c>
      <x:c r="F876" s="10" t="str">
        <x:v>["S2-11:quote-L","S2-11:quote-R"]</x:v>
      </x:c>
      <x:c r="G876" s="10" t="n">
        <x:f>IF(E876=F876,1,0)</x:f>
        <x:v>1</x:v>
      </x:c>
    </x:row>
    <x:row r="877" ht="55" customHeight="1">
      <x:c r="A877" s="10" t="str">
        <x:v>V-R1</x:v>
      </x:c>
      <x:c r="B877" s="10" t="str">
        <x:v>VOICE</x:v>
      </x:c>
      <x:c r="C877" s="10" t="str">
        <x:v>VOICE:S2-11:input</x:v>
      </x:c>
      <x:c r="D877" s="10" t="str">
        <x:v>VOICE:S2-11:expression</x:v>
      </x:c>
      <x:c r="E877" s="10" t="str">
        <x:v>["S2-11:quote-L","S2-11:quote-R"]</x:v>
      </x:c>
      <x:c r="F877" s="10" t="str">
        <x:v>["S2-11:quote-L","S2-11:quote-R"]</x:v>
      </x:c>
      <x:c r="G877" s="10" t="n">
        <x:f>IF(E877=F877,1,0)</x:f>
        <x:v>1</x:v>
      </x:c>
    </x:row>
    <x:row r="878" ht="55" customHeight="1">
      <x:c r="A878" s="10" t="str">
        <x:v>V-R2</x:v>
      </x:c>
      <x:c r="B878" s="10" t="str">
        <x:v>VOICE</x:v>
      </x:c>
      <x:c r="C878" s="10" t="str">
        <x:v>VOICE:S2-11:input</x:v>
      </x:c>
      <x:c r="D878" s="10" t="str">
        <x:v>VOICE:S2-11:expression</x:v>
      </x:c>
      <x:c r="E878" s="10" t="str">
        <x:v>["S2-11:quote-L","S2-11:quote-R"]</x:v>
      </x:c>
      <x:c r="F878" s="10" t="str">
        <x:v>["S2-11:quote-L","S2-11:quote-R"]</x:v>
      </x:c>
      <x:c r="G878" s="10" t="n">
        <x:f>IF(E878=F878,1,0)</x:f>
        <x:v>1</x:v>
      </x:c>
    </x:row>
    <x:row r="879" ht="55" customHeight="1">
      <x:c r="A879" s="10" t="str">
        <x:v>V-R3</x:v>
      </x:c>
      <x:c r="B879" s="10" t="str">
        <x:v>VOICE</x:v>
      </x:c>
      <x:c r="C879" s="10" t="str">
        <x:v>VOICE:S2-11:input</x:v>
      </x:c>
      <x:c r="D879" s="10" t="str">
        <x:v>VOICE:S2-11:expression</x:v>
      </x:c>
      <x:c r="E879" s="10" t="str">
        <x:v>["S2-11:quote-L","S2-11:quote-R"]</x:v>
      </x:c>
      <x:c r="F879" s="10" t="str">
        <x:v>["S2-11:quote-L","S2-11:quote-R"]</x:v>
      </x:c>
      <x:c r="G879" s="10" t="n">
        <x:f>IF(E879=F879,1,0)</x:f>
        <x:v>1</x:v>
      </x:c>
    </x:row>
    <x:row r="880" ht="55" customHeight="1">
      <x:c r="A880" s="10" t="str">
        <x:v>V-A</x:v>
      </x:c>
      <x:c r="B880" s="10" t="str">
        <x:v>VOICE</x:v>
      </x:c>
      <x:c r="C880" s="10" t="str">
        <x:v>VOICE:S2-12:input</x:v>
      </x:c>
      <x:c r="D880" s="10" t="str">
        <x:v>VOICE:S2-12:expression</x:v>
      </x:c>
      <x:c r="E880" s="10" t="str">
        <x:v>["S2-12:quote-L","S2-12:quote-R"]</x:v>
      </x:c>
      <x:c r="F880" s="10" t="str">
        <x:v>["S2-12:quote-L","S2-12:quote-R"]</x:v>
      </x:c>
      <x:c r="G880" s="10" t="n">
        <x:f>IF(E880=F880,1,0)</x:f>
        <x:v>1</x:v>
      </x:c>
    </x:row>
    <x:row r="881" ht="55" customHeight="1">
      <x:c r="A881" s="10" t="str">
        <x:v>V-R1</x:v>
      </x:c>
      <x:c r="B881" s="10" t="str">
        <x:v>VOICE</x:v>
      </x:c>
      <x:c r="C881" s="10" t="str">
        <x:v>VOICE:S2-12:input</x:v>
      </x:c>
      <x:c r="D881" s="10" t="str">
        <x:v>VOICE:S2-12:expression</x:v>
      </x:c>
      <x:c r="E881" s="10" t="str">
        <x:v>["S2-12:quote-L","S2-12:quote-R"]</x:v>
      </x:c>
      <x:c r="F881" s="10" t="str">
        <x:v>["S2-12:quote-L","S2-12:quote-R"]</x:v>
      </x:c>
      <x:c r="G881" s="10" t="n">
        <x:f>IF(E881=F881,1,0)</x:f>
        <x:v>1</x:v>
      </x:c>
    </x:row>
    <x:row r="882" ht="55" customHeight="1">
      <x:c r="A882" s="10" t="str">
        <x:v>V-R2</x:v>
      </x:c>
      <x:c r="B882" s="10" t="str">
        <x:v>VOICE</x:v>
      </x:c>
      <x:c r="C882" s="10" t="str">
        <x:v>VOICE:S2-12:input</x:v>
      </x:c>
      <x:c r="D882" s="10" t="str">
        <x:v>VOICE:S2-12:expression</x:v>
      </x:c>
      <x:c r="E882" s="10" t="str">
        <x:v>["S2-12:quote-L","S2-12:quote-R"]</x:v>
      </x:c>
      <x:c r="F882" s="10" t="str">
        <x:v>["S2-12:quote-L","S2-12:quote-R"]</x:v>
      </x:c>
      <x:c r="G882" s="10" t="n">
        <x:f>IF(E882=F882,1,0)</x:f>
        <x:v>1</x:v>
      </x:c>
    </x:row>
    <x:row r="883" ht="55" customHeight="1">
      <x:c r="A883" s="10" t="str">
        <x:v>V-R3</x:v>
      </x:c>
      <x:c r="B883" s="10" t="str">
        <x:v>VOICE</x:v>
      </x:c>
      <x:c r="C883" s="10" t="str">
        <x:v>VOICE:S2-12:input</x:v>
      </x:c>
      <x:c r="D883" s="10" t="str">
        <x:v>VOICE:S2-12:expression</x:v>
      </x:c>
      <x:c r="E883" s="10" t="str">
        <x:v>["S2-12:quote-L","S2-12:quote-R"]</x:v>
      </x:c>
      <x:c r="F883" s="10" t="str">
        <x:v>["S2-12:quote-L","S2-12:quote-R"]</x:v>
      </x:c>
      <x:c r="G883" s="10" t="n">
        <x:f>IF(E883=F883,1,0)</x:f>
        <x:v>1</x:v>
      </x:c>
    </x:row>
    <x:row r="884" ht="55" customHeight="1">
      <x:c r="A884" s="10" t="str">
        <x:v>V-A</x:v>
      </x:c>
      <x:c r="B884" s="10" t="str">
        <x:v>VOICE</x:v>
      </x:c>
      <x:c r="C884" s="10" t="str">
        <x:v>VOICE:S2-13:input</x:v>
      </x:c>
      <x:c r="D884" s="10" t="str">
        <x:v>VOICE:S2-13:expression</x:v>
      </x:c>
      <x:c r="E884" s="10" t="str">
        <x:v>["S2-13:quote-L","S2-13:quote-R"]</x:v>
      </x:c>
      <x:c r="F884" s="10" t="str">
        <x:v>["S2-13:quote-L","S2-13:quote-R"]</x:v>
      </x:c>
      <x:c r="G884" s="10" t="n">
        <x:f>IF(E884=F884,1,0)</x:f>
        <x:v>1</x:v>
      </x:c>
    </x:row>
    <x:row r="885" ht="55" customHeight="1">
      <x:c r="A885" s="10" t="str">
        <x:v>V-R1</x:v>
      </x:c>
      <x:c r="B885" s="10" t="str">
        <x:v>VOICE</x:v>
      </x:c>
      <x:c r="C885" s="10" t="str">
        <x:v>VOICE:S2-13:input</x:v>
      </x:c>
      <x:c r="D885" s="10" t="str">
        <x:v>VOICE:S2-13:expression</x:v>
      </x:c>
      <x:c r="E885" s="10" t="str">
        <x:v>["S2-13:quote-L","S2-13:quote-R"]</x:v>
      </x:c>
      <x:c r="F885" s="10" t="str">
        <x:v>["S2-13:quote-L","S2-13:quote-R"]</x:v>
      </x:c>
      <x:c r="G885" s="10" t="n">
        <x:f>IF(E885=F885,1,0)</x:f>
        <x:v>1</x:v>
      </x:c>
    </x:row>
    <x:row r="886" ht="55" customHeight="1">
      <x:c r="A886" s="10" t="str">
        <x:v>V-R2</x:v>
      </x:c>
      <x:c r="B886" s="10" t="str">
        <x:v>VOICE</x:v>
      </x:c>
      <x:c r="C886" s="10" t="str">
        <x:v>VOICE:S2-13:input</x:v>
      </x:c>
      <x:c r="D886" s="10" t="str">
        <x:v>VOICE:S2-13:expression</x:v>
      </x:c>
      <x:c r="E886" s="10" t="str">
        <x:v>["S2-13:quote-L","S2-13:quote-R"]</x:v>
      </x:c>
      <x:c r="F886" s="10" t="str">
        <x:v>["S2-13:quote-L","S2-13:quote-R"]</x:v>
      </x:c>
      <x:c r="G886" s="10" t="n">
        <x:f>IF(E886=F886,1,0)</x:f>
        <x:v>1</x:v>
      </x:c>
    </x:row>
    <x:row r="887" ht="55" customHeight="1">
      <x:c r="A887" s="10" t="str">
        <x:v>V-R3</x:v>
      </x:c>
      <x:c r="B887" s="10" t="str">
        <x:v>VOICE</x:v>
      </x:c>
      <x:c r="C887" s="10" t="str">
        <x:v>VOICE:S2-13:input</x:v>
      </x:c>
      <x:c r="D887" s="10" t="str">
        <x:v>VOICE:S2-13:expression</x:v>
      </x:c>
      <x:c r="E887" s="10" t="str">
        <x:v>["S2-13:quote-L","S2-13:quote-R"]</x:v>
      </x:c>
      <x:c r="F887" s="10" t="str">
        <x:v>["S2-13:quote-L","S2-13:quote-R"]</x:v>
      </x:c>
      <x:c r="G887" s="10" t="n">
        <x:f>IF(E887=F887,1,0)</x:f>
        <x:v>1</x:v>
      </x:c>
    </x:row>
    <x:row r="888" ht="55" customHeight="1">
      <x:c r="A888" s="10" t="str">
        <x:v>V-A</x:v>
      </x:c>
      <x:c r="B888" s="10" t="str">
        <x:v>VOICE</x:v>
      </x:c>
      <x:c r="C888" s="10" t="str">
        <x:v>VOICE:S2-14:input</x:v>
      </x:c>
      <x:c r="D888" s="10" t="str">
        <x:v>VOICE:S2-14:expression</x:v>
      </x:c>
      <x:c r="E888" s="10" t="str">
        <x:v>["S2-14:quote-L","S2-14:quote-R"]</x:v>
      </x:c>
      <x:c r="F888" s="10" t="str">
        <x:v>["S2-14:quote-L","S2-14:quote-R"]</x:v>
      </x:c>
      <x:c r="G888" s="10" t="n">
        <x:f>IF(E888=F888,1,0)</x:f>
        <x:v>1</x:v>
      </x:c>
    </x:row>
    <x:row r="889" ht="55" customHeight="1">
      <x:c r="A889" s="10" t="str">
        <x:v>V-R1</x:v>
      </x:c>
      <x:c r="B889" s="10" t="str">
        <x:v>VOICE</x:v>
      </x:c>
      <x:c r="C889" s="10" t="str">
        <x:v>VOICE:S2-14:input</x:v>
      </x:c>
      <x:c r="D889" s="10" t="str">
        <x:v>VOICE:S2-14:expression</x:v>
      </x:c>
      <x:c r="E889" s="10" t="str">
        <x:v>["S2-14:quote-L","S2-14:quote-R"]</x:v>
      </x:c>
      <x:c r="F889" s="10" t="str">
        <x:v>["S2-14:quote-L","S2-14:quote-R"]</x:v>
      </x:c>
      <x:c r="G889" s="10" t="n">
        <x:f>IF(E889=F889,1,0)</x:f>
        <x:v>1</x:v>
      </x:c>
    </x:row>
    <x:row r="890" ht="55" customHeight="1">
      <x:c r="A890" s="10" t="str">
        <x:v>V-R2</x:v>
      </x:c>
      <x:c r="B890" s="10" t="str">
        <x:v>VOICE</x:v>
      </x:c>
      <x:c r="C890" s="10" t="str">
        <x:v>VOICE:S2-14:input</x:v>
      </x:c>
      <x:c r="D890" s="10" t="str">
        <x:v>VOICE:S2-14:expression</x:v>
      </x:c>
      <x:c r="E890" s="10" t="str">
        <x:v>["S2-14:quote-L","S2-14:quote-R"]</x:v>
      </x:c>
      <x:c r="F890" s="10" t="str">
        <x:v>["S2-14:quote-L","S2-14:quote-R"]</x:v>
      </x:c>
      <x:c r="G890" s="10" t="n">
        <x:f>IF(E890=F890,1,0)</x:f>
        <x:v>1</x:v>
      </x:c>
    </x:row>
    <x:row r="891" ht="55" customHeight="1">
      <x:c r="A891" s="10" t="str">
        <x:v>V-R3</x:v>
      </x:c>
      <x:c r="B891" s="10" t="str">
        <x:v>VOICE</x:v>
      </x:c>
      <x:c r="C891" s="10" t="str">
        <x:v>VOICE:S2-14:input</x:v>
      </x:c>
      <x:c r="D891" s="10" t="str">
        <x:v>VOICE:S2-14:expression</x:v>
      </x:c>
      <x:c r="E891" s="10" t="str">
        <x:v>["S2-14:quote-L","S2-14:quote-R"]</x:v>
      </x:c>
      <x:c r="F891" s="10" t="str">
        <x:v>["S2-14:quote-L","S2-14:quote-R"]</x:v>
      </x:c>
      <x:c r="G891" s="10" t="n">
        <x:f>IF(E891=F891,1,0)</x:f>
        <x:v>1</x:v>
      </x:c>
    </x:row>
    <x:row r="892" ht="55" customHeight="1">
      <x:c r="A892" s="10" t="str">
        <x:v>V-A</x:v>
      </x:c>
      <x:c r="B892" s="10" t="str">
        <x:v>VOICE</x:v>
      </x:c>
      <x:c r="C892" s="10" t="str">
        <x:v>VOICE:S2-15:input</x:v>
      </x:c>
      <x:c r="D892" s="10" t="str">
        <x:v>VOICE:S2-15:expression</x:v>
      </x:c>
      <x:c r="E892" s="10" t="str">
        <x:v>["S2-15:quote-L","S2-15:quote-R"]</x:v>
      </x:c>
      <x:c r="F892" s="10" t="str">
        <x:v>["S2-15:quote-L","S2-15:quote-R"]</x:v>
      </x:c>
      <x:c r="G892" s="10" t="n">
        <x:f>IF(E892=F892,1,0)</x:f>
        <x:v>1</x:v>
      </x:c>
    </x:row>
    <x:row r="893" ht="55" customHeight="1">
      <x:c r="A893" s="10" t="str">
        <x:v>V-R1</x:v>
      </x:c>
      <x:c r="B893" s="10" t="str">
        <x:v>VOICE</x:v>
      </x:c>
      <x:c r="C893" s="10" t="str">
        <x:v>VOICE:S2-15:input</x:v>
      </x:c>
      <x:c r="D893" s="10" t="str">
        <x:v>VOICE:S2-15:expression</x:v>
      </x:c>
      <x:c r="E893" s="10" t="str">
        <x:v>["S2-15:quote-L","S2-15:quote-R"]</x:v>
      </x:c>
      <x:c r="F893" s="10" t="str">
        <x:v>["S2-15:quote-L","S2-15:quote-R"]</x:v>
      </x:c>
      <x:c r="G893" s="10" t="n">
        <x:f>IF(E893=F893,1,0)</x:f>
        <x:v>1</x:v>
      </x:c>
    </x:row>
    <x:row r="894" ht="55" customHeight="1">
      <x:c r="A894" s="10" t="str">
        <x:v>V-R2</x:v>
      </x:c>
      <x:c r="B894" s="10" t="str">
        <x:v>VOICE</x:v>
      </x:c>
      <x:c r="C894" s="10" t="str">
        <x:v>VOICE:S2-15:input</x:v>
      </x:c>
      <x:c r="D894" s="10" t="str">
        <x:v>VOICE:S2-15:expression</x:v>
      </x:c>
      <x:c r="E894" s="10" t="str">
        <x:v>["S2-15:quote-L","S2-15:quote-R"]</x:v>
      </x:c>
      <x:c r="F894" s="10" t="str">
        <x:v>["S2-15:quote-L","S2-15:quote-R"]</x:v>
      </x:c>
      <x:c r="G894" s="10" t="n">
        <x:f>IF(E894=F894,1,0)</x:f>
        <x:v>1</x:v>
      </x:c>
    </x:row>
    <x:row r="895" ht="55" customHeight="1">
      <x:c r="A895" s="10" t="str">
        <x:v>V-R3</x:v>
      </x:c>
      <x:c r="B895" s="10" t="str">
        <x:v>VOICE</x:v>
      </x:c>
      <x:c r="C895" s="10" t="str">
        <x:v>VOICE:S2-15:input</x:v>
      </x:c>
      <x:c r="D895" s="10" t="str">
        <x:v>VOICE:S2-15:expression</x:v>
      </x:c>
      <x:c r="E895" s="10" t="str">
        <x:v>["S2-15:quote-L","S2-15:quote-R"]</x:v>
      </x:c>
      <x:c r="F895" s="10" t="str">
        <x:v>["S2-15:quote-L","S2-15:quote-R"]</x:v>
      </x:c>
      <x:c r="G895" s="10" t="n">
        <x:f>IF(E895=F895,1,0)</x:f>
        <x:v>1</x:v>
      </x:c>
    </x:row>
    <x:row r="896" ht="55" customHeight="1">
      <x:c r="A896" s="10" t="str">
        <x:v>V-A</x:v>
      </x:c>
      <x:c r="B896" s="10" t="str">
        <x:v>VOICE</x:v>
      </x:c>
      <x:c r="C896" s="10" t="str">
        <x:v>VOICE:S2-16:input</x:v>
      </x:c>
      <x:c r="D896" s="10" t="str">
        <x:v>VOICE:S2-16:expression</x:v>
      </x:c>
      <x:c r="E896" s="10" t="str">
        <x:v>["S2-16:quote-L","S2-16:quote-R"]</x:v>
      </x:c>
      <x:c r="F896" s="10" t="str">
        <x:v>["S2-16:quote-L","S2-16:quote-R"]</x:v>
      </x:c>
      <x:c r="G896" s="10" t="n">
        <x:f>IF(E896=F896,1,0)</x:f>
        <x:v>1</x:v>
      </x:c>
    </x:row>
    <x:row r="897" ht="55" customHeight="1">
      <x:c r="A897" s="10" t="str">
        <x:v>V-R1</x:v>
      </x:c>
      <x:c r="B897" s="10" t="str">
        <x:v>VOICE</x:v>
      </x:c>
      <x:c r="C897" s="10" t="str">
        <x:v>VOICE:S2-16:input</x:v>
      </x:c>
      <x:c r="D897" s="10" t="str">
        <x:v>VOICE:S2-16:expression</x:v>
      </x:c>
      <x:c r="E897" s="10" t="str">
        <x:v>["S2-16:quote-L","S2-16:quote-R"]</x:v>
      </x:c>
      <x:c r="F897" s="10" t="str">
        <x:v>["S2-16:quote-L","S2-16:quote-R"]</x:v>
      </x:c>
      <x:c r="G897" s="10" t="n">
        <x:f>IF(E897=F897,1,0)</x:f>
        <x:v>1</x:v>
      </x:c>
    </x:row>
    <x:row r="898" ht="55" customHeight="1">
      <x:c r="A898" s="10" t="str">
        <x:v>V-R2</x:v>
      </x:c>
      <x:c r="B898" s="10" t="str">
        <x:v>VOICE</x:v>
      </x:c>
      <x:c r="C898" s="10" t="str">
        <x:v>VOICE:S2-16:input</x:v>
      </x:c>
      <x:c r="D898" s="10" t="str">
        <x:v>VOICE:S2-16:expression</x:v>
      </x:c>
      <x:c r="E898" s="10" t="str">
        <x:v>["S2-16:quote-L","S2-16:quote-R"]</x:v>
      </x:c>
      <x:c r="F898" s="10" t="str">
        <x:v>["S2-16:quote-L","S2-16:quote-R"]</x:v>
      </x:c>
      <x:c r="G898" s="10" t="n">
        <x:f>IF(E898=F898,1,0)</x:f>
        <x:v>1</x:v>
      </x:c>
    </x:row>
    <x:row r="899" ht="55" customHeight="1">
      <x:c r="A899" s="10" t="str">
        <x:v>V-R3</x:v>
      </x:c>
      <x:c r="B899" s="10" t="str">
        <x:v>VOICE</x:v>
      </x:c>
      <x:c r="C899" s="10" t="str">
        <x:v>VOICE:S2-16:input</x:v>
      </x:c>
      <x:c r="D899" s="10" t="str">
        <x:v>VOICE:S2-16:expression</x:v>
      </x:c>
      <x:c r="E899" s="10" t="str">
        <x:v>["S2-16:quote-L","S2-16:quote-R"]</x:v>
      </x:c>
      <x:c r="F899" s="10" t="str">
        <x:v>["S2-16:quote-L","S2-16:quote-R"]</x:v>
      </x:c>
      <x:c r="G899" s="10" t="n">
        <x:f>IF(E899=F899,1,0)</x:f>
        <x:v>1</x:v>
      </x:c>
    </x:row>
    <x:row r="900" ht="55" customHeight="1">
      <x:c r="A900" s="10" t="str">
        <x:v>V-A</x:v>
      </x:c>
      <x:c r="B900" s="10" t="str">
        <x:v>VOICE</x:v>
      </x:c>
      <x:c r="C900" s="10" t="str">
        <x:v>VOICE:S2-17:input</x:v>
      </x:c>
      <x:c r="D900" s="10" t="str">
        <x:v>VOICE:S2-17:expression</x:v>
      </x:c>
      <x:c r="E900" s="10" t="str">
        <x:v>["S2-17:quote-L","S2-17:quote-R"]</x:v>
      </x:c>
      <x:c r="F900" s="10" t="str">
        <x:v>["S2-17:quote-L","S2-17:quote-R"]</x:v>
      </x:c>
      <x:c r="G900" s="10" t="n">
        <x:f>IF(E900=F900,1,0)</x:f>
        <x:v>1</x:v>
      </x:c>
    </x:row>
    <x:row r="901" ht="55" customHeight="1">
      <x:c r="A901" s="10" t="str">
        <x:v>V-R1</x:v>
      </x:c>
      <x:c r="B901" s="10" t="str">
        <x:v>VOICE</x:v>
      </x:c>
      <x:c r="C901" s="10" t="str">
        <x:v>VOICE:S2-17:input</x:v>
      </x:c>
      <x:c r="D901" s="10" t="str">
        <x:v>VOICE:S2-17:expression</x:v>
      </x:c>
      <x:c r="E901" s="10" t="str">
        <x:v>["S2-17:quote-L","S2-17:quote-R"]</x:v>
      </x:c>
      <x:c r="F901" s="10" t="str">
        <x:v>["S2-17:quote-L","S2-17:quote-R"]</x:v>
      </x:c>
      <x:c r="G901" s="10" t="n">
        <x:f>IF(E901=F901,1,0)</x:f>
        <x:v>1</x:v>
      </x:c>
    </x:row>
    <x:row r="902" ht="55" customHeight="1">
      <x:c r="A902" s="10" t="str">
        <x:v>V-R2</x:v>
      </x:c>
      <x:c r="B902" s="10" t="str">
        <x:v>VOICE</x:v>
      </x:c>
      <x:c r="C902" s="10" t="str">
        <x:v>VOICE:S2-17:input</x:v>
      </x:c>
      <x:c r="D902" s="10" t="str">
        <x:v>VOICE:S2-17:expression</x:v>
      </x:c>
      <x:c r="E902" s="10" t="str">
        <x:v>["S2-17:quote-L","S2-17:quote-R"]</x:v>
      </x:c>
      <x:c r="F902" s="10" t="str">
        <x:v>["S2-17:quote-L","S2-17:quote-R"]</x:v>
      </x:c>
      <x:c r="G902" s="10" t="n">
        <x:f>IF(E902=F902,1,0)</x:f>
        <x:v>1</x:v>
      </x:c>
    </x:row>
    <x:row r="903" ht="55" customHeight="1">
      <x:c r="A903" s="10" t="str">
        <x:v>V-R3</x:v>
      </x:c>
      <x:c r="B903" s="10" t="str">
        <x:v>VOICE</x:v>
      </x:c>
      <x:c r="C903" s="10" t="str">
        <x:v>VOICE:S2-17:input</x:v>
      </x:c>
      <x:c r="D903" s="10" t="str">
        <x:v>VOICE:S2-17:expression</x:v>
      </x:c>
      <x:c r="E903" s="10" t="str">
        <x:v>["S2-17:quote-L","S2-17:quote-R"]</x:v>
      </x:c>
      <x:c r="F903" s="10" t="str">
        <x:v>["S2-17:quote-L","S2-17:quote-R"]</x:v>
      </x:c>
      <x:c r="G903" s="10" t="n">
        <x:f>IF(E903=F903,1,0)</x:f>
        <x:v>1</x:v>
      </x:c>
    </x:row>
    <x:row r="904" ht="55" customHeight="1">
      <x:c r="A904" s="10" t="str">
        <x:v>V-A</x:v>
      </x:c>
      <x:c r="B904" s="10" t="str">
        <x:v>VOICE</x:v>
      </x:c>
      <x:c r="C904" s="10" t="str">
        <x:v>VOICE:S2-18:input</x:v>
      </x:c>
      <x:c r="D904" s="10" t="str">
        <x:v>VOICE:S2-18:expression</x:v>
      </x:c>
      <x:c r="E904" s="10" t="str">
        <x:v>["S2-18:quote-L","S2-18:quote-R"]</x:v>
      </x:c>
      <x:c r="F904" s="10" t="str">
        <x:v>["S2-18:quote-L","S2-18:quote-R"]</x:v>
      </x:c>
      <x:c r="G904" s="10" t="n">
        <x:f>IF(E904=F904,1,0)</x:f>
        <x:v>1</x:v>
      </x:c>
    </x:row>
    <x:row r="905" ht="55" customHeight="1">
      <x:c r="A905" s="10" t="str">
        <x:v>V-R1</x:v>
      </x:c>
      <x:c r="B905" s="10" t="str">
        <x:v>VOICE</x:v>
      </x:c>
      <x:c r="C905" s="10" t="str">
        <x:v>VOICE:S2-18:input</x:v>
      </x:c>
      <x:c r="D905" s="10" t="str">
        <x:v>VOICE:S2-18:expression</x:v>
      </x:c>
      <x:c r="E905" s="10" t="str">
        <x:v>["S2-18:quote-L","S2-18:quote-R"]</x:v>
      </x:c>
      <x:c r="F905" s="10" t="str">
        <x:v>["S2-18:quote-L","S2-18:quote-R"]</x:v>
      </x:c>
      <x:c r="G905" s="10" t="n">
        <x:f>IF(E905=F905,1,0)</x:f>
        <x:v>1</x:v>
      </x:c>
    </x:row>
    <x:row r="906" ht="55" customHeight="1">
      <x:c r="A906" s="10" t="str">
        <x:v>V-R2</x:v>
      </x:c>
      <x:c r="B906" s="10" t="str">
        <x:v>VOICE</x:v>
      </x:c>
      <x:c r="C906" s="10" t="str">
        <x:v>VOICE:S2-18:input</x:v>
      </x:c>
      <x:c r="D906" s="10" t="str">
        <x:v>VOICE:S2-18:expression</x:v>
      </x:c>
      <x:c r="E906" s="10" t="str">
        <x:v>["S2-18:quote-L","S2-18:quote-R"]</x:v>
      </x:c>
      <x:c r="F906" s="10" t="str">
        <x:v>["S2-18:quote-L","S2-18:quote-R"]</x:v>
      </x:c>
      <x:c r="G906" s="10" t="n">
        <x:f>IF(E906=F906,1,0)</x:f>
        <x:v>1</x:v>
      </x:c>
    </x:row>
    <x:row r="907" ht="55" customHeight="1">
      <x:c r="A907" s="10" t="str">
        <x:v>V-R3</x:v>
      </x:c>
      <x:c r="B907" s="10" t="str">
        <x:v>VOICE</x:v>
      </x:c>
      <x:c r="C907" s="10" t="str">
        <x:v>VOICE:S2-18:input</x:v>
      </x:c>
      <x:c r="D907" s="10" t="str">
        <x:v>VOICE:S2-18:expression</x:v>
      </x:c>
      <x:c r="E907" s="10" t="str">
        <x:v>["S2-18:quote-L","S2-18:quote-R"]</x:v>
      </x:c>
      <x:c r="F907" s="10" t="str">
        <x:v>["S2-18:quote-L","S2-18:quote-R"]</x:v>
      </x:c>
      <x:c r="G907" s="10" t="n">
        <x:f>IF(E907=F907,1,0)</x:f>
        <x:v>1</x:v>
      </x:c>
    </x:row>
    <x:row r="908" ht="55" customHeight="1">
      <x:c r="A908" s="10" t="str">
        <x:v>V-A</x:v>
      </x:c>
      <x:c r="B908" s="10" t="str">
        <x:v>VOICE</x:v>
      </x:c>
      <x:c r="C908" s="10" t="str">
        <x:v>VOICE:S2-19:input</x:v>
      </x:c>
      <x:c r="D908" s="10" t="str">
        <x:v>VOICE:S2-19:expression</x:v>
      </x:c>
      <x:c r="E908" s="10" t="str">
        <x:v>["S2-19:quote-L","S2-19:quote-R"]</x:v>
      </x:c>
      <x:c r="F908" s="10" t="str">
        <x:v>["S2-19:quote-L","S2-19:quote-R"]</x:v>
      </x:c>
      <x:c r="G908" s="10" t="n">
        <x:f>IF(E908=F908,1,0)</x:f>
        <x:v>1</x:v>
      </x:c>
    </x:row>
    <x:row r="909" ht="55" customHeight="1">
      <x:c r="A909" s="10" t="str">
        <x:v>V-R1</x:v>
      </x:c>
      <x:c r="B909" s="10" t="str">
        <x:v>VOICE</x:v>
      </x:c>
      <x:c r="C909" s="10" t="str">
        <x:v>VOICE:S2-19:input</x:v>
      </x:c>
      <x:c r="D909" s="10" t="str">
        <x:v>VOICE:S2-19:expression</x:v>
      </x:c>
      <x:c r="E909" s="10" t="str">
        <x:v>["S2-19:quote-L","S2-19:quote-R"]</x:v>
      </x:c>
      <x:c r="F909" s="10" t="str">
        <x:v>["S2-19:quote-L","S2-19:quote-R"]</x:v>
      </x:c>
      <x:c r="G909" s="10" t="n">
        <x:f>IF(E909=F909,1,0)</x:f>
        <x:v>1</x:v>
      </x:c>
    </x:row>
    <x:row r="910" ht="55" customHeight="1">
      <x:c r="A910" s="10" t="str">
        <x:v>V-R2</x:v>
      </x:c>
      <x:c r="B910" s="10" t="str">
        <x:v>VOICE</x:v>
      </x:c>
      <x:c r="C910" s="10" t="str">
        <x:v>VOICE:S2-19:input</x:v>
      </x:c>
      <x:c r="D910" s="10" t="str">
        <x:v>VOICE:S2-19:expression</x:v>
      </x:c>
      <x:c r="E910" s="10" t="str">
        <x:v>["S2-19:quote-L","S2-19:quote-R"]</x:v>
      </x:c>
      <x:c r="F910" s="10" t="str">
        <x:v>["S2-19:quote-L","S2-19:quote-R"]</x:v>
      </x:c>
      <x:c r="G910" s="10" t="n">
        <x:f>IF(E910=F910,1,0)</x:f>
        <x:v>1</x:v>
      </x:c>
    </x:row>
    <x:row r="911" ht="55" customHeight="1">
      <x:c r="A911" s="10" t="str">
        <x:v>V-R3</x:v>
      </x:c>
      <x:c r="B911" s="10" t="str">
        <x:v>VOICE</x:v>
      </x:c>
      <x:c r="C911" s="10" t="str">
        <x:v>VOICE:S2-19:input</x:v>
      </x:c>
      <x:c r="D911" s="10" t="str">
        <x:v>VOICE:S2-19:expression</x:v>
      </x:c>
      <x:c r="E911" s="10" t="str">
        <x:v>["S2-19:quote-L","S2-19:quote-R"]</x:v>
      </x:c>
      <x:c r="F911" s="10" t="str">
        <x:v>["S2-19:quote-L","S2-19:quote-R"]</x:v>
      </x:c>
      <x:c r="G911" s="10" t="n">
        <x:f>IF(E911=F911,1,0)</x:f>
        <x:v>1</x:v>
      </x:c>
    </x:row>
    <x:row r="912" ht="55" customHeight="1">
      <x:c r="A912" s="10" t="str">
        <x:v>V-A</x:v>
      </x:c>
      <x:c r="B912" s="10" t="str">
        <x:v>VOICE</x:v>
      </x:c>
      <x:c r="C912" s="10" t="str">
        <x:v>VOICE:S2-20:input</x:v>
      </x:c>
      <x:c r="D912" s="10" t="str">
        <x:v>VOICE:S2-20:expression</x:v>
      </x:c>
      <x:c r="E912" s="10" t="str">
        <x:v>["S2-20:quote-L","S2-20:quote-R"]</x:v>
      </x:c>
      <x:c r="F912" s="10" t="str">
        <x:v>["S2-20:quote-L","S2-20:quote-R"]</x:v>
      </x:c>
      <x:c r="G912" s="10" t="n">
        <x:f>IF(E912=F912,1,0)</x:f>
        <x:v>1</x:v>
      </x:c>
    </x:row>
    <x:row r="913" ht="55" customHeight="1">
      <x:c r="A913" s="10" t="str">
        <x:v>V-R1</x:v>
      </x:c>
      <x:c r="B913" s="10" t="str">
        <x:v>VOICE</x:v>
      </x:c>
      <x:c r="C913" s="10" t="str">
        <x:v>VOICE:S2-20:input</x:v>
      </x:c>
      <x:c r="D913" s="10" t="str">
        <x:v>VOICE:S2-20:expression</x:v>
      </x:c>
      <x:c r="E913" s="10" t="str">
        <x:v>["S2-20:quote-L","S2-20:quote-R"]</x:v>
      </x:c>
      <x:c r="F913" s="10" t="str">
        <x:v>["S2-20:quote-L","S2-20:quote-R"]</x:v>
      </x:c>
      <x:c r="G913" s="10" t="n">
        <x:f>IF(E913=F913,1,0)</x:f>
        <x:v>1</x:v>
      </x:c>
    </x:row>
    <x:row r="914" ht="55" customHeight="1">
      <x:c r="A914" s="10" t="str">
        <x:v>V-R2</x:v>
      </x:c>
      <x:c r="B914" s="10" t="str">
        <x:v>VOICE</x:v>
      </x:c>
      <x:c r="C914" s="10" t="str">
        <x:v>VOICE:S2-20:input</x:v>
      </x:c>
      <x:c r="D914" s="10" t="str">
        <x:v>VOICE:S2-20:expression</x:v>
      </x:c>
      <x:c r="E914" s="10" t="str">
        <x:v>["S2-20:quote-L","S2-20:quote-R"]</x:v>
      </x:c>
      <x:c r="F914" s="10" t="str">
        <x:v>["S2-20:quote-L","S2-20:quote-R"]</x:v>
      </x:c>
      <x:c r="G914" s="10" t="n">
        <x:f>IF(E914=F914,1,0)</x:f>
        <x:v>1</x:v>
      </x:c>
    </x:row>
    <x:row r="915" ht="55" customHeight="1">
      <x:c r="A915" s="10" t="str">
        <x:v>V-R3</x:v>
      </x:c>
      <x:c r="B915" s="10" t="str">
        <x:v>VOICE</x:v>
      </x:c>
      <x:c r="C915" s="10" t="str">
        <x:v>VOICE:S2-20:input</x:v>
      </x:c>
      <x:c r="D915" s="10" t="str">
        <x:v>VOICE:S2-20:expression</x:v>
      </x:c>
      <x:c r="E915" s="10" t="str">
        <x:v>["S2-20:quote-L","S2-20:quote-R"]</x:v>
      </x:c>
      <x:c r="F915" s="10" t="str">
        <x:v>["S2-20:quote-L","S2-20:quote-R"]</x:v>
      </x:c>
      <x:c r="G915" s="10" t="n">
        <x:f>IF(E915=F915,1,0)</x:f>
        <x:v>1</x:v>
      </x:c>
    </x:row>
    <x:row r="916" ht="55" customHeight="1">
      <x:c r="A916" s="10" t="str">
        <x:v>V-A</x:v>
      </x:c>
      <x:c r="B916" s="10" t="str">
        <x:v>VOICE</x:v>
      </x:c>
      <x:c r="C916" s="10" t="str">
        <x:v>VOICE:S3-01:input</x:v>
      </x:c>
      <x:c r="D916" s="10" t="str">
        <x:v>VOICE:S3-01:expression</x:v>
      </x:c>
      <x:c r="E916" s="10" t="str">
        <x:v>["S3-01:quote-L"]</x:v>
      </x:c>
      <x:c r="F916" s="10" t="str">
        <x:v>["S3-01:quote-Z"]</x:v>
      </x:c>
      <x:c r="G916" s="10" t="n">
        <x:f>IF(E916=F916,1,0)</x:f>
        <x:v>0</x:v>
      </x:c>
    </x:row>
    <x:row r="917" ht="55" customHeight="1">
      <x:c r="A917" s="10" t="str">
        <x:v>V-R1</x:v>
      </x:c>
      <x:c r="B917" s="10" t="str">
        <x:v>VOICE</x:v>
      </x:c>
      <x:c r="C917" s="10" t="str">
        <x:v>VOICE:S3-01:input</x:v>
      </x:c>
      <x:c r="D917" s="10" t="str">
        <x:v>VOICE:S3-01:expression</x:v>
      </x:c>
      <x:c r="E917" s="10" t="str">
        <x:v>["S3-01:quote-L"]</x:v>
      </x:c>
      <x:c r="F917" s="10" t="str">
        <x:v>["S3-01:quote-L"]</x:v>
      </x:c>
      <x:c r="G917" s="10" t="n">
        <x:f>IF(E917=F917,1,0)</x:f>
        <x:v>1</x:v>
      </x:c>
    </x:row>
    <x:row r="918" ht="55" customHeight="1">
      <x:c r="A918" s="10" t="str">
        <x:v>V-R2</x:v>
      </x:c>
      <x:c r="B918" s="10" t="str">
        <x:v>VOICE</x:v>
      </x:c>
      <x:c r="C918" s="10" t="str">
        <x:v>VOICE:S3-01:input</x:v>
      </x:c>
      <x:c r="D918" s="10" t="str">
        <x:v>VOICE:S3-01:expression</x:v>
      </x:c>
      <x:c r="E918" s="10" t="str">
        <x:v>["S3-01:quote-L"]</x:v>
      </x:c>
      <x:c r="F918" s="10" t="str">
        <x:v>["S3-01:quote-L"]</x:v>
      </x:c>
      <x:c r="G918" s="10" t="n">
        <x:f>IF(E918=F918,1,0)</x:f>
        <x:v>1</x:v>
      </x:c>
    </x:row>
    <x:row r="919" ht="55" customHeight="1">
      <x:c r="A919" s="10" t="str">
        <x:v>V-R3</x:v>
      </x:c>
      <x:c r="B919" s="10" t="str">
        <x:v>VOICE</x:v>
      </x:c>
      <x:c r="C919" s="10" t="str">
        <x:v>VOICE:S3-01:input</x:v>
      </x:c>
      <x:c r="D919" s="10" t="str">
        <x:v>VOICE:S3-01:expression</x:v>
      </x:c>
      <x:c r="E919" s="10" t="str">
        <x:v>["S3-01:quote-L"]</x:v>
      </x:c>
      <x:c r="F919" s="10" t="str">
        <x:v>["S3-01:quote-L"]</x:v>
      </x:c>
      <x:c r="G919" s="10" t="n">
        <x:f>IF(E919=F919,1,0)</x:f>
        <x:v>1</x:v>
      </x:c>
    </x:row>
    <x:row r="920" ht="55" customHeight="1">
      <x:c r="A920" s="10" t="str">
        <x:v>V-A</x:v>
      </x:c>
      <x:c r="B920" s="10" t="str">
        <x:v>VOICE</x:v>
      </x:c>
      <x:c r="C920" s="10" t="str">
        <x:v>VOICE:S3-02:input</x:v>
      </x:c>
      <x:c r="D920" s="10" t="str">
        <x:v>VOICE:S3-02:expression</x:v>
      </x:c>
      <x:c r="E920" s="10" t="str">
        <x:v>["S3-02:quote-L"]</x:v>
      </x:c>
      <x:c r="F920" s="10" t="str">
        <x:v>["S3-02:quote-Z"]</x:v>
      </x:c>
      <x:c r="G920" s="10" t="n">
        <x:f>IF(E920=F920,1,0)</x:f>
        <x:v>0</x:v>
      </x:c>
    </x:row>
    <x:row r="921" ht="55" customHeight="1">
      <x:c r="A921" s="10" t="str">
        <x:v>V-R1</x:v>
      </x:c>
      <x:c r="B921" s="10" t="str">
        <x:v>VOICE</x:v>
      </x:c>
      <x:c r="C921" s="10" t="str">
        <x:v>VOICE:S3-02:input</x:v>
      </x:c>
      <x:c r="D921" s="10" t="str">
        <x:v>VOICE:S3-02:expression</x:v>
      </x:c>
      <x:c r="E921" s="10" t="str">
        <x:v>["S3-02:quote-L"]</x:v>
      </x:c>
      <x:c r="F921" s="10" t="str">
        <x:v>["S3-02:quote-L"]</x:v>
      </x:c>
      <x:c r="G921" s="10" t="n">
        <x:f>IF(E921=F921,1,0)</x:f>
        <x:v>1</x:v>
      </x:c>
    </x:row>
    <x:row r="922" ht="55" customHeight="1">
      <x:c r="A922" s="10" t="str">
        <x:v>V-R2</x:v>
      </x:c>
      <x:c r="B922" s="10" t="str">
        <x:v>VOICE</x:v>
      </x:c>
      <x:c r="C922" s="10" t="str">
        <x:v>VOICE:S3-02:input</x:v>
      </x:c>
      <x:c r="D922" s="10" t="str">
        <x:v>VOICE:S3-02:expression</x:v>
      </x:c>
      <x:c r="E922" s="10" t="str">
        <x:v>["S3-02:quote-L"]</x:v>
      </x:c>
      <x:c r="F922" s="10" t="str">
        <x:v>["S3-02:quote-L"]</x:v>
      </x:c>
      <x:c r="G922" s="10" t="n">
        <x:f>IF(E922=F922,1,0)</x:f>
        <x:v>1</x:v>
      </x:c>
    </x:row>
    <x:row r="923" ht="55" customHeight="1">
      <x:c r="A923" s="10" t="str">
        <x:v>V-R3</x:v>
      </x:c>
      <x:c r="B923" s="10" t="str">
        <x:v>VOICE</x:v>
      </x:c>
      <x:c r="C923" s="10" t="str">
        <x:v>VOICE:S3-02:input</x:v>
      </x:c>
      <x:c r="D923" s="10" t="str">
        <x:v>VOICE:S3-02:expression</x:v>
      </x:c>
      <x:c r="E923" s="10" t="str">
        <x:v>["S3-02:quote-L"]</x:v>
      </x:c>
      <x:c r="F923" s="10" t="str">
        <x:v>["S3-02:quote-L"]</x:v>
      </x:c>
      <x:c r="G923" s="10" t="n">
        <x:f>IF(E923=F923,1,0)</x:f>
        <x:v>1</x:v>
      </x:c>
    </x:row>
    <x:row r="924" ht="55" customHeight="1">
      <x:c r="A924" s="10" t="str">
        <x:v>V-A</x:v>
      </x:c>
      <x:c r="B924" s="10" t="str">
        <x:v>VOICE</x:v>
      </x:c>
      <x:c r="C924" s="10" t="str">
        <x:v>VOICE:S3-03:input</x:v>
      </x:c>
      <x:c r="D924" s="10" t="str">
        <x:v>VOICE:S3-03:expression</x:v>
      </x:c>
      <x:c r="E924" s="10" t="str">
        <x:v>["S3-03:quote-L"]</x:v>
      </x:c>
      <x:c r="F924" s="10" t="str">
        <x:v>["S3-03:quote-Z"]</x:v>
      </x:c>
      <x:c r="G924" s="10" t="n">
        <x:f>IF(E924=F924,1,0)</x:f>
        <x:v>0</x:v>
      </x:c>
    </x:row>
    <x:row r="925" ht="55" customHeight="1">
      <x:c r="A925" s="10" t="str">
        <x:v>V-R1</x:v>
      </x:c>
      <x:c r="B925" s="10" t="str">
        <x:v>VOICE</x:v>
      </x:c>
      <x:c r="C925" s="10" t="str">
        <x:v>VOICE:S3-03:input</x:v>
      </x:c>
      <x:c r="D925" s="10" t="str">
        <x:v>VOICE:S3-03:expression</x:v>
      </x:c>
      <x:c r="E925" s="10" t="str">
        <x:v>["S3-03:quote-L"]</x:v>
      </x:c>
      <x:c r="F925" s="10" t="str">
        <x:v>["S3-03:quote-Z"]</x:v>
      </x:c>
      <x:c r="G925" s="10" t="n">
        <x:f>IF(E925=F925,1,0)</x:f>
        <x:v>0</x:v>
      </x:c>
    </x:row>
    <x:row r="926" ht="55" customHeight="1">
      <x:c r="A926" s="10" t="str">
        <x:v>V-R2</x:v>
      </x:c>
      <x:c r="B926" s="10" t="str">
        <x:v>VOICE</x:v>
      </x:c>
      <x:c r="C926" s="10" t="str">
        <x:v>VOICE:S3-03:input</x:v>
      </x:c>
      <x:c r="D926" s="10" t="str">
        <x:v>VOICE:S3-03:expression</x:v>
      </x:c>
      <x:c r="E926" s="10" t="str">
        <x:v>["S3-03:quote-L"]</x:v>
      </x:c>
      <x:c r="F926" s="10" t="str">
        <x:v>["S3-03:quote-Z"]</x:v>
      </x:c>
      <x:c r="G926" s="10" t="n">
        <x:f>IF(E926=F926,1,0)</x:f>
        <x:v>0</x:v>
      </x:c>
    </x:row>
    <x:row r="927" ht="55" customHeight="1">
      <x:c r="A927" s="10" t="str">
        <x:v>V-R3</x:v>
      </x:c>
      <x:c r="B927" s="10" t="str">
        <x:v>VOICE</x:v>
      </x:c>
      <x:c r="C927" s="10" t="str">
        <x:v>VOICE:S3-03:input</x:v>
      </x:c>
      <x:c r="D927" s="10" t="str">
        <x:v>VOICE:S3-03:expression</x:v>
      </x:c>
      <x:c r="E927" s="10" t="str">
        <x:v>["S3-03:quote-L"]</x:v>
      </x:c>
      <x:c r="F927" s="10" t="str">
        <x:v>["S3-03:quote-Z"]</x:v>
      </x:c>
      <x:c r="G927" s="10" t="n">
        <x:f>IF(E927=F927,1,0)</x:f>
        <x:v>0</x:v>
      </x:c>
    </x:row>
    <x:row r="928" ht="55" customHeight="1">
      <x:c r="A928" s="10" t="str">
        <x:v>V-A</x:v>
      </x:c>
      <x:c r="B928" s="10" t="str">
        <x:v>VOICE</x:v>
      </x:c>
      <x:c r="C928" s="10" t="str">
        <x:v>VOICE:S3-04:input</x:v>
      </x:c>
      <x:c r="D928" s="10" t="str">
        <x:v>VOICE:S3-04:expression</x:v>
      </x:c>
      <x:c r="E928" s="10" t="str">
        <x:v>["S3-04:quote-L"]</x:v>
      </x:c>
      <x:c r="F928" s="10" t="str">
        <x:v>["S3-04:quote-Z"]</x:v>
      </x:c>
      <x:c r="G928" s="10" t="n">
        <x:f>IF(E928=F928,1,0)</x:f>
        <x:v>0</x:v>
      </x:c>
    </x:row>
    <x:row r="929" ht="55" customHeight="1">
      <x:c r="A929" s="10" t="str">
        <x:v>V-R1</x:v>
      </x:c>
      <x:c r="B929" s="10" t="str">
        <x:v>VOICE</x:v>
      </x:c>
      <x:c r="C929" s="10" t="str">
        <x:v>VOICE:S3-04:input</x:v>
      </x:c>
      <x:c r="D929" s="10" t="str">
        <x:v>VOICE:S3-04:expression</x:v>
      </x:c>
      <x:c r="E929" s="10" t="str">
        <x:v>["S3-04:quote-L"]</x:v>
      </x:c>
      <x:c r="F929" s="10" t="str">
        <x:v>["S3-04:quote-Z"]</x:v>
      </x:c>
      <x:c r="G929" s="10" t="n">
        <x:f>IF(E929=F929,1,0)</x:f>
        <x:v>0</x:v>
      </x:c>
    </x:row>
    <x:row r="930" ht="55" customHeight="1">
      <x:c r="A930" s="10" t="str">
        <x:v>V-R2</x:v>
      </x:c>
      <x:c r="B930" s="10" t="str">
        <x:v>VOICE</x:v>
      </x:c>
      <x:c r="C930" s="10" t="str">
        <x:v>VOICE:S3-04:input</x:v>
      </x:c>
      <x:c r="D930" s="10" t="str">
        <x:v>VOICE:S3-04:expression</x:v>
      </x:c>
      <x:c r="E930" s="10" t="str">
        <x:v>["S3-04:quote-L"]</x:v>
      </x:c>
      <x:c r="F930" s="10" t="str">
        <x:v>["S3-04:quote-Z"]</x:v>
      </x:c>
      <x:c r="G930" s="10" t="n">
        <x:f>IF(E930=F930,1,0)</x:f>
        <x:v>0</x:v>
      </x:c>
    </x:row>
    <x:row r="931" ht="55" customHeight="1">
      <x:c r="A931" s="10" t="str">
        <x:v>V-R3</x:v>
      </x:c>
      <x:c r="B931" s="10" t="str">
        <x:v>VOICE</x:v>
      </x:c>
      <x:c r="C931" s="10" t="str">
        <x:v>VOICE:S3-04:input</x:v>
      </x:c>
      <x:c r="D931" s="10" t="str">
        <x:v>VOICE:S3-04:expression</x:v>
      </x:c>
      <x:c r="E931" s="10" t="str">
        <x:v>["S3-04:quote-L"]</x:v>
      </x:c>
      <x:c r="F931" s="10" t="str">
        <x:v>["S3-04:quote-Z"]</x:v>
      </x:c>
      <x:c r="G931" s="10" t="n">
        <x:f>IF(E931=F931,1,0)</x:f>
        <x:v>0</x:v>
      </x:c>
    </x:row>
    <x:row r="932" ht="55" customHeight="1">
      <x:c r="A932" s="10" t="str">
        <x:v>V-A</x:v>
      </x:c>
      <x:c r="B932" s="10" t="str">
        <x:v>VOICE</x:v>
      </x:c>
      <x:c r="C932" s="10" t="str">
        <x:v>VOICE:S3-05:input</x:v>
      </x:c>
      <x:c r="D932" s="10" t="str">
        <x:v>VOICE:S3-05:expression</x:v>
      </x:c>
      <x:c r="E932" s="10" t="str">
        <x:v>["S3-05:quote-L"]</x:v>
      </x:c>
      <x:c r="F932" s="10" t="str">
        <x:v>["S3-05:quote-L"]</x:v>
      </x:c>
      <x:c r="G932" s="10" t="n">
        <x:f>IF(E932=F932,1,0)</x:f>
        <x:v>1</x:v>
      </x:c>
    </x:row>
    <x:row r="933" ht="55" customHeight="1">
      <x:c r="A933" s="10" t="str">
        <x:v>V-R1</x:v>
      </x:c>
      <x:c r="B933" s="10" t="str">
        <x:v>VOICE</x:v>
      </x:c>
      <x:c r="C933" s="10" t="str">
        <x:v>VOICE:S3-05:input</x:v>
      </x:c>
      <x:c r="D933" s="10" t="str">
        <x:v>VOICE:S3-05:expression</x:v>
      </x:c>
      <x:c r="E933" s="10" t="str">
        <x:v>["S3-05:quote-L"]</x:v>
      </x:c>
      <x:c r="F933" s="10" t="str">
        <x:v>["S3-05:quote-L"]</x:v>
      </x:c>
      <x:c r="G933" s="10" t="n">
        <x:f>IF(E933=F933,1,0)</x:f>
        <x:v>1</x:v>
      </x:c>
    </x:row>
    <x:row r="934" ht="55" customHeight="1">
      <x:c r="A934" s="10" t="str">
        <x:v>V-R2</x:v>
      </x:c>
      <x:c r="B934" s="10" t="str">
        <x:v>VOICE</x:v>
      </x:c>
      <x:c r="C934" s="10" t="str">
        <x:v>VOICE:S3-05:input</x:v>
      </x:c>
      <x:c r="D934" s="10" t="str">
        <x:v>VOICE:S3-05:expression</x:v>
      </x:c>
      <x:c r="E934" s="10" t="str">
        <x:v>["S3-05:quote-L"]</x:v>
      </x:c>
      <x:c r="F934" s="10" t="str">
        <x:v>["S3-05:quote-L"]</x:v>
      </x:c>
      <x:c r="G934" s="10" t="n">
        <x:f>IF(E934=F934,1,0)</x:f>
        <x:v>1</x:v>
      </x:c>
    </x:row>
    <x:row r="935" ht="55" customHeight="1">
      <x:c r="A935" s="10" t="str">
        <x:v>V-R3</x:v>
      </x:c>
      <x:c r="B935" s="10" t="str">
        <x:v>VOICE</x:v>
      </x:c>
      <x:c r="C935" s="10" t="str">
        <x:v>VOICE:S3-05:input</x:v>
      </x:c>
      <x:c r="D935" s="10" t="str">
        <x:v>VOICE:S3-05:expression</x:v>
      </x:c>
      <x:c r="E935" s="10" t="str">
        <x:v>["S3-05:quote-L"]</x:v>
      </x:c>
      <x:c r="F935" s="10" t="str">
        <x:v>["S3-05:quote-L"]</x:v>
      </x:c>
      <x:c r="G935" s="10" t="n">
        <x:f>IF(E935=F935,1,0)</x:f>
        <x:v>1</x:v>
      </x:c>
    </x:row>
    <x:row r="936" ht="55" customHeight="1">
      <x:c r="A936" s="10" t="str">
        <x:v>V-A</x:v>
      </x:c>
      <x:c r="B936" s="10" t="str">
        <x:v>VOICE</x:v>
      </x:c>
      <x:c r="C936" s="10" t="str">
        <x:v>VOICE:S3-06:input</x:v>
      </x:c>
      <x:c r="D936" s="10" t="str">
        <x:v>VOICE:S3-06:expression</x:v>
      </x:c>
      <x:c r="E936" s="10" t="str">
        <x:v>["S3-06:quote-L"]</x:v>
      </x:c>
      <x:c r="F936" s="10" t="str">
        <x:v>["S3-06:quote-L"]</x:v>
      </x:c>
      <x:c r="G936" s="10" t="n">
        <x:f>IF(E936=F936,1,0)</x:f>
        <x:v>1</x:v>
      </x:c>
    </x:row>
    <x:row r="937" ht="55" customHeight="1">
      <x:c r="A937" s="10" t="str">
        <x:v>V-R1</x:v>
      </x:c>
      <x:c r="B937" s="10" t="str">
        <x:v>VOICE</x:v>
      </x:c>
      <x:c r="C937" s="10" t="str">
        <x:v>VOICE:S3-06:input</x:v>
      </x:c>
      <x:c r="D937" s="10" t="str">
        <x:v>VOICE:S3-06:expression</x:v>
      </x:c>
      <x:c r="E937" s="10" t="str">
        <x:v>["S3-06:quote-L"]</x:v>
      </x:c>
      <x:c r="F937" s="10" t="str">
        <x:v>["S3-06:quote-L"]</x:v>
      </x:c>
      <x:c r="G937" s="10" t="n">
        <x:f>IF(E937=F937,1,0)</x:f>
        <x:v>1</x:v>
      </x:c>
    </x:row>
    <x:row r="938" ht="55" customHeight="1">
      <x:c r="A938" s="10" t="str">
        <x:v>V-R2</x:v>
      </x:c>
      <x:c r="B938" s="10" t="str">
        <x:v>VOICE</x:v>
      </x:c>
      <x:c r="C938" s="10" t="str">
        <x:v>VOICE:S3-06:input</x:v>
      </x:c>
      <x:c r="D938" s="10" t="str">
        <x:v>VOICE:S3-06:expression</x:v>
      </x:c>
      <x:c r="E938" s="10" t="str">
        <x:v>["S3-06:quote-L"]</x:v>
      </x:c>
      <x:c r="F938" s="10" t="str">
        <x:v>["S3-06:quote-L"]</x:v>
      </x:c>
      <x:c r="G938" s="10" t="n">
        <x:f>IF(E938=F938,1,0)</x:f>
        <x:v>1</x:v>
      </x:c>
    </x:row>
    <x:row r="939" ht="55" customHeight="1">
      <x:c r="A939" s="10" t="str">
        <x:v>V-R3</x:v>
      </x:c>
      <x:c r="B939" s="10" t="str">
        <x:v>VOICE</x:v>
      </x:c>
      <x:c r="C939" s="10" t="str">
        <x:v>VOICE:S3-06:input</x:v>
      </x:c>
      <x:c r="D939" s="10" t="str">
        <x:v>VOICE:S3-06:expression</x:v>
      </x:c>
      <x:c r="E939" s="10" t="str">
        <x:v>["S3-06:quote-L"]</x:v>
      </x:c>
      <x:c r="F939" s="10" t="str">
        <x:v>["S3-06:quote-L"]</x:v>
      </x:c>
      <x:c r="G939" s="10" t="n">
        <x:f>IF(E939=F939,1,0)</x:f>
        <x:v>1</x:v>
      </x:c>
    </x:row>
    <x:row r="940" ht="55" customHeight="1">
      <x:c r="A940" s="10" t="str">
        <x:v>V-A</x:v>
      </x:c>
      <x:c r="B940" s="10" t="str">
        <x:v>VOICE</x:v>
      </x:c>
      <x:c r="C940" s="10" t="str">
        <x:v>VOICE:S3-07:input</x:v>
      </x:c>
      <x:c r="D940" s="10" t="str">
        <x:v>VOICE:S3-07:expression</x:v>
      </x:c>
      <x:c r="E940" s="10" t="str">
        <x:v>["S3-07:quote-L"]</x:v>
      </x:c>
      <x:c r="F940" s="10" t="str">
        <x:v>["S3-07:quote-L"]</x:v>
      </x:c>
      <x:c r="G940" s="10" t="n">
        <x:f>IF(E940=F940,1,0)</x:f>
        <x:v>1</x:v>
      </x:c>
    </x:row>
    <x:row r="941" ht="55" customHeight="1">
      <x:c r="A941" s="10" t="str">
        <x:v>V-R1</x:v>
      </x:c>
      <x:c r="B941" s="10" t="str">
        <x:v>VOICE</x:v>
      </x:c>
      <x:c r="C941" s="10" t="str">
        <x:v>VOICE:S3-07:input</x:v>
      </x:c>
      <x:c r="D941" s="10" t="str">
        <x:v>VOICE:S3-07:expression</x:v>
      </x:c>
      <x:c r="E941" s="10" t="str">
        <x:v>["S3-07:quote-L"]</x:v>
      </x:c>
      <x:c r="F941" s="10" t="str">
        <x:v>["S3-07:quote-L"]</x:v>
      </x:c>
      <x:c r="G941" s="10" t="n">
        <x:f>IF(E941=F941,1,0)</x:f>
        <x:v>1</x:v>
      </x:c>
    </x:row>
    <x:row r="942" ht="55" customHeight="1">
      <x:c r="A942" s="10" t="str">
        <x:v>V-R2</x:v>
      </x:c>
      <x:c r="B942" s="10" t="str">
        <x:v>VOICE</x:v>
      </x:c>
      <x:c r="C942" s="10" t="str">
        <x:v>VOICE:S3-07:input</x:v>
      </x:c>
      <x:c r="D942" s="10" t="str">
        <x:v>VOICE:S3-07:expression</x:v>
      </x:c>
      <x:c r="E942" s="10" t="str">
        <x:v>["S3-07:quote-L"]</x:v>
      </x:c>
      <x:c r="F942" s="10" t="str">
        <x:v>["S3-07:quote-L"]</x:v>
      </x:c>
      <x:c r="G942" s="10" t="n">
        <x:f>IF(E942=F942,1,0)</x:f>
        <x:v>1</x:v>
      </x:c>
    </x:row>
    <x:row r="943" ht="55" customHeight="1">
      <x:c r="A943" s="10" t="str">
        <x:v>V-R3</x:v>
      </x:c>
      <x:c r="B943" s="10" t="str">
        <x:v>VOICE</x:v>
      </x:c>
      <x:c r="C943" s="10" t="str">
        <x:v>VOICE:S3-07:input</x:v>
      </x:c>
      <x:c r="D943" s="10" t="str">
        <x:v>VOICE:S3-07:expression</x:v>
      </x:c>
      <x:c r="E943" s="10" t="str">
        <x:v>["S3-07:quote-L"]</x:v>
      </x:c>
      <x:c r="F943" s="10" t="str">
        <x:v>["S3-07:quote-L"]</x:v>
      </x:c>
      <x:c r="G943" s="10" t="n">
        <x:f>IF(E943=F943,1,0)</x:f>
        <x:v>1</x:v>
      </x:c>
    </x:row>
    <x:row r="944" ht="55" customHeight="1">
      <x:c r="A944" s="10" t="str">
        <x:v>V-A</x:v>
      </x:c>
      <x:c r="B944" s="10" t="str">
        <x:v>VOICE</x:v>
      </x:c>
      <x:c r="C944" s="10" t="str">
        <x:v>VOICE:S3-08:input</x:v>
      </x:c>
      <x:c r="D944" s="10" t="str">
        <x:v>VOICE:S3-08:expression</x:v>
      </x:c>
      <x:c r="E944" s="10" t="str">
        <x:v>["S3-08:quote-L"]</x:v>
      </x:c>
      <x:c r="F944" s="10" t="str">
        <x:v>["S3-08:quote-L"]</x:v>
      </x:c>
      <x:c r="G944" s="10" t="n">
        <x:f>IF(E944=F944,1,0)</x:f>
        <x:v>1</x:v>
      </x:c>
    </x:row>
    <x:row r="945" ht="55" customHeight="1">
      <x:c r="A945" s="10" t="str">
        <x:v>V-R1</x:v>
      </x:c>
      <x:c r="B945" s="10" t="str">
        <x:v>VOICE</x:v>
      </x:c>
      <x:c r="C945" s="10" t="str">
        <x:v>VOICE:S3-08:input</x:v>
      </x:c>
      <x:c r="D945" s="10" t="str">
        <x:v>VOICE:S3-08:expression</x:v>
      </x:c>
      <x:c r="E945" s="10" t="str">
        <x:v>["S3-08:quote-L"]</x:v>
      </x:c>
      <x:c r="F945" s="10" t="str">
        <x:v>["S3-08:quote-L"]</x:v>
      </x:c>
      <x:c r="G945" s="10" t="n">
        <x:f>IF(E945=F945,1,0)</x:f>
        <x:v>1</x:v>
      </x:c>
    </x:row>
    <x:row r="946" ht="55" customHeight="1">
      <x:c r="A946" s="10" t="str">
        <x:v>V-R2</x:v>
      </x:c>
      <x:c r="B946" s="10" t="str">
        <x:v>VOICE</x:v>
      </x:c>
      <x:c r="C946" s="10" t="str">
        <x:v>VOICE:S3-08:input</x:v>
      </x:c>
      <x:c r="D946" s="10" t="str">
        <x:v>VOICE:S3-08:expression</x:v>
      </x:c>
      <x:c r="E946" s="10" t="str">
        <x:v>["S3-08:quote-L"]</x:v>
      </x:c>
      <x:c r="F946" s="10" t="str">
        <x:v>["S3-08:quote-L"]</x:v>
      </x:c>
      <x:c r="G946" s="10" t="n">
        <x:f>IF(E946=F946,1,0)</x:f>
        <x:v>1</x:v>
      </x:c>
    </x:row>
    <x:row r="947" ht="55" customHeight="1">
      <x:c r="A947" s="10" t="str">
        <x:v>V-R3</x:v>
      </x:c>
      <x:c r="B947" s="10" t="str">
        <x:v>VOICE</x:v>
      </x:c>
      <x:c r="C947" s="10" t="str">
        <x:v>VOICE:S3-08:input</x:v>
      </x:c>
      <x:c r="D947" s="10" t="str">
        <x:v>VOICE:S3-08:expression</x:v>
      </x:c>
      <x:c r="E947" s="10" t="str">
        <x:v>["S3-08:quote-L"]</x:v>
      </x:c>
      <x:c r="F947" s="10" t="str">
        <x:v>["S3-08:quote-L"]</x:v>
      </x:c>
      <x:c r="G947" s="10" t="n">
        <x:f>IF(E947=F947,1,0)</x:f>
        <x:v>1</x:v>
      </x:c>
    </x:row>
    <x:row r="948" ht="55" customHeight="1">
      <x:c r="A948" s="10" t="str">
        <x:v>V-A</x:v>
      </x:c>
      <x:c r="B948" s="10" t="str">
        <x:v>VOICE</x:v>
      </x:c>
      <x:c r="C948" s="10" t="str">
        <x:v>VOICE:S3-09:input</x:v>
      </x:c>
      <x:c r="D948" s="10" t="str">
        <x:v>VOICE:S3-09:expression</x:v>
      </x:c>
      <x:c r="E948" s="10" t="str">
        <x:v>["S3-09:quote-L"]</x:v>
      </x:c>
      <x:c r="F948" s="10" t="str">
        <x:v>["S3-09:quote-L"]</x:v>
      </x:c>
      <x:c r="G948" s="10" t="n">
        <x:f>IF(E948=F948,1,0)</x:f>
        <x:v>1</x:v>
      </x:c>
    </x:row>
    <x:row r="949" ht="55" customHeight="1">
      <x:c r="A949" s="10" t="str">
        <x:v>V-R1</x:v>
      </x:c>
      <x:c r="B949" s="10" t="str">
        <x:v>VOICE</x:v>
      </x:c>
      <x:c r="C949" s="10" t="str">
        <x:v>VOICE:S3-09:input</x:v>
      </x:c>
      <x:c r="D949" s="10" t="str">
        <x:v>VOICE:S3-09:expression</x:v>
      </x:c>
      <x:c r="E949" s="10" t="str">
        <x:v>["S3-09:quote-L"]</x:v>
      </x:c>
      <x:c r="F949" s="10" t="str">
        <x:v>["S3-09:quote-L"]</x:v>
      </x:c>
      <x:c r="G949" s="10" t="n">
        <x:f>IF(E949=F949,1,0)</x:f>
        <x:v>1</x:v>
      </x:c>
    </x:row>
    <x:row r="950" ht="55" customHeight="1">
      <x:c r="A950" s="10" t="str">
        <x:v>V-R2</x:v>
      </x:c>
      <x:c r="B950" s="10" t="str">
        <x:v>VOICE</x:v>
      </x:c>
      <x:c r="C950" s="10" t="str">
        <x:v>VOICE:S3-09:input</x:v>
      </x:c>
      <x:c r="D950" s="10" t="str">
        <x:v>VOICE:S3-09:expression</x:v>
      </x:c>
      <x:c r="E950" s="10" t="str">
        <x:v>["S3-09:quote-L"]</x:v>
      </x:c>
      <x:c r="F950" s="10" t="str">
        <x:v>["S3-09:quote-L"]</x:v>
      </x:c>
      <x:c r="G950" s="10" t="n">
        <x:f>IF(E950=F950,1,0)</x:f>
        <x:v>1</x:v>
      </x:c>
    </x:row>
    <x:row r="951" ht="55" customHeight="1">
      <x:c r="A951" s="10" t="str">
        <x:v>V-R3</x:v>
      </x:c>
      <x:c r="B951" s="10" t="str">
        <x:v>VOICE</x:v>
      </x:c>
      <x:c r="C951" s="10" t="str">
        <x:v>VOICE:S3-09:input</x:v>
      </x:c>
      <x:c r="D951" s="10" t="str">
        <x:v>VOICE:S3-09:expression</x:v>
      </x:c>
      <x:c r="E951" s="10" t="str">
        <x:v>["S3-09:quote-L"]</x:v>
      </x:c>
      <x:c r="F951" s="10" t="str">
        <x:v>["S3-09:quote-L"]</x:v>
      </x:c>
      <x:c r="G951" s="10" t="n">
        <x:f>IF(E951=F951,1,0)</x:f>
        <x:v>1</x:v>
      </x:c>
    </x:row>
    <x:row r="952" ht="55" customHeight="1">
      <x:c r="A952" s="10" t="str">
        <x:v>V-A</x:v>
      </x:c>
      <x:c r="B952" s="10" t="str">
        <x:v>VOICE</x:v>
      </x:c>
      <x:c r="C952" s="10" t="str">
        <x:v>VOICE:S3-10:input</x:v>
      </x:c>
      <x:c r="D952" s="10" t="str">
        <x:v>VOICE:S3-10:expression</x:v>
      </x:c>
      <x:c r="E952" s="10" t="str">
        <x:v>["S3-10:quote-L"]</x:v>
      </x:c>
      <x:c r="F952" s="10" t="str">
        <x:v>["S3-10:quote-L"]</x:v>
      </x:c>
      <x:c r="G952" s="10" t="n">
        <x:f>IF(E952=F952,1,0)</x:f>
        <x:v>1</x:v>
      </x:c>
    </x:row>
    <x:row r="953" ht="55" customHeight="1">
      <x:c r="A953" s="10" t="str">
        <x:v>V-R1</x:v>
      </x:c>
      <x:c r="B953" s="10" t="str">
        <x:v>VOICE</x:v>
      </x:c>
      <x:c r="C953" s="10" t="str">
        <x:v>VOICE:S3-10:input</x:v>
      </x:c>
      <x:c r="D953" s="10" t="str">
        <x:v>VOICE:S3-10:expression</x:v>
      </x:c>
      <x:c r="E953" s="10" t="str">
        <x:v>["S3-10:quote-L"]</x:v>
      </x:c>
      <x:c r="F953" s="10" t="str">
        <x:v>["S3-10:quote-L"]</x:v>
      </x:c>
      <x:c r="G953" s="10" t="n">
        <x:f>IF(E953=F953,1,0)</x:f>
        <x:v>1</x:v>
      </x:c>
    </x:row>
    <x:row r="954" ht="55" customHeight="1">
      <x:c r="A954" s="10" t="str">
        <x:v>V-R2</x:v>
      </x:c>
      <x:c r="B954" s="10" t="str">
        <x:v>VOICE</x:v>
      </x:c>
      <x:c r="C954" s="10" t="str">
        <x:v>VOICE:S3-10:input</x:v>
      </x:c>
      <x:c r="D954" s="10" t="str">
        <x:v>VOICE:S3-10:expression</x:v>
      </x:c>
      <x:c r="E954" s="10" t="str">
        <x:v>["S3-10:quote-L"]</x:v>
      </x:c>
      <x:c r="F954" s="10" t="str">
        <x:v>["S3-10:quote-L"]</x:v>
      </x:c>
      <x:c r="G954" s="10" t="n">
        <x:f>IF(E954=F954,1,0)</x:f>
        <x:v>1</x:v>
      </x:c>
    </x:row>
    <x:row r="955" ht="55" customHeight="1">
      <x:c r="A955" s="10" t="str">
        <x:v>V-R3</x:v>
      </x:c>
      <x:c r="B955" s="10" t="str">
        <x:v>VOICE</x:v>
      </x:c>
      <x:c r="C955" s="10" t="str">
        <x:v>VOICE:S3-10:input</x:v>
      </x:c>
      <x:c r="D955" s="10" t="str">
        <x:v>VOICE:S3-10:expression</x:v>
      </x:c>
      <x:c r="E955" s="10" t="str">
        <x:v>["S3-10:quote-L"]</x:v>
      </x:c>
      <x:c r="F955" s="10" t="str">
        <x:v>["S3-10:quote-L"]</x:v>
      </x:c>
      <x:c r="G955" s="10" t="n">
        <x:f>IF(E955=F955,1,0)</x:f>
        <x:v>1</x:v>
      </x:c>
    </x:row>
    <x:row r="956" ht="55" customHeight="1">
      <x:c r="A956" s="10" t="str">
        <x:v>V-A</x:v>
      </x:c>
      <x:c r="B956" s="10" t="str">
        <x:v>VOICE</x:v>
      </x:c>
      <x:c r="C956" s="10" t="str">
        <x:v>VOICE:S3-11:input</x:v>
      </x:c>
      <x:c r="D956" s="10" t="str">
        <x:v>VOICE:S3-11:expression</x:v>
      </x:c>
      <x:c r="E956" s="10" t="str">
        <x:v>["S3-11:quote-L"]</x:v>
      </x:c>
      <x:c r="F956" s="10" t="str">
        <x:v>["S3-11:quote-L"]</x:v>
      </x:c>
      <x:c r="G956" s="10" t="n">
        <x:f>IF(E956=F956,1,0)</x:f>
        <x:v>1</x:v>
      </x:c>
    </x:row>
    <x:row r="957" ht="55" customHeight="1">
      <x:c r="A957" s="10" t="str">
        <x:v>V-R1</x:v>
      </x:c>
      <x:c r="B957" s="10" t="str">
        <x:v>VOICE</x:v>
      </x:c>
      <x:c r="C957" s="10" t="str">
        <x:v>VOICE:S3-11:input</x:v>
      </x:c>
      <x:c r="D957" s="10" t="str">
        <x:v>VOICE:S3-11:expression</x:v>
      </x:c>
      <x:c r="E957" s="10" t="str">
        <x:v>["S3-11:quote-L"]</x:v>
      </x:c>
      <x:c r="F957" s="10" t="str">
        <x:v>["S3-11:quote-L"]</x:v>
      </x:c>
      <x:c r="G957" s="10" t="n">
        <x:f>IF(E957=F957,1,0)</x:f>
        <x:v>1</x:v>
      </x:c>
    </x:row>
    <x:row r="958" ht="55" customHeight="1">
      <x:c r="A958" s="10" t="str">
        <x:v>V-R2</x:v>
      </x:c>
      <x:c r="B958" s="10" t="str">
        <x:v>VOICE</x:v>
      </x:c>
      <x:c r="C958" s="10" t="str">
        <x:v>VOICE:S3-11:input</x:v>
      </x:c>
      <x:c r="D958" s="10" t="str">
        <x:v>VOICE:S3-11:expression</x:v>
      </x:c>
      <x:c r="E958" s="10" t="str">
        <x:v>["S3-11:quote-L"]</x:v>
      </x:c>
      <x:c r="F958" s="10" t="str">
        <x:v>["S3-11:quote-L"]</x:v>
      </x:c>
      <x:c r="G958" s="10" t="n">
        <x:f>IF(E958=F958,1,0)</x:f>
        <x:v>1</x:v>
      </x:c>
    </x:row>
    <x:row r="959" ht="55" customHeight="1">
      <x:c r="A959" s="10" t="str">
        <x:v>V-R3</x:v>
      </x:c>
      <x:c r="B959" s="10" t="str">
        <x:v>VOICE</x:v>
      </x:c>
      <x:c r="C959" s="10" t="str">
        <x:v>VOICE:S3-11:input</x:v>
      </x:c>
      <x:c r="D959" s="10" t="str">
        <x:v>VOICE:S3-11:expression</x:v>
      </x:c>
      <x:c r="E959" s="10" t="str">
        <x:v>["S3-11:quote-L"]</x:v>
      </x:c>
      <x:c r="F959" s="10" t="str">
        <x:v>["S3-11:quote-L"]</x:v>
      </x:c>
      <x:c r="G959" s="10" t="n">
        <x:f>IF(E959=F959,1,0)</x:f>
        <x:v>1</x:v>
      </x:c>
    </x:row>
    <x:row r="960" ht="55" customHeight="1">
      <x:c r="A960" s="10" t="str">
        <x:v>V-A</x:v>
      </x:c>
      <x:c r="B960" s="10" t="str">
        <x:v>VOICE</x:v>
      </x:c>
      <x:c r="C960" s="10" t="str">
        <x:v>VOICE:S3-12:input</x:v>
      </x:c>
      <x:c r="D960" s="10" t="str">
        <x:v>VOICE:S3-12:expression</x:v>
      </x:c>
      <x:c r="E960" s="10" t="str">
        <x:v>["S3-12:quote-L"]</x:v>
      </x:c>
      <x:c r="F960" s="10" t="str">
        <x:v>["S3-12:quote-L"]</x:v>
      </x:c>
      <x:c r="G960" s="10" t="n">
        <x:f>IF(E960=F960,1,0)</x:f>
        <x:v>1</x:v>
      </x:c>
    </x:row>
    <x:row r="961" ht="55" customHeight="1">
      <x:c r="A961" s="10" t="str">
        <x:v>V-R1</x:v>
      </x:c>
      <x:c r="B961" s="10" t="str">
        <x:v>VOICE</x:v>
      </x:c>
      <x:c r="C961" s="10" t="str">
        <x:v>VOICE:S3-12:input</x:v>
      </x:c>
      <x:c r="D961" s="10" t="str">
        <x:v>VOICE:S3-12:expression</x:v>
      </x:c>
      <x:c r="E961" s="10" t="str">
        <x:v>["S3-12:quote-L"]</x:v>
      </x:c>
      <x:c r="F961" s="10" t="str">
        <x:v>["S3-12:quote-L"]</x:v>
      </x:c>
      <x:c r="G961" s="10" t="n">
        <x:f>IF(E961=F961,1,0)</x:f>
        <x:v>1</x:v>
      </x:c>
    </x:row>
    <x:row r="962" ht="55" customHeight="1">
      <x:c r="A962" s="10" t="str">
        <x:v>V-R2</x:v>
      </x:c>
      <x:c r="B962" s="10" t="str">
        <x:v>VOICE</x:v>
      </x:c>
      <x:c r="C962" s="10" t="str">
        <x:v>VOICE:S3-12:input</x:v>
      </x:c>
      <x:c r="D962" s="10" t="str">
        <x:v>VOICE:S3-12:expression</x:v>
      </x:c>
      <x:c r="E962" s="10" t="str">
        <x:v>["S3-12:quote-L"]</x:v>
      </x:c>
      <x:c r="F962" s="10" t="str">
        <x:v>["S3-12:quote-L"]</x:v>
      </x:c>
      <x:c r="G962" s="10" t="n">
        <x:f>IF(E962=F962,1,0)</x:f>
        <x:v>1</x:v>
      </x:c>
    </x:row>
    <x:row r="963" ht="55" customHeight="1">
      <x:c r="A963" s="10" t="str">
        <x:v>V-R3</x:v>
      </x:c>
      <x:c r="B963" s="10" t="str">
        <x:v>VOICE</x:v>
      </x:c>
      <x:c r="C963" s="10" t="str">
        <x:v>VOICE:S3-12:input</x:v>
      </x:c>
      <x:c r="D963" s="10" t="str">
        <x:v>VOICE:S3-12:expression</x:v>
      </x:c>
      <x:c r="E963" s="10" t="str">
        <x:v>["S3-12:quote-L"]</x:v>
      </x:c>
      <x:c r="F963" s="10" t="str">
        <x:v>["S3-12:quote-L"]</x:v>
      </x:c>
      <x:c r="G963" s="10" t="n">
        <x:f>IF(E963=F963,1,0)</x:f>
        <x:v>1</x:v>
      </x:c>
    </x:row>
    <x:row r="964" ht="55" customHeight="1">
      <x:c r="A964" s="10" t="str">
        <x:v>V-A</x:v>
      </x:c>
      <x:c r="B964" s="10" t="str">
        <x:v>VOICE</x:v>
      </x:c>
      <x:c r="C964" s="10" t="str">
        <x:v>VOICE:S3-13:input</x:v>
      </x:c>
      <x:c r="D964" s="10" t="str">
        <x:v>VOICE:S3-13:expression</x:v>
      </x:c>
      <x:c r="E964" s="10" t="str">
        <x:v>["S3-13:quote-L"]</x:v>
      </x:c>
      <x:c r="F964" s="10" t="str">
        <x:v>["S3-13:quote-L"]</x:v>
      </x:c>
      <x:c r="G964" s="10" t="n">
        <x:f>IF(E964=F964,1,0)</x:f>
        <x:v>1</x:v>
      </x:c>
    </x:row>
    <x:row r="965" ht="55" customHeight="1">
      <x:c r="A965" s="10" t="str">
        <x:v>V-R1</x:v>
      </x:c>
      <x:c r="B965" s="10" t="str">
        <x:v>VOICE</x:v>
      </x:c>
      <x:c r="C965" s="10" t="str">
        <x:v>VOICE:S3-13:input</x:v>
      </x:c>
      <x:c r="D965" s="10" t="str">
        <x:v>VOICE:S3-13:expression</x:v>
      </x:c>
      <x:c r="E965" s="10" t="str">
        <x:v>["S3-13:quote-L"]</x:v>
      </x:c>
      <x:c r="F965" s="10" t="str">
        <x:v>["S3-13:quote-L"]</x:v>
      </x:c>
      <x:c r="G965" s="10" t="n">
        <x:f>IF(E965=F965,1,0)</x:f>
        <x:v>1</x:v>
      </x:c>
    </x:row>
    <x:row r="966" ht="55" customHeight="1">
      <x:c r="A966" s="10" t="str">
        <x:v>V-R2</x:v>
      </x:c>
      <x:c r="B966" s="10" t="str">
        <x:v>VOICE</x:v>
      </x:c>
      <x:c r="C966" s="10" t="str">
        <x:v>VOICE:S3-13:input</x:v>
      </x:c>
      <x:c r="D966" s="10" t="str">
        <x:v>VOICE:S3-13:expression</x:v>
      </x:c>
      <x:c r="E966" s="10" t="str">
        <x:v>["S3-13:quote-L"]</x:v>
      </x:c>
      <x:c r="F966" s="10" t="str">
        <x:v>["S3-13:quote-L"]</x:v>
      </x:c>
      <x:c r="G966" s="10" t="n">
        <x:f>IF(E966=F966,1,0)</x:f>
        <x:v>1</x:v>
      </x:c>
    </x:row>
    <x:row r="967" ht="55" customHeight="1">
      <x:c r="A967" s="10" t="str">
        <x:v>V-R3</x:v>
      </x:c>
      <x:c r="B967" s="10" t="str">
        <x:v>VOICE</x:v>
      </x:c>
      <x:c r="C967" s="10" t="str">
        <x:v>VOICE:S3-13:input</x:v>
      </x:c>
      <x:c r="D967" s="10" t="str">
        <x:v>VOICE:S3-13:expression</x:v>
      </x:c>
      <x:c r="E967" s="10" t="str">
        <x:v>["S3-13:quote-L"]</x:v>
      </x:c>
      <x:c r="F967" s="10" t="str">
        <x:v>["S3-13:quote-L"]</x:v>
      </x:c>
      <x:c r="G967" s="10" t="n">
        <x:f>IF(E967=F967,1,0)</x:f>
        <x:v>1</x:v>
      </x:c>
    </x:row>
    <x:row r="968" ht="55" customHeight="1">
      <x:c r="A968" s="10" t="str">
        <x:v>V-A</x:v>
      </x:c>
      <x:c r="B968" s="10" t="str">
        <x:v>VOICE</x:v>
      </x:c>
      <x:c r="C968" s="10" t="str">
        <x:v>VOICE:S3-14:input</x:v>
      </x:c>
      <x:c r="D968" s="10" t="str">
        <x:v>VOICE:S3-14:expression</x:v>
      </x:c>
      <x:c r="E968" s="10" t="str">
        <x:v>["S3-14:quote-L"]</x:v>
      </x:c>
      <x:c r="F968" s="10" t="str">
        <x:v>["S3-14:quote-L"]</x:v>
      </x:c>
      <x:c r="G968" s="10" t="n">
        <x:f>IF(E968=F968,1,0)</x:f>
        <x:v>1</x:v>
      </x:c>
    </x:row>
    <x:row r="969" ht="55" customHeight="1">
      <x:c r="A969" s="10" t="str">
        <x:v>V-R1</x:v>
      </x:c>
      <x:c r="B969" s="10" t="str">
        <x:v>VOICE</x:v>
      </x:c>
      <x:c r="C969" s="10" t="str">
        <x:v>VOICE:S3-14:input</x:v>
      </x:c>
      <x:c r="D969" s="10" t="str">
        <x:v>VOICE:S3-14:expression</x:v>
      </x:c>
      <x:c r="E969" s="10" t="str">
        <x:v>["S3-14:quote-L"]</x:v>
      </x:c>
      <x:c r="F969" s="10" t="str">
        <x:v>["S3-14:quote-L"]</x:v>
      </x:c>
      <x:c r="G969" s="10" t="n">
        <x:f>IF(E969=F969,1,0)</x:f>
        <x:v>1</x:v>
      </x:c>
    </x:row>
    <x:row r="970" ht="55" customHeight="1">
      <x:c r="A970" s="10" t="str">
        <x:v>V-R2</x:v>
      </x:c>
      <x:c r="B970" s="10" t="str">
        <x:v>VOICE</x:v>
      </x:c>
      <x:c r="C970" s="10" t="str">
        <x:v>VOICE:S3-14:input</x:v>
      </x:c>
      <x:c r="D970" s="10" t="str">
        <x:v>VOICE:S3-14:expression</x:v>
      </x:c>
      <x:c r="E970" s="10" t="str">
        <x:v>["S3-14:quote-L"]</x:v>
      </x:c>
      <x:c r="F970" s="10" t="str">
        <x:v>["S3-14:quote-L"]</x:v>
      </x:c>
      <x:c r="G970" s="10" t="n">
        <x:f>IF(E970=F970,1,0)</x:f>
        <x:v>1</x:v>
      </x:c>
    </x:row>
    <x:row r="971" ht="55" customHeight="1">
      <x:c r="A971" s="10" t="str">
        <x:v>V-R3</x:v>
      </x:c>
      <x:c r="B971" s="10" t="str">
        <x:v>VOICE</x:v>
      </x:c>
      <x:c r="C971" s="10" t="str">
        <x:v>VOICE:S3-14:input</x:v>
      </x:c>
      <x:c r="D971" s="10" t="str">
        <x:v>VOICE:S3-14:expression</x:v>
      </x:c>
      <x:c r="E971" s="10" t="str">
        <x:v>["S3-14:quote-L"]</x:v>
      </x:c>
      <x:c r="F971" s="10" t="str">
        <x:v>["S3-14:quote-L"]</x:v>
      </x:c>
      <x:c r="G971" s="10" t="n">
        <x:f>IF(E971=F971,1,0)</x:f>
        <x:v>1</x:v>
      </x:c>
    </x:row>
    <x:row r="972" ht="55" customHeight="1">
      <x:c r="A972" s="10" t="str">
        <x:v>V-A</x:v>
      </x:c>
      <x:c r="B972" s="10" t="str">
        <x:v>VOICE</x:v>
      </x:c>
      <x:c r="C972" s="10" t="str">
        <x:v>VOICE:S3-15:input</x:v>
      </x:c>
      <x:c r="D972" s="10" t="str">
        <x:v>VOICE:S3-15:expression</x:v>
      </x:c>
      <x:c r="E972" s="10" t="str">
        <x:v>["S3-15:quote-L"]</x:v>
      </x:c>
      <x:c r="F972" s="10" t="str">
        <x:v>["S3-15:quote-L"]</x:v>
      </x:c>
      <x:c r="G972" s="10" t="n">
        <x:f>IF(E972=F972,1,0)</x:f>
        <x:v>1</x:v>
      </x:c>
    </x:row>
    <x:row r="973" ht="55" customHeight="1">
      <x:c r="A973" s="10" t="str">
        <x:v>V-R1</x:v>
      </x:c>
      <x:c r="B973" s="10" t="str">
        <x:v>VOICE</x:v>
      </x:c>
      <x:c r="C973" s="10" t="str">
        <x:v>VOICE:S3-15:input</x:v>
      </x:c>
      <x:c r="D973" s="10" t="str">
        <x:v>VOICE:S3-15:expression</x:v>
      </x:c>
      <x:c r="E973" s="10" t="str">
        <x:v>["S3-15:quote-L"]</x:v>
      </x:c>
      <x:c r="F973" s="10" t="str">
        <x:v>["S3-15:quote-L"]</x:v>
      </x:c>
      <x:c r="G973" s="10" t="n">
        <x:f>IF(E973=F973,1,0)</x:f>
        <x:v>1</x:v>
      </x:c>
    </x:row>
    <x:row r="974" ht="55" customHeight="1">
      <x:c r="A974" s="10" t="str">
        <x:v>V-R2</x:v>
      </x:c>
      <x:c r="B974" s="10" t="str">
        <x:v>VOICE</x:v>
      </x:c>
      <x:c r="C974" s="10" t="str">
        <x:v>VOICE:S3-15:input</x:v>
      </x:c>
      <x:c r="D974" s="10" t="str">
        <x:v>VOICE:S3-15:expression</x:v>
      </x:c>
      <x:c r="E974" s="10" t="str">
        <x:v>["S3-15:quote-L"]</x:v>
      </x:c>
      <x:c r="F974" s="10" t="str">
        <x:v>["S3-15:quote-L"]</x:v>
      </x:c>
      <x:c r="G974" s="10" t="n">
        <x:f>IF(E974=F974,1,0)</x:f>
        <x:v>1</x:v>
      </x:c>
    </x:row>
    <x:row r="975" ht="55" customHeight="1">
      <x:c r="A975" s="10" t="str">
        <x:v>V-R3</x:v>
      </x:c>
      <x:c r="B975" s="10" t="str">
        <x:v>VOICE</x:v>
      </x:c>
      <x:c r="C975" s="10" t="str">
        <x:v>VOICE:S3-15:input</x:v>
      </x:c>
      <x:c r="D975" s="10" t="str">
        <x:v>VOICE:S3-15:expression</x:v>
      </x:c>
      <x:c r="E975" s="10" t="str">
        <x:v>["S3-15:quote-L"]</x:v>
      </x:c>
      <x:c r="F975" s="10" t="str">
        <x:v>["S3-15:quote-L"]</x:v>
      </x:c>
      <x:c r="G975" s="10" t="n">
        <x:f>IF(E975=F975,1,0)</x:f>
        <x:v>1</x:v>
      </x:c>
    </x:row>
    <x:row r="976" ht="55" customHeight="1">
      <x:c r="A976" s="10" t="str">
        <x:v>V-A</x:v>
      </x:c>
      <x:c r="B976" s="10" t="str">
        <x:v>VOICE</x:v>
      </x:c>
      <x:c r="C976" s="10" t="str">
        <x:v>VOICE:S3-16:input</x:v>
      </x:c>
      <x:c r="D976" s="10" t="str">
        <x:v>VOICE:S3-16:expression</x:v>
      </x:c>
      <x:c r="E976" s="10" t="str">
        <x:v>["S3-16:quote-L"]</x:v>
      </x:c>
      <x:c r="F976" s="10" t="str">
        <x:v>["S3-16:quote-L"]</x:v>
      </x:c>
      <x:c r="G976" s="10" t="n">
        <x:f>IF(E976=F976,1,0)</x:f>
        <x:v>1</x:v>
      </x:c>
    </x:row>
    <x:row r="977" ht="55" customHeight="1">
      <x:c r="A977" s="10" t="str">
        <x:v>V-R1</x:v>
      </x:c>
      <x:c r="B977" s="10" t="str">
        <x:v>VOICE</x:v>
      </x:c>
      <x:c r="C977" s="10" t="str">
        <x:v>VOICE:S3-16:input</x:v>
      </x:c>
      <x:c r="D977" s="10" t="str">
        <x:v>VOICE:S3-16:expression</x:v>
      </x:c>
      <x:c r="E977" s="10" t="str">
        <x:v>["S3-16:quote-L"]</x:v>
      </x:c>
      <x:c r="F977" s="10" t="str">
        <x:v>["S3-16:quote-L"]</x:v>
      </x:c>
      <x:c r="G977" s="10" t="n">
        <x:f>IF(E977=F977,1,0)</x:f>
        <x:v>1</x:v>
      </x:c>
    </x:row>
    <x:row r="978" ht="55" customHeight="1">
      <x:c r="A978" s="10" t="str">
        <x:v>V-R2</x:v>
      </x:c>
      <x:c r="B978" s="10" t="str">
        <x:v>VOICE</x:v>
      </x:c>
      <x:c r="C978" s="10" t="str">
        <x:v>VOICE:S3-16:input</x:v>
      </x:c>
      <x:c r="D978" s="10" t="str">
        <x:v>VOICE:S3-16:expression</x:v>
      </x:c>
      <x:c r="E978" s="10" t="str">
        <x:v>["S3-16:quote-L"]</x:v>
      </x:c>
      <x:c r="F978" s="10" t="str">
        <x:v>["S3-16:quote-L"]</x:v>
      </x:c>
      <x:c r="G978" s="10" t="n">
        <x:f>IF(E978=F978,1,0)</x:f>
        <x:v>1</x:v>
      </x:c>
    </x:row>
    <x:row r="979" ht="55" customHeight="1">
      <x:c r="A979" s="10" t="str">
        <x:v>V-R3</x:v>
      </x:c>
      <x:c r="B979" s="10" t="str">
        <x:v>VOICE</x:v>
      </x:c>
      <x:c r="C979" s="10" t="str">
        <x:v>VOICE:S3-16:input</x:v>
      </x:c>
      <x:c r="D979" s="10" t="str">
        <x:v>VOICE:S3-16:expression</x:v>
      </x:c>
      <x:c r="E979" s="10" t="str">
        <x:v>["S3-16:quote-L"]</x:v>
      </x:c>
      <x:c r="F979" s="10" t="str">
        <x:v>["S3-16:quote-L"]</x:v>
      </x:c>
      <x:c r="G979" s="10" t="n">
        <x:f>IF(E979=F979,1,0)</x:f>
        <x:v>1</x:v>
      </x:c>
    </x:row>
    <x:row r="980" ht="55" customHeight="1">
      <x:c r="A980" s="10" t="str">
        <x:v>V-A</x:v>
      </x:c>
      <x:c r="B980" s="10" t="str">
        <x:v>VOICE</x:v>
      </x:c>
      <x:c r="C980" s="10" t="str">
        <x:v>VOICE:S3-17:input</x:v>
      </x:c>
      <x:c r="D980" s="10" t="str">
        <x:v>VOICE:S3-17:expression</x:v>
      </x:c>
      <x:c r="E980" s="10" t="str">
        <x:v>["S3-17:quote-L"]</x:v>
      </x:c>
      <x:c r="F980" s="10" t="str">
        <x:v>["S3-17:quote-L"]</x:v>
      </x:c>
      <x:c r="G980" s="10" t="n">
        <x:f>IF(E980=F980,1,0)</x:f>
        <x:v>1</x:v>
      </x:c>
    </x:row>
    <x:row r="981" ht="55" customHeight="1">
      <x:c r="A981" s="10" t="str">
        <x:v>V-R1</x:v>
      </x:c>
      <x:c r="B981" s="10" t="str">
        <x:v>VOICE</x:v>
      </x:c>
      <x:c r="C981" s="10" t="str">
        <x:v>VOICE:S3-17:input</x:v>
      </x:c>
      <x:c r="D981" s="10" t="str">
        <x:v>VOICE:S3-17:expression</x:v>
      </x:c>
      <x:c r="E981" s="10" t="str">
        <x:v>["S3-17:quote-L"]</x:v>
      </x:c>
      <x:c r="F981" s="10" t="str">
        <x:v>["S3-17:quote-L"]</x:v>
      </x:c>
      <x:c r="G981" s="10" t="n">
        <x:f>IF(E981=F981,1,0)</x:f>
        <x:v>1</x:v>
      </x:c>
    </x:row>
    <x:row r="982" ht="55" customHeight="1">
      <x:c r="A982" s="10" t="str">
        <x:v>V-R2</x:v>
      </x:c>
      <x:c r="B982" s="10" t="str">
        <x:v>VOICE</x:v>
      </x:c>
      <x:c r="C982" s="10" t="str">
        <x:v>VOICE:S3-17:input</x:v>
      </x:c>
      <x:c r="D982" s="10" t="str">
        <x:v>VOICE:S3-17:expression</x:v>
      </x:c>
      <x:c r="E982" s="10" t="str">
        <x:v>["S3-17:quote-L"]</x:v>
      </x:c>
      <x:c r="F982" s="10" t="str">
        <x:v>["S3-17:quote-L"]</x:v>
      </x:c>
      <x:c r="G982" s="10" t="n">
        <x:f>IF(E982=F982,1,0)</x:f>
        <x:v>1</x:v>
      </x:c>
    </x:row>
    <x:row r="983" ht="55" customHeight="1">
      <x:c r="A983" s="10" t="str">
        <x:v>V-R3</x:v>
      </x:c>
      <x:c r="B983" s="10" t="str">
        <x:v>VOICE</x:v>
      </x:c>
      <x:c r="C983" s="10" t="str">
        <x:v>VOICE:S3-17:input</x:v>
      </x:c>
      <x:c r="D983" s="10" t="str">
        <x:v>VOICE:S3-17:expression</x:v>
      </x:c>
      <x:c r="E983" s="10" t="str">
        <x:v>["S3-17:quote-L"]</x:v>
      </x:c>
      <x:c r="F983" s="10" t="str">
        <x:v>["S3-17:quote-L"]</x:v>
      </x:c>
      <x:c r="G983" s="10" t="n">
        <x:f>IF(E983=F983,1,0)</x:f>
        <x:v>1</x:v>
      </x:c>
    </x:row>
    <x:row r="984" ht="55" customHeight="1">
      <x:c r="A984" s="10" t="str">
        <x:v>V-A</x:v>
      </x:c>
      <x:c r="B984" s="10" t="str">
        <x:v>VOICE</x:v>
      </x:c>
      <x:c r="C984" s="10" t="str">
        <x:v>VOICE:S3-18:input</x:v>
      </x:c>
      <x:c r="D984" s="10" t="str">
        <x:v>VOICE:S3-18:expression</x:v>
      </x:c>
      <x:c r="E984" s="10" t="str">
        <x:v>["S3-18:quote-L"]</x:v>
      </x:c>
      <x:c r="F984" s="10" t="str">
        <x:v>["S3-18:quote-L"]</x:v>
      </x:c>
      <x:c r="G984" s="10" t="n">
        <x:f>IF(E984=F984,1,0)</x:f>
        <x:v>1</x:v>
      </x:c>
    </x:row>
    <x:row r="985" ht="55" customHeight="1">
      <x:c r="A985" s="10" t="str">
        <x:v>V-R1</x:v>
      </x:c>
      <x:c r="B985" s="10" t="str">
        <x:v>VOICE</x:v>
      </x:c>
      <x:c r="C985" s="10" t="str">
        <x:v>VOICE:S3-18:input</x:v>
      </x:c>
      <x:c r="D985" s="10" t="str">
        <x:v>VOICE:S3-18:expression</x:v>
      </x:c>
      <x:c r="E985" s="10" t="str">
        <x:v>["S3-18:quote-L"]</x:v>
      </x:c>
      <x:c r="F985" s="10" t="str">
        <x:v>["S3-18:quote-L"]</x:v>
      </x:c>
      <x:c r="G985" s="10" t="n">
        <x:f>IF(E985=F985,1,0)</x:f>
        <x:v>1</x:v>
      </x:c>
    </x:row>
    <x:row r="986" ht="55" customHeight="1">
      <x:c r="A986" s="10" t="str">
        <x:v>V-R2</x:v>
      </x:c>
      <x:c r="B986" s="10" t="str">
        <x:v>VOICE</x:v>
      </x:c>
      <x:c r="C986" s="10" t="str">
        <x:v>VOICE:S3-18:input</x:v>
      </x:c>
      <x:c r="D986" s="10" t="str">
        <x:v>VOICE:S3-18:expression</x:v>
      </x:c>
      <x:c r="E986" s="10" t="str">
        <x:v>["S3-18:quote-L"]</x:v>
      </x:c>
      <x:c r="F986" s="10" t="str">
        <x:v>["S3-18:quote-L"]</x:v>
      </x:c>
      <x:c r="G986" s="10" t="n">
        <x:f>IF(E986=F986,1,0)</x:f>
        <x:v>1</x:v>
      </x:c>
    </x:row>
    <x:row r="987" ht="55" customHeight="1">
      <x:c r="A987" s="10" t="str">
        <x:v>V-R3</x:v>
      </x:c>
      <x:c r="B987" s="10" t="str">
        <x:v>VOICE</x:v>
      </x:c>
      <x:c r="C987" s="10" t="str">
        <x:v>VOICE:S3-18:input</x:v>
      </x:c>
      <x:c r="D987" s="10" t="str">
        <x:v>VOICE:S3-18:expression</x:v>
      </x:c>
      <x:c r="E987" s="10" t="str">
        <x:v>["S3-18:quote-L"]</x:v>
      </x:c>
      <x:c r="F987" s="10" t="str">
        <x:v>["S3-18:quote-L"]</x:v>
      </x:c>
      <x:c r="G987" s="10" t="n">
        <x:f>IF(E987=F987,1,0)</x:f>
        <x:v>1</x:v>
      </x:c>
    </x:row>
    <x:row r="988" ht="55" customHeight="1">
      <x:c r="A988" s="10" t="str">
        <x:v>V-A</x:v>
      </x:c>
      <x:c r="B988" s="10" t="str">
        <x:v>VOICE</x:v>
      </x:c>
      <x:c r="C988" s="10" t="str">
        <x:v>VOICE:S3-19:input</x:v>
      </x:c>
      <x:c r="D988" s="10" t="str">
        <x:v>VOICE:S3-19:expression</x:v>
      </x:c>
      <x:c r="E988" s="10" t="str">
        <x:v>["S3-19:quote-L"]</x:v>
      </x:c>
      <x:c r="F988" s="10" t="str">
        <x:v>["S3-19:quote-L"]</x:v>
      </x:c>
      <x:c r="G988" s="10" t="n">
        <x:f>IF(E988=F988,1,0)</x:f>
        <x:v>1</x:v>
      </x:c>
    </x:row>
    <x:row r="989" ht="55" customHeight="1">
      <x:c r="A989" s="10" t="str">
        <x:v>V-R1</x:v>
      </x:c>
      <x:c r="B989" s="10" t="str">
        <x:v>VOICE</x:v>
      </x:c>
      <x:c r="C989" s="10" t="str">
        <x:v>VOICE:S3-19:input</x:v>
      </x:c>
      <x:c r="D989" s="10" t="str">
        <x:v>VOICE:S3-19:expression</x:v>
      </x:c>
      <x:c r="E989" s="10" t="str">
        <x:v>["S3-19:quote-L"]</x:v>
      </x:c>
      <x:c r="F989" s="10" t="str">
        <x:v>["S3-19:quote-L"]</x:v>
      </x:c>
      <x:c r="G989" s="10" t="n">
        <x:f>IF(E989=F989,1,0)</x:f>
        <x:v>1</x:v>
      </x:c>
    </x:row>
    <x:row r="990" ht="55" customHeight="1">
      <x:c r="A990" s="10" t="str">
        <x:v>V-R2</x:v>
      </x:c>
      <x:c r="B990" s="10" t="str">
        <x:v>VOICE</x:v>
      </x:c>
      <x:c r="C990" s="10" t="str">
        <x:v>VOICE:S3-19:input</x:v>
      </x:c>
      <x:c r="D990" s="10" t="str">
        <x:v>VOICE:S3-19:expression</x:v>
      </x:c>
      <x:c r="E990" s="10" t="str">
        <x:v>["S3-19:quote-L"]</x:v>
      </x:c>
      <x:c r="F990" s="10" t="str">
        <x:v>["S3-19:quote-L"]</x:v>
      </x:c>
      <x:c r="G990" s="10" t="n">
        <x:f>IF(E990=F990,1,0)</x:f>
        <x:v>1</x:v>
      </x:c>
    </x:row>
    <x:row r="991" ht="55" customHeight="1">
      <x:c r="A991" s="10" t="str">
        <x:v>V-R3</x:v>
      </x:c>
      <x:c r="B991" s="10" t="str">
        <x:v>VOICE</x:v>
      </x:c>
      <x:c r="C991" s="10" t="str">
        <x:v>VOICE:S3-19:input</x:v>
      </x:c>
      <x:c r="D991" s="10" t="str">
        <x:v>VOICE:S3-19:expression</x:v>
      </x:c>
      <x:c r="E991" s="10" t="str">
        <x:v>["S3-19:quote-L"]</x:v>
      </x:c>
      <x:c r="F991" s="10" t="str">
        <x:v>["S3-19:quote-L"]</x:v>
      </x:c>
      <x:c r="G991" s="10" t="n">
        <x:f>IF(E991=F991,1,0)</x:f>
        <x:v>1</x:v>
      </x:c>
    </x:row>
    <x:row r="992" ht="55" customHeight="1">
      <x:c r="A992" s="10" t="str">
        <x:v>V-A</x:v>
      </x:c>
      <x:c r="B992" s="10" t="str">
        <x:v>VOICE</x:v>
      </x:c>
      <x:c r="C992" s="10" t="str">
        <x:v>VOICE:S3-20:input</x:v>
      </x:c>
      <x:c r="D992" s="10" t="str">
        <x:v>VOICE:S3-20:expression</x:v>
      </x:c>
      <x:c r="E992" s="10" t="str">
        <x:v>["S3-20:quote-L"]</x:v>
      </x:c>
      <x:c r="F992" s="10" t="str">
        <x:v>["S3-20:quote-L"]</x:v>
      </x:c>
      <x:c r="G992" s="10" t="n">
        <x:f>IF(E992=F992,1,0)</x:f>
        <x:v>1</x:v>
      </x:c>
    </x:row>
    <x:row r="993" ht="55" customHeight="1">
      <x:c r="A993" s="10" t="str">
        <x:v>V-R1</x:v>
      </x:c>
      <x:c r="B993" s="10" t="str">
        <x:v>VOICE</x:v>
      </x:c>
      <x:c r="C993" s="10" t="str">
        <x:v>VOICE:S3-20:input</x:v>
      </x:c>
      <x:c r="D993" s="10" t="str">
        <x:v>VOICE:S3-20:expression</x:v>
      </x:c>
      <x:c r="E993" s="10" t="str">
        <x:v>["S3-20:quote-L"]</x:v>
      </x:c>
      <x:c r="F993" s="10" t="str">
        <x:v>["S3-20:quote-L"]</x:v>
      </x:c>
      <x:c r="G993" s="10" t="n">
        <x:f>IF(E993=F993,1,0)</x:f>
        <x:v>1</x:v>
      </x:c>
    </x:row>
    <x:row r="994" ht="55" customHeight="1">
      <x:c r="A994" s="10" t="str">
        <x:v>V-R2</x:v>
      </x:c>
      <x:c r="B994" s="10" t="str">
        <x:v>VOICE</x:v>
      </x:c>
      <x:c r="C994" s="10" t="str">
        <x:v>VOICE:S3-20:input</x:v>
      </x:c>
      <x:c r="D994" s="10" t="str">
        <x:v>VOICE:S3-20:expression</x:v>
      </x:c>
      <x:c r="E994" s="10" t="str">
        <x:v>["S3-20:quote-L"]</x:v>
      </x:c>
      <x:c r="F994" s="10" t="str">
        <x:v>["S3-20:quote-L"]</x:v>
      </x:c>
      <x:c r="G994" s="10" t="n">
        <x:f>IF(E994=F994,1,0)</x:f>
        <x:v>1</x:v>
      </x:c>
    </x:row>
    <x:row r="995" ht="55" customHeight="1">
      <x:c r="A995" s="10" t="str">
        <x:v>V-R3</x:v>
      </x:c>
      <x:c r="B995" s="10" t="str">
        <x:v>VOICE</x:v>
      </x:c>
      <x:c r="C995" s="10" t="str">
        <x:v>VOICE:S3-20:input</x:v>
      </x:c>
      <x:c r="D995" s="10" t="str">
        <x:v>VOICE:S3-20:expression</x:v>
      </x:c>
      <x:c r="E995" s="10" t="str">
        <x:v>["S3-20:quote-L"]</x:v>
      </x:c>
      <x:c r="F995" s="10" t="str">
        <x:v>["S3-20:quote-L"]</x:v>
      </x:c>
      <x:c r="G995" s="10" t="n">
        <x:f>IF(E995=F995,1,0)</x:f>
        <x:v>1</x:v>
      </x:c>
    </x:row>
    <x:row r="996" ht="55" customHeight="1">
      <x:c r="A996" s="10" t="str">
        <x:v>V-A</x:v>
      </x:c>
      <x:c r="B996" s="10" t="str">
        <x:v>VOICE</x:v>
      </x:c>
      <x:c r="C996" s="10" t="str">
        <x:v>VOICE:S4-01:input</x:v>
      </x:c>
      <x:c r="D996" s="10" t="str">
        <x:v>VOICE:S4-01:expression</x:v>
      </x:c>
      <x:c r="E996" s="10" t="str">
        <x:v>["S4-01:quote-L","S4-01:quote-R"]</x:v>
      </x:c>
      <x:c r="F996" s="10" t="str">
        <x:v>["S4-01:quote-L","S4-01:quote-Z"]</x:v>
      </x:c>
      <x:c r="G996" s="10" t="n">
        <x:f>IF(E996=F996,1,0)</x:f>
        <x:v>0</x:v>
      </x:c>
    </x:row>
    <x:row r="997" ht="55" customHeight="1">
      <x:c r="A997" s="10" t="str">
        <x:v>V-R1</x:v>
      </x:c>
      <x:c r="B997" s="10" t="str">
        <x:v>VOICE</x:v>
      </x:c>
      <x:c r="C997" s="10" t="str">
        <x:v>VOICE:S4-01:input</x:v>
      </x:c>
      <x:c r="D997" s="10" t="str">
        <x:v>VOICE:S4-01:expression</x:v>
      </x:c>
      <x:c r="E997" s="10" t="str">
        <x:v>["S4-01:quote-L","S4-01:quote-R"]</x:v>
      </x:c>
      <x:c r="F997" s="10" t="str">
        <x:v>["S4-01:quote-L","S4-01:quote-R"]</x:v>
      </x:c>
      <x:c r="G997" s="10" t="n">
        <x:f>IF(E997=F997,1,0)</x:f>
        <x:v>1</x:v>
      </x:c>
    </x:row>
    <x:row r="998" ht="55" customHeight="1">
      <x:c r="A998" s="10" t="str">
        <x:v>V-R2</x:v>
      </x:c>
      <x:c r="B998" s="10" t="str">
        <x:v>VOICE</x:v>
      </x:c>
      <x:c r="C998" s="10" t="str">
        <x:v>VOICE:S4-01:input</x:v>
      </x:c>
      <x:c r="D998" s="10" t="str">
        <x:v>VOICE:S4-01:expression</x:v>
      </x:c>
      <x:c r="E998" s="10" t="str">
        <x:v>["S4-01:quote-L","S4-01:quote-R"]</x:v>
      </x:c>
      <x:c r="F998" s="10" t="str">
        <x:v>["S4-01:quote-L","S4-01:quote-R"]</x:v>
      </x:c>
      <x:c r="G998" s="10" t="n">
        <x:f>IF(E998=F998,1,0)</x:f>
        <x:v>1</x:v>
      </x:c>
    </x:row>
    <x:row r="999" ht="55" customHeight="1">
      <x:c r="A999" s="10" t="str">
        <x:v>V-R3</x:v>
      </x:c>
      <x:c r="B999" s="10" t="str">
        <x:v>VOICE</x:v>
      </x:c>
      <x:c r="C999" s="10" t="str">
        <x:v>VOICE:S4-01:input</x:v>
      </x:c>
      <x:c r="D999" s="10" t="str">
        <x:v>VOICE:S4-01:expression</x:v>
      </x:c>
      <x:c r="E999" s="10" t="str">
        <x:v>["S4-01:quote-L","S4-01:quote-R"]</x:v>
      </x:c>
      <x:c r="F999" s="10" t="str">
        <x:v>["S4-01:quote-L","S4-01:quote-R"]</x:v>
      </x:c>
      <x:c r="G999" s="10" t="n">
        <x:f>IF(E999=F999,1,0)</x:f>
        <x:v>1</x:v>
      </x:c>
    </x:row>
    <x:row r="1000" ht="55" customHeight="1">
      <x:c r="A1000" s="10" t="str">
        <x:v>V-A</x:v>
      </x:c>
      <x:c r="B1000" s="10" t="str">
        <x:v>VOICE</x:v>
      </x:c>
      <x:c r="C1000" s="10" t="str">
        <x:v>VOICE:S4-02:input</x:v>
      </x:c>
      <x:c r="D1000" s="10" t="str">
        <x:v>VOICE:S4-02:expression</x:v>
      </x:c>
      <x:c r="E1000" s="10" t="str">
        <x:v>["S4-02:quote-L","S4-02:quote-R"]</x:v>
      </x:c>
      <x:c r="F1000" s="10" t="str">
        <x:v>["S4-02:quote-L","S4-02:quote-Z"]</x:v>
      </x:c>
      <x:c r="G1000" s="10" t="n">
        <x:f>IF(E1000=F1000,1,0)</x:f>
        <x:v>0</x:v>
      </x:c>
    </x:row>
    <x:row r="1001" ht="55" customHeight="1">
      <x:c r="A1001" s="10" t="str">
        <x:v>V-R1</x:v>
      </x:c>
      <x:c r="B1001" s="10" t="str">
        <x:v>VOICE</x:v>
      </x:c>
      <x:c r="C1001" s="10" t="str">
        <x:v>VOICE:S4-02:input</x:v>
      </x:c>
      <x:c r="D1001" s="10" t="str">
        <x:v>VOICE:S4-02:expression</x:v>
      </x:c>
      <x:c r="E1001" s="10" t="str">
        <x:v>["S4-02:quote-L","S4-02:quote-R"]</x:v>
      </x:c>
      <x:c r="F1001" s="10" t="str">
        <x:v>["S4-02:quote-L","S4-02:quote-Z"]</x:v>
      </x:c>
      <x:c r="G1001" s="10" t="n">
        <x:f>IF(E1001=F1001,1,0)</x:f>
        <x:v>0</x:v>
      </x:c>
    </x:row>
    <x:row r="1002" ht="55" customHeight="1">
      <x:c r="A1002" s="10" t="str">
        <x:v>V-R2</x:v>
      </x:c>
      <x:c r="B1002" s="10" t="str">
        <x:v>VOICE</x:v>
      </x:c>
      <x:c r="C1002" s="10" t="str">
        <x:v>VOICE:S4-02:input</x:v>
      </x:c>
      <x:c r="D1002" s="10" t="str">
        <x:v>VOICE:S4-02:expression</x:v>
      </x:c>
      <x:c r="E1002" s="10" t="str">
        <x:v>["S4-02:quote-L","S4-02:quote-R"]</x:v>
      </x:c>
      <x:c r="F1002" s="10" t="str">
        <x:v>["S4-02:quote-L","S4-02:quote-Z"]</x:v>
      </x:c>
      <x:c r="G1002" s="10" t="n">
        <x:f>IF(E1002=F1002,1,0)</x:f>
        <x:v>0</x:v>
      </x:c>
    </x:row>
    <x:row r="1003" ht="55" customHeight="1">
      <x:c r="A1003" s="10" t="str">
        <x:v>V-R3</x:v>
      </x:c>
      <x:c r="B1003" s="10" t="str">
        <x:v>VOICE</x:v>
      </x:c>
      <x:c r="C1003" s="10" t="str">
        <x:v>VOICE:S4-02:input</x:v>
      </x:c>
      <x:c r="D1003" s="10" t="str">
        <x:v>VOICE:S4-02:expression</x:v>
      </x:c>
      <x:c r="E1003" s="10" t="str">
        <x:v>["S4-02:quote-L","S4-02:quote-R"]</x:v>
      </x:c>
      <x:c r="F1003" s="10" t="str">
        <x:v>["S4-02:quote-L","S4-02:quote-Z"]</x:v>
      </x:c>
      <x:c r="G1003" s="10" t="n">
        <x:f>IF(E1003=F1003,1,0)</x:f>
        <x:v>0</x:v>
      </x:c>
    </x:row>
    <x:row r="1004" ht="55" customHeight="1">
      <x:c r="A1004" s="10" t="str">
        <x:v>V-A</x:v>
      </x:c>
      <x:c r="B1004" s="10" t="str">
        <x:v>VOICE</x:v>
      </x:c>
      <x:c r="C1004" s="10" t="str">
        <x:v>VOICE:S4-03:input</x:v>
      </x:c>
      <x:c r="D1004" s="10" t="str">
        <x:v>VOICE:S4-03:expression</x:v>
      </x:c>
      <x:c r="E1004" s="10" t="str">
        <x:v>["S4-03:quote-L","S4-03:quote-R"]</x:v>
      </x:c>
      <x:c r="F1004" s="10" t="str">
        <x:v>["S4-03:quote-L","S4-03:quote-R"]</x:v>
      </x:c>
      <x:c r="G1004" s="10" t="n">
        <x:f>IF(E1004=F1004,1,0)</x:f>
        <x:v>1</x:v>
      </x:c>
    </x:row>
    <x:row r="1005" ht="55" customHeight="1">
      <x:c r="A1005" s="10" t="str">
        <x:v>V-R1</x:v>
      </x:c>
      <x:c r="B1005" s="10" t="str">
        <x:v>VOICE</x:v>
      </x:c>
      <x:c r="C1005" s="10" t="str">
        <x:v>VOICE:S4-03:input</x:v>
      </x:c>
      <x:c r="D1005" s="10" t="str">
        <x:v>VOICE:S4-03:expression</x:v>
      </x:c>
      <x:c r="E1005" s="10" t="str">
        <x:v>["S4-03:quote-L","S4-03:quote-R"]</x:v>
      </x:c>
      <x:c r="F1005" s="10" t="str">
        <x:v>["S4-03:quote-L","S4-03:quote-R"]</x:v>
      </x:c>
      <x:c r="G1005" s="10" t="n">
        <x:f>IF(E1005=F1005,1,0)</x:f>
        <x:v>1</x:v>
      </x:c>
    </x:row>
    <x:row r="1006" ht="55" customHeight="1">
      <x:c r="A1006" s="10" t="str">
        <x:v>V-R2</x:v>
      </x:c>
      <x:c r="B1006" s="10" t="str">
        <x:v>VOICE</x:v>
      </x:c>
      <x:c r="C1006" s="10" t="str">
        <x:v>VOICE:S4-03:input</x:v>
      </x:c>
      <x:c r="D1006" s="10" t="str">
        <x:v>VOICE:S4-03:expression</x:v>
      </x:c>
      <x:c r="E1006" s="10" t="str">
        <x:v>["S4-03:quote-L","S4-03:quote-R"]</x:v>
      </x:c>
      <x:c r="F1006" s="10" t="str">
        <x:v>["S4-03:quote-L","S4-03:quote-R"]</x:v>
      </x:c>
      <x:c r="G1006" s="10" t="n">
        <x:f>IF(E1006=F1006,1,0)</x:f>
        <x:v>1</x:v>
      </x:c>
    </x:row>
    <x:row r="1007" ht="55" customHeight="1">
      <x:c r="A1007" s="10" t="str">
        <x:v>V-R3</x:v>
      </x:c>
      <x:c r="B1007" s="10" t="str">
        <x:v>VOICE</x:v>
      </x:c>
      <x:c r="C1007" s="10" t="str">
        <x:v>VOICE:S4-03:input</x:v>
      </x:c>
      <x:c r="D1007" s="10" t="str">
        <x:v>VOICE:S4-03:expression</x:v>
      </x:c>
      <x:c r="E1007" s="10" t="str">
        <x:v>["S4-03:quote-L","S4-03:quote-R"]</x:v>
      </x:c>
      <x:c r="F1007" s="10" t="str">
        <x:v>["S4-03:quote-L","S4-03:quote-R"]</x:v>
      </x:c>
      <x:c r="G1007" s="10" t="n">
        <x:f>IF(E1007=F1007,1,0)</x:f>
        <x:v>1</x:v>
      </x:c>
    </x:row>
    <x:row r="1008" ht="55" customHeight="1">
      <x:c r="A1008" s="10" t="str">
        <x:v>V-A</x:v>
      </x:c>
      <x:c r="B1008" s="10" t="str">
        <x:v>VOICE</x:v>
      </x:c>
      <x:c r="C1008" s="10" t="str">
        <x:v>VOICE:S4-04:input</x:v>
      </x:c>
      <x:c r="D1008" s="10" t="str">
        <x:v>VOICE:S4-04:expression</x:v>
      </x:c>
      <x:c r="E1008" s="10" t="str">
        <x:v>["S4-04:quote-L","S4-04:quote-R"]</x:v>
      </x:c>
      <x:c r="F1008" s="10" t="str">
        <x:v>["S4-04:quote-L","S4-04:quote-R"]</x:v>
      </x:c>
      <x:c r="G1008" s="10" t="n">
        <x:f>IF(E1008=F1008,1,0)</x:f>
        <x:v>1</x:v>
      </x:c>
    </x:row>
    <x:row r="1009" ht="55" customHeight="1">
      <x:c r="A1009" s="10" t="str">
        <x:v>V-R1</x:v>
      </x:c>
      <x:c r="B1009" s="10" t="str">
        <x:v>VOICE</x:v>
      </x:c>
      <x:c r="C1009" s="10" t="str">
        <x:v>VOICE:S4-04:input</x:v>
      </x:c>
      <x:c r="D1009" s="10" t="str">
        <x:v>VOICE:S4-04:expression</x:v>
      </x:c>
      <x:c r="E1009" s="10" t="str">
        <x:v>["S4-04:quote-L","S4-04:quote-R"]</x:v>
      </x:c>
      <x:c r="F1009" s="10" t="str">
        <x:v>["S4-04:quote-L","S4-04:quote-R"]</x:v>
      </x:c>
      <x:c r="G1009" s="10" t="n">
        <x:f>IF(E1009=F1009,1,0)</x:f>
        <x:v>1</x:v>
      </x:c>
    </x:row>
    <x:row r="1010" ht="55" customHeight="1">
      <x:c r="A1010" s="10" t="str">
        <x:v>V-R2</x:v>
      </x:c>
      <x:c r="B1010" s="10" t="str">
        <x:v>VOICE</x:v>
      </x:c>
      <x:c r="C1010" s="10" t="str">
        <x:v>VOICE:S4-04:input</x:v>
      </x:c>
      <x:c r="D1010" s="10" t="str">
        <x:v>VOICE:S4-04:expression</x:v>
      </x:c>
      <x:c r="E1010" s="10" t="str">
        <x:v>["S4-04:quote-L","S4-04:quote-R"]</x:v>
      </x:c>
      <x:c r="F1010" s="10" t="str">
        <x:v>["S4-04:quote-L","S4-04:quote-R"]</x:v>
      </x:c>
      <x:c r="G1010" s="10" t="n">
        <x:f>IF(E1010=F1010,1,0)</x:f>
        <x:v>1</x:v>
      </x:c>
    </x:row>
    <x:row r="1011" ht="55" customHeight="1">
      <x:c r="A1011" s="10" t="str">
        <x:v>V-R3</x:v>
      </x:c>
      <x:c r="B1011" s="10" t="str">
        <x:v>VOICE</x:v>
      </x:c>
      <x:c r="C1011" s="10" t="str">
        <x:v>VOICE:S4-04:input</x:v>
      </x:c>
      <x:c r="D1011" s="10" t="str">
        <x:v>VOICE:S4-04:expression</x:v>
      </x:c>
      <x:c r="E1011" s="10" t="str">
        <x:v>["S4-04:quote-L","S4-04:quote-R"]</x:v>
      </x:c>
      <x:c r="F1011" s="10" t="str">
        <x:v>["S4-04:quote-L","S4-04:quote-R"]</x:v>
      </x:c>
      <x:c r="G1011" s="10" t="n">
        <x:f>IF(E1011=F1011,1,0)</x:f>
        <x:v>1</x:v>
      </x:c>
    </x:row>
    <x:row r="1012" ht="55" customHeight="1">
      <x:c r="A1012" s="10" t="str">
        <x:v>V-A</x:v>
      </x:c>
      <x:c r="B1012" s="10" t="str">
        <x:v>VOICE</x:v>
      </x:c>
      <x:c r="C1012" s="10" t="str">
        <x:v>VOICE:S4-05:input</x:v>
      </x:c>
      <x:c r="D1012" s="10" t="str">
        <x:v>VOICE:S4-05:expression</x:v>
      </x:c>
      <x:c r="E1012" s="10" t="str">
        <x:v>["S4-05:quote-L","S4-05:quote-R"]</x:v>
      </x:c>
      <x:c r="F1012" s="10" t="str">
        <x:v>["S4-05:quote-L","S4-05:quote-R"]</x:v>
      </x:c>
      <x:c r="G1012" s="10" t="n">
        <x:f>IF(E1012=F1012,1,0)</x:f>
        <x:v>1</x:v>
      </x:c>
    </x:row>
    <x:row r="1013" ht="55" customHeight="1">
      <x:c r="A1013" s="10" t="str">
        <x:v>V-R1</x:v>
      </x:c>
      <x:c r="B1013" s="10" t="str">
        <x:v>VOICE</x:v>
      </x:c>
      <x:c r="C1013" s="10" t="str">
        <x:v>VOICE:S4-05:input</x:v>
      </x:c>
      <x:c r="D1013" s="10" t="str">
        <x:v>VOICE:S4-05:expression</x:v>
      </x:c>
      <x:c r="E1013" s="10" t="str">
        <x:v>["S4-05:quote-L","S4-05:quote-R"]</x:v>
      </x:c>
      <x:c r="F1013" s="10" t="str">
        <x:v>["S4-05:quote-L","S4-05:quote-R"]</x:v>
      </x:c>
      <x:c r="G1013" s="10" t="n">
        <x:f>IF(E1013=F1013,1,0)</x:f>
        <x:v>1</x:v>
      </x:c>
    </x:row>
    <x:row r="1014" ht="55" customHeight="1">
      <x:c r="A1014" s="10" t="str">
        <x:v>V-R2</x:v>
      </x:c>
      <x:c r="B1014" s="10" t="str">
        <x:v>VOICE</x:v>
      </x:c>
      <x:c r="C1014" s="10" t="str">
        <x:v>VOICE:S4-05:input</x:v>
      </x:c>
      <x:c r="D1014" s="10" t="str">
        <x:v>VOICE:S4-05:expression</x:v>
      </x:c>
      <x:c r="E1014" s="10" t="str">
        <x:v>["S4-05:quote-L","S4-05:quote-R"]</x:v>
      </x:c>
      <x:c r="F1014" s="10" t="str">
        <x:v>["S4-05:quote-L","S4-05:quote-R"]</x:v>
      </x:c>
      <x:c r="G1014" s="10" t="n">
        <x:f>IF(E1014=F1014,1,0)</x:f>
        <x:v>1</x:v>
      </x:c>
    </x:row>
    <x:row r="1015" ht="55" customHeight="1">
      <x:c r="A1015" s="10" t="str">
        <x:v>V-R3</x:v>
      </x:c>
      <x:c r="B1015" s="10" t="str">
        <x:v>VOICE</x:v>
      </x:c>
      <x:c r="C1015" s="10" t="str">
        <x:v>VOICE:S4-05:input</x:v>
      </x:c>
      <x:c r="D1015" s="10" t="str">
        <x:v>VOICE:S4-05:expression</x:v>
      </x:c>
      <x:c r="E1015" s="10" t="str">
        <x:v>["S4-05:quote-L","S4-05:quote-R"]</x:v>
      </x:c>
      <x:c r="F1015" s="10" t="str">
        <x:v>["S4-05:quote-L","S4-05:quote-R"]</x:v>
      </x:c>
      <x:c r="G1015" s="10" t="n">
        <x:f>IF(E1015=F1015,1,0)</x:f>
        <x:v>1</x:v>
      </x:c>
    </x:row>
    <x:row r="1016" ht="55" customHeight="1">
      <x:c r="A1016" s="10" t="str">
        <x:v>V-A</x:v>
      </x:c>
      <x:c r="B1016" s="10" t="str">
        <x:v>VOICE</x:v>
      </x:c>
      <x:c r="C1016" s="10" t="str">
        <x:v>VOICE:S4-06:input</x:v>
      </x:c>
      <x:c r="D1016" s="10" t="str">
        <x:v>VOICE:S4-06:expression</x:v>
      </x:c>
      <x:c r="E1016" s="10" t="str">
        <x:v>["S4-06:quote-L","S4-06:quote-R"]</x:v>
      </x:c>
      <x:c r="F1016" s="10" t="str">
        <x:v>["S4-06:quote-L","S4-06:quote-R"]</x:v>
      </x:c>
      <x:c r="G1016" s="10" t="n">
        <x:f>IF(E1016=F1016,1,0)</x:f>
        <x:v>1</x:v>
      </x:c>
    </x:row>
    <x:row r="1017" ht="55" customHeight="1">
      <x:c r="A1017" s="10" t="str">
        <x:v>V-R1</x:v>
      </x:c>
      <x:c r="B1017" s="10" t="str">
        <x:v>VOICE</x:v>
      </x:c>
      <x:c r="C1017" s="10" t="str">
        <x:v>VOICE:S4-06:input</x:v>
      </x:c>
      <x:c r="D1017" s="10" t="str">
        <x:v>VOICE:S4-06:expression</x:v>
      </x:c>
      <x:c r="E1017" s="10" t="str">
        <x:v>["S4-06:quote-L","S4-06:quote-R"]</x:v>
      </x:c>
      <x:c r="F1017" s="10" t="str">
        <x:v>["S4-06:quote-L","S4-06:quote-R"]</x:v>
      </x:c>
      <x:c r="G1017" s="10" t="n">
        <x:f>IF(E1017=F1017,1,0)</x:f>
        <x:v>1</x:v>
      </x:c>
    </x:row>
    <x:row r="1018" ht="55" customHeight="1">
      <x:c r="A1018" s="10" t="str">
        <x:v>V-R2</x:v>
      </x:c>
      <x:c r="B1018" s="10" t="str">
        <x:v>VOICE</x:v>
      </x:c>
      <x:c r="C1018" s="10" t="str">
        <x:v>VOICE:S4-06:input</x:v>
      </x:c>
      <x:c r="D1018" s="10" t="str">
        <x:v>VOICE:S4-06:expression</x:v>
      </x:c>
      <x:c r="E1018" s="10" t="str">
        <x:v>["S4-06:quote-L","S4-06:quote-R"]</x:v>
      </x:c>
      <x:c r="F1018" s="10" t="str">
        <x:v>["S4-06:quote-L","S4-06:quote-R"]</x:v>
      </x:c>
      <x:c r="G1018" s="10" t="n">
        <x:f>IF(E1018=F1018,1,0)</x:f>
        <x:v>1</x:v>
      </x:c>
    </x:row>
    <x:row r="1019" ht="55" customHeight="1">
      <x:c r="A1019" s="10" t="str">
        <x:v>V-R3</x:v>
      </x:c>
      <x:c r="B1019" s="10" t="str">
        <x:v>VOICE</x:v>
      </x:c>
      <x:c r="C1019" s="10" t="str">
        <x:v>VOICE:S4-06:input</x:v>
      </x:c>
      <x:c r="D1019" s="10" t="str">
        <x:v>VOICE:S4-06:expression</x:v>
      </x:c>
      <x:c r="E1019" s="10" t="str">
        <x:v>["S4-06:quote-L","S4-06:quote-R"]</x:v>
      </x:c>
      <x:c r="F1019" s="10" t="str">
        <x:v>["S4-06:quote-L","S4-06:quote-R"]</x:v>
      </x:c>
      <x:c r="G1019" s="10" t="n">
        <x:f>IF(E1019=F1019,1,0)</x:f>
        <x:v>1</x:v>
      </x:c>
    </x:row>
    <x:row r="1020" ht="55" customHeight="1">
      <x:c r="A1020" s="10" t="str">
        <x:v>V-A</x:v>
      </x:c>
      <x:c r="B1020" s="10" t="str">
        <x:v>VOICE</x:v>
      </x:c>
      <x:c r="C1020" s="10" t="str">
        <x:v>VOICE:S4-07:input</x:v>
      </x:c>
      <x:c r="D1020" s="10" t="str">
        <x:v>VOICE:S4-07:expression</x:v>
      </x:c>
      <x:c r="E1020" s="10" t="str">
        <x:v>["S4-07:quote-L","S4-07:quote-R"]</x:v>
      </x:c>
      <x:c r="F1020" s="10" t="str">
        <x:v>["S4-07:quote-L","S4-07:quote-R"]</x:v>
      </x:c>
      <x:c r="G1020" s="10" t="n">
        <x:f>IF(E1020=F1020,1,0)</x:f>
        <x:v>1</x:v>
      </x:c>
    </x:row>
    <x:row r="1021" ht="55" customHeight="1">
      <x:c r="A1021" s="10" t="str">
        <x:v>V-R1</x:v>
      </x:c>
      <x:c r="B1021" s="10" t="str">
        <x:v>VOICE</x:v>
      </x:c>
      <x:c r="C1021" s="10" t="str">
        <x:v>VOICE:S4-07:input</x:v>
      </x:c>
      <x:c r="D1021" s="10" t="str">
        <x:v>VOICE:S4-07:expression</x:v>
      </x:c>
      <x:c r="E1021" s="10" t="str">
        <x:v>["S4-07:quote-L","S4-07:quote-R"]</x:v>
      </x:c>
      <x:c r="F1021" s="10" t="str">
        <x:v>["S4-07:quote-L","S4-07:quote-R"]</x:v>
      </x:c>
      <x:c r="G1021" s="10" t="n">
        <x:f>IF(E1021=F1021,1,0)</x:f>
        <x:v>1</x:v>
      </x:c>
    </x:row>
    <x:row r="1022" ht="55" customHeight="1">
      <x:c r="A1022" s="10" t="str">
        <x:v>V-R2</x:v>
      </x:c>
      <x:c r="B1022" s="10" t="str">
        <x:v>VOICE</x:v>
      </x:c>
      <x:c r="C1022" s="10" t="str">
        <x:v>VOICE:S4-07:input</x:v>
      </x:c>
      <x:c r="D1022" s="10" t="str">
        <x:v>VOICE:S4-07:expression</x:v>
      </x:c>
      <x:c r="E1022" s="10" t="str">
        <x:v>["S4-07:quote-L","S4-07:quote-R"]</x:v>
      </x:c>
      <x:c r="F1022" s="10" t="str">
        <x:v>["S4-07:quote-L","S4-07:quote-R"]</x:v>
      </x:c>
      <x:c r="G1022" s="10" t="n">
        <x:f>IF(E1022=F1022,1,0)</x:f>
        <x:v>1</x:v>
      </x:c>
    </x:row>
    <x:row r="1023" ht="55" customHeight="1">
      <x:c r="A1023" s="10" t="str">
        <x:v>V-R3</x:v>
      </x:c>
      <x:c r="B1023" s="10" t="str">
        <x:v>VOICE</x:v>
      </x:c>
      <x:c r="C1023" s="10" t="str">
        <x:v>VOICE:S4-07:input</x:v>
      </x:c>
      <x:c r="D1023" s="10" t="str">
        <x:v>VOICE:S4-07:expression</x:v>
      </x:c>
      <x:c r="E1023" s="10" t="str">
        <x:v>["S4-07:quote-L","S4-07:quote-R"]</x:v>
      </x:c>
      <x:c r="F1023" s="10" t="str">
        <x:v>["S4-07:quote-L","S4-07:quote-R"]</x:v>
      </x:c>
      <x:c r="G1023" s="10" t="n">
        <x:f>IF(E1023=F1023,1,0)</x:f>
        <x:v>1</x:v>
      </x:c>
    </x:row>
    <x:row r="1024" ht="55" customHeight="1">
      <x:c r="A1024" s="10" t="str">
        <x:v>V-A</x:v>
      </x:c>
      <x:c r="B1024" s="10" t="str">
        <x:v>VOICE</x:v>
      </x:c>
      <x:c r="C1024" s="10" t="str">
        <x:v>VOICE:S4-08:input</x:v>
      </x:c>
      <x:c r="D1024" s="10" t="str">
        <x:v>VOICE:S4-08:expression</x:v>
      </x:c>
      <x:c r="E1024" s="10" t="str">
        <x:v>["S4-08:quote-L","S4-08:quote-R"]</x:v>
      </x:c>
      <x:c r="F1024" s="10" t="str">
        <x:v>["S4-08:quote-L","S4-08:quote-R"]</x:v>
      </x:c>
      <x:c r="G1024" s="10" t="n">
        <x:f>IF(E1024=F1024,1,0)</x:f>
        <x:v>1</x:v>
      </x:c>
    </x:row>
    <x:row r="1025" ht="55" customHeight="1">
      <x:c r="A1025" s="10" t="str">
        <x:v>V-R1</x:v>
      </x:c>
      <x:c r="B1025" s="10" t="str">
        <x:v>VOICE</x:v>
      </x:c>
      <x:c r="C1025" s="10" t="str">
        <x:v>VOICE:S4-08:input</x:v>
      </x:c>
      <x:c r="D1025" s="10" t="str">
        <x:v>VOICE:S4-08:expression</x:v>
      </x:c>
      <x:c r="E1025" s="10" t="str">
        <x:v>["S4-08:quote-L","S4-08:quote-R"]</x:v>
      </x:c>
      <x:c r="F1025" s="10" t="str">
        <x:v>["S4-08:quote-L","S4-08:quote-R"]</x:v>
      </x:c>
      <x:c r="G1025" s="10" t="n">
        <x:f>IF(E1025=F1025,1,0)</x:f>
        <x:v>1</x:v>
      </x:c>
    </x:row>
    <x:row r="1026" ht="55" customHeight="1">
      <x:c r="A1026" s="10" t="str">
        <x:v>V-R2</x:v>
      </x:c>
      <x:c r="B1026" s="10" t="str">
        <x:v>VOICE</x:v>
      </x:c>
      <x:c r="C1026" s="10" t="str">
        <x:v>VOICE:S4-08:input</x:v>
      </x:c>
      <x:c r="D1026" s="10" t="str">
        <x:v>VOICE:S4-08:expression</x:v>
      </x:c>
      <x:c r="E1026" s="10" t="str">
        <x:v>["S4-08:quote-L","S4-08:quote-R"]</x:v>
      </x:c>
      <x:c r="F1026" s="10" t="str">
        <x:v>["S4-08:quote-L","S4-08:quote-R"]</x:v>
      </x:c>
      <x:c r="G1026" s="10" t="n">
        <x:f>IF(E1026=F1026,1,0)</x:f>
        <x:v>1</x:v>
      </x:c>
    </x:row>
    <x:row r="1027" ht="55" customHeight="1">
      <x:c r="A1027" s="10" t="str">
        <x:v>V-R3</x:v>
      </x:c>
      <x:c r="B1027" s="10" t="str">
        <x:v>VOICE</x:v>
      </x:c>
      <x:c r="C1027" s="10" t="str">
        <x:v>VOICE:S4-08:input</x:v>
      </x:c>
      <x:c r="D1027" s="10" t="str">
        <x:v>VOICE:S4-08:expression</x:v>
      </x:c>
      <x:c r="E1027" s="10" t="str">
        <x:v>["S4-08:quote-L","S4-08:quote-R"]</x:v>
      </x:c>
      <x:c r="F1027" s="10" t="str">
        <x:v>["S4-08:quote-L","S4-08:quote-R"]</x:v>
      </x:c>
      <x:c r="G1027" s="10" t="n">
        <x:f>IF(E1027=F1027,1,0)</x:f>
        <x:v>1</x:v>
      </x:c>
    </x:row>
    <x:row r="1028" ht="55" customHeight="1">
      <x:c r="A1028" s="10" t="str">
        <x:v>V-A</x:v>
      </x:c>
      <x:c r="B1028" s="10" t="str">
        <x:v>VOICE</x:v>
      </x:c>
      <x:c r="C1028" s="10" t="str">
        <x:v>VOICE:S4-09:input</x:v>
      </x:c>
      <x:c r="D1028" s="10" t="str">
        <x:v>VOICE:S4-09:expression</x:v>
      </x:c>
      <x:c r="E1028" s="10" t="str">
        <x:v>["S4-09:quote-L","S4-09:quote-R"]</x:v>
      </x:c>
      <x:c r="F1028" s="10" t="str">
        <x:v>["S4-09:quote-L","S4-09:quote-R"]</x:v>
      </x:c>
      <x:c r="G1028" s="10" t="n">
        <x:f>IF(E1028=F1028,1,0)</x:f>
        <x:v>1</x:v>
      </x:c>
    </x:row>
    <x:row r="1029" ht="55" customHeight="1">
      <x:c r="A1029" s="10" t="str">
        <x:v>V-R1</x:v>
      </x:c>
      <x:c r="B1029" s="10" t="str">
        <x:v>VOICE</x:v>
      </x:c>
      <x:c r="C1029" s="10" t="str">
        <x:v>VOICE:S4-09:input</x:v>
      </x:c>
      <x:c r="D1029" s="10" t="str">
        <x:v>VOICE:S4-09:expression</x:v>
      </x:c>
      <x:c r="E1029" s="10" t="str">
        <x:v>["S4-09:quote-L","S4-09:quote-R"]</x:v>
      </x:c>
      <x:c r="F1029" s="10" t="str">
        <x:v>["S4-09:quote-L","S4-09:quote-R"]</x:v>
      </x:c>
      <x:c r="G1029" s="10" t="n">
        <x:f>IF(E1029=F1029,1,0)</x:f>
        <x:v>1</x:v>
      </x:c>
    </x:row>
    <x:row r="1030" ht="55" customHeight="1">
      <x:c r="A1030" s="10" t="str">
        <x:v>V-R2</x:v>
      </x:c>
      <x:c r="B1030" s="10" t="str">
        <x:v>VOICE</x:v>
      </x:c>
      <x:c r="C1030" s="10" t="str">
        <x:v>VOICE:S4-09:input</x:v>
      </x:c>
      <x:c r="D1030" s="10" t="str">
        <x:v>VOICE:S4-09:expression</x:v>
      </x:c>
      <x:c r="E1030" s="10" t="str">
        <x:v>["S4-09:quote-L","S4-09:quote-R"]</x:v>
      </x:c>
      <x:c r="F1030" s="10" t="str">
        <x:v>["S4-09:quote-L","S4-09:quote-R"]</x:v>
      </x:c>
      <x:c r="G1030" s="10" t="n">
        <x:f>IF(E1030=F1030,1,0)</x:f>
        <x:v>1</x:v>
      </x:c>
    </x:row>
    <x:row r="1031" ht="55" customHeight="1">
      <x:c r="A1031" s="10" t="str">
        <x:v>V-R3</x:v>
      </x:c>
      <x:c r="B1031" s="10" t="str">
        <x:v>VOICE</x:v>
      </x:c>
      <x:c r="C1031" s="10" t="str">
        <x:v>VOICE:S4-09:input</x:v>
      </x:c>
      <x:c r="D1031" s="10" t="str">
        <x:v>VOICE:S4-09:expression</x:v>
      </x:c>
      <x:c r="E1031" s="10" t="str">
        <x:v>["S4-09:quote-L","S4-09:quote-R"]</x:v>
      </x:c>
      <x:c r="F1031" s="10" t="str">
        <x:v>["S4-09:quote-L","S4-09:quote-R"]</x:v>
      </x:c>
      <x:c r="G1031" s="10" t="n">
        <x:f>IF(E1031=F1031,1,0)</x:f>
        <x:v>1</x:v>
      </x:c>
    </x:row>
    <x:row r="1032" ht="55" customHeight="1">
      <x:c r="A1032" s="10" t="str">
        <x:v>V-A</x:v>
      </x:c>
      <x:c r="B1032" s="10" t="str">
        <x:v>VOICE</x:v>
      </x:c>
      <x:c r="C1032" s="10" t="str">
        <x:v>VOICE:S4-10:input</x:v>
      </x:c>
      <x:c r="D1032" s="10" t="str">
        <x:v>VOICE:S4-10:expression</x:v>
      </x:c>
      <x:c r="E1032" s="10" t="str">
        <x:v>["S4-10:quote-L","S4-10:quote-R"]</x:v>
      </x:c>
      <x:c r="F1032" s="10" t="str">
        <x:v>["S4-10:quote-L","S4-10:quote-R"]</x:v>
      </x:c>
      <x:c r="G1032" s="10" t="n">
        <x:f>IF(E1032=F1032,1,0)</x:f>
        <x:v>1</x:v>
      </x:c>
    </x:row>
    <x:row r="1033" ht="55" customHeight="1">
      <x:c r="A1033" s="10" t="str">
        <x:v>V-R1</x:v>
      </x:c>
      <x:c r="B1033" s="10" t="str">
        <x:v>VOICE</x:v>
      </x:c>
      <x:c r="C1033" s="10" t="str">
        <x:v>VOICE:S4-10:input</x:v>
      </x:c>
      <x:c r="D1033" s="10" t="str">
        <x:v>VOICE:S4-10:expression</x:v>
      </x:c>
      <x:c r="E1033" s="10" t="str">
        <x:v>["S4-10:quote-L","S4-10:quote-R"]</x:v>
      </x:c>
      <x:c r="F1033" s="10" t="str">
        <x:v>["S4-10:quote-L","S4-10:quote-R"]</x:v>
      </x:c>
      <x:c r="G1033" s="10" t="n">
        <x:f>IF(E1033=F1033,1,0)</x:f>
        <x:v>1</x:v>
      </x:c>
    </x:row>
    <x:row r="1034" ht="55" customHeight="1">
      <x:c r="A1034" s="10" t="str">
        <x:v>V-R2</x:v>
      </x:c>
      <x:c r="B1034" s="10" t="str">
        <x:v>VOICE</x:v>
      </x:c>
      <x:c r="C1034" s="10" t="str">
        <x:v>VOICE:S4-10:input</x:v>
      </x:c>
      <x:c r="D1034" s="10" t="str">
        <x:v>VOICE:S4-10:expression</x:v>
      </x:c>
      <x:c r="E1034" s="10" t="str">
        <x:v>["S4-10:quote-L","S4-10:quote-R"]</x:v>
      </x:c>
      <x:c r="F1034" s="10" t="str">
        <x:v>["S4-10:quote-L","S4-10:quote-R"]</x:v>
      </x:c>
      <x:c r="G1034" s="10" t="n">
        <x:f>IF(E1034=F1034,1,0)</x:f>
        <x:v>1</x:v>
      </x:c>
    </x:row>
    <x:row r="1035" ht="55" customHeight="1">
      <x:c r="A1035" s="10" t="str">
        <x:v>V-R3</x:v>
      </x:c>
      <x:c r="B1035" s="10" t="str">
        <x:v>VOICE</x:v>
      </x:c>
      <x:c r="C1035" s="10" t="str">
        <x:v>VOICE:S4-10:input</x:v>
      </x:c>
      <x:c r="D1035" s="10" t="str">
        <x:v>VOICE:S4-10:expression</x:v>
      </x:c>
      <x:c r="E1035" s="10" t="str">
        <x:v>["S4-10:quote-L","S4-10:quote-R"]</x:v>
      </x:c>
      <x:c r="F1035" s="10" t="str">
        <x:v>["S4-10:quote-L","S4-10:quote-R"]</x:v>
      </x:c>
      <x:c r="G1035" s="10" t="n">
        <x:f>IF(E1035=F1035,1,0)</x:f>
        <x:v>1</x:v>
      </x:c>
    </x:row>
    <x:row r="1036" ht="55" customHeight="1">
      <x:c r="A1036" s="10" t="str">
        <x:v>V-A</x:v>
      </x:c>
      <x:c r="B1036" s="10" t="str">
        <x:v>VOICE</x:v>
      </x:c>
      <x:c r="C1036" s="10" t="str">
        <x:v>VOICE:S4-11:input</x:v>
      </x:c>
      <x:c r="D1036" s="10" t="str">
        <x:v>VOICE:S4-11:expression</x:v>
      </x:c>
      <x:c r="E1036" s="10" t="str">
        <x:v>["S4-11:quote-L","S4-11:quote-R"]</x:v>
      </x:c>
      <x:c r="F1036" s="10" t="str">
        <x:v>["S4-11:quote-L","S4-11:quote-R"]</x:v>
      </x:c>
      <x:c r="G1036" s="10" t="n">
        <x:f>IF(E1036=F1036,1,0)</x:f>
        <x:v>1</x:v>
      </x:c>
    </x:row>
    <x:row r="1037" ht="55" customHeight="1">
      <x:c r="A1037" s="10" t="str">
        <x:v>V-R1</x:v>
      </x:c>
      <x:c r="B1037" s="10" t="str">
        <x:v>VOICE</x:v>
      </x:c>
      <x:c r="C1037" s="10" t="str">
        <x:v>VOICE:S4-11:input</x:v>
      </x:c>
      <x:c r="D1037" s="10" t="str">
        <x:v>VOICE:S4-11:expression</x:v>
      </x:c>
      <x:c r="E1037" s="10" t="str">
        <x:v>["S4-11:quote-L","S4-11:quote-R"]</x:v>
      </x:c>
      <x:c r="F1037" s="10" t="str">
        <x:v>["S4-11:quote-L","S4-11:quote-R"]</x:v>
      </x:c>
      <x:c r="G1037" s="10" t="n">
        <x:f>IF(E1037=F1037,1,0)</x:f>
        <x:v>1</x:v>
      </x:c>
    </x:row>
    <x:row r="1038" ht="55" customHeight="1">
      <x:c r="A1038" s="10" t="str">
        <x:v>V-R2</x:v>
      </x:c>
      <x:c r="B1038" s="10" t="str">
        <x:v>VOICE</x:v>
      </x:c>
      <x:c r="C1038" s="10" t="str">
        <x:v>VOICE:S4-11:input</x:v>
      </x:c>
      <x:c r="D1038" s="10" t="str">
        <x:v>VOICE:S4-11:expression</x:v>
      </x:c>
      <x:c r="E1038" s="10" t="str">
        <x:v>["S4-11:quote-L","S4-11:quote-R"]</x:v>
      </x:c>
      <x:c r="F1038" s="10" t="str">
        <x:v>["S4-11:quote-L","S4-11:quote-R"]</x:v>
      </x:c>
      <x:c r="G1038" s="10" t="n">
        <x:f>IF(E1038=F1038,1,0)</x:f>
        <x:v>1</x:v>
      </x:c>
    </x:row>
    <x:row r="1039" ht="55" customHeight="1">
      <x:c r="A1039" s="10" t="str">
        <x:v>V-R3</x:v>
      </x:c>
      <x:c r="B1039" s="10" t="str">
        <x:v>VOICE</x:v>
      </x:c>
      <x:c r="C1039" s="10" t="str">
        <x:v>VOICE:S4-11:input</x:v>
      </x:c>
      <x:c r="D1039" s="10" t="str">
        <x:v>VOICE:S4-11:expression</x:v>
      </x:c>
      <x:c r="E1039" s="10" t="str">
        <x:v>["S4-11:quote-L","S4-11:quote-R"]</x:v>
      </x:c>
      <x:c r="F1039" s="10" t="str">
        <x:v>["S4-11:quote-L","S4-11:quote-R"]</x:v>
      </x:c>
      <x:c r="G1039" s="10" t="n">
        <x:f>IF(E1039=F1039,1,0)</x:f>
        <x:v>1</x:v>
      </x:c>
    </x:row>
    <x:row r="1040" ht="55" customHeight="1">
      <x:c r="A1040" s="10" t="str">
        <x:v>V-A</x:v>
      </x:c>
      <x:c r="B1040" s="10" t="str">
        <x:v>VOICE</x:v>
      </x:c>
      <x:c r="C1040" s="10" t="str">
        <x:v>VOICE:S4-12:input</x:v>
      </x:c>
      <x:c r="D1040" s="10" t="str">
        <x:v>VOICE:S4-12:expression</x:v>
      </x:c>
      <x:c r="E1040" s="10" t="str">
        <x:v>["S4-12:quote-L","S4-12:quote-R"]</x:v>
      </x:c>
      <x:c r="F1040" s="10" t="str">
        <x:v>["S4-12:quote-L","S4-12:quote-R"]</x:v>
      </x:c>
      <x:c r="G1040" s="10" t="n">
        <x:f>IF(E1040=F1040,1,0)</x:f>
        <x:v>1</x:v>
      </x:c>
    </x:row>
    <x:row r="1041" ht="55" customHeight="1">
      <x:c r="A1041" s="10" t="str">
        <x:v>V-R1</x:v>
      </x:c>
      <x:c r="B1041" s="10" t="str">
        <x:v>VOICE</x:v>
      </x:c>
      <x:c r="C1041" s="10" t="str">
        <x:v>VOICE:S4-12:input</x:v>
      </x:c>
      <x:c r="D1041" s="10" t="str">
        <x:v>VOICE:S4-12:expression</x:v>
      </x:c>
      <x:c r="E1041" s="10" t="str">
        <x:v>["S4-12:quote-L","S4-12:quote-R"]</x:v>
      </x:c>
      <x:c r="F1041" s="10" t="str">
        <x:v>["S4-12:quote-L","S4-12:quote-R"]</x:v>
      </x:c>
      <x:c r="G1041" s="10" t="n">
        <x:f>IF(E1041=F1041,1,0)</x:f>
        <x:v>1</x:v>
      </x:c>
    </x:row>
    <x:row r="1042" ht="55" customHeight="1">
      <x:c r="A1042" s="10" t="str">
        <x:v>V-R2</x:v>
      </x:c>
      <x:c r="B1042" s="10" t="str">
        <x:v>VOICE</x:v>
      </x:c>
      <x:c r="C1042" s="10" t="str">
        <x:v>VOICE:S4-12:input</x:v>
      </x:c>
      <x:c r="D1042" s="10" t="str">
        <x:v>VOICE:S4-12:expression</x:v>
      </x:c>
      <x:c r="E1042" s="10" t="str">
        <x:v>["S4-12:quote-L","S4-12:quote-R"]</x:v>
      </x:c>
      <x:c r="F1042" s="10" t="str">
        <x:v>["S4-12:quote-L","S4-12:quote-R"]</x:v>
      </x:c>
      <x:c r="G1042" s="10" t="n">
        <x:f>IF(E1042=F1042,1,0)</x:f>
        <x:v>1</x:v>
      </x:c>
    </x:row>
    <x:row r="1043" ht="55" customHeight="1">
      <x:c r="A1043" s="10" t="str">
        <x:v>V-R3</x:v>
      </x:c>
      <x:c r="B1043" s="10" t="str">
        <x:v>VOICE</x:v>
      </x:c>
      <x:c r="C1043" s="10" t="str">
        <x:v>VOICE:S4-12:input</x:v>
      </x:c>
      <x:c r="D1043" s="10" t="str">
        <x:v>VOICE:S4-12:expression</x:v>
      </x:c>
      <x:c r="E1043" s="10" t="str">
        <x:v>["S4-12:quote-L","S4-12:quote-R"]</x:v>
      </x:c>
      <x:c r="F1043" s="10" t="str">
        <x:v>["S4-12:quote-L","S4-12:quote-R"]</x:v>
      </x:c>
      <x:c r="G1043" s="10" t="n">
        <x:f>IF(E1043=F1043,1,0)</x:f>
        <x:v>1</x:v>
      </x:c>
    </x:row>
    <x:row r="1044" ht="55" customHeight="1">
      <x:c r="A1044" s="10" t="str">
        <x:v>V-A</x:v>
      </x:c>
      <x:c r="B1044" s="10" t="str">
        <x:v>VOICE</x:v>
      </x:c>
      <x:c r="C1044" s="10" t="str">
        <x:v>VOICE:S4-13:input</x:v>
      </x:c>
      <x:c r="D1044" s="10" t="str">
        <x:v>VOICE:S4-13:expression</x:v>
      </x:c>
      <x:c r="E1044" s="10" t="str">
        <x:v>["S4-13:quote-L","S4-13:quote-R"]</x:v>
      </x:c>
      <x:c r="F1044" s="10" t="str">
        <x:v>["S4-13:quote-L","S4-13:quote-R"]</x:v>
      </x:c>
      <x:c r="G1044" s="10" t="n">
        <x:f>IF(E1044=F1044,1,0)</x:f>
        <x:v>1</x:v>
      </x:c>
    </x:row>
    <x:row r="1045" ht="55" customHeight="1">
      <x:c r="A1045" s="10" t="str">
        <x:v>V-R1</x:v>
      </x:c>
      <x:c r="B1045" s="10" t="str">
        <x:v>VOICE</x:v>
      </x:c>
      <x:c r="C1045" s="10" t="str">
        <x:v>VOICE:S4-13:input</x:v>
      </x:c>
      <x:c r="D1045" s="10" t="str">
        <x:v>VOICE:S4-13:expression</x:v>
      </x:c>
      <x:c r="E1045" s="10" t="str">
        <x:v>["S4-13:quote-L","S4-13:quote-R"]</x:v>
      </x:c>
      <x:c r="F1045" s="10" t="str">
        <x:v>["S4-13:quote-L","S4-13:quote-R"]</x:v>
      </x:c>
      <x:c r="G1045" s="10" t="n">
        <x:f>IF(E1045=F1045,1,0)</x:f>
        <x:v>1</x:v>
      </x:c>
    </x:row>
    <x:row r="1046" ht="55" customHeight="1">
      <x:c r="A1046" s="10" t="str">
        <x:v>V-R2</x:v>
      </x:c>
      <x:c r="B1046" s="10" t="str">
        <x:v>VOICE</x:v>
      </x:c>
      <x:c r="C1046" s="10" t="str">
        <x:v>VOICE:S4-13:input</x:v>
      </x:c>
      <x:c r="D1046" s="10" t="str">
        <x:v>VOICE:S4-13:expression</x:v>
      </x:c>
      <x:c r="E1046" s="10" t="str">
        <x:v>["S4-13:quote-L","S4-13:quote-R"]</x:v>
      </x:c>
      <x:c r="F1046" s="10" t="str">
        <x:v>["S4-13:quote-L","S4-13:quote-R"]</x:v>
      </x:c>
      <x:c r="G1046" s="10" t="n">
        <x:f>IF(E1046=F1046,1,0)</x:f>
        <x:v>1</x:v>
      </x:c>
    </x:row>
    <x:row r="1047" ht="55" customHeight="1">
      <x:c r="A1047" s="10" t="str">
        <x:v>V-R3</x:v>
      </x:c>
      <x:c r="B1047" s="10" t="str">
        <x:v>VOICE</x:v>
      </x:c>
      <x:c r="C1047" s="10" t="str">
        <x:v>VOICE:S4-13:input</x:v>
      </x:c>
      <x:c r="D1047" s="10" t="str">
        <x:v>VOICE:S4-13:expression</x:v>
      </x:c>
      <x:c r="E1047" s="10" t="str">
        <x:v>["S4-13:quote-L","S4-13:quote-R"]</x:v>
      </x:c>
      <x:c r="F1047" s="10" t="str">
        <x:v>["S4-13:quote-L","S4-13:quote-R"]</x:v>
      </x:c>
      <x:c r="G1047" s="10" t="n">
        <x:f>IF(E1047=F1047,1,0)</x:f>
        <x:v>1</x:v>
      </x:c>
    </x:row>
    <x:row r="1048" ht="55" customHeight="1">
      <x:c r="A1048" s="10" t="str">
        <x:v>V-A</x:v>
      </x:c>
      <x:c r="B1048" s="10" t="str">
        <x:v>VOICE</x:v>
      </x:c>
      <x:c r="C1048" s="10" t="str">
        <x:v>VOICE:S4-14:input</x:v>
      </x:c>
      <x:c r="D1048" s="10" t="str">
        <x:v>VOICE:S4-14:expression</x:v>
      </x:c>
      <x:c r="E1048" s="10" t="str">
        <x:v>["S4-14:quote-L","S4-14:quote-R"]</x:v>
      </x:c>
      <x:c r="F1048" s="10" t="str">
        <x:v>["S4-14:quote-L","S4-14:quote-R"]</x:v>
      </x:c>
      <x:c r="G1048" s="10" t="n">
        <x:f>IF(E1048=F1048,1,0)</x:f>
        <x:v>1</x:v>
      </x:c>
    </x:row>
    <x:row r="1049" ht="55" customHeight="1">
      <x:c r="A1049" s="10" t="str">
        <x:v>V-R1</x:v>
      </x:c>
      <x:c r="B1049" s="10" t="str">
        <x:v>VOICE</x:v>
      </x:c>
      <x:c r="C1049" s="10" t="str">
        <x:v>VOICE:S4-14:input</x:v>
      </x:c>
      <x:c r="D1049" s="10" t="str">
        <x:v>VOICE:S4-14:expression</x:v>
      </x:c>
      <x:c r="E1049" s="10" t="str">
        <x:v>["S4-14:quote-L","S4-14:quote-R"]</x:v>
      </x:c>
      <x:c r="F1049" s="10" t="str">
        <x:v>["S4-14:quote-L","S4-14:quote-R"]</x:v>
      </x:c>
      <x:c r="G1049" s="10" t="n">
        <x:f>IF(E1049=F1049,1,0)</x:f>
        <x:v>1</x:v>
      </x:c>
    </x:row>
    <x:row r="1050" ht="55" customHeight="1">
      <x:c r="A1050" s="10" t="str">
        <x:v>V-R2</x:v>
      </x:c>
      <x:c r="B1050" s="10" t="str">
        <x:v>VOICE</x:v>
      </x:c>
      <x:c r="C1050" s="10" t="str">
        <x:v>VOICE:S4-14:input</x:v>
      </x:c>
      <x:c r="D1050" s="10" t="str">
        <x:v>VOICE:S4-14:expression</x:v>
      </x:c>
      <x:c r="E1050" s="10" t="str">
        <x:v>["S4-14:quote-L","S4-14:quote-R"]</x:v>
      </x:c>
      <x:c r="F1050" s="10" t="str">
        <x:v>["S4-14:quote-L","S4-14:quote-R"]</x:v>
      </x:c>
      <x:c r="G1050" s="10" t="n">
        <x:f>IF(E1050=F1050,1,0)</x:f>
        <x:v>1</x:v>
      </x:c>
    </x:row>
    <x:row r="1051" ht="55" customHeight="1">
      <x:c r="A1051" s="10" t="str">
        <x:v>V-R3</x:v>
      </x:c>
      <x:c r="B1051" s="10" t="str">
        <x:v>VOICE</x:v>
      </x:c>
      <x:c r="C1051" s="10" t="str">
        <x:v>VOICE:S4-14:input</x:v>
      </x:c>
      <x:c r="D1051" s="10" t="str">
        <x:v>VOICE:S4-14:expression</x:v>
      </x:c>
      <x:c r="E1051" s="10" t="str">
        <x:v>["S4-14:quote-L","S4-14:quote-R"]</x:v>
      </x:c>
      <x:c r="F1051" s="10" t="str">
        <x:v>["S4-14:quote-L","S4-14:quote-R"]</x:v>
      </x:c>
      <x:c r="G1051" s="10" t="n">
        <x:f>IF(E1051=F1051,1,0)</x:f>
        <x:v>1</x:v>
      </x:c>
    </x:row>
    <x:row r="1052" ht="55" customHeight="1">
      <x:c r="A1052" s="10" t="str">
        <x:v>V-A</x:v>
      </x:c>
      <x:c r="B1052" s="10" t="str">
        <x:v>VOICE</x:v>
      </x:c>
      <x:c r="C1052" s="10" t="str">
        <x:v>VOICE:S4-15:input</x:v>
      </x:c>
      <x:c r="D1052" s="10" t="str">
        <x:v>VOICE:S4-15:expression</x:v>
      </x:c>
      <x:c r="E1052" s="10" t="str">
        <x:v>["S4-15:quote-L","S4-15:quote-R"]</x:v>
      </x:c>
      <x:c r="F1052" s="10" t="str">
        <x:v>["S4-15:quote-L","S4-15:quote-R"]</x:v>
      </x:c>
      <x:c r="G1052" s="10" t="n">
        <x:f>IF(E1052=F1052,1,0)</x:f>
        <x:v>1</x:v>
      </x:c>
    </x:row>
    <x:row r="1053" ht="55" customHeight="1">
      <x:c r="A1053" s="10" t="str">
        <x:v>V-R1</x:v>
      </x:c>
      <x:c r="B1053" s="10" t="str">
        <x:v>VOICE</x:v>
      </x:c>
      <x:c r="C1053" s="10" t="str">
        <x:v>VOICE:S4-15:input</x:v>
      </x:c>
      <x:c r="D1053" s="10" t="str">
        <x:v>VOICE:S4-15:expression</x:v>
      </x:c>
      <x:c r="E1053" s="10" t="str">
        <x:v>["S4-15:quote-L","S4-15:quote-R"]</x:v>
      </x:c>
      <x:c r="F1053" s="10" t="str">
        <x:v>["S4-15:quote-L","S4-15:quote-R"]</x:v>
      </x:c>
      <x:c r="G1053" s="10" t="n">
        <x:f>IF(E1053=F1053,1,0)</x:f>
        <x:v>1</x:v>
      </x:c>
    </x:row>
    <x:row r="1054" ht="55" customHeight="1">
      <x:c r="A1054" s="10" t="str">
        <x:v>V-R2</x:v>
      </x:c>
      <x:c r="B1054" s="10" t="str">
        <x:v>VOICE</x:v>
      </x:c>
      <x:c r="C1054" s="10" t="str">
        <x:v>VOICE:S4-15:input</x:v>
      </x:c>
      <x:c r="D1054" s="10" t="str">
        <x:v>VOICE:S4-15:expression</x:v>
      </x:c>
      <x:c r="E1054" s="10" t="str">
        <x:v>["S4-15:quote-L","S4-15:quote-R"]</x:v>
      </x:c>
      <x:c r="F1054" s="10" t="str">
        <x:v>["S4-15:quote-L","S4-15:quote-R"]</x:v>
      </x:c>
      <x:c r="G1054" s="10" t="n">
        <x:f>IF(E1054=F1054,1,0)</x:f>
        <x:v>1</x:v>
      </x:c>
    </x:row>
    <x:row r="1055" ht="55" customHeight="1">
      <x:c r="A1055" s="10" t="str">
        <x:v>V-R3</x:v>
      </x:c>
      <x:c r="B1055" s="10" t="str">
        <x:v>VOICE</x:v>
      </x:c>
      <x:c r="C1055" s="10" t="str">
        <x:v>VOICE:S4-15:input</x:v>
      </x:c>
      <x:c r="D1055" s="10" t="str">
        <x:v>VOICE:S4-15:expression</x:v>
      </x:c>
      <x:c r="E1055" s="10" t="str">
        <x:v>["S4-15:quote-L","S4-15:quote-R"]</x:v>
      </x:c>
      <x:c r="F1055" s="10" t="str">
        <x:v>["S4-15:quote-L","S4-15:quote-R"]</x:v>
      </x:c>
      <x:c r="G1055" s="10" t="n">
        <x:f>IF(E1055=F1055,1,0)</x:f>
        <x:v>1</x:v>
      </x:c>
    </x:row>
    <x:row r="1056" ht="55" customHeight="1">
      <x:c r="A1056" s="10" t="str">
        <x:v>V-A</x:v>
      </x:c>
      <x:c r="B1056" s="10" t="str">
        <x:v>VOICE</x:v>
      </x:c>
      <x:c r="C1056" s="10" t="str">
        <x:v>VOICE:S4-16:input</x:v>
      </x:c>
      <x:c r="D1056" s="10" t="str">
        <x:v>VOICE:S4-16:expression</x:v>
      </x:c>
      <x:c r="E1056" s="10" t="str">
        <x:v>["S4-16:quote-L","S4-16:quote-R"]</x:v>
      </x:c>
      <x:c r="F1056" s="10" t="str">
        <x:v>["S4-16:quote-L","S4-16:quote-R"]</x:v>
      </x:c>
      <x:c r="G1056" s="10" t="n">
        <x:f>IF(E1056=F1056,1,0)</x:f>
        <x:v>1</x:v>
      </x:c>
    </x:row>
    <x:row r="1057" ht="55" customHeight="1">
      <x:c r="A1057" s="10" t="str">
        <x:v>V-R1</x:v>
      </x:c>
      <x:c r="B1057" s="10" t="str">
        <x:v>VOICE</x:v>
      </x:c>
      <x:c r="C1057" s="10" t="str">
        <x:v>VOICE:S4-16:input</x:v>
      </x:c>
      <x:c r="D1057" s="10" t="str">
        <x:v>VOICE:S4-16:expression</x:v>
      </x:c>
      <x:c r="E1057" s="10" t="str">
        <x:v>["S4-16:quote-L","S4-16:quote-R"]</x:v>
      </x:c>
      <x:c r="F1057" s="10" t="str">
        <x:v>["S4-16:quote-L","S4-16:quote-R"]</x:v>
      </x:c>
      <x:c r="G1057" s="10" t="n">
        <x:f>IF(E1057=F1057,1,0)</x:f>
        <x:v>1</x:v>
      </x:c>
    </x:row>
    <x:row r="1058" ht="55" customHeight="1">
      <x:c r="A1058" s="10" t="str">
        <x:v>V-R2</x:v>
      </x:c>
      <x:c r="B1058" s="10" t="str">
        <x:v>VOICE</x:v>
      </x:c>
      <x:c r="C1058" s="10" t="str">
        <x:v>VOICE:S4-16:input</x:v>
      </x:c>
      <x:c r="D1058" s="10" t="str">
        <x:v>VOICE:S4-16:expression</x:v>
      </x:c>
      <x:c r="E1058" s="10" t="str">
        <x:v>["S4-16:quote-L","S4-16:quote-R"]</x:v>
      </x:c>
      <x:c r="F1058" s="10" t="str">
        <x:v>["S4-16:quote-L","S4-16:quote-R"]</x:v>
      </x:c>
      <x:c r="G1058" s="10" t="n">
        <x:f>IF(E1058=F1058,1,0)</x:f>
        <x:v>1</x:v>
      </x:c>
    </x:row>
    <x:row r="1059" ht="55" customHeight="1">
      <x:c r="A1059" s="10" t="str">
        <x:v>V-R3</x:v>
      </x:c>
      <x:c r="B1059" s="10" t="str">
        <x:v>VOICE</x:v>
      </x:c>
      <x:c r="C1059" s="10" t="str">
        <x:v>VOICE:S4-16:input</x:v>
      </x:c>
      <x:c r="D1059" s="10" t="str">
        <x:v>VOICE:S4-16:expression</x:v>
      </x:c>
      <x:c r="E1059" s="10" t="str">
        <x:v>["S4-16:quote-L","S4-16:quote-R"]</x:v>
      </x:c>
      <x:c r="F1059" s="10" t="str">
        <x:v>["S4-16:quote-L","S4-16:quote-R"]</x:v>
      </x:c>
      <x:c r="G1059" s="10" t="n">
        <x:f>IF(E1059=F1059,1,0)</x:f>
        <x:v>1</x:v>
      </x:c>
    </x:row>
    <x:row r="1060" ht="55" customHeight="1">
      <x:c r="A1060" s="10" t="str">
        <x:v>V-A</x:v>
      </x:c>
      <x:c r="B1060" s="10" t="str">
        <x:v>VOICE</x:v>
      </x:c>
      <x:c r="C1060" s="10" t="str">
        <x:v>VOICE:S4-17:input</x:v>
      </x:c>
      <x:c r="D1060" s="10" t="str">
        <x:v>VOICE:S4-17:expression</x:v>
      </x:c>
      <x:c r="E1060" s="10" t="str">
        <x:v>["S4-17:quote-L","S4-17:quote-R"]</x:v>
      </x:c>
      <x:c r="F1060" s="10" t="str">
        <x:v>["S4-17:quote-L","S4-17:quote-R"]</x:v>
      </x:c>
      <x:c r="G1060" s="10" t="n">
        <x:f>IF(E1060=F1060,1,0)</x:f>
        <x:v>1</x:v>
      </x:c>
    </x:row>
    <x:row r="1061" ht="55" customHeight="1">
      <x:c r="A1061" s="10" t="str">
        <x:v>V-R1</x:v>
      </x:c>
      <x:c r="B1061" s="10" t="str">
        <x:v>VOICE</x:v>
      </x:c>
      <x:c r="C1061" s="10" t="str">
        <x:v>VOICE:S4-17:input</x:v>
      </x:c>
      <x:c r="D1061" s="10" t="str">
        <x:v>VOICE:S4-17:expression</x:v>
      </x:c>
      <x:c r="E1061" s="10" t="str">
        <x:v>["S4-17:quote-L","S4-17:quote-R"]</x:v>
      </x:c>
      <x:c r="F1061" s="10" t="str">
        <x:v>["S4-17:quote-L","S4-17:quote-R"]</x:v>
      </x:c>
      <x:c r="G1061" s="10" t="n">
        <x:f>IF(E1061=F1061,1,0)</x:f>
        <x:v>1</x:v>
      </x:c>
    </x:row>
    <x:row r="1062" ht="55" customHeight="1">
      <x:c r="A1062" s="10" t="str">
        <x:v>V-R2</x:v>
      </x:c>
      <x:c r="B1062" s="10" t="str">
        <x:v>VOICE</x:v>
      </x:c>
      <x:c r="C1062" s="10" t="str">
        <x:v>VOICE:S4-17:input</x:v>
      </x:c>
      <x:c r="D1062" s="10" t="str">
        <x:v>VOICE:S4-17:expression</x:v>
      </x:c>
      <x:c r="E1062" s="10" t="str">
        <x:v>["S4-17:quote-L","S4-17:quote-R"]</x:v>
      </x:c>
      <x:c r="F1062" s="10" t="str">
        <x:v>["S4-17:quote-L","S4-17:quote-R"]</x:v>
      </x:c>
      <x:c r="G1062" s="10" t="n">
        <x:f>IF(E1062=F1062,1,0)</x:f>
        <x:v>1</x:v>
      </x:c>
    </x:row>
    <x:row r="1063" ht="55" customHeight="1">
      <x:c r="A1063" s="10" t="str">
        <x:v>V-R3</x:v>
      </x:c>
      <x:c r="B1063" s="10" t="str">
        <x:v>VOICE</x:v>
      </x:c>
      <x:c r="C1063" s="10" t="str">
        <x:v>VOICE:S4-17:input</x:v>
      </x:c>
      <x:c r="D1063" s="10" t="str">
        <x:v>VOICE:S4-17:expression</x:v>
      </x:c>
      <x:c r="E1063" s="10" t="str">
        <x:v>["S4-17:quote-L","S4-17:quote-R"]</x:v>
      </x:c>
      <x:c r="F1063" s="10" t="str">
        <x:v>["S4-17:quote-L","S4-17:quote-R"]</x:v>
      </x:c>
      <x:c r="G1063" s="10" t="n">
        <x:f>IF(E1063=F1063,1,0)</x:f>
        <x:v>1</x:v>
      </x:c>
    </x:row>
    <x:row r="1064" ht="55" customHeight="1">
      <x:c r="A1064" s="10" t="str">
        <x:v>V-A</x:v>
      </x:c>
      <x:c r="B1064" s="10" t="str">
        <x:v>VOICE</x:v>
      </x:c>
      <x:c r="C1064" s="10" t="str">
        <x:v>VOICE:S4-18:input</x:v>
      </x:c>
      <x:c r="D1064" s="10" t="str">
        <x:v>VOICE:S4-18:expression</x:v>
      </x:c>
      <x:c r="E1064" s="10" t="str">
        <x:v>["S4-18:quote-L","S4-18:quote-R"]</x:v>
      </x:c>
      <x:c r="F1064" s="10" t="str">
        <x:v>["S4-18:quote-L","S4-18:quote-R"]</x:v>
      </x:c>
      <x:c r="G1064" s="10" t="n">
        <x:f>IF(E1064=F1064,1,0)</x:f>
        <x:v>1</x:v>
      </x:c>
    </x:row>
    <x:row r="1065" ht="55" customHeight="1">
      <x:c r="A1065" s="10" t="str">
        <x:v>V-R1</x:v>
      </x:c>
      <x:c r="B1065" s="10" t="str">
        <x:v>VOICE</x:v>
      </x:c>
      <x:c r="C1065" s="10" t="str">
        <x:v>VOICE:S4-18:input</x:v>
      </x:c>
      <x:c r="D1065" s="10" t="str">
        <x:v>VOICE:S4-18:expression</x:v>
      </x:c>
      <x:c r="E1065" s="10" t="str">
        <x:v>["S4-18:quote-L","S4-18:quote-R"]</x:v>
      </x:c>
      <x:c r="F1065" s="10" t="str">
        <x:v>["S4-18:quote-L","S4-18:quote-R"]</x:v>
      </x:c>
      <x:c r="G1065" s="10" t="n">
        <x:f>IF(E1065=F1065,1,0)</x:f>
        <x:v>1</x:v>
      </x:c>
    </x:row>
    <x:row r="1066" ht="55" customHeight="1">
      <x:c r="A1066" s="10" t="str">
        <x:v>V-R2</x:v>
      </x:c>
      <x:c r="B1066" s="10" t="str">
        <x:v>VOICE</x:v>
      </x:c>
      <x:c r="C1066" s="10" t="str">
        <x:v>VOICE:S4-18:input</x:v>
      </x:c>
      <x:c r="D1066" s="10" t="str">
        <x:v>VOICE:S4-18:expression</x:v>
      </x:c>
      <x:c r="E1066" s="10" t="str">
        <x:v>["S4-18:quote-L","S4-18:quote-R"]</x:v>
      </x:c>
      <x:c r="F1066" s="10" t="str">
        <x:v>["S4-18:quote-L","S4-18:quote-R"]</x:v>
      </x:c>
      <x:c r="G1066" s="10" t="n">
        <x:f>IF(E1066=F1066,1,0)</x:f>
        <x:v>1</x:v>
      </x:c>
    </x:row>
    <x:row r="1067" ht="55" customHeight="1">
      <x:c r="A1067" s="10" t="str">
        <x:v>V-R3</x:v>
      </x:c>
      <x:c r="B1067" s="10" t="str">
        <x:v>VOICE</x:v>
      </x:c>
      <x:c r="C1067" s="10" t="str">
        <x:v>VOICE:S4-18:input</x:v>
      </x:c>
      <x:c r="D1067" s="10" t="str">
        <x:v>VOICE:S4-18:expression</x:v>
      </x:c>
      <x:c r="E1067" s="10" t="str">
        <x:v>["S4-18:quote-L","S4-18:quote-R"]</x:v>
      </x:c>
      <x:c r="F1067" s="10" t="str">
        <x:v>["S4-18:quote-L","S4-18:quote-R"]</x:v>
      </x:c>
      <x:c r="G1067" s="10" t="n">
        <x:f>IF(E1067=F1067,1,0)</x:f>
        <x:v>1</x:v>
      </x:c>
    </x:row>
    <x:row r="1068" ht="55" customHeight="1">
      <x:c r="A1068" s="10" t="str">
        <x:v>V-A</x:v>
      </x:c>
      <x:c r="B1068" s="10" t="str">
        <x:v>VOICE</x:v>
      </x:c>
      <x:c r="C1068" s="10" t="str">
        <x:v>VOICE:S4-19:input</x:v>
      </x:c>
      <x:c r="D1068" s="10" t="str">
        <x:v>VOICE:S4-19:expression</x:v>
      </x:c>
      <x:c r="E1068" s="10" t="str">
        <x:v>["S4-19:quote-L","S4-19:quote-R"]</x:v>
      </x:c>
      <x:c r="F1068" s="10" t="str">
        <x:v>["S4-19:quote-L","S4-19:quote-R"]</x:v>
      </x:c>
      <x:c r="G1068" s="10" t="n">
        <x:f>IF(E1068=F1068,1,0)</x:f>
        <x:v>1</x:v>
      </x:c>
    </x:row>
    <x:row r="1069" ht="55" customHeight="1">
      <x:c r="A1069" s="10" t="str">
        <x:v>V-R1</x:v>
      </x:c>
      <x:c r="B1069" s="10" t="str">
        <x:v>VOICE</x:v>
      </x:c>
      <x:c r="C1069" s="10" t="str">
        <x:v>VOICE:S4-19:input</x:v>
      </x:c>
      <x:c r="D1069" s="10" t="str">
        <x:v>VOICE:S4-19:expression</x:v>
      </x:c>
      <x:c r="E1069" s="10" t="str">
        <x:v>["S4-19:quote-L","S4-19:quote-R"]</x:v>
      </x:c>
      <x:c r="F1069" s="10" t="str">
        <x:v>["S4-19:quote-L","S4-19:quote-R"]</x:v>
      </x:c>
      <x:c r="G1069" s="10" t="n">
        <x:f>IF(E1069=F1069,1,0)</x:f>
        <x:v>1</x:v>
      </x:c>
    </x:row>
    <x:row r="1070" ht="55" customHeight="1">
      <x:c r="A1070" s="10" t="str">
        <x:v>V-R2</x:v>
      </x:c>
      <x:c r="B1070" s="10" t="str">
        <x:v>VOICE</x:v>
      </x:c>
      <x:c r="C1070" s="10" t="str">
        <x:v>VOICE:S4-19:input</x:v>
      </x:c>
      <x:c r="D1070" s="10" t="str">
        <x:v>VOICE:S4-19:expression</x:v>
      </x:c>
      <x:c r="E1070" s="10" t="str">
        <x:v>["S4-19:quote-L","S4-19:quote-R"]</x:v>
      </x:c>
      <x:c r="F1070" s="10" t="str">
        <x:v>["S4-19:quote-L","S4-19:quote-R"]</x:v>
      </x:c>
      <x:c r="G1070" s="10" t="n">
        <x:f>IF(E1070=F1070,1,0)</x:f>
        <x:v>1</x:v>
      </x:c>
    </x:row>
    <x:row r="1071" ht="55" customHeight="1">
      <x:c r="A1071" s="10" t="str">
        <x:v>V-R3</x:v>
      </x:c>
      <x:c r="B1071" s="10" t="str">
        <x:v>VOICE</x:v>
      </x:c>
      <x:c r="C1071" s="10" t="str">
        <x:v>VOICE:S4-19:input</x:v>
      </x:c>
      <x:c r="D1071" s="10" t="str">
        <x:v>VOICE:S4-19:expression</x:v>
      </x:c>
      <x:c r="E1071" s="10" t="str">
        <x:v>["S4-19:quote-L","S4-19:quote-R"]</x:v>
      </x:c>
      <x:c r="F1071" s="10" t="str">
        <x:v>["S4-19:quote-L","S4-19:quote-R"]</x:v>
      </x:c>
      <x:c r="G1071" s="10" t="n">
        <x:f>IF(E1071=F1071,1,0)</x:f>
        <x:v>1</x:v>
      </x:c>
    </x:row>
    <x:row r="1072" ht="55" customHeight="1">
      <x:c r="A1072" s="10" t="str">
        <x:v>V-A</x:v>
      </x:c>
      <x:c r="B1072" s="10" t="str">
        <x:v>VOICE</x:v>
      </x:c>
      <x:c r="C1072" s="10" t="str">
        <x:v>VOICE:S4-20:input</x:v>
      </x:c>
      <x:c r="D1072" s="10" t="str">
        <x:v>VOICE:S4-20:expression</x:v>
      </x:c>
      <x:c r="E1072" s="10" t="str">
        <x:v>["S4-20:quote-L","S4-20:quote-R"]</x:v>
      </x:c>
      <x:c r="F1072" s="10" t="str">
        <x:v>["S4-20:quote-L","S4-20:quote-R"]</x:v>
      </x:c>
      <x:c r="G1072" s="10" t="n">
        <x:f>IF(E1072=F1072,1,0)</x:f>
        <x:v>1</x:v>
      </x:c>
    </x:row>
    <x:row r="1073" ht="55" customHeight="1">
      <x:c r="A1073" s="10" t="str">
        <x:v>V-R1</x:v>
      </x:c>
      <x:c r="B1073" s="10" t="str">
        <x:v>VOICE</x:v>
      </x:c>
      <x:c r="C1073" s="10" t="str">
        <x:v>VOICE:S4-20:input</x:v>
      </x:c>
      <x:c r="D1073" s="10" t="str">
        <x:v>VOICE:S4-20:expression</x:v>
      </x:c>
      <x:c r="E1073" s="10" t="str">
        <x:v>["S4-20:quote-L","S4-20:quote-R"]</x:v>
      </x:c>
      <x:c r="F1073" s="10" t="str">
        <x:v>["S4-20:quote-L","S4-20:quote-R"]</x:v>
      </x:c>
      <x:c r="G1073" s="10" t="n">
        <x:f>IF(E1073=F1073,1,0)</x:f>
        <x:v>1</x:v>
      </x:c>
    </x:row>
    <x:row r="1074" ht="55" customHeight="1">
      <x:c r="A1074" s="10" t="str">
        <x:v>V-R2</x:v>
      </x:c>
      <x:c r="B1074" s="10" t="str">
        <x:v>VOICE</x:v>
      </x:c>
      <x:c r="C1074" s="10" t="str">
        <x:v>VOICE:S4-20:input</x:v>
      </x:c>
      <x:c r="D1074" s="10" t="str">
        <x:v>VOICE:S4-20:expression</x:v>
      </x:c>
      <x:c r="E1074" s="10" t="str">
        <x:v>["S4-20:quote-L","S4-20:quote-R"]</x:v>
      </x:c>
      <x:c r="F1074" s="10" t="str">
        <x:v>["S4-20:quote-L","S4-20:quote-R"]</x:v>
      </x:c>
      <x:c r="G1074" s="10" t="n">
        <x:f>IF(E1074=F1074,1,0)</x:f>
        <x:v>1</x:v>
      </x:c>
    </x:row>
    <x:row r="1075" ht="55" customHeight="1">
      <x:c r="A1075" s="10" t="str">
        <x:v>V-R3</x:v>
      </x:c>
      <x:c r="B1075" s="10" t="str">
        <x:v>VOICE</x:v>
      </x:c>
      <x:c r="C1075" s="10" t="str">
        <x:v>VOICE:S4-20:input</x:v>
      </x:c>
      <x:c r="D1075" s="10" t="str">
        <x:v>VOICE:S4-20:expression</x:v>
      </x:c>
      <x:c r="E1075" s="10" t="str">
        <x:v>["S4-20:quote-L","S4-20:quote-R"]</x:v>
      </x:c>
      <x:c r="F1075" s="10" t="str">
        <x:v>["S4-20:quote-L","S4-20:quote-R"]</x:v>
      </x:c>
      <x:c r="G1075" s="10" t="n">
        <x:f>IF(E1075=F1075,1,0)</x:f>
        <x:v>1</x:v>
      </x:c>
    </x:row>
    <x:row r="1076" ht="55" customHeight="1">
      <x:c r="A1076" s="10" t="str">
        <x:v>V-A</x:v>
      </x:c>
      <x:c r="B1076" s="10" t="str">
        <x:v>VOICE</x:v>
      </x:c>
      <x:c r="C1076" s="10" t="str">
        <x:v>VOICE:S5-01:input</x:v>
      </x:c>
      <x:c r="D1076" s="10" t="str">
        <x:v>VOICE:S5-01:expression</x:v>
      </x:c>
      <x:c r="E1076" s="10" t="str">
        <x:v>["S5-01:quote-L","S5-01:quote-R"]</x:v>
      </x:c>
      <x:c r="F1076" s="10" t="str">
        <x:v>["S5-01:quote-L","S5-01:quote-Z"]</x:v>
      </x:c>
      <x:c r="G1076" s="10" t="n">
        <x:f>IF(E1076=F1076,1,0)</x:f>
        <x:v>0</x:v>
      </x:c>
    </x:row>
    <x:row r="1077" ht="55" customHeight="1">
      <x:c r="A1077" s="10" t="str">
        <x:v>V-R1</x:v>
      </x:c>
      <x:c r="B1077" s="10" t="str">
        <x:v>VOICE</x:v>
      </x:c>
      <x:c r="C1077" s="10" t="str">
        <x:v>VOICE:S5-01:input</x:v>
      </x:c>
      <x:c r="D1077" s="10" t="str">
        <x:v>VOICE:S5-01:expression</x:v>
      </x:c>
      <x:c r="E1077" s="10" t="str">
        <x:v>["S5-01:quote-L","S5-01:quote-R"]</x:v>
      </x:c>
      <x:c r="F1077" s="10" t="str">
        <x:v>["S5-01:quote-L","S5-01:quote-R"]</x:v>
      </x:c>
      <x:c r="G1077" s="10" t="n">
        <x:f>IF(E1077=F1077,1,0)</x:f>
        <x:v>1</x:v>
      </x:c>
    </x:row>
    <x:row r="1078" ht="55" customHeight="1">
      <x:c r="A1078" s="10" t="str">
        <x:v>V-R2</x:v>
      </x:c>
      <x:c r="B1078" s="10" t="str">
        <x:v>VOICE</x:v>
      </x:c>
      <x:c r="C1078" s="10" t="str">
        <x:v>VOICE:S5-01:input</x:v>
      </x:c>
      <x:c r="D1078" s="10" t="str">
        <x:v>VOICE:S5-01:expression</x:v>
      </x:c>
      <x:c r="E1078" s="10" t="str">
        <x:v>["S5-01:quote-L","S5-01:quote-R"]</x:v>
      </x:c>
      <x:c r="F1078" s="10" t="str">
        <x:v>["S5-01:quote-L","S5-01:quote-R"]</x:v>
      </x:c>
      <x:c r="G1078" s="10" t="n">
        <x:f>IF(E1078=F1078,1,0)</x:f>
        <x:v>1</x:v>
      </x:c>
    </x:row>
    <x:row r="1079" ht="55" customHeight="1">
      <x:c r="A1079" s="10" t="str">
        <x:v>V-R3</x:v>
      </x:c>
      <x:c r="B1079" s="10" t="str">
        <x:v>VOICE</x:v>
      </x:c>
      <x:c r="C1079" s="10" t="str">
        <x:v>VOICE:S5-01:input</x:v>
      </x:c>
      <x:c r="D1079" s="10" t="str">
        <x:v>VOICE:S5-01:expression</x:v>
      </x:c>
      <x:c r="E1079" s="10" t="str">
        <x:v>["S5-01:quote-L","S5-01:quote-R"]</x:v>
      </x:c>
      <x:c r="F1079" s="10" t="str">
        <x:v>["S5-01:quote-L","S5-01:quote-R"]</x:v>
      </x:c>
      <x:c r="G1079" s="10" t="n">
        <x:f>IF(E1079=F1079,1,0)</x:f>
        <x:v>1</x:v>
      </x:c>
    </x:row>
    <x:row r="1080" ht="55" customHeight="1">
      <x:c r="A1080" s="10" t="str">
        <x:v>V-A</x:v>
      </x:c>
      <x:c r="B1080" s="10" t="str">
        <x:v>VOICE</x:v>
      </x:c>
      <x:c r="C1080" s="10" t="str">
        <x:v>VOICE:S5-02:input</x:v>
      </x:c>
      <x:c r="D1080" s="10" t="str">
        <x:v>VOICE:S5-02:expression</x:v>
      </x:c>
      <x:c r="E1080" s="10" t="str">
        <x:v>["S5-02:quote-L","S5-02:quote-R"]</x:v>
      </x:c>
      <x:c r="F1080" s="10" t="str">
        <x:v>["S5-02:quote-L","S5-02:quote-Z"]</x:v>
      </x:c>
      <x:c r="G1080" s="10" t="n">
        <x:f>IF(E1080=F1080,1,0)</x:f>
        <x:v>0</x:v>
      </x:c>
    </x:row>
    <x:row r="1081" ht="55" customHeight="1">
      <x:c r="A1081" s="10" t="str">
        <x:v>V-R1</x:v>
      </x:c>
      <x:c r="B1081" s="10" t="str">
        <x:v>VOICE</x:v>
      </x:c>
      <x:c r="C1081" s="10" t="str">
        <x:v>VOICE:S5-02:input</x:v>
      </x:c>
      <x:c r="D1081" s="10" t="str">
        <x:v>VOICE:S5-02:expression</x:v>
      </x:c>
      <x:c r="E1081" s="10" t="str">
        <x:v>["S5-02:quote-L","S5-02:quote-R"]</x:v>
      </x:c>
      <x:c r="F1081" s="10" t="str">
        <x:v>["S5-02:quote-L","S5-02:quote-R"]</x:v>
      </x:c>
      <x:c r="G1081" s="10" t="n">
        <x:f>IF(E1081=F1081,1,0)</x:f>
        <x:v>1</x:v>
      </x:c>
    </x:row>
    <x:row r="1082" ht="55" customHeight="1">
      <x:c r="A1082" s="10" t="str">
        <x:v>V-R2</x:v>
      </x:c>
      <x:c r="B1082" s="10" t="str">
        <x:v>VOICE</x:v>
      </x:c>
      <x:c r="C1082" s="10" t="str">
        <x:v>VOICE:S5-02:input</x:v>
      </x:c>
      <x:c r="D1082" s="10" t="str">
        <x:v>VOICE:S5-02:expression</x:v>
      </x:c>
      <x:c r="E1082" s="10" t="str">
        <x:v>["S5-02:quote-L","S5-02:quote-R"]</x:v>
      </x:c>
      <x:c r="F1082" s="10" t="str">
        <x:v>["S5-02:quote-L","S5-02:quote-R"]</x:v>
      </x:c>
      <x:c r="G1082" s="10" t="n">
        <x:f>IF(E1082=F1082,1,0)</x:f>
        <x:v>1</x:v>
      </x:c>
    </x:row>
    <x:row r="1083" ht="55" customHeight="1">
      <x:c r="A1083" s="10" t="str">
        <x:v>V-R3</x:v>
      </x:c>
      <x:c r="B1083" s="10" t="str">
        <x:v>VOICE</x:v>
      </x:c>
      <x:c r="C1083" s="10" t="str">
        <x:v>VOICE:S5-02:input</x:v>
      </x:c>
      <x:c r="D1083" s="10" t="str">
        <x:v>VOICE:S5-02:expression</x:v>
      </x:c>
      <x:c r="E1083" s="10" t="str">
        <x:v>["S5-02:quote-L","S5-02:quote-R"]</x:v>
      </x:c>
      <x:c r="F1083" s="10" t="str">
        <x:v>["S5-02:quote-L","S5-02:quote-R"]</x:v>
      </x:c>
      <x:c r="G1083" s="10" t="n">
        <x:f>IF(E1083=F1083,1,0)</x:f>
        <x:v>1</x:v>
      </x:c>
    </x:row>
    <x:row r="1084" ht="55" customHeight="1">
      <x:c r="A1084" s="10" t="str">
        <x:v>V-A</x:v>
      </x:c>
      <x:c r="B1084" s="10" t="str">
        <x:v>VOICE</x:v>
      </x:c>
      <x:c r="C1084" s="10" t="str">
        <x:v>VOICE:S5-03:input</x:v>
      </x:c>
      <x:c r="D1084" s="10" t="str">
        <x:v>VOICE:S5-03:expression</x:v>
      </x:c>
      <x:c r="E1084" s="10" t="str">
        <x:v>["S5-03:quote-L","S5-03:quote-R"]</x:v>
      </x:c>
      <x:c r="F1084" s="10" t="str">
        <x:v>["S5-03:quote-L","S5-03:quote-Z"]</x:v>
      </x:c>
      <x:c r="G1084" s="10" t="n">
        <x:f>IF(E1084=F1084,1,0)</x:f>
        <x:v>0</x:v>
      </x:c>
    </x:row>
    <x:row r="1085" ht="55" customHeight="1">
      <x:c r="A1085" s="10" t="str">
        <x:v>V-R1</x:v>
      </x:c>
      <x:c r="B1085" s="10" t="str">
        <x:v>VOICE</x:v>
      </x:c>
      <x:c r="C1085" s="10" t="str">
        <x:v>VOICE:S5-03:input</x:v>
      </x:c>
      <x:c r="D1085" s="10" t="str">
        <x:v>VOICE:S5-03:expression</x:v>
      </x:c>
      <x:c r="E1085" s="10" t="str">
        <x:v>["S5-03:quote-L","S5-03:quote-R"]</x:v>
      </x:c>
      <x:c r="F1085" s="10" t="str">
        <x:v>["S5-03:quote-L","S5-03:quote-R"]</x:v>
      </x:c>
      <x:c r="G1085" s="10" t="n">
        <x:f>IF(E1085=F1085,1,0)</x:f>
        <x:v>1</x:v>
      </x:c>
    </x:row>
    <x:row r="1086" ht="55" customHeight="1">
      <x:c r="A1086" s="10" t="str">
        <x:v>V-R2</x:v>
      </x:c>
      <x:c r="B1086" s="10" t="str">
        <x:v>VOICE</x:v>
      </x:c>
      <x:c r="C1086" s="10" t="str">
        <x:v>VOICE:S5-03:input</x:v>
      </x:c>
      <x:c r="D1086" s="10" t="str">
        <x:v>VOICE:S5-03:expression</x:v>
      </x:c>
      <x:c r="E1086" s="10" t="str">
        <x:v>["S5-03:quote-L","S5-03:quote-R"]</x:v>
      </x:c>
      <x:c r="F1086" s="10" t="str">
        <x:v>["S5-03:quote-L","S5-03:quote-R"]</x:v>
      </x:c>
      <x:c r="G1086" s="10" t="n">
        <x:f>IF(E1086=F1086,1,0)</x:f>
        <x:v>1</x:v>
      </x:c>
    </x:row>
    <x:row r="1087" ht="55" customHeight="1">
      <x:c r="A1087" s="10" t="str">
        <x:v>V-R3</x:v>
      </x:c>
      <x:c r="B1087" s="10" t="str">
        <x:v>VOICE</x:v>
      </x:c>
      <x:c r="C1087" s="10" t="str">
        <x:v>VOICE:S5-03:input</x:v>
      </x:c>
      <x:c r="D1087" s="10" t="str">
        <x:v>VOICE:S5-03:expression</x:v>
      </x:c>
      <x:c r="E1087" s="10" t="str">
        <x:v>["S5-03:quote-L","S5-03:quote-R"]</x:v>
      </x:c>
      <x:c r="F1087" s="10" t="str">
        <x:v>["S5-03:quote-L","S5-03:quote-R"]</x:v>
      </x:c>
      <x:c r="G1087" s="10" t="n">
        <x:f>IF(E1087=F1087,1,0)</x:f>
        <x:v>1</x:v>
      </x:c>
    </x:row>
    <x:row r="1088" ht="55" customHeight="1">
      <x:c r="A1088" s="10" t="str">
        <x:v>V-A</x:v>
      </x:c>
      <x:c r="B1088" s="10" t="str">
        <x:v>VOICE</x:v>
      </x:c>
      <x:c r="C1088" s="10" t="str">
        <x:v>VOICE:S5-04:input</x:v>
      </x:c>
      <x:c r="D1088" s="10" t="str">
        <x:v>VOICE:S5-04:expression</x:v>
      </x:c>
      <x:c r="E1088" s="10" t="str">
        <x:v>["S5-04:quote-L","S5-04:quote-R"]</x:v>
      </x:c>
      <x:c r="F1088" s="10" t="str">
        <x:v>["S5-04:quote-L","S5-04:quote-R"]</x:v>
      </x:c>
      <x:c r="G1088" s="10" t="n">
        <x:f>IF(E1088=F1088,1,0)</x:f>
        <x:v>1</x:v>
      </x:c>
    </x:row>
    <x:row r="1089" ht="55" customHeight="1">
      <x:c r="A1089" s="10" t="str">
        <x:v>V-R1</x:v>
      </x:c>
      <x:c r="B1089" s="10" t="str">
        <x:v>VOICE</x:v>
      </x:c>
      <x:c r="C1089" s="10" t="str">
        <x:v>VOICE:S5-04:input</x:v>
      </x:c>
      <x:c r="D1089" s="10" t="str">
        <x:v>VOICE:S5-04:expression</x:v>
      </x:c>
      <x:c r="E1089" s="10" t="str">
        <x:v>["S5-04:quote-L","S5-04:quote-R"]</x:v>
      </x:c>
      <x:c r="F1089" s="10" t="str">
        <x:v>["S5-04:quote-L","S5-04:quote-Z"]</x:v>
      </x:c>
      <x:c r="G1089" s="10" t="n">
        <x:f>IF(E1089=F1089,1,0)</x:f>
        <x:v>0</x:v>
      </x:c>
    </x:row>
    <x:row r="1090" ht="55" customHeight="1">
      <x:c r="A1090" s="10" t="str">
        <x:v>V-R2</x:v>
      </x:c>
      <x:c r="B1090" s="10" t="str">
        <x:v>VOICE</x:v>
      </x:c>
      <x:c r="C1090" s="10" t="str">
        <x:v>VOICE:S5-04:input</x:v>
      </x:c>
      <x:c r="D1090" s="10" t="str">
        <x:v>VOICE:S5-04:expression</x:v>
      </x:c>
      <x:c r="E1090" s="10" t="str">
        <x:v>["S5-04:quote-L","S5-04:quote-R"]</x:v>
      </x:c>
      <x:c r="F1090" s="10" t="str">
        <x:v>["S5-04:quote-L","S5-04:quote-Z"]</x:v>
      </x:c>
      <x:c r="G1090" s="10" t="n">
        <x:f>IF(E1090=F1090,1,0)</x:f>
        <x:v>0</x:v>
      </x:c>
    </x:row>
    <x:row r="1091" ht="55" customHeight="1">
      <x:c r="A1091" s="10" t="str">
        <x:v>V-R3</x:v>
      </x:c>
      <x:c r="B1091" s="10" t="str">
        <x:v>VOICE</x:v>
      </x:c>
      <x:c r="C1091" s="10" t="str">
        <x:v>VOICE:S5-04:input</x:v>
      </x:c>
      <x:c r="D1091" s="10" t="str">
        <x:v>VOICE:S5-04:expression</x:v>
      </x:c>
      <x:c r="E1091" s="10" t="str">
        <x:v>["S5-04:quote-L","S5-04:quote-R"]</x:v>
      </x:c>
      <x:c r="F1091" s="10" t="str">
        <x:v>["S5-04:quote-L","S5-04:quote-Z"]</x:v>
      </x:c>
      <x:c r="G1091" s="10" t="n">
        <x:f>IF(E1091=F1091,1,0)</x:f>
        <x:v>0</x:v>
      </x:c>
    </x:row>
    <x:row r="1092" ht="55" customHeight="1">
      <x:c r="A1092" s="10" t="str">
        <x:v>V-A</x:v>
      </x:c>
      <x:c r="B1092" s="10" t="str">
        <x:v>VOICE</x:v>
      </x:c>
      <x:c r="C1092" s="10" t="str">
        <x:v>VOICE:S5-05:input</x:v>
      </x:c>
      <x:c r="D1092" s="10" t="str">
        <x:v>VOICE:S5-05:expression</x:v>
      </x:c>
      <x:c r="E1092" s="10" t="str">
        <x:v>["S5-05:quote-L","S5-05:quote-R"]</x:v>
      </x:c>
      <x:c r="F1092" s="10" t="str">
        <x:v>["S5-05:quote-L","S5-05:quote-R"]</x:v>
      </x:c>
      <x:c r="G1092" s="10" t="n">
        <x:f>IF(E1092=F1092,1,0)</x:f>
        <x:v>1</x:v>
      </x:c>
    </x:row>
    <x:row r="1093" ht="55" customHeight="1">
      <x:c r="A1093" s="10" t="str">
        <x:v>V-R1</x:v>
      </x:c>
      <x:c r="B1093" s="10" t="str">
        <x:v>VOICE</x:v>
      </x:c>
      <x:c r="C1093" s="10" t="str">
        <x:v>VOICE:S5-05:input</x:v>
      </x:c>
      <x:c r="D1093" s="10" t="str">
        <x:v>VOICE:S5-05:expression</x:v>
      </x:c>
      <x:c r="E1093" s="10" t="str">
        <x:v>["S5-05:quote-L","S5-05:quote-R"]</x:v>
      </x:c>
      <x:c r="F1093" s="10" t="str">
        <x:v>["S5-05:quote-L","S5-05:quote-R"]</x:v>
      </x:c>
      <x:c r="G1093" s="10" t="n">
        <x:f>IF(E1093=F1093,1,0)</x:f>
        <x:v>1</x:v>
      </x:c>
    </x:row>
    <x:row r="1094" ht="55" customHeight="1">
      <x:c r="A1094" s="10" t="str">
        <x:v>V-R2</x:v>
      </x:c>
      <x:c r="B1094" s="10" t="str">
        <x:v>VOICE</x:v>
      </x:c>
      <x:c r="C1094" s="10" t="str">
        <x:v>VOICE:S5-05:input</x:v>
      </x:c>
      <x:c r="D1094" s="10" t="str">
        <x:v>VOICE:S5-05:expression</x:v>
      </x:c>
      <x:c r="E1094" s="10" t="str">
        <x:v>["S5-05:quote-L","S5-05:quote-R"]</x:v>
      </x:c>
      <x:c r="F1094" s="10" t="str">
        <x:v>["S5-05:quote-L","S5-05:quote-R"]</x:v>
      </x:c>
      <x:c r="G1094" s="10" t="n">
        <x:f>IF(E1094=F1094,1,0)</x:f>
        <x:v>1</x:v>
      </x:c>
    </x:row>
    <x:row r="1095" ht="55" customHeight="1">
      <x:c r="A1095" s="10" t="str">
        <x:v>V-R3</x:v>
      </x:c>
      <x:c r="B1095" s="10" t="str">
        <x:v>VOICE</x:v>
      </x:c>
      <x:c r="C1095" s="10" t="str">
        <x:v>VOICE:S5-05:input</x:v>
      </x:c>
      <x:c r="D1095" s="10" t="str">
        <x:v>VOICE:S5-05:expression</x:v>
      </x:c>
      <x:c r="E1095" s="10" t="str">
        <x:v>["S5-05:quote-L","S5-05:quote-R"]</x:v>
      </x:c>
      <x:c r="F1095" s="10" t="str">
        <x:v>["S5-05:quote-L","S5-05:quote-R"]</x:v>
      </x:c>
      <x:c r="G1095" s="10" t="n">
        <x:f>IF(E1095=F1095,1,0)</x:f>
        <x:v>1</x:v>
      </x:c>
    </x:row>
    <x:row r="1096" ht="55" customHeight="1">
      <x:c r="A1096" s="10" t="str">
        <x:v>V-A</x:v>
      </x:c>
      <x:c r="B1096" s="10" t="str">
        <x:v>VOICE</x:v>
      </x:c>
      <x:c r="C1096" s="10" t="str">
        <x:v>VOICE:S5-06:input</x:v>
      </x:c>
      <x:c r="D1096" s="10" t="str">
        <x:v>VOICE:S5-06:expression</x:v>
      </x:c>
      <x:c r="E1096" s="10" t="str">
        <x:v>["S5-06:quote-L","S5-06:quote-R"]</x:v>
      </x:c>
      <x:c r="F1096" s="10" t="str">
        <x:v>["S5-06:quote-L","S5-06:quote-R"]</x:v>
      </x:c>
      <x:c r="G1096" s="10" t="n">
        <x:f>IF(E1096=F1096,1,0)</x:f>
        <x:v>1</x:v>
      </x:c>
    </x:row>
    <x:row r="1097" ht="55" customHeight="1">
      <x:c r="A1097" s="10" t="str">
        <x:v>V-R1</x:v>
      </x:c>
      <x:c r="B1097" s="10" t="str">
        <x:v>VOICE</x:v>
      </x:c>
      <x:c r="C1097" s="10" t="str">
        <x:v>VOICE:S5-06:input</x:v>
      </x:c>
      <x:c r="D1097" s="10" t="str">
        <x:v>VOICE:S5-06:expression</x:v>
      </x:c>
      <x:c r="E1097" s="10" t="str">
        <x:v>["S5-06:quote-L","S5-06:quote-R"]</x:v>
      </x:c>
      <x:c r="F1097" s="10" t="str">
        <x:v>["S5-06:quote-L","S5-06:quote-R"]</x:v>
      </x:c>
      <x:c r="G1097" s="10" t="n">
        <x:f>IF(E1097=F1097,1,0)</x:f>
        <x:v>1</x:v>
      </x:c>
    </x:row>
    <x:row r="1098" ht="55" customHeight="1">
      <x:c r="A1098" s="10" t="str">
        <x:v>V-R2</x:v>
      </x:c>
      <x:c r="B1098" s="10" t="str">
        <x:v>VOICE</x:v>
      </x:c>
      <x:c r="C1098" s="10" t="str">
        <x:v>VOICE:S5-06:input</x:v>
      </x:c>
      <x:c r="D1098" s="10" t="str">
        <x:v>VOICE:S5-06:expression</x:v>
      </x:c>
      <x:c r="E1098" s="10" t="str">
        <x:v>["S5-06:quote-L","S5-06:quote-R"]</x:v>
      </x:c>
      <x:c r="F1098" s="10" t="str">
        <x:v>["S5-06:quote-L","S5-06:quote-R"]</x:v>
      </x:c>
      <x:c r="G1098" s="10" t="n">
        <x:f>IF(E1098=F1098,1,0)</x:f>
        <x:v>1</x:v>
      </x:c>
    </x:row>
    <x:row r="1099" ht="55" customHeight="1">
      <x:c r="A1099" s="10" t="str">
        <x:v>V-R3</x:v>
      </x:c>
      <x:c r="B1099" s="10" t="str">
        <x:v>VOICE</x:v>
      </x:c>
      <x:c r="C1099" s="10" t="str">
        <x:v>VOICE:S5-06:input</x:v>
      </x:c>
      <x:c r="D1099" s="10" t="str">
        <x:v>VOICE:S5-06:expression</x:v>
      </x:c>
      <x:c r="E1099" s="10" t="str">
        <x:v>["S5-06:quote-L","S5-06:quote-R"]</x:v>
      </x:c>
      <x:c r="F1099" s="10" t="str">
        <x:v>["S5-06:quote-L","S5-06:quote-R"]</x:v>
      </x:c>
      <x:c r="G1099" s="10" t="n">
        <x:f>IF(E1099=F1099,1,0)</x:f>
        <x:v>1</x:v>
      </x:c>
    </x:row>
    <x:row r="1100" ht="55" customHeight="1">
      <x:c r="A1100" s="10" t="str">
        <x:v>V-A</x:v>
      </x:c>
      <x:c r="B1100" s="10" t="str">
        <x:v>VOICE</x:v>
      </x:c>
      <x:c r="C1100" s="10" t="str">
        <x:v>VOICE:S5-07:input</x:v>
      </x:c>
      <x:c r="D1100" s="10" t="str">
        <x:v>VOICE:S5-07:expression</x:v>
      </x:c>
      <x:c r="E1100" s="10" t="str">
        <x:v>["S5-07:quote-L","S5-07:quote-R"]</x:v>
      </x:c>
      <x:c r="F1100" s="10" t="str">
        <x:v>["S5-07:quote-L","S5-07:quote-R"]</x:v>
      </x:c>
      <x:c r="G1100" s="10" t="n">
        <x:f>IF(E1100=F1100,1,0)</x:f>
        <x:v>1</x:v>
      </x:c>
    </x:row>
    <x:row r="1101" ht="55" customHeight="1">
      <x:c r="A1101" s="10" t="str">
        <x:v>V-R1</x:v>
      </x:c>
      <x:c r="B1101" s="10" t="str">
        <x:v>VOICE</x:v>
      </x:c>
      <x:c r="C1101" s="10" t="str">
        <x:v>VOICE:S5-07:input</x:v>
      </x:c>
      <x:c r="D1101" s="10" t="str">
        <x:v>VOICE:S5-07:expression</x:v>
      </x:c>
      <x:c r="E1101" s="10" t="str">
        <x:v>["S5-07:quote-L","S5-07:quote-R"]</x:v>
      </x:c>
      <x:c r="F1101" s="10" t="str">
        <x:v>["S5-07:quote-L","S5-07:quote-R"]</x:v>
      </x:c>
      <x:c r="G1101" s="10" t="n">
        <x:f>IF(E1101=F1101,1,0)</x:f>
        <x:v>1</x:v>
      </x:c>
    </x:row>
    <x:row r="1102" ht="55" customHeight="1">
      <x:c r="A1102" s="10" t="str">
        <x:v>V-R2</x:v>
      </x:c>
      <x:c r="B1102" s="10" t="str">
        <x:v>VOICE</x:v>
      </x:c>
      <x:c r="C1102" s="10" t="str">
        <x:v>VOICE:S5-07:input</x:v>
      </x:c>
      <x:c r="D1102" s="10" t="str">
        <x:v>VOICE:S5-07:expression</x:v>
      </x:c>
      <x:c r="E1102" s="10" t="str">
        <x:v>["S5-07:quote-L","S5-07:quote-R"]</x:v>
      </x:c>
      <x:c r="F1102" s="10" t="str">
        <x:v>["S5-07:quote-L","S5-07:quote-R"]</x:v>
      </x:c>
      <x:c r="G1102" s="10" t="n">
        <x:f>IF(E1102=F1102,1,0)</x:f>
        <x:v>1</x:v>
      </x:c>
    </x:row>
    <x:row r="1103" ht="55" customHeight="1">
      <x:c r="A1103" s="10" t="str">
        <x:v>V-R3</x:v>
      </x:c>
      <x:c r="B1103" s="10" t="str">
        <x:v>VOICE</x:v>
      </x:c>
      <x:c r="C1103" s="10" t="str">
        <x:v>VOICE:S5-07:input</x:v>
      </x:c>
      <x:c r="D1103" s="10" t="str">
        <x:v>VOICE:S5-07:expression</x:v>
      </x:c>
      <x:c r="E1103" s="10" t="str">
        <x:v>["S5-07:quote-L","S5-07:quote-R"]</x:v>
      </x:c>
      <x:c r="F1103" s="10" t="str">
        <x:v>["S5-07:quote-L","S5-07:quote-R"]</x:v>
      </x:c>
      <x:c r="G1103" s="10" t="n">
        <x:f>IF(E1103=F1103,1,0)</x:f>
        <x:v>1</x:v>
      </x:c>
    </x:row>
    <x:row r="1104" ht="55" customHeight="1">
      <x:c r="A1104" s="10" t="str">
        <x:v>V-A</x:v>
      </x:c>
      <x:c r="B1104" s="10" t="str">
        <x:v>VOICE</x:v>
      </x:c>
      <x:c r="C1104" s="10" t="str">
        <x:v>VOICE:S5-08:input</x:v>
      </x:c>
      <x:c r="D1104" s="10" t="str">
        <x:v>VOICE:S5-08:expression</x:v>
      </x:c>
      <x:c r="E1104" s="10" t="str">
        <x:v>["S5-08:quote-L","S5-08:quote-R"]</x:v>
      </x:c>
      <x:c r="F1104" s="10" t="str">
        <x:v>["S5-08:quote-L","S5-08:quote-R"]</x:v>
      </x:c>
      <x:c r="G1104" s="10" t="n">
        <x:f>IF(E1104=F1104,1,0)</x:f>
        <x:v>1</x:v>
      </x:c>
    </x:row>
    <x:row r="1105" ht="55" customHeight="1">
      <x:c r="A1105" s="10" t="str">
        <x:v>V-R1</x:v>
      </x:c>
      <x:c r="B1105" s="10" t="str">
        <x:v>VOICE</x:v>
      </x:c>
      <x:c r="C1105" s="10" t="str">
        <x:v>VOICE:S5-08:input</x:v>
      </x:c>
      <x:c r="D1105" s="10" t="str">
        <x:v>VOICE:S5-08:expression</x:v>
      </x:c>
      <x:c r="E1105" s="10" t="str">
        <x:v>["S5-08:quote-L","S5-08:quote-R"]</x:v>
      </x:c>
      <x:c r="F1105" s="10" t="str">
        <x:v>["S5-08:quote-L","S5-08:quote-R"]</x:v>
      </x:c>
      <x:c r="G1105" s="10" t="n">
        <x:f>IF(E1105=F1105,1,0)</x:f>
        <x:v>1</x:v>
      </x:c>
    </x:row>
    <x:row r="1106" ht="55" customHeight="1">
      <x:c r="A1106" s="10" t="str">
        <x:v>V-R2</x:v>
      </x:c>
      <x:c r="B1106" s="10" t="str">
        <x:v>VOICE</x:v>
      </x:c>
      <x:c r="C1106" s="10" t="str">
        <x:v>VOICE:S5-08:input</x:v>
      </x:c>
      <x:c r="D1106" s="10" t="str">
        <x:v>VOICE:S5-08:expression</x:v>
      </x:c>
      <x:c r="E1106" s="10" t="str">
        <x:v>["S5-08:quote-L","S5-08:quote-R"]</x:v>
      </x:c>
      <x:c r="F1106" s="10" t="str">
        <x:v>["S5-08:quote-L","S5-08:quote-R"]</x:v>
      </x:c>
      <x:c r="G1106" s="10" t="n">
        <x:f>IF(E1106=F1106,1,0)</x:f>
        <x:v>1</x:v>
      </x:c>
    </x:row>
    <x:row r="1107" ht="55" customHeight="1">
      <x:c r="A1107" s="10" t="str">
        <x:v>V-R3</x:v>
      </x:c>
      <x:c r="B1107" s="10" t="str">
        <x:v>VOICE</x:v>
      </x:c>
      <x:c r="C1107" s="10" t="str">
        <x:v>VOICE:S5-08:input</x:v>
      </x:c>
      <x:c r="D1107" s="10" t="str">
        <x:v>VOICE:S5-08:expression</x:v>
      </x:c>
      <x:c r="E1107" s="10" t="str">
        <x:v>["S5-08:quote-L","S5-08:quote-R"]</x:v>
      </x:c>
      <x:c r="F1107" s="10" t="str">
        <x:v>["S5-08:quote-L","S5-08:quote-R"]</x:v>
      </x:c>
      <x:c r="G1107" s="10" t="n">
        <x:f>IF(E1107=F1107,1,0)</x:f>
        <x:v>1</x:v>
      </x:c>
    </x:row>
    <x:row r="1108" ht="55" customHeight="1">
      <x:c r="A1108" s="10" t="str">
        <x:v>V-A</x:v>
      </x:c>
      <x:c r="B1108" s="10" t="str">
        <x:v>VOICE</x:v>
      </x:c>
      <x:c r="C1108" s="10" t="str">
        <x:v>VOICE:S5-09:input</x:v>
      </x:c>
      <x:c r="D1108" s="10" t="str">
        <x:v>VOICE:S5-09:expression</x:v>
      </x:c>
      <x:c r="E1108" s="10" t="str">
        <x:v>["S5-09:quote-L","S5-09:quote-R"]</x:v>
      </x:c>
      <x:c r="F1108" s="10" t="str">
        <x:v>["S5-09:quote-L","S5-09:quote-R"]</x:v>
      </x:c>
      <x:c r="G1108" s="10" t="n">
        <x:f>IF(E1108=F1108,1,0)</x:f>
        <x:v>1</x:v>
      </x:c>
    </x:row>
    <x:row r="1109" ht="55" customHeight="1">
      <x:c r="A1109" s="10" t="str">
        <x:v>V-R1</x:v>
      </x:c>
      <x:c r="B1109" s="10" t="str">
        <x:v>VOICE</x:v>
      </x:c>
      <x:c r="C1109" s="10" t="str">
        <x:v>VOICE:S5-09:input</x:v>
      </x:c>
      <x:c r="D1109" s="10" t="str">
        <x:v>VOICE:S5-09:expression</x:v>
      </x:c>
      <x:c r="E1109" s="10" t="str">
        <x:v>["S5-09:quote-L","S5-09:quote-R"]</x:v>
      </x:c>
      <x:c r="F1109" s="10" t="str">
        <x:v>["S5-09:quote-L","S5-09:quote-R"]</x:v>
      </x:c>
      <x:c r="G1109" s="10" t="n">
        <x:f>IF(E1109=F1109,1,0)</x:f>
        <x:v>1</x:v>
      </x:c>
    </x:row>
    <x:row r="1110" ht="55" customHeight="1">
      <x:c r="A1110" s="10" t="str">
        <x:v>V-R2</x:v>
      </x:c>
      <x:c r="B1110" s="10" t="str">
        <x:v>VOICE</x:v>
      </x:c>
      <x:c r="C1110" s="10" t="str">
        <x:v>VOICE:S5-09:input</x:v>
      </x:c>
      <x:c r="D1110" s="10" t="str">
        <x:v>VOICE:S5-09:expression</x:v>
      </x:c>
      <x:c r="E1110" s="10" t="str">
        <x:v>["S5-09:quote-L","S5-09:quote-R"]</x:v>
      </x:c>
      <x:c r="F1110" s="10" t="str">
        <x:v>["S5-09:quote-L","S5-09:quote-R"]</x:v>
      </x:c>
      <x:c r="G1110" s="10" t="n">
        <x:f>IF(E1110=F1110,1,0)</x:f>
        <x:v>1</x:v>
      </x:c>
    </x:row>
    <x:row r="1111" ht="55" customHeight="1">
      <x:c r="A1111" s="10" t="str">
        <x:v>V-R3</x:v>
      </x:c>
      <x:c r="B1111" s="10" t="str">
        <x:v>VOICE</x:v>
      </x:c>
      <x:c r="C1111" s="10" t="str">
        <x:v>VOICE:S5-09:input</x:v>
      </x:c>
      <x:c r="D1111" s="10" t="str">
        <x:v>VOICE:S5-09:expression</x:v>
      </x:c>
      <x:c r="E1111" s="10" t="str">
        <x:v>["S5-09:quote-L","S5-09:quote-R"]</x:v>
      </x:c>
      <x:c r="F1111" s="10" t="str">
        <x:v>["S5-09:quote-L","S5-09:quote-R"]</x:v>
      </x:c>
      <x:c r="G1111" s="10" t="n">
        <x:f>IF(E1111=F1111,1,0)</x:f>
        <x:v>1</x:v>
      </x:c>
    </x:row>
    <x:row r="1112" ht="55" customHeight="1">
      <x:c r="A1112" s="10" t="str">
        <x:v>V-A</x:v>
      </x:c>
      <x:c r="B1112" s="10" t="str">
        <x:v>VOICE</x:v>
      </x:c>
      <x:c r="C1112" s="10" t="str">
        <x:v>VOICE:S5-10:input</x:v>
      </x:c>
      <x:c r="D1112" s="10" t="str">
        <x:v>VOICE:S5-10:expression</x:v>
      </x:c>
      <x:c r="E1112" s="10" t="str">
        <x:v>["S5-10:quote-L","S5-10:quote-R"]</x:v>
      </x:c>
      <x:c r="F1112" s="10" t="str">
        <x:v>["S5-10:quote-L","S5-10:quote-R"]</x:v>
      </x:c>
      <x:c r="G1112" s="10" t="n">
        <x:f>IF(E1112=F1112,1,0)</x:f>
        <x:v>1</x:v>
      </x:c>
    </x:row>
    <x:row r="1113" ht="55" customHeight="1">
      <x:c r="A1113" s="10" t="str">
        <x:v>V-R1</x:v>
      </x:c>
      <x:c r="B1113" s="10" t="str">
        <x:v>VOICE</x:v>
      </x:c>
      <x:c r="C1113" s="10" t="str">
        <x:v>VOICE:S5-10:input</x:v>
      </x:c>
      <x:c r="D1113" s="10" t="str">
        <x:v>VOICE:S5-10:expression</x:v>
      </x:c>
      <x:c r="E1113" s="10" t="str">
        <x:v>["S5-10:quote-L","S5-10:quote-R"]</x:v>
      </x:c>
      <x:c r="F1113" s="10" t="str">
        <x:v>["S5-10:quote-L","S5-10:quote-R"]</x:v>
      </x:c>
      <x:c r="G1113" s="10" t="n">
        <x:f>IF(E1113=F1113,1,0)</x:f>
        <x:v>1</x:v>
      </x:c>
    </x:row>
    <x:row r="1114" ht="55" customHeight="1">
      <x:c r="A1114" s="10" t="str">
        <x:v>V-R2</x:v>
      </x:c>
      <x:c r="B1114" s="10" t="str">
        <x:v>VOICE</x:v>
      </x:c>
      <x:c r="C1114" s="10" t="str">
        <x:v>VOICE:S5-10:input</x:v>
      </x:c>
      <x:c r="D1114" s="10" t="str">
        <x:v>VOICE:S5-10:expression</x:v>
      </x:c>
      <x:c r="E1114" s="10" t="str">
        <x:v>["S5-10:quote-L","S5-10:quote-R"]</x:v>
      </x:c>
      <x:c r="F1114" s="10" t="str">
        <x:v>["S5-10:quote-L","S5-10:quote-R"]</x:v>
      </x:c>
      <x:c r="G1114" s="10" t="n">
        <x:f>IF(E1114=F1114,1,0)</x:f>
        <x:v>1</x:v>
      </x:c>
    </x:row>
    <x:row r="1115" ht="55" customHeight="1">
      <x:c r="A1115" s="10" t="str">
        <x:v>V-R3</x:v>
      </x:c>
      <x:c r="B1115" s="10" t="str">
        <x:v>VOICE</x:v>
      </x:c>
      <x:c r="C1115" s="10" t="str">
        <x:v>VOICE:S5-10:input</x:v>
      </x:c>
      <x:c r="D1115" s="10" t="str">
        <x:v>VOICE:S5-10:expression</x:v>
      </x:c>
      <x:c r="E1115" s="10" t="str">
        <x:v>["S5-10:quote-L","S5-10:quote-R"]</x:v>
      </x:c>
      <x:c r="F1115" s="10" t="str">
        <x:v>["S5-10:quote-L","S5-10:quote-R"]</x:v>
      </x:c>
      <x:c r="G1115" s="10" t="n">
        <x:f>IF(E1115=F1115,1,0)</x:f>
        <x:v>1</x:v>
      </x:c>
    </x:row>
    <x:row r="1116" ht="55" customHeight="1">
      <x:c r="A1116" s="10" t="str">
        <x:v>V-A</x:v>
      </x:c>
      <x:c r="B1116" s="10" t="str">
        <x:v>VOICE</x:v>
      </x:c>
      <x:c r="C1116" s="10" t="str">
        <x:v>VOICE:S5-11:input</x:v>
      </x:c>
      <x:c r="D1116" s="10" t="str">
        <x:v>VOICE:S5-11:expression</x:v>
      </x:c>
      <x:c r="E1116" s="10" t="str">
        <x:v>["S5-11:quote-L","S5-11:quote-R"]</x:v>
      </x:c>
      <x:c r="F1116" s="10" t="str">
        <x:v>["S5-11:quote-L","S5-11:quote-R"]</x:v>
      </x:c>
      <x:c r="G1116" s="10" t="n">
        <x:f>IF(E1116=F1116,1,0)</x:f>
        <x:v>1</x:v>
      </x:c>
    </x:row>
    <x:row r="1117" ht="55" customHeight="1">
      <x:c r="A1117" s="10" t="str">
        <x:v>V-R1</x:v>
      </x:c>
      <x:c r="B1117" s="10" t="str">
        <x:v>VOICE</x:v>
      </x:c>
      <x:c r="C1117" s="10" t="str">
        <x:v>VOICE:S5-11:input</x:v>
      </x:c>
      <x:c r="D1117" s="10" t="str">
        <x:v>VOICE:S5-11:expression</x:v>
      </x:c>
      <x:c r="E1117" s="10" t="str">
        <x:v>["S5-11:quote-L","S5-11:quote-R"]</x:v>
      </x:c>
      <x:c r="F1117" s="10" t="str">
        <x:v>["S5-11:quote-L","S5-11:quote-R"]</x:v>
      </x:c>
      <x:c r="G1117" s="10" t="n">
        <x:f>IF(E1117=F1117,1,0)</x:f>
        <x:v>1</x:v>
      </x:c>
    </x:row>
    <x:row r="1118" ht="55" customHeight="1">
      <x:c r="A1118" s="10" t="str">
        <x:v>V-R2</x:v>
      </x:c>
      <x:c r="B1118" s="10" t="str">
        <x:v>VOICE</x:v>
      </x:c>
      <x:c r="C1118" s="10" t="str">
        <x:v>VOICE:S5-11:input</x:v>
      </x:c>
      <x:c r="D1118" s="10" t="str">
        <x:v>VOICE:S5-11:expression</x:v>
      </x:c>
      <x:c r="E1118" s="10" t="str">
        <x:v>["S5-11:quote-L","S5-11:quote-R"]</x:v>
      </x:c>
      <x:c r="F1118" s="10" t="str">
        <x:v>["S5-11:quote-L","S5-11:quote-R"]</x:v>
      </x:c>
      <x:c r="G1118" s="10" t="n">
        <x:f>IF(E1118=F1118,1,0)</x:f>
        <x:v>1</x:v>
      </x:c>
    </x:row>
    <x:row r="1119" ht="55" customHeight="1">
      <x:c r="A1119" s="10" t="str">
        <x:v>V-R3</x:v>
      </x:c>
      <x:c r="B1119" s="10" t="str">
        <x:v>VOICE</x:v>
      </x:c>
      <x:c r="C1119" s="10" t="str">
        <x:v>VOICE:S5-11:input</x:v>
      </x:c>
      <x:c r="D1119" s="10" t="str">
        <x:v>VOICE:S5-11:expression</x:v>
      </x:c>
      <x:c r="E1119" s="10" t="str">
        <x:v>["S5-11:quote-L","S5-11:quote-R"]</x:v>
      </x:c>
      <x:c r="F1119" s="10" t="str">
        <x:v>["S5-11:quote-L","S5-11:quote-R"]</x:v>
      </x:c>
      <x:c r="G1119" s="10" t="n">
        <x:f>IF(E1119=F1119,1,0)</x:f>
        <x:v>1</x:v>
      </x:c>
    </x:row>
    <x:row r="1120" ht="55" customHeight="1">
      <x:c r="A1120" s="10" t="str">
        <x:v>V-A</x:v>
      </x:c>
      <x:c r="B1120" s="10" t="str">
        <x:v>VOICE</x:v>
      </x:c>
      <x:c r="C1120" s="10" t="str">
        <x:v>VOICE:S5-12:input</x:v>
      </x:c>
      <x:c r="D1120" s="10" t="str">
        <x:v>VOICE:S5-12:expression</x:v>
      </x:c>
      <x:c r="E1120" s="10" t="str">
        <x:v>["S5-12:quote-L","S5-12:quote-R"]</x:v>
      </x:c>
      <x:c r="F1120" s="10" t="str">
        <x:v>["S5-12:quote-L","S5-12:quote-R"]</x:v>
      </x:c>
      <x:c r="G1120" s="10" t="n">
        <x:f>IF(E1120=F1120,1,0)</x:f>
        <x:v>1</x:v>
      </x:c>
    </x:row>
    <x:row r="1121" ht="55" customHeight="1">
      <x:c r="A1121" s="10" t="str">
        <x:v>V-R1</x:v>
      </x:c>
      <x:c r="B1121" s="10" t="str">
        <x:v>VOICE</x:v>
      </x:c>
      <x:c r="C1121" s="10" t="str">
        <x:v>VOICE:S5-12:input</x:v>
      </x:c>
      <x:c r="D1121" s="10" t="str">
        <x:v>VOICE:S5-12:expression</x:v>
      </x:c>
      <x:c r="E1121" s="10" t="str">
        <x:v>["S5-12:quote-L","S5-12:quote-R"]</x:v>
      </x:c>
      <x:c r="F1121" s="10" t="str">
        <x:v>["S5-12:quote-L","S5-12:quote-R"]</x:v>
      </x:c>
      <x:c r="G1121" s="10" t="n">
        <x:f>IF(E1121=F1121,1,0)</x:f>
        <x:v>1</x:v>
      </x:c>
    </x:row>
    <x:row r="1122" ht="55" customHeight="1">
      <x:c r="A1122" s="10" t="str">
        <x:v>V-R2</x:v>
      </x:c>
      <x:c r="B1122" s="10" t="str">
        <x:v>VOICE</x:v>
      </x:c>
      <x:c r="C1122" s="10" t="str">
        <x:v>VOICE:S5-12:input</x:v>
      </x:c>
      <x:c r="D1122" s="10" t="str">
        <x:v>VOICE:S5-12:expression</x:v>
      </x:c>
      <x:c r="E1122" s="10" t="str">
        <x:v>["S5-12:quote-L","S5-12:quote-R"]</x:v>
      </x:c>
      <x:c r="F1122" s="10" t="str">
        <x:v>["S5-12:quote-L","S5-12:quote-R"]</x:v>
      </x:c>
      <x:c r="G1122" s="10" t="n">
        <x:f>IF(E1122=F1122,1,0)</x:f>
        <x:v>1</x:v>
      </x:c>
    </x:row>
    <x:row r="1123" ht="55" customHeight="1">
      <x:c r="A1123" s="10" t="str">
        <x:v>V-R3</x:v>
      </x:c>
      <x:c r="B1123" s="10" t="str">
        <x:v>VOICE</x:v>
      </x:c>
      <x:c r="C1123" s="10" t="str">
        <x:v>VOICE:S5-12:input</x:v>
      </x:c>
      <x:c r="D1123" s="10" t="str">
        <x:v>VOICE:S5-12:expression</x:v>
      </x:c>
      <x:c r="E1123" s="10" t="str">
        <x:v>["S5-12:quote-L","S5-12:quote-R"]</x:v>
      </x:c>
      <x:c r="F1123" s="10" t="str">
        <x:v>["S5-12:quote-L","S5-12:quote-R"]</x:v>
      </x:c>
      <x:c r="G1123" s="10" t="n">
        <x:f>IF(E1123=F1123,1,0)</x:f>
        <x:v>1</x:v>
      </x:c>
    </x:row>
    <x:row r="1124" ht="55" customHeight="1">
      <x:c r="A1124" s="10" t="str">
        <x:v>V-A</x:v>
      </x:c>
      <x:c r="B1124" s="10" t="str">
        <x:v>VOICE</x:v>
      </x:c>
      <x:c r="C1124" s="10" t="str">
        <x:v>VOICE:S5-13:input</x:v>
      </x:c>
      <x:c r="D1124" s="10" t="str">
        <x:v>VOICE:S5-13:expression</x:v>
      </x:c>
      <x:c r="E1124" s="10" t="str">
        <x:v>["S5-13:quote-L","S5-13:quote-R"]</x:v>
      </x:c>
      <x:c r="F1124" s="10" t="str">
        <x:v>["S5-13:quote-L","S5-13:quote-R"]</x:v>
      </x:c>
      <x:c r="G1124" s="10" t="n">
        <x:f>IF(E1124=F1124,1,0)</x:f>
        <x:v>1</x:v>
      </x:c>
    </x:row>
    <x:row r="1125" ht="55" customHeight="1">
      <x:c r="A1125" s="10" t="str">
        <x:v>V-R1</x:v>
      </x:c>
      <x:c r="B1125" s="10" t="str">
        <x:v>VOICE</x:v>
      </x:c>
      <x:c r="C1125" s="10" t="str">
        <x:v>VOICE:S5-13:input</x:v>
      </x:c>
      <x:c r="D1125" s="10" t="str">
        <x:v>VOICE:S5-13:expression</x:v>
      </x:c>
      <x:c r="E1125" s="10" t="str">
        <x:v>["S5-13:quote-L","S5-13:quote-R"]</x:v>
      </x:c>
      <x:c r="F1125" s="10" t="str">
        <x:v>["S5-13:quote-L","S5-13:quote-R"]</x:v>
      </x:c>
      <x:c r="G1125" s="10" t="n">
        <x:f>IF(E1125=F1125,1,0)</x:f>
        <x:v>1</x:v>
      </x:c>
    </x:row>
    <x:row r="1126" ht="55" customHeight="1">
      <x:c r="A1126" s="10" t="str">
        <x:v>V-R2</x:v>
      </x:c>
      <x:c r="B1126" s="10" t="str">
        <x:v>VOICE</x:v>
      </x:c>
      <x:c r="C1126" s="10" t="str">
        <x:v>VOICE:S5-13:input</x:v>
      </x:c>
      <x:c r="D1126" s="10" t="str">
        <x:v>VOICE:S5-13:expression</x:v>
      </x:c>
      <x:c r="E1126" s="10" t="str">
        <x:v>["S5-13:quote-L","S5-13:quote-R"]</x:v>
      </x:c>
      <x:c r="F1126" s="10" t="str">
        <x:v>["S5-13:quote-L","S5-13:quote-R"]</x:v>
      </x:c>
      <x:c r="G1126" s="10" t="n">
        <x:f>IF(E1126=F1126,1,0)</x:f>
        <x:v>1</x:v>
      </x:c>
    </x:row>
    <x:row r="1127" ht="55" customHeight="1">
      <x:c r="A1127" s="10" t="str">
        <x:v>V-R3</x:v>
      </x:c>
      <x:c r="B1127" s="10" t="str">
        <x:v>VOICE</x:v>
      </x:c>
      <x:c r="C1127" s="10" t="str">
        <x:v>VOICE:S5-13:input</x:v>
      </x:c>
      <x:c r="D1127" s="10" t="str">
        <x:v>VOICE:S5-13:expression</x:v>
      </x:c>
      <x:c r="E1127" s="10" t="str">
        <x:v>["S5-13:quote-L","S5-13:quote-R"]</x:v>
      </x:c>
      <x:c r="F1127" s="10" t="str">
        <x:v>["S5-13:quote-L","S5-13:quote-R"]</x:v>
      </x:c>
      <x:c r="G1127" s="10" t="n">
        <x:f>IF(E1127=F1127,1,0)</x:f>
        <x:v>1</x:v>
      </x:c>
    </x:row>
    <x:row r="1128" ht="55" customHeight="1">
      <x:c r="A1128" s="10" t="str">
        <x:v>V-A</x:v>
      </x:c>
      <x:c r="B1128" s="10" t="str">
        <x:v>VOICE</x:v>
      </x:c>
      <x:c r="C1128" s="10" t="str">
        <x:v>VOICE:S5-14:input</x:v>
      </x:c>
      <x:c r="D1128" s="10" t="str">
        <x:v>VOICE:S5-14:expression</x:v>
      </x:c>
      <x:c r="E1128" s="10" t="str">
        <x:v>["S5-14:quote-L","S5-14:quote-R"]</x:v>
      </x:c>
      <x:c r="F1128" s="10" t="str">
        <x:v>["S5-14:quote-L","S5-14:quote-R"]</x:v>
      </x:c>
      <x:c r="G1128" s="10" t="n">
        <x:f>IF(E1128=F1128,1,0)</x:f>
        <x:v>1</x:v>
      </x:c>
    </x:row>
    <x:row r="1129" ht="55" customHeight="1">
      <x:c r="A1129" s="10" t="str">
        <x:v>V-R1</x:v>
      </x:c>
      <x:c r="B1129" s="10" t="str">
        <x:v>VOICE</x:v>
      </x:c>
      <x:c r="C1129" s="10" t="str">
        <x:v>VOICE:S5-14:input</x:v>
      </x:c>
      <x:c r="D1129" s="10" t="str">
        <x:v>VOICE:S5-14:expression</x:v>
      </x:c>
      <x:c r="E1129" s="10" t="str">
        <x:v>["S5-14:quote-L","S5-14:quote-R"]</x:v>
      </x:c>
      <x:c r="F1129" s="10" t="str">
        <x:v>["S5-14:quote-L","S5-14:quote-R"]</x:v>
      </x:c>
      <x:c r="G1129" s="10" t="n">
        <x:f>IF(E1129=F1129,1,0)</x:f>
        <x:v>1</x:v>
      </x:c>
    </x:row>
    <x:row r="1130" ht="55" customHeight="1">
      <x:c r="A1130" s="10" t="str">
        <x:v>V-R2</x:v>
      </x:c>
      <x:c r="B1130" s="10" t="str">
        <x:v>VOICE</x:v>
      </x:c>
      <x:c r="C1130" s="10" t="str">
        <x:v>VOICE:S5-14:input</x:v>
      </x:c>
      <x:c r="D1130" s="10" t="str">
        <x:v>VOICE:S5-14:expression</x:v>
      </x:c>
      <x:c r="E1130" s="10" t="str">
        <x:v>["S5-14:quote-L","S5-14:quote-R"]</x:v>
      </x:c>
      <x:c r="F1130" s="10" t="str">
        <x:v>["S5-14:quote-L","S5-14:quote-R"]</x:v>
      </x:c>
      <x:c r="G1130" s="10" t="n">
        <x:f>IF(E1130=F1130,1,0)</x:f>
        <x:v>1</x:v>
      </x:c>
    </x:row>
    <x:row r="1131" ht="55" customHeight="1">
      <x:c r="A1131" s="10" t="str">
        <x:v>V-R3</x:v>
      </x:c>
      <x:c r="B1131" s="10" t="str">
        <x:v>VOICE</x:v>
      </x:c>
      <x:c r="C1131" s="10" t="str">
        <x:v>VOICE:S5-14:input</x:v>
      </x:c>
      <x:c r="D1131" s="10" t="str">
        <x:v>VOICE:S5-14:expression</x:v>
      </x:c>
      <x:c r="E1131" s="10" t="str">
        <x:v>["S5-14:quote-L","S5-14:quote-R"]</x:v>
      </x:c>
      <x:c r="F1131" s="10" t="str">
        <x:v>["S5-14:quote-L","S5-14:quote-R"]</x:v>
      </x:c>
      <x:c r="G1131" s="10" t="n">
        <x:f>IF(E1131=F1131,1,0)</x:f>
        <x:v>1</x:v>
      </x:c>
    </x:row>
    <x:row r="1132" ht="55" customHeight="1">
      <x:c r="A1132" s="10" t="str">
        <x:v>V-A</x:v>
      </x:c>
      <x:c r="B1132" s="10" t="str">
        <x:v>VOICE</x:v>
      </x:c>
      <x:c r="C1132" s="10" t="str">
        <x:v>VOICE:S5-15:input</x:v>
      </x:c>
      <x:c r="D1132" s="10" t="str">
        <x:v>VOICE:S5-15:expression</x:v>
      </x:c>
      <x:c r="E1132" s="10" t="str">
        <x:v>["S5-15:quote-L","S5-15:quote-R"]</x:v>
      </x:c>
      <x:c r="F1132" s="10" t="str">
        <x:v>["S5-15:quote-L","S5-15:quote-R"]</x:v>
      </x:c>
      <x:c r="G1132" s="10" t="n">
        <x:f>IF(E1132=F1132,1,0)</x:f>
        <x:v>1</x:v>
      </x:c>
    </x:row>
    <x:row r="1133" ht="55" customHeight="1">
      <x:c r="A1133" s="10" t="str">
        <x:v>V-R1</x:v>
      </x:c>
      <x:c r="B1133" s="10" t="str">
        <x:v>VOICE</x:v>
      </x:c>
      <x:c r="C1133" s="10" t="str">
        <x:v>VOICE:S5-15:input</x:v>
      </x:c>
      <x:c r="D1133" s="10" t="str">
        <x:v>VOICE:S5-15:expression</x:v>
      </x:c>
      <x:c r="E1133" s="10" t="str">
        <x:v>["S5-15:quote-L","S5-15:quote-R"]</x:v>
      </x:c>
      <x:c r="F1133" s="10" t="str">
        <x:v>["S5-15:quote-L","S5-15:quote-R"]</x:v>
      </x:c>
      <x:c r="G1133" s="10" t="n">
        <x:f>IF(E1133=F1133,1,0)</x:f>
        <x:v>1</x:v>
      </x:c>
    </x:row>
    <x:row r="1134" ht="55" customHeight="1">
      <x:c r="A1134" s="10" t="str">
        <x:v>V-R2</x:v>
      </x:c>
      <x:c r="B1134" s="10" t="str">
        <x:v>VOICE</x:v>
      </x:c>
      <x:c r="C1134" s="10" t="str">
        <x:v>VOICE:S5-15:input</x:v>
      </x:c>
      <x:c r="D1134" s="10" t="str">
        <x:v>VOICE:S5-15:expression</x:v>
      </x:c>
      <x:c r="E1134" s="10" t="str">
        <x:v>["S5-15:quote-L","S5-15:quote-R"]</x:v>
      </x:c>
      <x:c r="F1134" s="10" t="str">
        <x:v>["S5-15:quote-L","S5-15:quote-R"]</x:v>
      </x:c>
      <x:c r="G1134" s="10" t="n">
        <x:f>IF(E1134=F1134,1,0)</x:f>
        <x:v>1</x:v>
      </x:c>
    </x:row>
    <x:row r="1135" ht="55" customHeight="1">
      <x:c r="A1135" s="10" t="str">
        <x:v>V-R3</x:v>
      </x:c>
      <x:c r="B1135" s="10" t="str">
        <x:v>VOICE</x:v>
      </x:c>
      <x:c r="C1135" s="10" t="str">
        <x:v>VOICE:S5-15:input</x:v>
      </x:c>
      <x:c r="D1135" s="10" t="str">
        <x:v>VOICE:S5-15:expression</x:v>
      </x:c>
      <x:c r="E1135" s="10" t="str">
        <x:v>["S5-15:quote-L","S5-15:quote-R"]</x:v>
      </x:c>
      <x:c r="F1135" s="10" t="str">
        <x:v>["S5-15:quote-L","S5-15:quote-R"]</x:v>
      </x:c>
      <x:c r="G1135" s="10" t="n">
        <x:f>IF(E1135=F1135,1,0)</x:f>
        <x:v>1</x:v>
      </x:c>
    </x:row>
    <x:row r="1136" ht="55" customHeight="1">
      <x:c r="A1136" s="10" t="str">
        <x:v>V-A</x:v>
      </x:c>
      <x:c r="B1136" s="10" t="str">
        <x:v>VOICE</x:v>
      </x:c>
      <x:c r="C1136" s="10" t="str">
        <x:v>VOICE:S5-16:input</x:v>
      </x:c>
      <x:c r="D1136" s="10" t="str">
        <x:v>VOICE:S5-16:expression</x:v>
      </x:c>
      <x:c r="E1136" s="10" t="str">
        <x:v>["S5-16:quote-L","S5-16:quote-R"]</x:v>
      </x:c>
      <x:c r="F1136" s="10" t="str">
        <x:v>["S5-16:quote-L","S5-16:quote-R"]</x:v>
      </x:c>
      <x:c r="G1136" s="10" t="n">
        <x:f>IF(E1136=F1136,1,0)</x:f>
        <x:v>1</x:v>
      </x:c>
    </x:row>
    <x:row r="1137" ht="55" customHeight="1">
      <x:c r="A1137" s="10" t="str">
        <x:v>V-R1</x:v>
      </x:c>
      <x:c r="B1137" s="10" t="str">
        <x:v>VOICE</x:v>
      </x:c>
      <x:c r="C1137" s="10" t="str">
        <x:v>VOICE:S5-16:input</x:v>
      </x:c>
      <x:c r="D1137" s="10" t="str">
        <x:v>VOICE:S5-16:expression</x:v>
      </x:c>
      <x:c r="E1137" s="10" t="str">
        <x:v>["S5-16:quote-L","S5-16:quote-R"]</x:v>
      </x:c>
      <x:c r="F1137" s="10" t="str">
        <x:v>["S5-16:quote-L","S5-16:quote-R"]</x:v>
      </x:c>
      <x:c r="G1137" s="10" t="n">
        <x:f>IF(E1137=F1137,1,0)</x:f>
        <x:v>1</x:v>
      </x:c>
    </x:row>
    <x:row r="1138" ht="55" customHeight="1">
      <x:c r="A1138" s="10" t="str">
        <x:v>V-R2</x:v>
      </x:c>
      <x:c r="B1138" s="10" t="str">
        <x:v>VOICE</x:v>
      </x:c>
      <x:c r="C1138" s="10" t="str">
        <x:v>VOICE:S5-16:input</x:v>
      </x:c>
      <x:c r="D1138" s="10" t="str">
        <x:v>VOICE:S5-16:expression</x:v>
      </x:c>
      <x:c r="E1138" s="10" t="str">
        <x:v>["S5-16:quote-L","S5-16:quote-R"]</x:v>
      </x:c>
      <x:c r="F1138" s="10" t="str">
        <x:v>["S5-16:quote-L","S5-16:quote-R"]</x:v>
      </x:c>
      <x:c r="G1138" s="10" t="n">
        <x:f>IF(E1138=F1138,1,0)</x:f>
        <x:v>1</x:v>
      </x:c>
    </x:row>
    <x:row r="1139" ht="55" customHeight="1">
      <x:c r="A1139" s="10" t="str">
        <x:v>V-R3</x:v>
      </x:c>
      <x:c r="B1139" s="10" t="str">
        <x:v>VOICE</x:v>
      </x:c>
      <x:c r="C1139" s="10" t="str">
        <x:v>VOICE:S5-16:input</x:v>
      </x:c>
      <x:c r="D1139" s="10" t="str">
        <x:v>VOICE:S5-16:expression</x:v>
      </x:c>
      <x:c r="E1139" s="10" t="str">
        <x:v>["S5-16:quote-L","S5-16:quote-R"]</x:v>
      </x:c>
      <x:c r="F1139" s="10" t="str">
        <x:v>["S5-16:quote-L","S5-16:quote-R"]</x:v>
      </x:c>
      <x:c r="G1139" s="10" t="n">
        <x:f>IF(E1139=F1139,1,0)</x:f>
        <x:v>1</x:v>
      </x:c>
    </x:row>
    <x:row r="1140" ht="55" customHeight="1">
      <x:c r="A1140" s="10" t="str">
        <x:v>V-A</x:v>
      </x:c>
      <x:c r="B1140" s="10" t="str">
        <x:v>VOICE</x:v>
      </x:c>
      <x:c r="C1140" s="10" t="str">
        <x:v>VOICE:S5-17:input</x:v>
      </x:c>
      <x:c r="D1140" s="10" t="str">
        <x:v>VOICE:S5-17:expression</x:v>
      </x:c>
      <x:c r="E1140" s="10" t="str">
        <x:v>["S5-17:quote-L","S5-17:quote-R"]</x:v>
      </x:c>
      <x:c r="F1140" s="10" t="str">
        <x:v>["S5-17:quote-L","S5-17:quote-R"]</x:v>
      </x:c>
      <x:c r="G1140" s="10" t="n">
        <x:f>IF(E1140=F1140,1,0)</x:f>
        <x:v>1</x:v>
      </x:c>
    </x:row>
    <x:row r="1141" ht="55" customHeight="1">
      <x:c r="A1141" s="10" t="str">
        <x:v>V-R1</x:v>
      </x:c>
      <x:c r="B1141" s="10" t="str">
        <x:v>VOICE</x:v>
      </x:c>
      <x:c r="C1141" s="10" t="str">
        <x:v>VOICE:S5-17:input</x:v>
      </x:c>
      <x:c r="D1141" s="10" t="str">
        <x:v>VOICE:S5-17:expression</x:v>
      </x:c>
      <x:c r="E1141" s="10" t="str">
        <x:v>["S5-17:quote-L","S5-17:quote-R"]</x:v>
      </x:c>
      <x:c r="F1141" s="10" t="str">
        <x:v>["S5-17:quote-L","S5-17:quote-R"]</x:v>
      </x:c>
      <x:c r="G1141" s="10" t="n">
        <x:f>IF(E1141=F1141,1,0)</x:f>
        <x:v>1</x:v>
      </x:c>
    </x:row>
    <x:row r="1142" ht="55" customHeight="1">
      <x:c r="A1142" s="10" t="str">
        <x:v>V-R2</x:v>
      </x:c>
      <x:c r="B1142" s="10" t="str">
        <x:v>VOICE</x:v>
      </x:c>
      <x:c r="C1142" s="10" t="str">
        <x:v>VOICE:S5-17:input</x:v>
      </x:c>
      <x:c r="D1142" s="10" t="str">
        <x:v>VOICE:S5-17:expression</x:v>
      </x:c>
      <x:c r="E1142" s="10" t="str">
        <x:v>["S5-17:quote-L","S5-17:quote-R"]</x:v>
      </x:c>
      <x:c r="F1142" s="10" t="str">
        <x:v>["S5-17:quote-L","S5-17:quote-R"]</x:v>
      </x:c>
      <x:c r="G1142" s="10" t="n">
        <x:f>IF(E1142=F1142,1,0)</x:f>
        <x:v>1</x:v>
      </x:c>
    </x:row>
    <x:row r="1143" ht="55" customHeight="1">
      <x:c r="A1143" s="10" t="str">
        <x:v>V-R3</x:v>
      </x:c>
      <x:c r="B1143" s="10" t="str">
        <x:v>VOICE</x:v>
      </x:c>
      <x:c r="C1143" s="10" t="str">
        <x:v>VOICE:S5-17:input</x:v>
      </x:c>
      <x:c r="D1143" s="10" t="str">
        <x:v>VOICE:S5-17:expression</x:v>
      </x:c>
      <x:c r="E1143" s="10" t="str">
        <x:v>["S5-17:quote-L","S5-17:quote-R"]</x:v>
      </x:c>
      <x:c r="F1143" s="10" t="str">
        <x:v>["S5-17:quote-L","S5-17:quote-R"]</x:v>
      </x:c>
      <x:c r="G1143" s="10" t="n">
        <x:f>IF(E1143=F1143,1,0)</x:f>
        <x:v>1</x:v>
      </x:c>
    </x:row>
    <x:row r="1144" ht="55" customHeight="1">
      <x:c r="A1144" s="10" t="str">
        <x:v>V-A</x:v>
      </x:c>
      <x:c r="B1144" s="10" t="str">
        <x:v>VOICE</x:v>
      </x:c>
      <x:c r="C1144" s="10" t="str">
        <x:v>VOICE:S5-18:input</x:v>
      </x:c>
      <x:c r="D1144" s="10" t="str">
        <x:v>VOICE:S5-18:expression</x:v>
      </x:c>
      <x:c r="E1144" s="10" t="str">
        <x:v>["S5-18:quote-L","S5-18:quote-R"]</x:v>
      </x:c>
      <x:c r="F1144" s="10" t="str">
        <x:v>["S5-18:quote-L","S5-18:quote-R"]</x:v>
      </x:c>
      <x:c r="G1144" s="10" t="n">
        <x:f>IF(E1144=F1144,1,0)</x:f>
        <x:v>1</x:v>
      </x:c>
    </x:row>
    <x:row r="1145" ht="55" customHeight="1">
      <x:c r="A1145" s="10" t="str">
        <x:v>V-R1</x:v>
      </x:c>
      <x:c r="B1145" s="10" t="str">
        <x:v>VOICE</x:v>
      </x:c>
      <x:c r="C1145" s="10" t="str">
        <x:v>VOICE:S5-18:input</x:v>
      </x:c>
      <x:c r="D1145" s="10" t="str">
        <x:v>VOICE:S5-18:expression</x:v>
      </x:c>
      <x:c r="E1145" s="10" t="str">
        <x:v>["S5-18:quote-L","S5-18:quote-R"]</x:v>
      </x:c>
      <x:c r="F1145" s="10" t="str">
        <x:v>["S5-18:quote-L","S5-18:quote-R"]</x:v>
      </x:c>
      <x:c r="G1145" s="10" t="n">
        <x:f>IF(E1145=F1145,1,0)</x:f>
        <x:v>1</x:v>
      </x:c>
    </x:row>
    <x:row r="1146" ht="55" customHeight="1">
      <x:c r="A1146" s="10" t="str">
        <x:v>V-R2</x:v>
      </x:c>
      <x:c r="B1146" s="10" t="str">
        <x:v>VOICE</x:v>
      </x:c>
      <x:c r="C1146" s="10" t="str">
        <x:v>VOICE:S5-18:input</x:v>
      </x:c>
      <x:c r="D1146" s="10" t="str">
        <x:v>VOICE:S5-18:expression</x:v>
      </x:c>
      <x:c r="E1146" s="10" t="str">
        <x:v>["S5-18:quote-L","S5-18:quote-R"]</x:v>
      </x:c>
      <x:c r="F1146" s="10" t="str">
        <x:v>["S5-18:quote-L","S5-18:quote-R"]</x:v>
      </x:c>
      <x:c r="G1146" s="10" t="n">
        <x:f>IF(E1146=F1146,1,0)</x:f>
        <x:v>1</x:v>
      </x:c>
    </x:row>
    <x:row r="1147" ht="55" customHeight="1">
      <x:c r="A1147" s="10" t="str">
        <x:v>V-R3</x:v>
      </x:c>
      <x:c r="B1147" s="10" t="str">
        <x:v>VOICE</x:v>
      </x:c>
      <x:c r="C1147" s="10" t="str">
        <x:v>VOICE:S5-18:input</x:v>
      </x:c>
      <x:c r="D1147" s="10" t="str">
        <x:v>VOICE:S5-18:expression</x:v>
      </x:c>
      <x:c r="E1147" s="10" t="str">
        <x:v>["S5-18:quote-L","S5-18:quote-R"]</x:v>
      </x:c>
      <x:c r="F1147" s="10" t="str">
        <x:v>["S5-18:quote-L","S5-18:quote-R"]</x:v>
      </x:c>
      <x:c r="G1147" s="10" t="n">
        <x:f>IF(E1147=F1147,1,0)</x:f>
        <x:v>1</x:v>
      </x:c>
    </x:row>
    <x:row r="1148" ht="55" customHeight="1">
      <x:c r="A1148" s="10" t="str">
        <x:v>V-A</x:v>
      </x:c>
      <x:c r="B1148" s="10" t="str">
        <x:v>VOICE</x:v>
      </x:c>
      <x:c r="C1148" s="10" t="str">
        <x:v>VOICE:S5-19:input</x:v>
      </x:c>
      <x:c r="D1148" s="10" t="str">
        <x:v>VOICE:S5-19:expression</x:v>
      </x:c>
      <x:c r="E1148" s="10" t="str">
        <x:v>["S5-19:quote-L","S5-19:quote-R"]</x:v>
      </x:c>
      <x:c r="F1148" s="10" t="str">
        <x:v>["S5-19:quote-L","S5-19:quote-R"]</x:v>
      </x:c>
      <x:c r="G1148" s="10" t="n">
        <x:f>IF(E1148=F1148,1,0)</x:f>
        <x:v>1</x:v>
      </x:c>
    </x:row>
    <x:row r="1149" ht="55" customHeight="1">
      <x:c r="A1149" s="10" t="str">
        <x:v>V-R1</x:v>
      </x:c>
      <x:c r="B1149" s="10" t="str">
        <x:v>VOICE</x:v>
      </x:c>
      <x:c r="C1149" s="10" t="str">
        <x:v>VOICE:S5-19:input</x:v>
      </x:c>
      <x:c r="D1149" s="10" t="str">
        <x:v>VOICE:S5-19:expression</x:v>
      </x:c>
      <x:c r="E1149" s="10" t="str">
        <x:v>["S5-19:quote-L","S5-19:quote-R"]</x:v>
      </x:c>
      <x:c r="F1149" s="10" t="str">
        <x:v>["S5-19:quote-L","S5-19:quote-R"]</x:v>
      </x:c>
      <x:c r="G1149" s="10" t="n">
        <x:f>IF(E1149=F1149,1,0)</x:f>
        <x:v>1</x:v>
      </x:c>
    </x:row>
    <x:row r="1150" ht="55" customHeight="1">
      <x:c r="A1150" s="10" t="str">
        <x:v>V-R2</x:v>
      </x:c>
      <x:c r="B1150" s="10" t="str">
        <x:v>VOICE</x:v>
      </x:c>
      <x:c r="C1150" s="10" t="str">
        <x:v>VOICE:S5-19:input</x:v>
      </x:c>
      <x:c r="D1150" s="10" t="str">
        <x:v>VOICE:S5-19:expression</x:v>
      </x:c>
      <x:c r="E1150" s="10" t="str">
        <x:v>["S5-19:quote-L","S5-19:quote-R"]</x:v>
      </x:c>
      <x:c r="F1150" s="10" t="str">
        <x:v>["S5-19:quote-L","S5-19:quote-R"]</x:v>
      </x:c>
      <x:c r="G1150" s="10" t="n">
        <x:f>IF(E1150=F1150,1,0)</x:f>
        <x:v>1</x:v>
      </x:c>
    </x:row>
    <x:row r="1151" ht="55" customHeight="1">
      <x:c r="A1151" s="10" t="str">
        <x:v>V-R3</x:v>
      </x:c>
      <x:c r="B1151" s="10" t="str">
        <x:v>VOICE</x:v>
      </x:c>
      <x:c r="C1151" s="10" t="str">
        <x:v>VOICE:S5-19:input</x:v>
      </x:c>
      <x:c r="D1151" s="10" t="str">
        <x:v>VOICE:S5-19:expression</x:v>
      </x:c>
      <x:c r="E1151" s="10" t="str">
        <x:v>["S5-19:quote-L","S5-19:quote-R"]</x:v>
      </x:c>
      <x:c r="F1151" s="10" t="str">
        <x:v>["S5-19:quote-L","S5-19:quote-R"]</x:v>
      </x:c>
      <x:c r="G1151" s="10" t="n">
        <x:f>IF(E1151=F1151,1,0)</x:f>
        <x:v>1</x:v>
      </x:c>
    </x:row>
    <x:row r="1152" ht="55" customHeight="1">
      <x:c r="A1152" s="10" t="str">
        <x:v>V-A</x:v>
      </x:c>
      <x:c r="B1152" s="10" t="str">
        <x:v>VOICE</x:v>
      </x:c>
      <x:c r="C1152" s="10" t="str">
        <x:v>VOICE:S5-20:input</x:v>
      </x:c>
      <x:c r="D1152" s="10" t="str">
        <x:v>VOICE:S5-20:expression</x:v>
      </x:c>
      <x:c r="E1152" s="10" t="str">
        <x:v>["S5-20:quote-L","S5-20:quote-R"]</x:v>
      </x:c>
      <x:c r="F1152" s="10" t="str">
        <x:v>["S5-20:quote-L","S5-20:quote-R"]</x:v>
      </x:c>
      <x:c r="G1152" s="10" t="n">
        <x:f>IF(E1152=F1152,1,0)</x:f>
        <x:v>1</x:v>
      </x:c>
    </x:row>
    <x:row r="1153" ht="55" customHeight="1">
      <x:c r="A1153" s="10" t="str">
        <x:v>V-R1</x:v>
      </x:c>
      <x:c r="B1153" s="10" t="str">
        <x:v>VOICE</x:v>
      </x:c>
      <x:c r="C1153" s="10" t="str">
        <x:v>VOICE:S5-20:input</x:v>
      </x:c>
      <x:c r="D1153" s="10" t="str">
        <x:v>VOICE:S5-20:expression</x:v>
      </x:c>
      <x:c r="E1153" s="10" t="str">
        <x:v>["S5-20:quote-L","S5-20:quote-R"]</x:v>
      </x:c>
      <x:c r="F1153" s="10" t="str">
        <x:v>["S5-20:quote-L","S5-20:quote-R"]</x:v>
      </x:c>
      <x:c r="G1153" s="10" t="n">
        <x:f>IF(E1153=F1153,1,0)</x:f>
        <x:v>1</x:v>
      </x:c>
    </x:row>
    <x:row r="1154" ht="55" customHeight="1">
      <x:c r="A1154" s="10" t="str">
        <x:v>V-R2</x:v>
      </x:c>
      <x:c r="B1154" s="10" t="str">
        <x:v>VOICE</x:v>
      </x:c>
      <x:c r="C1154" s="10" t="str">
        <x:v>VOICE:S5-20:input</x:v>
      </x:c>
      <x:c r="D1154" s="10" t="str">
        <x:v>VOICE:S5-20:expression</x:v>
      </x:c>
      <x:c r="E1154" s="10" t="str">
        <x:v>["S5-20:quote-L","S5-20:quote-R"]</x:v>
      </x:c>
      <x:c r="F1154" s="10" t="str">
        <x:v>["S5-20:quote-L","S5-20:quote-R"]</x:v>
      </x:c>
      <x:c r="G1154" s="10" t="n">
        <x:f>IF(E1154=F1154,1,0)</x:f>
        <x:v>1</x:v>
      </x:c>
    </x:row>
    <x:row r="1155" ht="55" customHeight="1">
      <x:c r="A1155" s="10" t="str">
        <x:v>V-R3</x:v>
      </x:c>
      <x:c r="B1155" s="10" t="str">
        <x:v>VOICE</x:v>
      </x:c>
      <x:c r="C1155" s="10" t="str">
        <x:v>VOICE:S5-20:input</x:v>
      </x:c>
      <x:c r="D1155" s="10" t="str">
        <x:v>VOICE:S5-20:expression</x:v>
      </x:c>
      <x:c r="E1155" s="10" t="str">
        <x:v>["S5-20:quote-L","S5-20:quote-R"]</x:v>
      </x:c>
      <x:c r="F1155" s="10" t="str">
        <x:v>["S5-20:quote-L","S5-20:quote-R"]</x:v>
      </x:c>
      <x:c r="G1155" s="10" t="n">
        <x:f>IF(E1155=F1155,1,0)</x:f>
        <x:v>1</x:v>
      </x:c>
    </x:row>
    <x:row r="1156" ht="55" customHeight="1">
      <x:c r="A1156" s="10" t="str">
        <x:v>V-A</x:v>
      </x:c>
      <x:c r="B1156" s="10" t="str">
        <x:v>VOICE</x:v>
      </x:c>
      <x:c r="C1156" s="10" t="str">
        <x:v>VOICE:S6-01:input</x:v>
      </x:c>
      <x:c r="D1156" s="10" t="str">
        <x:v>VOICE:S6-01:expression</x:v>
      </x:c>
      <x:c r="E1156" s="10" t="str">
        <x:v>["S6-01:quote-L","S6-01:quote-R"]</x:v>
      </x:c>
      <x:c r="F1156" s="10" t="str">
        <x:v>["S6-01:quote-L","S6-01:quote-Z"]</x:v>
      </x:c>
      <x:c r="G1156" s="10" t="n">
        <x:f>IF(E1156=F1156,1,0)</x:f>
        <x:v>0</x:v>
      </x:c>
    </x:row>
    <x:row r="1157" ht="55" customHeight="1">
      <x:c r="A1157" s="10" t="str">
        <x:v>V-R1</x:v>
      </x:c>
      <x:c r="B1157" s="10" t="str">
        <x:v>VOICE</x:v>
      </x:c>
      <x:c r="C1157" s="10" t="str">
        <x:v>VOICE:S6-01:input</x:v>
      </x:c>
      <x:c r="D1157" s="10" t="str">
        <x:v>VOICE:S6-01:expression</x:v>
      </x:c>
      <x:c r="E1157" s="10" t="str">
        <x:v>["S6-01:quote-L","S6-01:quote-R"]</x:v>
      </x:c>
      <x:c r="F1157" s="10" t="str">
        <x:v>["S6-01:quote-L","S6-01:quote-R"]</x:v>
      </x:c>
      <x:c r="G1157" s="10" t="n">
        <x:f>IF(E1157=F1157,1,0)</x:f>
        <x:v>1</x:v>
      </x:c>
    </x:row>
    <x:row r="1158" ht="55" customHeight="1">
      <x:c r="A1158" s="10" t="str">
        <x:v>V-R2</x:v>
      </x:c>
      <x:c r="B1158" s="10" t="str">
        <x:v>VOICE</x:v>
      </x:c>
      <x:c r="C1158" s="10" t="str">
        <x:v>VOICE:S6-01:input</x:v>
      </x:c>
      <x:c r="D1158" s="10" t="str">
        <x:v>VOICE:S6-01:expression</x:v>
      </x:c>
      <x:c r="E1158" s="10" t="str">
        <x:v>["S6-01:quote-L","S6-01:quote-R"]</x:v>
      </x:c>
      <x:c r="F1158" s="10" t="str">
        <x:v>["S6-01:quote-L","S6-01:quote-R"]</x:v>
      </x:c>
      <x:c r="G1158" s="10" t="n">
        <x:f>IF(E1158=F1158,1,0)</x:f>
        <x:v>1</x:v>
      </x:c>
    </x:row>
    <x:row r="1159" ht="55" customHeight="1">
      <x:c r="A1159" s="10" t="str">
        <x:v>V-R3</x:v>
      </x:c>
      <x:c r="B1159" s="10" t="str">
        <x:v>VOICE</x:v>
      </x:c>
      <x:c r="C1159" s="10" t="str">
        <x:v>VOICE:S6-01:input</x:v>
      </x:c>
      <x:c r="D1159" s="10" t="str">
        <x:v>VOICE:S6-01:expression</x:v>
      </x:c>
      <x:c r="E1159" s="10" t="str">
        <x:v>["S6-01:quote-L","S6-01:quote-R"]</x:v>
      </x:c>
      <x:c r="F1159" s="10" t="str">
        <x:v>["S6-01:quote-L","S6-01:quote-R"]</x:v>
      </x:c>
      <x:c r="G1159" s="10" t="n">
        <x:f>IF(E1159=F1159,1,0)</x:f>
        <x:v>1</x:v>
      </x:c>
    </x:row>
    <x:row r="1160" ht="55" customHeight="1">
      <x:c r="A1160" s="10" t="str">
        <x:v>V-A</x:v>
      </x:c>
      <x:c r="B1160" s="10" t="str">
        <x:v>VOICE</x:v>
      </x:c>
      <x:c r="C1160" s="10" t="str">
        <x:v>VOICE:S6-02:input</x:v>
      </x:c>
      <x:c r="D1160" s="10" t="str">
        <x:v>VOICE:S6-02:expression</x:v>
      </x:c>
      <x:c r="E1160" s="10" t="str">
        <x:v>["S6-02:quote-L","S6-02:quote-R"]</x:v>
      </x:c>
      <x:c r="F1160" s="10" t="str">
        <x:v>["S6-02:quote-L","S6-02:quote-R"]</x:v>
      </x:c>
      <x:c r="G1160" s="10" t="n">
        <x:f>IF(E1160=F1160,1,0)</x:f>
        <x:v>1</x:v>
      </x:c>
    </x:row>
    <x:row r="1161" ht="55" customHeight="1">
      <x:c r="A1161" s="10" t="str">
        <x:v>V-R1</x:v>
      </x:c>
      <x:c r="B1161" s="10" t="str">
        <x:v>VOICE</x:v>
      </x:c>
      <x:c r="C1161" s="10" t="str">
        <x:v>VOICE:S6-02:input</x:v>
      </x:c>
      <x:c r="D1161" s="10" t="str">
        <x:v>VOICE:S6-02:expression</x:v>
      </x:c>
      <x:c r="E1161" s="10" t="str">
        <x:v>["S6-02:quote-L","S6-02:quote-R"]</x:v>
      </x:c>
      <x:c r="F1161" s="10" t="str">
        <x:v>["S6-02:quote-L","S6-02:quote-R"]</x:v>
      </x:c>
      <x:c r="G1161" s="10" t="n">
        <x:f>IF(E1161=F1161,1,0)</x:f>
        <x:v>1</x:v>
      </x:c>
    </x:row>
    <x:row r="1162" ht="55" customHeight="1">
      <x:c r="A1162" s="10" t="str">
        <x:v>V-R2</x:v>
      </x:c>
      <x:c r="B1162" s="10" t="str">
        <x:v>VOICE</x:v>
      </x:c>
      <x:c r="C1162" s="10" t="str">
        <x:v>VOICE:S6-02:input</x:v>
      </x:c>
      <x:c r="D1162" s="10" t="str">
        <x:v>VOICE:S6-02:expression</x:v>
      </x:c>
      <x:c r="E1162" s="10" t="str">
        <x:v>["S6-02:quote-L","S6-02:quote-R"]</x:v>
      </x:c>
      <x:c r="F1162" s="10" t="str">
        <x:v>["S6-02:quote-L","S6-02:quote-R"]</x:v>
      </x:c>
      <x:c r="G1162" s="10" t="n">
        <x:f>IF(E1162=F1162,1,0)</x:f>
        <x:v>1</x:v>
      </x:c>
    </x:row>
    <x:row r="1163" ht="55" customHeight="1">
      <x:c r="A1163" s="10" t="str">
        <x:v>V-R3</x:v>
      </x:c>
      <x:c r="B1163" s="10" t="str">
        <x:v>VOICE</x:v>
      </x:c>
      <x:c r="C1163" s="10" t="str">
        <x:v>VOICE:S6-02:input</x:v>
      </x:c>
      <x:c r="D1163" s="10" t="str">
        <x:v>VOICE:S6-02:expression</x:v>
      </x:c>
      <x:c r="E1163" s="10" t="str">
        <x:v>["S6-02:quote-L","S6-02:quote-R"]</x:v>
      </x:c>
      <x:c r="F1163" s="10" t="str">
        <x:v>["S6-02:quote-L","S6-02:quote-R"]</x:v>
      </x:c>
      <x:c r="G1163" s="10" t="n">
        <x:f>IF(E1163=F1163,1,0)</x:f>
        <x:v>1</x:v>
      </x:c>
    </x:row>
    <x:row r="1164" ht="55" customHeight="1">
      <x:c r="A1164" s="10" t="str">
        <x:v>V-A</x:v>
      </x:c>
      <x:c r="B1164" s="10" t="str">
        <x:v>VOICE</x:v>
      </x:c>
      <x:c r="C1164" s="10" t="str">
        <x:v>VOICE:S6-03:input</x:v>
      </x:c>
      <x:c r="D1164" s="10" t="str">
        <x:v>VOICE:S6-03:expression</x:v>
      </x:c>
      <x:c r="E1164" s="10" t="str">
        <x:v>["S6-03:quote-L","S6-03:quote-R"]</x:v>
      </x:c>
      <x:c r="F1164" s="10" t="str">
        <x:v>["S6-03:quote-L","S6-03:quote-R"]</x:v>
      </x:c>
      <x:c r="G1164" s="10" t="n">
        <x:f>IF(E1164=F1164,1,0)</x:f>
        <x:v>1</x:v>
      </x:c>
    </x:row>
    <x:row r="1165" ht="55" customHeight="1">
      <x:c r="A1165" s="10" t="str">
        <x:v>V-R1</x:v>
      </x:c>
      <x:c r="B1165" s="10" t="str">
        <x:v>VOICE</x:v>
      </x:c>
      <x:c r="C1165" s="10" t="str">
        <x:v>VOICE:S6-03:input</x:v>
      </x:c>
      <x:c r="D1165" s="10" t="str">
        <x:v>VOICE:S6-03:expression</x:v>
      </x:c>
      <x:c r="E1165" s="10" t="str">
        <x:v>["S6-03:quote-L","S6-03:quote-R"]</x:v>
      </x:c>
      <x:c r="F1165" s="10" t="str">
        <x:v>["S6-03:quote-L","S6-03:quote-R"]</x:v>
      </x:c>
      <x:c r="G1165" s="10" t="n">
        <x:f>IF(E1165=F1165,1,0)</x:f>
        <x:v>1</x:v>
      </x:c>
    </x:row>
    <x:row r="1166" ht="55" customHeight="1">
      <x:c r="A1166" s="10" t="str">
        <x:v>V-R2</x:v>
      </x:c>
      <x:c r="B1166" s="10" t="str">
        <x:v>VOICE</x:v>
      </x:c>
      <x:c r="C1166" s="10" t="str">
        <x:v>VOICE:S6-03:input</x:v>
      </x:c>
      <x:c r="D1166" s="10" t="str">
        <x:v>VOICE:S6-03:expression</x:v>
      </x:c>
      <x:c r="E1166" s="10" t="str">
        <x:v>["S6-03:quote-L","S6-03:quote-R"]</x:v>
      </x:c>
      <x:c r="F1166" s="10" t="str">
        <x:v>["S6-03:quote-L","S6-03:quote-R"]</x:v>
      </x:c>
      <x:c r="G1166" s="10" t="n">
        <x:f>IF(E1166=F1166,1,0)</x:f>
        <x:v>1</x:v>
      </x:c>
    </x:row>
    <x:row r="1167" ht="55" customHeight="1">
      <x:c r="A1167" s="10" t="str">
        <x:v>V-R3</x:v>
      </x:c>
      <x:c r="B1167" s="10" t="str">
        <x:v>VOICE</x:v>
      </x:c>
      <x:c r="C1167" s="10" t="str">
        <x:v>VOICE:S6-03:input</x:v>
      </x:c>
      <x:c r="D1167" s="10" t="str">
        <x:v>VOICE:S6-03:expression</x:v>
      </x:c>
      <x:c r="E1167" s="10" t="str">
        <x:v>["S6-03:quote-L","S6-03:quote-R"]</x:v>
      </x:c>
      <x:c r="F1167" s="10" t="str">
        <x:v>["S6-03:quote-L","S6-03:quote-R"]</x:v>
      </x:c>
      <x:c r="G1167" s="10" t="n">
        <x:f>IF(E1167=F1167,1,0)</x:f>
        <x:v>1</x:v>
      </x:c>
    </x:row>
    <x:row r="1168" ht="55" customHeight="1">
      <x:c r="A1168" s="10" t="str">
        <x:v>V-A</x:v>
      </x:c>
      <x:c r="B1168" s="10" t="str">
        <x:v>VOICE</x:v>
      </x:c>
      <x:c r="C1168" s="10" t="str">
        <x:v>VOICE:S6-04:input</x:v>
      </x:c>
      <x:c r="D1168" s="10" t="str">
        <x:v>VOICE:S6-04:expression</x:v>
      </x:c>
      <x:c r="E1168" s="10" t="str">
        <x:v>["S6-04:quote-L","S6-04:quote-R"]</x:v>
      </x:c>
      <x:c r="F1168" s="10" t="str">
        <x:v>["S6-04:quote-L","S6-04:quote-R"]</x:v>
      </x:c>
      <x:c r="G1168" s="10" t="n">
        <x:f>IF(E1168=F1168,1,0)</x:f>
        <x:v>1</x:v>
      </x:c>
    </x:row>
    <x:row r="1169" ht="55" customHeight="1">
      <x:c r="A1169" s="10" t="str">
        <x:v>V-R1</x:v>
      </x:c>
      <x:c r="B1169" s="10" t="str">
        <x:v>VOICE</x:v>
      </x:c>
      <x:c r="C1169" s="10" t="str">
        <x:v>VOICE:S6-04:input</x:v>
      </x:c>
      <x:c r="D1169" s="10" t="str">
        <x:v>VOICE:S6-04:expression</x:v>
      </x:c>
      <x:c r="E1169" s="10" t="str">
        <x:v>["S6-04:quote-L","S6-04:quote-R"]</x:v>
      </x:c>
      <x:c r="F1169" s="10" t="str">
        <x:v>["S6-04:quote-L","S6-04:quote-R"]</x:v>
      </x:c>
      <x:c r="G1169" s="10" t="n">
        <x:f>IF(E1169=F1169,1,0)</x:f>
        <x:v>1</x:v>
      </x:c>
    </x:row>
    <x:row r="1170" ht="55" customHeight="1">
      <x:c r="A1170" s="10" t="str">
        <x:v>V-R2</x:v>
      </x:c>
      <x:c r="B1170" s="10" t="str">
        <x:v>VOICE</x:v>
      </x:c>
      <x:c r="C1170" s="10" t="str">
        <x:v>VOICE:S6-04:input</x:v>
      </x:c>
      <x:c r="D1170" s="10" t="str">
        <x:v>VOICE:S6-04:expression</x:v>
      </x:c>
      <x:c r="E1170" s="10" t="str">
        <x:v>["S6-04:quote-L","S6-04:quote-R"]</x:v>
      </x:c>
      <x:c r="F1170" s="10" t="str">
        <x:v>["S6-04:quote-L","S6-04:quote-R"]</x:v>
      </x:c>
      <x:c r="G1170" s="10" t="n">
        <x:f>IF(E1170=F1170,1,0)</x:f>
        <x:v>1</x:v>
      </x:c>
    </x:row>
    <x:row r="1171" ht="55" customHeight="1">
      <x:c r="A1171" s="10" t="str">
        <x:v>V-R3</x:v>
      </x:c>
      <x:c r="B1171" s="10" t="str">
        <x:v>VOICE</x:v>
      </x:c>
      <x:c r="C1171" s="10" t="str">
        <x:v>VOICE:S6-04:input</x:v>
      </x:c>
      <x:c r="D1171" s="10" t="str">
        <x:v>VOICE:S6-04:expression</x:v>
      </x:c>
      <x:c r="E1171" s="10" t="str">
        <x:v>["S6-04:quote-L","S6-04:quote-R"]</x:v>
      </x:c>
      <x:c r="F1171" s="10" t="str">
        <x:v>["S6-04:quote-L","S6-04:quote-R"]</x:v>
      </x:c>
      <x:c r="G1171" s="10" t="n">
        <x:f>IF(E1171=F1171,1,0)</x:f>
        <x:v>1</x:v>
      </x:c>
    </x:row>
    <x:row r="1172" ht="55" customHeight="1">
      <x:c r="A1172" s="10" t="str">
        <x:v>V-A</x:v>
      </x:c>
      <x:c r="B1172" s="10" t="str">
        <x:v>VOICE</x:v>
      </x:c>
      <x:c r="C1172" s="10" t="str">
        <x:v>VOICE:S6-05:input</x:v>
      </x:c>
      <x:c r="D1172" s="10" t="str">
        <x:v>VOICE:S6-05:expression</x:v>
      </x:c>
      <x:c r="E1172" s="10" t="str">
        <x:v>["S6-05:quote-L","S6-05:quote-R"]</x:v>
      </x:c>
      <x:c r="F1172" s="10" t="str">
        <x:v>["S6-05:quote-L","S6-05:quote-R"]</x:v>
      </x:c>
      <x:c r="G1172" s="10" t="n">
        <x:f>IF(E1172=F1172,1,0)</x:f>
        <x:v>1</x:v>
      </x:c>
    </x:row>
    <x:row r="1173" ht="55" customHeight="1">
      <x:c r="A1173" s="10" t="str">
        <x:v>V-R1</x:v>
      </x:c>
      <x:c r="B1173" s="10" t="str">
        <x:v>VOICE</x:v>
      </x:c>
      <x:c r="C1173" s="10" t="str">
        <x:v>VOICE:S6-05:input</x:v>
      </x:c>
      <x:c r="D1173" s="10" t="str">
        <x:v>VOICE:S6-05:expression</x:v>
      </x:c>
      <x:c r="E1173" s="10" t="str">
        <x:v>["S6-05:quote-L","S6-05:quote-R"]</x:v>
      </x:c>
      <x:c r="F1173" s="10" t="str">
        <x:v>["S6-05:quote-L","S6-05:quote-R"]</x:v>
      </x:c>
      <x:c r="G1173" s="10" t="n">
        <x:f>IF(E1173=F1173,1,0)</x:f>
        <x:v>1</x:v>
      </x:c>
    </x:row>
    <x:row r="1174" ht="55" customHeight="1">
      <x:c r="A1174" s="10" t="str">
        <x:v>V-R2</x:v>
      </x:c>
      <x:c r="B1174" s="10" t="str">
        <x:v>VOICE</x:v>
      </x:c>
      <x:c r="C1174" s="10" t="str">
        <x:v>VOICE:S6-05:input</x:v>
      </x:c>
      <x:c r="D1174" s="10" t="str">
        <x:v>VOICE:S6-05:expression</x:v>
      </x:c>
      <x:c r="E1174" s="10" t="str">
        <x:v>["S6-05:quote-L","S6-05:quote-R"]</x:v>
      </x:c>
      <x:c r="F1174" s="10" t="str">
        <x:v>["S6-05:quote-L","S6-05:quote-R"]</x:v>
      </x:c>
      <x:c r="G1174" s="10" t="n">
        <x:f>IF(E1174=F1174,1,0)</x:f>
        <x:v>1</x:v>
      </x:c>
    </x:row>
    <x:row r="1175" ht="55" customHeight="1">
      <x:c r="A1175" s="10" t="str">
        <x:v>V-R3</x:v>
      </x:c>
      <x:c r="B1175" s="10" t="str">
        <x:v>VOICE</x:v>
      </x:c>
      <x:c r="C1175" s="10" t="str">
        <x:v>VOICE:S6-05:input</x:v>
      </x:c>
      <x:c r="D1175" s="10" t="str">
        <x:v>VOICE:S6-05:expression</x:v>
      </x:c>
      <x:c r="E1175" s="10" t="str">
        <x:v>["S6-05:quote-L","S6-05:quote-R"]</x:v>
      </x:c>
      <x:c r="F1175" s="10" t="str">
        <x:v>["S6-05:quote-L","S6-05:quote-R"]</x:v>
      </x:c>
      <x:c r="G1175" s="10" t="n">
        <x:f>IF(E1175=F1175,1,0)</x:f>
        <x:v>1</x:v>
      </x:c>
    </x:row>
    <x:row r="1176" ht="55" customHeight="1">
      <x:c r="A1176" s="10" t="str">
        <x:v>V-A</x:v>
      </x:c>
      <x:c r="B1176" s="10" t="str">
        <x:v>VOICE</x:v>
      </x:c>
      <x:c r="C1176" s="10" t="str">
        <x:v>VOICE:S6-06:input</x:v>
      </x:c>
      <x:c r="D1176" s="10" t="str">
        <x:v>VOICE:S6-06:expression</x:v>
      </x:c>
      <x:c r="E1176" s="10" t="str">
        <x:v>["S6-06:quote-L","S6-06:quote-R"]</x:v>
      </x:c>
      <x:c r="F1176" s="10" t="str">
        <x:v>["S6-06:quote-L","S6-06:quote-R"]</x:v>
      </x:c>
      <x:c r="G1176" s="10" t="n">
        <x:f>IF(E1176=F1176,1,0)</x:f>
        <x:v>1</x:v>
      </x:c>
    </x:row>
    <x:row r="1177" ht="55" customHeight="1">
      <x:c r="A1177" s="10" t="str">
        <x:v>V-R1</x:v>
      </x:c>
      <x:c r="B1177" s="10" t="str">
        <x:v>VOICE</x:v>
      </x:c>
      <x:c r="C1177" s="10" t="str">
        <x:v>VOICE:S6-06:input</x:v>
      </x:c>
      <x:c r="D1177" s="10" t="str">
        <x:v>VOICE:S6-06:expression</x:v>
      </x:c>
      <x:c r="E1177" s="10" t="str">
        <x:v>["S6-06:quote-L","S6-06:quote-R"]</x:v>
      </x:c>
      <x:c r="F1177" s="10" t="str">
        <x:v>["S6-06:quote-L","S6-06:quote-R"]</x:v>
      </x:c>
      <x:c r="G1177" s="10" t="n">
        <x:f>IF(E1177=F1177,1,0)</x:f>
        <x:v>1</x:v>
      </x:c>
    </x:row>
    <x:row r="1178" ht="55" customHeight="1">
      <x:c r="A1178" s="10" t="str">
        <x:v>V-R2</x:v>
      </x:c>
      <x:c r="B1178" s="10" t="str">
        <x:v>VOICE</x:v>
      </x:c>
      <x:c r="C1178" s="10" t="str">
        <x:v>VOICE:S6-06:input</x:v>
      </x:c>
      <x:c r="D1178" s="10" t="str">
        <x:v>VOICE:S6-06:expression</x:v>
      </x:c>
      <x:c r="E1178" s="10" t="str">
        <x:v>["S6-06:quote-L","S6-06:quote-R"]</x:v>
      </x:c>
      <x:c r="F1178" s="10" t="str">
        <x:v>["S6-06:quote-L","S6-06:quote-R"]</x:v>
      </x:c>
      <x:c r="G1178" s="10" t="n">
        <x:f>IF(E1178=F1178,1,0)</x:f>
        <x:v>1</x:v>
      </x:c>
    </x:row>
    <x:row r="1179" ht="55" customHeight="1">
      <x:c r="A1179" s="10" t="str">
        <x:v>V-R3</x:v>
      </x:c>
      <x:c r="B1179" s="10" t="str">
        <x:v>VOICE</x:v>
      </x:c>
      <x:c r="C1179" s="10" t="str">
        <x:v>VOICE:S6-06:input</x:v>
      </x:c>
      <x:c r="D1179" s="10" t="str">
        <x:v>VOICE:S6-06:expression</x:v>
      </x:c>
      <x:c r="E1179" s="10" t="str">
        <x:v>["S6-06:quote-L","S6-06:quote-R"]</x:v>
      </x:c>
      <x:c r="F1179" s="10" t="str">
        <x:v>["S6-06:quote-L","S6-06:quote-R"]</x:v>
      </x:c>
      <x:c r="G1179" s="10" t="n">
        <x:f>IF(E1179=F1179,1,0)</x:f>
        <x:v>1</x:v>
      </x:c>
    </x:row>
    <x:row r="1180" ht="55" customHeight="1">
      <x:c r="A1180" s="10" t="str">
        <x:v>V-A</x:v>
      </x:c>
      <x:c r="B1180" s="10" t="str">
        <x:v>VOICE</x:v>
      </x:c>
      <x:c r="C1180" s="10" t="str">
        <x:v>VOICE:S6-07:input</x:v>
      </x:c>
      <x:c r="D1180" s="10" t="str">
        <x:v>VOICE:S6-07:expression</x:v>
      </x:c>
      <x:c r="E1180" s="10" t="str">
        <x:v>["S6-07:quote-L","S6-07:quote-R"]</x:v>
      </x:c>
      <x:c r="F1180" s="10" t="str">
        <x:v>["S6-07:quote-L","S6-07:quote-R"]</x:v>
      </x:c>
      <x:c r="G1180" s="10" t="n">
        <x:f>IF(E1180=F1180,1,0)</x:f>
        <x:v>1</x:v>
      </x:c>
    </x:row>
    <x:row r="1181" ht="55" customHeight="1">
      <x:c r="A1181" s="10" t="str">
        <x:v>V-R1</x:v>
      </x:c>
      <x:c r="B1181" s="10" t="str">
        <x:v>VOICE</x:v>
      </x:c>
      <x:c r="C1181" s="10" t="str">
        <x:v>VOICE:S6-07:input</x:v>
      </x:c>
      <x:c r="D1181" s="10" t="str">
        <x:v>VOICE:S6-07:expression</x:v>
      </x:c>
      <x:c r="E1181" s="10" t="str">
        <x:v>["S6-07:quote-L","S6-07:quote-R"]</x:v>
      </x:c>
      <x:c r="F1181" s="10" t="str">
        <x:v>["S6-07:quote-L","S6-07:quote-R"]</x:v>
      </x:c>
      <x:c r="G1181" s="10" t="n">
        <x:f>IF(E1181=F1181,1,0)</x:f>
        <x:v>1</x:v>
      </x:c>
    </x:row>
    <x:row r="1182" ht="55" customHeight="1">
      <x:c r="A1182" s="10" t="str">
        <x:v>V-R2</x:v>
      </x:c>
      <x:c r="B1182" s="10" t="str">
        <x:v>VOICE</x:v>
      </x:c>
      <x:c r="C1182" s="10" t="str">
        <x:v>VOICE:S6-07:input</x:v>
      </x:c>
      <x:c r="D1182" s="10" t="str">
        <x:v>VOICE:S6-07:expression</x:v>
      </x:c>
      <x:c r="E1182" s="10" t="str">
        <x:v>["S6-07:quote-L","S6-07:quote-R"]</x:v>
      </x:c>
      <x:c r="F1182" s="10" t="str">
        <x:v>["S6-07:quote-L","S6-07:quote-R"]</x:v>
      </x:c>
      <x:c r="G1182" s="10" t="n">
        <x:f>IF(E1182=F1182,1,0)</x:f>
        <x:v>1</x:v>
      </x:c>
    </x:row>
    <x:row r="1183" ht="55" customHeight="1">
      <x:c r="A1183" s="10" t="str">
        <x:v>V-R3</x:v>
      </x:c>
      <x:c r="B1183" s="10" t="str">
        <x:v>VOICE</x:v>
      </x:c>
      <x:c r="C1183" s="10" t="str">
        <x:v>VOICE:S6-07:input</x:v>
      </x:c>
      <x:c r="D1183" s="10" t="str">
        <x:v>VOICE:S6-07:expression</x:v>
      </x:c>
      <x:c r="E1183" s="10" t="str">
        <x:v>["S6-07:quote-L","S6-07:quote-R"]</x:v>
      </x:c>
      <x:c r="F1183" s="10" t="str">
        <x:v>["S6-07:quote-L","S6-07:quote-R"]</x:v>
      </x:c>
      <x:c r="G1183" s="10" t="n">
        <x:f>IF(E1183=F1183,1,0)</x:f>
        <x:v>1</x:v>
      </x:c>
    </x:row>
    <x:row r="1184" ht="55" customHeight="1">
      <x:c r="A1184" s="10" t="str">
        <x:v>V-A</x:v>
      </x:c>
      <x:c r="B1184" s="10" t="str">
        <x:v>VOICE</x:v>
      </x:c>
      <x:c r="C1184" s="10" t="str">
        <x:v>VOICE:S6-08:input</x:v>
      </x:c>
      <x:c r="D1184" s="10" t="str">
        <x:v>VOICE:S6-08:expression</x:v>
      </x:c>
      <x:c r="E1184" s="10" t="str">
        <x:v>["S6-08:quote-L","S6-08:quote-R"]</x:v>
      </x:c>
      <x:c r="F1184" s="10" t="str">
        <x:v>["S6-08:quote-L","S6-08:quote-R"]</x:v>
      </x:c>
      <x:c r="G1184" s="10" t="n">
        <x:f>IF(E1184=F1184,1,0)</x:f>
        <x:v>1</x:v>
      </x:c>
    </x:row>
    <x:row r="1185" ht="55" customHeight="1">
      <x:c r="A1185" s="10" t="str">
        <x:v>V-R1</x:v>
      </x:c>
      <x:c r="B1185" s="10" t="str">
        <x:v>VOICE</x:v>
      </x:c>
      <x:c r="C1185" s="10" t="str">
        <x:v>VOICE:S6-08:input</x:v>
      </x:c>
      <x:c r="D1185" s="10" t="str">
        <x:v>VOICE:S6-08:expression</x:v>
      </x:c>
      <x:c r="E1185" s="10" t="str">
        <x:v>["S6-08:quote-L","S6-08:quote-R"]</x:v>
      </x:c>
      <x:c r="F1185" s="10" t="str">
        <x:v>["S6-08:quote-L","S6-08:quote-R"]</x:v>
      </x:c>
      <x:c r="G1185" s="10" t="n">
        <x:f>IF(E1185=F1185,1,0)</x:f>
        <x:v>1</x:v>
      </x:c>
    </x:row>
    <x:row r="1186" ht="55" customHeight="1">
      <x:c r="A1186" s="10" t="str">
        <x:v>V-R2</x:v>
      </x:c>
      <x:c r="B1186" s="10" t="str">
        <x:v>VOICE</x:v>
      </x:c>
      <x:c r="C1186" s="10" t="str">
        <x:v>VOICE:S6-08:input</x:v>
      </x:c>
      <x:c r="D1186" s="10" t="str">
        <x:v>VOICE:S6-08:expression</x:v>
      </x:c>
      <x:c r="E1186" s="10" t="str">
        <x:v>["S6-08:quote-L","S6-08:quote-R"]</x:v>
      </x:c>
      <x:c r="F1186" s="10" t="str">
        <x:v>["S6-08:quote-L","S6-08:quote-R"]</x:v>
      </x:c>
      <x:c r="G1186" s="10" t="n">
        <x:f>IF(E1186=F1186,1,0)</x:f>
        <x:v>1</x:v>
      </x:c>
    </x:row>
    <x:row r="1187" ht="55" customHeight="1">
      <x:c r="A1187" s="10" t="str">
        <x:v>V-R3</x:v>
      </x:c>
      <x:c r="B1187" s="10" t="str">
        <x:v>VOICE</x:v>
      </x:c>
      <x:c r="C1187" s="10" t="str">
        <x:v>VOICE:S6-08:input</x:v>
      </x:c>
      <x:c r="D1187" s="10" t="str">
        <x:v>VOICE:S6-08:expression</x:v>
      </x:c>
      <x:c r="E1187" s="10" t="str">
        <x:v>["S6-08:quote-L","S6-08:quote-R"]</x:v>
      </x:c>
      <x:c r="F1187" s="10" t="str">
        <x:v>["S6-08:quote-L","S6-08:quote-R"]</x:v>
      </x:c>
      <x:c r="G1187" s="10" t="n">
        <x:f>IF(E1187=F1187,1,0)</x:f>
        <x:v>1</x:v>
      </x:c>
    </x:row>
    <x:row r="1188" ht="55" customHeight="1">
      <x:c r="A1188" s="10" t="str">
        <x:v>V-A</x:v>
      </x:c>
      <x:c r="B1188" s="10" t="str">
        <x:v>VOICE</x:v>
      </x:c>
      <x:c r="C1188" s="10" t="str">
        <x:v>VOICE:S6-09:input</x:v>
      </x:c>
      <x:c r="D1188" s="10" t="str">
        <x:v>VOICE:S6-09:expression</x:v>
      </x:c>
      <x:c r="E1188" s="10" t="str">
        <x:v>["S6-09:quote-L","S6-09:quote-R"]</x:v>
      </x:c>
      <x:c r="F1188" s="10" t="str">
        <x:v>["S6-09:quote-L","S6-09:quote-R"]</x:v>
      </x:c>
      <x:c r="G1188" s="10" t="n">
        <x:f>IF(E1188=F1188,1,0)</x:f>
        <x:v>1</x:v>
      </x:c>
    </x:row>
    <x:row r="1189" ht="55" customHeight="1">
      <x:c r="A1189" s="10" t="str">
        <x:v>V-R1</x:v>
      </x:c>
      <x:c r="B1189" s="10" t="str">
        <x:v>VOICE</x:v>
      </x:c>
      <x:c r="C1189" s="10" t="str">
        <x:v>VOICE:S6-09:input</x:v>
      </x:c>
      <x:c r="D1189" s="10" t="str">
        <x:v>VOICE:S6-09:expression</x:v>
      </x:c>
      <x:c r="E1189" s="10" t="str">
        <x:v>["S6-09:quote-L","S6-09:quote-R"]</x:v>
      </x:c>
      <x:c r="F1189" s="10" t="str">
        <x:v>["S6-09:quote-L","S6-09:quote-R"]</x:v>
      </x:c>
      <x:c r="G1189" s="10" t="n">
        <x:f>IF(E1189=F1189,1,0)</x:f>
        <x:v>1</x:v>
      </x:c>
    </x:row>
    <x:row r="1190" ht="55" customHeight="1">
      <x:c r="A1190" s="10" t="str">
        <x:v>V-R2</x:v>
      </x:c>
      <x:c r="B1190" s="10" t="str">
        <x:v>VOICE</x:v>
      </x:c>
      <x:c r="C1190" s="10" t="str">
        <x:v>VOICE:S6-09:input</x:v>
      </x:c>
      <x:c r="D1190" s="10" t="str">
        <x:v>VOICE:S6-09:expression</x:v>
      </x:c>
      <x:c r="E1190" s="10" t="str">
        <x:v>["S6-09:quote-L","S6-09:quote-R"]</x:v>
      </x:c>
      <x:c r="F1190" s="10" t="str">
        <x:v>["S6-09:quote-L","S6-09:quote-R"]</x:v>
      </x:c>
      <x:c r="G1190" s="10" t="n">
        <x:f>IF(E1190=F1190,1,0)</x:f>
        <x:v>1</x:v>
      </x:c>
    </x:row>
    <x:row r="1191" ht="55" customHeight="1">
      <x:c r="A1191" s="10" t="str">
        <x:v>V-R3</x:v>
      </x:c>
      <x:c r="B1191" s="10" t="str">
        <x:v>VOICE</x:v>
      </x:c>
      <x:c r="C1191" s="10" t="str">
        <x:v>VOICE:S6-09:input</x:v>
      </x:c>
      <x:c r="D1191" s="10" t="str">
        <x:v>VOICE:S6-09:expression</x:v>
      </x:c>
      <x:c r="E1191" s="10" t="str">
        <x:v>["S6-09:quote-L","S6-09:quote-R"]</x:v>
      </x:c>
      <x:c r="F1191" s="10" t="str">
        <x:v>["S6-09:quote-L","S6-09:quote-R"]</x:v>
      </x:c>
      <x:c r="G1191" s="10" t="n">
        <x:f>IF(E1191=F1191,1,0)</x:f>
        <x:v>1</x:v>
      </x:c>
    </x:row>
    <x:row r="1192" ht="55" customHeight="1">
      <x:c r="A1192" s="10" t="str">
        <x:v>V-A</x:v>
      </x:c>
      <x:c r="B1192" s="10" t="str">
        <x:v>VOICE</x:v>
      </x:c>
      <x:c r="C1192" s="10" t="str">
        <x:v>VOICE:S6-10:input</x:v>
      </x:c>
      <x:c r="D1192" s="10" t="str">
        <x:v>VOICE:S6-10:expression</x:v>
      </x:c>
      <x:c r="E1192" s="10" t="str">
        <x:v>["S6-10:quote-L","S6-10:quote-R"]</x:v>
      </x:c>
      <x:c r="F1192" s="10" t="str">
        <x:v>["S6-10:quote-L","S6-10:quote-R"]</x:v>
      </x:c>
      <x:c r="G1192" s="10" t="n">
        <x:f>IF(E1192=F1192,1,0)</x:f>
        <x:v>1</x:v>
      </x:c>
    </x:row>
    <x:row r="1193" ht="55" customHeight="1">
      <x:c r="A1193" s="10" t="str">
        <x:v>V-R1</x:v>
      </x:c>
      <x:c r="B1193" s="10" t="str">
        <x:v>VOICE</x:v>
      </x:c>
      <x:c r="C1193" s="10" t="str">
        <x:v>VOICE:S6-10:input</x:v>
      </x:c>
      <x:c r="D1193" s="10" t="str">
        <x:v>VOICE:S6-10:expression</x:v>
      </x:c>
      <x:c r="E1193" s="10" t="str">
        <x:v>["S6-10:quote-L","S6-10:quote-R"]</x:v>
      </x:c>
      <x:c r="F1193" s="10" t="str">
        <x:v>["S6-10:quote-L","S6-10:quote-R"]</x:v>
      </x:c>
      <x:c r="G1193" s="10" t="n">
        <x:f>IF(E1193=F1193,1,0)</x:f>
        <x:v>1</x:v>
      </x:c>
    </x:row>
    <x:row r="1194" ht="55" customHeight="1">
      <x:c r="A1194" s="10" t="str">
        <x:v>V-R2</x:v>
      </x:c>
      <x:c r="B1194" s="10" t="str">
        <x:v>VOICE</x:v>
      </x:c>
      <x:c r="C1194" s="10" t="str">
        <x:v>VOICE:S6-10:input</x:v>
      </x:c>
      <x:c r="D1194" s="10" t="str">
        <x:v>VOICE:S6-10:expression</x:v>
      </x:c>
      <x:c r="E1194" s="10" t="str">
        <x:v>["S6-10:quote-L","S6-10:quote-R"]</x:v>
      </x:c>
      <x:c r="F1194" s="10" t="str">
        <x:v>["S6-10:quote-L","S6-10:quote-R"]</x:v>
      </x:c>
      <x:c r="G1194" s="10" t="n">
        <x:f>IF(E1194=F1194,1,0)</x:f>
        <x:v>1</x:v>
      </x:c>
    </x:row>
    <x:row r="1195" ht="55" customHeight="1">
      <x:c r="A1195" s="10" t="str">
        <x:v>V-R3</x:v>
      </x:c>
      <x:c r="B1195" s="10" t="str">
        <x:v>VOICE</x:v>
      </x:c>
      <x:c r="C1195" s="10" t="str">
        <x:v>VOICE:S6-10:input</x:v>
      </x:c>
      <x:c r="D1195" s="10" t="str">
        <x:v>VOICE:S6-10:expression</x:v>
      </x:c>
      <x:c r="E1195" s="10" t="str">
        <x:v>["S6-10:quote-L","S6-10:quote-R"]</x:v>
      </x:c>
      <x:c r="F1195" s="10" t="str">
        <x:v>["S6-10:quote-L","S6-10:quote-R"]</x:v>
      </x:c>
      <x:c r="G1195" s="10" t="n">
        <x:f>IF(E1195=F1195,1,0)</x:f>
        <x:v>1</x:v>
      </x:c>
    </x:row>
    <x:row r="1196" ht="55" customHeight="1">
      <x:c r="A1196" s="10" t="str">
        <x:v>V-A</x:v>
      </x:c>
      <x:c r="B1196" s="10" t="str">
        <x:v>VOICE</x:v>
      </x:c>
      <x:c r="C1196" s="10" t="str">
        <x:v>VOICE:S6-11:input</x:v>
      </x:c>
      <x:c r="D1196" s="10" t="str">
        <x:v>VOICE:S6-11:expression</x:v>
      </x:c>
      <x:c r="E1196" s="10" t="str">
        <x:v>["S6-11:quote-L","S6-11:quote-R"]</x:v>
      </x:c>
      <x:c r="F1196" s="10" t="str">
        <x:v>["S6-11:quote-L","S6-11:quote-R"]</x:v>
      </x:c>
      <x:c r="G1196" s="10" t="n">
        <x:f>IF(E1196=F1196,1,0)</x:f>
        <x:v>1</x:v>
      </x:c>
    </x:row>
    <x:row r="1197" ht="55" customHeight="1">
      <x:c r="A1197" s="10" t="str">
        <x:v>V-R1</x:v>
      </x:c>
      <x:c r="B1197" s="10" t="str">
        <x:v>VOICE</x:v>
      </x:c>
      <x:c r="C1197" s="10" t="str">
        <x:v>VOICE:S6-11:input</x:v>
      </x:c>
      <x:c r="D1197" s="10" t="str">
        <x:v>VOICE:S6-11:expression</x:v>
      </x:c>
      <x:c r="E1197" s="10" t="str">
        <x:v>["S6-11:quote-L","S6-11:quote-R"]</x:v>
      </x:c>
      <x:c r="F1197" s="10" t="str">
        <x:v>["S6-11:quote-L","S6-11:quote-R"]</x:v>
      </x:c>
      <x:c r="G1197" s="10" t="n">
        <x:f>IF(E1197=F1197,1,0)</x:f>
        <x:v>1</x:v>
      </x:c>
    </x:row>
    <x:row r="1198" ht="55" customHeight="1">
      <x:c r="A1198" s="10" t="str">
        <x:v>V-R2</x:v>
      </x:c>
      <x:c r="B1198" s="10" t="str">
        <x:v>VOICE</x:v>
      </x:c>
      <x:c r="C1198" s="10" t="str">
        <x:v>VOICE:S6-11:input</x:v>
      </x:c>
      <x:c r="D1198" s="10" t="str">
        <x:v>VOICE:S6-11:expression</x:v>
      </x:c>
      <x:c r="E1198" s="10" t="str">
        <x:v>["S6-11:quote-L","S6-11:quote-R"]</x:v>
      </x:c>
      <x:c r="F1198" s="10" t="str">
        <x:v>["S6-11:quote-L","S6-11:quote-R"]</x:v>
      </x:c>
      <x:c r="G1198" s="10" t="n">
        <x:f>IF(E1198=F1198,1,0)</x:f>
        <x:v>1</x:v>
      </x:c>
    </x:row>
    <x:row r="1199" ht="55" customHeight="1">
      <x:c r="A1199" s="10" t="str">
        <x:v>V-R3</x:v>
      </x:c>
      <x:c r="B1199" s="10" t="str">
        <x:v>VOICE</x:v>
      </x:c>
      <x:c r="C1199" s="10" t="str">
        <x:v>VOICE:S6-11:input</x:v>
      </x:c>
      <x:c r="D1199" s="10" t="str">
        <x:v>VOICE:S6-11:expression</x:v>
      </x:c>
      <x:c r="E1199" s="10" t="str">
        <x:v>["S6-11:quote-L","S6-11:quote-R"]</x:v>
      </x:c>
      <x:c r="F1199" s="10" t="str">
        <x:v>["S6-11:quote-L","S6-11:quote-R"]</x:v>
      </x:c>
      <x:c r="G1199" s="10" t="n">
        <x:f>IF(E1199=F1199,1,0)</x:f>
        <x:v>1</x:v>
      </x:c>
    </x:row>
    <x:row r="1200" ht="55" customHeight="1">
      <x:c r="A1200" s="10" t="str">
        <x:v>V-A</x:v>
      </x:c>
      <x:c r="B1200" s="10" t="str">
        <x:v>VOICE</x:v>
      </x:c>
      <x:c r="C1200" s="10" t="str">
        <x:v>VOICE:S6-12:input</x:v>
      </x:c>
      <x:c r="D1200" s="10" t="str">
        <x:v>VOICE:S6-12:expression</x:v>
      </x:c>
      <x:c r="E1200" s="10" t="str">
        <x:v>["S6-12:quote-L","S6-12:quote-R"]</x:v>
      </x:c>
      <x:c r="F1200" s="10" t="str">
        <x:v>["S6-12:quote-L","S6-12:quote-R"]</x:v>
      </x:c>
      <x:c r="G1200" s="10" t="n">
        <x:f>IF(E1200=F1200,1,0)</x:f>
        <x:v>1</x:v>
      </x:c>
    </x:row>
    <x:row r="1201" ht="55" customHeight="1">
      <x:c r="A1201" s="10" t="str">
        <x:v>V-R1</x:v>
      </x:c>
      <x:c r="B1201" s="10" t="str">
        <x:v>VOICE</x:v>
      </x:c>
      <x:c r="C1201" s="10" t="str">
        <x:v>VOICE:S6-12:input</x:v>
      </x:c>
      <x:c r="D1201" s="10" t="str">
        <x:v>VOICE:S6-12:expression</x:v>
      </x:c>
      <x:c r="E1201" s="10" t="str">
        <x:v>["S6-12:quote-L","S6-12:quote-R"]</x:v>
      </x:c>
      <x:c r="F1201" s="10" t="str">
        <x:v>["S6-12:quote-L","S6-12:quote-R"]</x:v>
      </x:c>
      <x:c r="G1201" s="10" t="n">
        <x:f>IF(E1201=F1201,1,0)</x:f>
        <x:v>1</x:v>
      </x:c>
    </x:row>
    <x:row r="1202" ht="55" customHeight="1">
      <x:c r="A1202" s="10" t="str">
        <x:v>V-R2</x:v>
      </x:c>
      <x:c r="B1202" s="10" t="str">
        <x:v>VOICE</x:v>
      </x:c>
      <x:c r="C1202" s="10" t="str">
        <x:v>VOICE:S6-12:input</x:v>
      </x:c>
      <x:c r="D1202" s="10" t="str">
        <x:v>VOICE:S6-12:expression</x:v>
      </x:c>
      <x:c r="E1202" s="10" t="str">
        <x:v>["S6-12:quote-L","S6-12:quote-R"]</x:v>
      </x:c>
      <x:c r="F1202" s="10" t="str">
        <x:v>["S6-12:quote-L","S6-12:quote-R"]</x:v>
      </x:c>
      <x:c r="G1202" s="10" t="n">
        <x:f>IF(E1202=F1202,1,0)</x:f>
        <x:v>1</x:v>
      </x:c>
    </x:row>
    <x:row r="1203" ht="55" customHeight="1">
      <x:c r="A1203" s="10" t="str">
        <x:v>V-R3</x:v>
      </x:c>
      <x:c r="B1203" s="10" t="str">
        <x:v>VOICE</x:v>
      </x:c>
      <x:c r="C1203" s="10" t="str">
        <x:v>VOICE:S6-12:input</x:v>
      </x:c>
      <x:c r="D1203" s="10" t="str">
        <x:v>VOICE:S6-12:expression</x:v>
      </x:c>
      <x:c r="E1203" s="10" t="str">
        <x:v>["S6-12:quote-L","S6-12:quote-R"]</x:v>
      </x:c>
      <x:c r="F1203" s="10" t="str">
        <x:v>["S6-12:quote-L","S6-12:quote-R"]</x:v>
      </x:c>
      <x:c r="G1203" s="10" t="n">
        <x:f>IF(E1203=F1203,1,0)</x:f>
        <x:v>1</x:v>
      </x:c>
    </x:row>
    <x:row r="1204" ht="55" customHeight="1">
      <x:c r="A1204" s="10" t="str">
        <x:v>V-A</x:v>
      </x:c>
      <x:c r="B1204" s="10" t="str">
        <x:v>VOICE</x:v>
      </x:c>
      <x:c r="C1204" s="10" t="str">
        <x:v>VOICE:S6-13:input</x:v>
      </x:c>
      <x:c r="D1204" s="10" t="str">
        <x:v>VOICE:S6-13:expression</x:v>
      </x:c>
      <x:c r="E1204" s="10" t="str">
        <x:v>["S6-13:quote-L","S6-13:quote-R"]</x:v>
      </x:c>
      <x:c r="F1204" s="10" t="str">
        <x:v>["S6-13:quote-L","S6-13:quote-R"]</x:v>
      </x:c>
      <x:c r="G1204" s="10" t="n">
        <x:f>IF(E1204=F1204,1,0)</x:f>
        <x:v>1</x:v>
      </x:c>
    </x:row>
    <x:row r="1205" ht="55" customHeight="1">
      <x:c r="A1205" s="10" t="str">
        <x:v>V-R1</x:v>
      </x:c>
      <x:c r="B1205" s="10" t="str">
        <x:v>VOICE</x:v>
      </x:c>
      <x:c r="C1205" s="10" t="str">
        <x:v>VOICE:S6-13:input</x:v>
      </x:c>
      <x:c r="D1205" s="10" t="str">
        <x:v>VOICE:S6-13:expression</x:v>
      </x:c>
      <x:c r="E1205" s="10" t="str">
        <x:v>["S6-13:quote-L","S6-13:quote-R"]</x:v>
      </x:c>
      <x:c r="F1205" s="10" t="str">
        <x:v>["S6-13:quote-L","S6-13:quote-R"]</x:v>
      </x:c>
      <x:c r="G1205" s="10" t="n">
        <x:f>IF(E1205=F1205,1,0)</x:f>
        <x:v>1</x:v>
      </x:c>
    </x:row>
    <x:row r="1206" ht="55" customHeight="1">
      <x:c r="A1206" s="10" t="str">
        <x:v>V-R2</x:v>
      </x:c>
      <x:c r="B1206" s="10" t="str">
        <x:v>VOICE</x:v>
      </x:c>
      <x:c r="C1206" s="10" t="str">
        <x:v>VOICE:S6-13:input</x:v>
      </x:c>
      <x:c r="D1206" s="10" t="str">
        <x:v>VOICE:S6-13:expression</x:v>
      </x:c>
      <x:c r="E1206" s="10" t="str">
        <x:v>["S6-13:quote-L","S6-13:quote-R"]</x:v>
      </x:c>
      <x:c r="F1206" s="10" t="str">
        <x:v>["S6-13:quote-L","S6-13:quote-R"]</x:v>
      </x:c>
      <x:c r="G1206" s="10" t="n">
        <x:f>IF(E1206=F1206,1,0)</x:f>
        <x:v>1</x:v>
      </x:c>
    </x:row>
    <x:row r="1207" ht="55" customHeight="1">
      <x:c r="A1207" s="10" t="str">
        <x:v>V-R3</x:v>
      </x:c>
      <x:c r="B1207" s="10" t="str">
        <x:v>VOICE</x:v>
      </x:c>
      <x:c r="C1207" s="10" t="str">
        <x:v>VOICE:S6-13:input</x:v>
      </x:c>
      <x:c r="D1207" s="10" t="str">
        <x:v>VOICE:S6-13:expression</x:v>
      </x:c>
      <x:c r="E1207" s="10" t="str">
        <x:v>["S6-13:quote-L","S6-13:quote-R"]</x:v>
      </x:c>
      <x:c r="F1207" s="10" t="str">
        <x:v>["S6-13:quote-L","S6-13:quote-R"]</x:v>
      </x:c>
      <x:c r="G1207" s="10" t="n">
        <x:f>IF(E1207=F1207,1,0)</x:f>
        <x:v>1</x:v>
      </x:c>
    </x:row>
    <x:row r="1208" ht="55" customHeight="1">
      <x:c r="A1208" s="10" t="str">
        <x:v>V-A</x:v>
      </x:c>
      <x:c r="B1208" s="10" t="str">
        <x:v>VOICE</x:v>
      </x:c>
      <x:c r="C1208" s="10" t="str">
        <x:v>VOICE:S6-14:input</x:v>
      </x:c>
      <x:c r="D1208" s="10" t="str">
        <x:v>VOICE:S6-14:expression</x:v>
      </x:c>
      <x:c r="E1208" s="10" t="str">
        <x:v>["S6-14:quote-L","S6-14:quote-R"]</x:v>
      </x:c>
      <x:c r="F1208" s="10" t="str">
        <x:v>["S6-14:quote-L","S6-14:quote-R"]</x:v>
      </x:c>
      <x:c r="G1208" s="10" t="n">
        <x:f>IF(E1208=F1208,1,0)</x:f>
        <x:v>1</x:v>
      </x:c>
    </x:row>
    <x:row r="1209" ht="55" customHeight="1">
      <x:c r="A1209" s="10" t="str">
        <x:v>V-R1</x:v>
      </x:c>
      <x:c r="B1209" s="10" t="str">
        <x:v>VOICE</x:v>
      </x:c>
      <x:c r="C1209" s="10" t="str">
        <x:v>VOICE:S6-14:input</x:v>
      </x:c>
      <x:c r="D1209" s="10" t="str">
        <x:v>VOICE:S6-14:expression</x:v>
      </x:c>
      <x:c r="E1209" s="10" t="str">
        <x:v>["S6-14:quote-L","S6-14:quote-R"]</x:v>
      </x:c>
      <x:c r="F1209" s="10" t="str">
        <x:v>["S6-14:quote-L","S6-14:quote-R"]</x:v>
      </x:c>
      <x:c r="G1209" s="10" t="n">
        <x:f>IF(E1209=F1209,1,0)</x:f>
        <x:v>1</x:v>
      </x:c>
    </x:row>
    <x:row r="1210" ht="55" customHeight="1">
      <x:c r="A1210" s="10" t="str">
        <x:v>V-R2</x:v>
      </x:c>
      <x:c r="B1210" s="10" t="str">
        <x:v>VOICE</x:v>
      </x:c>
      <x:c r="C1210" s="10" t="str">
        <x:v>VOICE:S6-14:input</x:v>
      </x:c>
      <x:c r="D1210" s="10" t="str">
        <x:v>VOICE:S6-14:expression</x:v>
      </x:c>
      <x:c r="E1210" s="10" t="str">
        <x:v>["S6-14:quote-L","S6-14:quote-R"]</x:v>
      </x:c>
      <x:c r="F1210" s="10" t="str">
        <x:v>["S6-14:quote-L","S6-14:quote-R"]</x:v>
      </x:c>
      <x:c r="G1210" s="10" t="n">
        <x:f>IF(E1210=F1210,1,0)</x:f>
        <x:v>1</x:v>
      </x:c>
    </x:row>
    <x:row r="1211" ht="55" customHeight="1">
      <x:c r="A1211" s="10" t="str">
        <x:v>V-R3</x:v>
      </x:c>
      <x:c r="B1211" s="10" t="str">
        <x:v>VOICE</x:v>
      </x:c>
      <x:c r="C1211" s="10" t="str">
        <x:v>VOICE:S6-14:input</x:v>
      </x:c>
      <x:c r="D1211" s="10" t="str">
        <x:v>VOICE:S6-14:expression</x:v>
      </x:c>
      <x:c r="E1211" s="10" t="str">
        <x:v>["S6-14:quote-L","S6-14:quote-R"]</x:v>
      </x:c>
      <x:c r="F1211" s="10" t="str">
        <x:v>["S6-14:quote-L","S6-14:quote-R"]</x:v>
      </x:c>
      <x:c r="G1211" s="10" t="n">
        <x:f>IF(E1211=F1211,1,0)</x:f>
        <x:v>1</x:v>
      </x:c>
    </x:row>
    <x:row r="1212" ht="55" customHeight="1">
      <x:c r="A1212" s="10" t="str">
        <x:v>V-A</x:v>
      </x:c>
      <x:c r="B1212" s="10" t="str">
        <x:v>VOICE</x:v>
      </x:c>
      <x:c r="C1212" s="10" t="str">
        <x:v>VOICE:S6-15:input</x:v>
      </x:c>
      <x:c r="D1212" s="10" t="str">
        <x:v>VOICE:S6-15:expression</x:v>
      </x:c>
      <x:c r="E1212" s="10" t="str">
        <x:v>["S6-15:quote-L","S6-15:quote-R"]</x:v>
      </x:c>
      <x:c r="F1212" s="10" t="str">
        <x:v>["S6-15:quote-L","S6-15:quote-R"]</x:v>
      </x:c>
      <x:c r="G1212" s="10" t="n">
        <x:f>IF(E1212=F1212,1,0)</x:f>
        <x:v>1</x:v>
      </x:c>
    </x:row>
    <x:row r="1213" ht="55" customHeight="1">
      <x:c r="A1213" s="10" t="str">
        <x:v>V-R1</x:v>
      </x:c>
      <x:c r="B1213" s="10" t="str">
        <x:v>VOICE</x:v>
      </x:c>
      <x:c r="C1213" s="10" t="str">
        <x:v>VOICE:S6-15:input</x:v>
      </x:c>
      <x:c r="D1213" s="10" t="str">
        <x:v>VOICE:S6-15:expression</x:v>
      </x:c>
      <x:c r="E1213" s="10" t="str">
        <x:v>["S6-15:quote-L","S6-15:quote-R"]</x:v>
      </x:c>
      <x:c r="F1213" s="10" t="str">
        <x:v>["S6-15:quote-L","S6-15:quote-R"]</x:v>
      </x:c>
      <x:c r="G1213" s="10" t="n">
        <x:f>IF(E1213=F1213,1,0)</x:f>
        <x:v>1</x:v>
      </x:c>
    </x:row>
    <x:row r="1214" ht="55" customHeight="1">
      <x:c r="A1214" s="10" t="str">
        <x:v>V-R2</x:v>
      </x:c>
      <x:c r="B1214" s="10" t="str">
        <x:v>VOICE</x:v>
      </x:c>
      <x:c r="C1214" s="10" t="str">
        <x:v>VOICE:S6-15:input</x:v>
      </x:c>
      <x:c r="D1214" s="10" t="str">
        <x:v>VOICE:S6-15:expression</x:v>
      </x:c>
      <x:c r="E1214" s="10" t="str">
        <x:v>["S6-15:quote-L","S6-15:quote-R"]</x:v>
      </x:c>
      <x:c r="F1214" s="10" t="str">
        <x:v>["S6-15:quote-L","S6-15:quote-R"]</x:v>
      </x:c>
      <x:c r="G1214" s="10" t="n">
        <x:f>IF(E1214=F1214,1,0)</x:f>
        <x:v>1</x:v>
      </x:c>
    </x:row>
    <x:row r="1215" ht="55" customHeight="1">
      <x:c r="A1215" s="10" t="str">
        <x:v>V-R3</x:v>
      </x:c>
      <x:c r="B1215" s="10" t="str">
        <x:v>VOICE</x:v>
      </x:c>
      <x:c r="C1215" s="10" t="str">
        <x:v>VOICE:S6-15:input</x:v>
      </x:c>
      <x:c r="D1215" s="10" t="str">
        <x:v>VOICE:S6-15:expression</x:v>
      </x:c>
      <x:c r="E1215" s="10" t="str">
        <x:v>["S6-15:quote-L","S6-15:quote-R"]</x:v>
      </x:c>
      <x:c r="F1215" s="10" t="str">
        <x:v>["S6-15:quote-L","S6-15:quote-R"]</x:v>
      </x:c>
      <x:c r="G1215" s="10" t="n">
        <x:f>IF(E1215=F1215,1,0)</x:f>
        <x:v>1</x:v>
      </x:c>
    </x:row>
    <x:row r="1216" ht="55" customHeight="1">
      <x:c r="A1216" s="10" t="str">
        <x:v>V-A</x:v>
      </x:c>
      <x:c r="B1216" s="10" t="str">
        <x:v>VOICE</x:v>
      </x:c>
      <x:c r="C1216" s="10" t="str">
        <x:v>VOICE:S6-16:input</x:v>
      </x:c>
      <x:c r="D1216" s="10" t="str">
        <x:v>VOICE:S6-16:expression</x:v>
      </x:c>
      <x:c r="E1216" s="10" t="str">
        <x:v>["S6-16:quote-L","S6-16:quote-R"]</x:v>
      </x:c>
      <x:c r="F1216" s="10" t="str">
        <x:v>["S6-16:quote-L","S6-16:quote-R"]</x:v>
      </x:c>
      <x:c r="G1216" s="10" t="n">
        <x:f>IF(E1216=F1216,1,0)</x:f>
        <x:v>1</x:v>
      </x:c>
    </x:row>
    <x:row r="1217" ht="55" customHeight="1">
      <x:c r="A1217" s="10" t="str">
        <x:v>V-R1</x:v>
      </x:c>
      <x:c r="B1217" s="10" t="str">
        <x:v>VOICE</x:v>
      </x:c>
      <x:c r="C1217" s="10" t="str">
        <x:v>VOICE:S6-16:input</x:v>
      </x:c>
      <x:c r="D1217" s="10" t="str">
        <x:v>VOICE:S6-16:expression</x:v>
      </x:c>
      <x:c r="E1217" s="10" t="str">
        <x:v>["S6-16:quote-L","S6-16:quote-R"]</x:v>
      </x:c>
      <x:c r="F1217" s="10" t="str">
        <x:v>["S6-16:quote-L","S6-16:quote-R"]</x:v>
      </x:c>
      <x:c r="G1217" s="10" t="n">
        <x:f>IF(E1217=F1217,1,0)</x:f>
        <x:v>1</x:v>
      </x:c>
    </x:row>
    <x:row r="1218" ht="55" customHeight="1">
      <x:c r="A1218" s="10" t="str">
        <x:v>V-R2</x:v>
      </x:c>
      <x:c r="B1218" s="10" t="str">
        <x:v>VOICE</x:v>
      </x:c>
      <x:c r="C1218" s="10" t="str">
        <x:v>VOICE:S6-16:input</x:v>
      </x:c>
      <x:c r="D1218" s="10" t="str">
        <x:v>VOICE:S6-16:expression</x:v>
      </x:c>
      <x:c r="E1218" s="10" t="str">
        <x:v>["S6-16:quote-L","S6-16:quote-R"]</x:v>
      </x:c>
      <x:c r="F1218" s="10" t="str">
        <x:v>["S6-16:quote-L","S6-16:quote-R"]</x:v>
      </x:c>
      <x:c r="G1218" s="10" t="n">
        <x:f>IF(E1218=F1218,1,0)</x:f>
        <x:v>1</x:v>
      </x:c>
    </x:row>
    <x:row r="1219" ht="55" customHeight="1">
      <x:c r="A1219" s="10" t="str">
        <x:v>V-R3</x:v>
      </x:c>
      <x:c r="B1219" s="10" t="str">
        <x:v>VOICE</x:v>
      </x:c>
      <x:c r="C1219" s="10" t="str">
        <x:v>VOICE:S6-16:input</x:v>
      </x:c>
      <x:c r="D1219" s="10" t="str">
        <x:v>VOICE:S6-16:expression</x:v>
      </x:c>
      <x:c r="E1219" s="10" t="str">
        <x:v>["S6-16:quote-L","S6-16:quote-R"]</x:v>
      </x:c>
      <x:c r="F1219" s="10" t="str">
        <x:v>["S6-16:quote-L","S6-16:quote-R"]</x:v>
      </x:c>
      <x:c r="G1219" s="10" t="n">
        <x:f>IF(E1219=F1219,1,0)</x:f>
        <x:v>1</x:v>
      </x:c>
    </x:row>
    <x:row r="1220" ht="55" customHeight="1">
      <x:c r="A1220" s="10" t="str">
        <x:v>V-A</x:v>
      </x:c>
      <x:c r="B1220" s="10" t="str">
        <x:v>VOICE</x:v>
      </x:c>
      <x:c r="C1220" s="10" t="str">
        <x:v>VOICE:S6-17:input</x:v>
      </x:c>
      <x:c r="D1220" s="10" t="str">
        <x:v>VOICE:S6-17:expression</x:v>
      </x:c>
      <x:c r="E1220" s="10" t="str">
        <x:v>["S6-17:quote-L","S6-17:quote-R"]</x:v>
      </x:c>
      <x:c r="F1220" s="10" t="str">
        <x:v>["S6-17:quote-L","S6-17:quote-R"]</x:v>
      </x:c>
      <x:c r="G1220" s="10" t="n">
        <x:f>IF(E1220=F1220,1,0)</x:f>
        <x:v>1</x:v>
      </x:c>
    </x:row>
    <x:row r="1221" ht="55" customHeight="1">
      <x:c r="A1221" s="10" t="str">
        <x:v>V-R1</x:v>
      </x:c>
      <x:c r="B1221" s="10" t="str">
        <x:v>VOICE</x:v>
      </x:c>
      <x:c r="C1221" s="10" t="str">
        <x:v>VOICE:S6-17:input</x:v>
      </x:c>
      <x:c r="D1221" s="10" t="str">
        <x:v>VOICE:S6-17:expression</x:v>
      </x:c>
      <x:c r="E1221" s="10" t="str">
        <x:v>["S6-17:quote-L","S6-17:quote-R"]</x:v>
      </x:c>
      <x:c r="F1221" s="10" t="str">
        <x:v>["S6-17:quote-L","S6-17:quote-R"]</x:v>
      </x:c>
      <x:c r="G1221" s="10" t="n">
        <x:f>IF(E1221=F1221,1,0)</x:f>
        <x:v>1</x:v>
      </x:c>
    </x:row>
    <x:row r="1222" ht="55" customHeight="1">
      <x:c r="A1222" s="10" t="str">
        <x:v>V-R2</x:v>
      </x:c>
      <x:c r="B1222" s="10" t="str">
        <x:v>VOICE</x:v>
      </x:c>
      <x:c r="C1222" s="10" t="str">
        <x:v>VOICE:S6-17:input</x:v>
      </x:c>
      <x:c r="D1222" s="10" t="str">
        <x:v>VOICE:S6-17:expression</x:v>
      </x:c>
      <x:c r="E1222" s="10" t="str">
        <x:v>["S6-17:quote-L","S6-17:quote-R"]</x:v>
      </x:c>
      <x:c r="F1222" s="10" t="str">
        <x:v>["S6-17:quote-L","S6-17:quote-R"]</x:v>
      </x:c>
      <x:c r="G1222" s="10" t="n">
        <x:f>IF(E1222=F1222,1,0)</x:f>
        <x:v>1</x:v>
      </x:c>
    </x:row>
    <x:row r="1223" ht="55" customHeight="1">
      <x:c r="A1223" s="10" t="str">
        <x:v>V-R3</x:v>
      </x:c>
      <x:c r="B1223" s="10" t="str">
        <x:v>VOICE</x:v>
      </x:c>
      <x:c r="C1223" s="10" t="str">
        <x:v>VOICE:S6-17:input</x:v>
      </x:c>
      <x:c r="D1223" s="10" t="str">
        <x:v>VOICE:S6-17:expression</x:v>
      </x:c>
      <x:c r="E1223" s="10" t="str">
        <x:v>["S6-17:quote-L","S6-17:quote-R"]</x:v>
      </x:c>
      <x:c r="F1223" s="10" t="str">
        <x:v>["S6-17:quote-L","S6-17:quote-R"]</x:v>
      </x:c>
      <x:c r="G1223" s="10" t="n">
        <x:f>IF(E1223=F1223,1,0)</x:f>
        <x:v>1</x:v>
      </x:c>
    </x:row>
    <x:row r="1224" ht="55" customHeight="1">
      <x:c r="A1224" s="10" t="str">
        <x:v>V-A</x:v>
      </x:c>
      <x:c r="B1224" s="10" t="str">
        <x:v>VOICE</x:v>
      </x:c>
      <x:c r="C1224" s="10" t="str">
        <x:v>VOICE:S6-18:input</x:v>
      </x:c>
      <x:c r="D1224" s="10" t="str">
        <x:v>VOICE:S6-18:expression</x:v>
      </x:c>
      <x:c r="E1224" s="10" t="str">
        <x:v>["S6-18:quote-L","S6-18:quote-R"]</x:v>
      </x:c>
      <x:c r="F1224" s="10" t="str">
        <x:v>["S6-18:quote-L","S6-18:quote-R"]</x:v>
      </x:c>
      <x:c r="G1224" s="10" t="n">
        <x:f>IF(E1224=F1224,1,0)</x:f>
        <x:v>1</x:v>
      </x:c>
    </x:row>
    <x:row r="1225" ht="55" customHeight="1">
      <x:c r="A1225" s="10" t="str">
        <x:v>V-R1</x:v>
      </x:c>
      <x:c r="B1225" s="10" t="str">
        <x:v>VOICE</x:v>
      </x:c>
      <x:c r="C1225" s="10" t="str">
        <x:v>VOICE:S6-18:input</x:v>
      </x:c>
      <x:c r="D1225" s="10" t="str">
        <x:v>VOICE:S6-18:expression</x:v>
      </x:c>
      <x:c r="E1225" s="10" t="str">
        <x:v>["S6-18:quote-L","S6-18:quote-R"]</x:v>
      </x:c>
      <x:c r="F1225" s="10" t="str">
        <x:v>["S6-18:quote-L","S6-18:quote-R"]</x:v>
      </x:c>
      <x:c r="G1225" s="10" t="n">
        <x:f>IF(E1225=F1225,1,0)</x:f>
        <x:v>1</x:v>
      </x:c>
    </x:row>
    <x:row r="1226" ht="55" customHeight="1">
      <x:c r="A1226" s="10" t="str">
        <x:v>V-R2</x:v>
      </x:c>
      <x:c r="B1226" s="10" t="str">
        <x:v>VOICE</x:v>
      </x:c>
      <x:c r="C1226" s="10" t="str">
        <x:v>VOICE:S6-18:input</x:v>
      </x:c>
      <x:c r="D1226" s="10" t="str">
        <x:v>VOICE:S6-18:expression</x:v>
      </x:c>
      <x:c r="E1226" s="10" t="str">
        <x:v>["S6-18:quote-L","S6-18:quote-R"]</x:v>
      </x:c>
      <x:c r="F1226" s="10" t="str">
        <x:v>["S6-18:quote-L","S6-18:quote-R"]</x:v>
      </x:c>
      <x:c r="G1226" s="10" t="n">
        <x:f>IF(E1226=F1226,1,0)</x:f>
        <x:v>1</x:v>
      </x:c>
    </x:row>
    <x:row r="1227" ht="55" customHeight="1">
      <x:c r="A1227" s="10" t="str">
        <x:v>V-R3</x:v>
      </x:c>
      <x:c r="B1227" s="10" t="str">
        <x:v>VOICE</x:v>
      </x:c>
      <x:c r="C1227" s="10" t="str">
        <x:v>VOICE:S6-18:input</x:v>
      </x:c>
      <x:c r="D1227" s="10" t="str">
        <x:v>VOICE:S6-18:expression</x:v>
      </x:c>
      <x:c r="E1227" s="10" t="str">
        <x:v>["S6-18:quote-L","S6-18:quote-R"]</x:v>
      </x:c>
      <x:c r="F1227" s="10" t="str">
        <x:v>["S6-18:quote-L","S6-18:quote-R"]</x:v>
      </x:c>
      <x:c r="G1227" s="10" t="n">
        <x:f>IF(E1227=F1227,1,0)</x:f>
        <x:v>1</x:v>
      </x:c>
    </x:row>
    <x:row r="1228" ht="55" customHeight="1">
      <x:c r="A1228" s="10" t="str">
        <x:v>V-A</x:v>
      </x:c>
      <x:c r="B1228" s="10" t="str">
        <x:v>VOICE</x:v>
      </x:c>
      <x:c r="C1228" s="10" t="str">
        <x:v>VOICE:S6-19:input</x:v>
      </x:c>
      <x:c r="D1228" s="10" t="str">
        <x:v>VOICE:S6-19:expression</x:v>
      </x:c>
      <x:c r="E1228" s="10" t="str">
        <x:v>["S6-19:quote-L","S6-19:quote-R"]</x:v>
      </x:c>
      <x:c r="F1228" s="10" t="str">
        <x:v>["S6-19:quote-L","S6-19:quote-R"]</x:v>
      </x:c>
      <x:c r="G1228" s="10" t="n">
        <x:f>IF(E1228=F1228,1,0)</x:f>
        <x:v>1</x:v>
      </x:c>
    </x:row>
    <x:row r="1229" ht="55" customHeight="1">
      <x:c r="A1229" s="10" t="str">
        <x:v>V-R1</x:v>
      </x:c>
      <x:c r="B1229" s="10" t="str">
        <x:v>VOICE</x:v>
      </x:c>
      <x:c r="C1229" s="10" t="str">
        <x:v>VOICE:S6-19:input</x:v>
      </x:c>
      <x:c r="D1229" s="10" t="str">
        <x:v>VOICE:S6-19:expression</x:v>
      </x:c>
      <x:c r="E1229" s="10" t="str">
        <x:v>["S6-19:quote-L","S6-19:quote-R"]</x:v>
      </x:c>
      <x:c r="F1229" s="10" t="str">
        <x:v>["S6-19:quote-L","S6-19:quote-R"]</x:v>
      </x:c>
      <x:c r="G1229" s="10" t="n">
        <x:f>IF(E1229=F1229,1,0)</x:f>
        <x:v>1</x:v>
      </x:c>
    </x:row>
    <x:row r="1230" ht="55" customHeight="1">
      <x:c r="A1230" s="10" t="str">
        <x:v>V-R2</x:v>
      </x:c>
      <x:c r="B1230" s="10" t="str">
        <x:v>VOICE</x:v>
      </x:c>
      <x:c r="C1230" s="10" t="str">
        <x:v>VOICE:S6-19:input</x:v>
      </x:c>
      <x:c r="D1230" s="10" t="str">
        <x:v>VOICE:S6-19:expression</x:v>
      </x:c>
      <x:c r="E1230" s="10" t="str">
        <x:v>["S6-19:quote-L","S6-19:quote-R"]</x:v>
      </x:c>
      <x:c r="F1230" s="10" t="str">
        <x:v>["S6-19:quote-L","S6-19:quote-R"]</x:v>
      </x:c>
      <x:c r="G1230" s="10" t="n">
        <x:f>IF(E1230=F1230,1,0)</x:f>
        <x:v>1</x:v>
      </x:c>
    </x:row>
    <x:row r="1231" ht="55" customHeight="1">
      <x:c r="A1231" s="10" t="str">
        <x:v>V-R3</x:v>
      </x:c>
      <x:c r="B1231" s="10" t="str">
        <x:v>VOICE</x:v>
      </x:c>
      <x:c r="C1231" s="10" t="str">
        <x:v>VOICE:S6-19:input</x:v>
      </x:c>
      <x:c r="D1231" s="10" t="str">
        <x:v>VOICE:S6-19:expression</x:v>
      </x:c>
      <x:c r="E1231" s="10" t="str">
        <x:v>["S6-19:quote-L","S6-19:quote-R"]</x:v>
      </x:c>
      <x:c r="F1231" s="10" t="str">
        <x:v>["S6-19:quote-L","S6-19:quote-R"]</x:v>
      </x:c>
      <x:c r="G1231" s="10" t="n">
        <x:f>IF(E1231=F1231,1,0)</x:f>
        <x:v>1</x:v>
      </x:c>
    </x:row>
    <x:row r="1232" ht="55" customHeight="1">
      <x:c r="A1232" s="10" t="str">
        <x:v>V-A</x:v>
      </x:c>
      <x:c r="B1232" s="10" t="str">
        <x:v>VOICE</x:v>
      </x:c>
      <x:c r="C1232" s="10" t="str">
        <x:v>VOICE:S6-20:input</x:v>
      </x:c>
      <x:c r="D1232" s="10" t="str">
        <x:v>VOICE:S6-20:expression</x:v>
      </x:c>
      <x:c r="E1232" s="10" t="str">
        <x:v>["S6-20:quote-L","S6-20:quote-R"]</x:v>
      </x:c>
      <x:c r="F1232" s="10" t="str">
        <x:v>["S6-20:quote-L","S6-20:quote-R"]</x:v>
      </x:c>
      <x:c r="G1232" s="10" t="n">
        <x:f>IF(E1232=F1232,1,0)</x:f>
        <x:v>1</x:v>
      </x:c>
    </x:row>
    <x:row r="1233" ht="55" customHeight="1">
      <x:c r="A1233" s="10" t="str">
        <x:v>V-R1</x:v>
      </x:c>
      <x:c r="B1233" s="10" t="str">
        <x:v>VOICE</x:v>
      </x:c>
      <x:c r="C1233" s="10" t="str">
        <x:v>VOICE:S6-20:input</x:v>
      </x:c>
      <x:c r="D1233" s="10" t="str">
        <x:v>VOICE:S6-20:expression</x:v>
      </x:c>
      <x:c r="E1233" s="10" t="str">
        <x:v>["S6-20:quote-L","S6-20:quote-R"]</x:v>
      </x:c>
      <x:c r="F1233" s="10" t="str">
        <x:v>["S6-20:quote-L","S6-20:quote-R"]</x:v>
      </x:c>
      <x:c r="G1233" s="10" t="n">
        <x:f>IF(E1233=F1233,1,0)</x:f>
        <x:v>1</x:v>
      </x:c>
    </x:row>
    <x:row r="1234" ht="55" customHeight="1">
      <x:c r="A1234" s="10" t="str">
        <x:v>V-R2</x:v>
      </x:c>
      <x:c r="B1234" s="10" t="str">
        <x:v>VOICE</x:v>
      </x:c>
      <x:c r="C1234" s="10" t="str">
        <x:v>VOICE:S6-20:input</x:v>
      </x:c>
      <x:c r="D1234" s="10" t="str">
        <x:v>VOICE:S6-20:expression</x:v>
      </x:c>
      <x:c r="E1234" s="10" t="str">
        <x:v>["S6-20:quote-L","S6-20:quote-R"]</x:v>
      </x:c>
      <x:c r="F1234" s="10" t="str">
        <x:v>["S6-20:quote-L","S6-20:quote-R"]</x:v>
      </x:c>
      <x:c r="G1234" s="10" t="n">
        <x:f>IF(E1234=F1234,1,0)</x:f>
        <x:v>1</x:v>
      </x:c>
    </x:row>
    <x:row r="1235" ht="55" customHeight="1">
      <x:c r="A1235" s="10" t="str">
        <x:v>V-R3</x:v>
      </x:c>
      <x:c r="B1235" s="10" t="str">
        <x:v>VOICE</x:v>
      </x:c>
      <x:c r="C1235" s="10" t="str">
        <x:v>VOICE:S6-20:input</x:v>
      </x:c>
      <x:c r="D1235" s="10" t="str">
        <x:v>VOICE:S6-20:expression</x:v>
      </x:c>
      <x:c r="E1235" s="10" t="str">
        <x:v>["S6-20:quote-L","S6-20:quote-R"]</x:v>
      </x:c>
      <x:c r="F1235" s="10" t="str">
        <x:v>["S6-20:quote-L","S6-20:quote-R"]</x:v>
      </x:c>
      <x:c r="G1235" s="10" t="n">
        <x:f>IF(E1235=F1235,1,0)</x:f>
        <x:v>1</x:v>
      </x:c>
    </x:row>
    <x:row r="1236" ht="55" customHeight="1">
      <x:c r="A1236" s="10" t="str">
        <x:v>D-A</x:v>
      </x:c>
      <x:c r="B1236" s="10" t="str">
        <x:v>DELIVERY</x:v>
      </x:c>
      <x:c r="C1236" s="10" t="str">
        <x:v>DELIVERY:S01-01:input</x:v>
      </x:c>
      <x:c r="D1236" s="10" t="str">
        <x:v>DELIVERY:S01-01:e1</x:v>
      </x:c>
      <x:c r="E1236" s="10" t="str">
        <x:v>["S01-01:status"]</x:v>
      </x:c>
      <x:c r="F1236" s="10" t="str">
        <x:v>["S01-01:status"]</x:v>
      </x:c>
      <x:c r="G1236" s="10" t="n">
        <x:f>IF(E1236=F1236,1,0)</x:f>
        <x:v>1</x:v>
      </x:c>
    </x:row>
    <x:row r="1237" ht="55" customHeight="1">
      <x:c r="A1237" s="10" t="str">
        <x:v>D-B</x:v>
      </x:c>
      <x:c r="B1237" s="10" t="str">
        <x:v>DELIVERY</x:v>
      </x:c>
      <x:c r="C1237" s="10" t="str">
        <x:v>DELIVERY:S01-01:input</x:v>
      </x:c>
      <x:c r="D1237" s="10" t="str">
        <x:v>DELIVERY:S01-01:e1</x:v>
      </x:c>
      <x:c r="E1237" s="10" t="str">
        <x:v>["S01-01:status"]</x:v>
      </x:c>
      <x:c r="F1237" s="10" t="str">
        <x:v>["S01-01:status"]</x:v>
      </x:c>
      <x:c r="G1237" s="10" t="n">
        <x:f>IF(E1237=F1237,1,0)</x:f>
        <x:v>1</x:v>
      </x:c>
    </x:row>
    <x:row r="1238" ht="55" customHeight="1">
      <x:c r="A1238" s="10" t="str">
        <x:v>D-A</x:v>
      </x:c>
      <x:c r="B1238" s="10" t="str">
        <x:v>DELIVERY</x:v>
      </x:c>
      <x:c r="C1238" s="10" t="str">
        <x:v>DELIVERY:S01-02:input</x:v>
      </x:c>
      <x:c r="D1238" s="10" t="str">
        <x:v>DELIVERY:S01-02:e1</x:v>
      </x:c>
      <x:c r="E1238" s="10" t="str">
        <x:v>["S01-02:status"]</x:v>
      </x:c>
      <x:c r="F1238" s="10" t="str">
        <x:v>["S01-02:status"]</x:v>
      </x:c>
      <x:c r="G1238" s="10" t="n">
        <x:f>IF(E1238=F1238,1,0)</x:f>
        <x:v>1</x:v>
      </x:c>
    </x:row>
    <x:row r="1239" ht="55" customHeight="1">
      <x:c r="A1239" s="10" t="str">
        <x:v>D-B</x:v>
      </x:c>
      <x:c r="B1239" s="10" t="str">
        <x:v>DELIVERY</x:v>
      </x:c>
      <x:c r="C1239" s="10" t="str">
        <x:v>DELIVERY:S01-02:input</x:v>
      </x:c>
      <x:c r="D1239" s="10" t="str">
        <x:v>DELIVERY:S01-02:e1</x:v>
      </x:c>
      <x:c r="E1239" s="10" t="str">
        <x:v>["S01-02:status"]</x:v>
      </x:c>
      <x:c r="F1239" s="10" t="str">
        <x:v>["S01-02:status"]</x:v>
      </x:c>
      <x:c r="G1239" s="10" t="n">
        <x:f>IF(E1239=F1239,1,0)</x:f>
        <x:v>1</x:v>
      </x:c>
    </x:row>
    <x:row r="1240" ht="55" customHeight="1">
      <x:c r="A1240" s="10" t="str">
        <x:v>D-A</x:v>
      </x:c>
      <x:c r="B1240" s="10" t="str">
        <x:v>DELIVERY</x:v>
      </x:c>
      <x:c r="C1240" s="10" t="str">
        <x:v>DELIVERY:S01-03:input</x:v>
      </x:c>
      <x:c r="D1240" s="10" t="str">
        <x:v>DELIVERY:S01-03:e1</x:v>
      </x:c>
      <x:c r="E1240" s="10" t="str">
        <x:v>["S01-03:status"]</x:v>
      </x:c>
      <x:c r="F1240" s="10" t="str">
        <x:v>["S01-03:status"]</x:v>
      </x:c>
      <x:c r="G1240" s="10" t="n">
        <x:f>IF(E1240=F1240,1,0)</x:f>
        <x:v>1</x:v>
      </x:c>
    </x:row>
    <x:row r="1241" ht="55" customHeight="1">
      <x:c r="A1241" s="10" t="str">
        <x:v>D-B</x:v>
      </x:c>
      <x:c r="B1241" s="10" t="str">
        <x:v>DELIVERY</x:v>
      </x:c>
      <x:c r="C1241" s="10" t="str">
        <x:v>DELIVERY:S01-03:input</x:v>
      </x:c>
      <x:c r="D1241" s="10" t="str">
        <x:v>DELIVERY:S01-03:e1</x:v>
      </x:c>
      <x:c r="E1241" s="10" t="str">
        <x:v>["S01-03:status"]</x:v>
      </x:c>
      <x:c r="F1241" s="10" t="str">
        <x:v>["S01-03:status"]</x:v>
      </x:c>
      <x:c r="G1241" s="10" t="n">
        <x:f>IF(E1241=F1241,1,0)</x:f>
        <x:v>1</x:v>
      </x:c>
    </x:row>
    <x:row r="1242" ht="55" customHeight="1">
      <x:c r="A1242" s="10" t="str">
        <x:v>D-A</x:v>
      </x:c>
      <x:c r="B1242" s="10" t="str">
        <x:v>DELIVERY</x:v>
      </x:c>
      <x:c r="C1242" s="10" t="str">
        <x:v>DELIVERY:S01-04:input</x:v>
      </x:c>
      <x:c r="D1242" s="10" t="str">
        <x:v>DELIVERY:S01-04:e1</x:v>
      </x:c>
      <x:c r="E1242" s="10" t="str">
        <x:v>["S01-04:status"]</x:v>
      </x:c>
      <x:c r="F1242" s="10" t="str">
        <x:v>["S01-04:status"]</x:v>
      </x:c>
      <x:c r="G1242" s="10" t="n">
        <x:f>IF(E1242=F1242,1,0)</x:f>
        <x:v>1</x:v>
      </x:c>
    </x:row>
    <x:row r="1243" ht="55" customHeight="1">
      <x:c r="A1243" s="10" t="str">
        <x:v>D-B</x:v>
      </x:c>
      <x:c r="B1243" s="10" t="str">
        <x:v>DELIVERY</x:v>
      </x:c>
      <x:c r="C1243" s="10" t="str">
        <x:v>DELIVERY:S01-04:input</x:v>
      </x:c>
      <x:c r="D1243" s="10" t="str">
        <x:v>DELIVERY:S01-04:e1</x:v>
      </x:c>
      <x:c r="E1243" s="10" t="str">
        <x:v>["S01-04:status"]</x:v>
      </x:c>
      <x:c r="F1243" s="10" t="str">
        <x:v>["S01-04:status"]</x:v>
      </x:c>
      <x:c r="G1243" s="10" t="n">
        <x:f>IF(E1243=F1243,1,0)</x:f>
        <x:v>1</x:v>
      </x:c>
    </x:row>
    <x:row r="1244" ht="55" customHeight="1">
      <x:c r="A1244" s="10" t="str">
        <x:v>D-A</x:v>
      </x:c>
      <x:c r="B1244" s="10" t="str">
        <x:v>DELIVERY</x:v>
      </x:c>
      <x:c r="C1244" s="10" t="str">
        <x:v>DELIVERY:S01-05:input</x:v>
      </x:c>
      <x:c r="D1244" s="10" t="str">
        <x:v>DELIVERY:S01-05:e1</x:v>
      </x:c>
      <x:c r="E1244" s="10" t="str">
        <x:v>["S01-05:status"]</x:v>
      </x:c>
      <x:c r="F1244" s="10" t="str">
        <x:v>["S01-05:status"]</x:v>
      </x:c>
      <x:c r="G1244" s="10" t="n">
        <x:f>IF(E1244=F1244,1,0)</x:f>
        <x:v>1</x:v>
      </x:c>
    </x:row>
    <x:row r="1245" ht="55" customHeight="1">
      <x:c r="A1245" s="10" t="str">
        <x:v>D-B</x:v>
      </x:c>
      <x:c r="B1245" s="10" t="str">
        <x:v>DELIVERY</x:v>
      </x:c>
      <x:c r="C1245" s="10" t="str">
        <x:v>DELIVERY:S01-05:input</x:v>
      </x:c>
      <x:c r="D1245" s="10" t="str">
        <x:v>DELIVERY:S01-05:e1</x:v>
      </x:c>
      <x:c r="E1245" s="10" t="str">
        <x:v>["S01-05:status"]</x:v>
      </x:c>
      <x:c r="F1245" s="10" t="str">
        <x:v>["S01-05:status"]</x:v>
      </x:c>
      <x:c r="G1245" s="10" t="n">
        <x:f>IF(E1245=F1245,1,0)</x:f>
        <x:v>1</x:v>
      </x:c>
    </x:row>
    <x:row r="1246" ht="55" customHeight="1">
      <x:c r="A1246" s="10" t="str">
        <x:v>D-A</x:v>
      </x:c>
      <x:c r="B1246" s="10" t="str">
        <x:v>DELIVERY</x:v>
      </x:c>
      <x:c r="C1246" s="10" t="str">
        <x:v>DELIVERY:S01-06:input</x:v>
      </x:c>
      <x:c r="D1246" s="10" t="str">
        <x:v>DELIVERY:S01-06:e1</x:v>
      </x:c>
      <x:c r="E1246" s="10" t="str">
        <x:v>["S01-06:status"]</x:v>
      </x:c>
      <x:c r="F1246" s="10" t="str">
        <x:v>["S01-06:status"]</x:v>
      </x:c>
      <x:c r="G1246" s="10" t="n">
        <x:f>IF(E1246=F1246,1,0)</x:f>
        <x:v>1</x:v>
      </x:c>
    </x:row>
    <x:row r="1247" ht="55" customHeight="1">
      <x:c r="A1247" s="10" t="str">
        <x:v>D-B</x:v>
      </x:c>
      <x:c r="B1247" s="10" t="str">
        <x:v>DELIVERY</x:v>
      </x:c>
      <x:c r="C1247" s="10" t="str">
        <x:v>DELIVERY:S01-06:input</x:v>
      </x:c>
      <x:c r="D1247" s="10" t="str">
        <x:v>DELIVERY:S01-06:e1</x:v>
      </x:c>
      <x:c r="E1247" s="10" t="str">
        <x:v>["S01-06:status"]</x:v>
      </x:c>
      <x:c r="F1247" s="10" t="str">
        <x:v>["S01-06:status"]</x:v>
      </x:c>
      <x:c r="G1247" s="10" t="n">
        <x:f>IF(E1247=F1247,1,0)</x:f>
        <x:v>1</x:v>
      </x:c>
    </x:row>
    <x:row r="1248" ht="55" customHeight="1">
      <x:c r="A1248" s="10" t="str">
        <x:v>D-A</x:v>
      </x:c>
      <x:c r="B1248" s="10" t="str">
        <x:v>DELIVERY</x:v>
      </x:c>
      <x:c r="C1248" s="10" t="str">
        <x:v>DELIVERY:S01-07:input</x:v>
      </x:c>
      <x:c r="D1248" s="10" t="str">
        <x:v>DELIVERY:S01-07:e1</x:v>
      </x:c>
      <x:c r="E1248" s="10" t="str">
        <x:v>["S01-07:status"]</x:v>
      </x:c>
      <x:c r="F1248" s="10" t="str">
        <x:v>["S01-07:status"]</x:v>
      </x:c>
      <x:c r="G1248" s="10" t="n">
        <x:f>IF(E1248=F1248,1,0)</x:f>
        <x:v>1</x:v>
      </x:c>
    </x:row>
    <x:row r="1249" ht="55" customHeight="1">
      <x:c r="A1249" s="10" t="str">
        <x:v>D-B</x:v>
      </x:c>
      <x:c r="B1249" s="10" t="str">
        <x:v>DELIVERY</x:v>
      </x:c>
      <x:c r="C1249" s="10" t="str">
        <x:v>DELIVERY:S01-07:input</x:v>
      </x:c>
      <x:c r="D1249" s="10" t="str">
        <x:v>DELIVERY:S01-07:e1</x:v>
      </x:c>
      <x:c r="E1249" s="10" t="str">
        <x:v>["S01-07:status"]</x:v>
      </x:c>
      <x:c r="F1249" s="10" t="str">
        <x:v>["S01-07:status"]</x:v>
      </x:c>
      <x:c r="G1249" s="10" t="n">
        <x:f>IF(E1249=F1249,1,0)</x:f>
        <x:v>1</x:v>
      </x:c>
    </x:row>
    <x:row r="1250" ht="55" customHeight="1">
      <x:c r="A1250" s="10" t="str">
        <x:v>D-A</x:v>
      </x:c>
      <x:c r="B1250" s="10" t="str">
        <x:v>DELIVERY</x:v>
      </x:c>
      <x:c r="C1250" s="10" t="str">
        <x:v>DELIVERY:S01-08:input</x:v>
      </x:c>
      <x:c r="D1250" s="10" t="str">
        <x:v>DELIVERY:S01-08:e1</x:v>
      </x:c>
      <x:c r="E1250" s="10" t="str">
        <x:v>["S01-08:status"]</x:v>
      </x:c>
      <x:c r="F1250" s="10" t="str">
        <x:v>["S01-08:status"]</x:v>
      </x:c>
      <x:c r="G1250" s="10" t="n">
        <x:f>IF(E1250=F1250,1,0)</x:f>
        <x:v>1</x:v>
      </x:c>
    </x:row>
    <x:row r="1251" ht="55" customHeight="1">
      <x:c r="A1251" s="10" t="str">
        <x:v>D-B</x:v>
      </x:c>
      <x:c r="B1251" s="10" t="str">
        <x:v>DELIVERY</x:v>
      </x:c>
      <x:c r="C1251" s="10" t="str">
        <x:v>DELIVERY:S01-08:input</x:v>
      </x:c>
      <x:c r="D1251" s="10" t="str">
        <x:v>DELIVERY:S01-08:e1</x:v>
      </x:c>
      <x:c r="E1251" s="10" t="str">
        <x:v>["S01-08:status"]</x:v>
      </x:c>
      <x:c r="F1251" s="10" t="str">
        <x:v>["S01-08:status"]</x:v>
      </x:c>
      <x:c r="G1251" s="10" t="n">
        <x:f>IF(E1251=F1251,1,0)</x:f>
        <x:v>1</x:v>
      </x:c>
    </x:row>
    <x:row r="1252" ht="55" customHeight="1">
      <x:c r="A1252" s="10" t="str">
        <x:v>D-A</x:v>
      </x:c>
      <x:c r="B1252" s="10" t="str">
        <x:v>DELIVERY</x:v>
      </x:c>
      <x:c r="C1252" s="10" t="str">
        <x:v>DELIVERY:S01-09:input</x:v>
      </x:c>
      <x:c r="D1252" s="10" t="str">
        <x:v>DELIVERY:S01-09:e1</x:v>
      </x:c>
      <x:c r="E1252" s="10" t="str">
        <x:v>["S01-09:status"]</x:v>
      </x:c>
      <x:c r="F1252" s="10" t="str">
        <x:v>["S01-09:status"]</x:v>
      </x:c>
      <x:c r="G1252" s="10" t="n">
        <x:f>IF(E1252=F1252,1,0)</x:f>
        <x:v>1</x:v>
      </x:c>
    </x:row>
    <x:row r="1253" ht="55" customHeight="1">
      <x:c r="A1253" s="10" t="str">
        <x:v>D-B</x:v>
      </x:c>
      <x:c r="B1253" s="10" t="str">
        <x:v>DELIVERY</x:v>
      </x:c>
      <x:c r="C1253" s="10" t="str">
        <x:v>DELIVERY:S01-09:input</x:v>
      </x:c>
      <x:c r="D1253" s="10" t="str">
        <x:v>DELIVERY:S01-09:e1</x:v>
      </x:c>
      <x:c r="E1253" s="10" t="str">
        <x:v>["S01-09:status"]</x:v>
      </x:c>
      <x:c r="F1253" s="10" t="str">
        <x:v>["S01-09:status"]</x:v>
      </x:c>
      <x:c r="G1253" s="10" t="n">
        <x:f>IF(E1253=F1253,1,0)</x:f>
        <x:v>1</x:v>
      </x:c>
    </x:row>
    <x:row r="1254" ht="55" customHeight="1">
      <x:c r="A1254" s="10" t="str">
        <x:v>D-A</x:v>
      </x:c>
      <x:c r="B1254" s="10" t="str">
        <x:v>DELIVERY</x:v>
      </x:c>
      <x:c r="C1254" s="10" t="str">
        <x:v>DELIVERY:S01-10:input</x:v>
      </x:c>
      <x:c r="D1254" s="10" t="str">
        <x:v>DELIVERY:S01-10:e1</x:v>
      </x:c>
      <x:c r="E1254" s="10" t="str">
        <x:v>["S01-10:status"]</x:v>
      </x:c>
      <x:c r="F1254" s="10" t="str">
        <x:v>["S01-10:status"]</x:v>
      </x:c>
      <x:c r="G1254" s="10" t="n">
        <x:f>IF(E1254=F1254,1,0)</x:f>
        <x:v>1</x:v>
      </x:c>
    </x:row>
    <x:row r="1255" ht="55" customHeight="1">
      <x:c r="A1255" s="10" t="str">
        <x:v>D-B</x:v>
      </x:c>
      <x:c r="B1255" s="10" t="str">
        <x:v>DELIVERY</x:v>
      </x:c>
      <x:c r="C1255" s="10" t="str">
        <x:v>DELIVERY:S01-10:input</x:v>
      </x:c>
      <x:c r="D1255" s="10" t="str">
        <x:v>DELIVERY:S01-10:e1</x:v>
      </x:c>
      <x:c r="E1255" s="10" t="str">
        <x:v>["S01-10:status"]</x:v>
      </x:c>
      <x:c r="F1255" s="10" t="str">
        <x:v>["S01-10:status"]</x:v>
      </x:c>
      <x:c r="G1255" s="10" t="n">
        <x:f>IF(E1255=F1255,1,0)</x:f>
        <x:v>1</x:v>
      </x:c>
    </x:row>
    <x:row r="1256" ht="55" customHeight="1">
      <x:c r="A1256" s="10" t="str">
        <x:v>D-A</x:v>
      </x:c>
      <x:c r="B1256" s="10" t="str">
        <x:v>DELIVERY</x:v>
      </x:c>
      <x:c r="C1256" s="10" t="str">
        <x:v>DELIVERY:S02-01:input</x:v>
      </x:c>
      <x:c r="D1256" s="10" t="str">
        <x:v>DELIVERY:S02-01:e1</x:v>
      </x:c>
      <x:c r="E1256" s="10" t="str">
        <x:v>["S02-01:question"]</x:v>
      </x:c>
      <x:c r="F1256" s="10" t="str">
        <x:v>["S02-01:question"]</x:v>
      </x:c>
      <x:c r="G1256" s="10" t="n">
        <x:f>IF(E1256=F1256,1,0)</x:f>
        <x:v>1</x:v>
      </x:c>
    </x:row>
    <x:row r="1257" ht="55" customHeight="1">
      <x:c r="A1257" s="10" t="str">
        <x:v>D-B</x:v>
      </x:c>
      <x:c r="B1257" s="10" t="str">
        <x:v>DELIVERY</x:v>
      </x:c>
      <x:c r="C1257" s="10" t="str">
        <x:v>DELIVERY:S02-01:input</x:v>
      </x:c>
      <x:c r="D1257" s="10" t="str">
        <x:v>DELIVERY:S02-01:e1</x:v>
      </x:c>
      <x:c r="E1257" s="10" t="str">
        <x:v>["S02-01:question"]</x:v>
      </x:c>
      <x:c r="F1257" s="10" t="str">
        <x:v>["S02-01:question"]</x:v>
      </x:c>
      <x:c r="G1257" s="10" t="n">
        <x:f>IF(E1257=F1257,1,0)</x:f>
        <x:v>1</x:v>
      </x:c>
    </x:row>
    <x:row r="1258" ht="55" customHeight="1">
      <x:c r="A1258" s="10" t="str">
        <x:v>D-A</x:v>
      </x:c>
      <x:c r="B1258" s="10" t="str">
        <x:v>DELIVERY</x:v>
      </x:c>
      <x:c r="C1258" s="10" t="str">
        <x:v>DELIVERY:S02-02:input</x:v>
      </x:c>
      <x:c r="D1258" s="10" t="str">
        <x:v>DELIVERY:S02-02:e1</x:v>
      </x:c>
      <x:c r="E1258" s="10" t="str">
        <x:v>["S02-02:question"]</x:v>
      </x:c>
      <x:c r="F1258" s="10" t="str">
        <x:v>["S02-02:question"]</x:v>
      </x:c>
      <x:c r="G1258" s="10" t="n">
        <x:f>IF(E1258=F1258,1,0)</x:f>
        <x:v>1</x:v>
      </x:c>
    </x:row>
    <x:row r="1259" ht="55" customHeight="1">
      <x:c r="A1259" s="10" t="str">
        <x:v>D-B</x:v>
      </x:c>
      <x:c r="B1259" s="10" t="str">
        <x:v>DELIVERY</x:v>
      </x:c>
      <x:c r="C1259" s="10" t="str">
        <x:v>DELIVERY:S02-02:input</x:v>
      </x:c>
      <x:c r="D1259" s="10" t="str">
        <x:v>DELIVERY:S02-02:e1</x:v>
      </x:c>
      <x:c r="E1259" s="10" t="str">
        <x:v>["S02-02:question"]</x:v>
      </x:c>
      <x:c r="F1259" s="10" t="str">
        <x:v>["S02-02:question"]</x:v>
      </x:c>
      <x:c r="G1259" s="10" t="n">
        <x:f>IF(E1259=F1259,1,0)</x:f>
        <x:v>1</x:v>
      </x:c>
    </x:row>
    <x:row r="1260" ht="55" customHeight="1">
      <x:c r="A1260" s="10" t="str">
        <x:v>D-A</x:v>
      </x:c>
      <x:c r="B1260" s="10" t="str">
        <x:v>DELIVERY</x:v>
      </x:c>
      <x:c r="C1260" s="10" t="str">
        <x:v>DELIVERY:S02-03:input</x:v>
      </x:c>
      <x:c r="D1260" s="10" t="str">
        <x:v>DELIVERY:S02-03:e1</x:v>
      </x:c>
      <x:c r="E1260" s="10" t="str">
        <x:v>["S02-03:question"]</x:v>
      </x:c>
      <x:c r="F1260" s="10" t="str">
        <x:v>["S02-03:question"]</x:v>
      </x:c>
      <x:c r="G1260" s="10" t="n">
        <x:f>IF(E1260=F1260,1,0)</x:f>
        <x:v>1</x:v>
      </x:c>
    </x:row>
    <x:row r="1261" ht="55" customHeight="1">
      <x:c r="A1261" s="10" t="str">
        <x:v>D-B</x:v>
      </x:c>
      <x:c r="B1261" s="10" t="str">
        <x:v>DELIVERY</x:v>
      </x:c>
      <x:c r="C1261" s="10" t="str">
        <x:v>DELIVERY:S02-03:input</x:v>
      </x:c>
      <x:c r="D1261" s="10" t="str">
        <x:v>DELIVERY:S02-03:e1</x:v>
      </x:c>
      <x:c r="E1261" s="10" t="str">
        <x:v>["S02-03:question"]</x:v>
      </x:c>
      <x:c r="F1261" s="10" t="str">
        <x:v>["S02-03:question"]</x:v>
      </x:c>
      <x:c r="G1261" s="10" t="n">
        <x:f>IF(E1261=F1261,1,0)</x:f>
        <x:v>1</x:v>
      </x:c>
    </x:row>
    <x:row r="1262" ht="55" customHeight="1">
      <x:c r="A1262" s="10" t="str">
        <x:v>D-A</x:v>
      </x:c>
      <x:c r="B1262" s="10" t="str">
        <x:v>DELIVERY</x:v>
      </x:c>
      <x:c r="C1262" s="10" t="str">
        <x:v>DELIVERY:S02-04:input</x:v>
      </x:c>
      <x:c r="D1262" s="10" t="str">
        <x:v>DELIVERY:S02-04:e1</x:v>
      </x:c>
      <x:c r="E1262" s="10" t="str">
        <x:v>["S02-04:question"]</x:v>
      </x:c>
      <x:c r="F1262" s="10" t="str">
        <x:v>["S02-04:question"]</x:v>
      </x:c>
      <x:c r="G1262" s="10" t="n">
        <x:f>IF(E1262=F1262,1,0)</x:f>
        <x:v>1</x:v>
      </x:c>
    </x:row>
    <x:row r="1263" ht="55" customHeight="1">
      <x:c r="A1263" s="10" t="str">
        <x:v>D-B</x:v>
      </x:c>
      <x:c r="B1263" s="10" t="str">
        <x:v>DELIVERY</x:v>
      </x:c>
      <x:c r="C1263" s="10" t="str">
        <x:v>DELIVERY:S02-04:input</x:v>
      </x:c>
      <x:c r="D1263" s="10" t="str">
        <x:v>DELIVERY:S02-04:e1</x:v>
      </x:c>
      <x:c r="E1263" s="10" t="str">
        <x:v>["S02-04:question"]</x:v>
      </x:c>
      <x:c r="F1263" s="10" t="str">
        <x:v>["S02-04:question"]</x:v>
      </x:c>
      <x:c r="G1263" s="10" t="n">
        <x:f>IF(E1263=F1263,1,0)</x:f>
        <x:v>1</x:v>
      </x:c>
    </x:row>
    <x:row r="1264" ht="55" customHeight="1">
      <x:c r="A1264" s="10" t="str">
        <x:v>D-A</x:v>
      </x:c>
      <x:c r="B1264" s="10" t="str">
        <x:v>DELIVERY</x:v>
      </x:c>
      <x:c r="C1264" s="10" t="str">
        <x:v>DELIVERY:S02-05:input</x:v>
      </x:c>
      <x:c r="D1264" s="10" t="str">
        <x:v>DELIVERY:S02-05:e1</x:v>
      </x:c>
      <x:c r="E1264" s="10" t="str">
        <x:v>["S02-05:question"]</x:v>
      </x:c>
      <x:c r="F1264" s="10" t="str">
        <x:v>["S02-05:question"]</x:v>
      </x:c>
      <x:c r="G1264" s="10" t="n">
        <x:f>IF(E1264=F1264,1,0)</x:f>
        <x:v>1</x:v>
      </x:c>
    </x:row>
    <x:row r="1265" ht="55" customHeight="1">
      <x:c r="A1265" s="10" t="str">
        <x:v>D-B</x:v>
      </x:c>
      <x:c r="B1265" s="10" t="str">
        <x:v>DELIVERY</x:v>
      </x:c>
      <x:c r="C1265" s="10" t="str">
        <x:v>DELIVERY:S02-05:input</x:v>
      </x:c>
      <x:c r="D1265" s="10" t="str">
        <x:v>DELIVERY:S02-05:e1</x:v>
      </x:c>
      <x:c r="E1265" s="10" t="str">
        <x:v>["S02-05:question"]</x:v>
      </x:c>
      <x:c r="F1265" s="10" t="str">
        <x:v>["S02-05:question"]</x:v>
      </x:c>
      <x:c r="G1265" s="10" t="n">
        <x:f>IF(E1265=F1265,1,0)</x:f>
        <x:v>1</x:v>
      </x:c>
    </x:row>
    <x:row r="1266" ht="55" customHeight="1">
      <x:c r="A1266" s="10" t="str">
        <x:v>D-A</x:v>
      </x:c>
      <x:c r="B1266" s="10" t="str">
        <x:v>DELIVERY</x:v>
      </x:c>
      <x:c r="C1266" s="10" t="str">
        <x:v>DELIVERY:S02-06:input</x:v>
      </x:c>
      <x:c r="D1266" s="10" t="str">
        <x:v>DELIVERY:S02-06:e1</x:v>
      </x:c>
      <x:c r="E1266" s="10" t="str">
        <x:v>["S02-06:question"]</x:v>
      </x:c>
      <x:c r="F1266" s="10" t="str">
        <x:v>["S02-06:question"]</x:v>
      </x:c>
      <x:c r="G1266" s="10" t="n">
        <x:f>IF(E1266=F1266,1,0)</x:f>
        <x:v>1</x:v>
      </x:c>
    </x:row>
    <x:row r="1267" ht="55" customHeight="1">
      <x:c r="A1267" s="10" t="str">
        <x:v>D-B</x:v>
      </x:c>
      <x:c r="B1267" s="10" t="str">
        <x:v>DELIVERY</x:v>
      </x:c>
      <x:c r="C1267" s="10" t="str">
        <x:v>DELIVERY:S02-06:input</x:v>
      </x:c>
      <x:c r="D1267" s="10" t="str">
        <x:v>DELIVERY:S02-06:e1</x:v>
      </x:c>
      <x:c r="E1267" s="10" t="str">
        <x:v>["S02-06:question"]</x:v>
      </x:c>
      <x:c r="F1267" s="10" t="str">
        <x:v>["S02-06:question"]</x:v>
      </x:c>
      <x:c r="G1267" s="10" t="n">
        <x:f>IF(E1267=F1267,1,0)</x:f>
        <x:v>1</x:v>
      </x:c>
    </x:row>
    <x:row r="1268" ht="55" customHeight="1">
      <x:c r="A1268" s="10" t="str">
        <x:v>D-A</x:v>
      </x:c>
      <x:c r="B1268" s="10" t="str">
        <x:v>DELIVERY</x:v>
      </x:c>
      <x:c r="C1268" s="10" t="str">
        <x:v>DELIVERY:S02-07:input</x:v>
      </x:c>
      <x:c r="D1268" s="10" t="str">
        <x:v>DELIVERY:S02-07:e1</x:v>
      </x:c>
      <x:c r="E1268" s="10" t="str">
        <x:v>["S02-07:question"]</x:v>
      </x:c>
      <x:c r="F1268" s="10" t="str">
        <x:v>["S02-07:question"]</x:v>
      </x:c>
      <x:c r="G1268" s="10" t="n">
        <x:f>IF(E1268=F1268,1,0)</x:f>
        <x:v>1</x:v>
      </x:c>
    </x:row>
    <x:row r="1269" ht="55" customHeight="1">
      <x:c r="A1269" s="10" t="str">
        <x:v>D-B</x:v>
      </x:c>
      <x:c r="B1269" s="10" t="str">
        <x:v>DELIVERY</x:v>
      </x:c>
      <x:c r="C1269" s="10" t="str">
        <x:v>DELIVERY:S02-07:input</x:v>
      </x:c>
      <x:c r="D1269" s="10" t="str">
        <x:v>DELIVERY:S02-07:e1</x:v>
      </x:c>
      <x:c r="E1269" s="10" t="str">
        <x:v>["S02-07:question"]</x:v>
      </x:c>
      <x:c r="F1269" s="10" t="str">
        <x:v>["S02-07:question"]</x:v>
      </x:c>
      <x:c r="G1269" s="10" t="n">
        <x:f>IF(E1269=F1269,1,0)</x:f>
        <x:v>1</x:v>
      </x:c>
    </x:row>
    <x:row r="1270" ht="55" customHeight="1">
      <x:c r="A1270" s="10" t="str">
        <x:v>D-A</x:v>
      </x:c>
      <x:c r="B1270" s="10" t="str">
        <x:v>DELIVERY</x:v>
      </x:c>
      <x:c r="C1270" s="10" t="str">
        <x:v>DELIVERY:S02-08:input</x:v>
      </x:c>
      <x:c r="D1270" s="10" t="str">
        <x:v>DELIVERY:S02-08:e1</x:v>
      </x:c>
      <x:c r="E1270" s="10" t="str">
        <x:v>["S02-08:question"]</x:v>
      </x:c>
      <x:c r="F1270" s="10" t="str">
        <x:v>["S02-08:question"]</x:v>
      </x:c>
      <x:c r="G1270" s="10" t="n">
        <x:f>IF(E1270=F1270,1,0)</x:f>
        <x:v>1</x:v>
      </x:c>
    </x:row>
    <x:row r="1271" ht="55" customHeight="1">
      <x:c r="A1271" s="10" t="str">
        <x:v>D-B</x:v>
      </x:c>
      <x:c r="B1271" s="10" t="str">
        <x:v>DELIVERY</x:v>
      </x:c>
      <x:c r="C1271" s="10" t="str">
        <x:v>DELIVERY:S02-08:input</x:v>
      </x:c>
      <x:c r="D1271" s="10" t="str">
        <x:v>DELIVERY:S02-08:e1</x:v>
      </x:c>
      <x:c r="E1271" s="10" t="str">
        <x:v>["S02-08:question"]</x:v>
      </x:c>
      <x:c r="F1271" s="10" t="str">
        <x:v>["S02-08:question"]</x:v>
      </x:c>
      <x:c r="G1271" s="10" t="n">
        <x:f>IF(E1271=F1271,1,0)</x:f>
        <x:v>1</x:v>
      </x:c>
    </x:row>
    <x:row r="1272" ht="55" customHeight="1">
      <x:c r="A1272" s="10" t="str">
        <x:v>D-A</x:v>
      </x:c>
      <x:c r="B1272" s="10" t="str">
        <x:v>DELIVERY</x:v>
      </x:c>
      <x:c r="C1272" s="10" t="str">
        <x:v>DELIVERY:S02-09:input</x:v>
      </x:c>
      <x:c r="D1272" s="10" t="str">
        <x:v>DELIVERY:S02-09:e1</x:v>
      </x:c>
      <x:c r="E1272" s="10" t="str">
        <x:v>["S02-09:question"]</x:v>
      </x:c>
      <x:c r="F1272" s="10" t="str">
        <x:v>["S02-09:question"]</x:v>
      </x:c>
      <x:c r="G1272" s="10" t="n">
        <x:f>IF(E1272=F1272,1,0)</x:f>
        <x:v>1</x:v>
      </x:c>
    </x:row>
    <x:row r="1273" ht="55" customHeight="1">
      <x:c r="A1273" s="10" t="str">
        <x:v>D-B</x:v>
      </x:c>
      <x:c r="B1273" s="10" t="str">
        <x:v>DELIVERY</x:v>
      </x:c>
      <x:c r="C1273" s="10" t="str">
        <x:v>DELIVERY:S02-09:input</x:v>
      </x:c>
      <x:c r="D1273" s="10" t="str">
        <x:v>DELIVERY:S02-09:e1</x:v>
      </x:c>
      <x:c r="E1273" s="10" t="str">
        <x:v>["S02-09:question"]</x:v>
      </x:c>
      <x:c r="F1273" s="10" t="str">
        <x:v>["S02-09:question"]</x:v>
      </x:c>
      <x:c r="G1273" s="10" t="n">
        <x:f>IF(E1273=F1273,1,0)</x:f>
        <x:v>1</x:v>
      </x:c>
    </x:row>
    <x:row r="1274" ht="55" customHeight="1">
      <x:c r="A1274" s="10" t="str">
        <x:v>D-A</x:v>
      </x:c>
      <x:c r="B1274" s="10" t="str">
        <x:v>DELIVERY</x:v>
      </x:c>
      <x:c r="C1274" s="10" t="str">
        <x:v>DELIVERY:S02-10:input</x:v>
      </x:c>
      <x:c r="D1274" s="10" t="str">
        <x:v>DELIVERY:S02-10:e1</x:v>
      </x:c>
      <x:c r="E1274" s="10" t="str">
        <x:v>["S02-10:question"]</x:v>
      </x:c>
      <x:c r="F1274" s="10" t="str">
        <x:v>["S02-10:question"]</x:v>
      </x:c>
      <x:c r="G1274" s="10" t="n">
        <x:f>IF(E1274=F1274,1,0)</x:f>
        <x:v>1</x:v>
      </x:c>
    </x:row>
    <x:row r="1275" ht="55" customHeight="1">
      <x:c r="A1275" s="10" t="str">
        <x:v>D-B</x:v>
      </x:c>
      <x:c r="B1275" s="10" t="str">
        <x:v>DELIVERY</x:v>
      </x:c>
      <x:c r="C1275" s="10" t="str">
        <x:v>DELIVERY:S02-10:input</x:v>
      </x:c>
      <x:c r="D1275" s="10" t="str">
        <x:v>DELIVERY:S02-10:e1</x:v>
      </x:c>
      <x:c r="E1275" s="10" t="str">
        <x:v>["S02-10:question"]</x:v>
      </x:c>
      <x:c r="F1275" s="10" t="str">
        <x:v>["S02-10:question"]</x:v>
      </x:c>
      <x:c r="G1275" s="10" t="n">
        <x:f>IF(E1275=F1275,1,0)</x:f>
        <x:v>1</x:v>
      </x:c>
    </x:row>
    <x:row r="1276" ht="55" customHeight="1">
      <x:c r="A1276" s="10" t="str">
        <x:v>D-A</x:v>
      </x:c>
      <x:c r="B1276" s="10" t="str">
        <x:v>DELIVERY</x:v>
      </x:c>
      <x:c r="C1276" s="10" t="str">
        <x:v>DELIVERY:S03-01:input</x:v>
      </x:c>
      <x:c r="D1276" s="10" t="str">
        <x:v>DELIVERY:S03-01:e1</x:v>
      </x:c>
      <x:c r="E1276" s="10" t="str">
        <x:v>["S03-01:report_v1"]</x:v>
      </x:c>
      <x:c r="F1276" s="10" t="str">
        <x:v>["S03-01:report_v1"]</x:v>
      </x:c>
      <x:c r="G1276" s="10" t="n">
        <x:f>IF(E1276=F1276,1,0)</x:f>
        <x:v>1</x:v>
      </x:c>
    </x:row>
    <x:row r="1277" ht="55" customHeight="1">
      <x:c r="A1277" s="10" t="str">
        <x:v>D-A</x:v>
      </x:c>
      <x:c r="B1277" s="10" t="str">
        <x:v>DELIVERY</x:v>
      </x:c>
      <x:c r="C1277" s="10" t="str">
        <x:v>DELIVERY:S03-01:input</x:v>
      </x:c>
      <x:c r="D1277" s="10" t="str">
        <x:v>DELIVERY:S03-01:e2</x:v>
      </x:c>
      <x:c r="E1277" s="10" t="str">
        <x:v>["S03-01:question"]</x:v>
      </x:c>
      <x:c r="F1277" s="10" t="str">
        <x:v>["S03-01:question"]</x:v>
      </x:c>
      <x:c r="G1277" s="10" t="n">
        <x:f>IF(E1277=F1277,1,0)</x:f>
        <x:v>1</x:v>
      </x:c>
    </x:row>
    <x:row r="1278" ht="55" customHeight="1">
      <x:c r="A1278" s="10" t="str">
        <x:v>D-B</x:v>
      </x:c>
      <x:c r="B1278" s="10" t="str">
        <x:v>DELIVERY</x:v>
      </x:c>
      <x:c r="C1278" s="10" t="str">
        <x:v>DELIVERY:S03-01:input</x:v>
      </x:c>
      <x:c r="D1278" s="10" t="str">
        <x:v>DELIVERY:S03-01:e1</x:v>
      </x:c>
      <x:c r="E1278" s="10" t="str">
        <x:v>["S03-01:report_v1"]</x:v>
      </x:c>
      <x:c r="F1278" s="10" t="str">
        <x:v>["S03-01:report_v1"]</x:v>
      </x:c>
      <x:c r="G1278" s="10" t="n">
        <x:f>IF(E1278=F1278,1,0)</x:f>
        <x:v>1</x:v>
      </x:c>
    </x:row>
    <x:row r="1279" ht="55" customHeight="1">
      <x:c r="A1279" s="10" t="str">
        <x:v>D-B</x:v>
      </x:c>
      <x:c r="B1279" s="10" t="str">
        <x:v>DELIVERY</x:v>
      </x:c>
      <x:c r="C1279" s="10" t="str">
        <x:v>DELIVERY:S03-01:input</x:v>
      </x:c>
      <x:c r="D1279" s="10" t="str">
        <x:v>DELIVERY:S03-01:e2</x:v>
      </x:c>
      <x:c r="E1279" s="10" t="str">
        <x:v>["S03-01:question"]</x:v>
      </x:c>
      <x:c r="F1279" s="10" t="str">
        <x:v>["S03-01:question"]</x:v>
      </x:c>
      <x:c r="G1279" s="10" t="n">
        <x:f>IF(E1279=F1279,1,0)</x:f>
        <x:v>1</x:v>
      </x:c>
    </x:row>
    <x:row r="1280" ht="55" customHeight="1">
      <x:c r="A1280" s="10" t="str">
        <x:v>D-A</x:v>
      </x:c>
      <x:c r="B1280" s="10" t="str">
        <x:v>DELIVERY</x:v>
      </x:c>
      <x:c r="C1280" s="10" t="str">
        <x:v>DELIVERY:S03-02:input</x:v>
      </x:c>
      <x:c r="D1280" s="10" t="str">
        <x:v>DELIVERY:S03-02:e1</x:v>
      </x:c>
      <x:c r="E1280" s="10" t="str">
        <x:v>["S03-02:report_v1"]</x:v>
      </x:c>
      <x:c r="F1280" s="10" t="str">
        <x:v>["S03-02:report_v1"]</x:v>
      </x:c>
      <x:c r="G1280" s="10" t="n">
        <x:f>IF(E1280=F1280,1,0)</x:f>
        <x:v>1</x:v>
      </x:c>
    </x:row>
    <x:row r="1281" ht="55" customHeight="1">
      <x:c r="A1281" s="10" t="str">
        <x:v>D-A</x:v>
      </x:c>
      <x:c r="B1281" s="10" t="str">
        <x:v>DELIVERY</x:v>
      </x:c>
      <x:c r="C1281" s="10" t="str">
        <x:v>DELIVERY:S03-02:input</x:v>
      </x:c>
      <x:c r="D1281" s="10" t="str">
        <x:v>DELIVERY:S03-02:e2</x:v>
      </x:c>
      <x:c r="E1281" s="10" t="str">
        <x:v>["S03-02:question"]</x:v>
      </x:c>
      <x:c r="F1281" s="10" t="str">
        <x:v>["S03-02:question"]</x:v>
      </x:c>
      <x:c r="G1281" s="10" t="n">
        <x:f>IF(E1281=F1281,1,0)</x:f>
        <x:v>1</x:v>
      </x:c>
    </x:row>
    <x:row r="1282" ht="55" customHeight="1">
      <x:c r="A1282" s="10" t="str">
        <x:v>D-B</x:v>
      </x:c>
      <x:c r="B1282" s="10" t="str">
        <x:v>DELIVERY</x:v>
      </x:c>
      <x:c r="C1282" s="10" t="str">
        <x:v>DELIVERY:S03-02:input</x:v>
      </x:c>
      <x:c r="D1282" s="10" t="str">
        <x:v>DELIVERY:S03-02:e1</x:v>
      </x:c>
      <x:c r="E1282" s="10" t="str">
        <x:v>["S03-02:report_v1"]</x:v>
      </x:c>
      <x:c r="F1282" s="10" t="str">
        <x:v>["S03-02:report_v1"]</x:v>
      </x:c>
      <x:c r="G1282" s="10" t="n">
        <x:f>IF(E1282=F1282,1,0)</x:f>
        <x:v>1</x:v>
      </x:c>
    </x:row>
    <x:row r="1283" ht="55" customHeight="1">
      <x:c r="A1283" s="10" t="str">
        <x:v>D-B</x:v>
      </x:c>
      <x:c r="B1283" s="10" t="str">
        <x:v>DELIVERY</x:v>
      </x:c>
      <x:c r="C1283" s="10" t="str">
        <x:v>DELIVERY:S03-02:input</x:v>
      </x:c>
      <x:c r="D1283" s="10" t="str">
        <x:v>DELIVERY:S03-02:e2</x:v>
      </x:c>
      <x:c r="E1283" s="10" t="str">
        <x:v>["S03-02:question"]</x:v>
      </x:c>
      <x:c r="F1283" s="10" t="str">
        <x:v>["S03-02:question"]</x:v>
      </x:c>
      <x:c r="G1283" s="10" t="n">
        <x:f>IF(E1283=F1283,1,0)</x:f>
        <x:v>1</x:v>
      </x:c>
    </x:row>
    <x:row r="1284" ht="55" customHeight="1">
      <x:c r="A1284" s="10" t="str">
        <x:v>D-A</x:v>
      </x:c>
      <x:c r="B1284" s="10" t="str">
        <x:v>DELIVERY</x:v>
      </x:c>
      <x:c r="C1284" s="10" t="str">
        <x:v>DELIVERY:S03-03:input</x:v>
      </x:c>
      <x:c r="D1284" s="10" t="str">
        <x:v>DELIVERY:S03-03:e1</x:v>
      </x:c>
      <x:c r="E1284" s="10" t="str">
        <x:v>["S03-03:report_v1"]</x:v>
      </x:c>
      <x:c r="F1284" s="10" t="str">
        <x:v>["S03-03:report_v1"]</x:v>
      </x:c>
      <x:c r="G1284" s="10" t="n">
        <x:f>IF(E1284=F1284,1,0)</x:f>
        <x:v>1</x:v>
      </x:c>
    </x:row>
    <x:row r="1285" ht="55" customHeight="1">
      <x:c r="A1285" s="10" t="str">
        <x:v>D-A</x:v>
      </x:c>
      <x:c r="B1285" s="10" t="str">
        <x:v>DELIVERY</x:v>
      </x:c>
      <x:c r="C1285" s="10" t="str">
        <x:v>DELIVERY:S03-03:input</x:v>
      </x:c>
      <x:c r="D1285" s="10" t="str">
        <x:v>DELIVERY:S03-03:e2</x:v>
      </x:c>
      <x:c r="E1285" s="10" t="str">
        <x:v>["S03-03:question"]</x:v>
      </x:c>
      <x:c r="F1285" s="10" t="str">
        <x:v>["S03-03:question"]</x:v>
      </x:c>
      <x:c r="G1285" s="10" t="n">
        <x:f>IF(E1285=F1285,1,0)</x:f>
        <x:v>1</x:v>
      </x:c>
    </x:row>
    <x:row r="1286" ht="55" customHeight="1">
      <x:c r="A1286" s="10" t="str">
        <x:v>D-B</x:v>
      </x:c>
      <x:c r="B1286" s="10" t="str">
        <x:v>DELIVERY</x:v>
      </x:c>
      <x:c r="C1286" s="10" t="str">
        <x:v>DELIVERY:S03-03:input</x:v>
      </x:c>
      <x:c r="D1286" s="10" t="str">
        <x:v>DELIVERY:S03-03:e1</x:v>
      </x:c>
      <x:c r="E1286" s="10" t="str">
        <x:v>["S03-03:report_v1"]</x:v>
      </x:c>
      <x:c r="F1286" s="10" t="str">
        <x:v>["S03-03:report_v1"]</x:v>
      </x:c>
      <x:c r="G1286" s="10" t="n">
        <x:f>IF(E1286=F1286,1,0)</x:f>
        <x:v>1</x:v>
      </x:c>
    </x:row>
    <x:row r="1287" ht="55" customHeight="1">
      <x:c r="A1287" s="10" t="str">
        <x:v>D-B</x:v>
      </x:c>
      <x:c r="B1287" s="10" t="str">
        <x:v>DELIVERY</x:v>
      </x:c>
      <x:c r="C1287" s="10" t="str">
        <x:v>DELIVERY:S03-03:input</x:v>
      </x:c>
      <x:c r="D1287" s="10" t="str">
        <x:v>DELIVERY:S03-03:e2</x:v>
      </x:c>
      <x:c r="E1287" s="10" t="str">
        <x:v>["S03-03:question"]</x:v>
      </x:c>
      <x:c r="F1287" s="10" t="str">
        <x:v>["S03-03:question"]</x:v>
      </x:c>
      <x:c r="G1287" s="10" t="n">
        <x:f>IF(E1287=F1287,1,0)</x:f>
        <x:v>1</x:v>
      </x:c>
    </x:row>
    <x:row r="1288" ht="55" customHeight="1">
      <x:c r="A1288" s="10" t="str">
        <x:v>D-A</x:v>
      </x:c>
      <x:c r="B1288" s="10" t="str">
        <x:v>DELIVERY</x:v>
      </x:c>
      <x:c r="C1288" s="10" t="str">
        <x:v>DELIVERY:S03-04:input</x:v>
      </x:c>
      <x:c r="D1288" s="10" t="str">
        <x:v>DELIVERY:S03-04:e1</x:v>
      </x:c>
      <x:c r="E1288" s="10" t="str">
        <x:v>["S03-04:report_v1"]</x:v>
      </x:c>
      <x:c r="F1288" s="10" t="str">
        <x:v>["S03-04:report_v1"]</x:v>
      </x:c>
      <x:c r="G1288" s="10" t="n">
        <x:f>IF(E1288=F1288,1,0)</x:f>
        <x:v>1</x:v>
      </x:c>
    </x:row>
    <x:row r="1289" ht="55" customHeight="1">
      <x:c r="A1289" s="10" t="str">
        <x:v>D-A</x:v>
      </x:c>
      <x:c r="B1289" s="10" t="str">
        <x:v>DELIVERY</x:v>
      </x:c>
      <x:c r="C1289" s="10" t="str">
        <x:v>DELIVERY:S03-04:input</x:v>
      </x:c>
      <x:c r="D1289" s="10" t="str">
        <x:v>DELIVERY:S03-04:e2</x:v>
      </x:c>
      <x:c r="E1289" s="10" t="str">
        <x:v>["S03-04:question"]</x:v>
      </x:c>
      <x:c r="F1289" s="10" t="str">
        <x:v>["S03-04:question"]</x:v>
      </x:c>
      <x:c r="G1289" s="10" t="n">
        <x:f>IF(E1289=F1289,1,0)</x:f>
        <x:v>1</x:v>
      </x:c>
    </x:row>
    <x:row r="1290" ht="55" customHeight="1">
      <x:c r="A1290" s="10" t="str">
        <x:v>D-B</x:v>
      </x:c>
      <x:c r="B1290" s="10" t="str">
        <x:v>DELIVERY</x:v>
      </x:c>
      <x:c r="C1290" s="10" t="str">
        <x:v>DELIVERY:S03-04:input</x:v>
      </x:c>
      <x:c r="D1290" s="10" t="str">
        <x:v>DELIVERY:S03-04:e1</x:v>
      </x:c>
      <x:c r="E1290" s="10" t="str">
        <x:v>["S03-04:report_v1"]</x:v>
      </x:c>
      <x:c r="F1290" s="10" t="str">
        <x:v>["S03-04:report_v1"]</x:v>
      </x:c>
      <x:c r="G1290" s="10" t="n">
        <x:f>IF(E1290=F1290,1,0)</x:f>
        <x:v>1</x:v>
      </x:c>
    </x:row>
    <x:row r="1291" ht="55" customHeight="1">
      <x:c r="A1291" s="10" t="str">
        <x:v>D-B</x:v>
      </x:c>
      <x:c r="B1291" s="10" t="str">
        <x:v>DELIVERY</x:v>
      </x:c>
      <x:c r="C1291" s="10" t="str">
        <x:v>DELIVERY:S03-04:input</x:v>
      </x:c>
      <x:c r="D1291" s="10" t="str">
        <x:v>DELIVERY:S03-04:e2</x:v>
      </x:c>
      <x:c r="E1291" s="10" t="str">
        <x:v>["S03-04:question"]</x:v>
      </x:c>
      <x:c r="F1291" s="10" t="str">
        <x:v>["S03-04:question"]</x:v>
      </x:c>
      <x:c r="G1291" s="10" t="n">
        <x:f>IF(E1291=F1291,1,0)</x:f>
        <x:v>1</x:v>
      </x:c>
    </x:row>
    <x:row r="1292" ht="55" customHeight="1">
      <x:c r="A1292" s="10" t="str">
        <x:v>D-A</x:v>
      </x:c>
      <x:c r="B1292" s="10" t="str">
        <x:v>DELIVERY</x:v>
      </x:c>
      <x:c r="C1292" s="10" t="str">
        <x:v>DELIVERY:S03-05:input</x:v>
      </x:c>
      <x:c r="D1292" s="10" t="str">
        <x:v>DELIVERY:S03-05:e1</x:v>
      </x:c>
      <x:c r="E1292" s="10" t="str">
        <x:v>["S03-05:report_v1"]</x:v>
      </x:c>
      <x:c r="F1292" s="10" t="str">
        <x:v>["S03-05:report_v1"]</x:v>
      </x:c>
      <x:c r="G1292" s="10" t="n">
        <x:f>IF(E1292=F1292,1,0)</x:f>
        <x:v>1</x:v>
      </x:c>
    </x:row>
    <x:row r="1293" ht="55" customHeight="1">
      <x:c r="A1293" s="10" t="str">
        <x:v>D-A</x:v>
      </x:c>
      <x:c r="B1293" s="10" t="str">
        <x:v>DELIVERY</x:v>
      </x:c>
      <x:c r="C1293" s="10" t="str">
        <x:v>DELIVERY:S03-05:input</x:v>
      </x:c>
      <x:c r="D1293" s="10" t="str">
        <x:v>DELIVERY:S03-05:e2</x:v>
      </x:c>
      <x:c r="E1293" s="10" t="str">
        <x:v>["S03-05:question"]</x:v>
      </x:c>
      <x:c r="F1293" s="10" t="str">
        <x:v>["S03-05:question"]</x:v>
      </x:c>
      <x:c r="G1293" s="10" t="n">
        <x:f>IF(E1293=F1293,1,0)</x:f>
        <x:v>1</x:v>
      </x:c>
    </x:row>
    <x:row r="1294" ht="55" customHeight="1">
      <x:c r="A1294" s="10" t="str">
        <x:v>D-B</x:v>
      </x:c>
      <x:c r="B1294" s="10" t="str">
        <x:v>DELIVERY</x:v>
      </x:c>
      <x:c r="C1294" s="10" t="str">
        <x:v>DELIVERY:S03-05:input</x:v>
      </x:c>
      <x:c r="D1294" s="10" t="str">
        <x:v>DELIVERY:S03-05:e1</x:v>
      </x:c>
      <x:c r="E1294" s="10" t="str">
        <x:v>["S03-05:report_v1"]</x:v>
      </x:c>
      <x:c r="F1294" s="10" t="str">
        <x:v>["S03-05:report_v1"]</x:v>
      </x:c>
      <x:c r="G1294" s="10" t="n">
        <x:f>IF(E1294=F1294,1,0)</x:f>
        <x:v>1</x:v>
      </x:c>
    </x:row>
    <x:row r="1295" ht="55" customHeight="1">
      <x:c r="A1295" s="10" t="str">
        <x:v>D-B</x:v>
      </x:c>
      <x:c r="B1295" s="10" t="str">
        <x:v>DELIVERY</x:v>
      </x:c>
      <x:c r="C1295" s="10" t="str">
        <x:v>DELIVERY:S03-05:input</x:v>
      </x:c>
      <x:c r="D1295" s="10" t="str">
        <x:v>DELIVERY:S03-05:e2</x:v>
      </x:c>
      <x:c r="E1295" s="10" t="str">
        <x:v>["S03-05:question"]</x:v>
      </x:c>
      <x:c r="F1295" s="10" t="str">
        <x:v>["S03-05:question"]</x:v>
      </x:c>
      <x:c r="G1295" s="10" t="n">
        <x:f>IF(E1295=F1295,1,0)</x:f>
        <x:v>1</x:v>
      </x:c>
    </x:row>
    <x:row r="1296" ht="55" customHeight="1">
      <x:c r="A1296" s="10" t="str">
        <x:v>D-A</x:v>
      </x:c>
      <x:c r="B1296" s="10" t="str">
        <x:v>DELIVERY</x:v>
      </x:c>
      <x:c r="C1296" s="10" t="str">
        <x:v>DELIVERY:S03-06:input</x:v>
      </x:c>
      <x:c r="D1296" s="10" t="str">
        <x:v>DELIVERY:S03-06:e1</x:v>
      </x:c>
      <x:c r="E1296" s="10" t="str">
        <x:v>["S03-06:report_v1"]</x:v>
      </x:c>
      <x:c r="F1296" s="10" t="str">
        <x:v>["S03-06:report_v1"]</x:v>
      </x:c>
      <x:c r="G1296" s="10" t="n">
        <x:f>IF(E1296=F1296,1,0)</x:f>
        <x:v>1</x:v>
      </x:c>
    </x:row>
    <x:row r="1297" ht="55" customHeight="1">
      <x:c r="A1297" s="10" t="str">
        <x:v>D-A</x:v>
      </x:c>
      <x:c r="B1297" s="10" t="str">
        <x:v>DELIVERY</x:v>
      </x:c>
      <x:c r="C1297" s="10" t="str">
        <x:v>DELIVERY:S03-06:input</x:v>
      </x:c>
      <x:c r="D1297" s="10" t="str">
        <x:v>DELIVERY:S03-06:e2</x:v>
      </x:c>
      <x:c r="E1297" s="10" t="str">
        <x:v>["S03-06:question"]</x:v>
      </x:c>
      <x:c r="F1297" s="10" t="str">
        <x:v>["S03-06:question"]</x:v>
      </x:c>
      <x:c r="G1297" s="10" t="n">
        <x:f>IF(E1297=F1297,1,0)</x:f>
        <x:v>1</x:v>
      </x:c>
    </x:row>
    <x:row r="1298" ht="55" customHeight="1">
      <x:c r="A1298" s="10" t="str">
        <x:v>D-B</x:v>
      </x:c>
      <x:c r="B1298" s="10" t="str">
        <x:v>DELIVERY</x:v>
      </x:c>
      <x:c r="C1298" s="10" t="str">
        <x:v>DELIVERY:S03-06:input</x:v>
      </x:c>
      <x:c r="D1298" s="10" t="str">
        <x:v>DELIVERY:S03-06:e1</x:v>
      </x:c>
      <x:c r="E1298" s="10" t="str">
        <x:v>["S03-06:report_v1"]</x:v>
      </x:c>
      <x:c r="F1298" s="10" t="str">
        <x:v>["S03-06:report_v1"]</x:v>
      </x:c>
      <x:c r="G1298" s="10" t="n">
        <x:f>IF(E1298=F1298,1,0)</x:f>
        <x:v>1</x:v>
      </x:c>
    </x:row>
    <x:row r="1299" ht="55" customHeight="1">
      <x:c r="A1299" s="10" t="str">
        <x:v>D-B</x:v>
      </x:c>
      <x:c r="B1299" s="10" t="str">
        <x:v>DELIVERY</x:v>
      </x:c>
      <x:c r="C1299" s="10" t="str">
        <x:v>DELIVERY:S03-06:input</x:v>
      </x:c>
      <x:c r="D1299" s="10" t="str">
        <x:v>DELIVERY:S03-06:e2</x:v>
      </x:c>
      <x:c r="E1299" s="10" t="str">
        <x:v>["S03-06:question"]</x:v>
      </x:c>
      <x:c r="F1299" s="10" t="str">
        <x:v>["S03-06:question"]</x:v>
      </x:c>
      <x:c r="G1299" s="10" t="n">
        <x:f>IF(E1299=F1299,1,0)</x:f>
        <x:v>1</x:v>
      </x:c>
    </x:row>
    <x:row r="1300" ht="55" customHeight="1">
      <x:c r="A1300" s="10" t="str">
        <x:v>D-A</x:v>
      </x:c>
      <x:c r="B1300" s="10" t="str">
        <x:v>DELIVERY</x:v>
      </x:c>
      <x:c r="C1300" s="10" t="str">
        <x:v>DELIVERY:S03-07:input</x:v>
      </x:c>
      <x:c r="D1300" s="10" t="str">
        <x:v>DELIVERY:S03-07:e1</x:v>
      </x:c>
      <x:c r="E1300" s="10" t="str">
        <x:v>["S03-07:report_v1"]</x:v>
      </x:c>
      <x:c r="F1300" s="10" t="str">
        <x:v>["S03-07:report_v1"]</x:v>
      </x:c>
      <x:c r="G1300" s="10" t="n">
        <x:f>IF(E1300=F1300,1,0)</x:f>
        <x:v>1</x:v>
      </x:c>
    </x:row>
    <x:row r="1301" ht="55" customHeight="1">
      <x:c r="A1301" s="10" t="str">
        <x:v>D-A</x:v>
      </x:c>
      <x:c r="B1301" s="10" t="str">
        <x:v>DELIVERY</x:v>
      </x:c>
      <x:c r="C1301" s="10" t="str">
        <x:v>DELIVERY:S03-07:input</x:v>
      </x:c>
      <x:c r="D1301" s="10" t="str">
        <x:v>DELIVERY:S03-07:e2</x:v>
      </x:c>
      <x:c r="E1301" s="10" t="str">
        <x:v>["S03-07:question"]</x:v>
      </x:c>
      <x:c r="F1301" s="10" t="str">
        <x:v>["S03-07:question"]</x:v>
      </x:c>
      <x:c r="G1301" s="10" t="n">
        <x:f>IF(E1301=F1301,1,0)</x:f>
        <x:v>1</x:v>
      </x:c>
    </x:row>
    <x:row r="1302" ht="55" customHeight="1">
      <x:c r="A1302" s="10" t="str">
        <x:v>D-B</x:v>
      </x:c>
      <x:c r="B1302" s="10" t="str">
        <x:v>DELIVERY</x:v>
      </x:c>
      <x:c r="C1302" s="10" t="str">
        <x:v>DELIVERY:S03-07:input</x:v>
      </x:c>
      <x:c r="D1302" s="10" t="str">
        <x:v>DELIVERY:S03-07:e1</x:v>
      </x:c>
      <x:c r="E1302" s="10" t="str">
        <x:v>["S03-07:report_v1"]</x:v>
      </x:c>
      <x:c r="F1302" s="10" t="str">
        <x:v>["S03-07:report_v1"]</x:v>
      </x:c>
      <x:c r="G1302" s="10" t="n">
        <x:f>IF(E1302=F1302,1,0)</x:f>
        <x:v>1</x:v>
      </x:c>
    </x:row>
    <x:row r="1303" ht="55" customHeight="1">
      <x:c r="A1303" s="10" t="str">
        <x:v>D-B</x:v>
      </x:c>
      <x:c r="B1303" s="10" t="str">
        <x:v>DELIVERY</x:v>
      </x:c>
      <x:c r="C1303" s="10" t="str">
        <x:v>DELIVERY:S03-07:input</x:v>
      </x:c>
      <x:c r="D1303" s="10" t="str">
        <x:v>DELIVERY:S03-07:e2</x:v>
      </x:c>
      <x:c r="E1303" s="10" t="str">
        <x:v>["S03-07:question"]</x:v>
      </x:c>
      <x:c r="F1303" s="10" t="str">
        <x:v>["S03-07:question"]</x:v>
      </x:c>
      <x:c r="G1303" s="10" t="n">
        <x:f>IF(E1303=F1303,1,0)</x:f>
        <x:v>1</x:v>
      </x:c>
    </x:row>
    <x:row r="1304" ht="55" customHeight="1">
      <x:c r="A1304" s="10" t="str">
        <x:v>D-A</x:v>
      </x:c>
      <x:c r="B1304" s="10" t="str">
        <x:v>DELIVERY</x:v>
      </x:c>
      <x:c r="C1304" s="10" t="str">
        <x:v>DELIVERY:S03-08:input</x:v>
      </x:c>
      <x:c r="D1304" s="10" t="str">
        <x:v>DELIVERY:S03-08:e1</x:v>
      </x:c>
      <x:c r="E1304" s="10" t="str">
        <x:v>["S03-08:report_v1"]</x:v>
      </x:c>
      <x:c r="F1304" s="10" t="str">
        <x:v>["S03-08:report_v1"]</x:v>
      </x:c>
      <x:c r="G1304" s="10" t="n">
        <x:f>IF(E1304=F1304,1,0)</x:f>
        <x:v>1</x:v>
      </x:c>
    </x:row>
    <x:row r="1305" ht="55" customHeight="1">
      <x:c r="A1305" s="10" t="str">
        <x:v>D-A</x:v>
      </x:c>
      <x:c r="B1305" s="10" t="str">
        <x:v>DELIVERY</x:v>
      </x:c>
      <x:c r="C1305" s="10" t="str">
        <x:v>DELIVERY:S03-08:input</x:v>
      </x:c>
      <x:c r="D1305" s="10" t="str">
        <x:v>DELIVERY:S03-08:e2</x:v>
      </x:c>
      <x:c r="E1305" s="10" t="str">
        <x:v>["S03-08:question"]</x:v>
      </x:c>
      <x:c r="F1305" s="10" t="str">
        <x:v>["S03-08:question"]</x:v>
      </x:c>
      <x:c r="G1305" s="10" t="n">
        <x:f>IF(E1305=F1305,1,0)</x:f>
        <x:v>1</x:v>
      </x:c>
    </x:row>
    <x:row r="1306" ht="55" customHeight="1">
      <x:c r="A1306" s="10" t="str">
        <x:v>D-B</x:v>
      </x:c>
      <x:c r="B1306" s="10" t="str">
        <x:v>DELIVERY</x:v>
      </x:c>
      <x:c r="C1306" s="10" t="str">
        <x:v>DELIVERY:S03-08:input</x:v>
      </x:c>
      <x:c r="D1306" s="10" t="str">
        <x:v>DELIVERY:S03-08:e1</x:v>
      </x:c>
      <x:c r="E1306" s="10" t="str">
        <x:v>["S03-08:report_v1"]</x:v>
      </x:c>
      <x:c r="F1306" s="10" t="str">
        <x:v>["S03-08:report_v1"]</x:v>
      </x:c>
      <x:c r="G1306" s="10" t="n">
        <x:f>IF(E1306=F1306,1,0)</x:f>
        <x:v>1</x:v>
      </x:c>
    </x:row>
    <x:row r="1307" ht="55" customHeight="1">
      <x:c r="A1307" s="10" t="str">
        <x:v>D-B</x:v>
      </x:c>
      <x:c r="B1307" s="10" t="str">
        <x:v>DELIVERY</x:v>
      </x:c>
      <x:c r="C1307" s="10" t="str">
        <x:v>DELIVERY:S03-08:input</x:v>
      </x:c>
      <x:c r="D1307" s="10" t="str">
        <x:v>DELIVERY:S03-08:e2</x:v>
      </x:c>
      <x:c r="E1307" s="10" t="str">
        <x:v>["S03-08:question"]</x:v>
      </x:c>
      <x:c r="F1307" s="10" t="str">
        <x:v>["S03-08:question"]</x:v>
      </x:c>
      <x:c r="G1307" s="10" t="n">
        <x:f>IF(E1307=F1307,1,0)</x:f>
        <x:v>1</x:v>
      </x:c>
    </x:row>
    <x:row r="1308" ht="55" customHeight="1">
      <x:c r="A1308" s="10" t="str">
        <x:v>D-A</x:v>
      </x:c>
      <x:c r="B1308" s="10" t="str">
        <x:v>DELIVERY</x:v>
      </x:c>
      <x:c r="C1308" s="10" t="str">
        <x:v>DELIVERY:S03-09:input</x:v>
      </x:c>
      <x:c r="D1308" s="10" t="str">
        <x:v>DELIVERY:S03-09:e1</x:v>
      </x:c>
      <x:c r="E1308" s="10" t="str">
        <x:v>["S03-09:report_v1"]</x:v>
      </x:c>
      <x:c r="F1308" s="10" t="str">
        <x:v>["S03-09:report_v1"]</x:v>
      </x:c>
      <x:c r="G1308" s="10" t="n">
        <x:f>IF(E1308=F1308,1,0)</x:f>
        <x:v>1</x:v>
      </x:c>
    </x:row>
    <x:row r="1309" ht="55" customHeight="1">
      <x:c r="A1309" s="10" t="str">
        <x:v>D-A</x:v>
      </x:c>
      <x:c r="B1309" s="10" t="str">
        <x:v>DELIVERY</x:v>
      </x:c>
      <x:c r="C1309" s="10" t="str">
        <x:v>DELIVERY:S03-09:input</x:v>
      </x:c>
      <x:c r="D1309" s="10" t="str">
        <x:v>DELIVERY:S03-09:e2</x:v>
      </x:c>
      <x:c r="E1309" s="10" t="str">
        <x:v>["S03-09:question"]</x:v>
      </x:c>
      <x:c r="F1309" s="10" t="str">
        <x:v>["S03-09:question"]</x:v>
      </x:c>
      <x:c r="G1309" s="10" t="n">
        <x:f>IF(E1309=F1309,1,0)</x:f>
        <x:v>1</x:v>
      </x:c>
    </x:row>
    <x:row r="1310" ht="55" customHeight="1">
      <x:c r="A1310" s="10" t="str">
        <x:v>D-B</x:v>
      </x:c>
      <x:c r="B1310" s="10" t="str">
        <x:v>DELIVERY</x:v>
      </x:c>
      <x:c r="C1310" s="10" t="str">
        <x:v>DELIVERY:S03-09:input</x:v>
      </x:c>
      <x:c r="D1310" s="10" t="str">
        <x:v>DELIVERY:S03-09:e1</x:v>
      </x:c>
      <x:c r="E1310" s="10" t="str">
        <x:v>["S03-09:report_v1"]</x:v>
      </x:c>
      <x:c r="F1310" s="10" t="str">
        <x:v>["S03-09:report_v1"]</x:v>
      </x:c>
      <x:c r="G1310" s="10" t="n">
        <x:f>IF(E1310=F1310,1,0)</x:f>
        <x:v>1</x:v>
      </x:c>
    </x:row>
    <x:row r="1311" ht="55" customHeight="1">
      <x:c r="A1311" s="10" t="str">
        <x:v>D-B</x:v>
      </x:c>
      <x:c r="B1311" s="10" t="str">
        <x:v>DELIVERY</x:v>
      </x:c>
      <x:c r="C1311" s="10" t="str">
        <x:v>DELIVERY:S03-09:input</x:v>
      </x:c>
      <x:c r="D1311" s="10" t="str">
        <x:v>DELIVERY:S03-09:e2</x:v>
      </x:c>
      <x:c r="E1311" s="10" t="str">
        <x:v>["S03-09:question"]</x:v>
      </x:c>
      <x:c r="F1311" s="10" t="str">
        <x:v>["S03-09:question"]</x:v>
      </x:c>
      <x:c r="G1311" s="10" t="n">
        <x:f>IF(E1311=F1311,1,0)</x:f>
        <x:v>1</x:v>
      </x:c>
    </x:row>
    <x:row r="1312" ht="55" customHeight="1">
      <x:c r="A1312" s="10" t="str">
        <x:v>D-A</x:v>
      </x:c>
      <x:c r="B1312" s="10" t="str">
        <x:v>DELIVERY</x:v>
      </x:c>
      <x:c r="C1312" s="10" t="str">
        <x:v>DELIVERY:S03-10:input</x:v>
      </x:c>
      <x:c r="D1312" s="10" t="str">
        <x:v>DELIVERY:S03-10:e1</x:v>
      </x:c>
      <x:c r="E1312" s="10" t="str">
        <x:v>["S03-10:report_v1"]</x:v>
      </x:c>
      <x:c r="F1312" s="10" t="str">
        <x:v>["S03-10:report_v1"]</x:v>
      </x:c>
      <x:c r="G1312" s="10" t="n">
        <x:f>IF(E1312=F1312,1,0)</x:f>
        <x:v>1</x:v>
      </x:c>
    </x:row>
    <x:row r="1313" ht="55" customHeight="1">
      <x:c r="A1313" s="10" t="str">
        <x:v>D-A</x:v>
      </x:c>
      <x:c r="B1313" s="10" t="str">
        <x:v>DELIVERY</x:v>
      </x:c>
      <x:c r="C1313" s="10" t="str">
        <x:v>DELIVERY:S03-10:input</x:v>
      </x:c>
      <x:c r="D1313" s="10" t="str">
        <x:v>DELIVERY:S03-10:e2</x:v>
      </x:c>
      <x:c r="E1313" s="10" t="str">
        <x:v>["S03-10:question"]</x:v>
      </x:c>
      <x:c r="F1313" s="10" t="str">
        <x:v>["S03-10:question"]</x:v>
      </x:c>
      <x:c r="G1313" s="10" t="n">
        <x:f>IF(E1313=F1313,1,0)</x:f>
        <x:v>1</x:v>
      </x:c>
    </x:row>
    <x:row r="1314" ht="55" customHeight="1">
      <x:c r="A1314" s="10" t="str">
        <x:v>D-B</x:v>
      </x:c>
      <x:c r="B1314" s="10" t="str">
        <x:v>DELIVERY</x:v>
      </x:c>
      <x:c r="C1314" s="10" t="str">
        <x:v>DELIVERY:S03-10:input</x:v>
      </x:c>
      <x:c r="D1314" s="10" t="str">
        <x:v>DELIVERY:S03-10:e1</x:v>
      </x:c>
      <x:c r="E1314" s="10" t="str">
        <x:v>["S03-10:report_v1"]</x:v>
      </x:c>
      <x:c r="F1314" s="10" t="str">
        <x:v>["S03-10:report_v1"]</x:v>
      </x:c>
      <x:c r="G1314" s="10" t="n">
        <x:f>IF(E1314=F1314,1,0)</x:f>
        <x:v>1</x:v>
      </x:c>
    </x:row>
    <x:row r="1315" ht="55" customHeight="1">
      <x:c r="A1315" s="10" t="str">
        <x:v>D-B</x:v>
      </x:c>
      <x:c r="B1315" s="10" t="str">
        <x:v>DELIVERY</x:v>
      </x:c>
      <x:c r="C1315" s="10" t="str">
        <x:v>DELIVERY:S03-10:input</x:v>
      </x:c>
      <x:c r="D1315" s="10" t="str">
        <x:v>DELIVERY:S03-10:e2</x:v>
      </x:c>
      <x:c r="E1315" s="10" t="str">
        <x:v>["S03-10:question"]</x:v>
      </x:c>
      <x:c r="F1315" s="10" t="str">
        <x:v>["S03-10:question"]</x:v>
      </x:c>
      <x:c r="G1315" s="10" t="n">
        <x:f>IF(E1315=F1315,1,0)</x:f>
        <x:v>1</x:v>
      </x:c>
    </x:row>
    <x:row r="1316" ht="55" customHeight="1">
      <x:c r="A1316" s="10" t="str">
        <x:v>D-A</x:v>
      </x:c>
      <x:c r="B1316" s="10" t="str">
        <x:v>DELIVERY</x:v>
      </x:c>
      <x:c r="C1316" s="10" t="str">
        <x:v>DELIVERY:S04-01:input</x:v>
      </x:c>
      <x:c r="D1316" s="10" t="str">
        <x:v>DELIVERY:S04-01:e1</x:v>
      </x:c>
      <x:c r="E1316" s="10" t="str">
        <x:v>["S04-01:report_v1"]</x:v>
      </x:c>
      <x:c r="F1316" s="10" t="str">
        <x:v>["S04-01:report_v1"]</x:v>
      </x:c>
      <x:c r="G1316" s="10" t="n">
        <x:f>IF(E1316=F1316,1,0)</x:f>
        <x:v>1</x:v>
      </x:c>
    </x:row>
    <x:row r="1317" ht="55" customHeight="1">
      <x:c r="A1317" s="10" t="str">
        <x:v>D-B</x:v>
      </x:c>
      <x:c r="B1317" s="10" t="str">
        <x:v>DELIVERY</x:v>
      </x:c>
      <x:c r="C1317" s="10" t="str">
        <x:v>DELIVERY:S04-01:input</x:v>
      </x:c>
      <x:c r="D1317" s="10" t="str">
        <x:v>DELIVERY:S04-01:e1</x:v>
      </x:c>
      <x:c r="E1317" s="10" t="str">
        <x:v>["S04-01:report_v1"]</x:v>
      </x:c>
      <x:c r="F1317" s="10" t="str">
        <x:v>["S04-01:report_v1"]</x:v>
      </x:c>
      <x:c r="G1317" s="10" t="n">
        <x:f>IF(E1317=F1317,1,0)</x:f>
        <x:v>1</x:v>
      </x:c>
    </x:row>
    <x:row r="1318" ht="55" customHeight="1">
      <x:c r="A1318" s="10" t="str">
        <x:v>D-A</x:v>
      </x:c>
      <x:c r="B1318" s="10" t="str">
        <x:v>DELIVERY</x:v>
      </x:c>
      <x:c r="C1318" s="10" t="str">
        <x:v>DELIVERY:S04-02:input</x:v>
      </x:c>
      <x:c r="D1318" s="10" t="str">
        <x:v>DELIVERY:S04-02:e1</x:v>
      </x:c>
      <x:c r="E1318" s="10" t="str">
        <x:v>["S04-02:report_v1"]</x:v>
      </x:c>
      <x:c r="F1318" s="10" t="str">
        <x:v>["S04-02:report_v1"]</x:v>
      </x:c>
      <x:c r="G1318" s="10" t="n">
        <x:f>IF(E1318=F1318,1,0)</x:f>
        <x:v>1</x:v>
      </x:c>
    </x:row>
    <x:row r="1319" ht="55" customHeight="1">
      <x:c r="A1319" s="10" t="str">
        <x:v>D-B</x:v>
      </x:c>
      <x:c r="B1319" s="10" t="str">
        <x:v>DELIVERY</x:v>
      </x:c>
      <x:c r="C1319" s="10" t="str">
        <x:v>DELIVERY:S04-02:input</x:v>
      </x:c>
      <x:c r="D1319" s="10" t="str">
        <x:v>DELIVERY:S04-02:e1</x:v>
      </x:c>
      <x:c r="E1319" s="10" t="str">
        <x:v>["S04-02:report_v1"]</x:v>
      </x:c>
      <x:c r="F1319" s="10" t="str">
        <x:v>["S04-02:report_v1"]</x:v>
      </x:c>
      <x:c r="G1319" s="10" t="n">
        <x:f>IF(E1319=F1319,1,0)</x:f>
        <x:v>1</x:v>
      </x:c>
    </x:row>
    <x:row r="1320" ht="55" customHeight="1">
      <x:c r="A1320" s="10" t="str">
        <x:v>D-A</x:v>
      </x:c>
      <x:c r="B1320" s="10" t="str">
        <x:v>DELIVERY</x:v>
      </x:c>
      <x:c r="C1320" s="10" t="str">
        <x:v>DELIVERY:S04-03:input</x:v>
      </x:c>
      <x:c r="D1320" s="10" t="str">
        <x:v>DELIVERY:S04-03:e1</x:v>
      </x:c>
      <x:c r="E1320" s="10" t="str">
        <x:v>["S04-03:report_v1"]</x:v>
      </x:c>
      <x:c r="F1320" s="10" t="str">
        <x:v>["S04-03:report_v1"]</x:v>
      </x:c>
      <x:c r="G1320" s="10" t="n">
        <x:f>IF(E1320=F1320,1,0)</x:f>
        <x:v>1</x:v>
      </x:c>
    </x:row>
    <x:row r="1321" ht="55" customHeight="1">
      <x:c r="A1321" s="10" t="str">
        <x:v>D-B</x:v>
      </x:c>
      <x:c r="B1321" s="10" t="str">
        <x:v>DELIVERY</x:v>
      </x:c>
      <x:c r="C1321" s="10" t="str">
        <x:v>DELIVERY:S04-03:input</x:v>
      </x:c>
      <x:c r="D1321" s="10" t="str">
        <x:v>DELIVERY:S04-03:e1</x:v>
      </x:c>
      <x:c r="E1321" s="10" t="str">
        <x:v>["S04-03:report_v1"]</x:v>
      </x:c>
      <x:c r="F1321" s="10" t="str">
        <x:v>["S04-03:report_v1"]</x:v>
      </x:c>
      <x:c r="G1321" s="10" t="n">
        <x:f>IF(E1321=F1321,1,0)</x:f>
        <x:v>1</x:v>
      </x:c>
    </x:row>
    <x:row r="1322" ht="55" customHeight="1">
      <x:c r="A1322" s="10" t="str">
        <x:v>D-A</x:v>
      </x:c>
      <x:c r="B1322" s="10" t="str">
        <x:v>DELIVERY</x:v>
      </x:c>
      <x:c r="C1322" s="10" t="str">
        <x:v>DELIVERY:S04-04:input</x:v>
      </x:c>
      <x:c r="D1322" s="10" t="str">
        <x:v>DELIVERY:S04-04:e1</x:v>
      </x:c>
      <x:c r="E1322" s="10" t="str">
        <x:v>["S04-04:report_v1"]</x:v>
      </x:c>
      <x:c r="F1322" s="10" t="str">
        <x:v>["S04-04:report_v1"]</x:v>
      </x:c>
      <x:c r="G1322" s="10" t="n">
        <x:f>IF(E1322=F1322,1,0)</x:f>
        <x:v>1</x:v>
      </x:c>
    </x:row>
    <x:row r="1323" ht="55" customHeight="1">
      <x:c r="A1323" s="10" t="str">
        <x:v>D-B</x:v>
      </x:c>
      <x:c r="B1323" s="10" t="str">
        <x:v>DELIVERY</x:v>
      </x:c>
      <x:c r="C1323" s="10" t="str">
        <x:v>DELIVERY:S04-04:input</x:v>
      </x:c>
      <x:c r="D1323" s="10" t="str">
        <x:v>DELIVERY:S04-04:e1</x:v>
      </x:c>
      <x:c r="E1323" s="10" t="str">
        <x:v>["S04-04:report_v1"]</x:v>
      </x:c>
      <x:c r="F1323" s="10" t="str">
        <x:v>["S04-04:report_v1"]</x:v>
      </x:c>
      <x:c r="G1323" s="10" t="n">
        <x:f>IF(E1323=F1323,1,0)</x:f>
        <x:v>1</x:v>
      </x:c>
    </x:row>
    <x:row r="1324" ht="55" customHeight="1">
      <x:c r="A1324" s="10" t="str">
        <x:v>D-A</x:v>
      </x:c>
      <x:c r="B1324" s="10" t="str">
        <x:v>DELIVERY</x:v>
      </x:c>
      <x:c r="C1324" s="10" t="str">
        <x:v>DELIVERY:S04-05:input</x:v>
      </x:c>
      <x:c r="D1324" s="10" t="str">
        <x:v>DELIVERY:S04-05:e1</x:v>
      </x:c>
      <x:c r="E1324" s="10" t="str">
        <x:v>["S04-05:report_v1"]</x:v>
      </x:c>
      <x:c r="F1324" s="10" t="str">
        <x:v>["S04-05:report_v1"]</x:v>
      </x:c>
      <x:c r="G1324" s="10" t="n">
        <x:f>IF(E1324=F1324,1,0)</x:f>
        <x:v>1</x:v>
      </x:c>
    </x:row>
    <x:row r="1325" ht="55" customHeight="1">
      <x:c r="A1325" s="10" t="str">
        <x:v>D-B</x:v>
      </x:c>
      <x:c r="B1325" s="10" t="str">
        <x:v>DELIVERY</x:v>
      </x:c>
      <x:c r="C1325" s="10" t="str">
        <x:v>DELIVERY:S04-05:input</x:v>
      </x:c>
      <x:c r="D1325" s="10" t="str">
        <x:v>DELIVERY:S04-05:e1</x:v>
      </x:c>
      <x:c r="E1325" s="10" t="str">
        <x:v>["S04-05:report_v1"]</x:v>
      </x:c>
      <x:c r="F1325" s="10" t="str">
        <x:v>["S04-05:report_v1"]</x:v>
      </x:c>
      <x:c r="G1325" s="10" t="n">
        <x:f>IF(E1325=F1325,1,0)</x:f>
        <x:v>1</x:v>
      </x:c>
    </x:row>
    <x:row r="1326" ht="55" customHeight="1">
      <x:c r="A1326" s="10" t="str">
        <x:v>D-A</x:v>
      </x:c>
      <x:c r="B1326" s="10" t="str">
        <x:v>DELIVERY</x:v>
      </x:c>
      <x:c r="C1326" s="10" t="str">
        <x:v>DELIVERY:S04-06:input</x:v>
      </x:c>
      <x:c r="D1326" s="10" t="str">
        <x:v>DELIVERY:S04-06:e1</x:v>
      </x:c>
      <x:c r="E1326" s="10" t="str">
        <x:v>["S04-06:report_v1"]</x:v>
      </x:c>
      <x:c r="F1326" s="10" t="str">
        <x:v>["S04-06:report_v1"]</x:v>
      </x:c>
      <x:c r="G1326" s="10" t="n">
        <x:f>IF(E1326=F1326,1,0)</x:f>
        <x:v>1</x:v>
      </x:c>
    </x:row>
    <x:row r="1327" ht="55" customHeight="1">
      <x:c r="A1327" s="10" t="str">
        <x:v>D-B</x:v>
      </x:c>
      <x:c r="B1327" s="10" t="str">
        <x:v>DELIVERY</x:v>
      </x:c>
      <x:c r="C1327" s="10" t="str">
        <x:v>DELIVERY:S04-06:input</x:v>
      </x:c>
      <x:c r="D1327" s="10" t="str">
        <x:v>DELIVERY:S04-06:e1</x:v>
      </x:c>
      <x:c r="E1327" s="10" t="str">
        <x:v>["S04-06:report_v1"]</x:v>
      </x:c>
      <x:c r="F1327" s="10" t="str">
        <x:v>["S04-06:report_v1"]</x:v>
      </x:c>
      <x:c r="G1327" s="10" t="n">
        <x:f>IF(E1327=F1327,1,0)</x:f>
        <x:v>1</x:v>
      </x:c>
    </x:row>
    <x:row r="1328" ht="55" customHeight="1">
      <x:c r="A1328" s="10" t="str">
        <x:v>D-A</x:v>
      </x:c>
      <x:c r="B1328" s="10" t="str">
        <x:v>DELIVERY</x:v>
      </x:c>
      <x:c r="C1328" s="10" t="str">
        <x:v>DELIVERY:S04-07:input</x:v>
      </x:c>
      <x:c r="D1328" s="10" t="str">
        <x:v>DELIVERY:S04-07:e1</x:v>
      </x:c>
      <x:c r="E1328" s="10" t="str">
        <x:v>["S04-07:report_v1"]</x:v>
      </x:c>
      <x:c r="F1328" s="10" t="str">
        <x:v>["S04-07:report_v1"]</x:v>
      </x:c>
      <x:c r="G1328" s="10" t="n">
        <x:f>IF(E1328=F1328,1,0)</x:f>
        <x:v>1</x:v>
      </x:c>
    </x:row>
    <x:row r="1329" ht="55" customHeight="1">
      <x:c r="A1329" s="10" t="str">
        <x:v>D-B</x:v>
      </x:c>
      <x:c r="B1329" s="10" t="str">
        <x:v>DELIVERY</x:v>
      </x:c>
      <x:c r="C1329" s="10" t="str">
        <x:v>DELIVERY:S04-07:input</x:v>
      </x:c>
      <x:c r="D1329" s="10" t="str">
        <x:v>DELIVERY:S04-07:e1</x:v>
      </x:c>
      <x:c r="E1329" s="10" t="str">
        <x:v>["S04-07:report_v1"]</x:v>
      </x:c>
      <x:c r="F1329" s="10" t="str">
        <x:v>["S04-07:report_v1"]</x:v>
      </x:c>
      <x:c r="G1329" s="10" t="n">
        <x:f>IF(E1329=F1329,1,0)</x:f>
        <x:v>1</x:v>
      </x:c>
    </x:row>
    <x:row r="1330" ht="55" customHeight="1">
      <x:c r="A1330" s="10" t="str">
        <x:v>D-A</x:v>
      </x:c>
      <x:c r="B1330" s="10" t="str">
        <x:v>DELIVERY</x:v>
      </x:c>
      <x:c r="C1330" s="10" t="str">
        <x:v>DELIVERY:S04-08:input</x:v>
      </x:c>
      <x:c r="D1330" s="10" t="str">
        <x:v>DELIVERY:S04-08:e1</x:v>
      </x:c>
      <x:c r="E1330" s="10" t="str">
        <x:v>["S04-08:report_v1"]</x:v>
      </x:c>
      <x:c r="F1330" s="10" t="str">
        <x:v>["S04-08:report_v1"]</x:v>
      </x:c>
      <x:c r="G1330" s="10" t="n">
        <x:f>IF(E1330=F1330,1,0)</x:f>
        <x:v>1</x:v>
      </x:c>
    </x:row>
    <x:row r="1331" ht="55" customHeight="1">
      <x:c r="A1331" s="10" t="str">
        <x:v>D-B</x:v>
      </x:c>
      <x:c r="B1331" s="10" t="str">
        <x:v>DELIVERY</x:v>
      </x:c>
      <x:c r="C1331" s="10" t="str">
        <x:v>DELIVERY:S04-08:input</x:v>
      </x:c>
      <x:c r="D1331" s="10" t="str">
        <x:v>DELIVERY:S04-08:e1</x:v>
      </x:c>
      <x:c r="E1331" s="10" t="str">
        <x:v>["S04-08:report_v1"]</x:v>
      </x:c>
      <x:c r="F1331" s="10" t="str">
        <x:v>["S04-08:report_v1"]</x:v>
      </x:c>
      <x:c r="G1331" s="10" t="n">
        <x:f>IF(E1331=F1331,1,0)</x:f>
        <x:v>1</x:v>
      </x:c>
    </x:row>
    <x:row r="1332" ht="55" customHeight="1">
      <x:c r="A1332" s="10" t="str">
        <x:v>D-A</x:v>
      </x:c>
      <x:c r="B1332" s="10" t="str">
        <x:v>DELIVERY</x:v>
      </x:c>
      <x:c r="C1332" s="10" t="str">
        <x:v>DELIVERY:S04-09:input</x:v>
      </x:c>
      <x:c r="D1332" s="10" t="str">
        <x:v>DELIVERY:S04-09:e1</x:v>
      </x:c>
      <x:c r="E1332" s="10" t="str">
        <x:v>["S04-09:report_v1"]</x:v>
      </x:c>
      <x:c r="F1332" s="10" t="str">
        <x:v>["S04-09:report_v1"]</x:v>
      </x:c>
      <x:c r="G1332" s="10" t="n">
        <x:f>IF(E1332=F1332,1,0)</x:f>
        <x:v>1</x:v>
      </x:c>
    </x:row>
    <x:row r="1333" ht="55" customHeight="1">
      <x:c r="A1333" s="10" t="str">
        <x:v>D-B</x:v>
      </x:c>
      <x:c r="B1333" s="10" t="str">
        <x:v>DELIVERY</x:v>
      </x:c>
      <x:c r="C1333" s="10" t="str">
        <x:v>DELIVERY:S04-09:input</x:v>
      </x:c>
      <x:c r="D1333" s="10" t="str">
        <x:v>DELIVERY:S04-09:e1</x:v>
      </x:c>
      <x:c r="E1333" s="10" t="str">
        <x:v>["S04-09:report_v1"]</x:v>
      </x:c>
      <x:c r="F1333" s="10" t="str">
        <x:v>["S04-09:report_v1"]</x:v>
      </x:c>
      <x:c r="G1333" s="10" t="n">
        <x:f>IF(E1333=F1333,1,0)</x:f>
        <x:v>1</x:v>
      </x:c>
    </x:row>
    <x:row r="1334" ht="55" customHeight="1">
      <x:c r="A1334" s="10" t="str">
        <x:v>D-A</x:v>
      </x:c>
      <x:c r="B1334" s="10" t="str">
        <x:v>DELIVERY</x:v>
      </x:c>
      <x:c r="C1334" s="10" t="str">
        <x:v>DELIVERY:S04-10:input</x:v>
      </x:c>
      <x:c r="D1334" s="10" t="str">
        <x:v>DELIVERY:S04-10:e1</x:v>
      </x:c>
      <x:c r="E1334" s="10" t="str">
        <x:v>["S04-10:report_v1"]</x:v>
      </x:c>
      <x:c r="F1334" s="10" t="str">
        <x:v>["S04-10:report_v1"]</x:v>
      </x:c>
      <x:c r="G1334" s="10" t="n">
        <x:f>IF(E1334=F1334,1,0)</x:f>
        <x:v>1</x:v>
      </x:c>
    </x:row>
    <x:row r="1335" ht="55" customHeight="1">
      <x:c r="A1335" s="10" t="str">
        <x:v>D-B</x:v>
      </x:c>
      <x:c r="B1335" s="10" t="str">
        <x:v>DELIVERY</x:v>
      </x:c>
      <x:c r="C1335" s="10" t="str">
        <x:v>DELIVERY:S04-10:input</x:v>
      </x:c>
      <x:c r="D1335" s="10" t="str">
        <x:v>DELIVERY:S04-10:e1</x:v>
      </x:c>
      <x:c r="E1335" s="10" t="str">
        <x:v>["S04-10:report_v1"]</x:v>
      </x:c>
      <x:c r="F1335" s="10" t="str">
        <x:v>["S04-10:report_v1"]</x:v>
      </x:c>
      <x:c r="G1335" s="10" t="n">
        <x:f>IF(E1335=F1335,1,0)</x:f>
        <x:v>1</x:v>
      </x:c>
    </x:row>
    <x:row r="1336" ht="55" customHeight="1">
      <x:c r="A1336" s="10" t="str">
        <x:v>D-A</x:v>
      </x:c>
      <x:c r="B1336" s="10" t="str">
        <x:v>DELIVERY</x:v>
      </x:c>
      <x:c r="C1336" s="10" t="str">
        <x:v>DELIVERY:S05-01:input</x:v>
      </x:c>
      <x:c r="D1336" s="10" t="str">
        <x:v>DELIVERY:S05-01:e1</x:v>
      </x:c>
      <x:c r="E1336" s="10" t="str">
        <x:v>["S05-01:question"]</x:v>
      </x:c>
      <x:c r="F1336" s="10" t="str">
        <x:v>["S05-01:question"]</x:v>
      </x:c>
      <x:c r="G1336" s="10" t="n">
        <x:f>IF(E1336=F1336,1,0)</x:f>
        <x:v>1</x:v>
      </x:c>
    </x:row>
    <x:row r="1337" ht="55" customHeight="1">
      <x:c r="A1337" s="10" t="str">
        <x:v>D-A</x:v>
      </x:c>
      <x:c r="B1337" s="10" t="str">
        <x:v>DELIVERY</x:v>
      </x:c>
      <x:c r="C1337" s="10" t="str">
        <x:v>DELIVERY:S05-01:input</x:v>
      </x:c>
      <x:c r="D1337" s="10" t="str">
        <x:v>DELIVERY:S05-01:e2</x:v>
      </x:c>
      <x:c r="E1337" s="10" t="str">
        <x:v>["S05-01:long_report"]</x:v>
      </x:c>
      <x:c r="F1337" s="10" t="str">
        <x:v>["S05-01:long_report"]</x:v>
      </x:c>
      <x:c r="G1337" s="10" t="n">
        <x:f>IF(E1337=F1337,1,0)</x:f>
        <x:v>1</x:v>
      </x:c>
    </x:row>
    <x:row r="1338" ht="55" customHeight="1">
      <x:c r="A1338" s="10" t="str">
        <x:v>D-B</x:v>
      </x:c>
      <x:c r="B1338" s="10" t="str">
        <x:v>DELIVERY</x:v>
      </x:c>
      <x:c r="C1338" s="10" t="str">
        <x:v>DELIVERY:S05-01:input</x:v>
      </x:c>
      <x:c r="D1338" s="10" t="str">
        <x:v>DELIVERY:S05-01:e1</x:v>
      </x:c>
      <x:c r="E1338" s="10" t="str">
        <x:v>["S05-01:question"]</x:v>
      </x:c>
      <x:c r="F1338" s="10" t="str">
        <x:v>["S05-01:question"]</x:v>
      </x:c>
      <x:c r="G1338" s="10" t="n">
        <x:f>IF(E1338=F1338,1,0)</x:f>
        <x:v>1</x:v>
      </x:c>
    </x:row>
    <x:row r="1339" ht="55" customHeight="1">
      <x:c r="A1339" s="10" t="str">
        <x:v>D-B</x:v>
      </x:c>
      <x:c r="B1339" s="10" t="str">
        <x:v>DELIVERY</x:v>
      </x:c>
      <x:c r="C1339" s="10" t="str">
        <x:v>DELIVERY:S05-01:input</x:v>
      </x:c>
      <x:c r="D1339" s="10" t="str">
        <x:v>DELIVERY:S05-01:e2</x:v>
      </x:c>
      <x:c r="E1339" s="10" t="str">
        <x:v>["S05-01:long_report"]</x:v>
      </x:c>
      <x:c r="F1339" s="10" t="str">
        <x:v>["S05-01:long_report"]</x:v>
      </x:c>
      <x:c r="G1339" s="10" t="n">
        <x:f>IF(E1339=F1339,1,0)</x:f>
        <x:v>1</x:v>
      </x:c>
    </x:row>
    <x:row r="1340" ht="55" customHeight="1">
      <x:c r="A1340" s="10" t="str">
        <x:v>D-A</x:v>
      </x:c>
      <x:c r="B1340" s="10" t="str">
        <x:v>DELIVERY</x:v>
      </x:c>
      <x:c r="C1340" s="10" t="str">
        <x:v>DELIVERY:S05-02:input</x:v>
      </x:c>
      <x:c r="D1340" s="10" t="str">
        <x:v>DELIVERY:S05-02:e1</x:v>
      </x:c>
      <x:c r="E1340" s="10" t="str">
        <x:v>["S05-02:question"]</x:v>
      </x:c>
      <x:c r="F1340" s="10" t="str">
        <x:v>["S05-02:question"]</x:v>
      </x:c>
      <x:c r="G1340" s="10" t="n">
        <x:f>IF(E1340=F1340,1,0)</x:f>
        <x:v>1</x:v>
      </x:c>
    </x:row>
    <x:row r="1341" ht="55" customHeight="1">
      <x:c r="A1341" s="10" t="str">
        <x:v>D-A</x:v>
      </x:c>
      <x:c r="B1341" s="10" t="str">
        <x:v>DELIVERY</x:v>
      </x:c>
      <x:c r="C1341" s="10" t="str">
        <x:v>DELIVERY:S05-02:input</x:v>
      </x:c>
      <x:c r="D1341" s="10" t="str">
        <x:v>DELIVERY:S05-02:e2</x:v>
      </x:c>
      <x:c r="E1341" s="10" t="str">
        <x:v>["S05-02:long_report"]</x:v>
      </x:c>
      <x:c r="F1341" s="10" t="str">
        <x:v>["S05-02:long_report"]</x:v>
      </x:c>
      <x:c r="G1341" s="10" t="n">
        <x:f>IF(E1341=F1341,1,0)</x:f>
        <x:v>1</x:v>
      </x:c>
    </x:row>
    <x:row r="1342" ht="55" customHeight="1">
      <x:c r="A1342" s="10" t="str">
        <x:v>D-B</x:v>
      </x:c>
      <x:c r="B1342" s="10" t="str">
        <x:v>DELIVERY</x:v>
      </x:c>
      <x:c r="C1342" s="10" t="str">
        <x:v>DELIVERY:S05-02:input</x:v>
      </x:c>
      <x:c r="D1342" s="10" t="str">
        <x:v>DELIVERY:S05-02:e1</x:v>
      </x:c>
      <x:c r="E1342" s="10" t="str">
        <x:v>["S05-02:question"]</x:v>
      </x:c>
      <x:c r="F1342" s="10" t="str">
        <x:v>["S05-02:question"]</x:v>
      </x:c>
      <x:c r="G1342" s="10" t="n">
        <x:f>IF(E1342=F1342,1,0)</x:f>
        <x:v>1</x:v>
      </x:c>
    </x:row>
    <x:row r="1343" ht="55" customHeight="1">
      <x:c r="A1343" s="10" t="str">
        <x:v>D-B</x:v>
      </x:c>
      <x:c r="B1343" s="10" t="str">
        <x:v>DELIVERY</x:v>
      </x:c>
      <x:c r="C1343" s="10" t="str">
        <x:v>DELIVERY:S05-02:input</x:v>
      </x:c>
      <x:c r="D1343" s="10" t="str">
        <x:v>DELIVERY:S05-02:e2</x:v>
      </x:c>
      <x:c r="E1343" s="10" t="str">
        <x:v>["S05-02:long_report"]</x:v>
      </x:c>
      <x:c r="F1343" s="10" t="str">
        <x:v>["S05-02:long_report"]</x:v>
      </x:c>
      <x:c r="G1343" s="10" t="n">
        <x:f>IF(E1343=F1343,1,0)</x:f>
        <x:v>1</x:v>
      </x:c>
    </x:row>
    <x:row r="1344" ht="55" customHeight="1">
      <x:c r="A1344" s="10" t="str">
        <x:v>D-A</x:v>
      </x:c>
      <x:c r="B1344" s="10" t="str">
        <x:v>DELIVERY</x:v>
      </x:c>
      <x:c r="C1344" s="10" t="str">
        <x:v>DELIVERY:S05-03:input</x:v>
      </x:c>
      <x:c r="D1344" s="10" t="str">
        <x:v>DELIVERY:S05-03:e1</x:v>
      </x:c>
      <x:c r="E1344" s="10" t="str">
        <x:v>["S05-03:question"]</x:v>
      </x:c>
      <x:c r="F1344" s="10" t="str">
        <x:v>["S05-03:question"]</x:v>
      </x:c>
      <x:c r="G1344" s="10" t="n">
        <x:f>IF(E1344=F1344,1,0)</x:f>
        <x:v>1</x:v>
      </x:c>
    </x:row>
    <x:row r="1345" ht="55" customHeight="1">
      <x:c r="A1345" s="10" t="str">
        <x:v>D-A</x:v>
      </x:c>
      <x:c r="B1345" s="10" t="str">
        <x:v>DELIVERY</x:v>
      </x:c>
      <x:c r="C1345" s="10" t="str">
        <x:v>DELIVERY:S05-03:input</x:v>
      </x:c>
      <x:c r="D1345" s="10" t="str">
        <x:v>DELIVERY:S05-03:e2</x:v>
      </x:c>
      <x:c r="E1345" s="10" t="str">
        <x:v>["S05-03:long_report"]</x:v>
      </x:c>
      <x:c r="F1345" s="10" t="str">
        <x:v>["S05-03:long_report"]</x:v>
      </x:c>
      <x:c r="G1345" s="10" t="n">
        <x:f>IF(E1345=F1345,1,0)</x:f>
        <x:v>1</x:v>
      </x:c>
    </x:row>
    <x:row r="1346" ht="55" customHeight="1">
      <x:c r="A1346" s="10" t="str">
        <x:v>D-B</x:v>
      </x:c>
      <x:c r="B1346" s="10" t="str">
        <x:v>DELIVERY</x:v>
      </x:c>
      <x:c r="C1346" s="10" t="str">
        <x:v>DELIVERY:S05-03:input</x:v>
      </x:c>
      <x:c r="D1346" s="10" t="str">
        <x:v>DELIVERY:S05-03:e1</x:v>
      </x:c>
      <x:c r="E1346" s="10" t="str">
        <x:v>["S05-03:question"]</x:v>
      </x:c>
      <x:c r="F1346" s="10" t="str">
        <x:v>["S05-03:question"]</x:v>
      </x:c>
      <x:c r="G1346" s="10" t="n">
        <x:f>IF(E1346=F1346,1,0)</x:f>
        <x:v>1</x:v>
      </x:c>
    </x:row>
    <x:row r="1347" ht="55" customHeight="1">
      <x:c r="A1347" s="10" t="str">
        <x:v>D-B</x:v>
      </x:c>
      <x:c r="B1347" s="10" t="str">
        <x:v>DELIVERY</x:v>
      </x:c>
      <x:c r="C1347" s="10" t="str">
        <x:v>DELIVERY:S05-03:input</x:v>
      </x:c>
      <x:c r="D1347" s="10" t="str">
        <x:v>DELIVERY:S05-03:e2</x:v>
      </x:c>
      <x:c r="E1347" s="10" t="str">
        <x:v>["S05-03:long_report"]</x:v>
      </x:c>
      <x:c r="F1347" s="10" t="str">
        <x:v>["S05-03:long_report"]</x:v>
      </x:c>
      <x:c r="G1347" s="10" t="n">
        <x:f>IF(E1347=F1347,1,0)</x:f>
        <x:v>1</x:v>
      </x:c>
    </x:row>
    <x:row r="1348" ht="55" customHeight="1">
      <x:c r="A1348" s="10" t="str">
        <x:v>D-A</x:v>
      </x:c>
      <x:c r="B1348" s="10" t="str">
        <x:v>DELIVERY</x:v>
      </x:c>
      <x:c r="C1348" s="10" t="str">
        <x:v>DELIVERY:S05-04:input</x:v>
      </x:c>
      <x:c r="D1348" s="10" t="str">
        <x:v>DELIVERY:S05-04:e1</x:v>
      </x:c>
      <x:c r="E1348" s="10" t="str">
        <x:v>["S05-04:question"]</x:v>
      </x:c>
      <x:c r="F1348" s="10" t="str">
        <x:v>["S05-04:question"]</x:v>
      </x:c>
      <x:c r="G1348" s="10" t="n">
        <x:f>IF(E1348=F1348,1,0)</x:f>
        <x:v>1</x:v>
      </x:c>
    </x:row>
    <x:row r="1349" ht="55" customHeight="1">
      <x:c r="A1349" s="10" t="str">
        <x:v>D-A</x:v>
      </x:c>
      <x:c r="B1349" s="10" t="str">
        <x:v>DELIVERY</x:v>
      </x:c>
      <x:c r="C1349" s="10" t="str">
        <x:v>DELIVERY:S05-04:input</x:v>
      </x:c>
      <x:c r="D1349" s="10" t="str">
        <x:v>DELIVERY:S05-04:e2</x:v>
      </x:c>
      <x:c r="E1349" s="10" t="str">
        <x:v>["S05-04:long_report"]</x:v>
      </x:c>
      <x:c r="F1349" s="10" t="str">
        <x:v>["S05-04:long_report"]</x:v>
      </x:c>
      <x:c r="G1349" s="10" t="n">
        <x:f>IF(E1349=F1349,1,0)</x:f>
        <x:v>1</x:v>
      </x:c>
    </x:row>
    <x:row r="1350" ht="55" customHeight="1">
      <x:c r="A1350" s="10" t="str">
        <x:v>D-B</x:v>
      </x:c>
      <x:c r="B1350" s="10" t="str">
        <x:v>DELIVERY</x:v>
      </x:c>
      <x:c r="C1350" s="10" t="str">
        <x:v>DELIVERY:S05-04:input</x:v>
      </x:c>
      <x:c r="D1350" s="10" t="str">
        <x:v>DELIVERY:S05-04:e1</x:v>
      </x:c>
      <x:c r="E1350" s="10" t="str">
        <x:v>["S05-04:question"]</x:v>
      </x:c>
      <x:c r="F1350" s="10" t="str">
        <x:v>["S05-04:question"]</x:v>
      </x:c>
      <x:c r="G1350" s="10" t="n">
        <x:f>IF(E1350=F1350,1,0)</x:f>
        <x:v>1</x:v>
      </x:c>
    </x:row>
    <x:row r="1351" ht="55" customHeight="1">
      <x:c r="A1351" s="10" t="str">
        <x:v>D-B</x:v>
      </x:c>
      <x:c r="B1351" s="10" t="str">
        <x:v>DELIVERY</x:v>
      </x:c>
      <x:c r="C1351" s="10" t="str">
        <x:v>DELIVERY:S05-04:input</x:v>
      </x:c>
      <x:c r="D1351" s="10" t="str">
        <x:v>DELIVERY:S05-04:e2</x:v>
      </x:c>
      <x:c r="E1351" s="10" t="str">
        <x:v>["S05-04:long_report"]</x:v>
      </x:c>
      <x:c r="F1351" s="10" t="str">
        <x:v>["S05-04:long_report"]</x:v>
      </x:c>
      <x:c r="G1351" s="10" t="n">
        <x:f>IF(E1351=F1351,1,0)</x:f>
        <x:v>1</x:v>
      </x:c>
    </x:row>
    <x:row r="1352" ht="55" customHeight="1">
      <x:c r="A1352" s="10" t="str">
        <x:v>D-A</x:v>
      </x:c>
      <x:c r="B1352" s="10" t="str">
        <x:v>DELIVERY</x:v>
      </x:c>
      <x:c r="C1352" s="10" t="str">
        <x:v>DELIVERY:S05-05:input</x:v>
      </x:c>
      <x:c r="D1352" s="10" t="str">
        <x:v>DELIVERY:S05-05:e1</x:v>
      </x:c>
      <x:c r="E1352" s="10" t="str">
        <x:v>["S05-05:question"]</x:v>
      </x:c>
      <x:c r="F1352" s="10" t="str">
        <x:v>["S05-05:question"]</x:v>
      </x:c>
      <x:c r="G1352" s="10" t="n">
        <x:f>IF(E1352=F1352,1,0)</x:f>
        <x:v>1</x:v>
      </x:c>
    </x:row>
    <x:row r="1353" ht="55" customHeight="1">
      <x:c r="A1353" s="10" t="str">
        <x:v>D-A</x:v>
      </x:c>
      <x:c r="B1353" s="10" t="str">
        <x:v>DELIVERY</x:v>
      </x:c>
      <x:c r="C1353" s="10" t="str">
        <x:v>DELIVERY:S05-05:input</x:v>
      </x:c>
      <x:c r="D1353" s="10" t="str">
        <x:v>DELIVERY:S05-05:e2</x:v>
      </x:c>
      <x:c r="E1353" s="10" t="str">
        <x:v>["S05-05:long_report"]</x:v>
      </x:c>
      <x:c r="F1353" s="10" t="str">
        <x:v>["S05-05:long_report"]</x:v>
      </x:c>
      <x:c r="G1353" s="10" t="n">
        <x:f>IF(E1353=F1353,1,0)</x:f>
        <x:v>1</x:v>
      </x:c>
    </x:row>
    <x:row r="1354" ht="55" customHeight="1">
      <x:c r="A1354" s="10" t="str">
        <x:v>D-B</x:v>
      </x:c>
      <x:c r="B1354" s="10" t="str">
        <x:v>DELIVERY</x:v>
      </x:c>
      <x:c r="C1354" s="10" t="str">
        <x:v>DELIVERY:S05-05:input</x:v>
      </x:c>
      <x:c r="D1354" s="10" t="str">
        <x:v>DELIVERY:S05-05:e1</x:v>
      </x:c>
      <x:c r="E1354" s="10" t="str">
        <x:v>["S05-05:question"]</x:v>
      </x:c>
      <x:c r="F1354" s="10" t="str">
        <x:v>["S05-05:question"]</x:v>
      </x:c>
      <x:c r="G1354" s="10" t="n">
        <x:f>IF(E1354=F1354,1,0)</x:f>
        <x:v>1</x:v>
      </x:c>
    </x:row>
    <x:row r="1355" ht="55" customHeight="1">
      <x:c r="A1355" s="10" t="str">
        <x:v>D-B</x:v>
      </x:c>
      <x:c r="B1355" s="10" t="str">
        <x:v>DELIVERY</x:v>
      </x:c>
      <x:c r="C1355" s="10" t="str">
        <x:v>DELIVERY:S05-05:input</x:v>
      </x:c>
      <x:c r="D1355" s="10" t="str">
        <x:v>DELIVERY:S05-05:e2</x:v>
      </x:c>
      <x:c r="E1355" s="10" t="str">
        <x:v>["S05-05:long_report"]</x:v>
      </x:c>
      <x:c r="F1355" s="10" t="str">
        <x:v>["S05-05:long_report"]</x:v>
      </x:c>
      <x:c r="G1355" s="10" t="n">
        <x:f>IF(E1355=F1355,1,0)</x:f>
        <x:v>1</x:v>
      </x:c>
    </x:row>
    <x:row r="1356" ht="55" customHeight="1">
      <x:c r="A1356" s="10" t="str">
        <x:v>D-A</x:v>
      </x:c>
      <x:c r="B1356" s="10" t="str">
        <x:v>DELIVERY</x:v>
      </x:c>
      <x:c r="C1356" s="10" t="str">
        <x:v>DELIVERY:S05-06:input</x:v>
      </x:c>
      <x:c r="D1356" s="10" t="str">
        <x:v>DELIVERY:S05-06:e1</x:v>
      </x:c>
      <x:c r="E1356" s="10" t="str">
        <x:v>["S05-06:question"]</x:v>
      </x:c>
      <x:c r="F1356" s="10" t="str">
        <x:v>["S05-06:question"]</x:v>
      </x:c>
      <x:c r="G1356" s="10" t="n">
        <x:f>IF(E1356=F1356,1,0)</x:f>
        <x:v>1</x:v>
      </x:c>
    </x:row>
    <x:row r="1357" ht="55" customHeight="1">
      <x:c r="A1357" s="10" t="str">
        <x:v>D-A</x:v>
      </x:c>
      <x:c r="B1357" s="10" t="str">
        <x:v>DELIVERY</x:v>
      </x:c>
      <x:c r="C1357" s="10" t="str">
        <x:v>DELIVERY:S05-06:input</x:v>
      </x:c>
      <x:c r="D1357" s="10" t="str">
        <x:v>DELIVERY:S05-06:e2</x:v>
      </x:c>
      <x:c r="E1357" s="10" t="str">
        <x:v>["S05-06:long_report"]</x:v>
      </x:c>
      <x:c r="F1357" s="10" t="str">
        <x:v>["S05-06:long_report"]</x:v>
      </x:c>
      <x:c r="G1357" s="10" t="n">
        <x:f>IF(E1357=F1357,1,0)</x:f>
        <x:v>1</x:v>
      </x:c>
    </x:row>
    <x:row r="1358" ht="55" customHeight="1">
      <x:c r="A1358" s="10" t="str">
        <x:v>D-B</x:v>
      </x:c>
      <x:c r="B1358" s="10" t="str">
        <x:v>DELIVERY</x:v>
      </x:c>
      <x:c r="C1358" s="10" t="str">
        <x:v>DELIVERY:S05-06:input</x:v>
      </x:c>
      <x:c r="D1358" s="10" t="str">
        <x:v>DELIVERY:S05-06:e1</x:v>
      </x:c>
      <x:c r="E1358" s="10" t="str">
        <x:v>["S05-06:question"]</x:v>
      </x:c>
      <x:c r="F1358" s="10" t="str">
        <x:v>["S05-06:question"]</x:v>
      </x:c>
      <x:c r="G1358" s="10" t="n">
        <x:f>IF(E1358=F1358,1,0)</x:f>
        <x:v>1</x:v>
      </x:c>
    </x:row>
    <x:row r="1359" ht="55" customHeight="1">
      <x:c r="A1359" s="10" t="str">
        <x:v>D-B</x:v>
      </x:c>
      <x:c r="B1359" s="10" t="str">
        <x:v>DELIVERY</x:v>
      </x:c>
      <x:c r="C1359" s="10" t="str">
        <x:v>DELIVERY:S05-06:input</x:v>
      </x:c>
      <x:c r="D1359" s="10" t="str">
        <x:v>DELIVERY:S05-06:e2</x:v>
      </x:c>
      <x:c r="E1359" s="10" t="str">
        <x:v>["S05-06:long_report"]</x:v>
      </x:c>
      <x:c r="F1359" s="10" t="str">
        <x:v>["S05-06:long_report"]</x:v>
      </x:c>
      <x:c r="G1359" s="10" t="n">
        <x:f>IF(E1359=F1359,1,0)</x:f>
        <x:v>1</x:v>
      </x:c>
    </x:row>
    <x:row r="1360" ht="55" customHeight="1">
      <x:c r="A1360" s="10" t="str">
        <x:v>D-A</x:v>
      </x:c>
      <x:c r="B1360" s="10" t="str">
        <x:v>DELIVERY</x:v>
      </x:c>
      <x:c r="C1360" s="10" t="str">
        <x:v>DELIVERY:S05-07:input</x:v>
      </x:c>
      <x:c r="D1360" s="10" t="str">
        <x:v>DELIVERY:S05-07:e1</x:v>
      </x:c>
      <x:c r="E1360" s="10" t="str">
        <x:v>["S05-07:question"]</x:v>
      </x:c>
      <x:c r="F1360" s="10" t="str">
        <x:v>["S05-07:question"]</x:v>
      </x:c>
      <x:c r="G1360" s="10" t="n">
        <x:f>IF(E1360=F1360,1,0)</x:f>
        <x:v>1</x:v>
      </x:c>
    </x:row>
    <x:row r="1361" ht="55" customHeight="1">
      <x:c r="A1361" s="10" t="str">
        <x:v>D-A</x:v>
      </x:c>
      <x:c r="B1361" s="10" t="str">
        <x:v>DELIVERY</x:v>
      </x:c>
      <x:c r="C1361" s="10" t="str">
        <x:v>DELIVERY:S05-07:input</x:v>
      </x:c>
      <x:c r="D1361" s="10" t="str">
        <x:v>DELIVERY:S05-07:e2</x:v>
      </x:c>
      <x:c r="E1361" s="10" t="str">
        <x:v>["S05-07:long_report"]</x:v>
      </x:c>
      <x:c r="F1361" s="10" t="str">
        <x:v>["S05-07:long_report"]</x:v>
      </x:c>
      <x:c r="G1361" s="10" t="n">
        <x:f>IF(E1361=F1361,1,0)</x:f>
        <x:v>1</x:v>
      </x:c>
    </x:row>
    <x:row r="1362" ht="55" customHeight="1">
      <x:c r="A1362" s="10" t="str">
        <x:v>D-B</x:v>
      </x:c>
      <x:c r="B1362" s="10" t="str">
        <x:v>DELIVERY</x:v>
      </x:c>
      <x:c r="C1362" s="10" t="str">
        <x:v>DELIVERY:S05-07:input</x:v>
      </x:c>
      <x:c r="D1362" s="10" t="str">
        <x:v>DELIVERY:S05-07:e1</x:v>
      </x:c>
      <x:c r="E1362" s="10" t="str">
        <x:v>["S05-07:question"]</x:v>
      </x:c>
      <x:c r="F1362" s="10" t="str">
        <x:v>["S05-07:question"]</x:v>
      </x:c>
      <x:c r="G1362" s="10" t="n">
        <x:f>IF(E1362=F1362,1,0)</x:f>
        <x:v>1</x:v>
      </x:c>
    </x:row>
    <x:row r="1363" ht="55" customHeight="1">
      <x:c r="A1363" s="10" t="str">
        <x:v>D-B</x:v>
      </x:c>
      <x:c r="B1363" s="10" t="str">
        <x:v>DELIVERY</x:v>
      </x:c>
      <x:c r="C1363" s="10" t="str">
        <x:v>DELIVERY:S05-07:input</x:v>
      </x:c>
      <x:c r="D1363" s="10" t="str">
        <x:v>DELIVERY:S05-07:e2</x:v>
      </x:c>
      <x:c r="E1363" s="10" t="str">
        <x:v>["S05-07:long_report"]</x:v>
      </x:c>
      <x:c r="F1363" s="10" t="str">
        <x:v>["S05-07:long_report"]</x:v>
      </x:c>
      <x:c r="G1363" s="10" t="n">
        <x:f>IF(E1363=F1363,1,0)</x:f>
        <x:v>1</x:v>
      </x:c>
    </x:row>
    <x:row r="1364" ht="55" customHeight="1">
      <x:c r="A1364" s="10" t="str">
        <x:v>D-A</x:v>
      </x:c>
      <x:c r="B1364" s="10" t="str">
        <x:v>DELIVERY</x:v>
      </x:c>
      <x:c r="C1364" s="10" t="str">
        <x:v>DELIVERY:S05-08:input</x:v>
      </x:c>
      <x:c r="D1364" s="10" t="str">
        <x:v>DELIVERY:S05-08:e1</x:v>
      </x:c>
      <x:c r="E1364" s="10" t="str">
        <x:v>["S05-08:question"]</x:v>
      </x:c>
      <x:c r="F1364" s="10" t="str">
        <x:v>["S05-08:question"]</x:v>
      </x:c>
      <x:c r="G1364" s="10" t="n">
        <x:f>IF(E1364=F1364,1,0)</x:f>
        <x:v>1</x:v>
      </x:c>
    </x:row>
    <x:row r="1365" ht="55" customHeight="1">
      <x:c r="A1365" s="10" t="str">
        <x:v>D-A</x:v>
      </x:c>
      <x:c r="B1365" s="10" t="str">
        <x:v>DELIVERY</x:v>
      </x:c>
      <x:c r="C1365" s="10" t="str">
        <x:v>DELIVERY:S05-08:input</x:v>
      </x:c>
      <x:c r="D1365" s="10" t="str">
        <x:v>DELIVERY:S05-08:e2</x:v>
      </x:c>
      <x:c r="E1365" s="10" t="str">
        <x:v>["S05-08:long_report"]</x:v>
      </x:c>
      <x:c r="F1365" s="10" t="str">
        <x:v>["S05-08:long_report"]</x:v>
      </x:c>
      <x:c r="G1365" s="10" t="n">
        <x:f>IF(E1365=F1365,1,0)</x:f>
        <x:v>1</x:v>
      </x:c>
    </x:row>
    <x:row r="1366" ht="55" customHeight="1">
      <x:c r="A1366" s="10" t="str">
        <x:v>D-B</x:v>
      </x:c>
      <x:c r="B1366" s="10" t="str">
        <x:v>DELIVERY</x:v>
      </x:c>
      <x:c r="C1366" s="10" t="str">
        <x:v>DELIVERY:S05-08:input</x:v>
      </x:c>
      <x:c r="D1366" s="10" t="str">
        <x:v>DELIVERY:S05-08:e1</x:v>
      </x:c>
      <x:c r="E1366" s="10" t="str">
        <x:v>["S05-08:question"]</x:v>
      </x:c>
      <x:c r="F1366" s="10" t="str">
        <x:v>["S05-08:question"]</x:v>
      </x:c>
      <x:c r="G1366" s="10" t="n">
        <x:f>IF(E1366=F1366,1,0)</x:f>
        <x:v>1</x:v>
      </x:c>
    </x:row>
    <x:row r="1367" ht="55" customHeight="1">
      <x:c r="A1367" s="10" t="str">
        <x:v>D-B</x:v>
      </x:c>
      <x:c r="B1367" s="10" t="str">
        <x:v>DELIVERY</x:v>
      </x:c>
      <x:c r="C1367" s="10" t="str">
        <x:v>DELIVERY:S05-08:input</x:v>
      </x:c>
      <x:c r="D1367" s="10" t="str">
        <x:v>DELIVERY:S05-08:e2</x:v>
      </x:c>
      <x:c r="E1367" s="10" t="str">
        <x:v>["S05-08:long_report"]</x:v>
      </x:c>
      <x:c r="F1367" s="10" t="str">
        <x:v>["S05-08:long_report"]</x:v>
      </x:c>
      <x:c r="G1367" s="10" t="n">
        <x:f>IF(E1367=F1367,1,0)</x:f>
        <x:v>1</x:v>
      </x:c>
    </x:row>
    <x:row r="1368" ht="55" customHeight="1">
      <x:c r="A1368" s="10" t="str">
        <x:v>D-A</x:v>
      </x:c>
      <x:c r="B1368" s="10" t="str">
        <x:v>DELIVERY</x:v>
      </x:c>
      <x:c r="C1368" s="10" t="str">
        <x:v>DELIVERY:S05-09:input</x:v>
      </x:c>
      <x:c r="D1368" s="10" t="str">
        <x:v>DELIVERY:S05-09:e1</x:v>
      </x:c>
      <x:c r="E1368" s="10" t="str">
        <x:v>["S05-09:question"]</x:v>
      </x:c>
      <x:c r="F1368" s="10" t="str">
        <x:v>["S05-09:question"]</x:v>
      </x:c>
      <x:c r="G1368" s="10" t="n">
        <x:f>IF(E1368=F1368,1,0)</x:f>
        <x:v>1</x:v>
      </x:c>
    </x:row>
    <x:row r="1369" ht="55" customHeight="1">
      <x:c r="A1369" s="10" t="str">
        <x:v>D-A</x:v>
      </x:c>
      <x:c r="B1369" s="10" t="str">
        <x:v>DELIVERY</x:v>
      </x:c>
      <x:c r="C1369" s="10" t="str">
        <x:v>DELIVERY:S05-09:input</x:v>
      </x:c>
      <x:c r="D1369" s="10" t="str">
        <x:v>DELIVERY:S05-09:e2</x:v>
      </x:c>
      <x:c r="E1369" s="10" t="str">
        <x:v>["S05-09:long_report"]</x:v>
      </x:c>
      <x:c r="F1369" s="10" t="str">
        <x:v>["S05-09:long_report"]</x:v>
      </x:c>
      <x:c r="G1369" s="10" t="n">
        <x:f>IF(E1369=F1369,1,0)</x:f>
        <x:v>1</x:v>
      </x:c>
    </x:row>
    <x:row r="1370" ht="55" customHeight="1">
      <x:c r="A1370" s="10" t="str">
        <x:v>D-B</x:v>
      </x:c>
      <x:c r="B1370" s="10" t="str">
        <x:v>DELIVERY</x:v>
      </x:c>
      <x:c r="C1370" s="10" t="str">
        <x:v>DELIVERY:S05-09:input</x:v>
      </x:c>
      <x:c r="D1370" s="10" t="str">
        <x:v>DELIVERY:S05-09:e1</x:v>
      </x:c>
      <x:c r="E1370" s="10" t="str">
        <x:v>["S05-09:question"]</x:v>
      </x:c>
      <x:c r="F1370" s="10" t="str">
        <x:v>["S05-09:question"]</x:v>
      </x:c>
      <x:c r="G1370" s="10" t="n">
        <x:f>IF(E1370=F1370,1,0)</x:f>
        <x:v>1</x:v>
      </x:c>
    </x:row>
    <x:row r="1371" ht="55" customHeight="1">
      <x:c r="A1371" s="10" t="str">
        <x:v>D-B</x:v>
      </x:c>
      <x:c r="B1371" s="10" t="str">
        <x:v>DELIVERY</x:v>
      </x:c>
      <x:c r="C1371" s="10" t="str">
        <x:v>DELIVERY:S05-09:input</x:v>
      </x:c>
      <x:c r="D1371" s="10" t="str">
        <x:v>DELIVERY:S05-09:e2</x:v>
      </x:c>
      <x:c r="E1371" s="10" t="str">
        <x:v>["S05-09:long_report"]</x:v>
      </x:c>
      <x:c r="F1371" s="10" t="str">
        <x:v>["S05-09:long_report"]</x:v>
      </x:c>
      <x:c r="G1371" s="10" t="n">
        <x:f>IF(E1371=F1371,1,0)</x:f>
        <x:v>1</x:v>
      </x:c>
    </x:row>
    <x:row r="1372" ht="55" customHeight="1">
      <x:c r="A1372" s="10" t="str">
        <x:v>D-A</x:v>
      </x:c>
      <x:c r="B1372" s="10" t="str">
        <x:v>DELIVERY</x:v>
      </x:c>
      <x:c r="C1372" s="10" t="str">
        <x:v>DELIVERY:S05-10:input</x:v>
      </x:c>
      <x:c r="D1372" s="10" t="str">
        <x:v>DELIVERY:S05-10:e1</x:v>
      </x:c>
      <x:c r="E1372" s="10" t="str">
        <x:v>["S05-10:question"]</x:v>
      </x:c>
      <x:c r="F1372" s="10" t="str">
        <x:v>["S05-10:question"]</x:v>
      </x:c>
      <x:c r="G1372" s="10" t="n">
        <x:f>IF(E1372=F1372,1,0)</x:f>
        <x:v>1</x:v>
      </x:c>
    </x:row>
    <x:row r="1373" ht="55" customHeight="1">
      <x:c r="A1373" s="10" t="str">
        <x:v>D-A</x:v>
      </x:c>
      <x:c r="B1373" s="10" t="str">
        <x:v>DELIVERY</x:v>
      </x:c>
      <x:c r="C1373" s="10" t="str">
        <x:v>DELIVERY:S05-10:input</x:v>
      </x:c>
      <x:c r="D1373" s="10" t="str">
        <x:v>DELIVERY:S05-10:e2</x:v>
      </x:c>
      <x:c r="E1373" s="10" t="str">
        <x:v>["S05-10:long_report"]</x:v>
      </x:c>
      <x:c r="F1373" s="10" t="str">
        <x:v>["S05-10:long_report"]</x:v>
      </x:c>
      <x:c r="G1373" s="10" t="n">
        <x:f>IF(E1373=F1373,1,0)</x:f>
        <x:v>1</x:v>
      </x:c>
    </x:row>
    <x:row r="1374" ht="55" customHeight="1">
      <x:c r="A1374" s="10" t="str">
        <x:v>D-B</x:v>
      </x:c>
      <x:c r="B1374" s="10" t="str">
        <x:v>DELIVERY</x:v>
      </x:c>
      <x:c r="C1374" s="10" t="str">
        <x:v>DELIVERY:S05-10:input</x:v>
      </x:c>
      <x:c r="D1374" s="10" t="str">
        <x:v>DELIVERY:S05-10:e1</x:v>
      </x:c>
      <x:c r="E1374" s="10" t="str">
        <x:v>["S05-10:question"]</x:v>
      </x:c>
      <x:c r="F1374" s="10" t="str">
        <x:v>["S05-10:question"]</x:v>
      </x:c>
      <x:c r="G1374" s="10" t="n">
        <x:f>IF(E1374=F1374,1,0)</x:f>
        <x:v>1</x:v>
      </x:c>
    </x:row>
    <x:row r="1375" ht="55" customHeight="1">
      <x:c r="A1375" s="10" t="str">
        <x:v>D-B</x:v>
      </x:c>
      <x:c r="B1375" s="10" t="str">
        <x:v>DELIVERY</x:v>
      </x:c>
      <x:c r="C1375" s="10" t="str">
        <x:v>DELIVERY:S05-10:input</x:v>
      </x:c>
      <x:c r="D1375" s="10" t="str">
        <x:v>DELIVERY:S05-10:e2</x:v>
      </x:c>
      <x:c r="E1375" s="10" t="str">
        <x:v>["S05-10:long_report"]</x:v>
      </x:c>
      <x:c r="F1375" s="10" t="str">
        <x:v>["S05-10:long_report"]</x:v>
      </x:c>
      <x:c r="G1375" s="10" t="n">
        <x:f>IF(E1375=F1375,1,0)</x:f>
        <x:v>1</x:v>
      </x:c>
    </x:row>
    <x:row r="1376" ht="55" customHeight="1">
      <x:c r="A1376" s="10" t="str">
        <x:v>D-A</x:v>
      </x:c>
      <x:c r="B1376" s="10" t="str">
        <x:v>DELIVERY</x:v>
      </x:c>
      <x:c r="C1376" s="10" t="str">
        <x:v>DELIVERY:S06-01:input</x:v>
      </x:c>
      <x:c r="D1376" s="10" t="str">
        <x:v>DELIVERY:S06-01:e1</x:v>
      </x:c>
      <x:c r="E1376" s="10" t="str">
        <x:v>["S06-01:explanation"]</x:v>
      </x:c>
      <x:c r="F1376" s="10" t="str">
        <x:v>["S06-01:explanation"]</x:v>
      </x:c>
      <x:c r="G1376" s="10" t="n">
        <x:f>IF(E1376=F1376,1,0)</x:f>
        <x:v>1</x:v>
      </x:c>
    </x:row>
    <x:row r="1377" ht="55" customHeight="1">
      <x:c r="A1377" s="10" t="str">
        <x:v>D-B</x:v>
      </x:c>
      <x:c r="B1377" s="10" t="str">
        <x:v>DELIVERY</x:v>
      </x:c>
      <x:c r="C1377" s="10" t="str">
        <x:v>DELIVERY:S06-01:input</x:v>
      </x:c>
      <x:c r="D1377" s="10" t="str">
        <x:v>DELIVERY:S06-01:e1</x:v>
      </x:c>
      <x:c r="E1377" s="10" t="str">
        <x:v>["S06-01:explanation"]</x:v>
      </x:c>
      <x:c r="F1377" s="10" t="str">
        <x:v>["S06-01:explanation"]</x:v>
      </x:c>
      <x:c r="G1377" s="10" t="n">
        <x:f>IF(E1377=F1377,1,0)</x:f>
        <x:v>1</x:v>
      </x:c>
    </x:row>
    <x:row r="1378" ht="55" customHeight="1">
      <x:c r="A1378" s="10" t="str">
        <x:v>D-A</x:v>
      </x:c>
      <x:c r="B1378" s="10" t="str">
        <x:v>DELIVERY</x:v>
      </x:c>
      <x:c r="C1378" s="10" t="str">
        <x:v>DELIVERY:S06-02:input</x:v>
      </x:c>
      <x:c r="D1378" s="10" t="str">
        <x:v>DELIVERY:S06-02:e1</x:v>
      </x:c>
      <x:c r="E1378" s="10" t="str">
        <x:v>["S06-02:explanation"]</x:v>
      </x:c>
      <x:c r="F1378" s="10" t="str">
        <x:v>["S06-02:explanation"]</x:v>
      </x:c>
      <x:c r="G1378" s="10" t="n">
        <x:f>IF(E1378=F1378,1,0)</x:f>
        <x:v>1</x:v>
      </x:c>
    </x:row>
    <x:row r="1379" ht="55" customHeight="1">
      <x:c r="A1379" s="10" t="str">
        <x:v>D-B</x:v>
      </x:c>
      <x:c r="B1379" s="10" t="str">
        <x:v>DELIVERY</x:v>
      </x:c>
      <x:c r="C1379" s="10" t="str">
        <x:v>DELIVERY:S06-02:input</x:v>
      </x:c>
      <x:c r="D1379" s="10" t="str">
        <x:v>DELIVERY:S06-02:e1</x:v>
      </x:c>
      <x:c r="E1379" s="10" t="str">
        <x:v>["S06-02:explanation"]</x:v>
      </x:c>
      <x:c r="F1379" s="10" t="str">
        <x:v>["S06-02:explanation"]</x:v>
      </x:c>
      <x:c r="G1379" s="10" t="n">
        <x:f>IF(E1379=F1379,1,0)</x:f>
        <x:v>1</x:v>
      </x:c>
    </x:row>
    <x:row r="1380" ht="55" customHeight="1">
      <x:c r="A1380" s="10" t="str">
        <x:v>D-A</x:v>
      </x:c>
      <x:c r="B1380" s="10" t="str">
        <x:v>DELIVERY</x:v>
      </x:c>
      <x:c r="C1380" s="10" t="str">
        <x:v>DELIVERY:S06-03:input</x:v>
      </x:c>
      <x:c r="D1380" s="10" t="str">
        <x:v>DELIVERY:S06-03:e1</x:v>
      </x:c>
      <x:c r="E1380" s="10" t="str">
        <x:v>["S06-03:explanation"]</x:v>
      </x:c>
      <x:c r="F1380" s="10" t="str">
        <x:v>["S06-03:explanation"]</x:v>
      </x:c>
      <x:c r="G1380" s="10" t="n">
        <x:f>IF(E1380=F1380,1,0)</x:f>
        <x:v>1</x:v>
      </x:c>
    </x:row>
    <x:row r="1381" ht="55" customHeight="1">
      <x:c r="A1381" s="10" t="str">
        <x:v>D-B</x:v>
      </x:c>
      <x:c r="B1381" s="10" t="str">
        <x:v>DELIVERY</x:v>
      </x:c>
      <x:c r="C1381" s="10" t="str">
        <x:v>DELIVERY:S06-03:input</x:v>
      </x:c>
      <x:c r="D1381" s="10" t="str">
        <x:v>DELIVERY:S06-03:e1</x:v>
      </x:c>
      <x:c r="E1381" s="10" t="str">
        <x:v>["S06-03:explanation"]</x:v>
      </x:c>
      <x:c r="F1381" s="10" t="str">
        <x:v>["S06-03:explanation"]</x:v>
      </x:c>
      <x:c r="G1381" s="10" t="n">
        <x:f>IF(E1381=F1381,1,0)</x:f>
        <x:v>1</x:v>
      </x:c>
    </x:row>
    <x:row r="1382" ht="55" customHeight="1">
      <x:c r="A1382" s="10" t="str">
        <x:v>D-A</x:v>
      </x:c>
      <x:c r="B1382" s="10" t="str">
        <x:v>DELIVERY</x:v>
      </x:c>
      <x:c r="C1382" s="10" t="str">
        <x:v>DELIVERY:S06-04:input</x:v>
      </x:c>
      <x:c r="D1382" s="10" t="str">
        <x:v>DELIVERY:S06-04:e1</x:v>
      </x:c>
      <x:c r="E1382" s="10" t="str">
        <x:v>["S06-04:explanation"]</x:v>
      </x:c>
      <x:c r="F1382" s="10" t="str">
        <x:v>["S06-04:explanation"]</x:v>
      </x:c>
      <x:c r="G1382" s="10" t="n">
        <x:f>IF(E1382=F1382,1,0)</x:f>
        <x:v>1</x:v>
      </x:c>
    </x:row>
    <x:row r="1383" ht="55" customHeight="1">
      <x:c r="A1383" s="10" t="str">
        <x:v>D-B</x:v>
      </x:c>
      <x:c r="B1383" s="10" t="str">
        <x:v>DELIVERY</x:v>
      </x:c>
      <x:c r="C1383" s="10" t="str">
        <x:v>DELIVERY:S06-04:input</x:v>
      </x:c>
      <x:c r="D1383" s="10" t="str">
        <x:v>DELIVERY:S06-04:e1</x:v>
      </x:c>
      <x:c r="E1383" s="10" t="str">
        <x:v>["S06-04:explanation"]</x:v>
      </x:c>
      <x:c r="F1383" s="10" t="str">
        <x:v>["S06-04:explanation"]</x:v>
      </x:c>
      <x:c r="G1383" s="10" t="n">
        <x:f>IF(E1383=F1383,1,0)</x:f>
        <x:v>1</x:v>
      </x:c>
    </x:row>
    <x:row r="1384" ht="55" customHeight="1">
      <x:c r="A1384" s="10" t="str">
        <x:v>D-A</x:v>
      </x:c>
      <x:c r="B1384" s="10" t="str">
        <x:v>DELIVERY</x:v>
      </x:c>
      <x:c r="C1384" s="10" t="str">
        <x:v>DELIVERY:S06-05:input</x:v>
      </x:c>
      <x:c r="D1384" s="10" t="str">
        <x:v>DELIVERY:S06-05:e1</x:v>
      </x:c>
      <x:c r="E1384" s="10" t="str">
        <x:v>["S06-05:explanation"]</x:v>
      </x:c>
      <x:c r="F1384" s="10" t="str">
        <x:v>["S06-05:explanation"]</x:v>
      </x:c>
      <x:c r="G1384" s="10" t="n">
        <x:f>IF(E1384=F1384,1,0)</x:f>
        <x:v>1</x:v>
      </x:c>
    </x:row>
    <x:row r="1385" ht="55" customHeight="1">
      <x:c r="A1385" s="10" t="str">
        <x:v>D-B</x:v>
      </x:c>
      <x:c r="B1385" s="10" t="str">
        <x:v>DELIVERY</x:v>
      </x:c>
      <x:c r="C1385" s="10" t="str">
        <x:v>DELIVERY:S06-05:input</x:v>
      </x:c>
      <x:c r="D1385" s="10" t="str">
        <x:v>DELIVERY:S06-05:e1</x:v>
      </x:c>
      <x:c r="E1385" s="10" t="str">
        <x:v>["S06-05:explanation"]</x:v>
      </x:c>
      <x:c r="F1385" s="10" t="str">
        <x:v>["S06-05:explanation"]</x:v>
      </x:c>
      <x:c r="G1385" s="10" t="n">
        <x:f>IF(E1385=F1385,1,0)</x:f>
        <x:v>1</x:v>
      </x:c>
    </x:row>
    <x:row r="1386" ht="55" customHeight="1">
      <x:c r="A1386" s="10" t="str">
        <x:v>D-A</x:v>
      </x:c>
      <x:c r="B1386" s="10" t="str">
        <x:v>DELIVERY</x:v>
      </x:c>
      <x:c r="C1386" s="10" t="str">
        <x:v>DELIVERY:S06-06:input</x:v>
      </x:c>
      <x:c r="D1386" s="10" t="str">
        <x:v>DELIVERY:S06-06:e1</x:v>
      </x:c>
      <x:c r="E1386" s="10" t="str">
        <x:v>["S06-06:explanation"]</x:v>
      </x:c>
      <x:c r="F1386" s="10" t="str">
        <x:v>["S06-06:explanation"]</x:v>
      </x:c>
      <x:c r="G1386" s="10" t="n">
        <x:f>IF(E1386=F1386,1,0)</x:f>
        <x:v>1</x:v>
      </x:c>
    </x:row>
    <x:row r="1387" ht="55" customHeight="1">
      <x:c r="A1387" s="10" t="str">
        <x:v>D-B</x:v>
      </x:c>
      <x:c r="B1387" s="10" t="str">
        <x:v>DELIVERY</x:v>
      </x:c>
      <x:c r="C1387" s="10" t="str">
        <x:v>DELIVERY:S06-06:input</x:v>
      </x:c>
      <x:c r="D1387" s="10" t="str">
        <x:v>DELIVERY:S06-06:e1</x:v>
      </x:c>
      <x:c r="E1387" s="10" t="str">
        <x:v>["S06-06:explanation"]</x:v>
      </x:c>
      <x:c r="F1387" s="10" t="str">
        <x:v>["S06-06:explanation"]</x:v>
      </x:c>
      <x:c r="G1387" s="10" t="n">
        <x:f>IF(E1387=F1387,1,0)</x:f>
        <x:v>1</x:v>
      </x:c>
    </x:row>
    <x:row r="1388" ht="55" customHeight="1">
      <x:c r="A1388" s="10" t="str">
        <x:v>D-A</x:v>
      </x:c>
      <x:c r="B1388" s="10" t="str">
        <x:v>DELIVERY</x:v>
      </x:c>
      <x:c r="C1388" s="10" t="str">
        <x:v>DELIVERY:S06-07:input</x:v>
      </x:c>
      <x:c r="D1388" s="10" t="str">
        <x:v>DELIVERY:S06-07:e1</x:v>
      </x:c>
      <x:c r="E1388" s="10" t="str">
        <x:v>["S06-07:explanation"]</x:v>
      </x:c>
      <x:c r="F1388" s="10" t="str">
        <x:v>["S06-07:explanation"]</x:v>
      </x:c>
      <x:c r="G1388" s="10" t="n">
        <x:f>IF(E1388=F1388,1,0)</x:f>
        <x:v>1</x:v>
      </x:c>
    </x:row>
    <x:row r="1389" ht="55" customHeight="1">
      <x:c r="A1389" s="10" t="str">
        <x:v>D-B</x:v>
      </x:c>
      <x:c r="B1389" s="10" t="str">
        <x:v>DELIVERY</x:v>
      </x:c>
      <x:c r="C1389" s="10" t="str">
        <x:v>DELIVERY:S06-07:input</x:v>
      </x:c>
      <x:c r="D1389" s="10" t="str">
        <x:v>DELIVERY:S06-07:e1</x:v>
      </x:c>
      <x:c r="E1389" s="10" t="str">
        <x:v>["S06-07:explanation"]</x:v>
      </x:c>
      <x:c r="F1389" s="10" t="str">
        <x:v>["S06-07:explanation"]</x:v>
      </x:c>
      <x:c r="G1389" s="10" t="n">
        <x:f>IF(E1389=F1389,1,0)</x:f>
        <x:v>1</x:v>
      </x:c>
    </x:row>
    <x:row r="1390" ht="55" customHeight="1">
      <x:c r="A1390" s="10" t="str">
        <x:v>D-A</x:v>
      </x:c>
      <x:c r="B1390" s="10" t="str">
        <x:v>DELIVERY</x:v>
      </x:c>
      <x:c r="C1390" s="10" t="str">
        <x:v>DELIVERY:S06-08:input</x:v>
      </x:c>
      <x:c r="D1390" s="10" t="str">
        <x:v>DELIVERY:S06-08:e1</x:v>
      </x:c>
      <x:c r="E1390" s="10" t="str">
        <x:v>["S06-08:explanation"]</x:v>
      </x:c>
      <x:c r="F1390" s="10" t="str">
        <x:v>["S06-08:explanation"]</x:v>
      </x:c>
      <x:c r="G1390" s="10" t="n">
        <x:f>IF(E1390=F1390,1,0)</x:f>
        <x:v>1</x:v>
      </x:c>
    </x:row>
    <x:row r="1391" ht="55" customHeight="1">
      <x:c r="A1391" s="10" t="str">
        <x:v>D-B</x:v>
      </x:c>
      <x:c r="B1391" s="10" t="str">
        <x:v>DELIVERY</x:v>
      </x:c>
      <x:c r="C1391" s="10" t="str">
        <x:v>DELIVERY:S06-08:input</x:v>
      </x:c>
      <x:c r="D1391" s="10" t="str">
        <x:v>DELIVERY:S06-08:e1</x:v>
      </x:c>
      <x:c r="E1391" s="10" t="str">
        <x:v>["S06-08:explanation"]</x:v>
      </x:c>
      <x:c r="F1391" s="10" t="str">
        <x:v>["S06-08:explanation"]</x:v>
      </x:c>
      <x:c r="G1391" s="10" t="n">
        <x:f>IF(E1391=F1391,1,0)</x:f>
        <x:v>1</x:v>
      </x:c>
    </x:row>
    <x:row r="1392" ht="55" customHeight="1">
      <x:c r="A1392" s="10" t="str">
        <x:v>D-A</x:v>
      </x:c>
      <x:c r="B1392" s="10" t="str">
        <x:v>DELIVERY</x:v>
      </x:c>
      <x:c r="C1392" s="10" t="str">
        <x:v>DELIVERY:S06-09:input</x:v>
      </x:c>
      <x:c r="D1392" s="10" t="str">
        <x:v>DELIVERY:S06-09:e1</x:v>
      </x:c>
      <x:c r="E1392" s="10" t="str">
        <x:v>["S06-09:explanation"]</x:v>
      </x:c>
      <x:c r="F1392" s="10" t="str">
        <x:v>["S06-09:explanation"]</x:v>
      </x:c>
      <x:c r="G1392" s="10" t="n">
        <x:f>IF(E1392=F1392,1,0)</x:f>
        <x:v>1</x:v>
      </x:c>
    </x:row>
    <x:row r="1393" ht="55" customHeight="1">
      <x:c r="A1393" s="10" t="str">
        <x:v>D-B</x:v>
      </x:c>
      <x:c r="B1393" s="10" t="str">
        <x:v>DELIVERY</x:v>
      </x:c>
      <x:c r="C1393" s="10" t="str">
        <x:v>DELIVERY:S06-09:input</x:v>
      </x:c>
      <x:c r="D1393" s="10" t="str">
        <x:v>DELIVERY:S06-09:e1</x:v>
      </x:c>
      <x:c r="E1393" s="10" t="str">
        <x:v>["S06-09:explanation"]</x:v>
      </x:c>
      <x:c r="F1393" s="10" t="str">
        <x:v>["S06-09:explanation"]</x:v>
      </x:c>
      <x:c r="G1393" s="10" t="n">
        <x:f>IF(E1393=F1393,1,0)</x:f>
        <x:v>1</x:v>
      </x:c>
    </x:row>
    <x:row r="1394" ht="55" customHeight="1">
      <x:c r="A1394" s="10" t="str">
        <x:v>D-A</x:v>
      </x:c>
      <x:c r="B1394" s="10" t="str">
        <x:v>DELIVERY</x:v>
      </x:c>
      <x:c r="C1394" s="10" t="str">
        <x:v>DELIVERY:S06-10:input</x:v>
      </x:c>
      <x:c r="D1394" s="10" t="str">
        <x:v>DELIVERY:S06-10:e1</x:v>
      </x:c>
      <x:c r="E1394" s="10" t="str">
        <x:v>["S06-10:explanation"]</x:v>
      </x:c>
      <x:c r="F1394" s="10" t="str">
        <x:v>["S06-10:explanation"]</x:v>
      </x:c>
      <x:c r="G1394" s="10" t="n">
        <x:f>IF(E1394=F1394,1,0)</x:f>
        <x:v>1</x:v>
      </x:c>
    </x:row>
    <x:row r="1395" ht="55" customHeight="1">
      <x:c r="A1395" s="10" t="str">
        <x:v>D-B</x:v>
      </x:c>
      <x:c r="B1395" s="10" t="str">
        <x:v>DELIVERY</x:v>
      </x:c>
      <x:c r="C1395" s="10" t="str">
        <x:v>DELIVERY:S06-10:input</x:v>
      </x:c>
      <x:c r="D1395" s="10" t="str">
        <x:v>DELIVERY:S06-10:e1</x:v>
      </x:c>
      <x:c r="E1395" s="10" t="str">
        <x:v>["S06-10:explanation"]</x:v>
      </x:c>
      <x:c r="F1395" s="10" t="str">
        <x:v>["S06-10:explanation"]</x:v>
      </x:c>
      <x:c r="G1395" s="10" t="n">
        <x:f>IF(E1395=F1395,1,0)</x:f>
        <x:v>1</x:v>
      </x:c>
    </x:row>
    <x:row r="1396" ht="55" customHeight="1">
      <x:c r="A1396" s="10" t="str">
        <x:v>D-A</x:v>
      </x:c>
      <x:c r="B1396" s="10" t="str">
        <x:v>DELIVERY</x:v>
      </x:c>
      <x:c r="C1396" s="10" t="str">
        <x:v>DELIVERY:S07-01:input</x:v>
      </x:c>
      <x:c r="D1396" s="10" t="str">
        <x:v>DELIVERY:S07-01:e1</x:v>
      </x:c>
      <x:c r="E1396" s="10" t="str">
        <x:v>["S07-01:calendar"]</x:v>
      </x:c>
      <x:c r="F1396" s="10" t="str">
        <x:v>["S07-01:calendar"]</x:v>
      </x:c>
      <x:c r="G1396" s="10" t="n">
        <x:f>IF(E1396=F1396,1,0)</x:f>
        <x:v>1</x:v>
      </x:c>
    </x:row>
    <x:row r="1397" ht="55" customHeight="1">
      <x:c r="A1397" s="10" t="str">
        <x:v>D-A</x:v>
      </x:c>
      <x:c r="B1397" s="10" t="str">
        <x:v>DELIVERY</x:v>
      </x:c>
      <x:c r="C1397" s="10" t="str">
        <x:v>DELIVERY:S07-01:input</x:v>
      </x:c>
      <x:c r="D1397" s="10" t="str">
        <x:v>DELIVERY:S07-01:e2</x:v>
      </x:c>
      <x:c r="E1397" s="10" t="str">
        <x:v>["S07-01:mail"]</x:v>
      </x:c>
      <x:c r="F1397" s="10" t="str">
        <x:v>["S07-01:mail"]</x:v>
      </x:c>
      <x:c r="G1397" s="10" t="n">
        <x:f>IF(E1397=F1397,1,0)</x:f>
        <x:v>1</x:v>
      </x:c>
    </x:row>
    <x:row r="1398" ht="55" customHeight="1">
      <x:c r="A1398" s="10" t="str">
        <x:v>D-A</x:v>
      </x:c>
      <x:c r="B1398" s="10" t="str">
        <x:v>DELIVERY</x:v>
      </x:c>
      <x:c r="C1398" s="10" t="str">
        <x:v>DELIVERY:S07-01:input</x:v>
      </x:c>
      <x:c r="D1398" s="10" t="str">
        <x:v>DELIVERY:S07-01:e3</x:v>
      </x:c>
      <x:c r="E1398" s="10" t="str">
        <x:v>["S07-01:report"]</x:v>
      </x:c>
      <x:c r="F1398" s="10" t="str">
        <x:v>["S07-01:report"]</x:v>
      </x:c>
      <x:c r="G1398" s="10" t="n">
        <x:f>IF(E1398=F1398,1,0)</x:f>
        <x:v>1</x:v>
      </x:c>
    </x:row>
    <x:row r="1399" ht="55" customHeight="1">
      <x:c r="A1399" s="10" t="str">
        <x:v>D-B</x:v>
      </x:c>
      <x:c r="B1399" s="10" t="str">
        <x:v>DELIVERY</x:v>
      </x:c>
      <x:c r="C1399" s="10" t="str">
        <x:v>DELIVERY:S07-01:input</x:v>
      </x:c>
      <x:c r="D1399" s="10" t="str">
        <x:v>DELIVERY:S07-01:e1</x:v>
      </x:c>
      <x:c r="E1399" s="10" t="str">
        <x:v>["S07-01:calendar"]</x:v>
      </x:c>
      <x:c r="F1399" s="10" t="str">
        <x:v>["S07-01:calendar"]</x:v>
      </x:c>
      <x:c r="G1399" s="10" t="n">
        <x:f>IF(E1399=F1399,1,0)</x:f>
        <x:v>1</x:v>
      </x:c>
    </x:row>
    <x:row r="1400" ht="55" customHeight="1">
      <x:c r="A1400" s="10" t="str">
        <x:v>D-B</x:v>
      </x:c>
      <x:c r="B1400" s="10" t="str">
        <x:v>DELIVERY</x:v>
      </x:c>
      <x:c r="C1400" s="10" t="str">
        <x:v>DELIVERY:S07-01:input</x:v>
      </x:c>
      <x:c r="D1400" s="10" t="str">
        <x:v>DELIVERY:S07-01:e2</x:v>
      </x:c>
      <x:c r="E1400" s="10" t="str">
        <x:v>["S07-01:mail"]</x:v>
      </x:c>
      <x:c r="F1400" s="10" t="str">
        <x:v>["S07-01:mail"]</x:v>
      </x:c>
      <x:c r="G1400" s="10" t="n">
        <x:f>IF(E1400=F1400,1,0)</x:f>
        <x:v>1</x:v>
      </x:c>
    </x:row>
    <x:row r="1401" ht="55" customHeight="1">
      <x:c r="A1401" s="10" t="str">
        <x:v>D-B</x:v>
      </x:c>
      <x:c r="B1401" s="10" t="str">
        <x:v>DELIVERY</x:v>
      </x:c>
      <x:c r="C1401" s="10" t="str">
        <x:v>DELIVERY:S07-01:input</x:v>
      </x:c>
      <x:c r="D1401" s="10" t="str">
        <x:v>DELIVERY:S07-01:e3</x:v>
      </x:c>
      <x:c r="E1401" s="10" t="str">
        <x:v>["S07-01:report"]</x:v>
      </x:c>
      <x:c r="F1401" s="10" t="str">
        <x:v>["S07-01:report"]</x:v>
      </x:c>
      <x:c r="G1401" s="10" t="n">
        <x:f>IF(E1401=F1401,1,0)</x:f>
        <x:v>1</x:v>
      </x:c>
    </x:row>
    <x:row r="1402" ht="55" customHeight="1">
      <x:c r="A1402" s="10" t="str">
        <x:v>D-A</x:v>
      </x:c>
      <x:c r="B1402" s="10" t="str">
        <x:v>DELIVERY</x:v>
      </x:c>
      <x:c r="C1402" s="10" t="str">
        <x:v>DELIVERY:S07-02:input</x:v>
      </x:c>
      <x:c r="D1402" s="10" t="str">
        <x:v>DELIVERY:S07-02:e1</x:v>
      </x:c>
      <x:c r="E1402" s="10" t="str">
        <x:v>["S07-02:calendar"]</x:v>
      </x:c>
      <x:c r="F1402" s="10" t="str">
        <x:v>["S07-02:calendar"]</x:v>
      </x:c>
      <x:c r="G1402" s="10" t="n">
        <x:f>IF(E1402=F1402,1,0)</x:f>
        <x:v>1</x:v>
      </x:c>
    </x:row>
    <x:row r="1403" ht="55" customHeight="1">
      <x:c r="A1403" s="10" t="str">
        <x:v>D-A</x:v>
      </x:c>
      <x:c r="B1403" s="10" t="str">
        <x:v>DELIVERY</x:v>
      </x:c>
      <x:c r="C1403" s="10" t="str">
        <x:v>DELIVERY:S07-02:input</x:v>
      </x:c>
      <x:c r="D1403" s="10" t="str">
        <x:v>DELIVERY:S07-02:e2</x:v>
      </x:c>
      <x:c r="E1403" s="10" t="str">
        <x:v>["S07-02:mail"]</x:v>
      </x:c>
      <x:c r="F1403" s="10" t="str">
        <x:v>["S07-02:mail"]</x:v>
      </x:c>
      <x:c r="G1403" s="10" t="n">
        <x:f>IF(E1403=F1403,1,0)</x:f>
        <x:v>1</x:v>
      </x:c>
    </x:row>
    <x:row r="1404" ht="55" customHeight="1">
      <x:c r="A1404" s="10" t="str">
        <x:v>D-A</x:v>
      </x:c>
      <x:c r="B1404" s="10" t="str">
        <x:v>DELIVERY</x:v>
      </x:c>
      <x:c r="C1404" s="10" t="str">
        <x:v>DELIVERY:S07-02:input</x:v>
      </x:c>
      <x:c r="D1404" s="10" t="str">
        <x:v>DELIVERY:S07-02:e3</x:v>
      </x:c>
      <x:c r="E1404" s="10" t="str">
        <x:v>["S07-02:report"]</x:v>
      </x:c>
      <x:c r="F1404" s="10" t="str">
        <x:v>["S07-02:report"]</x:v>
      </x:c>
      <x:c r="G1404" s="10" t="n">
        <x:f>IF(E1404=F1404,1,0)</x:f>
        <x:v>1</x:v>
      </x:c>
    </x:row>
    <x:row r="1405" ht="55" customHeight="1">
      <x:c r="A1405" s="10" t="str">
        <x:v>D-B</x:v>
      </x:c>
      <x:c r="B1405" s="10" t="str">
        <x:v>DELIVERY</x:v>
      </x:c>
      <x:c r="C1405" s="10" t="str">
        <x:v>DELIVERY:S07-02:input</x:v>
      </x:c>
      <x:c r="D1405" s="10" t="str">
        <x:v>DELIVERY:S07-02:e1</x:v>
      </x:c>
      <x:c r="E1405" s="10" t="str">
        <x:v>["S07-02:calendar"]</x:v>
      </x:c>
      <x:c r="F1405" s="10" t="str">
        <x:v>["S07-02:calendar"]</x:v>
      </x:c>
      <x:c r="G1405" s="10" t="n">
        <x:f>IF(E1405=F1405,1,0)</x:f>
        <x:v>1</x:v>
      </x:c>
    </x:row>
    <x:row r="1406" ht="55" customHeight="1">
      <x:c r="A1406" s="10" t="str">
        <x:v>D-B</x:v>
      </x:c>
      <x:c r="B1406" s="10" t="str">
        <x:v>DELIVERY</x:v>
      </x:c>
      <x:c r="C1406" s="10" t="str">
        <x:v>DELIVERY:S07-02:input</x:v>
      </x:c>
      <x:c r="D1406" s="10" t="str">
        <x:v>DELIVERY:S07-02:e2</x:v>
      </x:c>
      <x:c r="E1406" s="10" t="str">
        <x:v>["S07-02:mail"]</x:v>
      </x:c>
      <x:c r="F1406" s="10" t="str">
        <x:v>["S07-02:mail"]</x:v>
      </x:c>
      <x:c r="G1406" s="10" t="n">
        <x:f>IF(E1406=F1406,1,0)</x:f>
        <x:v>1</x:v>
      </x:c>
    </x:row>
    <x:row r="1407" ht="55" customHeight="1">
      <x:c r="A1407" s="10" t="str">
        <x:v>D-B</x:v>
      </x:c>
      <x:c r="B1407" s="10" t="str">
        <x:v>DELIVERY</x:v>
      </x:c>
      <x:c r="C1407" s="10" t="str">
        <x:v>DELIVERY:S07-02:input</x:v>
      </x:c>
      <x:c r="D1407" s="10" t="str">
        <x:v>DELIVERY:S07-02:e3</x:v>
      </x:c>
      <x:c r="E1407" s="10" t="str">
        <x:v>["S07-02:report"]</x:v>
      </x:c>
      <x:c r="F1407" s="10" t="str">
        <x:v>["S07-02:report"]</x:v>
      </x:c>
      <x:c r="G1407" s="10" t="n">
        <x:f>IF(E1407=F1407,1,0)</x:f>
        <x:v>1</x:v>
      </x:c>
    </x:row>
    <x:row r="1408" ht="55" customHeight="1">
      <x:c r="A1408" s="10" t="str">
        <x:v>D-A</x:v>
      </x:c>
      <x:c r="B1408" s="10" t="str">
        <x:v>DELIVERY</x:v>
      </x:c>
      <x:c r="C1408" s="10" t="str">
        <x:v>DELIVERY:S07-03:input</x:v>
      </x:c>
      <x:c r="D1408" s="10" t="str">
        <x:v>DELIVERY:S07-03:e1</x:v>
      </x:c>
      <x:c r="E1408" s="10" t="str">
        <x:v>["S07-03:calendar"]</x:v>
      </x:c>
      <x:c r="F1408" s="10" t="str">
        <x:v>["S07-03:calendar"]</x:v>
      </x:c>
      <x:c r="G1408" s="10" t="n">
        <x:f>IF(E1408=F1408,1,0)</x:f>
        <x:v>1</x:v>
      </x:c>
    </x:row>
    <x:row r="1409" ht="55" customHeight="1">
      <x:c r="A1409" s="10" t="str">
        <x:v>D-A</x:v>
      </x:c>
      <x:c r="B1409" s="10" t="str">
        <x:v>DELIVERY</x:v>
      </x:c>
      <x:c r="C1409" s="10" t="str">
        <x:v>DELIVERY:S07-03:input</x:v>
      </x:c>
      <x:c r="D1409" s="10" t="str">
        <x:v>DELIVERY:S07-03:e2</x:v>
      </x:c>
      <x:c r="E1409" s="10" t="str">
        <x:v>["S07-03:mail"]</x:v>
      </x:c>
      <x:c r="F1409" s="10" t="str">
        <x:v>["S07-03:mail"]</x:v>
      </x:c>
      <x:c r="G1409" s="10" t="n">
        <x:f>IF(E1409=F1409,1,0)</x:f>
        <x:v>1</x:v>
      </x:c>
    </x:row>
    <x:row r="1410" ht="55" customHeight="1">
      <x:c r="A1410" s="10" t="str">
        <x:v>D-A</x:v>
      </x:c>
      <x:c r="B1410" s="10" t="str">
        <x:v>DELIVERY</x:v>
      </x:c>
      <x:c r="C1410" s="10" t="str">
        <x:v>DELIVERY:S07-03:input</x:v>
      </x:c>
      <x:c r="D1410" s="10" t="str">
        <x:v>DELIVERY:S07-03:e3</x:v>
      </x:c>
      <x:c r="E1410" s="10" t="str">
        <x:v>["S07-03:report"]</x:v>
      </x:c>
      <x:c r="F1410" s="10" t="str">
        <x:v>["S07-03:report"]</x:v>
      </x:c>
      <x:c r="G1410" s="10" t="n">
        <x:f>IF(E1410=F1410,1,0)</x:f>
        <x:v>1</x:v>
      </x:c>
    </x:row>
    <x:row r="1411" ht="55" customHeight="1">
      <x:c r="A1411" s="10" t="str">
        <x:v>D-B</x:v>
      </x:c>
      <x:c r="B1411" s="10" t="str">
        <x:v>DELIVERY</x:v>
      </x:c>
      <x:c r="C1411" s="10" t="str">
        <x:v>DELIVERY:S07-03:input</x:v>
      </x:c>
      <x:c r="D1411" s="10" t="str">
        <x:v>DELIVERY:S07-03:e1</x:v>
      </x:c>
      <x:c r="E1411" s="10" t="str">
        <x:v>["S07-03:calendar"]</x:v>
      </x:c>
      <x:c r="F1411" s="10" t="str">
        <x:v>["S07-03:calendar"]</x:v>
      </x:c>
      <x:c r="G1411" s="10" t="n">
        <x:f>IF(E1411=F1411,1,0)</x:f>
        <x:v>1</x:v>
      </x:c>
    </x:row>
    <x:row r="1412" ht="55" customHeight="1">
      <x:c r="A1412" s="10" t="str">
        <x:v>D-B</x:v>
      </x:c>
      <x:c r="B1412" s="10" t="str">
        <x:v>DELIVERY</x:v>
      </x:c>
      <x:c r="C1412" s="10" t="str">
        <x:v>DELIVERY:S07-03:input</x:v>
      </x:c>
      <x:c r="D1412" s="10" t="str">
        <x:v>DELIVERY:S07-03:e2</x:v>
      </x:c>
      <x:c r="E1412" s="10" t="str">
        <x:v>["S07-03:mail"]</x:v>
      </x:c>
      <x:c r="F1412" s="10" t="str">
        <x:v>["S07-03:mail"]</x:v>
      </x:c>
      <x:c r="G1412" s="10" t="n">
        <x:f>IF(E1412=F1412,1,0)</x:f>
        <x:v>1</x:v>
      </x:c>
    </x:row>
    <x:row r="1413" ht="55" customHeight="1">
      <x:c r="A1413" s="10" t="str">
        <x:v>D-B</x:v>
      </x:c>
      <x:c r="B1413" s="10" t="str">
        <x:v>DELIVERY</x:v>
      </x:c>
      <x:c r="C1413" s="10" t="str">
        <x:v>DELIVERY:S07-03:input</x:v>
      </x:c>
      <x:c r="D1413" s="10" t="str">
        <x:v>DELIVERY:S07-03:e3</x:v>
      </x:c>
      <x:c r="E1413" s="10" t="str">
        <x:v>["S07-03:report"]</x:v>
      </x:c>
      <x:c r="F1413" s="10" t="str">
        <x:v>["S07-03:report"]</x:v>
      </x:c>
      <x:c r="G1413" s="10" t="n">
        <x:f>IF(E1413=F1413,1,0)</x:f>
        <x:v>1</x:v>
      </x:c>
    </x:row>
    <x:row r="1414" ht="55" customHeight="1">
      <x:c r="A1414" s="10" t="str">
        <x:v>D-A</x:v>
      </x:c>
      <x:c r="B1414" s="10" t="str">
        <x:v>DELIVERY</x:v>
      </x:c>
      <x:c r="C1414" s="10" t="str">
        <x:v>DELIVERY:S07-04:input</x:v>
      </x:c>
      <x:c r="D1414" s="10" t="str">
        <x:v>DELIVERY:S07-04:e1</x:v>
      </x:c>
      <x:c r="E1414" s="10" t="str">
        <x:v>["S07-04:calendar"]</x:v>
      </x:c>
      <x:c r="F1414" s="10" t="str">
        <x:v>["S07-04:calendar"]</x:v>
      </x:c>
      <x:c r="G1414" s="10" t="n">
        <x:f>IF(E1414=F1414,1,0)</x:f>
        <x:v>1</x:v>
      </x:c>
    </x:row>
    <x:row r="1415" ht="55" customHeight="1">
      <x:c r="A1415" s="10" t="str">
        <x:v>D-A</x:v>
      </x:c>
      <x:c r="B1415" s="10" t="str">
        <x:v>DELIVERY</x:v>
      </x:c>
      <x:c r="C1415" s="10" t="str">
        <x:v>DELIVERY:S07-04:input</x:v>
      </x:c>
      <x:c r="D1415" s="10" t="str">
        <x:v>DELIVERY:S07-04:e2</x:v>
      </x:c>
      <x:c r="E1415" s="10" t="str">
        <x:v>["S07-04:mail"]</x:v>
      </x:c>
      <x:c r="F1415" s="10" t="str">
        <x:v>["S07-04:mail"]</x:v>
      </x:c>
      <x:c r="G1415" s="10" t="n">
        <x:f>IF(E1415=F1415,1,0)</x:f>
        <x:v>1</x:v>
      </x:c>
    </x:row>
    <x:row r="1416" ht="55" customHeight="1">
      <x:c r="A1416" s="10" t="str">
        <x:v>D-A</x:v>
      </x:c>
      <x:c r="B1416" s="10" t="str">
        <x:v>DELIVERY</x:v>
      </x:c>
      <x:c r="C1416" s="10" t="str">
        <x:v>DELIVERY:S07-04:input</x:v>
      </x:c>
      <x:c r="D1416" s="10" t="str">
        <x:v>DELIVERY:S07-04:e3</x:v>
      </x:c>
      <x:c r="E1416" s="10" t="str">
        <x:v>["S07-04:report"]</x:v>
      </x:c>
      <x:c r="F1416" s="10" t="str">
        <x:v>["S07-04:report"]</x:v>
      </x:c>
      <x:c r="G1416" s="10" t="n">
        <x:f>IF(E1416=F1416,1,0)</x:f>
        <x:v>1</x:v>
      </x:c>
    </x:row>
    <x:row r="1417" ht="55" customHeight="1">
      <x:c r="A1417" s="10" t="str">
        <x:v>D-B</x:v>
      </x:c>
      <x:c r="B1417" s="10" t="str">
        <x:v>DELIVERY</x:v>
      </x:c>
      <x:c r="C1417" s="10" t="str">
        <x:v>DELIVERY:S07-04:input</x:v>
      </x:c>
      <x:c r="D1417" s="10" t="str">
        <x:v>DELIVERY:S07-04:e1</x:v>
      </x:c>
      <x:c r="E1417" s="10" t="str">
        <x:v>["S07-04:calendar"]</x:v>
      </x:c>
      <x:c r="F1417" s="10" t="str">
        <x:v>["S07-04:calendar"]</x:v>
      </x:c>
      <x:c r="G1417" s="10" t="n">
        <x:f>IF(E1417=F1417,1,0)</x:f>
        <x:v>1</x:v>
      </x:c>
    </x:row>
    <x:row r="1418" ht="55" customHeight="1">
      <x:c r="A1418" s="10" t="str">
        <x:v>D-B</x:v>
      </x:c>
      <x:c r="B1418" s="10" t="str">
        <x:v>DELIVERY</x:v>
      </x:c>
      <x:c r="C1418" s="10" t="str">
        <x:v>DELIVERY:S07-04:input</x:v>
      </x:c>
      <x:c r="D1418" s="10" t="str">
        <x:v>DELIVERY:S07-04:e2</x:v>
      </x:c>
      <x:c r="E1418" s="10" t="str">
        <x:v>["S07-04:mail"]</x:v>
      </x:c>
      <x:c r="F1418" s="10" t="str">
        <x:v>["S07-04:mail"]</x:v>
      </x:c>
      <x:c r="G1418" s="10" t="n">
        <x:f>IF(E1418=F1418,1,0)</x:f>
        <x:v>1</x:v>
      </x:c>
    </x:row>
    <x:row r="1419" ht="55" customHeight="1">
      <x:c r="A1419" s="10" t="str">
        <x:v>D-B</x:v>
      </x:c>
      <x:c r="B1419" s="10" t="str">
        <x:v>DELIVERY</x:v>
      </x:c>
      <x:c r="C1419" s="10" t="str">
        <x:v>DELIVERY:S07-04:input</x:v>
      </x:c>
      <x:c r="D1419" s="10" t="str">
        <x:v>DELIVERY:S07-04:e3</x:v>
      </x:c>
      <x:c r="E1419" s="10" t="str">
        <x:v>["S07-04:report"]</x:v>
      </x:c>
      <x:c r="F1419" s="10" t="str">
        <x:v>["S07-04:report"]</x:v>
      </x:c>
      <x:c r="G1419" s="10" t="n">
        <x:f>IF(E1419=F1419,1,0)</x:f>
        <x:v>1</x:v>
      </x:c>
    </x:row>
    <x:row r="1420" ht="55" customHeight="1">
      <x:c r="A1420" s="10" t="str">
        <x:v>D-A</x:v>
      </x:c>
      <x:c r="B1420" s="10" t="str">
        <x:v>DELIVERY</x:v>
      </x:c>
      <x:c r="C1420" s="10" t="str">
        <x:v>DELIVERY:S07-05:input</x:v>
      </x:c>
      <x:c r="D1420" s="10" t="str">
        <x:v>DELIVERY:S07-05:e1</x:v>
      </x:c>
      <x:c r="E1420" s="10" t="str">
        <x:v>["S07-05:calendar"]</x:v>
      </x:c>
      <x:c r="F1420" s="10" t="str">
        <x:v>["S07-05:calendar"]</x:v>
      </x:c>
      <x:c r="G1420" s="10" t="n">
        <x:f>IF(E1420=F1420,1,0)</x:f>
        <x:v>1</x:v>
      </x:c>
    </x:row>
    <x:row r="1421" ht="55" customHeight="1">
      <x:c r="A1421" s="10" t="str">
        <x:v>D-A</x:v>
      </x:c>
      <x:c r="B1421" s="10" t="str">
        <x:v>DELIVERY</x:v>
      </x:c>
      <x:c r="C1421" s="10" t="str">
        <x:v>DELIVERY:S07-05:input</x:v>
      </x:c>
      <x:c r="D1421" s="10" t="str">
        <x:v>DELIVERY:S07-05:e2</x:v>
      </x:c>
      <x:c r="E1421" s="10" t="str">
        <x:v>["S07-05:mail"]</x:v>
      </x:c>
      <x:c r="F1421" s="10" t="str">
        <x:v>["S07-05:mail"]</x:v>
      </x:c>
      <x:c r="G1421" s="10" t="n">
        <x:f>IF(E1421=F1421,1,0)</x:f>
        <x:v>1</x:v>
      </x:c>
    </x:row>
    <x:row r="1422" ht="55" customHeight="1">
      <x:c r="A1422" s="10" t="str">
        <x:v>D-A</x:v>
      </x:c>
      <x:c r="B1422" s="10" t="str">
        <x:v>DELIVERY</x:v>
      </x:c>
      <x:c r="C1422" s="10" t="str">
        <x:v>DELIVERY:S07-05:input</x:v>
      </x:c>
      <x:c r="D1422" s="10" t="str">
        <x:v>DELIVERY:S07-05:e3</x:v>
      </x:c>
      <x:c r="E1422" s="10" t="str">
        <x:v>["S07-05:report"]</x:v>
      </x:c>
      <x:c r="F1422" s="10" t="str">
        <x:v>["S07-05:report"]</x:v>
      </x:c>
      <x:c r="G1422" s="10" t="n">
        <x:f>IF(E1422=F1422,1,0)</x:f>
        <x:v>1</x:v>
      </x:c>
    </x:row>
    <x:row r="1423" ht="55" customHeight="1">
      <x:c r="A1423" s="10" t="str">
        <x:v>D-B</x:v>
      </x:c>
      <x:c r="B1423" s="10" t="str">
        <x:v>DELIVERY</x:v>
      </x:c>
      <x:c r="C1423" s="10" t="str">
        <x:v>DELIVERY:S07-05:input</x:v>
      </x:c>
      <x:c r="D1423" s="10" t="str">
        <x:v>DELIVERY:S07-05:e1</x:v>
      </x:c>
      <x:c r="E1423" s="10" t="str">
        <x:v>["S07-05:calendar"]</x:v>
      </x:c>
      <x:c r="F1423" s="10" t="str">
        <x:v>["S07-05:calendar"]</x:v>
      </x:c>
      <x:c r="G1423" s="10" t="n">
        <x:f>IF(E1423=F1423,1,0)</x:f>
        <x:v>1</x:v>
      </x:c>
    </x:row>
    <x:row r="1424" ht="55" customHeight="1">
      <x:c r="A1424" s="10" t="str">
        <x:v>D-B</x:v>
      </x:c>
      <x:c r="B1424" s="10" t="str">
        <x:v>DELIVERY</x:v>
      </x:c>
      <x:c r="C1424" s="10" t="str">
        <x:v>DELIVERY:S07-05:input</x:v>
      </x:c>
      <x:c r="D1424" s="10" t="str">
        <x:v>DELIVERY:S07-05:e2</x:v>
      </x:c>
      <x:c r="E1424" s="10" t="str">
        <x:v>["S07-05:mail"]</x:v>
      </x:c>
      <x:c r="F1424" s="10" t="str">
        <x:v>["S07-05:mail"]</x:v>
      </x:c>
      <x:c r="G1424" s="10" t="n">
        <x:f>IF(E1424=F1424,1,0)</x:f>
        <x:v>1</x:v>
      </x:c>
    </x:row>
    <x:row r="1425" ht="55" customHeight="1">
      <x:c r="A1425" s="10" t="str">
        <x:v>D-B</x:v>
      </x:c>
      <x:c r="B1425" s="10" t="str">
        <x:v>DELIVERY</x:v>
      </x:c>
      <x:c r="C1425" s="10" t="str">
        <x:v>DELIVERY:S07-05:input</x:v>
      </x:c>
      <x:c r="D1425" s="10" t="str">
        <x:v>DELIVERY:S07-05:e3</x:v>
      </x:c>
      <x:c r="E1425" s="10" t="str">
        <x:v>["S07-05:report"]</x:v>
      </x:c>
      <x:c r="F1425" s="10" t="str">
        <x:v>["S07-05:report"]</x:v>
      </x:c>
      <x:c r="G1425" s="10" t="n">
        <x:f>IF(E1425=F1425,1,0)</x:f>
        <x:v>1</x:v>
      </x:c>
    </x:row>
    <x:row r="1426" ht="55" customHeight="1">
      <x:c r="A1426" s="10" t="str">
        <x:v>D-A</x:v>
      </x:c>
      <x:c r="B1426" s="10" t="str">
        <x:v>DELIVERY</x:v>
      </x:c>
      <x:c r="C1426" s="10" t="str">
        <x:v>DELIVERY:S07-06:input</x:v>
      </x:c>
      <x:c r="D1426" s="10" t="str">
        <x:v>DELIVERY:S07-06:e1</x:v>
      </x:c>
      <x:c r="E1426" s="10" t="str">
        <x:v>["S07-06:calendar"]</x:v>
      </x:c>
      <x:c r="F1426" s="10" t="str">
        <x:v>["S07-06:calendar"]</x:v>
      </x:c>
      <x:c r="G1426" s="10" t="n">
        <x:f>IF(E1426=F1426,1,0)</x:f>
        <x:v>1</x:v>
      </x:c>
    </x:row>
    <x:row r="1427" ht="55" customHeight="1">
      <x:c r="A1427" s="10" t="str">
        <x:v>D-A</x:v>
      </x:c>
      <x:c r="B1427" s="10" t="str">
        <x:v>DELIVERY</x:v>
      </x:c>
      <x:c r="C1427" s="10" t="str">
        <x:v>DELIVERY:S07-06:input</x:v>
      </x:c>
      <x:c r="D1427" s="10" t="str">
        <x:v>DELIVERY:S07-06:e2</x:v>
      </x:c>
      <x:c r="E1427" s="10" t="str">
        <x:v>["S07-06:mail"]</x:v>
      </x:c>
      <x:c r="F1427" s="10" t="str">
        <x:v>["S07-06:mail"]</x:v>
      </x:c>
      <x:c r="G1427" s="10" t="n">
        <x:f>IF(E1427=F1427,1,0)</x:f>
        <x:v>1</x:v>
      </x:c>
    </x:row>
    <x:row r="1428" ht="55" customHeight="1">
      <x:c r="A1428" s="10" t="str">
        <x:v>D-A</x:v>
      </x:c>
      <x:c r="B1428" s="10" t="str">
        <x:v>DELIVERY</x:v>
      </x:c>
      <x:c r="C1428" s="10" t="str">
        <x:v>DELIVERY:S07-06:input</x:v>
      </x:c>
      <x:c r="D1428" s="10" t="str">
        <x:v>DELIVERY:S07-06:e3</x:v>
      </x:c>
      <x:c r="E1428" s="10" t="str">
        <x:v>["S07-06:report"]</x:v>
      </x:c>
      <x:c r="F1428" s="10" t="str">
        <x:v>["S07-06:report"]</x:v>
      </x:c>
      <x:c r="G1428" s="10" t="n">
        <x:f>IF(E1428=F1428,1,0)</x:f>
        <x:v>1</x:v>
      </x:c>
    </x:row>
    <x:row r="1429" ht="55" customHeight="1">
      <x:c r="A1429" s="10" t="str">
        <x:v>D-B</x:v>
      </x:c>
      <x:c r="B1429" s="10" t="str">
        <x:v>DELIVERY</x:v>
      </x:c>
      <x:c r="C1429" s="10" t="str">
        <x:v>DELIVERY:S07-06:input</x:v>
      </x:c>
      <x:c r="D1429" s="10" t="str">
        <x:v>DELIVERY:S07-06:e1</x:v>
      </x:c>
      <x:c r="E1429" s="10" t="str">
        <x:v>["S07-06:calendar"]</x:v>
      </x:c>
      <x:c r="F1429" s="10" t="str">
        <x:v>["S07-06:calendar"]</x:v>
      </x:c>
      <x:c r="G1429" s="10" t="n">
        <x:f>IF(E1429=F1429,1,0)</x:f>
        <x:v>1</x:v>
      </x:c>
    </x:row>
    <x:row r="1430" ht="55" customHeight="1">
      <x:c r="A1430" s="10" t="str">
        <x:v>D-B</x:v>
      </x:c>
      <x:c r="B1430" s="10" t="str">
        <x:v>DELIVERY</x:v>
      </x:c>
      <x:c r="C1430" s="10" t="str">
        <x:v>DELIVERY:S07-06:input</x:v>
      </x:c>
      <x:c r="D1430" s="10" t="str">
        <x:v>DELIVERY:S07-06:e2</x:v>
      </x:c>
      <x:c r="E1430" s="10" t="str">
        <x:v>["S07-06:mail"]</x:v>
      </x:c>
      <x:c r="F1430" s="10" t="str">
        <x:v>["S07-06:mail"]</x:v>
      </x:c>
      <x:c r="G1430" s="10" t="n">
        <x:f>IF(E1430=F1430,1,0)</x:f>
        <x:v>1</x:v>
      </x:c>
    </x:row>
    <x:row r="1431" ht="55" customHeight="1">
      <x:c r="A1431" s="10" t="str">
        <x:v>D-B</x:v>
      </x:c>
      <x:c r="B1431" s="10" t="str">
        <x:v>DELIVERY</x:v>
      </x:c>
      <x:c r="C1431" s="10" t="str">
        <x:v>DELIVERY:S07-06:input</x:v>
      </x:c>
      <x:c r="D1431" s="10" t="str">
        <x:v>DELIVERY:S07-06:e3</x:v>
      </x:c>
      <x:c r="E1431" s="10" t="str">
        <x:v>["S07-06:report"]</x:v>
      </x:c>
      <x:c r="F1431" s="10" t="str">
        <x:v>["S07-06:report"]</x:v>
      </x:c>
      <x:c r="G1431" s="10" t="n">
        <x:f>IF(E1431=F1431,1,0)</x:f>
        <x:v>1</x:v>
      </x:c>
    </x:row>
    <x:row r="1432" ht="55" customHeight="1">
      <x:c r="A1432" s="10" t="str">
        <x:v>D-A</x:v>
      </x:c>
      <x:c r="B1432" s="10" t="str">
        <x:v>DELIVERY</x:v>
      </x:c>
      <x:c r="C1432" s="10" t="str">
        <x:v>DELIVERY:S07-07:input</x:v>
      </x:c>
      <x:c r="D1432" s="10" t="str">
        <x:v>DELIVERY:S07-07:e1</x:v>
      </x:c>
      <x:c r="E1432" s="10" t="str">
        <x:v>["S07-07:calendar"]</x:v>
      </x:c>
      <x:c r="F1432" s="10" t="str">
        <x:v>["S07-07:calendar"]</x:v>
      </x:c>
      <x:c r="G1432" s="10" t="n">
        <x:f>IF(E1432=F1432,1,0)</x:f>
        <x:v>1</x:v>
      </x:c>
    </x:row>
    <x:row r="1433" ht="55" customHeight="1">
      <x:c r="A1433" s="10" t="str">
        <x:v>D-A</x:v>
      </x:c>
      <x:c r="B1433" s="10" t="str">
        <x:v>DELIVERY</x:v>
      </x:c>
      <x:c r="C1433" s="10" t="str">
        <x:v>DELIVERY:S07-07:input</x:v>
      </x:c>
      <x:c r="D1433" s="10" t="str">
        <x:v>DELIVERY:S07-07:e2</x:v>
      </x:c>
      <x:c r="E1433" s="10" t="str">
        <x:v>["S07-07:mail"]</x:v>
      </x:c>
      <x:c r="F1433" s="10" t="str">
        <x:v>["S07-07:mail"]</x:v>
      </x:c>
      <x:c r="G1433" s="10" t="n">
        <x:f>IF(E1433=F1433,1,0)</x:f>
        <x:v>1</x:v>
      </x:c>
    </x:row>
    <x:row r="1434" ht="55" customHeight="1">
      <x:c r="A1434" s="10" t="str">
        <x:v>D-A</x:v>
      </x:c>
      <x:c r="B1434" s="10" t="str">
        <x:v>DELIVERY</x:v>
      </x:c>
      <x:c r="C1434" s="10" t="str">
        <x:v>DELIVERY:S07-07:input</x:v>
      </x:c>
      <x:c r="D1434" s="10" t="str">
        <x:v>DELIVERY:S07-07:e3</x:v>
      </x:c>
      <x:c r="E1434" s="10" t="str">
        <x:v>["S07-07:report"]</x:v>
      </x:c>
      <x:c r="F1434" s="10" t="str">
        <x:v>["S07-07:report"]</x:v>
      </x:c>
      <x:c r="G1434" s="10" t="n">
        <x:f>IF(E1434=F1434,1,0)</x:f>
        <x:v>1</x:v>
      </x:c>
    </x:row>
    <x:row r="1435" ht="55" customHeight="1">
      <x:c r="A1435" s="10" t="str">
        <x:v>D-B</x:v>
      </x:c>
      <x:c r="B1435" s="10" t="str">
        <x:v>DELIVERY</x:v>
      </x:c>
      <x:c r="C1435" s="10" t="str">
        <x:v>DELIVERY:S07-07:input</x:v>
      </x:c>
      <x:c r="D1435" s="10" t="str">
        <x:v>DELIVERY:S07-07:e1</x:v>
      </x:c>
      <x:c r="E1435" s="10" t="str">
        <x:v>["S07-07:calendar"]</x:v>
      </x:c>
      <x:c r="F1435" s="10" t="str">
        <x:v>["S07-07:calendar"]</x:v>
      </x:c>
      <x:c r="G1435" s="10" t="n">
        <x:f>IF(E1435=F1435,1,0)</x:f>
        <x:v>1</x:v>
      </x:c>
    </x:row>
    <x:row r="1436" ht="55" customHeight="1">
      <x:c r="A1436" s="10" t="str">
        <x:v>D-B</x:v>
      </x:c>
      <x:c r="B1436" s="10" t="str">
        <x:v>DELIVERY</x:v>
      </x:c>
      <x:c r="C1436" s="10" t="str">
        <x:v>DELIVERY:S07-07:input</x:v>
      </x:c>
      <x:c r="D1436" s="10" t="str">
        <x:v>DELIVERY:S07-07:e2</x:v>
      </x:c>
      <x:c r="E1436" s="10" t="str">
        <x:v>["S07-07:mail"]</x:v>
      </x:c>
      <x:c r="F1436" s="10" t="str">
        <x:v>["S07-07:mail"]</x:v>
      </x:c>
      <x:c r="G1436" s="10" t="n">
        <x:f>IF(E1436=F1436,1,0)</x:f>
        <x:v>1</x:v>
      </x:c>
    </x:row>
    <x:row r="1437" ht="55" customHeight="1">
      <x:c r="A1437" s="10" t="str">
        <x:v>D-B</x:v>
      </x:c>
      <x:c r="B1437" s="10" t="str">
        <x:v>DELIVERY</x:v>
      </x:c>
      <x:c r="C1437" s="10" t="str">
        <x:v>DELIVERY:S07-07:input</x:v>
      </x:c>
      <x:c r="D1437" s="10" t="str">
        <x:v>DELIVERY:S07-07:e3</x:v>
      </x:c>
      <x:c r="E1437" s="10" t="str">
        <x:v>["S07-07:report"]</x:v>
      </x:c>
      <x:c r="F1437" s="10" t="str">
        <x:v>["S07-07:report"]</x:v>
      </x:c>
      <x:c r="G1437" s="10" t="n">
        <x:f>IF(E1437=F1437,1,0)</x:f>
        <x:v>1</x:v>
      </x:c>
    </x:row>
    <x:row r="1438" ht="55" customHeight="1">
      <x:c r="A1438" s="10" t="str">
        <x:v>D-A</x:v>
      </x:c>
      <x:c r="B1438" s="10" t="str">
        <x:v>DELIVERY</x:v>
      </x:c>
      <x:c r="C1438" s="10" t="str">
        <x:v>DELIVERY:S07-08:input</x:v>
      </x:c>
      <x:c r="D1438" s="10" t="str">
        <x:v>DELIVERY:S07-08:e1</x:v>
      </x:c>
      <x:c r="E1438" s="10" t="str">
        <x:v>["S07-08:calendar"]</x:v>
      </x:c>
      <x:c r="F1438" s="10" t="str">
        <x:v>["S07-08:calendar"]</x:v>
      </x:c>
      <x:c r="G1438" s="10" t="n">
        <x:f>IF(E1438=F1438,1,0)</x:f>
        <x:v>1</x:v>
      </x:c>
    </x:row>
    <x:row r="1439" ht="55" customHeight="1">
      <x:c r="A1439" s="10" t="str">
        <x:v>D-A</x:v>
      </x:c>
      <x:c r="B1439" s="10" t="str">
        <x:v>DELIVERY</x:v>
      </x:c>
      <x:c r="C1439" s="10" t="str">
        <x:v>DELIVERY:S07-08:input</x:v>
      </x:c>
      <x:c r="D1439" s="10" t="str">
        <x:v>DELIVERY:S07-08:e2</x:v>
      </x:c>
      <x:c r="E1439" s="10" t="str">
        <x:v>["S07-08:mail"]</x:v>
      </x:c>
      <x:c r="F1439" s="10" t="str">
        <x:v>["S07-08:mail"]</x:v>
      </x:c>
      <x:c r="G1439" s="10" t="n">
        <x:f>IF(E1439=F1439,1,0)</x:f>
        <x:v>1</x:v>
      </x:c>
    </x:row>
    <x:row r="1440" ht="55" customHeight="1">
      <x:c r="A1440" s="10" t="str">
        <x:v>D-A</x:v>
      </x:c>
      <x:c r="B1440" s="10" t="str">
        <x:v>DELIVERY</x:v>
      </x:c>
      <x:c r="C1440" s="10" t="str">
        <x:v>DELIVERY:S07-08:input</x:v>
      </x:c>
      <x:c r="D1440" s="10" t="str">
        <x:v>DELIVERY:S07-08:e3</x:v>
      </x:c>
      <x:c r="E1440" s="10" t="str">
        <x:v>["S07-08:report"]</x:v>
      </x:c>
      <x:c r="F1440" s="10" t="str">
        <x:v>["S07-08:report"]</x:v>
      </x:c>
      <x:c r="G1440" s="10" t="n">
        <x:f>IF(E1440=F1440,1,0)</x:f>
        <x:v>1</x:v>
      </x:c>
    </x:row>
    <x:row r="1441" ht="55" customHeight="1">
      <x:c r="A1441" s="10" t="str">
        <x:v>D-B</x:v>
      </x:c>
      <x:c r="B1441" s="10" t="str">
        <x:v>DELIVERY</x:v>
      </x:c>
      <x:c r="C1441" s="10" t="str">
        <x:v>DELIVERY:S07-08:input</x:v>
      </x:c>
      <x:c r="D1441" s="10" t="str">
        <x:v>DELIVERY:S07-08:e1</x:v>
      </x:c>
      <x:c r="E1441" s="10" t="str">
        <x:v>["S07-08:calendar"]</x:v>
      </x:c>
      <x:c r="F1441" s="10" t="str">
        <x:v>["S07-08:calendar"]</x:v>
      </x:c>
      <x:c r="G1441" s="10" t="n">
        <x:f>IF(E1441=F1441,1,0)</x:f>
        <x:v>1</x:v>
      </x:c>
    </x:row>
    <x:row r="1442" ht="55" customHeight="1">
      <x:c r="A1442" s="10" t="str">
        <x:v>D-B</x:v>
      </x:c>
      <x:c r="B1442" s="10" t="str">
        <x:v>DELIVERY</x:v>
      </x:c>
      <x:c r="C1442" s="10" t="str">
        <x:v>DELIVERY:S07-08:input</x:v>
      </x:c>
      <x:c r="D1442" s="10" t="str">
        <x:v>DELIVERY:S07-08:e2</x:v>
      </x:c>
      <x:c r="E1442" s="10" t="str">
        <x:v>["S07-08:mail"]</x:v>
      </x:c>
      <x:c r="F1442" s="10" t="str">
        <x:v>["S07-08:mail"]</x:v>
      </x:c>
      <x:c r="G1442" s="10" t="n">
        <x:f>IF(E1442=F1442,1,0)</x:f>
        <x:v>1</x:v>
      </x:c>
    </x:row>
    <x:row r="1443" ht="55" customHeight="1">
      <x:c r="A1443" s="10" t="str">
        <x:v>D-B</x:v>
      </x:c>
      <x:c r="B1443" s="10" t="str">
        <x:v>DELIVERY</x:v>
      </x:c>
      <x:c r="C1443" s="10" t="str">
        <x:v>DELIVERY:S07-08:input</x:v>
      </x:c>
      <x:c r="D1443" s="10" t="str">
        <x:v>DELIVERY:S07-08:e3</x:v>
      </x:c>
      <x:c r="E1443" s="10" t="str">
        <x:v>["S07-08:report"]</x:v>
      </x:c>
      <x:c r="F1443" s="10" t="str">
        <x:v>["S07-08:report"]</x:v>
      </x:c>
      <x:c r="G1443" s="10" t="n">
        <x:f>IF(E1443=F1443,1,0)</x:f>
        <x:v>1</x:v>
      </x:c>
    </x:row>
    <x:row r="1444" ht="55" customHeight="1">
      <x:c r="A1444" s="10" t="str">
        <x:v>D-A</x:v>
      </x:c>
      <x:c r="B1444" s="10" t="str">
        <x:v>DELIVERY</x:v>
      </x:c>
      <x:c r="C1444" s="10" t="str">
        <x:v>DELIVERY:S07-09:input</x:v>
      </x:c>
      <x:c r="D1444" s="10" t="str">
        <x:v>DELIVERY:S07-09:e1</x:v>
      </x:c>
      <x:c r="E1444" s="10" t="str">
        <x:v>["S07-09:calendar"]</x:v>
      </x:c>
      <x:c r="F1444" s="10" t="str">
        <x:v>["S07-09:calendar"]</x:v>
      </x:c>
      <x:c r="G1444" s="10" t="n">
        <x:f>IF(E1444=F1444,1,0)</x:f>
        <x:v>1</x:v>
      </x:c>
    </x:row>
    <x:row r="1445" ht="55" customHeight="1">
      <x:c r="A1445" s="10" t="str">
        <x:v>D-A</x:v>
      </x:c>
      <x:c r="B1445" s="10" t="str">
        <x:v>DELIVERY</x:v>
      </x:c>
      <x:c r="C1445" s="10" t="str">
        <x:v>DELIVERY:S07-09:input</x:v>
      </x:c>
      <x:c r="D1445" s="10" t="str">
        <x:v>DELIVERY:S07-09:e2</x:v>
      </x:c>
      <x:c r="E1445" s="10" t="str">
        <x:v>["S07-09:mail"]</x:v>
      </x:c>
      <x:c r="F1445" s="10" t="str">
        <x:v>["S07-09:mail"]</x:v>
      </x:c>
      <x:c r="G1445" s="10" t="n">
        <x:f>IF(E1445=F1445,1,0)</x:f>
        <x:v>1</x:v>
      </x:c>
    </x:row>
    <x:row r="1446" ht="55" customHeight="1">
      <x:c r="A1446" s="10" t="str">
        <x:v>D-A</x:v>
      </x:c>
      <x:c r="B1446" s="10" t="str">
        <x:v>DELIVERY</x:v>
      </x:c>
      <x:c r="C1446" s="10" t="str">
        <x:v>DELIVERY:S07-09:input</x:v>
      </x:c>
      <x:c r="D1446" s="10" t="str">
        <x:v>DELIVERY:S07-09:e3</x:v>
      </x:c>
      <x:c r="E1446" s="10" t="str">
        <x:v>["S07-09:report"]</x:v>
      </x:c>
      <x:c r="F1446" s="10" t="str">
        <x:v>["S07-09:report"]</x:v>
      </x:c>
      <x:c r="G1446" s="10" t="n">
        <x:f>IF(E1446=F1446,1,0)</x:f>
        <x:v>1</x:v>
      </x:c>
    </x:row>
    <x:row r="1447" ht="55" customHeight="1">
      <x:c r="A1447" s="10" t="str">
        <x:v>D-B</x:v>
      </x:c>
      <x:c r="B1447" s="10" t="str">
        <x:v>DELIVERY</x:v>
      </x:c>
      <x:c r="C1447" s="10" t="str">
        <x:v>DELIVERY:S07-09:input</x:v>
      </x:c>
      <x:c r="D1447" s="10" t="str">
        <x:v>DELIVERY:S07-09:e1</x:v>
      </x:c>
      <x:c r="E1447" s="10" t="str">
        <x:v>["S07-09:calendar"]</x:v>
      </x:c>
      <x:c r="F1447" s="10" t="str">
        <x:v>["S07-09:calendar"]</x:v>
      </x:c>
      <x:c r="G1447" s="10" t="n">
        <x:f>IF(E1447=F1447,1,0)</x:f>
        <x:v>1</x:v>
      </x:c>
    </x:row>
    <x:row r="1448" ht="55" customHeight="1">
      <x:c r="A1448" s="10" t="str">
        <x:v>D-B</x:v>
      </x:c>
      <x:c r="B1448" s="10" t="str">
        <x:v>DELIVERY</x:v>
      </x:c>
      <x:c r="C1448" s="10" t="str">
        <x:v>DELIVERY:S07-09:input</x:v>
      </x:c>
      <x:c r="D1448" s="10" t="str">
        <x:v>DELIVERY:S07-09:e2</x:v>
      </x:c>
      <x:c r="E1448" s="10" t="str">
        <x:v>["S07-09:mail"]</x:v>
      </x:c>
      <x:c r="F1448" s="10" t="str">
        <x:v>["S07-09:mail"]</x:v>
      </x:c>
      <x:c r="G1448" s="10" t="n">
        <x:f>IF(E1448=F1448,1,0)</x:f>
        <x:v>1</x:v>
      </x:c>
    </x:row>
    <x:row r="1449" ht="55" customHeight="1">
      <x:c r="A1449" s="10" t="str">
        <x:v>D-B</x:v>
      </x:c>
      <x:c r="B1449" s="10" t="str">
        <x:v>DELIVERY</x:v>
      </x:c>
      <x:c r="C1449" s="10" t="str">
        <x:v>DELIVERY:S07-09:input</x:v>
      </x:c>
      <x:c r="D1449" s="10" t="str">
        <x:v>DELIVERY:S07-09:e3</x:v>
      </x:c>
      <x:c r="E1449" s="10" t="str">
        <x:v>["S07-09:report"]</x:v>
      </x:c>
      <x:c r="F1449" s="10" t="str">
        <x:v>["S07-09:report"]</x:v>
      </x:c>
      <x:c r="G1449" s="10" t="n">
        <x:f>IF(E1449=F1449,1,0)</x:f>
        <x:v>1</x:v>
      </x:c>
    </x:row>
    <x:row r="1450" ht="55" customHeight="1">
      <x:c r="A1450" s="10" t="str">
        <x:v>D-A</x:v>
      </x:c>
      <x:c r="B1450" s="10" t="str">
        <x:v>DELIVERY</x:v>
      </x:c>
      <x:c r="C1450" s="10" t="str">
        <x:v>DELIVERY:S07-10:input</x:v>
      </x:c>
      <x:c r="D1450" s="10" t="str">
        <x:v>DELIVERY:S07-10:e1</x:v>
      </x:c>
      <x:c r="E1450" s="10" t="str">
        <x:v>["S07-10:calendar"]</x:v>
      </x:c>
      <x:c r="F1450" s="10" t="str">
        <x:v>["S07-10:calendar"]</x:v>
      </x:c>
      <x:c r="G1450" s="10" t="n">
        <x:f>IF(E1450=F1450,1,0)</x:f>
        <x:v>1</x:v>
      </x:c>
    </x:row>
    <x:row r="1451" ht="55" customHeight="1">
      <x:c r="A1451" s="10" t="str">
        <x:v>D-A</x:v>
      </x:c>
      <x:c r="B1451" s="10" t="str">
        <x:v>DELIVERY</x:v>
      </x:c>
      <x:c r="C1451" s="10" t="str">
        <x:v>DELIVERY:S07-10:input</x:v>
      </x:c>
      <x:c r="D1451" s="10" t="str">
        <x:v>DELIVERY:S07-10:e2</x:v>
      </x:c>
      <x:c r="E1451" s="10" t="str">
        <x:v>["S07-10:mail"]</x:v>
      </x:c>
      <x:c r="F1451" s="10" t="str">
        <x:v>["S07-10:mail"]</x:v>
      </x:c>
      <x:c r="G1451" s="10" t="n">
        <x:f>IF(E1451=F1451,1,0)</x:f>
        <x:v>1</x:v>
      </x:c>
    </x:row>
    <x:row r="1452" ht="55" customHeight="1">
      <x:c r="A1452" s="10" t="str">
        <x:v>D-A</x:v>
      </x:c>
      <x:c r="B1452" s="10" t="str">
        <x:v>DELIVERY</x:v>
      </x:c>
      <x:c r="C1452" s="10" t="str">
        <x:v>DELIVERY:S07-10:input</x:v>
      </x:c>
      <x:c r="D1452" s="10" t="str">
        <x:v>DELIVERY:S07-10:e3</x:v>
      </x:c>
      <x:c r="E1452" s="10" t="str">
        <x:v>["S07-10:report"]</x:v>
      </x:c>
      <x:c r="F1452" s="10" t="str">
        <x:v>["S07-10:report"]</x:v>
      </x:c>
      <x:c r="G1452" s="10" t="n">
        <x:f>IF(E1452=F1452,1,0)</x:f>
        <x:v>1</x:v>
      </x:c>
    </x:row>
    <x:row r="1453" ht="55" customHeight="1">
      <x:c r="A1453" s="10" t="str">
        <x:v>D-B</x:v>
      </x:c>
      <x:c r="B1453" s="10" t="str">
        <x:v>DELIVERY</x:v>
      </x:c>
      <x:c r="C1453" s="10" t="str">
        <x:v>DELIVERY:S07-10:input</x:v>
      </x:c>
      <x:c r="D1453" s="10" t="str">
        <x:v>DELIVERY:S07-10:e1</x:v>
      </x:c>
      <x:c r="E1453" s="10" t="str">
        <x:v>["S07-10:calendar"]</x:v>
      </x:c>
      <x:c r="F1453" s="10" t="str">
        <x:v>["S07-10:calendar"]</x:v>
      </x:c>
      <x:c r="G1453" s="10" t="n">
        <x:f>IF(E1453=F1453,1,0)</x:f>
        <x:v>1</x:v>
      </x:c>
    </x:row>
    <x:row r="1454" ht="55" customHeight="1">
      <x:c r="A1454" s="10" t="str">
        <x:v>D-B</x:v>
      </x:c>
      <x:c r="B1454" s="10" t="str">
        <x:v>DELIVERY</x:v>
      </x:c>
      <x:c r="C1454" s="10" t="str">
        <x:v>DELIVERY:S07-10:input</x:v>
      </x:c>
      <x:c r="D1454" s="10" t="str">
        <x:v>DELIVERY:S07-10:e2</x:v>
      </x:c>
      <x:c r="E1454" s="10" t="str">
        <x:v>["S07-10:mail"]</x:v>
      </x:c>
      <x:c r="F1454" s="10" t="str">
        <x:v>["S07-10:mail"]</x:v>
      </x:c>
      <x:c r="G1454" s="10" t="n">
        <x:f>IF(E1454=F1454,1,0)</x:f>
        <x:v>1</x:v>
      </x:c>
    </x:row>
    <x:row r="1455" ht="55" customHeight="1">
      <x:c r="A1455" s="10" t="str">
        <x:v>D-B</x:v>
      </x:c>
      <x:c r="B1455" s="10" t="str">
        <x:v>DELIVERY</x:v>
      </x:c>
      <x:c r="C1455" s="10" t="str">
        <x:v>DELIVERY:S07-10:input</x:v>
      </x:c>
      <x:c r="D1455" s="10" t="str">
        <x:v>DELIVERY:S07-10:e3</x:v>
      </x:c>
      <x:c r="E1455" s="10" t="str">
        <x:v>["S07-10:report"]</x:v>
      </x:c>
      <x:c r="F1455" s="10" t="str">
        <x:v>["S07-10:report"]</x:v>
      </x:c>
      <x:c r="G1455" s="10" t="n">
        <x:f>IF(E1455=F1455,1,0)</x:f>
        <x:v>1</x:v>
      </x:c>
    </x:row>
    <x:row r="1456" ht="55" customHeight="1">
      <x:c r="A1456" s="10" t="str">
        <x:v>D-A</x:v>
      </x:c>
      <x:c r="B1456" s="10" t="str">
        <x:v>DELIVERY</x:v>
      </x:c>
      <x:c r="C1456" s="10" t="str">
        <x:v>DELIVERY:S08-01:input</x:v>
      </x:c>
      <x:c r="D1456" s="10" t="str">
        <x:v>DELIVERY:S08-01:e1</x:v>
      </x:c>
      <x:c r="E1456" s="10" t="str">
        <x:v>["S08-01:question"]</x:v>
      </x:c>
      <x:c r="F1456" s="10" t="str">
        <x:v>["S08-01:question"]</x:v>
      </x:c>
      <x:c r="G1456" s="10" t="n">
        <x:f>IF(E1456=F1456,1,0)</x:f>
        <x:v>1</x:v>
      </x:c>
    </x:row>
    <x:row r="1457" ht="55" customHeight="1">
      <x:c r="A1457" s="10" t="str">
        <x:v>D-B</x:v>
      </x:c>
      <x:c r="B1457" s="10" t="str">
        <x:v>DELIVERY</x:v>
      </x:c>
      <x:c r="C1457" s="10" t="str">
        <x:v>DELIVERY:S08-01:input</x:v>
      </x:c>
      <x:c r="D1457" s="10" t="str">
        <x:v>DELIVERY:S08-01:e1</x:v>
      </x:c>
      <x:c r="E1457" s="10" t="str">
        <x:v>["S08-01:question"]</x:v>
      </x:c>
      <x:c r="F1457" s="10" t="str">
        <x:v>["S08-01:question"]</x:v>
      </x:c>
      <x:c r="G1457" s="10" t="n">
        <x:f>IF(E1457=F1457,1,0)</x:f>
        <x:v>1</x:v>
      </x:c>
    </x:row>
    <x:row r="1458" ht="55" customHeight="1">
      <x:c r="A1458" s="10" t="str">
        <x:v>D-A</x:v>
      </x:c>
      <x:c r="B1458" s="10" t="str">
        <x:v>DELIVERY</x:v>
      </x:c>
      <x:c r="C1458" s="10" t="str">
        <x:v>DELIVERY:S08-02:input</x:v>
      </x:c>
      <x:c r="D1458" s="10" t="str">
        <x:v>DELIVERY:S08-02:e1</x:v>
      </x:c>
      <x:c r="E1458" s="10" t="str">
        <x:v>["S08-02:question"]</x:v>
      </x:c>
      <x:c r="F1458" s="10" t="str">
        <x:v>["S08-02:question"]</x:v>
      </x:c>
      <x:c r="G1458" s="10" t="n">
        <x:f>IF(E1458=F1458,1,0)</x:f>
        <x:v>1</x:v>
      </x:c>
    </x:row>
    <x:row r="1459" ht="55" customHeight="1">
      <x:c r="A1459" s="10" t="str">
        <x:v>D-B</x:v>
      </x:c>
      <x:c r="B1459" s="10" t="str">
        <x:v>DELIVERY</x:v>
      </x:c>
      <x:c r="C1459" s="10" t="str">
        <x:v>DELIVERY:S08-02:input</x:v>
      </x:c>
      <x:c r="D1459" s="10" t="str">
        <x:v>DELIVERY:S08-02:e1</x:v>
      </x:c>
      <x:c r="E1459" s="10" t="str">
        <x:v>["S08-02:question"]</x:v>
      </x:c>
      <x:c r="F1459" s="10" t="str">
        <x:v>["S08-02:question"]</x:v>
      </x:c>
      <x:c r="G1459" s="10" t="n">
        <x:f>IF(E1459=F1459,1,0)</x:f>
        <x:v>1</x:v>
      </x:c>
    </x:row>
    <x:row r="1460" ht="55" customHeight="1">
      <x:c r="A1460" s="10" t="str">
        <x:v>D-A</x:v>
      </x:c>
      <x:c r="B1460" s="10" t="str">
        <x:v>DELIVERY</x:v>
      </x:c>
      <x:c r="C1460" s="10" t="str">
        <x:v>DELIVERY:S08-03:input</x:v>
      </x:c>
      <x:c r="D1460" s="10" t="str">
        <x:v>DELIVERY:S08-03:e1</x:v>
      </x:c>
      <x:c r="E1460" s="10" t="str">
        <x:v>["S08-03:question"]</x:v>
      </x:c>
      <x:c r="F1460" s="10" t="str">
        <x:v>["S08-03:question"]</x:v>
      </x:c>
      <x:c r="G1460" s="10" t="n">
        <x:f>IF(E1460=F1460,1,0)</x:f>
        <x:v>1</x:v>
      </x:c>
    </x:row>
    <x:row r="1461" ht="55" customHeight="1">
      <x:c r="A1461" s="10" t="str">
        <x:v>D-B</x:v>
      </x:c>
      <x:c r="B1461" s="10" t="str">
        <x:v>DELIVERY</x:v>
      </x:c>
      <x:c r="C1461" s="10" t="str">
        <x:v>DELIVERY:S08-03:input</x:v>
      </x:c>
      <x:c r="D1461" s="10" t="str">
        <x:v>DELIVERY:S08-03:e1</x:v>
      </x:c>
      <x:c r="E1461" s="10" t="str">
        <x:v>["S08-03:question"]</x:v>
      </x:c>
      <x:c r="F1461" s="10" t="str">
        <x:v>["S08-03:question"]</x:v>
      </x:c>
      <x:c r="G1461" s="10" t="n">
        <x:f>IF(E1461=F1461,1,0)</x:f>
        <x:v>1</x:v>
      </x:c>
    </x:row>
    <x:row r="1462" ht="55" customHeight="1">
      <x:c r="A1462" s="10" t="str">
        <x:v>D-A</x:v>
      </x:c>
      <x:c r="B1462" s="10" t="str">
        <x:v>DELIVERY</x:v>
      </x:c>
      <x:c r="C1462" s="10" t="str">
        <x:v>DELIVERY:S08-04:input</x:v>
      </x:c>
      <x:c r="D1462" s="10" t="str">
        <x:v>DELIVERY:S08-04:e1</x:v>
      </x:c>
      <x:c r="E1462" s="10" t="str">
        <x:v>["S08-04:question"]</x:v>
      </x:c>
      <x:c r="F1462" s="10" t="str">
        <x:v>["S08-04:question"]</x:v>
      </x:c>
      <x:c r="G1462" s="10" t="n">
        <x:f>IF(E1462=F1462,1,0)</x:f>
        <x:v>1</x:v>
      </x:c>
    </x:row>
    <x:row r="1463" ht="55" customHeight="1">
      <x:c r="A1463" s="10" t="str">
        <x:v>D-B</x:v>
      </x:c>
      <x:c r="B1463" s="10" t="str">
        <x:v>DELIVERY</x:v>
      </x:c>
      <x:c r="C1463" s="10" t="str">
        <x:v>DELIVERY:S08-04:input</x:v>
      </x:c>
      <x:c r="D1463" s="10" t="str">
        <x:v>DELIVERY:S08-04:e1</x:v>
      </x:c>
      <x:c r="E1463" s="10" t="str">
        <x:v>["S08-04:question"]</x:v>
      </x:c>
      <x:c r="F1463" s="10" t="str">
        <x:v>["S08-04:question"]</x:v>
      </x:c>
      <x:c r="G1463" s="10" t="n">
        <x:f>IF(E1463=F1463,1,0)</x:f>
        <x:v>1</x:v>
      </x:c>
    </x:row>
    <x:row r="1464" ht="55" customHeight="1">
      <x:c r="A1464" s="10" t="str">
        <x:v>D-A</x:v>
      </x:c>
      <x:c r="B1464" s="10" t="str">
        <x:v>DELIVERY</x:v>
      </x:c>
      <x:c r="C1464" s="10" t="str">
        <x:v>DELIVERY:S08-05:input</x:v>
      </x:c>
      <x:c r="D1464" s="10" t="str">
        <x:v>DELIVERY:S08-05:e1</x:v>
      </x:c>
      <x:c r="E1464" s="10" t="str">
        <x:v>["S08-05:question"]</x:v>
      </x:c>
      <x:c r="F1464" s="10" t="str">
        <x:v>["S08-05:question"]</x:v>
      </x:c>
      <x:c r="G1464" s="10" t="n">
        <x:f>IF(E1464=F1464,1,0)</x:f>
        <x:v>1</x:v>
      </x:c>
    </x:row>
    <x:row r="1465" ht="55" customHeight="1">
      <x:c r="A1465" s="10" t="str">
        <x:v>D-B</x:v>
      </x:c>
      <x:c r="B1465" s="10" t="str">
        <x:v>DELIVERY</x:v>
      </x:c>
      <x:c r="C1465" s="10" t="str">
        <x:v>DELIVERY:S08-05:input</x:v>
      </x:c>
      <x:c r="D1465" s="10" t="str">
        <x:v>DELIVERY:S08-05:e1</x:v>
      </x:c>
      <x:c r="E1465" s="10" t="str">
        <x:v>["S08-05:question"]</x:v>
      </x:c>
      <x:c r="F1465" s="10" t="str">
        <x:v>["S08-05:question"]</x:v>
      </x:c>
      <x:c r="G1465" s="10" t="n">
        <x:f>IF(E1465=F1465,1,0)</x:f>
        <x:v>1</x:v>
      </x:c>
    </x:row>
    <x:row r="1466" ht="55" customHeight="1">
      <x:c r="A1466" s="10" t="str">
        <x:v>D-A</x:v>
      </x:c>
      <x:c r="B1466" s="10" t="str">
        <x:v>DELIVERY</x:v>
      </x:c>
      <x:c r="C1466" s="10" t="str">
        <x:v>DELIVERY:S08-06:input</x:v>
      </x:c>
      <x:c r="D1466" s="10" t="str">
        <x:v>DELIVERY:S08-06:e1</x:v>
      </x:c>
      <x:c r="E1466" s="10" t="str">
        <x:v>["S08-06:question"]</x:v>
      </x:c>
      <x:c r="F1466" s="10" t="str">
        <x:v>["S08-06:question"]</x:v>
      </x:c>
      <x:c r="G1466" s="10" t="n">
        <x:f>IF(E1466=F1466,1,0)</x:f>
        <x:v>1</x:v>
      </x:c>
    </x:row>
    <x:row r="1467" ht="55" customHeight="1">
      <x:c r="A1467" s="10" t="str">
        <x:v>D-B</x:v>
      </x:c>
      <x:c r="B1467" s="10" t="str">
        <x:v>DELIVERY</x:v>
      </x:c>
      <x:c r="C1467" s="10" t="str">
        <x:v>DELIVERY:S08-06:input</x:v>
      </x:c>
      <x:c r="D1467" s="10" t="str">
        <x:v>DELIVERY:S08-06:e1</x:v>
      </x:c>
      <x:c r="E1467" s="10" t="str">
        <x:v>["S08-06:question"]</x:v>
      </x:c>
      <x:c r="F1467" s="10" t="str">
        <x:v>["S08-06:question"]</x:v>
      </x:c>
      <x:c r="G1467" s="10" t="n">
        <x:f>IF(E1467=F1467,1,0)</x:f>
        <x:v>1</x:v>
      </x:c>
    </x:row>
    <x:row r="1468" ht="55" customHeight="1">
      <x:c r="A1468" s="10" t="str">
        <x:v>D-A</x:v>
      </x:c>
      <x:c r="B1468" s="10" t="str">
        <x:v>DELIVERY</x:v>
      </x:c>
      <x:c r="C1468" s="10" t="str">
        <x:v>DELIVERY:S08-07:input</x:v>
      </x:c>
      <x:c r="D1468" s="10" t="str">
        <x:v>DELIVERY:S08-07:e1</x:v>
      </x:c>
      <x:c r="E1468" s="10" t="str">
        <x:v>["S08-07:question"]</x:v>
      </x:c>
      <x:c r="F1468" s="10" t="str">
        <x:v>["S08-07:question"]</x:v>
      </x:c>
      <x:c r="G1468" s="10" t="n">
        <x:f>IF(E1468=F1468,1,0)</x:f>
        <x:v>1</x:v>
      </x:c>
    </x:row>
    <x:row r="1469" ht="55" customHeight="1">
      <x:c r="A1469" s="10" t="str">
        <x:v>D-B</x:v>
      </x:c>
      <x:c r="B1469" s="10" t="str">
        <x:v>DELIVERY</x:v>
      </x:c>
      <x:c r="C1469" s="10" t="str">
        <x:v>DELIVERY:S08-07:input</x:v>
      </x:c>
      <x:c r="D1469" s="10" t="str">
        <x:v>DELIVERY:S08-07:e1</x:v>
      </x:c>
      <x:c r="E1469" s="10" t="str">
        <x:v>["S08-07:question"]</x:v>
      </x:c>
      <x:c r="F1469" s="10" t="str">
        <x:v>["S08-07:question"]</x:v>
      </x:c>
      <x:c r="G1469" s="10" t="n">
        <x:f>IF(E1469=F1469,1,0)</x:f>
        <x:v>1</x:v>
      </x:c>
    </x:row>
    <x:row r="1470" ht="55" customHeight="1">
      <x:c r="A1470" s="10" t="str">
        <x:v>D-A</x:v>
      </x:c>
      <x:c r="B1470" s="10" t="str">
        <x:v>DELIVERY</x:v>
      </x:c>
      <x:c r="C1470" s="10" t="str">
        <x:v>DELIVERY:S08-08:input</x:v>
      </x:c>
      <x:c r="D1470" s="10" t="str">
        <x:v>DELIVERY:S08-08:e1</x:v>
      </x:c>
      <x:c r="E1470" s="10" t="str">
        <x:v>["S08-08:question"]</x:v>
      </x:c>
      <x:c r="F1470" s="10" t="str">
        <x:v>["S08-08:question"]</x:v>
      </x:c>
      <x:c r="G1470" s="10" t="n">
        <x:f>IF(E1470=F1470,1,0)</x:f>
        <x:v>1</x:v>
      </x:c>
    </x:row>
    <x:row r="1471" ht="55" customHeight="1">
      <x:c r="A1471" s="10" t="str">
        <x:v>D-B</x:v>
      </x:c>
      <x:c r="B1471" s="10" t="str">
        <x:v>DELIVERY</x:v>
      </x:c>
      <x:c r="C1471" s="10" t="str">
        <x:v>DELIVERY:S08-08:input</x:v>
      </x:c>
      <x:c r="D1471" s="10" t="str">
        <x:v>DELIVERY:S08-08:e1</x:v>
      </x:c>
      <x:c r="E1471" s="10" t="str">
        <x:v>["S08-08:question"]</x:v>
      </x:c>
      <x:c r="F1471" s="10" t="str">
        <x:v>["S08-08:question"]</x:v>
      </x:c>
      <x:c r="G1471" s="10" t="n">
        <x:f>IF(E1471=F1471,1,0)</x:f>
        <x:v>1</x:v>
      </x:c>
    </x:row>
    <x:row r="1472" ht="55" customHeight="1">
      <x:c r="A1472" s="10" t="str">
        <x:v>D-A</x:v>
      </x:c>
      <x:c r="B1472" s="10" t="str">
        <x:v>DELIVERY</x:v>
      </x:c>
      <x:c r="C1472" s="10" t="str">
        <x:v>DELIVERY:S08-09:input</x:v>
      </x:c>
      <x:c r="D1472" s="10" t="str">
        <x:v>DELIVERY:S08-09:e1</x:v>
      </x:c>
      <x:c r="E1472" s="10" t="str">
        <x:v>["S08-09:question"]</x:v>
      </x:c>
      <x:c r="F1472" s="10" t="str">
        <x:v>["S08-09:question"]</x:v>
      </x:c>
      <x:c r="G1472" s="10" t="n">
        <x:f>IF(E1472=F1472,1,0)</x:f>
        <x:v>1</x:v>
      </x:c>
    </x:row>
    <x:row r="1473" ht="55" customHeight="1">
      <x:c r="A1473" s="10" t="str">
        <x:v>D-B</x:v>
      </x:c>
      <x:c r="B1473" s="10" t="str">
        <x:v>DELIVERY</x:v>
      </x:c>
      <x:c r="C1473" s="10" t="str">
        <x:v>DELIVERY:S08-09:input</x:v>
      </x:c>
      <x:c r="D1473" s="10" t="str">
        <x:v>DELIVERY:S08-09:e1</x:v>
      </x:c>
      <x:c r="E1473" s="10" t="str">
        <x:v>["S08-09:question"]</x:v>
      </x:c>
      <x:c r="F1473" s="10" t="str">
        <x:v>["S08-09:question"]</x:v>
      </x:c>
      <x:c r="G1473" s="10" t="n">
        <x:f>IF(E1473=F1473,1,0)</x:f>
        <x:v>1</x:v>
      </x:c>
    </x:row>
    <x:row r="1474" ht="55" customHeight="1">
      <x:c r="A1474" s="10" t="str">
        <x:v>D-A</x:v>
      </x:c>
      <x:c r="B1474" s="10" t="str">
        <x:v>DELIVERY</x:v>
      </x:c>
      <x:c r="C1474" s="10" t="str">
        <x:v>DELIVERY:S08-10:input</x:v>
      </x:c>
      <x:c r="D1474" s="10" t="str">
        <x:v>DELIVERY:S08-10:e1</x:v>
      </x:c>
      <x:c r="E1474" s="10" t="str">
        <x:v>["S08-10:question"]</x:v>
      </x:c>
      <x:c r="F1474" s="10" t="str">
        <x:v>["S08-10:question"]</x:v>
      </x:c>
      <x:c r="G1474" s="10" t="n">
        <x:f>IF(E1474=F1474,1,0)</x:f>
        <x:v>1</x:v>
      </x:c>
    </x:row>
    <x:row r="1475" ht="55" customHeight="1">
      <x:c r="A1475" s="10" t="str">
        <x:v>D-B</x:v>
      </x:c>
      <x:c r="B1475" s="10" t="str">
        <x:v>DELIVERY</x:v>
      </x:c>
      <x:c r="C1475" s="10" t="str">
        <x:v>DELIVERY:S08-10:input</x:v>
      </x:c>
      <x:c r="D1475" s="10" t="str">
        <x:v>DELIVERY:S08-10:e1</x:v>
      </x:c>
      <x:c r="E1475" s="10" t="str">
        <x:v>["S08-10:question"]</x:v>
      </x:c>
      <x:c r="F1475" s="10" t="str">
        <x:v>["S08-10:question"]</x:v>
      </x:c>
      <x:c r="G1475" s="10" t="n">
        <x:f>IF(E1475=F1475,1,0)</x:f>
        <x:v>1</x:v>
      </x:c>
    </x:row>
  </x:sheetData>
  <x:pageMargins left="0.7" right="0.7" top="0.75" bottom="0.75" header="0.3" footer="0.3"/>
  <x:tableParts count="1">
    <x:tablePart xmlns:r="http://schemas.openxmlformats.org/officeDocument/2006/relationships" r:id="Rb40a9419d3e04b14"/>
  </x:tableParts>
</x:worksheet>
</file>

<file path=xl/worksheets/sheet5.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0.5600004196167" hidden="0" customWidth="1"/>
    <x:col min="2" max="2" width="8.329999923706055" hidden="0" customWidth="1"/>
    <x:col min="3" max="3" width="28.889999389648438" hidden="0" customWidth="1"/>
    <x:col min="4" max="4" width="84.44000244140625" hidden="0" customWidth="1"/>
    <x:col min="5" max="5" width="84.44000244140625" hidden="0" customWidth="1"/>
    <x:col min="6" max="6" width="10.5600004196167" hidden="0" customWidth="1"/>
    <x:col min="7" max="7" width="45.560001373291016" hidden="0" customWidth="1"/>
  </x:cols>
  <x:sheetData>
    <x:row r="1">
      <x:c r="A1" s="1"/>
      <x:c r="B1" s="1"/>
      <x:c r="C1" s="1"/>
      <x:c r="D1" s="1"/>
      <x:c r="E1" s="1"/>
      <x:c r="F1" s="1"/>
      <x:c r="G1" s="1"/>
    </x:row>
    <x:row r="2">
      <x:c r="A2" s="2" t="str">
        <x:v>입력별 최초 요청 의미</x:v>
      </x:c>
      <x:c r="B2" s="1"/>
      <x:c r="C2" s="1"/>
      <x:c r="D2" s="1"/>
      <x:c r="E2" s="1"/>
      <x:c r="F2" s="1"/>
      <x:c r="G2" s="1"/>
    </x:row>
    <x:row r="3">
      <x:c r="A3" s="3" t="str">
        <x:v>입력별 필수 의미 전체 일치다. DELIVERY 배열 순서를 보존한다. QA02와 같은 대상 오류가 중복될 수 있다.</x:v>
      </x:c>
      <x:c r="B3" s="1"/>
      <x:c r="C3" s="1"/>
      <x:c r="D3" s="1"/>
      <x:c r="E3" s="1"/>
      <x:c r="F3" s="1"/>
      <x:c r="G3" s="1"/>
    </x:row>
    <x:row r="4">
      <x:c r="A4" s="1"/>
      <x:c r="B4" s="1"/>
      <x:c r="C4" s="1"/>
      <x:c r="D4" s="1"/>
      <x:c r="E4" s="1"/>
      <x:c r="F4" s="1"/>
      <x:c r="G4" s="1"/>
    </x:row>
    <x:row r="5" ht="35" customHeight="1">
      <x:c r="A5" s="8" t="str">
        <x:v>구성</x:v>
      </x:c>
      <x:c r="B5" s="8" t="str">
        <x:v>층</x:v>
      </x:c>
      <x:c r="C5" s="8" t="str">
        <x:v>입력 ID</x:v>
      </x:c>
      <x:c r="D5" s="8" t="str">
        <x:v>정답 의미</x:v>
      </x:c>
      <x:c r="E5" s="8" t="str">
        <x:v>채택 의미</x:v>
      </x:c>
      <x:c r="F5" s="8" t="str">
        <x:v>QA07 성공</x:v>
      </x:c>
      <x:c r="G5" s="8" t="str">
        <x:v>오류 설명</x:v>
      </x:c>
    </x:row>
    <x:row r="6" ht="145" customHeight="1">
      <x:c r="A6" s="10" t="str">
        <x:v>T-BASE</x:v>
      </x:c>
      <x:c r="B6" s="10" t="str">
        <x:v>TEXT</x:v>
      </x:c>
      <x:c r="C6" s="10" t="str">
        <x:v>TEXT:SYN-F01-01-U01</x:v>
      </x:c>
      <x:c r="D6" s="10" t="str">
        <x:v>{"conditions":["5장 이내","대상 기간 첫 12개월","서비스 운영위원회용","외부 발송 없음","월 운영비 240만원 이하"],"data_source":"SYN-F01-01:D2@v1","goal":"오로라 고객센터 전환 전환 검토 발표자료 작성 위임","prior_task_action":"new","targets":["SYN-F01-01:D2@v1"]}</x:v>
      </x:c>
      <x:c r="E6" s="10" t="str">
        <x:v>{"conditions":["5장 이내","대상 기간 첫 12개월","서비스 운영위원회용","외부 발송 없음","월 운영비 240만원 이하"],"data_source":"SYN-F01-01:D2@v1","goal":"오로라 고객센터 전환 전환 검토 발표자료 작성 위임","prior_task_action":"new","targets":["SYN-F01-01:D2@v1"]}</x:v>
      </x:c>
      <x:c r="F6" s="10" t="n">
        <x:f>IF(D6=E6,1,0)</x:f>
        <x:v>1</x:v>
      </x:c>
      <x:c r="G6" s="10" t="str">
        <x:v>필수 의미와 지칭 집합 일치</x:v>
      </x:c>
    </x:row>
    <x:row r="7" ht="145" customHeight="1">
      <x:c r="A7" s="10" t="str">
        <x:v>T-BASE</x:v>
      </x:c>
      <x:c r="B7" s="10" t="str">
        <x:v>TEXT</x:v>
      </x:c>
      <x:c r="C7" s="10" t="str">
        <x:v>TEXT:SYN-F01-01-U02</x:v>
      </x:c>
      <x:c r="D7" s="10" t="str">
        <x:v>{"conditions":["3장 이내","대상 기간 첫 12개월","서비스 운영위원회용","외부 발송 없음","월 운영비 240만원 이하","초기 설치비 제외"],"data_source":"SYN-F01-01:D2@v1","goal":"오로라 고객센터 전환 전환 검토 발표자료 작성 위임","prior_task_action":"revise","targets":["SYN-F01-01:D2@v1"]}</x:v>
      </x:c>
      <x:c r="E7" s="10" t="str">
        <x:v>{"conditions":["3장 이내","대상 기간 첫 12개월","서비스 운영위원회용","외부 발송 없음","월 운영비 240만원 이하","초기 설치비 제외"],"data_source":"SYN-F01-01:D2@v1","goal":"오로라 고객센터 전환 전환 검토 발표자료 작성 위임","prior_task_action":"revise","targets":["SYN-F01-01:D2@v1"]}</x:v>
      </x:c>
      <x:c r="F7" s="10" t="n">
        <x:f>IF(D7=E7,1,0)</x:f>
        <x:v>1</x:v>
      </x:c>
      <x:c r="G7" s="10" t="str">
        <x:v>필수 의미와 지칭 집합 일치</x:v>
      </x:c>
    </x:row>
    <x:row r="8" ht="145" customHeight="1">
      <x:c r="A8" s="10" t="str">
        <x:v>T-EXEC</x:v>
      </x:c>
      <x:c r="B8" s="10" t="str">
        <x:v>TEXT</x:v>
      </x:c>
      <x:c r="C8" s="10" t="str">
        <x:v>TEXT:SYN-F01-01-U01</x:v>
      </x:c>
      <x:c r="D8" s="10" t="str">
        <x:v>{"conditions":["5장 이내","대상 기간 첫 12개월","서비스 운영위원회용","외부 발송 없음","월 운영비 240만원 이하"],"data_source":"SYN-F01-01:D2@v1","goal":"오로라 고객센터 전환 전환 검토 발표자료 작성 위임","prior_task_action":"new","targets":["SYN-F01-01:D2@v1"]}</x:v>
      </x:c>
      <x:c r="E8" s="10" t="str">
        <x:v>{"conditions":["5장 이내","대상 기간 첫 12개월","서비스 운영위원회용","외부 발송 없음","월 운영비 240만원 이하"],"data_source":"SYN-F01-01:D2@v1","goal":"오로라 고객센터 전환 전환 검토 발표자료 작성 위임","prior_task_action":"new","targets":["SYN-F01-01:D2@v1"]}</x:v>
      </x:c>
      <x:c r="F8" s="10" t="n">
        <x:f>IF(D8=E8,1,0)</x:f>
        <x:v>1</x:v>
      </x:c>
      <x:c r="G8" s="10" t="str">
        <x:v>필수 의미와 지칭 집합 일치</x:v>
      </x:c>
    </x:row>
    <x:row r="9" ht="145" customHeight="1">
      <x:c r="A9" s="10" t="str">
        <x:v>T-EXEC</x:v>
      </x:c>
      <x:c r="B9" s="10" t="str">
        <x:v>TEXT</x:v>
      </x:c>
      <x:c r="C9" s="10" t="str">
        <x:v>TEXT:SYN-F01-01-U02</x:v>
      </x:c>
      <x:c r="D9" s="10" t="str">
        <x:v>{"conditions":["3장 이내","대상 기간 첫 12개월","서비스 운영위원회용","외부 발송 없음","월 운영비 240만원 이하","초기 설치비 제외"],"data_source":"SYN-F01-01:D2@v1","goal":"오로라 고객센터 전환 전환 검토 발표자료 작성 위임","prior_task_action":"revise","targets":["SYN-F01-01:D2@v1"]}</x:v>
      </x:c>
      <x:c r="E9" s="10" t="str">
        <x:v>{"conditions":["3장 이내","대상 기간 첫 12개월","서비스 운영위원회용","외부 발송 없음","월 운영비 240만원 이하","초기 설치비 제외"],"data_source":"SYN-F01-01:D2@v1","goal":"오로라 고객센터 전환 전환 검토 발표자료 작성 위임","prior_task_action":"revise","targets":["SYN-F01-01:D2@v1"]}</x:v>
      </x:c>
      <x:c r="F9" s="10" t="n">
        <x:f>IF(D9=E9,1,0)</x:f>
        <x:v>1</x:v>
      </x:c>
      <x:c r="G9" s="10" t="str">
        <x:v>필수 의미와 지칭 집합 일치</x:v>
      </x:c>
    </x:row>
    <x:row r="10" ht="145" customHeight="1">
      <x:c r="A10" s="10" t="str">
        <x:v>T-REL</x:v>
      </x:c>
      <x:c r="B10" s="10" t="str">
        <x:v>TEXT</x:v>
      </x:c>
      <x:c r="C10" s="10" t="str">
        <x:v>TEXT:SYN-F01-01-U01</x:v>
      </x:c>
      <x:c r="D10" s="10" t="str">
        <x:v>{"conditions":["5장 이내","대상 기간 첫 12개월","서비스 운영위원회용","외부 발송 없음","월 운영비 240만원 이하"],"data_source":"SYN-F01-01:D2@v1","goal":"오로라 고객센터 전환 전환 검토 발표자료 작성 위임","prior_task_action":"new","targets":["SYN-F01-01:D2@v1"]}</x:v>
      </x:c>
      <x:c r="E10" s="10" t="str">
        <x:v>{"conditions":["5장 이내","대상 기간 첫 12개월","서비스 운영위원회용","외부 발송 없음","월 운영비 240만원 이하"],"data_source":"SYN-F01-01:D2@v1","goal":"오로라 고객센터 전환 전환 검토 발표자료 작성 위임","prior_task_action":"new","targets":["SYN-F01-01:D2@v1"]}</x:v>
      </x:c>
      <x:c r="F10" s="10" t="n">
        <x:f>IF(D10=E10,1,0)</x:f>
        <x:v>1</x:v>
      </x:c>
      <x:c r="G10" s="10" t="str">
        <x:v>필수 의미와 지칭 집합 일치</x:v>
      </x:c>
    </x:row>
    <x:row r="11" ht="145" customHeight="1">
      <x:c r="A11" s="10" t="str">
        <x:v>T-REL</x:v>
      </x:c>
      <x:c r="B11" s="10" t="str">
        <x:v>TEXT</x:v>
      </x:c>
      <x:c r="C11" s="10" t="str">
        <x:v>TEXT:SYN-F01-01-U02</x:v>
      </x:c>
      <x:c r="D11" s="10" t="str">
        <x:v>{"conditions":["3장 이내","대상 기간 첫 12개월","서비스 운영위원회용","외부 발송 없음","월 운영비 240만원 이하","초기 설치비 제외"],"data_source":"SYN-F01-01:D2@v1","goal":"오로라 고객센터 전환 전환 검토 발표자료 작성 위임","prior_task_action":"revise","targets":["SYN-F01-01:D2@v1"]}</x:v>
      </x:c>
      <x:c r="E11" s="10" t="str">
        <x:v>{"conditions":["3장 이내","대상 기간 첫 12개월","서비스 운영위원회용","외부 발송 없음","월 운영비 240만원 이하","초기 설치비 제외"],"data_source":"SYN-F01-01:D2@v1","goal":"오로라 고객센터 전환 전환 검토 발표자료 작성 위임","prior_task_action":"revise","targets":["SYN-F01-01:D2@v1"]}</x:v>
      </x:c>
      <x:c r="F11" s="10" t="n">
        <x:f>IF(D11=E11,1,0)</x:f>
        <x:v>1</x:v>
      </x:c>
      <x:c r="G11" s="10" t="str">
        <x:v>필수 의미와 지칭 집합 일치</x:v>
      </x:c>
    </x:row>
    <x:row r="12" ht="145" customHeight="1">
      <x:c r="A12" s="10" t="str">
        <x:v>T-BASE</x:v>
      </x:c>
      <x:c r="B12" s="10" t="str">
        <x:v>TEXT</x:v>
      </x:c>
      <x:c r="C12" s="10" t="str">
        <x:v>TEXT:SYN-F01-02-U01</x:v>
      </x:c>
      <x:c r="D12" s="10" t="str">
        <x:v>{"conditions":["4장 이내","대상 기간 전시 4주","외부 발송 없음","주말 운영 인력 12명 이하","참가업체 설명회용"],"data_source":"SYN-F01-02:D1@v1","goal":"봄길 지역전시 준비 운영 제안 발표자료 작성 위임","prior_task_action":"new","targets":["SYN-F01-02:D1@v1"]}</x:v>
      </x:c>
      <x:c r="E12" s="10" t="str">
        <x:v>{"conditions":["4장 이내","대상 기간 전시 4주","외부 발송 없음","주말 운영 인력 12명 이하","참가업체 설명회용"],"data_source":"SYN-F01-02:D1@v1","goal":"봄길 지역전시 준비 운영 제안 발표자료 작성 위임","prior_task_action":"new","targets":["SYN-F01-02:D1@v1"]}</x:v>
      </x:c>
      <x:c r="F12" s="10" t="n">
        <x:f>IF(D12=E12,1,0)</x:f>
        <x:v>1</x:v>
      </x:c>
      <x:c r="G12" s="10" t="str">
        <x:v>필수 의미와 지칭 집합 일치</x:v>
      </x:c>
    </x:row>
    <x:row r="13" ht="145" customHeight="1">
      <x:c r="A13" s="10" t="str">
        <x:v>T-BASE</x:v>
      </x:c>
      <x:c r="B13" s="10" t="str">
        <x:v>TEXT</x:v>
      </x:c>
      <x:c r="C13" s="10" t="str">
        <x:v>TEXT:SYN-F01-02-U02</x:v>
      </x:c>
      <x:c r="D13" s="10" t="str">
        <x:v>{"conditions":["2장 이내","대상 기간 전시 4주","외부 발송 없음","일회성 장식비 제외","주말 운영 인력 12명 이하","참가업체 설명회용"],"data_source":"SYN-F01-02:D1@v1","goal":"봄길 지역전시 준비 운영 제안 발표자료 작성 위임","prior_task_action":"revise","targets":["SYN-F01-02:D1@v1"]}</x:v>
      </x:c>
      <x:c r="E13" s="10" t="str">
        <x:v>{"conditions":["2장 이내","대상 기간 전시 4주","외부 발송 없음","일회성 장식비 제외","주말 운영 인력 12명 이하","참가업체 설명회용"],"data_source":"SYN-F01-02:D1@v1","goal":"봄길 지역전시 준비 운영 제안 발표자료 작성 위임","prior_task_action":"revise","targets":["SYN-F01-02:D1@v1"]}</x:v>
      </x:c>
      <x:c r="F13" s="10" t="n">
        <x:f>IF(D13=E13,1,0)</x:f>
        <x:v>1</x:v>
      </x:c>
      <x:c r="G13" s="10" t="str">
        <x:v>필수 의미와 지칭 집합 일치</x:v>
      </x:c>
    </x:row>
    <x:row r="14" ht="145" customHeight="1">
      <x:c r="A14" s="10" t="str">
        <x:v>T-EXEC</x:v>
      </x:c>
      <x:c r="B14" s="10" t="str">
        <x:v>TEXT</x:v>
      </x:c>
      <x:c r="C14" s="10" t="str">
        <x:v>TEXT:SYN-F01-02-U01</x:v>
      </x:c>
      <x:c r="D14" s="10" t="str">
        <x:v>{"conditions":["4장 이내","대상 기간 전시 4주","외부 발송 없음","주말 운영 인력 12명 이하","참가업체 설명회용"],"data_source":"SYN-F01-02:D1@v1","goal":"봄길 지역전시 준비 운영 제안 발표자료 작성 위임","prior_task_action":"new","targets":["SYN-F01-02:D1@v1"]}</x:v>
      </x:c>
      <x:c r="E14" s="10" t="str">
        <x:v>{"conditions":["4장 이내","대상 기간 전시 4주","외부 발송 없음","주말 운영 인력 12명 이하","참가업체 설명회용"],"data_source":"SYN-F01-02:D1@v1","goal":"봄길 지역전시 준비 운영 제안 발표자료 작성 위임","prior_task_action":"new","targets":["SYN-F01-02:D1@v1"]}</x:v>
      </x:c>
      <x:c r="F14" s="10" t="n">
        <x:f>IF(D14=E14,1,0)</x:f>
        <x:v>1</x:v>
      </x:c>
      <x:c r="G14" s="10" t="str">
        <x:v>필수 의미와 지칭 집합 일치</x:v>
      </x:c>
    </x:row>
    <x:row r="15" ht="145" customHeight="1">
      <x:c r="A15" s="10" t="str">
        <x:v>T-EXEC</x:v>
      </x:c>
      <x:c r="B15" s="10" t="str">
        <x:v>TEXT</x:v>
      </x:c>
      <x:c r="C15" s="10" t="str">
        <x:v>TEXT:SYN-F01-02-U02</x:v>
      </x:c>
      <x:c r="D15" s="10" t="str">
        <x:v>{"conditions":["2장 이내","대상 기간 전시 4주","외부 발송 없음","일회성 장식비 제외","주말 운영 인력 12명 이하","참가업체 설명회용"],"data_source":"SYN-F01-02:D1@v1","goal":"봄길 지역전시 준비 운영 제안 발표자료 작성 위임","prior_task_action":"revise","targets":["SYN-F01-02:D1@v1"]}</x:v>
      </x:c>
      <x:c r="E15" s="10" t="str">
        <x:v>{"conditions":["2장 이내","대상 기간 전시 4주","외부 발송 없음","일회성 장식비 제외","주말 운영 인력 12명 이하","참가업체 설명회용"],"data_source":"SYN-F01-02:D1@v1","goal":"봄길 지역전시 준비 운영 제안 발표자료 작성 위임","prior_task_action":"revise","targets":["SYN-F01-02:D1@v1"]}</x:v>
      </x:c>
      <x:c r="F15" s="10" t="n">
        <x:f>IF(D15=E15,1,0)</x:f>
        <x:v>1</x:v>
      </x:c>
      <x:c r="G15" s="10" t="str">
        <x:v>필수 의미와 지칭 집합 일치</x:v>
      </x:c>
    </x:row>
    <x:row r="16" ht="145" customHeight="1">
      <x:c r="A16" s="10" t="str">
        <x:v>T-REL</x:v>
      </x:c>
      <x:c r="B16" s="10" t="str">
        <x:v>TEXT</x:v>
      </x:c>
      <x:c r="C16" s="10" t="str">
        <x:v>TEXT:SYN-F01-02-U01</x:v>
      </x:c>
      <x:c r="D16" s="10" t="str">
        <x:v>{"conditions":["4장 이내","대상 기간 전시 4주","외부 발송 없음","주말 운영 인력 12명 이하","참가업체 설명회용"],"data_source":"SYN-F01-02:D1@v1","goal":"봄길 지역전시 준비 운영 제안 발표자료 작성 위임","prior_task_action":"new","targets":["SYN-F01-02:D1@v1"]}</x:v>
      </x:c>
      <x:c r="E16" s="10" t="str">
        <x:v>{"conditions":["4장 이내","대상 기간 전시 4주","외부 발송 없음","주말 운영 인력 12명 이하","참가업체 설명회용"],"data_source":"SYN-F01-02:D1@v1","goal":"봄길 지역전시 준비 운영 제안 발표자료 작성 위임","prior_task_action":"new","targets":["SYN-F01-02:D1@v1"]}</x:v>
      </x:c>
      <x:c r="F16" s="10" t="n">
        <x:f>IF(D16=E16,1,0)</x:f>
        <x:v>1</x:v>
      </x:c>
      <x:c r="G16" s="10" t="str">
        <x:v>필수 의미와 지칭 집합 일치</x:v>
      </x:c>
    </x:row>
    <x:row r="17" ht="145" customHeight="1">
      <x:c r="A17" s="10" t="str">
        <x:v>T-REL</x:v>
      </x:c>
      <x:c r="B17" s="10" t="str">
        <x:v>TEXT</x:v>
      </x:c>
      <x:c r="C17" s="10" t="str">
        <x:v>TEXT:SYN-F01-02-U02</x:v>
      </x:c>
      <x:c r="D17" s="10" t="str">
        <x:v>{"conditions":["2장 이내","대상 기간 전시 4주","외부 발송 없음","일회성 장식비 제외","주말 운영 인력 12명 이하","참가업체 설명회용"],"data_source":"SYN-F01-02:D1@v1","goal":"봄길 지역전시 준비 운영 제안 발표자료 작성 위임","prior_task_action":"revise","targets":["SYN-F01-02:D1@v1"]}</x:v>
      </x:c>
      <x:c r="E17" s="10" t="str">
        <x:v>{"conditions":["2장 이내","대상 기간 전시 4주","외부 발송 없음","일회성 장식비 제외","주말 운영 인력 12명 이하","참가업체 설명회용"],"data_source":"SYN-F01-02:D1@v1","goal":"봄길 지역전시 준비 운영 제안 발표자료 작성 위임","prior_task_action":"revise","targets":["SYN-F01-02:D1@v1"]}</x:v>
      </x:c>
      <x:c r="F17" s="10" t="n">
        <x:f>IF(D17=E17,1,0)</x:f>
        <x:v>1</x:v>
      </x:c>
      <x:c r="G17" s="10" t="str">
        <x:v>필수 의미와 지칭 집합 일치</x:v>
      </x:c>
    </x:row>
    <x:row r="18" ht="145" customHeight="1">
      <x:c r="A18" s="10" t="str">
        <x:v>T-BASE</x:v>
      </x:c>
      <x:c r="B18" s="10" t="str">
        <x:v>TEXT</x:v>
      </x:c>
      <x:c r="C18" s="10" t="str">
        <x:v>TEXT:SYN-F01-03-U01</x:v>
      </x:c>
      <x:c r="D18" s="10" t="str">
        <x:v>{"conditions":["6장 이내","교육 승인위원회용","대상 기간 입사 후 3주","외부 발송 없음","참가자당 교육시간 18시간 이하"],"data_source":"SYN-F01-03:D3@v1","goal":"해온 신입교육 개편 교육 개편 발표자료 작성 위임","prior_task_action":"new","targets":["SYN-F01-03:D3@v1"]}</x:v>
      </x:c>
      <x:c r="E18" s="10" t="str">
        <x:v>{"conditions":["6장 이내","교육 승인위원회용","대상 기간 입사 후 3주","외부 발송 없음","참가자당 교육시간 18시간 이하"],"data_source":"SYN-F01-03:D3@v1","goal":"해온 신입교육 개편 교육 개편 발표자료 작성 위임","prior_task_action":"new","targets":["SYN-F01-03:D3@v1"]}</x:v>
      </x:c>
      <x:c r="F18" s="10" t="n">
        <x:f>IF(D18=E18,1,0)</x:f>
        <x:v>1</x:v>
      </x:c>
      <x:c r="G18" s="10" t="str">
        <x:v>필수 의미와 지칭 집합 일치</x:v>
      </x:c>
    </x:row>
    <x:row r="19" ht="145" customHeight="1">
      <x:c r="A19" s="10" t="str">
        <x:v>T-BASE</x:v>
      </x:c>
      <x:c r="B19" s="10" t="str">
        <x:v>TEXT</x:v>
      </x:c>
      <x:c r="C19" s="10" t="str">
        <x:v>TEXT:SYN-F01-03-U02</x:v>
      </x:c>
      <x:c r="D19" s="10" t="str">
        <x:v>{"conditions":["4장 이내","교육 승인위원회용","대상 기간 입사 후 3주","숙박비 제외","외부 발송 없음","참가자당 교육시간 18시간 이하"],"data_source":"SYN-F01-03:D3@v1","goal":"해온 신입교육 개편 교육 개편 발표자료 작성 위임","prior_task_action":"revise","targets":["SYN-F01-03:D3@v1"]}</x:v>
      </x:c>
      <x:c r="E19" s="10" t="str">
        <x:v>{"conditions":["4장 이내","교육 승인위원회용","대상 기간 입사 후 3주","숙박비 제외","외부 발송 없음","참가자당 교육시간 18시간 이하"],"data_source":"SYN-F01-03:D3@v1","goal":"해온 신입교육 개편 교육 개편 발표자료 작성 위임","prior_task_action":"revise","targets":["SYN-F01-03:D3@v1"]}</x:v>
      </x:c>
      <x:c r="F19" s="10" t="n">
        <x:f>IF(D19=E19,1,0)</x:f>
        <x:v>1</x:v>
      </x:c>
      <x:c r="G19" s="10" t="str">
        <x:v>필수 의미와 지칭 집합 일치</x:v>
      </x:c>
    </x:row>
    <x:row r="20" ht="145" customHeight="1">
      <x:c r="A20" s="10" t="str">
        <x:v>T-EXEC</x:v>
      </x:c>
      <x:c r="B20" s="10" t="str">
        <x:v>TEXT</x:v>
      </x:c>
      <x:c r="C20" s="10" t="str">
        <x:v>TEXT:SYN-F01-03-U01</x:v>
      </x:c>
      <x:c r="D20" s="10" t="str">
        <x:v>{"conditions":["6장 이내","교육 승인위원회용","대상 기간 입사 후 3주","외부 발송 없음","참가자당 교육시간 18시간 이하"],"data_source":"SYN-F01-03:D3@v1","goal":"해온 신입교육 개편 교육 개편 발표자료 작성 위임","prior_task_action":"new","targets":["SYN-F01-03:D3@v1"]}</x:v>
      </x:c>
      <x:c r="E20" s="10" t="str">
        <x:v>{"conditions":["6장 이내","교육 승인위원회용","대상 기간 입사 후 3주","외부 발송 없음","참가자당 교육시간 18시간 이하"],"data_source":"SYN-F01-03:D3@v1","goal":"해온 신입교육 개편 교육 개편 발표자료 작성 위임","prior_task_action":"new","targets":["SYN-F01-03:D3@v1"]}</x:v>
      </x:c>
      <x:c r="F20" s="10" t="n">
        <x:f>IF(D20=E20,1,0)</x:f>
        <x:v>1</x:v>
      </x:c>
      <x:c r="G20" s="10" t="str">
        <x:v>필수 의미와 지칭 집합 일치</x:v>
      </x:c>
    </x:row>
    <x:row r="21" ht="145" customHeight="1">
      <x:c r="A21" s="10" t="str">
        <x:v>T-EXEC</x:v>
      </x:c>
      <x:c r="B21" s="10" t="str">
        <x:v>TEXT</x:v>
      </x:c>
      <x:c r="C21" s="10" t="str">
        <x:v>TEXT:SYN-F01-03-U02</x:v>
      </x:c>
      <x:c r="D21" s="10" t="str">
        <x:v>{"conditions":["4장 이내","교육 승인위원회용","대상 기간 입사 후 3주","숙박비 제외","외부 발송 없음","참가자당 교육시간 18시간 이하"],"data_source":"SYN-F01-03:D3@v1","goal":"해온 신입교육 개편 교육 개편 발표자료 작성 위임","prior_task_action":"revise","targets":["SYN-F01-03:D3@v1"]}</x:v>
      </x:c>
      <x:c r="E21" s="10" t="str">
        <x:v>{"conditions":["4장 이내","교육 승인위원회용","대상 기간 입사 후 3주","숙박비 제외","외부 발송 없음","참가자당 교육시간 18시간 이하"],"data_source":"SYN-F01-03:D3@v1","goal":"해온 신입교육 개편 교육 개편 발표자료 작성 위임","prior_task_action":"revise","targets":["SYN-F01-03:D3@v1"]}</x:v>
      </x:c>
      <x:c r="F21" s="10" t="n">
        <x:f>IF(D21=E21,1,0)</x:f>
        <x:v>1</x:v>
      </x:c>
      <x:c r="G21" s="10" t="str">
        <x:v>필수 의미와 지칭 집합 일치</x:v>
      </x:c>
    </x:row>
    <x:row r="22" ht="145" customHeight="1">
      <x:c r="A22" s="10" t="str">
        <x:v>T-REL</x:v>
      </x:c>
      <x:c r="B22" s="10" t="str">
        <x:v>TEXT</x:v>
      </x:c>
      <x:c r="C22" s="10" t="str">
        <x:v>TEXT:SYN-F01-03-U01</x:v>
      </x:c>
      <x:c r="D22" s="10" t="str">
        <x:v>{"conditions":["6장 이내","교육 승인위원회용","대상 기간 입사 후 3주","외부 발송 없음","참가자당 교육시간 18시간 이하"],"data_source":"SYN-F01-03:D3@v1","goal":"해온 신입교육 개편 교육 개편 발표자료 작성 위임","prior_task_action":"new","targets":["SYN-F01-03:D3@v1"]}</x:v>
      </x:c>
      <x:c r="E22" s="10" t="str">
        <x:v>{"conditions":["6장 이내","교육 승인위원회용","대상 기간 입사 후 3주","외부 발송 없음","참가자당 교육시간 18시간 이하"],"data_source":"SYN-F01-03:D3@v1","goal":"해온 신입교육 개편 교육 개편 발표자료 작성 위임","prior_task_action":"new","targets":["SYN-F01-03:D3@v1"]}</x:v>
      </x:c>
      <x:c r="F22" s="10" t="n">
        <x:f>IF(D22=E22,1,0)</x:f>
        <x:v>1</x:v>
      </x:c>
      <x:c r="G22" s="10" t="str">
        <x:v>필수 의미와 지칭 집합 일치</x:v>
      </x:c>
    </x:row>
    <x:row r="23" ht="145" customHeight="1">
      <x:c r="A23" s="10" t="str">
        <x:v>T-REL</x:v>
      </x:c>
      <x:c r="B23" s="10" t="str">
        <x:v>TEXT</x:v>
      </x:c>
      <x:c r="C23" s="10" t="str">
        <x:v>TEXT:SYN-F01-03-U02</x:v>
      </x:c>
      <x:c r="D23" s="10" t="str">
        <x:v>{"conditions":["4장 이내","교육 승인위원회용","대상 기간 입사 후 3주","숙박비 제외","외부 발송 없음","참가자당 교육시간 18시간 이하"],"data_source":"SYN-F01-03:D3@v1","goal":"해온 신입교육 개편 교육 개편 발표자료 작성 위임","prior_task_action":"revise","targets":["SYN-F01-03:D3@v1"]}</x:v>
      </x:c>
      <x:c r="E23" s="10" t="str">
        <x:v>{"conditions":["4장 이내","교육 승인위원회용","대상 기간 입사 후 3주","숙박비 제외","외부 발송 없음","참가자당 교육시간 18시간 이하"],"data_source":"SYN-F01-03:D3@v1","goal":"해온 신입교육 개편 교육 개편 발표자료 작성 위임","prior_task_action":"revise","targets":["SYN-F01-03:D3@v1"]}</x:v>
      </x:c>
      <x:c r="F23" s="10" t="n">
        <x:f>IF(D23=E23,1,0)</x:f>
        <x:v>1</x:v>
      </x:c>
      <x:c r="G23" s="10" t="str">
        <x:v>필수 의미와 지칭 집합 일치</x:v>
      </x:c>
    </x:row>
    <x:row r="24" ht="145" customHeight="1">
      <x:c r="A24" s="10" t="str">
        <x:v>T-BASE</x:v>
      </x:c>
      <x:c r="B24" s="10" t="str">
        <x:v>TEXT</x:v>
      </x:c>
      <x:c r="C24" s="10" t="str">
        <x:v>TEXT:SYN-F01-04-U01</x:v>
      </x:c>
      <x:c r="D24" s="10" t="str">
        <x:v>{"conditions":["7장 이내","대상 기간 평일 20일","외부 발송 없음","일일 추가 운행 8회 이하","협력사 운영설명회용"],"data_source":"SYN-F01-04:D2@v1","goal":"라임 배송거점 개선 거점 개선 발표자료 작성 위임","prior_task_action":"new","targets":["SYN-F01-04:D2@v1"]}</x:v>
      </x:c>
      <x:c r="E24" s="10" t="str">
        <x:v>{"conditions":["7장 이내","대상 기간 평일 20일","외부 발송 없음","일일 추가 운행 8회 이하","협력사 운영설명회용"],"data_source":"SYN-F01-04:D2@v1","goal":"라임 배송거점 개선 거점 개선 발표자료 작성 위임","prior_task_action":"new","targets":["SYN-F01-04:D2@v1"]}</x:v>
      </x:c>
      <x:c r="F24" s="10" t="n">
        <x:f>IF(D24=E24,1,0)</x:f>
        <x:v>1</x:v>
      </x:c>
      <x:c r="G24" s="10" t="str">
        <x:v>필수 의미와 지칭 집합 일치</x:v>
      </x:c>
    </x:row>
    <x:row r="25" ht="145" customHeight="1">
      <x:c r="A25" s="10" t="str">
        <x:v>T-BASE</x:v>
      </x:c>
      <x:c r="B25" s="10" t="str">
        <x:v>TEXT</x:v>
      </x:c>
      <x:c r="C25" s="10" t="str">
        <x:v>TEXT:SYN-F01-04-U02</x:v>
      </x:c>
      <x:c r="D25" s="10" t="str">
        <x:v>{"conditions":["3장 이내","대상 기간 평일 20일","외부 발송 없음","일일 추가 운행 8회 이하","차량 구매비 제외","협력사 운영설명회용"],"data_source":"SYN-F01-04:D2@v1","goal":"라임 배송거점 개선 거점 개선 발표자료 작성 위임","prior_task_action":"revise","targets":["SYN-F01-04:D2@v1"]}</x:v>
      </x:c>
      <x:c r="E25" s="10" t="str">
        <x:v>{"conditions":["3장 이내","대상 기간 평일 20일","외부 발송 없음","일일 추가 운행 8회 이하","차량 구매비 제외","협력사 운영설명회용"],"data_source":"SYN-F01-04:D2@v1","goal":"라임 배송거점 개선 거점 개선 발표자료 작성 위임","prior_task_action":"revise","targets":["SYN-F01-04:D2@v1"]}</x:v>
      </x:c>
      <x:c r="F25" s="10" t="n">
        <x:f>IF(D25=E25,1,0)</x:f>
        <x:v>1</x:v>
      </x:c>
      <x:c r="G25" s="10" t="str">
        <x:v>필수 의미와 지칭 집합 일치</x:v>
      </x:c>
    </x:row>
    <x:row r="26" ht="145" customHeight="1">
      <x:c r="A26" s="10" t="str">
        <x:v>T-EXEC</x:v>
      </x:c>
      <x:c r="B26" s="10" t="str">
        <x:v>TEXT</x:v>
      </x:c>
      <x:c r="C26" s="10" t="str">
        <x:v>TEXT:SYN-F01-04-U01</x:v>
      </x:c>
      <x:c r="D26" s="10" t="str">
        <x:v>{"conditions":["7장 이내","대상 기간 평일 20일","외부 발송 없음","일일 추가 운행 8회 이하","협력사 운영설명회용"],"data_source":"SYN-F01-04:D2@v1","goal":"라임 배송거점 개선 거점 개선 발표자료 작성 위임","prior_task_action":"new","targets":["SYN-F01-04:D2@v1"]}</x:v>
      </x:c>
      <x:c r="E26" s="10" t="str">
        <x:v>{"conditions":["7장 이내","대상 기간 평일 20일","외부 발송 없음","일일 추가 운행 8회 이하","협력사 운영설명회용"],"data_source":"SYN-F01-04:D2@v1","goal":"라임 배송거점 개선 거점 개선 발표자료 작성 위임","prior_task_action":"new","targets":["SYN-F01-04:D2@v1"]}</x:v>
      </x:c>
      <x:c r="F26" s="10" t="n">
        <x:f>IF(D26=E26,1,0)</x:f>
        <x:v>1</x:v>
      </x:c>
      <x:c r="G26" s="10" t="str">
        <x:v>필수 의미와 지칭 집합 일치</x:v>
      </x:c>
    </x:row>
    <x:row r="27" ht="145" customHeight="1">
      <x:c r="A27" s="10" t="str">
        <x:v>T-EXEC</x:v>
      </x:c>
      <x:c r="B27" s="10" t="str">
        <x:v>TEXT</x:v>
      </x:c>
      <x:c r="C27" s="10" t="str">
        <x:v>TEXT:SYN-F01-04-U02</x:v>
      </x:c>
      <x:c r="D27" s="10" t="str">
        <x:v>{"conditions":["3장 이내","대상 기간 평일 20일","외부 발송 없음","일일 추가 운행 8회 이하","차량 구매비 제외","협력사 운영설명회용"],"data_source":"SYN-F01-04:D2@v1","goal":"라임 배송거점 개선 거점 개선 발표자료 작성 위임","prior_task_action":"revise","targets":["SYN-F01-04:D2@v1"]}</x:v>
      </x:c>
      <x:c r="E27" s="10" t="str">
        <x:v>{"conditions":["3장 이내","대상 기간 평일 20일","외부 발송 없음","일일 추가 운행 8회 이하","차량 구매비 제외","협력사 운영설명회용"],"data_source":"SYN-F01-04:D2@v1","goal":"라임 배송거점 개선 거점 개선 발표자료 작성 위임","prior_task_action":"revise","targets":["SYN-F01-04:D2@v1"]}</x:v>
      </x:c>
      <x:c r="F27" s="10" t="n">
        <x:f>IF(D27=E27,1,0)</x:f>
        <x:v>1</x:v>
      </x:c>
      <x:c r="G27" s="10" t="str">
        <x:v>필수 의미와 지칭 집합 일치</x:v>
      </x:c>
    </x:row>
    <x:row r="28" ht="145" customHeight="1">
      <x:c r="A28" s="10" t="str">
        <x:v>T-REL</x:v>
      </x:c>
      <x:c r="B28" s="10" t="str">
        <x:v>TEXT</x:v>
      </x:c>
      <x:c r="C28" s="10" t="str">
        <x:v>TEXT:SYN-F01-04-U01</x:v>
      </x:c>
      <x:c r="D28" s="10" t="str">
        <x:v>{"conditions":["7장 이내","대상 기간 평일 20일","외부 발송 없음","일일 추가 운행 8회 이하","협력사 운영설명회용"],"data_source":"SYN-F01-04:D2@v1","goal":"라임 배송거점 개선 거점 개선 발표자료 작성 위임","prior_task_action":"new","targets":["SYN-F01-04:D2@v1"]}</x:v>
      </x:c>
      <x:c r="E28" s="10" t="str">
        <x:v>{"conditions":["7장 이내","대상 기간 평일 20일","외부 발송 없음","일일 추가 운행 8회 이하","협력사 운영설명회용"],"data_source":"SYN-F01-04:D2@v1","goal":"라임 배송거점 개선 거점 개선 발표자료 작성 위임","prior_task_action":"new","targets":["SYN-F01-04:D2@v1"]}</x:v>
      </x:c>
      <x:c r="F28" s="10" t="n">
        <x:f>IF(D28=E28,1,0)</x:f>
        <x:v>1</x:v>
      </x:c>
      <x:c r="G28" s="10" t="str">
        <x:v>필수 의미와 지칭 집합 일치</x:v>
      </x:c>
    </x:row>
    <x:row r="29" ht="145" customHeight="1">
      <x:c r="A29" s="10" t="str">
        <x:v>T-REL</x:v>
      </x:c>
      <x:c r="B29" s="10" t="str">
        <x:v>TEXT</x:v>
      </x:c>
      <x:c r="C29" s="10" t="str">
        <x:v>TEXT:SYN-F01-04-U02</x:v>
      </x:c>
      <x:c r="D29" s="10" t="str">
        <x:v>{"conditions":["3장 이내","대상 기간 평일 20일","외부 발송 없음","일일 추가 운행 8회 이하","차량 구매비 제외","협력사 운영설명회용"],"data_source":"SYN-F01-04:D2@v1","goal":"라임 배송거점 개선 거점 개선 발표자료 작성 위임","prior_task_action":"revise","targets":["SYN-F01-04:D2@v1"]}</x:v>
      </x:c>
      <x:c r="E29" s="10" t="str">
        <x:v>{"conditions":["3장 이내","대상 기간 평일 20일","외부 발송 없음","일일 추가 운행 8회 이하","차량 구매비 제외","협력사 운영설명회용"],"data_source":"SYN-F01-04:D2@v1","goal":"라임 배송거점 개선 거점 개선 발표자료 작성 위임","prior_task_action":"revise","targets":["SYN-F01-04:D2@v1"]}</x:v>
      </x:c>
      <x:c r="F29" s="10" t="n">
        <x:f>IF(D29=E29,1,0)</x:f>
        <x:v>1</x:v>
      </x:c>
      <x:c r="G29" s="10" t="str">
        <x:v>필수 의미와 지칭 집합 일치</x:v>
      </x:c>
    </x:row>
    <x:row r="30" ht="145" customHeight="1">
      <x:c r="A30" s="10" t="str">
        <x:v>T-BASE</x:v>
      </x:c>
      <x:c r="B30" s="10" t="str">
        <x:v>TEXT</x:v>
      </x:c>
      <x:c r="C30" s="10" t="str">
        <x:v>TEXT:SYN-F01-05-U01</x:v>
      </x:c>
      <x:c r="D30" s="10" t="str">
        <x:v>{"conditions":["5장 이내","대상 기간 교체 후 6개월","외부 발송 없음","입주사 설명회용","층별 정전 30분 이하"],"data_source":"SYN-F01-05:D1@v1","goal":"가온 사무실 조명교체 조명 교체 검토자료 작성 위임","prior_task_action":"new","targets":["SYN-F01-05:D1@v1"]}</x:v>
      </x:c>
      <x:c r="E30" s="10" t="str">
        <x:v>{"conditions":["5장 이내","대상 기간 교체 후 6개월","외부 발송 없음","입주사 설명회용","층별 정전 30분 이하"],"data_source":"SYN-F01-05:D1@v1","goal":"가온 사무실 조명교체 조명 교체 검토자료 작성 위임","prior_task_action":"new","targets":["SYN-F01-05:D1@v1"]}</x:v>
      </x:c>
      <x:c r="F30" s="10" t="n">
        <x:f>IF(D30=E30,1,0)</x:f>
        <x:v>1</x:v>
      </x:c>
      <x:c r="G30" s="10" t="str">
        <x:v>필수 의미와 지칭 집합 일치</x:v>
      </x:c>
    </x:row>
    <x:row r="31" ht="145" customHeight="1">
      <x:c r="A31" s="10" t="str">
        <x:v>T-BASE</x:v>
      </x:c>
      <x:c r="B31" s="10" t="str">
        <x:v>TEXT</x:v>
      </x:c>
      <x:c r="C31" s="10" t="str">
        <x:v>TEXT:SYN-F01-05-U02</x:v>
      </x:c>
      <x:c r="D31" s="10" t="str">
        <x:v>{"conditions":["2장 이내","대상 기간 교체 후 6개월","외부 발송 없음","입주사 설명회용","철거비 제외","층별 정전 30분 이하"],"data_source":"SYN-F01-05:D1@v1","goal":"가온 사무실 조명교체 조명 교체 검토자료 작성 위임","prior_task_action":"revise","targets":["SYN-F01-05:D1@v1"]}</x:v>
      </x:c>
      <x:c r="E31" s="10" t="str">
        <x:v>{"conditions":["2장 이내","대상 기간 교체 후 6개월","외부 발송 없음","입주사 설명회용","철거비 제외","층별 정전 30분 이하"],"data_source":"SYN-F01-05:D1@v1","goal":"가온 사무실 조명교체 조명 교체 검토자료 작성 위임","prior_task_action":"revise","targets":["SYN-F01-05:D1@v1"]}</x:v>
      </x:c>
      <x:c r="F31" s="10" t="n">
        <x:f>IF(D31=E31,1,0)</x:f>
        <x:v>1</x:v>
      </x:c>
      <x:c r="G31" s="10" t="str">
        <x:v>필수 의미와 지칭 집합 일치</x:v>
      </x:c>
    </x:row>
    <x:row r="32" ht="145" customHeight="1">
      <x:c r="A32" s="10" t="str">
        <x:v>T-EXEC</x:v>
      </x:c>
      <x:c r="B32" s="10" t="str">
        <x:v>TEXT</x:v>
      </x:c>
      <x:c r="C32" s="10" t="str">
        <x:v>TEXT:SYN-F01-05-U01</x:v>
      </x:c>
      <x:c r="D32" s="10" t="str">
        <x:v>{"conditions":["5장 이내","대상 기간 교체 후 6개월","외부 발송 없음","입주사 설명회용","층별 정전 30분 이하"],"data_source":"SYN-F01-05:D1@v1","goal":"가온 사무실 조명교체 조명 교체 검토자료 작성 위임","prior_task_action":"new","targets":["SYN-F01-05:D1@v1"]}</x:v>
      </x:c>
      <x:c r="E32" s="10" t="str">
        <x:v>{"conditions":["5장 이내","대상 기간 교체 후 6개월","외부 발송 없음","입주사 설명회용","층별 정전 30분 이하"],"data_source":"SYN-F01-05:D1@v1","goal":"가온 사무실 조명교체 조명 교체 검토자료 작성 위임","prior_task_action":"new","targets":["SYN-F01-05:D1@v1"]}</x:v>
      </x:c>
      <x:c r="F32" s="10" t="n">
        <x:f>IF(D32=E32,1,0)</x:f>
        <x:v>1</x:v>
      </x:c>
      <x:c r="G32" s="10" t="str">
        <x:v>필수 의미와 지칭 집합 일치</x:v>
      </x:c>
    </x:row>
    <x:row r="33" ht="145" customHeight="1">
      <x:c r="A33" s="10" t="str">
        <x:v>T-EXEC</x:v>
      </x:c>
      <x:c r="B33" s="10" t="str">
        <x:v>TEXT</x:v>
      </x:c>
      <x:c r="C33" s="10" t="str">
        <x:v>TEXT:SYN-F01-05-U02</x:v>
      </x:c>
      <x:c r="D33" s="10" t="str">
        <x:v>{"conditions":["2장 이내","대상 기간 교체 후 6개월","외부 발송 없음","입주사 설명회용","철거비 제외","층별 정전 30분 이하"],"data_source":"SYN-F01-05:D1@v1","goal":"가온 사무실 조명교체 조명 교체 검토자료 작성 위임","prior_task_action":"revise","targets":["SYN-F01-05:D1@v1"]}</x:v>
      </x:c>
      <x:c r="E33" s="10" t="str">
        <x:v>{"conditions":["2장 이내","대상 기간 교체 후 6개월","외부 발송 없음","입주사 설명회용","철거비 제외","층별 정전 30분 이하"],"data_source":"SYN-F01-05:D1@v1","goal":"가온 사무실 조명교체 조명 교체 검토자료 작성 위임","prior_task_action":"revise","targets":["SYN-F01-05:D1@v1"]}</x:v>
      </x:c>
      <x:c r="F33" s="10" t="n">
        <x:f>IF(D33=E33,1,0)</x:f>
        <x:v>1</x:v>
      </x:c>
      <x:c r="G33" s="10" t="str">
        <x:v>필수 의미와 지칭 집합 일치</x:v>
      </x:c>
    </x:row>
    <x:row r="34" ht="145" customHeight="1">
      <x:c r="A34" s="10" t="str">
        <x:v>T-REL</x:v>
      </x:c>
      <x:c r="B34" s="10" t="str">
        <x:v>TEXT</x:v>
      </x:c>
      <x:c r="C34" s="10" t="str">
        <x:v>TEXT:SYN-F01-05-U01</x:v>
      </x:c>
      <x:c r="D34" s="10" t="str">
        <x:v>{"conditions":["5장 이내","대상 기간 교체 후 6개월","외부 발송 없음","입주사 설명회용","층별 정전 30분 이하"],"data_source":"SYN-F01-05:D1@v1","goal":"가온 사무실 조명교체 조명 교체 검토자료 작성 위임","prior_task_action":"new","targets":["SYN-F01-05:D1@v1"]}</x:v>
      </x:c>
      <x:c r="E34" s="10" t="str">
        <x:v>{"conditions":["5장 이내","대상 기간 교체 후 6개월","외부 발송 없음","입주사 설명회용","층별 정전 30분 이하"],"data_source":"SYN-F01-05:D1@v1","goal":"가온 사무실 조명교체 조명 교체 검토자료 작성 위임","prior_task_action":"new","targets":["SYN-F01-05:D1@v1"]}</x:v>
      </x:c>
      <x:c r="F34" s="10" t="n">
        <x:f>IF(D34=E34,1,0)</x:f>
        <x:v>1</x:v>
      </x:c>
      <x:c r="G34" s="10" t="str">
        <x:v>필수 의미와 지칭 집합 일치</x:v>
      </x:c>
    </x:row>
    <x:row r="35" ht="145" customHeight="1">
      <x:c r="A35" s="10" t="str">
        <x:v>T-REL</x:v>
      </x:c>
      <x:c r="B35" s="10" t="str">
        <x:v>TEXT</x:v>
      </x:c>
      <x:c r="C35" s="10" t="str">
        <x:v>TEXT:SYN-F01-05-U02</x:v>
      </x:c>
      <x:c r="D35" s="10" t="str">
        <x:v>{"conditions":["2장 이내","대상 기간 교체 후 6개월","외부 발송 없음","입주사 설명회용","철거비 제외","층별 정전 30분 이하"],"data_source":"SYN-F01-05:D1@v1","goal":"가온 사무실 조명교체 조명 교체 검토자료 작성 위임","prior_task_action":"revise","targets":["SYN-F01-05:D1@v1"]}</x:v>
      </x:c>
      <x:c r="E35" s="10" t="str">
        <x:v>{"conditions":["2장 이내","대상 기간 교체 후 6개월","외부 발송 없음","입주사 설명회용","철거비 제외","층별 정전 30분 이하"],"data_source":"SYN-F01-05:D1@v1","goal":"가온 사무실 조명교체 조명 교체 검토자료 작성 위임","prior_task_action":"revise","targets":["SYN-F01-05:D1@v1"]}</x:v>
      </x:c>
      <x:c r="F35" s="10" t="n">
        <x:f>IF(D35=E35,1,0)</x:f>
        <x:v>1</x:v>
      </x:c>
      <x:c r="G35" s="10" t="str">
        <x:v>필수 의미와 지칭 집합 일치</x:v>
      </x:c>
    </x:row>
    <x:row r="36" ht="145" customHeight="1">
      <x:c r="A36" s="10" t="str">
        <x:v>T-BASE</x:v>
      </x:c>
      <x:c r="B36" s="10" t="str">
        <x:v>TEXT</x:v>
      </x:c>
      <x:c r="C36" s="10" t="str">
        <x:v>TEXT:SYN-F01-06-U01</x:v>
      </x:c>
      <x:c r="D36" s="10" t="str">
        <x:v>{"conditions":["8장 이내","대상 기간 행사 2일","외부 발송 없음","참여기업 안내회용","현장 대기 20분 이하"],"data_source":"SYN-F01-06:D3@v1","goal":"별빛 채용행사 준비 행사 운영 발표자료 작성 위임","prior_task_action":"new","targets":["SYN-F01-06:D3@v1"]}</x:v>
      </x:c>
      <x:c r="E36" s="10" t="str">
        <x:v>{"conditions":["8장 이내","대상 기간 행사 2일","외부 발송 없음","참여기업 안내회용","현장 대기 20분 이하"],"data_source":"SYN-F01-06:D3@v1","goal":"별빛 채용행사 준비 행사 운영 발표자료 작성 위임","prior_task_action":"new","targets":["SYN-F01-06:D3@v1"]}</x:v>
      </x:c>
      <x:c r="F36" s="10" t="n">
        <x:f>IF(D36=E36,1,0)</x:f>
        <x:v>1</x:v>
      </x:c>
      <x:c r="G36" s="10" t="str">
        <x:v>필수 의미와 지칭 집합 일치</x:v>
      </x:c>
    </x:row>
    <x:row r="37" ht="145" customHeight="1">
      <x:c r="A37" s="10" t="str">
        <x:v>T-BASE</x:v>
      </x:c>
      <x:c r="B37" s="10" t="str">
        <x:v>TEXT</x:v>
      </x:c>
      <x:c r="C37" s="10" t="str">
        <x:v>TEXT:SYN-F01-06-U02</x:v>
      </x:c>
      <x:c r="D37" s="10" t="str">
        <x:v>{"conditions":["4장 이내","대상 기간 행사 2일","외부 발송 없음","참여기업 안내회용","현장 대기 20분 이하","홍보물 인쇄비 제외"],"data_source":"SYN-F01-06:D3@v1","goal":"별빛 채용행사 준비 행사 운영 발표자료 작성 위임","prior_task_action":"revise","targets":["SYN-F01-06:D3@v1"]}</x:v>
      </x:c>
      <x:c r="E37" s="10" t="str">
        <x:v>{"conditions":["4장 이내","대상 기간 행사 2일","외부 발송 없음","참여기업 안내회용","현장 대기 20분 이하","홍보물 인쇄비 제외"],"data_source":"SYN-F01-06:D3@v1","goal":"별빛 채용행사 준비 행사 운영 발표자료 작성 위임","prior_task_action":"revise","targets":["SYN-F01-06:D3@v1"]}</x:v>
      </x:c>
      <x:c r="F37" s="10" t="n">
        <x:f>IF(D37=E37,1,0)</x:f>
        <x:v>1</x:v>
      </x:c>
      <x:c r="G37" s="10" t="str">
        <x:v>필수 의미와 지칭 집합 일치</x:v>
      </x:c>
    </x:row>
    <x:row r="38" ht="145" customHeight="1">
      <x:c r="A38" s="10" t="str">
        <x:v>T-EXEC</x:v>
      </x:c>
      <x:c r="B38" s="10" t="str">
        <x:v>TEXT</x:v>
      </x:c>
      <x:c r="C38" s="10" t="str">
        <x:v>TEXT:SYN-F01-06-U01</x:v>
      </x:c>
      <x:c r="D38" s="10" t="str">
        <x:v>{"conditions":["8장 이내","대상 기간 행사 2일","외부 발송 없음","참여기업 안내회용","현장 대기 20분 이하"],"data_source":"SYN-F01-06:D3@v1","goal":"별빛 채용행사 준비 행사 운영 발표자료 작성 위임","prior_task_action":"new","targets":["SYN-F01-06:D3@v1"]}</x:v>
      </x:c>
      <x:c r="E38" s="10" t="str">
        <x:v>{"conditions":["8장 이내","대상 기간 행사 2일","외부 발송 없음","참여기업 안내회용","현장 대기 20분 이하"],"data_source":"SYN-F01-06:D3@v1","goal":"별빛 채용행사 준비 행사 운영 발표자료 작성 위임","prior_task_action":"new","targets":["SYN-F01-06:D3@v1"]}</x:v>
      </x:c>
      <x:c r="F38" s="10" t="n">
        <x:f>IF(D38=E38,1,0)</x:f>
        <x:v>1</x:v>
      </x:c>
      <x:c r="G38" s="10" t="str">
        <x:v>필수 의미와 지칭 집합 일치</x:v>
      </x:c>
    </x:row>
    <x:row r="39" ht="145" customHeight="1">
      <x:c r="A39" s="10" t="str">
        <x:v>T-EXEC</x:v>
      </x:c>
      <x:c r="B39" s="10" t="str">
        <x:v>TEXT</x:v>
      </x:c>
      <x:c r="C39" s="10" t="str">
        <x:v>TEXT:SYN-F01-06-U02</x:v>
      </x:c>
      <x:c r="D39" s="10" t="str">
        <x:v>{"conditions":["4장 이내","대상 기간 행사 2일","외부 발송 없음","참여기업 안내회용","현장 대기 20분 이하","홍보물 인쇄비 제외"],"data_source":"SYN-F01-06:D3@v1","goal":"별빛 채용행사 준비 행사 운영 발표자료 작성 위임","prior_task_action":"revise","targets":["SYN-F01-06:D3@v1"]}</x:v>
      </x:c>
      <x:c r="E39" s="10" t="str">
        <x:v>{"conditions":["4장 이내","대상 기간 행사 2일","외부 발송 없음","참여기업 안내회용","현장 대기 20분 이하","홍보물 인쇄비 제외"],"data_source":"SYN-F01-06:D3@v1","goal":"별빛 채용행사 준비 행사 운영 발표자료 작성 위임","prior_task_action":"revise","targets":["SYN-F01-06:D3@v1"]}</x:v>
      </x:c>
      <x:c r="F39" s="10" t="n">
        <x:f>IF(D39=E39,1,0)</x:f>
        <x:v>1</x:v>
      </x:c>
      <x:c r="G39" s="10" t="str">
        <x:v>필수 의미와 지칭 집합 일치</x:v>
      </x:c>
    </x:row>
    <x:row r="40" ht="145" customHeight="1">
      <x:c r="A40" s="10" t="str">
        <x:v>T-REL</x:v>
      </x:c>
      <x:c r="B40" s="10" t="str">
        <x:v>TEXT</x:v>
      </x:c>
      <x:c r="C40" s="10" t="str">
        <x:v>TEXT:SYN-F01-06-U01</x:v>
      </x:c>
      <x:c r="D40" s="10" t="str">
        <x:v>{"conditions":["8장 이내","대상 기간 행사 2일","외부 발송 없음","참여기업 안내회용","현장 대기 20분 이하"],"data_source":"SYN-F01-06:D3@v1","goal":"별빛 채용행사 준비 행사 운영 발표자료 작성 위임","prior_task_action":"new","targets":["SYN-F01-06:D3@v1"]}</x:v>
      </x:c>
      <x:c r="E40" s="10" t="str">
        <x:v>{"conditions":["8장 이내","대상 기간 행사 2일","외부 발송 없음","참여기업 안내회용","현장 대기 20분 이하"],"data_source":"SYN-F01-06:D3@v1","goal":"별빛 채용행사 준비 행사 운영 발표자료 작성 위임","prior_task_action":"new","targets":["SYN-F01-06:D3@v1"]}</x:v>
      </x:c>
      <x:c r="F40" s="10" t="n">
        <x:f>IF(D40=E40,1,0)</x:f>
        <x:v>1</x:v>
      </x:c>
      <x:c r="G40" s="10" t="str">
        <x:v>필수 의미와 지칭 집합 일치</x:v>
      </x:c>
    </x:row>
    <x:row r="41" ht="145" customHeight="1">
      <x:c r="A41" s="10" t="str">
        <x:v>T-REL</x:v>
      </x:c>
      <x:c r="B41" s="10" t="str">
        <x:v>TEXT</x:v>
      </x:c>
      <x:c r="C41" s="10" t="str">
        <x:v>TEXT:SYN-F01-06-U02</x:v>
      </x:c>
      <x:c r="D41" s="10" t="str">
        <x:v>{"conditions":["4장 이내","대상 기간 행사 2일","외부 발송 없음","참여기업 안내회용","현장 대기 20분 이하","홍보물 인쇄비 제외"],"data_source":"SYN-F01-06:D3@v1","goal":"별빛 채용행사 준비 행사 운영 발표자료 작성 위임","prior_task_action":"revise","targets":["SYN-F01-06:D3@v1"]}</x:v>
      </x:c>
      <x:c r="E41" s="10" t="str">
        <x:v>{"conditions":["4장 이내","대상 기간 행사 2일","외부 발송 없음","참여기업 안내회용","현장 대기 20분 이하","홍보물 인쇄비 제외"],"data_source":"SYN-F01-06:D3@v1","goal":"별빛 채용행사 준비 행사 운영 발표자료 작성 위임","prior_task_action":"revise","targets":["SYN-F01-06:D3@v1"]}</x:v>
      </x:c>
      <x:c r="F41" s="10" t="n">
        <x:f>IF(D41=E41,1,0)</x:f>
        <x:v>1</x:v>
      </x:c>
      <x:c r="G41" s="10" t="str">
        <x:v>필수 의미와 지칭 집합 일치</x:v>
      </x:c>
    </x:row>
    <x:row r="42" ht="145" customHeight="1">
      <x:c r="A42" s="10" t="str">
        <x:v>T-BASE</x:v>
      </x:c>
      <x:c r="B42" s="10" t="str">
        <x:v>TEXT</x:v>
      </x:c>
      <x:c r="C42" s="10" t="str">
        <x:v>TEXT:SYN-F01-07-U01</x:v>
      </x:c>
      <x:c r="D42" s="10" t="str">
        <x:v>{"conditions":["6장 이내","납품처 품질설명회용","대상 기간 다음 8주","샘플 검사 45분 이하","외부 발송 없음"],"data_source":"SYN-F01-07:D2@v1","goal":"청솔 부품검사 개선 검사 개선 발표자료 작성 위임","prior_task_action":"new","targets":["SYN-F01-07:D2@v1"]}</x:v>
      </x:c>
      <x:c r="E42" s="10" t="str">
        <x:v>{"conditions":["6장 이내","납품처 품질설명회용","대상 기간 다음 8주","샘플 검사 45분 이하","외부 발송 없음"],"data_source":"SYN-F01-07:D2@v1","goal":"청솔 부품검사 개선 검사 개선 발표자료 작성 위임","prior_task_action":"new","targets":["SYN-F01-07:D2@v1"]}</x:v>
      </x:c>
      <x:c r="F42" s="10" t="n">
        <x:f>IF(D42=E42,1,0)</x:f>
        <x:v>1</x:v>
      </x:c>
      <x:c r="G42" s="10" t="str">
        <x:v>필수 의미와 지칭 집합 일치</x:v>
      </x:c>
    </x:row>
    <x:row r="43" ht="145" customHeight="1">
      <x:c r="A43" s="10" t="str">
        <x:v>T-BASE</x:v>
      </x:c>
      <x:c r="B43" s="10" t="str">
        <x:v>TEXT</x:v>
      </x:c>
      <x:c r="C43" s="10" t="str">
        <x:v>TEXT:SYN-F01-07-U02</x:v>
      </x:c>
      <x:c r="D43" s="10" t="str">
        <x:v>{"conditions":["3장 이내","검사장비 구입비 제외","납품처 품질설명회용","대상 기간 다음 8주","샘플 검사 45분 이하","외부 발송 없음"],"data_source":"SYN-F01-07:D2@v1","goal":"청솔 부품검사 개선 검사 개선 발표자료 작성 위임","prior_task_action":"revise","targets":["SYN-F01-07:D2@v1"]}</x:v>
      </x:c>
      <x:c r="E43" s="10" t="str">
        <x:v>{"conditions":["3장 이내","검사장비 구입비 제외","납품처 품질설명회용","대상 기간 다음 8주","샘플 검사 45분 이하","외부 발송 없음"],"data_source":"SYN-F01-07:D2@v1","goal":"청솔 부품검사 개선 검사 개선 발표자료 작성 위임","prior_task_action":"revise","targets":["SYN-F01-07:D2@v1"]}</x:v>
      </x:c>
      <x:c r="F43" s="10" t="n">
        <x:f>IF(D43=E43,1,0)</x:f>
        <x:v>1</x:v>
      </x:c>
      <x:c r="G43" s="10" t="str">
        <x:v>필수 의미와 지칭 집합 일치</x:v>
      </x:c>
    </x:row>
    <x:row r="44" ht="145" customHeight="1">
      <x:c r="A44" s="10" t="str">
        <x:v>T-EXEC</x:v>
      </x:c>
      <x:c r="B44" s="10" t="str">
        <x:v>TEXT</x:v>
      </x:c>
      <x:c r="C44" s="10" t="str">
        <x:v>TEXT:SYN-F01-07-U01</x:v>
      </x:c>
      <x:c r="D44" s="10" t="str">
        <x:v>{"conditions":["6장 이내","납품처 품질설명회용","대상 기간 다음 8주","샘플 검사 45분 이하","외부 발송 없음"],"data_source":"SYN-F01-07:D2@v1","goal":"청솔 부품검사 개선 검사 개선 발표자료 작성 위임","prior_task_action":"new","targets":["SYN-F01-07:D2@v1"]}</x:v>
      </x:c>
      <x:c r="E44" s="10" t="str">
        <x:v>{"conditions":["6장 이내","납품처 품질설명회용","대상 기간 다음 8주","샘플 검사 45분 이하","외부 발송 없음"],"data_source":"SYN-F01-07:D2@v1","goal":"청솔 부품검사 개선 검사 개선 발표자료 작성 위임","prior_task_action":"new","targets":["SYN-F01-07:D2@v1"]}</x:v>
      </x:c>
      <x:c r="F44" s="10" t="n">
        <x:f>IF(D44=E44,1,0)</x:f>
        <x:v>1</x:v>
      </x:c>
      <x:c r="G44" s="10" t="str">
        <x:v>필수 의미와 지칭 집합 일치</x:v>
      </x:c>
    </x:row>
    <x:row r="45" ht="145" customHeight="1">
      <x:c r="A45" s="10" t="str">
        <x:v>T-EXEC</x:v>
      </x:c>
      <x:c r="B45" s="10" t="str">
        <x:v>TEXT</x:v>
      </x:c>
      <x:c r="C45" s="10" t="str">
        <x:v>TEXT:SYN-F01-07-U02</x:v>
      </x:c>
      <x:c r="D45" s="10" t="str">
        <x:v>{"conditions":["3장 이내","검사장비 구입비 제외","납품처 품질설명회용","대상 기간 다음 8주","샘플 검사 45분 이하","외부 발송 없음"],"data_source":"SYN-F01-07:D2@v1","goal":"청솔 부품검사 개선 검사 개선 발표자료 작성 위임","prior_task_action":"revise","targets":["SYN-F01-07:D2@v1"]}</x:v>
      </x:c>
      <x:c r="E45" s="10" t="str">
        <x:v>{"conditions":["3장 이내","검사장비 구입비 제외","납품처 품질설명회용","대상 기간 다음 8주","샘플 검사 45분 이하","외부 발송 없음"],"data_source":"SYN-F01-07:D2@v1","goal":"청솔 부품검사 개선 검사 개선 발표자료 작성 위임","prior_task_action":"revise","targets":["SYN-F01-07:D2@v1"]}</x:v>
      </x:c>
      <x:c r="F45" s="10" t="n">
        <x:f>IF(D45=E45,1,0)</x:f>
        <x:v>1</x:v>
      </x:c>
      <x:c r="G45" s="10" t="str">
        <x:v>필수 의미와 지칭 집합 일치</x:v>
      </x:c>
    </x:row>
    <x:row r="46" ht="145" customHeight="1">
      <x:c r="A46" s="10" t="str">
        <x:v>T-REL</x:v>
      </x:c>
      <x:c r="B46" s="10" t="str">
        <x:v>TEXT</x:v>
      </x:c>
      <x:c r="C46" s="10" t="str">
        <x:v>TEXT:SYN-F01-07-U01</x:v>
      </x:c>
      <x:c r="D46" s="10" t="str">
        <x:v>{"conditions":["6장 이내","납품처 품질설명회용","대상 기간 다음 8주","샘플 검사 45분 이하","외부 발송 없음"],"data_source":"SYN-F01-07:D2@v1","goal":"청솔 부품검사 개선 검사 개선 발표자료 작성 위임","prior_task_action":"new","targets":["SYN-F01-07:D2@v1"]}</x:v>
      </x:c>
      <x:c r="E46" s="10" t="str">
        <x:v>{"conditions":["6장 이내","납품처 품질설명회용","대상 기간 다음 8주","샘플 검사 45분 이하","외부 발송 없음"],"data_source":"SYN-F01-07:D2@v1","goal":"청솔 부품검사 개선 검사 개선 발표자료 작성 위임","prior_task_action":"new","targets":["SYN-F01-07:D2@v1"]}</x:v>
      </x:c>
      <x:c r="F46" s="10" t="n">
        <x:f>IF(D46=E46,1,0)</x:f>
        <x:v>1</x:v>
      </x:c>
      <x:c r="G46" s="10" t="str">
        <x:v>필수 의미와 지칭 집합 일치</x:v>
      </x:c>
    </x:row>
    <x:row r="47" ht="145" customHeight="1">
      <x:c r="A47" s="10" t="str">
        <x:v>T-REL</x:v>
      </x:c>
      <x:c r="B47" s="10" t="str">
        <x:v>TEXT</x:v>
      </x:c>
      <x:c r="C47" s="10" t="str">
        <x:v>TEXT:SYN-F01-07-U02</x:v>
      </x:c>
      <x:c r="D47" s="10" t="str">
        <x:v>{"conditions":["3장 이내","검사장비 구입비 제외","납품처 품질설명회용","대상 기간 다음 8주","샘플 검사 45분 이하","외부 발송 없음"],"data_source":"SYN-F01-07:D2@v1","goal":"청솔 부품검사 개선 검사 개선 발표자료 작성 위임","prior_task_action":"revise","targets":["SYN-F01-07:D2@v1"]}</x:v>
      </x:c>
      <x:c r="E47" s="10" t="str">
        <x:v>{"conditions":["3장 이내","검사장비 구입비 제외","납품처 품질설명회용","대상 기간 다음 8주","샘플 검사 45분 이하","외부 발송 없음"],"data_source":"SYN-F01-07:D2@v1","goal":"청솔 부품검사 개선 검사 개선 발표자료 작성 위임","prior_task_action":"revise","targets":["SYN-F01-07:D2@v1"]}</x:v>
      </x:c>
      <x:c r="F47" s="10" t="n">
        <x:f>IF(D47=E47,1,0)</x:f>
        <x:v>1</x:v>
      </x:c>
      <x:c r="G47" s="10" t="str">
        <x:v>필수 의미와 지칭 집합 일치</x:v>
      </x:c>
    </x:row>
    <x:row r="48" ht="145" customHeight="1">
      <x:c r="A48" s="10" t="str">
        <x:v>T-BASE</x:v>
      </x:c>
      <x:c r="B48" s="10" t="str">
        <x:v>TEXT</x:v>
      </x:c>
      <x:c r="C48" s="10" t="str">
        <x:v>TEXT:SYN-F01-08-U01</x:v>
      </x:c>
      <x:c r="D48" s="10" t="str">
        <x:v>{"conditions":["4장 이내","대상 기간 운영 5주","안내문 500자 이하","외부 발송 없음","지역 파트너 설명회용"],"data_source":"SYN-F01-08:D1@v1","goal":"노을 서비스 캠페인 캠페인 계획 발표자료 작성 위임","prior_task_action":"new","targets":["SYN-F01-08:D1@v1"]}</x:v>
      </x:c>
      <x:c r="E48" s="10" t="str">
        <x:v>{"conditions":["4장 이내","대상 기간 운영 5주","안내문 500자 이하","외부 발송 없음","지역 파트너 설명회용"],"data_source":"SYN-F01-08:D1@v1","goal":"노을 서비스 캠페인 캠페인 계획 발표자료 작성 위임","prior_task_action":"new","targets":["SYN-F01-08:D1@v1"]}</x:v>
      </x:c>
      <x:c r="F48" s="10" t="n">
        <x:f>IF(D48=E48,1,0)</x:f>
        <x:v>1</x:v>
      </x:c>
      <x:c r="G48" s="10" t="str">
        <x:v>필수 의미와 지칭 집합 일치</x:v>
      </x:c>
    </x:row>
    <x:row r="49" ht="145" customHeight="1">
      <x:c r="A49" s="10" t="str">
        <x:v>T-BASE</x:v>
      </x:c>
      <x:c r="B49" s="10" t="str">
        <x:v>TEXT</x:v>
      </x:c>
      <x:c r="C49" s="10" t="str">
        <x:v>TEXT:SYN-F01-08-U02</x:v>
      </x:c>
      <x:c r="D49" s="10" t="str">
        <x:v>{"conditions":["2장 이내","대상 기간 운영 5주","안내문 500자 이하","외부 발송 없음","일회성 촬영비 제외","지역 파트너 설명회용"],"data_source":"SYN-F01-08:D1@v1","goal":"노을 서비스 캠페인 캠페인 계획 발표자료 작성 위임","prior_task_action":"revise","targets":["SYN-F01-08:D1@v1"]}</x:v>
      </x:c>
      <x:c r="E49" s="10" t="str">
        <x:v>{"conditions":["2장 이내","대상 기간 운영 5주","안내문 500자 이하","외부 발송 없음","일회성 촬영비 제외","지역 파트너 설명회용"],"data_source":"SYN-F01-08:D1@v1","goal":"노을 서비스 캠페인 캠페인 계획 발표자료 작성 위임","prior_task_action":"revise","targets":["SYN-F01-08:D1@v1"]}</x:v>
      </x:c>
      <x:c r="F49" s="10" t="n">
        <x:f>IF(D49=E49,1,0)</x:f>
        <x:v>1</x:v>
      </x:c>
      <x:c r="G49" s="10" t="str">
        <x:v>필수 의미와 지칭 집합 일치</x:v>
      </x:c>
    </x:row>
    <x:row r="50" ht="145" customHeight="1">
      <x:c r="A50" s="10" t="str">
        <x:v>T-EXEC</x:v>
      </x:c>
      <x:c r="B50" s="10" t="str">
        <x:v>TEXT</x:v>
      </x:c>
      <x:c r="C50" s="10" t="str">
        <x:v>TEXT:SYN-F01-08-U01</x:v>
      </x:c>
      <x:c r="D50" s="10" t="str">
        <x:v>{"conditions":["4장 이내","대상 기간 운영 5주","안내문 500자 이하","외부 발송 없음","지역 파트너 설명회용"],"data_source":"SYN-F01-08:D1@v1","goal":"노을 서비스 캠페인 캠페인 계획 발표자료 작성 위임","prior_task_action":"new","targets":["SYN-F01-08:D1@v1"]}</x:v>
      </x:c>
      <x:c r="E50" s="10" t="str">
        <x:v>{"conditions":["4장 이내","대상 기간 운영 5주","안내문 500자 이하","외부 발송 없음","지역 파트너 설명회용"],"data_source":"SYN-F01-08:D1@v1","goal":"노을 서비스 캠페인 캠페인 계획 발표자료 작성 위임","prior_task_action":"new","targets":["SYN-F01-08:D1@v1"]}</x:v>
      </x:c>
      <x:c r="F50" s="10" t="n">
        <x:f>IF(D50=E50,1,0)</x:f>
        <x:v>1</x:v>
      </x:c>
      <x:c r="G50" s="10" t="str">
        <x:v>필수 의미와 지칭 집합 일치</x:v>
      </x:c>
    </x:row>
    <x:row r="51" ht="145" customHeight="1">
      <x:c r="A51" s="10" t="str">
        <x:v>T-EXEC</x:v>
      </x:c>
      <x:c r="B51" s="10" t="str">
        <x:v>TEXT</x:v>
      </x:c>
      <x:c r="C51" s="10" t="str">
        <x:v>TEXT:SYN-F01-08-U02</x:v>
      </x:c>
      <x:c r="D51" s="10" t="str">
        <x:v>{"conditions":["2장 이내","대상 기간 운영 5주","안내문 500자 이하","외부 발송 없음","일회성 촬영비 제외","지역 파트너 설명회용"],"data_source":"SYN-F01-08:D1@v1","goal":"노을 서비스 캠페인 캠페인 계획 발표자료 작성 위임","prior_task_action":"revise","targets":["SYN-F01-08:D1@v1"]}</x:v>
      </x:c>
      <x:c r="E51" s="10" t="str">
        <x:v>{"conditions":["2장 이내","대상 기간 운영 5주","안내문 500자 이하","외부 발송 없음","일회성 촬영비 제외","지역 파트너 설명회용"],"data_source":"SYN-F01-08:D1@v1","goal":"노을 서비스 캠페인 캠페인 계획 발표자료 작성 위임","prior_task_action":"revise","targets":["SYN-F01-08:D1@v1"]}</x:v>
      </x:c>
      <x:c r="F51" s="10" t="n">
        <x:f>IF(D51=E51,1,0)</x:f>
        <x:v>1</x:v>
      </x:c>
      <x:c r="G51" s="10" t="str">
        <x:v>필수 의미와 지칭 집합 일치</x:v>
      </x:c>
    </x:row>
    <x:row r="52" ht="145" customHeight="1">
      <x:c r="A52" s="10" t="str">
        <x:v>T-REL</x:v>
      </x:c>
      <x:c r="B52" s="10" t="str">
        <x:v>TEXT</x:v>
      </x:c>
      <x:c r="C52" s="10" t="str">
        <x:v>TEXT:SYN-F01-08-U01</x:v>
      </x:c>
      <x:c r="D52" s="10" t="str">
        <x:v>{"conditions":["4장 이내","대상 기간 운영 5주","안내문 500자 이하","외부 발송 없음","지역 파트너 설명회용"],"data_source":"SYN-F01-08:D1@v1","goal":"노을 서비스 캠페인 캠페인 계획 발표자료 작성 위임","prior_task_action":"new","targets":["SYN-F01-08:D1@v1"]}</x:v>
      </x:c>
      <x:c r="E52" s="10" t="str">
        <x:v>{"conditions":["4장 이내","대상 기간 운영 5주","안내문 500자 이하","외부 발송 없음","지역 파트너 설명회용"],"data_source":"SYN-F01-08:D1@v1","goal":"노을 서비스 캠페인 캠페인 계획 발표자료 작성 위임","prior_task_action":"new","targets":["SYN-F01-08:D1@v1"]}</x:v>
      </x:c>
      <x:c r="F52" s="10" t="n">
        <x:f>IF(D52=E52,1,0)</x:f>
        <x:v>1</x:v>
      </x:c>
      <x:c r="G52" s="10" t="str">
        <x:v>필수 의미와 지칭 집합 일치</x:v>
      </x:c>
    </x:row>
    <x:row r="53" ht="145" customHeight="1">
      <x:c r="A53" s="10" t="str">
        <x:v>T-REL</x:v>
      </x:c>
      <x:c r="B53" s="10" t="str">
        <x:v>TEXT</x:v>
      </x:c>
      <x:c r="C53" s="10" t="str">
        <x:v>TEXT:SYN-F01-08-U02</x:v>
      </x:c>
      <x:c r="D53" s="10" t="str">
        <x:v>{"conditions":["2장 이내","대상 기간 운영 5주","안내문 500자 이하","외부 발송 없음","일회성 촬영비 제외","지역 파트너 설명회용"],"data_source":"SYN-F01-08:D1@v1","goal":"노을 서비스 캠페인 캠페인 계획 발표자료 작성 위임","prior_task_action":"revise","targets":["SYN-F01-08:D1@v1"]}</x:v>
      </x:c>
      <x:c r="E53" s="10" t="str">
        <x:v>{"conditions":["2장 이내","대상 기간 운영 5주","안내문 500자 이하","외부 발송 없음","일회성 촬영비 제외","지역 파트너 설명회용"],"data_source":"SYN-F01-08:D1@v1","goal":"노을 서비스 캠페인 캠페인 계획 발표자료 작성 위임","prior_task_action":"revise","targets":["SYN-F01-08:D1@v1"]}</x:v>
      </x:c>
      <x:c r="F53" s="10" t="n">
        <x:f>IF(D53=E53,1,0)</x:f>
        <x:v>1</x:v>
      </x:c>
      <x:c r="G53" s="10" t="str">
        <x:v>필수 의미와 지칭 집합 일치</x:v>
      </x:c>
    </x:row>
    <x:row r="54" ht="145" customHeight="1">
      <x:c r="A54" s="10" t="str">
        <x:v>T-BASE</x:v>
      </x:c>
      <x:c r="B54" s="10" t="str">
        <x:v>TEXT</x:v>
      </x:c>
      <x:c r="C54" s="10" t="str">
        <x:v>TEXT:SYN-F01-09-U01</x:v>
      </x:c>
      <x:c r="D54" s="10" t="str">
        <x:v>{"conditions":["7장 이내","대상 기간 적용 후 4주","배송 협력사 설명회용","외부 발송 없음","주문당 이동 180m 이하"],"data_source":"SYN-F01-09:D3@v1","goal":"파도 창고배치 변경 배치 변경 발표자료 작성 위임","prior_task_action":"new","targets":["SYN-F01-09:D3@v1"]}</x:v>
      </x:c>
      <x:c r="E54" s="10" t="str">
        <x:v>{"conditions":["7장 이내","대상 기간 적용 후 4주","배송 협력사 설명회용","외부 발송 없음","주문당 이동 180m 이하"],"data_source":"SYN-F01-09:D3@v1","goal":"파도 창고배치 변경 배치 변경 발표자료 작성 위임","prior_task_action":"new","targets":["SYN-F01-09:D3@v1"]}</x:v>
      </x:c>
      <x:c r="F54" s="10" t="n">
        <x:f>IF(D54=E54,1,0)</x:f>
        <x:v>1</x:v>
      </x:c>
      <x:c r="G54" s="10" t="str">
        <x:v>필수 의미와 지칭 집합 일치</x:v>
      </x:c>
    </x:row>
    <x:row r="55" ht="145" customHeight="1">
      <x:c r="A55" s="10" t="str">
        <x:v>T-BASE</x:v>
      </x:c>
      <x:c r="B55" s="10" t="str">
        <x:v>TEXT</x:v>
      </x:c>
      <x:c r="C55" s="10" t="str">
        <x:v>TEXT:SYN-F01-09-U02</x:v>
      </x:c>
      <x:c r="D55" s="10" t="str">
        <x:v>{"conditions":["4장 이내","대상 기간 적용 후 4주","배송 협력사 설명회용","선반 구매비 제외","외부 발송 없음","주문당 이동 180m 이하"],"data_source":"SYN-F01-09:D3@v1","goal":"파도 창고배치 변경 배치 변경 발표자료 작성 위임","prior_task_action":"revise","targets":["SYN-F01-09:D3@v1"]}</x:v>
      </x:c>
      <x:c r="E55" s="10" t="str">
        <x:v>{"conditions":["4장 이내","대상 기간 적용 후 4주","배송 협력사 설명회용","선반 구매비 제외","외부 발송 없음","주문당 이동 180m 이하"],"data_source":"SYN-F01-09:D3@v1","goal":"파도 창고배치 변경 배치 변경 발표자료 작성 위임","prior_task_action":"revise","targets":["SYN-F01-09:D3@v1"]}</x:v>
      </x:c>
      <x:c r="F55" s="10" t="n">
        <x:f>IF(D55=E55,1,0)</x:f>
        <x:v>1</x:v>
      </x:c>
      <x:c r="G55" s="10" t="str">
        <x:v>필수 의미와 지칭 집합 일치</x:v>
      </x:c>
    </x:row>
    <x:row r="56" ht="145" customHeight="1">
      <x:c r="A56" s="10" t="str">
        <x:v>T-EXEC</x:v>
      </x:c>
      <x:c r="B56" s="10" t="str">
        <x:v>TEXT</x:v>
      </x:c>
      <x:c r="C56" s="10" t="str">
        <x:v>TEXT:SYN-F01-09-U01</x:v>
      </x:c>
      <x:c r="D56" s="10" t="str">
        <x:v>{"conditions":["7장 이내","대상 기간 적용 후 4주","배송 협력사 설명회용","외부 발송 없음","주문당 이동 180m 이하"],"data_source":"SYN-F01-09:D3@v1","goal":"파도 창고배치 변경 배치 변경 발표자료 작성 위임","prior_task_action":"new","targets":["SYN-F01-09:D3@v1"]}</x:v>
      </x:c>
      <x:c r="E56" s="10" t="str">
        <x:v>{"conditions":["7장 이내","대상 기간 적용 후 4주","배송 협력사 설명회용","외부 발송 없음","주문당 이동 180m 이하"],"data_source":"SYN-F01-09:D3@v1","goal":"파도 창고배치 변경 배치 변경 발표자료 작성 위임","prior_task_action":"new","targets":["SYN-F01-09:D3@v1"]}</x:v>
      </x:c>
      <x:c r="F56" s="10" t="n">
        <x:f>IF(D56=E56,1,0)</x:f>
        <x:v>1</x:v>
      </x:c>
      <x:c r="G56" s="10" t="str">
        <x:v>필수 의미와 지칭 집합 일치</x:v>
      </x:c>
    </x:row>
    <x:row r="57" ht="145" customHeight="1">
      <x:c r="A57" s="10" t="str">
        <x:v>T-EXEC</x:v>
      </x:c>
      <x:c r="B57" s="10" t="str">
        <x:v>TEXT</x:v>
      </x:c>
      <x:c r="C57" s="10" t="str">
        <x:v>TEXT:SYN-F01-09-U02</x:v>
      </x:c>
      <x:c r="D57" s="10" t="str">
        <x:v>{"conditions":["4장 이내","대상 기간 적용 후 4주","배송 협력사 설명회용","선반 구매비 제외","외부 발송 없음","주문당 이동 180m 이하"],"data_source":"SYN-F01-09:D3@v1","goal":"파도 창고배치 변경 배치 변경 발표자료 작성 위임","prior_task_action":"revise","targets":["SYN-F01-09:D3@v1"]}</x:v>
      </x:c>
      <x:c r="E57" s="10" t="str">
        <x:v>{"conditions":["4장 이내","대상 기간 적용 후 4주","배송 협력사 설명회용","선반 구매비 제외","외부 발송 없음","주문당 이동 180m 이하"],"data_source":"SYN-F01-09:D3@v1","goal":"파도 창고배치 변경 배치 변경 발표자료 작성 위임","prior_task_action":"revise","targets":["SYN-F01-09:D3@v1"]}</x:v>
      </x:c>
      <x:c r="F57" s="10" t="n">
        <x:f>IF(D57=E57,1,0)</x:f>
        <x:v>1</x:v>
      </x:c>
      <x:c r="G57" s="10" t="str">
        <x:v>필수 의미와 지칭 집합 일치</x:v>
      </x:c>
    </x:row>
    <x:row r="58" ht="145" customHeight="1">
      <x:c r="A58" s="10" t="str">
        <x:v>T-REL</x:v>
      </x:c>
      <x:c r="B58" s="10" t="str">
        <x:v>TEXT</x:v>
      </x:c>
      <x:c r="C58" s="10" t="str">
        <x:v>TEXT:SYN-F01-09-U01</x:v>
      </x:c>
      <x:c r="D58" s="10" t="str">
        <x:v>{"conditions":["7장 이내","대상 기간 적용 후 4주","배송 협력사 설명회용","외부 발송 없음","주문당 이동 180m 이하"],"data_source":"SYN-F01-09:D3@v1","goal":"파도 창고배치 변경 배치 변경 발표자료 작성 위임","prior_task_action":"new","targets":["SYN-F01-09:D3@v1"]}</x:v>
      </x:c>
      <x:c r="E58" s="10" t="str">
        <x:v>{"conditions":["7장 이내","대상 기간 적용 후 4주","배송 협력사 설명회용","외부 발송 없음","주문당 이동 180m 이하"],"data_source":"SYN-F01-09:D3@v1","goal":"파도 창고배치 변경 배치 변경 발표자료 작성 위임","prior_task_action":"new","targets":["SYN-F01-09:D3@v1"]}</x:v>
      </x:c>
      <x:c r="F58" s="10" t="n">
        <x:f>IF(D58=E58,1,0)</x:f>
        <x:v>1</x:v>
      </x:c>
      <x:c r="G58" s="10" t="str">
        <x:v>필수 의미와 지칭 집합 일치</x:v>
      </x:c>
    </x:row>
    <x:row r="59" ht="145" customHeight="1">
      <x:c r="A59" s="10" t="str">
        <x:v>T-REL</x:v>
      </x:c>
      <x:c r="B59" s="10" t="str">
        <x:v>TEXT</x:v>
      </x:c>
      <x:c r="C59" s="10" t="str">
        <x:v>TEXT:SYN-F01-09-U02</x:v>
      </x:c>
      <x:c r="D59" s="10" t="str">
        <x:v>{"conditions":["4장 이내","대상 기간 적용 후 4주","배송 협력사 설명회용","선반 구매비 제외","외부 발송 없음","주문당 이동 180m 이하"],"data_source":"SYN-F01-09:D3@v1","goal":"파도 창고배치 변경 배치 변경 발표자료 작성 위임","prior_task_action":"revise","targets":["SYN-F01-09:D3@v1"]}</x:v>
      </x:c>
      <x:c r="E59" s="10" t="str">
        <x:v>{"conditions":["4장 이내","대상 기간 적용 후 4주","배송 협력사 설명회용","선반 구매비 제외","외부 발송 없음","주문당 이동 180m 이하"],"data_source":"SYN-F01-09:D3@v1","goal":"파도 창고배치 변경 배치 변경 발표자료 작성 위임","prior_task_action":"revise","targets":["SYN-F01-09:D3@v1"]}</x:v>
      </x:c>
      <x:c r="F59" s="10" t="n">
        <x:f>IF(D59=E59,1,0)</x:f>
        <x:v>1</x:v>
      </x:c>
      <x:c r="G59" s="10" t="str">
        <x:v>필수 의미와 지칭 집합 일치</x:v>
      </x:c>
    </x:row>
    <x:row r="60" ht="145" customHeight="1">
      <x:c r="A60" s="10" t="str">
        <x:v>T-BASE</x:v>
      </x:c>
      <x:c r="B60" s="10" t="str">
        <x:v>TEXT</x:v>
      </x:c>
      <x:c r="C60" s="10" t="str">
        <x:v>TEXT:SYN-F01-10-U01</x:v>
      </x:c>
      <x:c r="D60" s="10" t="str">
        <x:v>{"conditions":["5장 이내","대상 기간 출시 후 2개월","부서대표 설명회용","외부 발송 없음","첫 화면 메뉴 9개 이하"],"data_source":"SYN-F01-10:D2@v1","goal":"온유 사내포털 개편 포털 개선 발표자료 작성 위임","prior_task_action":"new","targets":["SYN-F01-10:D2@v1"]}</x:v>
      </x:c>
      <x:c r="E60" s="10" t="str">
        <x:v>{"conditions":["5장 이내","대상 기간 출시 후 2개월","부서대표 설명회용","외부 발송 없음","첫 화면 메뉴 9개 이하"],"data_source":"SYN-F01-10:D2@v1","goal":"온유 사내포털 개편 포털 개선 발표자료 작성 위임","prior_task_action":"new","targets":["SYN-F01-10:D2@v1"]}</x:v>
      </x:c>
      <x:c r="F60" s="10" t="n">
        <x:f>IF(D60=E60,1,0)</x:f>
        <x:v>1</x:v>
      </x:c>
      <x:c r="G60" s="10" t="str">
        <x:v>필수 의미와 지칭 집합 일치</x:v>
      </x:c>
    </x:row>
    <x:row r="61" ht="145" customHeight="1">
      <x:c r="A61" s="10" t="str">
        <x:v>T-BASE</x:v>
      </x:c>
      <x:c r="B61" s="10" t="str">
        <x:v>TEXT</x:v>
      </x:c>
      <x:c r="C61" s="10" t="str">
        <x:v>TEXT:SYN-F01-10-U02</x:v>
      </x:c>
      <x:c r="D61" s="10" t="str">
        <x:v>{"conditions":["3장 이내","대상 기간 출시 후 2개월","부서대표 설명회용","외부 발송 없음","첫 화면 메뉴 9개 이하","초기 이전비 제외"],"data_source":"SYN-F01-10:D2@v1","goal":"온유 사내포털 개편 포털 개선 발표자료 작성 위임","prior_task_action":"revise","targets":["SYN-F01-10:D2@v1"]}</x:v>
      </x:c>
      <x:c r="E61" s="10" t="str">
        <x:v>{"conditions":["3장 이내","대상 기간 출시 후 2개월","부서대표 설명회용","외부 발송 없음","첫 화면 메뉴 9개 이하","초기 이전비 제외"],"data_source":"SYN-F01-10:D2@v1","goal":"온유 사내포털 개편 포털 개선 발표자료 작성 위임","prior_task_action":"revise","targets":["SYN-F01-10:D2@v1"]}</x:v>
      </x:c>
      <x:c r="F61" s="10" t="n">
        <x:f>IF(D61=E61,1,0)</x:f>
        <x:v>1</x:v>
      </x:c>
      <x:c r="G61" s="10" t="str">
        <x:v>필수 의미와 지칭 집합 일치</x:v>
      </x:c>
    </x:row>
    <x:row r="62" ht="145" customHeight="1">
      <x:c r="A62" s="10" t="str">
        <x:v>T-EXEC</x:v>
      </x:c>
      <x:c r="B62" s="10" t="str">
        <x:v>TEXT</x:v>
      </x:c>
      <x:c r="C62" s="10" t="str">
        <x:v>TEXT:SYN-F01-10-U01</x:v>
      </x:c>
      <x:c r="D62" s="10" t="str">
        <x:v>{"conditions":["5장 이내","대상 기간 출시 후 2개월","부서대표 설명회용","외부 발송 없음","첫 화면 메뉴 9개 이하"],"data_source":"SYN-F01-10:D2@v1","goal":"온유 사내포털 개편 포털 개선 발표자료 작성 위임","prior_task_action":"new","targets":["SYN-F01-10:D2@v1"]}</x:v>
      </x:c>
      <x:c r="E62" s="10" t="str">
        <x:v>{"conditions":["5장 이내","대상 기간 출시 후 2개월","부서대표 설명회용","외부 발송 없음","첫 화면 메뉴 9개 이하"],"data_source":"SYN-F01-10:D2@v1","goal":"온유 사내포털 개편 포털 개선 발표자료 작성 위임","prior_task_action":"new","targets":["SYN-F01-10:D2@v1"]}</x:v>
      </x:c>
      <x:c r="F62" s="10" t="n">
        <x:f>IF(D62=E62,1,0)</x:f>
        <x:v>1</x:v>
      </x:c>
      <x:c r="G62" s="10" t="str">
        <x:v>필수 의미와 지칭 집합 일치</x:v>
      </x:c>
    </x:row>
    <x:row r="63" ht="145" customHeight="1">
      <x:c r="A63" s="10" t="str">
        <x:v>T-EXEC</x:v>
      </x:c>
      <x:c r="B63" s="10" t="str">
        <x:v>TEXT</x:v>
      </x:c>
      <x:c r="C63" s="10" t="str">
        <x:v>TEXT:SYN-F01-10-U02</x:v>
      </x:c>
      <x:c r="D63" s="10" t="str">
        <x:v>{"conditions":["3장 이내","대상 기간 출시 후 2개월","부서대표 설명회용","외부 발송 없음","첫 화면 메뉴 9개 이하","초기 이전비 제외"],"data_source":"SYN-F01-10:D2@v1","goal":"온유 사내포털 개편 포털 개선 발표자료 작성 위임","prior_task_action":"revise","targets":["SYN-F01-10:D2@v1"]}</x:v>
      </x:c>
      <x:c r="E63" s="10" t="str">
        <x:v>{"conditions":["3장 이내","대상 기간 출시 후 2개월","부서대표 설명회용","외부 발송 없음","첫 화면 메뉴 9개 이하","초기 이전비 제외"],"data_source":"SYN-F01-10:D2@v1","goal":"온유 사내포털 개편 포털 개선 발표자료 작성 위임","prior_task_action":"revise","targets":["SYN-F01-10:D2@v1"]}</x:v>
      </x:c>
      <x:c r="F63" s="10" t="n">
        <x:f>IF(D63=E63,1,0)</x:f>
        <x:v>1</x:v>
      </x:c>
      <x:c r="G63" s="10" t="str">
        <x:v>필수 의미와 지칭 집합 일치</x:v>
      </x:c>
    </x:row>
    <x:row r="64" ht="145" customHeight="1">
      <x:c r="A64" s="10" t="str">
        <x:v>T-REL</x:v>
      </x:c>
      <x:c r="B64" s="10" t="str">
        <x:v>TEXT</x:v>
      </x:c>
      <x:c r="C64" s="10" t="str">
        <x:v>TEXT:SYN-F01-10-U01</x:v>
      </x:c>
      <x:c r="D64" s="10" t="str">
        <x:v>{"conditions":["5장 이내","대상 기간 출시 후 2개월","부서대표 설명회용","외부 발송 없음","첫 화면 메뉴 9개 이하"],"data_source":"SYN-F01-10:D2@v1","goal":"온유 사내포털 개편 포털 개선 발표자료 작성 위임","prior_task_action":"new","targets":["SYN-F01-10:D2@v1"]}</x:v>
      </x:c>
      <x:c r="E64" s="10" t="str">
        <x:v>{"conditions":["5장 이내","대상 기간 출시 후 2개월","부서대표 설명회용","외부 발송 없음","첫 화면 메뉴 9개 이하"],"data_source":"SYN-F01-10:D2@v1","goal":"온유 사내포털 개편 포털 개선 발표자료 작성 위임","prior_task_action":"new","targets":["SYN-F01-10:D2@v1"]}</x:v>
      </x:c>
      <x:c r="F64" s="10" t="n">
        <x:f>IF(D64=E64,1,0)</x:f>
        <x:v>1</x:v>
      </x:c>
      <x:c r="G64" s="10" t="str">
        <x:v>필수 의미와 지칭 집합 일치</x:v>
      </x:c>
    </x:row>
    <x:row r="65" ht="145" customHeight="1">
      <x:c r="A65" s="10" t="str">
        <x:v>T-REL</x:v>
      </x:c>
      <x:c r="B65" s="10" t="str">
        <x:v>TEXT</x:v>
      </x:c>
      <x:c r="C65" s="10" t="str">
        <x:v>TEXT:SYN-F01-10-U02</x:v>
      </x:c>
      <x:c r="D65" s="10" t="str">
        <x:v>{"conditions":["3장 이내","대상 기간 출시 후 2개월","부서대표 설명회용","외부 발송 없음","첫 화면 메뉴 9개 이하","초기 이전비 제외"],"data_source":"SYN-F01-10:D2@v1","goal":"온유 사내포털 개편 포털 개선 발표자료 작성 위임","prior_task_action":"revise","targets":["SYN-F01-10:D2@v1"]}</x:v>
      </x:c>
      <x:c r="E65" s="10" t="str">
        <x:v>{"conditions":["3장 이내","대상 기간 출시 후 2개월","부서대표 설명회용","외부 발송 없음","첫 화면 메뉴 9개 이하","초기 이전비 제외"],"data_source":"SYN-F01-10:D2@v1","goal":"온유 사내포털 개편 포털 개선 발표자료 작성 위임","prior_task_action":"revise","targets":["SYN-F01-10:D2@v1"]}</x:v>
      </x:c>
      <x:c r="F65" s="10" t="n">
        <x:f>IF(D65=E65,1,0)</x:f>
        <x:v>1</x:v>
      </x:c>
      <x:c r="G65" s="10" t="str">
        <x:v>필수 의미와 지칭 집합 일치</x:v>
      </x:c>
    </x:row>
    <x:row r="66" ht="145" customHeight="1">
      <x:c r="A66" s="10" t="str">
        <x:v>T-BASE</x:v>
      </x:c>
      <x:c r="B66" s="10" t="str">
        <x:v>TEXT</x:v>
      </x:c>
      <x:c r="C66" s="10" t="str">
        <x:v>TEXT:SYN-F02-01-U01</x:v>
      </x:c>
      <x:c r="D66" s="10" t="str">
        <x:v>{"conditions":["5장 이내","대상 기간 첫 12개월","서비스 운영위원회용","외부 발송 없음","월 운영비 240만원 이하"],"data_source":"SYN-F02-01:D2@v1","goal":"오로라 고객센터 전환 전환 검토 발표자료 작성 위임","prior_task_action":"new","targets":["SYN-F02-01:D2@v1"]}</x:v>
      </x:c>
      <x:c r="E66" s="10" t="str">
        <x:v>{"conditions":["5장 이내","대상 기간 첫 12개월","서비스 운영위원회용","외부 발송 없음","월 운영비 240만원 이하"],"data_source":"SYN-F02-01:D2@v1","goal":"오로라 고객센터 전환 전환 검토 발표자료 작성 위임","prior_task_action":"new","targets":["SYN-F02-01:D2@v1"]}</x:v>
      </x:c>
      <x:c r="F66" s="10" t="n">
        <x:f>IF(D66=E66,1,0)</x:f>
        <x:v>1</x:v>
      </x:c>
      <x:c r="G66" s="10" t="str">
        <x:v>필수 의미와 지칭 집합 일치</x:v>
      </x:c>
    </x:row>
    <x:row r="67" ht="145" customHeight="1">
      <x:c r="A67" s="10" t="str">
        <x:v>T-BASE</x:v>
      </x:c>
      <x:c r="B67" s="10" t="str">
        <x:v>TEXT</x:v>
      </x:c>
      <x:c r="C67" s="10" t="str">
        <x:v>TEXT:SYN-F02-01-U02</x:v>
      </x:c>
      <x:c r="D67" s="10" t="str">
        <x:v>{"conditions":["3문장","기존 발표자료 작성 유지","준비와 적용 일정 구분"],"data_source":"SYN-F02-01:D2@v1","goal":"원래 자료의 일정 표 별도 요약","prior_task_action":"keep","targets":["SYN-F02-01:D2@v1#schedule"]}</x:v>
      </x:c>
      <x:c r="E67" s="10" t="str">
        <x:v>{"conditions":["3문장","기존 발표자료 작성 유지","준비와 적용 일정 구분"],"data_source":"SYN-F02-01:D2@v1","goal":"원래 자료의 일정 표 별도 요약","prior_task_action":"keep","targets":["SYN-F02-01:D2@v1#schedule"]}</x:v>
      </x:c>
      <x:c r="F67" s="10" t="n">
        <x:f>IF(D67=E67,1,0)</x:f>
        <x:v>1</x:v>
      </x:c>
      <x:c r="G67" s="10" t="str">
        <x:v>필수 의미와 지칭 집합 일치</x:v>
      </x:c>
    </x:row>
    <x:row r="68" ht="145" customHeight="1">
      <x:c r="A68" s="10" t="str">
        <x:v>T-EXEC</x:v>
      </x:c>
      <x:c r="B68" s="10" t="str">
        <x:v>TEXT</x:v>
      </x:c>
      <x:c r="C68" s="10" t="str">
        <x:v>TEXT:SYN-F02-01-U01</x:v>
      </x:c>
      <x:c r="D68" s="10" t="str">
        <x:v>{"conditions":["5장 이내","대상 기간 첫 12개월","서비스 운영위원회용","외부 발송 없음","월 운영비 240만원 이하"],"data_source":"SYN-F02-01:D2@v1","goal":"오로라 고객센터 전환 전환 검토 발표자료 작성 위임","prior_task_action":"new","targets":["SYN-F02-01:D2@v1"]}</x:v>
      </x:c>
      <x:c r="E68" s="10" t="str">
        <x:v>{"conditions":["5장 이내","대상 기간 첫 12개월","서비스 운영위원회용","외부 발송 없음","월 운영비 240만원 이하"],"data_source":"SYN-F02-01:D2@v1","goal":"오로라 고객센터 전환 전환 검토 발표자료 작성 위임","prior_task_action":"new","targets":["SYN-F02-01:D2@v1"]}</x:v>
      </x:c>
      <x:c r="F68" s="10" t="n">
        <x:f>IF(D68=E68,1,0)</x:f>
        <x:v>1</x:v>
      </x:c>
      <x:c r="G68" s="10" t="str">
        <x:v>필수 의미와 지칭 집합 일치</x:v>
      </x:c>
    </x:row>
    <x:row r="69" ht="145" customHeight="1">
      <x:c r="A69" s="10" t="str">
        <x:v>T-EXEC</x:v>
      </x:c>
      <x:c r="B69" s="10" t="str">
        <x:v>TEXT</x:v>
      </x:c>
      <x:c r="C69" s="10" t="str">
        <x:v>TEXT:SYN-F02-01-U02</x:v>
      </x:c>
      <x:c r="D69" s="10" t="str">
        <x:v>{"conditions":["3문장","기존 발표자료 작성 유지","준비와 적용 일정 구분"],"data_source":"SYN-F02-01:D2@v1","goal":"원래 자료의 일정 표 별도 요약","prior_task_action":"keep","targets":["SYN-F02-01:D2@v1#schedule"]}</x:v>
      </x:c>
      <x:c r="E69" s="10" t="str">
        <x:v>{"conditions":["3문장","기존 발표자료 작성 유지","준비와 적용 일정 구분"],"data_source":"SYN-F02-01:D2@v1","goal":"원래 자료의 일정 표 별도 요약","prior_task_action":"keep","targets":["SYN-F02-01:D2@v1#schedule"]}</x:v>
      </x:c>
      <x:c r="F69" s="10" t="n">
        <x:f>IF(D69=E69,1,0)</x:f>
        <x:v>1</x:v>
      </x:c>
      <x:c r="G69" s="10" t="str">
        <x:v>필수 의미와 지칭 집합 일치</x:v>
      </x:c>
    </x:row>
    <x:row r="70" ht="145" customHeight="1">
      <x:c r="A70" s="10" t="str">
        <x:v>T-REL</x:v>
      </x:c>
      <x:c r="B70" s="10" t="str">
        <x:v>TEXT</x:v>
      </x:c>
      <x:c r="C70" s="10" t="str">
        <x:v>TEXT:SYN-F02-01-U01</x:v>
      </x:c>
      <x:c r="D70" s="10" t="str">
        <x:v>{"conditions":["5장 이내","대상 기간 첫 12개월","서비스 운영위원회용","외부 발송 없음","월 운영비 240만원 이하"],"data_source":"SYN-F02-01:D2@v1","goal":"오로라 고객센터 전환 전환 검토 발표자료 작성 위임","prior_task_action":"new","targets":["SYN-F02-01:D2@v1"]}</x:v>
      </x:c>
      <x:c r="E70" s="10" t="str">
        <x:v>{"conditions":["5장 이내","대상 기간 첫 12개월","서비스 운영위원회용","외부 발송 없음","월 운영비 240만원 이하"],"data_source":"SYN-F02-01:D2@v1","goal":"오로라 고객센터 전환 전환 검토 발표자료 작성 위임","prior_task_action":"new","targets":["SYN-F02-01:D2@v1"]}</x:v>
      </x:c>
      <x:c r="F70" s="10" t="n">
        <x:f>IF(D70=E70,1,0)</x:f>
        <x:v>1</x:v>
      </x:c>
      <x:c r="G70" s="10" t="str">
        <x:v>필수 의미와 지칭 집합 일치</x:v>
      </x:c>
    </x:row>
    <x:row r="71" ht="145" customHeight="1">
      <x:c r="A71" s="10" t="str">
        <x:v>T-REL</x:v>
      </x:c>
      <x:c r="B71" s="10" t="str">
        <x:v>TEXT</x:v>
      </x:c>
      <x:c r="C71" s="10" t="str">
        <x:v>TEXT:SYN-F02-01-U02</x:v>
      </x:c>
      <x:c r="D71" s="10" t="str">
        <x:v>{"conditions":["3문장","기존 발표자료 작성 유지","준비와 적용 일정 구분"],"data_source":"SYN-F02-01:D2@v1","goal":"원래 자료의 일정 표 별도 요약","prior_task_action":"keep","targets":["SYN-F02-01:D2@v1#schedule"]}</x:v>
      </x:c>
      <x:c r="E71" s="10" t="str">
        <x:v>{"conditions":["3문장","기존 발표자료 작성 유지","준비와 적용 일정 구분"],"data_source":"SYN-F02-01:D2@v1","goal":"원래 자료의 일정 표 별도 요약","prior_task_action":"keep","targets":["SYN-F02-01:D2@v1#schedule"]}</x:v>
      </x:c>
      <x:c r="F71" s="10" t="n">
        <x:f>IF(D71=E71,1,0)</x:f>
        <x:v>1</x:v>
      </x:c>
      <x:c r="G71" s="10" t="str">
        <x:v>필수 의미와 지칭 집합 일치</x:v>
      </x:c>
    </x:row>
    <x:row r="72" ht="145" customHeight="1">
      <x:c r="A72" s="10" t="str">
        <x:v>T-BASE</x:v>
      </x:c>
      <x:c r="B72" s="10" t="str">
        <x:v>TEXT</x:v>
      </x:c>
      <x:c r="C72" s="10" t="str">
        <x:v>TEXT:SYN-F02-02-U01</x:v>
      </x:c>
      <x:c r="D72" s="10" t="str">
        <x:v>{"conditions":["4장 이내","대상 기간 전시 4주","외부 발송 없음","주말 운영 인력 12명 이하","참가업체 설명회용"],"data_source":"SYN-F02-02:D1@v1","goal":"봄길 지역전시 준비 운영 제안 발표자료 작성 위임","prior_task_action":"new","targets":["SYN-F02-02:D1@v1"]}</x:v>
      </x:c>
      <x:c r="E72" s="10" t="str">
        <x:v>{"conditions":["4장 이내","대상 기간 전시 4주","외부 발송 없음","주말 운영 인력 12명 이하","참가업체 설명회용"],"data_source":"SYN-F02-02:D2@v1","goal":"봄길 지역전시 준비 운영 제안 발표자료 작성 위임","prior_task_action":"new","targets":["SYN-F02-02:D2@v1"]}</x:v>
      </x:c>
      <x:c r="F72" s="10" t="n">
        <x:f>IF(D72=E72,1,0)</x:f>
        <x:v>0</x:v>
      </x:c>
      <x:c r="G72" s="10" t="str">
        <x:v>현재 입력과 원본의 대상 관계를 잘못 연결</x:v>
      </x:c>
    </x:row>
    <x:row r="73" ht="145" customHeight="1">
      <x:c r="A73" s="10" t="str">
        <x:v>T-BASE</x:v>
      </x:c>
      <x:c r="B73" s="10" t="str">
        <x:v>TEXT</x:v>
      </x:c>
      <x:c r="C73" s="10" t="str">
        <x:v>TEXT:SYN-F02-02-U02</x:v>
      </x:c>
      <x:c r="D73" s="10" t="str">
        <x:v>{"conditions":["2문장","기존 발표자료 작성 유지","준비와 적용 일정 구분"],"data_source":"SYN-F02-02:D1@v1","goal":"원래 자료의 일정 표 별도 요약","prior_task_action":"keep","targets":["SYN-F02-02:D1@v1#schedule"]}</x:v>
      </x:c>
      <x:c r="E73" s="10" t="str">
        <x:v>{"conditions":["2문장","기존 발표자료 작성 유지","준비와 적용 일정 구분"],"data_source":"SYN-F02-02:D1@v1","goal":"원래 자료의 일정 표 별도 요약","prior_task_action":"keep","targets":["SYN-F02-02:D1@v1#schedule"]}</x:v>
      </x:c>
      <x:c r="F73" s="10" t="n">
        <x:f>IF(D73=E73,1,0)</x:f>
        <x:v>1</x:v>
      </x:c>
      <x:c r="G73" s="10" t="str">
        <x:v>필수 의미와 지칭 집합 일치</x:v>
      </x:c>
    </x:row>
    <x:row r="74" ht="145" customHeight="1">
      <x:c r="A74" s="10" t="str">
        <x:v>T-EXEC</x:v>
      </x:c>
      <x:c r="B74" s="10" t="str">
        <x:v>TEXT</x:v>
      </x:c>
      <x:c r="C74" s="10" t="str">
        <x:v>TEXT:SYN-F02-02-U01</x:v>
      </x:c>
      <x:c r="D74" s="10" t="str">
        <x:v>{"conditions":["4장 이내","대상 기간 전시 4주","외부 발송 없음","주말 운영 인력 12명 이하","참가업체 설명회용"],"data_source":"SYN-F02-02:D1@v1","goal":"봄길 지역전시 준비 운영 제안 발표자료 작성 위임","prior_task_action":"new","targets":["SYN-F02-02:D1@v1"]}</x:v>
      </x:c>
      <x:c r="E74" s="10" t="str">
        <x:v>{"conditions":["4장 이내","대상 기간 전시 4주","외부 발송 없음","주말 운영 인력 12명 이하","참가업체 설명회용"],"data_source":"SYN-F02-02:D2@v1","goal":"봄길 지역전시 준비 운영 제안 발표자료 작성 위임","prior_task_action":"new","targets":["SYN-F02-02:D2@v1"]}</x:v>
      </x:c>
      <x:c r="F74" s="10" t="n">
        <x:f>IF(D74=E74,1,0)</x:f>
        <x:v>0</x:v>
      </x:c>
      <x:c r="G74" s="10" t="str">
        <x:v>현재 입력과 원본의 대상 관계를 잘못 연결</x:v>
      </x:c>
    </x:row>
    <x:row r="75" ht="145" customHeight="1">
      <x:c r="A75" s="10" t="str">
        <x:v>T-EXEC</x:v>
      </x:c>
      <x:c r="B75" s="10" t="str">
        <x:v>TEXT</x:v>
      </x:c>
      <x:c r="C75" s="10" t="str">
        <x:v>TEXT:SYN-F02-02-U02</x:v>
      </x:c>
      <x:c r="D75" s="10" t="str">
        <x:v>{"conditions":["2문장","기존 발표자료 작성 유지","준비와 적용 일정 구분"],"data_source":"SYN-F02-02:D1@v1","goal":"원래 자료의 일정 표 별도 요약","prior_task_action":"keep","targets":["SYN-F02-02:D1@v1#schedule"]}</x:v>
      </x:c>
      <x:c r="E75" s="10" t="str">
        <x:v>{"conditions":["2문장","기존 발표자료 작성 유지","준비와 적용 일정 구분"],"data_source":"SYN-F02-02:D1@v1","goal":"원래 자료의 일정 표 별도 요약","prior_task_action":"keep","targets":["SYN-F02-02:D1@v1#schedule"]}</x:v>
      </x:c>
      <x:c r="F75" s="10" t="n">
        <x:f>IF(D75=E75,1,0)</x:f>
        <x:v>1</x:v>
      </x:c>
      <x:c r="G75" s="10" t="str">
        <x:v>필수 의미와 지칭 집합 일치</x:v>
      </x:c>
    </x:row>
    <x:row r="76" ht="145" customHeight="1">
      <x:c r="A76" s="10" t="str">
        <x:v>T-REL</x:v>
      </x:c>
      <x:c r="B76" s="10" t="str">
        <x:v>TEXT</x:v>
      </x:c>
      <x:c r="C76" s="10" t="str">
        <x:v>TEXT:SYN-F02-02-U01</x:v>
      </x:c>
      <x:c r="D76" s="10" t="str">
        <x:v>{"conditions":["4장 이내","대상 기간 전시 4주","외부 발송 없음","주말 운영 인력 12명 이하","참가업체 설명회용"],"data_source":"SYN-F02-02:D1@v1","goal":"봄길 지역전시 준비 운영 제안 발표자료 작성 위임","prior_task_action":"new","targets":["SYN-F02-02:D1@v1"]}</x:v>
      </x:c>
      <x:c r="E76" s="10" t="str">
        <x:v>{"conditions":["4장 이내","대상 기간 전시 4주","외부 발송 없음","주말 운영 인력 12명 이하","참가업체 설명회용"],"data_source":"SYN-F02-02:D1@v1","goal":"봄길 지역전시 준비 운영 제안 발표자료 작성 위임","prior_task_action":"new","targets":["SYN-F02-02:D1@v1"]}</x:v>
      </x:c>
      <x:c r="F76" s="10" t="n">
        <x:f>IF(D76=E76,1,0)</x:f>
        <x:v>1</x:v>
      </x:c>
      <x:c r="G76" s="10" t="str">
        <x:v>필수 의미와 지칭 집합 일치</x:v>
      </x:c>
    </x:row>
    <x:row r="77" ht="145" customHeight="1">
      <x:c r="A77" s="10" t="str">
        <x:v>T-REL</x:v>
      </x:c>
      <x:c r="B77" s="10" t="str">
        <x:v>TEXT</x:v>
      </x:c>
      <x:c r="C77" s="10" t="str">
        <x:v>TEXT:SYN-F02-02-U02</x:v>
      </x:c>
      <x:c r="D77" s="10" t="str">
        <x:v>{"conditions":["2문장","기존 발표자료 작성 유지","준비와 적용 일정 구분"],"data_source":"SYN-F02-02:D1@v1","goal":"원래 자료의 일정 표 별도 요약","prior_task_action":"keep","targets":["SYN-F02-02:D1@v1#schedule"]}</x:v>
      </x:c>
      <x:c r="E77" s="10" t="str">
        <x:v>{"conditions":["2문장","기존 발표자료 작성 유지","준비와 적용 일정 구분"],"data_source":"SYN-F02-02:D1@v1","goal":"원래 자료의 일정 표 별도 요약","prior_task_action":"keep","targets":["SYN-F02-02:D1@v1#schedule"]}</x:v>
      </x:c>
      <x:c r="F77" s="10" t="n">
        <x:f>IF(D77=E77,1,0)</x:f>
        <x:v>1</x:v>
      </x:c>
      <x:c r="G77" s="10" t="str">
        <x:v>필수 의미와 지칭 집합 일치</x:v>
      </x:c>
    </x:row>
    <x:row r="78" ht="145" customHeight="1">
      <x:c r="A78" s="10" t="str">
        <x:v>T-BASE</x:v>
      </x:c>
      <x:c r="B78" s="10" t="str">
        <x:v>TEXT</x:v>
      </x:c>
      <x:c r="C78" s="10" t="str">
        <x:v>TEXT:SYN-F02-03-U01</x:v>
      </x:c>
      <x:c r="D78" s="10" t="str">
        <x:v>{"conditions":["6장 이내","교육 승인위원회용","대상 기간 입사 후 3주","외부 발송 없음","참가자당 교육시간 18시간 이하"],"data_source":"SYN-F02-03:D3@v1","goal":"해온 신입교육 개편 교육 개편 발표자료 작성 위임","prior_task_action":"new","targets":["SYN-F02-03:D3@v1"]}</x:v>
      </x:c>
      <x:c r="E78" s="10" t="str">
        <x:v>{"conditions":["6장 이내","교육 승인위원회용","대상 기간 입사 후 3주","외부 발송 없음","참가자당 교육시간 18시간 이하"],"data_source":"SYN-F02-03:D3@v1","goal":"해온 신입교육 개편 교육 개편 발표자료 작성 위임","prior_task_action":"new","targets":["SYN-F02-03:D3@v1"]}</x:v>
      </x:c>
      <x:c r="F78" s="10" t="n">
        <x:f>IF(D78=E78,1,0)</x:f>
        <x:v>1</x:v>
      </x:c>
      <x:c r="G78" s="10" t="str">
        <x:v>필수 의미와 지칭 집합 일치</x:v>
      </x:c>
    </x:row>
    <x:row r="79" ht="145" customHeight="1">
      <x:c r="A79" s="10" t="str">
        <x:v>T-BASE</x:v>
      </x:c>
      <x:c r="B79" s="10" t="str">
        <x:v>TEXT</x:v>
      </x:c>
      <x:c r="C79" s="10" t="str">
        <x:v>TEXT:SYN-F02-03-U02</x:v>
      </x:c>
      <x:c r="D79" s="10" t="str">
        <x:v>{"conditions":["4문장","기존 발표자료 작성 유지","준비와 적용 일정 구분"],"data_source":"SYN-F02-03:D3@v1","goal":"원래 자료의 일정 표 별도 요약","prior_task_action":"keep","targets":["SYN-F02-03:D3@v1#schedule"]}</x:v>
      </x:c>
      <x:c r="E79" s="10" t="str">
        <x:v>{"conditions":["4문장","기존 발표자료 작성 유지","준비와 적용 일정 구분"],"data_source":"SYN-F02-03:D3@v1","goal":"원래 자료의 일정 표 별도 요약","prior_task_action":"keep","targets":["SYN-F02-03:D3@v1#schedule"]}</x:v>
      </x:c>
      <x:c r="F79" s="10" t="n">
        <x:f>IF(D79=E79,1,0)</x:f>
        <x:v>1</x:v>
      </x:c>
      <x:c r="G79" s="10" t="str">
        <x:v>필수 의미와 지칭 집합 일치</x:v>
      </x:c>
    </x:row>
    <x:row r="80" ht="145" customHeight="1">
      <x:c r="A80" s="10" t="str">
        <x:v>T-EXEC</x:v>
      </x:c>
      <x:c r="B80" s="10" t="str">
        <x:v>TEXT</x:v>
      </x:c>
      <x:c r="C80" s="10" t="str">
        <x:v>TEXT:SYN-F02-03-U01</x:v>
      </x:c>
      <x:c r="D80" s="10" t="str">
        <x:v>{"conditions":["6장 이내","교육 승인위원회용","대상 기간 입사 후 3주","외부 발송 없음","참가자당 교육시간 18시간 이하"],"data_source":"SYN-F02-03:D3@v1","goal":"해온 신입교육 개편 교육 개편 발표자료 작성 위임","prior_task_action":"new","targets":["SYN-F02-03:D3@v1"]}</x:v>
      </x:c>
      <x:c r="E80" s="10" t="str">
        <x:v>{"conditions":["6장 이내","교육 승인위원회용","대상 기간 입사 후 3주","외부 발송 없음","참가자당 교육시간 18시간 이하"],"data_source":"SYN-F02-03:D3@v1","goal":"해온 신입교육 개편 교육 개편 발표자료 작성 위임","prior_task_action":"new","targets":["SYN-F02-03:D3@v1"]}</x:v>
      </x:c>
      <x:c r="F80" s="10" t="n">
        <x:f>IF(D80=E80,1,0)</x:f>
        <x:v>1</x:v>
      </x:c>
      <x:c r="G80" s="10" t="str">
        <x:v>필수 의미와 지칭 집합 일치</x:v>
      </x:c>
    </x:row>
    <x:row r="81" ht="145" customHeight="1">
      <x:c r="A81" s="10" t="str">
        <x:v>T-EXEC</x:v>
      </x:c>
      <x:c r="B81" s="10" t="str">
        <x:v>TEXT</x:v>
      </x:c>
      <x:c r="C81" s="10" t="str">
        <x:v>TEXT:SYN-F02-03-U02</x:v>
      </x:c>
      <x:c r="D81" s="10" t="str">
        <x:v>{"conditions":["4문장","기존 발표자료 작성 유지","준비와 적용 일정 구분"],"data_source":"SYN-F02-03:D3@v1","goal":"원래 자료의 일정 표 별도 요약","prior_task_action":"keep","targets":["SYN-F02-03:D3@v1#schedule"]}</x:v>
      </x:c>
      <x:c r="E81" s="10" t="str">
        <x:v>{"conditions":["4문장","기존 발표자료 작성 유지","준비와 적용 일정 구분"],"data_source":"SYN-F02-03:D3@v1","goal":"원래 자료의 일정 표 별도 요약","prior_task_action":"keep","targets":["SYN-F02-03:D3@v1#schedule"]}</x:v>
      </x:c>
      <x:c r="F81" s="10" t="n">
        <x:f>IF(D81=E81,1,0)</x:f>
        <x:v>1</x:v>
      </x:c>
      <x:c r="G81" s="10" t="str">
        <x:v>필수 의미와 지칭 집합 일치</x:v>
      </x:c>
    </x:row>
    <x:row r="82" ht="145" customHeight="1">
      <x:c r="A82" s="10" t="str">
        <x:v>T-REL</x:v>
      </x:c>
      <x:c r="B82" s="10" t="str">
        <x:v>TEXT</x:v>
      </x:c>
      <x:c r="C82" s="10" t="str">
        <x:v>TEXT:SYN-F02-03-U01</x:v>
      </x:c>
      <x:c r="D82" s="10" t="str">
        <x:v>{"conditions":["6장 이내","교육 승인위원회용","대상 기간 입사 후 3주","외부 발송 없음","참가자당 교육시간 18시간 이하"],"data_source":"SYN-F02-03:D3@v1","goal":"해온 신입교육 개편 교육 개편 발표자료 작성 위임","prior_task_action":"new","targets":["SYN-F02-03:D3@v1"]}</x:v>
      </x:c>
      <x:c r="E82" s="10" t="str">
        <x:v>{"conditions":["6장 이내","교육 승인위원회용","대상 기간 입사 후 3주","외부 발송 없음","참가자당 교육시간 18시간 이하"],"data_source":"SYN-F02-03:D3@v1","goal":"해온 신입교육 개편 교육 개편 발표자료 작성 위임","prior_task_action":"new","targets":["SYN-F02-03:D3@v1"]}</x:v>
      </x:c>
      <x:c r="F82" s="10" t="n">
        <x:f>IF(D82=E82,1,0)</x:f>
        <x:v>1</x:v>
      </x:c>
      <x:c r="G82" s="10" t="str">
        <x:v>필수 의미와 지칭 집합 일치</x:v>
      </x:c>
    </x:row>
    <x:row r="83" ht="145" customHeight="1">
      <x:c r="A83" s="10" t="str">
        <x:v>T-REL</x:v>
      </x:c>
      <x:c r="B83" s="10" t="str">
        <x:v>TEXT</x:v>
      </x:c>
      <x:c r="C83" s="10" t="str">
        <x:v>TEXT:SYN-F02-03-U02</x:v>
      </x:c>
      <x:c r="D83" s="10" t="str">
        <x:v>{"conditions":["4문장","기존 발표자료 작성 유지","준비와 적용 일정 구분"],"data_source":"SYN-F02-03:D3@v1","goal":"원래 자료의 일정 표 별도 요약","prior_task_action":"keep","targets":["SYN-F02-03:D3@v1#schedule"]}</x:v>
      </x:c>
      <x:c r="E83" s="10" t="str">
        <x:v>{"conditions":["4문장","기존 발표자료 작성 유지","준비와 적용 일정 구분"],"data_source":"SYN-F02-03:D3@v1","goal":"원래 자료의 일정 표 별도 요약","prior_task_action":"keep","targets":["SYN-F02-03:D3@v1#schedule"]}</x:v>
      </x:c>
      <x:c r="F83" s="10" t="n">
        <x:f>IF(D83=E83,1,0)</x:f>
        <x:v>1</x:v>
      </x:c>
      <x:c r="G83" s="10" t="str">
        <x:v>필수 의미와 지칭 집합 일치</x:v>
      </x:c>
    </x:row>
    <x:row r="84" ht="145" customHeight="1">
      <x:c r="A84" s="10" t="str">
        <x:v>T-BASE</x:v>
      </x:c>
      <x:c r="B84" s="10" t="str">
        <x:v>TEXT</x:v>
      </x:c>
      <x:c r="C84" s="10" t="str">
        <x:v>TEXT:SYN-F02-04-U01</x:v>
      </x:c>
      <x:c r="D84" s="10" t="str">
        <x:v>{"conditions":["7장 이내","대상 기간 평일 20일","외부 발송 없음","일일 추가 운행 8회 이하","협력사 운영설명회용"],"data_source":"SYN-F02-04:D2@v1","goal":"라임 배송거점 개선 거점 개선 발표자료 작성 위임","prior_task_action":"new","targets":["SYN-F02-04:D2@v1"]}</x:v>
      </x:c>
      <x:c r="E84" s="10" t="str">
        <x:v>{"conditions":["7장 이내","대상 기간 평일 20일","외부 발송 없음","일일 추가 운행 8회 이하","협력사 운영설명회용"],"data_source":"SYN-F02-04:D2@v1","goal":"라임 배송거점 개선 거점 개선 발표자료 작성 위임","prior_task_action":"new","targets":["SYN-F02-04:D2@v1"]}</x:v>
      </x:c>
      <x:c r="F84" s="10" t="n">
        <x:f>IF(D84=E84,1,0)</x:f>
        <x:v>1</x:v>
      </x:c>
      <x:c r="G84" s="10" t="str">
        <x:v>필수 의미와 지칭 집합 일치</x:v>
      </x:c>
    </x:row>
    <x:row r="85" ht="145" customHeight="1">
      <x:c r="A85" s="10" t="str">
        <x:v>T-BASE</x:v>
      </x:c>
      <x:c r="B85" s="10" t="str">
        <x:v>TEXT</x:v>
      </x:c>
      <x:c r="C85" s="10" t="str">
        <x:v>TEXT:SYN-F02-04-U02</x:v>
      </x:c>
      <x:c r="D85" s="10" t="str">
        <x:v>{"conditions":["3문장","기존 발표자료 작성 유지","준비와 적용 일정 구분"],"data_source":"SYN-F02-04:D2@v1","goal":"원래 자료의 일정 표 별도 요약","prior_task_action":"keep","targets":["SYN-F02-04:D2@v1#schedule"]}</x:v>
      </x:c>
      <x:c r="E85" s="10" t="str">
        <x:v>{"conditions":["3문장","기존 발표자료 작성 유지","준비와 적용 일정 구분"],"data_source":"SYN-F02-04:D2@v1","goal":"원래 자료의 일정 표 별도 요약","prior_task_action":"keep","targets":["SYN-F02-04:D2@v1#schedule"]}</x:v>
      </x:c>
      <x:c r="F85" s="10" t="n">
        <x:f>IF(D85=E85,1,0)</x:f>
        <x:v>1</x:v>
      </x:c>
      <x:c r="G85" s="10" t="str">
        <x:v>필수 의미와 지칭 집합 일치</x:v>
      </x:c>
    </x:row>
    <x:row r="86" ht="145" customHeight="1">
      <x:c r="A86" s="10" t="str">
        <x:v>T-EXEC</x:v>
      </x:c>
      <x:c r="B86" s="10" t="str">
        <x:v>TEXT</x:v>
      </x:c>
      <x:c r="C86" s="10" t="str">
        <x:v>TEXT:SYN-F02-04-U01</x:v>
      </x:c>
      <x:c r="D86" s="10" t="str">
        <x:v>{"conditions":["7장 이내","대상 기간 평일 20일","외부 발송 없음","일일 추가 운행 8회 이하","협력사 운영설명회용"],"data_source":"SYN-F02-04:D2@v1","goal":"라임 배송거점 개선 거점 개선 발표자료 작성 위임","prior_task_action":"new","targets":["SYN-F02-04:D2@v1"]}</x:v>
      </x:c>
      <x:c r="E86" s="10" t="str">
        <x:v>{"conditions":["7장 이내","대상 기간 평일 20일","외부 발송 없음","일일 추가 운행 8회 이하","협력사 운영설명회용"],"data_source":"SYN-F02-04:D2@v1","goal":"라임 배송거점 개선 거점 개선 발표자료 작성 위임","prior_task_action":"new","targets":["SYN-F02-04:D2@v1"]}</x:v>
      </x:c>
      <x:c r="F86" s="10" t="n">
        <x:f>IF(D86=E86,1,0)</x:f>
        <x:v>1</x:v>
      </x:c>
      <x:c r="G86" s="10" t="str">
        <x:v>필수 의미와 지칭 집합 일치</x:v>
      </x:c>
    </x:row>
    <x:row r="87" ht="145" customHeight="1">
      <x:c r="A87" s="10" t="str">
        <x:v>T-EXEC</x:v>
      </x:c>
      <x:c r="B87" s="10" t="str">
        <x:v>TEXT</x:v>
      </x:c>
      <x:c r="C87" s="10" t="str">
        <x:v>TEXT:SYN-F02-04-U02</x:v>
      </x:c>
      <x:c r="D87" s="10" t="str">
        <x:v>{"conditions":["3문장","기존 발표자료 작성 유지","준비와 적용 일정 구분"],"data_source":"SYN-F02-04:D2@v1","goal":"원래 자료의 일정 표 별도 요약","prior_task_action":"keep","targets":["SYN-F02-04:D2@v1#schedule"]}</x:v>
      </x:c>
      <x:c r="E87" s="10" t="str">
        <x:v>{"conditions":["3문장","기존 발표자료 작성 유지","준비와 적용 일정 구분"],"data_source":"SYN-F02-04:D2@v1","goal":"원래 자료의 일정 표 별도 요약","prior_task_action":"keep","targets":["SYN-F02-04:D2@v1#schedule"]}</x:v>
      </x:c>
      <x:c r="F87" s="10" t="n">
        <x:f>IF(D87=E87,1,0)</x:f>
        <x:v>1</x:v>
      </x:c>
      <x:c r="G87" s="10" t="str">
        <x:v>필수 의미와 지칭 집합 일치</x:v>
      </x:c>
    </x:row>
    <x:row r="88" ht="145" customHeight="1">
      <x:c r="A88" s="10" t="str">
        <x:v>T-REL</x:v>
      </x:c>
      <x:c r="B88" s="10" t="str">
        <x:v>TEXT</x:v>
      </x:c>
      <x:c r="C88" s="10" t="str">
        <x:v>TEXT:SYN-F02-04-U01</x:v>
      </x:c>
      <x:c r="D88" s="10" t="str">
        <x:v>{"conditions":["7장 이내","대상 기간 평일 20일","외부 발송 없음","일일 추가 운행 8회 이하","협력사 운영설명회용"],"data_source":"SYN-F02-04:D2@v1","goal":"라임 배송거점 개선 거점 개선 발표자료 작성 위임","prior_task_action":"new","targets":["SYN-F02-04:D2@v1"]}</x:v>
      </x:c>
      <x:c r="E88" s="10" t="str">
        <x:v>{"conditions":["7장 이내","대상 기간 평일 20일","외부 발송 없음","일일 추가 운행 8회 이하","협력사 운영설명회용"],"data_source":"SYN-F02-04:D2@v1","goal":"라임 배송거점 개선 거점 개선 발표자료 작성 위임","prior_task_action":"new","targets":["SYN-F02-04:D2@v1"]}</x:v>
      </x:c>
      <x:c r="F88" s="10" t="n">
        <x:f>IF(D88=E88,1,0)</x:f>
        <x:v>1</x:v>
      </x:c>
      <x:c r="G88" s="10" t="str">
        <x:v>필수 의미와 지칭 집합 일치</x:v>
      </x:c>
    </x:row>
    <x:row r="89" ht="145" customHeight="1">
      <x:c r="A89" s="10" t="str">
        <x:v>T-REL</x:v>
      </x:c>
      <x:c r="B89" s="10" t="str">
        <x:v>TEXT</x:v>
      </x:c>
      <x:c r="C89" s="10" t="str">
        <x:v>TEXT:SYN-F02-04-U02</x:v>
      </x:c>
      <x:c r="D89" s="10" t="str">
        <x:v>{"conditions":["3문장","기존 발표자료 작성 유지","준비와 적용 일정 구분"],"data_source":"SYN-F02-04:D2@v1","goal":"원래 자료의 일정 표 별도 요약","prior_task_action":"keep","targets":["SYN-F02-04:D2@v1#schedule"]}</x:v>
      </x:c>
      <x:c r="E89" s="10" t="str">
        <x:v>{"conditions":["3문장","기존 발표자료 작성 유지","준비와 적용 일정 구분"],"data_source":"SYN-F02-04:D2@v1","goal":"원래 자료의 일정 표 별도 요약","prior_task_action":"keep","targets":["SYN-F02-04:D2@v1#schedule"]}</x:v>
      </x:c>
      <x:c r="F89" s="10" t="n">
        <x:f>IF(D89=E89,1,0)</x:f>
        <x:v>1</x:v>
      </x:c>
      <x:c r="G89" s="10" t="str">
        <x:v>필수 의미와 지칭 집합 일치</x:v>
      </x:c>
    </x:row>
    <x:row r="90" ht="145" customHeight="1">
      <x:c r="A90" s="10" t="str">
        <x:v>T-BASE</x:v>
      </x:c>
      <x:c r="B90" s="10" t="str">
        <x:v>TEXT</x:v>
      </x:c>
      <x:c r="C90" s="10" t="str">
        <x:v>TEXT:SYN-F02-05-U01</x:v>
      </x:c>
      <x:c r="D90" s="10" t="str">
        <x:v>{"conditions":["5장 이내","대상 기간 교체 후 6개월","외부 발송 없음","입주사 설명회용","층별 정전 30분 이하"],"data_source":"SYN-F02-05:D1@v1","goal":"가온 사무실 조명교체 조명 교체 검토자료 작성 위임","prior_task_action":"new","targets":["SYN-F02-05:D1@v1"]}</x:v>
      </x:c>
      <x:c r="E90" s="10" t="str">
        <x:v>{"conditions":["5장 이내","대상 기간 교체 후 6개월","외부 발송 없음","입주사 설명회용","층별 정전 30분 이하"],"data_source":"SYN-F02-05:D1@v1","goal":"가온 사무실 조명교체 조명 교체 검토자료 작성 위임","prior_task_action":"new","targets":["SYN-F02-05:D1@v1"]}</x:v>
      </x:c>
      <x:c r="F90" s="10" t="n">
        <x:f>IF(D90=E90,1,0)</x:f>
        <x:v>1</x:v>
      </x:c>
      <x:c r="G90" s="10" t="str">
        <x:v>필수 의미와 지칭 집합 일치</x:v>
      </x:c>
    </x:row>
    <x:row r="91" ht="145" customHeight="1">
      <x:c r="A91" s="10" t="str">
        <x:v>T-BASE</x:v>
      </x:c>
      <x:c r="B91" s="10" t="str">
        <x:v>TEXT</x:v>
      </x:c>
      <x:c r="C91" s="10" t="str">
        <x:v>TEXT:SYN-F02-05-U02</x:v>
      </x:c>
      <x:c r="D91" s="10" t="str">
        <x:v>{"conditions":["2문장","기존 발표자료 작성 유지","준비와 적용 일정 구분"],"data_source":"SYN-F02-05:D1@v1","goal":"원래 자료의 일정 표 별도 요약","prior_task_action":"keep","targets":["SYN-F02-05:D1@v1#schedule"]}</x:v>
      </x:c>
      <x:c r="E91" s="10" t="str">
        <x:v>{"conditions":["2문장","기존 발표자료 작성 유지","준비와 적용 일정 구분"],"data_source":"SYN-F02-05:D1@v1","goal":"원래 자료의 일정 표 별도 요약","prior_task_action":"keep","targets":["SYN-F02-05:D1@v1#schedule"]}</x:v>
      </x:c>
      <x:c r="F91" s="10" t="n">
        <x:f>IF(D91=E91,1,0)</x:f>
        <x:v>1</x:v>
      </x:c>
      <x:c r="G91" s="10" t="str">
        <x:v>필수 의미와 지칭 집합 일치</x:v>
      </x:c>
    </x:row>
    <x:row r="92" ht="145" customHeight="1">
      <x:c r="A92" s="10" t="str">
        <x:v>T-EXEC</x:v>
      </x:c>
      <x:c r="B92" s="10" t="str">
        <x:v>TEXT</x:v>
      </x:c>
      <x:c r="C92" s="10" t="str">
        <x:v>TEXT:SYN-F02-05-U01</x:v>
      </x:c>
      <x:c r="D92" s="10" t="str">
        <x:v>{"conditions":["5장 이내","대상 기간 교체 후 6개월","외부 발송 없음","입주사 설명회용","층별 정전 30분 이하"],"data_source":"SYN-F02-05:D1@v1","goal":"가온 사무실 조명교체 조명 교체 검토자료 작성 위임","prior_task_action":"new","targets":["SYN-F02-05:D1@v1"]}</x:v>
      </x:c>
      <x:c r="E92" s="10" t="str">
        <x:v>{"conditions":["5장 이내","대상 기간 교체 후 6개월","외부 발송 없음","입주사 설명회용","층별 정전 30분 이하"],"data_source":"SYN-F02-05:D1@v1","goal":"가온 사무실 조명교체 조명 교체 검토자료 작성 위임","prior_task_action":"new","targets":["SYN-F02-05:D1@v1"]}</x:v>
      </x:c>
      <x:c r="F92" s="10" t="n">
        <x:f>IF(D92=E92,1,0)</x:f>
        <x:v>1</x:v>
      </x:c>
      <x:c r="G92" s="10" t="str">
        <x:v>필수 의미와 지칭 집합 일치</x:v>
      </x:c>
    </x:row>
    <x:row r="93" ht="145" customHeight="1">
      <x:c r="A93" s="10" t="str">
        <x:v>T-EXEC</x:v>
      </x:c>
      <x:c r="B93" s="10" t="str">
        <x:v>TEXT</x:v>
      </x:c>
      <x:c r="C93" s="10" t="str">
        <x:v>TEXT:SYN-F02-05-U02</x:v>
      </x:c>
      <x:c r="D93" s="10" t="str">
        <x:v>{"conditions":["2문장","기존 발표자료 작성 유지","준비와 적용 일정 구분"],"data_source":"SYN-F02-05:D1@v1","goal":"원래 자료의 일정 표 별도 요약","prior_task_action":"keep","targets":["SYN-F02-05:D1@v1#schedule"]}</x:v>
      </x:c>
      <x:c r="E93" s="10" t="str">
        <x:v>{"conditions":["2문장","기존 발표자료 작성 유지","준비와 적용 일정 구분"],"data_source":"SYN-F02-05:D1@v1","goal":"원래 자료의 일정 표 별도 요약","prior_task_action":"keep","targets":["SYN-F02-05:D1@v1#schedule"]}</x:v>
      </x:c>
      <x:c r="F93" s="10" t="n">
        <x:f>IF(D93=E93,1,0)</x:f>
        <x:v>1</x:v>
      </x:c>
      <x:c r="G93" s="10" t="str">
        <x:v>필수 의미와 지칭 집합 일치</x:v>
      </x:c>
    </x:row>
    <x:row r="94" ht="145" customHeight="1">
      <x:c r="A94" s="10" t="str">
        <x:v>T-REL</x:v>
      </x:c>
      <x:c r="B94" s="10" t="str">
        <x:v>TEXT</x:v>
      </x:c>
      <x:c r="C94" s="10" t="str">
        <x:v>TEXT:SYN-F02-05-U01</x:v>
      </x:c>
      <x:c r="D94" s="10" t="str">
        <x:v>{"conditions":["5장 이내","대상 기간 교체 후 6개월","외부 발송 없음","입주사 설명회용","층별 정전 30분 이하"],"data_source":"SYN-F02-05:D1@v1","goal":"가온 사무실 조명교체 조명 교체 검토자료 작성 위임","prior_task_action":"new","targets":["SYN-F02-05:D1@v1"]}</x:v>
      </x:c>
      <x:c r="E94" s="10" t="str">
        <x:v>{"conditions":["5장 이내","대상 기간 교체 후 6개월","외부 발송 없음","입주사 설명회용","층별 정전 30분 이하"],"data_source":"SYN-F02-05:D1@v1","goal":"가온 사무실 조명교체 조명 교체 검토자료 작성 위임","prior_task_action":"new","targets":["SYN-F02-05:D1@v1"]}</x:v>
      </x:c>
      <x:c r="F94" s="10" t="n">
        <x:f>IF(D94=E94,1,0)</x:f>
        <x:v>1</x:v>
      </x:c>
      <x:c r="G94" s="10" t="str">
        <x:v>필수 의미와 지칭 집합 일치</x:v>
      </x:c>
    </x:row>
    <x:row r="95" ht="145" customHeight="1">
      <x:c r="A95" s="10" t="str">
        <x:v>T-REL</x:v>
      </x:c>
      <x:c r="B95" s="10" t="str">
        <x:v>TEXT</x:v>
      </x:c>
      <x:c r="C95" s="10" t="str">
        <x:v>TEXT:SYN-F02-05-U02</x:v>
      </x:c>
      <x:c r="D95" s="10" t="str">
        <x:v>{"conditions":["2문장","기존 발표자료 작성 유지","준비와 적용 일정 구분"],"data_source":"SYN-F02-05:D1@v1","goal":"원래 자료의 일정 표 별도 요약","prior_task_action":"keep","targets":["SYN-F02-05:D1@v1#schedule"]}</x:v>
      </x:c>
      <x:c r="E95" s="10" t="str">
        <x:v>{"conditions":["2문장","기존 발표자료 작성 유지","준비와 적용 일정 구분"],"data_source":"SYN-F02-05:D1@v1","goal":"원래 자료의 일정 표 별도 요약","prior_task_action":"keep","targets":["SYN-F02-05:D1@v1#schedule"]}</x:v>
      </x:c>
      <x:c r="F95" s="10" t="n">
        <x:f>IF(D95=E95,1,0)</x:f>
        <x:v>1</x:v>
      </x:c>
      <x:c r="G95" s="10" t="str">
        <x:v>필수 의미와 지칭 집합 일치</x:v>
      </x:c>
    </x:row>
    <x:row r="96" ht="145" customHeight="1">
      <x:c r="A96" s="10" t="str">
        <x:v>T-BASE</x:v>
      </x:c>
      <x:c r="B96" s="10" t="str">
        <x:v>TEXT</x:v>
      </x:c>
      <x:c r="C96" s="10" t="str">
        <x:v>TEXT:SYN-F02-06-U01</x:v>
      </x:c>
      <x:c r="D96" s="10" t="str">
        <x:v>{"conditions":["8장 이내","대상 기간 행사 2일","외부 발송 없음","참여기업 안내회용","현장 대기 20분 이하"],"data_source":"SYN-F02-06:D3@v1","goal":"별빛 채용행사 준비 행사 운영 발표자료 작성 위임","prior_task_action":"new","targets":["SYN-F02-06:D3@v1"]}</x:v>
      </x:c>
      <x:c r="E96" s="10" t="str">
        <x:v>{"conditions":["8장 이내","대상 기간 행사 2일","외부 발송 없음","참여기업 안내회용","현장 대기 20분 이하"],"data_source":"SYN-F02-06:D3@v1","goal":"별빛 채용행사 준비 행사 운영 발표자료 작성 위임","prior_task_action":"new","targets":["SYN-F02-06:D3@v1"]}</x:v>
      </x:c>
      <x:c r="F96" s="10" t="n">
        <x:f>IF(D96=E96,1,0)</x:f>
        <x:v>1</x:v>
      </x:c>
      <x:c r="G96" s="10" t="str">
        <x:v>필수 의미와 지칭 집합 일치</x:v>
      </x:c>
    </x:row>
    <x:row r="97" ht="145" customHeight="1">
      <x:c r="A97" s="10" t="str">
        <x:v>T-BASE</x:v>
      </x:c>
      <x:c r="B97" s="10" t="str">
        <x:v>TEXT</x:v>
      </x:c>
      <x:c r="C97" s="10" t="str">
        <x:v>TEXT:SYN-F02-06-U02</x:v>
      </x:c>
      <x:c r="D97" s="10" t="str">
        <x:v>{"conditions":["4문장","기존 발표자료 작성 유지","준비와 적용 일정 구분"],"data_source":"SYN-F02-06:D3@v1","goal":"원래 자료의 일정 표 별도 요약","prior_task_action":"keep","targets":["SYN-F02-06:D3@v1#schedule"]}</x:v>
      </x:c>
      <x:c r="E97" s="10" t="str">
        <x:v>{"conditions":["4문장","기존 발표자료 작성 유지","준비와 적용 일정 구분"],"data_source":"SYN-F02-06:D3@v1","goal":"원래 자료의 일정 표 별도 요약","prior_task_action":"keep","targets":["SYN-F02-06:D3@v1#schedule"]}</x:v>
      </x:c>
      <x:c r="F97" s="10" t="n">
        <x:f>IF(D97=E97,1,0)</x:f>
        <x:v>1</x:v>
      </x:c>
      <x:c r="G97" s="10" t="str">
        <x:v>필수 의미와 지칭 집합 일치</x:v>
      </x:c>
    </x:row>
    <x:row r="98" ht="145" customHeight="1">
      <x:c r="A98" s="10" t="str">
        <x:v>T-EXEC</x:v>
      </x:c>
      <x:c r="B98" s="10" t="str">
        <x:v>TEXT</x:v>
      </x:c>
      <x:c r="C98" s="10" t="str">
        <x:v>TEXT:SYN-F02-06-U01</x:v>
      </x:c>
      <x:c r="D98" s="10" t="str">
        <x:v>{"conditions":["8장 이내","대상 기간 행사 2일","외부 발송 없음","참여기업 안내회용","현장 대기 20분 이하"],"data_source":"SYN-F02-06:D3@v1","goal":"별빛 채용행사 준비 행사 운영 발표자료 작성 위임","prior_task_action":"new","targets":["SYN-F02-06:D3@v1"]}</x:v>
      </x:c>
      <x:c r="E98" s="10" t="str">
        <x:v>{"conditions":["8장 이내","대상 기간 행사 2일","외부 발송 없음","참여기업 안내회용","현장 대기 20분 이하"],"data_source":"SYN-F02-06:D3@v1","goal":"별빛 채용행사 준비 행사 운영 발표자료 작성 위임","prior_task_action":"new","targets":["SYN-F02-06:D3@v1"]}</x:v>
      </x:c>
      <x:c r="F98" s="10" t="n">
        <x:f>IF(D98=E98,1,0)</x:f>
        <x:v>1</x:v>
      </x:c>
      <x:c r="G98" s="10" t="str">
        <x:v>필수 의미와 지칭 집합 일치</x:v>
      </x:c>
    </x:row>
    <x:row r="99" ht="145" customHeight="1">
      <x:c r="A99" s="10" t="str">
        <x:v>T-EXEC</x:v>
      </x:c>
      <x:c r="B99" s="10" t="str">
        <x:v>TEXT</x:v>
      </x:c>
      <x:c r="C99" s="10" t="str">
        <x:v>TEXT:SYN-F02-06-U02</x:v>
      </x:c>
      <x:c r="D99" s="10" t="str">
        <x:v>{"conditions":["4문장","기존 발표자료 작성 유지","준비와 적용 일정 구분"],"data_source":"SYN-F02-06:D3@v1","goal":"원래 자료의 일정 표 별도 요약","prior_task_action":"keep","targets":["SYN-F02-06:D3@v1#schedule"]}</x:v>
      </x:c>
      <x:c r="E99" s="10" t="str">
        <x:v>{"conditions":["4문장","기존 발표자료 작성 유지","준비와 적용 일정 구분"],"data_source":"SYN-F02-06:D3@v1","goal":"원래 자료의 일정 표 별도 요약","prior_task_action":"keep","targets":["SYN-F02-06:D3@v1#schedule"]}</x:v>
      </x:c>
      <x:c r="F99" s="10" t="n">
        <x:f>IF(D99=E99,1,0)</x:f>
        <x:v>1</x:v>
      </x:c>
      <x:c r="G99" s="10" t="str">
        <x:v>필수 의미와 지칭 집합 일치</x:v>
      </x:c>
    </x:row>
    <x:row r="100" ht="145" customHeight="1">
      <x:c r="A100" s="10" t="str">
        <x:v>T-REL</x:v>
      </x:c>
      <x:c r="B100" s="10" t="str">
        <x:v>TEXT</x:v>
      </x:c>
      <x:c r="C100" s="10" t="str">
        <x:v>TEXT:SYN-F02-06-U01</x:v>
      </x:c>
      <x:c r="D100" s="10" t="str">
        <x:v>{"conditions":["8장 이내","대상 기간 행사 2일","외부 발송 없음","참여기업 안내회용","현장 대기 20분 이하"],"data_source":"SYN-F02-06:D3@v1","goal":"별빛 채용행사 준비 행사 운영 발표자료 작성 위임","prior_task_action":"new","targets":["SYN-F02-06:D3@v1"]}</x:v>
      </x:c>
      <x:c r="E100" s="10" t="str">
        <x:v>{"conditions":["8장 이내","대상 기간 행사 2일","외부 발송 없음","참여기업 안내회용","현장 대기 20분 이하"],"data_source":"SYN-F02-06:D3@v1","goal":"별빛 채용행사 준비 행사 운영 발표자료 작성 위임","prior_task_action":"new","targets":["SYN-F02-06:D3@v1"]}</x:v>
      </x:c>
      <x:c r="F100" s="10" t="n">
        <x:f>IF(D100=E100,1,0)</x:f>
        <x:v>1</x:v>
      </x:c>
      <x:c r="G100" s="10" t="str">
        <x:v>필수 의미와 지칭 집합 일치</x:v>
      </x:c>
    </x:row>
    <x:row r="101" ht="145" customHeight="1">
      <x:c r="A101" s="10" t="str">
        <x:v>T-REL</x:v>
      </x:c>
      <x:c r="B101" s="10" t="str">
        <x:v>TEXT</x:v>
      </x:c>
      <x:c r="C101" s="10" t="str">
        <x:v>TEXT:SYN-F02-06-U02</x:v>
      </x:c>
      <x:c r="D101" s="10" t="str">
        <x:v>{"conditions":["4문장","기존 발표자료 작성 유지","준비와 적용 일정 구분"],"data_source":"SYN-F02-06:D3@v1","goal":"원래 자료의 일정 표 별도 요약","prior_task_action":"keep","targets":["SYN-F02-06:D3@v1#schedule"]}</x:v>
      </x:c>
      <x:c r="E101" s="10" t="str">
        <x:v>{"conditions":["4문장","기존 발표자료 작성 유지","준비와 적용 일정 구분"],"data_source":"SYN-F02-06:D3@v1","goal":"원래 자료의 일정 표 별도 요약","prior_task_action":"keep","targets":["SYN-F02-06:D3@v1#schedule"]}</x:v>
      </x:c>
      <x:c r="F101" s="10" t="n">
        <x:f>IF(D101=E101,1,0)</x:f>
        <x:v>1</x:v>
      </x:c>
      <x:c r="G101" s="10" t="str">
        <x:v>필수 의미와 지칭 집합 일치</x:v>
      </x:c>
    </x:row>
    <x:row r="102" ht="145" customHeight="1">
      <x:c r="A102" s="10" t="str">
        <x:v>T-BASE</x:v>
      </x:c>
      <x:c r="B102" s="10" t="str">
        <x:v>TEXT</x:v>
      </x:c>
      <x:c r="C102" s="10" t="str">
        <x:v>TEXT:SYN-F02-07-U01</x:v>
      </x:c>
      <x:c r="D102" s="10" t="str">
        <x:v>{"conditions":["6장 이내","납품처 품질설명회용","대상 기간 다음 8주","샘플 검사 45분 이하","외부 발송 없음"],"data_source":"SYN-F02-07:D2@v1","goal":"청솔 부품검사 개선 검사 개선 발표자료 작성 위임","prior_task_action":"new","targets":["SYN-F02-07:D2@v1"]}</x:v>
      </x:c>
      <x:c r="E102" s="10" t="str">
        <x:v>{"conditions":["6장 이내","납품처 품질설명회용","대상 기간 다음 8주","샘플 검사 45분 이하","외부 발송 없음"],"data_source":"SYN-F02-07:D2@v1","goal":"청솔 부품검사 개선 검사 개선 발표자료 작성 위임","prior_task_action":"new","targets":["SYN-F02-07:D2@v1"]}</x:v>
      </x:c>
      <x:c r="F102" s="10" t="n">
        <x:f>IF(D102=E102,1,0)</x:f>
        <x:v>1</x:v>
      </x:c>
      <x:c r="G102" s="10" t="str">
        <x:v>필수 의미와 지칭 집합 일치</x:v>
      </x:c>
    </x:row>
    <x:row r="103" ht="145" customHeight="1">
      <x:c r="A103" s="10" t="str">
        <x:v>T-BASE</x:v>
      </x:c>
      <x:c r="B103" s="10" t="str">
        <x:v>TEXT</x:v>
      </x:c>
      <x:c r="C103" s="10" t="str">
        <x:v>TEXT:SYN-F02-07-U02</x:v>
      </x:c>
      <x:c r="D103" s="10" t="str">
        <x:v>{"conditions":["3문장","기존 발표자료 작성 유지","준비와 적용 일정 구분"],"data_source":"SYN-F02-07:D2@v1","goal":"원래 자료의 일정 표 별도 요약","prior_task_action":"keep","targets":["SYN-F02-07:D2@v1#schedule"]}</x:v>
      </x:c>
      <x:c r="E103" s="10" t="str">
        <x:v>{"conditions":["3문장","기존 발표자료 작성 유지","준비와 적용 일정 구분"],"data_source":"SYN-F02-07:D2@v1","goal":"원래 자료의 일정 표 별도 요약","prior_task_action":"keep","targets":["SYN-F02-07:D2@v1#schedule"]}</x:v>
      </x:c>
      <x:c r="F103" s="10" t="n">
        <x:f>IF(D103=E103,1,0)</x:f>
        <x:v>1</x:v>
      </x:c>
      <x:c r="G103" s="10" t="str">
        <x:v>필수 의미와 지칭 집합 일치</x:v>
      </x:c>
    </x:row>
    <x:row r="104" ht="145" customHeight="1">
      <x:c r="A104" s="10" t="str">
        <x:v>T-EXEC</x:v>
      </x:c>
      <x:c r="B104" s="10" t="str">
        <x:v>TEXT</x:v>
      </x:c>
      <x:c r="C104" s="10" t="str">
        <x:v>TEXT:SYN-F02-07-U01</x:v>
      </x:c>
      <x:c r="D104" s="10" t="str">
        <x:v>{"conditions":["6장 이내","납품처 품질설명회용","대상 기간 다음 8주","샘플 검사 45분 이하","외부 발송 없음"],"data_source":"SYN-F02-07:D2@v1","goal":"청솔 부품검사 개선 검사 개선 발표자료 작성 위임","prior_task_action":"new","targets":["SYN-F02-07:D2@v1"]}</x:v>
      </x:c>
      <x:c r="E104" s="10" t="str">
        <x:v>{"conditions":["6장 이내","납품처 품질설명회용","대상 기간 다음 8주","샘플 검사 45분 이하","외부 발송 없음"],"data_source":"SYN-F02-07:D2@v1","goal":"청솔 부품검사 개선 검사 개선 발표자료 작성 위임","prior_task_action":"new","targets":["SYN-F02-07:D2@v1"]}</x:v>
      </x:c>
      <x:c r="F104" s="10" t="n">
        <x:f>IF(D104=E104,1,0)</x:f>
        <x:v>1</x:v>
      </x:c>
      <x:c r="G104" s="10" t="str">
        <x:v>필수 의미와 지칭 집합 일치</x:v>
      </x:c>
    </x:row>
    <x:row r="105" ht="145" customHeight="1">
      <x:c r="A105" s="10" t="str">
        <x:v>T-EXEC</x:v>
      </x:c>
      <x:c r="B105" s="10" t="str">
        <x:v>TEXT</x:v>
      </x:c>
      <x:c r="C105" s="10" t="str">
        <x:v>TEXT:SYN-F02-07-U02</x:v>
      </x:c>
      <x:c r="D105" s="10" t="str">
        <x:v>{"conditions":["3문장","기존 발표자료 작성 유지","준비와 적용 일정 구분"],"data_source":"SYN-F02-07:D2@v1","goal":"원래 자료의 일정 표 별도 요약","prior_task_action":"keep","targets":["SYN-F02-07:D2@v1#schedule"]}</x:v>
      </x:c>
      <x:c r="E105" s="10" t="str">
        <x:v>{"conditions":["3문장","기존 발표자료 작성 유지","준비와 적용 일정 구분"],"data_source":"SYN-F02-07:D2@v1","goal":"원래 자료의 일정 표 별도 요약","prior_task_action":"keep","targets":["SYN-F02-07:D2@v1#schedule"]}</x:v>
      </x:c>
      <x:c r="F105" s="10" t="n">
        <x:f>IF(D105=E105,1,0)</x:f>
        <x:v>1</x:v>
      </x:c>
      <x:c r="G105" s="10" t="str">
        <x:v>필수 의미와 지칭 집합 일치</x:v>
      </x:c>
    </x:row>
    <x:row r="106" ht="145" customHeight="1">
      <x:c r="A106" s="10" t="str">
        <x:v>T-REL</x:v>
      </x:c>
      <x:c r="B106" s="10" t="str">
        <x:v>TEXT</x:v>
      </x:c>
      <x:c r="C106" s="10" t="str">
        <x:v>TEXT:SYN-F02-07-U01</x:v>
      </x:c>
      <x:c r="D106" s="10" t="str">
        <x:v>{"conditions":["6장 이내","납품처 품질설명회용","대상 기간 다음 8주","샘플 검사 45분 이하","외부 발송 없음"],"data_source":"SYN-F02-07:D2@v1","goal":"청솔 부품검사 개선 검사 개선 발표자료 작성 위임","prior_task_action":"new","targets":["SYN-F02-07:D2@v1"]}</x:v>
      </x:c>
      <x:c r="E106" s="10" t="str">
        <x:v>{"conditions":["6장 이내","납품처 품질설명회용","대상 기간 다음 8주","샘플 검사 45분 이하","외부 발송 없음"],"data_source":"SYN-F02-07:D2@v1","goal":"청솔 부품검사 개선 검사 개선 발표자료 작성 위임","prior_task_action":"new","targets":["SYN-F02-07:D2@v1"]}</x:v>
      </x:c>
      <x:c r="F106" s="10" t="n">
        <x:f>IF(D106=E106,1,0)</x:f>
        <x:v>1</x:v>
      </x:c>
      <x:c r="G106" s="10" t="str">
        <x:v>필수 의미와 지칭 집합 일치</x:v>
      </x:c>
    </x:row>
    <x:row r="107" ht="145" customHeight="1">
      <x:c r="A107" s="10" t="str">
        <x:v>T-REL</x:v>
      </x:c>
      <x:c r="B107" s="10" t="str">
        <x:v>TEXT</x:v>
      </x:c>
      <x:c r="C107" s="10" t="str">
        <x:v>TEXT:SYN-F02-07-U02</x:v>
      </x:c>
      <x:c r="D107" s="10" t="str">
        <x:v>{"conditions":["3문장","기존 발표자료 작성 유지","준비와 적용 일정 구분"],"data_source":"SYN-F02-07:D2@v1","goal":"원래 자료의 일정 표 별도 요약","prior_task_action":"keep","targets":["SYN-F02-07:D2@v1#schedule"]}</x:v>
      </x:c>
      <x:c r="E107" s="10" t="str">
        <x:v>{"conditions":["3문장","기존 발표자료 작성 유지","준비와 적용 일정 구분"],"data_source":"SYN-F02-07:D2@v1","goal":"원래 자료의 일정 표 별도 요약","prior_task_action":"keep","targets":["SYN-F02-07:D2@v1#schedule"]}</x:v>
      </x:c>
      <x:c r="F107" s="10" t="n">
        <x:f>IF(D107=E107,1,0)</x:f>
        <x:v>1</x:v>
      </x:c>
      <x:c r="G107" s="10" t="str">
        <x:v>필수 의미와 지칭 집합 일치</x:v>
      </x:c>
    </x:row>
    <x:row r="108" ht="145" customHeight="1">
      <x:c r="A108" s="10" t="str">
        <x:v>T-BASE</x:v>
      </x:c>
      <x:c r="B108" s="10" t="str">
        <x:v>TEXT</x:v>
      </x:c>
      <x:c r="C108" s="10" t="str">
        <x:v>TEXT:SYN-F02-08-U01</x:v>
      </x:c>
      <x:c r="D108" s="10" t="str">
        <x:v>{"conditions":["4장 이내","대상 기간 운영 5주","안내문 500자 이하","외부 발송 없음","지역 파트너 설명회용"],"data_source":"SYN-F02-08:D1@v1","goal":"노을 서비스 캠페인 캠페인 계획 발표자료 작성 위임","prior_task_action":"new","targets":["SYN-F02-08:D1@v1"]}</x:v>
      </x:c>
      <x:c r="E108" s="10" t="str">
        <x:v>{"conditions":["4장 이내","대상 기간 운영 5주","안내문 500자 이하","외부 발송 없음","지역 파트너 설명회용"],"data_source":"SYN-F02-08:D2@v1","goal":"노을 서비스 캠페인 캠페인 계획 발표자료 작성 위임","prior_task_action":"new","targets":["SYN-F02-08:D2@v1"]}</x:v>
      </x:c>
      <x:c r="F108" s="10" t="n">
        <x:f>IF(D108=E108,1,0)</x:f>
        <x:v>0</x:v>
      </x:c>
      <x:c r="G108" s="10" t="str">
        <x:v>현재 입력과 원본의 대상 관계를 잘못 연결</x:v>
      </x:c>
    </x:row>
    <x:row r="109" ht="145" customHeight="1">
      <x:c r="A109" s="10" t="str">
        <x:v>T-BASE</x:v>
      </x:c>
      <x:c r="B109" s="10" t="str">
        <x:v>TEXT</x:v>
      </x:c>
      <x:c r="C109" s="10" t="str">
        <x:v>TEXT:SYN-F02-08-U02</x:v>
      </x:c>
      <x:c r="D109" s="10" t="str">
        <x:v>{"conditions":["2문장","기존 발표자료 작성 유지","준비와 적용 일정 구분"],"data_source":"SYN-F02-08:D1@v1","goal":"원래 자료의 일정 표 별도 요약","prior_task_action":"keep","targets":["SYN-F02-08:D1@v1#schedule"]}</x:v>
      </x:c>
      <x:c r="E109" s="10" t="str">
        <x:v>{"conditions":["2문장","기존 발표자료 작성 유지","준비와 적용 일정 구분"],"data_source":"SYN-F02-08:D1@v1","goal":"원래 자료의 일정 표 별도 요약","prior_task_action":"keep","targets":["SYN-F02-08:D1@v1#schedule"]}</x:v>
      </x:c>
      <x:c r="F109" s="10" t="n">
        <x:f>IF(D109=E109,1,0)</x:f>
        <x:v>1</x:v>
      </x:c>
      <x:c r="G109" s="10" t="str">
        <x:v>필수 의미와 지칭 집합 일치</x:v>
      </x:c>
    </x:row>
    <x:row r="110" ht="145" customHeight="1">
      <x:c r="A110" s="10" t="str">
        <x:v>T-EXEC</x:v>
      </x:c>
      <x:c r="B110" s="10" t="str">
        <x:v>TEXT</x:v>
      </x:c>
      <x:c r="C110" s="10" t="str">
        <x:v>TEXT:SYN-F02-08-U01</x:v>
      </x:c>
      <x:c r="D110" s="10" t="str">
        <x:v>{"conditions":["4장 이내","대상 기간 운영 5주","안내문 500자 이하","외부 발송 없음","지역 파트너 설명회용"],"data_source":"SYN-F02-08:D1@v1","goal":"노을 서비스 캠페인 캠페인 계획 발표자료 작성 위임","prior_task_action":"new","targets":["SYN-F02-08:D1@v1"]}</x:v>
      </x:c>
      <x:c r="E110" s="10" t="str">
        <x:v>{"conditions":["4장 이내","대상 기간 운영 5주","안내문 500자 이하","외부 발송 없음","지역 파트너 설명회용"],"data_source":"SYN-F02-08:D2@v1","goal":"노을 서비스 캠페인 캠페인 계획 발표자료 작성 위임","prior_task_action":"new","targets":["SYN-F02-08:D2@v1"]}</x:v>
      </x:c>
      <x:c r="F110" s="10" t="n">
        <x:f>IF(D110=E110,1,0)</x:f>
        <x:v>0</x:v>
      </x:c>
      <x:c r="G110" s="10" t="str">
        <x:v>현재 입력과 원본의 대상 관계를 잘못 연결</x:v>
      </x:c>
    </x:row>
    <x:row r="111" ht="145" customHeight="1">
      <x:c r="A111" s="10" t="str">
        <x:v>T-EXEC</x:v>
      </x:c>
      <x:c r="B111" s="10" t="str">
        <x:v>TEXT</x:v>
      </x:c>
      <x:c r="C111" s="10" t="str">
        <x:v>TEXT:SYN-F02-08-U02</x:v>
      </x:c>
      <x:c r="D111" s="10" t="str">
        <x:v>{"conditions":["2문장","기존 발표자료 작성 유지","준비와 적용 일정 구분"],"data_source":"SYN-F02-08:D1@v1","goal":"원래 자료의 일정 표 별도 요약","prior_task_action":"keep","targets":["SYN-F02-08:D1@v1#schedule"]}</x:v>
      </x:c>
      <x:c r="E111" s="10" t="str">
        <x:v>{"conditions":["2문장","기존 발표자료 작성 유지","준비와 적용 일정 구분"],"data_source":"SYN-F02-08:D1@v1","goal":"원래 자료의 일정 표 별도 요약","prior_task_action":"keep","targets":["SYN-F02-08:D1@v1#schedule"]}</x:v>
      </x:c>
      <x:c r="F111" s="10" t="n">
        <x:f>IF(D111=E111,1,0)</x:f>
        <x:v>1</x:v>
      </x:c>
      <x:c r="G111" s="10" t="str">
        <x:v>필수 의미와 지칭 집합 일치</x:v>
      </x:c>
    </x:row>
    <x:row r="112" ht="145" customHeight="1">
      <x:c r="A112" s="10" t="str">
        <x:v>T-REL</x:v>
      </x:c>
      <x:c r="B112" s="10" t="str">
        <x:v>TEXT</x:v>
      </x:c>
      <x:c r="C112" s="10" t="str">
        <x:v>TEXT:SYN-F02-08-U01</x:v>
      </x:c>
      <x:c r="D112" s="10" t="str">
        <x:v>{"conditions":["4장 이내","대상 기간 운영 5주","안내문 500자 이하","외부 발송 없음","지역 파트너 설명회용"],"data_source":"SYN-F02-08:D1@v1","goal":"노을 서비스 캠페인 캠페인 계획 발표자료 작성 위임","prior_task_action":"new","targets":["SYN-F02-08:D1@v1"]}</x:v>
      </x:c>
      <x:c r="E112" s="10" t="str">
        <x:v>{"conditions":["4장 이내","대상 기간 운영 5주","안내문 500자 이하","외부 발송 없음","지역 파트너 설명회용"],"data_source":"SYN-F02-08:D1@v1","goal":"노을 서비스 캠페인 캠페인 계획 발표자료 작성 위임","prior_task_action":"new","targets":["SYN-F02-08:D1@v1"]}</x:v>
      </x:c>
      <x:c r="F112" s="10" t="n">
        <x:f>IF(D112=E112,1,0)</x:f>
        <x:v>1</x:v>
      </x:c>
      <x:c r="G112" s="10" t="str">
        <x:v>필수 의미와 지칭 집합 일치</x:v>
      </x:c>
    </x:row>
    <x:row r="113" ht="145" customHeight="1">
      <x:c r="A113" s="10" t="str">
        <x:v>T-REL</x:v>
      </x:c>
      <x:c r="B113" s="10" t="str">
        <x:v>TEXT</x:v>
      </x:c>
      <x:c r="C113" s="10" t="str">
        <x:v>TEXT:SYN-F02-08-U02</x:v>
      </x:c>
      <x:c r="D113" s="10" t="str">
        <x:v>{"conditions":["2문장","기존 발표자료 작성 유지","준비와 적용 일정 구분"],"data_source":"SYN-F02-08:D1@v1","goal":"원래 자료의 일정 표 별도 요약","prior_task_action":"keep","targets":["SYN-F02-08:D1@v1#schedule"]}</x:v>
      </x:c>
      <x:c r="E113" s="10" t="str">
        <x:v>{"conditions":["2문장","기존 발표자료 작성 유지","준비와 적용 일정 구분"],"data_source":"SYN-F02-08:D1@v1","goal":"원래 자료의 일정 표 별도 요약","prior_task_action":"keep","targets":["SYN-F02-08:D1@v1#schedule"]}</x:v>
      </x:c>
      <x:c r="F113" s="10" t="n">
        <x:f>IF(D113=E113,1,0)</x:f>
        <x:v>1</x:v>
      </x:c>
      <x:c r="G113" s="10" t="str">
        <x:v>필수 의미와 지칭 집합 일치</x:v>
      </x:c>
    </x:row>
    <x:row r="114" ht="145" customHeight="1">
      <x:c r="A114" s="10" t="str">
        <x:v>T-BASE</x:v>
      </x:c>
      <x:c r="B114" s="10" t="str">
        <x:v>TEXT</x:v>
      </x:c>
      <x:c r="C114" s="10" t="str">
        <x:v>TEXT:SYN-F02-09-U01</x:v>
      </x:c>
      <x:c r="D114" s="10" t="str">
        <x:v>{"conditions":["7장 이내","대상 기간 적용 후 4주","배송 협력사 설명회용","외부 발송 없음","주문당 이동 180m 이하"],"data_source":"SYN-F02-09:D3@v1","goal":"파도 창고배치 변경 배치 변경 발표자료 작성 위임","prior_task_action":"new","targets":["SYN-F02-09:D3@v1"]}</x:v>
      </x:c>
      <x:c r="E114" s="10" t="str">
        <x:v>{"conditions":["7장 이내","대상 기간 적용 후 4주","배송 협력사 설명회용","외부 발송 없음","주문당 이동 180m 이하"],"data_source":"SYN-F02-09:D3@v1","goal":"파도 창고배치 변경 배치 변경 발표자료 작성 위임","prior_task_action":"new","targets":["SYN-F02-09:D3@v1"]}</x:v>
      </x:c>
      <x:c r="F114" s="10" t="n">
        <x:f>IF(D114=E114,1,0)</x:f>
        <x:v>1</x:v>
      </x:c>
      <x:c r="G114" s="10" t="str">
        <x:v>필수 의미와 지칭 집합 일치</x:v>
      </x:c>
    </x:row>
    <x:row r="115" ht="145" customHeight="1">
      <x:c r="A115" s="10" t="str">
        <x:v>T-BASE</x:v>
      </x:c>
      <x:c r="B115" s="10" t="str">
        <x:v>TEXT</x:v>
      </x:c>
      <x:c r="C115" s="10" t="str">
        <x:v>TEXT:SYN-F02-09-U02</x:v>
      </x:c>
      <x:c r="D115" s="10" t="str">
        <x:v>{"conditions":["4문장","기존 발표자료 작성 유지","준비와 적용 일정 구분"],"data_source":"SYN-F02-09:D3@v1","goal":"원래 자료의 일정 표 별도 요약","prior_task_action":"keep","targets":["SYN-F02-09:D3@v1#schedule"]}</x:v>
      </x:c>
      <x:c r="E115" s="10" t="str">
        <x:v>{"conditions":["4문장","기존 발표자료 작성 유지","준비와 적용 일정 구분"],"data_source":"SYN-F02-09:D3@v1","goal":"원래 자료의 일정 표 별도 요약","prior_task_action":"keep","targets":["SYN-F02-09:D3@v1#schedule"]}</x:v>
      </x:c>
      <x:c r="F115" s="10" t="n">
        <x:f>IF(D115=E115,1,0)</x:f>
        <x:v>1</x:v>
      </x:c>
      <x:c r="G115" s="10" t="str">
        <x:v>필수 의미와 지칭 집합 일치</x:v>
      </x:c>
    </x:row>
    <x:row r="116" ht="145" customHeight="1">
      <x:c r="A116" s="10" t="str">
        <x:v>T-EXEC</x:v>
      </x:c>
      <x:c r="B116" s="10" t="str">
        <x:v>TEXT</x:v>
      </x:c>
      <x:c r="C116" s="10" t="str">
        <x:v>TEXT:SYN-F02-09-U01</x:v>
      </x:c>
      <x:c r="D116" s="10" t="str">
        <x:v>{"conditions":["7장 이내","대상 기간 적용 후 4주","배송 협력사 설명회용","외부 발송 없음","주문당 이동 180m 이하"],"data_source":"SYN-F02-09:D3@v1","goal":"파도 창고배치 변경 배치 변경 발표자료 작성 위임","prior_task_action":"new","targets":["SYN-F02-09:D3@v1"]}</x:v>
      </x:c>
      <x:c r="E116" s="10" t="str">
        <x:v>{"conditions":["7장 이내","대상 기간 적용 후 4주","배송 협력사 설명회용","외부 발송 없음","주문당 이동 180m 이하"],"data_source":"SYN-F02-09:D3@v1","goal":"파도 창고배치 변경 배치 변경 발표자료 작성 위임","prior_task_action":"new","targets":["SYN-F02-09:D3@v1"]}</x:v>
      </x:c>
      <x:c r="F116" s="10" t="n">
        <x:f>IF(D116=E116,1,0)</x:f>
        <x:v>1</x:v>
      </x:c>
      <x:c r="G116" s="10" t="str">
        <x:v>필수 의미와 지칭 집합 일치</x:v>
      </x:c>
    </x:row>
    <x:row r="117" ht="145" customHeight="1">
      <x:c r="A117" s="10" t="str">
        <x:v>T-EXEC</x:v>
      </x:c>
      <x:c r="B117" s="10" t="str">
        <x:v>TEXT</x:v>
      </x:c>
      <x:c r="C117" s="10" t="str">
        <x:v>TEXT:SYN-F02-09-U02</x:v>
      </x:c>
      <x:c r="D117" s="10" t="str">
        <x:v>{"conditions":["4문장","기존 발표자료 작성 유지","준비와 적용 일정 구분"],"data_source":"SYN-F02-09:D3@v1","goal":"원래 자료의 일정 표 별도 요약","prior_task_action":"keep","targets":["SYN-F02-09:D3@v1#schedule"]}</x:v>
      </x:c>
      <x:c r="E117" s="10" t="str">
        <x:v>{"conditions":["4문장","기존 발표자료 작성 유지","준비와 적용 일정 구분"],"data_source":"SYN-F02-09:D3@v1","goal":"원래 자료의 일정 표 별도 요약","prior_task_action":"keep","targets":["SYN-F02-09:D3@v1#schedule"]}</x:v>
      </x:c>
      <x:c r="F117" s="10" t="n">
        <x:f>IF(D117=E117,1,0)</x:f>
        <x:v>1</x:v>
      </x:c>
      <x:c r="G117" s="10" t="str">
        <x:v>필수 의미와 지칭 집합 일치</x:v>
      </x:c>
    </x:row>
    <x:row r="118" ht="145" customHeight="1">
      <x:c r="A118" s="10" t="str">
        <x:v>T-REL</x:v>
      </x:c>
      <x:c r="B118" s="10" t="str">
        <x:v>TEXT</x:v>
      </x:c>
      <x:c r="C118" s="10" t="str">
        <x:v>TEXT:SYN-F02-09-U01</x:v>
      </x:c>
      <x:c r="D118" s="10" t="str">
        <x:v>{"conditions":["7장 이내","대상 기간 적용 후 4주","배송 협력사 설명회용","외부 발송 없음","주문당 이동 180m 이하"],"data_source":"SYN-F02-09:D3@v1","goal":"파도 창고배치 변경 배치 변경 발표자료 작성 위임","prior_task_action":"new","targets":["SYN-F02-09:D3@v1"]}</x:v>
      </x:c>
      <x:c r="E118" s="10" t="str">
        <x:v>{"conditions":["7장 이내","대상 기간 적용 후 4주","배송 협력사 설명회용","외부 발송 없음","주문당 이동 180m 이하"],"data_source":"SYN-F02-09:D3@v1","goal":"파도 창고배치 변경 배치 변경 발표자료 작성 위임","prior_task_action":"new","targets":["SYN-F02-09:D3@v1"]}</x:v>
      </x:c>
      <x:c r="F118" s="10" t="n">
        <x:f>IF(D118=E118,1,0)</x:f>
        <x:v>1</x:v>
      </x:c>
      <x:c r="G118" s="10" t="str">
        <x:v>필수 의미와 지칭 집합 일치</x:v>
      </x:c>
    </x:row>
    <x:row r="119" ht="145" customHeight="1">
      <x:c r="A119" s="10" t="str">
        <x:v>T-REL</x:v>
      </x:c>
      <x:c r="B119" s="10" t="str">
        <x:v>TEXT</x:v>
      </x:c>
      <x:c r="C119" s="10" t="str">
        <x:v>TEXT:SYN-F02-09-U02</x:v>
      </x:c>
      <x:c r="D119" s="10" t="str">
        <x:v>{"conditions":["4문장","기존 발표자료 작성 유지","준비와 적용 일정 구분"],"data_source":"SYN-F02-09:D3@v1","goal":"원래 자료의 일정 표 별도 요약","prior_task_action":"keep","targets":["SYN-F02-09:D3@v1#schedule"]}</x:v>
      </x:c>
      <x:c r="E119" s="10" t="str">
        <x:v>{"conditions":["4문장","기존 발표자료 작성 유지","준비와 적용 일정 구분"],"data_source":"SYN-F02-09:D3@v1","goal":"원래 자료의 일정 표 별도 요약","prior_task_action":"keep","targets":["SYN-F02-09:D3@v1#schedule"]}</x:v>
      </x:c>
      <x:c r="F119" s="10" t="n">
        <x:f>IF(D119=E119,1,0)</x:f>
        <x:v>1</x:v>
      </x:c>
      <x:c r="G119" s="10" t="str">
        <x:v>필수 의미와 지칭 집합 일치</x:v>
      </x:c>
    </x:row>
    <x:row r="120" ht="145" customHeight="1">
      <x:c r="A120" s="10" t="str">
        <x:v>T-BASE</x:v>
      </x:c>
      <x:c r="B120" s="10" t="str">
        <x:v>TEXT</x:v>
      </x:c>
      <x:c r="C120" s="10" t="str">
        <x:v>TEXT:SYN-F02-10-U01</x:v>
      </x:c>
      <x:c r="D120" s="10" t="str">
        <x:v>{"conditions":["5장 이내","대상 기간 출시 후 2개월","부서대표 설명회용","외부 발송 없음","첫 화면 메뉴 9개 이하"],"data_source":"SYN-F02-10:D2@v1","goal":"온유 사내포털 개편 포털 개선 발표자료 작성 위임","prior_task_action":"new","targets":["SYN-F02-10:D2@v1"]}</x:v>
      </x:c>
      <x:c r="E120" s="10" t="str">
        <x:v>{"conditions":["5장 이내","대상 기간 출시 후 2개월","부서대표 설명회용","외부 발송 없음","첫 화면 메뉴 9개 이하"],"data_source":"SYN-F02-10:D2@v1","goal":"온유 사내포털 개편 포털 개선 발표자료 작성 위임","prior_task_action":"new","targets":["SYN-F02-10:D2@v1"]}</x:v>
      </x:c>
      <x:c r="F120" s="10" t="n">
        <x:f>IF(D120=E120,1,0)</x:f>
        <x:v>1</x:v>
      </x:c>
      <x:c r="G120" s="10" t="str">
        <x:v>필수 의미와 지칭 집합 일치</x:v>
      </x:c>
    </x:row>
    <x:row r="121" ht="145" customHeight="1">
      <x:c r="A121" s="10" t="str">
        <x:v>T-BASE</x:v>
      </x:c>
      <x:c r="B121" s="10" t="str">
        <x:v>TEXT</x:v>
      </x:c>
      <x:c r="C121" s="10" t="str">
        <x:v>TEXT:SYN-F02-10-U02</x:v>
      </x:c>
      <x:c r="D121" s="10" t="str">
        <x:v>{"conditions":["3문장","기존 발표자료 작성 유지","준비와 적용 일정 구분"],"data_source":"SYN-F02-10:D2@v1","goal":"원래 자료의 일정 표 별도 요약","prior_task_action":"keep","targets":["SYN-F02-10:D2@v1#schedule"]}</x:v>
      </x:c>
      <x:c r="E121" s="10" t="str">
        <x:v>{"conditions":["3문장","기존 발표자료 작성 유지","준비와 적용 일정 구분"],"data_source":"SYN-F02-10:D2@v1","goal":"원래 자료의 일정 표 별도 요약","prior_task_action":"keep","targets":["SYN-F02-10:D2@v1#schedule"]}</x:v>
      </x:c>
      <x:c r="F121" s="10" t="n">
        <x:f>IF(D121=E121,1,0)</x:f>
        <x:v>1</x:v>
      </x:c>
      <x:c r="G121" s="10" t="str">
        <x:v>필수 의미와 지칭 집합 일치</x:v>
      </x:c>
    </x:row>
    <x:row r="122" ht="145" customHeight="1">
      <x:c r="A122" s="10" t="str">
        <x:v>T-EXEC</x:v>
      </x:c>
      <x:c r="B122" s="10" t="str">
        <x:v>TEXT</x:v>
      </x:c>
      <x:c r="C122" s="10" t="str">
        <x:v>TEXT:SYN-F02-10-U01</x:v>
      </x:c>
      <x:c r="D122" s="10" t="str">
        <x:v>{"conditions":["5장 이내","대상 기간 출시 후 2개월","부서대표 설명회용","외부 발송 없음","첫 화면 메뉴 9개 이하"],"data_source":"SYN-F02-10:D2@v1","goal":"온유 사내포털 개편 포털 개선 발표자료 작성 위임","prior_task_action":"new","targets":["SYN-F02-10:D2@v1"]}</x:v>
      </x:c>
      <x:c r="E122" s="10" t="str">
        <x:v>{"conditions":["5장 이내","대상 기간 출시 후 2개월","부서대표 설명회용","외부 발송 없음","첫 화면 메뉴 9개 이하"],"data_source":"SYN-F02-10:D2@v1","goal":"온유 사내포털 개편 포털 개선 발표자료 작성 위임","prior_task_action":"new","targets":["SYN-F02-10:D2@v1"]}</x:v>
      </x:c>
      <x:c r="F122" s="10" t="n">
        <x:f>IF(D122=E122,1,0)</x:f>
        <x:v>1</x:v>
      </x:c>
      <x:c r="G122" s="10" t="str">
        <x:v>필수 의미와 지칭 집합 일치</x:v>
      </x:c>
    </x:row>
    <x:row r="123" ht="145" customHeight="1">
      <x:c r="A123" s="10" t="str">
        <x:v>T-EXEC</x:v>
      </x:c>
      <x:c r="B123" s="10" t="str">
        <x:v>TEXT</x:v>
      </x:c>
      <x:c r="C123" s="10" t="str">
        <x:v>TEXT:SYN-F02-10-U02</x:v>
      </x:c>
      <x:c r="D123" s="10" t="str">
        <x:v>{"conditions":["3문장","기존 발표자료 작성 유지","준비와 적용 일정 구분"],"data_source":"SYN-F02-10:D2@v1","goal":"원래 자료의 일정 표 별도 요약","prior_task_action":"keep","targets":["SYN-F02-10:D2@v1#schedule"]}</x:v>
      </x:c>
      <x:c r="E123" s="10" t="str">
        <x:v>{"conditions":["3문장","기존 발표자료 작성 유지","준비와 적용 일정 구분"],"data_source":"SYN-F02-10:D2@v1","goal":"원래 자료의 일정 표 별도 요약","prior_task_action":"keep","targets":["SYN-F02-10:D2@v1#schedule"]}</x:v>
      </x:c>
      <x:c r="F123" s="10" t="n">
        <x:f>IF(D123=E123,1,0)</x:f>
        <x:v>1</x:v>
      </x:c>
      <x:c r="G123" s="10" t="str">
        <x:v>필수 의미와 지칭 집합 일치</x:v>
      </x:c>
    </x:row>
    <x:row r="124" ht="145" customHeight="1">
      <x:c r="A124" s="10" t="str">
        <x:v>T-REL</x:v>
      </x:c>
      <x:c r="B124" s="10" t="str">
        <x:v>TEXT</x:v>
      </x:c>
      <x:c r="C124" s="10" t="str">
        <x:v>TEXT:SYN-F02-10-U01</x:v>
      </x:c>
      <x:c r="D124" s="10" t="str">
        <x:v>{"conditions":["5장 이내","대상 기간 출시 후 2개월","부서대표 설명회용","외부 발송 없음","첫 화면 메뉴 9개 이하"],"data_source":"SYN-F02-10:D2@v1","goal":"온유 사내포털 개편 포털 개선 발표자료 작성 위임","prior_task_action":"new","targets":["SYN-F02-10:D2@v1"]}</x:v>
      </x:c>
      <x:c r="E124" s="10" t="str">
        <x:v>{"conditions":["5장 이내","대상 기간 출시 후 2개월","부서대표 설명회용","외부 발송 없음","첫 화면 메뉴 9개 이하"],"data_source":"SYN-F02-10:D2@v1","goal":"온유 사내포털 개편 포털 개선 발표자료 작성 위임","prior_task_action":"new","targets":["SYN-F02-10:D2@v1"]}</x:v>
      </x:c>
      <x:c r="F124" s="10" t="n">
        <x:f>IF(D124=E124,1,0)</x:f>
        <x:v>1</x:v>
      </x:c>
      <x:c r="G124" s="10" t="str">
        <x:v>필수 의미와 지칭 집합 일치</x:v>
      </x:c>
    </x:row>
    <x:row r="125" ht="145" customHeight="1">
      <x:c r="A125" s="10" t="str">
        <x:v>T-REL</x:v>
      </x:c>
      <x:c r="B125" s="10" t="str">
        <x:v>TEXT</x:v>
      </x:c>
      <x:c r="C125" s="10" t="str">
        <x:v>TEXT:SYN-F02-10-U02</x:v>
      </x:c>
      <x:c r="D125" s="10" t="str">
        <x:v>{"conditions":["3문장","기존 발표자료 작성 유지","준비와 적용 일정 구분"],"data_source":"SYN-F02-10:D2@v1","goal":"원래 자료의 일정 표 별도 요약","prior_task_action":"keep","targets":["SYN-F02-10:D2@v1#schedule"]}</x:v>
      </x:c>
      <x:c r="E125" s="10" t="str">
        <x:v>{"conditions":["3문장","기존 발표자료 작성 유지","준비와 적용 일정 구분"],"data_source":"SYN-F02-10:D2@v1","goal":"원래 자료의 일정 표 별도 요약","prior_task_action":"keep","targets":["SYN-F02-10:D2@v1#schedule"]}</x:v>
      </x:c>
      <x:c r="F125" s="10" t="n">
        <x:f>IF(D125=E125,1,0)</x:f>
        <x:v>1</x:v>
      </x:c>
      <x:c r="G125" s="10" t="str">
        <x:v>필수 의미와 지칭 집합 일치</x:v>
      </x:c>
    </x:row>
    <x:row r="126" ht="145" customHeight="1">
      <x:c r="A126" s="10" t="str">
        <x:v>T-BASE</x:v>
      </x:c>
      <x:c r="B126" s="10" t="str">
        <x:v>TEXT</x:v>
      </x:c>
      <x:c r="C126" s="10" t="str">
        <x:v>TEXT:SYN-F03-01-U01</x:v>
      </x:c>
      <x:c r="D126" s="10" t="str">
        <x:v>{"conditions":["5장 이내","대상 기간 첫 12개월","서비스 운영위원회용","외부 발송 없음","월 운영비 240만원 이하"],"data_source":"SYN-F03-01:D2@v1","goal":"오로라 고객센터 전환 전환 검토 발표자료 작성 위임","prior_task_action":"new","targets":["SYN-F03-01:D2@v1"]}</x:v>
      </x:c>
      <x:c r="E126" s="10" t="str">
        <x:v>{"conditions":["5장 이내","대상 기간 첫 12개월","서비스 운영위원회용","외부 발송 없음","월 운영비 240만원 이하"],"data_source":"SYN-F03-01:D2@v1","goal":"오로라 고객센터 전환 전환 검토 발표자료 작성 위임","prior_task_action":"new","targets":["SYN-F03-01:D2@v1"]}</x:v>
      </x:c>
      <x:c r="F126" s="10" t="n">
        <x:f>IF(D126=E126,1,0)</x:f>
        <x:v>1</x:v>
      </x:c>
      <x:c r="G126" s="10" t="str">
        <x:v>필수 의미와 지칭 집합 일치</x:v>
      </x:c>
    </x:row>
    <x:row r="127" ht="145" customHeight="1">
      <x:c r="A127" s="10" t="str">
        <x:v>T-BASE</x:v>
      </x:c>
      <x:c r="B127" s="10" t="str">
        <x:v>TEXT</x:v>
      </x:c>
      <x:c r="C127" s="10" t="str">
        <x:v>TEXT:SYN-F03-01-U02</x:v>
      </x:c>
      <x:c r="D127" s="10" t="str">
        <x:v>{"conditions":["3문장","기존 발표자료 작성 유지","일정 차이만"],"data_source":"SYN-F03-01:D2@v1; SYN-F03-01:D3@v1","goal":"서로 다른 업무 자료의 일정 차이 설명","prior_task_action":"keep","targets":["SYN-F03-01:D2@v1","SYN-F03-01:D3@v1"]}</x:v>
      </x:c>
      <x:c r="E127" s="10" t="str">
        <x:v>{"conditions":["3문장","기존 발표자료 작성 유지","일정 차이만"],"data_source":"SYN-F03-01:D2@v1; SYN-F03-01:D3@v1","goal":"서로 다른 업무 자료의 일정 차이 설명","prior_task_action":"keep","targets":["SYN-F03-01:D2@v1","SYN-F03-01:D3@v1"]}</x:v>
      </x:c>
      <x:c r="F127" s="10" t="n">
        <x:f>IF(D127=E127,1,0)</x:f>
        <x:v>1</x:v>
      </x:c>
      <x:c r="G127" s="10" t="str">
        <x:v>필수 의미와 지칭 집합 일치</x:v>
      </x:c>
    </x:row>
    <x:row r="128" ht="145" customHeight="1">
      <x:c r="A128" s="10" t="str">
        <x:v>T-EXEC</x:v>
      </x:c>
      <x:c r="B128" s="10" t="str">
        <x:v>TEXT</x:v>
      </x:c>
      <x:c r="C128" s="10" t="str">
        <x:v>TEXT:SYN-F03-01-U01</x:v>
      </x:c>
      <x:c r="D128" s="10" t="str">
        <x:v>{"conditions":["5장 이내","대상 기간 첫 12개월","서비스 운영위원회용","외부 발송 없음","월 운영비 240만원 이하"],"data_source":"SYN-F03-01:D2@v1","goal":"오로라 고객센터 전환 전환 검토 발표자료 작성 위임","prior_task_action":"new","targets":["SYN-F03-01:D2@v1"]}</x:v>
      </x:c>
      <x:c r="E128" s="10" t="str">
        <x:v>{"conditions":["5장 이내","대상 기간 첫 12개월","서비스 운영위원회용","외부 발송 없음","월 운영비 240만원 이하"],"data_source":"SYN-F03-01:D2@v1","goal":"오로라 고객센터 전환 전환 검토 발표자료 작성 위임","prior_task_action":"new","targets":["SYN-F03-01:D2@v1"]}</x:v>
      </x:c>
      <x:c r="F128" s="10" t="n">
        <x:f>IF(D128=E128,1,0)</x:f>
        <x:v>1</x:v>
      </x:c>
      <x:c r="G128" s="10" t="str">
        <x:v>필수 의미와 지칭 집합 일치</x:v>
      </x:c>
    </x:row>
    <x:row r="129" ht="145" customHeight="1">
      <x:c r="A129" s="10" t="str">
        <x:v>T-EXEC</x:v>
      </x:c>
      <x:c r="B129" s="10" t="str">
        <x:v>TEXT</x:v>
      </x:c>
      <x:c r="C129" s="10" t="str">
        <x:v>TEXT:SYN-F03-01-U02</x:v>
      </x:c>
      <x:c r="D129" s="10" t="str">
        <x:v>{"conditions":["3문장","기존 발표자료 작성 유지","일정 차이만"],"data_source":"SYN-F03-01:D2@v1; SYN-F03-01:D3@v1","goal":"서로 다른 업무 자료의 일정 차이 설명","prior_task_action":"keep","targets":["SYN-F03-01:D2@v1","SYN-F03-01:D3@v1"]}</x:v>
      </x:c>
      <x:c r="E129" s="10" t="str">
        <x:v>{"conditions":["3문장","기존 발표자료 작성 유지","일정 차이만"],"data_source":"SYN-F03-01:D2@v1; SYN-F03-01:D3@v1","goal":"서로 다른 업무 자료의 일정 차이 설명","prior_task_action":"keep","targets":["SYN-F03-01:D2@v1","SYN-F03-01:D3@v1"]}</x:v>
      </x:c>
      <x:c r="F129" s="10" t="n">
        <x:f>IF(D129=E129,1,0)</x:f>
        <x:v>1</x:v>
      </x:c>
      <x:c r="G129" s="10" t="str">
        <x:v>필수 의미와 지칭 집합 일치</x:v>
      </x:c>
    </x:row>
    <x:row r="130" ht="145" customHeight="1">
      <x:c r="A130" s="10" t="str">
        <x:v>T-REL</x:v>
      </x:c>
      <x:c r="B130" s="10" t="str">
        <x:v>TEXT</x:v>
      </x:c>
      <x:c r="C130" s="10" t="str">
        <x:v>TEXT:SYN-F03-01-U01</x:v>
      </x:c>
      <x:c r="D130" s="10" t="str">
        <x:v>{"conditions":["5장 이내","대상 기간 첫 12개월","서비스 운영위원회용","외부 발송 없음","월 운영비 240만원 이하"],"data_source":"SYN-F03-01:D2@v1","goal":"오로라 고객센터 전환 전환 검토 발표자료 작성 위임","prior_task_action":"new","targets":["SYN-F03-01:D2@v1"]}</x:v>
      </x:c>
      <x:c r="E130" s="10" t="str">
        <x:v>{"conditions":["5장 이내","대상 기간 첫 12개월","서비스 운영위원회용","외부 발송 없음","월 운영비 240만원 이하"],"data_source":"SYN-F03-01:D2@v1","goal":"오로라 고객센터 전환 전환 검토 발표자료 작성 위임","prior_task_action":"new","targets":["SYN-F03-01:D2@v1"]}</x:v>
      </x:c>
      <x:c r="F130" s="10" t="n">
        <x:f>IF(D130=E130,1,0)</x:f>
        <x:v>1</x:v>
      </x:c>
      <x:c r="G130" s="10" t="str">
        <x:v>필수 의미와 지칭 집합 일치</x:v>
      </x:c>
    </x:row>
    <x:row r="131" ht="145" customHeight="1">
      <x:c r="A131" s="10" t="str">
        <x:v>T-REL</x:v>
      </x:c>
      <x:c r="B131" s="10" t="str">
        <x:v>TEXT</x:v>
      </x:c>
      <x:c r="C131" s="10" t="str">
        <x:v>TEXT:SYN-F03-01-U02</x:v>
      </x:c>
      <x:c r="D131" s="10" t="str">
        <x:v>{"conditions":["3문장","기존 발표자료 작성 유지","일정 차이만"],"data_source":"SYN-F03-01:D2@v1; SYN-F03-01:D3@v1","goal":"서로 다른 업무 자료의 일정 차이 설명","prior_task_action":"keep","targets":["SYN-F03-01:D2@v1","SYN-F03-01:D3@v1"]}</x:v>
      </x:c>
      <x:c r="E131" s="10" t="str">
        <x:v>{"conditions":["3문장","기존 발표자료 작성 유지","일정 차이만"],"data_source":"SYN-F03-01:D2@v1; SYN-F03-01:D3@v1","goal":"서로 다른 업무 자료의 일정 차이 설명","prior_task_action":"keep","targets":["SYN-F03-01:D2@v1","SYN-F03-01:D3@v1"]}</x:v>
      </x:c>
      <x:c r="F131" s="10" t="n">
        <x:f>IF(D131=E131,1,0)</x:f>
        <x:v>1</x:v>
      </x:c>
      <x:c r="G131" s="10" t="str">
        <x:v>필수 의미와 지칭 집합 일치</x:v>
      </x:c>
    </x:row>
    <x:row r="132" ht="145" customHeight="1">
      <x:c r="A132" s="10" t="str">
        <x:v>T-BASE</x:v>
      </x:c>
      <x:c r="B132" s="10" t="str">
        <x:v>TEXT</x:v>
      </x:c>
      <x:c r="C132" s="10" t="str">
        <x:v>TEXT:SYN-F03-02-U01</x:v>
      </x:c>
      <x:c r="D132" s="10" t="str">
        <x:v>{"conditions":["4장 이내","대상 기간 전시 4주","외부 발송 없음","주말 운영 인력 12명 이하","참가업체 설명회용"],"data_source":"SYN-F03-02:D1@v1","goal":"봄길 지역전시 준비 운영 제안 발표자료 작성 위임","prior_task_action":"new","targets":["SYN-F03-02:D1@v1"]}</x:v>
      </x:c>
      <x:c r="E132" s="10" t="str">
        <x:v>{"conditions":["4장 이내","대상 기간 전시 4주","외부 발송 없음","주말 운영 인력 12명 이하","참가업체 설명회용"],"data_source":"SYN-F03-02:D1@v1","goal":"봄길 지역전시 준비 운영 제안 발표자료 작성 위임","prior_task_action":"new","targets":["SYN-F03-02:D1@v1"]}</x:v>
      </x:c>
      <x:c r="F132" s="10" t="n">
        <x:f>IF(D132=E132,1,0)</x:f>
        <x:v>1</x:v>
      </x:c>
      <x:c r="G132" s="10" t="str">
        <x:v>필수 의미와 지칭 집합 일치</x:v>
      </x:c>
    </x:row>
    <x:row r="133" ht="145" customHeight="1">
      <x:c r="A133" s="10" t="str">
        <x:v>T-BASE</x:v>
      </x:c>
      <x:c r="B133" s="10" t="str">
        <x:v>TEXT</x:v>
      </x:c>
      <x:c r="C133" s="10" t="str">
        <x:v>TEXT:SYN-F03-02-U02</x:v>
      </x:c>
      <x:c r="D133" s="10" t="str">
        <x:v>{"conditions":["2문장","기존 발표자료 작성 유지","일정 차이만"],"data_source":"SYN-F03-02:D1@v1; SYN-F03-02:D2@v1","goal":"서로 다른 업무 자료의 일정 차이 설명","prior_task_action":"keep","targets":["SYN-F03-02:D1@v1","SYN-F03-02:D2@v1"]}</x:v>
      </x:c>
      <x:c r="E133" s="10" t="str">
        <x:v>{"conditions":["2문장","기존 발표자료 작성 유지","일정 차이만"],"data_source":"SYN-F03-02:D1@v1; SYN-F03-02:D2@v1","goal":"서로 다른 업무 자료의 일정 차이 설명","prior_task_action":"keep","targets":["SYN-F03-02:D1@v1","SYN-F03-02:D2@v1"]}</x:v>
      </x:c>
      <x:c r="F133" s="10" t="n">
        <x:f>IF(D133=E133,1,0)</x:f>
        <x:v>1</x:v>
      </x:c>
      <x:c r="G133" s="10" t="str">
        <x:v>필수 의미와 지칭 집합 일치</x:v>
      </x:c>
    </x:row>
    <x:row r="134" ht="145" customHeight="1">
      <x:c r="A134" s="10" t="str">
        <x:v>T-EXEC</x:v>
      </x:c>
      <x:c r="B134" s="10" t="str">
        <x:v>TEXT</x:v>
      </x:c>
      <x:c r="C134" s="10" t="str">
        <x:v>TEXT:SYN-F03-02-U01</x:v>
      </x:c>
      <x:c r="D134" s="10" t="str">
        <x:v>{"conditions":["4장 이내","대상 기간 전시 4주","외부 발송 없음","주말 운영 인력 12명 이하","참가업체 설명회용"],"data_source":"SYN-F03-02:D1@v1","goal":"봄길 지역전시 준비 운영 제안 발표자료 작성 위임","prior_task_action":"new","targets":["SYN-F03-02:D1@v1"]}</x:v>
      </x:c>
      <x:c r="E134" s="10" t="str">
        <x:v>{"conditions":["4장 이내","대상 기간 전시 4주","외부 발송 없음","주말 운영 인력 12명 이하","참가업체 설명회용"],"data_source":"SYN-F03-02:D1@v1","goal":"봄길 지역전시 준비 운영 제안 발표자료 작성 위임","prior_task_action":"new","targets":["SYN-F03-02:D1@v1"]}</x:v>
      </x:c>
      <x:c r="F134" s="10" t="n">
        <x:f>IF(D134=E134,1,0)</x:f>
        <x:v>1</x:v>
      </x:c>
      <x:c r="G134" s="10" t="str">
        <x:v>필수 의미와 지칭 집합 일치</x:v>
      </x:c>
    </x:row>
    <x:row r="135" ht="145" customHeight="1">
      <x:c r="A135" s="10" t="str">
        <x:v>T-EXEC</x:v>
      </x:c>
      <x:c r="B135" s="10" t="str">
        <x:v>TEXT</x:v>
      </x:c>
      <x:c r="C135" s="10" t="str">
        <x:v>TEXT:SYN-F03-02-U02</x:v>
      </x:c>
      <x:c r="D135" s="10" t="str">
        <x:v>{"conditions":["2문장","기존 발표자료 작성 유지","일정 차이만"],"data_source":"SYN-F03-02:D1@v1; SYN-F03-02:D2@v1","goal":"서로 다른 업무 자료의 일정 차이 설명","prior_task_action":"keep","targets":["SYN-F03-02:D1@v1","SYN-F03-02:D2@v1"]}</x:v>
      </x:c>
      <x:c r="E135" s="10" t="str">
        <x:v>{"conditions":["2문장","기존 발표자료 작성 유지","일정 차이만"],"data_source":"SYN-F03-02:D1@v1; SYN-F03-02:D2@v1","goal":"서로 다른 업무 자료의 일정 차이 설명","prior_task_action":"keep","targets":["SYN-F03-02:D1@v1","SYN-F03-02:D2@v1"]}</x:v>
      </x:c>
      <x:c r="F135" s="10" t="n">
        <x:f>IF(D135=E135,1,0)</x:f>
        <x:v>1</x:v>
      </x:c>
      <x:c r="G135" s="10" t="str">
        <x:v>필수 의미와 지칭 집합 일치</x:v>
      </x:c>
    </x:row>
    <x:row r="136" ht="145" customHeight="1">
      <x:c r="A136" s="10" t="str">
        <x:v>T-REL</x:v>
      </x:c>
      <x:c r="B136" s="10" t="str">
        <x:v>TEXT</x:v>
      </x:c>
      <x:c r="C136" s="10" t="str">
        <x:v>TEXT:SYN-F03-02-U01</x:v>
      </x:c>
      <x:c r="D136" s="10" t="str">
        <x:v>{"conditions":["4장 이내","대상 기간 전시 4주","외부 발송 없음","주말 운영 인력 12명 이하","참가업체 설명회용"],"data_source":"SYN-F03-02:D1@v1","goal":"봄길 지역전시 준비 운영 제안 발표자료 작성 위임","prior_task_action":"new","targets":["SYN-F03-02:D1@v1"]}</x:v>
      </x:c>
      <x:c r="E136" s="10" t="str">
        <x:v>{"conditions":["4장 이내","대상 기간 전시 4주","외부 발송 없음","주말 운영 인력 12명 이하","참가업체 설명회용"],"data_source":"SYN-F03-02:D1@v1","goal":"봄길 지역전시 준비 운영 제안 발표자료 작성 위임","prior_task_action":"new","targets":["SYN-F03-02:D1@v1"]}</x:v>
      </x:c>
      <x:c r="F136" s="10" t="n">
        <x:f>IF(D136=E136,1,0)</x:f>
        <x:v>1</x:v>
      </x:c>
      <x:c r="G136" s="10" t="str">
        <x:v>필수 의미와 지칭 집합 일치</x:v>
      </x:c>
    </x:row>
    <x:row r="137" ht="145" customHeight="1">
      <x:c r="A137" s="10" t="str">
        <x:v>T-REL</x:v>
      </x:c>
      <x:c r="B137" s="10" t="str">
        <x:v>TEXT</x:v>
      </x:c>
      <x:c r="C137" s="10" t="str">
        <x:v>TEXT:SYN-F03-02-U02</x:v>
      </x:c>
      <x:c r="D137" s="10" t="str">
        <x:v>{"conditions":["2문장","기존 발표자료 작성 유지","일정 차이만"],"data_source":"SYN-F03-02:D1@v1; SYN-F03-02:D2@v1","goal":"서로 다른 업무 자료의 일정 차이 설명","prior_task_action":"keep","targets":["SYN-F03-02:D1@v1","SYN-F03-02:D2@v1"]}</x:v>
      </x:c>
      <x:c r="E137" s="10" t="str">
        <x:v>{"conditions":["2문장","기존 발표자료 작성 유지","일정 차이만"],"data_source":"SYN-F03-02:D1@v1; SYN-F03-02:D2@v1","goal":"서로 다른 업무 자료의 일정 차이 설명","prior_task_action":"keep","targets":["SYN-F03-02:D1@v1","SYN-F03-02:D2@v1"]}</x:v>
      </x:c>
      <x:c r="F137" s="10" t="n">
        <x:f>IF(D137=E137,1,0)</x:f>
        <x:v>1</x:v>
      </x:c>
      <x:c r="G137" s="10" t="str">
        <x:v>필수 의미와 지칭 집합 일치</x:v>
      </x:c>
    </x:row>
    <x:row r="138" ht="145" customHeight="1">
      <x:c r="A138" s="10" t="str">
        <x:v>T-BASE</x:v>
      </x:c>
      <x:c r="B138" s="10" t="str">
        <x:v>TEXT</x:v>
      </x:c>
      <x:c r="C138" s="10" t="str">
        <x:v>TEXT:SYN-F03-03-U01</x:v>
      </x:c>
      <x:c r="D138" s="10" t="str">
        <x:v>{"conditions":["6장 이내","교육 승인위원회용","대상 기간 입사 후 3주","외부 발송 없음","참가자당 교육시간 18시간 이하"],"data_source":"SYN-F03-03:D3@v1","goal":"해온 신입교육 개편 교육 개편 발표자료 작성 위임","prior_task_action":"new","targets":["SYN-F03-03:D3@v1"]}</x:v>
      </x:c>
      <x:c r="E138" s="10" t="str">
        <x:v>{"conditions":["6장 이내","교육 승인위원회용","대상 기간 입사 후 3주","외부 발송 없음","참가자당 교육시간 18시간 이하"],"data_source":"SYN-F03-03:D1@v1","goal":"해온 신입교육 개편 교육 개편 발표자료 작성 위임","prior_task_action":"new","targets":["SYN-F03-03:D1@v1"]}</x:v>
      </x:c>
      <x:c r="F138" s="10" t="n">
        <x:f>IF(D138=E138,1,0)</x:f>
        <x:v>0</x:v>
      </x:c>
      <x:c r="G138" s="10" t="str">
        <x:v>현재 입력과 원본의 대상 관계를 잘못 연결</x:v>
      </x:c>
    </x:row>
    <x:row r="139" ht="145" customHeight="1">
      <x:c r="A139" s="10" t="str">
        <x:v>T-BASE</x:v>
      </x:c>
      <x:c r="B139" s="10" t="str">
        <x:v>TEXT</x:v>
      </x:c>
      <x:c r="C139" s="10" t="str">
        <x:v>TEXT:SYN-F03-03-U02</x:v>
      </x:c>
      <x:c r="D139" s="10" t="str">
        <x:v>{"conditions":["4문장","기존 발표자료 작성 유지","일정 차이만"],"data_source":"SYN-F03-03:D3@v1; SYN-F03-03:D1@v1","goal":"서로 다른 업무 자료의 일정 차이 설명","prior_task_action":"keep","targets":["SYN-F03-03:D1@v1","SYN-F03-03:D3@v1"]}</x:v>
      </x:c>
      <x:c r="E139" s="10" t="str">
        <x:v>{"conditions":["4문장","기존 발표자료 작성 유지","일정 차이만"],"data_source":"SYN-F03-03:D3@v1; SYN-F03-03:D1@v1","goal":"서로 다른 업무 자료의 일정 차이 설명","prior_task_action":"keep","targets":["SYN-F03-03:D1@v1","SYN-F03-03:D3@v1"]}</x:v>
      </x:c>
      <x:c r="F139" s="10" t="n">
        <x:f>IF(D139=E139,1,0)</x:f>
        <x:v>1</x:v>
      </x:c>
      <x:c r="G139" s="10" t="str">
        <x:v>필수 의미와 지칭 집합 일치</x:v>
      </x:c>
    </x:row>
    <x:row r="140" ht="145" customHeight="1">
      <x:c r="A140" s="10" t="str">
        <x:v>T-EXEC</x:v>
      </x:c>
      <x:c r="B140" s="10" t="str">
        <x:v>TEXT</x:v>
      </x:c>
      <x:c r="C140" s="10" t="str">
        <x:v>TEXT:SYN-F03-03-U01</x:v>
      </x:c>
      <x:c r="D140" s="10" t="str">
        <x:v>{"conditions":["6장 이내","교육 승인위원회용","대상 기간 입사 후 3주","외부 발송 없음","참가자당 교육시간 18시간 이하"],"data_source":"SYN-F03-03:D3@v1","goal":"해온 신입교육 개편 교육 개편 발표자료 작성 위임","prior_task_action":"new","targets":["SYN-F03-03:D3@v1"]}</x:v>
      </x:c>
      <x:c r="E140" s="10" t="str">
        <x:v>{"conditions":["6장 이내","교육 승인위원회용","대상 기간 입사 후 3주","외부 발송 없음","참가자당 교육시간 18시간 이하"],"data_source":"SYN-F03-03:D1@v1","goal":"해온 신입교육 개편 교육 개편 발표자료 작성 위임","prior_task_action":"new","targets":["SYN-F03-03:D1@v1"]}</x:v>
      </x:c>
      <x:c r="F140" s="10" t="n">
        <x:f>IF(D140=E140,1,0)</x:f>
        <x:v>0</x:v>
      </x:c>
      <x:c r="G140" s="10" t="str">
        <x:v>현재 입력과 원본의 대상 관계를 잘못 연결</x:v>
      </x:c>
    </x:row>
    <x:row r="141" ht="145" customHeight="1">
      <x:c r="A141" s="10" t="str">
        <x:v>T-EXEC</x:v>
      </x:c>
      <x:c r="B141" s="10" t="str">
        <x:v>TEXT</x:v>
      </x:c>
      <x:c r="C141" s="10" t="str">
        <x:v>TEXT:SYN-F03-03-U02</x:v>
      </x:c>
      <x:c r="D141" s="10" t="str">
        <x:v>{"conditions":["4문장","기존 발표자료 작성 유지","일정 차이만"],"data_source":"SYN-F03-03:D3@v1; SYN-F03-03:D1@v1","goal":"서로 다른 업무 자료의 일정 차이 설명","prior_task_action":"keep","targets":["SYN-F03-03:D1@v1","SYN-F03-03:D3@v1"]}</x:v>
      </x:c>
      <x:c r="E141" s="10" t="str">
        <x:v>{"conditions":["4문장","기존 발표자료 작성 유지","일정 차이만"],"data_source":"SYN-F03-03:D3@v1; SYN-F03-03:D1@v1","goal":"서로 다른 업무 자료의 일정 차이 설명","prior_task_action":"keep","targets":["SYN-F03-03:D1@v1","SYN-F03-03:D3@v1"]}</x:v>
      </x:c>
      <x:c r="F141" s="10" t="n">
        <x:f>IF(D141=E141,1,0)</x:f>
        <x:v>1</x:v>
      </x:c>
      <x:c r="G141" s="10" t="str">
        <x:v>필수 의미와 지칭 집합 일치</x:v>
      </x:c>
    </x:row>
    <x:row r="142" ht="145" customHeight="1">
      <x:c r="A142" s="10" t="str">
        <x:v>T-REL</x:v>
      </x:c>
      <x:c r="B142" s="10" t="str">
        <x:v>TEXT</x:v>
      </x:c>
      <x:c r="C142" s="10" t="str">
        <x:v>TEXT:SYN-F03-03-U01</x:v>
      </x:c>
      <x:c r="D142" s="10" t="str">
        <x:v>{"conditions":["6장 이내","교육 승인위원회용","대상 기간 입사 후 3주","외부 발송 없음","참가자당 교육시간 18시간 이하"],"data_source":"SYN-F03-03:D3@v1","goal":"해온 신입교육 개편 교육 개편 발표자료 작성 위임","prior_task_action":"new","targets":["SYN-F03-03:D3@v1"]}</x:v>
      </x:c>
      <x:c r="E142" s="10" t="str">
        <x:v>{"conditions":["6장 이내","교육 승인위원회용","대상 기간 입사 후 3주","외부 발송 없음","참가자당 교육시간 18시간 이하"],"data_source":"SYN-F03-03:D3@v1","goal":"해온 신입교육 개편 교육 개편 발표자료 작성 위임","prior_task_action":"new","targets":["SYN-F03-03:D3@v1"]}</x:v>
      </x:c>
      <x:c r="F142" s="10" t="n">
        <x:f>IF(D142=E142,1,0)</x:f>
        <x:v>1</x:v>
      </x:c>
      <x:c r="G142" s="10" t="str">
        <x:v>필수 의미와 지칭 집합 일치</x:v>
      </x:c>
    </x:row>
    <x:row r="143" ht="145" customHeight="1">
      <x:c r="A143" s="10" t="str">
        <x:v>T-REL</x:v>
      </x:c>
      <x:c r="B143" s="10" t="str">
        <x:v>TEXT</x:v>
      </x:c>
      <x:c r="C143" s="10" t="str">
        <x:v>TEXT:SYN-F03-03-U02</x:v>
      </x:c>
      <x:c r="D143" s="10" t="str">
        <x:v>{"conditions":["4문장","기존 발표자료 작성 유지","일정 차이만"],"data_source":"SYN-F03-03:D3@v1; SYN-F03-03:D1@v1","goal":"서로 다른 업무 자료의 일정 차이 설명","prior_task_action":"keep","targets":["SYN-F03-03:D1@v1","SYN-F03-03:D3@v1"]}</x:v>
      </x:c>
      <x:c r="E143" s="10" t="str">
        <x:v>{"conditions":["4문장","기존 발표자료 작성 유지","일정 차이만"],"data_source":"SYN-F03-03:D3@v1; SYN-F03-03:D1@v1","goal":"서로 다른 업무 자료의 일정 차이 설명","prior_task_action":"keep","targets":["SYN-F03-03:D1@v1","SYN-F03-03:D3@v1"]}</x:v>
      </x:c>
      <x:c r="F143" s="10" t="n">
        <x:f>IF(D143=E143,1,0)</x:f>
        <x:v>1</x:v>
      </x:c>
      <x:c r="G143" s="10" t="str">
        <x:v>필수 의미와 지칭 집합 일치</x:v>
      </x:c>
    </x:row>
    <x:row r="144" ht="145" customHeight="1">
      <x:c r="A144" s="10" t="str">
        <x:v>T-BASE</x:v>
      </x:c>
      <x:c r="B144" s="10" t="str">
        <x:v>TEXT</x:v>
      </x:c>
      <x:c r="C144" s="10" t="str">
        <x:v>TEXT:SYN-F03-04-U01</x:v>
      </x:c>
      <x:c r="D144" s="10" t="str">
        <x:v>{"conditions":["7장 이내","대상 기간 평일 20일","외부 발송 없음","일일 추가 운행 8회 이하","협력사 운영설명회용"],"data_source":"SYN-F03-04:D2@v1","goal":"라임 배송거점 개선 거점 개선 발표자료 작성 위임","prior_task_action":"new","targets":["SYN-F03-04:D2@v1"]}</x:v>
      </x:c>
      <x:c r="E144" s="10" t="str">
        <x:v>{"conditions":["7장 이내","대상 기간 평일 20일","외부 발송 없음","일일 추가 운행 8회 이하","협력사 운영설명회용"],"data_source":"SYN-F03-04:D2@v1","goal":"라임 배송거점 개선 거점 개선 발표자료 작성 위임","prior_task_action":"new","targets":["SYN-F03-04:D2@v1"]}</x:v>
      </x:c>
      <x:c r="F144" s="10" t="n">
        <x:f>IF(D144=E144,1,0)</x:f>
        <x:v>1</x:v>
      </x:c>
      <x:c r="G144" s="10" t="str">
        <x:v>필수 의미와 지칭 집합 일치</x:v>
      </x:c>
    </x:row>
    <x:row r="145" ht="145" customHeight="1">
      <x:c r="A145" s="10" t="str">
        <x:v>T-BASE</x:v>
      </x:c>
      <x:c r="B145" s="10" t="str">
        <x:v>TEXT</x:v>
      </x:c>
      <x:c r="C145" s="10" t="str">
        <x:v>TEXT:SYN-F03-04-U02</x:v>
      </x:c>
      <x:c r="D145" s="10" t="str">
        <x:v>{"conditions":["3문장","기존 발표자료 작성 유지","일정 차이만"],"data_source":"SYN-F03-04:D2@v1; SYN-F03-04:D3@v1","goal":"서로 다른 업무 자료의 일정 차이 설명","prior_task_action":"keep","targets":["SYN-F03-04:D2@v1","SYN-F03-04:D3@v1"]}</x:v>
      </x:c>
      <x:c r="E145" s="10" t="str">
        <x:v>{"conditions":["3문장","기존 발표자료 작성 유지","일정 차이만"],"data_source":"SYN-F03-04:D2@v1; SYN-F03-04:D3@v1","goal":"서로 다른 업무 자료의 일정 차이 설명","prior_task_action":"keep","targets":["SYN-F03-04:D2@v1","SYN-F03-04:D3@v1"]}</x:v>
      </x:c>
      <x:c r="F145" s="10" t="n">
        <x:f>IF(D145=E145,1,0)</x:f>
        <x:v>1</x:v>
      </x:c>
      <x:c r="G145" s="10" t="str">
        <x:v>필수 의미와 지칭 집합 일치</x:v>
      </x:c>
    </x:row>
    <x:row r="146" ht="145" customHeight="1">
      <x:c r="A146" s="10" t="str">
        <x:v>T-EXEC</x:v>
      </x:c>
      <x:c r="B146" s="10" t="str">
        <x:v>TEXT</x:v>
      </x:c>
      <x:c r="C146" s="10" t="str">
        <x:v>TEXT:SYN-F03-04-U01</x:v>
      </x:c>
      <x:c r="D146" s="10" t="str">
        <x:v>{"conditions":["7장 이내","대상 기간 평일 20일","외부 발송 없음","일일 추가 운행 8회 이하","협력사 운영설명회용"],"data_source":"SYN-F03-04:D2@v1","goal":"라임 배송거점 개선 거점 개선 발표자료 작성 위임","prior_task_action":"new","targets":["SYN-F03-04:D2@v1"]}</x:v>
      </x:c>
      <x:c r="E146" s="10" t="str">
        <x:v>{"conditions":["7장 이내","대상 기간 평일 20일","외부 발송 없음","일일 추가 운행 8회 이하","협력사 운영설명회용"],"data_source":"SYN-F03-04:D2@v1","goal":"라임 배송거점 개선 거점 개선 발표자료 작성 위임","prior_task_action":"new","targets":["SYN-F03-04:D2@v1"]}</x:v>
      </x:c>
      <x:c r="F146" s="10" t="n">
        <x:f>IF(D146=E146,1,0)</x:f>
        <x:v>1</x:v>
      </x:c>
      <x:c r="G146" s="10" t="str">
        <x:v>필수 의미와 지칭 집합 일치</x:v>
      </x:c>
    </x:row>
    <x:row r="147" ht="145" customHeight="1">
      <x:c r="A147" s="10" t="str">
        <x:v>T-EXEC</x:v>
      </x:c>
      <x:c r="B147" s="10" t="str">
        <x:v>TEXT</x:v>
      </x:c>
      <x:c r="C147" s="10" t="str">
        <x:v>TEXT:SYN-F03-04-U02</x:v>
      </x:c>
      <x:c r="D147" s="10" t="str">
        <x:v>{"conditions":["3문장","기존 발표자료 작성 유지","일정 차이만"],"data_source":"SYN-F03-04:D2@v1; SYN-F03-04:D3@v1","goal":"서로 다른 업무 자료의 일정 차이 설명","prior_task_action":"keep","targets":["SYN-F03-04:D2@v1","SYN-F03-04:D3@v1"]}</x:v>
      </x:c>
      <x:c r="E147" s="10" t="str">
        <x:v>{"conditions":["3문장","기존 발표자료 작성 유지","일정 차이만"],"data_source":"SYN-F03-04:D2@v1; SYN-F03-04:D3@v1","goal":"서로 다른 업무 자료의 일정 차이 설명","prior_task_action":"keep","targets":["SYN-F03-04:D2@v1","SYN-F03-04:D3@v1"]}</x:v>
      </x:c>
      <x:c r="F147" s="10" t="n">
        <x:f>IF(D147=E147,1,0)</x:f>
        <x:v>1</x:v>
      </x:c>
      <x:c r="G147" s="10" t="str">
        <x:v>필수 의미와 지칭 집합 일치</x:v>
      </x:c>
    </x:row>
    <x:row r="148" ht="145" customHeight="1">
      <x:c r="A148" s="10" t="str">
        <x:v>T-REL</x:v>
      </x:c>
      <x:c r="B148" s="10" t="str">
        <x:v>TEXT</x:v>
      </x:c>
      <x:c r="C148" s="10" t="str">
        <x:v>TEXT:SYN-F03-04-U01</x:v>
      </x:c>
      <x:c r="D148" s="10" t="str">
        <x:v>{"conditions":["7장 이내","대상 기간 평일 20일","외부 발송 없음","일일 추가 운행 8회 이하","협력사 운영설명회용"],"data_source":"SYN-F03-04:D2@v1","goal":"라임 배송거점 개선 거점 개선 발표자료 작성 위임","prior_task_action":"new","targets":["SYN-F03-04:D2@v1"]}</x:v>
      </x:c>
      <x:c r="E148" s="10" t="str">
        <x:v>{"conditions":["7장 이내","대상 기간 평일 20일","외부 발송 없음","일일 추가 운행 8회 이하","협력사 운영설명회용"],"data_source":"SYN-F03-04:D2@v1","goal":"라임 배송거점 개선 거점 개선 발표자료 작성 위임","prior_task_action":"new","targets":["SYN-F03-04:D2@v1"]}</x:v>
      </x:c>
      <x:c r="F148" s="10" t="n">
        <x:f>IF(D148=E148,1,0)</x:f>
        <x:v>1</x:v>
      </x:c>
      <x:c r="G148" s="10" t="str">
        <x:v>필수 의미와 지칭 집합 일치</x:v>
      </x:c>
    </x:row>
    <x:row r="149" ht="145" customHeight="1">
      <x:c r="A149" s="10" t="str">
        <x:v>T-REL</x:v>
      </x:c>
      <x:c r="B149" s="10" t="str">
        <x:v>TEXT</x:v>
      </x:c>
      <x:c r="C149" s="10" t="str">
        <x:v>TEXT:SYN-F03-04-U02</x:v>
      </x:c>
      <x:c r="D149" s="10" t="str">
        <x:v>{"conditions":["3문장","기존 발표자료 작성 유지","일정 차이만"],"data_source":"SYN-F03-04:D2@v1; SYN-F03-04:D3@v1","goal":"서로 다른 업무 자료의 일정 차이 설명","prior_task_action":"keep","targets":["SYN-F03-04:D2@v1","SYN-F03-04:D3@v1"]}</x:v>
      </x:c>
      <x:c r="E149" s="10" t="str">
        <x:v>{"conditions":["3문장","기존 발표자료 작성 유지","일정 차이만"],"data_source":"SYN-F03-04:D2@v1; SYN-F03-04:D3@v1","goal":"서로 다른 업무 자료의 일정 차이 설명","prior_task_action":"keep","targets":["SYN-F03-04:D2@v1","SYN-F03-04:D3@v1"]}</x:v>
      </x:c>
      <x:c r="F149" s="10" t="n">
        <x:f>IF(D149=E149,1,0)</x:f>
        <x:v>1</x:v>
      </x:c>
      <x:c r="G149" s="10" t="str">
        <x:v>필수 의미와 지칭 집합 일치</x:v>
      </x:c>
    </x:row>
    <x:row r="150" ht="145" customHeight="1">
      <x:c r="A150" s="10" t="str">
        <x:v>T-BASE</x:v>
      </x:c>
      <x:c r="B150" s="10" t="str">
        <x:v>TEXT</x:v>
      </x:c>
      <x:c r="C150" s="10" t="str">
        <x:v>TEXT:SYN-F03-05-U01</x:v>
      </x:c>
      <x:c r="D150" s="10" t="str">
        <x:v>{"conditions":["5장 이내","대상 기간 교체 후 6개월","외부 발송 없음","입주사 설명회용","층별 정전 30분 이하"],"data_source":"SYN-F03-05:D1@v1","goal":"가온 사무실 조명교체 조명 교체 검토자료 작성 위임","prior_task_action":"new","targets":["SYN-F03-05:D1@v1"]}</x:v>
      </x:c>
      <x:c r="E150" s="10" t="str">
        <x:v>{"conditions":["5장 이내","대상 기간 교체 후 6개월","외부 발송 없음","입주사 설명회용","층별 정전 30분 이하"],"data_source":"SYN-F03-05:D1@v1","goal":"가온 사무실 조명교체 조명 교체 검토자료 작성 위임","prior_task_action":"new","targets":["SYN-F03-05:D1@v1"]}</x:v>
      </x:c>
      <x:c r="F150" s="10" t="n">
        <x:f>IF(D150=E150,1,0)</x:f>
        <x:v>1</x:v>
      </x:c>
      <x:c r="G150" s="10" t="str">
        <x:v>필수 의미와 지칭 집합 일치</x:v>
      </x:c>
    </x:row>
    <x:row r="151" ht="145" customHeight="1">
      <x:c r="A151" s="10" t="str">
        <x:v>T-BASE</x:v>
      </x:c>
      <x:c r="B151" s="10" t="str">
        <x:v>TEXT</x:v>
      </x:c>
      <x:c r="C151" s="10" t="str">
        <x:v>TEXT:SYN-F03-05-U02</x:v>
      </x:c>
      <x:c r="D151" s="10" t="str">
        <x:v>{"conditions":["2문장","기존 발표자료 작성 유지","일정 차이만"],"data_source":"SYN-F03-05:D1@v1; SYN-F03-05:D2@v1","goal":"서로 다른 업무 자료의 일정 차이 설명","prior_task_action":"keep","targets":["SYN-F03-05:D1@v1","SYN-F03-05:D2@v1"]}</x:v>
      </x:c>
      <x:c r="E151" s="10" t="str">
        <x:v>{"conditions":["2문장","기존 발표자료 작성 유지","일정 차이만"],"data_source":"SYN-F03-05:D1@v1; SYN-F03-05:D2@v1","goal":"서로 다른 업무 자료의 일정 차이 설명","prior_task_action":"keep","targets":["SYN-F03-05:D1@v1","SYN-F03-05:D2@v1"]}</x:v>
      </x:c>
      <x:c r="F151" s="10" t="n">
        <x:f>IF(D151=E151,1,0)</x:f>
        <x:v>1</x:v>
      </x:c>
      <x:c r="G151" s="10" t="str">
        <x:v>필수 의미와 지칭 집합 일치</x:v>
      </x:c>
    </x:row>
    <x:row r="152" ht="145" customHeight="1">
      <x:c r="A152" s="10" t="str">
        <x:v>T-EXEC</x:v>
      </x:c>
      <x:c r="B152" s="10" t="str">
        <x:v>TEXT</x:v>
      </x:c>
      <x:c r="C152" s="10" t="str">
        <x:v>TEXT:SYN-F03-05-U01</x:v>
      </x:c>
      <x:c r="D152" s="10" t="str">
        <x:v>{"conditions":["5장 이내","대상 기간 교체 후 6개월","외부 발송 없음","입주사 설명회용","층별 정전 30분 이하"],"data_source":"SYN-F03-05:D1@v1","goal":"가온 사무실 조명교체 조명 교체 검토자료 작성 위임","prior_task_action":"new","targets":["SYN-F03-05:D1@v1"]}</x:v>
      </x:c>
      <x:c r="E152" s="10" t="str">
        <x:v>{"conditions":["5장 이내","대상 기간 교체 후 6개월","외부 발송 없음","입주사 설명회용","층별 정전 30분 이하"],"data_source":"SYN-F03-05:D1@v1","goal":"가온 사무실 조명교체 조명 교체 검토자료 작성 위임","prior_task_action":"new","targets":["SYN-F03-05:D1@v1"]}</x:v>
      </x:c>
      <x:c r="F152" s="10" t="n">
        <x:f>IF(D152=E152,1,0)</x:f>
        <x:v>1</x:v>
      </x:c>
      <x:c r="G152" s="10" t="str">
        <x:v>필수 의미와 지칭 집합 일치</x:v>
      </x:c>
    </x:row>
    <x:row r="153" ht="145" customHeight="1">
      <x:c r="A153" s="10" t="str">
        <x:v>T-EXEC</x:v>
      </x:c>
      <x:c r="B153" s="10" t="str">
        <x:v>TEXT</x:v>
      </x:c>
      <x:c r="C153" s="10" t="str">
        <x:v>TEXT:SYN-F03-05-U02</x:v>
      </x:c>
      <x:c r="D153" s="10" t="str">
        <x:v>{"conditions":["2문장","기존 발표자료 작성 유지","일정 차이만"],"data_source":"SYN-F03-05:D1@v1; SYN-F03-05:D2@v1","goal":"서로 다른 업무 자료의 일정 차이 설명","prior_task_action":"keep","targets":["SYN-F03-05:D1@v1","SYN-F03-05:D2@v1"]}</x:v>
      </x:c>
      <x:c r="E153" s="10" t="str">
        <x:v>{"conditions":["2문장","기존 발표자료 작성 유지","일정 차이만"],"data_source":"SYN-F03-05:D1@v1; SYN-F03-05:D2@v1","goal":"서로 다른 업무 자료의 일정 차이 설명","prior_task_action":"keep","targets":["SYN-F03-05:D1@v1","SYN-F03-05:D2@v1"]}</x:v>
      </x:c>
      <x:c r="F153" s="10" t="n">
        <x:f>IF(D153=E153,1,0)</x:f>
        <x:v>1</x:v>
      </x:c>
      <x:c r="G153" s="10" t="str">
        <x:v>필수 의미와 지칭 집합 일치</x:v>
      </x:c>
    </x:row>
    <x:row r="154" ht="145" customHeight="1">
      <x:c r="A154" s="10" t="str">
        <x:v>T-REL</x:v>
      </x:c>
      <x:c r="B154" s="10" t="str">
        <x:v>TEXT</x:v>
      </x:c>
      <x:c r="C154" s="10" t="str">
        <x:v>TEXT:SYN-F03-05-U01</x:v>
      </x:c>
      <x:c r="D154" s="10" t="str">
        <x:v>{"conditions":["5장 이내","대상 기간 교체 후 6개월","외부 발송 없음","입주사 설명회용","층별 정전 30분 이하"],"data_source":"SYN-F03-05:D1@v1","goal":"가온 사무실 조명교체 조명 교체 검토자료 작성 위임","prior_task_action":"new","targets":["SYN-F03-05:D1@v1"]}</x:v>
      </x:c>
      <x:c r="E154" s="10" t="str">
        <x:v>{"conditions":["5장 이내","대상 기간 교체 후 6개월","외부 발송 없음","입주사 설명회용","층별 정전 30분 이하"],"data_source":"SYN-F03-05:D1@v1","goal":"가온 사무실 조명교체 조명 교체 검토자료 작성 위임","prior_task_action":"new","targets":["SYN-F03-05:D1@v1"]}</x:v>
      </x:c>
      <x:c r="F154" s="10" t="n">
        <x:f>IF(D154=E154,1,0)</x:f>
        <x:v>1</x:v>
      </x:c>
      <x:c r="G154" s="10" t="str">
        <x:v>필수 의미와 지칭 집합 일치</x:v>
      </x:c>
    </x:row>
    <x:row r="155" ht="145" customHeight="1">
      <x:c r="A155" s="10" t="str">
        <x:v>T-REL</x:v>
      </x:c>
      <x:c r="B155" s="10" t="str">
        <x:v>TEXT</x:v>
      </x:c>
      <x:c r="C155" s="10" t="str">
        <x:v>TEXT:SYN-F03-05-U02</x:v>
      </x:c>
      <x:c r="D155" s="10" t="str">
        <x:v>{"conditions":["2문장","기존 발표자료 작성 유지","일정 차이만"],"data_source":"SYN-F03-05:D1@v1; SYN-F03-05:D2@v1","goal":"서로 다른 업무 자료의 일정 차이 설명","prior_task_action":"keep","targets":["SYN-F03-05:D1@v1","SYN-F03-05:D2@v1"]}</x:v>
      </x:c>
      <x:c r="E155" s="10" t="str">
        <x:v>{"conditions":["2문장","기존 발표자료 작성 유지","일정 차이만"],"data_source":"SYN-F03-05:D1@v1; SYN-F03-05:D2@v1","goal":"서로 다른 업무 자료의 일정 차이 설명","prior_task_action":"keep","targets":["SYN-F03-05:D1@v1","SYN-F03-05:D2@v1"]}</x:v>
      </x:c>
      <x:c r="F155" s="10" t="n">
        <x:f>IF(D155=E155,1,0)</x:f>
        <x:v>1</x:v>
      </x:c>
      <x:c r="G155" s="10" t="str">
        <x:v>필수 의미와 지칭 집합 일치</x:v>
      </x:c>
    </x:row>
    <x:row r="156" ht="145" customHeight="1">
      <x:c r="A156" s="10" t="str">
        <x:v>T-BASE</x:v>
      </x:c>
      <x:c r="B156" s="10" t="str">
        <x:v>TEXT</x:v>
      </x:c>
      <x:c r="C156" s="10" t="str">
        <x:v>TEXT:SYN-F03-06-U01</x:v>
      </x:c>
      <x:c r="D156" s="10" t="str">
        <x:v>{"conditions":["8장 이내","대상 기간 행사 2일","외부 발송 없음","참여기업 안내회용","현장 대기 20분 이하"],"data_source":"SYN-F03-06:D3@v1","goal":"별빛 채용행사 준비 행사 운영 발표자료 작성 위임","prior_task_action":"new","targets":["SYN-F03-06:D3@v1"]}</x:v>
      </x:c>
      <x:c r="E156" s="10" t="str">
        <x:v>{"conditions":["8장 이내","대상 기간 행사 2일","외부 발송 없음","참여기업 안내회용","현장 대기 20분 이하"],"data_source":"SYN-F03-06:D3@v1","goal":"별빛 채용행사 준비 행사 운영 발표자료 작성 위임","prior_task_action":"new","targets":["SYN-F03-06:D3@v1"]}</x:v>
      </x:c>
      <x:c r="F156" s="10" t="n">
        <x:f>IF(D156=E156,1,0)</x:f>
        <x:v>1</x:v>
      </x:c>
      <x:c r="G156" s="10" t="str">
        <x:v>필수 의미와 지칭 집합 일치</x:v>
      </x:c>
    </x:row>
    <x:row r="157" ht="145" customHeight="1">
      <x:c r="A157" s="10" t="str">
        <x:v>T-BASE</x:v>
      </x:c>
      <x:c r="B157" s="10" t="str">
        <x:v>TEXT</x:v>
      </x:c>
      <x:c r="C157" s="10" t="str">
        <x:v>TEXT:SYN-F03-06-U02</x:v>
      </x:c>
      <x:c r="D157" s="10" t="str">
        <x:v>{"conditions":["4문장","기존 발표자료 작성 유지","일정 차이만"],"data_source":"SYN-F03-06:D3@v1; SYN-F03-06:D1@v1","goal":"서로 다른 업무 자료의 일정 차이 설명","prior_task_action":"keep","targets":["SYN-F03-06:D1@v1","SYN-F03-06:D3@v1"]}</x:v>
      </x:c>
      <x:c r="E157" s="10" t="str">
        <x:v>{"conditions":["4문장","기존 발표자료 작성 유지","일정 차이만"],"data_source":"SYN-F03-06:D3@v1; SYN-F03-06:D1@v1","goal":"서로 다른 업무 자료의 일정 차이 설명","prior_task_action":"keep","targets":["SYN-F03-06:D1@v1","SYN-F03-06:D3@v1"]}</x:v>
      </x:c>
      <x:c r="F157" s="10" t="n">
        <x:f>IF(D157=E157,1,0)</x:f>
        <x:v>1</x:v>
      </x:c>
      <x:c r="G157" s="10" t="str">
        <x:v>필수 의미와 지칭 집합 일치</x:v>
      </x:c>
    </x:row>
    <x:row r="158" ht="145" customHeight="1">
      <x:c r="A158" s="10" t="str">
        <x:v>T-EXEC</x:v>
      </x:c>
      <x:c r="B158" s="10" t="str">
        <x:v>TEXT</x:v>
      </x:c>
      <x:c r="C158" s="10" t="str">
        <x:v>TEXT:SYN-F03-06-U01</x:v>
      </x:c>
      <x:c r="D158" s="10" t="str">
        <x:v>{"conditions":["8장 이내","대상 기간 행사 2일","외부 발송 없음","참여기업 안내회용","현장 대기 20분 이하"],"data_source":"SYN-F03-06:D3@v1","goal":"별빛 채용행사 준비 행사 운영 발표자료 작성 위임","prior_task_action":"new","targets":["SYN-F03-06:D3@v1"]}</x:v>
      </x:c>
      <x:c r="E158" s="10" t="str">
        <x:v>{"conditions":["8장 이내","대상 기간 행사 2일","외부 발송 없음","참여기업 안내회용","현장 대기 20분 이하"],"data_source":"SYN-F03-06:D3@v1","goal":"별빛 채용행사 준비 행사 운영 발표자료 작성 위임","prior_task_action":"new","targets":["SYN-F03-06:D3@v1"]}</x:v>
      </x:c>
      <x:c r="F158" s="10" t="n">
        <x:f>IF(D158=E158,1,0)</x:f>
        <x:v>1</x:v>
      </x:c>
      <x:c r="G158" s="10" t="str">
        <x:v>필수 의미와 지칭 집합 일치</x:v>
      </x:c>
    </x:row>
    <x:row r="159" ht="145" customHeight="1">
      <x:c r="A159" s="10" t="str">
        <x:v>T-EXEC</x:v>
      </x:c>
      <x:c r="B159" s="10" t="str">
        <x:v>TEXT</x:v>
      </x:c>
      <x:c r="C159" s="10" t="str">
        <x:v>TEXT:SYN-F03-06-U02</x:v>
      </x:c>
      <x:c r="D159" s="10" t="str">
        <x:v>{"conditions":["4문장","기존 발표자료 작성 유지","일정 차이만"],"data_source":"SYN-F03-06:D3@v1; SYN-F03-06:D1@v1","goal":"서로 다른 업무 자료의 일정 차이 설명","prior_task_action":"keep","targets":["SYN-F03-06:D1@v1","SYN-F03-06:D3@v1"]}</x:v>
      </x:c>
      <x:c r="E159" s="10" t="str">
        <x:v>{"conditions":["4문장","기존 발표자료 작성 유지","일정 차이만"],"data_source":"SYN-F03-06:D3@v1; SYN-F03-06:D1@v1","goal":"서로 다른 업무 자료의 일정 차이 설명","prior_task_action":"keep","targets":["SYN-F03-06:D1@v1","SYN-F03-06:D3@v1"]}</x:v>
      </x:c>
      <x:c r="F159" s="10" t="n">
        <x:f>IF(D159=E159,1,0)</x:f>
        <x:v>1</x:v>
      </x:c>
      <x:c r="G159" s="10" t="str">
        <x:v>필수 의미와 지칭 집합 일치</x:v>
      </x:c>
    </x:row>
    <x:row r="160" ht="145" customHeight="1">
      <x:c r="A160" s="10" t="str">
        <x:v>T-REL</x:v>
      </x:c>
      <x:c r="B160" s="10" t="str">
        <x:v>TEXT</x:v>
      </x:c>
      <x:c r="C160" s="10" t="str">
        <x:v>TEXT:SYN-F03-06-U01</x:v>
      </x:c>
      <x:c r="D160" s="10" t="str">
        <x:v>{"conditions":["8장 이내","대상 기간 행사 2일","외부 발송 없음","참여기업 안내회용","현장 대기 20분 이하"],"data_source":"SYN-F03-06:D3@v1","goal":"별빛 채용행사 준비 행사 운영 발표자료 작성 위임","prior_task_action":"new","targets":["SYN-F03-06:D3@v1"]}</x:v>
      </x:c>
      <x:c r="E160" s="10" t="str">
        <x:v>{"conditions":["8장 이내","대상 기간 행사 2일","외부 발송 없음","참여기업 안내회용","현장 대기 20분 이하"],"data_source":"SYN-F03-06:D3@v1","goal":"별빛 채용행사 준비 행사 운영 발표자료 작성 위임","prior_task_action":"new","targets":["SYN-F03-06:D3@v1"]}</x:v>
      </x:c>
      <x:c r="F160" s="10" t="n">
        <x:f>IF(D160=E160,1,0)</x:f>
        <x:v>1</x:v>
      </x:c>
      <x:c r="G160" s="10" t="str">
        <x:v>필수 의미와 지칭 집합 일치</x:v>
      </x:c>
    </x:row>
    <x:row r="161" ht="145" customHeight="1">
      <x:c r="A161" s="10" t="str">
        <x:v>T-REL</x:v>
      </x:c>
      <x:c r="B161" s="10" t="str">
        <x:v>TEXT</x:v>
      </x:c>
      <x:c r="C161" s="10" t="str">
        <x:v>TEXT:SYN-F03-06-U02</x:v>
      </x:c>
      <x:c r="D161" s="10" t="str">
        <x:v>{"conditions":["4문장","기존 발표자료 작성 유지","일정 차이만"],"data_source":"SYN-F03-06:D3@v1; SYN-F03-06:D1@v1","goal":"서로 다른 업무 자료의 일정 차이 설명","prior_task_action":"keep","targets":["SYN-F03-06:D1@v1","SYN-F03-06:D3@v1"]}</x:v>
      </x:c>
      <x:c r="E161" s="10" t="str">
        <x:v>{"conditions":["4문장","기존 발표자료 작성 유지","일정 차이만"],"data_source":"SYN-F03-06:D3@v1; SYN-F03-06:D1@v1","goal":"서로 다른 업무 자료의 일정 차이 설명","prior_task_action":"keep","targets":["SYN-F03-06:D1@v1","SYN-F03-06:D3@v1"]}</x:v>
      </x:c>
      <x:c r="F161" s="10" t="n">
        <x:f>IF(D161=E161,1,0)</x:f>
        <x:v>1</x:v>
      </x:c>
      <x:c r="G161" s="10" t="str">
        <x:v>필수 의미와 지칭 집합 일치</x:v>
      </x:c>
    </x:row>
    <x:row r="162" ht="145" customHeight="1">
      <x:c r="A162" s="10" t="str">
        <x:v>T-BASE</x:v>
      </x:c>
      <x:c r="B162" s="10" t="str">
        <x:v>TEXT</x:v>
      </x:c>
      <x:c r="C162" s="10" t="str">
        <x:v>TEXT:SYN-F03-07-U01</x:v>
      </x:c>
      <x:c r="D162" s="10" t="str">
        <x:v>{"conditions":["6장 이내","납품처 품질설명회용","대상 기간 다음 8주","샘플 검사 45분 이하","외부 발송 없음"],"data_source":"SYN-F03-07:D2@v1","goal":"청솔 부품검사 개선 검사 개선 발표자료 작성 위임","prior_task_action":"new","targets":["SYN-F03-07:D2@v1"]}</x:v>
      </x:c>
      <x:c r="E162" s="10" t="str">
        <x:v>{"conditions":["6장 이내","납품처 품질설명회용","대상 기간 다음 8주","샘플 검사 45분 이하","외부 발송 없음"],"data_source":"SYN-F03-07:D2@v1","goal":"청솔 부품검사 개선 검사 개선 발표자료 작성 위임","prior_task_action":"new","targets":["SYN-F03-07:D2@v1"]}</x:v>
      </x:c>
      <x:c r="F162" s="10" t="n">
        <x:f>IF(D162=E162,1,0)</x:f>
        <x:v>1</x:v>
      </x:c>
      <x:c r="G162" s="10" t="str">
        <x:v>필수 의미와 지칭 집합 일치</x:v>
      </x:c>
    </x:row>
    <x:row r="163" ht="145" customHeight="1">
      <x:c r="A163" s="10" t="str">
        <x:v>T-BASE</x:v>
      </x:c>
      <x:c r="B163" s="10" t="str">
        <x:v>TEXT</x:v>
      </x:c>
      <x:c r="C163" s="10" t="str">
        <x:v>TEXT:SYN-F03-07-U02</x:v>
      </x:c>
      <x:c r="D163" s="10" t="str">
        <x:v>{"conditions":["3문장","기존 발표자료 작성 유지","일정 차이만"],"data_source":"SYN-F03-07:D2@v1; SYN-F03-07:D3@v1","goal":"서로 다른 업무 자료의 일정 차이 설명","prior_task_action":"keep","targets":["SYN-F03-07:D2@v1","SYN-F03-07:D3@v1"]}</x:v>
      </x:c>
      <x:c r="E163" s="10" t="str">
        <x:v>{"conditions":["3문장","기존 발표자료 작성 유지","일정 차이만"],"data_source":"SYN-F03-07:D2@v1; SYN-F03-07:D3@v1","goal":"서로 다른 업무 자료의 일정 차이 설명","prior_task_action":"keep","targets":["SYN-F03-07:D2@v1","SYN-F03-07:D3@v1"]}</x:v>
      </x:c>
      <x:c r="F163" s="10" t="n">
        <x:f>IF(D163=E163,1,0)</x:f>
        <x:v>1</x:v>
      </x:c>
      <x:c r="G163" s="10" t="str">
        <x:v>필수 의미와 지칭 집합 일치</x:v>
      </x:c>
    </x:row>
    <x:row r="164" ht="145" customHeight="1">
      <x:c r="A164" s="10" t="str">
        <x:v>T-EXEC</x:v>
      </x:c>
      <x:c r="B164" s="10" t="str">
        <x:v>TEXT</x:v>
      </x:c>
      <x:c r="C164" s="10" t="str">
        <x:v>TEXT:SYN-F03-07-U01</x:v>
      </x:c>
      <x:c r="D164" s="10" t="str">
        <x:v>{"conditions":["6장 이내","납품처 품질설명회용","대상 기간 다음 8주","샘플 검사 45분 이하","외부 발송 없음"],"data_source":"SYN-F03-07:D2@v1","goal":"청솔 부품검사 개선 검사 개선 발표자료 작성 위임","prior_task_action":"new","targets":["SYN-F03-07:D2@v1"]}</x:v>
      </x:c>
      <x:c r="E164" s="10" t="str">
        <x:v>{"conditions":["6장 이내","납품처 품질설명회용","대상 기간 다음 8주","샘플 검사 45분 이하","외부 발송 없음"],"data_source":"SYN-F03-07:D2@v1","goal":"청솔 부품검사 개선 검사 개선 발표자료 작성 위임","prior_task_action":"new","targets":["SYN-F03-07:D2@v1"]}</x:v>
      </x:c>
      <x:c r="F164" s="10" t="n">
        <x:f>IF(D164=E164,1,0)</x:f>
        <x:v>1</x:v>
      </x:c>
      <x:c r="G164" s="10" t="str">
        <x:v>필수 의미와 지칭 집합 일치</x:v>
      </x:c>
    </x:row>
    <x:row r="165" ht="145" customHeight="1">
      <x:c r="A165" s="10" t="str">
        <x:v>T-EXEC</x:v>
      </x:c>
      <x:c r="B165" s="10" t="str">
        <x:v>TEXT</x:v>
      </x:c>
      <x:c r="C165" s="10" t="str">
        <x:v>TEXT:SYN-F03-07-U02</x:v>
      </x:c>
      <x:c r="D165" s="10" t="str">
        <x:v>{"conditions":["3문장","기존 발표자료 작성 유지","일정 차이만"],"data_source":"SYN-F03-07:D2@v1; SYN-F03-07:D3@v1","goal":"서로 다른 업무 자료의 일정 차이 설명","prior_task_action":"keep","targets":["SYN-F03-07:D2@v1","SYN-F03-07:D3@v1"]}</x:v>
      </x:c>
      <x:c r="E165" s="10" t="str">
        <x:v>{"conditions":["3문장","기존 발표자료 작성 유지","일정 차이만"],"data_source":"SYN-F03-07:D2@v1; SYN-F03-07:D3@v1","goal":"서로 다른 업무 자료의 일정 차이 설명","prior_task_action":"keep","targets":["SYN-F03-07:D2@v1","SYN-F03-07:D3@v1"]}</x:v>
      </x:c>
      <x:c r="F165" s="10" t="n">
        <x:f>IF(D165=E165,1,0)</x:f>
        <x:v>1</x:v>
      </x:c>
      <x:c r="G165" s="10" t="str">
        <x:v>필수 의미와 지칭 집합 일치</x:v>
      </x:c>
    </x:row>
    <x:row r="166" ht="145" customHeight="1">
      <x:c r="A166" s="10" t="str">
        <x:v>T-REL</x:v>
      </x:c>
      <x:c r="B166" s="10" t="str">
        <x:v>TEXT</x:v>
      </x:c>
      <x:c r="C166" s="10" t="str">
        <x:v>TEXT:SYN-F03-07-U01</x:v>
      </x:c>
      <x:c r="D166" s="10" t="str">
        <x:v>{"conditions":["6장 이내","납품처 품질설명회용","대상 기간 다음 8주","샘플 검사 45분 이하","외부 발송 없음"],"data_source":"SYN-F03-07:D2@v1","goal":"청솔 부품검사 개선 검사 개선 발표자료 작성 위임","prior_task_action":"new","targets":["SYN-F03-07:D2@v1"]}</x:v>
      </x:c>
      <x:c r="E166" s="10" t="str">
        <x:v>{"conditions":["6장 이내","납품처 품질설명회용","대상 기간 다음 8주","샘플 검사 45분 이하","외부 발송 없음"],"data_source":"SYN-F03-07:D2@v1","goal":"청솔 부품검사 개선 검사 개선 발표자료 작성 위임","prior_task_action":"new","targets":["SYN-F03-07:D2@v1"]}</x:v>
      </x:c>
      <x:c r="F166" s="10" t="n">
        <x:f>IF(D166=E166,1,0)</x:f>
        <x:v>1</x:v>
      </x:c>
      <x:c r="G166" s="10" t="str">
        <x:v>필수 의미와 지칭 집합 일치</x:v>
      </x:c>
    </x:row>
    <x:row r="167" ht="145" customHeight="1">
      <x:c r="A167" s="10" t="str">
        <x:v>T-REL</x:v>
      </x:c>
      <x:c r="B167" s="10" t="str">
        <x:v>TEXT</x:v>
      </x:c>
      <x:c r="C167" s="10" t="str">
        <x:v>TEXT:SYN-F03-07-U02</x:v>
      </x:c>
      <x:c r="D167" s="10" t="str">
        <x:v>{"conditions":["3문장","기존 발표자료 작성 유지","일정 차이만"],"data_source":"SYN-F03-07:D2@v1; SYN-F03-07:D3@v1","goal":"서로 다른 업무 자료의 일정 차이 설명","prior_task_action":"keep","targets":["SYN-F03-07:D2@v1","SYN-F03-07:D3@v1"]}</x:v>
      </x:c>
      <x:c r="E167" s="10" t="str">
        <x:v>{"conditions":["3문장","기존 발표자료 작성 유지","일정 차이만"],"data_source":"SYN-F03-07:D2@v1; SYN-F03-07:D3@v1","goal":"서로 다른 업무 자료의 일정 차이 설명","prior_task_action":"keep","targets":["SYN-F03-07:D2@v1","SYN-F03-07:D3@v1"]}</x:v>
      </x:c>
      <x:c r="F167" s="10" t="n">
        <x:f>IF(D167=E167,1,0)</x:f>
        <x:v>1</x:v>
      </x:c>
      <x:c r="G167" s="10" t="str">
        <x:v>필수 의미와 지칭 집합 일치</x:v>
      </x:c>
    </x:row>
    <x:row r="168" ht="145" customHeight="1">
      <x:c r="A168" s="10" t="str">
        <x:v>T-BASE</x:v>
      </x:c>
      <x:c r="B168" s="10" t="str">
        <x:v>TEXT</x:v>
      </x:c>
      <x:c r="C168" s="10" t="str">
        <x:v>TEXT:SYN-F03-08-U01</x:v>
      </x:c>
      <x:c r="D168" s="10" t="str">
        <x:v>{"conditions":["4장 이내","대상 기간 운영 5주","안내문 500자 이하","외부 발송 없음","지역 파트너 설명회용"],"data_source":"SYN-F03-08:D1@v1","goal":"노을 서비스 캠페인 캠페인 계획 발표자료 작성 위임","prior_task_action":"new","targets":["SYN-F03-08:D1@v1"]}</x:v>
      </x:c>
      <x:c r="E168" s="10" t="str">
        <x:v>{"conditions":["4장 이내","대상 기간 운영 5주","안내문 500자 이하","외부 발송 없음","지역 파트너 설명회용"],"data_source":"SYN-F03-08:D1@v1","goal":"노을 서비스 캠페인 캠페인 계획 발표자료 작성 위임","prior_task_action":"new","targets":["SYN-F03-08:D1@v1"]}</x:v>
      </x:c>
      <x:c r="F168" s="10" t="n">
        <x:f>IF(D168=E168,1,0)</x:f>
        <x:v>1</x:v>
      </x:c>
      <x:c r="G168" s="10" t="str">
        <x:v>필수 의미와 지칭 집합 일치</x:v>
      </x:c>
    </x:row>
    <x:row r="169" ht="145" customHeight="1">
      <x:c r="A169" s="10" t="str">
        <x:v>T-BASE</x:v>
      </x:c>
      <x:c r="B169" s="10" t="str">
        <x:v>TEXT</x:v>
      </x:c>
      <x:c r="C169" s="10" t="str">
        <x:v>TEXT:SYN-F03-08-U02</x:v>
      </x:c>
      <x:c r="D169" s="10" t="str">
        <x:v>{"conditions":["2문장","기존 발표자료 작성 유지","일정 차이만"],"data_source":"SYN-F03-08:D1@v1; SYN-F03-08:D2@v1","goal":"서로 다른 업무 자료의 일정 차이 설명","prior_task_action":"keep","targets":["SYN-F03-08:D1@v1","SYN-F03-08:D2@v1"]}</x:v>
      </x:c>
      <x:c r="E169" s="10" t="str">
        <x:v>{"conditions":["2문장","기존 발표자료 작성 유지","일정 차이만"],"data_source":"SYN-F03-08:D1@v1; SYN-F03-08:D2@v1","goal":"서로 다른 업무 자료의 일정 차이 설명","prior_task_action":"keep","targets":["SYN-F03-08:D1@v1","SYN-F03-08:D2@v1"]}</x:v>
      </x:c>
      <x:c r="F169" s="10" t="n">
        <x:f>IF(D169=E169,1,0)</x:f>
        <x:v>1</x:v>
      </x:c>
      <x:c r="G169" s="10" t="str">
        <x:v>필수 의미와 지칭 집합 일치</x:v>
      </x:c>
    </x:row>
    <x:row r="170" ht="145" customHeight="1">
      <x:c r="A170" s="10" t="str">
        <x:v>T-EXEC</x:v>
      </x:c>
      <x:c r="B170" s="10" t="str">
        <x:v>TEXT</x:v>
      </x:c>
      <x:c r="C170" s="10" t="str">
        <x:v>TEXT:SYN-F03-08-U01</x:v>
      </x:c>
      <x:c r="D170" s="10" t="str">
        <x:v>{"conditions":["4장 이내","대상 기간 운영 5주","안내문 500자 이하","외부 발송 없음","지역 파트너 설명회용"],"data_source":"SYN-F03-08:D1@v1","goal":"노을 서비스 캠페인 캠페인 계획 발표자료 작성 위임","prior_task_action":"new","targets":["SYN-F03-08:D1@v1"]}</x:v>
      </x:c>
      <x:c r="E170" s="10" t="str">
        <x:v>{"conditions":["4장 이내","대상 기간 운영 5주","안내문 500자 이하","외부 발송 없음","지역 파트너 설명회용"],"data_source":"SYN-F03-08:D1@v1","goal":"노을 서비스 캠페인 캠페인 계획 발표자료 작성 위임","prior_task_action":"new","targets":["SYN-F03-08:D1@v1"]}</x:v>
      </x:c>
      <x:c r="F170" s="10" t="n">
        <x:f>IF(D170=E170,1,0)</x:f>
        <x:v>1</x:v>
      </x:c>
      <x:c r="G170" s="10" t="str">
        <x:v>필수 의미와 지칭 집합 일치</x:v>
      </x:c>
    </x:row>
    <x:row r="171" ht="145" customHeight="1">
      <x:c r="A171" s="10" t="str">
        <x:v>T-EXEC</x:v>
      </x:c>
      <x:c r="B171" s="10" t="str">
        <x:v>TEXT</x:v>
      </x:c>
      <x:c r="C171" s="10" t="str">
        <x:v>TEXT:SYN-F03-08-U02</x:v>
      </x:c>
      <x:c r="D171" s="10" t="str">
        <x:v>{"conditions":["2문장","기존 발표자료 작성 유지","일정 차이만"],"data_source":"SYN-F03-08:D1@v1; SYN-F03-08:D2@v1","goal":"서로 다른 업무 자료의 일정 차이 설명","prior_task_action":"keep","targets":["SYN-F03-08:D1@v1","SYN-F03-08:D2@v1"]}</x:v>
      </x:c>
      <x:c r="E171" s="10" t="str">
        <x:v>{"conditions":["2문장","기존 발표자료 작성 유지","일정 차이만"],"data_source":"SYN-F03-08:D1@v1; SYN-F03-08:D2@v1","goal":"서로 다른 업무 자료의 일정 차이 설명","prior_task_action":"keep","targets":["SYN-F03-08:D1@v1","SYN-F03-08:D2@v1"]}</x:v>
      </x:c>
      <x:c r="F171" s="10" t="n">
        <x:f>IF(D171=E171,1,0)</x:f>
        <x:v>1</x:v>
      </x:c>
      <x:c r="G171" s="10" t="str">
        <x:v>필수 의미와 지칭 집합 일치</x:v>
      </x:c>
    </x:row>
    <x:row r="172" ht="145" customHeight="1">
      <x:c r="A172" s="10" t="str">
        <x:v>T-REL</x:v>
      </x:c>
      <x:c r="B172" s="10" t="str">
        <x:v>TEXT</x:v>
      </x:c>
      <x:c r="C172" s="10" t="str">
        <x:v>TEXT:SYN-F03-08-U01</x:v>
      </x:c>
      <x:c r="D172" s="10" t="str">
        <x:v>{"conditions":["4장 이내","대상 기간 운영 5주","안내문 500자 이하","외부 발송 없음","지역 파트너 설명회용"],"data_source":"SYN-F03-08:D1@v1","goal":"노을 서비스 캠페인 캠페인 계획 발표자료 작성 위임","prior_task_action":"new","targets":["SYN-F03-08:D1@v1"]}</x:v>
      </x:c>
      <x:c r="E172" s="10" t="str">
        <x:v>{"conditions":["4장 이내","대상 기간 운영 5주","안내문 500자 이하","외부 발송 없음","지역 파트너 설명회용"],"data_source":"SYN-F03-08:D1@v1","goal":"노을 서비스 캠페인 캠페인 계획 발표자료 작성 위임","prior_task_action":"new","targets":["SYN-F03-08:D1@v1"]}</x:v>
      </x:c>
      <x:c r="F172" s="10" t="n">
        <x:f>IF(D172=E172,1,0)</x:f>
        <x:v>1</x:v>
      </x:c>
      <x:c r="G172" s="10" t="str">
        <x:v>필수 의미와 지칭 집합 일치</x:v>
      </x:c>
    </x:row>
    <x:row r="173" ht="145" customHeight="1">
      <x:c r="A173" s="10" t="str">
        <x:v>T-REL</x:v>
      </x:c>
      <x:c r="B173" s="10" t="str">
        <x:v>TEXT</x:v>
      </x:c>
      <x:c r="C173" s="10" t="str">
        <x:v>TEXT:SYN-F03-08-U02</x:v>
      </x:c>
      <x:c r="D173" s="10" t="str">
        <x:v>{"conditions":["2문장","기존 발표자료 작성 유지","일정 차이만"],"data_source":"SYN-F03-08:D1@v1; SYN-F03-08:D2@v1","goal":"서로 다른 업무 자료의 일정 차이 설명","prior_task_action":"keep","targets":["SYN-F03-08:D1@v1","SYN-F03-08:D2@v1"]}</x:v>
      </x:c>
      <x:c r="E173" s="10" t="str">
        <x:v>{"conditions":["2문장","기존 발표자료 작성 유지","일정 차이만"],"data_source":"SYN-F03-08:D1@v1; SYN-F03-08:D2@v1","goal":"서로 다른 업무 자료의 일정 차이 설명","prior_task_action":"keep","targets":["SYN-F03-08:D1@v1","SYN-F03-08:D2@v1"]}</x:v>
      </x:c>
      <x:c r="F173" s="10" t="n">
        <x:f>IF(D173=E173,1,0)</x:f>
        <x:v>1</x:v>
      </x:c>
      <x:c r="G173" s="10" t="str">
        <x:v>필수 의미와 지칭 집합 일치</x:v>
      </x:c>
    </x:row>
    <x:row r="174" ht="145" customHeight="1">
      <x:c r="A174" s="10" t="str">
        <x:v>T-BASE</x:v>
      </x:c>
      <x:c r="B174" s="10" t="str">
        <x:v>TEXT</x:v>
      </x:c>
      <x:c r="C174" s="10" t="str">
        <x:v>TEXT:SYN-F03-09-U01</x:v>
      </x:c>
      <x:c r="D174" s="10" t="str">
        <x:v>{"conditions":["7장 이내","대상 기간 적용 후 4주","배송 협력사 설명회용","외부 발송 없음","주문당 이동 180m 이하"],"data_source":"SYN-F03-09:D3@v1","goal":"파도 창고배치 변경 배치 변경 발표자료 작성 위임","prior_task_action":"new","targets":["SYN-F03-09:D3@v1"]}</x:v>
      </x:c>
      <x:c r="E174" s="10" t="str">
        <x:v>{"conditions":["7장 이내","대상 기간 적용 후 4주","배송 협력사 설명회용","외부 발송 없음","주문당 이동 180m 이하"],"data_source":"SYN-F03-09:D1@v1","goal":"파도 창고배치 변경 배치 변경 발표자료 작성 위임","prior_task_action":"new","targets":["SYN-F03-09:D1@v1"]}</x:v>
      </x:c>
      <x:c r="F174" s="10" t="n">
        <x:f>IF(D174=E174,1,0)</x:f>
        <x:v>0</x:v>
      </x:c>
      <x:c r="G174" s="10" t="str">
        <x:v>현재 입력과 원본의 대상 관계를 잘못 연결</x:v>
      </x:c>
    </x:row>
    <x:row r="175" ht="145" customHeight="1">
      <x:c r="A175" s="10" t="str">
        <x:v>T-BASE</x:v>
      </x:c>
      <x:c r="B175" s="10" t="str">
        <x:v>TEXT</x:v>
      </x:c>
      <x:c r="C175" s="10" t="str">
        <x:v>TEXT:SYN-F03-09-U02</x:v>
      </x:c>
      <x:c r="D175" s="10" t="str">
        <x:v>{"conditions":["4문장","기존 발표자료 작성 유지","일정 차이만"],"data_source":"SYN-F03-09:D3@v1; SYN-F03-09:D1@v1","goal":"서로 다른 업무 자료의 일정 차이 설명","prior_task_action":"keep","targets":["SYN-F03-09:D1@v1","SYN-F03-09:D3@v1"]}</x:v>
      </x:c>
      <x:c r="E175" s="10" t="str">
        <x:v>{"conditions":["4문장","기존 발표자료 작성 유지","일정 차이만"],"data_source":"SYN-F03-09:D3@v1; SYN-F03-09:D1@v1","goal":"서로 다른 업무 자료의 일정 차이 설명","prior_task_action":"keep","targets":["SYN-F03-09:D1@v1","SYN-F03-09:D3@v1"]}</x:v>
      </x:c>
      <x:c r="F175" s="10" t="n">
        <x:f>IF(D175=E175,1,0)</x:f>
        <x:v>1</x:v>
      </x:c>
      <x:c r="G175" s="10" t="str">
        <x:v>필수 의미와 지칭 집합 일치</x:v>
      </x:c>
    </x:row>
    <x:row r="176" ht="145" customHeight="1">
      <x:c r="A176" s="10" t="str">
        <x:v>T-EXEC</x:v>
      </x:c>
      <x:c r="B176" s="10" t="str">
        <x:v>TEXT</x:v>
      </x:c>
      <x:c r="C176" s="10" t="str">
        <x:v>TEXT:SYN-F03-09-U01</x:v>
      </x:c>
      <x:c r="D176" s="10" t="str">
        <x:v>{"conditions":["7장 이내","대상 기간 적용 후 4주","배송 협력사 설명회용","외부 발송 없음","주문당 이동 180m 이하"],"data_source":"SYN-F03-09:D3@v1","goal":"파도 창고배치 변경 배치 변경 발표자료 작성 위임","prior_task_action":"new","targets":["SYN-F03-09:D3@v1"]}</x:v>
      </x:c>
      <x:c r="E176" s="10" t="str">
        <x:v>{"conditions":["7장 이내","대상 기간 적용 후 4주","배송 협력사 설명회용","외부 발송 없음","주문당 이동 180m 이하"],"data_source":"SYN-F03-09:D1@v1","goal":"파도 창고배치 변경 배치 변경 발표자료 작성 위임","prior_task_action":"new","targets":["SYN-F03-09:D1@v1"]}</x:v>
      </x:c>
      <x:c r="F176" s="10" t="n">
        <x:f>IF(D176=E176,1,0)</x:f>
        <x:v>0</x:v>
      </x:c>
      <x:c r="G176" s="10" t="str">
        <x:v>현재 입력과 원본의 대상 관계를 잘못 연결</x:v>
      </x:c>
    </x:row>
    <x:row r="177" ht="145" customHeight="1">
      <x:c r="A177" s="10" t="str">
        <x:v>T-EXEC</x:v>
      </x:c>
      <x:c r="B177" s="10" t="str">
        <x:v>TEXT</x:v>
      </x:c>
      <x:c r="C177" s="10" t="str">
        <x:v>TEXT:SYN-F03-09-U02</x:v>
      </x:c>
      <x:c r="D177" s="10" t="str">
        <x:v>{"conditions":["4문장","기존 발표자료 작성 유지","일정 차이만"],"data_source":"SYN-F03-09:D3@v1; SYN-F03-09:D1@v1","goal":"서로 다른 업무 자료의 일정 차이 설명","prior_task_action":"keep","targets":["SYN-F03-09:D1@v1","SYN-F03-09:D3@v1"]}</x:v>
      </x:c>
      <x:c r="E177" s="10" t="str">
        <x:v>{"conditions":["4문장","기존 발표자료 작성 유지","일정 차이만"],"data_source":"SYN-F03-09:D3@v1; SYN-F03-09:D1@v1","goal":"서로 다른 업무 자료의 일정 차이 설명","prior_task_action":"keep","targets":["SYN-F03-09:D1@v1","SYN-F03-09:D3@v1"]}</x:v>
      </x:c>
      <x:c r="F177" s="10" t="n">
        <x:f>IF(D177=E177,1,0)</x:f>
        <x:v>1</x:v>
      </x:c>
      <x:c r="G177" s="10" t="str">
        <x:v>필수 의미와 지칭 집합 일치</x:v>
      </x:c>
    </x:row>
    <x:row r="178" ht="145" customHeight="1">
      <x:c r="A178" s="10" t="str">
        <x:v>T-REL</x:v>
      </x:c>
      <x:c r="B178" s="10" t="str">
        <x:v>TEXT</x:v>
      </x:c>
      <x:c r="C178" s="10" t="str">
        <x:v>TEXT:SYN-F03-09-U01</x:v>
      </x:c>
      <x:c r="D178" s="10" t="str">
        <x:v>{"conditions":["7장 이내","대상 기간 적용 후 4주","배송 협력사 설명회용","외부 발송 없음","주문당 이동 180m 이하"],"data_source":"SYN-F03-09:D3@v1","goal":"파도 창고배치 변경 배치 변경 발표자료 작성 위임","prior_task_action":"new","targets":["SYN-F03-09:D3@v1"]}</x:v>
      </x:c>
      <x:c r="E178" s="10" t="str">
        <x:v>{"conditions":["7장 이내","대상 기간 적용 후 4주","배송 협력사 설명회용","외부 발송 없음","주문당 이동 180m 이하"],"data_source":"SYN-F03-09:D1@v1","goal":"파도 창고배치 변경 배치 변경 발표자료 작성 위임","prior_task_action":"new","targets":["SYN-F03-09:D1@v1"]}</x:v>
      </x:c>
      <x:c r="F178" s="10" t="n">
        <x:f>IF(D178=E178,1,0)</x:f>
        <x:v>0</x:v>
      </x:c>
      <x:c r="G178" s="10" t="str">
        <x:v>게시 관계 또는 원본 보완에서 자료 판본을 잘못 연결</x:v>
      </x:c>
    </x:row>
    <x:row r="179" ht="145" customHeight="1">
      <x:c r="A179" s="10" t="str">
        <x:v>T-REL</x:v>
      </x:c>
      <x:c r="B179" s="10" t="str">
        <x:v>TEXT</x:v>
      </x:c>
      <x:c r="C179" s="10" t="str">
        <x:v>TEXT:SYN-F03-09-U02</x:v>
      </x:c>
      <x:c r="D179" s="10" t="str">
        <x:v>{"conditions":["4문장","기존 발표자료 작성 유지","일정 차이만"],"data_source":"SYN-F03-09:D3@v1; SYN-F03-09:D1@v1","goal":"서로 다른 업무 자료의 일정 차이 설명","prior_task_action":"keep","targets":["SYN-F03-09:D1@v1","SYN-F03-09:D3@v1"]}</x:v>
      </x:c>
      <x:c r="E179" s="10" t="str">
        <x:v>{"conditions":["4문장","기존 발표자료 작성 유지","일정 차이만"],"data_source":"SYN-F03-09:D3@v1; SYN-F03-09:D1@v1","goal":"서로 다른 업무 자료의 일정 차이 설명","prior_task_action":"keep","targets":["SYN-F03-09:D1@v1","SYN-F03-09:D3@v1"]}</x:v>
      </x:c>
      <x:c r="F179" s="10" t="n">
        <x:f>IF(D179=E179,1,0)</x:f>
        <x:v>1</x:v>
      </x:c>
      <x:c r="G179" s="10" t="str">
        <x:v>필수 의미와 지칭 집합 일치</x:v>
      </x:c>
    </x:row>
    <x:row r="180" ht="145" customHeight="1">
      <x:c r="A180" s="10" t="str">
        <x:v>T-BASE</x:v>
      </x:c>
      <x:c r="B180" s="10" t="str">
        <x:v>TEXT</x:v>
      </x:c>
      <x:c r="C180" s="10" t="str">
        <x:v>TEXT:SYN-F03-10-U01</x:v>
      </x:c>
      <x:c r="D180" s="10" t="str">
        <x:v>{"conditions":["5장 이내","대상 기간 출시 후 2개월","부서대표 설명회용","외부 발송 없음","첫 화면 메뉴 9개 이하"],"data_source":"SYN-F03-10:D2@v1","goal":"온유 사내포털 개편 포털 개선 발표자료 작성 위임","prior_task_action":"new","targets":["SYN-F03-10:D2@v1"]}</x:v>
      </x:c>
      <x:c r="E180" s="10" t="str">
        <x:v>{"conditions":["5장 이내","대상 기간 출시 후 2개월","부서대표 설명회용","외부 발송 없음","첫 화면 메뉴 9개 이하"],"data_source":"SYN-F03-10:D2@v1","goal":"온유 사내포털 개편 포털 개선 발표자료 작성 위임","prior_task_action":"new","targets":["SYN-F03-10:D2@v1"]}</x:v>
      </x:c>
      <x:c r="F180" s="10" t="n">
        <x:f>IF(D180=E180,1,0)</x:f>
        <x:v>1</x:v>
      </x:c>
      <x:c r="G180" s="10" t="str">
        <x:v>필수 의미와 지칭 집합 일치</x:v>
      </x:c>
    </x:row>
    <x:row r="181" ht="145" customHeight="1">
      <x:c r="A181" s="10" t="str">
        <x:v>T-BASE</x:v>
      </x:c>
      <x:c r="B181" s="10" t="str">
        <x:v>TEXT</x:v>
      </x:c>
      <x:c r="C181" s="10" t="str">
        <x:v>TEXT:SYN-F03-10-U02</x:v>
      </x:c>
      <x:c r="D181" s="10" t="str">
        <x:v>{"conditions":["3문장","기존 발표자료 작성 유지","일정 차이만"],"data_source":"SYN-F03-10:D2@v1; SYN-F03-10:D3@v1","goal":"서로 다른 업무 자료의 일정 차이 설명","prior_task_action":"keep","targets":["SYN-F03-10:D2@v1","SYN-F03-10:D3@v1"]}</x:v>
      </x:c>
      <x:c r="E181" s="10" t="str">
        <x:v>{"conditions":["3문장","기존 발표자료 작성 유지","일정 차이만"],"data_source":"SYN-F03-10:D2@v1; SYN-F03-10:D3@v1","goal":"서로 다른 업무 자료의 일정 차이 설명","prior_task_action":"keep","targets":["SYN-F03-10:D2@v1","SYN-F03-10:D3@v1"]}</x:v>
      </x:c>
      <x:c r="F181" s="10" t="n">
        <x:f>IF(D181=E181,1,0)</x:f>
        <x:v>1</x:v>
      </x:c>
      <x:c r="G181" s="10" t="str">
        <x:v>필수 의미와 지칭 집합 일치</x:v>
      </x:c>
    </x:row>
    <x:row r="182" ht="145" customHeight="1">
      <x:c r="A182" s="10" t="str">
        <x:v>T-EXEC</x:v>
      </x:c>
      <x:c r="B182" s="10" t="str">
        <x:v>TEXT</x:v>
      </x:c>
      <x:c r="C182" s="10" t="str">
        <x:v>TEXT:SYN-F03-10-U01</x:v>
      </x:c>
      <x:c r="D182" s="10" t="str">
        <x:v>{"conditions":["5장 이내","대상 기간 출시 후 2개월","부서대표 설명회용","외부 발송 없음","첫 화면 메뉴 9개 이하"],"data_source":"SYN-F03-10:D2@v1","goal":"온유 사내포털 개편 포털 개선 발표자료 작성 위임","prior_task_action":"new","targets":["SYN-F03-10:D2@v1"]}</x:v>
      </x:c>
      <x:c r="E182" s="10" t="str">
        <x:v>{"conditions":["5장 이내","대상 기간 출시 후 2개월","부서대표 설명회용","외부 발송 없음","첫 화면 메뉴 9개 이하"],"data_source":"SYN-F03-10:D2@v1","goal":"온유 사내포털 개편 포털 개선 발표자료 작성 위임","prior_task_action":"new","targets":["SYN-F03-10:D2@v1"]}</x:v>
      </x:c>
      <x:c r="F182" s="10" t="n">
        <x:f>IF(D182=E182,1,0)</x:f>
        <x:v>1</x:v>
      </x:c>
      <x:c r="G182" s="10" t="str">
        <x:v>필수 의미와 지칭 집합 일치</x:v>
      </x:c>
    </x:row>
    <x:row r="183" ht="145" customHeight="1">
      <x:c r="A183" s="10" t="str">
        <x:v>T-EXEC</x:v>
      </x:c>
      <x:c r="B183" s="10" t="str">
        <x:v>TEXT</x:v>
      </x:c>
      <x:c r="C183" s="10" t="str">
        <x:v>TEXT:SYN-F03-10-U02</x:v>
      </x:c>
      <x:c r="D183" s="10" t="str">
        <x:v>{"conditions":["3문장","기존 발표자료 작성 유지","일정 차이만"],"data_source":"SYN-F03-10:D2@v1; SYN-F03-10:D3@v1","goal":"서로 다른 업무 자료의 일정 차이 설명","prior_task_action":"keep","targets":["SYN-F03-10:D2@v1","SYN-F03-10:D3@v1"]}</x:v>
      </x:c>
      <x:c r="E183" s="10" t="str">
        <x:v>{"conditions":["3문장","기존 발표자료 작성 유지","일정 차이만"],"data_source":"SYN-F03-10:D2@v1; SYN-F03-10:D3@v1","goal":"서로 다른 업무 자료의 일정 차이 설명","prior_task_action":"keep","targets":["SYN-F03-10:D2@v1","SYN-F03-10:D3@v1"]}</x:v>
      </x:c>
      <x:c r="F183" s="10" t="n">
        <x:f>IF(D183=E183,1,0)</x:f>
        <x:v>1</x:v>
      </x:c>
      <x:c r="G183" s="10" t="str">
        <x:v>필수 의미와 지칭 집합 일치</x:v>
      </x:c>
    </x:row>
    <x:row r="184" ht="145" customHeight="1">
      <x:c r="A184" s="10" t="str">
        <x:v>T-REL</x:v>
      </x:c>
      <x:c r="B184" s="10" t="str">
        <x:v>TEXT</x:v>
      </x:c>
      <x:c r="C184" s="10" t="str">
        <x:v>TEXT:SYN-F03-10-U01</x:v>
      </x:c>
      <x:c r="D184" s="10" t="str">
        <x:v>{"conditions":["5장 이내","대상 기간 출시 후 2개월","부서대표 설명회용","외부 발송 없음","첫 화면 메뉴 9개 이하"],"data_source":"SYN-F03-10:D2@v1","goal":"온유 사내포털 개편 포털 개선 발표자료 작성 위임","prior_task_action":"new","targets":["SYN-F03-10:D2@v1"]}</x:v>
      </x:c>
      <x:c r="E184" s="10" t="str">
        <x:v>{"conditions":["5장 이내","대상 기간 출시 후 2개월","부서대표 설명회용","외부 발송 없음","첫 화면 메뉴 9개 이하"],"data_source":"SYN-F03-10:D2@v1","goal":"온유 사내포털 개편 포털 개선 발표자료 작성 위임","prior_task_action":"new","targets":["SYN-F03-10:D2@v1"]}</x:v>
      </x:c>
      <x:c r="F184" s="10" t="n">
        <x:f>IF(D184=E184,1,0)</x:f>
        <x:v>1</x:v>
      </x:c>
      <x:c r="G184" s="10" t="str">
        <x:v>필수 의미와 지칭 집합 일치</x:v>
      </x:c>
    </x:row>
    <x:row r="185" ht="145" customHeight="1">
      <x:c r="A185" s="10" t="str">
        <x:v>T-REL</x:v>
      </x:c>
      <x:c r="B185" s="10" t="str">
        <x:v>TEXT</x:v>
      </x:c>
      <x:c r="C185" s="10" t="str">
        <x:v>TEXT:SYN-F03-10-U02</x:v>
      </x:c>
      <x:c r="D185" s="10" t="str">
        <x:v>{"conditions":["3문장","기존 발표자료 작성 유지","일정 차이만"],"data_source":"SYN-F03-10:D2@v1; SYN-F03-10:D3@v1","goal":"서로 다른 업무 자료의 일정 차이 설명","prior_task_action":"keep","targets":["SYN-F03-10:D2@v1","SYN-F03-10:D3@v1"]}</x:v>
      </x:c>
      <x:c r="E185" s="10" t="str">
        <x:v>{"conditions":["3문장","기존 발표자료 작성 유지","일정 차이만"],"data_source":"SYN-F03-10:D2@v1; SYN-F03-10:D3@v1","goal":"서로 다른 업무 자료의 일정 차이 설명","prior_task_action":"keep","targets":["SYN-F03-10:D2@v1","SYN-F03-10:D3@v1"]}</x:v>
      </x:c>
      <x:c r="F185" s="10" t="n">
        <x:f>IF(D185=E185,1,0)</x:f>
        <x:v>1</x:v>
      </x:c>
      <x:c r="G185" s="10" t="str">
        <x:v>필수 의미와 지칭 집합 일치</x:v>
      </x:c>
    </x:row>
    <x:row r="186" ht="145" customHeight="1">
      <x:c r="A186" s="10" t="str">
        <x:v>T-BASE</x:v>
      </x:c>
      <x:c r="B186" s="10" t="str">
        <x:v>TEXT</x:v>
      </x:c>
      <x:c r="C186" s="10" t="str">
        <x:v>TEXT:SYN-F04-01-U01</x:v>
      </x:c>
      <x:c r="D186" s="10" t="str">
        <x:v>{"conditions":["5장 이내","대상 기간 첫 12개월","서비스 운영위원회용","외부 발송 없음","월 운영비 240만원 이하","평가 당시 v1 유지"],"data_source":"SYN-F04-01:D2@v1","goal":"오로라 고객센터 전환 전환 검토 발표자료 작성 위임","prior_task_action":"new","targets":["SYN-F04-01:D2@v1"]}</x:v>
      </x:c>
      <x:c r="E186" s="10" t="str">
        <x:v>{"conditions":["5장 이내","대상 기간 첫 12개월","서비스 운영위원회용","외부 발송 없음","월 운영비 240만원 이하","평가 당시 v1 유지"],"data_source":"SYN-F04-01:D2@v1","goal":"오로라 고객센터 전환 전환 검토 발표자료 작성 위임","prior_task_action":"new","targets":["SYN-F04-01:D2@v1"]}</x:v>
      </x:c>
      <x:c r="F186" s="10" t="n">
        <x:f>IF(D186=E186,1,0)</x:f>
        <x:v>1</x:v>
      </x:c>
      <x:c r="G186" s="10" t="str">
        <x:v>필수 의미와 지칭 집합 일치</x:v>
      </x:c>
    </x:row>
    <x:row r="187" ht="145" customHeight="1">
      <x:c r="A187" s="10" t="str">
        <x:v>T-BASE</x:v>
      </x:c>
      <x:c r="B187" s="10" t="str">
        <x:v>TEXT</x:v>
      </x:c>
      <x:c r="C187" s="10" t="str">
        <x:v>TEXT:SYN-F04-01-U02</x:v>
      </x:c>
      <x:c r="D187" s="10" t="str">
        <x:v>{"conditions":["기존 발표자료는 v1 유지","월 운영비 변경 확인","책임자 확인 항목 확인"],"data_source":"SYN-F04-01:D2@v2","goal":"동일 자료 최신 판본의 변경사항 별도 조회","prior_task_action":"keep","targets":["SYN-F04-01:D2@v2"]}</x:v>
      </x:c>
      <x:c r="E187" s="10" t="str">
        <x:v>{"conditions":["기존 발표자료는 v1 유지","월 운영비 변경 확인","책임자 확인 항목 확인"],"data_source":"SYN-F04-01:D2@v2","goal":"동일 자료 최신 판본의 변경사항 별도 조회","prior_task_action":"keep","targets":["SYN-F04-01:D2@v2"]}</x:v>
      </x:c>
      <x:c r="F187" s="10" t="n">
        <x:f>IF(D187=E187,1,0)</x:f>
        <x:v>1</x:v>
      </x:c>
      <x:c r="G187" s="10" t="str">
        <x:v>필수 의미와 지칭 집합 일치</x:v>
      </x:c>
    </x:row>
    <x:row r="188" ht="145" customHeight="1">
      <x:c r="A188" s="10" t="str">
        <x:v>T-EXEC</x:v>
      </x:c>
      <x:c r="B188" s="10" t="str">
        <x:v>TEXT</x:v>
      </x:c>
      <x:c r="C188" s="10" t="str">
        <x:v>TEXT:SYN-F04-01-U01</x:v>
      </x:c>
      <x:c r="D188" s="10" t="str">
        <x:v>{"conditions":["5장 이내","대상 기간 첫 12개월","서비스 운영위원회용","외부 발송 없음","월 운영비 240만원 이하","평가 당시 v1 유지"],"data_source":"SYN-F04-01:D2@v1","goal":"오로라 고객센터 전환 전환 검토 발표자료 작성 위임","prior_task_action":"new","targets":["SYN-F04-01:D2@v1"]}</x:v>
      </x:c>
      <x:c r="E188" s="10" t="str">
        <x:v>{"conditions":["5장 이내","대상 기간 첫 12개월","서비스 운영위원회용","외부 발송 없음","월 운영비 240만원 이하","평가 당시 v1 유지"],"data_source":"SYN-F04-01:D2@v1","goal":"오로라 고객센터 전환 전환 검토 발표자료 작성 위임","prior_task_action":"new","targets":["SYN-F04-01:D2@v1"]}</x:v>
      </x:c>
      <x:c r="F188" s="10" t="n">
        <x:f>IF(D188=E188,1,0)</x:f>
        <x:v>1</x:v>
      </x:c>
      <x:c r="G188" s="10" t="str">
        <x:v>필수 의미와 지칭 집합 일치</x:v>
      </x:c>
    </x:row>
    <x:row r="189" ht="145" customHeight="1">
      <x:c r="A189" s="10" t="str">
        <x:v>T-EXEC</x:v>
      </x:c>
      <x:c r="B189" s="10" t="str">
        <x:v>TEXT</x:v>
      </x:c>
      <x:c r="C189" s="10" t="str">
        <x:v>TEXT:SYN-F04-01-U02</x:v>
      </x:c>
      <x:c r="D189" s="10" t="str">
        <x:v>{"conditions":["기존 발표자료는 v1 유지","월 운영비 변경 확인","책임자 확인 항목 확인"],"data_source":"SYN-F04-01:D2@v2","goal":"동일 자료 최신 판본의 변경사항 별도 조회","prior_task_action":"keep","targets":["SYN-F04-01:D2@v2"]}</x:v>
      </x:c>
      <x:c r="E189" s="10" t="str">
        <x:v>{"conditions":["기존 발표자료는 v1 유지","월 운영비 변경 확인","책임자 확인 항목 확인"],"data_source":"SYN-F04-01:D2@v2","goal":"동일 자료 최신 판본의 변경사항 별도 조회","prior_task_action":"keep","targets":["SYN-F04-01:D2@v2"]}</x:v>
      </x:c>
      <x:c r="F189" s="10" t="n">
        <x:f>IF(D189=E189,1,0)</x:f>
        <x:v>1</x:v>
      </x:c>
      <x:c r="G189" s="10" t="str">
        <x:v>필수 의미와 지칭 집합 일치</x:v>
      </x:c>
    </x:row>
    <x:row r="190" ht="145" customHeight="1">
      <x:c r="A190" s="10" t="str">
        <x:v>T-REL</x:v>
      </x:c>
      <x:c r="B190" s="10" t="str">
        <x:v>TEXT</x:v>
      </x:c>
      <x:c r="C190" s="10" t="str">
        <x:v>TEXT:SYN-F04-01-U01</x:v>
      </x:c>
      <x:c r="D190" s="10" t="str">
        <x:v>{"conditions":["5장 이내","대상 기간 첫 12개월","서비스 운영위원회용","외부 발송 없음","월 운영비 240만원 이하","평가 당시 v1 유지"],"data_source":"SYN-F04-01:D2@v1","goal":"오로라 고객센터 전환 전환 검토 발표자료 작성 위임","prior_task_action":"new","targets":["SYN-F04-01:D2@v1"]}</x:v>
      </x:c>
      <x:c r="E190" s="10" t="str">
        <x:v>{"conditions":["5장 이내","대상 기간 첫 12개월","서비스 운영위원회용","외부 발송 없음","월 운영비 240만원 이하","평가 당시 v1 유지"],"data_source":"SYN-F04-01:D2@v1","goal":"오로라 고객센터 전환 전환 검토 발표자료 작성 위임","prior_task_action":"new","targets":["SYN-F04-01:D2@v1"]}</x:v>
      </x:c>
      <x:c r="F190" s="10" t="n">
        <x:f>IF(D190=E190,1,0)</x:f>
        <x:v>1</x:v>
      </x:c>
      <x:c r="G190" s="10" t="str">
        <x:v>필수 의미와 지칭 집합 일치</x:v>
      </x:c>
    </x:row>
    <x:row r="191" ht="145" customHeight="1">
      <x:c r="A191" s="10" t="str">
        <x:v>T-REL</x:v>
      </x:c>
      <x:c r="B191" s="10" t="str">
        <x:v>TEXT</x:v>
      </x:c>
      <x:c r="C191" s="10" t="str">
        <x:v>TEXT:SYN-F04-01-U02</x:v>
      </x:c>
      <x:c r="D191" s="10" t="str">
        <x:v>{"conditions":["기존 발표자료는 v1 유지","월 운영비 변경 확인","책임자 확인 항목 확인"],"data_source":"SYN-F04-01:D2@v2","goal":"동일 자료 최신 판본의 변경사항 별도 조회","prior_task_action":"keep","targets":["SYN-F04-01:D2@v2"]}</x:v>
      </x:c>
      <x:c r="E191" s="10" t="str">
        <x:v>{"conditions":["기존 발표자료는 v1 유지","월 운영비 변경 확인","책임자 확인 항목 확인"],"data_source":"SYN-F04-01:D2@v2","goal":"동일 자료 최신 판본의 변경사항 별도 조회","prior_task_action":"keep","targets":["SYN-F04-01:D2@v2"]}</x:v>
      </x:c>
      <x:c r="F191" s="10" t="n">
        <x:f>IF(D191=E191,1,0)</x:f>
        <x:v>1</x:v>
      </x:c>
      <x:c r="G191" s="10" t="str">
        <x:v>필수 의미와 지칭 집합 일치</x:v>
      </x:c>
    </x:row>
    <x:row r="192" ht="145" customHeight="1">
      <x:c r="A192" s="10" t="str">
        <x:v>T-BASE</x:v>
      </x:c>
      <x:c r="B192" s="10" t="str">
        <x:v>TEXT</x:v>
      </x:c>
      <x:c r="C192" s="10" t="str">
        <x:v>TEXT:SYN-F04-02-U01</x:v>
      </x:c>
      <x:c r="D192" s="10" t="str">
        <x:v>{"conditions":["4장 이내","대상 기간 전시 4주","외부 발송 없음","주말 운영 인력 12명 이하","참가업체 설명회용","평가 당시 v1 유지"],"data_source":"SYN-F04-02:D1@v1","goal":"봄길 지역전시 준비 운영 제안 발표자료 작성 위임","prior_task_action":"new","targets":["SYN-F04-02:D1@v1"]}</x:v>
      </x:c>
      <x:c r="E192" s="10" t="str">
        <x:v>{"conditions":["4장 이내","대상 기간 전시 4주","외부 발송 없음","주말 운영 인력 12명 이하","참가업체 설명회용","평가 당시 v1 유지"],"data_source":"SYN-F04-02:D1@v1","goal":"봄길 지역전시 준비 운영 제안 발표자료 작성 위임","prior_task_action":"new","targets":["SYN-F04-02:D1@v1"]}</x:v>
      </x:c>
      <x:c r="F192" s="10" t="n">
        <x:f>IF(D192=E192,1,0)</x:f>
        <x:v>1</x:v>
      </x:c>
      <x:c r="G192" s="10" t="str">
        <x:v>필수 의미와 지칭 집합 일치</x:v>
      </x:c>
    </x:row>
    <x:row r="193" ht="145" customHeight="1">
      <x:c r="A193" s="10" t="str">
        <x:v>T-BASE</x:v>
      </x:c>
      <x:c r="B193" s="10" t="str">
        <x:v>TEXT</x:v>
      </x:c>
      <x:c r="C193" s="10" t="str">
        <x:v>TEXT:SYN-F04-02-U02</x:v>
      </x:c>
      <x:c r="D193" s="10" t="str">
        <x:v>{"conditions":["기존 발표자료는 v1 유지","주간 운영비 변경 확인","책임자 확인 항목 확인"],"data_source":"SYN-F04-02:D1@v2","goal":"동일 자료 최신 판본의 변경사항 별도 조회","prior_task_action":"keep","targets":["SYN-F04-02:D1@v2"]}</x:v>
      </x:c>
      <x:c r="E193" s="10" t="str">
        <x:v>{"conditions":["기존 발표자료는 v1 유지","주간 운영비 변경 확인","책임자 확인 항목 확인"],"data_source":"SYN-F04-02:D1@v2","goal":"동일 자료 최신 판본의 변경사항 별도 조회","prior_task_action":"keep","targets":["SYN-F04-02:D1@v2"]}</x:v>
      </x:c>
      <x:c r="F193" s="10" t="n">
        <x:f>IF(D193=E193,1,0)</x:f>
        <x:v>1</x:v>
      </x:c>
      <x:c r="G193" s="10" t="str">
        <x:v>필수 의미와 지칭 집합 일치</x:v>
      </x:c>
    </x:row>
    <x:row r="194" ht="145" customHeight="1">
      <x:c r="A194" s="10" t="str">
        <x:v>T-EXEC</x:v>
      </x:c>
      <x:c r="B194" s="10" t="str">
        <x:v>TEXT</x:v>
      </x:c>
      <x:c r="C194" s="10" t="str">
        <x:v>TEXT:SYN-F04-02-U01</x:v>
      </x:c>
      <x:c r="D194" s="10" t="str">
        <x:v>{"conditions":["4장 이내","대상 기간 전시 4주","외부 발송 없음","주말 운영 인력 12명 이하","참가업체 설명회용","평가 당시 v1 유지"],"data_source":"SYN-F04-02:D1@v1","goal":"봄길 지역전시 준비 운영 제안 발표자료 작성 위임","prior_task_action":"new","targets":["SYN-F04-02:D1@v1"]}</x:v>
      </x:c>
      <x:c r="E194" s="10" t="str">
        <x:v>{"conditions":["4장 이내","대상 기간 전시 4주","외부 발송 없음","주말 운영 인력 12명 이하","참가업체 설명회용","평가 당시 v1 유지"],"data_source":"SYN-F04-02:D1@v1","goal":"봄길 지역전시 준비 운영 제안 발표자료 작성 위임","prior_task_action":"new","targets":["SYN-F04-02:D1@v1"]}</x:v>
      </x:c>
      <x:c r="F194" s="10" t="n">
        <x:f>IF(D194=E194,1,0)</x:f>
        <x:v>1</x:v>
      </x:c>
      <x:c r="G194" s="10" t="str">
        <x:v>필수 의미와 지칭 집합 일치</x:v>
      </x:c>
    </x:row>
    <x:row r="195" ht="145" customHeight="1">
      <x:c r="A195" s="10" t="str">
        <x:v>T-EXEC</x:v>
      </x:c>
      <x:c r="B195" s="10" t="str">
        <x:v>TEXT</x:v>
      </x:c>
      <x:c r="C195" s="10" t="str">
        <x:v>TEXT:SYN-F04-02-U02</x:v>
      </x:c>
      <x:c r="D195" s="10" t="str">
        <x:v>{"conditions":["기존 발표자료는 v1 유지","주간 운영비 변경 확인","책임자 확인 항목 확인"],"data_source":"SYN-F04-02:D1@v2","goal":"동일 자료 최신 판본의 변경사항 별도 조회","prior_task_action":"keep","targets":["SYN-F04-02:D1@v2"]}</x:v>
      </x:c>
      <x:c r="E195" s="10" t="str">
        <x:v>{"conditions":["기존 발표자료는 v1 유지","주간 운영비 변경 확인","책임자 확인 항목 확인"],"data_source":"SYN-F04-02:D1@v2","goal":"동일 자료 최신 판본의 변경사항 별도 조회","prior_task_action":"keep","targets":["SYN-F04-02:D1@v2"]}</x:v>
      </x:c>
      <x:c r="F195" s="10" t="n">
        <x:f>IF(D195=E195,1,0)</x:f>
        <x:v>1</x:v>
      </x:c>
      <x:c r="G195" s="10" t="str">
        <x:v>필수 의미와 지칭 집합 일치</x:v>
      </x:c>
    </x:row>
    <x:row r="196" ht="145" customHeight="1">
      <x:c r="A196" s="10" t="str">
        <x:v>T-REL</x:v>
      </x:c>
      <x:c r="B196" s="10" t="str">
        <x:v>TEXT</x:v>
      </x:c>
      <x:c r="C196" s="10" t="str">
        <x:v>TEXT:SYN-F04-02-U01</x:v>
      </x:c>
      <x:c r="D196" s="10" t="str">
        <x:v>{"conditions":["4장 이내","대상 기간 전시 4주","외부 발송 없음","주말 운영 인력 12명 이하","참가업체 설명회용","평가 당시 v1 유지"],"data_source":"SYN-F04-02:D1@v1","goal":"봄길 지역전시 준비 운영 제안 발표자료 작성 위임","prior_task_action":"new","targets":["SYN-F04-02:D1@v1"]}</x:v>
      </x:c>
      <x:c r="E196" s="10" t="str">
        <x:v>{"conditions":["4장 이내","대상 기간 전시 4주","외부 발송 없음","주말 운영 인력 12명 이하","참가업체 설명회용","평가 당시 v1 유지"],"data_source":"SYN-F04-02:D1@v1","goal":"봄길 지역전시 준비 운영 제안 발표자료 작성 위임","prior_task_action":"new","targets":["SYN-F04-02:D1@v1"]}</x:v>
      </x:c>
      <x:c r="F196" s="10" t="n">
        <x:f>IF(D196=E196,1,0)</x:f>
        <x:v>1</x:v>
      </x:c>
      <x:c r="G196" s="10" t="str">
        <x:v>필수 의미와 지칭 집합 일치</x:v>
      </x:c>
    </x:row>
    <x:row r="197" ht="145" customHeight="1">
      <x:c r="A197" s="10" t="str">
        <x:v>T-REL</x:v>
      </x:c>
      <x:c r="B197" s="10" t="str">
        <x:v>TEXT</x:v>
      </x:c>
      <x:c r="C197" s="10" t="str">
        <x:v>TEXT:SYN-F04-02-U02</x:v>
      </x:c>
      <x:c r="D197" s="10" t="str">
        <x:v>{"conditions":["기존 발표자료는 v1 유지","주간 운영비 변경 확인","책임자 확인 항목 확인"],"data_source":"SYN-F04-02:D1@v2","goal":"동일 자료 최신 판본의 변경사항 별도 조회","prior_task_action":"keep","targets":["SYN-F04-02:D1@v2"]}</x:v>
      </x:c>
      <x:c r="E197" s="10" t="str">
        <x:v>{"conditions":["기존 발표자료는 v1 유지","주간 운영비 변경 확인","책임자 확인 항목 확인"],"data_source":"SYN-F04-02:D1@v2","goal":"동일 자료 최신 판본의 변경사항 별도 조회","prior_task_action":"keep","targets":["SYN-F04-02:D1@v2"]}</x:v>
      </x:c>
      <x:c r="F197" s="10" t="n">
        <x:f>IF(D197=E197,1,0)</x:f>
        <x:v>1</x:v>
      </x:c>
      <x:c r="G197" s="10" t="str">
        <x:v>필수 의미와 지칭 집합 일치</x:v>
      </x:c>
    </x:row>
    <x:row r="198" ht="145" customHeight="1">
      <x:c r="A198" s="10" t="str">
        <x:v>T-BASE</x:v>
      </x:c>
      <x:c r="B198" s="10" t="str">
        <x:v>TEXT</x:v>
      </x:c>
      <x:c r="C198" s="10" t="str">
        <x:v>TEXT:SYN-F04-03-U01</x:v>
      </x:c>
      <x:c r="D198" s="10" t="str">
        <x:v>{"conditions":["6장 이내","교육 승인위원회용","대상 기간 입사 후 3주","외부 발송 없음","참가자당 교육시간 18시간 이하","평가 당시 v1 유지"],"data_source":"SYN-F04-03:D3@v1","goal":"해온 신입교육 개편 교육 개편 발표자료 작성 위임","prior_task_action":"new","targets":["SYN-F04-03:D3@v1"]}</x:v>
      </x:c>
      <x:c r="E198" s="10" t="str">
        <x:v>{"conditions":["6장 이내","교육 승인위원회용","대상 기간 입사 후 3주","외부 발송 없음","참가자당 교육시간 18시간 이하","평가 당시 v1 유지"],"data_source":"SYN-F04-03:D3@v1","goal":"해온 신입교육 개편 교육 개편 발표자료 작성 위임","prior_task_action":"new","targets":["SYN-F04-03:D3@v1"]}</x:v>
      </x:c>
      <x:c r="F198" s="10" t="n">
        <x:f>IF(D198=E198,1,0)</x:f>
        <x:v>1</x:v>
      </x:c>
      <x:c r="G198" s="10" t="str">
        <x:v>필수 의미와 지칭 집합 일치</x:v>
      </x:c>
    </x:row>
    <x:row r="199" ht="145" customHeight="1">
      <x:c r="A199" s="10" t="str">
        <x:v>T-BASE</x:v>
      </x:c>
      <x:c r="B199" s="10" t="str">
        <x:v>TEXT</x:v>
      </x:c>
      <x:c r="C199" s="10" t="str">
        <x:v>TEXT:SYN-F04-03-U02</x:v>
      </x:c>
      <x:c r="D199" s="10" t="str">
        <x:v>{"conditions":["기존 발표자료는 v1 유지","인당 운영비 변경 확인","책임자 확인 항목 확인"],"data_source":"SYN-F04-03:D3@v2","goal":"동일 자료 최신 판본의 변경사항 별도 조회","prior_task_action":"keep","targets":["SYN-F04-03:D3@v2"]}</x:v>
      </x:c>
      <x:c r="E199" s="10" t="str">
        <x:v>{"conditions":["기존 발표자료는 v1 유지","인당 운영비 변경 확인","책임자 확인 항목 확인"],"data_source":"SYN-F04-03:D3@v2","goal":"동일 자료 최신 판본의 변경사항 별도 조회","prior_task_action":"keep","targets":["SYN-F04-03:D3@v2"]}</x:v>
      </x:c>
      <x:c r="F199" s="10" t="n">
        <x:f>IF(D199=E199,1,0)</x:f>
        <x:v>1</x:v>
      </x:c>
      <x:c r="G199" s="10" t="str">
        <x:v>필수 의미와 지칭 집합 일치</x:v>
      </x:c>
    </x:row>
    <x:row r="200" ht="145" customHeight="1">
      <x:c r="A200" s="10" t="str">
        <x:v>T-EXEC</x:v>
      </x:c>
      <x:c r="B200" s="10" t="str">
        <x:v>TEXT</x:v>
      </x:c>
      <x:c r="C200" s="10" t="str">
        <x:v>TEXT:SYN-F04-03-U01</x:v>
      </x:c>
      <x:c r="D200" s="10" t="str">
        <x:v>{"conditions":["6장 이내","교육 승인위원회용","대상 기간 입사 후 3주","외부 발송 없음","참가자당 교육시간 18시간 이하","평가 당시 v1 유지"],"data_source":"SYN-F04-03:D3@v1","goal":"해온 신입교육 개편 교육 개편 발표자료 작성 위임","prior_task_action":"new","targets":["SYN-F04-03:D3@v1"]}</x:v>
      </x:c>
      <x:c r="E200" s="10" t="str">
        <x:v>{"conditions":["6장 이내","교육 승인위원회용","대상 기간 입사 후 3주","외부 발송 없음","참가자당 교육시간 18시간 이하","평가 당시 v1 유지"],"data_source":"SYN-F04-03:D3@v1","goal":"해온 신입교육 개편 교육 개편 발표자료 작성 위임","prior_task_action":"new","targets":["SYN-F04-03:D3@v1"]}</x:v>
      </x:c>
      <x:c r="F200" s="10" t="n">
        <x:f>IF(D200=E200,1,0)</x:f>
        <x:v>1</x:v>
      </x:c>
      <x:c r="G200" s="10" t="str">
        <x:v>필수 의미와 지칭 집합 일치</x:v>
      </x:c>
    </x:row>
    <x:row r="201" ht="145" customHeight="1">
      <x:c r="A201" s="10" t="str">
        <x:v>T-EXEC</x:v>
      </x:c>
      <x:c r="B201" s="10" t="str">
        <x:v>TEXT</x:v>
      </x:c>
      <x:c r="C201" s="10" t="str">
        <x:v>TEXT:SYN-F04-03-U02</x:v>
      </x:c>
      <x:c r="D201" s="10" t="str">
        <x:v>{"conditions":["기존 발표자료는 v1 유지","인당 운영비 변경 확인","책임자 확인 항목 확인"],"data_source":"SYN-F04-03:D3@v2","goal":"동일 자료 최신 판본의 변경사항 별도 조회","prior_task_action":"keep","targets":["SYN-F04-03:D3@v2"]}</x:v>
      </x:c>
      <x:c r="E201" s="10" t="str">
        <x:v>{"conditions":["기존 발표자료는 v1 유지","인당 운영비 변경 확인","책임자 확인 항목 확인"],"data_source":"SYN-F04-03:D3@v2","goal":"동일 자료 최신 판본의 변경사항 별도 조회","prior_task_action":"keep","targets":["SYN-F04-03:D3@v2"]}</x:v>
      </x:c>
      <x:c r="F201" s="10" t="n">
        <x:f>IF(D201=E201,1,0)</x:f>
        <x:v>1</x:v>
      </x:c>
      <x:c r="G201" s="10" t="str">
        <x:v>필수 의미와 지칭 집합 일치</x:v>
      </x:c>
    </x:row>
    <x:row r="202" ht="145" customHeight="1">
      <x:c r="A202" s="10" t="str">
        <x:v>T-REL</x:v>
      </x:c>
      <x:c r="B202" s="10" t="str">
        <x:v>TEXT</x:v>
      </x:c>
      <x:c r="C202" s="10" t="str">
        <x:v>TEXT:SYN-F04-03-U01</x:v>
      </x:c>
      <x:c r="D202" s="10" t="str">
        <x:v>{"conditions":["6장 이내","교육 승인위원회용","대상 기간 입사 후 3주","외부 발송 없음","참가자당 교육시간 18시간 이하","평가 당시 v1 유지"],"data_source":"SYN-F04-03:D3@v1","goal":"해온 신입교육 개편 교육 개편 발표자료 작성 위임","prior_task_action":"new","targets":["SYN-F04-03:D3@v1"]}</x:v>
      </x:c>
      <x:c r="E202" s="10" t="str">
        <x:v>{"conditions":["6장 이내","교육 승인위원회용","대상 기간 입사 후 3주","외부 발송 없음","참가자당 교육시간 18시간 이하","평가 당시 v1 유지"],"data_source":"SYN-F04-03:D3@v1","goal":"해온 신입교육 개편 교육 개편 발표자료 작성 위임","prior_task_action":"new","targets":["SYN-F04-03:D3@v1"]}</x:v>
      </x:c>
      <x:c r="F202" s="10" t="n">
        <x:f>IF(D202=E202,1,0)</x:f>
        <x:v>1</x:v>
      </x:c>
      <x:c r="G202" s="10" t="str">
        <x:v>필수 의미와 지칭 집합 일치</x:v>
      </x:c>
    </x:row>
    <x:row r="203" ht="145" customHeight="1">
      <x:c r="A203" s="10" t="str">
        <x:v>T-REL</x:v>
      </x:c>
      <x:c r="B203" s="10" t="str">
        <x:v>TEXT</x:v>
      </x:c>
      <x:c r="C203" s="10" t="str">
        <x:v>TEXT:SYN-F04-03-U02</x:v>
      </x:c>
      <x:c r="D203" s="10" t="str">
        <x:v>{"conditions":["기존 발표자료는 v1 유지","인당 운영비 변경 확인","책임자 확인 항목 확인"],"data_source":"SYN-F04-03:D3@v2","goal":"동일 자료 최신 판본의 변경사항 별도 조회","prior_task_action":"keep","targets":["SYN-F04-03:D3@v2"]}</x:v>
      </x:c>
      <x:c r="E203" s="10" t="str">
        <x:v>{"conditions":["기존 발표자료는 v1 유지","인당 운영비 변경 확인","책임자 확인 항목 확인"],"data_source":"SYN-F04-03:D3@v2","goal":"동일 자료 최신 판본의 변경사항 별도 조회","prior_task_action":"keep","targets":["SYN-F04-03:D3@v2"]}</x:v>
      </x:c>
      <x:c r="F203" s="10" t="n">
        <x:f>IF(D203=E203,1,0)</x:f>
        <x:v>1</x:v>
      </x:c>
      <x:c r="G203" s="10" t="str">
        <x:v>필수 의미와 지칭 집합 일치</x:v>
      </x:c>
    </x:row>
    <x:row r="204" ht="145" customHeight="1">
      <x:c r="A204" s="10" t="str">
        <x:v>T-BASE</x:v>
      </x:c>
      <x:c r="B204" s="10" t="str">
        <x:v>TEXT</x:v>
      </x:c>
      <x:c r="C204" s="10" t="str">
        <x:v>TEXT:SYN-F04-04-U01</x:v>
      </x:c>
      <x:c r="D204" s="10" t="str">
        <x:v>{"conditions":["7장 이내","대상 기간 평일 20일","외부 발송 없음","일일 추가 운행 8회 이하","평가 당시 v1 유지","협력사 운영설명회용"],"data_source":"SYN-F04-04:D2@v1","goal":"라임 배송거점 개선 거점 개선 발표자료 작성 위임","prior_task_action":"new","targets":["SYN-F04-04:D2@v1"]}</x:v>
      </x:c>
      <x:c r="E204" s="10" t="str">
        <x:v>{"conditions":["7장 이내","대상 기간 평일 20일","외부 발송 없음","일일 추가 운행 8회 이하","평가 당시 v1 유지","협력사 운영설명회용"],"data_source":"SYN-F04-04:D2@v2","goal":"라임 배송거점 개선 거점 개선 발표자료 작성 위임","prior_task_action":"new","targets":["SYN-F04-04:D2@v2"]}</x:v>
      </x:c>
      <x:c r="F204" s="10" t="n">
        <x:f>IF(D204=E204,1,0)</x:f>
        <x:v>0</x:v>
      </x:c>
      <x:c r="G204" s="10" t="str">
        <x:v>현재 입력과 원본의 대상 관계를 잘못 연결</x:v>
      </x:c>
    </x:row>
    <x:row r="205" ht="145" customHeight="1">
      <x:c r="A205" s="10" t="str">
        <x:v>T-BASE</x:v>
      </x:c>
      <x:c r="B205" s="10" t="str">
        <x:v>TEXT</x:v>
      </x:c>
      <x:c r="C205" s="10" t="str">
        <x:v>TEXT:SYN-F04-04-U02</x:v>
      </x:c>
      <x:c r="D205" s="10" t="str">
        <x:v>{"conditions":["기존 발표자료는 v1 유지","일 운영비 변경 확인","책임자 확인 항목 확인"],"data_source":"SYN-F04-04:D2@v2","goal":"동일 자료 최신 판본의 변경사항 별도 조회","prior_task_action":"keep","targets":["SYN-F04-04:D2@v2"]}</x:v>
      </x:c>
      <x:c r="E205" s="10" t="str">
        <x:v>{"conditions":["기존 발표자료는 v1 유지","일 운영비 변경 확인","책임자 확인 항목 확인"],"data_source":"SYN-F04-04:D2@v2","goal":"동일 자료 최신 판본의 변경사항 별도 조회","prior_task_action":"keep","targets":["SYN-F04-04:D2@v2"]}</x:v>
      </x:c>
      <x:c r="F205" s="10" t="n">
        <x:f>IF(D205=E205,1,0)</x:f>
        <x:v>1</x:v>
      </x:c>
      <x:c r="G205" s="10" t="str">
        <x:v>필수 의미와 지칭 집합 일치</x:v>
      </x:c>
    </x:row>
    <x:row r="206" ht="145" customHeight="1">
      <x:c r="A206" s="10" t="str">
        <x:v>T-EXEC</x:v>
      </x:c>
      <x:c r="B206" s="10" t="str">
        <x:v>TEXT</x:v>
      </x:c>
      <x:c r="C206" s="10" t="str">
        <x:v>TEXT:SYN-F04-04-U01</x:v>
      </x:c>
      <x:c r="D206" s="10" t="str">
        <x:v>{"conditions":["7장 이내","대상 기간 평일 20일","외부 발송 없음","일일 추가 운행 8회 이하","평가 당시 v1 유지","협력사 운영설명회용"],"data_source":"SYN-F04-04:D2@v1","goal":"라임 배송거점 개선 거점 개선 발표자료 작성 위임","prior_task_action":"new","targets":["SYN-F04-04:D2@v1"]}</x:v>
      </x:c>
      <x:c r="E206" s="10" t="str">
        <x:v>{"conditions":["7장 이내","대상 기간 평일 20일","외부 발송 없음","일일 추가 운행 8회 이하","평가 당시 v1 유지","협력사 운영설명회용"],"data_source":"SYN-F04-04:D2@v2","goal":"라임 배송거점 개선 거점 개선 발표자료 작성 위임","prior_task_action":"new","targets":["SYN-F04-04:D2@v2"]}</x:v>
      </x:c>
      <x:c r="F206" s="10" t="n">
        <x:f>IF(D206=E206,1,0)</x:f>
        <x:v>0</x:v>
      </x:c>
      <x:c r="G206" s="10" t="str">
        <x:v>현재 입력과 원본의 대상 관계를 잘못 연결</x:v>
      </x:c>
    </x:row>
    <x:row r="207" ht="145" customHeight="1">
      <x:c r="A207" s="10" t="str">
        <x:v>T-EXEC</x:v>
      </x:c>
      <x:c r="B207" s="10" t="str">
        <x:v>TEXT</x:v>
      </x:c>
      <x:c r="C207" s="10" t="str">
        <x:v>TEXT:SYN-F04-04-U02</x:v>
      </x:c>
      <x:c r="D207" s="10" t="str">
        <x:v>{"conditions":["기존 발표자료는 v1 유지","일 운영비 변경 확인","책임자 확인 항목 확인"],"data_source":"SYN-F04-04:D2@v2","goal":"동일 자료 최신 판본의 변경사항 별도 조회","prior_task_action":"keep","targets":["SYN-F04-04:D2@v2"]}</x:v>
      </x:c>
      <x:c r="E207" s="10" t="str">
        <x:v>{"conditions":["기존 발표자료는 v1 유지","일 운영비 변경 확인","책임자 확인 항목 확인"],"data_source":"SYN-F04-04:D2@v2","goal":"동일 자료 최신 판본의 변경사항 별도 조회","prior_task_action":"keep","targets":["SYN-F04-04:D2@v2"]}</x:v>
      </x:c>
      <x:c r="F207" s="10" t="n">
        <x:f>IF(D207=E207,1,0)</x:f>
        <x:v>1</x:v>
      </x:c>
      <x:c r="G207" s="10" t="str">
        <x:v>필수 의미와 지칭 집합 일치</x:v>
      </x:c>
    </x:row>
    <x:row r="208" ht="145" customHeight="1">
      <x:c r="A208" s="10" t="str">
        <x:v>T-REL</x:v>
      </x:c>
      <x:c r="B208" s="10" t="str">
        <x:v>TEXT</x:v>
      </x:c>
      <x:c r="C208" s="10" t="str">
        <x:v>TEXT:SYN-F04-04-U01</x:v>
      </x:c>
      <x:c r="D208" s="10" t="str">
        <x:v>{"conditions":["7장 이내","대상 기간 평일 20일","외부 발송 없음","일일 추가 운행 8회 이하","평가 당시 v1 유지","협력사 운영설명회용"],"data_source":"SYN-F04-04:D2@v1","goal":"라임 배송거점 개선 거점 개선 발표자료 작성 위임","prior_task_action":"new","targets":["SYN-F04-04:D2@v1"]}</x:v>
      </x:c>
      <x:c r="E208" s="10" t="str">
        <x:v>{"conditions":["7장 이내","대상 기간 평일 20일","외부 발송 없음","일일 추가 운행 8회 이하","평가 당시 v1 유지","협력사 운영설명회용"],"data_source":"SYN-F04-04:D2@v1","goal":"라임 배송거점 개선 거점 개선 발표자료 작성 위임","prior_task_action":"new","targets":["SYN-F04-04:D2@v1"]}</x:v>
      </x:c>
      <x:c r="F208" s="10" t="n">
        <x:f>IF(D208=E208,1,0)</x:f>
        <x:v>1</x:v>
      </x:c>
      <x:c r="G208" s="10" t="str">
        <x:v>필수 의미와 지칭 집합 일치</x:v>
      </x:c>
    </x:row>
    <x:row r="209" ht="145" customHeight="1">
      <x:c r="A209" s="10" t="str">
        <x:v>T-REL</x:v>
      </x:c>
      <x:c r="B209" s="10" t="str">
        <x:v>TEXT</x:v>
      </x:c>
      <x:c r="C209" s="10" t="str">
        <x:v>TEXT:SYN-F04-04-U02</x:v>
      </x:c>
      <x:c r="D209" s="10" t="str">
        <x:v>{"conditions":["기존 발표자료는 v1 유지","일 운영비 변경 확인","책임자 확인 항목 확인"],"data_source":"SYN-F04-04:D2@v2","goal":"동일 자료 최신 판본의 변경사항 별도 조회","prior_task_action":"keep","targets":["SYN-F04-04:D2@v2"]}</x:v>
      </x:c>
      <x:c r="E209" s="10" t="str">
        <x:v>{"conditions":["기존 발표자료는 v1 유지","일 운영비 변경 확인","책임자 확인 항목 확인"],"data_source":"SYN-F04-04:D2@v2","goal":"동일 자료 최신 판본의 변경사항 별도 조회","prior_task_action":"keep","targets":["SYN-F04-04:D2@v2"]}</x:v>
      </x:c>
      <x:c r="F209" s="10" t="n">
        <x:f>IF(D209=E209,1,0)</x:f>
        <x:v>1</x:v>
      </x:c>
      <x:c r="G209" s="10" t="str">
        <x:v>필수 의미와 지칭 집합 일치</x:v>
      </x:c>
    </x:row>
    <x:row r="210" ht="145" customHeight="1">
      <x:c r="A210" s="10" t="str">
        <x:v>T-BASE</x:v>
      </x:c>
      <x:c r="B210" s="10" t="str">
        <x:v>TEXT</x:v>
      </x:c>
      <x:c r="C210" s="10" t="str">
        <x:v>TEXT:SYN-F04-05-U01</x:v>
      </x:c>
      <x:c r="D210" s="10" t="str">
        <x:v>{"conditions":["5장 이내","대상 기간 교체 후 6개월","외부 발송 없음","입주사 설명회용","층별 정전 30분 이하","평가 당시 v1 유지"],"data_source":"SYN-F04-05:D1@v1","goal":"가온 사무실 조명교체 조명 교체 검토자료 작성 위임","prior_task_action":"new","targets":["SYN-F04-05:D1@v1"]}</x:v>
      </x:c>
      <x:c r="E210" s="10" t="str">
        <x:v>{"conditions":["5장 이내","대상 기간 교체 후 6개월","외부 발송 없음","입주사 설명회용","층별 정전 30분 이하","평가 당시 v1 유지"],"data_source":"SYN-F04-05:D1@v1","goal":"가온 사무실 조명교체 조명 교체 검토자료 작성 위임","prior_task_action":"new","targets":["SYN-F04-05:D1@v1"]}</x:v>
      </x:c>
      <x:c r="F210" s="10" t="n">
        <x:f>IF(D210=E210,1,0)</x:f>
        <x:v>1</x:v>
      </x:c>
      <x:c r="G210" s="10" t="str">
        <x:v>필수 의미와 지칭 집합 일치</x:v>
      </x:c>
    </x:row>
    <x:row r="211" ht="145" customHeight="1">
      <x:c r="A211" s="10" t="str">
        <x:v>T-BASE</x:v>
      </x:c>
      <x:c r="B211" s="10" t="str">
        <x:v>TEXT</x:v>
      </x:c>
      <x:c r="C211" s="10" t="str">
        <x:v>TEXT:SYN-F04-05-U02</x:v>
      </x:c>
      <x:c r="D211" s="10" t="str">
        <x:v>{"conditions":["기존 발표자료는 v1 유지","월 전력비 변경 확인","책임자 확인 항목 확인"],"data_source":"SYN-F04-05:D1@v2","goal":"동일 자료 최신 판본의 변경사항 별도 조회","prior_task_action":"keep","targets":["SYN-F04-05:D1@v2"]}</x:v>
      </x:c>
      <x:c r="E211" s="10" t="str">
        <x:v>{"conditions":["기존 발표자료는 v1 유지","월 전력비 변경 확인","책임자 확인 항목 확인"],"data_source":"SYN-F04-05:D1@v2","goal":"동일 자료 최신 판본의 변경사항 별도 조회","prior_task_action":"keep","targets":["SYN-F04-05:D1@v2"]}</x:v>
      </x:c>
      <x:c r="F211" s="10" t="n">
        <x:f>IF(D211=E211,1,0)</x:f>
        <x:v>1</x:v>
      </x:c>
      <x:c r="G211" s="10" t="str">
        <x:v>필수 의미와 지칭 집합 일치</x:v>
      </x:c>
    </x:row>
    <x:row r="212" ht="145" customHeight="1">
      <x:c r="A212" s="10" t="str">
        <x:v>T-EXEC</x:v>
      </x:c>
      <x:c r="B212" s="10" t="str">
        <x:v>TEXT</x:v>
      </x:c>
      <x:c r="C212" s="10" t="str">
        <x:v>TEXT:SYN-F04-05-U01</x:v>
      </x:c>
      <x:c r="D212" s="10" t="str">
        <x:v>{"conditions":["5장 이내","대상 기간 교체 후 6개월","외부 발송 없음","입주사 설명회용","층별 정전 30분 이하","평가 당시 v1 유지"],"data_source":"SYN-F04-05:D1@v1","goal":"가온 사무실 조명교체 조명 교체 검토자료 작성 위임","prior_task_action":"new","targets":["SYN-F04-05:D1@v1"]}</x:v>
      </x:c>
      <x:c r="E212" s="10" t="str">
        <x:v>{"conditions":["5장 이내","대상 기간 교체 후 6개월","외부 발송 없음","입주사 설명회용","층별 정전 30분 이하","평가 당시 v1 유지"],"data_source":"SYN-F04-05:D1@v1","goal":"가온 사무실 조명교체 조명 교체 검토자료 작성 위임","prior_task_action":"new","targets":["SYN-F04-05:D1@v1"]}</x:v>
      </x:c>
      <x:c r="F212" s="10" t="n">
        <x:f>IF(D212=E212,1,0)</x:f>
        <x:v>1</x:v>
      </x:c>
      <x:c r="G212" s="10" t="str">
        <x:v>필수 의미와 지칭 집합 일치</x:v>
      </x:c>
    </x:row>
    <x:row r="213" ht="145" customHeight="1">
      <x:c r="A213" s="10" t="str">
        <x:v>T-EXEC</x:v>
      </x:c>
      <x:c r="B213" s="10" t="str">
        <x:v>TEXT</x:v>
      </x:c>
      <x:c r="C213" s="10" t="str">
        <x:v>TEXT:SYN-F04-05-U02</x:v>
      </x:c>
      <x:c r="D213" s="10" t="str">
        <x:v>{"conditions":["기존 발표자료는 v1 유지","월 전력비 변경 확인","책임자 확인 항목 확인"],"data_source":"SYN-F04-05:D1@v2","goal":"동일 자료 최신 판본의 변경사항 별도 조회","prior_task_action":"keep","targets":["SYN-F04-05:D1@v2"]}</x:v>
      </x:c>
      <x:c r="E213" s="10" t="str">
        <x:v>{"conditions":["기존 발표자료는 v1 유지","월 전력비 변경 확인","책임자 확인 항목 확인"],"data_source":"SYN-F04-05:D1@v2","goal":"동일 자료 최신 판본의 변경사항 별도 조회","prior_task_action":"keep","targets":["SYN-F04-05:D1@v2"]}</x:v>
      </x:c>
      <x:c r="F213" s="10" t="n">
        <x:f>IF(D213=E213,1,0)</x:f>
        <x:v>1</x:v>
      </x:c>
      <x:c r="G213" s="10" t="str">
        <x:v>필수 의미와 지칭 집합 일치</x:v>
      </x:c>
    </x:row>
    <x:row r="214" ht="145" customHeight="1">
      <x:c r="A214" s="10" t="str">
        <x:v>T-REL</x:v>
      </x:c>
      <x:c r="B214" s="10" t="str">
        <x:v>TEXT</x:v>
      </x:c>
      <x:c r="C214" s="10" t="str">
        <x:v>TEXT:SYN-F04-05-U01</x:v>
      </x:c>
      <x:c r="D214" s="10" t="str">
        <x:v>{"conditions":["5장 이내","대상 기간 교체 후 6개월","외부 발송 없음","입주사 설명회용","층별 정전 30분 이하","평가 당시 v1 유지"],"data_source":"SYN-F04-05:D1@v1","goal":"가온 사무실 조명교체 조명 교체 검토자료 작성 위임","prior_task_action":"new","targets":["SYN-F04-05:D1@v1"]}</x:v>
      </x:c>
      <x:c r="E214" s="10" t="str">
        <x:v>{"conditions":["5장 이내","대상 기간 교체 후 6개월","외부 발송 없음","입주사 설명회용","층별 정전 30분 이하","평가 당시 v1 유지"],"data_source":"SYN-F04-05:D1@v1","goal":"가온 사무실 조명교체 조명 교체 검토자료 작성 위임","prior_task_action":"new","targets":["SYN-F04-05:D1@v1"]}</x:v>
      </x:c>
      <x:c r="F214" s="10" t="n">
        <x:f>IF(D214=E214,1,0)</x:f>
        <x:v>1</x:v>
      </x:c>
      <x:c r="G214" s="10" t="str">
        <x:v>필수 의미와 지칭 집합 일치</x:v>
      </x:c>
    </x:row>
    <x:row r="215" ht="145" customHeight="1">
      <x:c r="A215" s="10" t="str">
        <x:v>T-REL</x:v>
      </x:c>
      <x:c r="B215" s="10" t="str">
        <x:v>TEXT</x:v>
      </x:c>
      <x:c r="C215" s="10" t="str">
        <x:v>TEXT:SYN-F04-05-U02</x:v>
      </x:c>
      <x:c r="D215" s="10" t="str">
        <x:v>{"conditions":["기존 발표자료는 v1 유지","월 전력비 변경 확인","책임자 확인 항목 확인"],"data_source":"SYN-F04-05:D1@v2","goal":"동일 자료 최신 판본의 변경사항 별도 조회","prior_task_action":"keep","targets":["SYN-F04-05:D1@v2"]}</x:v>
      </x:c>
      <x:c r="E215" s="10" t="str">
        <x:v>{"conditions":["기존 발표자료는 v1 유지","월 전력비 변경 확인","책임자 확인 항목 확인"],"data_source":"SYN-F04-05:D1@v2","goal":"동일 자료 최신 판본의 변경사항 별도 조회","prior_task_action":"keep","targets":["SYN-F04-05:D1@v2"]}</x:v>
      </x:c>
      <x:c r="F215" s="10" t="n">
        <x:f>IF(D215=E215,1,0)</x:f>
        <x:v>1</x:v>
      </x:c>
      <x:c r="G215" s="10" t="str">
        <x:v>필수 의미와 지칭 집합 일치</x:v>
      </x:c>
    </x:row>
    <x:row r="216" ht="145" customHeight="1">
      <x:c r="A216" s="10" t="str">
        <x:v>T-BASE</x:v>
      </x:c>
      <x:c r="B216" s="10" t="str">
        <x:v>TEXT</x:v>
      </x:c>
      <x:c r="C216" s="10" t="str">
        <x:v>TEXT:SYN-F04-06-U01</x:v>
      </x:c>
      <x:c r="D216" s="10" t="str">
        <x:v>{"conditions":["8장 이내","대상 기간 행사 2일","외부 발송 없음","참여기업 안내회용","평가 당시 v1 유지","현장 대기 20분 이하"],"data_source":"SYN-F04-06:D3@v1","goal":"별빛 채용행사 준비 행사 운영 발표자료 작성 위임","prior_task_action":"new","targets":["SYN-F04-06:D3@v1"]}</x:v>
      </x:c>
      <x:c r="E216" s="10" t="str">
        <x:v>{"conditions":["8장 이내","대상 기간 행사 2일","외부 발송 없음","참여기업 안내회용","평가 당시 v1 유지","현장 대기 20분 이하"],"data_source":"SYN-F04-06:D3@v1","goal":"별빛 채용행사 준비 행사 운영 발표자료 작성 위임","prior_task_action":"new","targets":["SYN-F04-06:D3@v1"]}</x:v>
      </x:c>
      <x:c r="F216" s="10" t="n">
        <x:f>IF(D216=E216,1,0)</x:f>
        <x:v>1</x:v>
      </x:c>
      <x:c r="G216" s="10" t="str">
        <x:v>필수 의미와 지칭 집합 일치</x:v>
      </x:c>
    </x:row>
    <x:row r="217" ht="145" customHeight="1">
      <x:c r="A217" s="10" t="str">
        <x:v>T-BASE</x:v>
      </x:c>
      <x:c r="B217" s="10" t="str">
        <x:v>TEXT</x:v>
      </x:c>
      <x:c r="C217" s="10" t="str">
        <x:v>TEXT:SYN-F04-06-U02</x:v>
      </x:c>
      <x:c r="D217" s="10" t="str">
        <x:v>{"conditions":["기존 발표자료는 v1 유지","일 운영비 변경 확인","책임자 확인 항목 확인"],"data_source":"SYN-F04-06:D3@v2","goal":"동일 자료 최신 판본의 변경사항 별도 조회","prior_task_action":"keep","targets":["SYN-F04-06:D3@v2"]}</x:v>
      </x:c>
      <x:c r="E217" s="10" t="str">
        <x:v>{"conditions":["기존 발표자료는 v1 유지","일 운영비 변경 확인","책임자 확인 항목 확인"],"data_source":"SYN-F04-06:D3@v2","goal":"동일 자료 최신 판본의 변경사항 별도 조회","prior_task_action":"keep","targets":["SYN-F04-06:D3@v2"]}</x:v>
      </x:c>
      <x:c r="F217" s="10" t="n">
        <x:f>IF(D217=E217,1,0)</x:f>
        <x:v>1</x:v>
      </x:c>
      <x:c r="G217" s="10" t="str">
        <x:v>필수 의미와 지칭 집합 일치</x:v>
      </x:c>
    </x:row>
    <x:row r="218" ht="145" customHeight="1">
      <x:c r="A218" s="10" t="str">
        <x:v>T-EXEC</x:v>
      </x:c>
      <x:c r="B218" s="10" t="str">
        <x:v>TEXT</x:v>
      </x:c>
      <x:c r="C218" s="10" t="str">
        <x:v>TEXT:SYN-F04-06-U01</x:v>
      </x:c>
      <x:c r="D218" s="10" t="str">
        <x:v>{"conditions":["8장 이내","대상 기간 행사 2일","외부 발송 없음","참여기업 안내회용","평가 당시 v1 유지","현장 대기 20분 이하"],"data_source":"SYN-F04-06:D3@v1","goal":"별빛 채용행사 준비 행사 운영 발표자료 작성 위임","prior_task_action":"new","targets":["SYN-F04-06:D3@v1"]}</x:v>
      </x:c>
      <x:c r="E218" s="10" t="str">
        <x:v>{"conditions":["8장 이내","대상 기간 행사 2일","외부 발송 없음","참여기업 안내회용","평가 당시 v1 유지","현장 대기 20분 이하"],"data_source":"SYN-F04-06:D3@v1","goal":"별빛 채용행사 준비 행사 운영 발표자료 작성 위임","prior_task_action":"new","targets":["SYN-F04-06:D3@v1"]}</x:v>
      </x:c>
      <x:c r="F218" s="10" t="n">
        <x:f>IF(D218=E218,1,0)</x:f>
        <x:v>1</x:v>
      </x:c>
      <x:c r="G218" s="10" t="str">
        <x:v>필수 의미와 지칭 집합 일치</x:v>
      </x:c>
    </x:row>
    <x:row r="219" ht="145" customHeight="1">
      <x:c r="A219" s="10" t="str">
        <x:v>T-EXEC</x:v>
      </x:c>
      <x:c r="B219" s="10" t="str">
        <x:v>TEXT</x:v>
      </x:c>
      <x:c r="C219" s="10" t="str">
        <x:v>TEXT:SYN-F04-06-U02</x:v>
      </x:c>
      <x:c r="D219" s="10" t="str">
        <x:v>{"conditions":["기존 발표자료는 v1 유지","일 운영비 변경 확인","책임자 확인 항목 확인"],"data_source":"SYN-F04-06:D3@v2","goal":"동일 자료 최신 판본의 변경사항 별도 조회","prior_task_action":"keep","targets":["SYN-F04-06:D3@v2"]}</x:v>
      </x:c>
      <x:c r="E219" s="10" t="str">
        <x:v>{"conditions":["기존 발표자료는 v1 유지","일 운영비 변경 확인","책임자 확인 항목 확인"],"data_source":"SYN-F04-06:D3@v2","goal":"동일 자료 최신 판본의 변경사항 별도 조회","prior_task_action":"keep","targets":["SYN-F04-06:D3@v2"]}</x:v>
      </x:c>
      <x:c r="F219" s="10" t="n">
        <x:f>IF(D219=E219,1,0)</x:f>
        <x:v>1</x:v>
      </x:c>
      <x:c r="G219" s="10" t="str">
        <x:v>필수 의미와 지칭 집합 일치</x:v>
      </x:c>
    </x:row>
    <x:row r="220" ht="145" customHeight="1">
      <x:c r="A220" s="10" t="str">
        <x:v>T-REL</x:v>
      </x:c>
      <x:c r="B220" s="10" t="str">
        <x:v>TEXT</x:v>
      </x:c>
      <x:c r="C220" s="10" t="str">
        <x:v>TEXT:SYN-F04-06-U01</x:v>
      </x:c>
      <x:c r="D220" s="10" t="str">
        <x:v>{"conditions":["8장 이내","대상 기간 행사 2일","외부 발송 없음","참여기업 안내회용","평가 당시 v1 유지","현장 대기 20분 이하"],"data_source":"SYN-F04-06:D3@v1","goal":"별빛 채용행사 준비 행사 운영 발표자료 작성 위임","prior_task_action":"new","targets":["SYN-F04-06:D3@v1"]}</x:v>
      </x:c>
      <x:c r="E220" s="10" t="str">
        <x:v>{"conditions":["8장 이내","대상 기간 행사 2일","외부 발송 없음","참여기업 안내회용","평가 당시 v1 유지","현장 대기 20분 이하"],"data_source":"SYN-F04-06:D3@v1","goal":"별빛 채용행사 준비 행사 운영 발표자료 작성 위임","prior_task_action":"new","targets":["SYN-F04-06:D3@v1"]}</x:v>
      </x:c>
      <x:c r="F220" s="10" t="n">
        <x:f>IF(D220=E220,1,0)</x:f>
        <x:v>1</x:v>
      </x:c>
      <x:c r="G220" s="10" t="str">
        <x:v>필수 의미와 지칭 집합 일치</x:v>
      </x:c>
    </x:row>
    <x:row r="221" ht="145" customHeight="1">
      <x:c r="A221" s="10" t="str">
        <x:v>T-REL</x:v>
      </x:c>
      <x:c r="B221" s="10" t="str">
        <x:v>TEXT</x:v>
      </x:c>
      <x:c r="C221" s="10" t="str">
        <x:v>TEXT:SYN-F04-06-U02</x:v>
      </x:c>
      <x:c r="D221" s="10" t="str">
        <x:v>{"conditions":["기존 발표자료는 v1 유지","일 운영비 변경 확인","책임자 확인 항목 확인"],"data_source":"SYN-F04-06:D3@v2","goal":"동일 자료 최신 판본의 변경사항 별도 조회","prior_task_action":"keep","targets":["SYN-F04-06:D3@v2"]}</x:v>
      </x:c>
      <x:c r="E221" s="10" t="str">
        <x:v>{"conditions":["기존 발표자료는 v1 유지","일 운영비 변경 확인","책임자 확인 항목 확인"],"data_source":"SYN-F04-06:D3@v2","goal":"동일 자료 최신 판본의 변경사항 별도 조회","prior_task_action":"keep","targets":["SYN-F04-06:D3@v2"]}</x:v>
      </x:c>
      <x:c r="F221" s="10" t="n">
        <x:f>IF(D221=E221,1,0)</x:f>
        <x:v>1</x:v>
      </x:c>
      <x:c r="G221" s="10" t="str">
        <x:v>필수 의미와 지칭 집합 일치</x:v>
      </x:c>
    </x:row>
    <x:row r="222" ht="145" customHeight="1">
      <x:c r="A222" s="10" t="str">
        <x:v>T-BASE</x:v>
      </x:c>
      <x:c r="B222" s="10" t="str">
        <x:v>TEXT</x:v>
      </x:c>
      <x:c r="C222" s="10" t="str">
        <x:v>TEXT:SYN-F04-07-U01</x:v>
      </x:c>
      <x:c r="D222" s="10" t="str">
        <x:v>{"conditions":["6장 이내","납품처 품질설명회용","대상 기간 다음 8주","샘플 검사 45분 이하","외부 발송 없음","평가 당시 v1 유지"],"data_source":"SYN-F04-07:D2@v1","goal":"청솔 부품검사 개선 검사 개선 발표자료 작성 위임","prior_task_action":"new","targets":["SYN-F04-07:D2@v1"]}</x:v>
      </x:c>
      <x:c r="E222" s="10" t="str">
        <x:v>{"conditions":["6장 이내","납품처 품질설명회용","대상 기간 다음 8주","샘플 검사 45분 이하","외부 발송 없음","평가 당시 v1 유지"],"data_source":"SYN-F04-07:D2@v1","goal":"청솔 부품검사 개선 검사 개선 발표자료 작성 위임","prior_task_action":"new","targets":["SYN-F04-07:D2@v1"]}</x:v>
      </x:c>
      <x:c r="F222" s="10" t="n">
        <x:f>IF(D222=E222,1,0)</x:f>
        <x:v>1</x:v>
      </x:c>
      <x:c r="G222" s="10" t="str">
        <x:v>필수 의미와 지칭 집합 일치</x:v>
      </x:c>
    </x:row>
    <x:row r="223" ht="145" customHeight="1">
      <x:c r="A223" s="10" t="str">
        <x:v>T-BASE</x:v>
      </x:c>
      <x:c r="B223" s="10" t="str">
        <x:v>TEXT</x:v>
      </x:c>
      <x:c r="C223" s="10" t="str">
        <x:v>TEXT:SYN-F04-07-U02</x:v>
      </x:c>
      <x:c r="D223" s="10" t="str">
        <x:v>{"conditions":["기존 발표자료는 v1 유지","주간 운영비 변경 확인","책임자 확인 항목 확인"],"data_source":"SYN-F04-07:D2@v2","goal":"동일 자료 최신 판본의 변경사항 별도 조회","prior_task_action":"keep","targets":["SYN-F04-07:D2@v2"]}</x:v>
      </x:c>
      <x:c r="E223" s="10" t="str">
        <x:v>{"conditions":["기존 발표자료는 v1 유지","주간 운영비 변경 확인","책임자 확인 항목 확인"],"data_source":"SYN-F04-07:D2@v2","goal":"동일 자료 최신 판본의 변경사항 별도 조회","prior_task_action":"keep","targets":["SYN-F04-07:D2@v2"]}</x:v>
      </x:c>
      <x:c r="F223" s="10" t="n">
        <x:f>IF(D223=E223,1,0)</x:f>
        <x:v>1</x:v>
      </x:c>
      <x:c r="G223" s="10" t="str">
        <x:v>필수 의미와 지칭 집합 일치</x:v>
      </x:c>
    </x:row>
    <x:row r="224" ht="145" customHeight="1">
      <x:c r="A224" s="10" t="str">
        <x:v>T-EXEC</x:v>
      </x:c>
      <x:c r="B224" s="10" t="str">
        <x:v>TEXT</x:v>
      </x:c>
      <x:c r="C224" s="10" t="str">
        <x:v>TEXT:SYN-F04-07-U01</x:v>
      </x:c>
      <x:c r="D224" s="10" t="str">
        <x:v>{"conditions":["6장 이내","납품처 품질설명회용","대상 기간 다음 8주","샘플 검사 45분 이하","외부 발송 없음","평가 당시 v1 유지"],"data_source":"SYN-F04-07:D2@v1","goal":"청솔 부품검사 개선 검사 개선 발표자료 작성 위임","prior_task_action":"new","targets":["SYN-F04-07:D2@v1"]}</x:v>
      </x:c>
      <x:c r="E224" s="10" t="str">
        <x:v>{"conditions":["6장 이내","납품처 품질설명회용","대상 기간 다음 8주","샘플 검사 45분 이하","외부 발송 없음","평가 당시 v1 유지"],"data_source":"SYN-F04-07:D2@v1","goal":"청솔 부품검사 개선 검사 개선 발표자료 작성 위임","prior_task_action":"new","targets":["SYN-F04-07:D2@v1"]}</x:v>
      </x:c>
      <x:c r="F224" s="10" t="n">
        <x:f>IF(D224=E224,1,0)</x:f>
        <x:v>1</x:v>
      </x:c>
      <x:c r="G224" s="10" t="str">
        <x:v>필수 의미와 지칭 집합 일치</x:v>
      </x:c>
    </x:row>
    <x:row r="225" ht="145" customHeight="1">
      <x:c r="A225" s="10" t="str">
        <x:v>T-EXEC</x:v>
      </x:c>
      <x:c r="B225" s="10" t="str">
        <x:v>TEXT</x:v>
      </x:c>
      <x:c r="C225" s="10" t="str">
        <x:v>TEXT:SYN-F04-07-U02</x:v>
      </x:c>
      <x:c r="D225" s="10" t="str">
        <x:v>{"conditions":["기존 발표자료는 v1 유지","주간 운영비 변경 확인","책임자 확인 항목 확인"],"data_source":"SYN-F04-07:D2@v2","goal":"동일 자료 최신 판본의 변경사항 별도 조회","prior_task_action":"keep","targets":["SYN-F04-07:D2@v2"]}</x:v>
      </x:c>
      <x:c r="E225" s="10" t="str">
        <x:v>{"conditions":["기존 발표자료는 v1 유지","주간 운영비 변경 확인","책임자 확인 항목 확인"],"data_source":"SYN-F04-07:D2@v2","goal":"동일 자료 최신 판본의 변경사항 별도 조회","prior_task_action":"keep","targets":["SYN-F04-07:D2@v2"]}</x:v>
      </x:c>
      <x:c r="F225" s="10" t="n">
        <x:f>IF(D225=E225,1,0)</x:f>
        <x:v>1</x:v>
      </x:c>
      <x:c r="G225" s="10" t="str">
        <x:v>필수 의미와 지칭 집합 일치</x:v>
      </x:c>
    </x:row>
    <x:row r="226" ht="145" customHeight="1">
      <x:c r="A226" s="10" t="str">
        <x:v>T-REL</x:v>
      </x:c>
      <x:c r="B226" s="10" t="str">
        <x:v>TEXT</x:v>
      </x:c>
      <x:c r="C226" s="10" t="str">
        <x:v>TEXT:SYN-F04-07-U01</x:v>
      </x:c>
      <x:c r="D226" s="10" t="str">
        <x:v>{"conditions":["6장 이내","납품처 품질설명회용","대상 기간 다음 8주","샘플 검사 45분 이하","외부 발송 없음","평가 당시 v1 유지"],"data_source":"SYN-F04-07:D2@v1","goal":"청솔 부품검사 개선 검사 개선 발표자료 작성 위임","prior_task_action":"new","targets":["SYN-F04-07:D2@v1"]}</x:v>
      </x:c>
      <x:c r="E226" s="10" t="str">
        <x:v>{"conditions":["6장 이내","납품처 품질설명회용","대상 기간 다음 8주","샘플 검사 45분 이하","외부 발송 없음","평가 당시 v1 유지"],"data_source":"SYN-F04-07:D2@v1","goal":"청솔 부품검사 개선 검사 개선 발표자료 작성 위임","prior_task_action":"new","targets":["SYN-F04-07:D2@v1"]}</x:v>
      </x:c>
      <x:c r="F226" s="10" t="n">
        <x:f>IF(D226=E226,1,0)</x:f>
        <x:v>1</x:v>
      </x:c>
      <x:c r="G226" s="10" t="str">
        <x:v>필수 의미와 지칭 집합 일치</x:v>
      </x:c>
    </x:row>
    <x:row r="227" ht="145" customHeight="1">
      <x:c r="A227" s="10" t="str">
        <x:v>T-REL</x:v>
      </x:c>
      <x:c r="B227" s="10" t="str">
        <x:v>TEXT</x:v>
      </x:c>
      <x:c r="C227" s="10" t="str">
        <x:v>TEXT:SYN-F04-07-U02</x:v>
      </x:c>
      <x:c r="D227" s="10" t="str">
        <x:v>{"conditions":["기존 발표자료는 v1 유지","주간 운영비 변경 확인","책임자 확인 항목 확인"],"data_source":"SYN-F04-07:D2@v2","goal":"동일 자료 최신 판본의 변경사항 별도 조회","prior_task_action":"keep","targets":["SYN-F04-07:D2@v2"]}</x:v>
      </x:c>
      <x:c r="E227" s="10" t="str">
        <x:v>{"conditions":["기존 발표자료는 v1 유지","주간 운영비 변경 확인","책임자 확인 항목 확인"],"data_source":"SYN-F04-07:D2@v2","goal":"동일 자료 최신 판본의 변경사항 별도 조회","prior_task_action":"keep","targets":["SYN-F04-07:D2@v2"]}</x:v>
      </x:c>
      <x:c r="F227" s="10" t="n">
        <x:f>IF(D227=E227,1,0)</x:f>
        <x:v>1</x:v>
      </x:c>
      <x:c r="G227" s="10" t="str">
        <x:v>필수 의미와 지칭 집합 일치</x:v>
      </x:c>
    </x:row>
    <x:row r="228" ht="145" customHeight="1">
      <x:c r="A228" s="10" t="str">
        <x:v>T-BASE</x:v>
      </x:c>
      <x:c r="B228" s="10" t="str">
        <x:v>TEXT</x:v>
      </x:c>
      <x:c r="C228" s="10" t="str">
        <x:v>TEXT:SYN-F04-08-U01</x:v>
      </x:c>
      <x:c r="D228" s="10" t="str">
        <x:v>{"conditions":["4장 이내","대상 기간 운영 5주","안내문 500자 이하","외부 발송 없음","지역 파트너 설명회용","평가 당시 v1 유지"],"data_source":"SYN-F04-08:D1@v1","goal":"노을 서비스 캠페인 캠페인 계획 발표자료 작성 위임","prior_task_action":"new","targets":["SYN-F04-08:D1@v1"]}</x:v>
      </x:c>
      <x:c r="E228" s="10" t="str">
        <x:v>{"conditions":["4장 이내","대상 기간 운영 5주","안내문 500자 이하","외부 발송 없음","지역 파트너 설명회용","평가 당시 v1 유지"],"data_source":"SYN-F04-08:D1@v1","goal":"노을 서비스 캠페인 캠페인 계획 발표자료 작성 위임","prior_task_action":"new","targets":["SYN-F04-08:D1@v1"]}</x:v>
      </x:c>
      <x:c r="F228" s="10" t="n">
        <x:f>IF(D228=E228,1,0)</x:f>
        <x:v>1</x:v>
      </x:c>
      <x:c r="G228" s="10" t="str">
        <x:v>필수 의미와 지칭 집합 일치</x:v>
      </x:c>
    </x:row>
    <x:row r="229" ht="145" customHeight="1">
      <x:c r="A229" s="10" t="str">
        <x:v>T-BASE</x:v>
      </x:c>
      <x:c r="B229" s="10" t="str">
        <x:v>TEXT</x:v>
      </x:c>
      <x:c r="C229" s="10" t="str">
        <x:v>TEXT:SYN-F04-08-U02</x:v>
      </x:c>
      <x:c r="D229" s="10" t="str">
        <x:v>{"conditions":["기존 발표자료는 v1 유지","주간 운영비 변경 확인","책임자 확인 항목 확인"],"data_source":"SYN-F04-08:D1@v2","goal":"동일 자료 최신 판본의 변경사항 별도 조회","prior_task_action":"keep","targets":["SYN-F04-08:D1@v2"]}</x:v>
      </x:c>
      <x:c r="E229" s="10" t="str">
        <x:v>{"conditions":["기존 발표자료는 v1 유지","주간 운영비 변경 확인","책임자 확인 항목 확인"],"data_source":"SYN-F04-08:D1@v2","goal":"동일 자료 최신 판본의 변경사항 별도 조회","prior_task_action":"keep","targets":["SYN-F04-08:D1@v2"]}</x:v>
      </x:c>
      <x:c r="F229" s="10" t="n">
        <x:f>IF(D229=E229,1,0)</x:f>
        <x:v>1</x:v>
      </x:c>
      <x:c r="G229" s="10" t="str">
        <x:v>필수 의미와 지칭 집합 일치</x:v>
      </x:c>
    </x:row>
    <x:row r="230" ht="145" customHeight="1">
      <x:c r="A230" s="10" t="str">
        <x:v>T-EXEC</x:v>
      </x:c>
      <x:c r="B230" s="10" t="str">
        <x:v>TEXT</x:v>
      </x:c>
      <x:c r="C230" s="10" t="str">
        <x:v>TEXT:SYN-F04-08-U01</x:v>
      </x:c>
      <x:c r="D230" s="10" t="str">
        <x:v>{"conditions":["4장 이내","대상 기간 운영 5주","안내문 500자 이하","외부 발송 없음","지역 파트너 설명회용","평가 당시 v1 유지"],"data_source":"SYN-F04-08:D1@v1","goal":"노을 서비스 캠페인 캠페인 계획 발표자료 작성 위임","prior_task_action":"new","targets":["SYN-F04-08:D1@v1"]}</x:v>
      </x:c>
      <x:c r="E230" s="10" t="str">
        <x:v>{"conditions":["4장 이내","대상 기간 운영 5주","안내문 500자 이하","외부 발송 없음","지역 파트너 설명회용","평가 당시 v1 유지"],"data_source":"SYN-F04-08:D1@v1","goal":"노을 서비스 캠페인 캠페인 계획 발표자료 작성 위임","prior_task_action":"new","targets":["SYN-F04-08:D1@v1"]}</x:v>
      </x:c>
      <x:c r="F230" s="10" t="n">
        <x:f>IF(D230=E230,1,0)</x:f>
        <x:v>1</x:v>
      </x:c>
      <x:c r="G230" s="10" t="str">
        <x:v>필수 의미와 지칭 집합 일치</x:v>
      </x:c>
    </x:row>
    <x:row r="231" ht="145" customHeight="1">
      <x:c r="A231" s="10" t="str">
        <x:v>T-EXEC</x:v>
      </x:c>
      <x:c r="B231" s="10" t="str">
        <x:v>TEXT</x:v>
      </x:c>
      <x:c r="C231" s="10" t="str">
        <x:v>TEXT:SYN-F04-08-U02</x:v>
      </x:c>
      <x:c r="D231" s="10" t="str">
        <x:v>{"conditions":["기존 발표자료는 v1 유지","주간 운영비 변경 확인","책임자 확인 항목 확인"],"data_source":"SYN-F04-08:D1@v2","goal":"동일 자료 최신 판본의 변경사항 별도 조회","prior_task_action":"keep","targets":["SYN-F04-08:D1@v2"]}</x:v>
      </x:c>
      <x:c r="E231" s="10" t="str">
        <x:v>{"conditions":["기존 발표자료는 v1 유지","주간 운영비 변경 확인","책임자 확인 항목 확인"],"data_source":"SYN-F04-08:D1@v2","goal":"동일 자료 최신 판본의 변경사항 별도 조회","prior_task_action":"keep","targets":["SYN-F04-08:D1@v2"]}</x:v>
      </x:c>
      <x:c r="F231" s="10" t="n">
        <x:f>IF(D231=E231,1,0)</x:f>
        <x:v>1</x:v>
      </x:c>
      <x:c r="G231" s="10" t="str">
        <x:v>필수 의미와 지칭 집합 일치</x:v>
      </x:c>
    </x:row>
    <x:row r="232" ht="145" customHeight="1">
      <x:c r="A232" s="10" t="str">
        <x:v>T-REL</x:v>
      </x:c>
      <x:c r="B232" s="10" t="str">
        <x:v>TEXT</x:v>
      </x:c>
      <x:c r="C232" s="10" t="str">
        <x:v>TEXT:SYN-F04-08-U01</x:v>
      </x:c>
      <x:c r="D232" s="10" t="str">
        <x:v>{"conditions":["4장 이내","대상 기간 운영 5주","안내문 500자 이하","외부 발송 없음","지역 파트너 설명회용","평가 당시 v1 유지"],"data_source":"SYN-F04-08:D1@v1","goal":"노을 서비스 캠페인 캠페인 계획 발표자료 작성 위임","prior_task_action":"new","targets":["SYN-F04-08:D1@v1"]}</x:v>
      </x:c>
      <x:c r="E232" s="10" t="str">
        <x:v>{"conditions":["4장 이내","대상 기간 운영 5주","안내문 500자 이하","외부 발송 없음","지역 파트너 설명회용","평가 당시 v1 유지"],"data_source":"SYN-F04-08:D1@v1","goal":"노을 서비스 캠페인 캠페인 계획 발표자료 작성 위임","prior_task_action":"new","targets":["SYN-F04-08:D1@v1"]}</x:v>
      </x:c>
      <x:c r="F232" s="10" t="n">
        <x:f>IF(D232=E232,1,0)</x:f>
        <x:v>1</x:v>
      </x:c>
      <x:c r="G232" s="10" t="str">
        <x:v>필수 의미와 지칭 집합 일치</x:v>
      </x:c>
    </x:row>
    <x:row r="233" ht="145" customHeight="1">
      <x:c r="A233" s="10" t="str">
        <x:v>T-REL</x:v>
      </x:c>
      <x:c r="B233" s="10" t="str">
        <x:v>TEXT</x:v>
      </x:c>
      <x:c r="C233" s="10" t="str">
        <x:v>TEXT:SYN-F04-08-U02</x:v>
      </x:c>
      <x:c r="D233" s="10" t="str">
        <x:v>{"conditions":["기존 발표자료는 v1 유지","주간 운영비 변경 확인","책임자 확인 항목 확인"],"data_source":"SYN-F04-08:D1@v2","goal":"동일 자료 최신 판본의 변경사항 별도 조회","prior_task_action":"keep","targets":["SYN-F04-08:D1@v2"]}</x:v>
      </x:c>
      <x:c r="E233" s="10" t="str">
        <x:v>{"conditions":["기존 발표자료는 v1 유지","주간 운영비 변경 확인","책임자 확인 항목 확인"],"data_source":"SYN-F04-08:D1@v2","goal":"동일 자료 최신 판본의 변경사항 별도 조회","prior_task_action":"keep","targets":["SYN-F04-08:D1@v2"]}</x:v>
      </x:c>
      <x:c r="F233" s="10" t="n">
        <x:f>IF(D233=E233,1,0)</x:f>
        <x:v>1</x:v>
      </x:c>
      <x:c r="G233" s="10" t="str">
        <x:v>필수 의미와 지칭 집합 일치</x:v>
      </x:c>
    </x:row>
    <x:row r="234" ht="145" customHeight="1">
      <x:c r="A234" s="10" t="str">
        <x:v>T-BASE</x:v>
      </x:c>
      <x:c r="B234" s="10" t="str">
        <x:v>TEXT</x:v>
      </x:c>
      <x:c r="C234" s="10" t="str">
        <x:v>TEXT:SYN-F04-09-U01</x:v>
      </x:c>
      <x:c r="D234" s="10" t="str">
        <x:v>{"conditions":["7장 이내","대상 기간 적용 후 4주","배송 협력사 설명회용","외부 발송 없음","주문당 이동 180m 이하","평가 당시 v1 유지"],"data_source":"SYN-F04-09:D3@v1","goal":"파도 창고배치 변경 배치 변경 발표자료 작성 위임","prior_task_action":"new","targets":["SYN-F04-09:D3@v1"]}</x:v>
      </x:c>
      <x:c r="E234" s="10" t="str">
        <x:v>{"conditions":["7장 이내","대상 기간 적용 후 4주","배송 협력사 설명회용","외부 발송 없음","주문당 이동 180m 이하","평가 당시 v1 유지"],"data_source":"SYN-F04-09:D3@v1","goal":"파도 창고배치 변경 배치 변경 발표자료 작성 위임","prior_task_action":"new","targets":["SYN-F04-09:D3@v1"]}</x:v>
      </x:c>
      <x:c r="F234" s="10" t="n">
        <x:f>IF(D234=E234,1,0)</x:f>
        <x:v>1</x:v>
      </x:c>
      <x:c r="G234" s="10" t="str">
        <x:v>필수 의미와 지칭 집합 일치</x:v>
      </x:c>
    </x:row>
    <x:row r="235" ht="145" customHeight="1">
      <x:c r="A235" s="10" t="str">
        <x:v>T-BASE</x:v>
      </x:c>
      <x:c r="B235" s="10" t="str">
        <x:v>TEXT</x:v>
      </x:c>
      <x:c r="C235" s="10" t="str">
        <x:v>TEXT:SYN-F04-09-U02</x:v>
      </x:c>
      <x:c r="D235" s="10" t="str">
        <x:v>{"conditions":["기존 발표자료는 v1 유지","일 운영비 변경 확인","책임자 확인 항목 확인"],"data_source":"SYN-F04-09:D3@v2","goal":"동일 자료 최신 판본의 변경사항 별도 조회","prior_task_action":"keep","targets":["SYN-F04-09:D3@v2"]}</x:v>
      </x:c>
      <x:c r="E235" s="10" t="str">
        <x:v>{"conditions":["기존 발표자료는 v1 유지","일 운영비 변경 확인","책임자 확인 항목 확인"],"data_source":"SYN-F04-09:D3@v2","goal":"동일 자료 최신 판본의 변경사항 별도 조회","prior_task_action":"keep","targets":["SYN-F04-09:D3@v2"]}</x:v>
      </x:c>
      <x:c r="F235" s="10" t="n">
        <x:f>IF(D235=E235,1,0)</x:f>
        <x:v>1</x:v>
      </x:c>
      <x:c r="G235" s="10" t="str">
        <x:v>필수 의미와 지칭 집합 일치</x:v>
      </x:c>
    </x:row>
    <x:row r="236" ht="145" customHeight="1">
      <x:c r="A236" s="10" t="str">
        <x:v>T-EXEC</x:v>
      </x:c>
      <x:c r="B236" s="10" t="str">
        <x:v>TEXT</x:v>
      </x:c>
      <x:c r="C236" s="10" t="str">
        <x:v>TEXT:SYN-F04-09-U01</x:v>
      </x:c>
      <x:c r="D236" s="10" t="str">
        <x:v>{"conditions":["7장 이내","대상 기간 적용 후 4주","배송 협력사 설명회용","외부 발송 없음","주문당 이동 180m 이하","평가 당시 v1 유지"],"data_source":"SYN-F04-09:D3@v1","goal":"파도 창고배치 변경 배치 변경 발표자료 작성 위임","prior_task_action":"new","targets":["SYN-F04-09:D3@v1"]}</x:v>
      </x:c>
      <x:c r="E236" s="10" t="str">
        <x:v>{"conditions":["7장 이내","대상 기간 적용 후 4주","배송 협력사 설명회용","외부 발송 없음","주문당 이동 180m 이하","평가 당시 v1 유지"],"data_source":"SYN-F04-09:D3@v1","goal":"파도 창고배치 변경 배치 변경 발표자료 작성 위임","prior_task_action":"new","targets":["SYN-F04-09:D3@v1"]}</x:v>
      </x:c>
      <x:c r="F236" s="10" t="n">
        <x:f>IF(D236=E236,1,0)</x:f>
        <x:v>1</x:v>
      </x:c>
      <x:c r="G236" s="10" t="str">
        <x:v>필수 의미와 지칭 집합 일치</x:v>
      </x:c>
    </x:row>
    <x:row r="237" ht="145" customHeight="1">
      <x:c r="A237" s="10" t="str">
        <x:v>T-EXEC</x:v>
      </x:c>
      <x:c r="B237" s="10" t="str">
        <x:v>TEXT</x:v>
      </x:c>
      <x:c r="C237" s="10" t="str">
        <x:v>TEXT:SYN-F04-09-U02</x:v>
      </x:c>
      <x:c r="D237" s="10" t="str">
        <x:v>{"conditions":["기존 발표자료는 v1 유지","일 운영비 변경 확인","책임자 확인 항목 확인"],"data_source":"SYN-F04-09:D3@v2","goal":"동일 자료 최신 판본의 변경사항 별도 조회","prior_task_action":"keep","targets":["SYN-F04-09:D3@v2"]}</x:v>
      </x:c>
      <x:c r="E237" s="10" t="str">
        <x:v>{"conditions":["기존 발표자료는 v1 유지","일 운영비 변경 확인","책임자 확인 항목 확인"],"data_source":"SYN-F04-09:D3@v2","goal":"동일 자료 최신 판본의 변경사항 별도 조회","prior_task_action":"keep","targets":["SYN-F04-09:D3@v2"]}</x:v>
      </x:c>
      <x:c r="F237" s="10" t="n">
        <x:f>IF(D237=E237,1,0)</x:f>
        <x:v>1</x:v>
      </x:c>
      <x:c r="G237" s="10" t="str">
        <x:v>필수 의미와 지칭 집합 일치</x:v>
      </x:c>
    </x:row>
    <x:row r="238" ht="145" customHeight="1">
      <x:c r="A238" s="10" t="str">
        <x:v>T-REL</x:v>
      </x:c>
      <x:c r="B238" s="10" t="str">
        <x:v>TEXT</x:v>
      </x:c>
      <x:c r="C238" s="10" t="str">
        <x:v>TEXT:SYN-F04-09-U01</x:v>
      </x:c>
      <x:c r="D238" s="10" t="str">
        <x:v>{"conditions":["7장 이내","대상 기간 적용 후 4주","배송 협력사 설명회용","외부 발송 없음","주문당 이동 180m 이하","평가 당시 v1 유지"],"data_source":"SYN-F04-09:D3@v1","goal":"파도 창고배치 변경 배치 변경 발표자료 작성 위임","prior_task_action":"new","targets":["SYN-F04-09:D3@v1"]}</x:v>
      </x:c>
      <x:c r="E238" s="10" t="str">
        <x:v>{"conditions":["7장 이내","대상 기간 적용 후 4주","배송 협력사 설명회용","외부 발송 없음","주문당 이동 180m 이하","평가 당시 v1 유지"],"data_source":"SYN-F04-09:D3@v1","goal":"파도 창고배치 변경 배치 변경 발표자료 작성 위임","prior_task_action":"new","targets":["SYN-F04-09:D3@v1"]}</x:v>
      </x:c>
      <x:c r="F238" s="10" t="n">
        <x:f>IF(D238=E238,1,0)</x:f>
        <x:v>1</x:v>
      </x:c>
      <x:c r="G238" s="10" t="str">
        <x:v>필수 의미와 지칭 집합 일치</x:v>
      </x:c>
    </x:row>
    <x:row r="239" ht="145" customHeight="1">
      <x:c r="A239" s="10" t="str">
        <x:v>T-REL</x:v>
      </x:c>
      <x:c r="B239" s="10" t="str">
        <x:v>TEXT</x:v>
      </x:c>
      <x:c r="C239" s="10" t="str">
        <x:v>TEXT:SYN-F04-09-U02</x:v>
      </x:c>
      <x:c r="D239" s="10" t="str">
        <x:v>{"conditions":["기존 발표자료는 v1 유지","일 운영비 변경 확인","책임자 확인 항목 확인"],"data_source":"SYN-F04-09:D3@v2","goal":"동일 자료 최신 판본의 변경사항 별도 조회","prior_task_action":"keep","targets":["SYN-F04-09:D3@v2"]}</x:v>
      </x:c>
      <x:c r="E239" s="10" t="str">
        <x:v>{"conditions":["기존 발표자료는 v1 유지","일 운영비 변경 확인","책임자 확인 항목 확인"],"data_source":"SYN-F04-09:D3@v2","goal":"동일 자료 최신 판본의 변경사항 별도 조회","prior_task_action":"keep","targets":["SYN-F04-09:D3@v2"]}</x:v>
      </x:c>
      <x:c r="F239" s="10" t="n">
        <x:f>IF(D239=E239,1,0)</x:f>
        <x:v>1</x:v>
      </x:c>
      <x:c r="G239" s="10" t="str">
        <x:v>필수 의미와 지칭 집합 일치</x:v>
      </x:c>
    </x:row>
    <x:row r="240" ht="145" customHeight="1">
      <x:c r="A240" s="10" t="str">
        <x:v>T-BASE</x:v>
      </x:c>
      <x:c r="B240" s="10" t="str">
        <x:v>TEXT</x:v>
      </x:c>
      <x:c r="C240" s="10" t="str">
        <x:v>TEXT:SYN-F04-10-U01</x:v>
      </x:c>
      <x:c r="D240" s="10" t="str">
        <x:v>{"conditions":["5장 이내","대상 기간 출시 후 2개월","부서대표 설명회용","외부 발송 없음","첫 화면 메뉴 9개 이하","평가 당시 v1 유지"],"data_source":"SYN-F04-10:D2@v1","goal":"온유 사내포털 개편 포털 개선 발표자료 작성 위임","prior_task_action":"new","targets":["SYN-F04-10:D2@v1"]}</x:v>
      </x:c>
      <x:c r="E240" s="10" t="str">
        <x:v>{"conditions":["5장 이내","대상 기간 출시 후 2개월","부서대표 설명회용","외부 발송 없음","첫 화면 메뉴 9개 이하","평가 당시 v1 유지"],"data_source":"SYN-F04-10:D2@v2","goal":"온유 사내포털 개편 포털 개선 발표자료 작성 위임","prior_task_action":"new","targets":["SYN-F04-10:D2@v2"]}</x:v>
      </x:c>
      <x:c r="F240" s="10" t="n">
        <x:f>IF(D240=E240,1,0)</x:f>
        <x:v>0</x:v>
      </x:c>
      <x:c r="G240" s="10" t="str">
        <x:v>현재 입력과 원본의 대상 관계를 잘못 연결</x:v>
      </x:c>
    </x:row>
    <x:row r="241" ht="145" customHeight="1">
      <x:c r="A241" s="10" t="str">
        <x:v>T-BASE</x:v>
      </x:c>
      <x:c r="B241" s="10" t="str">
        <x:v>TEXT</x:v>
      </x:c>
      <x:c r="C241" s="10" t="str">
        <x:v>TEXT:SYN-F04-10-U02</x:v>
      </x:c>
      <x:c r="D241" s="10" t="str">
        <x:v>{"conditions":["기존 발표자료는 v1 유지","월 운영비 변경 확인","책임자 확인 항목 확인"],"data_source":"SYN-F04-10:D2@v2","goal":"동일 자료 최신 판본의 변경사항 별도 조회","prior_task_action":"keep","targets":["SYN-F04-10:D2@v2"]}</x:v>
      </x:c>
      <x:c r="E241" s="10" t="str">
        <x:v>{"conditions":["기존 발표자료는 v1 유지","월 운영비 변경 확인","책임자 확인 항목 확인"],"data_source":"SYN-F04-10:D2@v2","goal":"동일 자료 최신 판본의 변경사항 별도 조회","prior_task_action":"keep","targets":["SYN-F04-10:D2@v2"]}</x:v>
      </x:c>
      <x:c r="F241" s="10" t="n">
        <x:f>IF(D241=E241,1,0)</x:f>
        <x:v>1</x:v>
      </x:c>
      <x:c r="G241" s="10" t="str">
        <x:v>필수 의미와 지칭 집합 일치</x:v>
      </x:c>
    </x:row>
    <x:row r="242" ht="145" customHeight="1">
      <x:c r="A242" s="10" t="str">
        <x:v>T-EXEC</x:v>
      </x:c>
      <x:c r="B242" s="10" t="str">
        <x:v>TEXT</x:v>
      </x:c>
      <x:c r="C242" s="10" t="str">
        <x:v>TEXT:SYN-F04-10-U01</x:v>
      </x:c>
      <x:c r="D242" s="10" t="str">
        <x:v>{"conditions":["5장 이내","대상 기간 출시 후 2개월","부서대표 설명회용","외부 발송 없음","첫 화면 메뉴 9개 이하","평가 당시 v1 유지"],"data_source":"SYN-F04-10:D2@v1","goal":"온유 사내포털 개편 포털 개선 발표자료 작성 위임","prior_task_action":"new","targets":["SYN-F04-10:D2@v1"]}</x:v>
      </x:c>
      <x:c r="E242" s="10" t="str">
        <x:v>{"conditions":["5장 이내","대상 기간 출시 후 2개월","부서대표 설명회용","외부 발송 없음","첫 화면 메뉴 9개 이하","평가 당시 v1 유지"],"data_source":"SYN-F04-10:D2@v2","goal":"온유 사내포털 개편 포털 개선 발표자료 작성 위임","prior_task_action":"new","targets":["SYN-F04-10:D2@v2"]}</x:v>
      </x:c>
      <x:c r="F242" s="10" t="n">
        <x:f>IF(D242=E242,1,0)</x:f>
        <x:v>0</x:v>
      </x:c>
      <x:c r="G242" s="10" t="str">
        <x:v>현재 입력과 원본의 대상 관계를 잘못 연결</x:v>
      </x:c>
    </x:row>
    <x:row r="243" ht="145" customHeight="1">
      <x:c r="A243" s="10" t="str">
        <x:v>T-EXEC</x:v>
      </x:c>
      <x:c r="B243" s="10" t="str">
        <x:v>TEXT</x:v>
      </x:c>
      <x:c r="C243" s="10" t="str">
        <x:v>TEXT:SYN-F04-10-U02</x:v>
      </x:c>
      <x:c r="D243" s="10" t="str">
        <x:v>{"conditions":["기존 발표자료는 v1 유지","월 운영비 변경 확인","책임자 확인 항목 확인"],"data_source":"SYN-F04-10:D2@v2","goal":"동일 자료 최신 판본의 변경사항 별도 조회","prior_task_action":"keep","targets":["SYN-F04-10:D2@v2"]}</x:v>
      </x:c>
      <x:c r="E243" s="10" t="str">
        <x:v>{"conditions":["기존 발표자료는 v1 유지","월 운영비 변경 확인","책임자 확인 항목 확인"],"data_source":"SYN-F04-10:D2@v2","goal":"동일 자료 최신 판본의 변경사항 별도 조회","prior_task_action":"keep","targets":["SYN-F04-10:D2@v2"]}</x:v>
      </x:c>
      <x:c r="F243" s="10" t="n">
        <x:f>IF(D243=E243,1,0)</x:f>
        <x:v>1</x:v>
      </x:c>
      <x:c r="G243" s="10" t="str">
        <x:v>필수 의미와 지칭 집합 일치</x:v>
      </x:c>
    </x:row>
    <x:row r="244" ht="145" customHeight="1">
      <x:c r="A244" s="10" t="str">
        <x:v>T-REL</x:v>
      </x:c>
      <x:c r="B244" s="10" t="str">
        <x:v>TEXT</x:v>
      </x:c>
      <x:c r="C244" s="10" t="str">
        <x:v>TEXT:SYN-F04-10-U01</x:v>
      </x:c>
      <x:c r="D244" s="10" t="str">
        <x:v>{"conditions":["5장 이내","대상 기간 출시 후 2개월","부서대표 설명회용","외부 발송 없음","첫 화면 메뉴 9개 이하","평가 당시 v1 유지"],"data_source":"SYN-F04-10:D2@v1","goal":"온유 사내포털 개편 포털 개선 발표자료 작성 위임","prior_task_action":"new","targets":["SYN-F04-10:D2@v1"]}</x:v>
      </x:c>
      <x:c r="E244" s="10" t="str">
        <x:v>{"conditions":["5장 이내","대상 기간 출시 후 2개월","부서대표 설명회용","외부 발송 없음","첫 화면 메뉴 9개 이하","평가 당시 v1 유지"],"data_source":"SYN-F04-10:D2@v2","goal":"온유 사내포털 개편 포털 개선 발표자료 작성 위임","prior_task_action":"new","targets":["SYN-F04-10:D2@v2"]}</x:v>
      </x:c>
      <x:c r="F244" s="10" t="n">
        <x:f>IF(D244=E244,1,0)</x:f>
        <x:v>0</x:v>
      </x:c>
      <x:c r="G244" s="10" t="str">
        <x:v>게시 관계 또는 원본 보완에서 자료 판본을 잘못 연결</x:v>
      </x:c>
    </x:row>
    <x:row r="245" ht="145" customHeight="1">
      <x:c r="A245" s="10" t="str">
        <x:v>T-REL</x:v>
      </x:c>
      <x:c r="B245" s="10" t="str">
        <x:v>TEXT</x:v>
      </x:c>
      <x:c r="C245" s="10" t="str">
        <x:v>TEXT:SYN-F04-10-U02</x:v>
      </x:c>
      <x:c r="D245" s="10" t="str">
        <x:v>{"conditions":["기존 발표자료는 v1 유지","월 운영비 변경 확인","책임자 확인 항목 확인"],"data_source":"SYN-F04-10:D2@v2","goal":"동일 자료 최신 판본의 변경사항 별도 조회","prior_task_action":"keep","targets":["SYN-F04-10:D2@v2"]}</x:v>
      </x:c>
      <x:c r="E245" s="10" t="str">
        <x:v>{"conditions":["기존 발표자료는 v1 유지","월 운영비 변경 확인","책임자 확인 항목 확인"],"data_source":"SYN-F04-10:D2@v2","goal":"동일 자료 최신 판본의 변경사항 별도 조회","prior_task_action":"keep","targets":["SYN-F04-10:D2@v2"]}</x:v>
      </x:c>
      <x:c r="F245" s="10" t="n">
        <x:f>IF(D245=E245,1,0)</x:f>
        <x:v>1</x:v>
      </x:c>
      <x:c r="G245" s="10" t="str">
        <x:v>필수 의미와 지칭 집합 일치</x:v>
      </x:c>
    </x:row>
    <x:row r="246" ht="145" customHeight="1">
      <x:c r="A246" s="10" t="str">
        <x:v>T-BASE</x:v>
      </x:c>
      <x:c r="B246" s="10" t="str">
        <x:v>TEXT</x:v>
      </x:c>
      <x:c r="C246" s="10" t="str">
        <x:v>TEXT:SYN-F05-01-U01</x:v>
      </x:c>
      <x:c r="D246" s="10" t="str">
        <x:v>{"conditions":["5장 이내","대상 기간 첫 12개월","서비스 운영위원회용","외부 발송 없음","월 운영비 240만원 이하"],"data_source":"SYN-F05-01:D3@v1","goal":"오로라 고객센터 전환 전환 검토 발표자료 작성 위임","prior_task_action":"new","targets":["SYN-F05-01:D3@v1"]}</x:v>
      </x:c>
      <x:c r="E246" s="10" t="str">
        <x:v>{"conditions":["5장 이내","대상 기간 첫 12개월","서비스 운영위원회용","외부 발송 없음","월 운영비 240만원 이하"],"data_source":"SYN-F05-01:D3@v1","goal":"오로라 고객센터 전환 전환 검토 발표자료 작성 위임","prior_task_action":"new","targets":["SYN-F05-01:D3@v1"]}</x:v>
      </x:c>
      <x:c r="F246" s="10" t="n">
        <x:f>IF(D246=E246,1,0)</x:f>
        <x:v>1</x:v>
      </x:c>
      <x:c r="G246" s="10" t="str">
        <x:v>필수 의미와 지칭 집합 일치</x:v>
      </x:c>
    </x:row>
    <x:row r="247" ht="145" customHeight="1">
      <x:c r="A247" s="10" t="str">
        <x:v>T-BASE</x:v>
      </x:c>
      <x:c r="B247" s="10" t="str">
        <x:v>TEXT</x:v>
      </x:c>
      <x:c r="C247" s="10" t="str">
        <x:v>TEXT:SYN-F05-01-U02</x:v>
      </x:c>
      <x:c r="D247" s="10" t="str">
        <x:v>{"conditions":["3장 이내","대상 기간 첫 12개월","서비스 운영위원회용","야간 상담 배정 항목을 첫 장에 제시","외부 발송 없음","월 운영비 240만원 이하","초기 설치비 제외"],"data_source":"SYN-F05-01:D3@v1","goal":"오로라 고객센터 전환 전환 검토 발표자료 작성 위임","prior_task_action":"revise","targets":["SYN-F05-01:D3@v1"]}</x:v>
      </x:c>
      <x:c r="E247" s="10" t="str">
        <x:v>{"conditions":["3장 이내","대상 기간 첫 12개월","서비스 운영위원회용","야간 상담 배정 항목을 첫 장에 제시","외부 발송 없음","월 운영비 240만원 이하","초기 설치비 제외"],"data_source":"SYN-F05-01:D3@v1","goal":"오로라 고객센터 전환 전환 검토 발표자료 작성 위임","prior_task_action":"revise","targets":["SYN-F05-01:D3@v1"]}</x:v>
      </x:c>
      <x:c r="F247" s="10" t="n">
        <x:f>IF(D247=E247,1,0)</x:f>
        <x:v>1</x:v>
      </x:c>
      <x:c r="G247" s="10" t="str">
        <x:v>필수 의미와 지칭 집합 일치</x:v>
      </x:c>
    </x:row>
    <x:row r="248" ht="145" customHeight="1">
      <x:c r="A248" s="10" t="str">
        <x:v>T-EXEC</x:v>
      </x:c>
      <x:c r="B248" s="10" t="str">
        <x:v>TEXT</x:v>
      </x:c>
      <x:c r="C248" s="10" t="str">
        <x:v>TEXT:SYN-F05-01-U01</x:v>
      </x:c>
      <x:c r="D248" s="10" t="str">
        <x:v>{"conditions":["5장 이내","대상 기간 첫 12개월","서비스 운영위원회용","외부 발송 없음","월 운영비 240만원 이하"],"data_source":"SYN-F05-01:D3@v1","goal":"오로라 고객센터 전환 전환 검토 발표자료 작성 위임","prior_task_action":"new","targets":["SYN-F05-01:D3@v1"]}</x:v>
      </x:c>
      <x:c r="E248" s="10" t="str">
        <x:v>{"conditions":["5장 이내","대상 기간 첫 12개월","서비스 운영위원회용","외부 발송 없음","월 운영비 240만원 이하"],"data_source":"SYN-F05-01:D3@v1","goal":"오로라 고객센터 전환 전환 검토 발표자료 작성 위임","prior_task_action":"new","targets":["SYN-F05-01:D3@v1"]}</x:v>
      </x:c>
      <x:c r="F248" s="10" t="n">
        <x:f>IF(D248=E248,1,0)</x:f>
        <x:v>1</x:v>
      </x:c>
      <x:c r="G248" s="10" t="str">
        <x:v>필수 의미와 지칭 집합 일치</x:v>
      </x:c>
    </x:row>
    <x:row r="249" ht="145" customHeight="1">
      <x:c r="A249" s="10" t="str">
        <x:v>T-EXEC</x:v>
      </x:c>
      <x:c r="B249" s="10" t="str">
        <x:v>TEXT</x:v>
      </x:c>
      <x:c r="C249" s="10" t="str">
        <x:v>TEXT:SYN-F05-01-U02</x:v>
      </x:c>
      <x:c r="D249" s="10" t="str">
        <x:v>{"conditions":["3장 이내","대상 기간 첫 12개월","서비스 운영위원회용","야간 상담 배정 항목을 첫 장에 제시","외부 발송 없음","월 운영비 240만원 이하","초기 설치비 제외"],"data_source":"SYN-F05-01:D3@v1","goal":"오로라 고객센터 전환 전환 검토 발표자료 작성 위임","prior_task_action":"revise","targets":["SYN-F05-01:D3@v1"]}</x:v>
      </x:c>
      <x:c r="E249" s="10" t="str">
        <x:v>{"conditions":["3장 이내","대상 기간 첫 12개월","서비스 운영위원회용","야간 상담 배정 항목을 첫 장에 제시","외부 발송 없음","월 운영비 240만원 이하","초기 설치비 제외"],"data_source":"SYN-F05-01:D3@v1","goal":"오로라 고객센터 전환 전환 검토 발표자료 작성 위임","prior_task_action":"revise","targets":["SYN-F05-01:D3@v1"]}</x:v>
      </x:c>
      <x:c r="F249" s="10" t="n">
        <x:f>IF(D249=E249,1,0)</x:f>
        <x:v>1</x:v>
      </x:c>
      <x:c r="G249" s="10" t="str">
        <x:v>필수 의미와 지칭 집합 일치</x:v>
      </x:c>
    </x:row>
    <x:row r="250" ht="145" customHeight="1">
      <x:c r="A250" s="10" t="str">
        <x:v>T-REL</x:v>
      </x:c>
      <x:c r="B250" s="10" t="str">
        <x:v>TEXT</x:v>
      </x:c>
      <x:c r="C250" s="10" t="str">
        <x:v>TEXT:SYN-F05-01-U01</x:v>
      </x:c>
      <x:c r="D250" s="10" t="str">
        <x:v>{"conditions":["5장 이내","대상 기간 첫 12개월","서비스 운영위원회용","외부 발송 없음","월 운영비 240만원 이하"],"data_source":"SYN-F05-01:D3@v1","goal":"오로라 고객센터 전환 전환 검토 발표자료 작성 위임","prior_task_action":"new","targets":["SYN-F05-01:D3@v1"]}</x:v>
      </x:c>
      <x:c r="E250" s="10" t="str">
        <x:v>{"conditions":["5장 이내","대상 기간 첫 12개월","서비스 운영위원회용","외부 발송 없음","월 운영비 240만원 이하"],"data_source":"SYN-F05-01:D3@v1","goal":"오로라 고객센터 전환 전환 검토 발표자료 작성 위임","prior_task_action":"new","targets":["SYN-F05-01:D3@v1"]}</x:v>
      </x:c>
      <x:c r="F250" s="10" t="n">
        <x:f>IF(D250=E250,1,0)</x:f>
        <x:v>1</x:v>
      </x:c>
      <x:c r="G250" s="10" t="str">
        <x:v>필수 의미와 지칭 집합 일치</x:v>
      </x:c>
    </x:row>
    <x:row r="251" ht="145" customHeight="1">
      <x:c r="A251" s="10" t="str">
        <x:v>T-REL</x:v>
      </x:c>
      <x:c r="B251" s="10" t="str">
        <x:v>TEXT</x:v>
      </x:c>
      <x:c r="C251" s="10" t="str">
        <x:v>TEXT:SYN-F05-01-U02</x:v>
      </x:c>
      <x:c r="D251" s="10" t="str">
        <x:v>{"conditions":["3장 이내","대상 기간 첫 12개월","서비스 운영위원회용","야간 상담 배정 항목을 첫 장에 제시","외부 발송 없음","월 운영비 240만원 이하","초기 설치비 제외"],"data_source":"SYN-F05-01:D3@v1","goal":"오로라 고객센터 전환 전환 검토 발표자료 작성 위임","prior_task_action":"revise","targets":["SYN-F05-01:D3@v1"]}</x:v>
      </x:c>
      <x:c r="E251" s="10" t="str">
        <x:v>{"conditions":["3장 이내","대상 기간 첫 12개월","서비스 운영위원회용","야간 상담 배정 항목을 첫 장에 제시","외부 발송 없음","월 운영비 240만원 이하","초기 설치비 제외"],"data_source":"SYN-F05-01:D3@v1","goal":"오로라 고객센터 전환 전환 검토 발표자료 작성 위임","prior_task_action":"revise","targets":["SYN-F05-01:D3@v1"]}</x:v>
      </x:c>
      <x:c r="F251" s="10" t="n">
        <x:f>IF(D251=E251,1,0)</x:f>
        <x:v>1</x:v>
      </x:c>
      <x:c r="G251" s="10" t="str">
        <x:v>필수 의미와 지칭 집합 일치</x:v>
      </x:c>
    </x:row>
    <x:row r="252" ht="145" customHeight="1">
      <x:c r="A252" s="10" t="str">
        <x:v>T-BASE</x:v>
      </x:c>
      <x:c r="B252" s="10" t="str">
        <x:v>TEXT</x:v>
      </x:c>
      <x:c r="C252" s="10" t="str">
        <x:v>TEXT:SYN-F05-02-U01</x:v>
      </x:c>
      <x:c r="D252" s="10" t="str">
        <x:v>{"conditions":["4장 이내","대상 기간 전시 4주","외부 발송 없음","주말 운영 인력 12명 이하","참가업체 설명회용"],"data_source":"SYN-F05-02:D2@v1","goal":"봄길 지역전시 준비 운영 제안 발표자료 작성 위임","prior_task_action":"new","targets":["SYN-F05-02:D2@v1"]}</x:v>
      </x:c>
      <x:c r="E252" s="10" t="str">
        <x:v>{"conditions":["4장 이내","대상 기간 전시 4주","외부 발송 없음","주말 운영 인력 12명 이하","참가업체 설명회용"],"data_source":"SYN-F05-02:D2@v1","goal":"봄길 지역전시 준비 운영 제안 발표자료 작성 위임","prior_task_action":"new","targets":["SYN-F05-02:D2@v1"]}</x:v>
      </x:c>
      <x:c r="F252" s="10" t="n">
        <x:f>IF(D252=E252,1,0)</x:f>
        <x:v>1</x:v>
      </x:c>
      <x:c r="G252" s="10" t="str">
        <x:v>필수 의미와 지칭 집합 일치</x:v>
      </x:c>
    </x:row>
    <x:row r="253" ht="145" customHeight="1">
      <x:c r="A253" s="10" t="str">
        <x:v>T-BASE</x:v>
      </x:c>
      <x:c r="B253" s="10" t="str">
        <x:v>TEXT</x:v>
      </x:c>
      <x:c r="C253" s="10" t="str">
        <x:v>TEXT:SYN-F05-02-U02</x:v>
      </x:c>
      <x:c r="D253" s="10" t="str">
        <x:v>{"conditions":["2장 이내","대상 기간 전시 4주","외부 발송 없음","일회성 장식비 제외","주말 운영 인력 12명 이하","참가업체 설명회용","혼잡 시간 입장 동선 항목을 첫 장에 제시"],"data_source":"SYN-F05-02:D2@v1","goal":"봄길 지역전시 준비 운영 제안 발표자료 작성 위임","prior_task_action":"revise","targets":["SYN-F05-02:D2@v1"]}</x:v>
      </x:c>
      <x:c r="E253" s="10" t="str">
        <x:v>{"conditions":["2장 이내","대상 기간 전시 4주","외부 발송 없음","일회성 장식비 제외","주말 운영 인력 12명 이하","참가업체 설명회용","혼잡 시간 입장 동선 항목을 첫 장에 제시"],"data_source":"SYN-F05-02:D2@v1","goal":"봄길 지역전시 준비 운영 제안 발표자료 작성 위임","prior_task_action":"revise","targets":["SYN-F05-02:D2@v1"]}</x:v>
      </x:c>
      <x:c r="F253" s="10" t="n">
        <x:f>IF(D253=E253,1,0)</x:f>
        <x:v>1</x:v>
      </x:c>
      <x:c r="G253" s="10" t="str">
        <x:v>필수 의미와 지칭 집합 일치</x:v>
      </x:c>
    </x:row>
    <x:row r="254" ht="145" customHeight="1">
      <x:c r="A254" s="10" t="str">
        <x:v>T-EXEC</x:v>
      </x:c>
      <x:c r="B254" s="10" t="str">
        <x:v>TEXT</x:v>
      </x:c>
      <x:c r="C254" s="10" t="str">
        <x:v>TEXT:SYN-F05-02-U01</x:v>
      </x:c>
      <x:c r="D254" s="10" t="str">
        <x:v>{"conditions":["4장 이내","대상 기간 전시 4주","외부 발송 없음","주말 운영 인력 12명 이하","참가업체 설명회용"],"data_source":"SYN-F05-02:D2@v1","goal":"봄길 지역전시 준비 운영 제안 발표자료 작성 위임","prior_task_action":"new","targets":["SYN-F05-02:D2@v1"]}</x:v>
      </x:c>
      <x:c r="E254" s="10" t="str">
        <x:v>{"conditions":["4장 이내","대상 기간 전시 4주","외부 발송 없음","주말 운영 인력 12명 이하","참가업체 설명회용"],"data_source":"SYN-F05-02:D2@v1","goal":"봄길 지역전시 준비 운영 제안 발표자료 작성 위임","prior_task_action":"new","targets":["SYN-F05-02:D2@v1"]}</x:v>
      </x:c>
      <x:c r="F254" s="10" t="n">
        <x:f>IF(D254=E254,1,0)</x:f>
        <x:v>1</x:v>
      </x:c>
      <x:c r="G254" s="10" t="str">
        <x:v>필수 의미와 지칭 집합 일치</x:v>
      </x:c>
    </x:row>
    <x:row r="255" ht="145" customHeight="1">
      <x:c r="A255" s="10" t="str">
        <x:v>T-EXEC</x:v>
      </x:c>
      <x:c r="B255" s="10" t="str">
        <x:v>TEXT</x:v>
      </x:c>
      <x:c r="C255" s="10" t="str">
        <x:v>TEXT:SYN-F05-02-U02</x:v>
      </x:c>
      <x:c r="D255" s="10" t="str">
        <x:v>{"conditions":["2장 이내","대상 기간 전시 4주","외부 발송 없음","일회성 장식비 제외","주말 운영 인력 12명 이하","참가업체 설명회용","혼잡 시간 입장 동선 항목을 첫 장에 제시"],"data_source":"SYN-F05-02:D2@v1","goal":"봄길 지역전시 준비 운영 제안 발표자료 작성 위임","prior_task_action":"revise","targets":["SYN-F05-02:D2@v1"]}</x:v>
      </x:c>
      <x:c r="E255" s="10" t="str">
        <x:v>{"conditions":["2장 이내","대상 기간 전시 4주","외부 발송 없음","일회성 장식비 제외","주말 운영 인력 12명 이하","참가업체 설명회용","혼잡 시간 입장 동선 항목을 첫 장에 제시"],"data_source":"SYN-F05-02:D2@v1","goal":"봄길 지역전시 준비 운영 제안 발표자료 작성 위임","prior_task_action":"revise","targets":["SYN-F05-02:D2@v1"]}</x:v>
      </x:c>
      <x:c r="F255" s="10" t="n">
        <x:f>IF(D255=E255,1,0)</x:f>
        <x:v>1</x:v>
      </x:c>
      <x:c r="G255" s="10" t="str">
        <x:v>필수 의미와 지칭 집합 일치</x:v>
      </x:c>
    </x:row>
    <x:row r="256" ht="145" customHeight="1">
      <x:c r="A256" s="10" t="str">
        <x:v>T-REL</x:v>
      </x:c>
      <x:c r="B256" s="10" t="str">
        <x:v>TEXT</x:v>
      </x:c>
      <x:c r="C256" s="10" t="str">
        <x:v>TEXT:SYN-F05-02-U01</x:v>
      </x:c>
      <x:c r="D256" s="10" t="str">
        <x:v>{"conditions":["4장 이내","대상 기간 전시 4주","외부 발송 없음","주말 운영 인력 12명 이하","참가업체 설명회용"],"data_source":"SYN-F05-02:D2@v1","goal":"봄길 지역전시 준비 운영 제안 발표자료 작성 위임","prior_task_action":"new","targets":["SYN-F05-02:D2@v1"]}</x:v>
      </x:c>
      <x:c r="E256" s="10" t="str">
        <x:v>{"conditions":["4장 이내","대상 기간 전시 4주","외부 발송 없음","주말 운영 인력 12명 이하","참가업체 설명회용"],"data_source":"SYN-F05-02:D2@v1","goal":"봄길 지역전시 준비 운영 제안 발표자료 작성 위임","prior_task_action":"new","targets":["SYN-F05-02:D2@v1"]}</x:v>
      </x:c>
      <x:c r="F256" s="10" t="n">
        <x:f>IF(D256=E256,1,0)</x:f>
        <x:v>1</x:v>
      </x:c>
      <x:c r="G256" s="10" t="str">
        <x:v>필수 의미와 지칭 집합 일치</x:v>
      </x:c>
    </x:row>
    <x:row r="257" ht="145" customHeight="1">
      <x:c r="A257" s="10" t="str">
        <x:v>T-REL</x:v>
      </x:c>
      <x:c r="B257" s="10" t="str">
        <x:v>TEXT</x:v>
      </x:c>
      <x:c r="C257" s="10" t="str">
        <x:v>TEXT:SYN-F05-02-U02</x:v>
      </x:c>
      <x:c r="D257" s="10" t="str">
        <x:v>{"conditions":["2장 이내","대상 기간 전시 4주","외부 발송 없음","일회성 장식비 제외","주말 운영 인력 12명 이하","참가업체 설명회용","혼잡 시간 입장 동선 항목을 첫 장에 제시"],"data_source":"SYN-F05-02:D2@v1","goal":"봄길 지역전시 준비 운영 제안 발표자료 작성 위임","prior_task_action":"revise","targets":["SYN-F05-02:D2@v1"]}</x:v>
      </x:c>
      <x:c r="E257" s="10" t="str">
        <x:v>{"conditions":["2장 이내","대상 기간 전시 4주","외부 발송 없음","일회성 장식비 제외","주말 운영 인력 12명 이하","참가업체 설명회용","혼잡 시간 입장 동선 항목을 첫 장에 제시"],"data_source":"SYN-F05-02:D2@v1","goal":"봄길 지역전시 준비 운영 제안 발표자료 작성 위임","prior_task_action":"revise","targets":["SYN-F05-02:D2@v1"]}</x:v>
      </x:c>
      <x:c r="F257" s="10" t="n">
        <x:f>IF(D257=E257,1,0)</x:f>
        <x:v>1</x:v>
      </x:c>
      <x:c r="G257" s="10" t="str">
        <x:v>필수 의미와 지칭 집합 일치</x:v>
      </x:c>
    </x:row>
    <x:row r="258" ht="145" customHeight="1">
      <x:c r="A258" s="10" t="str">
        <x:v>T-BASE</x:v>
      </x:c>
      <x:c r="B258" s="10" t="str">
        <x:v>TEXT</x:v>
      </x:c>
      <x:c r="C258" s="10" t="str">
        <x:v>TEXT:SYN-F05-03-U01</x:v>
      </x:c>
      <x:c r="D258" s="10" t="str">
        <x:v>{"conditions":["6장 이내","교육 승인위원회용","대상 기간 입사 후 3주","외부 발송 없음","참가자당 교육시간 18시간 이하"],"data_source":"SYN-F05-03:D1@v1","goal":"해온 신입교육 개편 교육 개편 발표자료 작성 위임","prior_task_action":"new","targets":["SYN-F05-03:D1@v1"]}</x:v>
      </x:c>
      <x:c r="E258" s="10" t="str">
        <x:v>{"conditions":["6장 이내","교육 승인위원회용","대상 기간 입사 후 3주","외부 발송 없음","참가자당 교육시간 18시간 이하"],"data_source":"SYN-F05-03:D1@v1","goal":"해온 신입교육 개편 교육 개편 발표자료 작성 위임","prior_task_action":"new","targets":["SYN-F05-03:D1@v1"]}</x:v>
      </x:c>
      <x:c r="F258" s="10" t="n">
        <x:f>IF(D258=E258,1,0)</x:f>
        <x:v>1</x:v>
      </x:c>
      <x:c r="G258" s="10" t="str">
        <x:v>필수 의미와 지칭 집합 일치</x:v>
      </x:c>
    </x:row>
    <x:row r="259" ht="145" customHeight="1">
      <x:c r="A259" s="10" t="str">
        <x:v>T-BASE</x:v>
      </x:c>
      <x:c r="B259" s="10" t="str">
        <x:v>TEXT</x:v>
      </x:c>
      <x:c r="C259" s="10" t="str">
        <x:v>TEXT:SYN-F05-03-U02</x:v>
      </x:c>
      <x:c r="D259" s="10" t="str">
        <x:v>{"conditions":["4장 이내","교육 승인위원회용","대상 기간 입사 후 3주","숙박비 제외","실습과 피드백 순서 항목을 첫 장에 제시","외부 발송 없음","참가자당 교육시간 18시간 이하"],"data_source":"SYN-F05-03:D1@v1","goal":"해온 신입교육 개편 교육 개편 발표자료 작성 위임","prior_task_action":"revise","targets":["SYN-F05-03:D1@v1"]}</x:v>
      </x:c>
      <x:c r="E259" s="10" t="str">
        <x:v>{"conditions":["4장 이내","교육 승인위원회용","대상 기간 입사 후 3주","숙박비 제외","실습과 피드백 순서 항목을 첫 장에 제시","외부 발송 없음","참가자당 교육시간 18시간 이하"],"data_source":"SYN-F05-03:D1@v1","goal":"해온 신입교육 개편 교육 개편 발표자료 작성 위임","prior_task_action":"revise","targets":["SYN-F05-03:D1@v1"]}</x:v>
      </x:c>
      <x:c r="F259" s="10" t="n">
        <x:f>IF(D259=E259,1,0)</x:f>
        <x:v>1</x:v>
      </x:c>
      <x:c r="G259" s="10" t="str">
        <x:v>필수 의미와 지칭 집합 일치</x:v>
      </x:c>
    </x:row>
    <x:row r="260" ht="145" customHeight="1">
      <x:c r="A260" s="10" t="str">
        <x:v>T-EXEC</x:v>
      </x:c>
      <x:c r="B260" s="10" t="str">
        <x:v>TEXT</x:v>
      </x:c>
      <x:c r="C260" s="10" t="str">
        <x:v>TEXT:SYN-F05-03-U01</x:v>
      </x:c>
      <x:c r="D260" s="10" t="str">
        <x:v>{"conditions":["6장 이내","교육 승인위원회용","대상 기간 입사 후 3주","외부 발송 없음","참가자당 교육시간 18시간 이하"],"data_source":"SYN-F05-03:D1@v1","goal":"해온 신입교육 개편 교육 개편 발표자료 작성 위임","prior_task_action":"new","targets":["SYN-F05-03:D1@v1"]}</x:v>
      </x:c>
      <x:c r="E260" s="10" t="str">
        <x:v>{"conditions":["6장 이내","교육 승인위원회용","대상 기간 입사 후 3주","외부 발송 없음","참가자당 교육시간 18시간 이하"],"data_source":"SYN-F05-03:D1@v1","goal":"해온 신입교육 개편 교육 개편 발표자료 작성 위임","prior_task_action":"new","targets":["SYN-F05-03:D1@v1"]}</x:v>
      </x:c>
      <x:c r="F260" s="10" t="n">
        <x:f>IF(D260=E260,1,0)</x:f>
        <x:v>1</x:v>
      </x:c>
      <x:c r="G260" s="10" t="str">
        <x:v>필수 의미와 지칭 집합 일치</x:v>
      </x:c>
    </x:row>
    <x:row r="261" ht="145" customHeight="1">
      <x:c r="A261" s="10" t="str">
        <x:v>T-EXEC</x:v>
      </x:c>
      <x:c r="B261" s="10" t="str">
        <x:v>TEXT</x:v>
      </x:c>
      <x:c r="C261" s="10" t="str">
        <x:v>TEXT:SYN-F05-03-U02</x:v>
      </x:c>
      <x:c r="D261" s="10" t="str">
        <x:v>{"conditions":["4장 이내","교육 승인위원회용","대상 기간 입사 후 3주","숙박비 제외","실습과 피드백 순서 항목을 첫 장에 제시","외부 발송 없음","참가자당 교육시간 18시간 이하"],"data_source":"SYN-F05-03:D1@v1","goal":"해온 신입교육 개편 교육 개편 발표자료 작성 위임","prior_task_action":"revise","targets":["SYN-F05-03:D1@v1"]}</x:v>
      </x:c>
      <x:c r="E261" s="10" t="str">
        <x:v>{"conditions":["4장 이내","교육 승인위원회용","대상 기간 입사 후 3주","숙박비 제외","실습과 피드백 순서 항목을 첫 장에 제시","외부 발송 없음","참가자당 교육시간 18시간 이하"],"data_source":"SYN-F05-03:D1@v1","goal":"해온 신입교육 개편 교육 개편 발표자료 작성 위임","prior_task_action":"revise","targets":["SYN-F05-03:D1@v1"]}</x:v>
      </x:c>
      <x:c r="F261" s="10" t="n">
        <x:f>IF(D261=E261,1,0)</x:f>
        <x:v>1</x:v>
      </x:c>
      <x:c r="G261" s="10" t="str">
        <x:v>필수 의미와 지칭 집합 일치</x:v>
      </x:c>
    </x:row>
    <x:row r="262" ht="145" customHeight="1">
      <x:c r="A262" s="10" t="str">
        <x:v>T-REL</x:v>
      </x:c>
      <x:c r="B262" s="10" t="str">
        <x:v>TEXT</x:v>
      </x:c>
      <x:c r="C262" s="10" t="str">
        <x:v>TEXT:SYN-F05-03-U01</x:v>
      </x:c>
      <x:c r="D262" s="10" t="str">
        <x:v>{"conditions":["6장 이내","교육 승인위원회용","대상 기간 입사 후 3주","외부 발송 없음","참가자당 교육시간 18시간 이하"],"data_source":"SYN-F05-03:D1@v1","goal":"해온 신입교육 개편 교육 개편 발표자료 작성 위임","prior_task_action":"new","targets":["SYN-F05-03:D1@v1"]}</x:v>
      </x:c>
      <x:c r="E262" s="10" t="str">
        <x:v>{"conditions":["6장 이내","교육 승인위원회용","대상 기간 입사 후 3주","외부 발송 없음","참가자당 교육시간 18시간 이하"],"data_source":"SYN-F05-03:D1@v1","goal":"해온 신입교육 개편 교육 개편 발표자료 작성 위임","prior_task_action":"new","targets":["SYN-F05-03:D1@v1"]}</x:v>
      </x:c>
      <x:c r="F262" s="10" t="n">
        <x:f>IF(D262=E262,1,0)</x:f>
        <x:v>1</x:v>
      </x:c>
      <x:c r="G262" s="10" t="str">
        <x:v>필수 의미와 지칭 집합 일치</x:v>
      </x:c>
    </x:row>
    <x:row r="263" ht="145" customHeight="1">
      <x:c r="A263" s="10" t="str">
        <x:v>T-REL</x:v>
      </x:c>
      <x:c r="B263" s="10" t="str">
        <x:v>TEXT</x:v>
      </x:c>
      <x:c r="C263" s="10" t="str">
        <x:v>TEXT:SYN-F05-03-U02</x:v>
      </x:c>
      <x:c r="D263" s="10" t="str">
        <x:v>{"conditions":["4장 이내","교육 승인위원회용","대상 기간 입사 후 3주","숙박비 제외","실습과 피드백 순서 항목을 첫 장에 제시","외부 발송 없음","참가자당 교육시간 18시간 이하"],"data_source":"SYN-F05-03:D1@v1","goal":"해온 신입교육 개편 교육 개편 발표자료 작성 위임","prior_task_action":"revise","targets":["SYN-F05-03:D1@v1"]}</x:v>
      </x:c>
      <x:c r="E263" s="10" t="str">
        <x:v>{"conditions":["4장 이내","교육 승인위원회용","대상 기간 입사 후 3주","숙박비 제외","실습과 피드백 순서 항목을 첫 장에 제시","외부 발송 없음","참가자당 교육시간 18시간 이하"],"data_source":"SYN-F05-03:D1@v1","goal":"해온 신입교육 개편 교육 개편 발표자료 작성 위임","prior_task_action":"revise","targets":["SYN-F05-03:D1@v1"]}</x:v>
      </x:c>
      <x:c r="F263" s="10" t="n">
        <x:f>IF(D263=E263,1,0)</x:f>
        <x:v>1</x:v>
      </x:c>
      <x:c r="G263" s="10" t="str">
        <x:v>필수 의미와 지칭 집합 일치</x:v>
      </x:c>
    </x:row>
    <x:row r="264" ht="145" customHeight="1">
      <x:c r="A264" s="10" t="str">
        <x:v>T-BASE</x:v>
      </x:c>
      <x:c r="B264" s="10" t="str">
        <x:v>TEXT</x:v>
      </x:c>
      <x:c r="C264" s="10" t="str">
        <x:v>TEXT:SYN-F05-04-U01</x:v>
      </x:c>
      <x:c r="D264" s="10" t="str">
        <x:v>{"conditions":["7장 이내","대상 기간 평일 20일","외부 발송 없음","일일 추가 운행 8회 이하","협력사 운영설명회용"],"data_source":"SYN-F05-04:D3@v1","goal":"라임 배송거점 개선 거점 개선 발표자료 작성 위임","prior_task_action":"new","targets":["SYN-F05-04:D3@v1"]}</x:v>
      </x:c>
      <x:c r="E264" s="10" t="str">
        <x:v>{"conditions":["7장 이내","대상 기간 평일 20일","외부 발송 없음","일일 추가 운행 8회 이하","협력사 운영설명회용"],"data_source":"SYN-F05-04:D3@v1","goal":"라임 배송거점 개선 거점 개선 발표자료 작성 위임","prior_task_action":"new","targets":["SYN-F05-04:D3@v1"]}</x:v>
      </x:c>
      <x:c r="F264" s="10" t="n">
        <x:f>IF(D264=E264,1,0)</x:f>
        <x:v>1</x:v>
      </x:c>
      <x:c r="G264" s="10" t="str">
        <x:v>필수 의미와 지칭 집합 일치</x:v>
      </x:c>
    </x:row>
    <x:row r="265" ht="145" customHeight="1">
      <x:c r="A265" s="10" t="str">
        <x:v>T-BASE</x:v>
      </x:c>
      <x:c r="B265" s="10" t="str">
        <x:v>TEXT</x:v>
      </x:c>
      <x:c r="C265" s="10" t="str">
        <x:v>TEXT:SYN-F05-04-U02</x:v>
      </x:c>
      <x:c r="D265" s="10" t="str">
        <x:v>{"conditions":["3장 이내","대상 기간 평일 20일","오후 출고 대기 항목을 첫 장에 제시","외부 발송 없음","일일 추가 운행 8회 이하","차량 구매비 제외","협력사 운영설명회용"],"data_source":"SYN-F05-04:D3@v1","goal":"라임 배송거점 개선 거점 개선 발표자료 작성 위임","prior_task_action":"revise","targets":["SYN-F05-04:D3@v1"]}</x:v>
      </x:c>
      <x:c r="E265" s="10" t="str">
        <x:v>{"conditions":["3장 이내","대상 기간 평일 20일","오후 출고 대기 항목을 첫 장에 제시","외부 발송 없음","일일 추가 운행 8회 이하","차량 구매비 제외","협력사 운영설명회용"],"data_source":"SYN-F05-04:D3@v1","goal":"라임 배송거점 개선 거점 개선 발표자료 작성 위임","prior_task_action":"revise","targets":["SYN-F05-04:D3@v1"]}</x:v>
      </x:c>
      <x:c r="F265" s="10" t="n">
        <x:f>IF(D265=E265,1,0)</x:f>
        <x:v>1</x:v>
      </x:c>
      <x:c r="G265" s="10" t="str">
        <x:v>필수 의미와 지칭 집합 일치</x:v>
      </x:c>
    </x:row>
    <x:row r="266" ht="145" customHeight="1">
      <x:c r="A266" s="10" t="str">
        <x:v>T-EXEC</x:v>
      </x:c>
      <x:c r="B266" s="10" t="str">
        <x:v>TEXT</x:v>
      </x:c>
      <x:c r="C266" s="10" t="str">
        <x:v>TEXT:SYN-F05-04-U01</x:v>
      </x:c>
      <x:c r="D266" s="10" t="str">
        <x:v>{"conditions":["7장 이내","대상 기간 평일 20일","외부 발송 없음","일일 추가 운행 8회 이하","협력사 운영설명회용"],"data_source":"SYN-F05-04:D3@v1","goal":"라임 배송거점 개선 거점 개선 발표자료 작성 위임","prior_task_action":"new","targets":["SYN-F05-04:D3@v1"]}</x:v>
      </x:c>
      <x:c r="E266" s="10" t="str">
        <x:v>{"conditions":["7장 이내","대상 기간 평일 20일","외부 발송 없음","일일 추가 운행 8회 이하","협력사 운영설명회용"],"data_source":"SYN-F05-04:D3@v1","goal":"라임 배송거점 개선 거점 개선 발표자료 작성 위임","prior_task_action":"new","targets":["SYN-F05-04:D3@v1"]}</x:v>
      </x:c>
      <x:c r="F266" s="10" t="n">
        <x:f>IF(D266=E266,1,0)</x:f>
        <x:v>1</x:v>
      </x:c>
      <x:c r="G266" s="10" t="str">
        <x:v>필수 의미와 지칭 집합 일치</x:v>
      </x:c>
    </x:row>
    <x:row r="267" ht="145" customHeight="1">
      <x:c r="A267" s="10" t="str">
        <x:v>T-EXEC</x:v>
      </x:c>
      <x:c r="B267" s="10" t="str">
        <x:v>TEXT</x:v>
      </x:c>
      <x:c r="C267" s="10" t="str">
        <x:v>TEXT:SYN-F05-04-U02</x:v>
      </x:c>
      <x:c r="D267" s="10" t="str">
        <x:v>{"conditions":["3장 이내","대상 기간 평일 20일","오후 출고 대기 항목을 첫 장에 제시","외부 발송 없음","일일 추가 운행 8회 이하","차량 구매비 제외","협력사 운영설명회용"],"data_source":"SYN-F05-04:D3@v1","goal":"라임 배송거점 개선 거점 개선 발표자료 작성 위임","prior_task_action":"revise","targets":["SYN-F05-04:D3@v1"]}</x:v>
      </x:c>
      <x:c r="E267" s="10" t="str">
        <x:v>{"conditions":["3장 이내","대상 기간 평일 20일","오후 출고 대기 항목을 첫 장에 제시","외부 발송 없음","일일 추가 운행 8회 이하","차량 구매비 제외","협력사 운영설명회용"],"data_source":"SYN-F05-04:D3@v1","goal":"라임 배송거점 개선 거점 개선 발표자료 작성 위임","prior_task_action":"revise","targets":["SYN-F05-04:D3@v1"]}</x:v>
      </x:c>
      <x:c r="F267" s="10" t="n">
        <x:f>IF(D267=E267,1,0)</x:f>
        <x:v>1</x:v>
      </x:c>
      <x:c r="G267" s="10" t="str">
        <x:v>필수 의미와 지칭 집합 일치</x:v>
      </x:c>
    </x:row>
    <x:row r="268" ht="145" customHeight="1">
      <x:c r="A268" s="10" t="str">
        <x:v>T-REL</x:v>
      </x:c>
      <x:c r="B268" s="10" t="str">
        <x:v>TEXT</x:v>
      </x:c>
      <x:c r="C268" s="10" t="str">
        <x:v>TEXT:SYN-F05-04-U01</x:v>
      </x:c>
      <x:c r="D268" s="10" t="str">
        <x:v>{"conditions":["7장 이내","대상 기간 평일 20일","외부 발송 없음","일일 추가 운행 8회 이하","협력사 운영설명회용"],"data_source":"SYN-F05-04:D3@v1","goal":"라임 배송거점 개선 거점 개선 발표자료 작성 위임","prior_task_action":"new","targets":["SYN-F05-04:D3@v1"]}</x:v>
      </x:c>
      <x:c r="E268" s="10" t="str">
        <x:v>{"conditions":["7장 이내","대상 기간 평일 20일","외부 발송 없음","일일 추가 운행 8회 이하","협력사 운영설명회용"],"data_source":"SYN-F05-04:D3@v1","goal":"라임 배송거점 개선 거점 개선 발표자료 작성 위임","prior_task_action":"new","targets":["SYN-F05-04:D3@v1"]}</x:v>
      </x:c>
      <x:c r="F268" s="10" t="n">
        <x:f>IF(D268=E268,1,0)</x:f>
        <x:v>1</x:v>
      </x:c>
      <x:c r="G268" s="10" t="str">
        <x:v>필수 의미와 지칭 집합 일치</x:v>
      </x:c>
    </x:row>
    <x:row r="269" ht="145" customHeight="1">
      <x:c r="A269" s="10" t="str">
        <x:v>T-REL</x:v>
      </x:c>
      <x:c r="B269" s="10" t="str">
        <x:v>TEXT</x:v>
      </x:c>
      <x:c r="C269" s="10" t="str">
        <x:v>TEXT:SYN-F05-04-U02</x:v>
      </x:c>
      <x:c r="D269" s="10" t="str">
        <x:v>{"conditions":["3장 이내","대상 기간 평일 20일","오후 출고 대기 항목을 첫 장에 제시","외부 발송 없음","일일 추가 운행 8회 이하","차량 구매비 제외","협력사 운영설명회용"],"data_source":"SYN-F05-04:D3@v1","goal":"라임 배송거점 개선 거점 개선 발표자료 작성 위임","prior_task_action":"revise","targets":["SYN-F05-04:D3@v1"]}</x:v>
      </x:c>
      <x:c r="E269" s="10" t="str">
        <x:v>{"conditions":["3장 이내","대상 기간 평일 20일","오후 출고 대기 항목을 첫 장에 제시","외부 발송 없음","일일 추가 운행 8회 이하","차량 구매비 제외","협력사 운영설명회용"],"data_source":"SYN-F05-04:D3@v1","goal":"라임 배송거점 개선 거점 개선 발표자료 작성 위임","prior_task_action":"revise","targets":["SYN-F05-04:D3@v1"]}</x:v>
      </x:c>
      <x:c r="F269" s="10" t="n">
        <x:f>IF(D269=E269,1,0)</x:f>
        <x:v>1</x:v>
      </x:c>
      <x:c r="G269" s="10" t="str">
        <x:v>필수 의미와 지칭 집합 일치</x:v>
      </x:c>
    </x:row>
    <x:row r="270" ht="145" customHeight="1">
      <x:c r="A270" s="10" t="str">
        <x:v>T-BASE</x:v>
      </x:c>
      <x:c r="B270" s="10" t="str">
        <x:v>TEXT</x:v>
      </x:c>
      <x:c r="C270" s="10" t="str">
        <x:v>TEXT:SYN-F05-05-U01</x:v>
      </x:c>
      <x:c r="D270" s="10" t="str">
        <x:v>{"conditions":["5장 이내","대상 기간 교체 후 6개월","외부 발송 없음","입주사 설명회용","층별 정전 30분 이하"],"data_source":"SYN-F05-05:D2@v1","goal":"가온 사무실 조명교체 조명 교체 검토자료 작성 위임","prior_task_action":"new","targets":["SYN-F05-05:D2@v1"]}</x:v>
      </x:c>
      <x:c r="E270" s="10" t="str">
        <x:v>{"conditions":["5장 이내","대상 기간 교체 후 6개월","외부 발송 없음","입주사 설명회용","층별 정전 30분 이하"],"data_source":"SYN-F05-05:D2@v1","goal":"가온 사무실 조명교체 조명 교체 검토자료 작성 위임","prior_task_action":"new","targets":["SYN-F05-05:D2@v1"]}</x:v>
      </x:c>
      <x:c r="F270" s="10" t="n">
        <x:f>IF(D270=E270,1,0)</x:f>
        <x:v>1</x:v>
      </x:c>
      <x:c r="G270" s="10" t="str">
        <x:v>필수 의미와 지칭 집합 일치</x:v>
      </x:c>
    </x:row>
    <x:row r="271" ht="145" customHeight="1">
      <x:c r="A271" s="10" t="str">
        <x:v>T-BASE</x:v>
      </x:c>
      <x:c r="B271" s="10" t="str">
        <x:v>TEXT</x:v>
      </x:c>
      <x:c r="C271" s="10" t="str">
        <x:v>TEXT:SYN-F05-05-U02</x:v>
      </x:c>
      <x:c r="D271" s="10" t="str">
        <x:v>{"conditions":["2장 이내","대상 기간 교체 후 6개월","외부 발송 없음","입주사 설명회용","철거비 제외","층별 정전 30분 이하","회의실 사용 중 공사 항목을 첫 장에 제시"],"data_source":"SYN-F05-05:D2@v1","goal":"가온 사무실 조명교체 조명 교체 검토자료 작성 위임","prior_task_action":"revise","targets":["SYN-F05-05:D2@v1"]}</x:v>
      </x:c>
      <x:c r="E271" s="10" t="str">
        <x:v>{"conditions":["2장 이내","대상 기간 교체 후 6개월","외부 발송 없음","입주사 설명회용","철거비 제외","층별 정전 30분 이하","회의실 사용 중 공사 항목을 첫 장에 제시"],"data_source":"SYN-F05-05:D1@v1","goal":"가온 사무실 조명교체 조명 교체 검토자료 작성 위임","prior_task_action":"revise","targets":["SYN-F05-05:D1@v1"]}</x:v>
      </x:c>
      <x:c r="F271" s="10" t="n">
        <x:f>IF(D271=E271,1,0)</x:f>
        <x:v>0</x:v>
      </x:c>
      <x:c r="G271" s="10" t="str">
        <x:v>현재 입력과 원본의 대상 관계를 잘못 연결</x:v>
      </x:c>
    </x:row>
    <x:row r="272" ht="145" customHeight="1">
      <x:c r="A272" s="10" t="str">
        <x:v>T-EXEC</x:v>
      </x:c>
      <x:c r="B272" s="10" t="str">
        <x:v>TEXT</x:v>
      </x:c>
      <x:c r="C272" s="10" t="str">
        <x:v>TEXT:SYN-F05-05-U01</x:v>
      </x:c>
      <x:c r="D272" s="10" t="str">
        <x:v>{"conditions":["5장 이내","대상 기간 교체 후 6개월","외부 발송 없음","입주사 설명회용","층별 정전 30분 이하"],"data_source":"SYN-F05-05:D2@v1","goal":"가온 사무실 조명교체 조명 교체 검토자료 작성 위임","prior_task_action":"new","targets":["SYN-F05-05:D2@v1"]}</x:v>
      </x:c>
      <x:c r="E272" s="10" t="str">
        <x:v>{"conditions":["5장 이내","대상 기간 교체 후 6개월","외부 발송 없음","입주사 설명회용","층별 정전 30분 이하"],"data_source":"SYN-F05-05:D2@v1","goal":"가온 사무실 조명교체 조명 교체 검토자료 작성 위임","prior_task_action":"new","targets":["SYN-F05-05:D2@v1"]}</x:v>
      </x:c>
      <x:c r="F272" s="10" t="n">
        <x:f>IF(D272=E272,1,0)</x:f>
        <x:v>1</x:v>
      </x:c>
      <x:c r="G272" s="10" t="str">
        <x:v>필수 의미와 지칭 집합 일치</x:v>
      </x:c>
    </x:row>
    <x:row r="273" ht="145" customHeight="1">
      <x:c r="A273" s="10" t="str">
        <x:v>T-EXEC</x:v>
      </x:c>
      <x:c r="B273" s="10" t="str">
        <x:v>TEXT</x:v>
      </x:c>
      <x:c r="C273" s="10" t="str">
        <x:v>TEXT:SYN-F05-05-U02</x:v>
      </x:c>
      <x:c r="D273" s="10" t="str">
        <x:v>{"conditions":["2장 이내","대상 기간 교체 후 6개월","외부 발송 없음","입주사 설명회용","철거비 제외","층별 정전 30분 이하","회의실 사용 중 공사 항목을 첫 장에 제시"],"data_source":"SYN-F05-05:D2@v1","goal":"가온 사무실 조명교체 조명 교체 검토자료 작성 위임","prior_task_action":"revise","targets":["SYN-F05-05:D2@v1"]}</x:v>
      </x:c>
      <x:c r="E273" s="10" t="str">
        <x:v>{"conditions":["2장 이내","대상 기간 교체 후 6개월","외부 발송 없음","입주사 설명회용","철거비 제외","층별 정전 30분 이하","회의실 사용 중 공사 항목을 첫 장에 제시"],"data_source":"SYN-F05-05:D1@v1","goal":"가온 사무실 조명교체 조명 교체 검토자료 작성 위임","prior_task_action":"revise","targets":["SYN-F05-05:D1@v1"]}</x:v>
      </x:c>
      <x:c r="F273" s="10" t="n">
        <x:f>IF(D273=E273,1,0)</x:f>
        <x:v>0</x:v>
      </x:c>
      <x:c r="G273" s="10" t="str">
        <x:v>현재 입력과 원본의 대상 관계를 잘못 연결</x:v>
      </x:c>
    </x:row>
    <x:row r="274" ht="145" customHeight="1">
      <x:c r="A274" s="10" t="str">
        <x:v>T-REL</x:v>
      </x:c>
      <x:c r="B274" s="10" t="str">
        <x:v>TEXT</x:v>
      </x:c>
      <x:c r="C274" s="10" t="str">
        <x:v>TEXT:SYN-F05-05-U01</x:v>
      </x:c>
      <x:c r="D274" s="10" t="str">
        <x:v>{"conditions":["5장 이내","대상 기간 교체 후 6개월","외부 발송 없음","입주사 설명회용","층별 정전 30분 이하"],"data_source":"SYN-F05-05:D2@v1","goal":"가온 사무실 조명교체 조명 교체 검토자료 작성 위임","prior_task_action":"new","targets":["SYN-F05-05:D2@v1"]}</x:v>
      </x:c>
      <x:c r="E274" s="10" t="str">
        <x:v>{"conditions":["5장 이내","대상 기간 교체 후 6개월","외부 발송 없음","입주사 설명회용","층별 정전 30분 이하"],"data_source":"SYN-F05-05:D2@v1","goal":"가온 사무실 조명교체 조명 교체 검토자료 작성 위임","prior_task_action":"new","targets":["SYN-F05-05:D2@v1"]}</x:v>
      </x:c>
      <x:c r="F274" s="10" t="n">
        <x:f>IF(D274=E274,1,0)</x:f>
        <x:v>1</x:v>
      </x:c>
      <x:c r="G274" s="10" t="str">
        <x:v>필수 의미와 지칭 집합 일치</x:v>
      </x:c>
    </x:row>
    <x:row r="275" ht="145" customHeight="1">
      <x:c r="A275" s="10" t="str">
        <x:v>T-REL</x:v>
      </x:c>
      <x:c r="B275" s="10" t="str">
        <x:v>TEXT</x:v>
      </x:c>
      <x:c r="C275" s="10" t="str">
        <x:v>TEXT:SYN-F05-05-U02</x:v>
      </x:c>
      <x:c r="D275" s="10" t="str">
        <x:v>{"conditions":["2장 이내","대상 기간 교체 후 6개월","외부 발송 없음","입주사 설명회용","철거비 제외","층별 정전 30분 이하","회의실 사용 중 공사 항목을 첫 장에 제시"],"data_source":"SYN-F05-05:D2@v1","goal":"가온 사무실 조명교체 조명 교체 검토자료 작성 위임","prior_task_action":"revise","targets":["SYN-F05-05:D2@v1"]}</x:v>
      </x:c>
      <x:c r="E275" s="10" t="str">
        <x:v>{"conditions":["2장 이내","대상 기간 교체 후 6개월","외부 발송 없음","입주사 설명회용","철거비 제외","층별 정전 30분 이하","회의실 사용 중 공사 항목을 첫 장에 제시"],"data_source":"SYN-F05-05:D1@v1","goal":"가온 사무실 조명교체 조명 교체 검토자료 작성 위임","prior_task_action":"revise","targets":["SYN-F05-05:D1@v1"]}</x:v>
      </x:c>
      <x:c r="F275" s="10" t="n">
        <x:f>IF(D275=E275,1,0)</x:f>
        <x:v>0</x:v>
      </x:c>
      <x:c r="G275" s="10" t="str">
        <x:v>게시 관계 또는 원본 보완에서 자료 판본을 잘못 연결</x:v>
      </x:c>
    </x:row>
    <x:row r="276" ht="145" customHeight="1">
      <x:c r="A276" s="10" t="str">
        <x:v>T-BASE</x:v>
      </x:c>
      <x:c r="B276" s="10" t="str">
        <x:v>TEXT</x:v>
      </x:c>
      <x:c r="C276" s="10" t="str">
        <x:v>TEXT:SYN-F05-06-U01</x:v>
      </x:c>
      <x:c r="D276" s="10" t="str">
        <x:v>{"conditions":["8장 이내","대상 기간 행사 2일","외부 발송 없음","참여기업 안내회용","현장 대기 20분 이하"],"data_source":"SYN-F05-06:D1@v1","goal":"별빛 채용행사 준비 행사 운영 발표자료 작성 위임","prior_task_action":"new","targets":["SYN-F05-06:D1@v1"]}</x:v>
      </x:c>
      <x:c r="E276" s="10" t="str">
        <x:v>{"conditions":["8장 이내","대상 기간 행사 2일","외부 발송 없음","참여기업 안내회용","현장 대기 20분 이하"],"data_source":"SYN-F05-06:D1@v1","goal":"별빛 채용행사 준비 행사 운영 발표자료 작성 위임","prior_task_action":"new","targets":["SYN-F05-06:D1@v1"]}</x:v>
      </x:c>
      <x:c r="F276" s="10" t="n">
        <x:f>IF(D276=E276,1,0)</x:f>
        <x:v>1</x:v>
      </x:c>
      <x:c r="G276" s="10" t="str">
        <x:v>필수 의미와 지칭 집합 일치</x:v>
      </x:c>
    </x:row>
    <x:row r="277" ht="145" customHeight="1">
      <x:c r="A277" s="10" t="str">
        <x:v>T-BASE</x:v>
      </x:c>
      <x:c r="B277" s="10" t="str">
        <x:v>TEXT</x:v>
      </x:c>
      <x:c r="C277" s="10" t="str">
        <x:v>TEXT:SYN-F05-06-U02</x:v>
      </x:c>
      <x:c r="D277" s="10" t="str">
        <x:v>{"conditions":["4장 이내","대상 기간 행사 2일","면접 슬롯 중복 항목을 첫 장에 제시","외부 발송 없음","참여기업 안내회용","현장 대기 20분 이하","홍보물 인쇄비 제외"],"data_source":"SYN-F05-06:D1@v1","goal":"별빛 채용행사 준비 행사 운영 발표자료 작성 위임","prior_task_action":"revise","targets":["SYN-F05-06:D1@v1"]}</x:v>
      </x:c>
      <x:c r="E277" s="10" t="str">
        <x:v>{"conditions":["4장 이내","대상 기간 행사 2일","면접 슬롯 중복 항목을 첫 장에 제시","외부 발송 없음","참여기업 안내회용","현장 대기 20분 이하","홍보물 인쇄비 제외"],"data_source":"SYN-F05-06:D1@v1","goal":"별빛 채용행사 준비 행사 운영 발표자료 작성 위임","prior_task_action":"revise","targets":["SYN-F05-06:D1@v1"]}</x:v>
      </x:c>
      <x:c r="F277" s="10" t="n">
        <x:f>IF(D277=E277,1,0)</x:f>
        <x:v>1</x:v>
      </x:c>
      <x:c r="G277" s="10" t="str">
        <x:v>필수 의미와 지칭 집합 일치</x:v>
      </x:c>
    </x:row>
    <x:row r="278" ht="145" customHeight="1">
      <x:c r="A278" s="10" t="str">
        <x:v>T-EXEC</x:v>
      </x:c>
      <x:c r="B278" s="10" t="str">
        <x:v>TEXT</x:v>
      </x:c>
      <x:c r="C278" s="10" t="str">
        <x:v>TEXT:SYN-F05-06-U01</x:v>
      </x:c>
      <x:c r="D278" s="10" t="str">
        <x:v>{"conditions":["8장 이내","대상 기간 행사 2일","외부 발송 없음","참여기업 안내회용","현장 대기 20분 이하"],"data_source":"SYN-F05-06:D1@v1","goal":"별빛 채용행사 준비 행사 운영 발표자료 작성 위임","prior_task_action":"new","targets":["SYN-F05-06:D1@v1"]}</x:v>
      </x:c>
      <x:c r="E278" s="10" t="str">
        <x:v>{"conditions":["8장 이내","대상 기간 행사 2일","외부 발송 없음","참여기업 안내회용","현장 대기 20분 이하"],"data_source":"SYN-F05-06:D1@v1","goal":"별빛 채용행사 준비 행사 운영 발표자료 작성 위임","prior_task_action":"new","targets":["SYN-F05-06:D1@v1"]}</x:v>
      </x:c>
      <x:c r="F278" s="10" t="n">
        <x:f>IF(D278=E278,1,0)</x:f>
        <x:v>1</x:v>
      </x:c>
      <x:c r="G278" s="10" t="str">
        <x:v>필수 의미와 지칭 집합 일치</x:v>
      </x:c>
    </x:row>
    <x:row r="279" ht="145" customHeight="1">
      <x:c r="A279" s="10" t="str">
        <x:v>T-EXEC</x:v>
      </x:c>
      <x:c r="B279" s="10" t="str">
        <x:v>TEXT</x:v>
      </x:c>
      <x:c r="C279" s="10" t="str">
        <x:v>TEXT:SYN-F05-06-U02</x:v>
      </x:c>
      <x:c r="D279" s="10" t="str">
        <x:v>{"conditions":["4장 이내","대상 기간 행사 2일","면접 슬롯 중복 항목을 첫 장에 제시","외부 발송 없음","참여기업 안내회용","현장 대기 20분 이하","홍보물 인쇄비 제외"],"data_source":"SYN-F05-06:D1@v1","goal":"별빛 채용행사 준비 행사 운영 발표자료 작성 위임","prior_task_action":"revise","targets":["SYN-F05-06:D1@v1"]}</x:v>
      </x:c>
      <x:c r="E279" s="10" t="str">
        <x:v>{"conditions":["4장 이내","대상 기간 행사 2일","면접 슬롯 중복 항목을 첫 장에 제시","외부 발송 없음","참여기업 안내회용","현장 대기 20분 이하","홍보물 인쇄비 제외"],"data_source":"SYN-F05-06:D1@v1","goal":"별빛 채용행사 준비 행사 운영 발표자료 작성 위임","prior_task_action":"revise","targets":["SYN-F05-06:D1@v1"]}</x:v>
      </x:c>
      <x:c r="F279" s="10" t="n">
        <x:f>IF(D279=E279,1,0)</x:f>
        <x:v>1</x:v>
      </x:c>
      <x:c r="G279" s="10" t="str">
        <x:v>필수 의미와 지칭 집합 일치</x:v>
      </x:c>
    </x:row>
    <x:row r="280" ht="145" customHeight="1">
      <x:c r="A280" s="10" t="str">
        <x:v>T-REL</x:v>
      </x:c>
      <x:c r="B280" s="10" t="str">
        <x:v>TEXT</x:v>
      </x:c>
      <x:c r="C280" s="10" t="str">
        <x:v>TEXT:SYN-F05-06-U01</x:v>
      </x:c>
      <x:c r="D280" s="10" t="str">
        <x:v>{"conditions":["8장 이내","대상 기간 행사 2일","외부 발송 없음","참여기업 안내회용","현장 대기 20분 이하"],"data_source":"SYN-F05-06:D1@v1","goal":"별빛 채용행사 준비 행사 운영 발표자료 작성 위임","prior_task_action":"new","targets":["SYN-F05-06:D1@v1"]}</x:v>
      </x:c>
      <x:c r="E280" s="10" t="str">
        <x:v>{"conditions":["8장 이내","대상 기간 행사 2일","외부 발송 없음","참여기업 안내회용","현장 대기 20분 이하"],"data_source":"SYN-F05-06:D1@v1","goal":"별빛 채용행사 준비 행사 운영 발표자료 작성 위임","prior_task_action":"new","targets":["SYN-F05-06:D1@v1"]}</x:v>
      </x:c>
      <x:c r="F280" s="10" t="n">
        <x:f>IF(D280=E280,1,0)</x:f>
        <x:v>1</x:v>
      </x:c>
      <x:c r="G280" s="10" t="str">
        <x:v>필수 의미와 지칭 집합 일치</x:v>
      </x:c>
    </x:row>
    <x:row r="281" ht="145" customHeight="1">
      <x:c r="A281" s="10" t="str">
        <x:v>T-REL</x:v>
      </x:c>
      <x:c r="B281" s="10" t="str">
        <x:v>TEXT</x:v>
      </x:c>
      <x:c r="C281" s="10" t="str">
        <x:v>TEXT:SYN-F05-06-U02</x:v>
      </x:c>
      <x:c r="D281" s="10" t="str">
        <x:v>{"conditions":["4장 이내","대상 기간 행사 2일","면접 슬롯 중복 항목을 첫 장에 제시","외부 발송 없음","참여기업 안내회용","현장 대기 20분 이하","홍보물 인쇄비 제외"],"data_source":"SYN-F05-06:D1@v1","goal":"별빛 채용행사 준비 행사 운영 발표자료 작성 위임","prior_task_action":"revise","targets":["SYN-F05-06:D1@v1"]}</x:v>
      </x:c>
      <x:c r="E281" s="10" t="str">
        <x:v>{"conditions":["4장 이내","대상 기간 행사 2일","면접 슬롯 중복 항목을 첫 장에 제시","외부 발송 없음","참여기업 안내회용","현장 대기 20분 이하","홍보물 인쇄비 제외"],"data_source":"SYN-F05-06:D1@v1","goal":"별빛 채용행사 준비 행사 운영 발표자료 작성 위임","prior_task_action":"revise","targets":["SYN-F05-06:D1@v1"]}</x:v>
      </x:c>
      <x:c r="F281" s="10" t="n">
        <x:f>IF(D281=E281,1,0)</x:f>
        <x:v>1</x:v>
      </x:c>
      <x:c r="G281" s="10" t="str">
        <x:v>필수 의미와 지칭 집합 일치</x:v>
      </x:c>
    </x:row>
    <x:row r="282" ht="145" customHeight="1">
      <x:c r="A282" s="10" t="str">
        <x:v>T-BASE</x:v>
      </x:c>
      <x:c r="B282" s="10" t="str">
        <x:v>TEXT</x:v>
      </x:c>
      <x:c r="C282" s="10" t="str">
        <x:v>TEXT:SYN-F05-07-U01</x:v>
      </x:c>
      <x:c r="D282" s="10" t="str">
        <x:v>{"conditions":["6장 이내","납품처 품질설명회용","대상 기간 다음 8주","샘플 검사 45분 이하","외부 발송 없음"],"data_source":"SYN-F05-07:D3@v1","goal":"청솔 부품검사 개선 검사 개선 발표자료 작성 위임","prior_task_action":"new","targets":["SYN-F05-07:D3@v1"]}</x:v>
      </x:c>
      <x:c r="E282" s="10" t="str">
        <x:v>{"conditions":["6장 이내","납품처 품질설명회용","대상 기간 다음 8주","샘플 검사 45분 이하","외부 발송 없음"],"data_source":"SYN-F05-07:D3@v1","goal":"청솔 부품검사 개선 검사 개선 발표자료 작성 위임","prior_task_action":"new","targets":["SYN-F05-07:D3@v1"]}</x:v>
      </x:c>
      <x:c r="F282" s="10" t="n">
        <x:f>IF(D282=E282,1,0)</x:f>
        <x:v>1</x:v>
      </x:c>
      <x:c r="G282" s="10" t="str">
        <x:v>필수 의미와 지칭 집합 일치</x:v>
      </x:c>
    </x:row>
    <x:row r="283" ht="145" customHeight="1">
      <x:c r="A283" s="10" t="str">
        <x:v>T-BASE</x:v>
      </x:c>
      <x:c r="B283" s="10" t="str">
        <x:v>TEXT</x:v>
      </x:c>
      <x:c r="C283" s="10" t="str">
        <x:v>TEXT:SYN-F05-07-U02</x:v>
      </x:c>
      <x:c r="D283" s="10" t="str">
        <x:v>{"conditions":["3장 이내","검사 누락 재확인 항목을 첫 장에 제시","검사장비 구입비 제외","납품처 품질설명회용","대상 기간 다음 8주","샘플 검사 45분 이하","외부 발송 없음"],"data_source":"SYN-F05-07:D3@v1","goal":"청솔 부품검사 개선 검사 개선 발표자료 작성 위임","prior_task_action":"revise","targets":["SYN-F05-07:D3@v1"]}</x:v>
      </x:c>
      <x:c r="E283" s="10" t="str">
        <x:v>{"conditions":["3장 이내","검사 누락 재확인 항목을 첫 장에 제시","검사장비 구입비 제외","납품처 품질설명회용","대상 기간 다음 8주","샘플 검사 45분 이하","외부 발송 없음"],"data_source":"SYN-F05-07:D3@v1","goal":"청솔 부품검사 개선 검사 개선 발표자료 작성 위임","prior_task_action":"revise","targets":["SYN-F05-07:D3@v1"]}</x:v>
      </x:c>
      <x:c r="F283" s="10" t="n">
        <x:f>IF(D283=E283,1,0)</x:f>
        <x:v>1</x:v>
      </x:c>
      <x:c r="G283" s="10" t="str">
        <x:v>필수 의미와 지칭 집합 일치</x:v>
      </x:c>
    </x:row>
    <x:row r="284" ht="145" customHeight="1">
      <x:c r="A284" s="10" t="str">
        <x:v>T-EXEC</x:v>
      </x:c>
      <x:c r="B284" s="10" t="str">
        <x:v>TEXT</x:v>
      </x:c>
      <x:c r="C284" s="10" t="str">
        <x:v>TEXT:SYN-F05-07-U01</x:v>
      </x:c>
      <x:c r="D284" s="10" t="str">
        <x:v>{"conditions":["6장 이내","납품처 품질설명회용","대상 기간 다음 8주","샘플 검사 45분 이하","외부 발송 없음"],"data_source":"SYN-F05-07:D3@v1","goal":"청솔 부품검사 개선 검사 개선 발표자료 작성 위임","prior_task_action":"new","targets":["SYN-F05-07:D3@v1"]}</x:v>
      </x:c>
      <x:c r="E284" s="10" t="str">
        <x:v>{"conditions":["6장 이내","납품처 품질설명회용","대상 기간 다음 8주","샘플 검사 45분 이하","외부 발송 없음"],"data_source":"SYN-F05-07:D3@v1","goal":"청솔 부품검사 개선 검사 개선 발표자료 작성 위임","prior_task_action":"new","targets":["SYN-F05-07:D3@v1"]}</x:v>
      </x:c>
      <x:c r="F284" s="10" t="n">
        <x:f>IF(D284=E284,1,0)</x:f>
        <x:v>1</x:v>
      </x:c>
      <x:c r="G284" s="10" t="str">
        <x:v>필수 의미와 지칭 집합 일치</x:v>
      </x:c>
    </x:row>
    <x:row r="285" ht="145" customHeight="1">
      <x:c r="A285" s="10" t="str">
        <x:v>T-EXEC</x:v>
      </x:c>
      <x:c r="B285" s="10" t="str">
        <x:v>TEXT</x:v>
      </x:c>
      <x:c r="C285" s="10" t="str">
        <x:v>TEXT:SYN-F05-07-U02</x:v>
      </x:c>
      <x:c r="D285" s="10" t="str">
        <x:v>{"conditions":["3장 이내","검사 누락 재확인 항목을 첫 장에 제시","검사장비 구입비 제외","납품처 품질설명회용","대상 기간 다음 8주","샘플 검사 45분 이하","외부 발송 없음"],"data_source":"SYN-F05-07:D3@v1","goal":"청솔 부품검사 개선 검사 개선 발표자료 작성 위임","prior_task_action":"revise","targets":["SYN-F05-07:D3@v1"]}</x:v>
      </x:c>
      <x:c r="E285" s="10" t="str">
        <x:v>{"conditions":["3장 이내","검사 누락 재확인 항목을 첫 장에 제시","검사장비 구입비 제외","납품처 품질설명회용","대상 기간 다음 8주","샘플 검사 45분 이하","외부 발송 없음"],"data_source":"SYN-F05-07:D3@v1","goal":"청솔 부품검사 개선 검사 개선 발표자료 작성 위임","prior_task_action":"revise","targets":["SYN-F05-07:D3@v1"]}</x:v>
      </x:c>
      <x:c r="F285" s="10" t="n">
        <x:f>IF(D285=E285,1,0)</x:f>
        <x:v>1</x:v>
      </x:c>
      <x:c r="G285" s="10" t="str">
        <x:v>필수 의미와 지칭 집합 일치</x:v>
      </x:c>
    </x:row>
    <x:row r="286" ht="145" customHeight="1">
      <x:c r="A286" s="10" t="str">
        <x:v>T-REL</x:v>
      </x:c>
      <x:c r="B286" s="10" t="str">
        <x:v>TEXT</x:v>
      </x:c>
      <x:c r="C286" s="10" t="str">
        <x:v>TEXT:SYN-F05-07-U01</x:v>
      </x:c>
      <x:c r="D286" s="10" t="str">
        <x:v>{"conditions":["6장 이내","납품처 품질설명회용","대상 기간 다음 8주","샘플 검사 45분 이하","외부 발송 없음"],"data_source":"SYN-F05-07:D3@v1","goal":"청솔 부품검사 개선 검사 개선 발표자료 작성 위임","prior_task_action":"new","targets":["SYN-F05-07:D3@v1"]}</x:v>
      </x:c>
      <x:c r="E286" s="10" t="str">
        <x:v>{"conditions":["6장 이내","납품처 품질설명회용","대상 기간 다음 8주","샘플 검사 45분 이하","외부 발송 없음"],"data_source":"SYN-F05-07:D3@v1","goal":"청솔 부품검사 개선 검사 개선 발표자료 작성 위임","prior_task_action":"new","targets":["SYN-F05-07:D3@v1"]}</x:v>
      </x:c>
      <x:c r="F286" s="10" t="n">
        <x:f>IF(D286=E286,1,0)</x:f>
        <x:v>1</x:v>
      </x:c>
      <x:c r="G286" s="10" t="str">
        <x:v>필수 의미와 지칭 집합 일치</x:v>
      </x:c>
    </x:row>
    <x:row r="287" ht="145" customHeight="1">
      <x:c r="A287" s="10" t="str">
        <x:v>T-REL</x:v>
      </x:c>
      <x:c r="B287" s="10" t="str">
        <x:v>TEXT</x:v>
      </x:c>
      <x:c r="C287" s="10" t="str">
        <x:v>TEXT:SYN-F05-07-U02</x:v>
      </x:c>
      <x:c r="D287" s="10" t="str">
        <x:v>{"conditions":["3장 이내","검사 누락 재확인 항목을 첫 장에 제시","검사장비 구입비 제외","납품처 품질설명회용","대상 기간 다음 8주","샘플 검사 45분 이하","외부 발송 없음"],"data_source":"SYN-F05-07:D3@v1","goal":"청솔 부품검사 개선 검사 개선 발표자료 작성 위임","prior_task_action":"revise","targets":["SYN-F05-07:D3@v1"]}</x:v>
      </x:c>
      <x:c r="E287" s="10" t="str">
        <x:v>{"conditions":["3장 이내","검사 누락 재확인 항목을 첫 장에 제시","검사장비 구입비 제외","납품처 품질설명회용","대상 기간 다음 8주","샘플 검사 45분 이하","외부 발송 없음"],"data_source":"SYN-F05-07:D3@v1","goal":"청솔 부품검사 개선 검사 개선 발표자료 작성 위임","prior_task_action":"revise","targets":["SYN-F05-07:D3@v1"]}</x:v>
      </x:c>
      <x:c r="F287" s="10" t="n">
        <x:f>IF(D287=E287,1,0)</x:f>
        <x:v>1</x:v>
      </x:c>
      <x:c r="G287" s="10" t="str">
        <x:v>필수 의미와 지칭 집합 일치</x:v>
      </x:c>
    </x:row>
    <x:row r="288" ht="145" customHeight="1">
      <x:c r="A288" s="10" t="str">
        <x:v>T-BASE</x:v>
      </x:c>
      <x:c r="B288" s="10" t="str">
        <x:v>TEXT</x:v>
      </x:c>
      <x:c r="C288" s="10" t="str">
        <x:v>TEXT:SYN-F05-08-U01</x:v>
      </x:c>
      <x:c r="D288" s="10" t="str">
        <x:v>{"conditions":["4장 이내","대상 기간 운영 5주","안내문 500자 이하","외부 발송 없음","지역 파트너 설명회용"],"data_source":"SYN-F05-08:D2@v1","goal":"노을 서비스 캠페인 캠페인 계획 발표자료 작성 위임","prior_task_action":"new","targets":["SYN-F05-08:D2@v1"]}</x:v>
      </x:c>
      <x:c r="E288" s="10" t="str">
        <x:v>{"conditions":["4장 이내","대상 기간 운영 5주","안내문 500자 이하","외부 발송 없음","지역 파트너 설명회용"],"data_source":"SYN-F05-08:D2@v1","goal":"노을 서비스 캠페인 캠페인 계획 발표자료 작성 위임","prior_task_action":"new","targets":["SYN-F05-08:D2@v1"]}</x:v>
      </x:c>
      <x:c r="F288" s="10" t="n">
        <x:f>IF(D288=E288,1,0)</x:f>
        <x:v>1</x:v>
      </x:c>
      <x:c r="G288" s="10" t="str">
        <x:v>필수 의미와 지칭 집합 일치</x:v>
      </x:c>
    </x:row>
    <x:row r="289" ht="145" customHeight="1">
      <x:c r="A289" s="10" t="str">
        <x:v>T-BASE</x:v>
      </x:c>
      <x:c r="B289" s="10" t="str">
        <x:v>TEXT</x:v>
      </x:c>
      <x:c r="C289" s="10" t="str">
        <x:v>TEXT:SYN-F05-08-U02</x:v>
      </x:c>
      <x:c r="D289" s="10" t="str">
        <x:v>{"conditions":["2장 이내","대상 기간 운영 5주","안내문 500자 이하","외부 발송 없음","일회성 촬영비 제외","지역 파트너 설명회용","첫 방문자의 신청 절차 항목을 첫 장에 제시"],"data_source":"SYN-F05-08:D2@v1","goal":"노을 서비스 캠페인 캠페인 계획 발표자료 작성 위임","prior_task_action":"revise","targets":["SYN-F05-08:D2@v1"]}</x:v>
      </x:c>
      <x:c r="E289" s="10" t="str">
        <x:v>{"conditions":["2장 이내","대상 기간 운영 5주","안내문 500자 이하","외부 발송 없음","지역 파트너 설명회용","첫 방문자의 신청 절차 항목을 첫 장에 제시"],"data_source":"SYN-F05-08:D2@v1","goal":"노을 서비스 캠페인 캠페인 계획 발표자료 작성 위임","prior_task_action":"revise","targets":["SYN-F05-08:D2@v1"]}</x:v>
      </x:c>
      <x:c r="F289" s="10" t="n">
        <x:f>IF(D289=E289,1,0)</x:f>
        <x:v>0</x:v>
      </x:c>
      <x:c r="G289" s="10" t="str">
        <x:v>기존 상태와 정정 조건 결합 중 필수 조건 누락: 일회성 촬영비 제외</x:v>
      </x:c>
    </x:row>
    <x:row r="290" ht="145" customHeight="1">
      <x:c r="A290" s="10" t="str">
        <x:v>T-EXEC</x:v>
      </x:c>
      <x:c r="B290" s="10" t="str">
        <x:v>TEXT</x:v>
      </x:c>
      <x:c r="C290" s="10" t="str">
        <x:v>TEXT:SYN-F05-08-U01</x:v>
      </x:c>
      <x:c r="D290" s="10" t="str">
        <x:v>{"conditions":["4장 이내","대상 기간 운영 5주","안내문 500자 이하","외부 발송 없음","지역 파트너 설명회용"],"data_source":"SYN-F05-08:D2@v1","goal":"노을 서비스 캠페인 캠페인 계획 발표자료 작성 위임","prior_task_action":"new","targets":["SYN-F05-08:D2@v1"]}</x:v>
      </x:c>
      <x:c r="E290" s="10" t="str">
        <x:v>{"conditions":["4장 이내","대상 기간 운영 5주","안내문 500자 이하","외부 발송 없음","지역 파트너 설명회용"],"data_source":"SYN-F05-08:D2@v1","goal":"노을 서비스 캠페인 캠페인 계획 발표자료 작성 위임","prior_task_action":"new","targets":["SYN-F05-08:D2@v1"]}</x:v>
      </x:c>
      <x:c r="F290" s="10" t="n">
        <x:f>IF(D290=E290,1,0)</x:f>
        <x:v>1</x:v>
      </x:c>
      <x:c r="G290" s="10" t="str">
        <x:v>필수 의미와 지칭 집합 일치</x:v>
      </x:c>
    </x:row>
    <x:row r="291" ht="145" customHeight="1">
      <x:c r="A291" s="10" t="str">
        <x:v>T-EXEC</x:v>
      </x:c>
      <x:c r="B291" s="10" t="str">
        <x:v>TEXT</x:v>
      </x:c>
      <x:c r="C291" s="10" t="str">
        <x:v>TEXT:SYN-F05-08-U02</x:v>
      </x:c>
      <x:c r="D291" s="10" t="str">
        <x:v>{"conditions":["2장 이내","대상 기간 운영 5주","안내문 500자 이하","외부 발송 없음","일회성 촬영비 제외","지역 파트너 설명회용","첫 방문자의 신청 절차 항목을 첫 장에 제시"],"data_source":"SYN-F05-08:D2@v1","goal":"노을 서비스 캠페인 캠페인 계획 발표자료 작성 위임","prior_task_action":"revise","targets":["SYN-F05-08:D2@v1"]}</x:v>
      </x:c>
      <x:c r="E291" s="10" t="str">
        <x:v>{"conditions":["2장 이내","대상 기간 운영 5주","안내문 500자 이하","외부 발송 없음","지역 파트너 설명회용","첫 방문자의 신청 절차 항목을 첫 장에 제시"],"data_source":"SYN-F05-08:D2@v1","goal":"노을 서비스 캠페인 캠페인 계획 발표자료 작성 위임","prior_task_action":"revise","targets":["SYN-F05-08:D2@v1"]}</x:v>
      </x:c>
      <x:c r="F291" s="10" t="n">
        <x:f>IF(D291=E291,1,0)</x:f>
        <x:v>0</x:v>
      </x:c>
      <x:c r="G291" s="10" t="str">
        <x:v>기존 상태와 정정 조건 결합 중 필수 조건 누락: 일회성 촬영비 제외</x:v>
      </x:c>
    </x:row>
    <x:row r="292" ht="145" customHeight="1">
      <x:c r="A292" s="10" t="str">
        <x:v>T-REL</x:v>
      </x:c>
      <x:c r="B292" s="10" t="str">
        <x:v>TEXT</x:v>
      </x:c>
      <x:c r="C292" s="10" t="str">
        <x:v>TEXT:SYN-F05-08-U01</x:v>
      </x:c>
      <x:c r="D292" s="10" t="str">
        <x:v>{"conditions":["4장 이내","대상 기간 운영 5주","안내문 500자 이하","외부 발송 없음","지역 파트너 설명회용"],"data_source":"SYN-F05-08:D2@v1","goal":"노을 서비스 캠페인 캠페인 계획 발표자료 작성 위임","prior_task_action":"new","targets":["SYN-F05-08:D2@v1"]}</x:v>
      </x:c>
      <x:c r="E292" s="10" t="str">
        <x:v>{"conditions":["4장 이내","대상 기간 운영 5주","안내문 500자 이하","외부 발송 없음","지역 파트너 설명회용"],"data_source":"SYN-F05-08:D2@v1","goal":"노을 서비스 캠페인 캠페인 계획 발표자료 작성 위임","prior_task_action":"new","targets":["SYN-F05-08:D2@v1"]}</x:v>
      </x:c>
      <x:c r="F292" s="10" t="n">
        <x:f>IF(D292=E292,1,0)</x:f>
        <x:v>1</x:v>
      </x:c>
      <x:c r="G292" s="10" t="str">
        <x:v>필수 의미와 지칭 집합 일치</x:v>
      </x:c>
    </x:row>
    <x:row r="293" ht="145" customHeight="1">
      <x:c r="A293" s="10" t="str">
        <x:v>T-REL</x:v>
      </x:c>
      <x:c r="B293" s="10" t="str">
        <x:v>TEXT</x:v>
      </x:c>
      <x:c r="C293" s="10" t="str">
        <x:v>TEXT:SYN-F05-08-U02</x:v>
      </x:c>
      <x:c r="D293" s="10" t="str">
        <x:v>{"conditions":["2장 이내","대상 기간 운영 5주","안내문 500자 이하","외부 발송 없음","일회성 촬영비 제외","지역 파트너 설명회용","첫 방문자의 신청 절차 항목을 첫 장에 제시"],"data_source":"SYN-F05-08:D2@v1","goal":"노을 서비스 캠페인 캠페인 계획 발표자료 작성 위임","prior_task_action":"revise","targets":["SYN-F05-08:D2@v1"]}</x:v>
      </x:c>
      <x:c r="E293" s="10" t="str">
        <x:v>{"conditions":["2장 이내","대상 기간 운영 5주","안내문 500자 이하","외부 발송 없음","지역 파트너 설명회용","첫 방문자의 신청 절차 항목을 첫 장에 제시"],"data_source":"SYN-F05-08:D2@v1","goal":"노을 서비스 캠페인 캠페인 계획 발표자료 작성 위임","prior_task_action":"revise","targets":["SYN-F05-08:D2@v1"]}</x:v>
      </x:c>
      <x:c r="F293" s="10" t="n">
        <x:f>IF(D293=E293,1,0)</x:f>
        <x:v>0</x:v>
      </x:c>
      <x:c r="G293" s="10" t="str">
        <x:v>기존 상태와 정정 조건 결합 중 필수 조건 누락: 일회성 촬영비 제외</x:v>
      </x:c>
    </x:row>
    <x:row r="294" ht="145" customHeight="1">
      <x:c r="A294" s="10" t="str">
        <x:v>T-BASE</x:v>
      </x:c>
      <x:c r="B294" s="10" t="str">
        <x:v>TEXT</x:v>
      </x:c>
      <x:c r="C294" s="10" t="str">
        <x:v>TEXT:SYN-F05-09-U01</x:v>
      </x:c>
      <x:c r="D294" s="10" t="str">
        <x:v>{"conditions":["7장 이내","대상 기간 적용 후 4주","배송 협력사 설명회용","외부 발송 없음","주문당 이동 180m 이하"],"data_source":"SYN-F05-09:D1@v1","goal":"파도 창고배치 변경 배치 변경 발표자료 작성 위임","prior_task_action":"new","targets":["SYN-F05-09:D1@v1"]}</x:v>
      </x:c>
      <x:c r="E294" s="10" t="str">
        <x:v>{"conditions":["7장 이내","대상 기간 적용 후 4주","배송 협력사 설명회용","외부 발송 없음","주문당 이동 180m 이하"],"data_source":"SYN-F05-09:D1@v1","goal":"파도 창고배치 변경 배치 변경 발표자료 작성 위임","prior_task_action":"new","targets":["SYN-F05-09:D1@v1"]}</x:v>
      </x:c>
      <x:c r="F294" s="10" t="n">
        <x:f>IF(D294=E294,1,0)</x:f>
        <x:v>1</x:v>
      </x:c>
      <x:c r="G294" s="10" t="str">
        <x:v>필수 의미와 지칭 집합 일치</x:v>
      </x:c>
    </x:row>
    <x:row r="295" ht="145" customHeight="1">
      <x:c r="A295" s="10" t="str">
        <x:v>T-BASE</x:v>
      </x:c>
      <x:c r="B295" s="10" t="str">
        <x:v>TEXT</x:v>
      </x:c>
      <x:c r="C295" s="10" t="str">
        <x:v>TEXT:SYN-F05-09-U02</x:v>
      </x:c>
      <x:c r="D295" s="10" t="str">
        <x:v>{"conditions":["4장 이내","대상 기간 적용 후 4주","동시 피킹 교차 구간 항목을 첫 장에 제시","배송 협력사 설명회용","선반 구매비 제외","외부 발송 없음","주문당 이동 180m 이하"],"data_source":"SYN-F05-09:D1@v1","goal":"파도 창고배치 변경 배치 변경 발표자료 작성 위임","prior_task_action":"revise","targets":["SYN-F05-09:D1@v1"]}</x:v>
      </x:c>
      <x:c r="E295" s="10" t="str">
        <x:v>{"conditions":["4장 이내","대상 기간 적용 후 4주","동시 피킹 교차 구간 항목을 첫 장에 제시","배송 협력사 설명회용","선반 구매비 제외","외부 발송 없음","주문당 이동 180m 이하"],"data_source":"SYN-F05-09:D1@v1","goal":"파도 창고배치 변경 배치 변경 발표자료 작성 위임","prior_task_action":"revise","targets":["SYN-F05-09:D1@v1"]}</x:v>
      </x:c>
      <x:c r="F295" s="10" t="n">
        <x:f>IF(D295=E295,1,0)</x:f>
        <x:v>1</x:v>
      </x:c>
      <x:c r="G295" s="10" t="str">
        <x:v>필수 의미와 지칭 집합 일치</x:v>
      </x:c>
    </x:row>
    <x:row r="296" ht="145" customHeight="1">
      <x:c r="A296" s="10" t="str">
        <x:v>T-EXEC</x:v>
      </x:c>
      <x:c r="B296" s="10" t="str">
        <x:v>TEXT</x:v>
      </x:c>
      <x:c r="C296" s="10" t="str">
        <x:v>TEXT:SYN-F05-09-U01</x:v>
      </x:c>
      <x:c r="D296" s="10" t="str">
        <x:v>{"conditions":["7장 이내","대상 기간 적용 후 4주","배송 협력사 설명회용","외부 발송 없음","주문당 이동 180m 이하"],"data_source":"SYN-F05-09:D1@v1","goal":"파도 창고배치 변경 배치 변경 발표자료 작성 위임","prior_task_action":"new","targets":["SYN-F05-09:D1@v1"]}</x:v>
      </x:c>
      <x:c r="E296" s="10" t="str">
        <x:v>{"conditions":["7장 이내","대상 기간 적용 후 4주","배송 협력사 설명회용","외부 발송 없음","주문당 이동 180m 이하"],"data_source":"SYN-F05-09:D1@v1","goal":"파도 창고배치 변경 배치 변경 발표자료 작성 위임","prior_task_action":"new","targets":["SYN-F05-09:D1@v1"]}</x:v>
      </x:c>
      <x:c r="F296" s="10" t="n">
        <x:f>IF(D296=E296,1,0)</x:f>
        <x:v>1</x:v>
      </x:c>
      <x:c r="G296" s="10" t="str">
        <x:v>필수 의미와 지칭 집합 일치</x:v>
      </x:c>
    </x:row>
    <x:row r="297" ht="145" customHeight="1">
      <x:c r="A297" s="10" t="str">
        <x:v>T-EXEC</x:v>
      </x:c>
      <x:c r="B297" s="10" t="str">
        <x:v>TEXT</x:v>
      </x:c>
      <x:c r="C297" s="10" t="str">
        <x:v>TEXT:SYN-F05-09-U02</x:v>
      </x:c>
      <x:c r="D297" s="10" t="str">
        <x:v>{"conditions":["4장 이내","대상 기간 적용 후 4주","동시 피킹 교차 구간 항목을 첫 장에 제시","배송 협력사 설명회용","선반 구매비 제외","외부 발송 없음","주문당 이동 180m 이하"],"data_source":"SYN-F05-09:D1@v1","goal":"파도 창고배치 변경 배치 변경 발표자료 작성 위임","prior_task_action":"revise","targets":["SYN-F05-09:D1@v1"]}</x:v>
      </x:c>
      <x:c r="E297" s="10" t="str">
        <x:v>{"conditions":["4장 이내","대상 기간 적용 후 4주","동시 피킹 교차 구간 항목을 첫 장에 제시","배송 협력사 설명회용","선반 구매비 제외","외부 발송 없음","주문당 이동 180m 이하"],"data_source":"SYN-F05-09:D1@v1","goal":"파도 창고배치 변경 배치 변경 발표자료 작성 위임","prior_task_action":"revise","targets":["SYN-F05-09:D1@v1"]}</x:v>
      </x:c>
      <x:c r="F297" s="10" t="n">
        <x:f>IF(D297=E297,1,0)</x:f>
        <x:v>1</x:v>
      </x:c>
      <x:c r="G297" s="10" t="str">
        <x:v>필수 의미와 지칭 집합 일치</x:v>
      </x:c>
    </x:row>
    <x:row r="298" ht="145" customHeight="1">
      <x:c r="A298" s="10" t="str">
        <x:v>T-REL</x:v>
      </x:c>
      <x:c r="B298" s="10" t="str">
        <x:v>TEXT</x:v>
      </x:c>
      <x:c r="C298" s="10" t="str">
        <x:v>TEXT:SYN-F05-09-U01</x:v>
      </x:c>
      <x:c r="D298" s="10" t="str">
        <x:v>{"conditions":["7장 이내","대상 기간 적용 후 4주","배송 협력사 설명회용","외부 발송 없음","주문당 이동 180m 이하"],"data_source":"SYN-F05-09:D1@v1","goal":"파도 창고배치 변경 배치 변경 발표자료 작성 위임","prior_task_action":"new","targets":["SYN-F05-09:D1@v1"]}</x:v>
      </x:c>
      <x:c r="E298" s="10" t="str">
        <x:v>{"conditions":["7장 이내","대상 기간 적용 후 4주","배송 협력사 설명회용","외부 발송 없음","주문당 이동 180m 이하"],"data_source":"SYN-F05-09:D1@v1","goal":"파도 창고배치 변경 배치 변경 발표자료 작성 위임","prior_task_action":"new","targets":["SYN-F05-09:D1@v1"]}</x:v>
      </x:c>
      <x:c r="F298" s="10" t="n">
        <x:f>IF(D298=E298,1,0)</x:f>
        <x:v>1</x:v>
      </x:c>
      <x:c r="G298" s="10" t="str">
        <x:v>필수 의미와 지칭 집합 일치</x:v>
      </x:c>
    </x:row>
    <x:row r="299" ht="145" customHeight="1">
      <x:c r="A299" s="10" t="str">
        <x:v>T-REL</x:v>
      </x:c>
      <x:c r="B299" s="10" t="str">
        <x:v>TEXT</x:v>
      </x:c>
      <x:c r="C299" s="10" t="str">
        <x:v>TEXT:SYN-F05-09-U02</x:v>
      </x:c>
      <x:c r="D299" s="10" t="str">
        <x:v>{"conditions":["4장 이내","대상 기간 적용 후 4주","동시 피킹 교차 구간 항목을 첫 장에 제시","배송 협력사 설명회용","선반 구매비 제외","외부 발송 없음","주문당 이동 180m 이하"],"data_source":"SYN-F05-09:D1@v1","goal":"파도 창고배치 변경 배치 변경 발표자료 작성 위임","prior_task_action":"revise","targets":["SYN-F05-09:D1@v1"]}</x:v>
      </x:c>
      <x:c r="E299" s="10" t="str">
        <x:v>{"conditions":["4장 이내","대상 기간 적용 후 4주","동시 피킹 교차 구간 항목을 첫 장에 제시","배송 협력사 설명회용","선반 구매비 제외","외부 발송 없음","주문당 이동 180m 이하"],"data_source":"SYN-F05-09:D1@v1","goal":"파도 창고배치 변경 배치 변경 발표자료 작성 위임","prior_task_action":"revise","targets":["SYN-F05-09:D1@v1"]}</x:v>
      </x:c>
      <x:c r="F299" s="10" t="n">
        <x:f>IF(D299=E299,1,0)</x:f>
        <x:v>1</x:v>
      </x:c>
      <x:c r="G299" s="10" t="str">
        <x:v>필수 의미와 지칭 집합 일치</x:v>
      </x:c>
    </x:row>
    <x:row r="300" ht="145" customHeight="1">
      <x:c r="A300" s="10" t="str">
        <x:v>T-BASE</x:v>
      </x:c>
      <x:c r="B300" s="10" t="str">
        <x:v>TEXT</x:v>
      </x:c>
      <x:c r="C300" s="10" t="str">
        <x:v>TEXT:SYN-F05-10-U01</x:v>
      </x:c>
      <x:c r="D300" s="10" t="str">
        <x:v>{"conditions":["5장 이내","대상 기간 출시 후 2개월","부서대표 설명회용","외부 발송 없음","첫 화면 메뉴 9개 이하"],"data_source":"SYN-F05-10:D3@v1","goal":"온유 사내포털 개편 포털 개선 발표자료 작성 위임","prior_task_action":"new","targets":["SYN-F05-10:D3@v1"]}</x:v>
      </x:c>
      <x:c r="E300" s="10" t="str">
        <x:v>{"conditions":["5장 이내","대상 기간 출시 후 2개월","부서대표 설명회용","외부 발송 없음","첫 화면 메뉴 9개 이하"],"data_source":"SYN-F05-10:D3@v1","goal":"온유 사내포털 개편 포털 개선 발표자료 작성 위임","prior_task_action":"new","targets":["SYN-F05-10:D3@v1"]}</x:v>
      </x:c>
      <x:c r="F300" s="10" t="n">
        <x:f>IF(D300=E300,1,0)</x:f>
        <x:v>1</x:v>
      </x:c>
      <x:c r="G300" s="10" t="str">
        <x:v>필수 의미와 지칭 집합 일치</x:v>
      </x:c>
    </x:row>
    <x:row r="301" ht="145" customHeight="1">
      <x:c r="A301" s="10" t="str">
        <x:v>T-BASE</x:v>
      </x:c>
      <x:c r="B301" s="10" t="str">
        <x:v>TEXT</x:v>
      </x:c>
      <x:c r="C301" s="10" t="str">
        <x:v>TEXT:SYN-F05-10-U02</x:v>
      </x:c>
      <x:c r="D301" s="10" t="str">
        <x:v>{"conditions":["3장 이내","대상 기간 출시 후 2개월","반복 문의의 메뉴 접근 항목을 첫 장에 제시","부서대표 설명회용","외부 발송 없음","첫 화면 메뉴 9개 이하","초기 이전비 제외"],"data_source":"SYN-F05-10:D3@v1","goal":"온유 사내포털 개편 포털 개선 발표자료 작성 위임","prior_task_action":"revise","targets":["SYN-F05-10:D3@v1"]}</x:v>
      </x:c>
      <x:c r="E301" s="10" t="str">
        <x:v>{"conditions":["3장 이내","대상 기간 출시 후 2개월","반복 문의의 메뉴 접근 항목을 첫 장에 제시","부서대표 설명회용","외부 발송 없음","첫 화면 메뉴 9개 이하","초기 이전비 제외"],"data_source":"SYN-F05-10:D3@v1","goal":"온유 사내포털 개편 포털 개선 발표자료 작성 위임","prior_task_action":"revise","targets":["SYN-F05-10:D3@v1"]}</x:v>
      </x:c>
      <x:c r="F301" s="10" t="n">
        <x:f>IF(D301=E301,1,0)</x:f>
        <x:v>1</x:v>
      </x:c>
      <x:c r="G301" s="10" t="str">
        <x:v>필수 의미와 지칭 집합 일치</x:v>
      </x:c>
    </x:row>
    <x:row r="302" ht="145" customHeight="1">
      <x:c r="A302" s="10" t="str">
        <x:v>T-EXEC</x:v>
      </x:c>
      <x:c r="B302" s="10" t="str">
        <x:v>TEXT</x:v>
      </x:c>
      <x:c r="C302" s="10" t="str">
        <x:v>TEXT:SYN-F05-10-U01</x:v>
      </x:c>
      <x:c r="D302" s="10" t="str">
        <x:v>{"conditions":["5장 이내","대상 기간 출시 후 2개월","부서대표 설명회용","외부 발송 없음","첫 화면 메뉴 9개 이하"],"data_source":"SYN-F05-10:D3@v1","goal":"온유 사내포털 개편 포털 개선 발표자료 작성 위임","prior_task_action":"new","targets":["SYN-F05-10:D3@v1"]}</x:v>
      </x:c>
      <x:c r="E302" s="10" t="str">
        <x:v>{"conditions":["5장 이내","대상 기간 출시 후 2개월","부서대표 설명회용","외부 발송 없음","첫 화면 메뉴 9개 이하"],"data_source":"SYN-F05-10:D3@v1","goal":"온유 사내포털 개편 포털 개선 발표자료 작성 위임","prior_task_action":"new","targets":["SYN-F05-10:D3@v1"]}</x:v>
      </x:c>
      <x:c r="F302" s="10" t="n">
        <x:f>IF(D302=E302,1,0)</x:f>
        <x:v>1</x:v>
      </x:c>
      <x:c r="G302" s="10" t="str">
        <x:v>필수 의미와 지칭 집합 일치</x:v>
      </x:c>
    </x:row>
    <x:row r="303" ht="145" customHeight="1">
      <x:c r="A303" s="10" t="str">
        <x:v>T-EXEC</x:v>
      </x:c>
      <x:c r="B303" s="10" t="str">
        <x:v>TEXT</x:v>
      </x:c>
      <x:c r="C303" s="10" t="str">
        <x:v>TEXT:SYN-F05-10-U02</x:v>
      </x:c>
      <x:c r="D303" s="10" t="str">
        <x:v>{"conditions":["3장 이내","대상 기간 출시 후 2개월","반복 문의의 메뉴 접근 항목을 첫 장에 제시","부서대표 설명회용","외부 발송 없음","첫 화면 메뉴 9개 이하","초기 이전비 제외"],"data_source":"SYN-F05-10:D3@v1","goal":"온유 사내포털 개편 포털 개선 발표자료 작성 위임","prior_task_action":"revise","targets":["SYN-F05-10:D3@v1"]}</x:v>
      </x:c>
      <x:c r="E303" s="10" t="str">
        <x:v>{"conditions":["3장 이내","대상 기간 출시 후 2개월","반복 문의의 메뉴 접근 항목을 첫 장에 제시","부서대표 설명회용","외부 발송 없음","첫 화면 메뉴 9개 이하","초기 이전비 제외"],"data_source":"SYN-F05-10:D3@v1","goal":"온유 사내포털 개편 포털 개선 발표자료 작성 위임","prior_task_action":"revise","targets":["SYN-F05-10:D3@v1"]}</x:v>
      </x:c>
      <x:c r="F303" s="10" t="n">
        <x:f>IF(D303=E303,1,0)</x:f>
        <x:v>1</x:v>
      </x:c>
      <x:c r="G303" s="10" t="str">
        <x:v>필수 의미와 지칭 집합 일치</x:v>
      </x:c>
    </x:row>
    <x:row r="304" ht="145" customHeight="1">
      <x:c r="A304" s="10" t="str">
        <x:v>T-REL</x:v>
      </x:c>
      <x:c r="B304" s="10" t="str">
        <x:v>TEXT</x:v>
      </x:c>
      <x:c r="C304" s="10" t="str">
        <x:v>TEXT:SYN-F05-10-U01</x:v>
      </x:c>
      <x:c r="D304" s="10" t="str">
        <x:v>{"conditions":["5장 이내","대상 기간 출시 후 2개월","부서대표 설명회용","외부 발송 없음","첫 화면 메뉴 9개 이하"],"data_source":"SYN-F05-10:D3@v1","goal":"온유 사내포털 개편 포털 개선 발표자료 작성 위임","prior_task_action":"new","targets":["SYN-F05-10:D3@v1"]}</x:v>
      </x:c>
      <x:c r="E304" s="10" t="str">
        <x:v>{"conditions":["5장 이내","대상 기간 출시 후 2개월","부서대표 설명회용","외부 발송 없음","첫 화면 메뉴 9개 이하"],"data_source":"SYN-F05-10:D3@v1","goal":"온유 사내포털 개편 포털 개선 발표자료 작성 위임","prior_task_action":"new","targets":["SYN-F05-10:D3@v1"]}</x:v>
      </x:c>
      <x:c r="F304" s="10" t="n">
        <x:f>IF(D304=E304,1,0)</x:f>
        <x:v>1</x:v>
      </x:c>
      <x:c r="G304" s="10" t="str">
        <x:v>필수 의미와 지칭 집합 일치</x:v>
      </x:c>
    </x:row>
    <x:row r="305" ht="145" customHeight="1">
      <x:c r="A305" s="10" t="str">
        <x:v>T-REL</x:v>
      </x:c>
      <x:c r="B305" s="10" t="str">
        <x:v>TEXT</x:v>
      </x:c>
      <x:c r="C305" s="10" t="str">
        <x:v>TEXT:SYN-F05-10-U02</x:v>
      </x:c>
      <x:c r="D305" s="10" t="str">
        <x:v>{"conditions":["3장 이내","대상 기간 출시 후 2개월","반복 문의의 메뉴 접근 항목을 첫 장에 제시","부서대표 설명회용","외부 발송 없음","첫 화면 메뉴 9개 이하","초기 이전비 제외"],"data_source":"SYN-F05-10:D3@v1","goal":"온유 사내포털 개편 포털 개선 발표자료 작성 위임","prior_task_action":"revise","targets":["SYN-F05-10:D3@v1"]}</x:v>
      </x:c>
      <x:c r="E305" s="10" t="str">
        <x:v>{"conditions":["3장 이내","대상 기간 출시 후 2개월","반복 문의의 메뉴 접근 항목을 첫 장에 제시","부서대표 설명회용","외부 발송 없음","첫 화면 메뉴 9개 이하","초기 이전비 제외"],"data_source":"SYN-F05-10:D3@v1","goal":"온유 사내포털 개편 포털 개선 발표자료 작성 위임","prior_task_action":"revise","targets":["SYN-F05-10:D3@v1"]}</x:v>
      </x:c>
      <x:c r="F305" s="10" t="n">
        <x:f>IF(D305=E305,1,0)</x:f>
        <x:v>1</x:v>
      </x:c>
      <x:c r="G305" s="10" t="str">
        <x:v>필수 의미와 지칭 집합 일치</x:v>
      </x:c>
    </x:row>
    <x:row r="306" ht="145" customHeight="1">
      <x:c r="A306" s="10" t="str">
        <x:v>T-BASE</x:v>
      </x:c>
      <x:c r="B306" s="10" t="str">
        <x:v>TEXT</x:v>
      </x:c>
      <x:c r="C306" s="10" t="str">
        <x:v>TEXT:SYN-F06-01-U01</x:v>
      </x:c>
      <x:c r="D306" s="10" t="str">
        <x:v>{"conditions":["5장 이내","대상 기간 첫 12개월","서비스 운영위원회용","외부 발송 없음","월 운영비 240만원 이하"],"data_source":"SYN-F06-01:D2@v1","goal":"오로라 고객센터 전환 전환 검토 발표자료 작성 위임","prior_task_action":"new","targets":["SYN-F06-01:D2@v1"]}</x:v>
      </x:c>
      <x:c r="E306" s="10" t="str">
        <x:v>{"conditions":["5장 이내","대상 기간 첫 12개월","서비스 운영위원회용","외부 발송 없음","월 운영비 240만원 이하"],"data_source":"SYN-F06-01:D2@v1","goal":"오로라 고객센터 전환 전환 검토 발표자료 작성 위임","prior_task_action":"new","targets":["SYN-F06-01:D2@v1"]}</x:v>
      </x:c>
      <x:c r="F306" s="10" t="n">
        <x:f>IF(D306=E306,1,0)</x:f>
        <x:v>1</x:v>
      </x:c>
      <x:c r="G306" s="10" t="str">
        <x:v>필수 의미와 지칭 집합 일치</x:v>
      </x:c>
    </x:row>
    <x:row r="307" ht="145" customHeight="1">
      <x:c r="A307" s="10" t="str">
        <x:v>T-BASE</x:v>
      </x:c>
      <x:c r="B307" s="10" t="str">
        <x:v>TEXT</x:v>
      </x:c>
      <x:c r="C307" s="10" t="str">
        <x:v>TEXT:SYN-F06-01-U02</x:v>
      </x:c>
      <x:c r="D307" s="10" t="str">
        <x:v>{"conditions":["5장 이내","대상 기간 첫 12개월","상담팀 실무회의용","야간 상담 배정의 미확인 사항 우선","외부 발송 없음","월 운영비 240만원 이하","위험 우선"],"data_source":"SYN-F06-01:D2@v1","goal":"오로라 고객센터 전환 전환 검토 발표자료 작성 위임","prior_task_action":"revise","targets":["SYN-F06-01:D2@v1"]}</x:v>
      </x:c>
      <x:c r="E307" s="10" t="str">
        <x:v>{"conditions":["5장 이내","대상 기간 첫 12개월","상담팀 실무회의용","야간 상담 배정의 미확인 사항 우선","외부 발송 없음","월 운영비 240만원 이하","위험 우선"],"data_source":"SYN-F06-01:D2@v1","goal":"오로라 고객센터 전환 전환 검토 발표자료 작성 위임","prior_task_action":"revise","targets":["SYN-F06-01:D2@v1"]}</x:v>
      </x:c>
      <x:c r="F307" s="10" t="n">
        <x:f>IF(D307=E307,1,0)</x:f>
        <x:v>1</x:v>
      </x:c>
      <x:c r="G307" s="10" t="str">
        <x:v>필수 의미와 지칭 집합 일치</x:v>
      </x:c>
    </x:row>
    <x:row r="308" ht="145" customHeight="1">
      <x:c r="A308" s="10" t="str">
        <x:v>T-EXEC</x:v>
      </x:c>
      <x:c r="B308" s="10" t="str">
        <x:v>TEXT</x:v>
      </x:c>
      <x:c r="C308" s="10" t="str">
        <x:v>TEXT:SYN-F06-01-U01</x:v>
      </x:c>
      <x:c r="D308" s="10" t="str">
        <x:v>{"conditions":["5장 이내","대상 기간 첫 12개월","서비스 운영위원회용","외부 발송 없음","월 운영비 240만원 이하"],"data_source":"SYN-F06-01:D2@v1","goal":"오로라 고객센터 전환 전환 검토 발표자료 작성 위임","prior_task_action":"new","targets":["SYN-F06-01:D2@v1"]}</x:v>
      </x:c>
      <x:c r="E308" s="10" t="str">
        <x:v>{"conditions":["5장 이내","대상 기간 첫 12개월","서비스 운영위원회용","외부 발송 없음","월 운영비 240만원 이하"],"data_source":"SYN-F06-01:D2@v1","goal":"오로라 고객센터 전환 전환 검토 발표자료 작성 위임","prior_task_action":"new","targets":["SYN-F06-01:D2@v1"]}</x:v>
      </x:c>
      <x:c r="F308" s="10" t="n">
        <x:f>IF(D308=E308,1,0)</x:f>
        <x:v>1</x:v>
      </x:c>
      <x:c r="G308" s="10" t="str">
        <x:v>필수 의미와 지칭 집합 일치</x:v>
      </x:c>
    </x:row>
    <x:row r="309" ht="145" customHeight="1">
      <x:c r="A309" s="10" t="str">
        <x:v>T-EXEC</x:v>
      </x:c>
      <x:c r="B309" s="10" t="str">
        <x:v>TEXT</x:v>
      </x:c>
      <x:c r="C309" s="10" t="str">
        <x:v>TEXT:SYN-F06-01-U02</x:v>
      </x:c>
      <x:c r="D309" s="10" t="str">
        <x:v>{"conditions":["5장 이내","대상 기간 첫 12개월","상담팀 실무회의용","야간 상담 배정의 미확인 사항 우선","외부 발송 없음","월 운영비 240만원 이하","위험 우선"],"data_source":"SYN-F06-01:D2@v1","goal":"오로라 고객센터 전환 전환 검토 발표자료 작성 위임","prior_task_action":"revise","targets":["SYN-F06-01:D2@v1"]}</x:v>
      </x:c>
      <x:c r="E309" s="10" t="str">
        <x:v>{"conditions":["5장 이내","대상 기간 첫 12개월","서비스 운영위원회용","외부 발송 없음","월 운영비 240만원 이하","장점 우선"],"data_source":"SYN-F06-01:D2@v1","goal":"오로라 고객센터 전환 전환 검토 발표자료 작성 위임","prior_task_action":"revise","targets":["SYN-F06-01:D2@v1"]}</x:v>
      </x:c>
      <x:c r="F309" s="10" t="n">
        <x:f>IF(D309=E309,1,0)</x:f>
        <x:v>0</x:v>
      </x:c>
      <x:c r="G309" s="10" t="str">
        <x:v>목적 변경을 놓쳐 과거 청중과 장점 우선 순서를 유지</x:v>
      </x:c>
    </x:row>
    <x:row r="310" ht="145" customHeight="1">
      <x:c r="A310" s="10" t="str">
        <x:v>T-REL</x:v>
      </x:c>
      <x:c r="B310" s="10" t="str">
        <x:v>TEXT</x:v>
      </x:c>
      <x:c r="C310" s="10" t="str">
        <x:v>TEXT:SYN-F06-01-U01</x:v>
      </x:c>
      <x:c r="D310" s="10" t="str">
        <x:v>{"conditions":["5장 이내","대상 기간 첫 12개월","서비스 운영위원회용","외부 발송 없음","월 운영비 240만원 이하"],"data_source":"SYN-F06-01:D2@v1","goal":"오로라 고객센터 전환 전환 검토 발표자료 작성 위임","prior_task_action":"new","targets":["SYN-F06-01:D2@v1"]}</x:v>
      </x:c>
      <x:c r="E310" s="10" t="str">
        <x:v>{"conditions":["5장 이내","대상 기간 첫 12개월","서비스 운영위원회용","외부 발송 없음","월 운영비 240만원 이하"],"data_source":"SYN-F06-01:D2@v1","goal":"오로라 고객센터 전환 전환 검토 발표자료 작성 위임","prior_task_action":"new","targets":["SYN-F06-01:D2@v1"]}</x:v>
      </x:c>
      <x:c r="F310" s="10" t="n">
        <x:f>IF(D310=E310,1,0)</x:f>
        <x:v>1</x:v>
      </x:c>
      <x:c r="G310" s="10" t="str">
        <x:v>필수 의미와 지칭 집합 일치</x:v>
      </x:c>
    </x:row>
    <x:row r="311" ht="145" customHeight="1">
      <x:c r="A311" s="10" t="str">
        <x:v>T-REL</x:v>
      </x:c>
      <x:c r="B311" s="10" t="str">
        <x:v>TEXT</x:v>
      </x:c>
      <x:c r="C311" s="10" t="str">
        <x:v>TEXT:SYN-F06-01-U02</x:v>
      </x:c>
      <x:c r="D311" s="10" t="str">
        <x:v>{"conditions":["5장 이내","대상 기간 첫 12개월","상담팀 실무회의용","야간 상담 배정의 미확인 사항 우선","외부 발송 없음","월 운영비 240만원 이하","위험 우선"],"data_source":"SYN-F06-01:D2@v1","goal":"오로라 고객센터 전환 전환 검토 발표자료 작성 위임","prior_task_action":"revise","targets":["SYN-F06-01:D2@v1"]}</x:v>
      </x:c>
      <x:c r="E311" s="10" t="str">
        <x:v>{"conditions":["5장 이내","대상 기간 첫 12개월","서비스 운영위원회용","외부 발송 없음","월 운영비 240만원 이하","장점 우선"],"data_source":"SYN-F06-01:D2@v1","goal":"오로라 고객센터 전환 전환 검토 발표자료 작성 위임","prior_task_action":"revise","targets":["SYN-F06-01:D2@v1"]}</x:v>
      </x:c>
      <x:c r="F311" s="10" t="n">
        <x:f>IF(D311=E311,1,0)</x:f>
        <x:v>0</x:v>
      </x:c>
      <x:c r="G311" s="10" t="str">
        <x:v>목적 변경을 놓쳐 과거 청중과 장점 우선 순서를 유지</x:v>
      </x:c>
    </x:row>
    <x:row r="312" ht="145" customHeight="1">
      <x:c r="A312" s="10" t="str">
        <x:v>T-BASE</x:v>
      </x:c>
      <x:c r="B312" s="10" t="str">
        <x:v>TEXT</x:v>
      </x:c>
      <x:c r="C312" s="10" t="str">
        <x:v>TEXT:SYN-F06-02-U01</x:v>
      </x:c>
      <x:c r="D312" s="10" t="str">
        <x:v>{"conditions":["4장 이내","대상 기간 전시 4주","외부 발송 없음","주말 운영 인력 12명 이하","참가업체 설명회용"],"data_source":"SYN-F06-02:D1@v1","goal":"봄길 지역전시 준비 운영 제안 발표자료 작성 위임","prior_task_action":"new","targets":["SYN-F06-02:D1@v1"]}</x:v>
      </x:c>
      <x:c r="E312" s="10" t="str">
        <x:v>{"conditions":["4장 이내","대상 기간 전시 4주","외부 발송 없음","주말 운영 인력 12명 이하","참가업체 설명회용"],"data_source":"SYN-F06-02:D1@v1","goal":"봄길 지역전시 준비 운영 제안 발표자료 작성 위임","prior_task_action":"new","targets":["SYN-F06-02:D1@v1"]}</x:v>
      </x:c>
      <x:c r="F312" s="10" t="n">
        <x:f>IF(D312=E312,1,0)</x:f>
        <x:v>1</x:v>
      </x:c>
      <x:c r="G312" s="10" t="str">
        <x:v>필수 의미와 지칭 집합 일치</x:v>
      </x:c>
    </x:row>
    <x:row r="313" ht="145" customHeight="1">
      <x:c r="A313" s="10" t="str">
        <x:v>T-BASE</x:v>
      </x:c>
      <x:c r="B313" s="10" t="str">
        <x:v>TEXT</x:v>
      </x:c>
      <x:c r="C313" s="10" t="str">
        <x:v>TEXT:SYN-F06-02-U02</x:v>
      </x:c>
      <x:c r="D313" s="10" t="str">
        <x:v>{"conditions":["4장 이내","대상 기간 전시 4주","외부 발송 없음","위험 우선","전시 운영회의용","주말 운영 인력 12명 이하","혼잡 시간 입장 동선의 미확인 사항 우선"],"data_source":"SYN-F06-02:D1@v1","goal":"봄길 지역전시 준비 운영 제안 발표자료 작성 위임","prior_task_action":"revise","targets":["SYN-F06-02:D1@v1"]}</x:v>
      </x:c>
      <x:c r="E313" s="10" t="str">
        <x:v>{"conditions":["4장 이내","대상 기간 전시 4주","외부 발송 없음","위험 우선","전시 운영회의용","주말 운영 인력 12명 이하","혼잡 시간 입장 동선의 미확인 사항 우선"],"data_source":"SYN-F06-02:D1@v1","goal":"봄길 지역전시 준비 운영 제안 발표자료 작성 위임","prior_task_action":"revise","targets":["SYN-F06-02:D1@v1"]}</x:v>
      </x:c>
      <x:c r="F313" s="10" t="n">
        <x:f>IF(D313=E313,1,0)</x:f>
        <x:v>1</x:v>
      </x:c>
      <x:c r="G313" s="10" t="str">
        <x:v>필수 의미와 지칭 집합 일치</x:v>
      </x:c>
    </x:row>
    <x:row r="314" ht="145" customHeight="1">
      <x:c r="A314" s="10" t="str">
        <x:v>T-EXEC</x:v>
      </x:c>
      <x:c r="B314" s="10" t="str">
        <x:v>TEXT</x:v>
      </x:c>
      <x:c r="C314" s="10" t="str">
        <x:v>TEXT:SYN-F06-02-U01</x:v>
      </x:c>
      <x:c r="D314" s="10" t="str">
        <x:v>{"conditions":["4장 이내","대상 기간 전시 4주","외부 발송 없음","주말 운영 인력 12명 이하","참가업체 설명회용"],"data_source":"SYN-F06-02:D1@v1","goal":"봄길 지역전시 준비 운영 제안 발표자료 작성 위임","prior_task_action":"new","targets":["SYN-F06-02:D1@v1"]}</x:v>
      </x:c>
      <x:c r="E314" s="10" t="str">
        <x:v>{"conditions":["4장 이내","대상 기간 전시 4주","외부 발송 없음","주말 운영 인력 12명 이하","참가업체 설명회용"],"data_source":"SYN-F06-02:D1@v1","goal":"봄길 지역전시 준비 운영 제안 발표자료 작성 위임","prior_task_action":"new","targets":["SYN-F06-02:D1@v1"]}</x:v>
      </x:c>
      <x:c r="F314" s="10" t="n">
        <x:f>IF(D314=E314,1,0)</x:f>
        <x:v>1</x:v>
      </x:c>
      <x:c r="G314" s="10" t="str">
        <x:v>필수 의미와 지칭 집합 일치</x:v>
      </x:c>
    </x:row>
    <x:row r="315" ht="145" customHeight="1">
      <x:c r="A315" s="10" t="str">
        <x:v>T-EXEC</x:v>
      </x:c>
      <x:c r="B315" s="10" t="str">
        <x:v>TEXT</x:v>
      </x:c>
      <x:c r="C315" s="10" t="str">
        <x:v>TEXT:SYN-F06-02-U02</x:v>
      </x:c>
      <x:c r="D315" s="10" t="str">
        <x:v>{"conditions":["4장 이내","대상 기간 전시 4주","외부 발송 없음","위험 우선","전시 운영회의용","주말 운영 인력 12명 이하","혼잡 시간 입장 동선의 미확인 사항 우선"],"data_source":"SYN-F06-02:D1@v1","goal":"봄길 지역전시 준비 운영 제안 발표자료 작성 위임","prior_task_action":"revise","targets":["SYN-F06-02:D1@v1"]}</x:v>
      </x:c>
      <x:c r="E315" s="10" t="str">
        <x:v>{"conditions":["4장 이내","대상 기간 전시 4주","외부 발송 없음","위험 우선","전시 운영회의용","주말 운영 인력 12명 이하","혼잡 시간 입장 동선의 미확인 사항 우선"],"data_source":"SYN-F06-02:D1@v1","goal":"봄길 지역전시 준비 운영 제안 발표자료 작성 위임","prior_task_action":"revise","targets":["SYN-F06-02:D1@v1"]}</x:v>
      </x:c>
      <x:c r="F315" s="10" t="n">
        <x:f>IF(D315=E315,1,0)</x:f>
        <x:v>1</x:v>
      </x:c>
      <x:c r="G315" s="10" t="str">
        <x:v>필수 의미와 지칭 집합 일치</x:v>
      </x:c>
    </x:row>
    <x:row r="316" ht="145" customHeight="1">
      <x:c r="A316" s="10" t="str">
        <x:v>T-REL</x:v>
      </x:c>
      <x:c r="B316" s="10" t="str">
        <x:v>TEXT</x:v>
      </x:c>
      <x:c r="C316" s="10" t="str">
        <x:v>TEXT:SYN-F06-02-U01</x:v>
      </x:c>
      <x:c r="D316" s="10" t="str">
        <x:v>{"conditions":["4장 이내","대상 기간 전시 4주","외부 발송 없음","주말 운영 인력 12명 이하","참가업체 설명회용"],"data_source":"SYN-F06-02:D1@v1","goal":"봄길 지역전시 준비 운영 제안 발표자료 작성 위임","prior_task_action":"new","targets":["SYN-F06-02:D1@v1"]}</x:v>
      </x:c>
      <x:c r="E316" s="10" t="str">
        <x:v>{"conditions":["4장 이내","대상 기간 전시 4주","외부 발송 없음","주말 운영 인력 12명 이하","참가업체 설명회용"],"data_source":"SYN-F06-02:D1@v1","goal":"봄길 지역전시 준비 운영 제안 발표자료 작성 위임","prior_task_action":"new","targets":["SYN-F06-02:D1@v1"]}</x:v>
      </x:c>
      <x:c r="F316" s="10" t="n">
        <x:f>IF(D316=E316,1,0)</x:f>
        <x:v>1</x:v>
      </x:c>
      <x:c r="G316" s="10" t="str">
        <x:v>필수 의미와 지칭 집합 일치</x:v>
      </x:c>
    </x:row>
    <x:row r="317" ht="145" customHeight="1">
      <x:c r="A317" s="10" t="str">
        <x:v>T-REL</x:v>
      </x:c>
      <x:c r="B317" s="10" t="str">
        <x:v>TEXT</x:v>
      </x:c>
      <x:c r="C317" s="10" t="str">
        <x:v>TEXT:SYN-F06-02-U02</x:v>
      </x:c>
      <x:c r="D317" s="10" t="str">
        <x:v>{"conditions":["4장 이내","대상 기간 전시 4주","외부 발송 없음","위험 우선","전시 운영회의용","주말 운영 인력 12명 이하","혼잡 시간 입장 동선의 미확인 사항 우선"],"data_source":"SYN-F06-02:D1@v1","goal":"봄길 지역전시 준비 운영 제안 발표자료 작성 위임","prior_task_action":"revise","targets":["SYN-F06-02:D1@v1"]}</x:v>
      </x:c>
      <x:c r="E317" s="10" t="str">
        <x:v>{"conditions":["4장 이내","대상 기간 전시 4주","외부 발송 없음","위험 우선","전시 운영회의용","주말 운영 인력 12명 이하","혼잡 시간 입장 동선의 미확인 사항 우선"],"data_source":"SYN-F06-02:D1@v1","goal":"봄길 지역전시 준비 운영 제안 발표자료 작성 위임","prior_task_action":"revise","targets":["SYN-F06-02:D1@v1"]}</x:v>
      </x:c>
      <x:c r="F317" s="10" t="n">
        <x:f>IF(D317=E317,1,0)</x:f>
        <x:v>1</x:v>
      </x:c>
      <x:c r="G317" s="10" t="str">
        <x:v>필수 의미와 지칭 집합 일치</x:v>
      </x:c>
    </x:row>
    <x:row r="318" ht="145" customHeight="1">
      <x:c r="A318" s="10" t="str">
        <x:v>T-BASE</x:v>
      </x:c>
      <x:c r="B318" s="10" t="str">
        <x:v>TEXT</x:v>
      </x:c>
      <x:c r="C318" s="10" t="str">
        <x:v>TEXT:SYN-F06-03-U01</x:v>
      </x:c>
      <x:c r="D318" s="10" t="str">
        <x:v>{"conditions":["6장 이내","교육 승인위원회용","대상 기간 입사 후 3주","외부 발송 없음","참가자당 교육시간 18시간 이하"],"data_source":"SYN-F06-03:D3@v1","goal":"해온 신입교육 개편 교육 개편 발표자료 작성 위임","prior_task_action":"new","targets":["SYN-F06-03:D3@v1"]}</x:v>
      </x:c>
      <x:c r="E318" s="10" t="str">
        <x:v>{"conditions":["6장 이내","교육 승인위원회용","대상 기간 입사 후 3주","외부 발송 없음","참가자당 교육시간 18시간 이하"],"data_source":"SYN-F06-03:D3@v1","goal":"해온 신입교육 개편 교육 개편 발표자료 작성 위임","prior_task_action":"new","targets":["SYN-F06-03:D3@v1"]}</x:v>
      </x:c>
      <x:c r="F318" s="10" t="n">
        <x:f>IF(D318=E318,1,0)</x:f>
        <x:v>1</x:v>
      </x:c>
      <x:c r="G318" s="10" t="str">
        <x:v>필수 의미와 지칭 집합 일치</x:v>
      </x:c>
    </x:row>
    <x:row r="319" ht="145" customHeight="1">
      <x:c r="A319" s="10" t="str">
        <x:v>T-BASE</x:v>
      </x:c>
      <x:c r="B319" s="10" t="str">
        <x:v>TEXT</x:v>
      </x:c>
      <x:c r="C319" s="10" t="str">
        <x:v>TEXT:SYN-F06-03-U02</x:v>
      </x:c>
      <x:c r="D319" s="10" t="str">
        <x:v>{"conditions":["6장 이내","강사 준비회의용","대상 기간 입사 후 3주","실습과 피드백 순서의 미확인 사항 우선","외부 발송 없음","위험 우선","참가자당 교육시간 18시간 이하"],"data_source":"SYN-F06-03:D3@v1","goal":"해온 신입교육 개편 교육 개편 발표자료 작성 위임","prior_task_action":"revise","targets":["SYN-F06-03:D3@v1"]}</x:v>
      </x:c>
      <x:c r="E319" s="10" t="str">
        <x:v>{"conditions":["6장 이내","강사 준비회의용","대상 기간 입사 후 3주","실습과 피드백 순서의 미확인 사항 우선","외부 발송 없음","위험 우선","참가자당 교육시간 18시간 이하"],"data_source":"SYN-F06-03:D3@v1","goal":"해온 신입교육 개편 교육 개편 발표자료 작성 위임","prior_task_action":"revise","targets":["SYN-F06-03:D3@v1"]}</x:v>
      </x:c>
      <x:c r="F319" s="10" t="n">
        <x:f>IF(D319=E319,1,0)</x:f>
        <x:v>1</x:v>
      </x:c>
      <x:c r="G319" s="10" t="str">
        <x:v>필수 의미와 지칭 집합 일치</x:v>
      </x:c>
    </x:row>
    <x:row r="320" ht="145" customHeight="1">
      <x:c r="A320" s="10" t="str">
        <x:v>T-EXEC</x:v>
      </x:c>
      <x:c r="B320" s="10" t="str">
        <x:v>TEXT</x:v>
      </x:c>
      <x:c r="C320" s="10" t="str">
        <x:v>TEXT:SYN-F06-03-U01</x:v>
      </x:c>
      <x:c r="D320" s="10" t="str">
        <x:v>{"conditions":["6장 이내","교육 승인위원회용","대상 기간 입사 후 3주","외부 발송 없음","참가자당 교육시간 18시간 이하"],"data_source":"SYN-F06-03:D3@v1","goal":"해온 신입교육 개편 교육 개편 발표자료 작성 위임","prior_task_action":"new","targets":["SYN-F06-03:D3@v1"]}</x:v>
      </x:c>
      <x:c r="E320" s="10" t="str">
        <x:v>{"conditions":["6장 이내","교육 승인위원회용","대상 기간 입사 후 3주","외부 발송 없음","참가자당 교육시간 18시간 이하"],"data_source":"SYN-F06-03:D3@v1","goal":"해온 신입교육 개편 교육 개편 발표자료 작성 위임","prior_task_action":"new","targets":["SYN-F06-03:D3@v1"]}</x:v>
      </x:c>
      <x:c r="F320" s="10" t="n">
        <x:f>IF(D320=E320,1,0)</x:f>
        <x:v>1</x:v>
      </x:c>
      <x:c r="G320" s="10" t="str">
        <x:v>필수 의미와 지칭 집합 일치</x:v>
      </x:c>
    </x:row>
    <x:row r="321" ht="145" customHeight="1">
      <x:c r="A321" s="10" t="str">
        <x:v>T-EXEC</x:v>
      </x:c>
      <x:c r="B321" s="10" t="str">
        <x:v>TEXT</x:v>
      </x:c>
      <x:c r="C321" s="10" t="str">
        <x:v>TEXT:SYN-F06-03-U02</x:v>
      </x:c>
      <x:c r="D321" s="10" t="str">
        <x:v>{"conditions":["6장 이내","강사 준비회의용","대상 기간 입사 후 3주","실습과 피드백 순서의 미확인 사항 우선","외부 발송 없음","위험 우선","참가자당 교육시간 18시간 이하"],"data_source":"SYN-F06-03:D3@v1","goal":"해온 신입교육 개편 교육 개편 발표자료 작성 위임","prior_task_action":"revise","targets":["SYN-F06-03:D3@v1"]}</x:v>
      </x:c>
      <x:c r="E321" s="10" t="str">
        <x:v>{"conditions":["6장 이내","강사 준비회의용","대상 기간 입사 후 3주","실습과 피드백 순서의 미확인 사항 우선","외부 발송 없음","위험 우선","참가자당 교육시간 18시간 이하"],"data_source":"SYN-F06-03:D3@v1","goal":"해온 신입교육 개편 교육 개편 발표자료 작성 위임","prior_task_action":"revise","targets":["SYN-F06-03:D3@v1"]}</x:v>
      </x:c>
      <x:c r="F321" s="10" t="n">
        <x:f>IF(D321=E321,1,0)</x:f>
        <x:v>1</x:v>
      </x:c>
      <x:c r="G321" s="10" t="str">
        <x:v>필수 의미와 지칭 집합 일치</x:v>
      </x:c>
    </x:row>
    <x:row r="322" ht="145" customHeight="1">
      <x:c r="A322" s="10" t="str">
        <x:v>T-REL</x:v>
      </x:c>
      <x:c r="B322" s="10" t="str">
        <x:v>TEXT</x:v>
      </x:c>
      <x:c r="C322" s="10" t="str">
        <x:v>TEXT:SYN-F06-03-U01</x:v>
      </x:c>
      <x:c r="D322" s="10" t="str">
        <x:v>{"conditions":["6장 이내","교육 승인위원회용","대상 기간 입사 후 3주","외부 발송 없음","참가자당 교육시간 18시간 이하"],"data_source":"SYN-F06-03:D3@v1","goal":"해온 신입교육 개편 교육 개편 발표자료 작성 위임","prior_task_action":"new","targets":["SYN-F06-03:D3@v1"]}</x:v>
      </x:c>
      <x:c r="E322" s="10" t="str">
        <x:v>{"conditions":["6장 이내","교육 승인위원회용","대상 기간 입사 후 3주","외부 발송 없음","참가자당 교육시간 18시간 이하"],"data_source":"SYN-F06-03:D3@v1","goal":"해온 신입교육 개편 교육 개편 발표자료 작성 위임","prior_task_action":"new","targets":["SYN-F06-03:D3@v1"]}</x:v>
      </x:c>
      <x:c r="F322" s="10" t="n">
        <x:f>IF(D322=E322,1,0)</x:f>
        <x:v>1</x:v>
      </x:c>
      <x:c r="G322" s="10" t="str">
        <x:v>필수 의미와 지칭 집합 일치</x:v>
      </x:c>
    </x:row>
    <x:row r="323" ht="145" customHeight="1">
      <x:c r="A323" s="10" t="str">
        <x:v>T-REL</x:v>
      </x:c>
      <x:c r="B323" s="10" t="str">
        <x:v>TEXT</x:v>
      </x:c>
      <x:c r="C323" s="10" t="str">
        <x:v>TEXT:SYN-F06-03-U02</x:v>
      </x:c>
      <x:c r="D323" s="10" t="str">
        <x:v>{"conditions":["6장 이내","강사 준비회의용","대상 기간 입사 후 3주","실습과 피드백 순서의 미확인 사항 우선","외부 발송 없음","위험 우선","참가자당 교육시간 18시간 이하"],"data_source":"SYN-F06-03:D3@v1","goal":"해온 신입교육 개편 교육 개편 발표자료 작성 위임","prior_task_action":"revise","targets":["SYN-F06-03:D3@v1"]}</x:v>
      </x:c>
      <x:c r="E323" s="10" t="str">
        <x:v>{"conditions":["6장 이내","강사 준비회의용","대상 기간 입사 후 3주","실습과 피드백 순서의 미확인 사항 우선","외부 발송 없음","위험 우선","참가자당 교육시간 18시간 이하"],"data_source":"SYN-F06-03:D3@v1","goal":"해온 신입교육 개편 교육 개편 발표자료 작성 위임","prior_task_action":"revise","targets":["SYN-F06-03:D3@v1"]}</x:v>
      </x:c>
      <x:c r="F323" s="10" t="n">
        <x:f>IF(D323=E323,1,0)</x:f>
        <x:v>1</x:v>
      </x:c>
      <x:c r="G323" s="10" t="str">
        <x:v>필수 의미와 지칭 집합 일치</x:v>
      </x:c>
    </x:row>
    <x:row r="324" ht="145" customHeight="1">
      <x:c r="A324" s="10" t="str">
        <x:v>T-BASE</x:v>
      </x:c>
      <x:c r="B324" s="10" t="str">
        <x:v>TEXT</x:v>
      </x:c>
      <x:c r="C324" s="10" t="str">
        <x:v>TEXT:SYN-F06-04-U01</x:v>
      </x:c>
      <x:c r="D324" s="10" t="str">
        <x:v>{"conditions":["7장 이내","대상 기간 평일 20일","외부 발송 없음","일일 추가 운행 8회 이하","협력사 운영설명회용"],"data_source":"SYN-F06-04:D2@v1","goal":"라임 배송거점 개선 거점 개선 발표자료 작성 위임","prior_task_action":"new","targets":["SYN-F06-04:D2@v1"]}</x:v>
      </x:c>
      <x:c r="E324" s="10" t="str">
        <x:v>{"conditions":["7장 이내","대상 기간 평일 20일","외부 발송 없음","일일 추가 운행 8회 이하","협력사 운영설명회용"],"data_source":"SYN-F06-04:D2@v1","goal":"라임 배송거점 개선 거점 개선 발표자료 작성 위임","prior_task_action":"new","targets":["SYN-F06-04:D2@v1"]}</x:v>
      </x:c>
      <x:c r="F324" s="10" t="n">
        <x:f>IF(D324=E324,1,0)</x:f>
        <x:v>1</x:v>
      </x:c>
      <x:c r="G324" s="10" t="str">
        <x:v>필수 의미와 지칭 집합 일치</x:v>
      </x:c>
    </x:row>
    <x:row r="325" ht="145" customHeight="1">
      <x:c r="A325" s="10" t="str">
        <x:v>T-BASE</x:v>
      </x:c>
      <x:c r="B325" s="10" t="str">
        <x:v>TEXT</x:v>
      </x:c>
      <x:c r="C325" s="10" t="str">
        <x:v>TEXT:SYN-F06-04-U02</x:v>
      </x:c>
      <x:c r="D325" s="10" t="str">
        <x:v>{"conditions":["7장 이내","대상 기간 평일 20일","배차 담당자 회의용","오후 출고 대기의 미확인 사항 우선","외부 발송 없음","위험 우선","일일 추가 운행 8회 이하"],"data_source":"SYN-F06-04:D2@v1","goal":"라임 배송거점 개선 거점 개선 발표자료 작성 위임","prior_task_action":"revise","targets":["SYN-F06-04:D2@v1"]}</x:v>
      </x:c>
      <x:c r="E325" s="10" t="str">
        <x:v>{"conditions":["7장 이내","대상 기간 평일 20일","배차 담당자 회의용","오후 출고 대기의 미확인 사항 우선","외부 발송 없음","위험 우선","일일 추가 운행 8회 이하"],"data_source":"SYN-F06-04:D2@v1","goal":"라임 배송거점 개선 거점 개선 발표자료 작성 위임","prior_task_action":"revise","targets":["SYN-F06-04:D2@v1"]}</x:v>
      </x:c>
      <x:c r="F325" s="10" t="n">
        <x:f>IF(D325=E325,1,0)</x:f>
        <x:v>1</x:v>
      </x:c>
      <x:c r="G325" s="10" t="str">
        <x:v>필수 의미와 지칭 집합 일치</x:v>
      </x:c>
    </x:row>
    <x:row r="326" ht="145" customHeight="1">
      <x:c r="A326" s="10" t="str">
        <x:v>T-EXEC</x:v>
      </x:c>
      <x:c r="B326" s="10" t="str">
        <x:v>TEXT</x:v>
      </x:c>
      <x:c r="C326" s="10" t="str">
        <x:v>TEXT:SYN-F06-04-U01</x:v>
      </x:c>
      <x:c r="D326" s="10" t="str">
        <x:v>{"conditions":["7장 이내","대상 기간 평일 20일","외부 발송 없음","일일 추가 운행 8회 이하","협력사 운영설명회용"],"data_source":"SYN-F06-04:D2@v1","goal":"라임 배송거점 개선 거점 개선 발표자료 작성 위임","prior_task_action":"new","targets":["SYN-F06-04:D2@v1"]}</x:v>
      </x:c>
      <x:c r="E326" s="10" t="str">
        <x:v>{"conditions":["7장 이내","대상 기간 평일 20일","외부 발송 없음","일일 추가 운행 8회 이하","협력사 운영설명회용"],"data_source":"SYN-F06-04:D2@v1","goal":"라임 배송거점 개선 거점 개선 발표자료 작성 위임","prior_task_action":"new","targets":["SYN-F06-04:D2@v1"]}</x:v>
      </x:c>
      <x:c r="F326" s="10" t="n">
        <x:f>IF(D326=E326,1,0)</x:f>
        <x:v>1</x:v>
      </x:c>
      <x:c r="G326" s="10" t="str">
        <x:v>필수 의미와 지칭 집합 일치</x:v>
      </x:c>
    </x:row>
    <x:row r="327" ht="145" customHeight="1">
      <x:c r="A327" s="10" t="str">
        <x:v>T-EXEC</x:v>
      </x:c>
      <x:c r="B327" s="10" t="str">
        <x:v>TEXT</x:v>
      </x:c>
      <x:c r="C327" s="10" t="str">
        <x:v>TEXT:SYN-F06-04-U02</x:v>
      </x:c>
      <x:c r="D327" s="10" t="str">
        <x:v>{"conditions":["7장 이내","대상 기간 평일 20일","배차 담당자 회의용","오후 출고 대기의 미확인 사항 우선","외부 발송 없음","위험 우선","일일 추가 운행 8회 이하"],"data_source":"SYN-F06-04:D2@v1","goal":"라임 배송거점 개선 거점 개선 발표자료 작성 위임","prior_task_action":"revise","targets":["SYN-F06-04:D2@v1"]}</x:v>
      </x:c>
      <x:c r="E327" s="10" t="str">
        <x:v>{"conditions":["7장 이내","대상 기간 평일 20일","외부 발송 없음","일일 추가 운행 8회 이하","장점 우선","협력사 운영설명회용"],"data_source":"SYN-F06-04:D2@v1","goal":"라임 배송거점 개선 거점 개선 발표자료 작성 위임","prior_task_action":"revise","targets":["SYN-F06-04:D2@v1"]}</x:v>
      </x:c>
      <x:c r="F327" s="10" t="n">
        <x:f>IF(D327=E327,1,0)</x:f>
        <x:v>0</x:v>
      </x:c>
      <x:c r="G327" s="10" t="str">
        <x:v>목적 변경을 놓쳐 과거 청중과 장점 우선 순서를 유지</x:v>
      </x:c>
    </x:row>
    <x:row r="328" ht="145" customHeight="1">
      <x:c r="A328" s="10" t="str">
        <x:v>T-REL</x:v>
      </x:c>
      <x:c r="B328" s="10" t="str">
        <x:v>TEXT</x:v>
      </x:c>
      <x:c r="C328" s="10" t="str">
        <x:v>TEXT:SYN-F06-04-U01</x:v>
      </x:c>
      <x:c r="D328" s="10" t="str">
        <x:v>{"conditions":["7장 이내","대상 기간 평일 20일","외부 발송 없음","일일 추가 운행 8회 이하","협력사 운영설명회용"],"data_source":"SYN-F06-04:D2@v1","goal":"라임 배송거점 개선 거점 개선 발표자료 작성 위임","prior_task_action":"new","targets":["SYN-F06-04:D2@v1"]}</x:v>
      </x:c>
      <x:c r="E328" s="10" t="str">
        <x:v>{"conditions":["7장 이내","대상 기간 평일 20일","외부 발송 없음","일일 추가 운행 8회 이하","협력사 운영설명회용"],"data_source":"SYN-F06-04:D2@v1","goal":"라임 배송거점 개선 거점 개선 발표자료 작성 위임","prior_task_action":"new","targets":["SYN-F06-04:D2@v1"]}</x:v>
      </x:c>
      <x:c r="F328" s="10" t="n">
        <x:f>IF(D328=E328,1,0)</x:f>
        <x:v>1</x:v>
      </x:c>
      <x:c r="G328" s="10" t="str">
        <x:v>필수 의미와 지칭 집합 일치</x:v>
      </x:c>
    </x:row>
    <x:row r="329" ht="145" customHeight="1">
      <x:c r="A329" s="10" t="str">
        <x:v>T-REL</x:v>
      </x:c>
      <x:c r="B329" s="10" t="str">
        <x:v>TEXT</x:v>
      </x:c>
      <x:c r="C329" s="10" t="str">
        <x:v>TEXT:SYN-F06-04-U02</x:v>
      </x:c>
      <x:c r="D329" s="10" t="str">
        <x:v>{"conditions":["7장 이내","대상 기간 평일 20일","배차 담당자 회의용","오후 출고 대기의 미확인 사항 우선","외부 발송 없음","위험 우선","일일 추가 운행 8회 이하"],"data_source":"SYN-F06-04:D2@v1","goal":"라임 배송거점 개선 거점 개선 발표자료 작성 위임","prior_task_action":"revise","targets":["SYN-F06-04:D2@v1"]}</x:v>
      </x:c>
      <x:c r="E329" s="10" t="str">
        <x:v>{"conditions":["7장 이내","대상 기간 평일 20일","외부 발송 없음","일일 추가 운행 8회 이하","장점 우선","협력사 운영설명회용"],"data_source":"SYN-F06-04:D2@v1","goal":"라임 배송거점 개선 거점 개선 발표자료 작성 위임","prior_task_action":"revise","targets":["SYN-F06-04:D2@v1"]}</x:v>
      </x:c>
      <x:c r="F329" s="10" t="n">
        <x:f>IF(D329=E329,1,0)</x:f>
        <x:v>0</x:v>
      </x:c>
      <x:c r="G329" s="10" t="str">
        <x:v>목적 변경을 놓쳐 과거 청중과 장점 우선 순서를 유지</x:v>
      </x:c>
    </x:row>
    <x:row r="330" ht="145" customHeight="1">
      <x:c r="A330" s="10" t="str">
        <x:v>T-BASE</x:v>
      </x:c>
      <x:c r="B330" s="10" t="str">
        <x:v>TEXT</x:v>
      </x:c>
      <x:c r="C330" s="10" t="str">
        <x:v>TEXT:SYN-F06-05-U01</x:v>
      </x:c>
      <x:c r="D330" s="10" t="str">
        <x:v>{"conditions":["5장 이내","대상 기간 교체 후 6개월","외부 발송 없음","입주사 설명회용","층별 정전 30분 이하"],"data_source":"SYN-F06-05:D1@v1","goal":"가온 사무실 조명교체 조명 교체 검토자료 작성 위임","prior_task_action":"new","targets":["SYN-F06-05:D1@v1"]}</x:v>
      </x:c>
      <x:c r="E330" s="10" t="str">
        <x:v>{"conditions":["5장 이내","대상 기간 교체 후 6개월","외부 발송 없음","입주사 설명회용","층별 정전 30분 이하"],"data_source":"SYN-F06-05:D1@v1","goal":"가온 사무실 조명교체 조명 교체 검토자료 작성 위임","prior_task_action":"new","targets":["SYN-F06-05:D1@v1"]}</x:v>
      </x:c>
      <x:c r="F330" s="10" t="n">
        <x:f>IF(D330=E330,1,0)</x:f>
        <x:v>1</x:v>
      </x:c>
      <x:c r="G330" s="10" t="str">
        <x:v>필수 의미와 지칭 집합 일치</x:v>
      </x:c>
    </x:row>
    <x:row r="331" ht="145" customHeight="1">
      <x:c r="A331" s="10" t="str">
        <x:v>T-BASE</x:v>
      </x:c>
      <x:c r="B331" s="10" t="str">
        <x:v>TEXT</x:v>
      </x:c>
      <x:c r="C331" s="10" t="str">
        <x:v>TEXT:SYN-F06-05-U02</x:v>
      </x:c>
      <x:c r="D331" s="10" t="str">
        <x:v>{"conditions":["5장 이내","대상 기간 교체 후 6개월","시설 담당회의용","외부 발송 없음","위험 우선","층별 정전 30분 이하","회의실 사용 중 공사의 미확인 사항 우선"],"data_source":"SYN-F06-05:D1@v1","goal":"가온 사무실 조명교체 조명 교체 검토자료 작성 위임","prior_task_action":"revise","targets":["SYN-F06-05:D1@v1"]}</x:v>
      </x:c>
      <x:c r="E331" s="10" t="str">
        <x:v>{"conditions":["5장 이내","대상 기간 교체 후 6개월","시설 담당회의용","외부 발송 없음","위험 우선","층별 정전 30분 이하","회의실 사용 중 공사의 미확인 사항 우선"],"data_source":"SYN-F06-05:D1@v1","goal":"가온 사무실 조명교체 조명 교체 검토자료 작성 위임","prior_task_action":"revise","targets":["SYN-F06-05:D1@v1"]}</x:v>
      </x:c>
      <x:c r="F331" s="10" t="n">
        <x:f>IF(D331=E331,1,0)</x:f>
        <x:v>1</x:v>
      </x:c>
      <x:c r="G331" s="10" t="str">
        <x:v>필수 의미와 지칭 집합 일치</x:v>
      </x:c>
    </x:row>
    <x:row r="332" ht="145" customHeight="1">
      <x:c r="A332" s="10" t="str">
        <x:v>T-EXEC</x:v>
      </x:c>
      <x:c r="B332" s="10" t="str">
        <x:v>TEXT</x:v>
      </x:c>
      <x:c r="C332" s="10" t="str">
        <x:v>TEXT:SYN-F06-05-U01</x:v>
      </x:c>
      <x:c r="D332" s="10" t="str">
        <x:v>{"conditions":["5장 이내","대상 기간 교체 후 6개월","외부 발송 없음","입주사 설명회용","층별 정전 30분 이하"],"data_source":"SYN-F06-05:D1@v1","goal":"가온 사무실 조명교체 조명 교체 검토자료 작성 위임","prior_task_action":"new","targets":["SYN-F06-05:D1@v1"]}</x:v>
      </x:c>
      <x:c r="E332" s="10" t="str">
        <x:v>{"conditions":["5장 이내","대상 기간 교체 후 6개월","외부 발송 없음","입주사 설명회용","층별 정전 30분 이하"],"data_source":"SYN-F06-05:D1@v1","goal":"가온 사무실 조명교체 조명 교체 검토자료 작성 위임","prior_task_action":"new","targets":["SYN-F06-05:D1@v1"]}</x:v>
      </x:c>
      <x:c r="F332" s="10" t="n">
        <x:f>IF(D332=E332,1,0)</x:f>
        <x:v>1</x:v>
      </x:c>
      <x:c r="G332" s="10" t="str">
        <x:v>필수 의미와 지칭 집합 일치</x:v>
      </x:c>
    </x:row>
    <x:row r="333" ht="145" customHeight="1">
      <x:c r="A333" s="10" t="str">
        <x:v>T-EXEC</x:v>
      </x:c>
      <x:c r="B333" s="10" t="str">
        <x:v>TEXT</x:v>
      </x:c>
      <x:c r="C333" s="10" t="str">
        <x:v>TEXT:SYN-F06-05-U02</x:v>
      </x:c>
      <x:c r="D333" s="10" t="str">
        <x:v>{"conditions":["5장 이내","대상 기간 교체 후 6개월","시설 담당회의용","외부 발송 없음","위험 우선","층별 정전 30분 이하","회의실 사용 중 공사의 미확인 사항 우선"],"data_source":"SYN-F06-05:D1@v1","goal":"가온 사무실 조명교체 조명 교체 검토자료 작성 위임","prior_task_action":"revise","targets":["SYN-F06-05:D1@v1"]}</x:v>
      </x:c>
      <x:c r="E333" s="10" t="str">
        <x:v>{"conditions":["5장 이내","대상 기간 교체 후 6개월","시설 담당회의용","외부 발송 없음","위험 우선","층별 정전 30분 이하","회의실 사용 중 공사의 미확인 사항 우선"],"data_source":"SYN-F06-05:D1@v1","goal":"가온 사무실 조명교체 조명 교체 검토자료 작성 위임","prior_task_action":"revise","targets":["SYN-F06-05:D1@v1"]}</x:v>
      </x:c>
      <x:c r="F333" s="10" t="n">
        <x:f>IF(D333=E333,1,0)</x:f>
        <x:v>1</x:v>
      </x:c>
      <x:c r="G333" s="10" t="str">
        <x:v>필수 의미와 지칭 집합 일치</x:v>
      </x:c>
    </x:row>
    <x:row r="334" ht="145" customHeight="1">
      <x:c r="A334" s="10" t="str">
        <x:v>T-REL</x:v>
      </x:c>
      <x:c r="B334" s="10" t="str">
        <x:v>TEXT</x:v>
      </x:c>
      <x:c r="C334" s="10" t="str">
        <x:v>TEXT:SYN-F06-05-U01</x:v>
      </x:c>
      <x:c r="D334" s="10" t="str">
        <x:v>{"conditions":["5장 이내","대상 기간 교체 후 6개월","외부 발송 없음","입주사 설명회용","층별 정전 30분 이하"],"data_source":"SYN-F06-05:D1@v1","goal":"가온 사무실 조명교체 조명 교체 검토자료 작성 위임","prior_task_action":"new","targets":["SYN-F06-05:D1@v1"]}</x:v>
      </x:c>
      <x:c r="E334" s="10" t="str">
        <x:v>{"conditions":["5장 이내","대상 기간 교체 후 6개월","외부 발송 없음","입주사 설명회용","층별 정전 30분 이하"],"data_source":"SYN-F06-05:D1@v1","goal":"가온 사무실 조명교체 조명 교체 검토자료 작성 위임","prior_task_action":"new","targets":["SYN-F06-05:D1@v1"]}</x:v>
      </x:c>
      <x:c r="F334" s="10" t="n">
        <x:f>IF(D334=E334,1,0)</x:f>
        <x:v>1</x:v>
      </x:c>
      <x:c r="G334" s="10" t="str">
        <x:v>필수 의미와 지칭 집합 일치</x:v>
      </x:c>
    </x:row>
    <x:row r="335" ht="145" customHeight="1">
      <x:c r="A335" s="10" t="str">
        <x:v>T-REL</x:v>
      </x:c>
      <x:c r="B335" s="10" t="str">
        <x:v>TEXT</x:v>
      </x:c>
      <x:c r="C335" s="10" t="str">
        <x:v>TEXT:SYN-F06-05-U02</x:v>
      </x:c>
      <x:c r="D335" s="10" t="str">
        <x:v>{"conditions":["5장 이내","대상 기간 교체 후 6개월","시설 담당회의용","외부 발송 없음","위험 우선","층별 정전 30분 이하","회의실 사용 중 공사의 미확인 사항 우선"],"data_source":"SYN-F06-05:D1@v1","goal":"가온 사무실 조명교체 조명 교체 검토자료 작성 위임","prior_task_action":"revise","targets":["SYN-F06-05:D1@v1"]}</x:v>
      </x:c>
      <x:c r="E335" s="10" t="str">
        <x:v>{"conditions":["5장 이내","대상 기간 교체 후 6개월","시설 담당회의용","외부 발송 없음","위험 우선","층별 정전 30분 이하","회의실 사용 중 공사의 미확인 사항 우선"],"data_source":"SYN-F06-05:D1@v1","goal":"가온 사무실 조명교체 조명 교체 검토자료 작성 위임","prior_task_action":"revise","targets":["SYN-F06-05:D1@v1"]}</x:v>
      </x:c>
      <x:c r="F335" s="10" t="n">
        <x:f>IF(D335=E335,1,0)</x:f>
        <x:v>1</x:v>
      </x:c>
      <x:c r="G335" s="10" t="str">
        <x:v>필수 의미와 지칭 집합 일치</x:v>
      </x:c>
    </x:row>
    <x:row r="336" ht="145" customHeight="1">
      <x:c r="A336" s="10" t="str">
        <x:v>T-BASE</x:v>
      </x:c>
      <x:c r="B336" s="10" t="str">
        <x:v>TEXT</x:v>
      </x:c>
      <x:c r="C336" s="10" t="str">
        <x:v>TEXT:SYN-F06-06-U01</x:v>
      </x:c>
      <x:c r="D336" s="10" t="str">
        <x:v>{"conditions":["8장 이내","대상 기간 행사 2일","외부 발송 없음","참여기업 안내회용","현장 대기 20분 이하"],"data_source":"SYN-F06-06:D3@v1","goal":"별빛 채용행사 준비 행사 운영 발표자료 작성 위임","prior_task_action":"new","targets":["SYN-F06-06:D3@v1"]}</x:v>
      </x:c>
      <x:c r="E336" s="10" t="str">
        <x:v>{"conditions":["8장 이내","대상 기간 행사 2일","외부 발송 없음","참여기업 안내회용","현장 대기 20분 이하"],"data_source":"SYN-F06-06:D3@v1","goal":"별빛 채용행사 준비 행사 운영 발표자료 작성 위임","prior_task_action":"new","targets":["SYN-F06-06:D3@v1"]}</x:v>
      </x:c>
      <x:c r="F336" s="10" t="n">
        <x:f>IF(D336=E336,1,0)</x:f>
        <x:v>1</x:v>
      </x:c>
      <x:c r="G336" s="10" t="str">
        <x:v>필수 의미와 지칭 집합 일치</x:v>
      </x:c>
    </x:row>
    <x:row r="337" ht="145" customHeight="1">
      <x:c r="A337" s="10" t="str">
        <x:v>T-BASE</x:v>
      </x:c>
      <x:c r="B337" s="10" t="str">
        <x:v>TEXT</x:v>
      </x:c>
      <x:c r="C337" s="10" t="str">
        <x:v>TEXT:SYN-F06-06-U02</x:v>
      </x:c>
      <x:c r="D337" s="10" t="str">
        <x:v>{"conditions":["8장 이내","대상 기간 행사 2일","면접 슬롯 중복의 미확인 사항 우선","외부 발송 없음","위험 우선","채용 담당자 회의용","현장 대기 20분 이하"],"data_source":"SYN-F06-06:D3@v1","goal":"별빛 채용행사 준비 행사 운영 발표자료 작성 위임","prior_task_action":"revise","targets":["SYN-F06-06:D3@v1"]}</x:v>
      </x:c>
      <x:c r="E337" s="10" t="str">
        <x:v>{"conditions":["8장 이내","대상 기간 행사 2일","면접 슬롯 중복의 미확인 사항 우선","외부 발송 없음","위험 우선","채용 담당자 회의용","현장 대기 20분 이하"],"data_source":"SYN-F06-06:D3@v1","goal":"별빛 채용행사 준비 행사 운영 발표자료 작성 위임","prior_task_action":"revise","targets":["SYN-F06-06:D3@v1"]}</x:v>
      </x:c>
      <x:c r="F337" s="10" t="n">
        <x:f>IF(D337=E337,1,0)</x:f>
        <x:v>1</x:v>
      </x:c>
      <x:c r="G337" s="10" t="str">
        <x:v>필수 의미와 지칭 집합 일치</x:v>
      </x:c>
    </x:row>
    <x:row r="338" ht="145" customHeight="1">
      <x:c r="A338" s="10" t="str">
        <x:v>T-EXEC</x:v>
      </x:c>
      <x:c r="B338" s="10" t="str">
        <x:v>TEXT</x:v>
      </x:c>
      <x:c r="C338" s="10" t="str">
        <x:v>TEXT:SYN-F06-06-U01</x:v>
      </x:c>
      <x:c r="D338" s="10" t="str">
        <x:v>{"conditions":["8장 이내","대상 기간 행사 2일","외부 발송 없음","참여기업 안내회용","현장 대기 20분 이하"],"data_source":"SYN-F06-06:D3@v1","goal":"별빛 채용행사 준비 행사 운영 발표자료 작성 위임","prior_task_action":"new","targets":["SYN-F06-06:D3@v1"]}</x:v>
      </x:c>
      <x:c r="E338" s="10" t="str">
        <x:v>{"conditions":["8장 이내","대상 기간 행사 2일","외부 발송 없음","참여기업 안내회용","현장 대기 20분 이하"],"data_source":"SYN-F06-06:D3@v1","goal":"별빛 채용행사 준비 행사 운영 발표자료 작성 위임","prior_task_action":"new","targets":["SYN-F06-06:D3@v1"]}</x:v>
      </x:c>
      <x:c r="F338" s="10" t="n">
        <x:f>IF(D338=E338,1,0)</x:f>
        <x:v>1</x:v>
      </x:c>
      <x:c r="G338" s="10" t="str">
        <x:v>필수 의미와 지칭 집합 일치</x:v>
      </x:c>
    </x:row>
    <x:row r="339" ht="145" customHeight="1">
      <x:c r="A339" s="10" t="str">
        <x:v>T-EXEC</x:v>
      </x:c>
      <x:c r="B339" s="10" t="str">
        <x:v>TEXT</x:v>
      </x:c>
      <x:c r="C339" s="10" t="str">
        <x:v>TEXT:SYN-F06-06-U02</x:v>
      </x:c>
      <x:c r="D339" s="10" t="str">
        <x:v>{"conditions":["8장 이내","대상 기간 행사 2일","면접 슬롯 중복의 미확인 사항 우선","외부 발송 없음","위험 우선","채용 담당자 회의용","현장 대기 20분 이하"],"data_source":"SYN-F06-06:D3@v1","goal":"별빛 채용행사 준비 행사 운영 발표자료 작성 위임","prior_task_action":"revise","targets":["SYN-F06-06:D3@v1"]}</x:v>
      </x:c>
      <x:c r="E339" s="10" t="str">
        <x:v>{"conditions":["8장 이내","대상 기간 행사 2일","면접 슬롯 중복의 미확인 사항 우선","외부 발송 없음","위험 우선","채용 담당자 회의용","현장 대기 20분 이하"],"data_source":"SYN-F06-06:D3@v1","goal":"별빛 채용행사 준비 행사 운영 발표자료 작성 위임","prior_task_action":"revise","targets":["SYN-F06-06:D3@v1"]}</x:v>
      </x:c>
      <x:c r="F339" s="10" t="n">
        <x:f>IF(D339=E339,1,0)</x:f>
        <x:v>1</x:v>
      </x:c>
      <x:c r="G339" s="10" t="str">
        <x:v>필수 의미와 지칭 집합 일치</x:v>
      </x:c>
    </x:row>
    <x:row r="340" ht="145" customHeight="1">
      <x:c r="A340" s="10" t="str">
        <x:v>T-REL</x:v>
      </x:c>
      <x:c r="B340" s="10" t="str">
        <x:v>TEXT</x:v>
      </x:c>
      <x:c r="C340" s="10" t="str">
        <x:v>TEXT:SYN-F06-06-U01</x:v>
      </x:c>
      <x:c r="D340" s="10" t="str">
        <x:v>{"conditions":["8장 이내","대상 기간 행사 2일","외부 발송 없음","참여기업 안내회용","현장 대기 20분 이하"],"data_source":"SYN-F06-06:D3@v1","goal":"별빛 채용행사 준비 행사 운영 발표자료 작성 위임","prior_task_action":"new","targets":["SYN-F06-06:D3@v1"]}</x:v>
      </x:c>
      <x:c r="E340" s="10" t="str">
        <x:v>{"conditions":["8장 이내","대상 기간 행사 2일","외부 발송 없음","참여기업 안내회용","현장 대기 20분 이하"],"data_source":"SYN-F06-06:D3@v1","goal":"별빛 채용행사 준비 행사 운영 발표자료 작성 위임","prior_task_action":"new","targets":["SYN-F06-06:D3@v1"]}</x:v>
      </x:c>
      <x:c r="F340" s="10" t="n">
        <x:f>IF(D340=E340,1,0)</x:f>
        <x:v>1</x:v>
      </x:c>
      <x:c r="G340" s="10" t="str">
        <x:v>필수 의미와 지칭 집합 일치</x:v>
      </x:c>
    </x:row>
    <x:row r="341" ht="145" customHeight="1">
      <x:c r="A341" s="10" t="str">
        <x:v>T-REL</x:v>
      </x:c>
      <x:c r="B341" s="10" t="str">
        <x:v>TEXT</x:v>
      </x:c>
      <x:c r="C341" s="10" t="str">
        <x:v>TEXT:SYN-F06-06-U02</x:v>
      </x:c>
      <x:c r="D341" s="10" t="str">
        <x:v>{"conditions":["8장 이내","대상 기간 행사 2일","면접 슬롯 중복의 미확인 사항 우선","외부 발송 없음","위험 우선","채용 담당자 회의용","현장 대기 20분 이하"],"data_source":"SYN-F06-06:D3@v1","goal":"별빛 채용행사 준비 행사 운영 발표자료 작성 위임","prior_task_action":"revise","targets":["SYN-F06-06:D3@v1"]}</x:v>
      </x:c>
      <x:c r="E341" s="10" t="str">
        <x:v>{"conditions":["8장 이내","대상 기간 행사 2일","면접 슬롯 중복의 미확인 사항 우선","외부 발송 없음","위험 우선","채용 담당자 회의용","현장 대기 20분 이하"],"data_source":"SYN-F06-06:D3@v1","goal":"별빛 채용행사 준비 행사 운영 발표자료 작성 위임","prior_task_action":"revise","targets":["SYN-F06-06:D3@v1"]}</x:v>
      </x:c>
      <x:c r="F341" s="10" t="n">
        <x:f>IF(D341=E341,1,0)</x:f>
        <x:v>1</x:v>
      </x:c>
      <x:c r="G341" s="10" t="str">
        <x:v>필수 의미와 지칭 집합 일치</x:v>
      </x:c>
    </x:row>
    <x:row r="342" ht="145" customHeight="1">
      <x:c r="A342" s="10" t="str">
        <x:v>T-BASE</x:v>
      </x:c>
      <x:c r="B342" s="10" t="str">
        <x:v>TEXT</x:v>
      </x:c>
      <x:c r="C342" s="10" t="str">
        <x:v>TEXT:SYN-F06-07-U01</x:v>
      </x:c>
      <x:c r="D342" s="10" t="str">
        <x:v>{"conditions":["6장 이내","납품처 품질설명회용","대상 기간 다음 8주","샘플 검사 45분 이하","외부 발송 없음"],"data_source":"SYN-F06-07:D2@v1","goal":"청솔 부품검사 개선 검사 개선 발표자료 작성 위임","prior_task_action":"new","targets":["SYN-F06-07:D2@v1"]}</x:v>
      </x:c>
      <x:c r="E342" s="10" t="str">
        <x:v>{"conditions":["6장 이내","납품처 품질설명회용","대상 기간 다음 8주","샘플 검사 45분 이하","외부 발송 없음"],"data_source":"SYN-F06-07:D2@v1","goal":"청솔 부품검사 개선 검사 개선 발표자료 작성 위임","prior_task_action":"new","targets":["SYN-F06-07:D2@v1"]}</x:v>
      </x:c>
      <x:c r="F342" s="10" t="n">
        <x:f>IF(D342=E342,1,0)</x:f>
        <x:v>1</x:v>
      </x:c>
      <x:c r="G342" s="10" t="str">
        <x:v>필수 의미와 지칭 집합 일치</x:v>
      </x:c>
    </x:row>
    <x:row r="343" ht="145" customHeight="1">
      <x:c r="A343" s="10" t="str">
        <x:v>T-BASE</x:v>
      </x:c>
      <x:c r="B343" s="10" t="str">
        <x:v>TEXT</x:v>
      </x:c>
      <x:c r="C343" s="10" t="str">
        <x:v>TEXT:SYN-F06-07-U02</x:v>
      </x:c>
      <x:c r="D343" s="10" t="str">
        <x:v>{"conditions":["6장 이내","검사 공정회의용","검사 누락 재확인의 미확인 사항 우선","대상 기간 다음 8주","샘플 검사 45분 이하","외부 발송 없음","위험 우선"],"data_source":"SYN-F06-07:D2@v1","goal":"청솔 부품검사 개선 검사 개선 발표자료 작성 위임","prior_task_action":"revise","targets":["SYN-F06-07:D2@v1"]}</x:v>
      </x:c>
      <x:c r="E343" s="10" t="str">
        <x:v>{"conditions":["6장 이내","검사 공정회의용","검사 누락 재확인의 미확인 사항 우선","대상 기간 다음 8주","샘플 검사 45분 이하","외부 발송 없음","위험 우선"],"data_source":"SYN-F06-07:D2@v1","goal":"청솔 부품검사 개선 검사 개선 발표자료 작성 위임","prior_task_action":"revise","targets":["SYN-F06-07:D2@v1"]}</x:v>
      </x:c>
      <x:c r="F343" s="10" t="n">
        <x:f>IF(D343=E343,1,0)</x:f>
        <x:v>1</x:v>
      </x:c>
      <x:c r="G343" s="10" t="str">
        <x:v>필수 의미와 지칭 집합 일치</x:v>
      </x:c>
    </x:row>
    <x:row r="344" ht="145" customHeight="1">
      <x:c r="A344" s="10" t="str">
        <x:v>T-EXEC</x:v>
      </x:c>
      <x:c r="B344" s="10" t="str">
        <x:v>TEXT</x:v>
      </x:c>
      <x:c r="C344" s="10" t="str">
        <x:v>TEXT:SYN-F06-07-U01</x:v>
      </x:c>
      <x:c r="D344" s="10" t="str">
        <x:v>{"conditions":["6장 이내","납품처 품질설명회용","대상 기간 다음 8주","샘플 검사 45분 이하","외부 발송 없음"],"data_source":"SYN-F06-07:D2@v1","goal":"청솔 부품검사 개선 검사 개선 발표자료 작성 위임","prior_task_action":"new","targets":["SYN-F06-07:D2@v1"]}</x:v>
      </x:c>
      <x:c r="E344" s="10" t="str">
        <x:v>{"conditions":["6장 이내","납품처 품질설명회용","대상 기간 다음 8주","샘플 검사 45분 이하","외부 발송 없음"],"data_source":"SYN-F06-07:D2@v1","goal":"청솔 부품검사 개선 검사 개선 발표자료 작성 위임","prior_task_action":"new","targets":["SYN-F06-07:D2@v1"]}</x:v>
      </x:c>
      <x:c r="F344" s="10" t="n">
        <x:f>IF(D344=E344,1,0)</x:f>
        <x:v>1</x:v>
      </x:c>
      <x:c r="G344" s="10" t="str">
        <x:v>필수 의미와 지칭 집합 일치</x:v>
      </x:c>
    </x:row>
    <x:row r="345" ht="145" customHeight="1">
      <x:c r="A345" s="10" t="str">
        <x:v>T-EXEC</x:v>
      </x:c>
      <x:c r="B345" s="10" t="str">
        <x:v>TEXT</x:v>
      </x:c>
      <x:c r="C345" s="10" t="str">
        <x:v>TEXT:SYN-F06-07-U02</x:v>
      </x:c>
      <x:c r="D345" s="10" t="str">
        <x:v>{"conditions":["6장 이내","검사 공정회의용","검사 누락 재확인의 미확인 사항 우선","대상 기간 다음 8주","샘플 검사 45분 이하","외부 발송 없음","위험 우선"],"data_source":"SYN-F06-07:D2@v1","goal":"청솔 부품검사 개선 검사 개선 발표자료 작성 위임","prior_task_action":"revise","targets":["SYN-F06-07:D2@v1"]}</x:v>
      </x:c>
      <x:c r="E345" s="10" t="str">
        <x:v>{"conditions":["6장 이내","검사 공정회의용","검사 누락 재확인의 미확인 사항 우선","대상 기간 다음 8주","샘플 검사 45분 이하","외부 발송 없음","위험 우선"],"data_source":"SYN-F06-07:D2@v1","goal":"청솔 부품검사 개선 검사 개선 발표자료 작성 위임","prior_task_action":"revise","targets":["SYN-F06-07:D2@v1"]}</x:v>
      </x:c>
      <x:c r="F345" s="10" t="n">
        <x:f>IF(D345=E345,1,0)</x:f>
        <x:v>1</x:v>
      </x:c>
      <x:c r="G345" s="10" t="str">
        <x:v>필수 의미와 지칭 집합 일치</x:v>
      </x:c>
    </x:row>
    <x:row r="346" ht="145" customHeight="1">
      <x:c r="A346" s="10" t="str">
        <x:v>T-REL</x:v>
      </x:c>
      <x:c r="B346" s="10" t="str">
        <x:v>TEXT</x:v>
      </x:c>
      <x:c r="C346" s="10" t="str">
        <x:v>TEXT:SYN-F06-07-U01</x:v>
      </x:c>
      <x:c r="D346" s="10" t="str">
        <x:v>{"conditions":["6장 이내","납품처 품질설명회용","대상 기간 다음 8주","샘플 검사 45분 이하","외부 발송 없음"],"data_source":"SYN-F06-07:D2@v1","goal":"청솔 부품검사 개선 검사 개선 발표자료 작성 위임","prior_task_action":"new","targets":["SYN-F06-07:D2@v1"]}</x:v>
      </x:c>
      <x:c r="E346" s="10" t="str">
        <x:v>{"conditions":["6장 이내","납품처 품질설명회용","대상 기간 다음 8주","샘플 검사 45분 이하","외부 발송 없음"],"data_source":"SYN-F06-07:D2@v1","goal":"청솔 부품검사 개선 검사 개선 발표자료 작성 위임","prior_task_action":"new","targets":["SYN-F06-07:D2@v1"]}</x:v>
      </x:c>
      <x:c r="F346" s="10" t="n">
        <x:f>IF(D346=E346,1,0)</x:f>
        <x:v>1</x:v>
      </x:c>
      <x:c r="G346" s="10" t="str">
        <x:v>필수 의미와 지칭 집합 일치</x:v>
      </x:c>
    </x:row>
    <x:row r="347" ht="145" customHeight="1">
      <x:c r="A347" s="10" t="str">
        <x:v>T-REL</x:v>
      </x:c>
      <x:c r="B347" s="10" t="str">
        <x:v>TEXT</x:v>
      </x:c>
      <x:c r="C347" s="10" t="str">
        <x:v>TEXT:SYN-F06-07-U02</x:v>
      </x:c>
      <x:c r="D347" s="10" t="str">
        <x:v>{"conditions":["6장 이내","검사 공정회의용","검사 누락 재확인의 미확인 사항 우선","대상 기간 다음 8주","샘플 검사 45분 이하","외부 발송 없음","위험 우선"],"data_source":"SYN-F06-07:D2@v1","goal":"청솔 부품검사 개선 검사 개선 발표자료 작성 위임","prior_task_action":"revise","targets":["SYN-F06-07:D2@v1"]}</x:v>
      </x:c>
      <x:c r="E347" s="10" t="str">
        <x:v>{"conditions":["6장 이내","납품처 품질설명회용","대상 기간 다음 8주","샘플 검사 45분 이하","외부 발송 없음","장점 우선"],"data_source":"SYN-F06-07:D2@v1","goal":"청솔 부품검사 개선 검사 개선 발표자료 작성 위임","prior_task_action":"revise","targets":["SYN-F06-07:D2@v1"]}</x:v>
      </x:c>
      <x:c r="F347" s="10" t="n">
        <x:f>IF(D347=E347,1,0)</x:f>
        <x:v>0</x:v>
      </x:c>
      <x:c r="G347" s="10" t="str">
        <x:v>목적 변경을 놓쳐 과거 청중과 장점 우선 순서를 유지</x:v>
      </x:c>
    </x:row>
    <x:row r="348" ht="145" customHeight="1">
      <x:c r="A348" s="10" t="str">
        <x:v>T-BASE</x:v>
      </x:c>
      <x:c r="B348" s="10" t="str">
        <x:v>TEXT</x:v>
      </x:c>
      <x:c r="C348" s="10" t="str">
        <x:v>TEXT:SYN-F06-08-U01</x:v>
      </x:c>
      <x:c r="D348" s="10" t="str">
        <x:v>{"conditions":["4장 이내","대상 기간 운영 5주","안내문 500자 이하","외부 발송 없음","지역 파트너 설명회용"],"data_source":"SYN-F06-08:D1@v1","goal":"노을 서비스 캠페인 캠페인 계획 발표자료 작성 위임","prior_task_action":"new","targets":["SYN-F06-08:D1@v1"]}</x:v>
      </x:c>
      <x:c r="E348" s="10" t="str">
        <x:v>{"conditions":["4장 이내","대상 기간 운영 5주","안내문 500자 이하","외부 발송 없음","지역 파트너 설명회용"],"data_source":"SYN-F06-08:D1@v1","goal":"노을 서비스 캠페인 캠페인 계획 발표자료 작성 위임","prior_task_action":"new","targets":["SYN-F06-08:D1@v1"]}</x:v>
      </x:c>
      <x:c r="F348" s="10" t="n">
        <x:f>IF(D348=E348,1,0)</x:f>
        <x:v>1</x:v>
      </x:c>
      <x:c r="G348" s="10" t="str">
        <x:v>필수 의미와 지칭 집합 일치</x:v>
      </x:c>
    </x:row>
    <x:row r="349" ht="145" customHeight="1">
      <x:c r="A349" s="10" t="str">
        <x:v>T-BASE</x:v>
      </x:c>
      <x:c r="B349" s="10" t="str">
        <x:v>TEXT</x:v>
      </x:c>
      <x:c r="C349" s="10" t="str">
        <x:v>TEXT:SYN-F06-08-U02</x:v>
      </x:c>
      <x:c r="D349" s="10" t="str">
        <x:v>{"conditions":["4장 이내","대상 기간 운영 5주","안내문 500자 이하","외부 발송 없음","위험 우선","첫 방문자의 신청 절차의 미확인 사항 우선","콘텐츠 편집회의용"],"data_source":"SYN-F06-08:D1@v1","goal":"노을 서비스 캠페인 캠페인 계획 발표자료 작성 위임","prior_task_action":"revise","targets":["SYN-F06-08:D1@v1"]}</x:v>
      </x:c>
      <x:c r="E349" s="10" t="str">
        <x:v>{"conditions":["4장 이내","대상 기간 운영 5주","안내문 500자 이하","외부 발송 없음","위험 우선","첫 방문자의 신청 절차의 미확인 사항 우선","콘텐츠 편집회의용"],"data_source":"SYN-F06-08:D1@v1","goal":"노을 서비스 캠페인 캠페인 계획 발표자료 작성 위임","prior_task_action":"revise","targets":["SYN-F06-08:D1@v1"]}</x:v>
      </x:c>
      <x:c r="F349" s="10" t="n">
        <x:f>IF(D349=E349,1,0)</x:f>
        <x:v>1</x:v>
      </x:c>
      <x:c r="G349" s="10" t="str">
        <x:v>필수 의미와 지칭 집합 일치</x:v>
      </x:c>
    </x:row>
    <x:row r="350" ht="145" customHeight="1">
      <x:c r="A350" s="10" t="str">
        <x:v>T-EXEC</x:v>
      </x:c>
      <x:c r="B350" s="10" t="str">
        <x:v>TEXT</x:v>
      </x:c>
      <x:c r="C350" s="10" t="str">
        <x:v>TEXT:SYN-F06-08-U01</x:v>
      </x:c>
      <x:c r="D350" s="10" t="str">
        <x:v>{"conditions":["4장 이내","대상 기간 운영 5주","안내문 500자 이하","외부 발송 없음","지역 파트너 설명회용"],"data_source":"SYN-F06-08:D1@v1","goal":"노을 서비스 캠페인 캠페인 계획 발표자료 작성 위임","prior_task_action":"new","targets":["SYN-F06-08:D1@v1"]}</x:v>
      </x:c>
      <x:c r="E350" s="10" t="str">
        <x:v>{"conditions":["4장 이내","대상 기간 운영 5주","안내문 500자 이하","외부 발송 없음","지역 파트너 설명회용"],"data_source":"SYN-F06-08:D1@v1","goal":"노을 서비스 캠페인 캠페인 계획 발표자료 작성 위임","prior_task_action":"new","targets":["SYN-F06-08:D1@v1"]}</x:v>
      </x:c>
      <x:c r="F350" s="10" t="n">
        <x:f>IF(D350=E350,1,0)</x:f>
        <x:v>1</x:v>
      </x:c>
      <x:c r="G350" s="10" t="str">
        <x:v>필수 의미와 지칭 집합 일치</x:v>
      </x:c>
    </x:row>
    <x:row r="351" ht="145" customHeight="1">
      <x:c r="A351" s="10" t="str">
        <x:v>T-EXEC</x:v>
      </x:c>
      <x:c r="B351" s="10" t="str">
        <x:v>TEXT</x:v>
      </x:c>
      <x:c r="C351" s="10" t="str">
        <x:v>TEXT:SYN-F06-08-U02</x:v>
      </x:c>
      <x:c r="D351" s="10" t="str">
        <x:v>{"conditions":["4장 이내","대상 기간 운영 5주","안내문 500자 이하","외부 발송 없음","위험 우선","첫 방문자의 신청 절차의 미확인 사항 우선","콘텐츠 편집회의용"],"data_source":"SYN-F06-08:D1@v1","goal":"노을 서비스 캠페인 캠페인 계획 발표자료 작성 위임","prior_task_action":"revise","targets":["SYN-F06-08:D1@v1"]}</x:v>
      </x:c>
      <x:c r="E351" s="10" t="str">
        <x:v>{"conditions":["4장 이내","대상 기간 운영 5주","안내문 500자 이하","외부 발송 없음","장점 우선","지역 파트너 설명회용"],"data_source":"SYN-F06-08:D1@v1","goal":"노을 서비스 캠페인 캠페인 계획 발표자료 작성 위임","prior_task_action":"revise","targets":["SYN-F06-08:D1@v1"]}</x:v>
      </x:c>
      <x:c r="F351" s="10" t="n">
        <x:f>IF(D351=E351,1,0)</x:f>
        <x:v>0</x:v>
      </x:c>
      <x:c r="G351" s="10" t="str">
        <x:v>목적 변경을 놓쳐 과거 청중과 장점 우선 순서를 유지</x:v>
      </x:c>
    </x:row>
    <x:row r="352" ht="145" customHeight="1">
      <x:c r="A352" s="10" t="str">
        <x:v>T-REL</x:v>
      </x:c>
      <x:c r="B352" s="10" t="str">
        <x:v>TEXT</x:v>
      </x:c>
      <x:c r="C352" s="10" t="str">
        <x:v>TEXT:SYN-F06-08-U01</x:v>
      </x:c>
      <x:c r="D352" s="10" t="str">
        <x:v>{"conditions":["4장 이내","대상 기간 운영 5주","안내문 500자 이하","외부 발송 없음","지역 파트너 설명회용"],"data_source":"SYN-F06-08:D1@v1","goal":"노을 서비스 캠페인 캠페인 계획 발표자료 작성 위임","prior_task_action":"new","targets":["SYN-F06-08:D1@v1"]}</x:v>
      </x:c>
      <x:c r="E352" s="10" t="str">
        <x:v>{"conditions":["4장 이내","대상 기간 운영 5주","안내문 500자 이하","외부 발송 없음","지역 파트너 설명회용"],"data_source":"SYN-F06-08:D1@v1","goal":"노을 서비스 캠페인 캠페인 계획 발표자료 작성 위임","prior_task_action":"new","targets":["SYN-F06-08:D1@v1"]}</x:v>
      </x:c>
      <x:c r="F352" s="10" t="n">
        <x:f>IF(D352=E352,1,0)</x:f>
        <x:v>1</x:v>
      </x:c>
      <x:c r="G352" s="10" t="str">
        <x:v>필수 의미와 지칭 집합 일치</x:v>
      </x:c>
    </x:row>
    <x:row r="353" ht="145" customHeight="1">
      <x:c r="A353" s="10" t="str">
        <x:v>T-REL</x:v>
      </x:c>
      <x:c r="B353" s="10" t="str">
        <x:v>TEXT</x:v>
      </x:c>
      <x:c r="C353" s="10" t="str">
        <x:v>TEXT:SYN-F06-08-U02</x:v>
      </x:c>
      <x:c r="D353" s="10" t="str">
        <x:v>{"conditions":["4장 이내","대상 기간 운영 5주","안내문 500자 이하","외부 발송 없음","위험 우선","첫 방문자의 신청 절차의 미확인 사항 우선","콘텐츠 편집회의용"],"data_source":"SYN-F06-08:D1@v1","goal":"노을 서비스 캠페인 캠페인 계획 발표자료 작성 위임","prior_task_action":"revise","targets":["SYN-F06-08:D1@v1"]}</x:v>
      </x:c>
      <x:c r="E353" s="10" t="str">
        <x:v>{"conditions":["4장 이내","대상 기간 운영 5주","안내문 500자 이하","외부 발송 없음","위험 우선","첫 방문자의 신청 절차의 미확인 사항 우선","콘텐츠 편집회의용"],"data_source":"SYN-F06-08:D1@v1","goal":"노을 서비스 캠페인 캠페인 계획 발표자료 작성 위임","prior_task_action":"revise","targets":["SYN-F06-08:D1@v1"]}</x:v>
      </x:c>
      <x:c r="F353" s="10" t="n">
        <x:f>IF(D353=E353,1,0)</x:f>
        <x:v>1</x:v>
      </x:c>
      <x:c r="G353" s="10" t="str">
        <x:v>필수 의미와 지칭 집합 일치</x:v>
      </x:c>
    </x:row>
    <x:row r="354" ht="145" customHeight="1">
      <x:c r="A354" s="10" t="str">
        <x:v>T-BASE</x:v>
      </x:c>
      <x:c r="B354" s="10" t="str">
        <x:v>TEXT</x:v>
      </x:c>
      <x:c r="C354" s="10" t="str">
        <x:v>TEXT:SYN-F06-09-U01</x:v>
      </x:c>
      <x:c r="D354" s="10" t="str">
        <x:v>{"conditions":["7장 이내","대상 기간 적용 후 4주","배송 협력사 설명회용","외부 발송 없음","주문당 이동 180m 이하"],"data_source":"SYN-F06-09:D3@v1","goal":"파도 창고배치 변경 배치 변경 발표자료 작성 위임","prior_task_action":"new","targets":["SYN-F06-09:D3@v1"]}</x:v>
      </x:c>
      <x:c r="E354" s="10" t="str">
        <x:v>{"conditions":["7장 이내","대상 기간 적용 후 4주","배송 협력사 설명회용","외부 발송 없음","주문당 이동 180m 이하"],"data_source":"SYN-F06-09:D3@v1","goal":"파도 창고배치 변경 배치 변경 발표자료 작성 위임","prior_task_action":"new","targets":["SYN-F06-09:D3@v1"]}</x:v>
      </x:c>
      <x:c r="F354" s="10" t="n">
        <x:f>IF(D354=E354,1,0)</x:f>
        <x:v>1</x:v>
      </x:c>
      <x:c r="G354" s="10" t="str">
        <x:v>필수 의미와 지칭 집합 일치</x:v>
      </x:c>
    </x:row>
    <x:row r="355" ht="145" customHeight="1">
      <x:c r="A355" s="10" t="str">
        <x:v>T-BASE</x:v>
      </x:c>
      <x:c r="B355" s="10" t="str">
        <x:v>TEXT</x:v>
      </x:c>
      <x:c r="C355" s="10" t="str">
        <x:v>TEXT:SYN-F06-09-U02</x:v>
      </x:c>
      <x:c r="D355" s="10" t="str">
        <x:v>{"conditions":["7장 이내","대상 기간 적용 후 4주","동시 피킹 교차 구간의 미확인 사항 우선","외부 발송 없음","위험 우선","주문당 이동 180m 이하","창고 운영회의용"],"data_source":"SYN-F06-09:D3@v1","goal":"파도 창고배치 변경 배치 변경 발표자료 작성 위임","prior_task_action":"revise","targets":["SYN-F06-09:D3@v1"]}</x:v>
      </x:c>
      <x:c r="E355" s="10" t="str">
        <x:v>{"conditions":["7장 이내","대상 기간 적용 후 4주","동시 피킹 교차 구간의 미확인 사항 우선","외부 발송 없음","위험 우선","주문당 이동 180m 이하","창고 운영회의용"],"data_source":"SYN-F06-09:D3@v1","goal":"파도 창고배치 변경 배치 변경 발표자료 작성 위임","prior_task_action":"revise","targets":["SYN-F06-09:D3@v1"]}</x:v>
      </x:c>
      <x:c r="F355" s="10" t="n">
        <x:f>IF(D355=E355,1,0)</x:f>
        <x:v>1</x:v>
      </x:c>
      <x:c r="G355" s="10" t="str">
        <x:v>필수 의미와 지칭 집합 일치</x:v>
      </x:c>
    </x:row>
    <x:row r="356" ht="145" customHeight="1">
      <x:c r="A356" s="10" t="str">
        <x:v>T-EXEC</x:v>
      </x:c>
      <x:c r="B356" s="10" t="str">
        <x:v>TEXT</x:v>
      </x:c>
      <x:c r="C356" s="10" t="str">
        <x:v>TEXT:SYN-F06-09-U01</x:v>
      </x:c>
      <x:c r="D356" s="10" t="str">
        <x:v>{"conditions":["7장 이내","대상 기간 적용 후 4주","배송 협력사 설명회용","외부 발송 없음","주문당 이동 180m 이하"],"data_source":"SYN-F06-09:D3@v1","goal":"파도 창고배치 변경 배치 변경 발표자료 작성 위임","prior_task_action":"new","targets":["SYN-F06-09:D3@v1"]}</x:v>
      </x:c>
      <x:c r="E356" s="10" t="str">
        <x:v>{"conditions":["7장 이내","대상 기간 적용 후 4주","배송 협력사 설명회용","외부 발송 없음","주문당 이동 180m 이하"],"data_source":"SYN-F06-09:D3@v1","goal":"파도 창고배치 변경 배치 변경 발표자료 작성 위임","prior_task_action":"new","targets":["SYN-F06-09:D3@v1"]}</x:v>
      </x:c>
      <x:c r="F356" s="10" t="n">
        <x:f>IF(D356=E356,1,0)</x:f>
        <x:v>1</x:v>
      </x:c>
      <x:c r="G356" s="10" t="str">
        <x:v>필수 의미와 지칭 집합 일치</x:v>
      </x:c>
    </x:row>
    <x:row r="357" ht="145" customHeight="1">
      <x:c r="A357" s="10" t="str">
        <x:v>T-EXEC</x:v>
      </x:c>
      <x:c r="B357" s="10" t="str">
        <x:v>TEXT</x:v>
      </x:c>
      <x:c r="C357" s="10" t="str">
        <x:v>TEXT:SYN-F06-09-U02</x:v>
      </x:c>
      <x:c r="D357" s="10" t="str">
        <x:v>{"conditions":["7장 이내","대상 기간 적용 후 4주","동시 피킹 교차 구간의 미확인 사항 우선","외부 발송 없음","위험 우선","주문당 이동 180m 이하","창고 운영회의용"],"data_source":"SYN-F06-09:D3@v1","goal":"파도 창고배치 변경 배치 변경 발표자료 작성 위임","prior_task_action":"revise","targets":["SYN-F06-09:D3@v1"]}</x:v>
      </x:c>
      <x:c r="E357" s="10" t="str">
        <x:v>{"conditions":["7장 이내","대상 기간 적용 후 4주","동시 피킹 교차 구간의 미확인 사항 우선","외부 발송 없음","위험 우선","주문당 이동 180m 이하","창고 운영회의용"],"data_source":"SYN-F06-09:D3@v1","goal":"파도 창고배치 변경 배치 변경 발표자료 작성 위임","prior_task_action":"revise","targets":["SYN-F06-09:D3@v1"]}</x:v>
      </x:c>
      <x:c r="F357" s="10" t="n">
        <x:f>IF(D357=E357,1,0)</x:f>
        <x:v>1</x:v>
      </x:c>
      <x:c r="G357" s="10" t="str">
        <x:v>필수 의미와 지칭 집합 일치</x:v>
      </x:c>
    </x:row>
    <x:row r="358" ht="145" customHeight="1">
      <x:c r="A358" s="10" t="str">
        <x:v>T-REL</x:v>
      </x:c>
      <x:c r="B358" s="10" t="str">
        <x:v>TEXT</x:v>
      </x:c>
      <x:c r="C358" s="10" t="str">
        <x:v>TEXT:SYN-F06-09-U01</x:v>
      </x:c>
      <x:c r="D358" s="10" t="str">
        <x:v>{"conditions":["7장 이내","대상 기간 적용 후 4주","배송 협력사 설명회용","외부 발송 없음","주문당 이동 180m 이하"],"data_source":"SYN-F06-09:D3@v1","goal":"파도 창고배치 변경 배치 변경 발표자료 작성 위임","prior_task_action":"new","targets":["SYN-F06-09:D3@v1"]}</x:v>
      </x:c>
      <x:c r="E358" s="10" t="str">
        <x:v>{"conditions":["7장 이내","대상 기간 적용 후 4주","배송 협력사 설명회용","외부 발송 없음","주문당 이동 180m 이하"],"data_source":"SYN-F06-09:D3@v1","goal":"파도 창고배치 변경 배치 변경 발표자료 작성 위임","prior_task_action":"new","targets":["SYN-F06-09:D3@v1"]}</x:v>
      </x:c>
      <x:c r="F358" s="10" t="n">
        <x:f>IF(D358=E358,1,0)</x:f>
        <x:v>1</x:v>
      </x:c>
      <x:c r="G358" s="10" t="str">
        <x:v>필수 의미와 지칭 집합 일치</x:v>
      </x:c>
    </x:row>
    <x:row r="359" ht="145" customHeight="1">
      <x:c r="A359" s="10" t="str">
        <x:v>T-REL</x:v>
      </x:c>
      <x:c r="B359" s="10" t="str">
        <x:v>TEXT</x:v>
      </x:c>
      <x:c r="C359" s="10" t="str">
        <x:v>TEXT:SYN-F06-09-U02</x:v>
      </x:c>
      <x:c r="D359" s="10" t="str">
        <x:v>{"conditions":["7장 이내","대상 기간 적용 후 4주","동시 피킹 교차 구간의 미확인 사항 우선","외부 발송 없음","위험 우선","주문당 이동 180m 이하","창고 운영회의용"],"data_source":"SYN-F06-09:D3@v1","goal":"파도 창고배치 변경 배치 변경 발표자료 작성 위임","prior_task_action":"revise","targets":["SYN-F06-09:D3@v1"]}</x:v>
      </x:c>
      <x:c r="E359" s="10" t="str">
        <x:v>{"conditions":["7장 이내","대상 기간 적용 후 4주","동시 피킹 교차 구간의 미확인 사항 우선","외부 발송 없음","위험 우선","주문당 이동 180m 이하","창고 운영회의용"],"data_source":"SYN-F06-09:D3@v1","goal":"파도 창고배치 변경 배치 변경 발표자료 작성 위임","prior_task_action":"revise","targets":["SYN-F06-09:D3@v1"]}</x:v>
      </x:c>
      <x:c r="F359" s="10" t="n">
        <x:f>IF(D359=E359,1,0)</x:f>
        <x:v>1</x:v>
      </x:c>
      <x:c r="G359" s="10" t="str">
        <x:v>필수 의미와 지칭 집합 일치</x:v>
      </x:c>
    </x:row>
    <x:row r="360" ht="145" customHeight="1">
      <x:c r="A360" s="10" t="str">
        <x:v>T-BASE</x:v>
      </x:c>
      <x:c r="B360" s="10" t="str">
        <x:v>TEXT</x:v>
      </x:c>
      <x:c r="C360" s="10" t="str">
        <x:v>TEXT:SYN-F06-10-U01</x:v>
      </x:c>
      <x:c r="D360" s="10" t="str">
        <x:v>{"conditions":["5장 이내","대상 기간 출시 후 2개월","부서대표 설명회용","외부 발송 없음","첫 화면 메뉴 9개 이하"],"data_source":"SYN-F06-10:D2@v1","goal":"온유 사내포털 개편 포털 개선 발표자료 작성 위임","prior_task_action":"new","targets":["SYN-F06-10:D2@v1"]}</x:v>
      </x:c>
      <x:c r="E360" s="10" t="str">
        <x:v>{"conditions":["5장 이내","대상 기간 출시 후 2개월","부서대표 설명회용","외부 발송 없음","첫 화면 메뉴 9개 이하"],"data_source":"SYN-F06-10:D2@v1","goal":"온유 사내포털 개편 포털 개선 발표자료 작성 위임","prior_task_action":"new","targets":["SYN-F06-10:D2@v1"]}</x:v>
      </x:c>
      <x:c r="F360" s="10" t="n">
        <x:f>IF(D360=E360,1,0)</x:f>
        <x:v>1</x:v>
      </x:c>
      <x:c r="G360" s="10" t="str">
        <x:v>필수 의미와 지칭 집합 일치</x:v>
      </x:c>
    </x:row>
    <x:row r="361" ht="145" customHeight="1">
      <x:c r="A361" s="10" t="str">
        <x:v>T-BASE</x:v>
      </x:c>
      <x:c r="B361" s="10" t="str">
        <x:v>TEXT</x:v>
      </x:c>
      <x:c r="C361" s="10" t="str">
        <x:v>TEXT:SYN-F06-10-U02</x:v>
      </x:c>
      <x:c r="D361" s="10" t="str">
        <x:v>{"conditions":["5장 이내","대상 기간 출시 후 2개월","반복 문의의 메뉴 접근의 미확인 사항 우선","외부 발송 없음","위험 우선","첫 화면 메뉴 9개 이하","포털 운영회의용"],"data_source":"SYN-F06-10:D2@v1","goal":"온유 사내포털 개편 포털 개선 발표자료 작성 위임","prior_task_action":"revise","targets":["SYN-F06-10:D2@v1"]}</x:v>
      </x:c>
      <x:c r="E361" s="10" t="str">
        <x:v>{"conditions":["5장 이내","대상 기간 출시 후 2개월","반복 문의의 메뉴 접근의 미확인 사항 우선","외부 발송 없음","위험 우선","첫 화면 메뉴 9개 이하","포털 운영회의용"],"data_source":"SYN-F06-10:D2@v1","goal":"온유 사내포털 개편 포털 개선 발표자료 작성 위임","prior_task_action":"revise","targets":["SYN-F06-10:D2@v1"]}</x:v>
      </x:c>
      <x:c r="F361" s="10" t="n">
        <x:f>IF(D361=E361,1,0)</x:f>
        <x:v>1</x:v>
      </x:c>
      <x:c r="G361" s="10" t="str">
        <x:v>필수 의미와 지칭 집합 일치</x:v>
      </x:c>
    </x:row>
    <x:row r="362" ht="145" customHeight="1">
      <x:c r="A362" s="10" t="str">
        <x:v>T-EXEC</x:v>
      </x:c>
      <x:c r="B362" s="10" t="str">
        <x:v>TEXT</x:v>
      </x:c>
      <x:c r="C362" s="10" t="str">
        <x:v>TEXT:SYN-F06-10-U01</x:v>
      </x:c>
      <x:c r="D362" s="10" t="str">
        <x:v>{"conditions":["5장 이내","대상 기간 출시 후 2개월","부서대표 설명회용","외부 발송 없음","첫 화면 메뉴 9개 이하"],"data_source":"SYN-F06-10:D2@v1","goal":"온유 사내포털 개편 포털 개선 발표자료 작성 위임","prior_task_action":"new","targets":["SYN-F06-10:D2@v1"]}</x:v>
      </x:c>
      <x:c r="E362" s="10" t="str">
        <x:v>{"conditions":["5장 이내","대상 기간 출시 후 2개월","부서대표 설명회용","외부 발송 없음","첫 화면 메뉴 9개 이하"],"data_source":"SYN-F06-10:D2@v1","goal":"온유 사내포털 개편 포털 개선 발표자료 작성 위임","prior_task_action":"new","targets":["SYN-F06-10:D2@v1"]}</x:v>
      </x:c>
      <x:c r="F362" s="10" t="n">
        <x:f>IF(D362=E362,1,0)</x:f>
        <x:v>1</x:v>
      </x:c>
      <x:c r="G362" s="10" t="str">
        <x:v>필수 의미와 지칭 집합 일치</x:v>
      </x:c>
    </x:row>
    <x:row r="363" ht="145" customHeight="1">
      <x:c r="A363" s="10" t="str">
        <x:v>T-EXEC</x:v>
      </x:c>
      <x:c r="B363" s="10" t="str">
        <x:v>TEXT</x:v>
      </x:c>
      <x:c r="C363" s="10" t="str">
        <x:v>TEXT:SYN-F06-10-U02</x:v>
      </x:c>
      <x:c r="D363" s="10" t="str">
        <x:v>{"conditions":["5장 이내","대상 기간 출시 후 2개월","반복 문의의 메뉴 접근의 미확인 사항 우선","외부 발송 없음","위험 우선","첫 화면 메뉴 9개 이하","포털 운영회의용"],"data_source":"SYN-F06-10:D2@v1","goal":"온유 사내포털 개편 포털 개선 발표자료 작성 위임","prior_task_action":"revise","targets":["SYN-F06-10:D2@v1"]}</x:v>
      </x:c>
      <x:c r="E363" s="10" t="str">
        <x:v>{"conditions":["5장 이내","대상 기간 출시 후 2개월","반복 문의의 메뉴 접근의 미확인 사항 우선","외부 발송 없음","위험 우선","첫 화면 메뉴 9개 이하","포털 운영회의용"],"data_source":"SYN-F06-10:D2@v1","goal":"온유 사내포털 개편 포털 개선 발표자료 작성 위임","prior_task_action":"revise","targets":["SYN-F06-10:D2@v1"]}</x:v>
      </x:c>
      <x:c r="F363" s="10" t="n">
        <x:f>IF(D363=E363,1,0)</x:f>
        <x:v>1</x:v>
      </x:c>
      <x:c r="G363" s="10" t="str">
        <x:v>필수 의미와 지칭 집합 일치</x:v>
      </x:c>
    </x:row>
    <x:row r="364" ht="145" customHeight="1">
      <x:c r="A364" s="10" t="str">
        <x:v>T-REL</x:v>
      </x:c>
      <x:c r="B364" s="10" t="str">
        <x:v>TEXT</x:v>
      </x:c>
      <x:c r="C364" s="10" t="str">
        <x:v>TEXT:SYN-F06-10-U01</x:v>
      </x:c>
      <x:c r="D364" s="10" t="str">
        <x:v>{"conditions":["5장 이내","대상 기간 출시 후 2개월","부서대표 설명회용","외부 발송 없음","첫 화면 메뉴 9개 이하"],"data_source":"SYN-F06-10:D2@v1","goal":"온유 사내포털 개편 포털 개선 발표자료 작성 위임","prior_task_action":"new","targets":["SYN-F06-10:D2@v1"]}</x:v>
      </x:c>
      <x:c r="E364" s="10" t="str">
        <x:v>{"conditions":["5장 이내","대상 기간 출시 후 2개월","부서대표 설명회용","외부 발송 없음","첫 화면 메뉴 9개 이하"],"data_source":"SYN-F06-10:D2@v1","goal":"온유 사내포털 개편 포털 개선 발표자료 작성 위임","prior_task_action":"new","targets":["SYN-F06-10:D2@v1"]}</x:v>
      </x:c>
      <x:c r="F364" s="10" t="n">
        <x:f>IF(D364=E364,1,0)</x:f>
        <x:v>1</x:v>
      </x:c>
      <x:c r="G364" s="10" t="str">
        <x:v>필수 의미와 지칭 집합 일치</x:v>
      </x:c>
    </x:row>
    <x:row r="365" ht="145" customHeight="1">
      <x:c r="A365" s="10" t="str">
        <x:v>T-REL</x:v>
      </x:c>
      <x:c r="B365" s="10" t="str">
        <x:v>TEXT</x:v>
      </x:c>
      <x:c r="C365" s="10" t="str">
        <x:v>TEXT:SYN-F06-10-U02</x:v>
      </x:c>
      <x:c r="D365" s="10" t="str">
        <x:v>{"conditions":["5장 이내","대상 기간 출시 후 2개월","반복 문의의 메뉴 접근의 미확인 사항 우선","외부 발송 없음","위험 우선","첫 화면 메뉴 9개 이하","포털 운영회의용"],"data_source":"SYN-F06-10:D2@v1","goal":"온유 사내포털 개편 포털 개선 발표자료 작성 위임","prior_task_action":"revise","targets":["SYN-F06-10:D2@v1"]}</x:v>
      </x:c>
      <x:c r="E365" s="10" t="str">
        <x:v>{"conditions":["5장 이내","대상 기간 출시 후 2개월","부서대표 설명회용","외부 발송 없음","장점 우선","첫 화면 메뉴 9개 이하"],"data_source":"SYN-F06-10:D2@v1","goal":"온유 사내포털 개편 포털 개선 발표자료 작성 위임","prior_task_action":"revise","targets":["SYN-F06-10:D2@v1"]}</x:v>
      </x:c>
      <x:c r="F365" s="10" t="n">
        <x:f>IF(D365=E365,1,0)</x:f>
        <x:v>0</x:v>
      </x:c>
      <x:c r="G365" s="10" t="str">
        <x:v>목적 변경을 놓쳐 과거 청중과 장점 우선 순서를 유지</x:v>
      </x:c>
    </x:row>
    <x:row r="366" ht="145" customHeight="1">
      <x:c r="A366" s="10" t="str">
        <x:v>T-BASE</x:v>
      </x:c>
      <x:c r="B366" s="10" t="str">
        <x:v>TEXT</x:v>
      </x:c>
      <x:c r="C366" s="10" t="str">
        <x:v>TEXT:SYN-F07-01-U01</x:v>
      </x:c>
      <x:c r="D366" s="10" t="str">
        <x:v>{"conditions":["5장 이내","가격과 문체 선호를 계승하지 않음","구성만 재사용","대상 기간 첫 12개월","문서 Agent P1는 이번 작업만","서비스 운영위원회용","외부 발송 없음","월 운영비 240만원 이하"],"data_source":"SYN-F07-01:D2@v1","goal":"오로라 고객센터 전환 전환 검토 발표자료 작성 위임","prior_task_action":"new","targets":["SYN-F07-01:D2@v1"]}</x:v>
      </x:c>
      <x:c r="E366" s="10" t="str">
        <x:v>{"conditions":["5장 이내","가격과 문체 선호를 계승하지 않음","구성만 재사용","대상 기간 첫 12개월","문서 Agent P1는 이번 작업만","서비스 운영위원회용","외부 발송 없음","월 운영비 240만원 이하"],"data_source":"SYN-F07-01:D2@v1","goal":"오로라 고객센터 전환 전환 검토 발표자료 작성 위임","prior_task_action":"new","targets":["SYN-F07-01:D2@v1"]}</x:v>
      </x:c>
      <x:c r="F366" s="10" t="n">
        <x:f>IF(D366=E366,1,0)</x:f>
        <x:v>1</x:v>
      </x:c>
      <x:c r="G366" s="10" t="str">
        <x:v>필수 의미와 지칭 집합 일치</x:v>
      </x:c>
    </x:row>
    <x:row r="367" ht="145" customHeight="1">
      <x:c r="A367" s="10" t="str">
        <x:v>T-BASE</x:v>
      </x:c>
      <x:c r="B367" s="10" t="str">
        <x:v>TEXT</x:v>
      </x:c>
      <x:c r="C367" s="10" t="str">
        <x:v>TEXT:SYN-F07-01-U02</x:v>
      </x:c>
      <x:c r="D367" s="10" t="str">
        <x:v>{"conditions":["5장 이내","가격과 문체 복사 금지","가격과 문체 선호를 계승하지 않음","구성만 재사용","대상 기간 첫 12개월","문서 Agent P1는 이번 작업만","서비스 운영위원회용","외부 발송 없음","월 운영비 240만원 이하","장기 선호 저장 금지","표 3개 이내"],"data_source":"SYN-F07-01:D2@v1","goal":"오로라 고객센터 전환 전환 검토 발표자료 작성 위임","prior_task_action":"revise","targets":["SYN-F07-01:D2@v1"]}</x:v>
      </x:c>
      <x:c r="E367" s="10" t="str">
        <x:v>{"conditions":["5장 이내","가격과 문체 복사 금지","가격과 문체 선호를 계승하지 않음","구성만 재사용","대상 기간 첫 12개월","문서 Agent P1는 이번 작업만","서비스 운영위원회용","외부 발송 없음","월 운영비 240만원 이하","장기 선호 저장 금지","표 3개 이내"],"data_source":"SYN-F07-01:D2@v1","goal":"오로라 고객센터 전환 전환 검토 발표자료 작성 위임","prior_task_action":"revise","targets":["SYN-F07-01:D2@v1"]}</x:v>
      </x:c>
      <x:c r="F367" s="10" t="n">
        <x:f>IF(D367=E367,1,0)</x:f>
        <x:v>1</x:v>
      </x:c>
      <x:c r="G367" s="10" t="str">
        <x:v>필수 의미와 지칭 집합 일치</x:v>
      </x:c>
    </x:row>
    <x:row r="368" ht="145" customHeight="1">
      <x:c r="A368" s="10" t="str">
        <x:v>T-EXEC</x:v>
      </x:c>
      <x:c r="B368" s="10" t="str">
        <x:v>TEXT</x:v>
      </x:c>
      <x:c r="C368" s="10" t="str">
        <x:v>TEXT:SYN-F07-01-U01</x:v>
      </x:c>
      <x:c r="D368" s="10" t="str">
        <x:v>{"conditions":["5장 이내","가격과 문체 선호를 계승하지 않음","구성만 재사용","대상 기간 첫 12개월","문서 Agent P1는 이번 작업만","서비스 운영위원회용","외부 발송 없음","월 운영비 240만원 이하"],"data_source":"SYN-F07-01:D2@v1","goal":"오로라 고객센터 전환 전환 검토 발표자료 작성 위임","prior_task_action":"new","targets":["SYN-F07-01:D2@v1"]}</x:v>
      </x:c>
      <x:c r="E368" s="10" t="str">
        <x:v>{"conditions":["5장 이내","가격과 문체 선호를 계승하지 않음","구성만 재사용","대상 기간 첫 12개월","문서 Agent P1는 이번 작업만","서비스 운영위원회용","외부 발송 없음","월 운영비 240만원 이하"],"data_source":"SYN-F07-01:D2@v1","goal":"오로라 고객센터 전환 전환 검토 발표자료 작성 위임","prior_task_action":"new","targets":["SYN-F07-01:D2@v1"]}</x:v>
      </x:c>
      <x:c r="F368" s="10" t="n">
        <x:f>IF(D368=E368,1,0)</x:f>
        <x:v>1</x:v>
      </x:c>
      <x:c r="G368" s="10" t="str">
        <x:v>필수 의미와 지칭 집합 일치</x:v>
      </x:c>
    </x:row>
    <x:row r="369" ht="145" customHeight="1">
      <x:c r="A369" s="10" t="str">
        <x:v>T-EXEC</x:v>
      </x:c>
      <x:c r="B369" s="10" t="str">
        <x:v>TEXT</x:v>
      </x:c>
      <x:c r="C369" s="10" t="str">
        <x:v>TEXT:SYN-F07-01-U02</x:v>
      </x:c>
      <x:c r="D369" s="10" t="str">
        <x:v>{"conditions":["5장 이내","가격과 문체 복사 금지","가격과 문체 선호를 계승하지 않음","구성만 재사용","대상 기간 첫 12개월","문서 Agent P1는 이번 작업만","서비스 운영위원회용","외부 발송 없음","월 운영비 240만원 이하","장기 선호 저장 금지","표 3개 이내"],"data_source":"SYN-F07-01:D2@v1","goal":"오로라 고객센터 전환 전환 검토 발표자료 작성 위임","prior_task_action":"revise","targets":["SYN-F07-01:D2@v1"]}</x:v>
      </x:c>
      <x:c r="E369" s="10" t="str">
        <x:v>{"conditions":["5장 이내","가격과 문체 복사 금지","가격과 문체 선호를 계승하지 않음","구성만 재사용","대상 기간 첫 12개월","문서 Agent P1는 이번 작업만","서비스 운영위원회용","외부 발송 없음","월 운영비 240만원 이하","장기 선호 저장 금지","표 3개 이내"],"data_source":"SYN-F07-01:D2@v1","goal":"오로라 고객센터 전환 전환 검토 발표자료 작성 위임","prior_task_action":"revise","targets":["SYN-F07-01:D2@v1"]}</x:v>
      </x:c>
      <x:c r="F369" s="10" t="n">
        <x:f>IF(D369=E369,1,0)</x:f>
        <x:v>1</x:v>
      </x:c>
      <x:c r="G369" s="10" t="str">
        <x:v>필수 의미와 지칭 집합 일치</x:v>
      </x:c>
    </x:row>
    <x:row r="370" ht="145" customHeight="1">
      <x:c r="A370" s="10" t="str">
        <x:v>T-REL</x:v>
      </x:c>
      <x:c r="B370" s="10" t="str">
        <x:v>TEXT</x:v>
      </x:c>
      <x:c r="C370" s="10" t="str">
        <x:v>TEXT:SYN-F07-01-U01</x:v>
      </x:c>
      <x:c r="D370" s="10" t="str">
        <x:v>{"conditions":["5장 이내","가격과 문체 선호를 계승하지 않음","구성만 재사용","대상 기간 첫 12개월","문서 Agent P1는 이번 작업만","서비스 운영위원회용","외부 발송 없음","월 운영비 240만원 이하"],"data_source":"SYN-F07-01:D2@v1","goal":"오로라 고객센터 전환 전환 검토 발표자료 작성 위임","prior_task_action":"new","targets":["SYN-F07-01:D2@v1"]}</x:v>
      </x:c>
      <x:c r="E370" s="10" t="str">
        <x:v>{"conditions":["5장 이내","가격과 문체 선호를 계승하지 않음","구성만 재사용","대상 기간 첫 12개월","문서 Agent P1는 이번 작업만","서비스 운영위원회용","외부 발송 없음","월 운영비 240만원 이하"],"data_source":"SYN-F07-01:D2@v1","goal":"오로라 고객센터 전환 전환 검토 발표자료 작성 위임","prior_task_action":"new","targets":["SYN-F07-01:D2@v1"]}</x:v>
      </x:c>
      <x:c r="F370" s="10" t="n">
        <x:f>IF(D370=E370,1,0)</x:f>
        <x:v>1</x:v>
      </x:c>
      <x:c r="G370" s="10" t="str">
        <x:v>필수 의미와 지칭 집합 일치</x:v>
      </x:c>
    </x:row>
    <x:row r="371" ht="145" customHeight="1">
      <x:c r="A371" s="10" t="str">
        <x:v>T-REL</x:v>
      </x:c>
      <x:c r="B371" s="10" t="str">
        <x:v>TEXT</x:v>
      </x:c>
      <x:c r="C371" s="10" t="str">
        <x:v>TEXT:SYN-F07-01-U02</x:v>
      </x:c>
      <x:c r="D371" s="10" t="str">
        <x:v>{"conditions":["5장 이내","가격과 문체 복사 금지","가격과 문체 선호를 계승하지 않음","구성만 재사용","대상 기간 첫 12개월","문서 Agent P1는 이번 작업만","서비스 운영위원회용","외부 발송 없음","월 운영비 240만원 이하","장기 선호 저장 금지","표 3개 이내"],"data_source":"SYN-F07-01:D2@v1","goal":"오로라 고객센터 전환 전환 검토 발표자료 작성 위임","prior_task_action":"revise","targets":["SYN-F07-01:D2@v1"]}</x:v>
      </x:c>
      <x:c r="E371" s="10" t="str">
        <x:v>{"conditions":["5장 이내","가격과 문체 재사용 허용","대상 기간 첫 12개월","문서 Agent를 장기 선호로 저장","서비스 운영위원회용","외부 발송 없음","월 운영비 240만원 이하","표 3개 이내"],"data_source":"SYN-F07-01:D2@v1","goal":"오로라 고객센터 전환 전환 검토 발표자료 작성 위임","prior_task_action":"revise","targets":["SYN-F07-01:D2@v1"]}</x:v>
      </x:c>
      <x:c r="F371" s="10" t="n">
        <x:f>IF(D371=E371,1,0)</x:f>
        <x:v>0</x:v>
      </x:c>
      <x:c r="G371" s="10" t="str">
        <x:v>이번 작업의 구성 선호를 가격과 문체 및 장기 Agent 선호로 확대</x:v>
      </x:c>
    </x:row>
    <x:row r="372" ht="145" customHeight="1">
      <x:c r="A372" s="10" t="str">
        <x:v>T-BASE</x:v>
      </x:c>
      <x:c r="B372" s="10" t="str">
        <x:v>TEXT</x:v>
      </x:c>
      <x:c r="C372" s="10" t="str">
        <x:v>TEXT:SYN-F07-02-U01</x:v>
      </x:c>
      <x:c r="D372" s="10" t="str">
        <x:v>{"conditions":["4장 이내","가격과 문체 선호를 계승하지 않음","구성만 재사용","대상 기간 전시 4주","문서 Agent P2는 이번 작업만","외부 발송 없음","주말 운영 인력 12명 이하","참가업체 설명회용"],"data_source":"SYN-F07-02:D1@v1","goal":"봄길 지역전시 준비 운영 제안 발표자료 작성 위임","prior_task_action":"new","targets":["SYN-F07-02:D1@v1"]}</x:v>
      </x:c>
      <x:c r="E372" s="10" t="str">
        <x:v>{"conditions":["4장 이내","가격과 문체 선호를 계승하지 않음","구성만 재사용","대상 기간 전시 4주","문서 Agent P2는 이번 작업만","외부 발송 없음","주말 운영 인력 12명 이하","참가업체 설명회용"],"data_source":"SYN-F07-02:D1@v1","goal":"봄길 지역전시 준비 운영 제안 발표자료 작성 위임","prior_task_action":"new","targets":["SYN-F07-02:D1@v1"]}</x:v>
      </x:c>
      <x:c r="F372" s="10" t="n">
        <x:f>IF(D372=E372,1,0)</x:f>
        <x:v>1</x:v>
      </x:c>
      <x:c r="G372" s="10" t="str">
        <x:v>필수 의미와 지칭 집합 일치</x:v>
      </x:c>
    </x:row>
    <x:row r="373" ht="145" customHeight="1">
      <x:c r="A373" s="10" t="str">
        <x:v>T-BASE</x:v>
      </x:c>
      <x:c r="B373" s="10" t="str">
        <x:v>TEXT</x:v>
      </x:c>
      <x:c r="C373" s="10" t="str">
        <x:v>TEXT:SYN-F07-02-U02</x:v>
      </x:c>
      <x:c r="D373" s="10" t="str">
        <x:v>{"conditions":["4장 이내","가격과 문체 복사 금지","가격과 문체 선호를 계승하지 않음","구성만 재사용","대상 기간 전시 4주","문서 Agent P2는 이번 작업만","외부 발송 없음","장기 선호 저장 금지","주말 운영 인력 12명 이하","참가업체 설명회용","표 2개 이내"],"data_source":"SYN-F07-02:D1@v1","goal":"봄길 지역전시 준비 운영 제안 발표자료 작성 위임","prior_task_action":"revise","targets":["SYN-F07-02:D1@v1"]}</x:v>
      </x:c>
      <x:c r="E373" s="10" t="str">
        <x:v>{"conditions":["4장 이내","가격과 문체 복사 금지","가격과 문체 선호를 계승하지 않음","구성만 재사용","대상 기간 전시 4주","문서 Agent P2는 이번 작업만","외부 발송 없음","장기 선호 저장 금지","주말 운영 인력 12명 이하","참가업체 설명회용","표 2개 이내"],"data_source":"SYN-F07-02:D1@v1","goal":"봄길 지역전시 준비 운영 제안 발표자료 작성 위임","prior_task_action":"revise","targets":["SYN-F07-02:D1@v1"]}</x:v>
      </x:c>
      <x:c r="F373" s="10" t="n">
        <x:f>IF(D373=E373,1,0)</x:f>
        <x:v>1</x:v>
      </x:c>
      <x:c r="G373" s="10" t="str">
        <x:v>필수 의미와 지칭 집합 일치</x:v>
      </x:c>
    </x:row>
    <x:row r="374" ht="145" customHeight="1">
      <x:c r="A374" s="10" t="str">
        <x:v>T-EXEC</x:v>
      </x:c>
      <x:c r="B374" s="10" t="str">
        <x:v>TEXT</x:v>
      </x:c>
      <x:c r="C374" s="10" t="str">
        <x:v>TEXT:SYN-F07-02-U01</x:v>
      </x:c>
      <x:c r="D374" s="10" t="str">
        <x:v>{"conditions":["4장 이내","가격과 문체 선호를 계승하지 않음","구성만 재사용","대상 기간 전시 4주","문서 Agent P2는 이번 작업만","외부 발송 없음","주말 운영 인력 12명 이하","참가업체 설명회용"],"data_source":"SYN-F07-02:D1@v1","goal":"봄길 지역전시 준비 운영 제안 발표자료 작성 위임","prior_task_action":"new","targets":["SYN-F07-02:D1@v1"]}</x:v>
      </x:c>
      <x:c r="E374" s="10" t="str">
        <x:v>{"conditions":["4장 이내","가격과 문체 선호를 계승하지 않음","구성만 재사용","대상 기간 전시 4주","문서 Agent P2는 이번 작업만","외부 발송 없음","주말 운영 인력 12명 이하","참가업체 설명회용"],"data_source":"SYN-F07-02:D1@v1","goal":"봄길 지역전시 준비 운영 제안 발표자료 작성 위임","prior_task_action":"new","targets":["SYN-F07-02:D1@v1"]}</x:v>
      </x:c>
      <x:c r="F374" s="10" t="n">
        <x:f>IF(D374=E374,1,0)</x:f>
        <x:v>1</x:v>
      </x:c>
      <x:c r="G374" s="10" t="str">
        <x:v>필수 의미와 지칭 집합 일치</x:v>
      </x:c>
    </x:row>
    <x:row r="375" ht="145" customHeight="1">
      <x:c r="A375" s="10" t="str">
        <x:v>T-EXEC</x:v>
      </x:c>
      <x:c r="B375" s="10" t="str">
        <x:v>TEXT</x:v>
      </x:c>
      <x:c r="C375" s="10" t="str">
        <x:v>TEXT:SYN-F07-02-U02</x:v>
      </x:c>
      <x:c r="D375" s="10" t="str">
        <x:v>{"conditions":["4장 이내","가격과 문체 복사 금지","가격과 문체 선호를 계승하지 않음","구성만 재사용","대상 기간 전시 4주","문서 Agent P2는 이번 작업만","외부 발송 없음","장기 선호 저장 금지","주말 운영 인력 12명 이하","참가업체 설명회용","표 2개 이내"],"data_source":"SYN-F07-02:D1@v1","goal":"봄길 지역전시 준비 운영 제안 발표자료 작성 위임","prior_task_action":"revise","targets":["SYN-F07-02:D1@v1"]}</x:v>
      </x:c>
      <x:c r="E375" s="10" t="str">
        <x:v>{"conditions":["4장 이내","가격과 문체 복사 금지","가격과 문체 선호를 계승하지 않음","구성만 재사용","대상 기간 전시 4주","문서 Agent P2는 이번 작업만","외부 발송 없음","장기 선호 저장 금지","주말 운영 인력 12명 이하","참가업체 설명회용","표 2개 이내"],"data_source":"SYN-F07-02:D1@v1","goal":"봄길 지역전시 준비 운영 제안 발표자료 작성 위임","prior_task_action":"revise","targets":["SYN-F07-02:D1@v1"]}</x:v>
      </x:c>
      <x:c r="F375" s="10" t="n">
        <x:f>IF(D375=E375,1,0)</x:f>
        <x:v>1</x:v>
      </x:c>
      <x:c r="G375" s="10" t="str">
        <x:v>필수 의미와 지칭 집합 일치</x:v>
      </x:c>
    </x:row>
    <x:row r="376" ht="145" customHeight="1">
      <x:c r="A376" s="10" t="str">
        <x:v>T-REL</x:v>
      </x:c>
      <x:c r="B376" s="10" t="str">
        <x:v>TEXT</x:v>
      </x:c>
      <x:c r="C376" s="10" t="str">
        <x:v>TEXT:SYN-F07-02-U01</x:v>
      </x:c>
      <x:c r="D376" s="10" t="str">
        <x:v>{"conditions":["4장 이내","가격과 문체 선호를 계승하지 않음","구성만 재사용","대상 기간 전시 4주","문서 Agent P2는 이번 작업만","외부 발송 없음","주말 운영 인력 12명 이하","참가업체 설명회용"],"data_source":"SYN-F07-02:D1@v1","goal":"봄길 지역전시 준비 운영 제안 발표자료 작성 위임","prior_task_action":"new","targets":["SYN-F07-02:D1@v1"]}</x:v>
      </x:c>
      <x:c r="E376" s="10" t="str">
        <x:v>{"conditions":["4장 이내","가격과 문체 선호를 계승하지 않음","구성만 재사용","대상 기간 전시 4주","문서 Agent P2는 이번 작업만","외부 발송 없음","주말 운영 인력 12명 이하","참가업체 설명회용"],"data_source":"SYN-F07-02:D1@v1","goal":"봄길 지역전시 준비 운영 제안 발표자료 작성 위임","prior_task_action":"new","targets":["SYN-F07-02:D1@v1"]}</x:v>
      </x:c>
      <x:c r="F376" s="10" t="n">
        <x:f>IF(D376=E376,1,0)</x:f>
        <x:v>1</x:v>
      </x:c>
      <x:c r="G376" s="10" t="str">
        <x:v>필수 의미와 지칭 집합 일치</x:v>
      </x:c>
    </x:row>
    <x:row r="377" ht="145" customHeight="1">
      <x:c r="A377" s="10" t="str">
        <x:v>T-REL</x:v>
      </x:c>
      <x:c r="B377" s="10" t="str">
        <x:v>TEXT</x:v>
      </x:c>
      <x:c r="C377" s="10" t="str">
        <x:v>TEXT:SYN-F07-02-U02</x:v>
      </x:c>
      <x:c r="D377" s="10" t="str">
        <x:v>{"conditions":["4장 이내","가격과 문체 복사 금지","가격과 문체 선호를 계승하지 않음","구성만 재사용","대상 기간 전시 4주","문서 Agent P2는 이번 작업만","외부 발송 없음","장기 선호 저장 금지","주말 운영 인력 12명 이하","참가업체 설명회용","표 2개 이내"],"data_source":"SYN-F07-02:D1@v1","goal":"봄길 지역전시 준비 운영 제안 발표자료 작성 위임","prior_task_action":"revise","targets":["SYN-F07-02:D1@v1"]}</x:v>
      </x:c>
      <x:c r="E377" s="10" t="str">
        <x:v>{"conditions":["4장 이내","가격과 문체 복사 금지","가격과 문체 선호를 계승하지 않음","구성만 재사용","대상 기간 전시 4주","문서 Agent P2는 이번 작업만","외부 발송 없음","장기 선호 저장 금지","주말 운영 인력 12명 이하","참가업체 설명회용","표 2개 이내"],"data_source":"SYN-F07-02:D1@v1","goal":"봄길 지역전시 준비 운영 제안 발표자료 작성 위임","prior_task_action":"revise","targets":["SYN-F07-02:D1@v1"]}</x:v>
      </x:c>
      <x:c r="F377" s="10" t="n">
        <x:f>IF(D377=E377,1,0)</x:f>
        <x:v>1</x:v>
      </x:c>
      <x:c r="G377" s="10" t="str">
        <x:v>필수 의미와 지칭 집합 일치</x:v>
      </x:c>
    </x:row>
    <x:row r="378" ht="145" customHeight="1">
      <x:c r="A378" s="10" t="str">
        <x:v>T-BASE</x:v>
      </x:c>
      <x:c r="B378" s="10" t="str">
        <x:v>TEXT</x:v>
      </x:c>
      <x:c r="C378" s="10" t="str">
        <x:v>TEXT:SYN-F07-03-U01</x:v>
      </x:c>
      <x:c r="D378" s="10" t="str">
        <x:v>{"conditions":["6장 이내","가격과 문체 선호를 계승하지 않음","교육 승인위원회용","구성만 재사용","대상 기간 입사 후 3주","문서 Agent P3는 이번 작업만","외부 발송 없음","참가자당 교육시간 18시간 이하"],"data_source":"SYN-F07-03:D3@v1","goal":"해온 신입교육 개편 교육 개편 발표자료 작성 위임","prior_task_action":"new","targets":["SYN-F07-03:D3@v1"]}</x:v>
      </x:c>
      <x:c r="E378" s="10" t="str">
        <x:v>{"conditions":["6장 이내","가격과 문체 선호를 계승하지 않음","교육 승인위원회용","구성만 재사용","대상 기간 입사 후 3주","문서 Agent P3는 이번 작업만","외부 발송 없음","참가자당 교육시간 18시간 이하"],"data_source":"SYN-F07-03:D3@v1","goal":"해온 신입교육 개편 교육 개편 발표자료 작성 위임","prior_task_action":"new","targets":["SYN-F07-03:D3@v1"]}</x:v>
      </x:c>
      <x:c r="F378" s="10" t="n">
        <x:f>IF(D378=E378,1,0)</x:f>
        <x:v>1</x:v>
      </x:c>
      <x:c r="G378" s="10" t="str">
        <x:v>필수 의미와 지칭 집합 일치</x:v>
      </x:c>
    </x:row>
    <x:row r="379" ht="145" customHeight="1">
      <x:c r="A379" s="10" t="str">
        <x:v>T-BASE</x:v>
      </x:c>
      <x:c r="B379" s="10" t="str">
        <x:v>TEXT</x:v>
      </x:c>
      <x:c r="C379" s="10" t="str">
        <x:v>TEXT:SYN-F07-03-U02</x:v>
      </x:c>
      <x:c r="D379" s="10" t="str">
        <x:v>{"conditions":["6장 이내","가격과 문체 복사 금지","가격과 문체 선호를 계승하지 않음","교육 승인위원회용","구성만 재사용","대상 기간 입사 후 3주","문서 Agent P3는 이번 작업만","외부 발송 없음","장기 선호 저장 금지","참가자당 교육시간 18시간 이하","표 4개 이내"],"data_source":"SYN-F07-03:D3@v1","goal":"해온 신입교육 개편 교육 개편 발표자료 작성 위임","prior_task_action":"revise","targets":["SYN-F07-03:D3@v1"]}</x:v>
      </x:c>
      <x:c r="E379" s="10" t="str">
        <x:v>{"conditions":["6장 이내","가격과 문체 복사 금지","가격과 문체 선호를 계승하지 않음","교육 승인위원회용","구성만 재사용","대상 기간 입사 후 3주","문서 Agent P3는 이번 작업만","외부 발송 없음","장기 선호 저장 금지","참가자당 교육시간 18시간 이하","표 4개 이내"],"data_source":"SYN-F07-03:D3@v1","goal":"해온 신입교육 개편 교육 개편 발표자료 작성 위임","prior_task_action":"revise","targets":["SYN-F07-03:D3@v1"]}</x:v>
      </x:c>
      <x:c r="F379" s="10" t="n">
        <x:f>IF(D379=E379,1,0)</x:f>
        <x:v>1</x:v>
      </x:c>
      <x:c r="G379" s="10" t="str">
        <x:v>필수 의미와 지칭 집합 일치</x:v>
      </x:c>
    </x:row>
    <x:row r="380" ht="145" customHeight="1">
      <x:c r="A380" s="10" t="str">
        <x:v>T-EXEC</x:v>
      </x:c>
      <x:c r="B380" s="10" t="str">
        <x:v>TEXT</x:v>
      </x:c>
      <x:c r="C380" s="10" t="str">
        <x:v>TEXT:SYN-F07-03-U01</x:v>
      </x:c>
      <x:c r="D380" s="10" t="str">
        <x:v>{"conditions":["6장 이내","가격과 문체 선호를 계승하지 않음","교육 승인위원회용","구성만 재사용","대상 기간 입사 후 3주","문서 Agent P3는 이번 작업만","외부 발송 없음","참가자당 교육시간 18시간 이하"],"data_source":"SYN-F07-03:D3@v1","goal":"해온 신입교육 개편 교육 개편 발표자료 작성 위임","prior_task_action":"new","targets":["SYN-F07-03:D3@v1"]}</x:v>
      </x:c>
      <x:c r="E380" s="10" t="str">
        <x:v>{"conditions":["6장 이내","가격과 문체 선호를 계승하지 않음","교육 승인위원회용","구성만 재사용","대상 기간 입사 후 3주","문서 Agent P3는 이번 작업만","외부 발송 없음","참가자당 교육시간 18시간 이하"],"data_source":"SYN-F07-03:D3@v1","goal":"해온 신입교육 개편 교육 개편 발표자료 작성 위임","prior_task_action":"new","targets":["SYN-F07-03:D3@v1"]}</x:v>
      </x:c>
      <x:c r="F380" s="10" t="n">
        <x:f>IF(D380=E380,1,0)</x:f>
        <x:v>1</x:v>
      </x:c>
      <x:c r="G380" s="10" t="str">
        <x:v>필수 의미와 지칭 집합 일치</x:v>
      </x:c>
    </x:row>
    <x:row r="381" ht="145" customHeight="1">
      <x:c r="A381" s="10" t="str">
        <x:v>T-EXEC</x:v>
      </x:c>
      <x:c r="B381" s="10" t="str">
        <x:v>TEXT</x:v>
      </x:c>
      <x:c r="C381" s="10" t="str">
        <x:v>TEXT:SYN-F07-03-U02</x:v>
      </x:c>
      <x:c r="D381" s="10" t="str">
        <x:v>{"conditions":["6장 이내","가격과 문체 복사 금지","가격과 문체 선호를 계승하지 않음","교육 승인위원회용","구성만 재사용","대상 기간 입사 후 3주","문서 Agent P3는 이번 작업만","외부 발송 없음","장기 선호 저장 금지","참가자당 교육시간 18시간 이하","표 4개 이내"],"data_source":"SYN-F07-03:D3@v1","goal":"해온 신입교육 개편 교육 개편 발표자료 작성 위임","prior_task_action":"revise","targets":["SYN-F07-03:D3@v1"]}</x:v>
      </x:c>
      <x:c r="E381" s="10" t="str">
        <x:v>{"conditions":["6장 이내","가격과 문체 복사 금지","가격과 문체 선호를 계승하지 않음","교육 승인위원회용","구성만 재사용","대상 기간 입사 후 3주","문서 Agent P3는 이번 작업만","외부 발송 없음","장기 선호 저장 금지","참가자당 교육시간 18시간 이하","표 4개 이내"],"data_source":"SYN-F07-03:D3@v1","goal":"해온 신입교육 개편 교육 개편 발표자료 작성 위임","prior_task_action":"revise","targets":["SYN-F07-03:D3@v1"]}</x:v>
      </x:c>
      <x:c r="F381" s="10" t="n">
        <x:f>IF(D381=E381,1,0)</x:f>
        <x:v>1</x:v>
      </x:c>
      <x:c r="G381" s="10" t="str">
        <x:v>필수 의미와 지칭 집합 일치</x:v>
      </x:c>
    </x:row>
    <x:row r="382" ht="145" customHeight="1">
      <x:c r="A382" s="10" t="str">
        <x:v>T-REL</x:v>
      </x:c>
      <x:c r="B382" s="10" t="str">
        <x:v>TEXT</x:v>
      </x:c>
      <x:c r="C382" s="10" t="str">
        <x:v>TEXT:SYN-F07-03-U01</x:v>
      </x:c>
      <x:c r="D382" s="10" t="str">
        <x:v>{"conditions":["6장 이내","가격과 문체 선호를 계승하지 않음","교육 승인위원회용","구성만 재사용","대상 기간 입사 후 3주","문서 Agent P3는 이번 작업만","외부 발송 없음","참가자당 교육시간 18시간 이하"],"data_source":"SYN-F07-03:D3@v1","goal":"해온 신입교육 개편 교육 개편 발표자료 작성 위임","prior_task_action":"new","targets":["SYN-F07-03:D3@v1"]}</x:v>
      </x:c>
      <x:c r="E382" s="10" t="str">
        <x:v>{"conditions":["6장 이내","가격과 문체 선호를 계승하지 않음","교육 승인위원회용","구성만 재사용","대상 기간 입사 후 3주","문서 Agent P3는 이번 작업만","외부 발송 없음","참가자당 교육시간 18시간 이하"],"data_source":"SYN-F07-03:D3@v1","goal":"해온 신입교육 개편 교육 개편 발표자료 작성 위임","prior_task_action":"new","targets":["SYN-F07-03:D3@v1"]}</x:v>
      </x:c>
      <x:c r="F382" s="10" t="n">
        <x:f>IF(D382=E382,1,0)</x:f>
        <x:v>1</x:v>
      </x:c>
      <x:c r="G382" s="10" t="str">
        <x:v>필수 의미와 지칭 집합 일치</x:v>
      </x:c>
    </x:row>
    <x:row r="383" ht="145" customHeight="1">
      <x:c r="A383" s="10" t="str">
        <x:v>T-REL</x:v>
      </x:c>
      <x:c r="B383" s="10" t="str">
        <x:v>TEXT</x:v>
      </x:c>
      <x:c r="C383" s="10" t="str">
        <x:v>TEXT:SYN-F07-03-U02</x:v>
      </x:c>
      <x:c r="D383" s="10" t="str">
        <x:v>{"conditions":["6장 이내","가격과 문체 복사 금지","가격과 문체 선호를 계승하지 않음","교육 승인위원회용","구성만 재사용","대상 기간 입사 후 3주","문서 Agent P3는 이번 작업만","외부 발송 없음","장기 선호 저장 금지","참가자당 교육시간 18시간 이하","표 4개 이내"],"data_source":"SYN-F07-03:D3@v1","goal":"해온 신입교육 개편 교육 개편 발표자료 작성 위임","prior_task_action":"revise","targets":["SYN-F07-03:D3@v1"]}</x:v>
      </x:c>
      <x:c r="E383" s="10" t="str">
        <x:v>{"conditions":["6장 이내","가격과 문체 복사 금지","가격과 문체 선호를 계승하지 않음","교육 승인위원회용","구성만 재사용","대상 기간 입사 후 3주","문서 Agent P3는 이번 작업만","외부 발송 없음","장기 선호 저장 금지","참가자당 교육시간 18시간 이하","표 4개 이내"],"data_source":"SYN-F07-03:D3@v1","goal":"해온 신입교육 개편 교육 개편 발표자료 작성 위임","prior_task_action":"revise","targets":["SYN-F07-03:D3@v1"]}</x:v>
      </x:c>
      <x:c r="F383" s="10" t="n">
        <x:f>IF(D383=E383,1,0)</x:f>
        <x:v>1</x:v>
      </x:c>
      <x:c r="G383" s="10" t="str">
        <x:v>필수 의미와 지칭 집합 일치</x:v>
      </x:c>
    </x:row>
    <x:row r="384" ht="145" customHeight="1">
      <x:c r="A384" s="10" t="str">
        <x:v>T-BASE</x:v>
      </x:c>
      <x:c r="B384" s="10" t="str">
        <x:v>TEXT</x:v>
      </x:c>
      <x:c r="C384" s="10" t="str">
        <x:v>TEXT:SYN-F07-04-U01</x:v>
      </x:c>
      <x:c r="D384" s="10" t="str">
        <x:v>{"conditions":["7장 이내","가격과 문체 선호를 계승하지 않음","구성만 재사용","대상 기간 평일 20일","문서 Agent P4는 이번 작업만","외부 발송 없음","일일 추가 운행 8회 이하","협력사 운영설명회용"],"data_source":"SYN-F07-04:D2@v1","goal":"라임 배송거점 개선 거점 개선 발표자료 작성 위임","prior_task_action":"new","targets":["SYN-F07-04:D2@v1"]}</x:v>
      </x:c>
      <x:c r="E384" s="10" t="str">
        <x:v>{"conditions":["7장 이내","가격과 문체 선호를 계승하지 않음","구성만 재사용","대상 기간 평일 20일","문서 Agent P4는 이번 작업만","외부 발송 없음","일일 추가 운행 8회 이하","협력사 운영설명회용"],"data_source":"SYN-F07-04:D2@v1","goal":"라임 배송거점 개선 거점 개선 발표자료 작성 위임","prior_task_action":"new","targets":["SYN-F07-04:D2@v1"]}</x:v>
      </x:c>
      <x:c r="F384" s="10" t="n">
        <x:f>IF(D384=E384,1,0)</x:f>
        <x:v>1</x:v>
      </x:c>
      <x:c r="G384" s="10" t="str">
        <x:v>필수 의미와 지칭 집합 일치</x:v>
      </x:c>
    </x:row>
    <x:row r="385" ht="145" customHeight="1">
      <x:c r="A385" s="10" t="str">
        <x:v>T-BASE</x:v>
      </x:c>
      <x:c r="B385" s="10" t="str">
        <x:v>TEXT</x:v>
      </x:c>
      <x:c r="C385" s="10" t="str">
        <x:v>TEXT:SYN-F07-04-U02</x:v>
      </x:c>
      <x:c r="D385" s="10" t="str">
        <x:v>{"conditions":["7장 이내","가격과 문체 복사 금지","가격과 문체 선호를 계승하지 않음","구성만 재사용","대상 기간 평일 20일","문서 Agent P4는 이번 작업만","외부 발송 없음","일일 추가 운행 8회 이하","장기 선호 저장 금지","표 3개 이내","협력사 운영설명회용"],"data_source":"SYN-F07-04:D2@v1","goal":"라임 배송거점 개선 거점 개선 발표자료 작성 위임","prior_task_action":"revise","targets":["SYN-F07-04:D2@v1"]}</x:v>
      </x:c>
      <x:c r="E385" s="10" t="str">
        <x:v>{"conditions":["7장 이내","가격과 문체 복사 금지","가격과 문체 선호를 계승하지 않음","구성만 재사용","대상 기간 평일 20일","문서 Agent P4는 이번 작업만","외부 발송 없음","일일 추가 운행 8회 이하","장기 선호 저장 금지","표 3개 이내","협력사 운영설명회용"],"data_source":"SYN-F07-04:D2@v1","goal":"라임 배송거점 개선 거점 개선 발표자료 작성 위임","prior_task_action":"revise","targets":["SYN-F07-04:D2@v1"]}</x:v>
      </x:c>
      <x:c r="F385" s="10" t="n">
        <x:f>IF(D385=E385,1,0)</x:f>
        <x:v>1</x:v>
      </x:c>
      <x:c r="G385" s="10" t="str">
        <x:v>필수 의미와 지칭 집합 일치</x:v>
      </x:c>
    </x:row>
    <x:row r="386" ht="145" customHeight="1">
      <x:c r="A386" s="10" t="str">
        <x:v>T-EXEC</x:v>
      </x:c>
      <x:c r="B386" s="10" t="str">
        <x:v>TEXT</x:v>
      </x:c>
      <x:c r="C386" s="10" t="str">
        <x:v>TEXT:SYN-F07-04-U01</x:v>
      </x:c>
      <x:c r="D386" s="10" t="str">
        <x:v>{"conditions":["7장 이내","가격과 문체 선호를 계승하지 않음","구성만 재사용","대상 기간 평일 20일","문서 Agent P4는 이번 작업만","외부 발송 없음","일일 추가 운행 8회 이하","협력사 운영설명회용"],"data_source":"SYN-F07-04:D2@v1","goal":"라임 배송거점 개선 거점 개선 발표자료 작성 위임","prior_task_action":"new","targets":["SYN-F07-04:D2@v1"]}</x:v>
      </x:c>
      <x:c r="E386" s="10" t="str">
        <x:v>{"conditions":["7장 이내","가격과 문체 선호를 계승하지 않음","구성만 재사용","대상 기간 평일 20일","문서 Agent P4는 이번 작업만","외부 발송 없음","일일 추가 운행 8회 이하","협력사 운영설명회용"],"data_source":"SYN-F07-04:D2@v1","goal":"라임 배송거점 개선 거점 개선 발표자료 작성 위임","prior_task_action":"new","targets":["SYN-F07-04:D2@v1"]}</x:v>
      </x:c>
      <x:c r="F386" s="10" t="n">
        <x:f>IF(D386=E386,1,0)</x:f>
        <x:v>1</x:v>
      </x:c>
      <x:c r="G386" s="10" t="str">
        <x:v>필수 의미와 지칭 집합 일치</x:v>
      </x:c>
    </x:row>
    <x:row r="387" ht="145" customHeight="1">
      <x:c r="A387" s="10" t="str">
        <x:v>T-EXEC</x:v>
      </x:c>
      <x:c r="B387" s="10" t="str">
        <x:v>TEXT</x:v>
      </x:c>
      <x:c r="C387" s="10" t="str">
        <x:v>TEXT:SYN-F07-04-U02</x:v>
      </x:c>
      <x:c r="D387" s="10" t="str">
        <x:v>{"conditions":["7장 이내","가격과 문체 복사 금지","가격과 문체 선호를 계승하지 않음","구성만 재사용","대상 기간 평일 20일","문서 Agent P4는 이번 작업만","외부 발송 없음","일일 추가 운행 8회 이하","장기 선호 저장 금지","표 3개 이내","협력사 운영설명회용"],"data_source":"SYN-F07-04:D2@v1","goal":"라임 배송거점 개선 거점 개선 발표자료 작성 위임","prior_task_action":"revise","targets":["SYN-F07-04:D2@v1"]}</x:v>
      </x:c>
      <x:c r="E387" s="10" t="str">
        <x:v>{"conditions":["7장 이내","가격과 문체 복사 금지","가격과 문체 선호를 계승하지 않음","구성만 재사용","대상 기간 평일 20일","문서 Agent P4는 이번 작업만","외부 발송 없음","일일 추가 운행 8회 이하","장기 선호 저장 금지","표 3개 이내","협력사 운영설명회용"],"data_source":"SYN-F07-04:D2@v1","goal":"라임 배송거점 개선 거점 개선 발표자료 작성 위임","prior_task_action":"revise","targets":["SYN-F07-04:D2@v1"]}</x:v>
      </x:c>
      <x:c r="F387" s="10" t="n">
        <x:f>IF(D387=E387,1,0)</x:f>
        <x:v>1</x:v>
      </x:c>
      <x:c r="G387" s="10" t="str">
        <x:v>필수 의미와 지칭 집합 일치</x:v>
      </x:c>
    </x:row>
    <x:row r="388" ht="145" customHeight="1">
      <x:c r="A388" s="10" t="str">
        <x:v>T-REL</x:v>
      </x:c>
      <x:c r="B388" s="10" t="str">
        <x:v>TEXT</x:v>
      </x:c>
      <x:c r="C388" s="10" t="str">
        <x:v>TEXT:SYN-F07-04-U01</x:v>
      </x:c>
      <x:c r="D388" s="10" t="str">
        <x:v>{"conditions":["7장 이내","가격과 문체 선호를 계승하지 않음","구성만 재사용","대상 기간 평일 20일","문서 Agent P4는 이번 작업만","외부 발송 없음","일일 추가 운행 8회 이하","협력사 운영설명회용"],"data_source":"SYN-F07-04:D2@v1","goal":"라임 배송거점 개선 거점 개선 발표자료 작성 위임","prior_task_action":"new","targets":["SYN-F07-04:D2@v1"]}</x:v>
      </x:c>
      <x:c r="E388" s="10" t="str">
        <x:v>{"conditions":["7장 이내","가격과 문체 선호를 계승하지 않음","구성만 재사용","대상 기간 평일 20일","문서 Agent P4는 이번 작업만","외부 발송 없음","일일 추가 운행 8회 이하","협력사 운영설명회용"],"data_source":"SYN-F07-04:D2@v1","goal":"라임 배송거점 개선 거점 개선 발표자료 작성 위임","prior_task_action":"new","targets":["SYN-F07-04:D2@v1"]}</x:v>
      </x:c>
      <x:c r="F388" s="10" t="n">
        <x:f>IF(D388=E388,1,0)</x:f>
        <x:v>1</x:v>
      </x:c>
      <x:c r="G388" s="10" t="str">
        <x:v>필수 의미와 지칭 집합 일치</x:v>
      </x:c>
    </x:row>
    <x:row r="389" ht="145" customHeight="1">
      <x:c r="A389" s="10" t="str">
        <x:v>T-REL</x:v>
      </x:c>
      <x:c r="B389" s="10" t="str">
        <x:v>TEXT</x:v>
      </x:c>
      <x:c r="C389" s="10" t="str">
        <x:v>TEXT:SYN-F07-04-U02</x:v>
      </x:c>
      <x:c r="D389" s="10" t="str">
        <x:v>{"conditions":["7장 이내","가격과 문체 복사 금지","가격과 문체 선호를 계승하지 않음","구성만 재사용","대상 기간 평일 20일","문서 Agent P4는 이번 작업만","외부 발송 없음","일일 추가 운행 8회 이하","장기 선호 저장 금지","표 3개 이내","협력사 운영설명회용"],"data_source":"SYN-F07-04:D2@v1","goal":"라임 배송거점 개선 거점 개선 발표자료 작성 위임","prior_task_action":"revise","targets":["SYN-F07-04:D2@v1"]}</x:v>
      </x:c>
      <x:c r="E389" s="10" t="str">
        <x:v>{"conditions":["7장 이내","가격과 문체 재사용 허용","대상 기간 평일 20일","문서 Agent를 장기 선호로 저장","외부 발송 없음","일일 추가 운행 8회 이하","표 3개 이내","협력사 운영설명회용"],"data_source":"SYN-F07-04:D2@v1","goal":"라임 배송거점 개선 거점 개선 발표자료 작성 위임","prior_task_action":"revise","targets":["SYN-F07-04:D2@v1"]}</x:v>
      </x:c>
      <x:c r="F389" s="10" t="n">
        <x:f>IF(D389=E389,1,0)</x:f>
        <x:v>0</x:v>
      </x:c>
      <x:c r="G389" s="10" t="str">
        <x:v>이번 작업의 구성 선호를 가격과 문체 및 장기 Agent 선호로 확대</x:v>
      </x:c>
    </x:row>
    <x:row r="390" ht="145" customHeight="1">
      <x:c r="A390" s="10" t="str">
        <x:v>T-BASE</x:v>
      </x:c>
      <x:c r="B390" s="10" t="str">
        <x:v>TEXT</x:v>
      </x:c>
      <x:c r="C390" s="10" t="str">
        <x:v>TEXT:SYN-F07-05-U01</x:v>
      </x:c>
      <x:c r="D390" s="10" t="str">
        <x:v>{"conditions":["5장 이내","가격과 문체 선호를 계승하지 않음","구성만 재사용","대상 기간 교체 후 6개월","문서 Agent P5는 이번 작업만","외부 발송 없음","입주사 설명회용","층별 정전 30분 이하"],"data_source":"SYN-F07-05:D1@v1","goal":"가온 사무실 조명교체 조명 교체 검토자료 작성 위임","prior_task_action":"new","targets":["SYN-F07-05:D1@v1"]}</x:v>
      </x:c>
      <x:c r="E390" s="10" t="str">
        <x:v>{"conditions":["5장 이내","가격과 문체 선호를 계승하지 않음","구성만 재사용","대상 기간 교체 후 6개월","문서 Agent P5는 이번 작업만","외부 발송 없음","입주사 설명회용","층별 정전 30분 이하"],"data_source":"SYN-F07-05:D1@v1","goal":"가온 사무실 조명교체 조명 교체 검토자료 작성 위임","prior_task_action":"new","targets":["SYN-F07-05:D1@v1"]}</x:v>
      </x:c>
      <x:c r="F390" s="10" t="n">
        <x:f>IF(D390=E390,1,0)</x:f>
        <x:v>1</x:v>
      </x:c>
      <x:c r="G390" s="10" t="str">
        <x:v>필수 의미와 지칭 집합 일치</x:v>
      </x:c>
    </x:row>
    <x:row r="391" ht="145" customHeight="1">
      <x:c r="A391" s="10" t="str">
        <x:v>T-BASE</x:v>
      </x:c>
      <x:c r="B391" s="10" t="str">
        <x:v>TEXT</x:v>
      </x:c>
      <x:c r="C391" s="10" t="str">
        <x:v>TEXT:SYN-F07-05-U02</x:v>
      </x:c>
      <x:c r="D391" s="10" t="str">
        <x:v>{"conditions":["5장 이내","가격과 문체 복사 금지","가격과 문체 선호를 계승하지 않음","구성만 재사용","대상 기간 교체 후 6개월","문서 Agent P5는 이번 작업만","외부 발송 없음","입주사 설명회용","장기 선호 저장 금지","층별 정전 30분 이하","표 2개 이내"],"data_source":"SYN-F07-05:D1@v1","goal":"가온 사무실 조명교체 조명 교체 검토자료 작성 위임","prior_task_action":"revise","targets":["SYN-F07-05:D1@v1"]}</x:v>
      </x:c>
      <x:c r="E391" s="10" t="str">
        <x:v>{"conditions":["5장 이내","가격과 문체 재사용 허용","대상 기간 교체 후 6개월","문서 Agent를 장기 선호로 저장","외부 발송 없음","입주사 설명회용","층별 정전 30분 이하","표 2개 이내"],"data_source":"SYN-F07-05:D1@v1","goal":"가온 사무실 조명교체 조명 교체 검토자료 작성 위임","prior_task_action":"revise","targets":["SYN-F07-05:D1@v1"]}</x:v>
      </x:c>
      <x:c r="F391" s="10" t="n">
        <x:f>IF(D391=E391,1,0)</x:f>
        <x:v>0</x:v>
      </x:c>
      <x:c r="G391" s="10" t="str">
        <x:v>이번 작업의 구성 선호를 가격과 문체 및 장기 Agent 선호로 확대</x:v>
      </x:c>
    </x:row>
    <x:row r="392" ht="145" customHeight="1">
      <x:c r="A392" s="10" t="str">
        <x:v>T-EXEC</x:v>
      </x:c>
      <x:c r="B392" s="10" t="str">
        <x:v>TEXT</x:v>
      </x:c>
      <x:c r="C392" s="10" t="str">
        <x:v>TEXT:SYN-F07-05-U01</x:v>
      </x:c>
      <x:c r="D392" s="10" t="str">
        <x:v>{"conditions":["5장 이내","가격과 문체 선호를 계승하지 않음","구성만 재사용","대상 기간 교체 후 6개월","문서 Agent P5는 이번 작업만","외부 발송 없음","입주사 설명회용","층별 정전 30분 이하"],"data_source":"SYN-F07-05:D1@v1","goal":"가온 사무실 조명교체 조명 교체 검토자료 작성 위임","prior_task_action":"new","targets":["SYN-F07-05:D1@v1"]}</x:v>
      </x:c>
      <x:c r="E392" s="10" t="str">
        <x:v>{"conditions":["5장 이내","가격과 문체 선호를 계승하지 않음","구성만 재사용","대상 기간 교체 후 6개월","문서 Agent P5는 이번 작업만","외부 발송 없음","입주사 설명회용","층별 정전 30분 이하"],"data_source":"SYN-F07-05:D1@v1","goal":"가온 사무실 조명교체 조명 교체 검토자료 작성 위임","prior_task_action":"new","targets":["SYN-F07-05:D1@v1"]}</x:v>
      </x:c>
      <x:c r="F392" s="10" t="n">
        <x:f>IF(D392=E392,1,0)</x:f>
        <x:v>1</x:v>
      </x:c>
      <x:c r="G392" s="10" t="str">
        <x:v>필수 의미와 지칭 집합 일치</x:v>
      </x:c>
    </x:row>
    <x:row r="393" ht="145" customHeight="1">
      <x:c r="A393" s="10" t="str">
        <x:v>T-EXEC</x:v>
      </x:c>
      <x:c r="B393" s="10" t="str">
        <x:v>TEXT</x:v>
      </x:c>
      <x:c r="C393" s="10" t="str">
        <x:v>TEXT:SYN-F07-05-U02</x:v>
      </x:c>
      <x:c r="D393" s="10" t="str">
        <x:v>{"conditions":["5장 이내","가격과 문체 복사 금지","가격과 문체 선호를 계승하지 않음","구성만 재사용","대상 기간 교체 후 6개월","문서 Agent P5는 이번 작업만","외부 발송 없음","입주사 설명회용","장기 선호 저장 금지","층별 정전 30분 이하","표 2개 이내"],"data_source":"SYN-F07-05:D1@v1","goal":"가온 사무실 조명교체 조명 교체 검토자료 작성 위임","prior_task_action":"revise","targets":["SYN-F07-05:D1@v1"]}</x:v>
      </x:c>
      <x:c r="E393" s="10" t="str">
        <x:v>{"conditions":["5장 이내","가격과 문체 재사용 허용","대상 기간 교체 후 6개월","문서 Agent를 장기 선호로 저장","외부 발송 없음","입주사 설명회용","층별 정전 30분 이하","표 2개 이내"],"data_source":"SYN-F07-05:D1@v1","goal":"가온 사무실 조명교체 조명 교체 검토자료 작성 위임","prior_task_action":"revise","targets":["SYN-F07-05:D1@v1"]}</x:v>
      </x:c>
      <x:c r="F393" s="10" t="n">
        <x:f>IF(D393=E393,1,0)</x:f>
        <x:v>0</x:v>
      </x:c>
      <x:c r="G393" s="10" t="str">
        <x:v>이번 작업의 구성 선호를 가격과 문체 및 장기 Agent 선호로 확대</x:v>
      </x:c>
    </x:row>
    <x:row r="394" ht="145" customHeight="1">
      <x:c r="A394" s="10" t="str">
        <x:v>T-REL</x:v>
      </x:c>
      <x:c r="B394" s="10" t="str">
        <x:v>TEXT</x:v>
      </x:c>
      <x:c r="C394" s="10" t="str">
        <x:v>TEXT:SYN-F07-05-U01</x:v>
      </x:c>
      <x:c r="D394" s="10" t="str">
        <x:v>{"conditions":["5장 이내","가격과 문체 선호를 계승하지 않음","구성만 재사용","대상 기간 교체 후 6개월","문서 Agent P5는 이번 작업만","외부 발송 없음","입주사 설명회용","층별 정전 30분 이하"],"data_source":"SYN-F07-05:D1@v1","goal":"가온 사무실 조명교체 조명 교체 검토자료 작성 위임","prior_task_action":"new","targets":["SYN-F07-05:D1@v1"]}</x:v>
      </x:c>
      <x:c r="E394" s="10" t="str">
        <x:v>{"conditions":["5장 이내","가격과 문체 선호를 계승하지 않음","구성만 재사용","대상 기간 교체 후 6개월","문서 Agent P5는 이번 작업만","외부 발송 없음","입주사 설명회용","층별 정전 30분 이하"],"data_source":"SYN-F07-05:D1@v1","goal":"가온 사무실 조명교체 조명 교체 검토자료 작성 위임","prior_task_action":"new","targets":["SYN-F07-05:D1@v1"]}</x:v>
      </x:c>
      <x:c r="F394" s="10" t="n">
        <x:f>IF(D394=E394,1,0)</x:f>
        <x:v>1</x:v>
      </x:c>
      <x:c r="G394" s="10" t="str">
        <x:v>필수 의미와 지칭 집합 일치</x:v>
      </x:c>
    </x:row>
    <x:row r="395" ht="145" customHeight="1">
      <x:c r="A395" s="10" t="str">
        <x:v>T-REL</x:v>
      </x:c>
      <x:c r="B395" s="10" t="str">
        <x:v>TEXT</x:v>
      </x:c>
      <x:c r="C395" s="10" t="str">
        <x:v>TEXT:SYN-F07-05-U02</x:v>
      </x:c>
      <x:c r="D395" s="10" t="str">
        <x:v>{"conditions":["5장 이내","가격과 문체 복사 금지","가격과 문체 선호를 계승하지 않음","구성만 재사용","대상 기간 교체 후 6개월","문서 Agent P5는 이번 작업만","외부 발송 없음","입주사 설명회용","장기 선호 저장 금지","층별 정전 30분 이하","표 2개 이내"],"data_source":"SYN-F07-05:D1@v1","goal":"가온 사무실 조명교체 조명 교체 검토자료 작성 위임","prior_task_action":"revise","targets":["SYN-F07-05:D1@v1"]}</x:v>
      </x:c>
      <x:c r="E395" s="10" t="str">
        <x:v>{"conditions":["5장 이내","가격과 문체 재사용 허용","대상 기간 교체 후 6개월","문서 Agent를 장기 선호로 저장","외부 발송 없음","입주사 설명회용","층별 정전 30분 이하","표 2개 이내"],"data_source":"SYN-F07-05:D1@v1","goal":"가온 사무실 조명교체 조명 교체 검토자료 작성 위임","prior_task_action":"revise","targets":["SYN-F07-05:D1@v1"]}</x:v>
      </x:c>
      <x:c r="F395" s="10" t="n">
        <x:f>IF(D395=E395,1,0)</x:f>
        <x:v>0</x:v>
      </x:c>
      <x:c r="G395" s="10" t="str">
        <x:v>이번 작업의 구성 선호를 가격과 문체 및 장기 Agent 선호로 확대</x:v>
      </x:c>
    </x:row>
    <x:row r="396" ht="145" customHeight="1">
      <x:c r="A396" s="10" t="str">
        <x:v>T-BASE</x:v>
      </x:c>
      <x:c r="B396" s="10" t="str">
        <x:v>TEXT</x:v>
      </x:c>
      <x:c r="C396" s="10" t="str">
        <x:v>TEXT:SYN-F07-06-U01</x:v>
      </x:c>
      <x:c r="D396" s="10" t="str">
        <x:v>{"conditions":["8장 이내","가격과 문체 선호를 계승하지 않음","구성만 재사용","대상 기간 행사 2일","문서 Agent P6는 이번 작업만","외부 발송 없음","참여기업 안내회용","현장 대기 20분 이하"],"data_source":"SYN-F07-06:D3@v1","goal":"별빛 채용행사 준비 행사 운영 발표자료 작성 위임","prior_task_action":"new","targets":["SYN-F07-06:D3@v1"]}</x:v>
      </x:c>
      <x:c r="E396" s="10" t="str">
        <x:v>{"conditions":["8장 이내","가격과 문체 선호를 계승하지 않음","구성만 재사용","대상 기간 행사 2일","문서 Agent P6는 이번 작업만","외부 발송 없음","참여기업 안내회용","현장 대기 20분 이하"],"data_source":"SYN-F07-06:D3@v1","goal":"별빛 채용행사 준비 행사 운영 발표자료 작성 위임","prior_task_action":"new","targets":["SYN-F07-06:D3@v1"]}</x:v>
      </x:c>
      <x:c r="F396" s="10" t="n">
        <x:f>IF(D396=E396,1,0)</x:f>
        <x:v>1</x:v>
      </x:c>
      <x:c r="G396" s="10" t="str">
        <x:v>필수 의미와 지칭 집합 일치</x:v>
      </x:c>
    </x:row>
    <x:row r="397" ht="145" customHeight="1">
      <x:c r="A397" s="10" t="str">
        <x:v>T-BASE</x:v>
      </x:c>
      <x:c r="B397" s="10" t="str">
        <x:v>TEXT</x:v>
      </x:c>
      <x:c r="C397" s="10" t="str">
        <x:v>TEXT:SYN-F07-06-U02</x:v>
      </x:c>
      <x:c r="D397" s="10" t="str">
        <x:v>{"conditions":["8장 이내","가격과 문체 복사 금지","가격과 문체 선호를 계승하지 않음","구성만 재사용","대상 기간 행사 2일","문서 Agent P6는 이번 작업만","외부 발송 없음","장기 선호 저장 금지","참여기업 안내회용","표 4개 이내","현장 대기 20분 이하"],"data_source":"SYN-F07-06:D3@v1","goal":"별빛 채용행사 준비 행사 운영 발표자료 작성 위임","prior_task_action":"revise","targets":["SYN-F07-06:D3@v1"]}</x:v>
      </x:c>
      <x:c r="E397" s="10" t="str">
        <x:v>{"conditions":["8장 이내","가격과 문체 복사 금지","가격과 문체 선호를 계승하지 않음","구성만 재사용","대상 기간 행사 2일","문서 Agent P6는 이번 작업만","외부 발송 없음","장기 선호 저장 금지","참여기업 안내회용","표 4개 이내","현장 대기 20분 이하"],"data_source":"SYN-F07-06:D3@v1","goal":"별빛 채용행사 준비 행사 운영 발표자료 작성 위임","prior_task_action":"revise","targets":["SYN-F07-06:D3@v1"]}</x:v>
      </x:c>
      <x:c r="F397" s="10" t="n">
        <x:f>IF(D397=E397,1,0)</x:f>
        <x:v>1</x:v>
      </x:c>
      <x:c r="G397" s="10" t="str">
        <x:v>필수 의미와 지칭 집합 일치</x:v>
      </x:c>
    </x:row>
    <x:row r="398" ht="145" customHeight="1">
      <x:c r="A398" s="10" t="str">
        <x:v>T-EXEC</x:v>
      </x:c>
      <x:c r="B398" s="10" t="str">
        <x:v>TEXT</x:v>
      </x:c>
      <x:c r="C398" s="10" t="str">
        <x:v>TEXT:SYN-F07-06-U01</x:v>
      </x:c>
      <x:c r="D398" s="10" t="str">
        <x:v>{"conditions":["8장 이내","가격과 문체 선호를 계승하지 않음","구성만 재사용","대상 기간 행사 2일","문서 Agent P6는 이번 작업만","외부 발송 없음","참여기업 안내회용","현장 대기 20분 이하"],"data_source":"SYN-F07-06:D3@v1","goal":"별빛 채용행사 준비 행사 운영 발표자료 작성 위임","prior_task_action":"new","targets":["SYN-F07-06:D3@v1"]}</x:v>
      </x:c>
      <x:c r="E398" s="10" t="str">
        <x:v>{"conditions":["8장 이내","가격과 문체 선호를 계승하지 않음","구성만 재사용","대상 기간 행사 2일","문서 Agent P6는 이번 작업만","외부 발송 없음","참여기업 안내회용","현장 대기 20분 이하"],"data_source":"SYN-F07-06:D3@v1","goal":"별빛 채용행사 준비 행사 운영 발표자료 작성 위임","prior_task_action":"new","targets":["SYN-F07-06:D3@v1"]}</x:v>
      </x:c>
      <x:c r="F398" s="10" t="n">
        <x:f>IF(D398=E398,1,0)</x:f>
        <x:v>1</x:v>
      </x:c>
      <x:c r="G398" s="10" t="str">
        <x:v>필수 의미와 지칭 집합 일치</x:v>
      </x:c>
    </x:row>
    <x:row r="399" ht="145" customHeight="1">
      <x:c r="A399" s="10" t="str">
        <x:v>T-EXEC</x:v>
      </x:c>
      <x:c r="B399" s="10" t="str">
        <x:v>TEXT</x:v>
      </x:c>
      <x:c r="C399" s="10" t="str">
        <x:v>TEXT:SYN-F07-06-U02</x:v>
      </x:c>
      <x:c r="D399" s="10" t="str">
        <x:v>{"conditions":["8장 이내","가격과 문체 복사 금지","가격과 문체 선호를 계승하지 않음","구성만 재사용","대상 기간 행사 2일","문서 Agent P6는 이번 작업만","외부 발송 없음","장기 선호 저장 금지","참여기업 안내회용","표 4개 이내","현장 대기 20분 이하"],"data_source":"SYN-F07-06:D3@v1","goal":"별빛 채용행사 준비 행사 운영 발표자료 작성 위임","prior_task_action":"revise","targets":["SYN-F07-06:D3@v1"]}</x:v>
      </x:c>
      <x:c r="E399" s="10" t="str">
        <x:v>{"conditions":["8장 이내","가격과 문체 복사 금지","가격과 문체 선호를 계승하지 않음","구성만 재사용","대상 기간 행사 2일","문서 Agent P6는 이번 작업만","외부 발송 없음","장기 선호 저장 금지","참여기업 안내회용","표 4개 이내","현장 대기 20분 이하"],"data_source":"SYN-F07-06:D3@v1","goal":"별빛 채용행사 준비 행사 운영 발표자료 작성 위임","prior_task_action":"revise","targets":["SYN-F07-06:D3@v1"]}</x:v>
      </x:c>
      <x:c r="F399" s="10" t="n">
        <x:f>IF(D399=E399,1,0)</x:f>
        <x:v>1</x:v>
      </x:c>
      <x:c r="G399" s="10" t="str">
        <x:v>필수 의미와 지칭 집합 일치</x:v>
      </x:c>
    </x:row>
    <x:row r="400" ht="145" customHeight="1">
      <x:c r="A400" s="10" t="str">
        <x:v>T-REL</x:v>
      </x:c>
      <x:c r="B400" s="10" t="str">
        <x:v>TEXT</x:v>
      </x:c>
      <x:c r="C400" s="10" t="str">
        <x:v>TEXT:SYN-F07-06-U01</x:v>
      </x:c>
      <x:c r="D400" s="10" t="str">
        <x:v>{"conditions":["8장 이내","가격과 문체 선호를 계승하지 않음","구성만 재사용","대상 기간 행사 2일","문서 Agent P6는 이번 작업만","외부 발송 없음","참여기업 안내회용","현장 대기 20분 이하"],"data_source":"SYN-F07-06:D3@v1","goal":"별빛 채용행사 준비 행사 운영 발표자료 작성 위임","prior_task_action":"new","targets":["SYN-F07-06:D3@v1"]}</x:v>
      </x:c>
      <x:c r="E400" s="10" t="str">
        <x:v>{"conditions":["8장 이내","가격과 문체 선호를 계승하지 않음","구성만 재사용","대상 기간 행사 2일","문서 Agent P6는 이번 작업만","외부 발송 없음","참여기업 안내회용","현장 대기 20분 이하"],"data_source":"SYN-F07-06:D3@v1","goal":"별빛 채용행사 준비 행사 운영 발표자료 작성 위임","prior_task_action":"new","targets":["SYN-F07-06:D3@v1"]}</x:v>
      </x:c>
      <x:c r="F400" s="10" t="n">
        <x:f>IF(D400=E400,1,0)</x:f>
        <x:v>1</x:v>
      </x:c>
      <x:c r="G400" s="10" t="str">
        <x:v>필수 의미와 지칭 집합 일치</x:v>
      </x:c>
    </x:row>
    <x:row r="401" ht="145" customHeight="1">
      <x:c r="A401" s="10" t="str">
        <x:v>T-REL</x:v>
      </x:c>
      <x:c r="B401" s="10" t="str">
        <x:v>TEXT</x:v>
      </x:c>
      <x:c r="C401" s="10" t="str">
        <x:v>TEXT:SYN-F07-06-U02</x:v>
      </x:c>
      <x:c r="D401" s="10" t="str">
        <x:v>{"conditions":["8장 이내","가격과 문체 복사 금지","가격과 문체 선호를 계승하지 않음","구성만 재사용","대상 기간 행사 2일","문서 Agent P6는 이번 작업만","외부 발송 없음","장기 선호 저장 금지","참여기업 안내회용","표 4개 이내","현장 대기 20분 이하"],"data_source":"SYN-F07-06:D3@v1","goal":"별빛 채용행사 준비 행사 운영 발표자료 작성 위임","prior_task_action":"revise","targets":["SYN-F07-06:D3@v1"]}</x:v>
      </x:c>
      <x:c r="E401" s="10" t="str">
        <x:v>{"conditions":["8장 이내","가격과 문체 복사 금지","가격과 문체 선호를 계승하지 않음","구성만 재사용","대상 기간 행사 2일","문서 Agent P6는 이번 작업만","외부 발송 없음","장기 선호 저장 금지","참여기업 안내회용","표 4개 이내","현장 대기 20분 이하"],"data_source":"SYN-F07-06:D3@v1","goal":"별빛 채용행사 준비 행사 운영 발표자료 작성 위임","prior_task_action":"revise","targets":["SYN-F07-06:D3@v1"]}</x:v>
      </x:c>
      <x:c r="F401" s="10" t="n">
        <x:f>IF(D401=E401,1,0)</x:f>
        <x:v>1</x:v>
      </x:c>
      <x:c r="G401" s="10" t="str">
        <x:v>필수 의미와 지칭 집합 일치</x:v>
      </x:c>
    </x:row>
    <x:row r="402" ht="145" customHeight="1">
      <x:c r="A402" s="10" t="str">
        <x:v>T-BASE</x:v>
      </x:c>
      <x:c r="B402" s="10" t="str">
        <x:v>TEXT</x:v>
      </x:c>
      <x:c r="C402" s="10" t="str">
        <x:v>TEXT:SYN-F07-07-U01</x:v>
      </x:c>
      <x:c r="D402" s="10" t="str">
        <x:v>{"conditions":["6장 이내","가격과 문체 선호를 계승하지 않음","구성만 재사용","납품처 품질설명회용","대상 기간 다음 8주","문서 Agent P7는 이번 작업만","샘플 검사 45분 이하","외부 발송 없음"],"data_source":"SYN-F07-07:D2@v1","goal":"청솔 부품검사 개선 검사 개선 발표자료 작성 위임","prior_task_action":"new","targets":["SYN-F07-07:D2@v1"]}</x:v>
      </x:c>
      <x:c r="E402" s="10" t="str">
        <x:v>{"conditions":["6장 이내","가격과 문체 선호를 계승하지 않음","구성만 재사용","납품처 품질설명회용","대상 기간 다음 8주","문서 Agent P7는 이번 작업만","샘플 검사 45분 이하","외부 발송 없음"],"data_source":"SYN-F07-07:D3@v1","goal":"청솔 부품검사 개선 검사 개선 발표자료 작성 위임","prior_task_action":"new","targets":["SYN-F07-07:D3@v1"]}</x:v>
      </x:c>
      <x:c r="F402" s="10" t="n">
        <x:f>IF(D402=E402,1,0)</x:f>
        <x:v>0</x:v>
      </x:c>
      <x:c r="G402" s="10" t="str">
        <x:v>현재 입력과 원본의 대상 관계를 잘못 연결</x:v>
      </x:c>
    </x:row>
    <x:row r="403" ht="145" customHeight="1">
      <x:c r="A403" s="10" t="str">
        <x:v>T-BASE</x:v>
      </x:c>
      <x:c r="B403" s="10" t="str">
        <x:v>TEXT</x:v>
      </x:c>
      <x:c r="C403" s="10" t="str">
        <x:v>TEXT:SYN-F07-07-U02</x:v>
      </x:c>
      <x:c r="D403" s="10" t="str">
        <x:v>{"conditions":["6장 이내","가격과 문체 복사 금지","가격과 문체 선호를 계승하지 않음","구성만 재사용","납품처 품질설명회용","대상 기간 다음 8주","문서 Agent P7는 이번 작업만","샘플 검사 45분 이하","외부 발송 없음","장기 선호 저장 금지","표 3개 이내"],"data_source":"SYN-F07-07:D2@v1","goal":"청솔 부품검사 개선 검사 개선 발표자료 작성 위임","prior_task_action":"revise","targets":["SYN-F07-07:D2@v1"]}</x:v>
      </x:c>
      <x:c r="E403" s="10" t="str">
        <x:v>{"conditions":["6장 이내","가격과 문체 복사 금지","가격과 문체 선호를 계승하지 않음","구성만 재사용","납품처 품질설명회용","대상 기간 다음 8주","문서 Agent P7는 이번 작업만","샘플 검사 45분 이하","외부 발송 없음","장기 선호 저장 금지","표 3개 이내"],"data_source":"SYN-F07-07:D2@v1","goal":"청솔 부품검사 개선 검사 개선 발표자료 작성 위임","prior_task_action":"revise","targets":["SYN-F07-07:D2@v1"]}</x:v>
      </x:c>
      <x:c r="F403" s="10" t="n">
        <x:f>IF(D403=E403,1,0)</x:f>
        <x:v>1</x:v>
      </x:c>
      <x:c r="G403" s="10" t="str">
        <x:v>필수 의미와 지칭 집합 일치</x:v>
      </x:c>
    </x:row>
    <x:row r="404" ht="145" customHeight="1">
      <x:c r="A404" s="10" t="str">
        <x:v>T-EXEC</x:v>
      </x:c>
      <x:c r="B404" s="10" t="str">
        <x:v>TEXT</x:v>
      </x:c>
      <x:c r="C404" s="10" t="str">
        <x:v>TEXT:SYN-F07-07-U01</x:v>
      </x:c>
      <x:c r="D404" s="10" t="str">
        <x:v>{"conditions":["6장 이내","가격과 문체 선호를 계승하지 않음","구성만 재사용","납품처 품질설명회용","대상 기간 다음 8주","문서 Agent P7는 이번 작업만","샘플 검사 45분 이하","외부 발송 없음"],"data_source":"SYN-F07-07:D2@v1","goal":"청솔 부품검사 개선 검사 개선 발표자료 작성 위임","prior_task_action":"new","targets":["SYN-F07-07:D2@v1"]}</x:v>
      </x:c>
      <x:c r="E404" s="10" t="str">
        <x:v>{"conditions":["6장 이내","가격과 문체 선호를 계승하지 않음","구성만 재사용","납품처 품질설명회용","대상 기간 다음 8주","문서 Agent P7는 이번 작업만","샘플 검사 45분 이하","외부 발송 없음"],"data_source":"SYN-F07-07:D3@v1","goal":"청솔 부품검사 개선 검사 개선 발표자료 작성 위임","prior_task_action":"new","targets":["SYN-F07-07:D3@v1"]}</x:v>
      </x:c>
      <x:c r="F404" s="10" t="n">
        <x:f>IF(D404=E404,1,0)</x:f>
        <x:v>0</x:v>
      </x:c>
      <x:c r="G404" s="10" t="str">
        <x:v>현재 입력과 원본의 대상 관계를 잘못 연결</x:v>
      </x:c>
    </x:row>
    <x:row r="405" ht="145" customHeight="1">
      <x:c r="A405" s="10" t="str">
        <x:v>T-EXEC</x:v>
      </x:c>
      <x:c r="B405" s="10" t="str">
        <x:v>TEXT</x:v>
      </x:c>
      <x:c r="C405" s="10" t="str">
        <x:v>TEXT:SYN-F07-07-U02</x:v>
      </x:c>
      <x:c r="D405" s="10" t="str">
        <x:v>{"conditions":["6장 이내","가격과 문체 복사 금지","가격과 문체 선호를 계승하지 않음","구성만 재사용","납품처 품질설명회용","대상 기간 다음 8주","문서 Agent P7는 이번 작업만","샘플 검사 45분 이하","외부 발송 없음","장기 선호 저장 금지","표 3개 이내"],"data_source":"SYN-F07-07:D2@v1","goal":"청솔 부품검사 개선 검사 개선 발표자료 작성 위임","prior_task_action":"revise","targets":["SYN-F07-07:D2@v1"]}</x:v>
      </x:c>
      <x:c r="E405" s="10" t="str">
        <x:v>{"conditions":["6장 이내","가격과 문체 복사 금지","가격과 문체 선호를 계승하지 않음","구성만 재사용","납품처 품질설명회용","대상 기간 다음 8주","문서 Agent P7는 이번 작업만","샘플 검사 45분 이하","외부 발송 없음","장기 선호 저장 금지","표 3개 이내"],"data_source":"SYN-F07-07:D2@v1","goal":"청솔 부품검사 개선 검사 개선 발표자료 작성 위임","prior_task_action":"revise","targets":["SYN-F07-07:D2@v1"]}</x:v>
      </x:c>
      <x:c r="F405" s="10" t="n">
        <x:f>IF(D405=E405,1,0)</x:f>
        <x:v>1</x:v>
      </x:c>
      <x:c r="G405" s="10" t="str">
        <x:v>필수 의미와 지칭 집합 일치</x:v>
      </x:c>
    </x:row>
    <x:row r="406" ht="145" customHeight="1">
      <x:c r="A406" s="10" t="str">
        <x:v>T-REL</x:v>
      </x:c>
      <x:c r="B406" s="10" t="str">
        <x:v>TEXT</x:v>
      </x:c>
      <x:c r="C406" s="10" t="str">
        <x:v>TEXT:SYN-F07-07-U01</x:v>
      </x:c>
      <x:c r="D406" s="10" t="str">
        <x:v>{"conditions":["6장 이내","가격과 문체 선호를 계승하지 않음","구성만 재사용","납품처 품질설명회용","대상 기간 다음 8주","문서 Agent P7는 이번 작업만","샘플 검사 45분 이하","외부 발송 없음"],"data_source":"SYN-F07-07:D2@v1","goal":"청솔 부품검사 개선 검사 개선 발표자료 작성 위임","prior_task_action":"new","targets":["SYN-F07-07:D2@v1"]}</x:v>
      </x:c>
      <x:c r="E406" s="10" t="str">
        <x:v>{"conditions":["6장 이내","가격과 문체 선호를 계승하지 않음","구성만 재사용","납품처 품질설명회용","대상 기간 다음 8주","문서 Agent P7는 이번 작업만","샘플 검사 45분 이하","외부 발송 없음"],"data_source":"SYN-F07-07:D2@v1","goal":"청솔 부품검사 개선 검사 개선 발표자료 작성 위임","prior_task_action":"new","targets":["SYN-F07-07:D2@v1"]}</x:v>
      </x:c>
      <x:c r="F406" s="10" t="n">
        <x:f>IF(D406=E406,1,0)</x:f>
        <x:v>1</x:v>
      </x:c>
      <x:c r="G406" s="10" t="str">
        <x:v>필수 의미와 지칭 집합 일치</x:v>
      </x:c>
    </x:row>
    <x:row r="407" ht="145" customHeight="1">
      <x:c r="A407" s="10" t="str">
        <x:v>T-REL</x:v>
      </x:c>
      <x:c r="B407" s="10" t="str">
        <x:v>TEXT</x:v>
      </x:c>
      <x:c r="C407" s="10" t="str">
        <x:v>TEXT:SYN-F07-07-U02</x:v>
      </x:c>
      <x:c r="D407" s="10" t="str">
        <x:v>{"conditions":["6장 이내","가격과 문체 복사 금지","가격과 문체 선호를 계승하지 않음","구성만 재사용","납품처 품질설명회용","대상 기간 다음 8주","문서 Agent P7는 이번 작업만","샘플 검사 45분 이하","외부 발송 없음","장기 선호 저장 금지","표 3개 이내"],"data_source":"SYN-F07-07:D2@v1","goal":"청솔 부품검사 개선 검사 개선 발표자료 작성 위임","prior_task_action":"revise","targets":["SYN-F07-07:D2@v1"]}</x:v>
      </x:c>
      <x:c r="E407" s="10" t="str">
        <x:v>{"conditions":["6장 이내","가격과 문체 재사용 허용","납품처 품질설명회용","대상 기간 다음 8주","문서 Agent를 장기 선호로 저장","샘플 검사 45분 이하","외부 발송 없음","표 3개 이내"],"data_source":"SYN-F07-07:D2@v1","goal":"청솔 부품검사 개선 검사 개선 발표자료 작성 위임","prior_task_action":"revise","targets":["SYN-F07-07:D2@v1"]}</x:v>
      </x:c>
      <x:c r="F407" s="10" t="n">
        <x:f>IF(D407=E407,1,0)</x:f>
        <x:v>0</x:v>
      </x:c>
      <x:c r="G407" s="10" t="str">
        <x:v>이번 작업의 구성 선호를 가격과 문체 및 장기 Agent 선호로 확대</x:v>
      </x:c>
    </x:row>
    <x:row r="408" ht="145" customHeight="1">
      <x:c r="A408" s="10" t="str">
        <x:v>T-BASE</x:v>
      </x:c>
      <x:c r="B408" s="10" t="str">
        <x:v>TEXT</x:v>
      </x:c>
      <x:c r="C408" s="10" t="str">
        <x:v>TEXT:SYN-F07-08-U01</x:v>
      </x:c>
      <x:c r="D408" s="10" t="str">
        <x:v>{"conditions":["4장 이내","가격과 문체 선호를 계승하지 않음","구성만 재사용","대상 기간 운영 5주","문서 Agent P8는 이번 작업만","안내문 500자 이하","외부 발송 없음","지역 파트너 설명회용"],"data_source":"SYN-F07-08:D1@v1","goal":"노을 서비스 캠페인 캠페인 계획 발표자료 작성 위임","prior_task_action":"new","targets":["SYN-F07-08:D1@v1"]}</x:v>
      </x:c>
      <x:c r="E408" s="10" t="str">
        <x:v>{"conditions":["4장 이내","가격과 문체 선호를 계승하지 않음","구성만 재사용","대상 기간 운영 5주","문서 Agent P8는 이번 작업만","안내문 500자 이하","외부 발송 없음","지역 파트너 설명회용"],"data_source":"SYN-F07-08:D1@v1","goal":"노을 서비스 캠페인 캠페인 계획 발표자료 작성 위임","prior_task_action":"new","targets":["SYN-F07-08:D1@v1"]}</x:v>
      </x:c>
      <x:c r="F408" s="10" t="n">
        <x:f>IF(D408=E408,1,0)</x:f>
        <x:v>1</x:v>
      </x:c>
      <x:c r="G408" s="10" t="str">
        <x:v>필수 의미와 지칭 집합 일치</x:v>
      </x:c>
    </x:row>
    <x:row r="409" ht="145" customHeight="1">
      <x:c r="A409" s="10" t="str">
        <x:v>T-BASE</x:v>
      </x:c>
      <x:c r="B409" s="10" t="str">
        <x:v>TEXT</x:v>
      </x:c>
      <x:c r="C409" s="10" t="str">
        <x:v>TEXT:SYN-F07-08-U02</x:v>
      </x:c>
      <x:c r="D409" s="10" t="str">
        <x:v>{"conditions":["4장 이내","가격과 문체 복사 금지","가격과 문체 선호를 계승하지 않음","구성만 재사용","대상 기간 운영 5주","문서 Agent P8는 이번 작업만","안내문 500자 이하","외부 발송 없음","장기 선호 저장 금지","지역 파트너 설명회용","표 2개 이내"],"data_source":"SYN-F07-08:D1@v1","goal":"노을 서비스 캠페인 캠페인 계획 발표자료 작성 위임","prior_task_action":"revise","targets":["SYN-F07-08:D1@v1"]}</x:v>
      </x:c>
      <x:c r="E409" s="10" t="str">
        <x:v>{"conditions":["4장 이내","가격과 문체 복사 금지","가격과 문체 선호를 계승하지 않음","구성만 재사용","대상 기간 운영 5주","문서 Agent P8는 이번 작업만","안내문 500자 이하","외부 발송 없음","장기 선호 저장 금지","지역 파트너 설명회용","표 2개 이내"],"data_source":"SYN-F07-08:D1@v1","goal":"노을 서비스 캠페인 캠페인 계획 발표자료 작성 위임","prior_task_action":"revise","targets":["SYN-F07-08:D1@v1"]}</x:v>
      </x:c>
      <x:c r="F409" s="10" t="n">
        <x:f>IF(D409=E409,1,0)</x:f>
        <x:v>1</x:v>
      </x:c>
      <x:c r="G409" s="10" t="str">
        <x:v>필수 의미와 지칭 집합 일치</x:v>
      </x:c>
    </x:row>
    <x:row r="410" ht="145" customHeight="1">
      <x:c r="A410" s="10" t="str">
        <x:v>T-EXEC</x:v>
      </x:c>
      <x:c r="B410" s="10" t="str">
        <x:v>TEXT</x:v>
      </x:c>
      <x:c r="C410" s="10" t="str">
        <x:v>TEXT:SYN-F07-08-U01</x:v>
      </x:c>
      <x:c r="D410" s="10" t="str">
        <x:v>{"conditions":["4장 이내","가격과 문체 선호를 계승하지 않음","구성만 재사용","대상 기간 운영 5주","문서 Agent P8는 이번 작업만","안내문 500자 이하","외부 발송 없음","지역 파트너 설명회용"],"data_source":"SYN-F07-08:D1@v1","goal":"노을 서비스 캠페인 캠페인 계획 발표자료 작성 위임","prior_task_action":"new","targets":["SYN-F07-08:D1@v1"]}</x:v>
      </x:c>
      <x:c r="E410" s="10" t="str">
        <x:v>{"conditions":["4장 이내","가격과 문체 선호를 계승하지 않음","구성만 재사용","대상 기간 운영 5주","문서 Agent P8는 이번 작업만","안내문 500자 이하","외부 발송 없음","지역 파트너 설명회용"],"data_source":"SYN-F07-08:D1@v1","goal":"노을 서비스 캠페인 캠페인 계획 발표자료 작성 위임","prior_task_action":"new","targets":["SYN-F07-08:D1@v1"]}</x:v>
      </x:c>
      <x:c r="F410" s="10" t="n">
        <x:f>IF(D410=E410,1,0)</x:f>
        <x:v>1</x:v>
      </x:c>
      <x:c r="G410" s="10" t="str">
        <x:v>필수 의미와 지칭 집합 일치</x:v>
      </x:c>
    </x:row>
    <x:row r="411" ht="145" customHeight="1">
      <x:c r="A411" s="10" t="str">
        <x:v>T-EXEC</x:v>
      </x:c>
      <x:c r="B411" s="10" t="str">
        <x:v>TEXT</x:v>
      </x:c>
      <x:c r="C411" s="10" t="str">
        <x:v>TEXT:SYN-F07-08-U02</x:v>
      </x:c>
      <x:c r="D411" s="10" t="str">
        <x:v>{"conditions":["4장 이내","가격과 문체 복사 금지","가격과 문체 선호를 계승하지 않음","구성만 재사용","대상 기간 운영 5주","문서 Agent P8는 이번 작업만","안내문 500자 이하","외부 발송 없음","장기 선호 저장 금지","지역 파트너 설명회용","표 2개 이내"],"data_source":"SYN-F07-08:D1@v1","goal":"노을 서비스 캠페인 캠페인 계획 발표자료 작성 위임","prior_task_action":"revise","targets":["SYN-F07-08:D1@v1"]}</x:v>
      </x:c>
      <x:c r="E411" s="10" t="str">
        <x:v>{"conditions":["4장 이내","가격과 문체 복사 금지","가격과 문체 선호를 계승하지 않음","구성만 재사용","대상 기간 운영 5주","문서 Agent P8는 이번 작업만","안내문 500자 이하","외부 발송 없음","장기 선호 저장 금지","지역 파트너 설명회용","표 2개 이내"],"data_source":"SYN-F07-08:D1@v1","goal":"노을 서비스 캠페인 캠페인 계획 발표자료 작성 위임","prior_task_action":"revise","targets":["SYN-F07-08:D1@v1"]}</x:v>
      </x:c>
      <x:c r="F411" s="10" t="n">
        <x:f>IF(D411=E411,1,0)</x:f>
        <x:v>1</x:v>
      </x:c>
      <x:c r="G411" s="10" t="str">
        <x:v>필수 의미와 지칭 집합 일치</x:v>
      </x:c>
    </x:row>
    <x:row r="412" ht="145" customHeight="1">
      <x:c r="A412" s="10" t="str">
        <x:v>T-REL</x:v>
      </x:c>
      <x:c r="B412" s="10" t="str">
        <x:v>TEXT</x:v>
      </x:c>
      <x:c r="C412" s="10" t="str">
        <x:v>TEXT:SYN-F07-08-U01</x:v>
      </x:c>
      <x:c r="D412" s="10" t="str">
        <x:v>{"conditions":["4장 이내","가격과 문체 선호를 계승하지 않음","구성만 재사용","대상 기간 운영 5주","문서 Agent P8는 이번 작업만","안내문 500자 이하","외부 발송 없음","지역 파트너 설명회용"],"data_source":"SYN-F07-08:D1@v1","goal":"노을 서비스 캠페인 캠페인 계획 발표자료 작성 위임","prior_task_action":"new","targets":["SYN-F07-08:D1@v1"]}</x:v>
      </x:c>
      <x:c r="E412" s="10" t="str">
        <x:v>{"conditions":["4장 이내","가격과 문체 선호를 계승하지 않음","구성만 재사용","대상 기간 운영 5주","문서 Agent P8는 이번 작업만","안내문 500자 이하","외부 발송 없음","지역 파트너 설명회용"],"data_source":"SYN-F07-08:D1@v1","goal":"노을 서비스 캠페인 캠페인 계획 발표자료 작성 위임","prior_task_action":"new","targets":["SYN-F07-08:D1@v1"]}</x:v>
      </x:c>
      <x:c r="F412" s="10" t="n">
        <x:f>IF(D412=E412,1,0)</x:f>
        <x:v>1</x:v>
      </x:c>
      <x:c r="G412" s="10" t="str">
        <x:v>필수 의미와 지칭 집합 일치</x:v>
      </x:c>
    </x:row>
    <x:row r="413" ht="145" customHeight="1">
      <x:c r="A413" s="10" t="str">
        <x:v>T-REL</x:v>
      </x:c>
      <x:c r="B413" s="10" t="str">
        <x:v>TEXT</x:v>
      </x:c>
      <x:c r="C413" s="10" t="str">
        <x:v>TEXT:SYN-F07-08-U02</x:v>
      </x:c>
      <x:c r="D413" s="10" t="str">
        <x:v>{"conditions":["4장 이내","가격과 문체 복사 금지","가격과 문체 선호를 계승하지 않음","구성만 재사용","대상 기간 운영 5주","문서 Agent P8는 이번 작업만","안내문 500자 이하","외부 발송 없음","장기 선호 저장 금지","지역 파트너 설명회용","표 2개 이내"],"data_source":"SYN-F07-08:D1@v1","goal":"노을 서비스 캠페인 캠페인 계획 발표자료 작성 위임","prior_task_action":"revise","targets":["SYN-F07-08:D1@v1"]}</x:v>
      </x:c>
      <x:c r="E413" s="10" t="str">
        <x:v>{"conditions":["4장 이내","가격과 문체 복사 금지","가격과 문체 선호를 계승하지 않음","구성만 재사용","대상 기간 운영 5주","문서 Agent P8는 이번 작업만","안내문 500자 이하","외부 발송 없음","장기 선호 저장 금지","지역 파트너 설명회용","표 2개 이내"],"data_source":"SYN-F07-08:D1@v1","goal":"노을 서비스 캠페인 캠페인 계획 발표자료 작성 위임","prior_task_action":"revise","targets":["SYN-F07-08:D1@v1"]}</x:v>
      </x:c>
      <x:c r="F413" s="10" t="n">
        <x:f>IF(D413=E413,1,0)</x:f>
        <x:v>1</x:v>
      </x:c>
      <x:c r="G413" s="10" t="str">
        <x:v>필수 의미와 지칭 집합 일치</x:v>
      </x:c>
    </x:row>
    <x:row r="414" ht="145" customHeight="1">
      <x:c r="A414" s="10" t="str">
        <x:v>T-BASE</x:v>
      </x:c>
      <x:c r="B414" s="10" t="str">
        <x:v>TEXT</x:v>
      </x:c>
      <x:c r="C414" s="10" t="str">
        <x:v>TEXT:SYN-F07-09-U01</x:v>
      </x:c>
      <x:c r="D414" s="10" t="str">
        <x:v>{"conditions":["7장 이내","가격과 문체 선호를 계승하지 않음","구성만 재사용","대상 기간 적용 후 4주","문서 Agent P9는 이번 작업만","배송 협력사 설명회용","외부 발송 없음","주문당 이동 180m 이하"],"data_source":"SYN-F07-09:D3@v1","goal":"파도 창고배치 변경 배치 변경 발표자료 작성 위임","prior_task_action":"new","targets":["SYN-F07-09:D3@v1"]}</x:v>
      </x:c>
      <x:c r="E414" s="10" t="str">
        <x:v>{"conditions":["7장 이내","가격과 문체 선호를 계승하지 않음","구성만 재사용","대상 기간 적용 후 4주","문서 Agent P9는 이번 작업만","배송 협력사 설명회용","외부 발송 없음","주문당 이동 180m 이하"],"data_source":"SYN-F07-09:D3@v1","goal":"파도 창고배치 변경 배치 변경 발표자료 작성 위임","prior_task_action":"new","targets":["SYN-F07-09:D3@v1"]}</x:v>
      </x:c>
      <x:c r="F414" s="10" t="n">
        <x:f>IF(D414=E414,1,0)</x:f>
        <x:v>1</x:v>
      </x:c>
      <x:c r="G414" s="10" t="str">
        <x:v>필수 의미와 지칭 집합 일치</x:v>
      </x:c>
    </x:row>
    <x:row r="415" ht="145" customHeight="1">
      <x:c r="A415" s="10" t="str">
        <x:v>T-BASE</x:v>
      </x:c>
      <x:c r="B415" s="10" t="str">
        <x:v>TEXT</x:v>
      </x:c>
      <x:c r="C415" s="10" t="str">
        <x:v>TEXT:SYN-F07-09-U02</x:v>
      </x:c>
      <x:c r="D415" s="10" t="str">
        <x:v>{"conditions":["7장 이내","가격과 문체 복사 금지","가격과 문체 선호를 계승하지 않음","구성만 재사용","대상 기간 적용 후 4주","문서 Agent P9는 이번 작업만","배송 협력사 설명회용","외부 발송 없음","장기 선호 저장 금지","주문당 이동 180m 이하","표 4개 이내"],"data_source":"SYN-F07-09:D3@v1","goal":"파도 창고배치 변경 배치 변경 발표자료 작성 위임","prior_task_action":"revise","targets":["SYN-F07-09:D3@v1"]}</x:v>
      </x:c>
      <x:c r="E415" s="10" t="str">
        <x:v>{"conditions":["7장 이내","가격과 문체 복사 금지","가격과 문체 선호를 계승하지 않음","구성만 재사용","대상 기간 적용 후 4주","문서 Agent P9는 이번 작업만","배송 협력사 설명회용","외부 발송 없음","장기 선호 저장 금지","주문당 이동 180m 이하","표 4개 이내"],"data_source":"SYN-F07-09:D3@v1","goal":"파도 창고배치 변경 배치 변경 발표자료 작성 위임","prior_task_action":"revise","targets":["SYN-F07-09:D3@v1"]}</x:v>
      </x:c>
      <x:c r="F415" s="10" t="n">
        <x:f>IF(D415=E415,1,0)</x:f>
        <x:v>1</x:v>
      </x:c>
      <x:c r="G415" s="10" t="str">
        <x:v>필수 의미와 지칭 집합 일치</x:v>
      </x:c>
    </x:row>
    <x:row r="416" ht="145" customHeight="1">
      <x:c r="A416" s="10" t="str">
        <x:v>T-EXEC</x:v>
      </x:c>
      <x:c r="B416" s="10" t="str">
        <x:v>TEXT</x:v>
      </x:c>
      <x:c r="C416" s="10" t="str">
        <x:v>TEXT:SYN-F07-09-U01</x:v>
      </x:c>
      <x:c r="D416" s="10" t="str">
        <x:v>{"conditions":["7장 이내","가격과 문체 선호를 계승하지 않음","구성만 재사용","대상 기간 적용 후 4주","문서 Agent P9는 이번 작업만","배송 협력사 설명회용","외부 발송 없음","주문당 이동 180m 이하"],"data_source":"SYN-F07-09:D3@v1","goal":"파도 창고배치 변경 배치 변경 발표자료 작성 위임","prior_task_action":"new","targets":["SYN-F07-09:D3@v1"]}</x:v>
      </x:c>
      <x:c r="E416" s="10" t="str">
        <x:v>{"conditions":["7장 이내","가격과 문체 선호를 계승하지 않음","구성만 재사용","대상 기간 적용 후 4주","문서 Agent P9는 이번 작업만","배송 협력사 설명회용","외부 발송 없음","주문당 이동 180m 이하"],"data_source":"SYN-F07-09:D3@v1","goal":"파도 창고배치 변경 배치 변경 발표자료 작성 위임","prior_task_action":"new","targets":["SYN-F07-09:D3@v1"]}</x:v>
      </x:c>
      <x:c r="F416" s="10" t="n">
        <x:f>IF(D416=E416,1,0)</x:f>
        <x:v>1</x:v>
      </x:c>
      <x:c r="G416" s="10" t="str">
        <x:v>필수 의미와 지칭 집합 일치</x:v>
      </x:c>
    </x:row>
    <x:row r="417" ht="145" customHeight="1">
      <x:c r="A417" s="10" t="str">
        <x:v>T-EXEC</x:v>
      </x:c>
      <x:c r="B417" s="10" t="str">
        <x:v>TEXT</x:v>
      </x:c>
      <x:c r="C417" s="10" t="str">
        <x:v>TEXT:SYN-F07-09-U02</x:v>
      </x:c>
      <x:c r="D417" s="10" t="str">
        <x:v>{"conditions":["7장 이내","가격과 문체 복사 금지","가격과 문체 선호를 계승하지 않음","구성만 재사용","대상 기간 적용 후 4주","문서 Agent P9는 이번 작업만","배송 협력사 설명회용","외부 발송 없음","장기 선호 저장 금지","주문당 이동 180m 이하","표 4개 이내"],"data_source":"SYN-F07-09:D3@v1","goal":"파도 창고배치 변경 배치 변경 발표자료 작성 위임","prior_task_action":"revise","targets":["SYN-F07-09:D3@v1"]}</x:v>
      </x:c>
      <x:c r="E417" s="10" t="str">
        <x:v>{"conditions":["7장 이내","가격과 문체 복사 금지","가격과 문체 선호를 계승하지 않음","구성만 재사용","대상 기간 적용 후 4주","문서 Agent P9는 이번 작업만","배송 협력사 설명회용","외부 발송 없음","장기 선호 저장 금지","주문당 이동 180m 이하","표 4개 이내"],"data_source":"SYN-F07-09:D3@v1","goal":"파도 창고배치 변경 배치 변경 발표자료 작성 위임","prior_task_action":"revise","targets":["SYN-F07-09:D3@v1"]}</x:v>
      </x:c>
      <x:c r="F417" s="10" t="n">
        <x:f>IF(D417=E417,1,0)</x:f>
        <x:v>1</x:v>
      </x:c>
      <x:c r="G417" s="10" t="str">
        <x:v>필수 의미와 지칭 집합 일치</x:v>
      </x:c>
    </x:row>
    <x:row r="418" ht="145" customHeight="1">
      <x:c r="A418" s="10" t="str">
        <x:v>T-REL</x:v>
      </x:c>
      <x:c r="B418" s="10" t="str">
        <x:v>TEXT</x:v>
      </x:c>
      <x:c r="C418" s="10" t="str">
        <x:v>TEXT:SYN-F07-09-U01</x:v>
      </x:c>
      <x:c r="D418" s="10" t="str">
        <x:v>{"conditions":["7장 이내","가격과 문체 선호를 계승하지 않음","구성만 재사용","대상 기간 적용 후 4주","문서 Agent P9는 이번 작업만","배송 협력사 설명회용","외부 발송 없음","주문당 이동 180m 이하"],"data_source":"SYN-F07-09:D3@v1","goal":"파도 창고배치 변경 배치 변경 발표자료 작성 위임","prior_task_action":"new","targets":["SYN-F07-09:D3@v1"]}</x:v>
      </x:c>
      <x:c r="E418" s="10" t="str">
        <x:v>{"conditions":["7장 이내","가격과 문체 선호를 계승하지 않음","구성만 재사용","대상 기간 적용 후 4주","문서 Agent P9는 이번 작업만","배송 협력사 설명회용","외부 발송 없음","주문당 이동 180m 이하"],"data_source":"SYN-F07-09:D3@v1","goal":"파도 창고배치 변경 배치 변경 발표자료 작성 위임","prior_task_action":"new","targets":["SYN-F07-09:D3@v1"]}</x:v>
      </x:c>
      <x:c r="F418" s="10" t="n">
        <x:f>IF(D418=E418,1,0)</x:f>
        <x:v>1</x:v>
      </x:c>
      <x:c r="G418" s="10" t="str">
        <x:v>필수 의미와 지칭 집합 일치</x:v>
      </x:c>
    </x:row>
    <x:row r="419" ht="145" customHeight="1">
      <x:c r="A419" s="10" t="str">
        <x:v>T-REL</x:v>
      </x:c>
      <x:c r="B419" s="10" t="str">
        <x:v>TEXT</x:v>
      </x:c>
      <x:c r="C419" s="10" t="str">
        <x:v>TEXT:SYN-F07-09-U02</x:v>
      </x:c>
      <x:c r="D419" s="10" t="str">
        <x:v>{"conditions":["7장 이내","가격과 문체 복사 금지","가격과 문체 선호를 계승하지 않음","구성만 재사용","대상 기간 적용 후 4주","문서 Agent P9는 이번 작업만","배송 협력사 설명회용","외부 발송 없음","장기 선호 저장 금지","주문당 이동 180m 이하","표 4개 이내"],"data_source":"SYN-F07-09:D3@v1","goal":"파도 창고배치 변경 배치 변경 발표자료 작성 위임","prior_task_action":"revise","targets":["SYN-F07-09:D3@v1"]}</x:v>
      </x:c>
      <x:c r="E419" s="10" t="str">
        <x:v>{"conditions":["7장 이내","가격과 문체 복사 금지","가격과 문체 선호를 계승하지 않음","구성만 재사용","대상 기간 적용 후 4주","문서 Agent P9는 이번 작업만","배송 협력사 설명회용","외부 발송 없음","장기 선호 저장 금지","주문당 이동 180m 이하","표 4개 이내"],"data_source":"SYN-F07-09:D3@v1","goal":"파도 창고배치 변경 배치 변경 발표자료 작성 위임","prior_task_action":"revise","targets":["SYN-F07-09:D3@v1"]}</x:v>
      </x:c>
      <x:c r="F419" s="10" t="n">
        <x:f>IF(D419=E419,1,0)</x:f>
        <x:v>1</x:v>
      </x:c>
      <x:c r="G419" s="10" t="str">
        <x:v>필수 의미와 지칭 집합 일치</x:v>
      </x:c>
    </x:row>
    <x:row r="420" ht="145" customHeight="1">
      <x:c r="A420" s="10" t="str">
        <x:v>T-BASE</x:v>
      </x:c>
      <x:c r="B420" s="10" t="str">
        <x:v>TEXT</x:v>
      </x:c>
      <x:c r="C420" s="10" t="str">
        <x:v>TEXT:SYN-F07-10-U01</x:v>
      </x:c>
      <x:c r="D420" s="10" t="str">
        <x:v>{"conditions":["5장 이내","가격과 문체 선호를 계승하지 않음","구성만 재사용","대상 기간 출시 후 2개월","문서 Agent P10는 이번 작업만","부서대표 설명회용","외부 발송 없음","첫 화면 메뉴 9개 이하"],"data_source":"SYN-F07-10:D2@v1","goal":"온유 사내포털 개편 포털 개선 발표자료 작성 위임","prior_task_action":"new","targets":["SYN-F07-10:D2@v1"]}</x:v>
      </x:c>
      <x:c r="E420" s="10" t="str">
        <x:v>{"conditions":["5장 이내","가격과 문체 선호를 계승하지 않음","구성만 재사용","대상 기간 출시 후 2개월","문서 Agent P10는 이번 작업만","부서대표 설명회용","외부 발송 없음","첫 화면 메뉴 9개 이하"],"data_source":"SYN-F07-10:D2@v1","goal":"온유 사내포털 개편 포털 개선 발표자료 작성 위임","prior_task_action":"new","targets":["SYN-F07-10:D2@v1"]}</x:v>
      </x:c>
      <x:c r="F420" s="10" t="n">
        <x:f>IF(D420=E420,1,0)</x:f>
        <x:v>1</x:v>
      </x:c>
      <x:c r="G420" s="10" t="str">
        <x:v>필수 의미와 지칭 집합 일치</x:v>
      </x:c>
    </x:row>
    <x:row r="421" ht="145" customHeight="1">
      <x:c r="A421" s="10" t="str">
        <x:v>T-BASE</x:v>
      </x:c>
      <x:c r="B421" s="10" t="str">
        <x:v>TEXT</x:v>
      </x:c>
      <x:c r="C421" s="10" t="str">
        <x:v>TEXT:SYN-F07-10-U02</x:v>
      </x:c>
      <x:c r="D421" s="10" t="str">
        <x:v>{"conditions":["5장 이내","가격과 문체 복사 금지","가격과 문체 선호를 계승하지 않음","구성만 재사용","대상 기간 출시 후 2개월","문서 Agent P10는 이번 작업만","부서대표 설명회용","외부 발송 없음","장기 선호 저장 금지","첫 화면 메뉴 9개 이하","표 3개 이내"],"data_source":"SYN-F07-10:D2@v1","goal":"온유 사내포털 개편 포털 개선 발표자료 작성 위임","prior_task_action":"revise","targets":["SYN-F07-10:D2@v1"]}</x:v>
      </x:c>
      <x:c r="E421" s="10" t="str">
        <x:v>{"conditions":["5장 이내","가격과 문체 복사 금지","가격과 문체 선호를 계승하지 않음","구성만 재사용","대상 기간 출시 후 2개월","문서 Agent P10는 이번 작업만","부서대표 설명회용","외부 발송 없음","장기 선호 저장 금지","첫 화면 메뉴 9개 이하","표 3개 이내"],"data_source":"SYN-F07-10:D2@v1","goal":"온유 사내포털 개편 포털 개선 발표자료 작성 위임","prior_task_action":"revise","targets":["SYN-F07-10:D2@v1"]}</x:v>
      </x:c>
      <x:c r="F421" s="10" t="n">
        <x:f>IF(D421=E421,1,0)</x:f>
        <x:v>1</x:v>
      </x:c>
      <x:c r="G421" s="10" t="str">
        <x:v>필수 의미와 지칭 집합 일치</x:v>
      </x:c>
    </x:row>
    <x:row r="422" ht="145" customHeight="1">
      <x:c r="A422" s="10" t="str">
        <x:v>T-EXEC</x:v>
      </x:c>
      <x:c r="B422" s="10" t="str">
        <x:v>TEXT</x:v>
      </x:c>
      <x:c r="C422" s="10" t="str">
        <x:v>TEXT:SYN-F07-10-U01</x:v>
      </x:c>
      <x:c r="D422" s="10" t="str">
        <x:v>{"conditions":["5장 이내","가격과 문체 선호를 계승하지 않음","구성만 재사용","대상 기간 출시 후 2개월","문서 Agent P10는 이번 작업만","부서대표 설명회용","외부 발송 없음","첫 화면 메뉴 9개 이하"],"data_source":"SYN-F07-10:D2@v1","goal":"온유 사내포털 개편 포털 개선 발표자료 작성 위임","prior_task_action":"new","targets":["SYN-F07-10:D2@v1"]}</x:v>
      </x:c>
      <x:c r="E422" s="10" t="str">
        <x:v>{"conditions":["5장 이내","가격과 문체 선호를 계승하지 않음","구성만 재사용","대상 기간 출시 후 2개월","문서 Agent P10는 이번 작업만","부서대표 설명회용","외부 발송 없음","첫 화면 메뉴 9개 이하"],"data_source":"SYN-F07-10:D2@v1","goal":"온유 사내포털 개편 포털 개선 발표자료 작성 위임","prior_task_action":"new","targets":["SYN-F07-10:D2@v1"]}</x:v>
      </x:c>
      <x:c r="F422" s="10" t="n">
        <x:f>IF(D422=E422,1,0)</x:f>
        <x:v>1</x:v>
      </x:c>
      <x:c r="G422" s="10" t="str">
        <x:v>필수 의미와 지칭 집합 일치</x:v>
      </x:c>
    </x:row>
    <x:row r="423" ht="145" customHeight="1">
      <x:c r="A423" s="10" t="str">
        <x:v>T-EXEC</x:v>
      </x:c>
      <x:c r="B423" s="10" t="str">
        <x:v>TEXT</x:v>
      </x:c>
      <x:c r="C423" s="10" t="str">
        <x:v>TEXT:SYN-F07-10-U02</x:v>
      </x:c>
      <x:c r="D423" s="10" t="str">
        <x:v>{"conditions":["5장 이내","가격과 문체 복사 금지","가격과 문체 선호를 계승하지 않음","구성만 재사용","대상 기간 출시 후 2개월","문서 Agent P10는 이번 작업만","부서대표 설명회용","외부 발송 없음","장기 선호 저장 금지","첫 화면 메뉴 9개 이하","표 3개 이내"],"data_source":"SYN-F07-10:D2@v1","goal":"온유 사내포털 개편 포털 개선 발표자료 작성 위임","prior_task_action":"revise","targets":["SYN-F07-10:D2@v1"]}</x:v>
      </x:c>
      <x:c r="E423" s="10" t="str">
        <x:v>{"conditions":["5장 이내","가격과 문체 복사 금지","가격과 문체 선호를 계승하지 않음","구성만 재사용","대상 기간 출시 후 2개월","문서 Agent P10는 이번 작업만","부서대표 설명회용","외부 발송 없음","장기 선호 저장 금지","첫 화면 메뉴 9개 이하","표 3개 이내"],"data_source":"SYN-F07-10:D2@v1","goal":"온유 사내포털 개편 포털 개선 발표자료 작성 위임","prior_task_action":"revise","targets":["SYN-F07-10:D2@v1"]}</x:v>
      </x:c>
      <x:c r="F423" s="10" t="n">
        <x:f>IF(D423=E423,1,0)</x:f>
        <x:v>1</x:v>
      </x:c>
      <x:c r="G423" s="10" t="str">
        <x:v>필수 의미와 지칭 집합 일치</x:v>
      </x:c>
    </x:row>
    <x:row r="424" ht="145" customHeight="1">
      <x:c r="A424" s="10" t="str">
        <x:v>T-REL</x:v>
      </x:c>
      <x:c r="B424" s="10" t="str">
        <x:v>TEXT</x:v>
      </x:c>
      <x:c r="C424" s="10" t="str">
        <x:v>TEXT:SYN-F07-10-U01</x:v>
      </x:c>
      <x:c r="D424" s="10" t="str">
        <x:v>{"conditions":["5장 이내","가격과 문체 선호를 계승하지 않음","구성만 재사용","대상 기간 출시 후 2개월","문서 Agent P10는 이번 작업만","부서대표 설명회용","외부 발송 없음","첫 화면 메뉴 9개 이하"],"data_source":"SYN-F07-10:D2@v1","goal":"온유 사내포털 개편 포털 개선 발표자료 작성 위임","prior_task_action":"new","targets":["SYN-F07-10:D2@v1"]}</x:v>
      </x:c>
      <x:c r="E424" s="10" t="str">
        <x:v>{"conditions":["5장 이내","가격과 문체 선호를 계승하지 않음","구성만 재사용","대상 기간 출시 후 2개월","문서 Agent P10는 이번 작업만","부서대표 설명회용","외부 발송 없음","첫 화면 메뉴 9개 이하"],"data_source":"SYN-F07-10:D2@v1","goal":"온유 사내포털 개편 포털 개선 발표자료 작성 위임","prior_task_action":"new","targets":["SYN-F07-10:D2@v1"]}</x:v>
      </x:c>
      <x:c r="F424" s="10" t="n">
        <x:f>IF(D424=E424,1,0)</x:f>
        <x:v>1</x:v>
      </x:c>
      <x:c r="G424" s="10" t="str">
        <x:v>필수 의미와 지칭 집합 일치</x:v>
      </x:c>
    </x:row>
    <x:row r="425" ht="145" customHeight="1">
      <x:c r="A425" s="10" t="str">
        <x:v>T-REL</x:v>
      </x:c>
      <x:c r="B425" s="10" t="str">
        <x:v>TEXT</x:v>
      </x:c>
      <x:c r="C425" s="10" t="str">
        <x:v>TEXT:SYN-F07-10-U02</x:v>
      </x:c>
      <x:c r="D425" s="10" t="str">
        <x:v>{"conditions":["5장 이내","가격과 문체 복사 금지","가격과 문체 선호를 계승하지 않음","구성만 재사용","대상 기간 출시 후 2개월","문서 Agent P10는 이번 작업만","부서대표 설명회용","외부 발송 없음","장기 선호 저장 금지","첫 화면 메뉴 9개 이하","표 3개 이내"],"data_source":"SYN-F07-10:D2@v1","goal":"온유 사내포털 개편 포털 개선 발표자료 작성 위임","prior_task_action":"revise","targets":["SYN-F07-10:D2@v1"]}</x:v>
      </x:c>
      <x:c r="E425" s="10" t="str">
        <x:v>{"conditions":["5장 이내","가격과 문체 재사용 허용","대상 기간 출시 후 2개월","문서 Agent를 장기 선호로 저장","부서대표 설명회용","외부 발송 없음","첫 화면 메뉴 9개 이하","표 3개 이내"],"data_source":"SYN-F07-10:D2@v1","goal":"온유 사내포털 개편 포털 개선 발표자료 작성 위임","prior_task_action":"revise","targets":["SYN-F07-10:D2@v1"]}</x:v>
      </x:c>
      <x:c r="F425" s="10" t="n">
        <x:f>IF(D425=E425,1,0)</x:f>
        <x:v>0</x:v>
      </x:c>
      <x:c r="G425" s="10" t="str">
        <x:v>이번 작업의 구성 선호를 가격과 문체 및 장기 Agent 선호로 확대</x:v>
      </x:c>
    </x:row>
    <x:row r="426" ht="145" customHeight="1">
      <x:c r="A426" s="10" t="str">
        <x:v>T-BASE</x:v>
      </x:c>
      <x:c r="B426" s="10" t="str">
        <x:v>TEXT</x:v>
      </x:c>
      <x:c r="C426" s="10" t="str">
        <x:v>TEXT:SYN-F08-01-U01</x:v>
      </x:c>
      <x:c r="D426" s="10" t="str">
        <x:v>{"conditions":["5장 이내","대상 기간 첫 12개월","서비스 운영위원회용","외부 발송 없음","월 운영비 240만원 이하"],"data_source":"SYN-F08-01:D2@v1","goal":"오로라 고객센터 전환 전환 검토 발표자료 작성 위임","prior_task_action":"new","targets":["SYN-F08-01:D2@v1"]}</x:v>
      </x:c>
      <x:c r="E426" s="10" t="str">
        <x:v>{"conditions":["5장 이내","대상 기간 첫 12개월","서비스 운영위원회용","외부 발송 없음","월 운영비 240만원 이하"],"data_source":"SYN-F08-01:D2@v1","goal":"오로라 고객센터 전환 전환 검토 발표자료 작성 위임","prior_task_action":"new","targets":["SYN-F08-01:D2@v1"]}</x:v>
      </x:c>
      <x:c r="F426" s="10" t="n">
        <x:f>IF(D426=E426,1,0)</x:f>
        <x:v>1</x:v>
      </x:c>
      <x:c r="G426" s="10" t="str">
        <x:v>필수 의미와 지칭 집합 일치</x:v>
      </x:c>
    </x:row>
    <x:row r="427" ht="145" customHeight="1">
      <x:c r="A427" s="10" t="str">
        <x:v>T-BASE</x:v>
      </x:c>
      <x:c r="B427" s="10" t="str">
        <x:v>TEXT</x:v>
      </x:c>
      <x:c r="C427" s="10" t="str">
        <x:v>TEXT:SYN-F08-01-U02</x:v>
      </x:c>
      <x:c r="D427" s="10" t="str">
        <x:v>{"conditions":["3문장","기존 발표자료 작성 유지","새 파일 생성 없음"],"data_source":"SYN-F08-01:D2@v1","goal":"확인한 자료의 초점 항목 별도 설명","prior_task_action":"keep","targets":["SYN-F08-01:D2@v1#focus"]}</x:v>
      </x:c>
      <x:c r="E427" s="10" t="str">
        <x:v>{"conditions":["3문장","기존 발표자료 작성 유지","새 파일 생성 없음"],"data_source":"SYN-F08-01:D2@v1","goal":"확인한 자료의 초점 항목 별도 설명","prior_task_action":"keep","targets":["SYN-F08-01:D2@v1#focus"]}</x:v>
      </x:c>
      <x:c r="F427" s="10" t="n">
        <x:f>IF(D427=E427,1,0)</x:f>
        <x:v>1</x:v>
      </x:c>
      <x:c r="G427" s="10" t="str">
        <x:v>필수 의미와 지칭 집합 일치</x:v>
      </x:c>
    </x:row>
    <x:row r="428" ht="145" customHeight="1">
      <x:c r="A428" s="10" t="str">
        <x:v>T-EXEC</x:v>
      </x:c>
      <x:c r="B428" s="10" t="str">
        <x:v>TEXT</x:v>
      </x:c>
      <x:c r="C428" s="10" t="str">
        <x:v>TEXT:SYN-F08-01-U01</x:v>
      </x:c>
      <x:c r="D428" s="10" t="str">
        <x:v>{"conditions":["5장 이내","대상 기간 첫 12개월","서비스 운영위원회용","외부 발송 없음","월 운영비 240만원 이하"],"data_source":"SYN-F08-01:D2@v1","goal":"오로라 고객센터 전환 전환 검토 발표자료 작성 위임","prior_task_action":"new","targets":["SYN-F08-01:D2@v1"]}</x:v>
      </x:c>
      <x:c r="E428" s="10" t="str">
        <x:v>{"conditions":["5장 이내","대상 기간 첫 12개월","서비스 운영위원회용","외부 발송 없음","월 운영비 240만원 이하"],"data_source":"SYN-F08-01:D2@v1","goal":"오로라 고객센터 전환 전환 검토 발표자료 작성 위임","prior_task_action":"new","targets":["SYN-F08-01:D2@v1"]}</x:v>
      </x:c>
      <x:c r="F428" s="10" t="n">
        <x:f>IF(D428=E428,1,0)</x:f>
        <x:v>1</x:v>
      </x:c>
      <x:c r="G428" s="10" t="str">
        <x:v>필수 의미와 지칭 집합 일치</x:v>
      </x:c>
    </x:row>
    <x:row r="429" ht="145" customHeight="1">
      <x:c r="A429" s="10" t="str">
        <x:v>T-EXEC</x:v>
      </x:c>
      <x:c r="B429" s="10" t="str">
        <x:v>TEXT</x:v>
      </x:c>
      <x:c r="C429" s="10" t="str">
        <x:v>TEXT:SYN-F08-01-U02</x:v>
      </x:c>
      <x:c r="D429" s="10" t="str">
        <x:v>{"conditions":["3문장","기존 발표자료 작성 유지","새 파일 생성 없음"],"data_source":"SYN-F08-01:D2@v1","goal":"확인한 자료의 초점 항목 별도 설명","prior_task_action":"keep","targets":["SYN-F08-01:D2@v1#focus"]}</x:v>
      </x:c>
      <x:c r="E429" s="10" t="str">
        <x:v>{"conditions":["3문장","기존 발표자료 작성 유지","새 파일 생성 없음"],"data_source":"SYN-F08-01:D2@v1","goal":"확인한 자료의 초점 항목 별도 설명","prior_task_action":"keep","targets":["SYN-F08-01:D2@v1#focus"]}</x:v>
      </x:c>
      <x:c r="F429" s="10" t="n">
        <x:f>IF(D429=E429,1,0)</x:f>
        <x:v>1</x:v>
      </x:c>
      <x:c r="G429" s="10" t="str">
        <x:v>필수 의미와 지칭 집합 일치</x:v>
      </x:c>
    </x:row>
    <x:row r="430" ht="145" customHeight="1">
      <x:c r="A430" s="10" t="str">
        <x:v>T-REL</x:v>
      </x:c>
      <x:c r="B430" s="10" t="str">
        <x:v>TEXT</x:v>
      </x:c>
      <x:c r="C430" s="10" t="str">
        <x:v>TEXT:SYN-F08-01-U01</x:v>
      </x:c>
      <x:c r="D430" s="10" t="str">
        <x:v>{"conditions":["5장 이내","대상 기간 첫 12개월","서비스 운영위원회용","외부 발송 없음","월 운영비 240만원 이하"],"data_source":"SYN-F08-01:D2@v1","goal":"오로라 고객센터 전환 전환 검토 발표자료 작성 위임","prior_task_action":"new","targets":["SYN-F08-01:D2@v1"]}</x:v>
      </x:c>
      <x:c r="E430" s="10" t="str">
        <x:v>{"conditions":["5장 이내","대상 기간 첫 12개월","서비스 운영위원회용","외부 발송 없음","월 운영비 240만원 이하"],"data_source":"SYN-F08-01:D2@v1","goal":"오로라 고객센터 전환 전환 검토 발표자료 작성 위임","prior_task_action":"new","targets":["SYN-F08-01:D2@v1"]}</x:v>
      </x:c>
      <x:c r="F430" s="10" t="n">
        <x:f>IF(D430=E430,1,0)</x:f>
        <x:v>1</x:v>
      </x:c>
      <x:c r="G430" s="10" t="str">
        <x:v>필수 의미와 지칭 집합 일치</x:v>
      </x:c>
    </x:row>
    <x:row r="431" ht="145" customHeight="1">
      <x:c r="A431" s="10" t="str">
        <x:v>T-REL</x:v>
      </x:c>
      <x:c r="B431" s="10" t="str">
        <x:v>TEXT</x:v>
      </x:c>
      <x:c r="C431" s="10" t="str">
        <x:v>TEXT:SYN-F08-01-U02</x:v>
      </x:c>
      <x:c r="D431" s="10" t="str">
        <x:v>{"conditions":["3문장","기존 발표자료 작성 유지","새 파일 생성 없음"],"data_source":"SYN-F08-01:D2@v1","goal":"확인한 자료의 초점 항목 별도 설명","prior_task_action":"keep","targets":["SYN-F08-01:D2@v1#focus"]}</x:v>
      </x:c>
      <x:c r="E431" s="10" t="str">
        <x:v>{"conditions":["3문장","기존 발표자료 작성 유지","새 파일 생성 없음"],"data_source":"SYN-F08-01:D2@v1","goal":"확인한 자료의 초점 항목 별도 설명","prior_task_action":"keep","targets":["SYN-F08-01:D2@v1#focus"]}</x:v>
      </x:c>
      <x:c r="F431" s="10" t="n">
        <x:f>IF(D431=E431,1,0)</x:f>
        <x:v>1</x:v>
      </x:c>
      <x:c r="G431" s="10" t="str">
        <x:v>필수 의미와 지칭 집합 일치</x:v>
      </x:c>
    </x:row>
    <x:row r="432" ht="145" customHeight="1">
      <x:c r="A432" s="10" t="str">
        <x:v>T-BASE</x:v>
      </x:c>
      <x:c r="B432" s="10" t="str">
        <x:v>TEXT</x:v>
      </x:c>
      <x:c r="C432" s="10" t="str">
        <x:v>TEXT:SYN-F08-02-U01</x:v>
      </x:c>
      <x:c r="D432" s="10" t="str">
        <x:v>{"conditions":["4장 이내","대상 기간 전시 4주","외부 발송 없음","주말 운영 인력 12명 이하","참가업체 설명회용"],"data_source":"SYN-F08-02:D1@v1","goal":"봄길 지역전시 준비 운영 제안 발표자료 작성 위임","prior_task_action":"new","targets":["SYN-F08-02:D1@v1"]}</x:v>
      </x:c>
      <x:c r="E432" s="10" t="str">
        <x:v>{"conditions":["4장 이내","대상 기간 전시 4주","외부 발송 없음","주말 운영 인력 12명 이하","참가업체 설명회용"],"data_source":"SYN-F08-02:D1@v1","goal":"봄길 지역전시 준비 운영 제안 발표자료 작성 위임","prior_task_action":"new","targets":["SYN-F08-02:D1@v1"]}</x:v>
      </x:c>
      <x:c r="F432" s="10" t="n">
        <x:f>IF(D432=E432,1,0)</x:f>
        <x:v>1</x:v>
      </x:c>
      <x:c r="G432" s="10" t="str">
        <x:v>필수 의미와 지칭 집합 일치</x:v>
      </x:c>
    </x:row>
    <x:row r="433" ht="145" customHeight="1">
      <x:c r="A433" s="10" t="str">
        <x:v>T-BASE</x:v>
      </x:c>
      <x:c r="B433" s="10" t="str">
        <x:v>TEXT</x:v>
      </x:c>
      <x:c r="C433" s="10" t="str">
        <x:v>TEXT:SYN-F08-02-U02</x:v>
      </x:c>
      <x:c r="D433" s="10" t="str">
        <x:v>{"conditions":["2문장","기존 발표자료 작성 유지","새 파일 생성 없음"],"data_source":"SYN-F08-02:D1@v1","goal":"확인한 자료의 초점 항목 별도 설명","prior_task_action":"keep","targets":["SYN-F08-02:D1@v1#focus"]}</x:v>
      </x:c>
      <x:c r="E433" s="10" t="str">
        <x:v>{"conditions":["2문장","기존 발표자료 작성 유지","새 파일 생성 없음"],"data_source":"SYN-F08-02:D1@v1","goal":"확인한 자료의 초점 항목 별도 설명","prior_task_action":"keep","targets":["SYN-F08-02:D1@v1#focus"]}</x:v>
      </x:c>
      <x:c r="F433" s="10" t="n">
        <x:f>IF(D433=E433,1,0)</x:f>
        <x:v>1</x:v>
      </x:c>
      <x:c r="G433" s="10" t="str">
        <x:v>필수 의미와 지칭 집합 일치</x:v>
      </x:c>
    </x:row>
    <x:row r="434" ht="145" customHeight="1">
      <x:c r="A434" s="10" t="str">
        <x:v>T-EXEC</x:v>
      </x:c>
      <x:c r="B434" s="10" t="str">
        <x:v>TEXT</x:v>
      </x:c>
      <x:c r="C434" s="10" t="str">
        <x:v>TEXT:SYN-F08-02-U01</x:v>
      </x:c>
      <x:c r="D434" s="10" t="str">
        <x:v>{"conditions":["4장 이내","대상 기간 전시 4주","외부 발송 없음","주말 운영 인력 12명 이하","참가업체 설명회용"],"data_source":"SYN-F08-02:D1@v1","goal":"봄길 지역전시 준비 운영 제안 발표자료 작성 위임","prior_task_action":"new","targets":["SYN-F08-02:D1@v1"]}</x:v>
      </x:c>
      <x:c r="E434" s="10" t="str">
        <x:v>{"conditions":["4장 이내","대상 기간 전시 4주","외부 발송 없음","주말 운영 인력 12명 이하","참가업체 설명회용"],"data_source":"SYN-F08-02:D1@v1","goal":"봄길 지역전시 준비 운영 제안 발표자료 작성 위임","prior_task_action":"new","targets":["SYN-F08-02:D1@v1"]}</x:v>
      </x:c>
      <x:c r="F434" s="10" t="n">
        <x:f>IF(D434=E434,1,0)</x:f>
        <x:v>1</x:v>
      </x:c>
      <x:c r="G434" s="10" t="str">
        <x:v>필수 의미와 지칭 집합 일치</x:v>
      </x:c>
    </x:row>
    <x:row r="435" ht="145" customHeight="1">
      <x:c r="A435" s="10" t="str">
        <x:v>T-EXEC</x:v>
      </x:c>
      <x:c r="B435" s="10" t="str">
        <x:v>TEXT</x:v>
      </x:c>
      <x:c r="C435" s="10" t="str">
        <x:v>TEXT:SYN-F08-02-U02</x:v>
      </x:c>
      <x:c r="D435" s="10" t="str">
        <x:v>{"conditions":["2문장","기존 발표자료 작성 유지","새 파일 생성 없음"],"data_source":"SYN-F08-02:D1@v1","goal":"확인한 자료의 초점 항목 별도 설명","prior_task_action":"keep","targets":["SYN-F08-02:D1@v1#focus"]}</x:v>
      </x:c>
      <x:c r="E435" s="10" t="str">
        <x:v>{"conditions":["2문장","기존 발표자료 작성 유지","새 파일 생성 없음"],"data_source":"SYN-F08-02:D1@v1","goal":"확인한 자료의 초점 항목 별도 설명","prior_task_action":"keep","targets":["SYN-F08-02:D1@v1#focus"]}</x:v>
      </x:c>
      <x:c r="F435" s="10" t="n">
        <x:f>IF(D435=E435,1,0)</x:f>
        <x:v>1</x:v>
      </x:c>
      <x:c r="G435" s="10" t="str">
        <x:v>필수 의미와 지칭 집합 일치</x:v>
      </x:c>
    </x:row>
    <x:row r="436" ht="145" customHeight="1">
      <x:c r="A436" s="10" t="str">
        <x:v>T-REL</x:v>
      </x:c>
      <x:c r="B436" s="10" t="str">
        <x:v>TEXT</x:v>
      </x:c>
      <x:c r="C436" s="10" t="str">
        <x:v>TEXT:SYN-F08-02-U01</x:v>
      </x:c>
      <x:c r="D436" s="10" t="str">
        <x:v>{"conditions":["4장 이내","대상 기간 전시 4주","외부 발송 없음","주말 운영 인력 12명 이하","참가업체 설명회용"],"data_source":"SYN-F08-02:D1@v1","goal":"봄길 지역전시 준비 운영 제안 발표자료 작성 위임","prior_task_action":"new","targets":["SYN-F08-02:D1@v1"]}</x:v>
      </x:c>
      <x:c r="E436" s="10" t="str">
        <x:v>{"conditions":["4장 이내","대상 기간 전시 4주","외부 발송 없음","주말 운영 인력 12명 이하","참가업체 설명회용"],"data_source":"SYN-F08-02:D1@v1","goal":"봄길 지역전시 준비 운영 제안 발표자료 작성 위임","prior_task_action":"new","targets":["SYN-F08-02:D1@v1"]}</x:v>
      </x:c>
      <x:c r="F436" s="10" t="n">
        <x:f>IF(D436=E436,1,0)</x:f>
        <x:v>1</x:v>
      </x:c>
      <x:c r="G436" s="10" t="str">
        <x:v>필수 의미와 지칭 집합 일치</x:v>
      </x:c>
    </x:row>
    <x:row r="437" ht="145" customHeight="1">
      <x:c r="A437" s="10" t="str">
        <x:v>T-REL</x:v>
      </x:c>
      <x:c r="B437" s="10" t="str">
        <x:v>TEXT</x:v>
      </x:c>
      <x:c r="C437" s="10" t="str">
        <x:v>TEXT:SYN-F08-02-U02</x:v>
      </x:c>
      <x:c r="D437" s="10" t="str">
        <x:v>{"conditions":["2문장","기존 발표자료 작성 유지","새 파일 생성 없음"],"data_source":"SYN-F08-02:D1@v1","goal":"확인한 자료의 초점 항목 별도 설명","prior_task_action":"keep","targets":["SYN-F08-02:D1@v1#focus"]}</x:v>
      </x:c>
      <x:c r="E437" s="10" t="str">
        <x:v>{"conditions":["2문장","기존 발표자료 작성 유지","새 파일 생성 없음"],"data_source":"SYN-F08-02:D1@v1","goal":"확인한 자료의 초점 항목 별도 설명","prior_task_action":"keep","targets":["SYN-F08-02:D1@v1#focus"]}</x:v>
      </x:c>
      <x:c r="F437" s="10" t="n">
        <x:f>IF(D437=E437,1,0)</x:f>
        <x:v>1</x:v>
      </x:c>
      <x:c r="G437" s="10" t="str">
        <x:v>필수 의미와 지칭 집합 일치</x:v>
      </x:c>
    </x:row>
    <x:row r="438" ht="145" customHeight="1">
      <x:c r="A438" s="10" t="str">
        <x:v>T-BASE</x:v>
      </x:c>
      <x:c r="B438" s="10" t="str">
        <x:v>TEXT</x:v>
      </x:c>
      <x:c r="C438" s="10" t="str">
        <x:v>TEXT:SYN-F08-03-U01</x:v>
      </x:c>
      <x:c r="D438" s="10" t="str">
        <x:v>{"conditions":["6장 이내","교육 승인위원회용","대상 기간 입사 후 3주","외부 발송 없음","참가자당 교육시간 18시간 이하"],"data_source":"SYN-F08-03:D3@v1","goal":"해온 신입교육 개편 교육 개편 발표자료 작성 위임","prior_task_action":"new","targets":["SYN-F08-03:D3@v1"]}</x:v>
      </x:c>
      <x:c r="E438" s="10" t="str">
        <x:v>{"conditions":["6장 이내","교육 승인위원회용","대상 기간 입사 후 3주","외부 발송 없음","참가자당 교육시간 18시간 이하"],"data_source":"SYN-F08-03:D3@v1","goal":"해온 신입교육 개편 교육 개편 발표자료 작성 위임","prior_task_action":"new","targets":["SYN-F08-03:D3@v1"]}</x:v>
      </x:c>
      <x:c r="F438" s="10" t="n">
        <x:f>IF(D438=E438,1,0)</x:f>
        <x:v>1</x:v>
      </x:c>
      <x:c r="G438" s="10" t="str">
        <x:v>필수 의미와 지칭 집합 일치</x:v>
      </x:c>
    </x:row>
    <x:row r="439" ht="145" customHeight="1">
      <x:c r="A439" s="10" t="str">
        <x:v>T-BASE</x:v>
      </x:c>
      <x:c r="B439" s="10" t="str">
        <x:v>TEXT</x:v>
      </x:c>
      <x:c r="C439" s="10" t="str">
        <x:v>TEXT:SYN-F08-03-U02</x:v>
      </x:c>
      <x:c r="D439" s="10" t="str">
        <x:v>{"conditions":["4문장","기존 발표자료 작성 유지","새 파일 생성 없음"],"data_source":"SYN-F08-03:D3@v1","goal":"확인한 자료의 초점 항목 별도 설명","prior_task_action":"keep","targets":["SYN-F08-03:D3@v1#focus"]}</x:v>
      </x:c>
      <x:c r="E439" s="10" t="str">
        <x:v>{"conditions":["4문장","기존 발표자료 작성 유지","새 파일 생성 없음"],"data_source":"SYN-F08-03:D3@v1","goal":"확인한 자료의 초점 항목 별도 설명","prior_task_action":"keep","targets":["SYN-F08-03:D3@v1#focus"]}</x:v>
      </x:c>
      <x:c r="F439" s="10" t="n">
        <x:f>IF(D439=E439,1,0)</x:f>
        <x:v>1</x:v>
      </x:c>
      <x:c r="G439" s="10" t="str">
        <x:v>필수 의미와 지칭 집합 일치</x:v>
      </x:c>
    </x:row>
    <x:row r="440" ht="145" customHeight="1">
      <x:c r="A440" s="10" t="str">
        <x:v>T-EXEC</x:v>
      </x:c>
      <x:c r="B440" s="10" t="str">
        <x:v>TEXT</x:v>
      </x:c>
      <x:c r="C440" s="10" t="str">
        <x:v>TEXT:SYN-F08-03-U01</x:v>
      </x:c>
      <x:c r="D440" s="10" t="str">
        <x:v>{"conditions":["6장 이내","교육 승인위원회용","대상 기간 입사 후 3주","외부 발송 없음","참가자당 교육시간 18시간 이하"],"data_source":"SYN-F08-03:D3@v1","goal":"해온 신입교육 개편 교육 개편 발표자료 작성 위임","prior_task_action":"new","targets":["SYN-F08-03:D3@v1"]}</x:v>
      </x:c>
      <x:c r="E440" s="10" t="str">
        <x:v>{"conditions":["6장 이내","교육 승인위원회용","대상 기간 입사 후 3주","외부 발송 없음","참가자당 교육시간 18시간 이하"],"data_source":"SYN-F08-03:D3@v1","goal":"해온 신입교육 개편 교육 개편 발표자료 작성 위임","prior_task_action":"new","targets":["SYN-F08-03:D3@v1"]}</x:v>
      </x:c>
      <x:c r="F440" s="10" t="n">
        <x:f>IF(D440=E440,1,0)</x:f>
        <x:v>1</x:v>
      </x:c>
      <x:c r="G440" s="10" t="str">
        <x:v>필수 의미와 지칭 집합 일치</x:v>
      </x:c>
    </x:row>
    <x:row r="441" ht="145" customHeight="1">
      <x:c r="A441" s="10" t="str">
        <x:v>T-EXEC</x:v>
      </x:c>
      <x:c r="B441" s="10" t="str">
        <x:v>TEXT</x:v>
      </x:c>
      <x:c r="C441" s="10" t="str">
        <x:v>TEXT:SYN-F08-03-U02</x:v>
      </x:c>
      <x:c r="D441" s="10" t="str">
        <x:v>{"conditions":["4문장","기존 발표자료 작성 유지","새 파일 생성 없음"],"data_source":"SYN-F08-03:D3@v1","goal":"확인한 자료의 초점 항목 별도 설명","prior_task_action":"keep","targets":["SYN-F08-03:D3@v1#focus"]}</x:v>
      </x:c>
      <x:c r="E441" s="10" t="str">
        <x:v>{"conditions":["4문장","기존 발표자료 작성 유지","새 파일 생성 없음"],"data_source":"SYN-F08-03:D3@v1","goal":"확인한 자료의 초점 항목 별도 설명","prior_task_action":"keep","targets":["SYN-F08-03:D3@v1#focus"]}</x:v>
      </x:c>
      <x:c r="F441" s="10" t="n">
        <x:f>IF(D441=E441,1,0)</x:f>
        <x:v>1</x:v>
      </x:c>
      <x:c r="G441" s="10" t="str">
        <x:v>필수 의미와 지칭 집합 일치</x:v>
      </x:c>
    </x:row>
    <x:row r="442" ht="145" customHeight="1">
      <x:c r="A442" s="10" t="str">
        <x:v>T-REL</x:v>
      </x:c>
      <x:c r="B442" s="10" t="str">
        <x:v>TEXT</x:v>
      </x:c>
      <x:c r="C442" s="10" t="str">
        <x:v>TEXT:SYN-F08-03-U01</x:v>
      </x:c>
      <x:c r="D442" s="10" t="str">
        <x:v>{"conditions":["6장 이내","교육 승인위원회용","대상 기간 입사 후 3주","외부 발송 없음","참가자당 교육시간 18시간 이하"],"data_source":"SYN-F08-03:D3@v1","goal":"해온 신입교육 개편 교육 개편 발표자료 작성 위임","prior_task_action":"new","targets":["SYN-F08-03:D3@v1"]}</x:v>
      </x:c>
      <x:c r="E442" s="10" t="str">
        <x:v>{"conditions":["6장 이내","교육 승인위원회용","대상 기간 입사 후 3주","외부 발송 없음","참가자당 교육시간 18시간 이하"],"data_source":"SYN-F08-03:D3@v1","goal":"해온 신입교육 개편 교육 개편 발표자료 작성 위임","prior_task_action":"new","targets":["SYN-F08-03:D3@v1"]}</x:v>
      </x:c>
      <x:c r="F442" s="10" t="n">
        <x:f>IF(D442=E442,1,0)</x:f>
        <x:v>1</x:v>
      </x:c>
      <x:c r="G442" s="10" t="str">
        <x:v>필수 의미와 지칭 집합 일치</x:v>
      </x:c>
    </x:row>
    <x:row r="443" ht="145" customHeight="1">
      <x:c r="A443" s="10" t="str">
        <x:v>T-REL</x:v>
      </x:c>
      <x:c r="B443" s="10" t="str">
        <x:v>TEXT</x:v>
      </x:c>
      <x:c r="C443" s="10" t="str">
        <x:v>TEXT:SYN-F08-03-U02</x:v>
      </x:c>
      <x:c r="D443" s="10" t="str">
        <x:v>{"conditions":["4문장","기존 발표자료 작성 유지","새 파일 생성 없음"],"data_source":"SYN-F08-03:D3@v1","goal":"확인한 자료의 초점 항목 별도 설명","prior_task_action":"keep","targets":["SYN-F08-03:D3@v1#focus"]}</x:v>
      </x:c>
      <x:c r="E443" s="10" t="str">
        <x:v>{"conditions":["4문장","기존 발표자료 작성 유지","새 파일 생성 없음"],"data_source":"SYN-F08-03:D3@v1","goal":"확인한 자료의 초점 항목 별도 설명","prior_task_action":"keep","targets":["SYN-F08-03:D3@v1#focus"]}</x:v>
      </x:c>
      <x:c r="F443" s="10" t="n">
        <x:f>IF(D443=E443,1,0)</x:f>
        <x:v>1</x:v>
      </x:c>
      <x:c r="G443" s="10" t="str">
        <x:v>필수 의미와 지칭 집합 일치</x:v>
      </x:c>
    </x:row>
    <x:row r="444" ht="145" customHeight="1">
      <x:c r="A444" s="10" t="str">
        <x:v>T-BASE</x:v>
      </x:c>
      <x:c r="B444" s="10" t="str">
        <x:v>TEXT</x:v>
      </x:c>
      <x:c r="C444" s="10" t="str">
        <x:v>TEXT:SYN-F08-04-U01</x:v>
      </x:c>
      <x:c r="D444" s="10" t="str">
        <x:v>{"conditions":["7장 이내","대상 기간 평일 20일","외부 발송 없음","일일 추가 운행 8회 이하","협력사 운영설명회용"],"data_source":"SYN-F08-04:D2@v1","goal":"라임 배송거점 개선 거점 개선 발표자료 작성 위임","prior_task_action":"new","targets":["SYN-F08-04:D2@v1"]}</x:v>
      </x:c>
      <x:c r="E444" s="10" t="str">
        <x:v>{"conditions":["7장 이내","대상 기간 평일 20일","외부 발송 없음","일일 추가 운행 8회 이하","협력사 운영설명회용"],"data_source":"SYN-F08-04:D2@v1","goal":"라임 배송거점 개선 거점 개선 발표자료 작성 위임","prior_task_action":"new","targets":["SYN-F08-04:D2@v1"]}</x:v>
      </x:c>
      <x:c r="F444" s="10" t="n">
        <x:f>IF(D444=E444,1,0)</x:f>
        <x:v>1</x:v>
      </x:c>
      <x:c r="G444" s="10" t="str">
        <x:v>필수 의미와 지칭 집합 일치</x:v>
      </x:c>
    </x:row>
    <x:row r="445" ht="145" customHeight="1">
      <x:c r="A445" s="10" t="str">
        <x:v>T-BASE</x:v>
      </x:c>
      <x:c r="B445" s="10" t="str">
        <x:v>TEXT</x:v>
      </x:c>
      <x:c r="C445" s="10" t="str">
        <x:v>TEXT:SYN-F08-04-U02</x:v>
      </x:c>
      <x:c r="D445" s="10" t="str">
        <x:v>{"conditions":["3문장","기존 발표자료 작성 유지","새 파일 생성 없음"],"data_source":"SYN-F08-04:D2@v1","goal":"확인한 자료의 초점 항목 별도 설명","prior_task_action":"keep","targets":["SYN-F08-04:D2@v1#focus"]}</x:v>
      </x:c>
      <x:c r="E445" s="10" t="str">
        <x:v>{"conditions":["3문장","기존 발표자료 작성 유지","새 파일 생성 없음"],"data_source":"SYN-F08-04:D2@v1","goal":"확인한 자료의 초점 항목 별도 설명","prior_task_action":"keep","targets":["SYN-F08-04:D2@v1#focus"]}</x:v>
      </x:c>
      <x:c r="F445" s="10" t="n">
        <x:f>IF(D445=E445,1,0)</x:f>
        <x:v>1</x:v>
      </x:c>
      <x:c r="G445" s="10" t="str">
        <x:v>필수 의미와 지칭 집합 일치</x:v>
      </x:c>
    </x:row>
    <x:row r="446" ht="145" customHeight="1">
      <x:c r="A446" s="10" t="str">
        <x:v>T-EXEC</x:v>
      </x:c>
      <x:c r="B446" s="10" t="str">
        <x:v>TEXT</x:v>
      </x:c>
      <x:c r="C446" s="10" t="str">
        <x:v>TEXT:SYN-F08-04-U01</x:v>
      </x:c>
      <x:c r="D446" s="10" t="str">
        <x:v>{"conditions":["7장 이내","대상 기간 평일 20일","외부 발송 없음","일일 추가 운행 8회 이하","협력사 운영설명회용"],"data_source":"SYN-F08-04:D2@v1","goal":"라임 배송거점 개선 거점 개선 발표자료 작성 위임","prior_task_action":"new","targets":["SYN-F08-04:D2@v1"]}</x:v>
      </x:c>
      <x:c r="E446" s="10" t="str">
        <x:v>{"conditions":["7장 이내","대상 기간 평일 20일","외부 발송 없음","일일 추가 운행 8회 이하","협력사 운영설명회용"],"data_source":"SYN-F08-04:D2@v1","goal":"라임 배송거점 개선 거점 개선 발표자료 작성 위임","prior_task_action":"new","targets":["SYN-F08-04:D2@v1"]}</x:v>
      </x:c>
      <x:c r="F446" s="10" t="n">
        <x:f>IF(D446=E446,1,0)</x:f>
        <x:v>1</x:v>
      </x:c>
      <x:c r="G446" s="10" t="str">
        <x:v>필수 의미와 지칭 집합 일치</x:v>
      </x:c>
    </x:row>
    <x:row r="447" ht="145" customHeight="1">
      <x:c r="A447" s="10" t="str">
        <x:v>T-EXEC</x:v>
      </x:c>
      <x:c r="B447" s="10" t="str">
        <x:v>TEXT</x:v>
      </x:c>
      <x:c r="C447" s="10" t="str">
        <x:v>TEXT:SYN-F08-04-U02</x:v>
      </x:c>
      <x:c r="D447" s="10" t="str">
        <x:v>{"conditions":["3문장","기존 발표자료 작성 유지","새 파일 생성 없음"],"data_source":"SYN-F08-04:D2@v1","goal":"확인한 자료의 초점 항목 별도 설명","prior_task_action":"keep","targets":["SYN-F08-04:D2@v1#focus"]}</x:v>
      </x:c>
      <x:c r="E447" s="10" t="str">
        <x:v>{"conditions":["3문장","기존 발표자료 작성 유지","새 파일 생성 없음"],"data_source":"SYN-F08-04:D2@v1","goal":"확인한 자료의 초점 항목 별도 설명","prior_task_action":"keep","targets":["SYN-F08-04:D2@v1#focus"]}</x:v>
      </x:c>
      <x:c r="F447" s="10" t="n">
        <x:f>IF(D447=E447,1,0)</x:f>
        <x:v>1</x:v>
      </x:c>
      <x:c r="G447" s="10" t="str">
        <x:v>필수 의미와 지칭 집합 일치</x:v>
      </x:c>
    </x:row>
    <x:row r="448" ht="145" customHeight="1">
      <x:c r="A448" s="10" t="str">
        <x:v>T-REL</x:v>
      </x:c>
      <x:c r="B448" s="10" t="str">
        <x:v>TEXT</x:v>
      </x:c>
      <x:c r="C448" s="10" t="str">
        <x:v>TEXT:SYN-F08-04-U01</x:v>
      </x:c>
      <x:c r="D448" s="10" t="str">
        <x:v>{"conditions":["7장 이내","대상 기간 평일 20일","외부 발송 없음","일일 추가 운행 8회 이하","협력사 운영설명회용"],"data_source":"SYN-F08-04:D2@v1","goal":"라임 배송거점 개선 거점 개선 발표자료 작성 위임","prior_task_action":"new","targets":["SYN-F08-04:D2@v1"]}</x:v>
      </x:c>
      <x:c r="E448" s="10" t="str">
        <x:v>{"conditions":["7장 이내","대상 기간 평일 20일","외부 발송 없음","일일 추가 운행 8회 이하","협력사 운영설명회용"],"data_source":"SYN-F08-04:D2@v1","goal":"라임 배송거점 개선 거점 개선 발표자료 작성 위임","prior_task_action":"new","targets":["SYN-F08-04:D2@v1"]}</x:v>
      </x:c>
      <x:c r="F448" s="10" t="n">
        <x:f>IF(D448=E448,1,0)</x:f>
        <x:v>1</x:v>
      </x:c>
      <x:c r="G448" s="10" t="str">
        <x:v>필수 의미와 지칭 집합 일치</x:v>
      </x:c>
    </x:row>
    <x:row r="449" ht="145" customHeight="1">
      <x:c r="A449" s="10" t="str">
        <x:v>T-REL</x:v>
      </x:c>
      <x:c r="B449" s="10" t="str">
        <x:v>TEXT</x:v>
      </x:c>
      <x:c r="C449" s="10" t="str">
        <x:v>TEXT:SYN-F08-04-U02</x:v>
      </x:c>
      <x:c r="D449" s="10" t="str">
        <x:v>{"conditions":["3문장","기존 발표자료 작성 유지","새 파일 생성 없음"],"data_source":"SYN-F08-04:D2@v1","goal":"확인한 자료의 초점 항목 별도 설명","prior_task_action":"keep","targets":["SYN-F08-04:D2@v1#focus"]}</x:v>
      </x:c>
      <x:c r="E449" s="10" t="str">
        <x:v>{"conditions":["3문장","기존 발표자료 작성 유지","새 파일 생성 없음"],"data_source":"SYN-F08-04:D2@v1","goal":"확인한 자료의 초점 항목 별도 설명","prior_task_action":"keep","targets":["SYN-F08-04:D2@v1#focus"]}</x:v>
      </x:c>
      <x:c r="F449" s="10" t="n">
        <x:f>IF(D449=E449,1,0)</x:f>
        <x:v>1</x:v>
      </x:c>
      <x:c r="G449" s="10" t="str">
        <x:v>필수 의미와 지칭 집합 일치</x:v>
      </x:c>
    </x:row>
    <x:row r="450" ht="145" customHeight="1">
      <x:c r="A450" s="10" t="str">
        <x:v>T-BASE</x:v>
      </x:c>
      <x:c r="B450" s="10" t="str">
        <x:v>TEXT</x:v>
      </x:c>
      <x:c r="C450" s="10" t="str">
        <x:v>TEXT:SYN-F08-05-U01</x:v>
      </x:c>
      <x:c r="D450" s="10" t="str">
        <x:v>{"conditions":["5장 이내","대상 기간 교체 후 6개월","외부 발송 없음","입주사 설명회용","층별 정전 30분 이하"],"data_source":"SYN-F08-05:D1@v1","goal":"가온 사무실 조명교체 조명 교체 검토자료 작성 위임","prior_task_action":"new","targets":["SYN-F08-05:D1@v1"]}</x:v>
      </x:c>
      <x:c r="E450" s="10" t="str">
        <x:v>{"conditions":["5장 이내","대상 기간 교체 후 6개월","외부 발송 없음","입주사 설명회용","층별 정전 30분 이하"],"data_source":"SYN-F08-05:D1@v1","goal":"가온 사무실 조명교체 조명 교체 검토자료 작성 위임","prior_task_action":"new","targets":["SYN-F08-05:D1@v1"]}</x:v>
      </x:c>
      <x:c r="F450" s="10" t="n">
        <x:f>IF(D450=E450,1,0)</x:f>
        <x:v>1</x:v>
      </x:c>
      <x:c r="G450" s="10" t="str">
        <x:v>필수 의미와 지칭 집합 일치</x:v>
      </x:c>
    </x:row>
    <x:row r="451" ht="145" customHeight="1">
      <x:c r="A451" s="10" t="str">
        <x:v>T-BASE</x:v>
      </x:c>
      <x:c r="B451" s="10" t="str">
        <x:v>TEXT</x:v>
      </x:c>
      <x:c r="C451" s="10" t="str">
        <x:v>TEXT:SYN-F08-05-U02</x:v>
      </x:c>
      <x:c r="D451" s="10" t="str">
        <x:v>{"conditions":["2문장","기존 발표자료 작성 유지","새 파일 생성 없음"],"data_source":"SYN-F08-05:D1@v1","goal":"확인한 자료의 초점 항목 별도 설명","prior_task_action":"keep","targets":["SYN-F08-05:D1@v1#focus"]}</x:v>
      </x:c>
      <x:c r="E451" s="10" t="str">
        <x:v>{"conditions":["2문장","기존 발표자료 작성 유지","새 파일 생성 없음"],"data_source":"SYN-F08-05:D1@v1","goal":"확인한 자료의 초점 항목 별도 설명","prior_task_action":"keep","targets":["SYN-F08-05:D1@v1#focus"]}</x:v>
      </x:c>
      <x:c r="F451" s="10" t="n">
        <x:f>IF(D451=E451,1,0)</x:f>
        <x:v>1</x:v>
      </x:c>
      <x:c r="G451" s="10" t="str">
        <x:v>필수 의미와 지칭 집합 일치</x:v>
      </x:c>
    </x:row>
    <x:row r="452" ht="145" customHeight="1">
      <x:c r="A452" s="10" t="str">
        <x:v>T-EXEC</x:v>
      </x:c>
      <x:c r="B452" s="10" t="str">
        <x:v>TEXT</x:v>
      </x:c>
      <x:c r="C452" s="10" t="str">
        <x:v>TEXT:SYN-F08-05-U01</x:v>
      </x:c>
      <x:c r="D452" s="10" t="str">
        <x:v>{"conditions":["5장 이내","대상 기간 교체 후 6개월","외부 발송 없음","입주사 설명회용","층별 정전 30분 이하"],"data_source":"SYN-F08-05:D1@v1","goal":"가온 사무실 조명교체 조명 교체 검토자료 작성 위임","prior_task_action":"new","targets":["SYN-F08-05:D1@v1"]}</x:v>
      </x:c>
      <x:c r="E452" s="10" t="str">
        <x:v>{"conditions":["5장 이내","대상 기간 교체 후 6개월","외부 발송 없음","입주사 설명회용","층별 정전 30분 이하"],"data_source":"SYN-F08-05:D1@v1","goal":"가온 사무실 조명교체 조명 교체 검토자료 작성 위임","prior_task_action":"new","targets":["SYN-F08-05:D1@v1"]}</x:v>
      </x:c>
      <x:c r="F452" s="10" t="n">
        <x:f>IF(D452=E452,1,0)</x:f>
        <x:v>1</x:v>
      </x:c>
      <x:c r="G452" s="10" t="str">
        <x:v>필수 의미와 지칭 집합 일치</x:v>
      </x:c>
    </x:row>
    <x:row r="453" ht="145" customHeight="1">
      <x:c r="A453" s="10" t="str">
        <x:v>T-EXEC</x:v>
      </x:c>
      <x:c r="B453" s="10" t="str">
        <x:v>TEXT</x:v>
      </x:c>
      <x:c r="C453" s="10" t="str">
        <x:v>TEXT:SYN-F08-05-U02</x:v>
      </x:c>
      <x:c r="D453" s="10" t="str">
        <x:v>{"conditions":["2문장","기존 발표자료 작성 유지","새 파일 생성 없음"],"data_source":"SYN-F08-05:D1@v1","goal":"확인한 자료의 초점 항목 별도 설명","prior_task_action":"keep","targets":["SYN-F08-05:D1@v1#focus"]}</x:v>
      </x:c>
      <x:c r="E453" s="10" t="str">
        <x:v>{"conditions":["2문장","기존 발표자료 작성 유지","새 파일 생성 없음"],"data_source":"SYN-F08-05:D1@v1","goal":"확인한 자료의 초점 항목 별도 설명","prior_task_action":"keep","targets":["SYN-F08-05:D1@v1#focus"]}</x:v>
      </x:c>
      <x:c r="F453" s="10" t="n">
        <x:f>IF(D453=E453,1,0)</x:f>
        <x:v>1</x:v>
      </x:c>
      <x:c r="G453" s="10" t="str">
        <x:v>필수 의미와 지칭 집합 일치</x:v>
      </x:c>
    </x:row>
    <x:row r="454" ht="145" customHeight="1">
      <x:c r="A454" s="10" t="str">
        <x:v>T-REL</x:v>
      </x:c>
      <x:c r="B454" s="10" t="str">
        <x:v>TEXT</x:v>
      </x:c>
      <x:c r="C454" s="10" t="str">
        <x:v>TEXT:SYN-F08-05-U01</x:v>
      </x:c>
      <x:c r="D454" s="10" t="str">
        <x:v>{"conditions":["5장 이내","대상 기간 교체 후 6개월","외부 발송 없음","입주사 설명회용","층별 정전 30분 이하"],"data_source":"SYN-F08-05:D1@v1","goal":"가온 사무실 조명교체 조명 교체 검토자료 작성 위임","prior_task_action":"new","targets":["SYN-F08-05:D1@v1"]}</x:v>
      </x:c>
      <x:c r="E454" s="10" t="str">
        <x:v>{"conditions":["5장 이내","대상 기간 교체 후 6개월","외부 발송 없음","입주사 설명회용","층별 정전 30분 이하"],"data_source":"SYN-F08-05:D1@v1","goal":"가온 사무실 조명교체 조명 교체 검토자료 작성 위임","prior_task_action":"new","targets":["SYN-F08-05:D1@v1"]}</x:v>
      </x:c>
      <x:c r="F454" s="10" t="n">
        <x:f>IF(D454=E454,1,0)</x:f>
        <x:v>1</x:v>
      </x:c>
      <x:c r="G454" s="10" t="str">
        <x:v>필수 의미와 지칭 집합 일치</x:v>
      </x:c>
    </x:row>
    <x:row r="455" ht="145" customHeight="1">
      <x:c r="A455" s="10" t="str">
        <x:v>T-REL</x:v>
      </x:c>
      <x:c r="B455" s="10" t="str">
        <x:v>TEXT</x:v>
      </x:c>
      <x:c r="C455" s="10" t="str">
        <x:v>TEXT:SYN-F08-05-U02</x:v>
      </x:c>
      <x:c r="D455" s="10" t="str">
        <x:v>{"conditions":["2문장","기존 발표자료 작성 유지","새 파일 생성 없음"],"data_source":"SYN-F08-05:D1@v1","goal":"확인한 자료의 초점 항목 별도 설명","prior_task_action":"keep","targets":["SYN-F08-05:D1@v1#focus"]}</x:v>
      </x:c>
      <x:c r="E455" s="10" t="str">
        <x:v>{"conditions":["2문장","기존 발표자료 작성 유지","새 파일 생성 없음"],"data_source":"SYN-F08-05:D1@v1","goal":"확인한 자료의 초점 항목 별도 설명","prior_task_action":"keep","targets":["SYN-F08-05:D1@v1#focus"]}</x:v>
      </x:c>
      <x:c r="F455" s="10" t="n">
        <x:f>IF(D455=E455,1,0)</x:f>
        <x:v>1</x:v>
      </x:c>
      <x:c r="G455" s="10" t="str">
        <x:v>필수 의미와 지칭 집합 일치</x:v>
      </x:c>
    </x:row>
    <x:row r="456" ht="145" customHeight="1">
      <x:c r="A456" s="10" t="str">
        <x:v>T-BASE</x:v>
      </x:c>
      <x:c r="B456" s="10" t="str">
        <x:v>TEXT</x:v>
      </x:c>
      <x:c r="C456" s="10" t="str">
        <x:v>TEXT:SYN-F08-06-U01</x:v>
      </x:c>
      <x:c r="D456" s="10" t="str">
        <x:v>{"conditions":["8장 이내","대상 기간 행사 2일","외부 발송 없음","참여기업 안내회용","현장 대기 20분 이하"],"data_source":"SYN-F08-06:D3@v1","goal":"별빛 채용행사 준비 행사 운영 발표자료 작성 위임","prior_task_action":"new","targets":["SYN-F08-06:D3@v1"]}</x:v>
      </x:c>
      <x:c r="E456" s="10" t="str">
        <x:v>{"conditions":["8장 이내","대상 기간 행사 2일","외부 발송 없음","참여기업 안내회용","현장 대기 20분 이하"],"data_source":"SYN-F08-06:D3@v1","goal":"별빛 채용행사 준비 행사 운영 발표자료 작성 위임","prior_task_action":"new","targets":["SYN-F08-06:D3@v1"]}</x:v>
      </x:c>
      <x:c r="F456" s="10" t="n">
        <x:f>IF(D456=E456,1,0)</x:f>
        <x:v>1</x:v>
      </x:c>
      <x:c r="G456" s="10" t="str">
        <x:v>필수 의미와 지칭 집합 일치</x:v>
      </x:c>
    </x:row>
    <x:row r="457" ht="145" customHeight="1">
      <x:c r="A457" s="10" t="str">
        <x:v>T-BASE</x:v>
      </x:c>
      <x:c r="B457" s="10" t="str">
        <x:v>TEXT</x:v>
      </x:c>
      <x:c r="C457" s="10" t="str">
        <x:v>TEXT:SYN-F08-06-U02</x:v>
      </x:c>
      <x:c r="D457" s="10" t="str">
        <x:v>{"conditions":["4문장","기존 발표자료 작성 유지","새 파일 생성 없음"],"data_source":"SYN-F08-06:D3@v1","goal":"확인한 자료의 초점 항목 별도 설명","prior_task_action":"keep","targets":["SYN-F08-06:D3@v1#focus"]}</x:v>
      </x:c>
      <x:c r="E457" s="10" t="str">
        <x:v>{"conditions":["4문장","기존 발표자료 작성 유지","새 파일 생성 없음"],"data_source":"SYN-F08-06:D3@v1","goal":"확인한 자료의 초점 항목 별도 설명","prior_task_action":"keep","targets":["SYN-F08-06:D3@v1#focus"]}</x:v>
      </x:c>
      <x:c r="F457" s="10" t="n">
        <x:f>IF(D457=E457,1,0)</x:f>
        <x:v>1</x:v>
      </x:c>
      <x:c r="G457" s="10" t="str">
        <x:v>필수 의미와 지칭 집합 일치</x:v>
      </x:c>
    </x:row>
    <x:row r="458" ht="145" customHeight="1">
      <x:c r="A458" s="10" t="str">
        <x:v>T-EXEC</x:v>
      </x:c>
      <x:c r="B458" s="10" t="str">
        <x:v>TEXT</x:v>
      </x:c>
      <x:c r="C458" s="10" t="str">
        <x:v>TEXT:SYN-F08-06-U01</x:v>
      </x:c>
      <x:c r="D458" s="10" t="str">
        <x:v>{"conditions":["8장 이내","대상 기간 행사 2일","외부 발송 없음","참여기업 안내회용","현장 대기 20분 이하"],"data_source":"SYN-F08-06:D3@v1","goal":"별빛 채용행사 준비 행사 운영 발표자료 작성 위임","prior_task_action":"new","targets":["SYN-F08-06:D3@v1"]}</x:v>
      </x:c>
      <x:c r="E458" s="10" t="str">
        <x:v>{"conditions":["8장 이내","대상 기간 행사 2일","외부 발송 없음","참여기업 안내회용","현장 대기 20분 이하"],"data_source":"SYN-F08-06:D3@v1","goal":"별빛 채용행사 준비 행사 운영 발표자료 작성 위임","prior_task_action":"new","targets":["SYN-F08-06:D3@v1"]}</x:v>
      </x:c>
      <x:c r="F458" s="10" t="n">
        <x:f>IF(D458=E458,1,0)</x:f>
        <x:v>1</x:v>
      </x:c>
      <x:c r="G458" s="10" t="str">
        <x:v>필수 의미와 지칭 집합 일치</x:v>
      </x:c>
    </x:row>
    <x:row r="459" ht="145" customHeight="1">
      <x:c r="A459" s="10" t="str">
        <x:v>T-EXEC</x:v>
      </x:c>
      <x:c r="B459" s="10" t="str">
        <x:v>TEXT</x:v>
      </x:c>
      <x:c r="C459" s="10" t="str">
        <x:v>TEXT:SYN-F08-06-U02</x:v>
      </x:c>
      <x:c r="D459" s="10" t="str">
        <x:v>{"conditions":["4문장","기존 발표자료 작성 유지","새 파일 생성 없음"],"data_source":"SYN-F08-06:D3@v1","goal":"확인한 자료의 초점 항목 별도 설명","prior_task_action":"keep","targets":["SYN-F08-06:D3@v1#focus"]}</x:v>
      </x:c>
      <x:c r="E459" s="10" t="str">
        <x:v>{"conditions":["4문장","기존 발표자료 작성 유지","새 파일 생성 없음"],"data_source":"SYN-F08-06:D3@v1","goal":"확인한 자료의 초점 항목 별도 설명","prior_task_action":"keep","targets":["SYN-F08-06:D3@v1#focus"]}</x:v>
      </x:c>
      <x:c r="F459" s="10" t="n">
        <x:f>IF(D459=E459,1,0)</x:f>
        <x:v>1</x:v>
      </x:c>
      <x:c r="G459" s="10" t="str">
        <x:v>필수 의미와 지칭 집합 일치</x:v>
      </x:c>
    </x:row>
    <x:row r="460" ht="145" customHeight="1">
      <x:c r="A460" s="10" t="str">
        <x:v>T-REL</x:v>
      </x:c>
      <x:c r="B460" s="10" t="str">
        <x:v>TEXT</x:v>
      </x:c>
      <x:c r="C460" s="10" t="str">
        <x:v>TEXT:SYN-F08-06-U01</x:v>
      </x:c>
      <x:c r="D460" s="10" t="str">
        <x:v>{"conditions":["8장 이내","대상 기간 행사 2일","외부 발송 없음","참여기업 안내회용","현장 대기 20분 이하"],"data_source":"SYN-F08-06:D3@v1","goal":"별빛 채용행사 준비 행사 운영 발표자료 작성 위임","prior_task_action":"new","targets":["SYN-F08-06:D3@v1"]}</x:v>
      </x:c>
      <x:c r="E460" s="10" t="str">
        <x:v>{"conditions":["8장 이내","대상 기간 행사 2일","외부 발송 없음","참여기업 안내회용","현장 대기 20분 이하"],"data_source":"SYN-F08-06:D3@v1","goal":"별빛 채용행사 준비 행사 운영 발표자료 작성 위임","prior_task_action":"new","targets":["SYN-F08-06:D3@v1"]}</x:v>
      </x:c>
      <x:c r="F460" s="10" t="n">
        <x:f>IF(D460=E460,1,0)</x:f>
        <x:v>1</x:v>
      </x:c>
      <x:c r="G460" s="10" t="str">
        <x:v>필수 의미와 지칭 집합 일치</x:v>
      </x:c>
    </x:row>
    <x:row r="461" ht="145" customHeight="1">
      <x:c r="A461" s="10" t="str">
        <x:v>T-REL</x:v>
      </x:c>
      <x:c r="B461" s="10" t="str">
        <x:v>TEXT</x:v>
      </x:c>
      <x:c r="C461" s="10" t="str">
        <x:v>TEXT:SYN-F08-06-U02</x:v>
      </x:c>
      <x:c r="D461" s="10" t="str">
        <x:v>{"conditions":["4문장","기존 발표자료 작성 유지","새 파일 생성 없음"],"data_source":"SYN-F08-06:D3@v1","goal":"확인한 자료의 초점 항목 별도 설명","prior_task_action":"keep","targets":["SYN-F08-06:D3@v1#focus"]}</x:v>
      </x:c>
      <x:c r="E461" s="10" t="str">
        <x:v>{"conditions":["4문장","기존 발표자료 작성 유지","새 파일 생성 없음"],"data_source":"SYN-F08-06:D3@v1","goal":"확인한 자료의 초점 항목 별도 설명","prior_task_action":"keep","targets":["SYN-F08-06:D3@v1#focus"]}</x:v>
      </x:c>
      <x:c r="F461" s="10" t="n">
        <x:f>IF(D461=E461,1,0)</x:f>
        <x:v>1</x:v>
      </x:c>
      <x:c r="G461" s="10" t="str">
        <x:v>필수 의미와 지칭 집합 일치</x:v>
      </x:c>
    </x:row>
    <x:row r="462" ht="145" customHeight="1">
      <x:c r="A462" s="10" t="str">
        <x:v>T-BASE</x:v>
      </x:c>
      <x:c r="B462" s="10" t="str">
        <x:v>TEXT</x:v>
      </x:c>
      <x:c r="C462" s="10" t="str">
        <x:v>TEXT:SYN-F08-07-U01</x:v>
      </x:c>
      <x:c r="D462" s="10" t="str">
        <x:v>{"conditions":["6장 이내","납품처 품질설명회용","대상 기간 다음 8주","샘플 검사 45분 이하","외부 발송 없음"],"data_source":"SYN-F08-07:D2@v1","goal":"청솔 부품검사 개선 검사 개선 발표자료 작성 위임","prior_task_action":"new","targets":["SYN-F08-07:D2@v1"]}</x:v>
      </x:c>
      <x:c r="E462" s="10" t="str">
        <x:v>{"conditions":["6장 이내","납품처 품질설명회용","대상 기간 다음 8주","샘플 검사 45분 이하","외부 발송 없음"],"data_source":"SYN-F08-07:D2@v1","goal":"청솔 부품검사 개선 검사 개선 발표자료 작성 위임","prior_task_action":"new","targets":["SYN-F08-07:D2@v1"]}</x:v>
      </x:c>
      <x:c r="F462" s="10" t="n">
        <x:f>IF(D462=E462,1,0)</x:f>
        <x:v>1</x:v>
      </x:c>
      <x:c r="G462" s="10" t="str">
        <x:v>필수 의미와 지칭 집합 일치</x:v>
      </x:c>
    </x:row>
    <x:row r="463" ht="145" customHeight="1">
      <x:c r="A463" s="10" t="str">
        <x:v>T-BASE</x:v>
      </x:c>
      <x:c r="B463" s="10" t="str">
        <x:v>TEXT</x:v>
      </x:c>
      <x:c r="C463" s="10" t="str">
        <x:v>TEXT:SYN-F08-07-U02</x:v>
      </x:c>
      <x:c r="D463" s="10" t="str">
        <x:v>{"conditions":["3문장","기존 발표자료 작성 유지","새 파일 생성 없음"],"data_source":"SYN-F08-07:D2@v1","goal":"확인한 자료의 초점 항목 별도 설명","prior_task_action":"keep","targets":["SYN-F08-07:D2@v1#focus"]}</x:v>
      </x:c>
      <x:c r="E463" s="10" t="str">
        <x:v>{"conditions":["3문장","기존 발표자료 작성 유지","새 파일 생성 없음"],"data_source":"SYN-F08-07:D2@v1","goal":"확인한 자료의 초점 항목 별도 설명","prior_task_action":"keep","targets":["SYN-F08-07:D2@v1#focus"]}</x:v>
      </x:c>
      <x:c r="F463" s="10" t="n">
        <x:f>IF(D463=E463,1,0)</x:f>
        <x:v>1</x:v>
      </x:c>
      <x:c r="G463" s="10" t="str">
        <x:v>필수 의미와 지칭 집합 일치</x:v>
      </x:c>
    </x:row>
    <x:row r="464" ht="145" customHeight="1">
      <x:c r="A464" s="10" t="str">
        <x:v>T-EXEC</x:v>
      </x:c>
      <x:c r="B464" s="10" t="str">
        <x:v>TEXT</x:v>
      </x:c>
      <x:c r="C464" s="10" t="str">
        <x:v>TEXT:SYN-F08-07-U01</x:v>
      </x:c>
      <x:c r="D464" s="10" t="str">
        <x:v>{"conditions":["6장 이내","납품처 품질설명회용","대상 기간 다음 8주","샘플 검사 45분 이하","외부 발송 없음"],"data_source":"SYN-F08-07:D2@v1","goal":"청솔 부품검사 개선 검사 개선 발표자료 작성 위임","prior_task_action":"new","targets":["SYN-F08-07:D2@v1"]}</x:v>
      </x:c>
      <x:c r="E464" s="10" t="str">
        <x:v>{"conditions":["6장 이내","납품처 품질설명회용","대상 기간 다음 8주","샘플 검사 45분 이하","외부 발송 없음"],"data_source":"SYN-F08-07:D2@v1","goal":"청솔 부품검사 개선 검사 개선 발표자료 작성 위임","prior_task_action":"new","targets":["SYN-F08-07:D2@v1"]}</x:v>
      </x:c>
      <x:c r="F464" s="10" t="n">
        <x:f>IF(D464=E464,1,0)</x:f>
        <x:v>1</x:v>
      </x:c>
      <x:c r="G464" s="10" t="str">
        <x:v>필수 의미와 지칭 집합 일치</x:v>
      </x:c>
    </x:row>
    <x:row r="465" ht="145" customHeight="1">
      <x:c r="A465" s="10" t="str">
        <x:v>T-EXEC</x:v>
      </x:c>
      <x:c r="B465" s="10" t="str">
        <x:v>TEXT</x:v>
      </x:c>
      <x:c r="C465" s="10" t="str">
        <x:v>TEXT:SYN-F08-07-U02</x:v>
      </x:c>
      <x:c r="D465" s="10" t="str">
        <x:v>{"conditions":["3문장","기존 발표자료 작성 유지","새 파일 생성 없음"],"data_source":"SYN-F08-07:D2@v1","goal":"확인한 자료의 초점 항목 별도 설명","prior_task_action":"keep","targets":["SYN-F08-07:D2@v1#focus"]}</x:v>
      </x:c>
      <x:c r="E465" s="10" t="str">
        <x:v>{"conditions":["3문장","기존 발표자료 작성 유지","새 파일 생성 없음"],"data_source":"SYN-F08-07:D2@v1","goal":"확인한 자료의 초점 항목 별도 설명","prior_task_action":"keep","targets":["SYN-F08-07:D2@v1#focus"]}</x:v>
      </x:c>
      <x:c r="F465" s="10" t="n">
        <x:f>IF(D465=E465,1,0)</x:f>
        <x:v>1</x:v>
      </x:c>
      <x:c r="G465" s="10" t="str">
        <x:v>필수 의미와 지칭 집합 일치</x:v>
      </x:c>
    </x:row>
    <x:row r="466" ht="145" customHeight="1">
      <x:c r="A466" s="10" t="str">
        <x:v>T-REL</x:v>
      </x:c>
      <x:c r="B466" s="10" t="str">
        <x:v>TEXT</x:v>
      </x:c>
      <x:c r="C466" s="10" t="str">
        <x:v>TEXT:SYN-F08-07-U01</x:v>
      </x:c>
      <x:c r="D466" s="10" t="str">
        <x:v>{"conditions":["6장 이내","납품처 품질설명회용","대상 기간 다음 8주","샘플 검사 45분 이하","외부 발송 없음"],"data_source":"SYN-F08-07:D2@v1","goal":"청솔 부품검사 개선 검사 개선 발표자료 작성 위임","prior_task_action":"new","targets":["SYN-F08-07:D2@v1"]}</x:v>
      </x:c>
      <x:c r="E466" s="10" t="str">
        <x:v>{"conditions":["6장 이내","납품처 품질설명회용","대상 기간 다음 8주","샘플 검사 45분 이하","외부 발송 없음"],"data_source":"SYN-F08-07:D2@v1","goal":"청솔 부품검사 개선 검사 개선 발표자료 작성 위임","prior_task_action":"new","targets":["SYN-F08-07:D2@v1"]}</x:v>
      </x:c>
      <x:c r="F466" s="10" t="n">
        <x:f>IF(D466=E466,1,0)</x:f>
        <x:v>1</x:v>
      </x:c>
      <x:c r="G466" s="10" t="str">
        <x:v>필수 의미와 지칭 집합 일치</x:v>
      </x:c>
    </x:row>
    <x:row r="467" ht="145" customHeight="1">
      <x:c r="A467" s="10" t="str">
        <x:v>T-REL</x:v>
      </x:c>
      <x:c r="B467" s="10" t="str">
        <x:v>TEXT</x:v>
      </x:c>
      <x:c r="C467" s="10" t="str">
        <x:v>TEXT:SYN-F08-07-U02</x:v>
      </x:c>
      <x:c r="D467" s="10" t="str">
        <x:v>{"conditions":["3문장","기존 발표자료 작성 유지","새 파일 생성 없음"],"data_source":"SYN-F08-07:D2@v1","goal":"확인한 자료의 초점 항목 별도 설명","prior_task_action":"keep","targets":["SYN-F08-07:D2@v1#focus"]}</x:v>
      </x:c>
      <x:c r="E467" s="10" t="str">
        <x:v>{"conditions":["3문장","기존 발표자료 작성 유지","새 파일 생성 없음"],"data_source":"SYN-F08-07:D2@v1","goal":"확인한 자료의 초점 항목 별도 설명","prior_task_action":"keep","targets":["SYN-F08-07:D2@v1#focus"]}</x:v>
      </x:c>
      <x:c r="F467" s="10" t="n">
        <x:f>IF(D467=E467,1,0)</x:f>
        <x:v>1</x:v>
      </x:c>
      <x:c r="G467" s="10" t="str">
        <x:v>필수 의미와 지칭 집합 일치</x:v>
      </x:c>
    </x:row>
    <x:row r="468" ht="145" customHeight="1">
      <x:c r="A468" s="10" t="str">
        <x:v>T-BASE</x:v>
      </x:c>
      <x:c r="B468" s="10" t="str">
        <x:v>TEXT</x:v>
      </x:c>
      <x:c r="C468" s="10" t="str">
        <x:v>TEXT:SYN-F08-08-U01</x:v>
      </x:c>
      <x:c r="D468" s="10" t="str">
        <x:v>{"conditions":["4장 이내","대상 기간 운영 5주","안내문 500자 이하","외부 발송 없음","지역 파트너 설명회용"],"data_source":"SYN-F08-08:D1@v1","goal":"노을 서비스 캠페인 캠페인 계획 발표자료 작성 위임","prior_task_action":"new","targets":["SYN-F08-08:D1@v1"]}</x:v>
      </x:c>
      <x:c r="E468" s="10" t="str">
        <x:v>{"conditions":["4장 이내","대상 기간 운영 5주","안내문 500자 이하","외부 발송 없음","지역 파트너 설명회용"],"data_source":"SYN-F08-08:D1@v1","goal":"노을 서비스 캠페인 캠페인 계획 발표자료 작성 위임","prior_task_action":"new","targets":["SYN-F08-08:D1@v1"]}</x:v>
      </x:c>
      <x:c r="F468" s="10" t="n">
        <x:f>IF(D468=E468,1,0)</x:f>
        <x:v>1</x:v>
      </x:c>
      <x:c r="G468" s="10" t="str">
        <x:v>필수 의미와 지칭 집합 일치</x:v>
      </x:c>
    </x:row>
    <x:row r="469" ht="145" customHeight="1">
      <x:c r="A469" s="10" t="str">
        <x:v>T-BASE</x:v>
      </x:c>
      <x:c r="B469" s="10" t="str">
        <x:v>TEXT</x:v>
      </x:c>
      <x:c r="C469" s="10" t="str">
        <x:v>TEXT:SYN-F08-08-U02</x:v>
      </x:c>
      <x:c r="D469" s="10" t="str">
        <x:v>{"conditions":["2문장","기존 발표자료 작성 유지","새 파일 생성 없음"],"data_source":"SYN-F08-08:D1@v1","goal":"확인한 자료의 초점 항목 별도 설명","prior_task_action":"keep","targets":["SYN-F08-08:D1@v1#focus"]}</x:v>
      </x:c>
      <x:c r="E469" s="10" t="str">
        <x:v>{"conditions":["2문장","기존 발표자료 작성 유지","새 파일 생성 없음"],"data_source":"SYN-F08-08:D1@v1","goal":"확인한 자료의 초점 항목 별도 설명","prior_task_action":"keep","targets":["SYN-F08-08:D1@v1#focus"]}</x:v>
      </x:c>
      <x:c r="F469" s="10" t="n">
        <x:f>IF(D469=E469,1,0)</x:f>
        <x:v>1</x:v>
      </x:c>
      <x:c r="G469" s="10" t="str">
        <x:v>필수 의미와 지칭 집합 일치</x:v>
      </x:c>
    </x:row>
    <x:row r="470" ht="145" customHeight="1">
      <x:c r="A470" s="10" t="str">
        <x:v>T-EXEC</x:v>
      </x:c>
      <x:c r="B470" s="10" t="str">
        <x:v>TEXT</x:v>
      </x:c>
      <x:c r="C470" s="10" t="str">
        <x:v>TEXT:SYN-F08-08-U01</x:v>
      </x:c>
      <x:c r="D470" s="10" t="str">
        <x:v>{"conditions":["4장 이내","대상 기간 운영 5주","안내문 500자 이하","외부 발송 없음","지역 파트너 설명회용"],"data_source":"SYN-F08-08:D1@v1","goal":"노을 서비스 캠페인 캠페인 계획 발표자료 작성 위임","prior_task_action":"new","targets":["SYN-F08-08:D1@v1"]}</x:v>
      </x:c>
      <x:c r="E470" s="10" t="str">
        <x:v>{"conditions":["4장 이내","대상 기간 운영 5주","안내문 500자 이하","외부 발송 없음","지역 파트너 설명회용"],"data_source":"SYN-F08-08:D1@v1","goal":"노을 서비스 캠페인 캠페인 계획 발표자료 작성 위임","prior_task_action":"new","targets":["SYN-F08-08:D1@v1"]}</x:v>
      </x:c>
      <x:c r="F470" s="10" t="n">
        <x:f>IF(D470=E470,1,0)</x:f>
        <x:v>1</x:v>
      </x:c>
      <x:c r="G470" s="10" t="str">
        <x:v>필수 의미와 지칭 집합 일치</x:v>
      </x:c>
    </x:row>
    <x:row r="471" ht="145" customHeight="1">
      <x:c r="A471" s="10" t="str">
        <x:v>T-EXEC</x:v>
      </x:c>
      <x:c r="B471" s="10" t="str">
        <x:v>TEXT</x:v>
      </x:c>
      <x:c r="C471" s="10" t="str">
        <x:v>TEXT:SYN-F08-08-U02</x:v>
      </x:c>
      <x:c r="D471" s="10" t="str">
        <x:v>{"conditions":["2문장","기존 발표자료 작성 유지","새 파일 생성 없음"],"data_source":"SYN-F08-08:D1@v1","goal":"확인한 자료의 초점 항목 별도 설명","prior_task_action":"keep","targets":["SYN-F08-08:D1@v1#focus"]}</x:v>
      </x:c>
      <x:c r="E471" s="10" t="str">
        <x:v>{"conditions":["2문장","기존 발표자료 작성 유지","새 파일 생성 없음"],"data_source":"SYN-F08-08:D1@v1","goal":"확인한 자료의 초점 항목 별도 설명","prior_task_action":"keep","targets":["SYN-F08-08:D1@v1#focus"]}</x:v>
      </x:c>
      <x:c r="F471" s="10" t="n">
        <x:f>IF(D471=E471,1,0)</x:f>
        <x:v>1</x:v>
      </x:c>
      <x:c r="G471" s="10" t="str">
        <x:v>필수 의미와 지칭 집합 일치</x:v>
      </x:c>
    </x:row>
    <x:row r="472" ht="145" customHeight="1">
      <x:c r="A472" s="10" t="str">
        <x:v>T-REL</x:v>
      </x:c>
      <x:c r="B472" s="10" t="str">
        <x:v>TEXT</x:v>
      </x:c>
      <x:c r="C472" s="10" t="str">
        <x:v>TEXT:SYN-F08-08-U01</x:v>
      </x:c>
      <x:c r="D472" s="10" t="str">
        <x:v>{"conditions":["4장 이내","대상 기간 운영 5주","안내문 500자 이하","외부 발송 없음","지역 파트너 설명회용"],"data_source":"SYN-F08-08:D1@v1","goal":"노을 서비스 캠페인 캠페인 계획 발표자료 작성 위임","prior_task_action":"new","targets":["SYN-F08-08:D1@v1"]}</x:v>
      </x:c>
      <x:c r="E472" s="10" t="str">
        <x:v>{"conditions":["4장 이내","대상 기간 운영 5주","안내문 500자 이하","외부 발송 없음","지역 파트너 설명회용"],"data_source":"SYN-F08-08:D1@v1","goal":"노을 서비스 캠페인 캠페인 계획 발표자료 작성 위임","prior_task_action":"new","targets":["SYN-F08-08:D1@v1"]}</x:v>
      </x:c>
      <x:c r="F472" s="10" t="n">
        <x:f>IF(D472=E472,1,0)</x:f>
        <x:v>1</x:v>
      </x:c>
      <x:c r="G472" s="10" t="str">
        <x:v>필수 의미와 지칭 집합 일치</x:v>
      </x:c>
    </x:row>
    <x:row r="473" ht="145" customHeight="1">
      <x:c r="A473" s="10" t="str">
        <x:v>T-REL</x:v>
      </x:c>
      <x:c r="B473" s="10" t="str">
        <x:v>TEXT</x:v>
      </x:c>
      <x:c r="C473" s="10" t="str">
        <x:v>TEXT:SYN-F08-08-U02</x:v>
      </x:c>
      <x:c r="D473" s="10" t="str">
        <x:v>{"conditions":["2문장","기존 발표자료 작성 유지","새 파일 생성 없음"],"data_source":"SYN-F08-08:D1@v1","goal":"확인한 자료의 초점 항목 별도 설명","prior_task_action":"keep","targets":["SYN-F08-08:D1@v1#focus"]}</x:v>
      </x:c>
      <x:c r="E473" s="10" t="str">
        <x:v>{"conditions":["2문장","기존 발표자료 작성 유지","새 파일 생성 없음"],"data_source":"SYN-F08-08:D1@v1","goal":"확인한 자료의 초점 항목 별도 설명","prior_task_action":"keep","targets":["SYN-F08-08:D1@v1#focus"]}</x:v>
      </x:c>
      <x:c r="F473" s="10" t="n">
        <x:f>IF(D473=E473,1,0)</x:f>
        <x:v>1</x:v>
      </x:c>
      <x:c r="G473" s="10" t="str">
        <x:v>필수 의미와 지칭 집합 일치</x:v>
      </x:c>
    </x:row>
    <x:row r="474" ht="145" customHeight="1">
      <x:c r="A474" s="10" t="str">
        <x:v>T-BASE</x:v>
      </x:c>
      <x:c r="B474" s="10" t="str">
        <x:v>TEXT</x:v>
      </x:c>
      <x:c r="C474" s="10" t="str">
        <x:v>TEXT:SYN-F08-09-U01</x:v>
      </x:c>
      <x:c r="D474" s="10" t="str">
        <x:v>{"conditions":["7장 이내","대상 기간 적용 후 4주","배송 협력사 설명회용","외부 발송 없음","주문당 이동 180m 이하"],"data_source":"SYN-F08-09:D3@v1","goal":"파도 창고배치 변경 배치 변경 발표자료 작성 위임","prior_task_action":"new","targets":["SYN-F08-09:D3@v1"]}</x:v>
      </x:c>
      <x:c r="E474" s="10" t="str">
        <x:v>{"conditions":["7장 이내","대상 기간 적용 후 4주","배송 협력사 설명회용","외부 발송 없음","주문당 이동 180m 이하"],"data_source":"SYN-F08-09:D3@v1","goal":"파도 창고배치 변경 배치 변경 발표자료 작성 위임","prior_task_action":"new","targets":["SYN-F08-09:D3@v1"]}</x:v>
      </x:c>
      <x:c r="F474" s="10" t="n">
        <x:f>IF(D474=E474,1,0)</x:f>
        <x:v>1</x:v>
      </x:c>
      <x:c r="G474" s="10" t="str">
        <x:v>필수 의미와 지칭 집합 일치</x:v>
      </x:c>
    </x:row>
    <x:row r="475" ht="145" customHeight="1">
      <x:c r="A475" s="10" t="str">
        <x:v>T-BASE</x:v>
      </x:c>
      <x:c r="B475" s="10" t="str">
        <x:v>TEXT</x:v>
      </x:c>
      <x:c r="C475" s="10" t="str">
        <x:v>TEXT:SYN-F08-09-U02</x:v>
      </x:c>
      <x:c r="D475" s="10" t="str">
        <x:v>{"conditions":["4문장","기존 발표자료 작성 유지","새 파일 생성 없음"],"data_source":"SYN-F08-09:D3@v1","goal":"확인한 자료의 초점 항목 별도 설명","prior_task_action":"keep","targets":["SYN-F08-09:D3@v1#focus"]}</x:v>
      </x:c>
      <x:c r="E475" s="10" t="str">
        <x:v>{"conditions":["4문장","기존 발표자료 작성 유지","새 파일 생성 없음"],"data_source":"SYN-F08-09:D3@v1","goal":"확인한 자료의 초점 항목 별도 설명","prior_task_action":"keep","targets":["SYN-F08-09:D3@v1#focus"]}</x:v>
      </x:c>
      <x:c r="F475" s="10" t="n">
        <x:f>IF(D475=E475,1,0)</x:f>
        <x:v>1</x:v>
      </x:c>
      <x:c r="G475" s="10" t="str">
        <x:v>필수 의미와 지칭 집합 일치</x:v>
      </x:c>
    </x:row>
    <x:row r="476" ht="145" customHeight="1">
      <x:c r="A476" s="10" t="str">
        <x:v>T-EXEC</x:v>
      </x:c>
      <x:c r="B476" s="10" t="str">
        <x:v>TEXT</x:v>
      </x:c>
      <x:c r="C476" s="10" t="str">
        <x:v>TEXT:SYN-F08-09-U01</x:v>
      </x:c>
      <x:c r="D476" s="10" t="str">
        <x:v>{"conditions":["7장 이내","대상 기간 적용 후 4주","배송 협력사 설명회용","외부 발송 없음","주문당 이동 180m 이하"],"data_source":"SYN-F08-09:D3@v1","goal":"파도 창고배치 변경 배치 변경 발표자료 작성 위임","prior_task_action":"new","targets":["SYN-F08-09:D3@v1"]}</x:v>
      </x:c>
      <x:c r="E476" s="10" t="str">
        <x:v>{"conditions":["7장 이내","대상 기간 적용 후 4주","배송 협력사 설명회용","외부 발송 없음","주문당 이동 180m 이하"],"data_source":"SYN-F08-09:D3@v1","goal":"파도 창고배치 변경 배치 변경 발표자료 작성 위임","prior_task_action":"new","targets":["SYN-F08-09:D3@v1"]}</x:v>
      </x:c>
      <x:c r="F476" s="10" t="n">
        <x:f>IF(D476=E476,1,0)</x:f>
        <x:v>1</x:v>
      </x:c>
      <x:c r="G476" s="10" t="str">
        <x:v>필수 의미와 지칭 집합 일치</x:v>
      </x:c>
    </x:row>
    <x:row r="477" ht="145" customHeight="1">
      <x:c r="A477" s="10" t="str">
        <x:v>T-EXEC</x:v>
      </x:c>
      <x:c r="B477" s="10" t="str">
        <x:v>TEXT</x:v>
      </x:c>
      <x:c r="C477" s="10" t="str">
        <x:v>TEXT:SYN-F08-09-U02</x:v>
      </x:c>
      <x:c r="D477" s="10" t="str">
        <x:v>{"conditions":["4문장","기존 발표자료 작성 유지","새 파일 생성 없음"],"data_source":"SYN-F08-09:D3@v1","goal":"확인한 자료의 초점 항목 별도 설명","prior_task_action":"keep","targets":["SYN-F08-09:D3@v1#focus"]}</x:v>
      </x:c>
      <x:c r="E477" s="10" t="str">
        <x:v>{"conditions":["4문장","기존 발표자료 작성 유지","새 파일 생성 없음"],"data_source":"SYN-F08-09:D3@v1","goal":"확인한 자료의 초점 항목 별도 설명","prior_task_action":"keep","targets":["SYN-F08-09:D3@v1#focus"]}</x:v>
      </x:c>
      <x:c r="F477" s="10" t="n">
        <x:f>IF(D477=E477,1,0)</x:f>
        <x:v>1</x:v>
      </x:c>
      <x:c r="G477" s="10" t="str">
        <x:v>필수 의미와 지칭 집합 일치</x:v>
      </x:c>
    </x:row>
    <x:row r="478" ht="145" customHeight="1">
      <x:c r="A478" s="10" t="str">
        <x:v>T-REL</x:v>
      </x:c>
      <x:c r="B478" s="10" t="str">
        <x:v>TEXT</x:v>
      </x:c>
      <x:c r="C478" s="10" t="str">
        <x:v>TEXT:SYN-F08-09-U01</x:v>
      </x:c>
      <x:c r="D478" s="10" t="str">
        <x:v>{"conditions":["7장 이내","대상 기간 적용 후 4주","배송 협력사 설명회용","외부 발송 없음","주문당 이동 180m 이하"],"data_source":"SYN-F08-09:D3@v1","goal":"파도 창고배치 변경 배치 변경 발표자료 작성 위임","prior_task_action":"new","targets":["SYN-F08-09:D3@v1"]}</x:v>
      </x:c>
      <x:c r="E478" s="10" t="str">
        <x:v>{"conditions":["7장 이내","대상 기간 적용 후 4주","배송 협력사 설명회용","외부 발송 없음","주문당 이동 180m 이하"],"data_source":"SYN-F08-09:D3@v1","goal":"파도 창고배치 변경 배치 변경 발표자료 작성 위임","prior_task_action":"new","targets":["SYN-F08-09:D3@v1"]}</x:v>
      </x:c>
      <x:c r="F478" s="10" t="n">
        <x:f>IF(D478=E478,1,0)</x:f>
        <x:v>1</x:v>
      </x:c>
      <x:c r="G478" s="10" t="str">
        <x:v>필수 의미와 지칭 집합 일치</x:v>
      </x:c>
    </x:row>
    <x:row r="479" ht="145" customHeight="1">
      <x:c r="A479" s="10" t="str">
        <x:v>T-REL</x:v>
      </x:c>
      <x:c r="B479" s="10" t="str">
        <x:v>TEXT</x:v>
      </x:c>
      <x:c r="C479" s="10" t="str">
        <x:v>TEXT:SYN-F08-09-U02</x:v>
      </x:c>
      <x:c r="D479" s="10" t="str">
        <x:v>{"conditions":["4문장","기존 발표자료 작성 유지","새 파일 생성 없음"],"data_source":"SYN-F08-09:D3@v1","goal":"확인한 자료의 초점 항목 별도 설명","prior_task_action":"keep","targets":["SYN-F08-09:D3@v1#focus"]}</x:v>
      </x:c>
      <x:c r="E479" s="10" t="str">
        <x:v>{"conditions":["4문장","기존 발표자료 작성 유지","새 파일 생성 없음"],"data_source":"SYN-F08-09:D3@v1","goal":"확인한 자료의 초점 항목 별도 설명","prior_task_action":"keep","targets":["SYN-F08-09:D3@v1#focus"]}</x:v>
      </x:c>
      <x:c r="F479" s="10" t="n">
        <x:f>IF(D479=E479,1,0)</x:f>
        <x:v>1</x:v>
      </x:c>
      <x:c r="G479" s="10" t="str">
        <x:v>필수 의미와 지칭 집합 일치</x:v>
      </x:c>
    </x:row>
    <x:row r="480" ht="145" customHeight="1">
      <x:c r="A480" s="10" t="str">
        <x:v>T-BASE</x:v>
      </x:c>
      <x:c r="B480" s="10" t="str">
        <x:v>TEXT</x:v>
      </x:c>
      <x:c r="C480" s="10" t="str">
        <x:v>TEXT:SYN-F08-10-U01</x:v>
      </x:c>
      <x:c r="D480" s="10" t="str">
        <x:v>{"conditions":["5장 이내","대상 기간 출시 후 2개월","부서대표 설명회용","외부 발송 없음","첫 화면 메뉴 9개 이하"],"data_source":"SYN-F08-10:D2@v1","goal":"온유 사내포털 개편 포털 개선 발표자료 작성 위임","prior_task_action":"new","targets":["SYN-F08-10:D2@v1"]}</x:v>
      </x:c>
      <x:c r="E480" s="10" t="str">
        <x:v>{"conditions":["5장 이내","대상 기간 출시 후 2개월","부서대표 설명회용","외부 발송 없음","첫 화면 메뉴 9개 이하"],"data_source":"SYN-F08-10:D2@v1","goal":"온유 사내포털 개편 포털 개선 발표자료 작성 위임","prior_task_action":"new","targets":["SYN-F08-10:D2@v1"]}</x:v>
      </x:c>
      <x:c r="F480" s="10" t="n">
        <x:f>IF(D480=E480,1,0)</x:f>
        <x:v>1</x:v>
      </x:c>
      <x:c r="G480" s="10" t="str">
        <x:v>필수 의미와 지칭 집합 일치</x:v>
      </x:c>
    </x:row>
    <x:row r="481" ht="145" customHeight="1">
      <x:c r="A481" s="10" t="str">
        <x:v>T-BASE</x:v>
      </x:c>
      <x:c r="B481" s="10" t="str">
        <x:v>TEXT</x:v>
      </x:c>
      <x:c r="C481" s="10" t="str">
        <x:v>TEXT:SYN-F08-10-U02</x:v>
      </x:c>
      <x:c r="D481" s="10" t="str">
        <x:v>{"conditions":["3문장","기존 발표자료 작성 유지","새 파일 생성 없음"],"data_source":"SYN-F08-10:D2@v1","goal":"확인한 자료의 초점 항목 별도 설명","prior_task_action":"keep","targets":["SYN-F08-10:D2@v1#focus"]}</x:v>
      </x:c>
      <x:c r="E481" s="10" t="str">
        <x:v>{"conditions":["3문장","기존 발표자료 작성 유지","새 파일 생성 없음"],"data_source":"SYN-F08-10:D2@v1","goal":"확인한 자료의 초점 항목 별도 설명","prior_task_action":"keep","targets":["SYN-F08-10:D2@v1#focus"]}</x:v>
      </x:c>
      <x:c r="F481" s="10" t="n">
        <x:f>IF(D481=E481,1,0)</x:f>
        <x:v>1</x:v>
      </x:c>
      <x:c r="G481" s="10" t="str">
        <x:v>필수 의미와 지칭 집합 일치</x:v>
      </x:c>
    </x:row>
    <x:row r="482" ht="145" customHeight="1">
      <x:c r="A482" s="10" t="str">
        <x:v>T-EXEC</x:v>
      </x:c>
      <x:c r="B482" s="10" t="str">
        <x:v>TEXT</x:v>
      </x:c>
      <x:c r="C482" s="10" t="str">
        <x:v>TEXT:SYN-F08-10-U01</x:v>
      </x:c>
      <x:c r="D482" s="10" t="str">
        <x:v>{"conditions":["5장 이내","대상 기간 출시 후 2개월","부서대표 설명회용","외부 발송 없음","첫 화면 메뉴 9개 이하"],"data_source":"SYN-F08-10:D2@v1","goal":"온유 사내포털 개편 포털 개선 발표자료 작성 위임","prior_task_action":"new","targets":["SYN-F08-10:D2@v1"]}</x:v>
      </x:c>
      <x:c r="E482" s="10" t="str">
        <x:v>{"conditions":["5장 이내","대상 기간 출시 후 2개월","부서대표 설명회용","외부 발송 없음","첫 화면 메뉴 9개 이하"],"data_source":"SYN-F08-10:D2@v1","goal":"온유 사내포털 개편 포털 개선 발표자료 작성 위임","prior_task_action":"new","targets":["SYN-F08-10:D2@v1"]}</x:v>
      </x:c>
      <x:c r="F482" s="10" t="n">
        <x:f>IF(D482=E482,1,0)</x:f>
        <x:v>1</x:v>
      </x:c>
      <x:c r="G482" s="10" t="str">
        <x:v>필수 의미와 지칭 집합 일치</x:v>
      </x:c>
    </x:row>
    <x:row r="483" ht="145" customHeight="1">
      <x:c r="A483" s="10" t="str">
        <x:v>T-EXEC</x:v>
      </x:c>
      <x:c r="B483" s="10" t="str">
        <x:v>TEXT</x:v>
      </x:c>
      <x:c r="C483" s="10" t="str">
        <x:v>TEXT:SYN-F08-10-U02</x:v>
      </x:c>
      <x:c r="D483" s="10" t="str">
        <x:v>{"conditions":["3문장","기존 발표자료 작성 유지","새 파일 생성 없음"],"data_source":"SYN-F08-10:D2@v1","goal":"확인한 자료의 초점 항목 별도 설명","prior_task_action":"keep","targets":["SYN-F08-10:D2@v1#focus"]}</x:v>
      </x:c>
      <x:c r="E483" s="10" t="str">
        <x:v>{"conditions":["3문장","기존 발표자료 작성 유지","새 파일 생성 없음"],"data_source":"SYN-F08-10:D2@v1","goal":"확인한 자료의 초점 항목 별도 설명","prior_task_action":"keep","targets":["SYN-F08-10:D2@v1#focus"]}</x:v>
      </x:c>
      <x:c r="F483" s="10" t="n">
        <x:f>IF(D483=E483,1,0)</x:f>
        <x:v>1</x:v>
      </x:c>
      <x:c r="G483" s="10" t="str">
        <x:v>필수 의미와 지칭 집합 일치</x:v>
      </x:c>
    </x:row>
    <x:row r="484" ht="145" customHeight="1">
      <x:c r="A484" s="10" t="str">
        <x:v>T-REL</x:v>
      </x:c>
      <x:c r="B484" s="10" t="str">
        <x:v>TEXT</x:v>
      </x:c>
      <x:c r="C484" s="10" t="str">
        <x:v>TEXT:SYN-F08-10-U01</x:v>
      </x:c>
      <x:c r="D484" s="10" t="str">
        <x:v>{"conditions":["5장 이내","대상 기간 출시 후 2개월","부서대표 설명회용","외부 발송 없음","첫 화면 메뉴 9개 이하"],"data_source":"SYN-F08-10:D2@v1","goal":"온유 사내포털 개편 포털 개선 발표자료 작성 위임","prior_task_action":"new","targets":["SYN-F08-10:D2@v1"]}</x:v>
      </x:c>
      <x:c r="E484" s="10" t="str">
        <x:v>{"conditions":["5장 이내","대상 기간 출시 후 2개월","부서대표 설명회용","외부 발송 없음","첫 화면 메뉴 9개 이하"],"data_source":"SYN-F08-10:D2@v1","goal":"온유 사내포털 개편 포털 개선 발표자료 작성 위임","prior_task_action":"new","targets":["SYN-F08-10:D2@v1"]}</x:v>
      </x:c>
      <x:c r="F484" s="10" t="n">
        <x:f>IF(D484=E484,1,0)</x:f>
        <x:v>1</x:v>
      </x:c>
      <x:c r="G484" s="10" t="str">
        <x:v>필수 의미와 지칭 집합 일치</x:v>
      </x:c>
    </x:row>
    <x:row r="485" ht="145" customHeight="1">
      <x:c r="A485" s="10" t="str">
        <x:v>T-REL</x:v>
      </x:c>
      <x:c r="B485" s="10" t="str">
        <x:v>TEXT</x:v>
      </x:c>
      <x:c r="C485" s="10" t="str">
        <x:v>TEXT:SYN-F08-10-U02</x:v>
      </x:c>
      <x:c r="D485" s="10" t="str">
        <x:v>{"conditions":["3문장","기존 발표자료 작성 유지","새 파일 생성 없음"],"data_source":"SYN-F08-10:D2@v1","goal":"확인한 자료의 초점 항목 별도 설명","prior_task_action":"keep","targets":["SYN-F08-10:D2@v1#focus"]}</x:v>
      </x:c>
      <x:c r="E485" s="10" t="str">
        <x:v>{"conditions":["3문장","기존 발표자료 작성 유지","새 파일 생성 없음"],"data_source":"SYN-F08-10:D2@v1","goal":"확인한 자료의 초점 항목 별도 설명","prior_task_action":"keep","targets":["SYN-F08-10:D2@v1#focus"]}</x:v>
      </x:c>
      <x:c r="F485" s="10" t="n">
        <x:f>IF(D485=E485,1,0)</x:f>
        <x:v>1</x:v>
      </x:c>
      <x:c r="G485" s="10" t="str">
        <x:v>필수 의미와 지칭 집합 일치</x:v>
      </x:c>
    </x:row>
    <x:row r="486" ht="145" customHeight="1">
      <x:c r="A486" s="10" t="str">
        <x:v>T-BASE</x:v>
      </x:c>
      <x:c r="B486" s="10" t="str">
        <x:v>TEXT</x:v>
      </x:c>
      <x:c r="C486" s="10" t="str">
        <x:v>TEXT:SYN-F09-01-U01</x:v>
      </x:c>
      <x:c r="D486" s="10" t="str">
        <x:v>{"conditions":["5장 이내","대상 기간 첫 12개월","서비스 운영위원회용","외부 발송 없음","월 운영비 240만원 이하"],"data_source":"SYN-F09-01:D1@v1","goal":"오로라 고객센터 전환 전환 검토 발표자료 작성 위임","prior_task_action":"new","targets":["SYN-F09-01:D1@v1"]}</x:v>
      </x:c>
      <x:c r="E486" s="10" t="str">
        <x:v>{"conditions":["5장 이내","대상 기간 첫 12개월","서비스 운영위원회용","외부 발송 없음","월 운영비 240만원 이하"],"data_source":"SYN-F09-01:D1@v1","goal":"오로라 고객센터 전환 전환 검토 발표자료 작성 위임","prior_task_action":"new","targets":["SYN-F09-01:D1@v1"]}</x:v>
      </x:c>
      <x:c r="F486" s="10" t="n">
        <x:f>IF(D486=E486,1,0)</x:f>
        <x:v>1</x:v>
      </x:c>
      <x:c r="G486" s="10" t="str">
        <x:v>필수 의미와 지칭 집합 일치</x:v>
      </x:c>
    </x:row>
    <x:row r="487" ht="145" customHeight="1">
      <x:c r="A487" s="10" t="str">
        <x:v>T-BASE</x:v>
      </x:c>
      <x:c r="B487" s="10" t="str">
        <x:v>TEXT</x:v>
      </x:c>
      <x:c r="C487" s="10" t="str">
        <x:v>TEXT:SYN-F09-01-U02</x:v>
      </x:c>
      <x:c r="D487" s="10" t="str">
        <x:v>{"conditions":["5장 이내","대상 기간 첫 12개월","서비스 운영위원회용","외부 발송 없음","월 운영비 240만원 이하","초기 설치비 제외"],"data_source":"SYN-F09-01:D3@v1","goal":"오로라 고객센터 전환 전환 검토 발표자료 작성 위임","prior_task_action":"revise","targets":["SYN-F09-01:D3@v1"]}</x:v>
      </x:c>
      <x:c r="E487" s="10" t="str">
        <x:v>{"conditions":["5장 이내","대상 기간 첫 12개월","서비스 운영위원회용","외부 발송 없음","월 운영비 240만원 이하","초기 설치비 제외"],"data_source":"SYN-F09-01:D3@v1","goal":"오로라 고객센터 전환 전환 검토 발표자료 작성 위임","prior_task_action":"revise","targets":["SYN-F09-01:D3@v1"]}</x:v>
      </x:c>
      <x:c r="F487" s="10" t="n">
        <x:f>IF(D487=E487,1,0)</x:f>
        <x:v>1</x:v>
      </x:c>
      <x:c r="G487" s="10" t="str">
        <x:v>필수 의미와 지칭 집합 일치</x:v>
      </x:c>
    </x:row>
    <x:row r="488" ht="145" customHeight="1">
      <x:c r="A488" s="10" t="str">
        <x:v>T-EXEC</x:v>
      </x:c>
      <x:c r="B488" s="10" t="str">
        <x:v>TEXT</x:v>
      </x:c>
      <x:c r="C488" s="10" t="str">
        <x:v>TEXT:SYN-F09-01-U01</x:v>
      </x:c>
      <x:c r="D488" s="10" t="str">
        <x:v>{"conditions":["5장 이내","대상 기간 첫 12개월","서비스 운영위원회용","외부 발송 없음","월 운영비 240만원 이하"],"data_source":"SYN-F09-01:D1@v1","goal":"오로라 고객센터 전환 전환 검토 발표자료 작성 위임","prior_task_action":"new","targets":["SYN-F09-01:D1@v1"]}</x:v>
      </x:c>
      <x:c r="E488" s="10" t="str">
        <x:v>{"conditions":["5장 이내","대상 기간 첫 12개월","서비스 운영위원회용","외부 발송 없음","월 운영비 240만원 이하"],"data_source":"SYN-F09-01:D1@v1","goal":"오로라 고객센터 전환 전환 검토 발표자료 작성 위임","prior_task_action":"new","targets":["SYN-F09-01:D1@v1"]}</x:v>
      </x:c>
      <x:c r="F488" s="10" t="n">
        <x:f>IF(D488=E488,1,0)</x:f>
        <x:v>1</x:v>
      </x:c>
      <x:c r="G488" s="10" t="str">
        <x:v>필수 의미와 지칭 집합 일치</x:v>
      </x:c>
    </x:row>
    <x:row r="489" ht="145" customHeight="1">
      <x:c r="A489" s="10" t="str">
        <x:v>T-EXEC</x:v>
      </x:c>
      <x:c r="B489" s="10" t="str">
        <x:v>TEXT</x:v>
      </x:c>
      <x:c r="C489" s="10" t="str">
        <x:v>TEXT:SYN-F09-01-U02</x:v>
      </x:c>
      <x:c r="D489" s="10" t="str">
        <x:v>{"conditions":["5장 이내","대상 기간 첫 12개월","서비스 운영위원회용","외부 발송 없음","월 운영비 240만원 이하","초기 설치비 제외"],"data_source":"SYN-F09-01:D3@v1","goal":"오로라 고객센터 전환 전환 검토 발표자료 작성 위임","prior_task_action":"revise","targets":["SYN-F09-01:D3@v1"]}</x:v>
      </x:c>
      <x:c r="E489" s="10" t="str">
        <x:v>{"conditions":["5장 이내","대상 기간 첫 12개월","서비스 운영위원회용","외부 발송 없음","월 운영비 240만원 이하","초기 설치비 제외"],"data_source":"SYN-F09-01:D3@v1","goal":"오로라 고객센터 전환 전환 검토 발표자료 작성 위임","prior_task_action":"revise","targets":["SYN-F09-01:D3@v1"]}</x:v>
      </x:c>
      <x:c r="F489" s="10" t="n">
        <x:f>IF(D489=E489,1,0)</x:f>
        <x:v>1</x:v>
      </x:c>
      <x:c r="G489" s="10" t="str">
        <x:v>필수 의미와 지칭 집합 일치</x:v>
      </x:c>
    </x:row>
    <x:row r="490" ht="145" customHeight="1">
      <x:c r="A490" s="10" t="str">
        <x:v>T-REL</x:v>
      </x:c>
      <x:c r="B490" s="10" t="str">
        <x:v>TEXT</x:v>
      </x:c>
      <x:c r="C490" s="10" t="str">
        <x:v>TEXT:SYN-F09-01-U01</x:v>
      </x:c>
      <x:c r="D490" s="10" t="str">
        <x:v>{"conditions":["5장 이내","대상 기간 첫 12개월","서비스 운영위원회용","외부 발송 없음","월 운영비 240만원 이하"],"data_source":"SYN-F09-01:D1@v1","goal":"오로라 고객센터 전환 전환 검토 발표자료 작성 위임","prior_task_action":"new","targets":["SYN-F09-01:D1@v1"]}</x:v>
      </x:c>
      <x:c r="E490" s="10" t="str">
        <x:v>{"conditions":["5장 이내","대상 기간 첫 12개월","서비스 운영위원회용","외부 발송 없음","월 운영비 240만원 이하"],"data_source":"SYN-F09-01:D1@v1","goal":"오로라 고객센터 전환 전환 검토 발표자료 작성 위임","prior_task_action":"new","targets":["SYN-F09-01:D1@v1"]}</x:v>
      </x:c>
      <x:c r="F490" s="10" t="n">
        <x:f>IF(D490=E490,1,0)</x:f>
        <x:v>1</x:v>
      </x:c>
      <x:c r="G490" s="10" t="str">
        <x:v>필수 의미와 지칭 집합 일치</x:v>
      </x:c>
    </x:row>
    <x:row r="491" ht="145" customHeight="1">
      <x:c r="A491" s="10" t="str">
        <x:v>T-REL</x:v>
      </x:c>
      <x:c r="B491" s="10" t="str">
        <x:v>TEXT</x:v>
      </x:c>
      <x:c r="C491" s="10" t="str">
        <x:v>TEXT:SYN-F09-01-U02</x:v>
      </x:c>
      <x:c r="D491" s="10" t="str">
        <x:v>{"conditions":["5장 이내","대상 기간 첫 12개월","서비스 운영위원회용","외부 발송 없음","월 운영비 240만원 이하","초기 설치비 제외"],"data_source":"SYN-F09-01:D3@v1","goal":"오로라 고객센터 전환 전환 검토 발표자료 작성 위임","prior_task_action":"revise","targets":["SYN-F09-01:D3@v1"]}</x:v>
      </x:c>
      <x:c r="E491" s="10" t="str">
        <x:v>{"conditions":["5장 이내","대상 기간 첫 12개월","서비스 운영위원회용","외부 발송 없음","월 운영비 240만원 이하","초기 설치비 제외"],"data_source":"SYN-F09-01:D3@v1","goal":"오로라 고객센터 전환 전환 검토 발표자료 작성 위임","prior_task_action":"revise","targets":["SYN-F09-01:D3@v1"]}</x:v>
      </x:c>
      <x:c r="F491" s="10" t="n">
        <x:f>IF(D491=E491,1,0)</x:f>
        <x:v>1</x:v>
      </x:c>
      <x:c r="G491" s="10" t="str">
        <x:v>필수 의미와 지칭 집합 일치</x:v>
      </x:c>
    </x:row>
    <x:row r="492" ht="145" customHeight="1">
      <x:c r="A492" s="10" t="str">
        <x:v>T-BASE</x:v>
      </x:c>
      <x:c r="B492" s="10" t="str">
        <x:v>TEXT</x:v>
      </x:c>
      <x:c r="C492" s="10" t="str">
        <x:v>TEXT:SYN-F09-02-U01</x:v>
      </x:c>
      <x:c r="D492" s="10" t="str">
        <x:v>{"conditions":["4장 이내","대상 기간 전시 4주","외부 발송 없음","주말 운영 인력 12명 이하","참가업체 설명회용"],"data_source":"SYN-F09-02:D3@v1","goal":"봄길 지역전시 준비 운영 제안 발표자료 작성 위임","prior_task_action":"new","targets":["SYN-F09-02:D3@v1"]}</x:v>
      </x:c>
      <x:c r="E492" s="10" t="str">
        <x:v>{"conditions":["4장 이내","대상 기간 전시 4주","외부 발송 없음","주말 운영 인력 12명 이하","참가업체 설명회용"],"data_source":"SYN-F09-02:D3@v1","goal":"봄길 지역전시 준비 운영 제안 발표자료 작성 위임","prior_task_action":"new","targets":["SYN-F09-02:D3@v1"]}</x:v>
      </x:c>
      <x:c r="F492" s="10" t="n">
        <x:f>IF(D492=E492,1,0)</x:f>
        <x:v>1</x:v>
      </x:c>
      <x:c r="G492" s="10" t="str">
        <x:v>필수 의미와 지칭 집합 일치</x:v>
      </x:c>
    </x:row>
    <x:row r="493" ht="145" customHeight="1">
      <x:c r="A493" s="10" t="str">
        <x:v>T-BASE</x:v>
      </x:c>
      <x:c r="B493" s="10" t="str">
        <x:v>TEXT</x:v>
      </x:c>
      <x:c r="C493" s="10" t="str">
        <x:v>TEXT:SYN-F09-02-U02</x:v>
      </x:c>
      <x:c r="D493" s="10" t="str">
        <x:v>{"conditions":["4장 이내","대상 기간 전시 4주","외부 발송 없음","일회성 장식비 제외","주말 운영 인력 12명 이하","참가업체 설명회용"],"data_source":"SYN-F09-02:D2@v1","goal":"봄길 지역전시 준비 운영 제안 발표자료 작성 위임","prior_task_action":"revise","targets":["SYN-F09-02:D2@v1"]}</x:v>
      </x:c>
      <x:c r="E493" s="10" t="str">
        <x:v>{"conditions":["4장 이내","대상 기간 전시 4주","외부 발송 없음","일회성 장식비 제외","주말 운영 인력 12명 이하","참가업체 설명회용"],"data_source":"SYN-F09-02:D2@v1","goal":"봄길 지역전시 준비 운영 제안 발표자료 작성 위임","prior_task_action":"revise","targets":["SYN-F09-02:D2@v1"]}</x:v>
      </x:c>
      <x:c r="F493" s="10" t="n">
        <x:f>IF(D493=E493,1,0)</x:f>
        <x:v>1</x:v>
      </x:c>
      <x:c r="G493" s="10" t="str">
        <x:v>필수 의미와 지칭 집합 일치</x:v>
      </x:c>
    </x:row>
    <x:row r="494" ht="145" customHeight="1">
      <x:c r="A494" s="10" t="str">
        <x:v>T-EXEC</x:v>
      </x:c>
      <x:c r="B494" s="10" t="str">
        <x:v>TEXT</x:v>
      </x:c>
      <x:c r="C494" s="10" t="str">
        <x:v>TEXT:SYN-F09-02-U01</x:v>
      </x:c>
      <x:c r="D494" s="10" t="str">
        <x:v>{"conditions":["4장 이내","대상 기간 전시 4주","외부 발송 없음","주말 운영 인력 12명 이하","참가업체 설명회용"],"data_source":"SYN-F09-02:D3@v1","goal":"봄길 지역전시 준비 운영 제안 발표자료 작성 위임","prior_task_action":"new","targets":["SYN-F09-02:D3@v1"]}</x:v>
      </x:c>
      <x:c r="E494" s="10" t="str">
        <x:v>{"conditions":["4장 이내","대상 기간 전시 4주","외부 발송 없음","주말 운영 인력 12명 이하","참가업체 설명회용"],"data_source":"SYN-F09-02:D3@v1","goal":"봄길 지역전시 준비 운영 제안 발표자료 작성 위임","prior_task_action":"new","targets":["SYN-F09-02:D3@v1"]}</x:v>
      </x:c>
      <x:c r="F494" s="10" t="n">
        <x:f>IF(D494=E494,1,0)</x:f>
        <x:v>1</x:v>
      </x:c>
      <x:c r="G494" s="10" t="str">
        <x:v>필수 의미와 지칭 집합 일치</x:v>
      </x:c>
    </x:row>
    <x:row r="495" ht="145" customHeight="1">
      <x:c r="A495" s="10" t="str">
        <x:v>T-EXEC</x:v>
      </x:c>
      <x:c r="B495" s="10" t="str">
        <x:v>TEXT</x:v>
      </x:c>
      <x:c r="C495" s="10" t="str">
        <x:v>TEXT:SYN-F09-02-U02</x:v>
      </x:c>
      <x:c r="D495" s="10" t="str">
        <x:v>{"conditions":["4장 이내","대상 기간 전시 4주","외부 발송 없음","일회성 장식비 제외","주말 운영 인력 12명 이하","참가업체 설명회용"],"data_source":"SYN-F09-02:D2@v1","goal":"봄길 지역전시 준비 운영 제안 발표자료 작성 위임","prior_task_action":"revise","targets":["SYN-F09-02:D2@v1"]}</x:v>
      </x:c>
      <x:c r="E495" s="10" t="str">
        <x:v>{"conditions":["4장 이내","대상 기간 전시 4주","외부 발송 없음","일회성 장식비 제외","주말 운영 인력 12명 이하","참가업체 설명회용"],"data_source":"SYN-F09-02:D2@v1","goal":"봄길 지역전시 준비 운영 제안 발표자료 작성 위임","prior_task_action":"revise","targets":["SYN-F09-02:D2@v1"]}</x:v>
      </x:c>
      <x:c r="F495" s="10" t="n">
        <x:f>IF(D495=E495,1,0)</x:f>
        <x:v>1</x:v>
      </x:c>
      <x:c r="G495" s="10" t="str">
        <x:v>필수 의미와 지칭 집합 일치</x:v>
      </x:c>
    </x:row>
    <x:row r="496" ht="145" customHeight="1">
      <x:c r="A496" s="10" t="str">
        <x:v>T-REL</x:v>
      </x:c>
      <x:c r="B496" s="10" t="str">
        <x:v>TEXT</x:v>
      </x:c>
      <x:c r="C496" s="10" t="str">
        <x:v>TEXT:SYN-F09-02-U01</x:v>
      </x:c>
      <x:c r="D496" s="10" t="str">
        <x:v>{"conditions":["4장 이내","대상 기간 전시 4주","외부 발송 없음","주말 운영 인력 12명 이하","참가업체 설명회용"],"data_source":"SYN-F09-02:D3@v1","goal":"봄길 지역전시 준비 운영 제안 발표자료 작성 위임","prior_task_action":"new","targets":["SYN-F09-02:D3@v1"]}</x:v>
      </x:c>
      <x:c r="E496" s="10" t="str">
        <x:v>{"conditions":["4장 이내","대상 기간 전시 4주","외부 발송 없음","주말 운영 인력 12명 이하","참가업체 설명회용"],"data_source":"SYN-F09-02:D3@v1","goal":"봄길 지역전시 준비 운영 제안 발표자료 작성 위임","prior_task_action":"new","targets":["SYN-F09-02:D3@v1"]}</x:v>
      </x:c>
      <x:c r="F496" s="10" t="n">
        <x:f>IF(D496=E496,1,0)</x:f>
        <x:v>1</x:v>
      </x:c>
      <x:c r="G496" s="10" t="str">
        <x:v>필수 의미와 지칭 집합 일치</x:v>
      </x:c>
    </x:row>
    <x:row r="497" ht="145" customHeight="1">
      <x:c r="A497" s="10" t="str">
        <x:v>T-REL</x:v>
      </x:c>
      <x:c r="B497" s="10" t="str">
        <x:v>TEXT</x:v>
      </x:c>
      <x:c r="C497" s="10" t="str">
        <x:v>TEXT:SYN-F09-02-U02</x:v>
      </x:c>
      <x:c r="D497" s="10" t="str">
        <x:v>{"conditions":["4장 이내","대상 기간 전시 4주","외부 발송 없음","일회성 장식비 제외","주말 운영 인력 12명 이하","참가업체 설명회용"],"data_source":"SYN-F09-02:D2@v1","goal":"봄길 지역전시 준비 운영 제안 발표자료 작성 위임","prior_task_action":"revise","targets":["SYN-F09-02:D2@v1"]}</x:v>
      </x:c>
      <x:c r="E497" s="10" t="str">
        <x:v>{"conditions":["4장 이내","대상 기간 전시 4주","외부 발송 없음","일회성 장식비 제외","주말 운영 인력 12명 이하","참가업체 설명회용"],"data_source":"SYN-F09-02:D2@v1","goal":"봄길 지역전시 준비 운영 제안 발표자료 작성 위임","prior_task_action":"revise","targets":["SYN-F09-02:D2@v1"]}</x:v>
      </x:c>
      <x:c r="F497" s="10" t="n">
        <x:f>IF(D497=E497,1,0)</x:f>
        <x:v>1</x:v>
      </x:c>
      <x:c r="G497" s="10" t="str">
        <x:v>필수 의미와 지칭 집합 일치</x:v>
      </x:c>
    </x:row>
    <x:row r="498" ht="145" customHeight="1">
      <x:c r="A498" s="10" t="str">
        <x:v>T-BASE</x:v>
      </x:c>
      <x:c r="B498" s="10" t="str">
        <x:v>TEXT</x:v>
      </x:c>
      <x:c r="C498" s="10" t="str">
        <x:v>TEXT:SYN-F09-03-U01</x:v>
      </x:c>
      <x:c r="D498" s="10" t="str">
        <x:v>{"conditions":["6장 이내","교육 승인위원회용","대상 기간 입사 후 3주","외부 발송 없음","참가자당 교육시간 18시간 이하"],"data_source":"SYN-F09-03:D2@v1","goal":"해온 신입교육 개편 교육 개편 발표자료 작성 위임","prior_task_action":"new","targets":["SYN-F09-03:D2@v1"]}</x:v>
      </x:c>
      <x:c r="E498" s="10" t="str">
        <x:v>{"conditions":["6장 이내","교육 승인위원회용","대상 기간 입사 후 3주","외부 발송 없음","참가자당 교육시간 18시간 이하"],"data_source":"SYN-F09-03:D2@v1","goal":"해온 신입교육 개편 교육 개편 발표자료 작성 위임","prior_task_action":"new","targets":["SYN-F09-03:D2@v1"]}</x:v>
      </x:c>
      <x:c r="F498" s="10" t="n">
        <x:f>IF(D498=E498,1,0)</x:f>
        <x:v>1</x:v>
      </x:c>
      <x:c r="G498" s="10" t="str">
        <x:v>필수 의미와 지칭 집합 일치</x:v>
      </x:c>
    </x:row>
    <x:row r="499" ht="145" customHeight="1">
      <x:c r="A499" s="10" t="str">
        <x:v>T-BASE</x:v>
      </x:c>
      <x:c r="B499" s="10" t="str">
        <x:v>TEXT</x:v>
      </x:c>
      <x:c r="C499" s="10" t="str">
        <x:v>TEXT:SYN-F09-03-U02</x:v>
      </x:c>
      <x:c r="D499" s="10" t="str">
        <x:v>{"conditions":["6장 이내","교육 승인위원회용","대상 기간 입사 후 3주","숙박비 제외","외부 발송 없음","참가자당 교육시간 18시간 이하"],"data_source":"SYN-F09-03:D1@v1","goal":"해온 신입교육 개편 교육 개편 발표자료 작성 위임","prior_task_action":"revise","targets":["SYN-F09-03:D1@v1"]}</x:v>
      </x:c>
      <x:c r="E499" s="10" t="str">
        <x:v>{"conditions":["6장 이내","교육 승인위원회용","대상 기간 입사 후 3주","숙박비 제외","외부 발송 없음","참가자당 교육시간 18시간 이하"],"data_source":"SYN-F09-03:D2@v1","goal":"해온 신입교육 개편 교육 개편 발표자료 작성 위임","prior_task_action":"revise","targets":["SYN-F09-03:D2@v1"]}</x:v>
      </x:c>
      <x:c r="F499" s="10" t="n">
        <x:f>IF(D499=E499,1,0)</x:f>
        <x:v>0</x:v>
      </x:c>
      <x:c r="G499" s="10" t="str">
        <x:v>현재 입력과 원본의 대상 관계를 잘못 연결</x:v>
      </x:c>
    </x:row>
    <x:row r="500" ht="145" customHeight="1">
      <x:c r="A500" s="10" t="str">
        <x:v>T-EXEC</x:v>
      </x:c>
      <x:c r="B500" s="10" t="str">
        <x:v>TEXT</x:v>
      </x:c>
      <x:c r="C500" s="10" t="str">
        <x:v>TEXT:SYN-F09-03-U01</x:v>
      </x:c>
      <x:c r="D500" s="10" t="str">
        <x:v>{"conditions":["6장 이내","교육 승인위원회용","대상 기간 입사 후 3주","외부 발송 없음","참가자당 교육시간 18시간 이하"],"data_source":"SYN-F09-03:D2@v1","goal":"해온 신입교육 개편 교육 개편 발표자료 작성 위임","prior_task_action":"new","targets":["SYN-F09-03:D2@v1"]}</x:v>
      </x:c>
      <x:c r="E500" s="10" t="str">
        <x:v>{"conditions":["6장 이내","교육 승인위원회용","대상 기간 입사 후 3주","외부 발송 없음","참가자당 교육시간 18시간 이하"],"data_source":"SYN-F09-03:D2@v1","goal":"해온 신입교육 개편 교육 개편 발표자료 작성 위임","prior_task_action":"new","targets":["SYN-F09-03:D2@v1"]}</x:v>
      </x:c>
      <x:c r="F500" s="10" t="n">
        <x:f>IF(D500=E500,1,0)</x:f>
        <x:v>1</x:v>
      </x:c>
      <x:c r="G500" s="10" t="str">
        <x:v>필수 의미와 지칭 집합 일치</x:v>
      </x:c>
    </x:row>
    <x:row r="501" ht="145" customHeight="1">
      <x:c r="A501" s="10" t="str">
        <x:v>T-EXEC</x:v>
      </x:c>
      <x:c r="B501" s="10" t="str">
        <x:v>TEXT</x:v>
      </x:c>
      <x:c r="C501" s="10" t="str">
        <x:v>TEXT:SYN-F09-03-U02</x:v>
      </x:c>
      <x:c r="D501" s="10" t="str">
        <x:v>{"conditions":["6장 이내","교육 승인위원회용","대상 기간 입사 후 3주","숙박비 제외","외부 발송 없음","참가자당 교육시간 18시간 이하"],"data_source":"SYN-F09-03:D1@v1","goal":"해온 신입교육 개편 교육 개편 발표자료 작성 위임","prior_task_action":"revise","targets":["SYN-F09-03:D1@v1"]}</x:v>
      </x:c>
      <x:c r="E501" s="10" t="str">
        <x:v>{"conditions":["6장 이내","교육 승인위원회용","대상 기간 입사 후 3주","숙박비 제외","외부 발송 없음","참가자당 교육시간 18시간 이하"],"data_source":"SYN-F09-03:D2@v1","goal":"해온 신입교육 개편 교육 개편 발표자료 작성 위임","prior_task_action":"revise","targets":["SYN-F09-03:D2@v1"]}</x:v>
      </x:c>
      <x:c r="F501" s="10" t="n">
        <x:f>IF(D501=E501,1,0)</x:f>
        <x:v>0</x:v>
      </x:c>
      <x:c r="G501" s="10" t="str">
        <x:v>현재 입력과 원본의 대상 관계를 잘못 연결</x:v>
      </x:c>
    </x:row>
    <x:row r="502" ht="145" customHeight="1">
      <x:c r="A502" s="10" t="str">
        <x:v>T-REL</x:v>
      </x:c>
      <x:c r="B502" s="10" t="str">
        <x:v>TEXT</x:v>
      </x:c>
      <x:c r="C502" s="10" t="str">
        <x:v>TEXT:SYN-F09-03-U01</x:v>
      </x:c>
      <x:c r="D502" s="10" t="str">
        <x:v>{"conditions":["6장 이내","교육 승인위원회용","대상 기간 입사 후 3주","외부 발송 없음","참가자당 교육시간 18시간 이하"],"data_source":"SYN-F09-03:D2@v1","goal":"해온 신입교육 개편 교육 개편 발표자료 작성 위임","prior_task_action":"new","targets":["SYN-F09-03:D2@v1"]}</x:v>
      </x:c>
      <x:c r="E502" s="10" t="str">
        <x:v>{"conditions":["6장 이내","교육 승인위원회용","대상 기간 입사 후 3주","외부 발송 없음","참가자당 교육시간 18시간 이하"],"data_source":"SYN-F09-03:D2@v1","goal":"해온 신입교육 개편 교육 개편 발표자료 작성 위임","prior_task_action":"new","targets":["SYN-F09-03:D2@v1"]}</x:v>
      </x:c>
      <x:c r="F502" s="10" t="n">
        <x:f>IF(D502=E502,1,0)</x:f>
        <x:v>1</x:v>
      </x:c>
      <x:c r="G502" s="10" t="str">
        <x:v>필수 의미와 지칭 집합 일치</x:v>
      </x:c>
    </x:row>
    <x:row r="503" ht="145" customHeight="1">
      <x:c r="A503" s="10" t="str">
        <x:v>T-REL</x:v>
      </x:c>
      <x:c r="B503" s="10" t="str">
        <x:v>TEXT</x:v>
      </x:c>
      <x:c r="C503" s="10" t="str">
        <x:v>TEXT:SYN-F09-03-U02</x:v>
      </x:c>
      <x:c r="D503" s="10" t="str">
        <x:v>{"conditions":["6장 이내","교육 승인위원회용","대상 기간 입사 후 3주","숙박비 제외","외부 발송 없음","참가자당 교육시간 18시간 이하"],"data_source":"SYN-F09-03:D1@v1","goal":"해온 신입교육 개편 교육 개편 발표자료 작성 위임","prior_task_action":"revise","targets":["SYN-F09-03:D1@v1"]}</x:v>
      </x:c>
      <x:c r="E503" s="10" t="str">
        <x:v>{"conditions":["6장 이내","교육 승인위원회용","대상 기간 입사 후 3주","숙박비 제외","외부 발송 없음","참가자당 교육시간 18시간 이하"],"data_source":"SYN-F09-03:D2@v1","goal":"해온 신입교육 개편 교육 개편 발표자료 작성 위임","prior_task_action":"revise","targets":["SYN-F09-03:D2@v1"]}</x:v>
      </x:c>
      <x:c r="F503" s="10" t="n">
        <x:f>IF(D503=E503,1,0)</x:f>
        <x:v>0</x:v>
      </x:c>
      <x:c r="G503" s="10" t="str">
        <x:v>게시 관계 또는 원본 보완에서 자료 판본을 잘못 연결</x:v>
      </x:c>
    </x:row>
    <x:row r="504" ht="145" customHeight="1">
      <x:c r="A504" s="10" t="str">
        <x:v>T-BASE</x:v>
      </x:c>
      <x:c r="B504" s="10" t="str">
        <x:v>TEXT</x:v>
      </x:c>
      <x:c r="C504" s="10" t="str">
        <x:v>TEXT:SYN-F09-04-U01</x:v>
      </x:c>
      <x:c r="D504" s="10" t="str">
        <x:v>{"conditions":["7장 이내","대상 기간 평일 20일","외부 발송 없음","일일 추가 운행 8회 이하","협력사 운영설명회용"],"data_source":"SYN-F09-04:D1@v1","goal":"라임 배송거점 개선 거점 개선 발표자료 작성 위임","prior_task_action":"new","targets":["SYN-F09-04:D1@v1"]}</x:v>
      </x:c>
      <x:c r="E504" s="10" t="str">
        <x:v>{"conditions":["7장 이내","대상 기간 평일 20일","외부 발송 없음","일일 추가 운행 8회 이하","협력사 운영설명회용"],"data_source":"SYN-F09-04:D1@v1","goal":"라임 배송거점 개선 거점 개선 발표자료 작성 위임","prior_task_action":"new","targets":["SYN-F09-04:D1@v1"]}</x:v>
      </x:c>
      <x:c r="F504" s="10" t="n">
        <x:f>IF(D504=E504,1,0)</x:f>
        <x:v>1</x:v>
      </x:c>
      <x:c r="G504" s="10" t="str">
        <x:v>필수 의미와 지칭 집합 일치</x:v>
      </x:c>
    </x:row>
    <x:row r="505" ht="145" customHeight="1">
      <x:c r="A505" s="10" t="str">
        <x:v>T-BASE</x:v>
      </x:c>
      <x:c r="B505" s="10" t="str">
        <x:v>TEXT</x:v>
      </x:c>
      <x:c r="C505" s="10" t="str">
        <x:v>TEXT:SYN-F09-04-U02</x:v>
      </x:c>
      <x:c r="D505" s="10" t="str">
        <x:v>{"conditions":["7장 이내","대상 기간 평일 20일","외부 발송 없음","일일 추가 운행 8회 이하","차량 구매비 제외","협력사 운영설명회용"],"data_source":"SYN-F09-04:D3@v1","goal":"라임 배송거점 개선 거점 개선 발표자료 작성 위임","prior_task_action":"revise","targets":["SYN-F09-04:D3@v1"]}</x:v>
      </x:c>
      <x:c r="E505" s="10" t="str">
        <x:v>{"conditions":["7장 이내","대상 기간 평일 20일","외부 발송 없음","일일 추가 운행 8회 이하","차량 구매비 제외","협력사 운영설명회용"],"data_source":"SYN-F09-04:D3@v1","goal":"라임 배송거점 개선 거점 개선 발표자료 작성 위임","prior_task_action":"revise","targets":["SYN-F09-04:D3@v1"]}</x:v>
      </x:c>
      <x:c r="F505" s="10" t="n">
        <x:f>IF(D505=E505,1,0)</x:f>
        <x:v>1</x:v>
      </x:c>
      <x:c r="G505" s="10" t="str">
        <x:v>필수 의미와 지칭 집합 일치</x:v>
      </x:c>
    </x:row>
    <x:row r="506" ht="145" customHeight="1">
      <x:c r="A506" s="10" t="str">
        <x:v>T-EXEC</x:v>
      </x:c>
      <x:c r="B506" s="10" t="str">
        <x:v>TEXT</x:v>
      </x:c>
      <x:c r="C506" s="10" t="str">
        <x:v>TEXT:SYN-F09-04-U01</x:v>
      </x:c>
      <x:c r="D506" s="10" t="str">
        <x:v>{"conditions":["7장 이내","대상 기간 평일 20일","외부 발송 없음","일일 추가 운행 8회 이하","협력사 운영설명회용"],"data_source":"SYN-F09-04:D1@v1","goal":"라임 배송거점 개선 거점 개선 발표자료 작성 위임","prior_task_action":"new","targets":["SYN-F09-04:D1@v1"]}</x:v>
      </x:c>
      <x:c r="E506" s="10" t="str">
        <x:v>{"conditions":["7장 이내","대상 기간 평일 20일","외부 발송 없음","일일 추가 운행 8회 이하","협력사 운영설명회용"],"data_source":"SYN-F09-04:D1@v1","goal":"라임 배송거점 개선 거점 개선 발표자료 작성 위임","prior_task_action":"new","targets":["SYN-F09-04:D1@v1"]}</x:v>
      </x:c>
      <x:c r="F506" s="10" t="n">
        <x:f>IF(D506=E506,1,0)</x:f>
        <x:v>1</x:v>
      </x:c>
      <x:c r="G506" s="10" t="str">
        <x:v>필수 의미와 지칭 집합 일치</x:v>
      </x:c>
    </x:row>
    <x:row r="507" ht="145" customHeight="1">
      <x:c r="A507" s="10" t="str">
        <x:v>T-EXEC</x:v>
      </x:c>
      <x:c r="B507" s="10" t="str">
        <x:v>TEXT</x:v>
      </x:c>
      <x:c r="C507" s="10" t="str">
        <x:v>TEXT:SYN-F09-04-U02</x:v>
      </x:c>
      <x:c r="D507" s="10" t="str">
        <x:v>{"conditions":["7장 이내","대상 기간 평일 20일","외부 발송 없음","일일 추가 운행 8회 이하","차량 구매비 제외","협력사 운영설명회용"],"data_source":"SYN-F09-04:D3@v1","goal":"라임 배송거점 개선 거점 개선 발표자료 작성 위임","prior_task_action":"revise","targets":["SYN-F09-04:D3@v1"]}</x:v>
      </x:c>
      <x:c r="E507" s="10" t="str">
        <x:v>{"conditions":["7장 이내","대상 기간 평일 20일","외부 발송 없음","일일 추가 운행 8회 이하","차량 구매비 제외","협력사 운영설명회용"],"data_source":"SYN-F09-04:D3@v1","goal":"라임 배송거점 개선 거점 개선 발표자료 작성 위임","prior_task_action":"revise","targets":["SYN-F09-04:D3@v1"]}</x:v>
      </x:c>
      <x:c r="F507" s="10" t="n">
        <x:f>IF(D507=E507,1,0)</x:f>
        <x:v>1</x:v>
      </x:c>
      <x:c r="G507" s="10" t="str">
        <x:v>필수 의미와 지칭 집합 일치</x:v>
      </x:c>
    </x:row>
    <x:row r="508" ht="145" customHeight="1">
      <x:c r="A508" s="10" t="str">
        <x:v>T-REL</x:v>
      </x:c>
      <x:c r="B508" s="10" t="str">
        <x:v>TEXT</x:v>
      </x:c>
      <x:c r="C508" s="10" t="str">
        <x:v>TEXT:SYN-F09-04-U01</x:v>
      </x:c>
      <x:c r="D508" s="10" t="str">
        <x:v>{"conditions":["7장 이내","대상 기간 평일 20일","외부 발송 없음","일일 추가 운행 8회 이하","협력사 운영설명회용"],"data_source":"SYN-F09-04:D1@v1","goal":"라임 배송거점 개선 거점 개선 발표자료 작성 위임","prior_task_action":"new","targets":["SYN-F09-04:D1@v1"]}</x:v>
      </x:c>
      <x:c r="E508" s="10" t="str">
        <x:v>{"conditions":["7장 이내","대상 기간 평일 20일","외부 발송 없음","일일 추가 운행 8회 이하","협력사 운영설명회용"],"data_source":"SYN-F09-04:D1@v1","goal":"라임 배송거점 개선 거점 개선 발표자료 작성 위임","prior_task_action":"new","targets":["SYN-F09-04:D1@v1"]}</x:v>
      </x:c>
      <x:c r="F508" s="10" t="n">
        <x:f>IF(D508=E508,1,0)</x:f>
        <x:v>1</x:v>
      </x:c>
      <x:c r="G508" s="10" t="str">
        <x:v>필수 의미와 지칭 집합 일치</x:v>
      </x:c>
    </x:row>
    <x:row r="509" ht="145" customHeight="1">
      <x:c r="A509" s="10" t="str">
        <x:v>T-REL</x:v>
      </x:c>
      <x:c r="B509" s="10" t="str">
        <x:v>TEXT</x:v>
      </x:c>
      <x:c r="C509" s="10" t="str">
        <x:v>TEXT:SYN-F09-04-U02</x:v>
      </x:c>
      <x:c r="D509" s="10" t="str">
        <x:v>{"conditions":["7장 이내","대상 기간 평일 20일","외부 발송 없음","일일 추가 운행 8회 이하","차량 구매비 제외","협력사 운영설명회용"],"data_source":"SYN-F09-04:D3@v1","goal":"라임 배송거점 개선 거점 개선 발표자료 작성 위임","prior_task_action":"revise","targets":["SYN-F09-04:D3@v1"]}</x:v>
      </x:c>
      <x:c r="E509" s="10" t="str">
        <x:v>{"conditions":["7장 이내","대상 기간 평일 20일","외부 발송 없음","일일 추가 운행 8회 이하","차량 구매비 제외","협력사 운영설명회용"],"data_source":"SYN-F09-04:D3@v1","goal":"라임 배송거점 개선 거점 개선 발표자료 작성 위임","prior_task_action":"revise","targets":["SYN-F09-04:D3@v1"]}</x:v>
      </x:c>
      <x:c r="F509" s="10" t="n">
        <x:f>IF(D509=E509,1,0)</x:f>
        <x:v>1</x:v>
      </x:c>
      <x:c r="G509" s="10" t="str">
        <x:v>필수 의미와 지칭 집합 일치</x:v>
      </x:c>
    </x:row>
    <x:row r="510" ht="145" customHeight="1">
      <x:c r="A510" s="10" t="str">
        <x:v>T-BASE</x:v>
      </x:c>
      <x:c r="B510" s="10" t="str">
        <x:v>TEXT</x:v>
      </x:c>
      <x:c r="C510" s="10" t="str">
        <x:v>TEXT:SYN-F09-05-U01</x:v>
      </x:c>
      <x:c r="D510" s="10" t="str">
        <x:v>{"conditions":["5장 이내","대상 기간 교체 후 6개월","외부 발송 없음","입주사 설명회용","층별 정전 30분 이하"],"data_source":"SYN-F09-05:D3@v1","goal":"가온 사무실 조명교체 조명 교체 검토자료 작성 위임","prior_task_action":"new","targets":["SYN-F09-05:D3@v1"]}</x:v>
      </x:c>
      <x:c r="E510" s="10" t="str">
        <x:v>{"conditions":["5장 이내","대상 기간 교체 후 6개월","외부 발송 없음","입주사 설명회용","층별 정전 30분 이하"],"data_source":"SYN-F09-05:D3@v1","goal":"가온 사무실 조명교체 조명 교체 검토자료 작성 위임","prior_task_action":"new","targets":["SYN-F09-05:D3@v1"]}</x:v>
      </x:c>
      <x:c r="F510" s="10" t="n">
        <x:f>IF(D510=E510,1,0)</x:f>
        <x:v>1</x:v>
      </x:c>
      <x:c r="G510" s="10" t="str">
        <x:v>필수 의미와 지칭 집합 일치</x:v>
      </x:c>
    </x:row>
    <x:row r="511" ht="145" customHeight="1">
      <x:c r="A511" s="10" t="str">
        <x:v>T-BASE</x:v>
      </x:c>
      <x:c r="B511" s="10" t="str">
        <x:v>TEXT</x:v>
      </x:c>
      <x:c r="C511" s="10" t="str">
        <x:v>TEXT:SYN-F09-05-U02</x:v>
      </x:c>
      <x:c r="D511" s="10" t="str">
        <x:v>{"conditions":["5장 이내","대상 기간 교체 후 6개월","외부 발송 없음","입주사 설명회용","철거비 제외","층별 정전 30분 이하"],"data_source":"SYN-F09-05:D2@v1","goal":"가온 사무실 조명교체 조명 교체 검토자료 작성 위임","prior_task_action":"revise","targets":["SYN-F09-05:D2@v1"]}</x:v>
      </x:c>
      <x:c r="E511" s="10" t="str">
        <x:v>{"conditions":["5장 이내","대상 기간 교체 후 6개월","외부 발송 없음","입주사 설명회용","철거비 제외","층별 정전 30분 이하"],"data_source":"SYN-F09-05:D2@v1","goal":"가온 사무실 조명교체 조명 교체 검토자료 작성 위임","prior_task_action":"revise","targets":["SYN-F09-05:D2@v1"]}</x:v>
      </x:c>
      <x:c r="F511" s="10" t="n">
        <x:f>IF(D511=E511,1,0)</x:f>
        <x:v>1</x:v>
      </x:c>
      <x:c r="G511" s="10" t="str">
        <x:v>필수 의미와 지칭 집합 일치</x:v>
      </x:c>
    </x:row>
    <x:row r="512" ht="145" customHeight="1">
      <x:c r="A512" s="10" t="str">
        <x:v>T-EXEC</x:v>
      </x:c>
      <x:c r="B512" s="10" t="str">
        <x:v>TEXT</x:v>
      </x:c>
      <x:c r="C512" s="10" t="str">
        <x:v>TEXT:SYN-F09-05-U01</x:v>
      </x:c>
      <x:c r="D512" s="10" t="str">
        <x:v>{"conditions":["5장 이내","대상 기간 교체 후 6개월","외부 발송 없음","입주사 설명회용","층별 정전 30분 이하"],"data_source":"SYN-F09-05:D3@v1","goal":"가온 사무실 조명교체 조명 교체 검토자료 작성 위임","prior_task_action":"new","targets":["SYN-F09-05:D3@v1"]}</x:v>
      </x:c>
      <x:c r="E512" s="10" t="str">
        <x:v>{"conditions":["5장 이내","대상 기간 교체 후 6개월","외부 발송 없음","입주사 설명회용","층별 정전 30분 이하"],"data_source":"SYN-F09-05:D3@v1","goal":"가온 사무실 조명교체 조명 교체 검토자료 작성 위임","prior_task_action":"new","targets":["SYN-F09-05:D3@v1"]}</x:v>
      </x:c>
      <x:c r="F512" s="10" t="n">
        <x:f>IF(D512=E512,1,0)</x:f>
        <x:v>1</x:v>
      </x:c>
      <x:c r="G512" s="10" t="str">
        <x:v>필수 의미와 지칭 집합 일치</x:v>
      </x:c>
    </x:row>
    <x:row r="513" ht="145" customHeight="1">
      <x:c r="A513" s="10" t="str">
        <x:v>T-EXEC</x:v>
      </x:c>
      <x:c r="B513" s="10" t="str">
        <x:v>TEXT</x:v>
      </x:c>
      <x:c r="C513" s="10" t="str">
        <x:v>TEXT:SYN-F09-05-U02</x:v>
      </x:c>
      <x:c r="D513" s="10" t="str">
        <x:v>{"conditions":["5장 이내","대상 기간 교체 후 6개월","외부 발송 없음","입주사 설명회용","철거비 제외","층별 정전 30분 이하"],"data_source":"SYN-F09-05:D2@v1","goal":"가온 사무실 조명교체 조명 교체 검토자료 작성 위임","prior_task_action":"revise","targets":["SYN-F09-05:D2@v1"]}</x:v>
      </x:c>
      <x:c r="E513" s="10" t="str">
        <x:v>{"conditions":["5장 이내","대상 기간 교체 후 6개월","외부 발송 없음","입주사 설명회용","철거비 제외","층별 정전 30분 이하"],"data_source":"SYN-F09-05:D2@v1","goal":"가온 사무실 조명교체 조명 교체 검토자료 작성 위임","prior_task_action":"revise","targets":["SYN-F09-05:D2@v1"]}</x:v>
      </x:c>
      <x:c r="F513" s="10" t="n">
        <x:f>IF(D513=E513,1,0)</x:f>
        <x:v>1</x:v>
      </x:c>
      <x:c r="G513" s="10" t="str">
        <x:v>필수 의미와 지칭 집합 일치</x:v>
      </x:c>
    </x:row>
    <x:row r="514" ht="145" customHeight="1">
      <x:c r="A514" s="10" t="str">
        <x:v>T-REL</x:v>
      </x:c>
      <x:c r="B514" s="10" t="str">
        <x:v>TEXT</x:v>
      </x:c>
      <x:c r="C514" s="10" t="str">
        <x:v>TEXT:SYN-F09-05-U01</x:v>
      </x:c>
      <x:c r="D514" s="10" t="str">
        <x:v>{"conditions":["5장 이내","대상 기간 교체 후 6개월","외부 발송 없음","입주사 설명회용","층별 정전 30분 이하"],"data_source":"SYN-F09-05:D3@v1","goal":"가온 사무실 조명교체 조명 교체 검토자료 작성 위임","prior_task_action":"new","targets":["SYN-F09-05:D3@v1"]}</x:v>
      </x:c>
      <x:c r="E514" s="10" t="str">
        <x:v>{"conditions":["5장 이내","대상 기간 교체 후 6개월","외부 발송 없음","입주사 설명회용","층별 정전 30분 이하"],"data_source":"SYN-F09-05:D3@v1","goal":"가온 사무실 조명교체 조명 교체 검토자료 작성 위임","prior_task_action":"new","targets":["SYN-F09-05:D3@v1"]}</x:v>
      </x:c>
      <x:c r="F514" s="10" t="n">
        <x:f>IF(D514=E514,1,0)</x:f>
        <x:v>1</x:v>
      </x:c>
      <x:c r="G514" s="10" t="str">
        <x:v>필수 의미와 지칭 집합 일치</x:v>
      </x:c>
    </x:row>
    <x:row r="515" ht="145" customHeight="1">
      <x:c r="A515" s="10" t="str">
        <x:v>T-REL</x:v>
      </x:c>
      <x:c r="B515" s="10" t="str">
        <x:v>TEXT</x:v>
      </x:c>
      <x:c r="C515" s="10" t="str">
        <x:v>TEXT:SYN-F09-05-U02</x:v>
      </x:c>
      <x:c r="D515" s="10" t="str">
        <x:v>{"conditions":["5장 이내","대상 기간 교체 후 6개월","외부 발송 없음","입주사 설명회용","철거비 제외","층별 정전 30분 이하"],"data_source":"SYN-F09-05:D2@v1","goal":"가온 사무실 조명교체 조명 교체 검토자료 작성 위임","prior_task_action":"revise","targets":["SYN-F09-05:D2@v1"]}</x:v>
      </x:c>
      <x:c r="E515" s="10" t="str">
        <x:v>{"conditions":["5장 이내","대상 기간 교체 후 6개월","외부 발송 없음","입주사 설명회용","철거비 제외","층별 정전 30분 이하"],"data_source":"SYN-F09-05:D2@v1","goal":"가온 사무실 조명교체 조명 교체 검토자료 작성 위임","prior_task_action":"revise","targets":["SYN-F09-05:D2@v1"]}</x:v>
      </x:c>
      <x:c r="F515" s="10" t="n">
        <x:f>IF(D515=E515,1,0)</x:f>
        <x:v>1</x:v>
      </x:c>
      <x:c r="G515" s="10" t="str">
        <x:v>필수 의미와 지칭 집합 일치</x:v>
      </x:c>
    </x:row>
    <x:row r="516" ht="145" customHeight="1">
      <x:c r="A516" s="10" t="str">
        <x:v>T-BASE</x:v>
      </x:c>
      <x:c r="B516" s="10" t="str">
        <x:v>TEXT</x:v>
      </x:c>
      <x:c r="C516" s="10" t="str">
        <x:v>TEXT:SYN-F09-06-U01</x:v>
      </x:c>
      <x:c r="D516" s="10" t="str">
        <x:v>{"conditions":["8장 이내","대상 기간 행사 2일","외부 발송 없음","참여기업 안내회용","현장 대기 20분 이하"],"data_source":"SYN-F09-06:D2@v1","goal":"별빛 채용행사 준비 행사 운영 발표자료 작성 위임","prior_task_action":"new","targets":["SYN-F09-06:D2@v1"]}</x:v>
      </x:c>
      <x:c r="E516" s="10" t="str">
        <x:v>{"conditions":["8장 이내","대상 기간 행사 2일","외부 발송 없음","참여기업 안내회용","현장 대기 20분 이하"],"data_source":"SYN-F09-06:D2@v1","goal":"별빛 채용행사 준비 행사 운영 발표자료 작성 위임","prior_task_action":"new","targets":["SYN-F09-06:D2@v1"]}</x:v>
      </x:c>
      <x:c r="F516" s="10" t="n">
        <x:f>IF(D516=E516,1,0)</x:f>
        <x:v>1</x:v>
      </x:c>
      <x:c r="G516" s="10" t="str">
        <x:v>필수 의미와 지칭 집합 일치</x:v>
      </x:c>
    </x:row>
    <x:row r="517" ht="145" customHeight="1">
      <x:c r="A517" s="10" t="str">
        <x:v>T-BASE</x:v>
      </x:c>
      <x:c r="B517" s="10" t="str">
        <x:v>TEXT</x:v>
      </x:c>
      <x:c r="C517" s="10" t="str">
        <x:v>TEXT:SYN-F09-06-U02</x:v>
      </x:c>
      <x:c r="D517" s="10" t="str">
        <x:v>{"conditions":["8장 이내","대상 기간 행사 2일","외부 발송 없음","참여기업 안내회용","현장 대기 20분 이하","홍보물 인쇄비 제외"],"data_source":"SYN-F09-06:D1@v1","goal":"별빛 채용행사 준비 행사 운영 발표자료 작성 위임","prior_task_action":"revise","targets":["SYN-F09-06:D1@v1"]}</x:v>
      </x:c>
      <x:c r="E517" s="10" t="str">
        <x:v>{"conditions":["8장 이내","대상 기간 행사 2일","외부 발송 없음","참여기업 안내회용","현장 대기 20분 이하","홍보물 인쇄비 제외"],"data_source":"SYN-F09-06:D2@v1","goal":"별빛 채용행사 준비 행사 운영 발표자료 작성 위임","prior_task_action":"revise","targets":["SYN-F09-06:D2@v1"]}</x:v>
      </x:c>
      <x:c r="F517" s="10" t="n">
        <x:f>IF(D517=E517,1,0)</x:f>
        <x:v>0</x:v>
      </x:c>
      <x:c r="G517" s="10" t="str">
        <x:v>현재 입력과 원본의 대상 관계를 잘못 연결</x:v>
      </x:c>
    </x:row>
    <x:row r="518" ht="145" customHeight="1">
      <x:c r="A518" s="10" t="str">
        <x:v>T-EXEC</x:v>
      </x:c>
      <x:c r="B518" s="10" t="str">
        <x:v>TEXT</x:v>
      </x:c>
      <x:c r="C518" s="10" t="str">
        <x:v>TEXT:SYN-F09-06-U01</x:v>
      </x:c>
      <x:c r="D518" s="10" t="str">
        <x:v>{"conditions":["8장 이내","대상 기간 행사 2일","외부 발송 없음","참여기업 안내회용","현장 대기 20분 이하"],"data_source":"SYN-F09-06:D2@v1","goal":"별빛 채용행사 준비 행사 운영 발표자료 작성 위임","prior_task_action":"new","targets":["SYN-F09-06:D2@v1"]}</x:v>
      </x:c>
      <x:c r="E518" s="10" t="str">
        <x:v>{"conditions":["8장 이내","대상 기간 행사 2일","외부 발송 없음","참여기업 안내회용","현장 대기 20분 이하"],"data_source":"SYN-F09-06:D2@v1","goal":"별빛 채용행사 준비 행사 운영 발표자료 작성 위임","prior_task_action":"new","targets":["SYN-F09-06:D2@v1"]}</x:v>
      </x:c>
      <x:c r="F518" s="10" t="n">
        <x:f>IF(D518=E518,1,0)</x:f>
        <x:v>1</x:v>
      </x:c>
      <x:c r="G518" s="10" t="str">
        <x:v>필수 의미와 지칭 집합 일치</x:v>
      </x:c>
    </x:row>
    <x:row r="519" ht="145" customHeight="1">
      <x:c r="A519" s="10" t="str">
        <x:v>T-EXEC</x:v>
      </x:c>
      <x:c r="B519" s="10" t="str">
        <x:v>TEXT</x:v>
      </x:c>
      <x:c r="C519" s="10" t="str">
        <x:v>TEXT:SYN-F09-06-U02</x:v>
      </x:c>
      <x:c r="D519" s="10" t="str">
        <x:v>{"conditions":["8장 이내","대상 기간 행사 2일","외부 발송 없음","참여기업 안내회용","현장 대기 20분 이하","홍보물 인쇄비 제외"],"data_source":"SYN-F09-06:D1@v1","goal":"별빛 채용행사 준비 행사 운영 발표자료 작성 위임","prior_task_action":"revise","targets":["SYN-F09-06:D1@v1"]}</x:v>
      </x:c>
      <x:c r="E519" s="10" t="str">
        <x:v>{"conditions":["8장 이내","대상 기간 행사 2일","외부 발송 없음","참여기업 안내회용","현장 대기 20분 이하","홍보물 인쇄비 제외"],"data_source":"SYN-F09-06:D2@v1","goal":"별빛 채용행사 준비 행사 운영 발표자료 작성 위임","prior_task_action":"revise","targets":["SYN-F09-06:D2@v1"]}</x:v>
      </x:c>
      <x:c r="F519" s="10" t="n">
        <x:f>IF(D519=E519,1,0)</x:f>
        <x:v>0</x:v>
      </x:c>
      <x:c r="G519" s="10" t="str">
        <x:v>현재 입력과 원본의 대상 관계를 잘못 연결</x:v>
      </x:c>
    </x:row>
    <x:row r="520" ht="145" customHeight="1">
      <x:c r="A520" s="10" t="str">
        <x:v>T-REL</x:v>
      </x:c>
      <x:c r="B520" s="10" t="str">
        <x:v>TEXT</x:v>
      </x:c>
      <x:c r="C520" s="10" t="str">
        <x:v>TEXT:SYN-F09-06-U01</x:v>
      </x:c>
      <x:c r="D520" s="10" t="str">
        <x:v>{"conditions":["8장 이내","대상 기간 행사 2일","외부 발송 없음","참여기업 안내회용","현장 대기 20분 이하"],"data_source":"SYN-F09-06:D2@v1","goal":"별빛 채용행사 준비 행사 운영 발표자료 작성 위임","prior_task_action":"new","targets":["SYN-F09-06:D2@v1"]}</x:v>
      </x:c>
      <x:c r="E520" s="10" t="str">
        <x:v>{"conditions":["8장 이내","대상 기간 행사 2일","외부 발송 없음","참여기업 안내회용","현장 대기 20분 이하"],"data_source":"SYN-F09-06:D2@v1","goal":"별빛 채용행사 준비 행사 운영 발표자료 작성 위임","prior_task_action":"new","targets":["SYN-F09-06:D2@v1"]}</x:v>
      </x:c>
      <x:c r="F520" s="10" t="n">
        <x:f>IF(D520=E520,1,0)</x:f>
        <x:v>1</x:v>
      </x:c>
      <x:c r="G520" s="10" t="str">
        <x:v>필수 의미와 지칭 집합 일치</x:v>
      </x:c>
    </x:row>
    <x:row r="521" ht="145" customHeight="1">
      <x:c r="A521" s="10" t="str">
        <x:v>T-REL</x:v>
      </x:c>
      <x:c r="B521" s="10" t="str">
        <x:v>TEXT</x:v>
      </x:c>
      <x:c r="C521" s="10" t="str">
        <x:v>TEXT:SYN-F09-06-U02</x:v>
      </x:c>
      <x:c r="D521" s="10" t="str">
        <x:v>{"conditions":["8장 이내","대상 기간 행사 2일","외부 발송 없음","참여기업 안내회용","현장 대기 20분 이하","홍보물 인쇄비 제외"],"data_source":"SYN-F09-06:D1@v1","goal":"별빛 채용행사 준비 행사 운영 발표자료 작성 위임","prior_task_action":"revise","targets":["SYN-F09-06:D1@v1"]}</x:v>
      </x:c>
      <x:c r="E521" s="10" t="str">
        <x:v>{"conditions":["8장 이내","대상 기간 행사 2일","외부 발송 없음","참여기업 안내회용","현장 대기 20분 이하","홍보물 인쇄비 제외"],"data_source":"SYN-F09-06:D2@v1","goal":"별빛 채용행사 준비 행사 운영 발표자료 작성 위임","prior_task_action":"revise","targets":["SYN-F09-06:D2@v1"]}</x:v>
      </x:c>
      <x:c r="F521" s="10" t="n">
        <x:f>IF(D521=E521,1,0)</x:f>
        <x:v>0</x:v>
      </x:c>
      <x:c r="G521" s="10" t="str">
        <x:v>게시 관계 또는 원본 보완에서 자료 판본을 잘못 연결</x:v>
      </x:c>
    </x:row>
    <x:row r="522" ht="145" customHeight="1">
      <x:c r="A522" s="10" t="str">
        <x:v>T-BASE</x:v>
      </x:c>
      <x:c r="B522" s="10" t="str">
        <x:v>TEXT</x:v>
      </x:c>
      <x:c r="C522" s="10" t="str">
        <x:v>TEXT:SYN-F09-07-U01</x:v>
      </x:c>
      <x:c r="D522" s="10" t="str">
        <x:v>{"conditions":["6장 이내","납품처 품질설명회용","대상 기간 다음 8주","샘플 검사 45분 이하","외부 발송 없음"],"data_source":"SYN-F09-07:D1@v1","goal":"청솔 부품검사 개선 검사 개선 발표자료 작성 위임","prior_task_action":"new","targets":["SYN-F09-07:D1@v1"]}</x:v>
      </x:c>
      <x:c r="E522" s="10" t="str">
        <x:v>{"conditions":["6장 이내","납품처 품질설명회용","대상 기간 다음 8주","샘플 검사 45분 이하","외부 발송 없음"],"data_source":"SYN-F09-07:D1@v1","goal":"청솔 부품검사 개선 검사 개선 발표자료 작성 위임","prior_task_action":"new","targets":["SYN-F09-07:D1@v1"]}</x:v>
      </x:c>
      <x:c r="F522" s="10" t="n">
        <x:f>IF(D522=E522,1,0)</x:f>
        <x:v>1</x:v>
      </x:c>
      <x:c r="G522" s="10" t="str">
        <x:v>필수 의미와 지칭 집합 일치</x:v>
      </x:c>
    </x:row>
    <x:row r="523" ht="145" customHeight="1">
      <x:c r="A523" s="10" t="str">
        <x:v>T-BASE</x:v>
      </x:c>
      <x:c r="B523" s="10" t="str">
        <x:v>TEXT</x:v>
      </x:c>
      <x:c r="C523" s="10" t="str">
        <x:v>TEXT:SYN-F09-07-U02</x:v>
      </x:c>
      <x:c r="D523" s="10" t="str">
        <x:v>{"conditions":["6장 이내","검사장비 구입비 제외","납품처 품질설명회용","대상 기간 다음 8주","샘플 검사 45분 이하","외부 발송 없음"],"data_source":"SYN-F09-07:D3@v1","goal":"청솔 부품검사 개선 검사 개선 발표자료 작성 위임","prior_task_action":"revise","targets":["SYN-F09-07:D3@v1"]}</x:v>
      </x:c>
      <x:c r="E523" s="10" t="str">
        <x:v>{"conditions":["6장 이내","검사장비 구입비 제외","납품처 품질설명회용","대상 기간 다음 8주","샘플 검사 45분 이하","외부 발송 없음"],"data_source":"SYN-F09-07:D3@v1","goal":"청솔 부품검사 개선 검사 개선 발표자료 작성 위임","prior_task_action":"revise","targets":["SYN-F09-07:D3@v1"]}</x:v>
      </x:c>
      <x:c r="F523" s="10" t="n">
        <x:f>IF(D523=E523,1,0)</x:f>
        <x:v>1</x:v>
      </x:c>
      <x:c r="G523" s="10" t="str">
        <x:v>필수 의미와 지칭 집합 일치</x:v>
      </x:c>
    </x:row>
    <x:row r="524" ht="145" customHeight="1">
      <x:c r="A524" s="10" t="str">
        <x:v>T-EXEC</x:v>
      </x:c>
      <x:c r="B524" s="10" t="str">
        <x:v>TEXT</x:v>
      </x:c>
      <x:c r="C524" s="10" t="str">
        <x:v>TEXT:SYN-F09-07-U01</x:v>
      </x:c>
      <x:c r="D524" s="10" t="str">
        <x:v>{"conditions":["6장 이내","납품처 품질설명회용","대상 기간 다음 8주","샘플 검사 45분 이하","외부 발송 없음"],"data_source":"SYN-F09-07:D1@v1","goal":"청솔 부품검사 개선 검사 개선 발표자료 작성 위임","prior_task_action":"new","targets":["SYN-F09-07:D1@v1"]}</x:v>
      </x:c>
      <x:c r="E524" s="10" t="str">
        <x:v>{"conditions":["6장 이내","납품처 품질설명회용","대상 기간 다음 8주","샘플 검사 45분 이하","외부 발송 없음"],"data_source":"SYN-F09-07:D1@v1","goal":"청솔 부품검사 개선 검사 개선 발표자료 작성 위임","prior_task_action":"new","targets":["SYN-F09-07:D1@v1"]}</x:v>
      </x:c>
      <x:c r="F524" s="10" t="n">
        <x:f>IF(D524=E524,1,0)</x:f>
        <x:v>1</x:v>
      </x:c>
      <x:c r="G524" s="10" t="str">
        <x:v>필수 의미와 지칭 집합 일치</x:v>
      </x:c>
    </x:row>
    <x:row r="525" ht="145" customHeight="1">
      <x:c r="A525" s="10" t="str">
        <x:v>T-EXEC</x:v>
      </x:c>
      <x:c r="B525" s="10" t="str">
        <x:v>TEXT</x:v>
      </x:c>
      <x:c r="C525" s="10" t="str">
        <x:v>TEXT:SYN-F09-07-U02</x:v>
      </x:c>
      <x:c r="D525" s="10" t="str">
        <x:v>{"conditions":["6장 이내","검사장비 구입비 제외","납품처 품질설명회용","대상 기간 다음 8주","샘플 검사 45분 이하","외부 발송 없음"],"data_source":"SYN-F09-07:D3@v1","goal":"청솔 부품검사 개선 검사 개선 발표자료 작성 위임","prior_task_action":"revise","targets":["SYN-F09-07:D3@v1"]}</x:v>
      </x:c>
      <x:c r="E525" s="10" t="str">
        <x:v>{"conditions":["6장 이내","검사장비 구입비 제외","납품처 품질설명회용","대상 기간 다음 8주","샘플 검사 45분 이하","외부 발송 없음"],"data_source":"SYN-F09-07:D3@v1","goal":"청솔 부품검사 개선 검사 개선 발표자료 작성 위임","prior_task_action":"revise","targets":["SYN-F09-07:D3@v1"]}</x:v>
      </x:c>
      <x:c r="F525" s="10" t="n">
        <x:f>IF(D525=E525,1,0)</x:f>
        <x:v>1</x:v>
      </x:c>
      <x:c r="G525" s="10" t="str">
        <x:v>필수 의미와 지칭 집합 일치</x:v>
      </x:c>
    </x:row>
    <x:row r="526" ht="145" customHeight="1">
      <x:c r="A526" s="10" t="str">
        <x:v>T-REL</x:v>
      </x:c>
      <x:c r="B526" s="10" t="str">
        <x:v>TEXT</x:v>
      </x:c>
      <x:c r="C526" s="10" t="str">
        <x:v>TEXT:SYN-F09-07-U01</x:v>
      </x:c>
      <x:c r="D526" s="10" t="str">
        <x:v>{"conditions":["6장 이내","납품처 품질설명회용","대상 기간 다음 8주","샘플 검사 45분 이하","외부 발송 없음"],"data_source":"SYN-F09-07:D1@v1","goal":"청솔 부품검사 개선 검사 개선 발표자료 작성 위임","prior_task_action":"new","targets":["SYN-F09-07:D1@v1"]}</x:v>
      </x:c>
      <x:c r="E526" s="10" t="str">
        <x:v>{"conditions":["6장 이내","납품처 품질설명회용","대상 기간 다음 8주","샘플 검사 45분 이하","외부 발송 없음"],"data_source":"SYN-F09-07:D1@v1","goal":"청솔 부품검사 개선 검사 개선 발표자료 작성 위임","prior_task_action":"new","targets":["SYN-F09-07:D1@v1"]}</x:v>
      </x:c>
      <x:c r="F526" s="10" t="n">
        <x:f>IF(D526=E526,1,0)</x:f>
        <x:v>1</x:v>
      </x:c>
      <x:c r="G526" s="10" t="str">
        <x:v>필수 의미와 지칭 집합 일치</x:v>
      </x:c>
    </x:row>
    <x:row r="527" ht="145" customHeight="1">
      <x:c r="A527" s="10" t="str">
        <x:v>T-REL</x:v>
      </x:c>
      <x:c r="B527" s="10" t="str">
        <x:v>TEXT</x:v>
      </x:c>
      <x:c r="C527" s="10" t="str">
        <x:v>TEXT:SYN-F09-07-U02</x:v>
      </x:c>
      <x:c r="D527" s="10" t="str">
        <x:v>{"conditions":["6장 이내","검사장비 구입비 제외","납품처 품질설명회용","대상 기간 다음 8주","샘플 검사 45분 이하","외부 발송 없음"],"data_source":"SYN-F09-07:D3@v1","goal":"청솔 부품검사 개선 검사 개선 발표자료 작성 위임","prior_task_action":"revise","targets":["SYN-F09-07:D3@v1"]}</x:v>
      </x:c>
      <x:c r="E527" s="10" t="str">
        <x:v>{"conditions":["6장 이내","검사장비 구입비 제외","납품처 품질설명회용","대상 기간 다음 8주","샘플 검사 45분 이하","외부 발송 없음"],"data_source":"SYN-F09-07:D3@v1","goal":"청솔 부품검사 개선 검사 개선 발표자료 작성 위임","prior_task_action":"revise","targets":["SYN-F09-07:D3@v1"]}</x:v>
      </x:c>
      <x:c r="F527" s="10" t="n">
        <x:f>IF(D527=E527,1,0)</x:f>
        <x:v>1</x:v>
      </x:c>
      <x:c r="G527" s="10" t="str">
        <x:v>필수 의미와 지칭 집합 일치</x:v>
      </x:c>
    </x:row>
    <x:row r="528" ht="145" customHeight="1">
      <x:c r="A528" s="10" t="str">
        <x:v>T-BASE</x:v>
      </x:c>
      <x:c r="B528" s="10" t="str">
        <x:v>TEXT</x:v>
      </x:c>
      <x:c r="C528" s="10" t="str">
        <x:v>TEXT:SYN-F09-08-U01</x:v>
      </x:c>
      <x:c r="D528" s="10" t="str">
        <x:v>{"conditions":["4장 이내","대상 기간 운영 5주","안내문 500자 이하","외부 발송 없음","지역 파트너 설명회용"],"data_source":"SYN-F09-08:D3@v1","goal":"노을 서비스 캠페인 캠페인 계획 발표자료 작성 위임","prior_task_action":"new","targets":["SYN-F09-08:D3@v1"]}</x:v>
      </x:c>
      <x:c r="E528" s="10" t="str">
        <x:v>{"conditions":["4장 이내","대상 기간 운영 5주","안내문 500자 이하","외부 발송 없음","지역 파트너 설명회용"],"data_source":"SYN-F09-08:D3@v1","goal":"노을 서비스 캠페인 캠페인 계획 발표자료 작성 위임","prior_task_action":"new","targets":["SYN-F09-08:D3@v1"]}</x:v>
      </x:c>
      <x:c r="F528" s="10" t="n">
        <x:f>IF(D528=E528,1,0)</x:f>
        <x:v>1</x:v>
      </x:c>
      <x:c r="G528" s="10" t="str">
        <x:v>필수 의미와 지칭 집합 일치</x:v>
      </x:c>
    </x:row>
    <x:row r="529" ht="145" customHeight="1">
      <x:c r="A529" s="10" t="str">
        <x:v>T-BASE</x:v>
      </x:c>
      <x:c r="B529" s="10" t="str">
        <x:v>TEXT</x:v>
      </x:c>
      <x:c r="C529" s="10" t="str">
        <x:v>TEXT:SYN-F09-08-U02</x:v>
      </x:c>
      <x:c r="D529" s="10" t="str">
        <x:v>{"conditions":["4장 이내","대상 기간 운영 5주","안내문 500자 이하","외부 발송 없음","일회성 촬영비 제외","지역 파트너 설명회용"],"data_source":"SYN-F09-08:D2@v1","goal":"노을 서비스 캠페인 캠페인 계획 발표자료 작성 위임","prior_task_action":"revise","targets":["SYN-F09-08:D2@v1"]}</x:v>
      </x:c>
      <x:c r="E529" s="10" t="str">
        <x:v>{"conditions":["4장 이내","대상 기간 운영 5주","안내문 500자 이하","외부 발송 없음","일회성 촬영비 제외","지역 파트너 설명회용"],"data_source":"SYN-F09-08:D2@v1","goal":"노을 서비스 캠페인 캠페인 계획 발표자료 작성 위임","prior_task_action":"revise","targets":["SYN-F09-08:D2@v1"]}</x:v>
      </x:c>
      <x:c r="F529" s="10" t="n">
        <x:f>IF(D529=E529,1,0)</x:f>
        <x:v>1</x:v>
      </x:c>
      <x:c r="G529" s="10" t="str">
        <x:v>필수 의미와 지칭 집합 일치</x:v>
      </x:c>
    </x:row>
    <x:row r="530" ht="145" customHeight="1">
      <x:c r="A530" s="10" t="str">
        <x:v>T-EXEC</x:v>
      </x:c>
      <x:c r="B530" s="10" t="str">
        <x:v>TEXT</x:v>
      </x:c>
      <x:c r="C530" s="10" t="str">
        <x:v>TEXT:SYN-F09-08-U01</x:v>
      </x:c>
      <x:c r="D530" s="10" t="str">
        <x:v>{"conditions":["4장 이내","대상 기간 운영 5주","안내문 500자 이하","외부 발송 없음","지역 파트너 설명회용"],"data_source":"SYN-F09-08:D3@v1","goal":"노을 서비스 캠페인 캠페인 계획 발표자료 작성 위임","prior_task_action":"new","targets":["SYN-F09-08:D3@v1"]}</x:v>
      </x:c>
      <x:c r="E530" s="10" t="str">
        <x:v>{"conditions":["4장 이내","대상 기간 운영 5주","안내문 500자 이하","외부 발송 없음","지역 파트너 설명회용"],"data_source":"SYN-F09-08:D3@v1","goal":"노을 서비스 캠페인 캠페인 계획 발표자료 작성 위임","prior_task_action":"new","targets":["SYN-F09-08:D3@v1"]}</x:v>
      </x:c>
      <x:c r="F530" s="10" t="n">
        <x:f>IF(D530=E530,1,0)</x:f>
        <x:v>1</x:v>
      </x:c>
      <x:c r="G530" s="10" t="str">
        <x:v>필수 의미와 지칭 집합 일치</x:v>
      </x:c>
    </x:row>
    <x:row r="531" ht="145" customHeight="1">
      <x:c r="A531" s="10" t="str">
        <x:v>T-EXEC</x:v>
      </x:c>
      <x:c r="B531" s="10" t="str">
        <x:v>TEXT</x:v>
      </x:c>
      <x:c r="C531" s="10" t="str">
        <x:v>TEXT:SYN-F09-08-U02</x:v>
      </x:c>
      <x:c r="D531" s="10" t="str">
        <x:v>{"conditions":["4장 이내","대상 기간 운영 5주","안내문 500자 이하","외부 발송 없음","일회성 촬영비 제외","지역 파트너 설명회용"],"data_source":"SYN-F09-08:D2@v1","goal":"노을 서비스 캠페인 캠페인 계획 발표자료 작성 위임","prior_task_action":"revise","targets":["SYN-F09-08:D2@v1"]}</x:v>
      </x:c>
      <x:c r="E531" s="10" t="str">
        <x:v>{"conditions":["4장 이내","대상 기간 운영 5주","안내문 500자 이하","외부 발송 없음","일회성 촬영비 제외","지역 파트너 설명회용"],"data_source":"SYN-F09-08:D2@v1","goal":"노을 서비스 캠페인 캠페인 계획 발표자료 작성 위임","prior_task_action":"revise","targets":["SYN-F09-08:D2@v1"]}</x:v>
      </x:c>
      <x:c r="F531" s="10" t="n">
        <x:f>IF(D531=E531,1,0)</x:f>
        <x:v>1</x:v>
      </x:c>
      <x:c r="G531" s="10" t="str">
        <x:v>필수 의미와 지칭 집합 일치</x:v>
      </x:c>
    </x:row>
    <x:row r="532" ht="145" customHeight="1">
      <x:c r="A532" s="10" t="str">
        <x:v>T-REL</x:v>
      </x:c>
      <x:c r="B532" s="10" t="str">
        <x:v>TEXT</x:v>
      </x:c>
      <x:c r="C532" s="10" t="str">
        <x:v>TEXT:SYN-F09-08-U01</x:v>
      </x:c>
      <x:c r="D532" s="10" t="str">
        <x:v>{"conditions":["4장 이내","대상 기간 운영 5주","안내문 500자 이하","외부 발송 없음","지역 파트너 설명회용"],"data_source":"SYN-F09-08:D3@v1","goal":"노을 서비스 캠페인 캠페인 계획 발표자료 작성 위임","prior_task_action":"new","targets":["SYN-F09-08:D3@v1"]}</x:v>
      </x:c>
      <x:c r="E532" s="10" t="str">
        <x:v>{"conditions":["4장 이내","대상 기간 운영 5주","안내문 500자 이하","외부 발송 없음","지역 파트너 설명회용"],"data_source":"SYN-F09-08:D3@v1","goal":"노을 서비스 캠페인 캠페인 계획 발표자료 작성 위임","prior_task_action":"new","targets":["SYN-F09-08:D3@v1"]}</x:v>
      </x:c>
      <x:c r="F532" s="10" t="n">
        <x:f>IF(D532=E532,1,0)</x:f>
        <x:v>1</x:v>
      </x:c>
      <x:c r="G532" s="10" t="str">
        <x:v>필수 의미와 지칭 집합 일치</x:v>
      </x:c>
    </x:row>
    <x:row r="533" ht="145" customHeight="1">
      <x:c r="A533" s="10" t="str">
        <x:v>T-REL</x:v>
      </x:c>
      <x:c r="B533" s="10" t="str">
        <x:v>TEXT</x:v>
      </x:c>
      <x:c r="C533" s="10" t="str">
        <x:v>TEXT:SYN-F09-08-U02</x:v>
      </x:c>
      <x:c r="D533" s="10" t="str">
        <x:v>{"conditions":["4장 이내","대상 기간 운영 5주","안내문 500자 이하","외부 발송 없음","일회성 촬영비 제외","지역 파트너 설명회용"],"data_source":"SYN-F09-08:D2@v1","goal":"노을 서비스 캠페인 캠페인 계획 발표자료 작성 위임","prior_task_action":"revise","targets":["SYN-F09-08:D2@v1"]}</x:v>
      </x:c>
      <x:c r="E533" s="10" t="str">
        <x:v>{"conditions":["4장 이내","대상 기간 운영 5주","안내문 500자 이하","외부 발송 없음","일회성 촬영비 제외","지역 파트너 설명회용"],"data_source":"SYN-F09-08:D2@v1","goal":"노을 서비스 캠페인 캠페인 계획 발표자료 작성 위임","prior_task_action":"revise","targets":["SYN-F09-08:D2@v1"]}</x:v>
      </x:c>
      <x:c r="F533" s="10" t="n">
        <x:f>IF(D533=E533,1,0)</x:f>
        <x:v>1</x:v>
      </x:c>
      <x:c r="G533" s="10" t="str">
        <x:v>필수 의미와 지칭 집합 일치</x:v>
      </x:c>
    </x:row>
    <x:row r="534" ht="145" customHeight="1">
      <x:c r="A534" s="10" t="str">
        <x:v>T-BASE</x:v>
      </x:c>
      <x:c r="B534" s="10" t="str">
        <x:v>TEXT</x:v>
      </x:c>
      <x:c r="C534" s="10" t="str">
        <x:v>TEXT:SYN-F09-09-U01</x:v>
      </x:c>
      <x:c r="D534" s="10" t="str">
        <x:v>{"conditions":["7장 이내","대상 기간 적용 후 4주","배송 협력사 설명회용","외부 발송 없음","주문당 이동 180m 이하"],"data_source":"SYN-F09-09:D2@v1","goal":"파도 창고배치 변경 배치 변경 발표자료 작성 위임","prior_task_action":"new","targets":["SYN-F09-09:D2@v1"]}</x:v>
      </x:c>
      <x:c r="E534" s="10" t="str">
        <x:v>{"conditions":["7장 이내","대상 기간 적용 후 4주","배송 협력사 설명회용","외부 발송 없음","주문당 이동 180m 이하"],"data_source":"SYN-F09-09:D2@v1","goal":"파도 창고배치 변경 배치 변경 발표자료 작성 위임","prior_task_action":"new","targets":["SYN-F09-09:D2@v1"]}</x:v>
      </x:c>
      <x:c r="F534" s="10" t="n">
        <x:f>IF(D534=E534,1,0)</x:f>
        <x:v>1</x:v>
      </x:c>
      <x:c r="G534" s="10" t="str">
        <x:v>필수 의미와 지칭 집합 일치</x:v>
      </x:c>
    </x:row>
    <x:row r="535" ht="145" customHeight="1">
      <x:c r="A535" s="10" t="str">
        <x:v>T-BASE</x:v>
      </x:c>
      <x:c r="B535" s="10" t="str">
        <x:v>TEXT</x:v>
      </x:c>
      <x:c r="C535" s="10" t="str">
        <x:v>TEXT:SYN-F09-09-U02</x:v>
      </x:c>
      <x:c r="D535" s="10" t="str">
        <x:v>{"conditions":["7장 이내","대상 기간 적용 후 4주","배송 협력사 설명회용","선반 구매비 제외","외부 발송 없음","주문당 이동 180m 이하"],"data_source":"SYN-F09-09:D1@v1","goal":"파도 창고배치 변경 배치 변경 발표자료 작성 위임","prior_task_action":"revise","targets":["SYN-F09-09:D1@v1"]}</x:v>
      </x:c>
      <x:c r="E535" s="10" t="str">
        <x:v>{"conditions":["7장 이내","대상 기간 적용 후 4주","배송 협력사 설명회용","선반 구매비 제외","외부 발송 없음","주문당 이동 180m 이하"],"data_source":"SYN-F09-09:D1@v1","goal":"파도 창고배치 변경 배치 변경 발표자료 작성 위임","prior_task_action":"revise","targets":["SYN-F09-09:D1@v1"]}</x:v>
      </x:c>
      <x:c r="F535" s="10" t="n">
        <x:f>IF(D535=E535,1,0)</x:f>
        <x:v>1</x:v>
      </x:c>
      <x:c r="G535" s="10" t="str">
        <x:v>필수 의미와 지칭 집합 일치</x:v>
      </x:c>
    </x:row>
    <x:row r="536" ht="145" customHeight="1">
      <x:c r="A536" s="10" t="str">
        <x:v>T-EXEC</x:v>
      </x:c>
      <x:c r="B536" s="10" t="str">
        <x:v>TEXT</x:v>
      </x:c>
      <x:c r="C536" s="10" t="str">
        <x:v>TEXT:SYN-F09-09-U01</x:v>
      </x:c>
      <x:c r="D536" s="10" t="str">
        <x:v>{"conditions":["7장 이내","대상 기간 적용 후 4주","배송 협력사 설명회용","외부 발송 없음","주문당 이동 180m 이하"],"data_source":"SYN-F09-09:D2@v1","goal":"파도 창고배치 변경 배치 변경 발표자료 작성 위임","prior_task_action":"new","targets":["SYN-F09-09:D2@v1"]}</x:v>
      </x:c>
      <x:c r="E536" s="10" t="str">
        <x:v>{"conditions":["7장 이내","대상 기간 적용 후 4주","배송 협력사 설명회용","외부 발송 없음","주문당 이동 180m 이하"],"data_source":"SYN-F09-09:D2@v1","goal":"파도 창고배치 변경 배치 변경 발표자료 작성 위임","prior_task_action":"new","targets":["SYN-F09-09:D2@v1"]}</x:v>
      </x:c>
      <x:c r="F536" s="10" t="n">
        <x:f>IF(D536=E536,1,0)</x:f>
        <x:v>1</x:v>
      </x:c>
      <x:c r="G536" s="10" t="str">
        <x:v>필수 의미와 지칭 집합 일치</x:v>
      </x:c>
    </x:row>
    <x:row r="537" ht="145" customHeight="1">
      <x:c r="A537" s="10" t="str">
        <x:v>T-EXEC</x:v>
      </x:c>
      <x:c r="B537" s="10" t="str">
        <x:v>TEXT</x:v>
      </x:c>
      <x:c r="C537" s="10" t="str">
        <x:v>TEXT:SYN-F09-09-U02</x:v>
      </x:c>
      <x:c r="D537" s="10" t="str">
        <x:v>{"conditions":["7장 이내","대상 기간 적용 후 4주","배송 협력사 설명회용","선반 구매비 제외","외부 발송 없음","주문당 이동 180m 이하"],"data_source":"SYN-F09-09:D1@v1","goal":"파도 창고배치 변경 배치 변경 발표자료 작성 위임","prior_task_action":"revise","targets":["SYN-F09-09:D1@v1"]}</x:v>
      </x:c>
      <x:c r="E537" s="10" t="str">
        <x:v>{"conditions":["7장 이내","대상 기간 적용 후 4주","배송 협력사 설명회용","선반 구매비 제외","외부 발송 없음","주문당 이동 180m 이하"],"data_source":"SYN-F09-09:D1@v1","goal":"파도 창고배치 변경 배치 변경 발표자료 작성 위임","prior_task_action":"revise","targets":["SYN-F09-09:D1@v1"]}</x:v>
      </x:c>
      <x:c r="F537" s="10" t="n">
        <x:f>IF(D537=E537,1,0)</x:f>
        <x:v>1</x:v>
      </x:c>
      <x:c r="G537" s="10" t="str">
        <x:v>필수 의미와 지칭 집합 일치</x:v>
      </x:c>
    </x:row>
    <x:row r="538" ht="145" customHeight="1">
      <x:c r="A538" s="10" t="str">
        <x:v>T-REL</x:v>
      </x:c>
      <x:c r="B538" s="10" t="str">
        <x:v>TEXT</x:v>
      </x:c>
      <x:c r="C538" s="10" t="str">
        <x:v>TEXT:SYN-F09-09-U01</x:v>
      </x:c>
      <x:c r="D538" s="10" t="str">
        <x:v>{"conditions":["7장 이내","대상 기간 적용 후 4주","배송 협력사 설명회용","외부 발송 없음","주문당 이동 180m 이하"],"data_source":"SYN-F09-09:D2@v1","goal":"파도 창고배치 변경 배치 변경 발표자료 작성 위임","prior_task_action":"new","targets":["SYN-F09-09:D2@v1"]}</x:v>
      </x:c>
      <x:c r="E538" s="10" t="str">
        <x:v>{"conditions":["7장 이내","대상 기간 적용 후 4주","배송 협력사 설명회용","외부 발송 없음","주문당 이동 180m 이하"],"data_source":"SYN-F09-09:D2@v1","goal":"파도 창고배치 변경 배치 변경 발표자료 작성 위임","prior_task_action":"new","targets":["SYN-F09-09:D2@v1"]}</x:v>
      </x:c>
      <x:c r="F538" s="10" t="n">
        <x:f>IF(D538=E538,1,0)</x:f>
        <x:v>1</x:v>
      </x:c>
      <x:c r="G538" s="10" t="str">
        <x:v>필수 의미와 지칭 집합 일치</x:v>
      </x:c>
    </x:row>
    <x:row r="539" ht="145" customHeight="1">
      <x:c r="A539" s="10" t="str">
        <x:v>T-REL</x:v>
      </x:c>
      <x:c r="B539" s="10" t="str">
        <x:v>TEXT</x:v>
      </x:c>
      <x:c r="C539" s="10" t="str">
        <x:v>TEXT:SYN-F09-09-U02</x:v>
      </x:c>
      <x:c r="D539" s="10" t="str">
        <x:v>{"conditions":["7장 이내","대상 기간 적용 후 4주","배송 협력사 설명회용","선반 구매비 제외","외부 발송 없음","주문당 이동 180m 이하"],"data_source":"SYN-F09-09:D1@v1","goal":"파도 창고배치 변경 배치 변경 발표자료 작성 위임","prior_task_action":"revise","targets":["SYN-F09-09:D1@v1"]}</x:v>
      </x:c>
      <x:c r="E539" s="10" t="str">
        <x:v>{"conditions":["7장 이내","대상 기간 적용 후 4주","배송 협력사 설명회용","선반 구매비 제외","외부 발송 없음","주문당 이동 180m 이하"],"data_source":"SYN-F09-09:D1@v1","goal":"파도 창고배치 변경 배치 변경 발표자료 작성 위임","prior_task_action":"revise","targets":["SYN-F09-09:D1@v1"]}</x:v>
      </x:c>
      <x:c r="F539" s="10" t="n">
        <x:f>IF(D539=E539,1,0)</x:f>
        <x:v>1</x:v>
      </x:c>
      <x:c r="G539" s="10" t="str">
        <x:v>필수 의미와 지칭 집합 일치</x:v>
      </x:c>
    </x:row>
    <x:row r="540" ht="145" customHeight="1">
      <x:c r="A540" s="10" t="str">
        <x:v>T-BASE</x:v>
      </x:c>
      <x:c r="B540" s="10" t="str">
        <x:v>TEXT</x:v>
      </x:c>
      <x:c r="C540" s="10" t="str">
        <x:v>TEXT:SYN-F09-10-U01</x:v>
      </x:c>
      <x:c r="D540" s="10" t="str">
        <x:v>{"conditions":["5장 이내","대상 기간 출시 후 2개월","부서대표 설명회용","외부 발송 없음","첫 화면 메뉴 9개 이하"],"data_source":"SYN-F09-10:D1@v1","goal":"온유 사내포털 개편 포털 개선 발표자료 작성 위임","prior_task_action":"new","targets":["SYN-F09-10:D1@v1"]}</x:v>
      </x:c>
      <x:c r="E540" s="10" t="str">
        <x:v>{"conditions":["5장 이내","대상 기간 출시 후 2개월","부서대표 설명회용","외부 발송 없음","첫 화면 메뉴 9개 이하"],"data_source":"SYN-F09-10:D1@v1","goal":"온유 사내포털 개편 포털 개선 발표자료 작성 위임","prior_task_action":"new","targets":["SYN-F09-10:D1@v1"]}</x:v>
      </x:c>
      <x:c r="F540" s="10" t="n">
        <x:f>IF(D540=E540,1,0)</x:f>
        <x:v>1</x:v>
      </x:c>
      <x:c r="G540" s="10" t="str">
        <x:v>필수 의미와 지칭 집합 일치</x:v>
      </x:c>
    </x:row>
    <x:row r="541" ht="145" customHeight="1">
      <x:c r="A541" s="10" t="str">
        <x:v>T-BASE</x:v>
      </x:c>
      <x:c r="B541" s="10" t="str">
        <x:v>TEXT</x:v>
      </x:c>
      <x:c r="C541" s="10" t="str">
        <x:v>TEXT:SYN-F09-10-U02</x:v>
      </x:c>
      <x:c r="D541" s="10" t="str">
        <x:v>{"conditions":["5장 이내","대상 기간 출시 후 2개월","부서대표 설명회용","외부 발송 없음","첫 화면 메뉴 9개 이하","초기 이전비 제외"],"data_source":"SYN-F09-10:D3@v1","goal":"온유 사내포털 개편 포털 개선 발표자료 작성 위임","prior_task_action":"revise","targets":["SYN-F09-10:D3@v1"]}</x:v>
      </x:c>
      <x:c r="E541" s="10" t="str">
        <x:v>{"conditions":["5장 이내","대상 기간 출시 후 2개월","부서대표 설명회용","외부 발송 없음","첫 화면 메뉴 9개 이하","초기 이전비 제외"],"data_source":"SYN-F09-10:D3@v1","goal":"온유 사내포털 개편 포털 개선 발표자료 작성 위임","prior_task_action":"revise","targets":["SYN-F09-10:D3@v1"]}</x:v>
      </x:c>
      <x:c r="F541" s="10" t="n">
        <x:f>IF(D541=E541,1,0)</x:f>
        <x:v>1</x:v>
      </x:c>
      <x:c r="G541" s="10" t="str">
        <x:v>필수 의미와 지칭 집합 일치</x:v>
      </x:c>
    </x:row>
    <x:row r="542" ht="145" customHeight="1">
      <x:c r="A542" s="10" t="str">
        <x:v>T-EXEC</x:v>
      </x:c>
      <x:c r="B542" s="10" t="str">
        <x:v>TEXT</x:v>
      </x:c>
      <x:c r="C542" s="10" t="str">
        <x:v>TEXT:SYN-F09-10-U01</x:v>
      </x:c>
      <x:c r="D542" s="10" t="str">
        <x:v>{"conditions":["5장 이내","대상 기간 출시 후 2개월","부서대표 설명회용","외부 발송 없음","첫 화면 메뉴 9개 이하"],"data_source":"SYN-F09-10:D1@v1","goal":"온유 사내포털 개편 포털 개선 발표자료 작성 위임","prior_task_action":"new","targets":["SYN-F09-10:D1@v1"]}</x:v>
      </x:c>
      <x:c r="E542" s="10" t="str">
        <x:v>{"conditions":["5장 이내","대상 기간 출시 후 2개월","부서대표 설명회용","외부 발송 없음","첫 화면 메뉴 9개 이하"],"data_source":"SYN-F09-10:D1@v1","goal":"온유 사내포털 개편 포털 개선 발표자료 작성 위임","prior_task_action":"new","targets":["SYN-F09-10:D1@v1"]}</x:v>
      </x:c>
      <x:c r="F542" s="10" t="n">
        <x:f>IF(D542=E542,1,0)</x:f>
        <x:v>1</x:v>
      </x:c>
      <x:c r="G542" s="10" t="str">
        <x:v>필수 의미와 지칭 집합 일치</x:v>
      </x:c>
    </x:row>
    <x:row r="543" ht="145" customHeight="1">
      <x:c r="A543" s="10" t="str">
        <x:v>T-EXEC</x:v>
      </x:c>
      <x:c r="B543" s="10" t="str">
        <x:v>TEXT</x:v>
      </x:c>
      <x:c r="C543" s="10" t="str">
        <x:v>TEXT:SYN-F09-10-U02</x:v>
      </x:c>
      <x:c r="D543" s="10" t="str">
        <x:v>{"conditions":["5장 이내","대상 기간 출시 후 2개월","부서대표 설명회용","외부 발송 없음","첫 화면 메뉴 9개 이하","초기 이전비 제외"],"data_source":"SYN-F09-10:D3@v1","goal":"온유 사내포털 개편 포털 개선 발표자료 작성 위임","prior_task_action":"revise","targets":["SYN-F09-10:D3@v1"]}</x:v>
      </x:c>
      <x:c r="E543" s="10" t="str">
        <x:v>{"conditions":["5장 이내","대상 기간 출시 후 2개월","부서대표 설명회용","외부 발송 없음","첫 화면 메뉴 9개 이하","초기 이전비 제외"],"data_source":"SYN-F09-10:D3@v1","goal":"온유 사내포털 개편 포털 개선 발표자료 작성 위임","prior_task_action":"revise","targets":["SYN-F09-10:D3@v1"]}</x:v>
      </x:c>
      <x:c r="F543" s="10" t="n">
        <x:f>IF(D543=E543,1,0)</x:f>
        <x:v>1</x:v>
      </x:c>
      <x:c r="G543" s="10" t="str">
        <x:v>필수 의미와 지칭 집합 일치</x:v>
      </x:c>
    </x:row>
    <x:row r="544" ht="145" customHeight="1">
      <x:c r="A544" s="10" t="str">
        <x:v>T-REL</x:v>
      </x:c>
      <x:c r="B544" s="10" t="str">
        <x:v>TEXT</x:v>
      </x:c>
      <x:c r="C544" s="10" t="str">
        <x:v>TEXT:SYN-F09-10-U01</x:v>
      </x:c>
      <x:c r="D544" s="10" t="str">
        <x:v>{"conditions":["5장 이내","대상 기간 출시 후 2개월","부서대표 설명회용","외부 발송 없음","첫 화면 메뉴 9개 이하"],"data_source":"SYN-F09-10:D1@v1","goal":"온유 사내포털 개편 포털 개선 발표자료 작성 위임","prior_task_action":"new","targets":["SYN-F09-10:D1@v1"]}</x:v>
      </x:c>
      <x:c r="E544" s="10" t="str">
        <x:v>{"conditions":["5장 이내","대상 기간 출시 후 2개월","부서대표 설명회용","외부 발송 없음","첫 화면 메뉴 9개 이하"],"data_source":"SYN-F09-10:D1@v1","goal":"온유 사내포털 개편 포털 개선 발표자료 작성 위임","prior_task_action":"new","targets":["SYN-F09-10:D1@v1"]}</x:v>
      </x:c>
      <x:c r="F544" s="10" t="n">
        <x:f>IF(D544=E544,1,0)</x:f>
        <x:v>1</x:v>
      </x:c>
      <x:c r="G544" s="10" t="str">
        <x:v>필수 의미와 지칭 집합 일치</x:v>
      </x:c>
    </x:row>
    <x:row r="545" ht="145" customHeight="1">
      <x:c r="A545" s="10" t="str">
        <x:v>T-REL</x:v>
      </x:c>
      <x:c r="B545" s="10" t="str">
        <x:v>TEXT</x:v>
      </x:c>
      <x:c r="C545" s="10" t="str">
        <x:v>TEXT:SYN-F09-10-U02</x:v>
      </x:c>
      <x:c r="D545" s="10" t="str">
        <x:v>{"conditions":["5장 이내","대상 기간 출시 후 2개월","부서대표 설명회용","외부 발송 없음","첫 화면 메뉴 9개 이하","초기 이전비 제외"],"data_source":"SYN-F09-10:D3@v1","goal":"온유 사내포털 개편 포털 개선 발표자료 작성 위임","prior_task_action":"revise","targets":["SYN-F09-10:D3@v1"]}</x:v>
      </x:c>
      <x:c r="E545" s="10" t="str">
        <x:v>{"conditions":["5장 이내","대상 기간 출시 후 2개월","부서대표 설명회용","외부 발송 없음","첫 화면 메뉴 9개 이하","초기 이전비 제외"],"data_source":"SYN-F09-10:D3@v1","goal":"온유 사내포털 개편 포털 개선 발표자료 작성 위임","prior_task_action":"revise","targets":["SYN-F09-10:D3@v1"]}</x:v>
      </x:c>
      <x:c r="F545" s="10" t="n">
        <x:f>IF(D545=E545,1,0)</x:f>
        <x:v>1</x:v>
      </x:c>
      <x:c r="G545" s="10" t="str">
        <x:v>필수 의미와 지칭 집합 일치</x:v>
      </x:c>
    </x:row>
    <x:row r="546" ht="145" customHeight="1">
      <x:c r="A546" s="10" t="str">
        <x:v>T-BASE</x:v>
      </x:c>
      <x:c r="B546" s="10" t="str">
        <x:v>TEXT</x:v>
      </x:c>
      <x:c r="C546" s="10" t="str">
        <x:v>TEXT:SYN-F10-01-U01</x:v>
      </x:c>
      <x:c r="D546" s="10" t="str">
        <x:v>{"conditions":["5장 이내","과거 수치 복사 금지","과거 자료 형식만 재사용","대상 기간 첫 12개월","서비스 운영위원회용","외부 발송 없음","월 운영비 240만원 이하","초기 설치비 제외"],"data_source":"SYN-F10-01:N@v1","goal":"오로라 고객센터 전환 전환 검토 발표자료 작성 위임","prior_task_action":"new","targets":["SYN-F10-01:D2@v1","SYN-F10-01:N@v1"]}</x:v>
      </x:c>
      <x:c r="E546" s="10" t="str">
        <x:v>{"conditions":["5장 이내","과거 수치 복사 금지","과거 자료 형식만 재사용","대상 기간 첫 12개월","서비스 운영위원회용","외부 발송 없음","월 운영비 240만원 이하","초기 설치비 제외"],"data_source":"SYN-F10-01:N@v1","goal":"오로라 고객센터 전환 전환 검토 발표자료 작성 위임","prior_task_action":"new","targets":["SYN-F10-01:D2@v1","SYN-F10-01:N@v1"]}</x:v>
      </x:c>
      <x:c r="F546" s="10" t="n">
        <x:f>IF(D546=E546,1,0)</x:f>
        <x:v>1</x:v>
      </x:c>
      <x:c r="G546" s="10" t="str">
        <x:v>필수 의미와 지칭 집합 일치</x:v>
      </x:c>
    </x:row>
    <x:row r="547" ht="145" customHeight="1">
      <x:c r="A547" s="10" t="str">
        <x:v>T-BASE</x:v>
      </x:c>
      <x:c r="B547" s="10" t="str">
        <x:v>TEXT</x:v>
      </x:c>
      <x:c r="C547" s="10" t="str">
        <x:v>TEXT:SYN-F10-01-U02</x:v>
      </x:c>
      <x:c r="D547" s="10" t="str">
        <x:v>{"conditions":["3문장","과거 자료 내용 혼합 금지","기존 발표자료 작성 유지","현황 수치와 확인 질문만"],"data_source":"SYN-F10-01:N@v1","goal":"신규 조사의 수치와 확인 질문 별도 요약","prior_task_action":"keep","targets":["SYN-F10-01:N@v1"]}</x:v>
      </x:c>
      <x:c r="E547" s="10" t="str">
        <x:v>{"conditions":["3문장","과거 자료 내용 혼합 금지","기존 발표자료 작성 유지","현황 수치와 확인 질문만"],"data_source":"SYN-F10-01:N@v1","goal":"신규 조사의 수치와 확인 질문 별도 요약","prior_task_action":"keep","targets":["SYN-F10-01:N@v1"]}</x:v>
      </x:c>
      <x:c r="F547" s="10" t="n">
        <x:f>IF(D547=E547,1,0)</x:f>
        <x:v>1</x:v>
      </x:c>
      <x:c r="G547" s="10" t="str">
        <x:v>필수 의미와 지칭 집합 일치</x:v>
      </x:c>
    </x:row>
    <x:row r="548" ht="145" customHeight="1">
      <x:c r="A548" s="10" t="str">
        <x:v>T-EXEC</x:v>
      </x:c>
      <x:c r="B548" s="10" t="str">
        <x:v>TEXT</x:v>
      </x:c>
      <x:c r="C548" s="10" t="str">
        <x:v>TEXT:SYN-F10-01-U01</x:v>
      </x:c>
      <x:c r="D548" s="10" t="str">
        <x:v>{"conditions":["5장 이내","과거 수치 복사 금지","과거 자료 형식만 재사용","대상 기간 첫 12개월","서비스 운영위원회용","외부 발송 없음","월 운영비 240만원 이하","초기 설치비 제외"],"data_source":"SYN-F10-01:N@v1","goal":"오로라 고객센터 전환 전환 검토 발표자료 작성 위임","prior_task_action":"new","targets":["SYN-F10-01:D2@v1","SYN-F10-01:N@v1"]}</x:v>
      </x:c>
      <x:c r="E548" s="10" t="str">
        <x:v>{"conditions":["5장 이내","과거 수치 복사 금지","과거 자료 형식만 재사용","대상 기간 첫 12개월","서비스 운영위원회용","외부 발송 없음","월 운영비 240만원 이하","초기 설치비 제외"],"data_source":"SYN-F10-01:N@v1","goal":"오로라 고객센터 전환 전환 검토 발표자료 작성 위임","prior_task_action":"new","targets":["SYN-F10-01:D2@v1","SYN-F10-01:N@v1"]}</x:v>
      </x:c>
      <x:c r="F548" s="10" t="n">
        <x:f>IF(D548=E548,1,0)</x:f>
        <x:v>1</x:v>
      </x:c>
      <x:c r="G548" s="10" t="str">
        <x:v>필수 의미와 지칭 집합 일치</x:v>
      </x:c>
    </x:row>
    <x:row r="549" ht="145" customHeight="1">
      <x:c r="A549" s="10" t="str">
        <x:v>T-EXEC</x:v>
      </x:c>
      <x:c r="B549" s="10" t="str">
        <x:v>TEXT</x:v>
      </x:c>
      <x:c r="C549" s="10" t="str">
        <x:v>TEXT:SYN-F10-01-U02</x:v>
      </x:c>
      <x:c r="D549" s="10" t="str">
        <x:v>{"conditions":["3문장","과거 자료 내용 혼합 금지","기존 발표자료 작성 유지","현황 수치와 확인 질문만"],"data_source":"SYN-F10-01:N@v1","goal":"신규 조사의 수치와 확인 질문 별도 요약","prior_task_action":"keep","targets":["SYN-F10-01:N@v1"]}</x:v>
      </x:c>
      <x:c r="E549" s="10" t="str">
        <x:v>{"conditions":["3문장","과거 자료 수치도 요약에 포함","기존 발표자료 작성 유지","현황 수치와 확인 질문만"],"data_source":"SYN-F10-01:D2@v1","goal":"신규 조사의 수치와 확인 질문 별도 요약","prior_task_action":"keep","targets":["SYN-F10-01:N@v1"]}</x:v>
      </x:c>
      <x:c r="F549" s="10" t="n">
        <x:f>IF(D549=E549,1,0)</x:f>
        <x:v>0</x:v>
      </x:c>
      <x:c r="G549" s="10" t="str">
        <x:v>신규 조사 대상은 알지만 요약에 사용할 내용 출처를 과거 자료와 혼합</x:v>
      </x:c>
    </x:row>
    <x:row r="550" ht="145" customHeight="1">
      <x:c r="A550" s="10" t="str">
        <x:v>T-REL</x:v>
      </x:c>
      <x:c r="B550" s="10" t="str">
        <x:v>TEXT</x:v>
      </x:c>
      <x:c r="C550" s="10" t="str">
        <x:v>TEXT:SYN-F10-01-U01</x:v>
      </x:c>
      <x:c r="D550" s="10" t="str">
        <x:v>{"conditions":["5장 이내","과거 수치 복사 금지","과거 자료 형식만 재사용","대상 기간 첫 12개월","서비스 운영위원회용","외부 발송 없음","월 운영비 240만원 이하","초기 설치비 제외"],"data_source":"SYN-F10-01:N@v1","goal":"오로라 고객센터 전환 전환 검토 발표자료 작성 위임","prior_task_action":"new","targets":["SYN-F10-01:D2@v1","SYN-F10-01:N@v1"]}</x:v>
      </x:c>
      <x:c r="E550" s="10" t="str">
        <x:v>{"conditions":["5장 이내","과거 수치 복사 금지","과거 자료 형식만 재사용","대상 기간 첫 12개월","서비스 운영위원회용","외부 발송 없음","월 운영비 240만원 이하","초기 설치비 제외"],"data_source":"SYN-F10-01:N@v1","goal":"오로라 고객센터 전환 전환 검토 발표자료 작성 위임","prior_task_action":"new","targets":["SYN-F10-01:D2@v1","SYN-F10-01:N@v1"]}</x:v>
      </x:c>
      <x:c r="F550" s="10" t="n">
        <x:f>IF(D550=E550,1,0)</x:f>
        <x:v>1</x:v>
      </x:c>
      <x:c r="G550" s="10" t="str">
        <x:v>필수 의미와 지칭 집합 일치</x:v>
      </x:c>
    </x:row>
    <x:row r="551" ht="145" customHeight="1">
      <x:c r="A551" s="10" t="str">
        <x:v>T-REL</x:v>
      </x:c>
      <x:c r="B551" s="10" t="str">
        <x:v>TEXT</x:v>
      </x:c>
      <x:c r="C551" s="10" t="str">
        <x:v>TEXT:SYN-F10-01-U02</x:v>
      </x:c>
      <x:c r="D551" s="10" t="str">
        <x:v>{"conditions":["3문장","과거 자료 내용 혼합 금지","기존 발표자료 작성 유지","현황 수치와 확인 질문만"],"data_source":"SYN-F10-01:N@v1","goal":"신규 조사의 수치와 확인 질문 별도 요약","prior_task_action":"keep","targets":["SYN-F10-01:N@v1"]}</x:v>
      </x:c>
      <x:c r="E551" s="10" t="str">
        <x:v>{"conditions":["3문장","과거 자료 수치도 요약에 포함","기존 발표자료 작성 유지","현황 수치와 확인 질문만"],"data_source":"SYN-F10-01:D2@v1","goal":"신규 조사의 수치와 확인 질문 별도 요약","prior_task_action":"keep","targets":["SYN-F10-01:N@v1"]}</x:v>
      </x:c>
      <x:c r="F551" s="10" t="n">
        <x:f>IF(D551=E551,1,0)</x:f>
        <x:v>0</x:v>
      </x:c>
      <x:c r="G551" s="10" t="str">
        <x:v>신규 조사 대상은 알지만 요약에 사용할 내용 출처를 과거 자료와 혼합</x:v>
      </x:c>
    </x:row>
    <x:row r="552" ht="145" customHeight="1">
      <x:c r="A552" s="10" t="str">
        <x:v>T-BASE</x:v>
      </x:c>
      <x:c r="B552" s="10" t="str">
        <x:v>TEXT</x:v>
      </x:c>
      <x:c r="C552" s="10" t="str">
        <x:v>TEXT:SYN-F10-02-U01</x:v>
      </x:c>
      <x:c r="D552" s="10" t="str">
        <x:v>{"conditions":["4장 이내","과거 수치 복사 금지","과거 자료 형식만 재사용","대상 기간 전시 4주","외부 발송 없음","일회성 장식비 제외","주말 운영 인력 12명 이하","참가업체 설명회용"],"data_source":"SYN-F10-02:N@v1","goal":"봄길 지역전시 준비 운영 제안 발표자료 작성 위임","prior_task_action":"new","targets":["SYN-F10-02:D1@v1","SYN-F10-02:N@v1"]}</x:v>
      </x:c>
      <x:c r="E552" s="10" t="str">
        <x:v>{"conditions":["4장 이내","과거 수치 복사 금지","과거 자료 형식만 재사용","대상 기간 전시 4주","외부 발송 없음","일회성 장식비 제외","주말 운영 인력 12명 이하","참가업체 설명회용"],"data_source":"SYN-F10-02:N@v1","goal":"봄길 지역전시 준비 운영 제안 발표자료 작성 위임","prior_task_action":"new","targets":["SYN-F10-02:D1@v1","SYN-F10-02:N@v1"]}</x:v>
      </x:c>
      <x:c r="F552" s="10" t="n">
        <x:f>IF(D552=E552,1,0)</x:f>
        <x:v>1</x:v>
      </x:c>
      <x:c r="G552" s="10" t="str">
        <x:v>필수 의미와 지칭 집합 일치</x:v>
      </x:c>
    </x:row>
    <x:row r="553" ht="145" customHeight="1">
      <x:c r="A553" s="10" t="str">
        <x:v>T-BASE</x:v>
      </x:c>
      <x:c r="B553" s="10" t="str">
        <x:v>TEXT</x:v>
      </x:c>
      <x:c r="C553" s="10" t="str">
        <x:v>TEXT:SYN-F10-02-U02</x:v>
      </x:c>
      <x:c r="D553" s="10" t="str">
        <x:v>{"conditions":["2문장","과거 자료 내용 혼합 금지","기존 발표자료 작성 유지","현황 수치와 확인 질문만"],"data_source":"SYN-F10-02:N@v1","goal":"신규 조사의 수치와 확인 질문 별도 요약","prior_task_action":"keep","targets":["SYN-F10-02:N@v1"]}</x:v>
      </x:c>
      <x:c r="E553" s="10" t="str">
        <x:v>{"conditions":["2문장","과거 자료 내용 혼합 금지","기존 발표자료 작성 유지","현황 수치와 확인 질문만"],"data_source":"SYN-F10-02:N@v1","goal":"신규 조사의 수치와 확인 질문 별도 요약","prior_task_action":"keep","targets":["SYN-F10-02:N@v1"]}</x:v>
      </x:c>
      <x:c r="F553" s="10" t="n">
        <x:f>IF(D553=E553,1,0)</x:f>
        <x:v>1</x:v>
      </x:c>
      <x:c r="G553" s="10" t="str">
        <x:v>필수 의미와 지칭 집합 일치</x:v>
      </x:c>
    </x:row>
    <x:row r="554" ht="145" customHeight="1">
      <x:c r="A554" s="10" t="str">
        <x:v>T-EXEC</x:v>
      </x:c>
      <x:c r="B554" s="10" t="str">
        <x:v>TEXT</x:v>
      </x:c>
      <x:c r="C554" s="10" t="str">
        <x:v>TEXT:SYN-F10-02-U01</x:v>
      </x:c>
      <x:c r="D554" s="10" t="str">
        <x:v>{"conditions":["4장 이내","과거 수치 복사 금지","과거 자료 형식만 재사용","대상 기간 전시 4주","외부 발송 없음","일회성 장식비 제외","주말 운영 인력 12명 이하","참가업체 설명회용"],"data_source":"SYN-F10-02:N@v1","goal":"봄길 지역전시 준비 운영 제안 발표자료 작성 위임","prior_task_action":"new","targets":["SYN-F10-02:D1@v1","SYN-F10-02:N@v1"]}</x:v>
      </x:c>
      <x:c r="E554" s="10" t="str">
        <x:v>{"conditions":["4장 이내","과거 수치 복사 금지","과거 자료 형식만 재사용","대상 기간 전시 4주","외부 발송 없음","일회성 장식비 제외","주말 운영 인력 12명 이하","참가업체 설명회용"],"data_source":"SYN-F10-02:N@v1","goal":"봄길 지역전시 준비 운영 제안 발표자료 작성 위임","prior_task_action":"new","targets":["SYN-F10-02:D1@v1","SYN-F10-02:N@v1"]}</x:v>
      </x:c>
      <x:c r="F554" s="10" t="n">
        <x:f>IF(D554=E554,1,0)</x:f>
        <x:v>1</x:v>
      </x:c>
      <x:c r="G554" s="10" t="str">
        <x:v>필수 의미와 지칭 집합 일치</x:v>
      </x:c>
    </x:row>
    <x:row r="555" ht="145" customHeight="1">
      <x:c r="A555" s="10" t="str">
        <x:v>T-EXEC</x:v>
      </x:c>
      <x:c r="B555" s="10" t="str">
        <x:v>TEXT</x:v>
      </x:c>
      <x:c r="C555" s="10" t="str">
        <x:v>TEXT:SYN-F10-02-U02</x:v>
      </x:c>
      <x:c r="D555" s="10" t="str">
        <x:v>{"conditions":["2문장","과거 자료 내용 혼합 금지","기존 발표자료 작성 유지","현황 수치와 확인 질문만"],"data_source":"SYN-F10-02:N@v1","goal":"신규 조사의 수치와 확인 질문 별도 요약","prior_task_action":"keep","targets":["SYN-F10-02:N@v1"]}</x:v>
      </x:c>
      <x:c r="E555" s="10" t="str">
        <x:v>{"conditions":["2문장","과거 자료 내용 혼합 금지","기존 발표자료 작성 유지","현황 수치와 확인 질문만"],"data_source":"SYN-F10-02:D1@v1","goal":"신규 조사의 수치와 확인 질문 별도 요약","prior_task_action":"keep","targets":["SYN-F10-02:D1@v1"]}</x:v>
      </x:c>
      <x:c r="F555" s="10" t="n">
        <x:f>IF(D555=E555,1,0)</x:f>
        <x:v>0</x:v>
      </x:c>
      <x:c r="G555" s="10" t="str">
        <x:v>현재 입력과 원본의 대상 관계를 잘못 연결</x:v>
      </x:c>
    </x:row>
    <x:row r="556" ht="145" customHeight="1">
      <x:c r="A556" s="10" t="str">
        <x:v>T-REL</x:v>
      </x:c>
      <x:c r="B556" s="10" t="str">
        <x:v>TEXT</x:v>
      </x:c>
      <x:c r="C556" s="10" t="str">
        <x:v>TEXT:SYN-F10-02-U01</x:v>
      </x:c>
      <x:c r="D556" s="10" t="str">
        <x:v>{"conditions":["4장 이내","과거 수치 복사 금지","과거 자료 형식만 재사용","대상 기간 전시 4주","외부 발송 없음","일회성 장식비 제외","주말 운영 인력 12명 이하","참가업체 설명회용"],"data_source":"SYN-F10-02:N@v1","goal":"봄길 지역전시 준비 운영 제안 발표자료 작성 위임","prior_task_action":"new","targets":["SYN-F10-02:D1@v1","SYN-F10-02:N@v1"]}</x:v>
      </x:c>
      <x:c r="E556" s="10" t="str">
        <x:v>{"conditions":["4장 이내","과거 수치 복사 금지","과거 자료 형식만 재사용","대상 기간 전시 4주","외부 발송 없음","일회성 장식비 제외","주말 운영 인력 12명 이하","참가업체 설명회용"],"data_source":"SYN-F10-02:N@v1","goal":"봄길 지역전시 준비 운영 제안 발표자료 작성 위임","prior_task_action":"new","targets":["SYN-F10-02:D1@v1","SYN-F10-02:N@v1"]}</x:v>
      </x:c>
      <x:c r="F556" s="10" t="n">
        <x:f>IF(D556=E556,1,0)</x:f>
        <x:v>1</x:v>
      </x:c>
      <x:c r="G556" s="10" t="str">
        <x:v>필수 의미와 지칭 집합 일치</x:v>
      </x:c>
    </x:row>
    <x:row r="557" ht="145" customHeight="1">
      <x:c r="A557" s="10" t="str">
        <x:v>T-REL</x:v>
      </x:c>
      <x:c r="B557" s="10" t="str">
        <x:v>TEXT</x:v>
      </x:c>
      <x:c r="C557" s="10" t="str">
        <x:v>TEXT:SYN-F10-02-U02</x:v>
      </x:c>
      <x:c r="D557" s="10" t="str">
        <x:v>{"conditions":["2문장","과거 자료 내용 혼합 금지","기존 발표자료 작성 유지","현황 수치와 확인 질문만"],"data_source":"SYN-F10-02:N@v1","goal":"신규 조사의 수치와 확인 질문 별도 요약","prior_task_action":"keep","targets":["SYN-F10-02:N@v1"]}</x:v>
      </x:c>
      <x:c r="E557" s="10" t="str">
        <x:v>{"conditions":["2문장","과거 자료 내용 혼합 금지","기존 발표자료 작성 유지","현황 수치와 확인 질문만"],"data_source":"SYN-F10-02:N@v1","goal":"신규 조사의 수치와 확인 질문 별도 요약","prior_task_action":"keep","targets":["SYN-F10-02:N@v1"]}</x:v>
      </x:c>
      <x:c r="F557" s="10" t="n">
        <x:f>IF(D557=E557,1,0)</x:f>
        <x:v>1</x:v>
      </x:c>
      <x:c r="G557" s="10" t="str">
        <x:v>필수 의미와 지칭 집합 일치</x:v>
      </x:c>
    </x:row>
    <x:row r="558" ht="145" customHeight="1">
      <x:c r="A558" s="10" t="str">
        <x:v>T-BASE</x:v>
      </x:c>
      <x:c r="B558" s="10" t="str">
        <x:v>TEXT</x:v>
      </x:c>
      <x:c r="C558" s="10" t="str">
        <x:v>TEXT:SYN-F10-03-U01</x:v>
      </x:c>
      <x:c r="D558" s="10" t="str">
        <x:v>{"conditions":["6장 이내","과거 수치 복사 금지","과거 자료 형식만 재사용","교육 승인위원회용","대상 기간 입사 후 3주","숙박비 제외","외부 발송 없음","참가자당 교육시간 18시간 이하"],"data_source":"SYN-F10-03:N@v1","goal":"해온 신입교육 개편 교육 개편 발표자료 작성 위임","prior_task_action":"new","targets":["SYN-F10-03:D3@v1","SYN-F10-03:N@v1"]}</x:v>
      </x:c>
      <x:c r="E558" s="10" t="str">
        <x:v>{"conditions":["6장 이내","과거 수치 복사 금지","과거 자료 형식만 재사용","교육 승인위원회용","대상 기간 입사 후 3주","숙박비 제외","외부 발송 없음","참가자당 교육시간 18시간 이하"],"data_source":"SYN-F10-03:N@v1","goal":"해온 신입교육 개편 교육 개편 발표자료 작성 위임","prior_task_action":"new","targets":["SYN-F10-03:D3@v1","SYN-F10-03:N@v1"]}</x:v>
      </x:c>
      <x:c r="F558" s="10" t="n">
        <x:f>IF(D558=E558,1,0)</x:f>
        <x:v>1</x:v>
      </x:c>
      <x:c r="G558" s="10" t="str">
        <x:v>필수 의미와 지칭 집합 일치</x:v>
      </x:c>
    </x:row>
    <x:row r="559" ht="145" customHeight="1">
      <x:c r="A559" s="10" t="str">
        <x:v>T-BASE</x:v>
      </x:c>
      <x:c r="B559" s="10" t="str">
        <x:v>TEXT</x:v>
      </x:c>
      <x:c r="C559" s="10" t="str">
        <x:v>TEXT:SYN-F10-03-U02</x:v>
      </x:c>
      <x:c r="D559" s="10" t="str">
        <x:v>{"conditions":["4문장","과거 자료 내용 혼합 금지","기존 발표자료 작성 유지","현황 수치와 확인 질문만"],"data_source":"SYN-F10-03:N@v1","goal":"신규 조사의 수치와 확인 질문 별도 요약","prior_task_action":"keep","targets":["SYN-F10-03:N@v1"]}</x:v>
      </x:c>
      <x:c r="E559" s="10" t="str">
        <x:v>{"conditions":["4문장","과거 자료 내용 혼합 금지","기존 발표자료 작성 유지","현황 수치와 확인 질문만"],"data_source":"SYN-F10-03:N@v1","goal":"신규 조사의 수치와 확인 질문 별도 요약","prior_task_action":"keep","targets":["SYN-F10-03:N@v1"]}</x:v>
      </x:c>
      <x:c r="F559" s="10" t="n">
        <x:f>IF(D559=E559,1,0)</x:f>
        <x:v>1</x:v>
      </x:c>
      <x:c r="G559" s="10" t="str">
        <x:v>필수 의미와 지칭 집합 일치</x:v>
      </x:c>
    </x:row>
    <x:row r="560" ht="145" customHeight="1">
      <x:c r="A560" s="10" t="str">
        <x:v>T-EXEC</x:v>
      </x:c>
      <x:c r="B560" s="10" t="str">
        <x:v>TEXT</x:v>
      </x:c>
      <x:c r="C560" s="10" t="str">
        <x:v>TEXT:SYN-F10-03-U01</x:v>
      </x:c>
      <x:c r="D560" s="10" t="str">
        <x:v>{"conditions":["6장 이내","과거 수치 복사 금지","과거 자료 형식만 재사용","교육 승인위원회용","대상 기간 입사 후 3주","숙박비 제외","외부 발송 없음","참가자당 교육시간 18시간 이하"],"data_source":"SYN-F10-03:N@v1","goal":"해온 신입교육 개편 교육 개편 발표자료 작성 위임","prior_task_action":"new","targets":["SYN-F10-03:D3@v1","SYN-F10-03:N@v1"]}</x:v>
      </x:c>
      <x:c r="E560" s="10" t="str">
        <x:v>{"conditions":["6장 이내","과거 수치 복사 금지","과거 자료 형식만 재사용","교육 승인위원회용","대상 기간 입사 후 3주","숙박비 제외","외부 발송 없음","참가자당 교육시간 18시간 이하"],"data_source":"SYN-F10-03:N@v1","goal":"해온 신입교육 개편 교육 개편 발표자료 작성 위임","prior_task_action":"new","targets":["SYN-F10-03:D3@v1","SYN-F10-03:N@v1"]}</x:v>
      </x:c>
      <x:c r="F560" s="10" t="n">
        <x:f>IF(D560=E560,1,0)</x:f>
        <x:v>1</x:v>
      </x:c>
      <x:c r="G560" s="10" t="str">
        <x:v>필수 의미와 지칭 집합 일치</x:v>
      </x:c>
    </x:row>
    <x:row r="561" ht="145" customHeight="1">
      <x:c r="A561" s="10" t="str">
        <x:v>T-EXEC</x:v>
      </x:c>
      <x:c r="B561" s="10" t="str">
        <x:v>TEXT</x:v>
      </x:c>
      <x:c r="C561" s="10" t="str">
        <x:v>TEXT:SYN-F10-03-U02</x:v>
      </x:c>
      <x:c r="D561" s="10" t="str">
        <x:v>{"conditions":["4문장","과거 자료 내용 혼합 금지","기존 발표자료 작성 유지","현황 수치와 확인 질문만"],"data_source":"SYN-F10-03:N@v1","goal":"신규 조사의 수치와 확인 질문 별도 요약","prior_task_action":"keep","targets":["SYN-F10-03:N@v1"]}</x:v>
      </x:c>
      <x:c r="E561" s="10" t="str">
        <x:v>{"conditions":["4문장","과거 자료 내용 혼합 금지","기존 발표자료 작성 유지","현황 수치와 확인 질문만"],"data_source":"SYN-F10-03:N@v1","goal":"신규 조사의 수치와 확인 질문 별도 요약","prior_task_action":"keep","targets":["SYN-F10-03:N@v1"]}</x:v>
      </x:c>
      <x:c r="F561" s="10" t="n">
        <x:f>IF(D561=E561,1,0)</x:f>
        <x:v>1</x:v>
      </x:c>
      <x:c r="G561" s="10" t="str">
        <x:v>필수 의미와 지칭 집합 일치</x:v>
      </x:c>
    </x:row>
    <x:row r="562" ht="145" customHeight="1">
      <x:c r="A562" s="10" t="str">
        <x:v>T-REL</x:v>
      </x:c>
      <x:c r="B562" s="10" t="str">
        <x:v>TEXT</x:v>
      </x:c>
      <x:c r="C562" s="10" t="str">
        <x:v>TEXT:SYN-F10-03-U01</x:v>
      </x:c>
      <x:c r="D562" s="10" t="str">
        <x:v>{"conditions":["6장 이내","과거 수치 복사 금지","과거 자료 형식만 재사용","교육 승인위원회용","대상 기간 입사 후 3주","숙박비 제외","외부 발송 없음","참가자당 교육시간 18시간 이하"],"data_source":"SYN-F10-03:N@v1","goal":"해온 신입교육 개편 교육 개편 발표자료 작성 위임","prior_task_action":"new","targets":["SYN-F10-03:D3@v1","SYN-F10-03:N@v1"]}</x:v>
      </x:c>
      <x:c r="E562" s="10" t="str">
        <x:v>{"conditions":["6장 이내","과거 수치 복사 금지","과거 자료 형식만 재사용","교육 승인위원회용","대상 기간 입사 후 3주","숙박비 제외","외부 발송 없음","참가자당 교육시간 18시간 이하"],"data_source":"SYN-F10-03:N@v1","goal":"해온 신입교육 개편 교육 개편 발표자료 작성 위임","prior_task_action":"new","targets":["SYN-F10-03:D3@v1","SYN-F10-03:N@v1"]}</x:v>
      </x:c>
      <x:c r="F562" s="10" t="n">
        <x:f>IF(D562=E562,1,0)</x:f>
        <x:v>1</x:v>
      </x:c>
      <x:c r="G562" s="10" t="str">
        <x:v>필수 의미와 지칭 집합 일치</x:v>
      </x:c>
    </x:row>
    <x:row r="563" ht="145" customHeight="1">
      <x:c r="A563" s="10" t="str">
        <x:v>T-REL</x:v>
      </x:c>
      <x:c r="B563" s="10" t="str">
        <x:v>TEXT</x:v>
      </x:c>
      <x:c r="C563" s="10" t="str">
        <x:v>TEXT:SYN-F10-03-U02</x:v>
      </x:c>
      <x:c r="D563" s="10" t="str">
        <x:v>{"conditions":["4문장","과거 자료 내용 혼합 금지","기존 발표자료 작성 유지","현황 수치와 확인 질문만"],"data_source":"SYN-F10-03:N@v1","goal":"신규 조사의 수치와 확인 질문 별도 요약","prior_task_action":"keep","targets":["SYN-F10-03:N@v1"]}</x:v>
      </x:c>
      <x:c r="E563" s="10" t="str">
        <x:v>{"conditions":["4문장","과거 자료 내용 혼합 금지","기존 발표자료 작성 유지","현황 수치와 확인 질문만"],"data_source":"SYN-F10-03:N@v1","goal":"신규 조사의 수치와 확인 질문 별도 요약","prior_task_action":"keep","targets":["SYN-F10-03:N@v1"]}</x:v>
      </x:c>
      <x:c r="F563" s="10" t="n">
        <x:f>IF(D563=E563,1,0)</x:f>
        <x:v>1</x:v>
      </x:c>
      <x:c r="G563" s="10" t="str">
        <x:v>필수 의미와 지칭 집합 일치</x:v>
      </x:c>
    </x:row>
    <x:row r="564" ht="145" customHeight="1">
      <x:c r="A564" s="10" t="str">
        <x:v>T-BASE</x:v>
      </x:c>
      <x:c r="B564" s="10" t="str">
        <x:v>TEXT</x:v>
      </x:c>
      <x:c r="C564" s="10" t="str">
        <x:v>TEXT:SYN-F10-04-U01</x:v>
      </x:c>
      <x:c r="D564" s="10" t="str">
        <x:v>{"conditions":["7장 이내","과거 수치 복사 금지","과거 자료 형식만 재사용","대상 기간 평일 20일","외부 발송 없음","일일 추가 운행 8회 이하","차량 구매비 제외","협력사 운영설명회용"],"data_source":"SYN-F10-04:N@v1","goal":"라임 배송거점 개선 거점 개선 발표자료 작성 위임","prior_task_action":"new","targets":["SYN-F10-04:D2@v1","SYN-F10-04:N@v1"]}</x:v>
      </x:c>
      <x:c r="E564" s="10" t="str">
        <x:v>{"conditions":["7장 이내","과거 수치 복사 금지","과거 자료 형식만 재사용","대상 기간 평일 20일","외부 발송 없음","일일 추가 운행 8회 이하","차량 구매비 제외","협력사 운영설명회용"],"data_source":"SYN-F10-04:N@v1","goal":"라임 배송거점 개선 거점 개선 발표자료 작성 위임","prior_task_action":"new","targets":["SYN-F10-04:D2@v1","SYN-F10-04:N@v1"]}</x:v>
      </x:c>
      <x:c r="F564" s="10" t="n">
        <x:f>IF(D564=E564,1,0)</x:f>
        <x:v>1</x:v>
      </x:c>
      <x:c r="G564" s="10" t="str">
        <x:v>필수 의미와 지칭 집합 일치</x:v>
      </x:c>
    </x:row>
    <x:row r="565" ht="145" customHeight="1">
      <x:c r="A565" s="10" t="str">
        <x:v>T-BASE</x:v>
      </x:c>
      <x:c r="B565" s="10" t="str">
        <x:v>TEXT</x:v>
      </x:c>
      <x:c r="C565" s="10" t="str">
        <x:v>TEXT:SYN-F10-04-U02</x:v>
      </x:c>
      <x:c r="D565" s="10" t="str">
        <x:v>{"conditions":["3문장","과거 자료 내용 혼합 금지","기존 발표자료 작성 유지","현황 수치와 확인 질문만"],"data_source":"SYN-F10-04:N@v1","goal":"신규 조사의 수치와 확인 질문 별도 요약","prior_task_action":"keep","targets":["SYN-F10-04:N@v1"]}</x:v>
      </x:c>
      <x:c r="E565" s="10" t="str">
        <x:v>{"conditions":["3문장","과거 자료 내용 혼합 금지","기존 발표자료 작성 유지","현황 수치와 확인 질문만"],"data_source":"SYN-F10-04:N@v1","goal":"신규 조사의 수치와 확인 질문 별도 요약","prior_task_action":"keep","targets":["SYN-F10-04:N@v1"]}</x:v>
      </x:c>
      <x:c r="F565" s="10" t="n">
        <x:f>IF(D565=E565,1,0)</x:f>
        <x:v>1</x:v>
      </x:c>
      <x:c r="G565" s="10" t="str">
        <x:v>필수 의미와 지칭 집합 일치</x:v>
      </x:c>
    </x:row>
    <x:row r="566" ht="145" customHeight="1">
      <x:c r="A566" s="10" t="str">
        <x:v>T-EXEC</x:v>
      </x:c>
      <x:c r="B566" s="10" t="str">
        <x:v>TEXT</x:v>
      </x:c>
      <x:c r="C566" s="10" t="str">
        <x:v>TEXT:SYN-F10-04-U01</x:v>
      </x:c>
      <x:c r="D566" s="10" t="str">
        <x:v>{"conditions":["7장 이내","과거 수치 복사 금지","과거 자료 형식만 재사용","대상 기간 평일 20일","외부 발송 없음","일일 추가 운행 8회 이하","차량 구매비 제외","협력사 운영설명회용"],"data_source":"SYN-F10-04:N@v1","goal":"라임 배송거점 개선 거점 개선 발표자료 작성 위임","prior_task_action":"new","targets":["SYN-F10-04:D2@v1","SYN-F10-04:N@v1"]}</x:v>
      </x:c>
      <x:c r="E566" s="10" t="str">
        <x:v>{"conditions":["7장 이내","과거 수치 복사 금지","과거 자료 형식만 재사용","대상 기간 평일 20일","외부 발송 없음","일일 추가 운행 8회 이하","차량 구매비 제외","협력사 운영설명회용"],"data_source":"SYN-F10-04:N@v1","goal":"라임 배송거점 개선 거점 개선 발표자료 작성 위임","prior_task_action":"new","targets":["SYN-F10-04:D2@v1","SYN-F10-04:N@v1"]}</x:v>
      </x:c>
      <x:c r="F566" s="10" t="n">
        <x:f>IF(D566=E566,1,0)</x:f>
        <x:v>1</x:v>
      </x:c>
      <x:c r="G566" s="10" t="str">
        <x:v>필수 의미와 지칭 집합 일치</x:v>
      </x:c>
    </x:row>
    <x:row r="567" ht="145" customHeight="1">
      <x:c r="A567" s="10" t="str">
        <x:v>T-EXEC</x:v>
      </x:c>
      <x:c r="B567" s="10" t="str">
        <x:v>TEXT</x:v>
      </x:c>
      <x:c r="C567" s="10" t="str">
        <x:v>TEXT:SYN-F10-04-U02</x:v>
      </x:c>
      <x:c r="D567" s="10" t="str">
        <x:v>{"conditions":["3문장","과거 자료 내용 혼합 금지","기존 발표자료 작성 유지","현황 수치와 확인 질문만"],"data_source":"SYN-F10-04:N@v1","goal":"신규 조사의 수치와 확인 질문 별도 요약","prior_task_action":"keep","targets":["SYN-F10-04:N@v1"]}</x:v>
      </x:c>
      <x:c r="E567" s="10" t="str">
        <x:v>{"conditions":["3문장","과거 자료 수치도 요약에 포함","기존 발표자료 작성 유지","현황 수치와 확인 질문만"],"data_source":"SYN-F10-04:D2@v1","goal":"신규 조사의 수치와 확인 질문 별도 요약","prior_task_action":"keep","targets":["SYN-F10-04:N@v1"]}</x:v>
      </x:c>
      <x:c r="F567" s="10" t="n">
        <x:f>IF(D567=E567,1,0)</x:f>
        <x:v>0</x:v>
      </x:c>
      <x:c r="G567" s="10" t="str">
        <x:v>신규 조사 대상은 알지만 요약에 사용할 내용 출처를 과거 자료와 혼합</x:v>
      </x:c>
    </x:row>
    <x:row r="568" ht="145" customHeight="1">
      <x:c r="A568" s="10" t="str">
        <x:v>T-REL</x:v>
      </x:c>
      <x:c r="B568" s="10" t="str">
        <x:v>TEXT</x:v>
      </x:c>
      <x:c r="C568" s="10" t="str">
        <x:v>TEXT:SYN-F10-04-U01</x:v>
      </x:c>
      <x:c r="D568" s="10" t="str">
        <x:v>{"conditions":["7장 이내","과거 수치 복사 금지","과거 자료 형식만 재사용","대상 기간 평일 20일","외부 발송 없음","일일 추가 운행 8회 이하","차량 구매비 제외","협력사 운영설명회용"],"data_source":"SYN-F10-04:N@v1","goal":"라임 배송거점 개선 거점 개선 발표자료 작성 위임","prior_task_action":"new","targets":["SYN-F10-04:D2@v1","SYN-F10-04:N@v1"]}</x:v>
      </x:c>
      <x:c r="E568" s="10" t="str">
        <x:v>{"conditions":["7장 이내","과거 수치 복사 금지","과거 자료 형식만 재사용","대상 기간 평일 20일","외부 발송 없음","일일 추가 운행 8회 이하","차량 구매비 제외","협력사 운영설명회용"],"data_source":"SYN-F10-04:N@v1","goal":"라임 배송거점 개선 거점 개선 발표자료 작성 위임","prior_task_action":"new","targets":["SYN-F10-04:D2@v1","SYN-F10-04:N@v1"]}</x:v>
      </x:c>
      <x:c r="F568" s="10" t="n">
        <x:f>IF(D568=E568,1,0)</x:f>
        <x:v>1</x:v>
      </x:c>
      <x:c r="G568" s="10" t="str">
        <x:v>필수 의미와 지칭 집합 일치</x:v>
      </x:c>
    </x:row>
    <x:row r="569" ht="145" customHeight="1">
      <x:c r="A569" s="10" t="str">
        <x:v>T-REL</x:v>
      </x:c>
      <x:c r="B569" s="10" t="str">
        <x:v>TEXT</x:v>
      </x:c>
      <x:c r="C569" s="10" t="str">
        <x:v>TEXT:SYN-F10-04-U02</x:v>
      </x:c>
      <x:c r="D569" s="10" t="str">
        <x:v>{"conditions":["3문장","과거 자료 내용 혼합 금지","기존 발표자료 작성 유지","현황 수치와 확인 질문만"],"data_source":"SYN-F10-04:N@v1","goal":"신규 조사의 수치와 확인 질문 별도 요약","prior_task_action":"keep","targets":["SYN-F10-04:N@v1"]}</x:v>
      </x:c>
      <x:c r="E569" s="10" t="str">
        <x:v>{"conditions":["3문장","과거 자료 수치도 요약에 포함","기존 발표자료 작성 유지","현황 수치와 확인 질문만"],"data_source":"SYN-F10-04:D2@v1","goal":"신규 조사의 수치와 확인 질문 별도 요약","prior_task_action":"keep","targets":["SYN-F10-04:N@v1"]}</x:v>
      </x:c>
      <x:c r="F569" s="10" t="n">
        <x:f>IF(D569=E569,1,0)</x:f>
        <x:v>0</x:v>
      </x:c>
      <x:c r="G569" s="10" t="str">
        <x:v>신규 조사 대상은 알지만 요약에 사용할 내용 출처를 과거 자료와 혼합</x:v>
      </x:c>
    </x:row>
    <x:row r="570" ht="145" customHeight="1">
      <x:c r="A570" s="10" t="str">
        <x:v>T-BASE</x:v>
      </x:c>
      <x:c r="B570" s="10" t="str">
        <x:v>TEXT</x:v>
      </x:c>
      <x:c r="C570" s="10" t="str">
        <x:v>TEXT:SYN-F10-05-U01</x:v>
      </x:c>
      <x:c r="D570" s="10" t="str">
        <x:v>{"conditions":["5장 이내","과거 수치 복사 금지","과거 자료 형식만 재사용","대상 기간 교체 후 6개월","외부 발송 없음","입주사 설명회용","철거비 제외","층별 정전 30분 이하"],"data_source":"SYN-F10-05:N@v1","goal":"가온 사무실 조명교체 조명 교체 검토자료 작성 위임","prior_task_action":"new","targets":["SYN-F10-05:D1@v1","SYN-F10-05:N@v1"]}</x:v>
      </x:c>
      <x:c r="E570" s="10" t="str">
        <x:v>{"conditions":["5장 이내","과거 수치 복사 금지","과거 자료 형식만 재사용","대상 기간 교체 후 6개월","외부 발송 없음","입주사 설명회용","철거비 제외","층별 정전 30분 이하"],"data_source":"SYN-F10-05:N@v1","goal":"가온 사무실 조명교체 조명 교체 검토자료 작성 위임","prior_task_action":"new","targets":["SYN-F10-05:D1@v1","SYN-F10-05:N@v1"]}</x:v>
      </x:c>
      <x:c r="F570" s="10" t="n">
        <x:f>IF(D570=E570,1,0)</x:f>
        <x:v>1</x:v>
      </x:c>
      <x:c r="G570" s="10" t="str">
        <x:v>필수 의미와 지칭 집합 일치</x:v>
      </x:c>
    </x:row>
    <x:row r="571" ht="145" customHeight="1">
      <x:c r="A571" s="10" t="str">
        <x:v>T-BASE</x:v>
      </x:c>
      <x:c r="B571" s="10" t="str">
        <x:v>TEXT</x:v>
      </x:c>
      <x:c r="C571" s="10" t="str">
        <x:v>TEXT:SYN-F10-05-U02</x:v>
      </x:c>
      <x:c r="D571" s="10" t="str">
        <x:v>{"conditions":["2문장","과거 자료 내용 혼합 금지","기존 발표자료 작성 유지","현황 수치와 확인 질문만"],"data_source":"SYN-F10-05:N@v1","goal":"신규 조사의 수치와 확인 질문 별도 요약","prior_task_action":"keep","targets":["SYN-F10-05:N@v1"]}</x:v>
      </x:c>
      <x:c r="E571" s="10" t="str">
        <x:v>{"conditions":["2문장","과거 자료 내용 혼합 금지","기존 발표자료 작성 유지","현황 수치와 확인 질문만"],"data_source":"SYN-F10-05:N@v1","goal":"신규 조사의 수치와 확인 질문 별도 요약","prior_task_action":"keep","targets":["SYN-F10-05:N@v1"]}</x:v>
      </x:c>
      <x:c r="F571" s="10" t="n">
        <x:f>IF(D571=E571,1,0)</x:f>
        <x:v>1</x:v>
      </x:c>
      <x:c r="G571" s="10" t="str">
        <x:v>필수 의미와 지칭 집합 일치</x:v>
      </x:c>
    </x:row>
    <x:row r="572" ht="145" customHeight="1">
      <x:c r="A572" s="10" t="str">
        <x:v>T-EXEC</x:v>
      </x:c>
      <x:c r="B572" s="10" t="str">
        <x:v>TEXT</x:v>
      </x:c>
      <x:c r="C572" s="10" t="str">
        <x:v>TEXT:SYN-F10-05-U01</x:v>
      </x:c>
      <x:c r="D572" s="10" t="str">
        <x:v>{"conditions":["5장 이내","과거 수치 복사 금지","과거 자료 형식만 재사용","대상 기간 교체 후 6개월","외부 발송 없음","입주사 설명회용","철거비 제외","층별 정전 30분 이하"],"data_source":"SYN-F10-05:N@v1","goal":"가온 사무실 조명교체 조명 교체 검토자료 작성 위임","prior_task_action":"new","targets":["SYN-F10-05:D1@v1","SYN-F10-05:N@v1"]}</x:v>
      </x:c>
      <x:c r="E572" s="10" t="str">
        <x:v>{"conditions":["5장 이내","과거 수치 복사 금지","과거 자료 형식만 재사용","대상 기간 교체 후 6개월","외부 발송 없음","입주사 설명회용","철거비 제외","층별 정전 30분 이하"],"data_source":"SYN-F10-05:N@v1","goal":"가온 사무실 조명교체 조명 교체 검토자료 작성 위임","prior_task_action":"new","targets":["SYN-F10-05:D1@v1","SYN-F10-05:N@v1"]}</x:v>
      </x:c>
      <x:c r="F572" s="10" t="n">
        <x:f>IF(D572=E572,1,0)</x:f>
        <x:v>1</x:v>
      </x:c>
      <x:c r="G572" s="10" t="str">
        <x:v>필수 의미와 지칭 집합 일치</x:v>
      </x:c>
    </x:row>
    <x:row r="573" ht="145" customHeight="1">
      <x:c r="A573" s="10" t="str">
        <x:v>T-EXEC</x:v>
      </x:c>
      <x:c r="B573" s="10" t="str">
        <x:v>TEXT</x:v>
      </x:c>
      <x:c r="C573" s="10" t="str">
        <x:v>TEXT:SYN-F10-05-U02</x:v>
      </x:c>
      <x:c r="D573" s="10" t="str">
        <x:v>{"conditions":["2문장","과거 자료 내용 혼합 금지","기존 발표자료 작성 유지","현황 수치와 확인 질문만"],"data_source":"SYN-F10-05:N@v1","goal":"신규 조사의 수치와 확인 질문 별도 요약","prior_task_action":"keep","targets":["SYN-F10-05:N@v1"]}</x:v>
      </x:c>
      <x:c r="E573" s="10" t="str">
        <x:v>{"conditions":["2문장","과거 자료 내용 혼합 금지","기존 발표자료 작성 유지","현황 수치와 확인 질문만"],"data_source":"SYN-F10-05:N@v1","goal":"신규 조사의 수치와 확인 질문 별도 요약","prior_task_action":"keep","targets":["SYN-F10-05:N@v1"]}</x:v>
      </x:c>
      <x:c r="F573" s="10" t="n">
        <x:f>IF(D573=E573,1,0)</x:f>
        <x:v>1</x:v>
      </x:c>
      <x:c r="G573" s="10" t="str">
        <x:v>필수 의미와 지칭 집합 일치</x:v>
      </x:c>
    </x:row>
    <x:row r="574" ht="145" customHeight="1">
      <x:c r="A574" s="10" t="str">
        <x:v>T-REL</x:v>
      </x:c>
      <x:c r="B574" s="10" t="str">
        <x:v>TEXT</x:v>
      </x:c>
      <x:c r="C574" s="10" t="str">
        <x:v>TEXT:SYN-F10-05-U01</x:v>
      </x:c>
      <x:c r="D574" s="10" t="str">
        <x:v>{"conditions":["5장 이내","과거 수치 복사 금지","과거 자료 형식만 재사용","대상 기간 교체 후 6개월","외부 발송 없음","입주사 설명회용","철거비 제외","층별 정전 30분 이하"],"data_source":"SYN-F10-05:N@v1","goal":"가온 사무실 조명교체 조명 교체 검토자료 작성 위임","prior_task_action":"new","targets":["SYN-F10-05:D1@v1","SYN-F10-05:N@v1"]}</x:v>
      </x:c>
      <x:c r="E574" s="10" t="str">
        <x:v>{"conditions":["5장 이내","과거 수치 복사 금지","과거 자료 형식만 재사용","대상 기간 교체 후 6개월","외부 발송 없음","입주사 설명회용","철거비 제외","층별 정전 30분 이하"],"data_source":"SYN-F10-05:N@v1","goal":"가온 사무실 조명교체 조명 교체 검토자료 작성 위임","prior_task_action":"new","targets":["SYN-F10-05:D1@v1","SYN-F10-05:N@v1"]}</x:v>
      </x:c>
      <x:c r="F574" s="10" t="n">
        <x:f>IF(D574=E574,1,0)</x:f>
        <x:v>1</x:v>
      </x:c>
      <x:c r="G574" s="10" t="str">
        <x:v>필수 의미와 지칭 집합 일치</x:v>
      </x:c>
    </x:row>
    <x:row r="575" ht="145" customHeight="1">
      <x:c r="A575" s="10" t="str">
        <x:v>T-REL</x:v>
      </x:c>
      <x:c r="B575" s="10" t="str">
        <x:v>TEXT</x:v>
      </x:c>
      <x:c r="C575" s="10" t="str">
        <x:v>TEXT:SYN-F10-05-U02</x:v>
      </x:c>
      <x:c r="D575" s="10" t="str">
        <x:v>{"conditions":["2문장","과거 자료 내용 혼합 금지","기존 발표자료 작성 유지","현황 수치와 확인 질문만"],"data_source":"SYN-F10-05:N@v1","goal":"신규 조사의 수치와 확인 질문 별도 요약","prior_task_action":"keep","targets":["SYN-F10-05:N@v1"]}</x:v>
      </x:c>
      <x:c r="E575" s="10" t="str">
        <x:v>{"conditions":["2문장","과거 자료 내용 혼합 금지","기존 발표자료 작성 유지","현황 수치와 확인 질문만"],"data_source":"SYN-F10-05:N@v1","goal":"신규 조사의 수치와 확인 질문 별도 요약","prior_task_action":"keep","targets":["SYN-F10-05:N@v1"]}</x:v>
      </x:c>
      <x:c r="F575" s="10" t="n">
        <x:f>IF(D575=E575,1,0)</x:f>
        <x:v>1</x:v>
      </x:c>
      <x:c r="G575" s="10" t="str">
        <x:v>필수 의미와 지칭 집합 일치</x:v>
      </x:c>
    </x:row>
    <x:row r="576" ht="145" customHeight="1">
      <x:c r="A576" s="10" t="str">
        <x:v>T-BASE</x:v>
      </x:c>
      <x:c r="B576" s="10" t="str">
        <x:v>TEXT</x:v>
      </x:c>
      <x:c r="C576" s="10" t="str">
        <x:v>TEXT:SYN-F10-06-U01</x:v>
      </x:c>
      <x:c r="D576" s="10" t="str">
        <x:v>{"conditions":["8장 이내","과거 수치 복사 금지","과거 자료 형식만 재사용","대상 기간 행사 2일","외부 발송 없음","참여기업 안내회용","현장 대기 20분 이하","홍보물 인쇄비 제외"],"data_source":"SYN-F10-06:N@v1","goal":"별빛 채용행사 준비 행사 운영 발표자료 작성 위임","prior_task_action":"new","targets":["SYN-F10-06:D3@v1","SYN-F10-06:N@v1"]}</x:v>
      </x:c>
      <x:c r="E576" s="10" t="str">
        <x:v>{"conditions":["8장 이내","과거 수치 복사 금지","과거 자료 형식만 재사용","대상 기간 행사 2일","외부 발송 없음","참여기업 안내회용","현장 대기 20분 이하","홍보물 인쇄비 제외"],"data_source":"SYN-F10-06:N@v1","goal":"별빛 채용행사 준비 행사 운영 발표자료 작성 위임","prior_task_action":"new","targets":["SYN-F10-06:D3@v1","SYN-F10-06:N@v1"]}</x:v>
      </x:c>
      <x:c r="F576" s="10" t="n">
        <x:f>IF(D576=E576,1,0)</x:f>
        <x:v>1</x:v>
      </x:c>
      <x:c r="G576" s="10" t="str">
        <x:v>필수 의미와 지칭 집합 일치</x:v>
      </x:c>
    </x:row>
    <x:row r="577" ht="145" customHeight="1">
      <x:c r="A577" s="10" t="str">
        <x:v>T-BASE</x:v>
      </x:c>
      <x:c r="B577" s="10" t="str">
        <x:v>TEXT</x:v>
      </x:c>
      <x:c r="C577" s="10" t="str">
        <x:v>TEXT:SYN-F10-06-U02</x:v>
      </x:c>
      <x:c r="D577" s="10" t="str">
        <x:v>{"conditions":["4문장","과거 자료 내용 혼합 금지","기존 발표자료 작성 유지","현황 수치와 확인 질문만"],"data_source":"SYN-F10-06:N@v1","goal":"신규 조사의 수치와 확인 질문 별도 요약","prior_task_action":"keep","targets":["SYN-F10-06:N@v1"]}</x:v>
      </x:c>
      <x:c r="E577" s="10" t="str">
        <x:v>{"conditions":["4문장","과거 자료 내용 혼합 금지","기존 발표자료 작성 유지","현황 수치와 확인 질문만"],"data_source":"SYN-F10-06:N@v1","goal":"신규 조사의 수치와 확인 질문 별도 요약","prior_task_action":"keep","targets":["SYN-F10-06:N@v1"]}</x:v>
      </x:c>
      <x:c r="F577" s="10" t="n">
        <x:f>IF(D577=E577,1,0)</x:f>
        <x:v>1</x:v>
      </x:c>
      <x:c r="G577" s="10" t="str">
        <x:v>필수 의미와 지칭 집합 일치</x:v>
      </x:c>
    </x:row>
    <x:row r="578" ht="145" customHeight="1">
      <x:c r="A578" s="10" t="str">
        <x:v>T-EXEC</x:v>
      </x:c>
      <x:c r="B578" s="10" t="str">
        <x:v>TEXT</x:v>
      </x:c>
      <x:c r="C578" s="10" t="str">
        <x:v>TEXT:SYN-F10-06-U01</x:v>
      </x:c>
      <x:c r="D578" s="10" t="str">
        <x:v>{"conditions":["8장 이내","과거 수치 복사 금지","과거 자료 형식만 재사용","대상 기간 행사 2일","외부 발송 없음","참여기업 안내회용","현장 대기 20분 이하","홍보물 인쇄비 제외"],"data_source":"SYN-F10-06:N@v1","goal":"별빛 채용행사 준비 행사 운영 발표자료 작성 위임","prior_task_action":"new","targets":["SYN-F10-06:D3@v1","SYN-F10-06:N@v1"]}</x:v>
      </x:c>
      <x:c r="E578" s="10" t="str">
        <x:v>{"conditions":["8장 이내","과거 수치 복사 금지","과거 자료 형식만 재사용","대상 기간 행사 2일","외부 발송 없음","참여기업 안내회용","현장 대기 20분 이하","홍보물 인쇄비 제외"],"data_source":"SYN-F10-06:N@v1","goal":"별빛 채용행사 준비 행사 운영 발표자료 작성 위임","prior_task_action":"new","targets":["SYN-F10-06:D3@v1","SYN-F10-06:N@v1"]}</x:v>
      </x:c>
      <x:c r="F578" s="10" t="n">
        <x:f>IF(D578=E578,1,0)</x:f>
        <x:v>1</x:v>
      </x:c>
      <x:c r="G578" s="10" t="str">
        <x:v>필수 의미와 지칭 집합 일치</x:v>
      </x:c>
    </x:row>
    <x:row r="579" ht="145" customHeight="1">
      <x:c r="A579" s="10" t="str">
        <x:v>T-EXEC</x:v>
      </x:c>
      <x:c r="B579" s="10" t="str">
        <x:v>TEXT</x:v>
      </x:c>
      <x:c r="C579" s="10" t="str">
        <x:v>TEXT:SYN-F10-06-U02</x:v>
      </x:c>
      <x:c r="D579" s="10" t="str">
        <x:v>{"conditions":["4문장","과거 자료 내용 혼합 금지","기존 발표자료 작성 유지","현황 수치와 확인 질문만"],"data_source":"SYN-F10-06:N@v1","goal":"신규 조사의 수치와 확인 질문 별도 요약","prior_task_action":"keep","targets":["SYN-F10-06:N@v1"]}</x:v>
      </x:c>
      <x:c r="E579" s="10" t="str">
        <x:v>{"conditions":["4문장","과거 자료 내용 혼합 금지","기존 발표자료 작성 유지","현황 수치와 확인 질문만"],"data_source":"SYN-F10-06:D3@v1","goal":"신규 조사의 수치와 확인 질문 별도 요약","prior_task_action":"keep","targets":["SYN-F10-06:D3@v1"]}</x:v>
      </x:c>
      <x:c r="F579" s="10" t="n">
        <x:f>IF(D579=E579,1,0)</x:f>
        <x:v>0</x:v>
      </x:c>
      <x:c r="G579" s="10" t="str">
        <x:v>현재 입력과 원본의 대상 관계를 잘못 연결</x:v>
      </x:c>
    </x:row>
    <x:row r="580" ht="145" customHeight="1">
      <x:c r="A580" s="10" t="str">
        <x:v>T-REL</x:v>
      </x:c>
      <x:c r="B580" s="10" t="str">
        <x:v>TEXT</x:v>
      </x:c>
      <x:c r="C580" s="10" t="str">
        <x:v>TEXT:SYN-F10-06-U01</x:v>
      </x:c>
      <x:c r="D580" s="10" t="str">
        <x:v>{"conditions":["8장 이내","과거 수치 복사 금지","과거 자료 형식만 재사용","대상 기간 행사 2일","외부 발송 없음","참여기업 안내회용","현장 대기 20분 이하","홍보물 인쇄비 제외"],"data_source":"SYN-F10-06:N@v1","goal":"별빛 채용행사 준비 행사 운영 발표자료 작성 위임","prior_task_action":"new","targets":["SYN-F10-06:D3@v1","SYN-F10-06:N@v1"]}</x:v>
      </x:c>
      <x:c r="E580" s="10" t="str">
        <x:v>{"conditions":["8장 이내","과거 수치 복사 금지","과거 자료 형식만 재사용","대상 기간 행사 2일","외부 발송 없음","참여기업 안내회용","현장 대기 20분 이하","홍보물 인쇄비 제외"],"data_source":"SYN-F10-06:N@v1","goal":"별빛 채용행사 준비 행사 운영 발표자료 작성 위임","prior_task_action":"new","targets":["SYN-F10-06:D3@v1","SYN-F10-06:N@v1"]}</x:v>
      </x:c>
      <x:c r="F580" s="10" t="n">
        <x:f>IF(D580=E580,1,0)</x:f>
        <x:v>1</x:v>
      </x:c>
      <x:c r="G580" s="10" t="str">
        <x:v>필수 의미와 지칭 집합 일치</x:v>
      </x:c>
    </x:row>
    <x:row r="581" ht="145" customHeight="1">
      <x:c r="A581" s="10" t="str">
        <x:v>T-REL</x:v>
      </x:c>
      <x:c r="B581" s="10" t="str">
        <x:v>TEXT</x:v>
      </x:c>
      <x:c r="C581" s="10" t="str">
        <x:v>TEXT:SYN-F10-06-U02</x:v>
      </x:c>
      <x:c r="D581" s="10" t="str">
        <x:v>{"conditions":["4문장","과거 자료 내용 혼합 금지","기존 발표자료 작성 유지","현황 수치와 확인 질문만"],"data_source":"SYN-F10-06:N@v1","goal":"신규 조사의 수치와 확인 질문 별도 요약","prior_task_action":"keep","targets":["SYN-F10-06:N@v1"]}</x:v>
      </x:c>
      <x:c r="E581" s="10" t="str">
        <x:v>{"conditions":["4문장","과거 자료 내용 혼합 금지","기존 발표자료 작성 유지","현황 수치와 확인 질문만"],"data_source":"SYN-F10-06:N@v1","goal":"신규 조사의 수치와 확인 질문 별도 요약","prior_task_action":"keep","targets":["SYN-F10-06:N@v1"]}</x:v>
      </x:c>
      <x:c r="F581" s="10" t="n">
        <x:f>IF(D581=E581,1,0)</x:f>
        <x:v>1</x:v>
      </x:c>
      <x:c r="G581" s="10" t="str">
        <x:v>필수 의미와 지칭 집합 일치</x:v>
      </x:c>
    </x:row>
    <x:row r="582" ht="145" customHeight="1">
      <x:c r="A582" s="10" t="str">
        <x:v>T-BASE</x:v>
      </x:c>
      <x:c r="B582" s="10" t="str">
        <x:v>TEXT</x:v>
      </x:c>
      <x:c r="C582" s="10" t="str">
        <x:v>TEXT:SYN-F10-07-U01</x:v>
      </x:c>
      <x:c r="D582" s="10" t="str">
        <x:v>{"conditions":["6장 이내","검사장비 구입비 제외","과거 수치 복사 금지","과거 자료 형식만 재사용","납품처 품질설명회용","대상 기간 다음 8주","샘플 검사 45분 이하","외부 발송 없음"],"data_source":"SYN-F10-07:N@v1","goal":"청솔 부품검사 개선 검사 개선 발표자료 작성 위임","prior_task_action":"new","targets":["SYN-F10-07:D2@v1","SYN-F10-07:N@v1"]}</x:v>
      </x:c>
      <x:c r="E582" s="10" t="str">
        <x:v>{"conditions":["6장 이내","검사장비 구입비 제외","과거 수치 복사 금지","과거 자료 형식만 재사용","납품처 품질설명회용","대상 기간 다음 8주","샘플 검사 45분 이하","외부 발송 없음"],"data_source":"SYN-F10-07:N@v1","goal":"청솔 부품검사 개선 검사 개선 발표자료 작성 위임","prior_task_action":"new","targets":["SYN-F10-07:D2@v1","SYN-F10-07:N@v1"]}</x:v>
      </x:c>
      <x:c r="F582" s="10" t="n">
        <x:f>IF(D582=E582,1,0)</x:f>
        <x:v>1</x:v>
      </x:c>
      <x:c r="G582" s="10" t="str">
        <x:v>필수 의미와 지칭 집합 일치</x:v>
      </x:c>
    </x:row>
    <x:row r="583" ht="145" customHeight="1">
      <x:c r="A583" s="10" t="str">
        <x:v>T-BASE</x:v>
      </x:c>
      <x:c r="B583" s="10" t="str">
        <x:v>TEXT</x:v>
      </x:c>
      <x:c r="C583" s="10" t="str">
        <x:v>TEXT:SYN-F10-07-U02</x:v>
      </x:c>
      <x:c r="D583" s="10" t="str">
        <x:v>{"conditions":["3문장","과거 자료 내용 혼합 금지","기존 발표자료 작성 유지","현황 수치와 확인 질문만"],"data_source":"SYN-F10-07:N@v1","goal":"신규 조사의 수치와 확인 질문 별도 요약","prior_task_action":"keep","targets":["SYN-F10-07:N@v1"]}</x:v>
      </x:c>
      <x:c r="E583" s="10" t="str">
        <x:v>{"conditions":["3문장","과거 자료 내용 혼합 금지","기존 발표자료 작성 유지","현황 수치와 확인 질문만"],"data_source":"SYN-F10-07:N@v1","goal":"신규 조사의 수치와 확인 질문 별도 요약","prior_task_action":"keep","targets":["SYN-F10-07:N@v1"]}</x:v>
      </x:c>
      <x:c r="F583" s="10" t="n">
        <x:f>IF(D583=E583,1,0)</x:f>
        <x:v>1</x:v>
      </x:c>
      <x:c r="G583" s="10" t="str">
        <x:v>필수 의미와 지칭 집합 일치</x:v>
      </x:c>
    </x:row>
    <x:row r="584" ht="145" customHeight="1">
      <x:c r="A584" s="10" t="str">
        <x:v>T-EXEC</x:v>
      </x:c>
      <x:c r="B584" s="10" t="str">
        <x:v>TEXT</x:v>
      </x:c>
      <x:c r="C584" s="10" t="str">
        <x:v>TEXT:SYN-F10-07-U01</x:v>
      </x:c>
      <x:c r="D584" s="10" t="str">
        <x:v>{"conditions":["6장 이내","검사장비 구입비 제외","과거 수치 복사 금지","과거 자료 형식만 재사용","납품처 품질설명회용","대상 기간 다음 8주","샘플 검사 45분 이하","외부 발송 없음"],"data_source":"SYN-F10-07:N@v1","goal":"청솔 부품검사 개선 검사 개선 발표자료 작성 위임","prior_task_action":"new","targets":["SYN-F10-07:D2@v1","SYN-F10-07:N@v1"]}</x:v>
      </x:c>
      <x:c r="E584" s="10" t="str">
        <x:v>{"conditions":["6장 이내","검사장비 구입비 제외","과거 수치 복사 금지","과거 자료 형식만 재사용","납품처 품질설명회용","대상 기간 다음 8주","샘플 검사 45분 이하","외부 발송 없음"],"data_source":"SYN-F10-07:N@v1","goal":"청솔 부품검사 개선 검사 개선 발표자료 작성 위임","prior_task_action":"new","targets":["SYN-F10-07:D2@v1","SYN-F10-07:N@v1"]}</x:v>
      </x:c>
      <x:c r="F584" s="10" t="n">
        <x:f>IF(D584=E584,1,0)</x:f>
        <x:v>1</x:v>
      </x:c>
      <x:c r="G584" s="10" t="str">
        <x:v>필수 의미와 지칭 집합 일치</x:v>
      </x:c>
    </x:row>
    <x:row r="585" ht="145" customHeight="1">
      <x:c r="A585" s="10" t="str">
        <x:v>T-EXEC</x:v>
      </x:c>
      <x:c r="B585" s="10" t="str">
        <x:v>TEXT</x:v>
      </x:c>
      <x:c r="C585" s="10" t="str">
        <x:v>TEXT:SYN-F10-07-U02</x:v>
      </x:c>
      <x:c r="D585" s="10" t="str">
        <x:v>{"conditions":["3문장","과거 자료 내용 혼합 금지","기존 발표자료 작성 유지","현황 수치와 확인 질문만"],"data_source":"SYN-F10-07:N@v1","goal":"신규 조사의 수치와 확인 질문 별도 요약","prior_task_action":"keep","targets":["SYN-F10-07:N@v1"]}</x:v>
      </x:c>
      <x:c r="E585" s="10" t="str">
        <x:v>{"conditions":["3문장","과거 자료 내용 혼합 금지","기존 발표자료 작성 유지","현황 수치와 확인 질문만"],"data_source":"SYN-F10-07:N@v1","goal":"신규 조사의 수치와 확인 질문 별도 요약","prior_task_action":"keep","targets":["SYN-F10-07:N@v1"]}</x:v>
      </x:c>
      <x:c r="F585" s="10" t="n">
        <x:f>IF(D585=E585,1,0)</x:f>
        <x:v>1</x:v>
      </x:c>
      <x:c r="G585" s="10" t="str">
        <x:v>필수 의미와 지칭 집합 일치</x:v>
      </x:c>
    </x:row>
    <x:row r="586" ht="145" customHeight="1">
      <x:c r="A586" s="10" t="str">
        <x:v>T-REL</x:v>
      </x:c>
      <x:c r="B586" s="10" t="str">
        <x:v>TEXT</x:v>
      </x:c>
      <x:c r="C586" s="10" t="str">
        <x:v>TEXT:SYN-F10-07-U01</x:v>
      </x:c>
      <x:c r="D586" s="10" t="str">
        <x:v>{"conditions":["6장 이내","검사장비 구입비 제외","과거 수치 복사 금지","과거 자료 형식만 재사용","납품처 품질설명회용","대상 기간 다음 8주","샘플 검사 45분 이하","외부 발송 없음"],"data_source":"SYN-F10-07:N@v1","goal":"청솔 부품검사 개선 검사 개선 발표자료 작성 위임","prior_task_action":"new","targets":["SYN-F10-07:D2@v1","SYN-F10-07:N@v1"]}</x:v>
      </x:c>
      <x:c r="E586" s="10" t="str">
        <x:v>{"conditions":["6장 이내","검사장비 구입비 제외","과거 수치 복사 금지","과거 자료 형식만 재사용","납품처 품질설명회용","대상 기간 다음 8주","샘플 검사 45분 이하","외부 발송 없음"],"data_source":"SYN-F10-07:N@v1","goal":"청솔 부품검사 개선 검사 개선 발표자료 작성 위임","prior_task_action":"new","targets":["SYN-F10-07:D2@v1","SYN-F10-07:N@v1"]}</x:v>
      </x:c>
      <x:c r="F586" s="10" t="n">
        <x:f>IF(D586=E586,1,0)</x:f>
        <x:v>1</x:v>
      </x:c>
      <x:c r="G586" s="10" t="str">
        <x:v>필수 의미와 지칭 집합 일치</x:v>
      </x:c>
    </x:row>
    <x:row r="587" ht="145" customHeight="1">
      <x:c r="A587" s="10" t="str">
        <x:v>T-REL</x:v>
      </x:c>
      <x:c r="B587" s="10" t="str">
        <x:v>TEXT</x:v>
      </x:c>
      <x:c r="C587" s="10" t="str">
        <x:v>TEXT:SYN-F10-07-U02</x:v>
      </x:c>
      <x:c r="D587" s="10" t="str">
        <x:v>{"conditions":["3문장","과거 자료 내용 혼합 금지","기존 발표자료 작성 유지","현황 수치와 확인 질문만"],"data_source":"SYN-F10-07:N@v1","goal":"신규 조사의 수치와 확인 질문 별도 요약","prior_task_action":"keep","targets":["SYN-F10-07:N@v1"]}</x:v>
      </x:c>
      <x:c r="E587" s="10" t="str">
        <x:v>{"conditions":["3문장","과거 자료 수치도 요약에 포함","기존 발표자료 작성 유지","현황 수치와 확인 질문만"],"data_source":"SYN-F10-07:D2@v1","goal":"신규 조사의 수치와 확인 질문 별도 요약","prior_task_action":"keep","targets":["SYN-F10-07:N@v1"]}</x:v>
      </x:c>
      <x:c r="F587" s="10" t="n">
        <x:f>IF(D587=E587,1,0)</x:f>
        <x:v>0</x:v>
      </x:c>
      <x:c r="G587" s="10" t="str">
        <x:v>신규 조사 대상은 알지만 요약에 사용할 내용 출처를 과거 자료와 혼합</x:v>
      </x:c>
    </x:row>
    <x:row r="588" ht="145" customHeight="1">
      <x:c r="A588" s="10" t="str">
        <x:v>T-BASE</x:v>
      </x:c>
      <x:c r="B588" s="10" t="str">
        <x:v>TEXT</x:v>
      </x:c>
      <x:c r="C588" s="10" t="str">
        <x:v>TEXT:SYN-F10-08-U01</x:v>
      </x:c>
      <x:c r="D588" s="10" t="str">
        <x:v>{"conditions":["4장 이내","과거 수치 복사 금지","과거 자료 형식만 재사용","대상 기간 운영 5주","안내문 500자 이하","외부 발송 없음","일회성 촬영비 제외","지역 파트너 설명회용"],"data_source":"SYN-F10-08:N@v1","goal":"노을 서비스 캠페인 캠페인 계획 발표자료 작성 위임","prior_task_action":"new","targets":["SYN-F10-08:D1@v1","SYN-F10-08:N@v1"]}</x:v>
      </x:c>
      <x:c r="E588" s="10" t="str">
        <x:v>{"conditions":["4장 이내","과거 수치 복사 금지","과거 자료 형식만 재사용","대상 기간 운영 5주","안내문 500자 이하","외부 발송 없음","일회성 촬영비 제외","지역 파트너 설명회용"],"data_source":"SYN-F10-08:N@v1","goal":"노을 서비스 캠페인 캠페인 계획 발표자료 작성 위임","prior_task_action":"new","targets":["SYN-F10-08:D1@v1","SYN-F10-08:N@v1"]}</x:v>
      </x:c>
      <x:c r="F588" s="10" t="n">
        <x:f>IF(D588=E588,1,0)</x:f>
        <x:v>1</x:v>
      </x:c>
      <x:c r="G588" s="10" t="str">
        <x:v>필수 의미와 지칭 집합 일치</x:v>
      </x:c>
    </x:row>
    <x:row r="589" ht="145" customHeight="1">
      <x:c r="A589" s="10" t="str">
        <x:v>T-BASE</x:v>
      </x:c>
      <x:c r="B589" s="10" t="str">
        <x:v>TEXT</x:v>
      </x:c>
      <x:c r="C589" s="10" t="str">
        <x:v>TEXT:SYN-F10-08-U02</x:v>
      </x:c>
      <x:c r="D589" s="10" t="str">
        <x:v>{"conditions":["2문장","과거 자료 내용 혼합 금지","기존 발표자료 작성 유지","현황 수치와 확인 질문만"],"data_source":"SYN-F10-08:N@v1","goal":"신규 조사의 수치와 확인 질문 별도 요약","prior_task_action":"keep","targets":["SYN-F10-08:N@v1"]}</x:v>
      </x:c>
      <x:c r="E589" s="10" t="str">
        <x:v>{"conditions":["2문장","과거 자료 내용 혼합 금지","기존 발표자료 작성 유지","현황 수치와 확인 질문만"],"data_source":"SYN-F10-08:N@v1","goal":"신규 조사의 수치와 확인 질문 별도 요약","prior_task_action":"keep","targets":["SYN-F10-08:N@v1"]}</x:v>
      </x:c>
      <x:c r="F589" s="10" t="n">
        <x:f>IF(D589=E589,1,0)</x:f>
        <x:v>1</x:v>
      </x:c>
      <x:c r="G589" s="10" t="str">
        <x:v>필수 의미와 지칭 집합 일치</x:v>
      </x:c>
    </x:row>
    <x:row r="590" ht="145" customHeight="1">
      <x:c r="A590" s="10" t="str">
        <x:v>T-EXEC</x:v>
      </x:c>
      <x:c r="B590" s="10" t="str">
        <x:v>TEXT</x:v>
      </x:c>
      <x:c r="C590" s="10" t="str">
        <x:v>TEXT:SYN-F10-08-U01</x:v>
      </x:c>
      <x:c r="D590" s="10" t="str">
        <x:v>{"conditions":["4장 이내","과거 수치 복사 금지","과거 자료 형식만 재사용","대상 기간 운영 5주","안내문 500자 이하","외부 발송 없음","일회성 촬영비 제외","지역 파트너 설명회용"],"data_source":"SYN-F10-08:N@v1","goal":"노을 서비스 캠페인 캠페인 계획 발표자료 작성 위임","prior_task_action":"new","targets":["SYN-F10-08:D1@v1","SYN-F10-08:N@v1"]}</x:v>
      </x:c>
      <x:c r="E590" s="10" t="str">
        <x:v>{"conditions":["4장 이내","과거 수치 복사 금지","과거 자료 형식만 재사용","대상 기간 운영 5주","안내문 500자 이하","외부 발송 없음","일회성 촬영비 제외","지역 파트너 설명회용"],"data_source":"SYN-F10-08:N@v1","goal":"노을 서비스 캠페인 캠페인 계획 발표자료 작성 위임","prior_task_action":"new","targets":["SYN-F10-08:D1@v1","SYN-F10-08:N@v1"]}</x:v>
      </x:c>
      <x:c r="F590" s="10" t="n">
        <x:f>IF(D590=E590,1,0)</x:f>
        <x:v>1</x:v>
      </x:c>
      <x:c r="G590" s="10" t="str">
        <x:v>필수 의미와 지칭 집합 일치</x:v>
      </x:c>
    </x:row>
    <x:row r="591" ht="145" customHeight="1">
      <x:c r="A591" s="10" t="str">
        <x:v>T-EXEC</x:v>
      </x:c>
      <x:c r="B591" s="10" t="str">
        <x:v>TEXT</x:v>
      </x:c>
      <x:c r="C591" s="10" t="str">
        <x:v>TEXT:SYN-F10-08-U02</x:v>
      </x:c>
      <x:c r="D591" s="10" t="str">
        <x:v>{"conditions":["2문장","과거 자료 내용 혼합 금지","기존 발표자료 작성 유지","현황 수치와 확인 질문만"],"data_source":"SYN-F10-08:N@v1","goal":"신규 조사의 수치와 확인 질문 별도 요약","prior_task_action":"keep","targets":["SYN-F10-08:N@v1"]}</x:v>
      </x:c>
      <x:c r="E591" s="10" t="str">
        <x:v>{"conditions":["2문장","과거 자료 수치도 요약에 포함","기존 발표자료 작성 유지","현황 수치와 확인 질문만"],"data_source":"SYN-F10-08:D1@v1","goal":"신규 조사의 수치와 확인 질문 별도 요약","prior_task_action":"keep","targets":["SYN-F10-08:N@v1"]}</x:v>
      </x:c>
      <x:c r="F591" s="10" t="n">
        <x:f>IF(D591=E591,1,0)</x:f>
        <x:v>0</x:v>
      </x:c>
      <x:c r="G591" s="10" t="str">
        <x:v>신규 조사 대상은 알지만 요약에 사용할 내용 출처를 과거 자료와 혼합</x:v>
      </x:c>
    </x:row>
    <x:row r="592" ht="145" customHeight="1">
      <x:c r="A592" s="10" t="str">
        <x:v>T-REL</x:v>
      </x:c>
      <x:c r="B592" s="10" t="str">
        <x:v>TEXT</x:v>
      </x:c>
      <x:c r="C592" s="10" t="str">
        <x:v>TEXT:SYN-F10-08-U01</x:v>
      </x:c>
      <x:c r="D592" s="10" t="str">
        <x:v>{"conditions":["4장 이내","과거 수치 복사 금지","과거 자료 형식만 재사용","대상 기간 운영 5주","안내문 500자 이하","외부 발송 없음","일회성 촬영비 제외","지역 파트너 설명회용"],"data_source":"SYN-F10-08:N@v1","goal":"노을 서비스 캠페인 캠페인 계획 발표자료 작성 위임","prior_task_action":"new","targets":["SYN-F10-08:D1@v1","SYN-F10-08:N@v1"]}</x:v>
      </x:c>
      <x:c r="E592" s="10" t="str">
        <x:v>{"conditions":["4장 이내","과거 수치 복사 금지","과거 자료 형식만 재사용","대상 기간 운영 5주","안내문 500자 이하","외부 발송 없음","일회성 촬영비 제외","지역 파트너 설명회용"],"data_source":"SYN-F10-08:N@v1","goal":"노을 서비스 캠페인 캠페인 계획 발표자료 작성 위임","prior_task_action":"new","targets":["SYN-F10-08:D1@v1","SYN-F10-08:N@v1"]}</x:v>
      </x:c>
      <x:c r="F592" s="10" t="n">
        <x:f>IF(D592=E592,1,0)</x:f>
        <x:v>1</x:v>
      </x:c>
      <x:c r="G592" s="10" t="str">
        <x:v>필수 의미와 지칭 집합 일치</x:v>
      </x:c>
    </x:row>
    <x:row r="593" ht="145" customHeight="1">
      <x:c r="A593" s="10" t="str">
        <x:v>T-REL</x:v>
      </x:c>
      <x:c r="B593" s="10" t="str">
        <x:v>TEXT</x:v>
      </x:c>
      <x:c r="C593" s="10" t="str">
        <x:v>TEXT:SYN-F10-08-U02</x:v>
      </x:c>
      <x:c r="D593" s="10" t="str">
        <x:v>{"conditions":["2문장","과거 자료 내용 혼합 금지","기존 발표자료 작성 유지","현황 수치와 확인 질문만"],"data_source":"SYN-F10-08:N@v1","goal":"신규 조사의 수치와 확인 질문 별도 요약","prior_task_action":"keep","targets":["SYN-F10-08:N@v1"]}</x:v>
      </x:c>
      <x:c r="E593" s="10" t="str">
        <x:v>{"conditions":["2문장","과거 자료 내용 혼합 금지","기존 발표자료 작성 유지","현황 수치와 확인 질문만"],"data_source":"SYN-F10-08:N@v1","goal":"신규 조사의 수치와 확인 질문 별도 요약","prior_task_action":"keep","targets":["SYN-F10-08:N@v1"]}</x:v>
      </x:c>
      <x:c r="F593" s="10" t="n">
        <x:f>IF(D593=E593,1,0)</x:f>
        <x:v>1</x:v>
      </x:c>
      <x:c r="G593" s="10" t="str">
        <x:v>필수 의미와 지칭 집합 일치</x:v>
      </x:c>
    </x:row>
    <x:row r="594" ht="145" customHeight="1">
      <x:c r="A594" s="10" t="str">
        <x:v>T-BASE</x:v>
      </x:c>
      <x:c r="B594" s="10" t="str">
        <x:v>TEXT</x:v>
      </x:c>
      <x:c r="C594" s="10" t="str">
        <x:v>TEXT:SYN-F10-09-U01</x:v>
      </x:c>
      <x:c r="D594" s="10" t="str">
        <x:v>{"conditions":["7장 이내","과거 수치 복사 금지","과거 자료 형식만 재사용","대상 기간 적용 후 4주","배송 협력사 설명회용","선반 구매비 제외","외부 발송 없음","주문당 이동 180m 이하"],"data_source":"SYN-F10-09:N@v1","goal":"파도 창고배치 변경 배치 변경 발표자료 작성 위임","prior_task_action":"new","targets":["SYN-F10-09:D3@v1","SYN-F10-09:N@v1"]}</x:v>
      </x:c>
      <x:c r="E594" s="10" t="str">
        <x:v>{"conditions":["7장 이내","과거 수치 복사 금지","과거 자료 형식만 재사용","대상 기간 적용 후 4주","배송 협력사 설명회용","선반 구매비 제외","외부 발송 없음","주문당 이동 180m 이하"],"data_source":"SYN-F10-09:N@v1","goal":"파도 창고배치 변경 배치 변경 발표자료 작성 위임","prior_task_action":"new","targets":["SYN-F10-09:D3@v1","SYN-F10-09:N@v1"]}</x:v>
      </x:c>
      <x:c r="F594" s="10" t="n">
        <x:f>IF(D594=E594,1,0)</x:f>
        <x:v>1</x:v>
      </x:c>
      <x:c r="G594" s="10" t="str">
        <x:v>필수 의미와 지칭 집합 일치</x:v>
      </x:c>
    </x:row>
    <x:row r="595" ht="145" customHeight="1">
      <x:c r="A595" s="10" t="str">
        <x:v>T-BASE</x:v>
      </x:c>
      <x:c r="B595" s="10" t="str">
        <x:v>TEXT</x:v>
      </x:c>
      <x:c r="C595" s="10" t="str">
        <x:v>TEXT:SYN-F10-09-U02</x:v>
      </x:c>
      <x:c r="D595" s="10" t="str">
        <x:v>{"conditions":["4문장","과거 자료 내용 혼합 금지","기존 발표자료 작성 유지","현황 수치와 확인 질문만"],"data_source":"SYN-F10-09:N@v1","goal":"신규 조사의 수치와 확인 질문 별도 요약","prior_task_action":"keep","targets":["SYN-F10-09:N@v1"]}</x:v>
      </x:c>
      <x:c r="E595" s="10" t="str">
        <x:v>{"conditions":["4문장","과거 자료 내용 혼합 금지","기존 발표자료 작성 유지","현황 수치와 확인 질문만"],"data_source":"SYN-F10-09:N@v1","goal":"신규 조사의 수치와 확인 질문 별도 요약","prior_task_action":"keep","targets":["SYN-F10-09:N@v1"]}</x:v>
      </x:c>
      <x:c r="F595" s="10" t="n">
        <x:f>IF(D595=E595,1,0)</x:f>
        <x:v>1</x:v>
      </x:c>
      <x:c r="G595" s="10" t="str">
        <x:v>필수 의미와 지칭 집합 일치</x:v>
      </x:c>
    </x:row>
    <x:row r="596" ht="145" customHeight="1">
      <x:c r="A596" s="10" t="str">
        <x:v>T-EXEC</x:v>
      </x:c>
      <x:c r="B596" s="10" t="str">
        <x:v>TEXT</x:v>
      </x:c>
      <x:c r="C596" s="10" t="str">
        <x:v>TEXT:SYN-F10-09-U01</x:v>
      </x:c>
      <x:c r="D596" s="10" t="str">
        <x:v>{"conditions":["7장 이내","과거 수치 복사 금지","과거 자료 형식만 재사용","대상 기간 적용 후 4주","배송 협력사 설명회용","선반 구매비 제외","외부 발송 없음","주문당 이동 180m 이하"],"data_source":"SYN-F10-09:N@v1","goal":"파도 창고배치 변경 배치 변경 발표자료 작성 위임","prior_task_action":"new","targets":["SYN-F10-09:D3@v1","SYN-F10-09:N@v1"]}</x:v>
      </x:c>
      <x:c r="E596" s="10" t="str">
        <x:v>{"conditions":["7장 이내","과거 수치 복사 금지","과거 자료 형식만 재사용","대상 기간 적용 후 4주","배송 협력사 설명회용","선반 구매비 제외","외부 발송 없음","주문당 이동 180m 이하"],"data_source":"SYN-F10-09:N@v1","goal":"파도 창고배치 변경 배치 변경 발표자료 작성 위임","prior_task_action":"new","targets":["SYN-F10-09:D3@v1","SYN-F10-09:N@v1"]}</x:v>
      </x:c>
      <x:c r="F596" s="10" t="n">
        <x:f>IF(D596=E596,1,0)</x:f>
        <x:v>1</x:v>
      </x:c>
      <x:c r="G596" s="10" t="str">
        <x:v>필수 의미와 지칭 집합 일치</x:v>
      </x:c>
    </x:row>
    <x:row r="597" ht="145" customHeight="1">
      <x:c r="A597" s="10" t="str">
        <x:v>T-EXEC</x:v>
      </x:c>
      <x:c r="B597" s="10" t="str">
        <x:v>TEXT</x:v>
      </x:c>
      <x:c r="C597" s="10" t="str">
        <x:v>TEXT:SYN-F10-09-U02</x:v>
      </x:c>
      <x:c r="D597" s="10" t="str">
        <x:v>{"conditions":["4문장","과거 자료 내용 혼합 금지","기존 발표자료 작성 유지","현황 수치와 확인 질문만"],"data_source":"SYN-F10-09:N@v1","goal":"신규 조사의 수치와 확인 질문 별도 요약","prior_task_action":"keep","targets":["SYN-F10-09:N@v1"]}</x:v>
      </x:c>
      <x:c r="E597" s="10" t="str">
        <x:v>{"conditions":["4문장","과거 자료 내용 혼합 금지","기존 발표자료 작성 유지","현황 수치와 확인 질문만"],"data_source":"SYN-F10-09:N@v1","goal":"신규 조사의 수치와 확인 질문 별도 요약","prior_task_action":"keep","targets":["SYN-F10-09:N@v1"]}</x:v>
      </x:c>
      <x:c r="F597" s="10" t="n">
        <x:f>IF(D597=E597,1,0)</x:f>
        <x:v>1</x:v>
      </x:c>
      <x:c r="G597" s="10" t="str">
        <x:v>필수 의미와 지칭 집합 일치</x:v>
      </x:c>
    </x:row>
    <x:row r="598" ht="145" customHeight="1">
      <x:c r="A598" s="10" t="str">
        <x:v>T-REL</x:v>
      </x:c>
      <x:c r="B598" s="10" t="str">
        <x:v>TEXT</x:v>
      </x:c>
      <x:c r="C598" s="10" t="str">
        <x:v>TEXT:SYN-F10-09-U01</x:v>
      </x:c>
      <x:c r="D598" s="10" t="str">
        <x:v>{"conditions":["7장 이내","과거 수치 복사 금지","과거 자료 형식만 재사용","대상 기간 적용 후 4주","배송 협력사 설명회용","선반 구매비 제외","외부 발송 없음","주문당 이동 180m 이하"],"data_source":"SYN-F10-09:N@v1","goal":"파도 창고배치 변경 배치 변경 발표자료 작성 위임","prior_task_action":"new","targets":["SYN-F10-09:D3@v1","SYN-F10-09:N@v1"]}</x:v>
      </x:c>
      <x:c r="E598" s="10" t="str">
        <x:v>{"conditions":["7장 이내","과거 수치 복사 금지","과거 자료 형식만 재사용","대상 기간 적용 후 4주","배송 협력사 설명회용","선반 구매비 제외","외부 발송 없음","주문당 이동 180m 이하"],"data_source":"SYN-F10-09:N@v1","goal":"파도 창고배치 변경 배치 변경 발표자료 작성 위임","prior_task_action":"new","targets":["SYN-F10-09:D3@v1","SYN-F10-09:N@v1"]}</x:v>
      </x:c>
      <x:c r="F598" s="10" t="n">
        <x:f>IF(D598=E598,1,0)</x:f>
        <x:v>1</x:v>
      </x:c>
      <x:c r="G598" s="10" t="str">
        <x:v>필수 의미와 지칭 집합 일치</x:v>
      </x:c>
    </x:row>
    <x:row r="599" ht="145" customHeight="1">
      <x:c r="A599" s="10" t="str">
        <x:v>T-REL</x:v>
      </x:c>
      <x:c r="B599" s="10" t="str">
        <x:v>TEXT</x:v>
      </x:c>
      <x:c r="C599" s="10" t="str">
        <x:v>TEXT:SYN-F10-09-U02</x:v>
      </x:c>
      <x:c r="D599" s="10" t="str">
        <x:v>{"conditions":["4문장","과거 자료 내용 혼합 금지","기존 발표자료 작성 유지","현황 수치와 확인 질문만"],"data_source":"SYN-F10-09:N@v1","goal":"신규 조사의 수치와 확인 질문 별도 요약","prior_task_action":"keep","targets":["SYN-F10-09:N@v1"]}</x:v>
      </x:c>
      <x:c r="E599" s="10" t="str">
        <x:v>{"conditions":["4문장","과거 자료 내용 혼합 금지","기존 발표자료 작성 유지","현황 수치와 확인 질문만"],"data_source":"SYN-F10-09:N@v1","goal":"신규 조사의 수치와 확인 질문 별도 요약","prior_task_action":"keep","targets":["SYN-F10-09:N@v1"]}</x:v>
      </x:c>
      <x:c r="F599" s="10" t="n">
        <x:f>IF(D599=E599,1,0)</x:f>
        <x:v>1</x:v>
      </x:c>
      <x:c r="G599" s="10" t="str">
        <x:v>필수 의미와 지칭 집합 일치</x:v>
      </x:c>
    </x:row>
    <x:row r="600" ht="145" customHeight="1">
      <x:c r="A600" s="10" t="str">
        <x:v>T-BASE</x:v>
      </x:c>
      <x:c r="B600" s="10" t="str">
        <x:v>TEXT</x:v>
      </x:c>
      <x:c r="C600" s="10" t="str">
        <x:v>TEXT:SYN-F10-10-U01</x:v>
      </x:c>
      <x:c r="D600" s="10" t="str">
        <x:v>{"conditions":["5장 이내","과거 수치 복사 금지","과거 자료 형식만 재사용","대상 기간 출시 후 2개월","부서대표 설명회용","외부 발송 없음","첫 화면 메뉴 9개 이하","초기 이전비 제외"],"data_source":"SYN-F10-10:N@v1","goal":"온유 사내포털 개편 포털 개선 발표자료 작성 위임","prior_task_action":"new","targets":["SYN-F10-10:D2@v1","SYN-F10-10:N@v1"]}</x:v>
      </x:c>
      <x:c r="E600" s="10" t="str">
        <x:v>{"conditions":["5장 이내","과거 수치 복사 금지","과거 자료 형식만 재사용","대상 기간 출시 후 2개월","부서대표 설명회용","외부 발송 없음","첫 화면 메뉴 9개 이하","초기 이전비 제외"],"data_source":"SYN-F10-10:N@v1","goal":"온유 사내포털 개편 포털 개선 발표자료 작성 위임","prior_task_action":"new","targets":["SYN-F10-10:D2@v1","SYN-F10-10:N@v1"]}</x:v>
      </x:c>
      <x:c r="F600" s="10" t="n">
        <x:f>IF(D600=E600,1,0)</x:f>
        <x:v>1</x:v>
      </x:c>
      <x:c r="G600" s="10" t="str">
        <x:v>필수 의미와 지칭 집합 일치</x:v>
      </x:c>
    </x:row>
    <x:row r="601" ht="145" customHeight="1">
      <x:c r="A601" s="10" t="str">
        <x:v>T-BASE</x:v>
      </x:c>
      <x:c r="B601" s="10" t="str">
        <x:v>TEXT</x:v>
      </x:c>
      <x:c r="C601" s="10" t="str">
        <x:v>TEXT:SYN-F10-10-U02</x:v>
      </x:c>
      <x:c r="D601" s="10" t="str">
        <x:v>{"conditions":["3문장","과거 자료 내용 혼합 금지","기존 발표자료 작성 유지","현황 수치와 확인 질문만"],"data_source":"SYN-F10-10:N@v1","goal":"신규 조사의 수치와 확인 질문 별도 요약","prior_task_action":"keep","targets":["SYN-F10-10:N@v1"]}</x:v>
      </x:c>
      <x:c r="E601" s="10" t="str">
        <x:v>{"conditions":["3문장","과거 자료 내용 혼합 금지","기존 발표자료 작성 유지","현황 수치와 확인 질문만"],"data_source":"SYN-F10-10:N@v1","goal":"신규 조사의 수치와 확인 질문 별도 요약","prior_task_action":"keep","targets":["SYN-F10-10:N@v1"]}</x:v>
      </x:c>
      <x:c r="F601" s="10" t="n">
        <x:f>IF(D601=E601,1,0)</x:f>
        <x:v>1</x:v>
      </x:c>
      <x:c r="G601" s="10" t="str">
        <x:v>필수 의미와 지칭 집합 일치</x:v>
      </x:c>
    </x:row>
    <x:row r="602" ht="145" customHeight="1">
      <x:c r="A602" s="10" t="str">
        <x:v>T-EXEC</x:v>
      </x:c>
      <x:c r="B602" s="10" t="str">
        <x:v>TEXT</x:v>
      </x:c>
      <x:c r="C602" s="10" t="str">
        <x:v>TEXT:SYN-F10-10-U01</x:v>
      </x:c>
      <x:c r="D602" s="10" t="str">
        <x:v>{"conditions":["5장 이내","과거 수치 복사 금지","과거 자료 형식만 재사용","대상 기간 출시 후 2개월","부서대표 설명회용","외부 발송 없음","첫 화면 메뉴 9개 이하","초기 이전비 제외"],"data_source":"SYN-F10-10:N@v1","goal":"온유 사내포털 개편 포털 개선 발표자료 작성 위임","prior_task_action":"new","targets":["SYN-F10-10:D2@v1","SYN-F10-10:N@v1"]}</x:v>
      </x:c>
      <x:c r="E602" s="10" t="str">
        <x:v>{"conditions":["5장 이내","과거 수치 복사 금지","과거 자료 형식만 재사용","대상 기간 출시 후 2개월","부서대표 설명회용","외부 발송 없음","첫 화면 메뉴 9개 이하","초기 이전비 제외"],"data_source":"SYN-F10-10:N@v1","goal":"온유 사내포털 개편 포털 개선 발표자료 작성 위임","prior_task_action":"new","targets":["SYN-F10-10:D2@v1","SYN-F10-10:N@v1"]}</x:v>
      </x:c>
      <x:c r="F602" s="10" t="n">
        <x:f>IF(D602=E602,1,0)</x:f>
        <x:v>1</x:v>
      </x:c>
      <x:c r="G602" s="10" t="str">
        <x:v>필수 의미와 지칭 집합 일치</x:v>
      </x:c>
    </x:row>
    <x:row r="603" ht="145" customHeight="1">
      <x:c r="A603" s="10" t="str">
        <x:v>T-EXEC</x:v>
      </x:c>
      <x:c r="B603" s="10" t="str">
        <x:v>TEXT</x:v>
      </x:c>
      <x:c r="C603" s="10" t="str">
        <x:v>TEXT:SYN-F10-10-U02</x:v>
      </x:c>
      <x:c r="D603" s="10" t="str">
        <x:v>{"conditions":["3문장","과거 자료 내용 혼합 금지","기존 발표자료 작성 유지","현황 수치와 확인 질문만"],"data_source":"SYN-F10-10:N@v1","goal":"신규 조사의 수치와 확인 질문 별도 요약","prior_task_action":"keep","targets":["SYN-F10-10:N@v1"]}</x:v>
      </x:c>
      <x:c r="E603" s="10" t="str">
        <x:v>{"conditions":["3문장","과거 자료 내용 혼합 금지","기존 발표자료 작성 유지","현황 수치와 확인 질문만"],"data_source":"SYN-F10-10:N@v1","goal":"신규 조사의 수치와 확인 질문 별도 요약","prior_task_action":"keep","targets":["SYN-F10-10:N@v1"]}</x:v>
      </x:c>
      <x:c r="F603" s="10" t="n">
        <x:f>IF(D603=E603,1,0)</x:f>
        <x:v>1</x:v>
      </x:c>
      <x:c r="G603" s="10" t="str">
        <x:v>필수 의미와 지칭 집합 일치</x:v>
      </x:c>
    </x:row>
    <x:row r="604" ht="145" customHeight="1">
      <x:c r="A604" s="10" t="str">
        <x:v>T-REL</x:v>
      </x:c>
      <x:c r="B604" s="10" t="str">
        <x:v>TEXT</x:v>
      </x:c>
      <x:c r="C604" s="10" t="str">
        <x:v>TEXT:SYN-F10-10-U01</x:v>
      </x:c>
      <x:c r="D604" s="10" t="str">
        <x:v>{"conditions":["5장 이내","과거 수치 복사 금지","과거 자료 형식만 재사용","대상 기간 출시 후 2개월","부서대표 설명회용","외부 발송 없음","첫 화면 메뉴 9개 이하","초기 이전비 제외"],"data_source":"SYN-F10-10:N@v1","goal":"온유 사내포털 개편 포털 개선 발표자료 작성 위임","prior_task_action":"new","targets":["SYN-F10-10:D2@v1","SYN-F10-10:N@v1"]}</x:v>
      </x:c>
      <x:c r="E604" s="10" t="str">
        <x:v>{"conditions":["5장 이내","과거 수치 복사 금지","과거 자료 형식만 재사용","대상 기간 출시 후 2개월","부서대표 설명회용","외부 발송 없음","첫 화면 메뉴 9개 이하","초기 이전비 제외"],"data_source":"SYN-F10-10:N@v1","goal":"온유 사내포털 개편 포털 개선 발표자료 작성 위임","prior_task_action":"new","targets":["SYN-F10-10:D2@v1","SYN-F10-10:N@v1"]}</x:v>
      </x:c>
      <x:c r="F604" s="10" t="n">
        <x:f>IF(D604=E604,1,0)</x:f>
        <x:v>1</x:v>
      </x:c>
      <x:c r="G604" s="10" t="str">
        <x:v>필수 의미와 지칭 집합 일치</x:v>
      </x:c>
    </x:row>
    <x:row r="605" ht="145" customHeight="1">
      <x:c r="A605" s="10" t="str">
        <x:v>T-REL</x:v>
      </x:c>
      <x:c r="B605" s="10" t="str">
        <x:v>TEXT</x:v>
      </x:c>
      <x:c r="C605" s="10" t="str">
        <x:v>TEXT:SYN-F10-10-U02</x:v>
      </x:c>
      <x:c r="D605" s="10" t="str">
        <x:v>{"conditions":["3문장","과거 자료 내용 혼합 금지","기존 발표자료 작성 유지","현황 수치와 확인 질문만"],"data_source":"SYN-F10-10:N@v1","goal":"신규 조사의 수치와 확인 질문 별도 요약","prior_task_action":"keep","targets":["SYN-F10-10:N@v1"]}</x:v>
      </x:c>
      <x:c r="E605" s="10" t="str">
        <x:v>{"conditions":["3문장","과거 자료 수치도 요약에 포함","기존 발표자료 작성 유지","현황 수치와 확인 질문만"],"data_source":"SYN-F10-10:D2@v1","goal":"신규 조사의 수치와 확인 질문 별도 요약","prior_task_action":"keep","targets":["SYN-F10-10:N@v1"]}</x:v>
      </x:c>
      <x:c r="F605" s="10" t="n">
        <x:f>IF(D605=E605,1,0)</x:f>
        <x:v>0</x:v>
      </x:c>
      <x:c r="G605" s="10" t="str">
        <x:v>신규 조사 대상은 알지만 요약에 사용할 내용 출처를 과거 자료와 혼합</x:v>
      </x:c>
    </x:row>
    <x:row r="606" ht="145" customHeight="1">
      <x:c r="A606" s="10" t="str">
        <x:v>T-BASE</x:v>
      </x:c>
      <x:c r="B606" s="10" t="str">
        <x:v>TEXT</x:v>
      </x:c>
      <x:c r="C606" s="10" t="str">
        <x:v>TEXT:SYN-F11-01-U01</x:v>
      </x:c>
      <x:c r="D606" s="10" t="str">
        <x:v>{"conditions":["5장 이내","대상 기간 첫 12개월","서비스 운영위원회용","외부 발송 없음","월 운영비 240만원 이하"],"data_source":"SYN-F11-01:D1@v1; SYN-F11-01:D2@v1","goal":"오로라 고객센터 전환 전환 검토 발표자료 작성 위임","prior_task_action":"new","targets":["SYN-F11-01:D1@v1","SYN-F11-01:D2@v1"]}</x:v>
      </x:c>
      <x:c r="E606" s="10" t="str">
        <x:v>{"conditions":["5장 이내","대상 기간 첫 12개월","서비스 운영위원회용","외부 발송 없음","월 운영비 240만원 이하"],"data_source":"SYN-F11-01:D1@v1; SYN-F11-01:D2@v1","goal":"오로라 고객센터 전환 전환 검토 발표자료 작성 위임","prior_task_action":"new","targets":["SYN-F11-01:D1@v1","SYN-F11-01:D2@v1"]}</x:v>
      </x:c>
      <x:c r="F606" s="10" t="n">
        <x:f>IF(D606=E606,1,0)</x:f>
        <x:v>1</x:v>
      </x:c>
      <x:c r="G606" s="10" t="str">
        <x:v>필수 의미와 지칭 집합 일치</x:v>
      </x:c>
    </x:row>
    <x:row r="607" ht="145" customHeight="1">
      <x:c r="A607" s="10" t="str">
        <x:v>T-BASE</x:v>
      </x:c>
      <x:c r="B607" s="10" t="str">
        <x:v>TEXT</x:v>
      </x:c>
      <x:c r="C607" s="10" t="str">
        <x:v>TEXT:SYN-F11-01-U02</x:v>
      </x:c>
      <x:c r="D607" s="10" t="str">
        <x:v>{"conditions":["3장 이내","대상 기간 첫 12개월","서비스 운영위원회용","외부 발송 없음","월 운영비 240만원 이하","월 운영비가 낮은 하나만 선택","초기 설치비 제외"],"data_source":"SYN-F11-01:D2@v1","goal":"오로라 고객센터 전환 전환 검토 발표자료 작성 위임","prior_task_action":"revise","targets":["SYN-F11-01:D2@v1"]}</x:v>
      </x:c>
      <x:c r="E607" s="10" t="str">
        <x:v>{"conditions":["3장 이내","대상 기간 첫 12개월","서비스 운영위원회용","외부 발송 없음","월 운영비 240만원 이하","월 운영비가 낮은 하나만 선택","초기 설치비 제외"],"data_source":"SYN-F11-01:D2@v1","goal":"오로라 고객센터 전환 전환 검토 발표자료 작성 위임","prior_task_action":"revise","targets":["SYN-F11-01:D2@v1"]}</x:v>
      </x:c>
      <x:c r="F607" s="10" t="n">
        <x:f>IF(D607=E607,1,0)</x:f>
        <x:v>1</x:v>
      </x:c>
      <x:c r="G607" s="10" t="str">
        <x:v>필수 의미와 지칭 집합 일치</x:v>
      </x:c>
    </x:row>
    <x:row r="608" ht="145" customHeight="1">
      <x:c r="A608" s="10" t="str">
        <x:v>T-EXEC</x:v>
      </x:c>
      <x:c r="B608" s="10" t="str">
        <x:v>TEXT</x:v>
      </x:c>
      <x:c r="C608" s="10" t="str">
        <x:v>TEXT:SYN-F11-01-U01</x:v>
      </x:c>
      <x:c r="D608" s="10" t="str">
        <x:v>{"conditions":["5장 이내","대상 기간 첫 12개월","서비스 운영위원회용","외부 발송 없음","월 운영비 240만원 이하"],"data_source":"SYN-F11-01:D1@v1; SYN-F11-01:D2@v1","goal":"오로라 고객센터 전환 전환 검토 발표자료 작성 위임","prior_task_action":"new","targets":["SYN-F11-01:D1@v1","SYN-F11-01:D2@v1"]}</x:v>
      </x:c>
      <x:c r="E608" s="10" t="str">
        <x:v>{"conditions":["5장 이내","대상 기간 첫 12개월","서비스 운영위원회용","외부 발송 없음","월 운영비 240만원 이하"],"data_source":"SYN-F11-01:D1@v1; SYN-F11-01:D2@v1","goal":"오로라 고객센터 전환 전환 검토 발표자료 작성 위임","prior_task_action":"new","targets":["SYN-F11-01:D1@v1","SYN-F11-01:D2@v1"]}</x:v>
      </x:c>
      <x:c r="F608" s="10" t="n">
        <x:f>IF(D608=E608,1,0)</x:f>
        <x:v>1</x:v>
      </x:c>
      <x:c r="G608" s="10" t="str">
        <x:v>필수 의미와 지칭 집합 일치</x:v>
      </x:c>
    </x:row>
    <x:row r="609" ht="145" customHeight="1">
      <x:c r="A609" s="10" t="str">
        <x:v>T-EXEC</x:v>
      </x:c>
      <x:c r="B609" s="10" t="str">
        <x:v>TEXT</x:v>
      </x:c>
      <x:c r="C609" s="10" t="str">
        <x:v>TEXT:SYN-F11-01-U02</x:v>
      </x:c>
      <x:c r="D609" s="10" t="str">
        <x:v>{"conditions":["3장 이내","대상 기간 첫 12개월","서비스 운영위원회용","외부 발송 없음","월 운영비 240만원 이하","월 운영비가 낮은 하나만 선택","초기 설치비 제외"],"data_source":"SYN-F11-01:D2@v1","goal":"오로라 고객센터 전환 전환 검토 발표자료 작성 위임","prior_task_action":"revise","targets":["SYN-F11-01:D2@v1"]}</x:v>
      </x:c>
      <x:c r="E609" s="10" t="str">
        <x:v>{"conditions":["3장 이내","대상 기간 첫 12개월","서비스 운영위원회용","외부 발송 없음","월 운영비 240만원 이하","월 운영비가 낮은 하나만 선택"],"data_source":"SYN-F11-01:D2@v1","goal":"오로라 고객센터 전환 전환 검토 발표자료 작성 위임","prior_task_action":"revise","targets":["SYN-F11-01:D2@v1"]}</x:v>
      </x:c>
      <x:c r="F609" s="10" t="n">
        <x:f>IF(D609=E609,1,0)</x:f>
        <x:v>0</x:v>
      </x:c>
      <x:c r="G609" s="10" t="str">
        <x:v>기존 상태와 정정 조건 결합 중 필수 조건 누락: 초기 설치비 제외</x:v>
      </x:c>
    </x:row>
    <x:row r="610" ht="145" customHeight="1">
      <x:c r="A610" s="10" t="str">
        <x:v>T-REL</x:v>
      </x:c>
      <x:c r="B610" s="10" t="str">
        <x:v>TEXT</x:v>
      </x:c>
      <x:c r="C610" s="10" t="str">
        <x:v>TEXT:SYN-F11-01-U01</x:v>
      </x:c>
      <x:c r="D610" s="10" t="str">
        <x:v>{"conditions":["5장 이내","대상 기간 첫 12개월","서비스 운영위원회용","외부 발송 없음","월 운영비 240만원 이하"],"data_source":"SYN-F11-01:D1@v1; SYN-F11-01:D2@v1","goal":"오로라 고객센터 전환 전환 검토 발표자료 작성 위임","prior_task_action":"new","targets":["SYN-F11-01:D1@v1","SYN-F11-01:D2@v1"]}</x:v>
      </x:c>
      <x:c r="E610" s="10" t="str">
        <x:v>{"conditions":["5장 이내","대상 기간 첫 12개월","서비스 운영위원회용","외부 발송 없음","월 운영비 240만원 이하"],"data_source":"SYN-F11-01:D1@v1; SYN-F11-01:D2@v1","goal":"오로라 고객센터 전환 전환 검토 발표자료 작성 위임","prior_task_action":"new","targets":["SYN-F11-01:D1@v1","SYN-F11-01:D2@v1"]}</x:v>
      </x:c>
      <x:c r="F610" s="10" t="n">
        <x:f>IF(D610=E610,1,0)</x:f>
        <x:v>1</x:v>
      </x:c>
      <x:c r="G610" s="10" t="str">
        <x:v>필수 의미와 지칭 집합 일치</x:v>
      </x:c>
    </x:row>
    <x:row r="611" ht="145" customHeight="1">
      <x:c r="A611" s="10" t="str">
        <x:v>T-REL</x:v>
      </x:c>
      <x:c r="B611" s="10" t="str">
        <x:v>TEXT</x:v>
      </x:c>
      <x:c r="C611" s="10" t="str">
        <x:v>TEXT:SYN-F11-01-U02</x:v>
      </x:c>
      <x:c r="D611" s="10" t="str">
        <x:v>{"conditions":["3장 이내","대상 기간 첫 12개월","서비스 운영위원회용","외부 발송 없음","월 운영비 240만원 이하","월 운영비가 낮은 하나만 선택","초기 설치비 제외"],"data_source":"SYN-F11-01:D2@v1","goal":"오로라 고객센터 전환 전환 검토 발표자료 작성 위임","prior_task_action":"revise","targets":["SYN-F11-01:D2@v1"]}</x:v>
      </x:c>
      <x:c r="E611" s="10" t="str">
        <x:v>{"conditions":["3장 이내","대상 기간 첫 12개월","서비스 운영위원회용","외부 발송 없음","월 운영비 240만원 이하","월 운영비가 낮은 하나만 선택","초기 설치비 제외"],"data_source":"SYN-F11-01:D2@v1","goal":"오로라 고객센터 전환 전환 검토 발표자료 작성 위임","prior_task_action":"revise","targets":["SYN-F11-01:D2@v1"]}</x:v>
      </x:c>
      <x:c r="F611" s="10" t="n">
        <x:f>IF(D611=E611,1,0)</x:f>
        <x:v>1</x:v>
      </x:c>
      <x:c r="G611" s="10" t="str">
        <x:v>필수 의미와 지칭 집합 일치</x:v>
      </x:c>
    </x:row>
    <x:row r="612" ht="145" customHeight="1">
      <x:c r="A612" s="10" t="str">
        <x:v>T-BASE</x:v>
      </x:c>
      <x:c r="B612" s="10" t="str">
        <x:v>TEXT</x:v>
      </x:c>
      <x:c r="C612" s="10" t="str">
        <x:v>TEXT:SYN-F11-02-U01</x:v>
      </x:c>
      <x:c r="D612" s="10" t="str">
        <x:v>{"conditions":["4장 이내","대상 기간 전시 4주","외부 발송 없음","주말 운영 인력 12명 이하","참가업체 설명회용"],"data_source":"SYN-F11-02:D2@v1; SYN-F11-02:D3@v1","goal":"봄길 지역전시 준비 운영 제안 발표자료 작성 위임","prior_task_action":"new","targets":["SYN-F11-02:D2@v1","SYN-F11-02:D3@v1"]}</x:v>
      </x:c>
      <x:c r="E612" s="10" t="str">
        <x:v>{"conditions":["4장 이내","대상 기간 전시 4주","외부 발송 없음","주말 운영 인력 12명 이하","참가업체 설명회용"],"data_source":"SYN-F11-02:D2@v1; SYN-F11-02:D3@v1","goal":"봄길 지역전시 준비 운영 제안 발표자료 작성 위임","prior_task_action":"new","targets":["SYN-F11-02:D2@v1","SYN-F11-02:D3@v1"]}</x:v>
      </x:c>
      <x:c r="F612" s="10" t="n">
        <x:f>IF(D612=E612,1,0)</x:f>
        <x:v>1</x:v>
      </x:c>
      <x:c r="G612" s="10" t="str">
        <x:v>필수 의미와 지칭 집합 일치</x:v>
      </x:c>
    </x:row>
    <x:row r="613" ht="145" customHeight="1">
      <x:c r="A613" s="10" t="str">
        <x:v>T-BASE</x:v>
      </x:c>
      <x:c r="B613" s="10" t="str">
        <x:v>TEXT</x:v>
      </x:c>
      <x:c r="C613" s="10" t="str">
        <x:v>TEXT:SYN-F11-02-U02</x:v>
      </x:c>
      <x:c r="D613" s="10" t="str">
        <x:v>{"conditions":["2장 이내","대상 기간 전시 4주","외부 발송 없음","일회성 장식비 제외","주간 운영비가 낮은 하나만 선택","주말 운영 인력 12명 이하","참가업체 설명회용"],"data_source":"SYN-F11-02:D3@v1","goal":"봄길 지역전시 준비 운영 제안 발표자료 작성 위임","prior_task_action":"revise","targets":["SYN-F11-02:D3@v1"]}</x:v>
      </x:c>
      <x:c r="E613" s="10" t="str">
        <x:v>{"conditions":["2장 이내","대상 기간 전시 4주","외부 발송 없음","일회성 장식비 제외","주간 운영비가 낮은 하나만 선택","주말 운영 인력 12명 이하","참가업체 설명회용"],"data_source":"SYN-F11-02:D3@v1","goal":"봄길 지역전시 준비 운영 제안 발표자료 작성 위임","prior_task_action":"revise","targets":["SYN-F11-02:D3@v1"]}</x:v>
      </x:c>
      <x:c r="F613" s="10" t="n">
        <x:f>IF(D613=E613,1,0)</x:f>
        <x:v>1</x:v>
      </x:c>
      <x:c r="G613" s="10" t="str">
        <x:v>필수 의미와 지칭 집합 일치</x:v>
      </x:c>
    </x:row>
    <x:row r="614" ht="145" customHeight="1">
      <x:c r="A614" s="10" t="str">
        <x:v>T-EXEC</x:v>
      </x:c>
      <x:c r="B614" s="10" t="str">
        <x:v>TEXT</x:v>
      </x:c>
      <x:c r="C614" s="10" t="str">
        <x:v>TEXT:SYN-F11-02-U01</x:v>
      </x:c>
      <x:c r="D614" s="10" t="str">
        <x:v>{"conditions":["4장 이내","대상 기간 전시 4주","외부 발송 없음","주말 운영 인력 12명 이하","참가업체 설명회용"],"data_source":"SYN-F11-02:D2@v1; SYN-F11-02:D3@v1","goal":"봄길 지역전시 준비 운영 제안 발표자료 작성 위임","prior_task_action":"new","targets":["SYN-F11-02:D2@v1","SYN-F11-02:D3@v1"]}</x:v>
      </x:c>
      <x:c r="E614" s="10" t="str">
        <x:v>{"conditions":["4장 이내","대상 기간 전시 4주","외부 발송 없음","주말 운영 인력 12명 이하","참가업체 설명회용"],"data_source":"SYN-F11-02:D2@v1; SYN-F11-02:D3@v1","goal":"봄길 지역전시 준비 운영 제안 발표자료 작성 위임","prior_task_action":"new","targets":["SYN-F11-02:D2@v1","SYN-F11-02:D3@v1"]}</x:v>
      </x:c>
      <x:c r="F614" s="10" t="n">
        <x:f>IF(D614=E614,1,0)</x:f>
        <x:v>1</x:v>
      </x:c>
      <x:c r="G614" s="10" t="str">
        <x:v>필수 의미와 지칭 집합 일치</x:v>
      </x:c>
    </x:row>
    <x:row r="615" ht="145" customHeight="1">
      <x:c r="A615" s="10" t="str">
        <x:v>T-EXEC</x:v>
      </x:c>
      <x:c r="B615" s="10" t="str">
        <x:v>TEXT</x:v>
      </x:c>
      <x:c r="C615" s="10" t="str">
        <x:v>TEXT:SYN-F11-02-U02</x:v>
      </x:c>
      <x:c r="D615" s="10" t="str">
        <x:v>{"conditions":["2장 이내","대상 기간 전시 4주","외부 발송 없음","일회성 장식비 제외","주간 운영비가 낮은 하나만 선택","주말 운영 인력 12명 이하","참가업체 설명회용"],"data_source":"SYN-F11-02:D3@v1","goal":"봄길 지역전시 준비 운영 제안 발표자료 작성 위임","prior_task_action":"revise","targets":["SYN-F11-02:D3@v1"]}</x:v>
      </x:c>
      <x:c r="E615" s="10" t="str">
        <x:v>{"conditions":["2장 이내","대상 기간 전시 4주","외부 발송 없음","일회성 장식비 제외","주간 운영비가 낮은 하나만 선택","주말 운영 인력 12명 이하","참가업체 설명회용"],"data_source":"SYN-F11-02:D2@v1","goal":"봄길 지역전시 준비 운영 제안 발표자료 작성 위임","prior_task_action":"revise","targets":["SYN-F11-02:D2@v1"]}</x:v>
      </x:c>
      <x:c r="F615" s="10" t="n">
        <x:f>IF(D615=E615,1,0)</x:f>
        <x:v>0</x:v>
      </x:c>
      <x:c r="G615" s="10" t="str">
        <x:v>현재 입력과 원본의 대상 관계를 잘못 연결</x:v>
      </x:c>
    </x:row>
    <x:row r="616" ht="145" customHeight="1">
      <x:c r="A616" s="10" t="str">
        <x:v>T-REL</x:v>
      </x:c>
      <x:c r="B616" s="10" t="str">
        <x:v>TEXT</x:v>
      </x:c>
      <x:c r="C616" s="10" t="str">
        <x:v>TEXT:SYN-F11-02-U01</x:v>
      </x:c>
      <x:c r="D616" s="10" t="str">
        <x:v>{"conditions":["4장 이내","대상 기간 전시 4주","외부 발송 없음","주말 운영 인력 12명 이하","참가업체 설명회용"],"data_source":"SYN-F11-02:D2@v1; SYN-F11-02:D3@v1","goal":"봄길 지역전시 준비 운영 제안 발표자료 작성 위임","prior_task_action":"new","targets":["SYN-F11-02:D2@v1","SYN-F11-02:D3@v1"]}</x:v>
      </x:c>
      <x:c r="E616" s="10" t="str">
        <x:v>{"conditions":["4장 이내","대상 기간 전시 4주","외부 발송 없음","주말 운영 인력 12명 이하","참가업체 설명회용"],"data_source":"SYN-F11-02:D2@v1; SYN-F11-02:D3@v1","goal":"봄길 지역전시 준비 운영 제안 발표자료 작성 위임","prior_task_action":"new","targets":["SYN-F11-02:D2@v1","SYN-F11-02:D3@v1"]}</x:v>
      </x:c>
      <x:c r="F616" s="10" t="n">
        <x:f>IF(D616=E616,1,0)</x:f>
        <x:v>1</x:v>
      </x:c>
      <x:c r="G616" s="10" t="str">
        <x:v>필수 의미와 지칭 집합 일치</x:v>
      </x:c>
    </x:row>
    <x:row r="617" ht="145" customHeight="1">
      <x:c r="A617" s="10" t="str">
        <x:v>T-REL</x:v>
      </x:c>
      <x:c r="B617" s="10" t="str">
        <x:v>TEXT</x:v>
      </x:c>
      <x:c r="C617" s="10" t="str">
        <x:v>TEXT:SYN-F11-02-U02</x:v>
      </x:c>
      <x:c r="D617" s="10" t="str">
        <x:v>{"conditions":["2장 이내","대상 기간 전시 4주","외부 발송 없음","일회성 장식비 제외","주간 운영비가 낮은 하나만 선택","주말 운영 인력 12명 이하","참가업체 설명회용"],"data_source":"SYN-F11-02:D3@v1","goal":"봄길 지역전시 준비 운영 제안 발표자료 작성 위임","prior_task_action":"revise","targets":["SYN-F11-02:D3@v1"]}</x:v>
      </x:c>
      <x:c r="E617" s="10" t="str">
        <x:v>{"conditions":["2장 이내","대상 기간 전시 4주","외부 발송 없음","일회성 장식비 제외","주간 운영비가 낮은 하나만 선택","주말 운영 인력 12명 이하","참가업체 설명회용"],"data_source":"SYN-F11-02:D3@v1","goal":"봄길 지역전시 준비 운영 제안 발표자료 작성 위임","prior_task_action":"revise","targets":["SYN-F11-02:D3@v1"]}</x:v>
      </x:c>
      <x:c r="F617" s="10" t="n">
        <x:f>IF(D617=E617,1,0)</x:f>
        <x:v>1</x:v>
      </x:c>
      <x:c r="G617" s="10" t="str">
        <x:v>필수 의미와 지칭 집합 일치</x:v>
      </x:c>
    </x:row>
    <x:row r="618" ht="145" customHeight="1">
      <x:c r="A618" s="10" t="str">
        <x:v>T-BASE</x:v>
      </x:c>
      <x:c r="B618" s="10" t="str">
        <x:v>TEXT</x:v>
      </x:c>
      <x:c r="C618" s="10" t="str">
        <x:v>TEXT:SYN-F11-03-U01</x:v>
      </x:c>
      <x:c r="D618" s="10" t="str">
        <x:v>{"conditions":["6장 이내","교육 승인위원회용","대상 기간 입사 후 3주","외부 발송 없음","참가자당 교육시간 18시간 이하"],"data_source":"SYN-F11-03:D3@v1; SYN-F11-03:D1@v1","goal":"해온 신입교육 개편 교육 개편 발표자료 작성 위임","prior_task_action":"new","targets":["SYN-F11-03:D1@v1","SYN-F11-03:D3@v1"]}</x:v>
      </x:c>
      <x:c r="E618" s="10" t="str">
        <x:v>{"conditions":["6장 이내","교육 승인위원회용","대상 기간 입사 후 3주","외부 발송 없음","참가자당 교육시간 18시간 이하"],"data_source":"SYN-F11-03:D3@v1; SYN-F11-03:D1@v1","goal":"해온 신입교육 개편 교육 개편 발표자료 작성 위임","prior_task_action":"new","targets":["SYN-F11-03:D1@v1","SYN-F11-03:D3@v1"]}</x:v>
      </x:c>
      <x:c r="F618" s="10" t="n">
        <x:f>IF(D618=E618,1,0)</x:f>
        <x:v>1</x:v>
      </x:c>
      <x:c r="G618" s="10" t="str">
        <x:v>필수 의미와 지칭 집합 일치</x:v>
      </x:c>
    </x:row>
    <x:row r="619" ht="145" customHeight="1">
      <x:c r="A619" s="10" t="str">
        <x:v>T-BASE</x:v>
      </x:c>
      <x:c r="B619" s="10" t="str">
        <x:v>TEXT</x:v>
      </x:c>
      <x:c r="C619" s="10" t="str">
        <x:v>TEXT:SYN-F11-03-U02</x:v>
      </x:c>
      <x:c r="D619" s="10" t="str">
        <x:v>{"conditions":["4장 이내","교육 승인위원회용","대상 기간 입사 후 3주","숙박비 제외","외부 발송 없음","인당 운영비가 낮은 하나만 선택","참가자당 교육시간 18시간 이하"],"data_source":"SYN-F11-03:D1@v1","goal":"해온 신입교육 개편 교육 개편 발표자료 작성 위임","prior_task_action":"revise","targets":["SYN-F11-03:D1@v1"]}</x:v>
      </x:c>
      <x:c r="E619" s="10" t="str">
        <x:v>{"conditions":["4장 이내","교육 승인위원회용","대상 기간 입사 후 3주","숙박비 제외","외부 발송 없음","인당 운영비가 낮은 하나만 선택","참가자당 교육시간 18시간 이하"],"data_source":"SYN-F11-03:D1@v1","goal":"해온 신입교육 개편 교육 개편 발표자료 작성 위임","prior_task_action":"revise","targets":["SYN-F11-03:D1@v1"]}</x:v>
      </x:c>
      <x:c r="F619" s="10" t="n">
        <x:f>IF(D619=E619,1,0)</x:f>
        <x:v>1</x:v>
      </x:c>
      <x:c r="G619" s="10" t="str">
        <x:v>필수 의미와 지칭 집합 일치</x:v>
      </x:c>
    </x:row>
    <x:row r="620" ht="145" customHeight="1">
      <x:c r="A620" s="10" t="str">
        <x:v>T-EXEC</x:v>
      </x:c>
      <x:c r="B620" s="10" t="str">
        <x:v>TEXT</x:v>
      </x:c>
      <x:c r="C620" s="10" t="str">
        <x:v>TEXT:SYN-F11-03-U01</x:v>
      </x:c>
      <x:c r="D620" s="10" t="str">
        <x:v>{"conditions":["6장 이내","교육 승인위원회용","대상 기간 입사 후 3주","외부 발송 없음","참가자당 교육시간 18시간 이하"],"data_source":"SYN-F11-03:D3@v1; SYN-F11-03:D1@v1","goal":"해온 신입교육 개편 교육 개편 발표자료 작성 위임","prior_task_action":"new","targets":["SYN-F11-03:D1@v1","SYN-F11-03:D3@v1"]}</x:v>
      </x:c>
      <x:c r="E620" s="10" t="str">
        <x:v>{"conditions":["6장 이내","교육 승인위원회용","대상 기간 입사 후 3주","외부 발송 없음","참가자당 교육시간 18시간 이하"],"data_source":"SYN-F11-03:D3@v1; SYN-F11-03:D1@v1","goal":"해온 신입교육 개편 교육 개편 발표자료 작성 위임","prior_task_action":"new","targets":["SYN-F11-03:D1@v1","SYN-F11-03:D3@v1"]}</x:v>
      </x:c>
      <x:c r="F620" s="10" t="n">
        <x:f>IF(D620=E620,1,0)</x:f>
        <x:v>1</x:v>
      </x:c>
      <x:c r="G620" s="10" t="str">
        <x:v>필수 의미와 지칭 집합 일치</x:v>
      </x:c>
    </x:row>
    <x:row r="621" ht="145" customHeight="1">
      <x:c r="A621" s="10" t="str">
        <x:v>T-EXEC</x:v>
      </x:c>
      <x:c r="B621" s="10" t="str">
        <x:v>TEXT</x:v>
      </x:c>
      <x:c r="C621" s="10" t="str">
        <x:v>TEXT:SYN-F11-03-U02</x:v>
      </x:c>
      <x:c r="D621" s="10" t="str">
        <x:v>{"conditions":["4장 이내","교육 승인위원회용","대상 기간 입사 후 3주","숙박비 제외","외부 발송 없음","인당 운영비가 낮은 하나만 선택","참가자당 교육시간 18시간 이하"],"data_source":"SYN-F11-03:D1@v1","goal":"해온 신입교육 개편 교육 개편 발표자료 작성 위임","prior_task_action":"revise","targets":["SYN-F11-03:D1@v1"]}</x:v>
      </x:c>
      <x:c r="E621" s="10" t="str">
        <x:v>{"conditions":["4장 이내","교육 승인위원회용","대상 기간 입사 후 3주","숙박비 제외","외부 발송 없음","인당 운영비가 낮은 하나만 선택","참가자당 교육시간 18시간 이하"],"data_source":"SYN-F11-03:D1@v1","goal":"해온 신입교육 개편 교육 개편 발표자료 작성 위임","prior_task_action":"revise","targets":["SYN-F11-03:D1@v1"]}</x:v>
      </x:c>
      <x:c r="F621" s="10" t="n">
        <x:f>IF(D621=E621,1,0)</x:f>
        <x:v>1</x:v>
      </x:c>
      <x:c r="G621" s="10" t="str">
        <x:v>필수 의미와 지칭 집합 일치</x:v>
      </x:c>
    </x:row>
    <x:row r="622" ht="145" customHeight="1">
      <x:c r="A622" s="10" t="str">
        <x:v>T-REL</x:v>
      </x:c>
      <x:c r="B622" s="10" t="str">
        <x:v>TEXT</x:v>
      </x:c>
      <x:c r="C622" s="10" t="str">
        <x:v>TEXT:SYN-F11-03-U01</x:v>
      </x:c>
      <x:c r="D622" s="10" t="str">
        <x:v>{"conditions":["6장 이내","교육 승인위원회용","대상 기간 입사 후 3주","외부 발송 없음","참가자당 교육시간 18시간 이하"],"data_source":"SYN-F11-03:D3@v1; SYN-F11-03:D1@v1","goal":"해온 신입교육 개편 교육 개편 발표자료 작성 위임","prior_task_action":"new","targets":["SYN-F11-03:D1@v1","SYN-F11-03:D3@v1"]}</x:v>
      </x:c>
      <x:c r="E622" s="10" t="str">
        <x:v>{"conditions":["6장 이내","교육 승인위원회용","대상 기간 입사 후 3주","외부 발송 없음","참가자당 교육시간 18시간 이하"],"data_source":"SYN-F11-03:D3@v1; SYN-F11-03:D1@v1","goal":"해온 신입교육 개편 교육 개편 발표자료 작성 위임","prior_task_action":"new","targets":["SYN-F11-03:D1@v1","SYN-F11-03:D3@v1"]}</x:v>
      </x:c>
      <x:c r="F622" s="10" t="n">
        <x:f>IF(D622=E622,1,0)</x:f>
        <x:v>1</x:v>
      </x:c>
      <x:c r="G622" s="10" t="str">
        <x:v>필수 의미와 지칭 집합 일치</x:v>
      </x:c>
    </x:row>
    <x:row r="623" ht="145" customHeight="1">
      <x:c r="A623" s="10" t="str">
        <x:v>T-REL</x:v>
      </x:c>
      <x:c r="B623" s="10" t="str">
        <x:v>TEXT</x:v>
      </x:c>
      <x:c r="C623" s="10" t="str">
        <x:v>TEXT:SYN-F11-03-U02</x:v>
      </x:c>
      <x:c r="D623" s="10" t="str">
        <x:v>{"conditions":["4장 이내","교육 승인위원회용","대상 기간 입사 후 3주","숙박비 제외","외부 발송 없음","인당 운영비가 낮은 하나만 선택","참가자당 교육시간 18시간 이하"],"data_source":"SYN-F11-03:D1@v1","goal":"해온 신입교육 개편 교육 개편 발표자료 작성 위임","prior_task_action":"revise","targets":["SYN-F11-03:D1@v1"]}</x:v>
      </x:c>
      <x:c r="E623" s="10" t="str">
        <x:v>{"conditions":["4장 이내","교육 승인위원회용","대상 기간 입사 후 3주","숙박비 제외","외부 발송 없음","인당 운영비가 낮은 하나만 선택","참가자당 교육시간 18시간 이하"],"data_source":"SYN-F11-03:D1@v1","goal":"해온 신입교육 개편 교육 개편 발표자료 작성 위임","prior_task_action":"revise","targets":["SYN-F11-03:D1@v1"]}</x:v>
      </x:c>
      <x:c r="F623" s="10" t="n">
        <x:f>IF(D623=E623,1,0)</x:f>
        <x:v>1</x:v>
      </x:c>
      <x:c r="G623" s="10" t="str">
        <x:v>필수 의미와 지칭 집합 일치</x:v>
      </x:c>
    </x:row>
    <x:row r="624" ht="145" customHeight="1">
      <x:c r="A624" s="10" t="str">
        <x:v>T-BASE</x:v>
      </x:c>
      <x:c r="B624" s="10" t="str">
        <x:v>TEXT</x:v>
      </x:c>
      <x:c r="C624" s="10" t="str">
        <x:v>TEXT:SYN-F11-04-U01</x:v>
      </x:c>
      <x:c r="D624" s="10" t="str">
        <x:v>{"conditions":["7장 이내","대상 기간 평일 20일","외부 발송 없음","일일 추가 운행 8회 이하","협력사 운영설명회용"],"data_source":"SYN-F11-04:D1@v1; SYN-F11-04:D2@v1","goal":"라임 배송거점 개선 거점 개선 발표자료 작성 위임","prior_task_action":"new","targets":["SYN-F11-04:D1@v1","SYN-F11-04:D2@v1"]}</x:v>
      </x:c>
      <x:c r="E624" s="10" t="str">
        <x:v>{"conditions":["7장 이내","대상 기간 평일 20일","외부 발송 없음","일일 추가 운행 8회 이하","협력사 운영설명회용"],"data_source":"SYN-F11-04:D1@v1; SYN-F11-04:D2@v1","goal":"라임 배송거점 개선 거점 개선 발표자료 작성 위임","prior_task_action":"new","targets":["SYN-F11-04:D1@v1","SYN-F11-04:D2@v1"]}</x:v>
      </x:c>
      <x:c r="F624" s="10" t="n">
        <x:f>IF(D624=E624,1,0)</x:f>
        <x:v>1</x:v>
      </x:c>
      <x:c r="G624" s="10" t="str">
        <x:v>필수 의미와 지칭 집합 일치</x:v>
      </x:c>
    </x:row>
    <x:row r="625" ht="145" customHeight="1">
      <x:c r="A625" s="10" t="str">
        <x:v>T-BASE</x:v>
      </x:c>
      <x:c r="B625" s="10" t="str">
        <x:v>TEXT</x:v>
      </x:c>
      <x:c r="C625" s="10" t="str">
        <x:v>TEXT:SYN-F11-04-U02</x:v>
      </x:c>
      <x:c r="D625" s="10" t="str">
        <x:v>{"conditions":["3장 이내","대상 기간 평일 20일","외부 발송 없음","일 운영비가 낮은 하나만 선택","일일 추가 운행 8회 이하","차량 구매비 제외","협력사 운영설명회용"],"data_source":"SYN-F11-04:D1@v1","goal":"라임 배송거점 개선 거점 개선 발표자료 작성 위임","prior_task_action":"revise","targets":["SYN-F11-04:D1@v1"]}</x:v>
      </x:c>
      <x:c r="E625" s="10" t="str">
        <x:v>{"conditions":["3장 이내","대상 기간 평일 20일","외부 발송 없음","일 운영비가 낮은 하나만 선택","일일 추가 운행 8회 이하","차량 구매비 제외","협력사 운영설명회용"],"data_source":"SYN-F11-04:D1@v1","goal":"라임 배송거점 개선 거점 개선 발표자료 작성 위임","prior_task_action":"revise","targets":["SYN-F11-04:D1@v1"]}</x:v>
      </x:c>
      <x:c r="F625" s="10" t="n">
        <x:f>IF(D625=E625,1,0)</x:f>
        <x:v>1</x:v>
      </x:c>
      <x:c r="G625" s="10" t="str">
        <x:v>필수 의미와 지칭 집합 일치</x:v>
      </x:c>
    </x:row>
    <x:row r="626" ht="145" customHeight="1">
      <x:c r="A626" s="10" t="str">
        <x:v>T-EXEC</x:v>
      </x:c>
      <x:c r="B626" s="10" t="str">
        <x:v>TEXT</x:v>
      </x:c>
      <x:c r="C626" s="10" t="str">
        <x:v>TEXT:SYN-F11-04-U01</x:v>
      </x:c>
      <x:c r="D626" s="10" t="str">
        <x:v>{"conditions":["7장 이내","대상 기간 평일 20일","외부 발송 없음","일일 추가 운행 8회 이하","협력사 운영설명회용"],"data_source":"SYN-F11-04:D1@v1; SYN-F11-04:D2@v1","goal":"라임 배송거점 개선 거점 개선 발표자료 작성 위임","prior_task_action":"new","targets":["SYN-F11-04:D1@v1","SYN-F11-04:D2@v1"]}</x:v>
      </x:c>
      <x:c r="E626" s="10" t="str">
        <x:v>{"conditions":["7장 이내","대상 기간 평일 20일","외부 발송 없음","일일 추가 운행 8회 이하","협력사 운영설명회용"],"data_source":"SYN-F11-04:D1@v1; SYN-F11-04:D2@v1","goal":"라임 배송거점 개선 거점 개선 발표자료 작성 위임","prior_task_action":"new","targets":["SYN-F11-04:D1@v1","SYN-F11-04:D2@v1"]}</x:v>
      </x:c>
      <x:c r="F626" s="10" t="n">
        <x:f>IF(D626=E626,1,0)</x:f>
        <x:v>1</x:v>
      </x:c>
      <x:c r="G626" s="10" t="str">
        <x:v>필수 의미와 지칭 집합 일치</x:v>
      </x:c>
    </x:row>
    <x:row r="627" ht="145" customHeight="1">
      <x:c r="A627" s="10" t="str">
        <x:v>T-EXEC</x:v>
      </x:c>
      <x:c r="B627" s="10" t="str">
        <x:v>TEXT</x:v>
      </x:c>
      <x:c r="C627" s="10" t="str">
        <x:v>TEXT:SYN-F11-04-U02</x:v>
      </x:c>
      <x:c r="D627" s="10" t="str">
        <x:v>{"conditions":["3장 이내","대상 기간 평일 20일","외부 발송 없음","일 운영비가 낮은 하나만 선택","일일 추가 운행 8회 이하","차량 구매비 제외","협력사 운영설명회용"],"data_source":"SYN-F11-04:D1@v1","goal":"라임 배송거점 개선 거점 개선 발표자료 작성 위임","prior_task_action":"revise","targets":["SYN-F11-04:D1@v1"]}</x:v>
      </x:c>
      <x:c r="E627" s="10" t="str">
        <x:v>{"conditions":["3장 이내","대상 기간 평일 20일","외부 발송 없음","일 운영비가 낮은 하나만 선택","일일 추가 운행 8회 이하","협력사 운영설명회용"],"data_source":"SYN-F11-04:D1@v1","goal":"라임 배송거점 개선 거점 개선 발표자료 작성 위임","prior_task_action":"revise","targets":["SYN-F11-04:D1@v1"]}</x:v>
      </x:c>
      <x:c r="F627" s="10" t="n">
        <x:f>IF(D627=E627,1,0)</x:f>
        <x:v>0</x:v>
      </x:c>
      <x:c r="G627" s="10" t="str">
        <x:v>기존 상태와 정정 조건 결합 중 필수 조건 누락: 차량 구매비 제외</x:v>
      </x:c>
    </x:row>
    <x:row r="628" ht="145" customHeight="1">
      <x:c r="A628" s="10" t="str">
        <x:v>T-REL</x:v>
      </x:c>
      <x:c r="B628" s="10" t="str">
        <x:v>TEXT</x:v>
      </x:c>
      <x:c r="C628" s="10" t="str">
        <x:v>TEXT:SYN-F11-04-U01</x:v>
      </x:c>
      <x:c r="D628" s="10" t="str">
        <x:v>{"conditions":["7장 이내","대상 기간 평일 20일","외부 발송 없음","일일 추가 운행 8회 이하","협력사 운영설명회용"],"data_source":"SYN-F11-04:D1@v1; SYN-F11-04:D2@v1","goal":"라임 배송거점 개선 거점 개선 발표자료 작성 위임","prior_task_action":"new","targets":["SYN-F11-04:D1@v1","SYN-F11-04:D2@v1"]}</x:v>
      </x:c>
      <x:c r="E628" s="10" t="str">
        <x:v>{"conditions":["7장 이내","대상 기간 평일 20일","외부 발송 없음","일일 추가 운행 8회 이하","협력사 운영설명회용"],"data_source":"SYN-F11-04:D1@v1; SYN-F11-04:D2@v1","goal":"라임 배송거점 개선 거점 개선 발표자료 작성 위임","prior_task_action":"new","targets":["SYN-F11-04:D1@v1","SYN-F11-04:D2@v1"]}</x:v>
      </x:c>
      <x:c r="F628" s="10" t="n">
        <x:f>IF(D628=E628,1,0)</x:f>
        <x:v>1</x:v>
      </x:c>
      <x:c r="G628" s="10" t="str">
        <x:v>필수 의미와 지칭 집합 일치</x:v>
      </x:c>
    </x:row>
    <x:row r="629" ht="145" customHeight="1">
      <x:c r="A629" s="10" t="str">
        <x:v>T-REL</x:v>
      </x:c>
      <x:c r="B629" s="10" t="str">
        <x:v>TEXT</x:v>
      </x:c>
      <x:c r="C629" s="10" t="str">
        <x:v>TEXT:SYN-F11-04-U02</x:v>
      </x:c>
      <x:c r="D629" s="10" t="str">
        <x:v>{"conditions":["3장 이내","대상 기간 평일 20일","외부 발송 없음","일 운영비가 낮은 하나만 선택","일일 추가 운행 8회 이하","차량 구매비 제외","협력사 운영설명회용"],"data_source":"SYN-F11-04:D1@v1","goal":"라임 배송거점 개선 거점 개선 발표자료 작성 위임","prior_task_action":"revise","targets":["SYN-F11-04:D1@v1"]}</x:v>
      </x:c>
      <x:c r="E629" s="10" t="str">
        <x:v>{"conditions":["3장 이내","대상 기간 평일 20일","외부 발송 없음","일 운영비가 낮은 하나만 선택","일일 추가 운행 8회 이하","차량 구매비 제외","협력사 운영설명회용"],"data_source":"SYN-F11-04:D1@v1","goal":"라임 배송거점 개선 거점 개선 발표자료 작성 위임","prior_task_action":"revise","targets":["SYN-F11-04:D1@v1"]}</x:v>
      </x:c>
      <x:c r="F629" s="10" t="n">
        <x:f>IF(D629=E629,1,0)</x:f>
        <x:v>1</x:v>
      </x:c>
      <x:c r="G629" s="10" t="str">
        <x:v>필수 의미와 지칭 집합 일치</x:v>
      </x:c>
    </x:row>
    <x:row r="630" ht="145" customHeight="1">
      <x:c r="A630" s="10" t="str">
        <x:v>T-BASE</x:v>
      </x:c>
      <x:c r="B630" s="10" t="str">
        <x:v>TEXT</x:v>
      </x:c>
      <x:c r="C630" s="10" t="str">
        <x:v>TEXT:SYN-F11-05-U01</x:v>
      </x:c>
      <x:c r="D630" s="10" t="str">
        <x:v>{"conditions":["5장 이내","대상 기간 교체 후 6개월","외부 발송 없음","입주사 설명회용","층별 정전 30분 이하"],"data_source":"SYN-F11-05:D2@v1; SYN-F11-05:D3@v1","goal":"가온 사무실 조명교체 조명 교체 검토자료 작성 위임","prior_task_action":"new","targets":["SYN-F11-05:D2@v1","SYN-F11-05:D3@v1"]}</x:v>
      </x:c>
      <x:c r="E630" s="10" t="str">
        <x:v>{"conditions":["5장 이내","대상 기간 교체 후 6개월","외부 발송 없음","입주사 설명회용","층별 정전 30분 이하"],"data_source":"SYN-F11-05:D2@v1; SYN-F11-05:D3@v1","goal":"가온 사무실 조명교체 조명 교체 검토자료 작성 위임","prior_task_action":"new","targets":["SYN-F11-05:D2@v1","SYN-F11-05:D3@v1"]}</x:v>
      </x:c>
      <x:c r="F630" s="10" t="n">
        <x:f>IF(D630=E630,1,0)</x:f>
        <x:v>1</x:v>
      </x:c>
      <x:c r="G630" s="10" t="str">
        <x:v>필수 의미와 지칭 집합 일치</x:v>
      </x:c>
    </x:row>
    <x:row r="631" ht="145" customHeight="1">
      <x:c r="A631" s="10" t="str">
        <x:v>T-BASE</x:v>
      </x:c>
      <x:c r="B631" s="10" t="str">
        <x:v>TEXT</x:v>
      </x:c>
      <x:c r="C631" s="10" t="str">
        <x:v>TEXT:SYN-F11-05-U02</x:v>
      </x:c>
      <x:c r="D631" s="10" t="str">
        <x:v>{"conditions":["2장 이내","대상 기간 교체 후 6개월","외부 발송 없음","월 전력비가 낮은 하나만 선택","입주사 설명회용","철거비 제외","층별 정전 30분 이하"],"data_source":"SYN-F11-05:D2@v1","goal":"가온 사무실 조명교체 조명 교체 검토자료 작성 위임","prior_task_action":"revise","targets":["SYN-F11-05:D2@v1"]}</x:v>
      </x:c>
      <x:c r="E631" s="10" t="str">
        <x:v>{"conditions":["2장 이내","대상 기간 교체 후 6개월","외부 발송 없음","월 전력비가 낮은 하나만 선택","입주사 설명회용","철거비 제외","층별 정전 30분 이하"],"data_source":"SYN-F11-05:D2@v1","goal":"가온 사무실 조명교체 조명 교체 검토자료 작성 위임","prior_task_action":"revise","targets":["SYN-F11-05:D2@v1"]}</x:v>
      </x:c>
      <x:c r="F631" s="10" t="n">
        <x:f>IF(D631=E631,1,0)</x:f>
        <x:v>1</x:v>
      </x:c>
      <x:c r="G631" s="10" t="str">
        <x:v>필수 의미와 지칭 집합 일치</x:v>
      </x:c>
    </x:row>
    <x:row r="632" ht="145" customHeight="1">
      <x:c r="A632" s="10" t="str">
        <x:v>T-EXEC</x:v>
      </x:c>
      <x:c r="B632" s="10" t="str">
        <x:v>TEXT</x:v>
      </x:c>
      <x:c r="C632" s="10" t="str">
        <x:v>TEXT:SYN-F11-05-U01</x:v>
      </x:c>
      <x:c r="D632" s="10" t="str">
        <x:v>{"conditions":["5장 이내","대상 기간 교체 후 6개월","외부 발송 없음","입주사 설명회용","층별 정전 30분 이하"],"data_source":"SYN-F11-05:D2@v1; SYN-F11-05:D3@v1","goal":"가온 사무실 조명교체 조명 교체 검토자료 작성 위임","prior_task_action":"new","targets":["SYN-F11-05:D2@v1","SYN-F11-05:D3@v1"]}</x:v>
      </x:c>
      <x:c r="E632" s="10" t="str">
        <x:v>{"conditions":["5장 이내","대상 기간 교체 후 6개월","외부 발송 없음","입주사 설명회용","층별 정전 30분 이하"],"data_source":"SYN-F11-05:D2@v1; SYN-F11-05:D3@v1","goal":"가온 사무실 조명교체 조명 교체 검토자료 작성 위임","prior_task_action":"new","targets":["SYN-F11-05:D2@v1","SYN-F11-05:D3@v1"]}</x:v>
      </x:c>
      <x:c r="F632" s="10" t="n">
        <x:f>IF(D632=E632,1,0)</x:f>
        <x:v>1</x:v>
      </x:c>
      <x:c r="G632" s="10" t="str">
        <x:v>필수 의미와 지칭 집합 일치</x:v>
      </x:c>
    </x:row>
    <x:row r="633" ht="145" customHeight="1">
      <x:c r="A633" s="10" t="str">
        <x:v>T-EXEC</x:v>
      </x:c>
      <x:c r="B633" s="10" t="str">
        <x:v>TEXT</x:v>
      </x:c>
      <x:c r="C633" s="10" t="str">
        <x:v>TEXT:SYN-F11-05-U02</x:v>
      </x:c>
      <x:c r="D633" s="10" t="str">
        <x:v>{"conditions":["2장 이내","대상 기간 교체 후 6개월","외부 발송 없음","월 전력비가 낮은 하나만 선택","입주사 설명회용","철거비 제외","층별 정전 30분 이하"],"data_source":"SYN-F11-05:D2@v1","goal":"가온 사무실 조명교체 조명 교체 검토자료 작성 위임","prior_task_action":"revise","targets":["SYN-F11-05:D2@v1"]}</x:v>
      </x:c>
      <x:c r="E633" s="10" t="str">
        <x:v>{"conditions":["2장 이내","대상 기간 교체 후 6개월","외부 발송 없음","월 전력비가 낮은 하나만 선택","입주사 설명회용","철거비 제외","층별 정전 30분 이하"],"data_source":"SYN-F11-05:D2@v1","goal":"가온 사무실 조명교체 조명 교체 검토자료 작성 위임","prior_task_action":"revise","targets":["SYN-F11-05:D2@v1"]}</x:v>
      </x:c>
      <x:c r="F633" s="10" t="n">
        <x:f>IF(D633=E633,1,0)</x:f>
        <x:v>1</x:v>
      </x:c>
      <x:c r="G633" s="10" t="str">
        <x:v>필수 의미와 지칭 집합 일치</x:v>
      </x:c>
    </x:row>
    <x:row r="634" ht="145" customHeight="1">
      <x:c r="A634" s="10" t="str">
        <x:v>T-REL</x:v>
      </x:c>
      <x:c r="B634" s="10" t="str">
        <x:v>TEXT</x:v>
      </x:c>
      <x:c r="C634" s="10" t="str">
        <x:v>TEXT:SYN-F11-05-U01</x:v>
      </x:c>
      <x:c r="D634" s="10" t="str">
        <x:v>{"conditions":["5장 이내","대상 기간 교체 후 6개월","외부 발송 없음","입주사 설명회용","층별 정전 30분 이하"],"data_source":"SYN-F11-05:D2@v1; SYN-F11-05:D3@v1","goal":"가온 사무실 조명교체 조명 교체 검토자료 작성 위임","prior_task_action":"new","targets":["SYN-F11-05:D2@v1","SYN-F11-05:D3@v1"]}</x:v>
      </x:c>
      <x:c r="E634" s="10" t="str">
        <x:v>{"conditions":["5장 이내","대상 기간 교체 후 6개월","외부 발송 없음","입주사 설명회용","층별 정전 30분 이하"],"data_source":"SYN-F11-05:D2@v1; SYN-F11-05:D3@v1","goal":"가온 사무실 조명교체 조명 교체 검토자료 작성 위임","prior_task_action":"new","targets":["SYN-F11-05:D2@v1","SYN-F11-05:D3@v1"]}</x:v>
      </x:c>
      <x:c r="F634" s="10" t="n">
        <x:f>IF(D634=E634,1,0)</x:f>
        <x:v>1</x:v>
      </x:c>
      <x:c r="G634" s="10" t="str">
        <x:v>필수 의미와 지칭 집합 일치</x:v>
      </x:c>
    </x:row>
    <x:row r="635" ht="145" customHeight="1">
      <x:c r="A635" s="10" t="str">
        <x:v>T-REL</x:v>
      </x:c>
      <x:c r="B635" s="10" t="str">
        <x:v>TEXT</x:v>
      </x:c>
      <x:c r="C635" s="10" t="str">
        <x:v>TEXT:SYN-F11-05-U02</x:v>
      </x:c>
      <x:c r="D635" s="10" t="str">
        <x:v>{"conditions":["2장 이내","대상 기간 교체 후 6개월","외부 발송 없음","월 전력비가 낮은 하나만 선택","입주사 설명회용","철거비 제외","층별 정전 30분 이하"],"data_source":"SYN-F11-05:D2@v1","goal":"가온 사무실 조명교체 조명 교체 검토자료 작성 위임","prior_task_action":"revise","targets":["SYN-F11-05:D2@v1"]}</x:v>
      </x:c>
      <x:c r="E635" s="10" t="str">
        <x:v>{"conditions":["2장 이내","대상 기간 교체 후 6개월","외부 발송 없음","월 전력비가 낮은 하나만 선택","입주사 설명회용","철거비 제외","층별 정전 30분 이하"],"data_source":"SYN-F11-05:D2@v1","goal":"가온 사무실 조명교체 조명 교체 검토자료 작성 위임","prior_task_action":"revise","targets":["SYN-F11-05:D2@v1"]}</x:v>
      </x:c>
      <x:c r="F635" s="10" t="n">
        <x:f>IF(D635=E635,1,0)</x:f>
        <x:v>1</x:v>
      </x:c>
      <x:c r="G635" s="10" t="str">
        <x:v>필수 의미와 지칭 집합 일치</x:v>
      </x:c>
    </x:row>
    <x:row r="636" ht="145" customHeight="1">
      <x:c r="A636" s="10" t="str">
        <x:v>T-BASE</x:v>
      </x:c>
      <x:c r="B636" s="10" t="str">
        <x:v>TEXT</x:v>
      </x:c>
      <x:c r="C636" s="10" t="str">
        <x:v>TEXT:SYN-F11-06-U01</x:v>
      </x:c>
      <x:c r="D636" s="10" t="str">
        <x:v>{"conditions":["8장 이내","대상 기간 행사 2일","외부 발송 없음","참여기업 안내회용","현장 대기 20분 이하"],"data_source":"SYN-F11-06:D3@v1; SYN-F11-06:D1@v1","goal":"별빛 채용행사 준비 행사 운영 발표자료 작성 위임","prior_task_action":"new","targets":["SYN-F11-06:D1@v1","SYN-F11-06:D3@v1"]}</x:v>
      </x:c>
      <x:c r="E636" s="10" t="str">
        <x:v>{"conditions":["8장 이내","대상 기간 행사 2일","외부 발송 없음","참여기업 안내회용","현장 대기 20분 이하"],"data_source":"SYN-F11-06:D3@v1; SYN-F11-06:D1@v1","goal":"별빛 채용행사 준비 행사 운영 발표자료 작성 위임","prior_task_action":"new","targets":["SYN-F11-06:D1@v1","SYN-F11-06:D3@v1"]}</x:v>
      </x:c>
      <x:c r="F636" s="10" t="n">
        <x:f>IF(D636=E636,1,0)</x:f>
        <x:v>1</x:v>
      </x:c>
      <x:c r="G636" s="10" t="str">
        <x:v>필수 의미와 지칭 집합 일치</x:v>
      </x:c>
    </x:row>
    <x:row r="637" ht="145" customHeight="1">
      <x:c r="A637" s="10" t="str">
        <x:v>T-BASE</x:v>
      </x:c>
      <x:c r="B637" s="10" t="str">
        <x:v>TEXT</x:v>
      </x:c>
      <x:c r="C637" s="10" t="str">
        <x:v>TEXT:SYN-F11-06-U02</x:v>
      </x:c>
      <x:c r="D637" s="10" t="str">
        <x:v>{"conditions":["4장 이내","대상 기간 행사 2일","외부 발송 없음","일 운영비가 낮은 하나만 선택","참여기업 안내회용","현장 대기 20분 이하","홍보물 인쇄비 제외"],"data_source":"SYN-F11-06:D3@v1","goal":"별빛 채용행사 준비 행사 운영 발표자료 작성 위임","prior_task_action":"revise","targets":["SYN-F11-06:D3@v1"]}</x:v>
      </x:c>
      <x:c r="E637" s="10" t="str">
        <x:v>{"conditions":["4장 이내","대상 기간 행사 2일","외부 발송 없음","일 운영비가 낮은 하나만 선택","참여기업 안내회용","현장 대기 20분 이하","홍보물 인쇄비 제외"],"data_source":"SYN-F11-06:D3@v1","goal":"별빛 채용행사 준비 행사 운영 발표자료 작성 위임","prior_task_action":"revise","targets":["SYN-F11-06:D3@v1"]}</x:v>
      </x:c>
      <x:c r="F637" s="10" t="n">
        <x:f>IF(D637=E637,1,0)</x:f>
        <x:v>1</x:v>
      </x:c>
      <x:c r="G637" s="10" t="str">
        <x:v>필수 의미와 지칭 집합 일치</x:v>
      </x:c>
    </x:row>
    <x:row r="638" ht="145" customHeight="1">
      <x:c r="A638" s="10" t="str">
        <x:v>T-EXEC</x:v>
      </x:c>
      <x:c r="B638" s="10" t="str">
        <x:v>TEXT</x:v>
      </x:c>
      <x:c r="C638" s="10" t="str">
        <x:v>TEXT:SYN-F11-06-U01</x:v>
      </x:c>
      <x:c r="D638" s="10" t="str">
        <x:v>{"conditions":["8장 이내","대상 기간 행사 2일","외부 발송 없음","참여기업 안내회용","현장 대기 20분 이하"],"data_source":"SYN-F11-06:D3@v1; SYN-F11-06:D1@v1","goal":"별빛 채용행사 준비 행사 운영 발표자료 작성 위임","prior_task_action":"new","targets":["SYN-F11-06:D1@v1","SYN-F11-06:D3@v1"]}</x:v>
      </x:c>
      <x:c r="E638" s="10" t="str">
        <x:v>{"conditions":["8장 이내","대상 기간 행사 2일","외부 발송 없음","참여기업 안내회용","현장 대기 20분 이하"],"data_source":"SYN-F11-06:D3@v1; SYN-F11-06:D1@v1","goal":"별빛 채용행사 준비 행사 운영 발표자료 작성 위임","prior_task_action":"new","targets":["SYN-F11-06:D1@v1","SYN-F11-06:D3@v1"]}</x:v>
      </x:c>
      <x:c r="F638" s="10" t="n">
        <x:f>IF(D638=E638,1,0)</x:f>
        <x:v>1</x:v>
      </x:c>
      <x:c r="G638" s="10" t="str">
        <x:v>필수 의미와 지칭 집합 일치</x:v>
      </x:c>
    </x:row>
    <x:row r="639" ht="145" customHeight="1">
      <x:c r="A639" s="10" t="str">
        <x:v>T-EXEC</x:v>
      </x:c>
      <x:c r="B639" s="10" t="str">
        <x:v>TEXT</x:v>
      </x:c>
      <x:c r="C639" s="10" t="str">
        <x:v>TEXT:SYN-F11-06-U02</x:v>
      </x:c>
      <x:c r="D639" s="10" t="str">
        <x:v>{"conditions":["4장 이내","대상 기간 행사 2일","외부 발송 없음","일 운영비가 낮은 하나만 선택","참여기업 안내회용","현장 대기 20분 이하","홍보물 인쇄비 제외"],"data_source":"SYN-F11-06:D3@v1","goal":"별빛 채용행사 준비 행사 운영 발표자료 작성 위임","prior_task_action":"revise","targets":["SYN-F11-06:D3@v1"]}</x:v>
      </x:c>
      <x:c r="E639" s="10" t="str">
        <x:v>{"conditions":["4장 이내","대상 기간 행사 2일","외부 발송 없음","일 운영비가 낮은 하나만 선택","참여기업 안내회용","현장 대기 20분 이하","홍보물 인쇄비 제외"],"data_source":"SYN-F11-06:D1@v1","goal":"별빛 채용행사 준비 행사 운영 발표자료 작성 위임","prior_task_action":"revise","targets":["SYN-F11-06:D1@v1"]}</x:v>
      </x:c>
      <x:c r="F639" s="10" t="n">
        <x:f>IF(D639=E639,1,0)</x:f>
        <x:v>0</x:v>
      </x:c>
      <x:c r="G639" s="10" t="str">
        <x:v>현재 입력과 원본의 대상 관계를 잘못 연결</x:v>
      </x:c>
    </x:row>
    <x:row r="640" ht="145" customHeight="1">
      <x:c r="A640" s="10" t="str">
        <x:v>T-REL</x:v>
      </x:c>
      <x:c r="B640" s="10" t="str">
        <x:v>TEXT</x:v>
      </x:c>
      <x:c r="C640" s="10" t="str">
        <x:v>TEXT:SYN-F11-06-U01</x:v>
      </x:c>
      <x:c r="D640" s="10" t="str">
        <x:v>{"conditions":["8장 이내","대상 기간 행사 2일","외부 발송 없음","참여기업 안내회용","현장 대기 20분 이하"],"data_source":"SYN-F11-06:D3@v1; SYN-F11-06:D1@v1","goal":"별빛 채용행사 준비 행사 운영 발표자료 작성 위임","prior_task_action":"new","targets":["SYN-F11-06:D1@v1","SYN-F11-06:D3@v1"]}</x:v>
      </x:c>
      <x:c r="E640" s="10" t="str">
        <x:v>{"conditions":["8장 이내","대상 기간 행사 2일","외부 발송 없음","참여기업 안내회용","현장 대기 20분 이하"],"data_source":"SYN-F11-06:D3@v1; SYN-F11-06:D1@v1","goal":"별빛 채용행사 준비 행사 운영 발표자료 작성 위임","prior_task_action":"new","targets":["SYN-F11-06:D1@v1","SYN-F11-06:D3@v1"]}</x:v>
      </x:c>
      <x:c r="F640" s="10" t="n">
        <x:f>IF(D640=E640,1,0)</x:f>
        <x:v>1</x:v>
      </x:c>
      <x:c r="G640" s="10" t="str">
        <x:v>필수 의미와 지칭 집합 일치</x:v>
      </x:c>
    </x:row>
    <x:row r="641" ht="145" customHeight="1">
      <x:c r="A641" s="10" t="str">
        <x:v>T-REL</x:v>
      </x:c>
      <x:c r="B641" s="10" t="str">
        <x:v>TEXT</x:v>
      </x:c>
      <x:c r="C641" s="10" t="str">
        <x:v>TEXT:SYN-F11-06-U02</x:v>
      </x:c>
      <x:c r="D641" s="10" t="str">
        <x:v>{"conditions":["4장 이내","대상 기간 행사 2일","외부 발송 없음","일 운영비가 낮은 하나만 선택","참여기업 안내회용","현장 대기 20분 이하","홍보물 인쇄비 제외"],"data_source":"SYN-F11-06:D3@v1","goal":"별빛 채용행사 준비 행사 운영 발표자료 작성 위임","prior_task_action":"revise","targets":["SYN-F11-06:D3@v1"]}</x:v>
      </x:c>
      <x:c r="E641" s="10" t="str">
        <x:v>{"conditions":["4장 이내","대상 기간 행사 2일","외부 발송 없음","일 운영비가 낮은 하나만 선택","참여기업 안내회용","현장 대기 20분 이하","홍보물 인쇄비 제외"],"data_source":"SYN-F11-06:D3@v1","goal":"별빛 채용행사 준비 행사 운영 발표자료 작성 위임","prior_task_action":"revise","targets":["SYN-F11-06:D3@v1"]}</x:v>
      </x:c>
      <x:c r="F641" s="10" t="n">
        <x:f>IF(D641=E641,1,0)</x:f>
        <x:v>1</x:v>
      </x:c>
      <x:c r="G641" s="10" t="str">
        <x:v>필수 의미와 지칭 집합 일치</x:v>
      </x:c>
    </x:row>
    <x:row r="642" ht="145" customHeight="1">
      <x:c r="A642" s="10" t="str">
        <x:v>T-BASE</x:v>
      </x:c>
      <x:c r="B642" s="10" t="str">
        <x:v>TEXT</x:v>
      </x:c>
      <x:c r="C642" s="10" t="str">
        <x:v>TEXT:SYN-F11-07-U01</x:v>
      </x:c>
      <x:c r="D642" s="10" t="str">
        <x:v>{"conditions":["6장 이내","납품처 품질설명회용","대상 기간 다음 8주","샘플 검사 45분 이하","외부 발송 없음"],"data_source":"SYN-F11-07:D1@v1; SYN-F11-07:D2@v1","goal":"청솔 부품검사 개선 검사 개선 발표자료 작성 위임","prior_task_action":"new","targets":["SYN-F11-07:D1@v1","SYN-F11-07:D2@v1"]}</x:v>
      </x:c>
      <x:c r="E642" s="10" t="str">
        <x:v>{"conditions":["6장 이내","납품처 품질설명회용","대상 기간 다음 8주","샘플 검사 45분 이하","외부 발송 없음"],"data_source":"SYN-F11-07:D1@v1; SYN-F11-07:D2@v1","goal":"청솔 부품검사 개선 검사 개선 발표자료 작성 위임","prior_task_action":"new","targets":["SYN-F11-07:D1@v1","SYN-F11-07:D2@v1"]}</x:v>
      </x:c>
      <x:c r="F642" s="10" t="n">
        <x:f>IF(D642=E642,1,0)</x:f>
        <x:v>1</x:v>
      </x:c>
      <x:c r="G642" s="10" t="str">
        <x:v>필수 의미와 지칭 집합 일치</x:v>
      </x:c>
    </x:row>
    <x:row r="643" ht="145" customHeight="1">
      <x:c r="A643" s="10" t="str">
        <x:v>T-BASE</x:v>
      </x:c>
      <x:c r="B643" s="10" t="str">
        <x:v>TEXT</x:v>
      </x:c>
      <x:c r="C643" s="10" t="str">
        <x:v>TEXT:SYN-F11-07-U02</x:v>
      </x:c>
      <x:c r="D643" s="10" t="str">
        <x:v>{"conditions":["3장 이내","검사장비 구입비 제외","납품처 품질설명회용","대상 기간 다음 8주","샘플 검사 45분 이하","외부 발송 없음","주간 운영비가 낮은 하나만 선택"],"data_source":"SYN-F11-07:D1@v1","goal":"청솔 부품검사 개선 검사 개선 발표자료 작성 위임","prior_task_action":"revise","targets":["SYN-F11-07:D1@v1"]}</x:v>
      </x:c>
      <x:c r="E643" s="10" t="str">
        <x:v>{"conditions":["3장 이내","검사장비 구입비 제외","납품처 품질설명회용","대상 기간 다음 8주","샘플 검사 45분 이하","외부 발송 없음","주간 운영비가 낮은 하나만 선택"],"data_source":"SYN-F11-07:D2@v1","goal":"청솔 부품검사 개선 검사 개선 발표자료 작성 위임","prior_task_action":"revise","targets":["SYN-F11-07:D2@v1"]}</x:v>
      </x:c>
      <x:c r="F643" s="10" t="n">
        <x:f>IF(D643=E643,1,0)</x:f>
        <x:v>0</x:v>
      </x:c>
      <x:c r="G643" s="10" t="str">
        <x:v>현재 입력과 원본의 대상 관계를 잘못 연결</x:v>
      </x:c>
    </x:row>
    <x:row r="644" ht="145" customHeight="1">
      <x:c r="A644" s="10" t="str">
        <x:v>T-EXEC</x:v>
      </x:c>
      <x:c r="B644" s="10" t="str">
        <x:v>TEXT</x:v>
      </x:c>
      <x:c r="C644" s="10" t="str">
        <x:v>TEXT:SYN-F11-07-U01</x:v>
      </x:c>
      <x:c r="D644" s="10" t="str">
        <x:v>{"conditions":["6장 이내","납품처 품질설명회용","대상 기간 다음 8주","샘플 검사 45분 이하","외부 발송 없음"],"data_source":"SYN-F11-07:D1@v1; SYN-F11-07:D2@v1","goal":"청솔 부품검사 개선 검사 개선 발표자료 작성 위임","prior_task_action":"new","targets":["SYN-F11-07:D1@v1","SYN-F11-07:D2@v1"]}</x:v>
      </x:c>
      <x:c r="E644" s="10" t="str">
        <x:v>{"conditions":["6장 이내","납품처 품질설명회용","대상 기간 다음 8주","샘플 검사 45분 이하","외부 발송 없음"],"data_source":"SYN-F11-07:D1@v1; SYN-F11-07:D2@v1","goal":"청솔 부품검사 개선 검사 개선 발표자료 작성 위임","prior_task_action":"new","targets":["SYN-F11-07:D1@v1","SYN-F11-07:D2@v1"]}</x:v>
      </x:c>
      <x:c r="F644" s="10" t="n">
        <x:f>IF(D644=E644,1,0)</x:f>
        <x:v>1</x:v>
      </x:c>
      <x:c r="G644" s="10" t="str">
        <x:v>필수 의미와 지칭 집합 일치</x:v>
      </x:c>
    </x:row>
    <x:row r="645" ht="145" customHeight="1">
      <x:c r="A645" s="10" t="str">
        <x:v>T-EXEC</x:v>
      </x:c>
      <x:c r="B645" s="10" t="str">
        <x:v>TEXT</x:v>
      </x:c>
      <x:c r="C645" s="10" t="str">
        <x:v>TEXT:SYN-F11-07-U02</x:v>
      </x:c>
      <x:c r="D645" s="10" t="str">
        <x:v>{"conditions":["3장 이내","검사장비 구입비 제외","납품처 품질설명회용","대상 기간 다음 8주","샘플 검사 45분 이하","외부 발송 없음","주간 운영비가 낮은 하나만 선택"],"data_source":"SYN-F11-07:D1@v1","goal":"청솔 부품검사 개선 검사 개선 발표자료 작성 위임","prior_task_action":"revise","targets":["SYN-F11-07:D1@v1"]}</x:v>
      </x:c>
      <x:c r="E645" s="10" t="str">
        <x:v>{"conditions":["3장 이내","검사장비 구입비 제외","납품처 품질설명회용","대상 기간 다음 8주","샘플 검사 45분 이하","외부 발송 없음","주간 운영비가 낮은 하나만 선택"],"data_source":"SYN-F11-07:D2@v1","goal":"청솔 부품검사 개선 검사 개선 발표자료 작성 위임","prior_task_action":"revise","targets":["SYN-F11-07:D2@v1"]}</x:v>
      </x:c>
      <x:c r="F645" s="10" t="n">
        <x:f>IF(D645=E645,1,0)</x:f>
        <x:v>0</x:v>
      </x:c>
      <x:c r="G645" s="10" t="str">
        <x:v>현재 입력과 원본의 대상 관계를 잘못 연결</x:v>
      </x:c>
    </x:row>
    <x:row r="646" ht="145" customHeight="1">
      <x:c r="A646" s="10" t="str">
        <x:v>T-REL</x:v>
      </x:c>
      <x:c r="B646" s="10" t="str">
        <x:v>TEXT</x:v>
      </x:c>
      <x:c r="C646" s="10" t="str">
        <x:v>TEXT:SYN-F11-07-U01</x:v>
      </x:c>
      <x:c r="D646" s="10" t="str">
        <x:v>{"conditions":["6장 이내","납품처 품질설명회용","대상 기간 다음 8주","샘플 검사 45분 이하","외부 발송 없음"],"data_source":"SYN-F11-07:D1@v1; SYN-F11-07:D2@v1","goal":"청솔 부품검사 개선 검사 개선 발표자료 작성 위임","prior_task_action":"new","targets":["SYN-F11-07:D1@v1","SYN-F11-07:D2@v1"]}</x:v>
      </x:c>
      <x:c r="E646" s="10" t="str">
        <x:v>{"conditions":["6장 이내","납품처 품질설명회용","대상 기간 다음 8주","샘플 검사 45분 이하","외부 발송 없음"],"data_source":"SYN-F11-07:D1@v1; SYN-F11-07:D2@v1","goal":"청솔 부품검사 개선 검사 개선 발표자료 작성 위임","prior_task_action":"new","targets":["SYN-F11-07:D1@v1","SYN-F11-07:D2@v1"]}</x:v>
      </x:c>
      <x:c r="F646" s="10" t="n">
        <x:f>IF(D646=E646,1,0)</x:f>
        <x:v>1</x:v>
      </x:c>
      <x:c r="G646" s="10" t="str">
        <x:v>필수 의미와 지칭 집합 일치</x:v>
      </x:c>
    </x:row>
    <x:row r="647" ht="145" customHeight="1">
      <x:c r="A647" s="10" t="str">
        <x:v>T-REL</x:v>
      </x:c>
      <x:c r="B647" s="10" t="str">
        <x:v>TEXT</x:v>
      </x:c>
      <x:c r="C647" s="10" t="str">
        <x:v>TEXT:SYN-F11-07-U02</x:v>
      </x:c>
      <x:c r="D647" s="10" t="str">
        <x:v>{"conditions":["3장 이내","검사장비 구입비 제외","납품처 품질설명회용","대상 기간 다음 8주","샘플 검사 45분 이하","외부 발송 없음","주간 운영비가 낮은 하나만 선택"],"data_source":"SYN-F11-07:D1@v1","goal":"청솔 부품검사 개선 검사 개선 발표자료 작성 위임","prior_task_action":"revise","targets":["SYN-F11-07:D1@v1"]}</x:v>
      </x:c>
      <x:c r="E647" s="10" t="str">
        <x:v>{"conditions":["3장 이내","검사장비 구입비 제외","납품처 품질설명회용","대상 기간 다음 8주","샘플 검사 45분 이하","외부 발송 없음","주간 운영비가 낮은 하나만 선택"],"data_source":"SYN-F11-07:D2@v1","goal":"청솔 부품검사 개선 검사 개선 발표자료 작성 위임","prior_task_action":"revise","targets":["SYN-F11-07:D2@v1"]}</x:v>
      </x:c>
      <x:c r="F647" s="10" t="n">
        <x:f>IF(D647=E647,1,0)</x:f>
        <x:v>0</x:v>
      </x:c>
      <x:c r="G647" s="10" t="str">
        <x:v>게시 관계 또는 원본 보완에서 자료 판본을 잘못 연결</x:v>
      </x:c>
    </x:row>
    <x:row r="648" ht="145" customHeight="1">
      <x:c r="A648" s="10" t="str">
        <x:v>T-BASE</x:v>
      </x:c>
      <x:c r="B648" s="10" t="str">
        <x:v>TEXT</x:v>
      </x:c>
      <x:c r="C648" s="10" t="str">
        <x:v>TEXT:SYN-F11-08-U01</x:v>
      </x:c>
      <x:c r="D648" s="10" t="str">
        <x:v>{"conditions":["4장 이내","대상 기간 운영 5주","안내문 500자 이하","외부 발송 없음","지역 파트너 설명회용"],"data_source":"SYN-F11-08:D2@v1; SYN-F11-08:D3@v1","goal":"노을 서비스 캠페인 캠페인 계획 발표자료 작성 위임","prior_task_action":"new","targets":["SYN-F11-08:D2@v1","SYN-F11-08:D3@v1"]}</x:v>
      </x:c>
      <x:c r="E648" s="10" t="str">
        <x:v>{"conditions":["4장 이내","대상 기간 운영 5주","안내문 500자 이하","외부 발송 없음","지역 파트너 설명회용"],"data_source":"SYN-F11-08:D2@v1; SYN-F11-08:D3@v1","goal":"노을 서비스 캠페인 캠페인 계획 발표자료 작성 위임","prior_task_action":"new","targets":["SYN-F11-08:D2@v1","SYN-F11-08:D3@v1"]}</x:v>
      </x:c>
      <x:c r="F648" s="10" t="n">
        <x:f>IF(D648=E648,1,0)</x:f>
        <x:v>1</x:v>
      </x:c>
      <x:c r="G648" s="10" t="str">
        <x:v>필수 의미와 지칭 집합 일치</x:v>
      </x:c>
    </x:row>
    <x:row r="649" ht="145" customHeight="1">
      <x:c r="A649" s="10" t="str">
        <x:v>T-BASE</x:v>
      </x:c>
      <x:c r="B649" s="10" t="str">
        <x:v>TEXT</x:v>
      </x:c>
      <x:c r="C649" s="10" t="str">
        <x:v>TEXT:SYN-F11-08-U02</x:v>
      </x:c>
      <x:c r="D649" s="10" t="str">
        <x:v>{"conditions":["2장 이내","대상 기간 운영 5주","안내문 500자 이하","외부 발송 없음","일회성 촬영비 제외","주간 운영비가 낮은 하나만 선택","지역 파트너 설명회용"],"data_source":"SYN-F11-08:D2@v1","goal":"노을 서비스 캠페인 캠페인 계획 발표자료 작성 위임","prior_task_action":"revise","targets":["SYN-F11-08:D2@v1"]}</x:v>
      </x:c>
      <x:c r="E649" s="10" t="str">
        <x:v>{"conditions":["2장 이내","대상 기간 운영 5주","안내문 500자 이하","외부 발송 없음","일회성 촬영비 제외","주간 운영비가 낮은 하나만 선택","지역 파트너 설명회용"],"data_source":"SYN-F11-08:D2@v1","goal":"노을 서비스 캠페인 캠페인 계획 발표자료 작성 위임","prior_task_action":"revise","targets":["SYN-F11-08:D2@v1"]}</x:v>
      </x:c>
      <x:c r="F649" s="10" t="n">
        <x:f>IF(D649=E649,1,0)</x:f>
        <x:v>1</x:v>
      </x:c>
      <x:c r="G649" s="10" t="str">
        <x:v>필수 의미와 지칭 집합 일치</x:v>
      </x:c>
    </x:row>
    <x:row r="650" ht="145" customHeight="1">
      <x:c r="A650" s="10" t="str">
        <x:v>T-EXEC</x:v>
      </x:c>
      <x:c r="B650" s="10" t="str">
        <x:v>TEXT</x:v>
      </x:c>
      <x:c r="C650" s="10" t="str">
        <x:v>TEXT:SYN-F11-08-U01</x:v>
      </x:c>
      <x:c r="D650" s="10" t="str">
        <x:v>{"conditions":["4장 이내","대상 기간 운영 5주","안내문 500자 이하","외부 발송 없음","지역 파트너 설명회용"],"data_source":"SYN-F11-08:D2@v1; SYN-F11-08:D3@v1","goal":"노을 서비스 캠페인 캠페인 계획 발표자료 작성 위임","prior_task_action":"new","targets":["SYN-F11-08:D2@v1","SYN-F11-08:D3@v1"]}</x:v>
      </x:c>
      <x:c r="E650" s="10" t="str">
        <x:v>{"conditions":["4장 이내","대상 기간 운영 5주","안내문 500자 이하","외부 발송 없음","지역 파트너 설명회용"],"data_source":"SYN-F11-08:D2@v1; SYN-F11-08:D3@v1","goal":"노을 서비스 캠페인 캠페인 계획 발표자료 작성 위임","prior_task_action":"new","targets":["SYN-F11-08:D2@v1","SYN-F11-08:D3@v1"]}</x:v>
      </x:c>
      <x:c r="F650" s="10" t="n">
        <x:f>IF(D650=E650,1,0)</x:f>
        <x:v>1</x:v>
      </x:c>
      <x:c r="G650" s="10" t="str">
        <x:v>필수 의미와 지칭 집합 일치</x:v>
      </x:c>
    </x:row>
    <x:row r="651" ht="145" customHeight="1">
      <x:c r="A651" s="10" t="str">
        <x:v>T-EXEC</x:v>
      </x:c>
      <x:c r="B651" s="10" t="str">
        <x:v>TEXT</x:v>
      </x:c>
      <x:c r="C651" s="10" t="str">
        <x:v>TEXT:SYN-F11-08-U02</x:v>
      </x:c>
      <x:c r="D651" s="10" t="str">
        <x:v>{"conditions":["2장 이내","대상 기간 운영 5주","안내문 500자 이하","외부 발송 없음","일회성 촬영비 제외","주간 운영비가 낮은 하나만 선택","지역 파트너 설명회용"],"data_source":"SYN-F11-08:D2@v1","goal":"노을 서비스 캠페인 캠페인 계획 발표자료 작성 위임","prior_task_action":"revise","targets":["SYN-F11-08:D2@v1"]}</x:v>
      </x:c>
      <x:c r="E651" s="10" t="str">
        <x:v>{"conditions":["2장 이내","대상 기간 운영 5주","안내문 500자 이하","외부 발송 없음","주간 운영비가 낮은 하나만 선택","지역 파트너 설명회용"],"data_source":"SYN-F11-08:D2@v1","goal":"노을 서비스 캠페인 캠페인 계획 발표자료 작성 위임","prior_task_action":"revise","targets":["SYN-F11-08:D2@v1"]}</x:v>
      </x:c>
      <x:c r="F651" s="10" t="n">
        <x:f>IF(D651=E651,1,0)</x:f>
        <x:v>0</x:v>
      </x:c>
      <x:c r="G651" s="10" t="str">
        <x:v>기존 상태와 정정 조건 결합 중 필수 조건 누락: 일회성 촬영비 제외</x:v>
      </x:c>
    </x:row>
    <x:row r="652" ht="145" customHeight="1">
      <x:c r="A652" s="10" t="str">
        <x:v>T-REL</x:v>
      </x:c>
      <x:c r="B652" s="10" t="str">
        <x:v>TEXT</x:v>
      </x:c>
      <x:c r="C652" s="10" t="str">
        <x:v>TEXT:SYN-F11-08-U01</x:v>
      </x:c>
      <x:c r="D652" s="10" t="str">
        <x:v>{"conditions":["4장 이내","대상 기간 운영 5주","안내문 500자 이하","외부 발송 없음","지역 파트너 설명회용"],"data_source":"SYN-F11-08:D2@v1; SYN-F11-08:D3@v1","goal":"노을 서비스 캠페인 캠페인 계획 발표자료 작성 위임","prior_task_action":"new","targets":["SYN-F11-08:D2@v1","SYN-F11-08:D3@v1"]}</x:v>
      </x:c>
      <x:c r="E652" s="10" t="str">
        <x:v>{"conditions":["4장 이내","대상 기간 운영 5주","안내문 500자 이하","외부 발송 없음","지역 파트너 설명회용"],"data_source":"SYN-F11-08:D2@v1; SYN-F11-08:D3@v1","goal":"노을 서비스 캠페인 캠페인 계획 발표자료 작성 위임","prior_task_action":"new","targets":["SYN-F11-08:D2@v1","SYN-F11-08:D3@v1"]}</x:v>
      </x:c>
      <x:c r="F652" s="10" t="n">
        <x:f>IF(D652=E652,1,0)</x:f>
        <x:v>1</x:v>
      </x:c>
      <x:c r="G652" s="10" t="str">
        <x:v>필수 의미와 지칭 집합 일치</x:v>
      </x:c>
    </x:row>
    <x:row r="653" ht="145" customHeight="1">
      <x:c r="A653" s="10" t="str">
        <x:v>T-REL</x:v>
      </x:c>
      <x:c r="B653" s="10" t="str">
        <x:v>TEXT</x:v>
      </x:c>
      <x:c r="C653" s="10" t="str">
        <x:v>TEXT:SYN-F11-08-U02</x:v>
      </x:c>
      <x:c r="D653" s="10" t="str">
        <x:v>{"conditions":["2장 이내","대상 기간 운영 5주","안내문 500자 이하","외부 발송 없음","일회성 촬영비 제외","주간 운영비가 낮은 하나만 선택","지역 파트너 설명회용"],"data_source":"SYN-F11-08:D2@v1","goal":"노을 서비스 캠페인 캠페인 계획 발표자료 작성 위임","prior_task_action":"revise","targets":["SYN-F11-08:D2@v1"]}</x:v>
      </x:c>
      <x:c r="E653" s="10" t="str">
        <x:v>{"conditions":["2장 이내","대상 기간 운영 5주","안내문 500자 이하","외부 발송 없음","일회성 촬영비 제외","주간 운영비가 낮은 하나만 선택","지역 파트너 설명회용"],"data_source":"SYN-F11-08:D2@v1","goal":"노을 서비스 캠페인 캠페인 계획 발표자료 작성 위임","prior_task_action":"revise","targets":["SYN-F11-08:D2@v1"]}</x:v>
      </x:c>
      <x:c r="F653" s="10" t="n">
        <x:f>IF(D653=E653,1,0)</x:f>
        <x:v>1</x:v>
      </x:c>
      <x:c r="G653" s="10" t="str">
        <x:v>필수 의미와 지칭 집합 일치</x:v>
      </x:c>
    </x:row>
    <x:row r="654" ht="145" customHeight="1">
      <x:c r="A654" s="10" t="str">
        <x:v>T-BASE</x:v>
      </x:c>
      <x:c r="B654" s="10" t="str">
        <x:v>TEXT</x:v>
      </x:c>
      <x:c r="C654" s="10" t="str">
        <x:v>TEXT:SYN-F11-09-U01</x:v>
      </x:c>
      <x:c r="D654" s="10" t="str">
        <x:v>{"conditions":["7장 이내","대상 기간 적용 후 4주","배송 협력사 설명회용","외부 발송 없음","주문당 이동 180m 이하"],"data_source":"SYN-F11-09:D3@v1; SYN-F11-09:D1@v1","goal":"파도 창고배치 변경 배치 변경 발표자료 작성 위임","prior_task_action":"new","targets":["SYN-F11-09:D1@v1","SYN-F11-09:D3@v1"]}</x:v>
      </x:c>
      <x:c r="E654" s="10" t="str">
        <x:v>{"conditions":["7장 이내","대상 기간 적용 후 4주","배송 협력사 설명회용","외부 발송 없음","주문당 이동 180m 이하"],"data_source":"SYN-F11-09:D3@v1; SYN-F11-09:D1@v1","goal":"파도 창고배치 변경 배치 변경 발표자료 작성 위임","prior_task_action":"new","targets":["SYN-F11-09:D1@v1","SYN-F11-09:D3@v1"]}</x:v>
      </x:c>
      <x:c r="F654" s="10" t="n">
        <x:f>IF(D654=E654,1,0)</x:f>
        <x:v>1</x:v>
      </x:c>
      <x:c r="G654" s="10" t="str">
        <x:v>필수 의미와 지칭 집합 일치</x:v>
      </x:c>
    </x:row>
    <x:row r="655" ht="145" customHeight="1">
      <x:c r="A655" s="10" t="str">
        <x:v>T-BASE</x:v>
      </x:c>
      <x:c r="B655" s="10" t="str">
        <x:v>TEXT</x:v>
      </x:c>
      <x:c r="C655" s="10" t="str">
        <x:v>TEXT:SYN-F11-09-U02</x:v>
      </x:c>
      <x:c r="D655" s="10" t="str">
        <x:v>{"conditions":["4장 이내","대상 기간 적용 후 4주","배송 협력사 설명회용","선반 구매비 제외","외부 발송 없음","일 운영비가 낮은 하나만 선택","주문당 이동 180m 이하"],"data_source":"SYN-F11-09:D1@v1","goal":"파도 창고배치 변경 배치 변경 발표자료 작성 위임","prior_task_action":"revise","targets":["SYN-F11-09:D1@v1"]}</x:v>
      </x:c>
      <x:c r="E655" s="10" t="str">
        <x:v>{"conditions":["4장 이내","대상 기간 적용 후 4주","배송 협력사 설명회용","선반 구매비 제외","외부 발송 없음","일 운영비가 낮은 하나만 선택","주문당 이동 180m 이하"],"data_source":"SYN-F11-09:D3@v1","goal":"파도 창고배치 변경 배치 변경 발표자료 작성 위임","prior_task_action":"revise","targets":["SYN-F11-09:D3@v1"]}</x:v>
      </x:c>
      <x:c r="F655" s="10" t="n">
        <x:f>IF(D655=E655,1,0)</x:f>
        <x:v>0</x:v>
      </x:c>
      <x:c r="G655" s="10" t="str">
        <x:v>현재 입력과 원본의 대상 관계를 잘못 연결</x:v>
      </x:c>
    </x:row>
    <x:row r="656" ht="145" customHeight="1">
      <x:c r="A656" s="10" t="str">
        <x:v>T-EXEC</x:v>
      </x:c>
      <x:c r="B656" s="10" t="str">
        <x:v>TEXT</x:v>
      </x:c>
      <x:c r="C656" s="10" t="str">
        <x:v>TEXT:SYN-F11-09-U01</x:v>
      </x:c>
      <x:c r="D656" s="10" t="str">
        <x:v>{"conditions":["7장 이내","대상 기간 적용 후 4주","배송 협력사 설명회용","외부 발송 없음","주문당 이동 180m 이하"],"data_source":"SYN-F11-09:D3@v1; SYN-F11-09:D1@v1","goal":"파도 창고배치 변경 배치 변경 발표자료 작성 위임","prior_task_action":"new","targets":["SYN-F11-09:D1@v1","SYN-F11-09:D3@v1"]}</x:v>
      </x:c>
      <x:c r="E656" s="10" t="str">
        <x:v>{"conditions":["7장 이내","대상 기간 적용 후 4주","배송 협력사 설명회용","외부 발송 없음","주문당 이동 180m 이하"],"data_source":"SYN-F11-09:D3@v1; SYN-F11-09:D1@v1","goal":"파도 창고배치 변경 배치 변경 발표자료 작성 위임","prior_task_action":"new","targets":["SYN-F11-09:D1@v1","SYN-F11-09:D3@v1"]}</x:v>
      </x:c>
      <x:c r="F656" s="10" t="n">
        <x:f>IF(D656=E656,1,0)</x:f>
        <x:v>1</x:v>
      </x:c>
      <x:c r="G656" s="10" t="str">
        <x:v>필수 의미와 지칭 집합 일치</x:v>
      </x:c>
    </x:row>
    <x:row r="657" ht="145" customHeight="1">
      <x:c r="A657" s="10" t="str">
        <x:v>T-EXEC</x:v>
      </x:c>
      <x:c r="B657" s="10" t="str">
        <x:v>TEXT</x:v>
      </x:c>
      <x:c r="C657" s="10" t="str">
        <x:v>TEXT:SYN-F11-09-U02</x:v>
      </x:c>
      <x:c r="D657" s="10" t="str">
        <x:v>{"conditions":["4장 이내","대상 기간 적용 후 4주","배송 협력사 설명회용","선반 구매비 제외","외부 발송 없음","일 운영비가 낮은 하나만 선택","주문당 이동 180m 이하"],"data_source":"SYN-F11-09:D1@v1","goal":"파도 창고배치 변경 배치 변경 발표자료 작성 위임","prior_task_action":"revise","targets":["SYN-F11-09:D1@v1"]}</x:v>
      </x:c>
      <x:c r="E657" s="10" t="str">
        <x:v>{"conditions":["4장 이내","대상 기간 적용 후 4주","배송 협력사 설명회용","선반 구매비 제외","외부 발송 없음","일 운영비가 낮은 하나만 선택","주문당 이동 180m 이하"],"data_source":"SYN-F11-09:D3@v1","goal":"파도 창고배치 변경 배치 변경 발표자료 작성 위임","prior_task_action":"revise","targets":["SYN-F11-09:D3@v1"]}</x:v>
      </x:c>
      <x:c r="F657" s="10" t="n">
        <x:f>IF(D657=E657,1,0)</x:f>
        <x:v>0</x:v>
      </x:c>
      <x:c r="G657" s="10" t="str">
        <x:v>현재 입력과 원본의 대상 관계를 잘못 연결</x:v>
      </x:c>
    </x:row>
    <x:row r="658" ht="145" customHeight="1">
      <x:c r="A658" s="10" t="str">
        <x:v>T-REL</x:v>
      </x:c>
      <x:c r="B658" s="10" t="str">
        <x:v>TEXT</x:v>
      </x:c>
      <x:c r="C658" s="10" t="str">
        <x:v>TEXT:SYN-F11-09-U01</x:v>
      </x:c>
      <x:c r="D658" s="10" t="str">
        <x:v>{"conditions":["7장 이내","대상 기간 적용 후 4주","배송 협력사 설명회용","외부 발송 없음","주문당 이동 180m 이하"],"data_source":"SYN-F11-09:D3@v1; SYN-F11-09:D1@v1","goal":"파도 창고배치 변경 배치 변경 발표자료 작성 위임","prior_task_action":"new","targets":["SYN-F11-09:D1@v1","SYN-F11-09:D3@v1"]}</x:v>
      </x:c>
      <x:c r="E658" s="10" t="str">
        <x:v>{"conditions":["7장 이내","대상 기간 적용 후 4주","배송 협력사 설명회용","외부 발송 없음","주문당 이동 180m 이하"],"data_source":"SYN-F11-09:D3@v1; SYN-F11-09:D1@v1","goal":"파도 창고배치 변경 배치 변경 발표자료 작성 위임","prior_task_action":"new","targets":["SYN-F11-09:D1@v1","SYN-F11-09:D3@v1"]}</x:v>
      </x:c>
      <x:c r="F658" s="10" t="n">
        <x:f>IF(D658=E658,1,0)</x:f>
        <x:v>1</x:v>
      </x:c>
      <x:c r="G658" s="10" t="str">
        <x:v>필수 의미와 지칭 집합 일치</x:v>
      </x:c>
    </x:row>
    <x:row r="659" ht="145" customHeight="1">
      <x:c r="A659" s="10" t="str">
        <x:v>T-REL</x:v>
      </x:c>
      <x:c r="B659" s="10" t="str">
        <x:v>TEXT</x:v>
      </x:c>
      <x:c r="C659" s="10" t="str">
        <x:v>TEXT:SYN-F11-09-U02</x:v>
      </x:c>
      <x:c r="D659" s="10" t="str">
        <x:v>{"conditions":["4장 이내","대상 기간 적용 후 4주","배송 협력사 설명회용","선반 구매비 제외","외부 발송 없음","일 운영비가 낮은 하나만 선택","주문당 이동 180m 이하"],"data_source":"SYN-F11-09:D1@v1","goal":"파도 창고배치 변경 배치 변경 발표자료 작성 위임","prior_task_action":"revise","targets":["SYN-F11-09:D1@v1"]}</x:v>
      </x:c>
      <x:c r="E659" s="10" t="str">
        <x:v>{"conditions":["4장 이내","대상 기간 적용 후 4주","배송 협력사 설명회용","선반 구매비 제외","외부 발송 없음","일 운영비가 낮은 하나만 선택","주문당 이동 180m 이하"],"data_source":"SYN-F11-09:D3@v1","goal":"파도 창고배치 변경 배치 변경 발표자료 작성 위임","prior_task_action":"revise","targets":["SYN-F11-09:D3@v1"]}</x:v>
      </x:c>
      <x:c r="F659" s="10" t="n">
        <x:f>IF(D659=E659,1,0)</x:f>
        <x:v>0</x:v>
      </x:c>
      <x:c r="G659" s="10" t="str">
        <x:v>게시 관계 또는 원본 보완에서 자료 판본을 잘못 연결</x:v>
      </x:c>
    </x:row>
    <x:row r="660" ht="145" customHeight="1">
      <x:c r="A660" s="10" t="str">
        <x:v>T-BASE</x:v>
      </x:c>
      <x:c r="B660" s="10" t="str">
        <x:v>TEXT</x:v>
      </x:c>
      <x:c r="C660" s="10" t="str">
        <x:v>TEXT:SYN-F11-10-U01</x:v>
      </x:c>
      <x:c r="D660" s="10" t="str">
        <x:v>{"conditions":["5장 이내","대상 기간 출시 후 2개월","부서대표 설명회용","외부 발송 없음","첫 화면 메뉴 9개 이하"],"data_source":"SYN-F11-10:D1@v1; SYN-F11-10:D2@v1","goal":"온유 사내포털 개편 포털 개선 발표자료 작성 위임","prior_task_action":"new","targets":["SYN-F11-10:D1@v1","SYN-F11-10:D2@v1"]}</x:v>
      </x:c>
      <x:c r="E660" s="10" t="str">
        <x:v>{"conditions":["5장 이내","대상 기간 출시 후 2개월","부서대표 설명회용","외부 발송 없음","첫 화면 메뉴 9개 이하"],"data_source":"SYN-F11-10:D1@v1; SYN-F11-10:D2@v1","goal":"온유 사내포털 개편 포털 개선 발표자료 작성 위임","prior_task_action":"new","targets":["SYN-F11-10:D1@v1","SYN-F11-10:D2@v1"]}</x:v>
      </x:c>
      <x:c r="F660" s="10" t="n">
        <x:f>IF(D660=E660,1,0)</x:f>
        <x:v>1</x:v>
      </x:c>
      <x:c r="G660" s="10" t="str">
        <x:v>필수 의미와 지칭 집합 일치</x:v>
      </x:c>
    </x:row>
    <x:row r="661" ht="145" customHeight="1">
      <x:c r="A661" s="10" t="str">
        <x:v>T-BASE</x:v>
      </x:c>
      <x:c r="B661" s="10" t="str">
        <x:v>TEXT</x:v>
      </x:c>
      <x:c r="C661" s="10" t="str">
        <x:v>TEXT:SYN-F11-10-U02</x:v>
      </x:c>
      <x:c r="D661" s="10" t="str">
        <x:v>{"conditions":["3장 이내","대상 기간 출시 후 2개월","부서대표 설명회용","외부 발송 없음","월 운영비가 낮은 하나만 선택","첫 화면 메뉴 9개 이하","초기 이전비 제외"],"data_source":"SYN-F11-10:D2@v1","goal":"온유 사내포털 개편 포털 개선 발표자료 작성 위임","prior_task_action":"revise","targets":["SYN-F11-10:D2@v1"]}</x:v>
      </x:c>
      <x:c r="E661" s="10" t="str">
        <x:v>{"conditions":["3장 이내","대상 기간 출시 후 2개월","부서대표 설명회용","외부 발송 없음","월 운영비가 낮은 하나만 선택","첫 화면 메뉴 9개 이하","초기 이전비 제외"],"data_source":"SYN-F11-10:D2@v1","goal":"온유 사내포털 개편 포털 개선 발표자료 작성 위임","prior_task_action":"revise","targets":["SYN-F11-10:D2@v1"]}</x:v>
      </x:c>
      <x:c r="F661" s="10" t="n">
        <x:f>IF(D661=E661,1,0)</x:f>
        <x:v>1</x:v>
      </x:c>
      <x:c r="G661" s="10" t="str">
        <x:v>필수 의미와 지칭 집합 일치</x:v>
      </x:c>
    </x:row>
    <x:row r="662" ht="145" customHeight="1">
      <x:c r="A662" s="10" t="str">
        <x:v>T-EXEC</x:v>
      </x:c>
      <x:c r="B662" s="10" t="str">
        <x:v>TEXT</x:v>
      </x:c>
      <x:c r="C662" s="10" t="str">
        <x:v>TEXT:SYN-F11-10-U01</x:v>
      </x:c>
      <x:c r="D662" s="10" t="str">
        <x:v>{"conditions":["5장 이내","대상 기간 출시 후 2개월","부서대표 설명회용","외부 발송 없음","첫 화면 메뉴 9개 이하"],"data_source":"SYN-F11-10:D1@v1; SYN-F11-10:D2@v1","goal":"온유 사내포털 개편 포털 개선 발표자료 작성 위임","prior_task_action":"new","targets":["SYN-F11-10:D1@v1","SYN-F11-10:D2@v1"]}</x:v>
      </x:c>
      <x:c r="E662" s="10" t="str">
        <x:v>{"conditions":["5장 이내","대상 기간 출시 후 2개월","부서대표 설명회용","외부 발송 없음","첫 화면 메뉴 9개 이하"],"data_source":"SYN-F11-10:D1@v1; SYN-F11-10:D2@v1","goal":"온유 사내포털 개편 포털 개선 발표자료 작성 위임","prior_task_action":"new","targets":["SYN-F11-10:D1@v1","SYN-F11-10:D2@v1"]}</x:v>
      </x:c>
      <x:c r="F662" s="10" t="n">
        <x:f>IF(D662=E662,1,0)</x:f>
        <x:v>1</x:v>
      </x:c>
      <x:c r="G662" s="10" t="str">
        <x:v>필수 의미와 지칭 집합 일치</x:v>
      </x:c>
    </x:row>
    <x:row r="663" ht="145" customHeight="1">
      <x:c r="A663" s="10" t="str">
        <x:v>T-EXEC</x:v>
      </x:c>
      <x:c r="B663" s="10" t="str">
        <x:v>TEXT</x:v>
      </x:c>
      <x:c r="C663" s="10" t="str">
        <x:v>TEXT:SYN-F11-10-U02</x:v>
      </x:c>
      <x:c r="D663" s="10" t="str">
        <x:v>{"conditions":["3장 이내","대상 기간 출시 후 2개월","부서대표 설명회용","외부 발송 없음","월 운영비가 낮은 하나만 선택","첫 화면 메뉴 9개 이하","초기 이전비 제외"],"data_source":"SYN-F11-10:D2@v1","goal":"온유 사내포털 개편 포털 개선 발표자료 작성 위임","prior_task_action":"revise","targets":["SYN-F11-10:D2@v1"]}</x:v>
      </x:c>
      <x:c r="E663" s="10" t="str">
        <x:v>{"conditions":["3장 이내","대상 기간 출시 후 2개월","부서대표 설명회용","외부 발송 없음","월 운영비가 낮은 하나만 선택","첫 화면 메뉴 9개 이하","초기 이전비 제외"],"data_source":"SYN-F11-10:D2@v1","goal":"온유 사내포털 개편 포털 개선 발표자료 작성 위임","prior_task_action":"revise","targets":["SYN-F11-10:D2@v1"]}</x:v>
      </x:c>
      <x:c r="F663" s="10" t="n">
        <x:f>IF(D663=E663,1,0)</x:f>
        <x:v>1</x:v>
      </x:c>
      <x:c r="G663" s="10" t="str">
        <x:v>필수 의미와 지칭 집합 일치</x:v>
      </x:c>
    </x:row>
    <x:row r="664" ht="145" customHeight="1">
      <x:c r="A664" s="10" t="str">
        <x:v>T-REL</x:v>
      </x:c>
      <x:c r="B664" s="10" t="str">
        <x:v>TEXT</x:v>
      </x:c>
      <x:c r="C664" s="10" t="str">
        <x:v>TEXT:SYN-F11-10-U01</x:v>
      </x:c>
      <x:c r="D664" s="10" t="str">
        <x:v>{"conditions":["5장 이내","대상 기간 출시 후 2개월","부서대표 설명회용","외부 발송 없음","첫 화면 메뉴 9개 이하"],"data_source":"SYN-F11-10:D1@v1; SYN-F11-10:D2@v1","goal":"온유 사내포털 개편 포털 개선 발표자료 작성 위임","prior_task_action":"new","targets":["SYN-F11-10:D1@v1","SYN-F11-10:D2@v1"]}</x:v>
      </x:c>
      <x:c r="E664" s="10" t="str">
        <x:v>{"conditions":["5장 이내","대상 기간 출시 후 2개월","부서대표 설명회용","외부 발송 없음","첫 화면 메뉴 9개 이하"],"data_source":"SYN-F11-10:D1@v1; SYN-F11-10:D2@v1","goal":"온유 사내포털 개편 포털 개선 발표자료 작성 위임","prior_task_action":"new","targets":["SYN-F11-10:D1@v1","SYN-F11-10:D2@v1"]}</x:v>
      </x:c>
      <x:c r="F664" s="10" t="n">
        <x:f>IF(D664=E664,1,0)</x:f>
        <x:v>1</x:v>
      </x:c>
      <x:c r="G664" s="10" t="str">
        <x:v>필수 의미와 지칭 집합 일치</x:v>
      </x:c>
    </x:row>
    <x:row r="665" ht="145" customHeight="1">
      <x:c r="A665" s="10" t="str">
        <x:v>T-REL</x:v>
      </x:c>
      <x:c r="B665" s="10" t="str">
        <x:v>TEXT</x:v>
      </x:c>
      <x:c r="C665" s="10" t="str">
        <x:v>TEXT:SYN-F11-10-U02</x:v>
      </x:c>
      <x:c r="D665" s="10" t="str">
        <x:v>{"conditions":["3장 이내","대상 기간 출시 후 2개월","부서대표 설명회용","외부 발송 없음","월 운영비가 낮은 하나만 선택","첫 화면 메뉴 9개 이하","초기 이전비 제외"],"data_source":"SYN-F11-10:D2@v1","goal":"온유 사내포털 개편 포털 개선 발표자료 작성 위임","prior_task_action":"revise","targets":["SYN-F11-10:D2@v1"]}</x:v>
      </x:c>
      <x:c r="E665" s="10" t="str">
        <x:v>{"conditions":["3장 이내","대상 기간 출시 후 2개월","부서대표 설명회용","외부 발송 없음","월 운영비가 낮은 하나만 선택","첫 화면 메뉴 9개 이하","초기 이전비 제외"],"data_source":"SYN-F11-10:D2@v1","goal":"온유 사내포털 개편 포털 개선 발표자료 작성 위임","prior_task_action":"revise","targets":["SYN-F11-10:D2@v1"]}</x:v>
      </x:c>
      <x:c r="F665" s="10" t="n">
        <x:f>IF(D665=E665,1,0)</x:f>
        <x:v>1</x:v>
      </x:c>
      <x:c r="G665" s="10" t="str">
        <x:v>필수 의미와 지칭 집합 일치</x:v>
      </x:c>
    </x:row>
    <x:row r="666" ht="145" customHeight="1">
      <x:c r="A666" s="10" t="str">
        <x:v>T-BASE</x:v>
      </x:c>
      <x:c r="B666" s="10" t="str">
        <x:v>TEXT</x:v>
      </x:c>
      <x:c r="C666" s="10" t="str">
        <x:v>TEXT:SYN-F12-01-U01</x:v>
      </x:c>
      <x:c r="D666" s="10" t="str">
        <x:v>{"conditions":["5장 이내","대상 기간 첫 12개월","서비스 운영위원회용","외부 발송 없음","월 운영비 240만원 이하"],"data_source":"SYN-F12-01:D2@v1","goal":"오로라 고객센터 전환 전환 검토 발표자료 작성 위임","prior_task_action":"new","targets":["SYN-F12-01:D2@v1"]}</x:v>
      </x:c>
      <x:c r="E666" s="10" t="str">
        <x:v>{"conditions":["5장 이내","대상 기간 첫 12개월","서비스 운영위원회용","외부 발송 없음","월 운영비 240만원 이하"],"data_source":"SYN-F12-01:D2@v1","goal":"오로라 고객센터 전환 전환 검토 발표자료 작성 위임","prior_task_action":"new","targets":["SYN-F12-01:D2@v1"]}</x:v>
      </x:c>
      <x:c r="F666" s="10" t="n">
        <x:f>IF(D666=E666,1,0)</x:f>
        <x:v>1</x:v>
      </x:c>
      <x:c r="G666" s="10" t="str">
        <x:v>필수 의미와 지칭 집합 일치</x:v>
      </x:c>
    </x:row>
    <x:row r="667" ht="145" customHeight="1">
      <x:c r="A667" s="10" t="str">
        <x:v>T-BASE</x:v>
      </x:c>
      <x:c r="B667" s="10" t="str">
        <x:v>TEXT</x:v>
      </x:c>
      <x:c r="C667" s="10" t="str">
        <x:v>TEXT:SYN-F12-01-U02</x:v>
      </x:c>
      <x:c r="D667" s="10" t="str">
        <x:v>{"conditions":["기존 발표자료 작성 유지","일반 지식 직접 답변"],"data_source":"공통 일반 지식","goal":"TCP와 UDP의 연결 방식 비교","prior_task_action":"keep","targets":[]}</x:v>
      </x:c>
      <x:c r="E667" s="10" t="str">
        <x:v>{"conditions":["기존 발표자료 작성 유지","일반 지식 직접 답변"],"data_source":"공통 일반 지식","goal":"TCP와 UDP의 연결 방식 비교","prior_task_action":"keep","targets":[]}</x:v>
      </x:c>
      <x:c r="F667" s="10" t="n">
        <x:f>IF(D667=E667,1,0)</x:f>
        <x:v>1</x:v>
      </x:c>
      <x:c r="G667" s="10" t="str">
        <x:v>필수 의미와 지칭 집합 일치</x:v>
      </x:c>
    </x:row>
    <x:row r="668" ht="145" customHeight="1">
      <x:c r="A668" s="10" t="str">
        <x:v>T-EXEC</x:v>
      </x:c>
      <x:c r="B668" s="10" t="str">
        <x:v>TEXT</x:v>
      </x:c>
      <x:c r="C668" s="10" t="str">
        <x:v>TEXT:SYN-F12-01-U01</x:v>
      </x:c>
      <x:c r="D668" s="10" t="str">
        <x:v>{"conditions":["5장 이내","대상 기간 첫 12개월","서비스 운영위원회용","외부 발송 없음","월 운영비 240만원 이하"],"data_source":"SYN-F12-01:D2@v1","goal":"오로라 고객센터 전환 전환 검토 발표자료 작성 위임","prior_task_action":"new","targets":["SYN-F12-01:D2@v1"]}</x:v>
      </x:c>
      <x:c r="E668" s="10" t="str">
        <x:v>{"conditions":["5장 이내","대상 기간 첫 12개월","서비스 운영위원회용","외부 발송 없음","월 운영비 240만원 이하"],"data_source":"SYN-F12-01:D2@v1","goal":"오로라 고객센터 전환 전환 검토 발표자료 작성 위임","prior_task_action":"new","targets":["SYN-F12-01:D2@v1"]}</x:v>
      </x:c>
      <x:c r="F668" s="10" t="n">
        <x:f>IF(D668=E668,1,0)</x:f>
        <x:v>1</x:v>
      </x:c>
      <x:c r="G668" s="10" t="str">
        <x:v>필수 의미와 지칭 집합 일치</x:v>
      </x:c>
    </x:row>
    <x:row r="669" ht="145" customHeight="1">
      <x:c r="A669" s="10" t="str">
        <x:v>T-EXEC</x:v>
      </x:c>
      <x:c r="B669" s="10" t="str">
        <x:v>TEXT</x:v>
      </x:c>
      <x:c r="C669" s="10" t="str">
        <x:v>TEXT:SYN-F12-01-U02</x:v>
      </x:c>
      <x:c r="D669" s="10" t="str">
        <x:v>{"conditions":["기존 발표자료 작성 유지","일반 지식 직접 답변"],"data_source":"공통 일반 지식","goal":"TCP와 UDP의 연결 방식 비교","prior_task_action":"keep","targets":[]}</x:v>
      </x:c>
      <x:c r="E669" s="10" t="str">
        <x:v>{"conditions":["기존 발표자료 작성 유지","일반 지식 직접 답변"],"data_source":"공통 일반 지식","goal":"TCP와 UDP의 연결 방식 비교","prior_task_action":"keep","targets":[]}</x:v>
      </x:c>
      <x:c r="F669" s="10" t="n">
        <x:f>IF(D669=E669,1,0)</x:f>
        <x:v>1</x:v>
      </x:c>
      <x:c r="G669" s="10" t="str">
        <x:v>필수 의미와 지칭 집합 일치</x:v>
      </x:c>
    </x:row>
    <x:row r="670" ht="145" customHeight="1">
      <x:c r="A670" s="10" t="str">
        <x:v>T-REL</x:v>
      </x:c>
      <x:c r="B670" s="10" t="str">
        <x:v>TEXT</x:v>
      </x:c>
      <x:c r="C670" s="10" t="str">
        <x:v>TEXT:SYN-F12-01-U01</x:v>
      </x:c>
      <x:c r="D670" s="10" t="str">
        <x:v>{"conditions":["5장 이내","대상 기간 첫 12개월","서비스 운영위원회용","외부 발송 없음","월 운영비 240만원 이하"],"data_source":"SYN-F12-01:D2@v1","goal":"오로라 고객센터 전환 전환 검토 발표자료 작성 위임","prior_task_action":"new","targets":["SYN-F12-01:D2@v1"]}</x:v>
      </x:c>
      <x:c r="E670" s="10" t="str">
        <x:v>{"conditions":["5장 이내","대상 기간 첫 12개월","서비스 운영위원회용","외부 발송 없음","월 운영비 240만원 이하"],"data_source":"SYN-F12-01:D2@v1","goal":"오로라 고객센터 전환 전환 검토 발표자료 작성 위임","prior_task_action":"new","targets":["SYN-F12-01:D2@v1"]}</x:v>
      </x:c>
      <x:c r="F670" s="10" t="n">
        <x:f>IF(D670=E670,1,0)</x:f>
        <x:v>1</x:v>
      </x:c>
      <x:c r="G670" s="10" t="str">
        <x:v>필수 의미와 지칭 집합 일치</x:v>
      </x:c>
    </x:row>
    <x:row r="671" ht="145" customHeight="1">
      <x:c r="A671" s="10" t="str">
        <x:v>T-REL</x:v>
      </x:c>
      <x:c r="B671" s="10" t="str">
        <x:v>TEXT</x:v>
      </x:c>
      <x:c r="C671" s="10" t="str">
        <x:v>TEXT:SYN-F12-01-U02</x:v>
      </x:c>
      <x:c r="D671" s="10" t="str">
        <x:v>{"conditions":["기존 발표자료 작성 유지","일반 지식 직접 답변"],"data_source":"공통 일반 지식","goal":"TCP와 UDP의 연결 방식 비교","prior_task_action":"keep","targets":[]}</x:v>
      </x:c>
      <x:c r="E671" s="10" t="str">
        <x:v>{"conditions":["기존 발표자료 작성 유지","일반 지식 직접 답변"],"data_source":"공통 일반 지식","goal":"TCP와 UDP의 연결 방식 비교","prior_task_action":"keep","targets":[]}</x:v>
      </x:c>
      <x:c r="F671" s="10" t="n">
        <x:f>IF(D671=E671,1,0)</x:f>
        <x:v>1</x:v>
      </x:c>
      <x:c r="G671" s="10" t="str">
        <x:v>필수 의미와 지칭 집합 일치</x:v>
      </x:c>
    </x:row>
    <x:row r="672" ht="145" customHeight="1">
      <x:c r="A672" s="10" t="str">
        <x:v>T-BASE</x:v>
      </x:c>
      <x:c r="B672" s="10" t="str">
        <x:v>TEXT</x:v>
      </x:c>
      <x:c r="C672" s="10" t="str">
        <x:v>TEXT:SYN-F12-02-U01</x:v>
      </x:c>
      <x:c r="D672" s="10" t="str">
        <x:v>{"conditions":["4장 이내","대상 기간 전시 4주","외부 발송 없음","주말 운영 인력 12명 이하","참가업체 설명회용"],"data_source":"SYN-F12-02:D1@v1","goal":"봄길 지역전시 준비 운영 제안 발표자료 작성 위임","prior_task_action":"new","targets":["SYN-F12-02:D1@v1"]}</x:v>
      </x:c>
      <x:c r="E672" s="10" t="str">
        <x:v>{"conditions":["4장 이내","대상 기간 전시 4주","외부 발송 없음","주말 운영 인력 12명 이하","참가업체 설명회용"],"data_source":"SYN-F12-02:D1@v1","goal":"봄길 지역전시 준비 운영 제안 발표자료 작성 위임","prior_task_action":"new","targets":["SYN-F12-02:D1@v1"]}</x:v>
      </x:c>
      <x:c r="F672" s="10" t="n">
        <x:f>IF(D672=E672,1,0)</x:f>
        <x:v>1</x:v>
      </x:c>
      <x:c r="G672" s="10" t="str">
        <x:v>필수 의미와 지칭 집합 일치</x:v>
      </x:c>
    </x:row>
    <x:row r="673" ht="145" customHeight="1">
      <x:c r="A673" s="10" t="str">
        <x:v>T-BASE</x:v>
      </x:c>
      <x:c r="B673" s="10" t="str">
        <x:v>TEXT</x:v>
      </x:c>
      <x:c r="C673" s="10" t="str">
        <x:v>TEXT:SYN-F12-02-U02</x:v>
      </x:c>
      <x:c r="D673" s="10" t="str">
        <x:v>{"conditions":["기존 발표자료 작성 유지","일반 지식 직접 답변"],"data_source":"공통 일반 지식","goal":"SVG와 PNG의 확대 특성 비교","prior_task_action":"keep","targets":[]}</x:v>
      </x:c>
      <x:c r="E673" s="10" t="str">
        <x:v>{"conditions":["기존 발표자료 작성 유지","일반 지식 직접 답변"],"data_source":"공통 일반 지식","goal":"SVG와 PNG의 확대 특성 비교","prior_task_action":"keep","targets":[]}</x:v>
      </x:c>
      <x:c r="F673" s="10" t="n">
        <x:f>IF(D673=E673,1,0)</x:f>
        <x:v>1</x:v>
      </x:c>
      <x:c r="G673" s="10" t="str">
        <x:v>필수 의미와 지칭 집합 일치</x:v>
      </x:c>
    </x:row>
    <x:row r="674" ht="145" customHeight="1">
      <x:c r="A674" s="10" t="str">
        <x:v>T-EXEC</x:v>
      </x:c>
      <x:c r="B674" s="10" t="str">
        <x:v>TEXT</x:v>
      </x:c>
      <x:c r="C674" s="10" t="str">
        <x:v>TEXT:SYN-F12-02-U01</x:v>
      </x:c>
      <x:c r="D674" s="10" t="str">
        <x:v>{"conditions":["4장 이내","대상 기간 전시 4주","외부 발송 없음","주말 운영 인력 12명 이하","참가업체 설명회용"],"data_source":"SYN-F12-02:D1@v1","goal":"봄길 지역전시 준비 운영 제안 발표자료 작성 위임","prior_task_action":"new","targets":["SYN-F12-02:D1@v1"]}</x:v>
      </x:c>
      <x:c r="E674" s="10" t="str">
        <x:v>{"conditions":["4장 이내","대상 기간 전시 4주","외부 발송 없음","주말 운영 인력 12명 이하","참가업체 설명회용"],"data_source":"SYN-F12-02:D1@v1","goal":"봄길 지역전시 준비 운영 제안 발표자료 작성 위임","prior_task_action":"new","targets":["SYN-F12-02:D1@v1"]}</x:v>
      </x:c>
      <x:c r="F674" s="10" t="n">
        <x:f>IF(D674=E674,1,0)</x:f>
        <x:v>1</x:v>
      </x:c>
      <x:c r="G674" s="10" t="str">
        <x:v>필수 의미와 지칭 집합 일치</x:v>
      </x:c>
    </x:row>
    <x:row r="675" ht="145" customHeight="1">
      <x:c r="A675" s="10" t="str">
        <x:v>T-EXEC</x:v>
      </x:c>
      <x:c r="B675" s="10" t="str">
        <x:v>TEXT</x:v>
      </x:c>
      <x:c r="C675" s="10" t="str">
        <x:v>TEXT:SYN-F12-02-U02</x:v>
      </x:c>
      <x:c r="D675" s="10" t="str">
        <x:v>{"conditions":["기존 발표자료 작성 유지","일반 지식 직접 답변"],"data_source":"공통 일반 지식","goal":"SVG와 PNG의 확대 특성 비교","prior_task_action":"keep","targets":[]}</x:v>
      </x:c>
      <x:c r="E675" s="10" t="str">
        <x:v>{"conditions":["기존 발표자료 작성 유지","일반 지식 직접 답변"],"data_source":"공통 일반 지식","goal":"SVG와 PNG의 확대 특성 비교","prior_task_action":"keep","targets":[]}</x:v>
      </x:c>
      <x:c r="F675" s="10" t="n">
        <x:f>IF(D675=E675,1,0)</x:f>
        <x:v>1</x:v>
      </x:c>
      <x:c r="G675" s="10" t="str">
        <x:v>필수 의미와 지칭 집합 일치</x:v>
      </x:c>
    </x:row>
    <x:row r="676" ht="145" customHeight="1">
      <x:c r="A676" s="10" t="str">
        <x:v>T-REL</x:v>
      </x:c>
      <x:c r="B676" s="10" t="str">
        <x:v>TEXT</x:v>
      </x:c>
      <x:c r="C676" s="10" t="str">
        <x:v>TEXT:SYN-F12-02-U01</x:v>
      </x:c>
      <x:c r="D676" s="10" t="str">
        <x:v>{"conditions":["4장 이내","대상 기간 전시 4주","외부 발송 없음","주말 운영 인력 12명 이하","참가업체 설명회용"],"data_source":"SYN-F12-02:D1@v1","goal":"봄길 지역전시 준비 운영 제안 발표자료 작성 위임","prior_task_action":"new","targets":["SYN-F12-02:D1@v1"]}</x:v>
      </x:c>
      <x:c r="E676" s="10" t="str">
        <x:v>{"conditions":["4장 이내","대상 기간 전시 4주","외부 발송 없음","주말 운영 인력 12명 이하","참가업체 설명회용"],"data_source":"SYN-F12-02:D1@v1","goal":"봄길 지역전시 준비 운영 제안 발표자료 작성 위임","prior_task_action":"new","targets":["SYN-F12-02:D1@v1"]}</x:v>
      </x:c>
      <x:c r="F676" s="10" t="n">
        <x:f>IF(D676=E676,1,0)</x:f>
        <x:v>1</x:v>
      </x:c>
      <x:c r="G676" s="10" t="str">
        <x:v>필수 의미와 지칭 집합 일치</x:v>
      </x:c>
    </x:row>
    <x:row r="677" ht="145" customHeight="1">
      <x:c r="A677" s="10" t="str">
        <x:v>T-REL</x:v>
      </x:c>
      <x:c r="B677" s="10" t="str">
        <x:v>TEXT</x:v>
      </x:c>
      <x:c r="C677" s="10" t="str">
        <x:v>TEXT:SYN-F12-02-U02</x:v>
      </x:c>
      <x:c r="D677" s="10" t="str">
        <x:v>{"conditions":["기존 발표자료 작성 유지","일반 지식 직접 답변"],"data_source":"공통 일반 지식","goal":"SVG와 PNG의 확대 특성 비교","prior_task_action":"keep","targets":[]}</x:v>
      </x:c>
      <x:c r="E677" s="10" t="str">
        <x:v>{"conditions":["기존 발표자료 작성 유지","일반 지식 직접 답변"],"data_source":"공통 일반 지식","goal":"SVG와 PNG의 확대 특성 비교","prior_task_action":"keep","targets":[]}</x:v>
      </x:c>
      <x:c r="F677" s="10" t="n">
        <x:f>IF(D677=E677,1,0)</x:f>
        <x:v>1</x:v>
      </x:c>
      <x:c r="G677" s="10" t="str">
        <x:v>필수 의미와 지칭 집합 일치</x:v>
      </x:c>
    </x:row>
    <x:row r="678" ht="145" customHeight="1">
      <x:c r="A678" s="10" t="str">
        <x:v>T-BASE</x:v>
      </x:c>
      <x:c r="B678" s="10" t="str">
        <x:v>TEXT</x:v>
      </x:c>
      <x:c r="C678" s="10" t="str">
        <x:v>TEXT:SYN-F12-03-U01</x:v>
      </x:c>
      <x:c r="D678" s="10" t="str">
        <x:v>{"conditions":["6장 이내","교육 승인위원회용","대상 기간 입사 후 3주","외부 발송 없음","참가자당 교육시간 18시간 이하"],"data_source":"SYN-F12-03:D3@v1","goal":"해온 신입교육 개편 교육 개편 발표자료 작성 위임","prior_task_action":"new","targets":["SYN-F12-03:D3@v1"]}</x:v>
      </x:c>
      <x:c r="E678" s="10" t="str">
        <x:v>{"conditions":["6장 이내","교육 승인위원회용","대상 기간 입사 후 3주","외부 발송 없음","참가자당 교육시간 18시간 이하"],"data_source":"SYN-F12-03:D3@v1","goal":"해온 신입교육 개편 교육 개편 발표자료 작성 위임","prior_task_action":"new","targets":["SYN-F12-03:D3@v1"]}</x:v>
      </x:c>
      <x:c r="F678" s="10" t="n">
        <x:f>IF(D678=E678,1,0)</x:f>
        <x:v>1</x:v>
      </x:c>
      <x:c r="G678" s="10" t="str">
        <x:v>필수 의미와 지칭 집합 일치</x:v>
      </x:c>
    </x:row>
    <x:row r="679" ht="145" customHeight="1">
      <x:c r="A679" s="10" t="str">
        <x:v>T-BASE</x:v>
      </x:c>
      <x:c r="B679" s="10" t="str">
        <x:v>TEXT</x:v>
      </x:c>
      <x:c r="C679" s="10" t="str">
        <x:v>TEXT:SYN-F12-03-U02</x:v>
      </x:c>
      <x:c r="D679" s="10" t="str">
        <x:v>{"conditions":["기존 발표자료 작성 유지","일반 지식 직접 답변","한 문장"],"data_source":"공통 일반 지식","goal":"중앙값과 평균의 차이 설명","prior_task_action":"keep","targets":[]}</x:v>
      </x:c>
      <x:c r="E679" s="10" t="str">
        <x:v>{"conditions":["기존 발표자료 작성 유지","기존 발표자료의 대상 기간 안에서만 답변","일반 지식 직접 답변","한 문장"],"data_source":"공통 일반 지식","goal":"중앙값과 평균의 차이 설명","prior_task_action":"keep","targets":[]}</x:v>
      </x:c>
      <x:c r="F679" s="10" t="n">
        <x:f>IF(D679=E679,1,0)</x:f>
        <x:v>0</x:v>
      </x:c>
      <x:c r="G679" s="10" t="str">
        <x:v>독립 지식 질문에 진행 중인 발표자료의 기간 제한을 불필요하게 적용</x:v>
      </x:c>
    </x:row>
    <x:row r="680" ht="145" customHeight="1">
      <x:c r="A680" s="10" t="str">
        <x:v>T-EXEC</x:v>
      </x:c>
      <x:c r="B680" s="10" t="str">
        <x:v>TEXT</x:v>
      </x:c>
      <x:c r="C680" s="10" t="str">
        <x:v>TEXT:SYN-F12-03-U01</x:v>
      </x:c>
      <x:c r="D680" s="10" t="str">
        <x:v>{"conditions":["6장 이내","교육 승인위원회용","대상 기간 입사 후 3주","외부 발송 없음","참가자당 교육시간 18시간 이하"],"data_source":"SYN-F12-03:D3@v1","goal":"해온 신입교육 개편 교육 개편 발표자료 작성 위임","prior_task_action":"new","targets":["SYN-F12-03:D3@v1"]}</x:v>
      </x:c>
      <x:c r="E680" s="10" t="str">
        <x:v>{"conditions":["6장 이내","교육 승인위원회용","대상 기간 입사 후 3주","외부 발송 없음","참가자당 교육시간 18시간 이하"],"data_source":"SYN-F12-03:D3@v1","goal":"해온 신입교육 개편 교육 개편 발표자료 작성 위임","prior_task_action":"new","targets":["SYN-F12-03:D3@v1"]}</x:v>
      </x:c>
      <x:c r="F680" s="10" t="n">
        <x:f>IF(D680=E680,1,0)</x:f>
        <x:v>1</x:v>
      </x:c>
      <x:c r="G680" s="10" t="str">
        <x:v>필수 의미와 지칭 집합 일치</x:v>
      </x:c>
    </x:row>
    <x:row r="681" ht="145" customHeight="1">
      <x:c r="A681" s="10" t="str">
        <x:v>T-EXEC</x:v>
      </x:c>
      <x:c r="B681" s="10" t="str">
        <x:v>TEXT</x:v>
      </x:c>
      <x:c r="C681" s="10" t="str">
        <x:v>TEXT:SYN-F12-03-U02</x:v>
      </x:c>
      <x:c r="D681" s="10" t="str">
        <x:v>{"conditions":["기존 발표자료 작성 유지","일반 지식 직접 답변","한 문장"],"data_source":"공통 일반 지식","goal":"중앙값과 평균의 차이 설명","prior_task_action":"keep","targets":[]}</x:v>
      </x:c>
      <x:c r="E681" s="10" t="str">
        <x:v>{"conditions":["기존 발표자료 작성 유지","일반 지식 직접 답변","한 문장"],"data_source":"공통 일반 지식","goal":"중앙값과 평균의 차이 설명","prior_task_action":"keep","targets":[]}</x:v>
      </x:c>
      <x:c r="F681" s="10" t="n">
        <x:f>IF(D681=E681,1,0)</x:f>
        <x:v>1</x:v>
      </x:c>
      <x:c r="G681" s="10" t="str">
        <x:v>필수 의미와 지칭 집합 일치</x:v>
      </x:c>
    </x:row>
    <x:row r="682" ht="145" customHeight="1">
      <x:c r="A682" s="10" t="str">
        <x:v>T-REL</x:v>
      </x:c>
      <x:c r="B682" s="10" t="str">
        <x:v>TEXT</x:v>
      </x:c>
      <x:c r="C682" s="10" t="str">
        <x:v>TEXT:SYN-F12-03-U01</x:v>
      </x:c>
      <x:c r="D682" s="10" t="str">
        <x:v>{"conditions":["6장 이내","교육 승인위원회용","대상 기간 입사 후 3주","외부 발송 없음","참가자당 교육시간 18시간 이하"],"data_source":"SYN-F12-03:D3@v1","goal":"해온 신입교육 개편 교육 개편 발표자료 작성 위임","prior_task_action":"new","targets":["SYN-F12-03:D3@v1"]}</x:v>
      </x:c>
      <x:c r="E682" s="10" t="str">
        <x:v>{"conditions":["6장 이내","교육 승인위원회용","대상 기간 입사 후 3주","외부 발송 없음","참가자당 교육시간 18시간 이하"],"data_source":"SYN-F12-03:D3@v1","goal":"해온 신입교육 개편 교육 개편 발표자료 작성 위임","prior_task_action":"new","targets":["SYN-F12-03:D3@v1"]}</x:v>
      </x:c>
      <x:c r="F682" s="10" t="n">
        <x:f>IF(D682=E682,1,0)</x:f>
        <x:v>1</x:v>
      </x:c>
      <x:c r="G682" s="10" t="str">
        <x:v>필수 의미와 지칭 집합 일치</x:v>
      </x:c>
    </x:row>
    <x:row r="683" ht="145" customHeight="1">
      <x:c r="A683" s="10" t="str">
        <x:v>T-REL</x:v>
      </x:c>
      <x:c r="B683" s="10" t="str">
        <x:v>TEXT</x:v>
      </x:c>
      <x:c r="C683" s="10" t="str">
        <x:v>TEXT:SYN-F12-03-U02</x:v>
      </x:c>
      <x:c r="D683" s="10" t="str">
        <x:v>{"conditions":["기존 발표자료 작성 유지","일반 지식 직접 답변","한 문장"],"data_source":"공통 일반 지식","goal":"중앙값과 평균의 차이 설명","prior_task_action":"keep","targets":[]}</x:v>
      </x:c>
      <x:c r="E683" s="10" t="str">
        <x:v>{"conditions":["기존 발표자료 작성 유지","기존 발표자료의 대상 기간 안에서만 답변","일반 지식 직접 답변","한 문장"],"data_source":"공통 일반 지식","goal":"중앙값과 평균의 차이 설명","prior_task_action":"keep","targets":[]}</x:v>
      </x:c>
      <x:c r="F683" s="10" t="n">
        <x:f>IF(D683=E683,1,0)</x:f>
        <x:v>0</x:v>
      </x:c>
      <x:c r="G683" s="10" t="str">
        <x:v>독립 지식 질문에 진행 중인 발표자료의 기간 제한을 불필요하게 적용</x:v>
      </x:c>
    </x:row>
    <x:row r="684" ht="145" customHeight="1">
      <x:c r="A684" s="10" t="str">
        <x:v>T-BASE</x:v>
      </x:c>
      <x:c r="B684" s="10" t="str">
        <x:v>TEXT</x:v>
      </x:c>
      <x:c r="C684" s="10" t="str">
        <x:v>TEXT:SYN-F12-04-U01</x:v>
      </x:c>
      <x:c r="D684" s="10" t="str">
        <x:v>{"conditions":["7장 이내","대상 기간 평일 20일","외부 발송 없음","일일 추가 운행 8회 이하","협력사 운영설명회용"],"data_source":"SYN-F12-04:D2@v1","goal":"라임 배송거점 개선 거점 개선 발표자료 작성 위임","prior_task_action":"new","targets":["SYN-F12-04:D2@v1"]}</x:v>
      </x:c>
      <x:c r="E684" s="10" t="str">
        <x:v>{"conditions":["7장 이내","대상 기간 평일 20일","외부 발송 없음","일일 추가 운행 8회 이하","협력사 운영설명회용"],"data_source":"SYN-F12-04:D2@v1","goal":"라임 배송거점 개선 거점 개선 발표자료 작성 위임","prior_task_action":"new","targets":["SYN-F12-04:D2@v1"]}</x:v>
      </x:c>
      <x:c r="F684" s="10" t="n">
        <x:f>IF(D684=E684,1,0)</x:f>
        <x:v>1</x:v>
      </x:c>
      <x:c r="G684" s="10" t="str">
        <x:v>필수 의미와 지칭 집합 일치</x:v>
      </x:c>
    </x:row>
    <x:row r="685" ht="145" customHeight="1">
      <x:c r="A685" s="10" t="str">
        <x:v>T-BASE</x:v>
      </x:c>
      <x:c r="B685" s="10" t="str">
        <x:v>TEXT</x:v>
      </x:c>
      <x:c r="C685" s="10" t="str">
        <x:v>TEXT:SYN-F12-04-U02</x:v>
      </x:c>
      <x:c r="D685" s="10" t="str">
        <x:v>{"conditions":["기존 발표자료 작성 유지","일반 지식 직접 답변"],"data_source":"공통 일반 지식","goal":"CSV와 JSON의 구조 표현 비교","prior_task_action":"keep","targets":[]}</x:v>
      </x:c>
      <x:c r="E685" s="10" t="str">
        <x:v>{"conditions":["기존 발표자료 작성 유지","일반 지식 직접 답변"],"data_source":"공통 일반 지식","goal":"CSV와 JSON의 구조 표현 비교","prior_task_action":"keep","targets":[]}</x:v>
      </x:c>
      <x:c r="F685" s="10" t="n">
        <x:f>IF(D685=E685,1,0)</x:f>
        <x:v>1</x:v>
      </x:c>
      <x:c r="G685" s="10" t="str">
        <x:v>필수 의미와 지칭 집합 일치</x:v>
      </x:c>
    </x:row>
    <x:row r="686" ht="145" customHeight="1">
      <x:c r="A686" s="10" t="str">
        <x:v>T-EXEC</x:v>
      </x:c>
      <x:c r="B686" s="10" t="str">
        <x:v>TEXT</x:v>
      </x:c>
      <x:c r="C686" s="10" t="str">
        <x:v>TEXT:SYN-F12-04-U01</x:v>
      </x:c>
      <x:c r="D686" s="10" t="str">
        <x:v>{"conditions":["7장 이내","대상 기간 평일 20일","외부 발송 없음","일일 추가 운행 8회 이하","협력사 운영설명회용"],"data_source":"SYN-F12-04:D2@v1","goal":"라임 배송거점 개선 거점 개선 발표자료 작성 위임","prior_task_action":"new","targets":["SYN-F12-04:D2@v1"]}</x:v>
      </x:c>
      <x:c r="E686" s="10" t="str">
        <x:v>{"conditions":["7장 이내","대상 기간 평일 20일","외부 발송 없음","일일 추가 운행 8회 이하","협력사 운영설명회용"],"data_source":"SYN-F12-04:D2@v1","goal":"라임 배송거점 개선 거점 개선 발표자료 작성 위임","prior_task_action":"new","targets":["SYN-F12-04:D2@v1"]}</x:v>
      </x:c>
      <x:c r="F686" s="10" t="n">
        <x:f>IF(D686=E686,1,0)</x:f>
        <x:v>1</x:v>
      </x:c>
      <x:c r="G686" s="10" t="str">
        <x:v>필수 의미와 지칭 집합 일치</x:v>
      </x:c>
    </x:row>
    <x:row r="687" ht="145" customHeight="1">
      <x:c r="A687" s="10" t="str">
        <x:v>T-EXEC</x:v>
      </x:c>
      <x:c r="B687" s="10" t="str">
        <x:v>TEXT</x:v>
      </x:c>
      <x:c r="C687" s="10" t="str">
        <x:v>TEXT:SYN-F12-04-U02</x:v>
      </x:c>
      <x:c r="D687" s="10" t="str">
        <x:v>{"conditions":["기존 발표자료 작성 유지","일반 지식 직접 답변"],"data_source":"공통 일반 지식","goal":"CSV와 JSON의 구조 표현 비교","prior_task_action":"keep","targets":[]}</x:v>
      </x:c>
      <x:c r="E687" s="10" t="str">
        <x:v>{"conditions":["기존 발표자료 작성 유지","일반 지식 직접 답변"],"data_source":"공통 일반 지식","goal":"CSV와 JSON의 구조 표현 비교","prior_task_action":"keep","targets":[]}</x:v>
      </x:c>
      <x:c r="F687" s="10" t="n">
        <x:f>IF(D687=E687,1,0)</x:f>
        <x:v>1</x:v>
      </x:c>
      <x:c r="G687" s="10" t="str">
        <x:v>필수 의미와 지칭 집합 일치</x:v>
      </x:c>
    </x:row>
    <x:row r="688" ht="145" customHeight="1">
      <x:c r="A688" s="10" t="str">
        <x:v>T-REL</x:v>
      </x:c>
      <x:c r="B688" s="10" t="str">
        <x:v>TEXT</x:v>
      </x:c>
      <x:c r="C688" s="10" t="str">
        <x:v>TEXT:SYN-F12-04-U01</x:v>
      </x:c>
      <x:c r="D688" s="10" t="str">
        <x:v>{"conditions":["7장 이내","대상 기간 평일 20일","외부 발송 없음","일일 추가 운행 8회 이하","협력사 운영설명회용"],"data_source":"SYN-F12-04:D2@v1","goal":"라임 배송거점 개선 거점 개선 발표자료 작성 위임","prior_task_action":"new","targets":["SYN-F12-04:D2@v1"]}</x:v>
      </x:c>
      <x:c r="E688" s="10" t="str">
        <x:v>{"conditions":["7장 이내","대상 기간 평일 20일","외부 발송 없음","일일 추가 운행 8회 이하","협력사 운영설명회용"],"data_source":"SYN-F12-04:D2@v1","goal":"라임 배송거점 개선 거점 개선 발표자료 작성 위임","prior_task_action":"new","targets":["SYN-F12-04:D2@v1"]}</x:v>
      </x:c>
      <x:c r="F688" s="10" t="n">
        <x:f>IF(D688=E688,1,0)</x:f>
        <x:v>1</x:v>
      </x:c>
      <x:c r="G688" s="10" t="str">
        <x:v>필수 의미와 지칭 집합 일치</x:v>
      </x:c>
    </x:row>
    <x:row r="689" ht="145" customHeight="1">
      <x:c r="A689" s="10" t="str">
        <x:v>T-REL</x:v>
      </x:c>
      <x:c r="B689" s="10" t="str">
        <x:v>TEXT</x:v>
      </x:c>
      <x:c r="C689" s="10" t="str">
        <x:v>TEXT:SYN-F12-04-U02</x:v>
      </x:c>
      <x:c r="D689" s="10" t="str">
        <x:v>{"conditions":["기존 발표자료 작성 유지","일반 지식 직접 답변"],"data_source":"공통 일반 지식","goal":"CSV와 JSON의 구조 표현 비교","prior_task_action":"keep","targets":[]}</x:v>
      </x:c>
      <x:c r="E689" s="10" t="str">
        <x:v>{"conditions":["기존 발표자료 작성 유지","일반 지식 직접 답변"],"data_source":"공통 일반 지식","goal":"CSV와 JSON의 구조 표현 비교","prior_task_action":"keep","targets":[]}</x:v>
      </x:c>
      <x:c r="F689" s="10" t="n">
        <x:f>IF(D689=E689,1,0)</x:f>
        <x:v>1</x:v>
      </x:c>
      <x:c r="G689" s="10" t="str">
        <x:v>필수 의미와 지칭 집합 일치</x:v>
      </x:c>
    </x:row>
    <x:row r="690" ht="145" customHeight="1">
      <x:c r="A690" s="10" t="str">
        <x:v>T-BASE</x:v>
      </x:c>
      <x:c r="B690" s="10" t="str">
        <x:v>TEXT</x:v>
      </x:c>
      <x:c r="C690" s="10" t="str">
        <x:v>TEXT:SYN-F12-05-U01</x:v>
      </x:c>
      <x:c r="D690" s="10" t="str">
        <x:v>{"conditions":["5장 이내","대상 기간 교체 후 6개월","외부 발송 없음","입주사 설명회용","층별 정전 30분 이하"],"data_source":"SYN-F12-05:D1@v1","goal":"가온 사무실 조명교체 조명 교체 검토자료 작성 위임","prior_task_action":"new","targets":["SYN-F12-05:D1@v1"]}</x:v>
      </x:c>
      <x:c r="E690" s="10" t="str">
        <x:v>{"conditions":["5장 이내","대상 기간 교체 후 6개월","외부 발송 없음","입주사 설명회용","층별 정전 30분 이하"],"data_source":"SYN-F12-05:D1@v1","goal":"가온 사무실 조명교체 조명 교체 검토자료 작성 위임","prior_task_action":"new","targets":["SYN-F12-05:D1@v1"]}</x:v>
      </x:c>
      <x:c r="F690" s="10" t="n">
        <x:f>IF(D690=E690,1,0)</x:f>
        <x:v>1</x:v>
      </x:c>
      <x:c r="G690" s="10" t="str">
        <x:v>필수 의미와 지칭 집합 일치</x:v>
      </x:c>
    </x:row>
    <x:row r="691" ht="145" customHeight="1">
      <x:c r="A691" s="10" t="str">
        <x:v>T-BASE</x:v>
      </x:c>
      <x:c r="B691" s="10" t="str">
        <x:v>TEXT</x:v>
      </x:c>
      <x:c r="C691" s="10" t="str">
        <x:v>TEXT:SYN-F12-05-U02</x:v>
      </x:c>
      <x:c r="D691" s="10" t="str">
        <x:v>{"conditions":["기존 발표자료 작성 유지","일반 지식 직접 답변"],"data_source":"공통 일반 지식","goal":"직렬 연결과 병렬 연결의 전류 경로 비교","prior_task_action":"keep","targets":[]}</x:v>
      </x:c>
      <x:c r="E691" s="10" t="str">
        <x:v>{"conditions":["기존 발표자료 작성 유지","일반 지식 직접 답변"],"data_source":"공통 일반 지식","goal":"직렬 연결과 병렬 연결의 전류 경로 비교","prior_task_action":"keep","targets":[]}</x:v>
      </x:c>
      <x:c r="F691" s="10" t="n">
        <x:f>IF(D691=E691,1,0)</x:f>
        <x:v>1</x:v>
      </x:c>
      <x:c r="G691" s="10" t="str">
        <x:v>필수 의미와 지칭 집합 일치</x:v>
      </x:c>
    </x:row>
    <x:row r="692" ht="145" customHeight="1">
      <x:c r="A692" s="10" t="str">
        <x:v>T-EXEC</x:v>
      </x:c>
      <x:c r="B692" s="10" t="str">
        <x:v>TEXT</x:v>
      </x:c>
      <x:c r="C692" s="10" t="str">
        <x:v>TEXT:SYN-F12-05-U01</x:v>
      </x:c>
      <x:c r="D692" s="10" t="str">
        <x:v>{"conditions":["5장 이내","대상 기간 교체 후 6개월","외부 발송 없음","입주사 설명회용","층별 정전 30분 이하"],"data_source":"SYN-F12-05:D1@v1","goal":"가온 사무실 조명교체 조명 교체 검토자료 작성 위임","prior_task_action":"new","targets":["SYN-F12-05:D1@v1"]}</x:v>
      </x:c>
      <x:c r="E692" s="10" t="str">
        <x:v>{"conditions":["5장 이내","대상 기간 교체 후 6개월","외부 발송 없음","입주사 설명회용","층별 정전 30분 이하"],"data_source":"SYN-F12-05:D1@v1","goal":"가온 사무실 조명교체 조명 교체 검토자료 작성 위임","prior_task_action":"new","targets":["SYN-F12-05:D1@v1"]}</x:v>
      </x:c>
      <x:c r="F692" s="10" t="n">
        <x:f>IF(D692=E692,1,0)</x:f>
        <x:v>1</x:v>
      </x:c>
      <x:c r="G692" s="10" t="str">
        <x:v>필수 의미와 지칭 집합 일치</x:v>
      </x:c>
    </x:row>
    <x:row r="693" ht="145" customHeight="1">
      <x:c r="A693" s="10" t="str">
        <x:v>T-EXEC</x:v>
      </x:c>
      <x:c r="B693" s="10" t="str">
        <x:v>TEXT</x:v>
      </x:c>
      <x:c r="C693" s="10" t="str">
        <x:v>TEXT:SYN-F12-05-U02</x:v>
      </x:c>
      <x:c r="D693" s="10" t="str">
        <x:v>{"conditions":["기존 발표자료 작성 유지","일반 지식 직접 답변"],"data_source":"공통 일반 지식","goal":"직렬 연결과 병렬 연결의 전류 경로 비교","prior_task_action":"keep","targets":[]}</x:v>
      </x:c>
      <x:c r="E693" s="10" t="str">
        <x:v>{"conditions":["기존 발표자료 작성 유지","일반 지식 직접 답변"],"data_source":"공통 일반 지식","goal":"직렬 연결과 병렬 연결의 전류 경로 비교","prior_task_action":"keep","targets":[]}</x:v>
      </x:c>
      <x:c r="F693" s="10" t="n">
        <x:f>IF(D693=E693,1,0)</x:f>
        <x:v>1</x:v>
      </x:c>
      <x:c r="G693" s="10" t="str">
        <x:v>필수 의미와 지칭 집합 일치</x:v>
      </x:c>
    </x:row>
    <x:row r="694" ht="145" customHeight="1">
      <x:c r="A694" s="10" t="str">
        <x:v>T-REL</x:v>
      </x:c>
      <x:c r="B694" s="10" t="str">
        <x:v>TEXT</x:v>
      </x:c>
      <x:c r="C694" s="10" t="str">
        <x:v>TEXT:SYN-F12-05-U01</x:v>
      </x:c>
      <x:c r="D694" s="10" t="str">
        <x:v>{"conditions":["5장 이내","대상 기간 교체 후 6개월","외부 발송 없음","입주사 설명회용","층별 정전 30분 이하"],"data_source":"SYN-F12-05:D1@v1","goal":"가온 사무실 조명교체 조명 교체 검토자료 작성 위임","prior_task_action":"new","targets":["SYN-F12-05:D1@v1"]}</x:v>
      </x:c>
      <x:c r="E694" s="10" t="str">
        <x:v>{"conditions":["5장 이내","대상 기간 교체 후 6개월","외부 발송 없음","입주사 설명회용","층별 정전 30분 이하"],"data_source":"SYN-F12-05:D1@v1","goal":"가온 사무실 조명교체 조명 교체 검토자료 작성 위임","prior_task_action":"new","targets":["SYN-F12-05:D1@v1"]}</x:v>
      </x:c>
      <x:c r="F694" s="10" t="n">
        <x:f>IF(D694=E694,1,0)</x:f>
        <x:v>1</x:v>
      </x:c>
      <x:c r="G694" s="10" t="str">
        <x:v>필수 의미와 지칭 집합 일치</x:v>
      </x:c>
    </x:row>
    <x:row r="695" ht="145" customHeight="1">
      <x:c r="A695" s="10" t="str">
        <x:v>T-REL</x:v>
      </x:c>
      <x:c r="B695" s="10" t="str">
        <x:v>TEXT</x:v>
      </x:c>
      <x:c r="C695" s="10" t="str">
        <x:v>TEXT:SYN-F12-05-U02</x:v>
      </x:c>
      <x:c r="D695" s="10" t="str">
        <x:v>{"conditions":["기존 발표자료 작성 유지","일반 지식 직접 답변"],"data_source":"공통 일반 지식","goal":"직렬 연결과 병렬 연결의 전류 경로 비교","prior_task_action":"keep","targets":[]}</x:v>
      </x:c>
      <x:c r="E695" s="10" t="str">
        <x:v>{"conditions":["기존 발표자료 작성 유지","일반 지식 직접 답변"],"data_source":"공통 일반 지식","goal":"직렬 연결과 병렬 연결의 전류 경로 비교","prior_task_action":"keep","targets":[]}</x:v>
      </x:c>
      <x:c r="F695" s="10" t="n">
        <x:f>IF(D695=E695,1,0)</x:f>
        <x:v>1</x:v>
      </x:c>
      <x:c r="G695" s="10" t="str">
        <x:v>필수 의미와 지칭 집합 일치</x:v>
      </x:c>
    </x:row>
    <x:row r="696" ht="145" customHeight="1">
      <x:c r="A696" s="10" t="str">
        <x:v>T-BASE</x:v>
      </x:c>
      <x:c r="B696" s="10" t="str">
        <x:v>TEXT</x:v>
      </x:c>
      <x:c r="C696" s="10" t="str">
        <x:v>TEXT:SYN-F12-06-U01</x:v>
      </x:c>
      <x:c r="D696" s="10" t="str">
        <x:v>{"conditions":["8장 이내","대상 기간 행사 2일","외부 발송 없음","참여기업 안내회용","현장 대기 20분 이하"],"data_source":"SYN-F12-06:D3@v1","goal":"별빛 채용행사 준비 행사 운영 발표자료 작성 위임","prior_task_action":"new","targets":["SYN-F12-06:D3@v1"]}</x:v>
      </x:c>
      <x:c r="E696" s="10" t="str">
        <x:v>{"conditions":["8장 이내","대상 기간 행사 2일","외부 발송 없음","참여기업 안내회용","현장 대기 20분 이하"],"data_source":"SYN-F12-06:D3@v1","goal":"별빛 채용행사 준비 행사 운영 발표자료 작성 위임","prior_task_action":"new","targets":["SYN-F12-06:D3@v1"]}</x:v>
      </x:c>
      <x:c r="F696" s="10" t="n">
        <x:f>IF(D696=E696,1,0)</x:f>
        <x:v>1</x:v>
      </x:c>
      <x:c r="G696" s="10" t="str">
        <x:v>필수 의미와 지칭 집합 일치</x:v>
      </x:c>
    </x:row>
    <x:row r="697" ht="145" customHeight="1">
      <x:c r="A697" s="10" t="str">
        <x:v>T-BASE</x:v>
      </x:c>
      <x:c r="B697" s="10" t="str">
        <x:v>TEXT</x:v>
      </x:c>
      <x:c r="C697" s="10" t="str">
        <x:v>TEXT:SYN-F12-06-U02</x:v>
      </x:c>
      <x:c r="D697" s="10" t="str">
        <x:v>{"conditions":["기존 발표자료 작성 유지","일반 지식 직접 답변"],"data_source":"공통 일반 지식","goal":"HTTP GET과 POST의 통상 용도 설명","prior_task_action":"keep","targets":[]}</x:v>
      </x:c>
      <x:c r="E697" s="10" t="str">
        <x:v>{"conditions":["기존 발표자료 작성 유지","일반 지식 직접 답변"],"data_source":"공통 일반 지식","goal":"HTTP GET과 POST의 통상 용도 설명","prior_task_action":"keep","targets":[]}</x:v>
      </x:c>
      <x:c r="F697" s="10" t="n">
        <x:f>IF(D697=E697,1,0)</x:f>
        <x:v>1</x:v>
      </x:c>
      <x:c r="G697" s="10" t="str">
        <x:v>필수 의미와 지칭 집합 일치</x:v>
      </x:c>
    </x:row>
    <x:row r="698" ht="145" customHeight="1">
      <x:c r="A698" s="10" t="str">
        <x:v>T-EXEC</x:v>
      </x:c>
      <x:c r="B698" s="10" t="str">
        <x:v>TEXT</x:v>
      </x:c>
      <x:c r="C698" s="10" t="str">
        <x:v>TEXT:SYN-F12-06-U01</x:v>
      </x:c>
      <x:c r="D698" s="10" t="str">
        <x:v>{"conditions":["8장 이내","대상 기간 행사 2일","외부 발송 없음","참여기업 안내회용","현장 대기 20분 이하"],"data_source":"SYN-F12-06:D3@v1","goal":"별빛 채용행사 준비 행사 운영 발표자료 작성 위임","prior_task_action":"new","targets":["SYN-F12-06:D3@v1"]}</x:v>
      </x:c>
      <x:c r="E698" s="10" t="str">
        <x:v>{"conditions":["8장 이내","대상 기간 행사 2일","외부 발송 없음","참여기업 안내회용","현장 대기 20분 이하"],"data_source":"SYN-F12-06:D3@v1","goal":"별빛 채용행사 준비 행사 운영 발표자료 작성 위임","prior_task_action":"new","targets":["SYN-F12-06:D3@v1"]}</x:v>
      </x:c>
      <x:c r="F698" s="10" t="n">
        <x:f>IF(D698=E698,1,0)</x:f>
        <x:v>1</x:v>
      </x:c>
      <x:c r="G698" s="10" t="str">
        <x:v>필수 의미와 지칭 집합 일치</x:v>
      </x:c>
    </x:row>
    <x:row r="699" ht="145" customHeight="1">
      <x:c r="A699" s="10" t="str">
        <x:v>T-EXEC</x:v>
      </x:c>
      <x:c r="B699" s="10" t="str">
        <x:v>TEXT</x:v>
      </x:c>
      <x:c r="C699" s="10" t="str">
        <x:v>TEXT:SYN-F12-06-U02</x:v>
      </x:c>
      <x:c r="D699" s="10" t="str">
        <x:v>{"conditions":["기존 발표자료 작성 유지","일반 지식 직접 답변"],"data_source":"공통 일반 지식","goal":"HTTP GET과 POST의 통상 용도 설명","prior_task_action":"keep","targets":[]}</x:v>
      </x:c>
      <x:c r="E699" s="10" t="str">
        <x:v>{"conditions":["기존 발표자료 작성 유지","일반 지식 직접 답변"],"data_source":"공통 일반 지식","goal":"HTTP GET과 POST의 통상 용도 설명","prior_task_action":"keep","targets":[]}</x:v>
      </x:c>
      <x:c r="F699" s="10" t="n">
        <x:f>IF(D699=E699,1,0)</x:f>
        <x:v>1</x:v>
      </x:c>
      <x:c r="G699" s="10" t="str">
        <x:v>필수 의미와 지칭 집합 일치</x:v>
      </x:c>
    </x:row>
    <x:row r="700" ht="145" customHeight="1">
      <x:c r="A700" s="10" t="str">
        <x:v>T-REL</x:v>
      </x:c>
      <x:c r="B700" s="10" t="str">
        <x:v>TEXT</x:v>
      </x:c>
      <x:c r="C700" s="10" t="str">
        <x:v>TEXT:SYN-F12-06-U01</x:v>
      </x:c>
      <x:c r="D700" s="10" t="str">
        <x:v>{"conditions":["8장 이내","대상 기간 행사 2일","외부 발송 없음","참여기업 안내회용","현장 대기 20분 이하"],"data_source":"SYN-F12-06:D3@v1","goal":"별빛 채용행사 준비 행사 운영 발표자료 작성 위임","prior_task_action":"new","targets":["SYN-F12-06:D3@v1"]}</x:v>
      </x:c>
      <x:c r="E700" s="10" t="str">
        <x:v>{"conditions":["8장 이내","대상 기간 행사 2일","외부 발송 없음","참여기업 안내회용","현장 대기 20분 이하"],"data_source":"SYN-F12-06:D3@v1","goal":"별빛 채용행사 준비 행사 운영 발표자료 작성 위임","prior_task_action":"new","targets":["SYN-F12-06:D3@v1"]}</x:v>
      </x:c>
      <x:c r="F700" s="10" t="n">
        <x:f>IF(D700=E700,1,0)</x:f>
        <x:v>1</x:v>
      </x:c>
      <x:c r="G700" s="10" t="str">
        <x:v>필수 의미와 지칭 집합 일치</x:v>
      </x:c>
    </x:row>
    <x:row r="701" ht="145" customHeight="1">
      <x:c r="A701" s="10" t="str">
        <x:v>T-REL</x:v>
      </x:c>
      <x:c r="B701" s="10" t="str">
        <x:v>TEXT</x:v>
      </x:c>
      <x:c r="C701" s="10" t="str">
        <x:v>TEXT:SYN-F12-06-U02</x:v>
      </x:c>
      <x:c r="D701" s="10" t="str">
        <x:v>{"conditions":["기존 발표자료 작성 유지","일반 지식 직접 답변"],"data_source":"공통 일반 지식","goal":"HTTP GET과 POST의 통상 용도 설명","prior_task_action":"keep","targets":[]}</x:v>
      </x:c>
      <x:c r="E701" s="10" t="str">
        <x:v>{"conditions":["기존 발표자료 작성 유지","일반 지식 직접 답변"],"data_source":"공통 일반 지식","goal":"HTTP GET과 POST의 통상 용도 설명","prior_task_action":"keep","targets":[]}</x:v>
      </x:c>
      <x:c r="F701" s="10" t="n">
        <x:f>IF(D701=E701,1,0)</x:f>
        <x:v>1</x:v>
      </x:c>
      <x:c r="G701" s="10" t="str">
        <x:v>필수 의미와 지칭 집합 일치</x:v>
      </x:c>
    </x:row>
    <x:row r="702" ht="145" customHeight="1">
      <x:c r="A702" s="10" t="str">
        <x:v>T-BASE</x:v>
      </x:c>
      <x:c r="B702" s="10" t="str">
        <x:v>TEXT</x:v>
      </x:c>
      <x:c r="C702" s="10" t="str">
        <x:v>TEXT:SYN-F12-07-U01</x:v>
      </x:c>
      <x:c r="D702" s="10" t="str">
        <x:v>{"conditions":["6장 이내","납품처 품질설명회용","대상 기간 다음 8주","샘플 검사 45분 이하","외부 발송 없음"],"data_source":"SYN-F12-07:D2@v1","goal":"청솔 부품검사 개선 검사 개선 발표자료 작성 위임","prior_task_action":"new","targets":["SYN-F12-07:D2@v1"]}</x:v>
      </x:c>
      <x:c r="E702" s="10" t="str">
        <x:v>{"conditions":["6장 이내","납품처 품질설명회용","대상 기간 다음 8주","샘플 검사 45분 이하","외부 발송 없음"],"data_source":"SYN-F12-07:D2@v1","goal":"청솔 부품검사 개선 검사 개선 발표자료 작성 위임","prior_task_action":"new","targets":["SYN-F12-07:D2@v1"]}</x:v>
      </x:c>
      <x:c r="F702" s="10" t="n">
        <x:f>IF(D702=E702,1,0)</x:f>
        <x:v>1</x:v>
      </x:c>
      <x:c r="G702" s="10" t="str">
        <x:v>필수 의미와 지칭 집합 일치</x:v>
      </x:c>
    </x:row>
    <x:row r="703" ht="145" customHeight="1">
      <x:c r="A703" s="10" t="str">
        <x:v>T-BASE</x:v>
      </x:c>
      <x:c r="B703" s="10" t="str">
        <x:v>TEXT</x:v>
      </x:c>
      <x:c r="C703" s="10" t="str">
        <x:v>TEXT:SYN-F12-07-U02</x:v>
      </x:c>
      <x:c r="D703" s="10" t="str">
        <x:v>{"conditions":["기존 발표자료 작성 유지","일반 지식 직접 답변"],"data_source":"공통 일반 지식","goal":"체크섬과 암호화의 목적 비교","prior_task_action":"keep","targets":[]}</x:v>
      </x:c>
      <x:c r="E703" s="10" t="str">
        <x:v>{"conditions":["기존 발표자료 작성 유지","일반 지식 직접 답변"],"data_source":"공통 일반 지식","goal":"체크섬과 암호화의 목적 비교","prior_task_action":"keep","targets":[]}</x:v>
      </x:c>
      <x:c r="F703" s="10" t="n">
        <x:f>IF(D703=E703,1,0)</x:f>
        <x:v>1</x:v>
      </x:c>
      <x:c r="G703" s="10" t="str">
        <x:v>필수 의미와 지칭 집합 일치</x:v>
      </x:c>
    </x:row>
    <x:row r="704" ht="145" customHeight="1">
      <x:c r="A704" s="10" t="str">
        <x:v>T-EXEC</x:v>
      </x:c>
      <x:c r="B704" s="10" t="str">
        <x:v>TEXT</x:v>
      </x:c>
      <x:c r="C704" s="10" t="str">
        <x:v>TEXT:SYN-F12-07-U01</x:v>
      </x:c>
      <x:c r="D704" s="10" t="str">
        <x:v>{"conditions":["6장 이내","납품처 품질설명회용","대상 기간 다음 8주","샘플 검사 45분 이하","외부 발송 없음"],"data_source":"SYN-F12-07:D2@v1","goal":"청솔 부품검사 개선 검사 개선 발표자료 작성 위임","prior_task_action":"new","targets":["SYN-F12-07:D2@v1"]}</x:v>
      </x:c>
      <x:c r="E704" s="10" t="str">
        <x:v>{"conditions":["6장 이내","납품처 품질설명회용","대상 기간 다음 8주","샘플 검사 45분 이하","외부 발송 없음"],"data_source":"SYN-F12-07:D2@v1","goal":"청솔 부품검사 개선 검사 개선 발표자료 작성 위임","prior_task_action":"new","targets":["SYN-F12-07:D2@v1"]}</x:v>
      </x:c>
      <x:c r="F704" s="10" t="n">
        <x:f>IF(D704=E704,1,0)</x:f>
        <x:v>1</x:v>
      </x:c>
      <x:c r="G704" s="10" t="str">
        <x:v>필수 의미와 지칭 집합 일치</x:v>
      </x:c>
    </x:row>
    <x:row r="705" ht="145" customHeight="1">
      <x:c r="A705" s="10" t="str">
        <x:v>T-EXEC</x:v>
      </x:c>
      <x:c r="B705" s="10" t="str">
        <x:v>TEXT</x:v>
      </x:c>
      <x:c r="C705" s="10" t="str">
        <x:v>TEXT:SYN-F12-07-U02</x:v>
      </x:c>
      <x:c r="D705" s="10" t="str">
        <x:v>{"conditions":["기존 발표자료 작성 유지","일반 지식 직접 답변"],"data_source":"공통 일반 지식","goal":"체크섬과 암호화의 목적 비교","prior_task_action":"keep","targets":[]}</x:v>
      </x:c>
      <x:c r="E705" s="10" t="str">
        <x:v>{"conditions":["기존 발표자료 작성 유지","일반 지식 직접 답변"],"data_source":"공통 일반 지식","goal":"체크섬과 암호화의 목적 비교","prior_task_action":"keep","targets":[]}</x:v>
      </x:c>
      <x:c r="F705" s="10" t="n">
        <x:f>IF(D705=E705,1,0)</x:f>
        <x:v>1</x:v>
      </x:c>
      <x:c r="G705" s="10" t="str">
        <x:v>필수 의미와 지칭 집합 일치</x:v>
      </x:c>
    </x:row>
    <x:row r="706" ht="145" customHeight="1">
      <x:c r="A706" s="10" t="str">
        <x:v>T-REL</x:v>
      </x:c>
      <x:c r="B706" s="10" t="str">
        <x:v>TEXT</x:v>
      </x:c>
      <x:c r="C706" s="10" t="str">
        <x:v>TEXT:SYN-F12-07-U01</x:v>
      </x:c>
      <x:c r="D706" s="10" t="str">
        <x:v>{"conditions":["6장 이내","납품처 품질설명회용","대상 기간 다음 8주","샘플 검사 45분 이하","외부 발송 없음"],"data_source":"SYN-F12-07:D2@v1","goal":"청솔 부품검사 개선 검사 개선 발표자료 작성 위임","prior_task_action":"new","targets":["SYN-F12-07:D2@v1"]}</x:v>
      </x:c>
      <x:c r="E706" s="10" t="str">
        <x:v>{"conditions":["6장 이내","납품처 품질설명회용","대상 기간 다음 8주","샘플 검사 45분 이하","외부 발송 없음"],"data_source":"SYN-F12-07:D2@v1","goal":"청솔 부품검사 개선 검사 개선 발표자료 작성 위임","prior_task_action":"new","targets":["SYN-F12-07:D2@v1"]}</x:v>
      </x:c>
      <x:c r="F706" s="10" t="n">
        <x:f>IF(D706=E706,1,0)</x:f>
        <x:v>1</x:v>
      </x:c>
      <x:c r="G706" s="10" t="str">
        <x:v>필수 의미와 지칭 집합 일치</x:v>
      </x:c>
    </x:row>
    <x:row r="707" ht="145" customHeight="1">
      <x:c r="A707" s="10" t="str">
        <x:v>T-REL</x:v>
      </x:c>
      <x:c r="B707" s="10" t="str">
        <x:v>TEXT</x:v>
      </x:c>
      <x:c r="C707" s="10" t="str">
        <x:v>TEXT:SYN-F12-07-U02</x:v>
      </x:c>
      <x:c r="D707" s="10" t="str">
        <x:v>{"conditions":["기존 발표자료 작성 유지","일반 지식 직접 답변"],"data_source":"공통 일반 지식","goal":"체크섬과 암호화의 목적 비교","prior_task_action":"keep","targets":[]}</x:v>
      </x:c>
      <x:c r="E707" s="10" t="str">
        <x:v>{"conditions":["기존 발표자료 작성 유지","일반 지식 직접 답변"],"data_source":"공통 일반 지식","goal":"체크섬과 암호화의 목적 비교","prior_task_action":"keep","targets":[]}</x:v>
      </x:c>
      <x:c r="F707" s="10" t="n">
        <x:f>IF(D707=E707,1,0)</x:f>
        <x:v>1</x:v>
      </x:c>
      <x:c r="G707" s="10" t="str">
        <x:v>필수 의미와 지칭 집합 일치</x:v>
      </x:c>
    </x:row>
    <x:row r="708" ht="145" customHeight="1">
      <x:c r="A708" s="10" t="str">
        <x:v>T-BASE</x:v>
      </x:c>
      <x:c r="B708" s="10" t="str">
        <x:v>TEXT</x:v>
      </x:c>
      <x:c r="C708" s="10" t="str">
        <x:v>TEXT:SYN-F12-08-U01</x:v>
      </x:c>
      <x:c r="D708" s="10" t="str">
        <x:v>{"conditions":["4장 이내","대상 기간 운영 5주","안내문 500자 이하","외부 발송 없음","지역 파트너 설명회용"],"data_source":"SYN-F12-08:D1@v1","goal":"노을 서비스 캠페인 캠페인 계획 발표자료 작성 위임","prior_task_action":"new","targets":["SYN-F12-08:D1@v1"]}</x:v>
      </x:c>
      <x:c r="E708" s="10" t="str">
        <x:v>{"conditions":["4장 이내","대상 기간 운영 5주","안내문 500자 이하","외부 발송 없음","지역 파트너 설명회용"],"data_source":"SYN-F12-08:D1@v1","goal":"노을 서비스 캠페인 캠페인 계획 발표자료 작성 위임","prior_task_action":"new","targets":["SYN-F12-08:D1@v1"]}</x:v>
      </x:c>
      <x:c r="F708" s="10" t="n">
        <x:f>IF(D708=E708,1,0)</x:f>
        <x:v>1</x:v>
      </x:c>
      <x:c r="G708" s="10" t="str">
        <x:v>필수 의미와 지칭 집합 일치</x:v>
      </x:c>
    </x:row>
    <x:row r="709" ht="145" customHeight="1">
      <x:c r="A709" s="10" t="str">
        <x:v>T-BASE</x:v>
      </x:c>
      <x:c r="B709" s="10" t="str">
        <x:v>TEXT</x:v>
      </x:c>
      <x:c r="C709" s="10" t="str">
        <x:v>TEXT:SYN-F12-08-U02</x:v>
      </x:c>
      <x:c r="D709" s="10" t="str">
        <x:v>{"conditions":["기존 발표자료 작성 유지","일반 지식 직접 답변"],"data_source":"공통 일반 지식","goal":"래스터 이미지와 벡터 이미지 비교","prior_task_action":"keep","targets":[]}</x:v>
      </x:c>
      <x:c r="E709" s="10" t="str">
        <x:v>{"conditions":["기존 발표자료 작성 유지","기존 발표자료의 대상 기간 안에서만 답변","일반 지식 직접 답변"],"data_source":"공통 일반 지식","goal":"래스터 이미지와 벡터 이미지 비교","prior_task_action":"keep","targets":[]}</x:v>
      </x:c>
      <x:c r="F709" s="10" t="n">
        <x:f>IF(D709=E709,1,0)</x:f>
        <x:v>0</x:v>
      </x:c>
      <x:c r="G709" s="10" t="str">
        <x:v>독립 지식 질문에 진행 중인 발표자료의 기간 제한을 불필요하게 적용</x:v>
      </x:c>
    </x:row>
    <x:row r="710" ht="145" customHeight="1">
      <x:c r="A710" s="10" t="str">
        <x:v>T-EXEC</x:v>
      </x:c>
      <x:c r="B710" s="10" t="str">
        <x:v>TEXT</x:v>
      </x:c>
      <x:c r="C710" s="10" t="str">
        <x:v>TEXT:SYN-F12-08-U01</x:v>
      </x:c>
      <x:c r="D710" s="10" t="str">
        <x:v>{"conditions":["4장 이내","대상 기간 운영 5주","안내문 500자 이하","외부 발송 없음","지역 파트너 설명회용"],"data_source":"SYN-F12-08:D1@v1","goal":"노을 서비스 캠페인 캠페인 계획 발표자료 작성 위임","prior_task_action":"new","targets":["SYN-F12-08:D1@v1"]}</x:v>
      </x:c>
      <x:c r="E710" s="10" t="str">
        <x:v>{"conditions":["4장 이내","대상 기간 운영 5주","안내문 500자 이하","외부 발송 없음","지역 파트너 설명회용"],"data_source":"SYN-F12-08:D1@v1","goal":"노을 서비스 캠페인 캠페인 계획 발표자료 작성 위임","prior_task_action":"new","targets":["SYN-F12-08:D1@v1"]}</x:v>
      </x:c>
      <x:c r="F710" s="10" t="n">
        <x:f>IF(D710=E710,1,0)</x:f>
        <x:v>1</x:v>
      </x:c>
      <x:c r="G710" s="10" t="str">
        <x:v>필수 의미와 지칭 집합 일치</x:v>
      </x:c>
    </x:row>
    <x:row r="711" ht="145" customHeight="1">
      <x:c r="A711" s="10" t="str">
        <x:v>T-EXEC</x:v>
      </x:c>
      <x:c r="B711" s="10" t="str">
        <x:v>TEXT</x:v>
      </x:c>
      <x:c r="C711" s="10" t="str">
        <x:v>TEXT:SYN-F12-08-U02</x:v>
      </x:c>
      <x:c r="D711" s="10" t="str">
        <x:v>{"conditions":["기존 발표자료 작성 유지","일반 지식 직접 답변"],"data_source":"공통 일반 지식","goal":"래스터 이미지와 벡터 이미지 비교","prior_task_action":"keep","targets":[]}</x:v>
      </x:c>
      <x:c r="E711" s="10" t="str">
        <x:v>{"conditions":["기존 발표자료 작성 유지","일반 지식 직접 답변"],"data_source":"공통 일반 지식","goal":"래스터 이미지와 벡터 이미지 비교","prior_task_action":"keep","targets":[]}</x:v>
      </x:c>
      <x:c r="F711" s="10" t="n">
        <x:f>IF(D711=E711,1,0)</x:f>
        <x:v>1</x:v>
      </x:c>
      <x:c r="G711" s="10" t="str">
        <x:v>필수 의미와 지칭 집합 일치</x:v>
      </x:c>
    </x:row>
    <x:row r="712" ht="145" customHeight="1">
      <x:c r="A712" s="10" t="str">
        <x:v>T-REL</x:v>
      </x:c>
      <x:c r="B712" s="10" t="str">
        <x:v>TEXT</x:v>
      </x:c>
      <x:c r="C712" s="10" t="str">
        <x:v>TEXT:SYN-F12-08-U01</x:v>
      </x:c>
      <x:c r="D712" s="10" t="str">
        <x:v>{"conditions":["4장 이내","대상 기간 운영 5주","안내문 500자 이하","외부 발송 없음","지역 파트너 설명회용"],"data_source":"SYN-F12-08:D1@v1","goal":"노을 서비스 캠페인 캠페인 계획 발표자료 작성 위임","prior_task_action":"new","targets":["SYN-F12-08:D1@v1"]}</x:v>
      </x:c>
      <x:c r="E712" s="10" t="str">
        <x:v>{"conditions":["4장 이내","대상 기간 운영 5주","안내문 500자 이하","외부 발송 없음","지역 파트너 설명회용"],"data_source":"SYN-F12-08:D1@v1","goal":"노을 서비스 캠페인 캠페인 계획 발표자료 작성 위임","prior_task_action":"new","targets":["SYN-F12-08:D1@v1"]}</x:v>
      </x:c>
      <x:c r="F712" s="10" t="n">
        <x:f>IF(D712=E712,1,0)</x:f>
        <x:v>1</x:v>
      </x:c>
      <x:c r="G712" s="10" t="str">
        <x:v>필수 의미와 지칭 집합 일치</x:v>
      </x:c>
    </x:row>
    <x:row r="713" ht="145" customHeight="1">
      <x:c r="A713" s="10" t="str">
        <x:v>T-REL</x:v>
      </x:c>
      <x:c r="B713" s="10" t="str">
        <x:v>TEXT</x:v>
      </x:c>
      <x:c r="C713" s="10" t="str">
        <x:v>TEXT:SYN-F12-08-U02</x:v>
      </x:c>
      <x:c r="D713" s="10" t="str">
        <x:v>{"conditions":["기존 발표자료 작성 유지","일반 지식 직접 답변"],"data_source":"공통 일반 지식","goal":"래스터 이미지와 벡터 이미지 비교","prior_task_action":"keep","targets":[]}</x:v>
      </x:c>
      <x:c r="E713" s="10" t="str">
        <x:v>{"conditions":["기존 발표자료 작성 유지","기존 발표자료의 대상 기간 안에서만 답변","일반 지식 직접 답변"],"data_source":"공통 일반 지식","goal":"래스터 이미지와 벡터 이미지 비교","prior_task_action":"keep","targets":[]}</x:v>
      </x:c>
      <x:c r="F713" s="10" t="n">
        <x:f>IF(D713=E713,1,0)</x:f>
        <x:v>0</x:v>
      </x:c>
      <x:c r="G713" s="10" t="str">
        <x:v>독립 지식 질문에 진행 중인 발표자료의 기간 제한을 불필요하게 적용</x:v>
      </x:c>
    </x:row>
    <x:row r="714" ht="145" customHeight="1">
      <x:c r="A714" s="10" t="str">
        <x:v>T-BASE</x:v>
      </x:c>
      <x:c r="B714" s="10" t="str">
        <x:v>TEXT</x:v>
      </x:c>
      <x:c r="C714" s="10" t="str">
        <x:v>TEXT:SYN-F12-09-U01</x:v>
      </x:c>
      <x:c r="D714" s="10" t="str">
        <x:v>{"conditions":["7장 이내","대상 기간 적용 후 4주","배송 협력사 설명회용","외부 발송 없음","주문당 이동 180m 이하"],"data_source":"SYN-F12-09:D3@v1","goal":"파도 창고배치 변경 배치 변경 발표자료 작성 위임","prior_task_action":"new","targets":["SYN-F12-09:D3@v1"]}</x:v>
      </x:c>
      <x:c r="E714" s="10" t="str">
        <x:v>{"conditions":["7장 이내","대상 기간 적용 후 4주","배송 협력사 설명회용","외부 발송 없음","주문당 이동 180m 이하"],"data_source":"SYN-F12-09:D3@v1","goal":"파도 창고배치 변경 배치 변경 발표자료 작성 위임","prior_task_action":"new","targets":["SYN-F12-09:D3@v1"]}</x:v>
      </x:c>
      <x:c r="F714" s="10" t="n">
        <x:f>IF(D714=E714,1,0)</x:f>
        <x:v>1</x:v>
      </x:c>
      <x:c r="G714" s="10" t="str">
        <x:v>필수 의미와 지칭 집합 일치</x:v>
      </x:c>
    </x:row>
    <x:row r="715" ht="145" customHeight="1">
      <x:c r="A715" s="10" t="str">
        <x:v>T-BASE</x:v>
      </x:c>
      <x:c r="B715" s="10" t="str">
        <x:v>TEXT</x:v>
      </x:c>
      <x:c r="C715" s="10" t="str">
        <x:v>TEXT:SYN-F12-09-U02</x:v>
      </x:c>
      <x:c r="D715" s="10" t="str">
        <x:v>{"conditions":["기존 발표자료 작성 유지","일반 지식 직접 답변"],"data_source":"공통 일반 지식","goal":"스택과 큐의 항목 인출 순서 비교","prior_task_action":"keep","targets":[]}</x:v>
      </x:c>
      <x:c r="E715" s="10" t="str">
        <x:v>{"conditions":["기존 발표자료 작성 유지","일반 지식 직접 답변"],"data_source":"공통 일반 지식","goal":"스택과 큐의 항목 인출 순서 비교","prior_task_action":"keep","targets":[]}</x:v>
      </x:c>
      <x:c r="F715" s="10" t="n">
        <x:f>IF(D715=E715,1,0)</x:f>
        <x:v>1</x:v>
      </x:c>
      <x:c r="G715" s="10" t="str">
        <x:v>필수 의미와 지칭 집합 일치</x:v>
      </x:c>
    </x:row>
    <x:row r="716" ht="145" customHeight="1">
      <x:c r="A716" s="10" t="str">
        <x:v>T-EXEC</x:v>
      </x:c>
      <x:c r="B716" s="10" t="str">
        <x:v>TEXT</x:v>
      </x:c>
      <x:c r="C716" s="10" t="str">
        <x:v>TEXT:SYN-F12-09-U01</x:v>
      </x:c>
      <x:c r="D716" s="10" t="str">
        <x:v>{"conditions":["7장 이내","대상 기간 적용 후 4주","배송 협력사 설명회용","외부 발송 없음","주문당 이동 180m 이하"],"data_source":"SYN-F12-09:D3@v1","goal":"파도 창고배치 변경 배치 변경 발표자료 작성 위임","prior_task_action":"new","targets":["SYN-F12-09:D3@v1"]}</x:v>
      </x:c>
      <x:c r="E716" s="10" t="str">
        <x:v>{"conditions":["7장 이내","대상 기간 적용 후 4주","배송 협력사 설명회용","외부 발송 없음","주문당 이동 180m 이하"],"data_source":"SYN-F12-09:D3@v1","goal":"파도 창고배치 변경 배치 변경 발표자료 작성 위임","prior_task_action":"new","targets":["SYN-F12-09:D3@v1"]}</x:v>
      </x:c>
      <x:c r="F716" s="10" t="n">
        <x:f>IF(D716=E716,1,0)</x:f>
        <x:v>1</x:v>
      </x:c>
      <x:c r="G716" s="10" t="str">
        <x:v>필수 의미와 지칭 집합 일치</x:v>
      </x:c>
    </x:row>
    <x:row r="717" ht="145" customHeight="1">
      <x:c r="A717" s="10" t="str">
        <x:v>T-EXEC</x:v>
      </x:c>
      <x:c r="B717" s="10" t="str">
        <x:v>TEXT</x:v>
      </x:c>
      <x:c r="C717" s="10" t="str">
        <x:v>TEXT:SYN-F12-09-U02</x:v>
      </x:c>
      <x:c r="D717" s="10" t="str">
        <x:v>{"conditions":["기존 발표자료 작성 유지","일반 지식 직접 답변"],"data_source":"공통 일반 지식","goal":"스택과 큐의 항목 인출 순서 비교","prior_task_action":"keep","targets":[]}</x:v>
      </x:c>
      <x:c r="E717" s="10" t="str">
        <x:v>{"conditions":["기존 발표자료 작성 유지","일반 지식 직접 답변"],"data_source":"공통 일반 지식","goal":"스택과 큐의 항목 인출 순서 비교","prior_task_action":"keep","targets":[]}</x:v>
      </x:c>
      <x:c r="F717" s="10" t="n">
        <x:f>IF(D717=E717,1,0)</x:f>
        <x:v>1</x:v>
      </x:c>
      <x:c r="G717" s="10" t="str">
        <x:v>필수 의미와 지칭 집합 일치</x:v>
      </x:c>
    </x:row>
    <x:row r="718" ht="145" customHeight="1">
      <x:c r="A718" s="10" t="str">
        <x:v>T-REL</x:v>
      </x:c>
      <x:c r="B718" s="10" t="str">
        <x:v>TEXT</x:v>
      </x:c>
      <x:c r="C718" s="10" t="str">
        <x:v>TEXT:SYN-F12-09-U01</x:v>
      </x:c>
      <x:c r="D718" s="10" t="str">
        <x:v>{"conditions":["7장 이내","대상 기간 적용 후 4주","배송 협력사 설명회용","외부 발송 없음","주문당 이동 180m 이하"],"data_source":"SYN-F12-09:D3@v1","goal":"파도 창고배치 변경 배치 변경 발표자료 작성 위임","prior_task_action":"new","targets":["SYN-F12-09:D3@v1"]}</x:v>
      </x:c>
      <x:c r="E718" s="10" t="str">
        <x:v>{"conditions":["7장 이내","대상 기간 적용 후 4주","배송 협력사 설명회용","외부 발송 없음","주문당 이동 180m 이하"],"data_source":"SYN-F12-09:D3@v1","goal":"파도 창고배치 변경 배치 변경 발표자료 작성 위임","prior_task_action":"new","targets":["SYN-F12-09:D3@v1"]}</x:v>
      </x:c>
      <x:c r="F718" s="10" t="n">
        <x:f>IF(D718=E718,1,0)</x:f>
        <x:v>1</x:v>
      </x:c>
      <x:c r="G718" s="10" t="str">
        <x:v>필수 의미와 지칭 집합 일치</x:v>
      </x:c>
    </x:row>
    <x:row r="719" ht="145" customHeight="1">
      <x:c r="A719" s="10" t="str">
        <x:v>T-REL</x:v>
      </x:c>
      <x:c r="B719" s="10" t="str">
        <x:v>TEXT</x:v>
      </x:c>
      <x:c r="C719" s="10" t="str">
        <x:v>TEXT:SYN-F12-09-U02</x:v>
      </x:c>
      <x:c r="D719" s="10" t="str">
        <x:v>{"conditions":["기존 발표자료 작성 유지","일반 지식 직접 답변"],"data_source":"공통 일반 지식","goal":"스택과 큐의 항목 인출 순서 비교","prior_task_action":"keep","targets":[]}</x:v>
      </x:c>
      <x:c r="E719" s="10" t="str">
        <x:v>{"conditions":["기존 발표자료 작성 유지","일반 지식 직접 답변"],"data_source":"공통 일반 지식","goal":"스택과 큐의 항목 인출 순서 비교","prior_task_action":"keep","targets":[]}</x:v>
      </x:c>
      <x:c r="F719" s="10" t="n">
        <x:f>IF(D719=E719,1,0)</x:f>
        <x:v>1</x:v>
      </x:c>
      <x:c r="G719" s="10" t="str">
        <x:v>필수 의미와 지칭 집합 일치</x:v>
      </x:c>
    </x:row>
    <x:row r="720" ht="145" customHeight="1">
      <x:c r="A720" s="10" t="str">
        <x:v>T-BASE</x:v>
      </x:c>
      <x:c r="B720" s="10" t="str">
        <x:v>TEXT</x:v>
      </x:c>
      <x:c r="C720" s="10" t="str">
        <x:v>TEXT:SYN-F12-10-U01</x:v>
      </x:c>
      <x:c r="D720" s="10" t="str">
        <x:v>{"conditions":["5장 이내","대상 기간 출시 후 2개월","부서대표 설명회용","외부 발송 없음","첫 화면 메뉴 9개 이하"],"data_source":"SYN-F12-10:D2@v1","goal":"온유 사내포털 개편 포털 개선 발표자료 작성 위임","prior_task_action":"new","targets":["SYN-F12-10:D2@v1"]}</x:v>
      </x:c>
      <x:c r="E720" s="10" t="str">
        <x:v>{"conditions":["5장 이내","대상 기간 출시 후 2개월","부서대표 설명회용","외부 발송 없음","첫 화면 메뉴 9개 이하"],"data_source":"SYN-F12-10:D2@v1","goal":"온유 사내포털 개편 포털 개선 발표자료 작성 위임","prior_task_action":"new","targets":["SYN-F12-10:D2@v1"]}</x:v>
      </x:c>
      <x:c r="F720" s="10" t="n">
        <x:f>IF(D720=E720,1,0)</x:f>
        <x:v>1</x:v>
      </x:c>
      <x:c r="G720" s="10" t="str">
        <x:v>필수 의미와 지칭 집합 일치</x:v>
      </x:c>
    </x:row>
    <x:row r="721" ht="145" customHeight="1">
      <x:c r="A721" s="10" t="str">
        <x:v>T-BASE</x:v>
      </x:c>
      <x:c r="B721" s="10" t="str">
        <x:v>TEXT</x:v>
      </x:c>
      <x:c r="C721" s="10" t="str">
        <x:v>TEXT:SYN-F12-10-U02</x:v>
      </x:c>
      <x:c r="D721" s="10" t="str">
        <x:v>{"conditions":["기존 발표자료 작성 유지","일반 지식 직접 답변"],"data_source":"공통 일반 지식","goal":"UTF-8의 문자별 바이트 수 설명","prior_task_action":"keep","targets":[]}</x:v>
      </x:c>
      <x:c r="E721" s="10" t="str">
        <x:v>{"conditions":["기존 발표자료 작성 유지","일반 지식 직접 답변"],"data_source":"공통 일반 지식","goal":"UTF-8의 문자별 바이트 수 설명","prior_task_action":"keep","targets":[]}</x:v>
      </x:c>
      <x:c r="F721" s="10" t="n">
        <x:f>IF(D721=E721,1,0)</x:f>
        <x:v>1</x:v>
      </x:c>
      <x:c r="G721" s="10" t="str">
        <x:v>필수 의미와 지칭 집합 일치</x:v>
      </x:c>
    </x:row>
    <x:row r="722" ht="145" customHeight="1">
      <x:c r="A722" s="10" t="str">
        <x:v>T-EXEC</x:v>
      </x:c>
      <x:c r="B722" s="10" t="str">
        <x:v>TEXT</x:v>
      </x:c>
      <x:c r="C722" s="10" t="str">
        <x:v>TEXT:SYN-F12-10-U01</x:v>
      </x:c>
      <x:c r="D722" s="10" t="str">
        <x:v>{"conditions":["5장 이내","대상 기간 출시 후 2개월","부서대표 설명회용","외부 발송 없음","첫 화면 메뉴 9개 이하"],"data_source":"SYN-F12-10:D2@v1","goal":"온유 사내포털 개편 포털 개선 발표자료 작성 위임","prior_task_action":"new","targets":["SYN-F12-10:D2@v1"]}</x:v>
      </x:c>
      <x:c r="E722" s="10" t="str">
        <x:v>{"conditions":["5장 이내","대상 기간 출시 후 2개월","부서대표 설명회용","외부 발송 없음","첫 화면 메뉴 9개 이하"],"data_source":"SYN-F12-10:D2@v1","goal":"온유 사내포털 개편 포털 개선 발표자료 작성 위임","prior_task_action":"new","targets":["SYN-F12-10:D2@v1"]}</x:v>
      </x:c>
      <x:c r="F722" s="10" t="n">
        <x:f>IF(D722=E722,1,0)</x:f>
        <x:v>1</x:v>
      </x:c>
      <x:c r="G722" s="10" t="str">
        <x:v>필수 의미와 지칭 집합 일치</x:v>
      </x:c>
    </x:row>
    <x:row r="723" ht="145" customHeight="1">
      <x:c r="A723" s="10" t="str">
        <x:v>T-EXEC</x:v>
      </x:c>
      <x:c r="B723" s="10" t="str">
        <x:v>TEXT</x:v>
      </x:c>
      <x:c r="C723" s="10" t="str">
        <x:v>TEXT:SYN-F12-10-U02</x:v>
      </x:c>
      <x:c r="D723" s="10" t="str">
        <x:v>{"conditions":["기존 발표자료 작성 유지","일반 지식 직접 답변"],"data_source":"공통 일반 지식","goal":"UTF-8의 문자별 바이트 수 설명","prior_task_action":"keep","targets":[]}</x:v>
      </x:c>
      <x:c r="E723" s="10" t="str">
        <x:v>{"conditions":["기존 발표자료 작성 유지","일반 지식 직접 답변"],"data_source":"공통 일반 지식","goal":"UTF-8의 문자별 바이트 수 설명","prior_task_action":"keep","targets":[]}</x:v>
      </x:c>
      <x:c r="F723" s="10" t="n">
        <x:f>IF(D723=E723,1,0)</x:f>
        <x:v>1</x:v>
      </x:c>
      <x:c r="G723" s="10" t="str">
        <x:v>필수 의미와 지칭 집합 일치</x:v>
      </x:c>
    </x:row>
    <x:row r="724" ht="145" customHeight="1">
      <x:c r="A724" s="10" t="str">
        <x:v>T-REL</x:v>
      </x:c>
      <x:c r="B724" s="10" t="str">
        <x:v>TEXT</x:v>
      </x:c>
      <x:c r="C724" s="10" t="str">
        <x:v>TEXT:SYN-F12-10-U01</x:v>
      </x:c>
      <x:c r="D724" s="10" t="str">
        <x:v>{"conditions":["5장 이내","대상 기간 출시 후 2개월","부서대표 설명회용","외부 발송 없음","첫 화면 메뉴 9개 이하"],"data_source":"SYN-F12-10:D2@v1","goal":"온유 사내포털 개편 포털 개선 발표자료 작성 위임","prior_task_action":"new","targets":["SYN-F12-10:D2@v1"]}</x:v>
      </x:c>
      <x:c r="E724" s="10" t="str">
        <x:v>{"conditions":["5장 이내","대상 기간 출시 후 2개월","부서대표 설명회용","외부 발송 없음","첫 화면 메뉴 9개 이하"],"data_source":"SYN-F12-10:D2@v1","goal":"온유 사내포털 개편 포털 개선 발표자료 작성 위임","prior_task_action":"new","targets":["SYN-F12-10:D2@v1"]}</x:v>
      </x:c>
      <x:c r="F724" s="10" t="n">
        <x:f>IF(D724=E724,1,0)</x:f>
        <x:v>1</x:v>
      </x:c>
      <x:c r="G724" s="10" t="str">
        <x:v>필수 의미와 지칭 집합 일치</x:v>
      </x:c>
    </x:row>
    <x:row r="725" ht="145" customHeight="1">
      <x:c r="A725" s="10" t="str">
        <x:v>T-REL</x:v>
      </x:c>
      <x:c r="B725" s="10" t="str">
        <x:v>TEXT</x:v>
      </x:c>
      <x:c r="C725" s="10" t="str">
        <x:v>TEXT:SYN-F12-10-U02</x:v>
      </x:c>
      <x:c r="D725" s="10" t="str">
        <x:v>{"conditions":["기존 발표자료 작성 유지","일반 지식 직접 답변"],"data_source":"공통 일반 지식","goal":"UTF-8의 문자별 바이트 수 설명","prior_task_action":"keep","targets":[]}</x:v>
      </x:c>
      <x:c r="E725" s="10" t="str">
        <x:v>{"conditions":["기존 발표자료 작성 유지","일반 지식 직접 답변"],"data_source":"공통 일반 지식","goal":"UTF-8의 문자별 바이트 수 설명","prior_task_action":"keep","targets":[]}</x:v>
      </x:c>
      <x:c r="F725" s="10" t="n">
        <x:f>IF(D725=E725,1,0)</x:f>
        <x:v>1</x:v>
      </x:c>
      <x:c r="G725" s="10" t="str">
        <x:v>필수 의미와 지칭 집합 일치</x:v>
      </x:c>
    </x:row>
    <x:row r="726" ht="145" customHeight="1">
      <x:c r="A726" s="10" t="str">
        <x:v>V-A</x:v>
      </x:c>
      <x:c r="B726" s="10" t="str">
        <x:v>VOICE</x:v>
      </x:c>
      <x:c r="C726" s="10" t="str">
        <x:v>VOICE:S1-01:input</x:v>
      </x:c>
      <x:c r="D726" s="10" t="str">
        <x:v>{"exclusions":["설치비"],"goal":"비교표 작성","preserve_existing_tasks":true,"relation":"new_goal","targets":["S1-01:quote-L","S1-01:quote-R"]}</x:v>
      </x:c>
      <x:c r="E726" s="10" t="str">
        <x:v>{"exclusions":["설치비"],"goal":"비교표 작성","preserve_existing_tasks":true,"relation":"new_goal","targets":["S1-01:quote-L","S1-01:quote-R"]}</x:v>
      </x:c>
      <x:c r="F726" s="10" t="n">
        <x:f>IF(D726=E726,1,0)</x:f>
        <x:v>1</x:v>
      </x:c>
      <x:c r="G726" s="10" t="str">
        <x:v>필수 의미 전체 일치</x:v>
      </x:c>
    </x:row>
    <x:row r="727" ht="145" customHeight="1">
      <x:c r="A727" s="10" t="str">
        <x:v>V-R1</x:v>
      </x:c>
      <x:c r="B727" s="10" t="str">
        <x:v>VOICE</x:v>
      </x:c>
      <x:c r="C727" s="10" t="str">
        <x:v>VOICE:S1-01:input</x:v>
      </x:c>
      <x:c r="D727" s="10" t="str">
        <x:v>{"exclusions":["설치비"],"goal":"비교표 작성","preserve_existing_tasks":true,"relation":"new_goal","targets":["S1-01:quote-L","S1-01:quote-R"]}</x:v>
      </x:c>
      <x:c r="E727" s="10" t="str">
        <x:v>{"exclusions":["설치비"],"goal":"비교표 작성","preserve_existing_tasks":true,"relation":"new_goal","targets":["S1-01:quote-L","S1-01:quote-R"]}</x:v>
      </x:c>
      <x:c r="F727" s="10" t="n">
        <x:f>IF(D727=E727,1,0)</x:f>
        <x:v>1</x:v>
      </x:c>
      <x:c r="G727" s="10" t="str">
        <x:v>필수 의미 전체 일치</x:v>
      </x:c>
    </x:row>
    <x:row r="728" ht="145" customHeight="1">
      <x:c r="A728" s="10" t="str">
        <x:v>V-R2</x:v>
      </x:c>
      <x:c r="B728" s="10" t="str">
        <x:v>VOICE</x:v>
      </x:c>
      <x:c r="C728" s="10" t="str">
        <x:v>VOICE:S1-01:input</x:v>
      </x:c>
      <x:c r="D728" s="10" t="str">
        <x:v>{"exclusions":["설치비"],"goal":"비교표 작성","preserve_existing_tasks":true,"relation":"new_goal","targets":["S1-01:quote-L","S1-01:quote-R"]}</x:v>
      </x:c>
      <x:c r="E728" s="10" t="str">
        <x:v>{"exclusions":["설치비"],"goal":"비교표 작성","preserve_existing_tasks":true,"relation":"new_goal","targets":["S1-01:quote-L","S1-01:quote-R"]}</x:v>
      </x:c>
      <x:c r="F728" s="10" t="n">
        <x:f>IF(D728=E728,1,0)</x:f>
        <x:v>1</x:v>
      </x:c>
      <x:c r="G728" s="10" t="str">
        <x:v>필수 의미 전체 일치</x:v>
      </x:c>
    </x:row>
    <x:row r="729" ht="145" customHeight="1">
      <x:c r="A729" s="10" t="str">
        <x:v>V-R3</x:v>
      </x:c>
      <x:c r="B729" s="10" t="str">
        <x:v>VOICE</x:v>
      </x:c>
      <x:c r="C729" s="10" t="str">
        <x:v>VOICE:S1-01:input</x:v>
      </x:c>
      <x:c r="D729" s="10" t="str">
        <x:v>{"exclusions":["설치비"],"goal":"비교표 작성","preserve_existing_tasks":true,"relation":"new_goal","targets":["S1-01:quote-L","S1-01:quote-R"]}</x:v>
      </x:c>
      <x:c r="E729" s="10" t="str">
        <x:v>{"exclusions":["설치비"],"goal":"비교표 작성","preserve_existing_tasks":true,"relation":"new_goal","targets":["S1-01:quote-L","S1-01:quote-R"]}</x:v>
      </x:c>
      <x:c r="F729" s="10" t="n">
        <x:f>IF(D729=E729,1,0)</x:f>
        <x:v>1</x:v>
      </x:c>
      <x:c r="G729" s="10" t="str">
        <x:v>필수 의미 전체 일치</x:v>
      </x:c>
    </x:row>
    <x:row r="730" ht="145" customHeight="1">
      <x:c r="A730" s="10" t="str">
        <x:v>V-A</x:v>
      </x:c>
      <x:c r="B730" s="10" t="str">
        <x:v>VOICE</x:v>
      </x:c>
      <x:c r="C730" s="10" t="str">
        <x:v>VOICE:S1-02:input</x:v>
      </x:c>
      <x:c r="D730" s="10" t="str">
        <x:v>{"exclusions":["설치비"],"goal":"비교표 작성","preserve_existing_tasks":true,"relation":"new_goal","targets":["S1-02:quote-L","S1-02:quote-R"]}</x:v>
      </x:c>
      <x:c r="E730" s="10" t="str">
        <x:v>{"exclusions":["설치비"],"goal":"비교표 작성","preserve_existing_tasks":true,"relation":"new_goal","targets":["S1-02:quote-L","S1-02:quote-R"]}</x:v>
      </x:c>
      <x:c r="F730" s="10" t="n">
        <x:f>IF(D730=E730,1,0)</x:f>
        <x:v>1</x:v>
      </x:c>
      <x:c r="G730" s="10" t="str">
        <x:v>필수 의미 전체 일치</x:v>
      </x:c>
    </x:row>
    <x:row r="731" ht="145" customHeight="1">
      <x:c r="A731" s="10" t="str">
        <x:v>V-R1</x:v>
      </x:c>
      <x:c r="B731" s="10" t="str">
        <x:v>VOICE</x:v>
      </x:c>
      <x:c r="C731" s="10" t="str">
        <x:v>VOICE:S1-02:input</x:v>
      </x:c>
      <x:c r="D731" s="10" t="str">
        <x:v>{"exclusions":["설치비"],"goal":"비교표 작성","preserve_existing_tasks":true,"relation":"new_goal","targets":["S1-02:quote-L","S1-02:quote-R"]}</x:v>
      </x:c>
      <x:c r="E731" s="10" t="str">
        <x:v>{"exclusions":["설치비"],"goal":"비교표 작성","preserve_existing_tasks":true,"relation":"new_goal","targets":["S1-02:quote-L","S1-02:quote-R"]}</x:v>
      </x:c>
      <x:c r="F731" s="10" t="n">
        <x:f>IF(D731=E731,1,0)</x:f>
        <x:v>1</x:v>
      </x:c>
      <x:c r="G731" s="10" t="str">
        <x:v>필수 의미 전체 일치</x:v>
      </x:c>
    </x:row>
    <x:row r="732" ht="145" customHeight="1">
      <x:c r="A732" s="10" t="str">
        <x:v>V-R2</x:v>
      </x:c>
      <x:c r="B732" s="10" t="str">
        <x:v>VOICE</x:v>
      </x:c>
      <x:c r="C732" s="10" t="str">
        <x:v>VOICE:S1-02:input</x:v>
      </x:c>
      <x:c r="D732" s="10" t="str">
        <x:v>{"exclusions":["설치비"],"goal":"비교표 작성","preserve_existing_tasks":true,"relation":"new_goal","targets":["S1-02:quote-L","S1-02:quote-R"]}</x:v>
      </x:c>
      <x:c r="E732" s="10" t="str">
        <x:v>{"exclusions":["설치비"],"goal":"비교표 작성","preserve_existing_tasks":true,"relation":"new_goal","targets":["S1-02:quote-L","S1-02:quote-R"]}</x:v>
      </x:c>
      <x:c r="F732" s="10" t="n">
        <x:f>IF(D732=E732,1,0)</x:f>
        <x:v>1</x:v>
      </x:c>
      <x:c r="G732" s="10" t="str">
        <x:v>필수 의미 전체 일치</x:v>
      </x:c>
    </x:row>
    <x:row r="733" ht="145" customHeight="1">
      <x:c r="A733" s="10" t="str">
        <x:v>V-R3</x:v>
      </x:c>
      <x:c r="B733" s="10" t="str">
        <x:v>VOICE</x:v>
      </x:c>
      <x:c r="C733" s="10" t="str">
        <x:v>VOICE:S1-02:input</x:v>
      </x:c>
      <x:c r="D733" s="10" t="str">
        <x:v>{"exclusions":["설치비"],"goal":"비교표 작성","preserve_existing_tasks":true,"relation":"new_goal","targets":["S1-02:quote-L","S1-02:quote-R"]}</x:v>
      </x:c>
      <x:c r="E733" s="10" t="str">
        <x:v>{"exclusions":["설치비"],"goal":"비교표 작성","preserve_existing_tasks":true,"relation":"new_goal","targets":["S1-02:quote-L","S1-02:quote-R"]}</x:v>
      </x:c>
      <x:c r="F733" s="10" t="n">
        <x:f>IF(D733=E733,1,0)</x:f>
        <x:v>1</x:v>
      </x:c>
      <x:c r="G733" s="10" t="str">
        <x:v>필수 의미 전체 일치</x:v>
      </x:c>
    </x:row>
    <x:row r="734" ht="145" customHeight="1">
      <x:c r="A734" s="10" t="str">
        <x:v>V-A</x:v>
      </x:c>
      <x:c r="B734" s="10" t="str">
        <x:v>VOICE</x:v>
      </x:c>
      <x:c r="C734" s="10" t="str">
        <x:v>VOICE:S1-03:input</x:v>
      </x:c>
      <x:c r="D734" s="10" t="str">
        <x:v>{"exclusions":["설치비"],"goal":"비교표 작성","preserve_existing_tasks":true,"relation":"new_goal","targets":["S1-03:quote-L","S1-03:quote-R"]}</x:v>
      </x:c>
      <x:c r="E734" s="10" t="str">
        <x:v>{"exclusions":["설치비"],"goal":"비교표 작성","preserve_existing_tasks":true,"relation":"new_goal","targets":["S1-03:quote-L","S1-03:quote-R"]}</x:v>
      </x:c>
      <x:c r="F734" s="10" t="n">
        <x:f>IF(D734=E734,1,0)</x:f>
        <x:v>1</x:v>
      </x:c>
      <x:c r="G734" s="10" t="str">
        <x:v>필수 의미 전체 일치</x:v>
      </x:c>
    </x:row>
    <x:row r="735" ht="145" customHeight="1">
      <x:c r="A735" s="10" t="str">
        <x:v>V-R1</x:v>
      </x:c>
      <x:c r="B735" s="10" t="str">
        <x:v>VOICE</x:v>
      </x:c>
      <x:c r="C735" s="10" t="str">
        <x:v>VOICE:S1-03:input</x:v>
      </x:c>
      <x:c r="D735" s="10" t="str">
        <x:v>{"exclusions":["설치비"],"goal":"비교표 작성","preserve_existing_tasks":true,"relation":"new_goal","targets":["S1-03:quote-L","S1-03:quote-R"]}</x:v>
      </x:c>
      <x:c r="E735" s="10" t="str">
        <x:v>{"exclusions":["설치비"],"goal":"비교표 작성","preserve_existing_tasks":true,"relation":"new_goal","targets":["S1-03:quote-L","S1-03:quote-R"]}</x:v>
      </x:c>
      <x:c r="F735" s="10" t="n">
        <x:f>IF(D735=E735,1,0)</x:f>
        <x:v>1</x:v>
      </x:c>
      <x:c r="G735" s="10" t="str">
        <x:v>필수 의미 전체 일치</x:v>
      </x:c>
    </x:row>
    <x:row r="736" ht="145" customHeight="1">
      <x:c r="A736" s="10" t="str">
        <x:v>V-R2</x:v>
      </x:c>
      <x:c r="B736" s="10" t="str">
        <x:v>VOICE</x:v>
      </x:c>
      <x:c r="C736" s="10" t="str">
        <x:v>VOICE:S1-03:input</x:v>
      </x:c>
      <x:c r="D736" s="10" t="str">
        <x:v>{"exclusions":["설치비"],"goal":"비교표 작성","preserve_existing_tasks":true,"relation":"new_goal","targets":["S1-03:quote-L","S1-03:quote-R"]}</x:v>
      </x:c>
      <x:c r="E736" s="10" t="str">
        <x:v>{"exclusions":["설치비"],"goal":"비교표 작성","preserve_existing_tasks":true,"relation":"new_goal","targets":["S1-03:quote-L","S1-03:quote-R"]}</x:v>
      </x:c>
      <x:c r="F736" s="10" t="n">
        <x:f>IF(D736=E736,1,0)</x:f>
        <x:v>1</x:v>
      </x:c>
      <x:c r="G736" s="10" t="str">
        <x:v>필수 의미 전체 일치</x:v>
      </x:c>
    </x:row>
    <x:row r="737" ht="145" customHeight="1">
      <x:c r="A737" s="10" t="str">
        <x:v>V-R3</x:v>
      </x:c>
      <x:c r="B737" s="10" t="str">
        <x:v>VOICE</x:v>
      </x:c>
      <x:c r="C737" s="10" t="str">
        <x:v>VOICE:S1-03:input</x:v>
      </x:c>
      <x:c r="D737" s="10" t="str">
        <x:v>{"exclusions":["설치비"],"goal":"비교표 작성","preserve_existing_tasks":true,"relation":"new_goal","targets":["S1-03:quote-L","S1-03:quote-R"]}</x:v>
      </x:c>
      <x:c r="E737" s="10" t="str">
        <x:v>{"exclusions":["설치비"],"goal":"비교표 작성","preserve_existing_tasks":true,"relation":"new_goal","targets":["S1-03:quote-L","S1-03:quote-R"]}</x:v>
      </x:c>
      <x:c r="F737" s="10" t="n">
        <x:f>IF(D737=E737,1,0)</x:f>
        <x:v>1</x:v>
      </x:c>
      <x:c r="G737" s="10" t="str">
        <x:v>필수 의미 전체 일치</x:v>
      </x:c>
    </x:row>
    <x:row r="738" ht="145" customHeight="1">
      <x:c r="A738" s="10" t="str">
        <x:v>V-A</x:v>
      </x:c>
      <x:c r="B738" s="10" t="str">
        <x:v>VOICE</x:v>
      </x:c>
      <x:c r="C738" s="10" t="str">
        <x:v>VOICE:S1-04:input</x:v>
      </x:c>
      <x:c r="D738" s="10" t="str">
        <x:v>{"exclusions":["설치비"],"goal":"비교표 작성","preserve_existing_tasks":true,"relation":"new_goal","targets":["S1-04:quote-L","S1-04:quote-R"]}</x:v>
      </x:c>
      <x:c r="E738" s="10" t="str">
        <x:v>{"exclusions":["설치비"],"goal":"비교표 작성","preserve_existing_tasks":true,"relation":"new_goal","targets":["S1-04:quote-L","S1-04:quote-R"]}</x:v>
      </x:c>
      <x:c r="F738" s="10" t="n">
        <x:f>IF(D738=E738,1,0)</x:f>
        <x:v>1</x:v>
      </x:c>
      <x:c r="G738" s="10" t="str">
        <x:v>필수 의미 전체 일치</x:v>
      </x:c>
    </x:row>
    <x:row r="739" ht="145" customHeight="1">
      <x:c r="A739" s="10" t="str">
        <x:v>V-R1</x:v>
      </x:c>
      <x:c r="B739" s="10" t="str">
        <x:v>VOICE</x:v>
      </x:c>
      <x:c r="C739" s="10" t="str">
        <x:v>VOICE:S1-04:input</x:v>
      </x:c>
      <x:c r="D739" s="10" t="str">
        <x:v>{"exclusions":["설치비"],"goal":"비교표 작성","preserve_existing_tasks":true,"relation":"new_goal","targets":["S1-04:quote-L","S1-04:quote-R"]}</x:v>
      </x:c>
      <x:c r="E739" s="10" t="str">
        <x:v>{"exclusions":["설치비"],"goal":"비교표 작성","preserve_existing_tasks":true,"relation":"new_goal","targets":["S1-04:quote-L","S1-04:quote-R"]}</x:v>
      </x:c>
      <x:c r="F739" s="10" t="n">
        <x:f>IF(D739=E739,1,0)</x:f>
        <x:v>1</x:v>
      </x:c>
      <x:c r="G739" s="10" t="str">
        <x:v>필수 의미 전체 일치</x:v>
      </x:c>
    </x:row>
    <x:row r="740" ht="145" customHeight="1">
      <x:c r="A740" s="10" t="str">
        <x:v>V-R2</x:v>
      </x:c>
      <x:c r="B740" s="10" t="str">
        <x:v>VOICE</x:v>
      </x:c>
      <x:c r="C740" s="10" t="str">
        <x:v>VOICE:S1-04:input</x:v>
      </x:c>
      <x:c r="D740" s="10" t="str">
        <x:v>{"exclusions":["설치비"],"goal":"비교표 작성","preserve_existing_tasks":true,"relation":"new_goal","targets":["S1-04:quote-L","S1-04:quote-R"]}</x:v>
      </x:c>
      <x:c r="E740" s="10" t="str">
        <x:v>{"exclusions":["설치비"],"goal":"비교표 작성","preserve_existing_tasks":true,"relation":"new_goal","targets":["S1-04:quote-L","S1-04:quote-R"]}</x:v>
      </x:c>
      <x:c r="F740" s="10" t="n">
        <x:f>IF(D740=E740,1,0)</x:f>
        <x:v>1</x:v>
      </x:c>
      <x:c r="G740" s="10" t="str">
        <x:v>필수 의미 전체 일치</x:v>
      </x:c>
    </x:row>
    <x:row r="741" ht="145" customHeight="1">
      <x:c r="A741" s="10" t="str">
        <x:v>V-R3</x:v>
      </x:c>
      <x:c r="B741" s="10" t="str">
        <x:v>VOICE</x:v>
      </x:c>
      <x:c r="C741" s="10" t="str">
        <x:v>VOICE:S1-04:input</x:v>
      </x:c>
      <x:c r="D741" s="10" t="str">
        <x:v>{"exclusions":["설치비"],"goal":"비교표 작성","preserve_existing_tasks":true,"relation":"new_goal","targets":["S1-04:quote-L","S1-04:quote-R"]}</x:v>
      </x:c>
      <x:c r="E741" s="10" t="str">
        <x:v>{"exclusions":["설치비"],"goal":"비교표 작성","preserve_existing_tasks":true,"relation":"new_goal","targets":["S1-04:quote-L","S1-04:quote-R"]}</x:v>
      </x:c>
      <x:c r="F741" s="10" t="n">
        <x:f>IF(D741=E741,1,0)</x:f>
        <x:v>1</x:v>
      </x:c>
      <x:c r="G741" s="10" t="str">
        <x:v>필수 의미 전체 일치</x:v>
      </x:c>
    </x:row>
    <x:row r="742" ht="145" customHeight="1">
      <x:c r="A742" s="10" t="str">
        <x:v>V-A</x:v>
      </x:c>
      <x:c r="B742" s="10" t="str">
        <x:v>VOICE</x:v>
      </x:c>
      <x:c r="C742" s="10" t="str">
        <x:v>VOICE:S1-05:input</x:v>
      </x:c>
      <x:c r="D742" s="10" t="str">
        <x:v>{"exclusions":["설치비"],"goal":"비교표 작성","preserve_existing_tasks":true,"relation":"new_goal","targets":["S1-05:quote-L","S1-05:quote-R"]}</x:v>
      </x:c>
      <x:c r="E742" s="10" t="str">
        <x:v>{"exclusions":["설치비"],"goal":"비교표 작성","preserve_existing_tasks":true,"relation":"new_goal","targets":["S1-05:quote-L","S1-05:quote-R"]}</x:v>
      </x:c>
      <x:c r="F742" s="10" t="n">
        <x:f>IF(D742=E742,1,0)</x:f>
        <x:v>1</x:v>
      </x:c>
      <x:c r="G742" s="10" t="str">
        <x:v>필수 의미 전체 일치</x:v>
      </x:c>
    </x:row>
    <x:row r="743" ht="145" customHeight="1">
      <x:c r="A743" s="10" t="str">
        <x:v>V-R1</x:v>
      </x:c>
      <x:c r="B743" s="10" t="str">
        <x:v>VOICE</x:v>
      </x:c>
      <x:c r="C743" s="10" t="str">
        <x:v>VOICE:S1-05:input</x:v>
      </x:c>
      <x:c r="D743" s="10" t="str">
        <x:v>{"exclusions":["설치비"],"goal":"비교표 작성","preserve_existing_tasks":true,"relation":"new_goal","targets":["S1-05:quote-L","S1-05:quote-R"]}</x:v>
      </x:c>
      <x:c r="E743" s="10" t="str">
        <x:v>{"exclusions":["설치비"],"goal":"비교표 작성","preserve_existing_tasks":true,"relation":"new_goal","targets":["S1-05:quote-L","S1-05:quote-R"]}</x:v>
      </x:c>
      <x:c r="F743" s="10" t="n">
        <x:f>IF(D743=E743,1,0)</x:f>
        <x:v>1</x:v>
      </x:c>
      <x:c r="G743" s="10" t="str">
        <x:v>필수 의미 전체 일치</x:v>
      </x:c>
    </x:row>
    <x:row r="744" ht="145" customHeight="1">
      <x:c r="A744" s="10" t="str">
        <x:v>V-R2</x:v>
      </x:c>
      <x:c r="B744" s="10" t="str">
        <x:v>VOICE</x:v>
      </x:c>
      <x:c r="C744" s="10" t="str">
        <x:v>VOICE:S1-05:input</x:v>
      </x:c>
      <x:c r="D744" s="10" t="str">
        <x:v>{"exclusions":["설치비"],"goal":"비교표 작성","preserve_existing_tasks":true,"relation":"new_goal","targets":["S1-05:quote-L","S1-05:quote-R"]}</x:v>
      </x:c>
      <x:c r="E744" s="10" t="str">
        <x:v>{"exclusions":["설치비"],"goal":"비교표 작성","preserve_existing_tasks":true,"relation":"new_goal","targets":["S1-05:quote-L","S1-05:quote-R"]}</x:v>
      </x:c>
      <x:c r="F744" s="10" t="n">
        <x:f>IF(D744=E744,1,0)</x:f>
        <x:v>1</x:v>
      </x:c>
      <x:c r="G744" s="10" t="str">
        <x:v>필수 의미 전체 일치</x:v>
      </x:c>
    </x:row>
    <x:row r="745" ht="145" customHeight="1">
      <x:c r="A745" s="10" t="str">
        <x:v>V-R3</x:v>
      </x:c>
      <x:c r="B745" s="10" t="str">
        <x:v>VOICE</x:v>
      </x:c>
      <x:c r="C745" s="10" t="str">
        <x:v>VOICE:S1-05:input</x:v>
      </x:c>
      <x:c r="D745" s="10" t="str">
        <x:v>{"exclusions":["설치비"],"goal":"비교표 작성","preserve_existing_tasks":true,"relation":"new_goal","targets":["S1-05:quote-L","S1-05:quote-R"]}</x:v>
      </x:c>
      <x:c r="E745" s="10" t="str">
        <x:v>{"exclusions":["설치비"],"goal":"비교표 작성","preserve_existing_tasks":true,"relation":"new_goal","targets":["S1-05:quote-L","S1-05:quote-R"]}</x:v>
      </x:c>
      <x:c r="F745" s="10" t="n">
        <x:f>IF(D745=E745,1,0)</x:f>
        <x:v>1</x:v>
      </x:c>
      <x:c r="G745" s="10" t="str">
        <x:v>필수 의미 전체 일치</x:v>
      </x:c>
    </x:row>
    <x:row r="746" ht="145" customHeight="1">
      <x:c r="A746" s="10" t="str">
        <x:v>V-A</x:v>
      </x:c>
      <x:c r="B746" s="10" t="str">
        <x:v>VOICE</x:v>
      </x:c>
      <x:c r="C746" s="10" t="str">
        <x:v>VOICE:S1-06:input</x:v>
      </x:c>
      <x:c r="D746" s="10" t="str">
        <x:v>{"exclusions":["설치비"],"goal":"비교표 작성","preserve_existing_tasks":true,"relation":"new_goal","targets":["S1-06:quote-L","S1-06:quote-R"]}</x:v>
      </x:c>
      <x:c r="E746" s="10" t="str">
        <x:v>{"exclusions":["설치비"],"goal":"비교표 작성","preserve_existing_tasks":true,"relation":"new_goal","targets":["S1-06:quote-L","S1-06:quote-R"]}</x:v>
      </x:c>
      <x:c r="F746" s="10" t="n">
        <x:f>IF(D746=E746,1,0)</x:f>
        <x:v>1</x:v>
      </x:c>
      <x:c r="G746" s="10" t="str">
        <x:v>필수 의미 전체 일치</x:v>
      </x:c>
    </x:row>
    <x:row r="747" ht="145" customHeight="1">
      <x:c r="A747" s="10" t="str">
        <x:v>V-R1</x:v>
      </x:c>
      <x:c r="B747" s="10" t="str">
        <x:v>VOICE</x:v>
      </x:c>
      <x:c r="C747" s="10" t="str">
        <x:v>VOICE:S1-06:input</x:v>
      </x:c>
      <x:c r="D747" s="10" t="str">
        <x:v>{"exclusions":["설치비"],"goal":"비교표 작성","preserve_existing_tasks":true,"relation":"new_goal","targets":["S1-06:quote-L","S1-06:quote-R"]}</x:v>
      </x:c>
      <x:c r="E747" s="10" t="str">
        <x:v>{"exclusions":["설치비"],"goal":"비교표 작성","preserve_existing_tasks":true,"relation":"new_goal","targets":["S1-06:quote-L","S1-06:quote-R"]}</x:v>
      </x:c>
      <x:c r="F747" s="10" t="n">
        <x:f>IF(D747=E747,1,0)</x:f>
        <x:v>1</x:v>
      </x:c>
      <x:c r="G747" s="10" t="str">
        <x:v>필수 의미 전체 일치</x:v>
      </x:c>
    </x:row>
    <x:row r="748" ht="145" customHeight="1">
      <x:c r="A748" s="10" t="str">
        <x:v>V-R2</x:v>
      </x:c>
      <x:c r="B748" s="10" t="str">
        <x:v>VOICE</x:v>
      </x:c>
      <x:c r="C748" s="10" t="str">
        <x:v>VOICE:S1-06:input</x:v>
      </x:c>
      <x:c r="D748" s="10" t="str">
        <x:v>{"exclusions":["설치비"],"goal":"비교표 작성","preserve_existing_tasks":true,"relation":"new_goal","targets":["S1-06:quote-L","S1-06:quote-R"]}</x:v>
      </x:c>
      <x:c r="E748" s="10" t="str">
        <x:v>{"exclusions":["설치비"],"goal":"비교표 작성","preserve_existing_tasks":true,"relation":"new_goal","targets":["S1-06:quote-L","S1-06:quote-R"]}</x:v>
      </x:c>
      <x:c r="F748" s="10" t="n">
        <x:f>IF(D748=E748,1,0)</x:f>
        <x:v>1</x:v>
      </x:c>
      <x:c r="G748" s="10" t="str">
        <x:v>필수 의미 전체 일치</x:v>
      </x:c>
    </x:row>
    <x:row r="749" ht="145" customHeight="1">
      <x:c r="A749" s="10" t="str">
        <x:v>V-R3</x:v>
      </x:c>
      <x:c r="B749" s="10" t="str">
        <x:v>VOICE</x:v>
      </x:c>
      <x:c r="C749" s="10" t="str">
        <x:v>VOICE:S1-06:input</x:v>
      </x:c>
      <x:c r="D749" s="10" t="str">
        <x:v>{"exclusions":["설치비"],"goal":"비교표 작성","preserve_existing_tasks":true,"relation":"new_goal","targets":["S1-06:quote-L","S1-06:quote-R"]}</x:v>
      </x:c>
      <x:c r="E749" s="10" t="str">
        <x:v>{"exclusions":["설치비"],"goal":"비교표 작성","preserve_existing_tasks":true,"relation":"new_goal","targets":["S1-06:quote-L","S1-06:quote-R"]}</x:v>
      </x:c>
      <x:c r="F749" s="10" t="n">
        <x:f>IF(D749=E749,1,0)</x:f>
        <x:v>1</x:v>
      </x:c>
      <x:c r="G749" s="10" t="str">
        <x:v>필수 의미 전체 일치</x:v>
      </x:c>
    </x:row>
    <x:row r="750" ht="145" customHeight="1">
      <x:c r="A750" s="10" t="str">
        <x:v>V-A</x:v>
      </x:c>
      <x:c r="B750" s="10" t="str">
        <x:v>VOICE</x:v>
      </x:c>
      <x:c r="C750" s="10" t="str">
        <x:v>VOICE:S1-07:input</x:v>
      </x:c>
      <x:c r="D750" s="10" t="str">
        <x:v>{"exclusions":["설치비"],"goal":"비교표 작성","preserve_existing_tasks":true,"relation":"new_goal","targets":["S1-07:quote-L","S1-07:quote-R"]}</x:v>
      </x:c>
      <x:c r="E750" s="10" t="str">
        <x:v>{"exclusions":["설치비"],"goal":"비교표 작성","preserve_existing_tasks":true,"relation":"new_goal","targets":["S1-07:quote-L","S1-07:quote-R"]}</x:v>
      </x:c>
      <x:c r="F750" s="10" t="n">
        <x:f>IF(D750=E750,1,0)</x:f>
        <x:v>1</x:v>
      </x:c>
      <x:c r="G750" s="10" t="str">
        <x:v>필수 의미 전체 일치</x:v>
      </x:c>
    </x:row>
    <x:row r="751" ht="145" customHeight="1">
      <x:c r="A751" s="10" t="str">
        <x:v>V-R1</x:v>
      </x:c>
      <x:c r="B751" s="10" t="str">
        <x:v>VOICE</x:v>
      </x:c>
      <x:c r="C751" s="10" t="str">
        <x:v>VOICE:S1-07:input</x:v>
      </x:c>
      <x:c r="D751" s="10" t="str">
        <x:v>{"exclusions":["설치비"],"goal":"비교표 작성","preserve_existing_tasks":true,"relation":"new_goal","targets":["S1-07:quote-L","S1-07:quote-R"]}</x:v>
      </x:c>
      <x:c r="E751" s="10" t="str">
        <x:v>{"exclusions":["설치비"],"goal":"비교표 작성","preserve_existing_tasks":true,"relation":"new_goal","targets":["S1-07:quote-L","S1-07:quote-R"]}</x:v>
      </x:c>
      <x:c r="F751" s="10" t="n">
        <x:f>IF(D751=E751,1,0)</x:f>
        <x:v>1</x:v>
      </x:c>
      <x:c r="G751" s="10" t="str">
        <x:v>필수 의미 전체 일치</x:v>
      </x:c>
    </x:row>
    <x:row r="752" ht="145" customHeight="1">
      <x:c r="A752" s="10" t="str">
        <x:v>V-R2</x:v>
      </x:c>
      <x:c r="B752" s="10" t="str">
        <x:v>VOICE</x:v>
      </x:c>
      <x:c r="C752" s="10" t="str">
        <x:v>VOICE:S1-07:input</x:v>
      </x:c>
      <x:c r="D752" s="10" t="str">
        <x:v>{"exclusions":["설치비"],"goal":"비교표 작성","preserve_existing_tasks":true,"relation":"new_goal","targets":["S1-07:quote-L","S1-07:quote-R"]}</x:v>
      </x:c>
      <x:c r="E752" s="10" t="str">
        <x:v>{"exclusions":["설치비"],"goal":"비교표 작성","preserve_existing_tasks":true,"relation":"new_goal","targets":["S1-07:quote-L","S1-07:quote-R"]}</x:v>
      </x:c>
      <x:c r="F752" s="10" t="n">
        <x:f>IF(D752=E752,1,0)</x:f>
        <x:v>1</x:v>
      </x:c>
      <x:c r="G752" s="10" t="str">
        <x:v>필수 의미 전체 일치</x:v>
      </x:c>
    </x:row>
    <x:row r="753" ht="145" customHeight="1">
      <x:c r="A753" s="10" t="str">
        <x:v>V-R3</x:v>
      </x:c>
      <x:c r="B753" s="10" t="str">
        <x:v>VOICE</x:v>
      </x:c>
      <x:c r="C753" s="10" t="str">
        <x:v>VOICE:S1-07:input</x:v>
      </x:c>
      <x:c r="D753" s="10" t="str">
        <x:v>{"exclusions":["설치비"],"goal":"비교표 작성","preserve_existing_tasks":true,"relation":"new_goal","targets":["S1-07:quote-L","S1-07:quote-R"]}</x:v>
      </x:c>
      <x:c r="E753" s="10" t="str">
        <x:v>{"exclusions":["설치비"],"goal":"비교표 작성","preserve_existing_tasks":true,"relation":"new_goal","targets":["S1-07:quote-L","S1-07:quote-R"]}</x:v>
      </x:c>
      <x:c r="F753" s="10" t="n">
        <x:f>IF(D753=E753,1,0)</x:f>
        <x:v>1</x:v>
      </x:c>
      <x:c r="G753" s="10" t="str">
        <x:v>필수 의미 전체 일치</x:v>
      </x:c>
    </x:row>
    <x:row r="754" ht="145" customHeight="1">
      <x:c r="A754" s="10" t="str">
        <x:v>V-A</x:v>
      </x:c>
      <x:c r="B754" s="10" t="str">
        <x:v>VOICE</x:v>
      </x:c>
      <x:c r="C754" s="10" t="str">
        <x:v>VOICE:S1-08:input</x:v>
      </x:c>
      <x:c r="D754" s="10" t="str">
        <x:v>{"exclusions":["설치비"],"goal":"비교표 작성","preserve_existing_tasks":true,"relation":"new_goal","targets":["S1-08:quote-L","S1-08:quote-R"]}</x:v>
      </x:c>
      <x:c r="E754" s="10" t="str">
        <x:v>{"exclusions":["설치비"],"goal":"비교표 작성","preserve_existing_tasks":true,"relation":"new_goal","targets":["S1-08:quote-L","S1-08:quote-R"]}</x:v>
      </x:c>
      <x:c r="F754" s="10" t="n">
        <x:f>IF(D754=E754,1,0)</x:f>
        <x:v>1</x:v>
      </x:c>
      <x:c r="G754" s="10" t="str">
        <x:v>필수 의미 전체 일치</x:v>
      </x:c>
    </x:row>
    <x:row r="755" ht="145" customHeight="1">
      <x:c r="A755" s="10" t="str">
        <x:v>V-R1</x:v>
      </x:c>
      <x:c r="B755" s="10" t="str">
        <x:v>VOICE</x:v>
      </x:c>
      <x:c r="C755" s="10" t="str">
        <x:v>VOICE:S1-08:input</x:v>
      </x:c>
      <x:c r="D755" s="10" t="str">
        <x:v>{"exclusions":["설치비"],"goal":"비교표 작성","preserve_existing_tasks":true,"relation":"new_goal","targets":["S1-08:quote-L","S1-08:quote-R"]}</x:v>
      </x:c>
      <x:c r="E755" s="10" t="str">
        <x:v>{"exclusions":["설치비"],"goal":"비교표 작성","preserve_existing_tasks":true,"relation":"new_goal","targets":["S1-08:quote-L","S1-08:quote-R"]}</x:v>
      </x:c>
      <x:c r="F755" s="10" t="n">
        <x:f>IF(D755=E755,1,0)</x:f>
        <x:v>1</x:v>
      </x:c>
      <x:c r="G755" s="10" t="str">
        <x:v>필수 의미 전체 일치</x:v>
      </x:c>
    </x:row>
    <x:row r="756" ht="145" customHeight="1">
      <x:c r="A756" s="10" t="str">
        <x:v>V-R2</x:v>
      </x:c>
      <x:c r="B756" s="10" t="str">
        <x:v>VOICE</x:v>
      </x:c>
      <x:c r="C756" s="10" t="str">
        <x:v>VOICE:S1-08:input</x:v>
      </x:c>
      <x:c r="D756" s="10" t="str">
        <x:v>{"exclusions":["설치비"],"goal":"비교표 작성","preserve_existing_tasks":true,"relation":"new_goal","targets":["S1-08:quote-L","S1-08:quote-R"]}</x:v>
      </x:c>
      <x:c r="E756" s="10" t="str">
        <x:v>{"exclusions":["설치비"],"goal":"비교표 작성","preserve_existing_tasks":true,"relation":"new_goal","targets":["S1-08:quote-L","S1-08:quote-R"]}</x:v>
      </x:c>
      <x:c r="F756" s="10" t="n">
        <x:f>IF(D756=E756,1,0)</x:f>
        <x:v>1</x:v>
      </x:c>
      <x:c r="G756" s="10" t="str">
        <x:v>필수 의미 전체 일치</x:v>
      </x:c>
    </x:row>
    <x:row r="757" ht="145" customHeight="1">
      <x:c r="A757" s="10" t="str">
        <x:v>V-R3</x:v>
      </x:c>
      <x:c r="B757" s="10" t="str">
        <x:v>VOICE</x:v>
      </x:c>
      <x:c r="C757" s="10" t="str">
        <x:v>VOICE:S1-08:input</x:v>
      </x:c>
      <x:c r="D757" s="10" t="str">
        <x:v>{"exclusions":["설치비"],"goal":"비교표 작성","preserve_existing_tasks":true,"relation":"new_goal","targets":["S1-08:quote-L","S1-08:quote-R"]}</x:v>
      </x:c>
      <x:c r="E757" s="10" t="str">
        <x:v>{"exclusions":["설치비"],"goal":"비교표 작성","preserve_existing_tasks":true,"relation":"new_goal","targets":["S1-08:quote-L","S1-08:quote-R"]}</x:v>
      </x:c>
      <x:c r="F757" s="10" t="n">
        <x:f>IF(D757=E757,1,0)</x:f>
        <x:v>1</x:v>
      </x:c>
      <x:c r="G757" s="10" t="str">
        <x:v>필수 의미 전체 일치</x:v>
      </x:c>
    </x:row>
    <x:row r="758" ht="145" customHeight="1">
      <x:c r="A758" s="10" t="str">
        <x:v>V-A</x:v>
      </x:c>
      <x:c r="B758" s="10" t="str">
        <x:v>VOICE</x:v>
      </x:c>
      <x:c r="C758" s="10" t="str">
        <x:v>VOICE:S1-09:input</x:v>
      </x:c>
      <x:c r="D758" s="10" t="str">
        <x:v>{"exclusions":["설치비"],"goal":"비교표 작성","preserve_existing_tasks":true,"relation":"new_goal","targets":["S1-09:quote-L","S1-09:quote-R"]}</x:v>
      </x:c>
      <x:c r="E758" s="10" t="str">
        <x:v>{"exclusions":["설치비"],"goal":"비교표 작성","preserve_existing_tasks":true,"relation":"new_goal","targets":["S1-09:quote-L","S1-09:quote-R"]}</x:v>
      </x:c>
      <x:c r="F758" s="10" t="n">
        <x:f>IF(D758=E758,1,0)</x:f>
        <x:v>1</x:v>
      </x:c>
      <x:c r="G758" s="10" t="str">
        <x:v>필수 의미 전체 일치</x:v>
      </x:c>
    </x:row>
    <x:row r="759" ht="145" customHeight="1">
      <x:c r="A759" s="10" t="str">
        <x:v>V-R1</x:v>
      </x:c>
      <x:c r="B759" s="10" t="str">
        <x:v>VOICE</x:v>
      </x:c>
      <x:c r="C759" s="10" t="str">
        <x:v>VOICE:S1-09:input</x:v>
      </x:c>
      <x:c r="D759" s="10" t="str">
        <x:v>{"exclusions":["설치비"],"goal":"비교표 작성","preserve_existing_tasks":true,"relation":"new_goal","targets":["S1-09:quote-L","S1-09:quote-R"]}</x:v>
      </x:c>
      <x:c r="E759" s="10" t="str">
        <x:v>{"exclusions":["설치비"],"goal":"비교표 작성","preserve_existing_tasks":true,"relation":"new_goal","targets":["S1-09:quote-L","S1-09:quote-R"]}</x:v>
      </x:c>
      <x:c r="F759" s="10" t="n">
        <x:f>IF(D759=E759,1,0)</x:f>
        <x:v>1</x:v>
      </x:c>
      <x:c r="G759" s="10" t="str">
        <x:v>필수 의미 전체 일치</x:v>
      </x:c>
    </x:row>
    <x:row r="760" ht="145" customHeight="1">
      <x:c r="A760" s="10" t="str">
        <x:v>V-R2</x:v>
      </x:c>
      <x:c r="B760" s="10" t="str">
        <x:v>VOICE</x:v>
      </x:c>
      <x:c r="C760" s="10" t="str">
        <x:v>VOICE:S1-09:input</x:v>
      </x:c>
      <x:c r="D760" s="10" t="str">
        <x:v>{"exclusions":["설치비"],"goal":"비교표 작성","preserve_existing_tasks":true,"relation":"new_goal","targets":["S1-09:quote-L","S1-09:quote-R"]}</x:v>
      </x:c>
      <x:c r="E760" s="10" t="str">
        <x:v>{"exclusions":["설치비"],"goal":"비교표 작성","preserve_existing_tasks":true,"relation":"new_goal","targets":["S1-09:quote-L","S1-09:quote-R"]}</x:v>
      </x:c>
      <x:c r="F760" s="10" t="n">
        <x:f>IF(D760=E760,1,0)</x:f>
        <x:v>1</x:v>
      </x:c>
      <x:c r="G760" s="10" t="str">
        <x:v>필수 의미 전체 일치</x:v>
      </x:c>
    </x:row>
    <x:row r="761" ht="145" customHeight="1">
      <x:c r="A761" s="10" t="str">
        <x:v>V-R3</x:v>
      </x:c>
      <x:c r="B761" s="10" t="str">
        <x:v>VOICE</x:v>
      </x:c>
      <x:c r="C761" s="10" t="str">
        <x:v>VOICE:S1-09:input</x:v>
      </x:c>
      <x:c r="D761" s="10" t="str">
        <x:v>{"exclusions":["설치비"],"goal":"비교표 작성","preserve_existing_tasks":true,"relation":"new_goal","targets":["S1-09:quote-L","S1-09:quote-R"]}</x:v>
      </x:c>
      <x:c r="E761" s="10" t="str">
        <x:v>{"exclusions":["설치비"],"goal":"비교표 작성","preserve_existing_tasks":true,"relation":"new_goal","targets":["S1-09:quote-L","S1-09:quote-R"]}</x:v>
      </x:c>
      <x:c r="F761" s="10" t="n">
        <x:f>IF(D761=E761,1,0)</x:f>
        <x:v>1</x:v>
      </x:c>
      <x:c r="G761" s="10" t="str">
        <x:v>필수 의미 전체 일치</x:v>
      </x:c>
    </x:row>
    <x:row r="762" ht="145" customHeight="1">
      <x:c r="A762" s="10" t="str">
        <x:v>V-A</x:v>
      </x:c>
      <x:c r="B762" s="10" t="str">
        <x:v>VOICE</x:v>
      </x:c>
      <x:c r="C762" s="10" t="str">
        <x:v>VOICE:S1-10:input</x:v>
      </x:c>
      <x:c r="D762" s="10" t="str">
        <x:v>{"exclusions":["설치비"],"goal":"비교표 작성","preserve_existing_tasks":true,"relation":"new_goal","targets":["S1-10:quote-L","S1-10:quote-R"]}</x:v>
      </x:c>
      <x:c r="E762" s="10" t="str">
        <x:v>{"exclusions":[],"goal":"비교표 작성","preserve_existing_tasks":true,"relation":"new_goal","targets":["S1-10:quote-L","S1-10:quote-R"]}</x:v>
      </x:c>
      <x:c r="F762" s="10" t="n">
        <x:f>IF(D762=E762,1,0)</x:f>
        <x:v>0</x:v>
      </x:c>
      <x:c r="G762" s="10" t="str">
        <x:v>대상은 맞지만 설치비 제외 조건을 최초 채택에서 누락</x:v>
      </x:c>
    </x:row>
    <x:row r="763" ht="145" customHeight="1">
      <x:c r="A763" s="10" t="str">
        <x:v>V-R1</x:v>
      </x:c>
      <x:c r="B763" s="10" t="str">
        <x:v>VOICE</x:v>
      </x:c>
      <x:c r="C763" s="10" t="str">
        <x:v>VOICE:S1-10:input</x:v>
      </x:c>
      <x:c r="D763" s="10" t="str">
        <x:v>{"exclusions":["설치비"],"goal":"비교표 작성","preserve_existing_tasks":true,"relation":"new_goal","targets":["S1-10:quote-L","S1-10:quote-R"]}</x:v>
      </x:c>
      <x:c r="E763" s="10" t="str">
        <x:v>{"exclusions":[],"goal":"비교표 작성","preserve_existing_tasks":true,"relation":"new_goal","targets":["S1-10:quote-L","S1-10:quote-R"]}</x:v>
      </x:c>
      <x:c r="F763" s="10" t="n">
        <x:f>IF(D763=E763,1,0)</x:f>
        <x:v>0</x:v>
      </x:c>
      <x:c r="G763" s="10" t="str">
        <x:v>대상은 맞지만 설치비 제외 조건을 최초 채택에서 누락</x:v>
      </x:c>
    </x:row>
    <x:row r="764" ht="145" customHeight="1">
      <x:c r="A764" s="10" t="str">
        <x:v>V-R2</x:v>
      </x:c>
      <x:c r="B764" s="10" t="str">
        <x:v>VOICE</x:v>
      </x:c>
      <x:c r="C764" s="10" t="str">
        <x:v>VOICE:S1-10:input</x:v>
      </x:c>
      <x:c r="D764" s="10" t="str">
        <x:v>{"exclusions":["설치비"],"goal":"비교표 작성","preserve_existing_tasks":true,"relation":"new_goal","targets":["S1-10:quote-L","S1-10:quote-R"]}</x:v>
      </x:c>
      <x:c r="E764" s="10" t="str">
        <x:v>{"exclusions":[],"goal":"비교표 작성","preserve_existing_tasks":true,"relation":"new_goal","targets":["S1-10:quote-L","S1-10:quote-R"]}</x:v>
      </x:c>
      <x:c r="F764" s="10" t="n">
        <x:f>IF(D764=E764,1,0)</x:f>
        <x:v>0</x:v>
      </x:c>
      <x:c r="G764" s="10" t="str">
        <x:v>대상은 맞지만 설치비 제외 조건을 최초 채택에서 누락</x:v>
      </x:c>
    </x:row>
    <x:row r="765" ht="145" customHeight="1">
      <x:c r="A765" s="10" t="str">
        <x:v>V-R3</x:v>
      </x:c>
      <x:c r="B765" s="10" t="str">
        <x:v>VOICE</x:v>
      </x:c>
      <x:c r="C765" s="10" t="str">
        <x:v>VOICE:S1-10:input</x:v>
      </x:c>
      <x:c r="D765" s="10" t="str">
        <x:v>{"exclusions":["설치비"],"goal":"비교표 작성","preserve_existing_tasks":true,"relation":"new_goal","targets":["S1-10:quote-L","S1-10:quote-R"]}</x:v>
      </x:c>
      <x:c r="E765" s="10" t="str">
        <x:v>{"exclusions":[],"goal":"비교표 작성","preserve_existing_tasks":true,"relation":"new_goal","targets":["S1-10:quote-L","S1-10:quote-R"]}</x:v>
      </x:c>
      <x:c r="F765" s="10" t="n">
        <x:f>IF(D765=E765,1,0)</x:f>
        <x:v>0</x:v>
      </x:c>
      <x:c r="G765" s="10" t="str">
        <x:v>대상은 맞지만 설치비 제외 조건을 최초 채택에서 누락</x:v>
      </x:c>
    </x:row>
    <x:row r="766" ht="145" customHeight="1">
      <x:c r="A766" s="10" t="str">
        <x:v>V-A</x:v>
      </x:c>
      <x:c r="B766" s="10" t="str">
        <x:v>VOICE</x:v>
      </x:c>
      <x:c r="C766" s="10" t="str">
        <x:v>VOICE:S1-11:input</x:v>
      </x:c>
      <x:c r="D766" s="10" t="str">
        <x:v>{"exclusions":["설치비"],"goal":"비교표 작성","preserve_existing_tasks":true,"relation":"new_goal","targets":["S1-11:quote-L","S1-11:quote-R"]}</x:v>
      </x:c>
      <x:c r="E766" s="10" t="str">
        <x:v>{"exclusions":["설치비"],"goal":"비교표 작성","preserve_existing_tasks":true,"relation":"new_goal","targets":["S1-11:quote-L","S1-11:quote-R"]}</x:v>
      </x:c>
      <x:c r="F766" s="10" t="n">
        <x:f>IF(D766=E766,1,0)</x:f>
        <x:v>1</x:v>
      </x:c>
      <x:c r="G766" s="10" t="str">
        <x:v>필수 의미 전체 일치</x:v>
      </x:c>
    </x:row>
    <x:row r="767" ht="145" customHeight="1">
      <x:c r="A767" s="10" t="str">
        <x:v>V-R1</x:v>
      </x:c>
      <x:c r="B767" s="10" t="str">
        <x:v>VOICE</x:v>
      </x:c>
      <x:c r="C767" s="10" t="str">
        <x:v>VOICE:S1-11:input</x:v>
      </x:c>
      <x:c r="D767" s="10" t="str">
        <x:v>{"exclusions":["설치비"],"goal":"비교표 작성","preserve_existing_tasks":true,"relation":"new_goal","targets":["S1-11:quote-L","S1-11:quote-R"]}</x:v>
      </x:c>
      <x:c r="E767" s="10" t="str">
        <x:v>{"exclusions":["설치비"],"goal":"비교표 작성","preserve_existing_tasks":true,"relation":"new_goal","targets":["S1-11:quote-L","S1-11:quote-R"]}</x:v>
      </x:c>
      <x:c r="F767" s="10" t="n">
        <x:f>IF(D767=E767,1,0)</x:f>
        <x:v>1</x:v>
      </x:c>
      <x:c r="G767" s="10" t="str">
        <x:v>필수 의미 전체 일치</x:v>
      </x:c>
    </x:row>
    <x:row r="768" ht="145" customHeight="1">
      <x:c r="A768" s="10" t="str">
        <x:v>V-R2</x:v>
      </x:c>
      <x:c r="B768" s="10" t="str">
        <x:v>VOICE</x:v>
      </x:c>
      <x:c r="C768" s="10" t="str">
        <x:v>VOICE:S1-11:input</x:v>
      </x:c>
      <x:c r="D768" s="10" t="str">
        <x:v>{"exclusions":["설치비"],"goal":"비교표 작성","preserve_existing_tasks":true,"relation":"new_goal","targets":["S1-11:quote-L","S1-11:quote-R"]}</x:v>
      </x:c>
      <x:c r="E768" s="10" t="str">
        <x:v>{"exclusions":["설치비"],"goal":"비교표 작성","preserve_existing_tasks":true,"relation":"new_goal","targets":["S1-11:quote-L","S1-11:quote-R"]}</x:v>
      </x:c>
      <x:c r="F768" s="10" t="n">
        <x:f>IF(D768=E768,1,0)</x:f>
        <x:v>1</x:v>
      </x:c>
      <x:c r="G768" s="10" t="str">
        <x:v>필수 의미 전체 일치</x:v>
      </x:c>
    </x:row>
    <x:row r="769" ht="145" customHeight="1">
      <x:c r="A769" s="10" t="str">
        <x:v>V-R3</x:v>
      </x:c>
      <x:c r="B769" s="10" t="str">
        <x:v>VOICE</x:v>
      </x:c>
      <x:c r="C769" s="10" t="str">
        <x:v>VOICE:S1-11:input</x:v>
      </x:c>
      <x:c r="D769" s="10" t="str">
        <x:v>{"exclusions":["설치비"],"goal":"비교표 작성","preserve_existing_tasks":true,"relation":"new_goal","targets":["S1-11:quote-L","S1-11:quote-R"]}</x:v>
      </x:c>
      <x:c r="E769" s="10" t="str">
        <x:v>{"exclusions":["설치비"],"goal":"비교표 작성","preserve_existing_tasks":true,"relation":"new_goal","targets":["S1-11:quote-L","S1-11:quote-R"]}</x:v>
      </x:c>
      <x:c r="F769" s="10" t="n">
        <x:f>IF(D769=E769,1,0)</x:f>
        <x:v>1</x:v>
      </x:c>
      <x:c r="G769" s="10" t="str">
        <x:v>필수 의미 전체 일치</x:v>
      </x:c>
    </x:row>
    <x:row r="770" ht="145" customHeight="1">
      <x:c r="A770" s="10" t="str">
        <x:v>V-A</x:v>
      </x:c>
      <x:c r="B770" s="10" t="str">
        <x:v>VOICE</x:v>
      </x:c>
      <x:c r="C770" s="10" t="str">
        <x:v>VOICE:S1-12:input</x:v>
      </x:c>
      <x:c r="D770" s="10" t="str">
        <x:v>{"exclusions":["설치비"],"goal":"비교표 작성","preserve_existing_tasks":true,"relation":"new_goal","targets":["S1-12:quote-L","S1-12:quote-R"]}</x:v>
      </x:c>
      <x:c r="E770" s="10" t="str">
        <x:v>{"exclusions":["설치비"],"goal":"비교표 작성","preserve_existing_tasks":true,"relation":"new_goal","targets":["S1-12:quote-L","S1-12:quote-R"]}</x:v>
      </x:c>
      <x:c r="F770" s="10" t="n">
        <x:f>IF(D770=E770,1,0)</x:f>
        <x:v>1</x:v>
      </x:c>
      <x:c r="G770" s="10" t="str">
        <x:v>필수 의미 전체 일치</x:v>
      </x:c>
    </x:row>
    <x:row r="771" ht="145" customHeight="1">
      <x:c r="A771" s="10" t="str">
        <x:v>V-R1</x:v>
      </x:c>
      <x:c r="B771" s="10" t="str">
        <x:v>VOICE</x:v>
      </x:c>
      <x:c r="C771" s="10" t="str">
        <x:v>VOICE:S1-12:input</x:v>
      </x:c>
      <x:c r="D771" s="10" t="str">
        <x:v>{"exclusions":["설치비"],"goal":"비교표 작성","preserve_existing_tasks":true,"relation":"new_goal","targets":["S1-12:quote-L","S1-12:quote-R"]}</x:v>
      </x:c>
      <x:c r="E771" s="10" t="str">
        <x:v>{"exclusions":["설치비"],"goal":"비교표 작성","preserve_existing_tasks":true,"relation":"new_goal","targets":["S1-12:quote-L","S1-12:quote-R"]}</x:v>
      </x:c>
      <x:c r="F771" s="10" t="n">
        <x:f>IF(D771=E771,1,0)</x:f>
        <x:v>1</x:v>
      </x:c>
      <x:c r="G771" s="10" t="str">
        <x:v>필수 의미 전체 일치</x:v>
      </x:c>
    </x:row>
    <x:row r="772" ht="145" customHeight="1">
      <x:c r="A772" s="10" t="str">
        <x:v>V-R2</x:v>
      </x:c>
      <x:c r="B772" s="10" t="str">
        <x:v>VOICE</x:v>
      </x:c>
      <x:c r="C772" s="10" t="str">
        <x:v>VOICE:S1-12:input</x:v>
      </x:c>
      <x:c r="D772" s="10" t="str">
        <x:v>{"exclusions":["설치비"],"goal":"비교표 작성","preserve_existing_tasks":true,"relation":"new_goal","targets":["S1-12:quote-L","S1-12:quote-R"]}</x:v>
      </x:c>
      <x:c r="E772" s="10" t="str">
        <x:v>{"exclusions":["설치비"],"goal":"비교표 작성","preserve_existing_tasks":true,"relation":"new_goal","targets":["S1-12:quote-L","S1-12:quote-R"]}</x:v>
      </x:c>
      <x:c r="F772" s="10" t="n">
        <x:f>IF(D772=E772,1,0)</x:f>
        <x:v>1</x:v>
      </x:c>
      <x:c r="G772" s="10" t="str">
        <x:v>필수 의미 전체 일치</x:v>
      </x:c>
    </x:row>
    <x:row r="773" ht="145" customHeight="1">
      <x:c r="A773" s="10" t="str">
        <x:v>V-R3</x:v>
      </x:c>
      <x:c r="B773" s="10" t="str">
        <x:v>VOICE</x:v>
      </x:c>
      <x:c r="C773" s="10" t="str">
        <x:v>VOICE:S1-12:input</x:v>
      </x:c>
      <x:c r="D773" s="10" t="str">
        <x:v>{"exclusions":["설치비"],"goal":"비교표 작성","preserve_existing_tasks":true,"relation":"new_goal","targets":["S1-12:quote-L","S1-12:quote-R"]}</x:v>
      </x:c>
      <x:c r="E773" s="10" t="str">
        <x:v>{"exclusions":["설치비"],"goal":"비교표 작성","preserve_existing_tasks":true,"relation":"new_goal","targets":["S1-12:quote-L","S1-12:quote-R"]}</x:v>
      </x:c>
      <x:c r="F773" s="10" t="n">
        <x:f>IF(D773=E773,1,0)</x:f>
        <x:v>1</x:v>
      </x:c>
      <x:c r="G773" s="10" t="str">
        <x:v>필수 의미 전체 일치</x:v>
      </x:c>
    </x:row>
    <x:row r="774" ht="145" customHeight="1">
      <x:c r="A774" s="10" t="str">
        <x:v>V-A</x:v>
      </x:c>
      <x:c r="B774" s="10" t="str">
        <x:v>VOICE</x:v>
      </x:c>
      <x:c r="C774" s="10" t="str">
        <x:v>VOICE:S1-13:input</x:v>
      </x:c>
      <x:c r="D774" s="10" t="str">
        <x:v>{"exclusions":["설치비"],"goal":"비교표 작성","preserve_existing_tasks":true,"relation":"new_goal","targets":["S1-13:quote-L","S1-13:quote-R"]}</x:v>
      </x:c>
      <x:c r="E774" s="10" t="str">
        <x:v>{"exclusions":["설치비"],"goal":"비교표 작성","preserve_existing_tasks":true,"relation":"new_goal","targets":["S1-13:quote-L","S1-13:quote-R"]}</x:v>
      </x:c>
      <x:c r="F774" s="10" t="n">
        <x:f>IF(D774=E774,1,0)</x:f>
        <x:v>1</x:v>
      </x:c>
      <x:c r="G774" s="10" t="str">
        <x:v>필수 의미 전체 일치</x:v>
      </x:c>
    </x:row>
    <x:row r="775" ht="145" customHeight="1">
      <x:c r="A775" s="10" t="str">
        <x:v>V-R1</x:v>
      </x:c>
      <x:c r="B775" s="10" t="str">
        <x:v>VOICE</x:v>
      </x:c>
      <x:c r="C775" s="10" t="str">
        <x:v>VOICE:S1-13:input</x:v>
      </x:c>
      <x:c r="D775" s="10" t="str">
        <x:v>{"exclusions":["설치비"],"goal":"비교표 작성","preserve_existing_tasks":true,"relation":"new_goal","targets":["S1-13:quote-L","S1-13:quote-R"]}</x:v>
      </x:c>
      <x:c r="E775" s="10" t="str">
        <x:v>{"exclusions":["설치비"],"goal":"비교표 작성","preserve_existing_tasks":true,"relation":"new_goal","targets":["S1-13:quote-L","S1-13:quote-R"]}</x:v>
      </x:c>
      <x:c r="F775" s="10" t="n">
        <x:f>IF(D775=E775,1,0)</x:f>
        <x:v>1</x:v>
      </x:c>
      <x:c r="G775" s="10" t="str">
        <x:v>필수 의미 전체 일치</x:v>
      </x:c>
    </x:row>
    <x:row r="776" ht="145" customHeight="1">
      <x:c r="A776" s="10" t="str">
        <x:v>V-R2</x:v>
      </x:c>
      <x:c r="B776" s="10" t="str">
        <x:v>VOICE</x:v>
      </x:c>
      <x:c r="C776" s="10" t="str">
        <x:v>VOICE:S1-13:input</x:v>
      </x:c>
      <x:c r="D776" s="10" t="str">
        <x:v>{"exclusions":["설치비"],"goal":"비교표 작성","preserve_existing_tasks":true,"relation":"new_goal","targets":["S1-13:quote-L","S1-13:quote-R"]}</x:v>
      </x:c>
      <x:c r="E776" s="10" t="str">
        <x:v>{"exclusions":["설치비"],"goal":"비교표 작성","preserve_existing_tasks":true,"relation":"new_goal","targets":["S1-13:quote-L","S1-13:quote-R"]}</x:v>
      </x:c>
      <x:c r="F776" s="10" t="n">
        <x:f>IF(D776=E776,1,0)</x:f>
        <x:v>1</x:v>
      </x:c>
      <x:c r="G776" s="10" t="str">
        <x:v>필수 의미 전체 일치</x:v>
      </x:c>
    </x:row>
    <x:row r="777" ht="145" customHeight="1">
      <x:c r="A777" s="10" t="str">
        <x:v>V-R3</x:v>
      </x:c>
      <x:c r="B777" s="10" t="str">
        <x:v>VOICE</x:v>
      </x:c>
      <x:c r="C777" s="10" t="str">
        <x:v>VOICE:S1-13:input</x:v>
      </x:c>
      <x:c r="D777" s="10" t="str">
        <x:v>{"exclusions":["설치비"],"goal":"비교표 작성","preserve_existing_tasks":true,"relation":"new_goal","targets":["S1-13:quote-L","S1-13:quote-R"]}</x:v>
      </x:c>
      <x:c r="E777" s="10" t="str">
        <x:v>{"exclusions":["설치비"],"goal":"비교표 작성","preserve_existing_tasks":true,"relation":"new_goal","targets":["S1-13:quote-L","S1-13:quote-R"]}</x:v>
      </x:c>
      <x:c r="F777" s="10" t="n">
        <x:f>IF(D777=E777,1,0)</x:f>
        <x:v>1</x:v>
      </x:c>
      <x:c r="G777" s="10" t="str">
        <x:v>필수 의미 전체 일치</x:v>
      </x:c>
    </x:row>
    <x:row r="778" ht="145" customHeight="1">
      <x:c r="A778" s="10" t="str">
        <x:v>V-A</x:v>
      </x:c>
      <x:c r="B778" s="10" t="str">
        <x:v>VOICE</x:v>
      </x:c>
      <x:c r="C778" s="10" t="str">
        <x:v>VOICE:S1-14:input</x:v>
      </x:c>
      <x:c r="D778" s="10" t="str">
        <x:v>{"exclusions":["설치비"],"goal":"비교표 작성","preserve_existing_tasks":true,"relation":"new_goal","targets":["S1-14:quote-L","S1-14:quote-R"]}</x:v>
      </x:c>
      <x:c r="E778" s="10" t="str">
        <x:v>{"exclusions":["설치비"],"goal":"비교표 작성","preserve_existing_tasks":true,"relation":"new_goal","targets":["S1-14:quote-L","S1-14:quote-R"]}</x:v>
      </x:c>
      <x:c r="F778" s="10" t="n">
        <x:f>IF(D778=E778,1,0)</x:f>
        <x:v>1</x:v>
      </x:c>
      <x:c r="G778" s="10" t="str">
        <x:v>필수 의미 전체 일치</x:v>
      </x:c>
    </x:row>
    <x:row r="779" ht="145" customHeight="1">
      <x:c r="A779" s="10" t="str">
        <x:v>V-R1</x:v>
      </x:c>
      <x:c r="B779" s="10" t="str">
        <x:v>VOICE</x:v>
      </x:c>
      <x:c r="C779" s="10" t="str">
        <x:v>VOICE:S1-14:input</x:v>
      </x:c>
      <x:c r="D779" s="10" t="str">
        <x:v>{"exclusions":["설치비"],"goal":"비교표 작성","preserve_existing_tasks":true,"relation":"new_goal","targets":["S1-14:quote-L","S1-14:quote-R"]}</x:v>
      </x:c>
      <x:c r="E779" s="10" t="str">
        <x:v>{"exclusions":["설치비"],"goal":"비교표 작성","preserve_existing_tasks":true,"relation":"new_goal","targets":["S1-14:quote-L","S1-14:quote-R"]}</x:v>
      </x:c>
      <x:c r="F779" s="10" t="n">
        <x:f>IF(D779=E779,1,0)</x:f>
        <x:v>1</x:v>
      </x:c>
      <x:c r="G779" s="10" t="str">
        <x:v>필수 의미 전체 일치</x:v>
      </x:c>
    </x:row>
    <x:row r="780" ht="145" customHeight="1">
      <x:c r="A780" s="10" t="str">
        <x:v>V-R2</x:v>
      </x:c>
      <x:c r="B780" s="10" t="str">
        <x:v>VOICE</x:v>
      </x:c>
      <x:c r="C780" s="10" t="str">
        <x:v>VOICE:S1-14:input</x:v>
      </x:c>
      <x:c r="D780" s="10" t="str">
        <x:v>{"exclusions":["설치비"],"goal":"비교표 작성","preserve_existing_tasks":true,"relation":"new_goal","targets":["S1-14:quote-L","S1-14:quote-R"]}</x:v>
      </x:c>
      <x:c r="E780" s="10" t="str">
        <x:v>{"exclusions":["설치비"],"goal":"비교표 작성","preserve_existing_tasks":true,"relation":"new_goal","targets":["S1-14:quote-L","S1-14:quote-R"]}</x:v>
      </x:c>
      <x:c r="F780" s="10" t="n">
        <x:f>IF(D780=E780,1,0)</x:f>
        <x:v>1</x:v>
      </x:c>
      <x:c r="G780" s="10" t="str">
        <x:v>필수 의미 전체 일치</x:v>
      </x:c>
    </x:row>
    <x:row r="781" ht="145" customHeight="1">
      <x:c r="A781" s="10" t="str">
        <x:v>V-R3</x:v>
      </x:c>
      <x:c r="B781" s="10" t="str">
        <x:v>VOICE</x:v>
      </x:c>
      <x:c r="C781" s="10" t="str">
        <x:v>VOICE:S1-14:input</x:v>
      </x:c>
      <x:c r="D781" s="10" t="str">
        <x:v>{"exclusions":["설치비"],"goal":"비교표 작성","preserve_existing_tasks":true,"relation":"new_goal","targets":["S1-14:quote-L","S1-14:quote-R"]}</x:v>
      </x:c>
      <x:c r="E781" s="10" t="str">
        <x:v>{"exclusions":["설치비"],"goal":"비교표 작성","preserve_existing_tasks":true,"relation":"new_goal","targets":["S1-14:quote-L","S1-14:quote-R"]}</x:v>
      </x:c>
      <x:c r="F781" s="10" t="n">
        <x:f>IF(D781=E781,1,0)</x:f>
        <x:v>1</x:v>
      </x:c>
      <x:c r="G781" s="10" t="str">
        <x:v>필수 의미 전체 일치</x:v>
      </x:c>
    </x:row>
    <x:row r="782" ht="145" customHeight="1">
      <x:c r="A782" s="10" t="str">
        <x:v>V-A</x:v>
      </x:c>
      <x:c r="B782" s="10" t="str">
        <x:v>VOICE</x:v>
      </x:c>
      <x:c r="C782" s="10" t="str">
        <x:v>VOICE:S1-15:input</x:v>
      </x:c>
      <x:c r="D782" s="10" t="str">
        <x:v>{"exclusions":["설치비"],"goal":"비교표 작성","preserve_existing_tasks":true,"relation":"new_goal","targets":["S1-15:quote-L","S1-15:quote-R"]}</x:v>
      </x:c>
      <x:c r="E782" s="10" t="str">
        <x:v>{"exclusions":["설치비"],"goal":"비교표 작성","preserve_existing_tasks":true,"relation":"new_goal","targets":["S1-15:quote-L","S1-15:quote-R"]}</x:v>
      </x:c>
      <x:c r="F782" s="10" t="n">
        <x:f>IF(D782=E782,1,0)</x:f>
        <x:v>1</x:v>
      </x:c>
      <x:c r="G782" s="10" t="str">
        <x:v>필수 의미 전체 일치</x:v>
      </x:c>
    </x:row>
    <x:row r="783" ht="145" customHeight="1">
      <x:c r="A783" s="10" t="str">
        <x:v>V-R1</x:v>
      </x:c>
      <x:c r="B783" s="10" t="str">
        <x:v>VOICE</x:v>
      </x:c>
      <x:c r="C783" s="10" t="str">
        <x:v>VOICE:S1-15:input</x:v>
      </x:c>
      <x:c r="D783" s="10" t="str">
        <x:v>{"exclusions":["설치비"],"goal":"비교표 작성","preserve_existing_tasks":true,"relation":"new_goal","targets":["S1-15:quote-L","S1-15:quote-R"]}</x:v>
      </x:c>
      <x:c r="E783" s="10" t="str">
        <x:v>{"exclusions":["설치비"],"goal":"비교표 작성","preserve_existing_tasks":true,"relation":"new_goal","targets":["S1-15:quote-L","S1-15:quote-R"]}</x:v>
      </x:c>
      <x:c r="F783" s="10" t="n">
        <x:f>IF(D783=E783,1,0)</x:f>
        <x:v>1</x:v>
      </x:c>
      <x:c r="G783" s="10" t="str">
        <x:v>필수 의미 전체 일치</x:v>
      </x:c>
    </x:row>
    <x:row r="784" ht="145" customHeight="1">
      <x:c r="A784" s="10" t="str">
        <x:v>V-R2</x:v>
      </x:c>
      <x:c r="B784" s="10" t="str">
        <x:v>VOICE</x:v>
      </x:c>
      <x:c r="C784" s="10" t="str">
        <x:v>VOICE:S1-15:input</x:v>
      </x:c>
      <x:c r="D784" s="10" t="str">
        <x:v>{"exclusions":["설치비"],"goal":"비교표 작성","preserve_existing_tasks":true,"relation":"new_goal","targets":["S1-15:quote-L","S1-15:quote-R"]}</x:v>
      </x:c>
      <x:c r="E784" s="10" t="str">
        <x:v>{"exclusions":["설치비"],"goal":"비교표 작성","preserve_existing_tasks":true,"relation":"new_goal","targets":["S1-15:quote-L","S1-15:quote-R"]}</x:v>
      </x:c>
      <x:c r="F784" s="10" t="n">
        <x:f>IF(D784=E784,1,0)</x:f>
        <x:v>1</x:v>
      </x:c>
      <x:c r="G784" s="10" t="str">
        <x:v>필수 의미 전체 일치</x:v>
      </x:c>
    </x:row>
    <x:row r="785" ht="145" customHeight="1">
      <x:c r="A785" s="10" t="str">
        <x:v>V-R3</x:v>
      </x:c>
      <x:c r="B785" s="10" t="str">
        <x:v>VOICE</x:v>
      </x:c>
      <x:c r="C785" s="10" t="str">
        <x:v>VOICE:S1-15:input</x:v>
      </x:c>
      <x:c r="D785" s="10" t="str">
        <x:v>{"exclusions":["설치비"],"goal":"비교표 작성","preserve_existing_tasks":true,"relation":"new_goal","targets":["S1-15:quote-L","S1-15:quote-R"]}</x:v>
      </x:c>
      <x:c r="E785" s="10" t="str">
        <x:v>{"exclusions":["설치비"],"goal":"비교표 작성","preserve_existing_tasks":true,"relation":"new_goal","targets":["S1-15:quote-L","S1-15:quote-R"]}</x:v>
      </x:c>
      <x:c r="F785" s="10" t="n">
        <x:f>IF(D785=E785,1,0)</x:f>
        <x:v>1</x:v>
      </x:c>
      <x:c r="G785" s="10" t="str">
        <x:v>필수 의미 전체 일치</x:v>
      </x:c>
    </x:row>
    <x:row r="786" ht="145" customHeight="1">
      <x:c r="A786" s="10" t="str">
        <x:v>V-A</x:v>
      </x:c>
      <x:c r="B786" s="10" t="str">
        <x:v>VOICE</x:v>
      </x:c>
      <x:c r="C786" s="10" t="str">
        <x:v>VOICE:S1-16:input</x:v>
      </x:c>
      <x:c r="D786" s="10" t="str">
        <x:v>{"exclusions":["설치비"],"goal":"비교표 작성","preserve_existing_tasks":true,"relation":"new_goal","targets":["S1-16:quote-L","S1-16:quote-R"]}</x:v>
      </x:c>
      <x:c r="E786" s="10" t="str">
        <x:v>{"exclusions":["설치비"],"goal":"비교표 작성","preserve_existing_tasks":true,"relation":"new_goal","targets":["S1-16:quote-L","S1-16:quote-R"]}</x:v>
      </x:c>
      <x:c r="F786" s="10" t="n">
        <x:f>IF(D786=E786,1,0)</x:f>
        <x:v>1</x:v>
      </x:c>
      <x:c r="G786" s="10" t="str">
        <x:v>필수 의미 전체 일치</x:v>
      </x:c>
    </x:row>
    <x:row r="787" ht="145" customHeight="1">
      <x:c r="A787" s="10" t="str">
        <x:v>V-R1</x:v>
      </x:c>
      <x:c r="B787" s="10" t="str">
        <x:v>VOICE</x:v>
      </x:c>
      <x:c r="C787" s="10" t="str">
        <x:v>VOICE:S1-16:input</x:v>
      </x:c>
      <x:c r="D787" s="10" t="str">
        <x:v>{"exclusions":["설치비"],"goal":"비교표 작성","preserve_existing_tasks":true,"relation":"new_goal","targets":["S1-16:quote-L","S1-16:quote-R"]}</x:v>
      </x:c>
      <x:c r="E787" s="10" t="str">
        <x:v>{"exclusions":["설치비"],"goal":"비교표 작성","preserve_existing_tasks":true,"relation":"new_goal","targets":["S1-16:quote-L","S1-16:quote-R"]}</x:v>
      </x:c>
      <x:c r="F787" s="10" t="n">
        <x:f>IF(D787=E787,1,0)</x:f>
        <x:v>1</x:v>
      </x:c>
      <x:c r="G787" s="10" t="str">
        <x:v>필수 의미 전체 일치</x:v>
      </x:c>
    </x:row>
    <x:row r="788" ht="145" customHeight="1">
      <x:c r="A788" s="10" t="str">
        <x:v>V-R2</x:v>
      </x:c>
      <x:c r="B788" s="10" t="str">
        <x:v>VOICE</x:v>
      </x:c>
      <x:c r="C788" s="10" t="str">
        <x:v>VOICE:S1-16:input</x:v>
      </x:c>
      <x:c r="D788" s="10" t="str">
        <x:v>{"exclusions":["설치비"],"goal":"비교표 작성","preserve_existing_tasks":true,"relation":"new_goal","targets":["S1-16:quote-L","S1-16:quote-R"]}</x:v>
      </x:c>
      <x:c r="E788" s="10" t="str">
        <x:v>{"exclusions":["설치비"],"goal":"비교표 작성","preserve_existing_tasks":true,"relation":"new_goal","targets":["S1-16:quote-L","S1-16:quote-R"]}</x:v>
      </x:c>
      <x:c r="F788" s="10" t="n">
        <x:f>IF(D788=E788,1,0)</x:f>
        <x:v>1</x:v>
      </x:c>
      <x:c r="G788" s="10" t="str">
        <x:v>필수 의미 전체 일치</x:v>
      </x:c>
    </x:row>
    <x:row r="789" ht="145" customHeight="1">
      <x:c r="A789" s="10" t="str">
        <x:v>V-R3</x:v>
      </x:c>
      <x:c r="B789" s="10" t="str">
        <x:v>VOICE</x:v>
      </x:c>
      <x:c r="C789" s="10" t="str">
        <x:v>VOICE:S1-16:input</x:v>
      </x:c>
      <x:c r="D789" s="10" t="str">
        <x:v>{"exclusions":["설치비"],"goal":"비교표 작성","preserve_existing_tasks":true,"relation":"new_goal","targets":["S1-16:quote-L","S1-16:quote-R"]}</x:v>
      </x:c>
      <x:c r="E789" s="10" t="str">
        <x:v>{"exclusions":["설치비"],"goal":"비교표 작성","preserve_existing_tasks":true,"relation":"new_goal","targets":["S1-16:quote-L","S1-16:quote-R"]}</x:v>
      </x:c>
      <x:c r="F789" s="10" t="n">
        <x:f>IF(D789=E789,1,0)</x:f>
        <x:v>1</x:v>
      </x:c>
      <x:c r="G789" s="10" t="str">
        <x:v>필수 의미 전체 일치</x:v>
      </x:c>
    </x:row>
    <x:row r="790" ht="145" customHeight="1">
      <x:c r="A790" s="10" t="str">
        <x:v>V-A</x:v>
      </x:c>
      <x:c r="B790" s="10" t="str">
        <x:v>VOICE</x:v>
      </x:c>
      <x:c r="C790" s="10" t="str">
        <x:v>VOICE:S1-17:input</x:v>
      </x:c>
      <x:c r="D790" s="10" t="str">
        <x:v>{"exclusions":["설치비"],"goal":"비교표 작성","preserve_existing_tasks":true,"relation":"new_goal","targets":["S1-17:quote-L","S1-17:quote-R"]}</x:v>
      </x:c>
      <x:c r="E790" s="10" t="str">
        <x:v>{"exclusions":["설치비"],"goal":"비교표 작성","preserve_existing_tasks":true,"relation":"new_goal","targets":["S1-17:quote-L","S1-17:quote-R"]}</x:v>
      </x:c>
      <x:c r="F790" s="10" t="n">
        <x:f>IF(D790=E790,1,0)</x:f>
        <x:v>1</x:v>
      </x:c>
      <x:c r="G790" s="10" t="str">
        <x:v>필수 의미 전체 일치</x:v>
      </x:c>
    </x:row>
    <x:row r="791" ht="145" customHeight="1">
      <x:c r="A791" s="10" t="str">
        <x:v>V-R1</x:v>
      </x:c>
      <x:c r="B791" s="10" t="str">
        <x:v>VOICE</x:v>
      </x:c>
      <x:c r="C791" s="10" t="str">
        <x:v>VOICE:S1-17:input</x:v>
      </x:c>
      <x:c r="D791" s="10" t="str">
        <x:v>{"exclusions":["설치비"],"goal":"비교표 작성","preserve_existing_tasks":true,"relation":"new_goal","targets":["S1-17:quote-L","S1-17:quote-R"]}</x:v>
      </x:c>
      <x:c r="E791" s="10" t="str">
        <x:v>{"exclusions":["설치비"],"goal":"비교표 작성","preserve_existing_tasks":true,"relation":"new_goal","targets":["S1-17:quote-L","S1-17:quote-R"]}</x:v>
      </x:c>
      <x:c r="F791" s="10" t="n">
        <x:f>IF(D791=E791,1,0)</x:f>
        <x:v>1</x:v>
      </x:c>
      <x:c r="G791" s="10" t="str">
        <x:v>필수 의미 전체 일치</x:v>
      </x:c>
    </x:row>
    <x:row r="792" ht="145" customHeight="1">
      <x:c r="A792" s="10" t="str">
        <x:v>V-R2</x:v>
      </x:c>
      <x:c r="B792" s="10" t="str">
        <x:v>VOICE</x:v>
      </x:c>
      <x:c r="C792" s="10" t="str">
        <x:v>VOICE:S1-17:input</x:v>
      </x:c>
      <x:c r="D792" s="10" t="str">
        <x:v>{"exclusions":["설치비"],"goal":"비교표 작성","preserve_existing_tasks":true,"relation":"new_goal","targets":["S1-17:quote-L","S1-17:quote-R"]}</x:v>
      </x:c>
      <x:c r="E792" s="10" t="str">
        <x:v>{"exclusions":["설치비"],"goal":"비교표 작성","preserve_existing_tasks":true,"relation":"new_goal","targets":["S1-17:quote-L","S1-17:quote-R"]}</x:v>
      </x:c>
      <x:c r="F792" s="10" t="n">
        <x:f>IF(D792=E792,1,0)</x:f>
        <x:v>1</x:v>
      </x:c>
      <x:c r="G792" s="10" t="str">
        <x:v>필수 의미 전체 일치</x:v>
      </x:c>
    </x:row>
    <x:row r="793" ht="145" customHeight="1">
      <x:c r="A793" s="10" t="str">
        <x:v>V-R3</x:v>
      </x:c>
      <x:c r="B793" s="10" t="str">
        <x:v>VOICE</x:v>
      </x:c>
      <x:c r="C793" s="10" t="str">
        <x:v>VOICE:S1-17:input</x:v>
      </x:c>
      <x:c r="D793" s="10" t="str">
        <x:v>{"exclusions":["설치비"],"goal":"비교표 작성","preserve_existing_tasks":true,"relation":"new_goal","targets":["S1-17:quote-L","S1-17:quote-R"]}</x:v>
      </x:c>
      <x:c r="E793" s="10" t="str">
        <x:v>{"exclusions":["설치비"],"goal":"비교표 작성","preserve_existing_tasks":true,"relation":"new_goal","targets":["S1-17:quote-L","S1-17:quote-R"]}</x:v>
      </x:c>
      <x:c r="F793" s="10" t="n">
        <x:f>IF(D793=E793,1,0)</x:f>
        <x:v>1</x:v>
      </x:c>
      <x:c r="G793" s="10" t="str">
        <x:v>필수 의미 전체 일치</x:v>
      </x:c>
    </x:row>
    <x:row r="794" ht="145" customHeight="1">
      <x:c r="A794" s="10" t="str">
        <x:v>V-A</x:v>
      </x:c>
      <x:c r="B794" s="10" t="str">
        <x:v>VOICE</x:v>
      </x:c>
      <x:c r="C794" s="10" t="str">
        <x:v>VOICE:S1-18:input</x:v>
      </x:c>
      <x:c r="D794" s="10" t="str">
        <x:v>{"exclusions":["설치비"],"goal":"비교표 작성","preserve_existing_tasks":true,"relation":"new_goal","targets":["S1-18:quote-L","S1-18:quote-R"]}</x:v>
      </x:c>
      <x:c r="E794" s="10" t="str">
        <x:v>{"exclusions":["설치비"],"goal":"비교표 작성","preserve_existing_tasks":true,"relation":"new_goal","targets":["S1-18:quote-L","S1-18:quote-R"]}</x:v>
      </x:c>
      <x:c r="F794" s="10" t="n">
        <x:f>IF(D794=E794,1,0)</x:f>
        <x:v>1</x:v>
      </x:c>
      <x:c r="G794" s="10" t="str">
        <x:v>필수 의미 전체 일치</x:v>
      </x:c>
    </x:row>
    <x:row r="795" ht="145" customHeight="1">
      <x:c r="A795" s="10" t="str">
        <x:v>V-R1</x:v>
      </x:c>
      <x:c r="B795" s="10" t="str">
        <x:v>VOICE</x:v>
      </x:c>
      <x:c r="C795" s="10" t="str">
        <x:v>VOICE:S1-18:input</x:v>
      </x:c>
      <x:c r="D795" s="10" t="str">
        <x:v>{"exclusions":["설치비"],"goal":"비교표 작성","preserve_existing_tasks":true,"relation":"new_goal","targets":["S1-18:quote-L","S1-18:quote-R"]}</x:v>
      </x:c>
      <x:c r="E795" s="10" t="str">
        <x:v>{"exclusions":["설치비"],"goal":"비교표 작성","preserve_existing_tasks":true,"relation":"new_goal","targets":["S1-18:quote-L","S1-18:quote-R"]}</x:v>
      </x:c>
      <x:c r="F795" s="10" t="n">
        <x:f>IF(D795=E795,1,0)</x:f>
        <x:v>1</x:v>
      </x:c>
      <x:c r="G795" s="10" t="str">
        <x:v>필수 의미 전체 일치</x:v>
      </x:c>
    </x:row>
    <x:row r="796" ht="145" customHeight="1">
      <x:c r="A796" s="10" t="str">
        <x:v>V-R2</x:v>
      </x:c>
      <x:c r="B796" s="10" t="str">
        <x:v>VOICE</x:v>
      </x:c>
      <x:c r="C796" s="10" t="str">
        <x:v>VOICE:S1-18:input</x:v>
      </x:c>
      <x:c r="D796" s="10" t="str">
        <x:v>{"exclusions":["설치비"],"goal":"비교표 작성","preserve_existing_tasks":true,"relation":"new_goal","targets":["S1-18:quote-L","S1-18:quote-R"]}</x:v>
      </x:c>
      <x:c r="E796" s="10" t="str">
        <x:v>{"exclusions":["설치비"],"goal":"비교표 작성","preserve_existing_tasks":true,"relation":"new_goal","targets":["S1-18:quote-L","S1-18:quote-R"]}</x:v>
      </x:c>
      <x:c r="F796" s="10" t="n">
        <x:f>IF(D796=E796,1,0)</x:f>
        <x:v>1</x:v>
      </x:c>
      <x:c r="G796" s="10" t="str">
        <x:v>필수 의미 전체 일치</x:v>
      </x:c>
    </x:row>
    <x:row r="797" ht="145" customHeight="1">
      <x:c r="A797" s="10" t="str">
        <x:v>V-R3</x:v>
      </x:c>
      <x:c r="B797" s="10" t="str">
        <x:v>VOICE</x:v>
      </x:c>
      <x:c r="C797" s="10" t="str">
        <x:v>VOICE:S1-18:input</x:v>
      </x:c>
      <x:c r="D797" s="10" t="str">
        <x:v>{"exclusions":["설치비"],"goal":"비교표 작성","preserve_existing_tasks":true,"relation":"new_goal","targets":["S1-18:quote-L","S1-18:quote-R"]}</x:v>
      </x:c>
      <x:c r="E797" s="10" t="str">
        <x:v>{"exclusions":["설치비"],"goal":"비교표 작성","preserve_existing_tasks":true,"relation":"new_goal","targets":["S1-18:quote-L","S1-18:quote-R"]}</x:v>
      </x:c>
      <x:c r="F797" s="10" t="n">
        <x:f>IF(D797=E797,1,0)</x:f>
        <x:v>1</x:v>
      </x:c>
      <x:c r="G797" s="10" t="str">
        <x:v>필수 의미 전체 일치</x:v>
      </x:c>
    </x:row>
    <x:row r="798" ht="145" customHeight="1">
      <x:c r="A798" s="10" t="str">
        <x:v>V-A</x:v>
      </x:c>
      <x:c r="B798" s="10" t="str">
        <x:v>VOICE</x:v>
      </x:c>
      <x:c r="C798" s="10" t="str">
        <x:v>VOICE:S1-19:input</x:v>
      </x:c>
      <x:c r="D798" s="10" t="str">
        <x:v>{"exclusions":["설치비"],"goal":"비교표 작성","preserve_existing_tasks":true,"relation":"new_goal","targets":["S1-19:quote-L","S1-19:quote-R"]}</x:v>
      </x:c>
      <x:c r="E798" s="10" t="str">
        <x:v>{"exclusions":["설치비"],"goal":"비교표 작성","preserve_existing_tasks":true,"relation":"new_goal","targets":["S1-19:quote-L","S1-19:quote-R"]}</x:v>
      </x:c>
      <x:c r="F798" s="10" t="n">
        <x:f>IF(D798=E798,1,0)</x:f>
        <x:v>1</x:v>
      </x:c>
      <x:c r="G798" s="10" t="str">
        <x:v>필수 의미 전체 일치</x:v>
      </x:c>
    </x:row>
    <x:row r="799" ht="145" customHeight="1">
      <x:c r="A799" s="10" t="str">
        <x:v>V-R1</x:v>
      </x:c>
      <x:c r="B799" s="10" t="str">
        <x:v>VOICE</x:v>
      </x:c>
      <x:c r="C799" s="10" t="str">
        <x:v>VOICE:S1-19:input</x:v>
      </x:c>
      <x:c r="D799" s="10" t="str">
        <x:v>{"exclusions":["설치비"],"goal":"비교표 작성","preserve_existing_tasks":true,"relation":"new_goal","targets":["S1-19:quote-L","S1-19:quote-R"]}</x:v>
      </x:c>
      <x:c r="E799" s="10" t="str">
        <x:v>{"exclusions":["설치비"],"goal":"비교표 작성","preserve_existing_tasks":true,"relation":"new_goal","targets":["S1-19:quote-L","S1-19:quote-R"]}</x:v>
      </x:c>
      <x:c r="F799" s="10" t="n">
        <x:f>IF(D799=E799,1,0)</x:f>
        <x:v>1</x:v>
      </x:c>
      <x:c r="G799" s="10" t="str">
        <x:v>필수 의미 전체 일치</x:v>
      </x:c>
    </x:row>
    <x:row r="800" ht="145" customHeight="1">
      <x:c r="A800" s="10" t="str">
        <x:v>V-R2</x:v>
      </x:c>
      <x:c r="B800" s="10" t="str">
        <x:v>VOICE</x:v>
      </x:c>
      <x:c r="C800" s="10" t="str">
        <x:v>VOICE:S1-19:input</x:v>
      </x:c>
      <x:c r="D800" s="10" t="str">
        <x:v>{"exclusions":["설치비"],"goal":"비교표 작성","preserve_existing_tasks":true,"relation":"new_goal","targets":["S1-19:quote-L","S1-19:quote-R"]}</x:v>
      </x:c>
      <x:c r="E800" s="10" t="str">
        <x:v>{"exclusions":["설치비"],"goal":"비교표 작성","preserve_existing_tasks":true,"relation":"new_goal","targets":["S1-19:quote-L","S1-19:quote-R"]}</x:v>
      </x:c>
      <x:c r="F800" s="10" t="n">
        <x:f>IF(D800=E800,1,0)</x:f>
        <x:v>1</x:v>
      </x:c>
      <x:c r="G800" s="10" t="str">
        <x:v>필수 의미 전체 일치</x:v>
      </x:c>
    </x:row>
    <x:row r="801" ht="145" customHeight="1">
      <x:c r="A801" s="10" t="str">
        <x:v>V-R3</x:v>
      </x:c>
      <x:c r="B801" s="10" t="str">
        <x:v>VOICE</x:v>
      </x:c>
      <x:c r="C801" s="10" t="str">
        <x:v>VOICE:S1-19:input</x:v>
      </x:c>
      <x:c r="D801" s="10" t="str">
        <x:v>{"exclusions":["설치비"],"goal":"비교표 작성","preserve_existing_tasks":true,"relation":"new_goal","targets":["S1-19:quote-L","S1-19:quote-R"]}</x:v>
      </x:c>
      <x:c r="E801" s="10" t="str">
        <x:v>{"exclusions":["설치비"],"goal":"비교표 작성","preserve_existing_tasks":true,"relation":"new_goal","targets":["S1-19:quote-L","S1-19:quote-R"]}</x:v>
      </x:c>
      <x:c r="F801" s="10" t="n">
        <x:f>IF(D801=E801,1,0)</x:f>
        <x:v>1</x:v>
      </x:c>
      <x:c r="G801" s="10" t="str">
        <x:v>필수 의미 전체 일치</x:v>
      </x:c>
    </x:row>
    <x:row r="802" ht="145" customHeight="1">
      <x:c r="A802" s="10" t="str">
        <x:v>V-A</x:v>
      </x:c>
      <x:c r="B802" s="10" t="str">
        <x:v>VOICE</x:v>
      </x:c>
      <x:c r="C802" s="10" t="str">
        <x:v>VOICE:S1-20:input</x:v>
      </x:c>
      <x:c r="D802" s="10" t="str">
        <x:v>{"exclusions":["설치비"],"goal":"비교표 작성","preserve_existing_tasks":true,"relation":"new_goal","targets":["S1-20:quote-L","S1-20:quote-R"]}</x:v>
      </x:c>
      <x:c r="E802" s="10" t="str">
        <x:v>{"exclusions":["설치비"],"goal":"비교표 작성","preserve_existing_tasks":true,"relation":"new_goal","targets":["S1-20:quote-L","S1-20:quote-R"]}</x:v>
      </x:c>
      <x:c r="F802" s="10" t="n">
        <x:f>IF(D802=E802,1,0)</x:f>
        <x:v>1</x:v>
      </x:c>
      <x:c r="G802" s="10" t="str">
        <x:v>필수 의미 전체 일치</x:v>
      </x:c>
    </x:row>
    <x:row r="803" ht="145" customHeight="1">
      <x:c r="A803" s="10" t="str">
        <x:v>V-R1</x:v>
      </x:c>
      <x:c r="B803" s="10" t="str">
        <x:v>VOICE</x:v>
      </x:c>
      <x:c r="C803" s="10" t="str">
        <x:v>VOICE:S1-20:input</x:v>
      </x:c>
      <x:c r="D803" s="10" t="str">
        <x:v>{"exclusions":["설치비"],"goal":"비교표 작성","preserve_existing_tasks":true,"relation":"new_goal","targets":["S1-20:quote-L","S1-20:quote-R"]}</x:v>
      </x:c>
      <x:c r="E803" s="10" t="str">
        <x:v>{"exclusions":["설치비"],"goal":"비교표 작성","preserve_existing_tasks":true,"relation":"new_goal","targets":["S1-20:quote-L","S1-20:quote-R"]}</x:v>
      </x:c>
      <x:c r="F803" s="10" t="n">
        <x:f>IF(D803=E803,1,0)</x:f>
        <x:v>1</x:v>
      </x:c>
      <x:c r="G803" s="10" t="str">
        <x:v>필수 의미 전체 일치</x:v>
      </x:c>
    </x:row>
    <x:row r="804" ht="145" customHeight="1">
      <x:c r="A804" s="10" t="str">
        <x:v>V-R2</x:v>
      </x:c>
      <x:c r="B804" s="10" t="str">
        <x:v>VOICE</x:v>
      </x:c>
      <x:c r="C804" s="10" t="str">
        <x:v>VOICE:S1-20:input</x:v>
      </x:c>
      <x:c r="D804" s="10" t="str">
        <x:v>{"exclusions":["설치비"],"goal":"비교표 작성","preserve_existing_tasks":true,"relation":"new_goal","targets":["S1-20:quote-L","S1-20:quote-R"]}</x:v>
      </x:c>
      <x:c r="E804" s="10" t="str">
        <x:v>{"exclusions":["설치비"],"goal":"비교표 작성","preserve_existing_tasks":true,"relation":"new_goal","targets":["S1-20:quote-L","S1-20:quote-R"]}</x:v>
      </x:c>
      <x:c r="F804" s="10" t="n">
        <x:f>IF(D804=E804,1,0)</x:f>
        <x:v>1</x:v>
      </x:c>
      <x:c r="G804" s="10" t="str">
        <x:v>필수 의미 전체 일치</x:v>
      </x:c>
    </x:row>
    <x:row r="805" ht="145" customHeight="1">
      <x:c r="A805" s="10" t="str">
        <x:v>V-R3</x:v>
      </x:c>
      <x:c r="B805" s="10" t="str">
        <x:v>VOICE</x:v>
      </x:c>
      <x:c r="C805" s="10" t="str">
        <x:v>VOICE:S1-20:input</x:v>
      </x:c>
      <x:c r="D805" s="10" t="str">
        <x:v>{"exclusions":["설치비"],"goal":"비교표 작성","preserve_existing_tasks":true,"relation":"new_goal","targets":["S1-20:quote-L","S1-20:quote-R"]}</x:v>
      </x:c>
      <x:c r="E805" s="10" t="str">
        <x:v>{"exclusions":["설치비"],"goal":"비교표 작성","preserve_existing_tasks":true,"relation":"new_goal","targets":["S1-20:quote-L","S1-20:quote-R"]}</x:v>
      </x:c>
      <x:c r="F805" s="10" t="n">
        <x:f>IF(D805=E805,1,0)</x:f>
        <x:v>1</x:v>
      </x:c>
      <x:c r="G805" s="10" t="str">
        <x:v>필수 의미 전체 일치</x:v>
      </x:c>
    </x:row>
    <x:row r="806" ht="145" customHeight="1">
      <x:c r="A806" s="10" t="str">
        <x:v>V-A</x:v>
      </x:c>
      <x:c r="B806" s="10" t="str">
        <x:v>VOICE</x:v>
      </x:c>
      <x:c r="C806" s="10" t="str">
        <x:v>VOICE:S2-01:input</x:v>
      </x:c>
      <x:c r="D806" s="10" t="str">
        <x:v>{"exclusions":["설치비"],"goal":"비교표 작성","preserve_existing_tasks":true,"relation":"new_goal","targets":["S2-01:quote-L","S2-01:quote-R"]}</x:v>
      </x:c>
      <x:c r="E806" s="10" t="str">
        <x:v>{"exclusions":["설치비"],"goal":"비교표 작성","preserve_existing_tasks":true,"relation":"new_goal","targets":["S2-01:quote-L","S2-01:quote-Z"]}</x:v>
      </x:c>
      <x:c r="F806" s="10" t="n">
        <x:f>IF(D806=E806,1,0)</x:f>
        <x:v>0</x:v>
      </x:c>
      <x:c r="G806" s="10" t="str">
        <x:v>원본의 경계/집합/스크롤 전후 동일성을 잘못 결합</x:v>
      </x:c>
    </x:row>
    <x:row r="807" ht="145" customHeight="1">
      <x:c r="A807" s="10" t="str">
        <x:v>V-R1</x:v>
      </x:c>
      <x:c r="B807" s="10" t="str">
        <x:v>VOICE</x:v>
      </x:c>
      <x:c r="C807" s="10" t="str">
        <x:v>VOICE:S2-01:input</x:v>
      </x:c>
      <x:c r="D807" s="10" t="str">
        <x:v>{"exclusions":["설치비"],"goal":"비교표 작성","preserve_existing_tasks":true,"relation":"new_goal","targets":["S2-01:quote-L","S2-01:quote-R"]}</x:v>
      </x:c>
      <x:c r="E807" s="10" t="str">
        <x:v>{"exclusions":["설치비"],"goal":"비교표 작성","preserve_existing_tasks":true,"relation":"new_goal","targets":["S2-01:quote-L","S2-01:quote-R"]}</x:v>
      </x:c>
      <x:c r="F807" s="10" t="n">
        <x:f>IF(D807=E807,1,0)</x:f>
        <x:v>1</x:v>
      </x:c>
      <x:c r="G807" s="10" t="str">
        <x:v>필수 의미 전체 일치</x:v>
      </x:c>
    </x:row>
    <x:row r="808" ht="145" customHeight="1">
      <x:c r="A808" s="10" t="str">
        <x:v>V-R2</x:v>
      </x:c>
      <x:c r="B808" s="10" t="str">
        <x:v>VOICE</x:v>
      </x:c>
      <x:c r="C808" s="10" t="str">
        <x:v>VOICE:S2-01:input</x:v>
      </x:c>
      <x:c r="D808" s="10" t="str">
        <x:v>{"exclusions":["설치비"],"goal":"비교표 작성","preserve_existing_tasks":true,"relation":"new_goal","targets":["S2-01:quote-L","S2-01:quote-R"]}</x:v>
      </x:c>
      <x:c r="E808" s="10" t="str">
        <x:v>{"exclusions":["설치비"],"goal":"비교표 작성","preserve_existing_tasks":true,"relation":"new_goal","targets":["S2-01:quote-L","S2-01:quote-R"]}</x:v>
      </x:c>
      <x:c r="F808" s="10" t="n">
        <x:f>IF(D808=E808,1,0)</x:f>
        <x:v>1</x:v>
      </x:c>
      <x:c r="G808" s="10" t="str">
        <x:v>필수 의미 전체 일치</x:v>
      </x:c>
    </x:row>
    <x:row r="809" ht="145" customHeight="1">
      <x:c r="A809" s="10" t="str">
        <x:v>V-R3</x:v>
      </x:c>
      <x:c r="B809" s="10" t="str">
        <x:v>VOICE</x:v>
      </x:c>
      <x:c r="C809" s="10" t="str">
        <x:v>VOICE:S2-01:input</x:v>
      </x:c>
      <x:c r="D809" s="10" t="str">
        <x:v>{"exclusions":["설치비"],"goal":"비교표 작성","preserve_existing_tasks":true,"relation":"new_goal","targets":["S2-01:quote-L","S2-01:quote-R"]}</x:v>
      </x:c>
      <x:c r="E809" s="10" t="str">
        <x:v>{"exclusions":["설치비"],"goal":"비교표 작성","preserve_existing_tasks":true,"relation":"new_goal","targets":["S2-01:quote-L","S2-01:quote-R"]}</x:v>
      </x:c>
      <x:c r="F809" s="10" t="n">
        <x:f>IF(D809=E809,1,0)</x:f>
        <x:v>1</x:v>
      </x:c>
      <x:c r="G809" s="10" t="str">
        <x:v>필수 의미 전체 일치</x:v>
      </x:c>
    </x:row>
    <x:row r="810" ht="145" customHeight="1">
      <x:c r="A810" s="10" t="str">
        <x:v>V-A</x:v>
      </x:c>
      <x:c r="B810" s="10" t="str">
        <x:v>VOICE</x:v>
      </x:c>
      <x:c r="C810" s="10" t="str">
        <x:v>VOICE:S2-02:input</x:v>
      </x:c>
      <x:c r="D810" s="10" t="str">
        <x:v>{"exclusions":["설치비"],"goal":"비교표 작성","preserve_existing_tasks":true,"relation":"new_goal","targets":["S2-02:quote-L","S2-02:quote-R"]}</x:v>
      </x:c>
      <x:c r="E810" s="10" t="str">
        <x:v>{"exclusions":["설치비"],"goal":"비교표 작성","preserve_existing_tasks":true,"relation":"new_goal","targets":["S2-02:quote-L","S2-02:quote-Z"]}</x:v>
      </x:c>
      <x:c r="F810" s="10" t="n">
        <x:f>IF(D810=E810,1,0)</x:f>
        <x:v>0</x:v>
      </x:c>
      <x:c r="G810" s="10" t="str">
        <x:v>원본의 경계/집합/스크롤 전후 동일성을 잘못 결합</x:v>
      </x:c>
    </x:row>
    <x:row r="811" ht="145" customHeight="1">
      <x:c r="A811" s="10" t="str">
        <x:v>V-R1</x:v>
      </x:c>
      <x:c r="B811" s="10" t="str">
        <x:v>VOICE</x:v>
      </x:c>
      <x:c r="C811" s="10" t="str">
        <x:v>VOICE:S2-02:input</x:v>
      </x:c>
      <x:c r="D811" s="10" t="str">
        <x:v>{"exclusions":["설치비"],"goal":"비교표 작성","preserve_existing_tasks":true,"relation":"new_goal","targets":["S2-02:quote-L","S2-02:quote-R"]}</x:v>
      </x:c>
      <x:c r="E811" s="10" t="str">
        <x:v>{"exclusions":["설치비"],"goal":"비교표 작성","preserve_existing_tasks":true,"relation":"new_goal","targets":["S2-02:quote-L","S2-02:quote-R"]}</x:v>
      </x:c>
      <x:c r="F811" s="10" t="n">
        <x:f>IF(D811=E811,1,0)</x:f>
        <x:v>1</x:v>
      </x:c>
      <x:c r="G811" s="10" t="str">
        <x:v>필수 의미 전체 일치</x:v>
      </x:c>
    </x:row>
    <x:row r="812" ht="145" customHeight="1">
      <x:c r="A812" s="10" t="str">
        <x:v>V-R2</x:v>
      </x:c>
      <x:c r="B812" s="10" t="str">
        <x:v>VOICE</x:v>
      </x:c>
      <x:c r="C812" s="10" t="str">
        <x:v>VOICE:S2-02:input</x:v>
      </x:c>
      <x:c r="D812" s="10" t="str">
        <x:v>{"exclusions":["설치비"],"goal":"비교표 작성","preserve_existing_tasks":true,"relation":"new_goal","targets":["S2-02:quote-L","S2-02:quote-R"]}</x:v>
      </x:c>
      <x:c r="E812" s="10" t="str">
        <x:v>{"exclusions":["설치비"],"goal":"비교표 작성","preserve_existing_tasks":true,"relation":"new_goal","targets":["S2-02:quote-L","S2-02:quote-R"]}</x:v>
      </x:c>
      <x:c r="F812" s="10" t="n">
        <x:f>IF(D812=E812,1,0)</x:f>
        <x:v>1</x:v>
      </x:c>
      <x:c r="G812" s="10" t="str">
        <x:v>필수 의미 전체 일치</x:v>
      </x:c>
    </x:row>
    <x:row r="813" ht="145" customHeight="1">
      <x:c r="A813" s="10" t="str">
        <x:v>V-R3</x:v>
      </x:c>
      <x:c r="B813" s="10" t="str">
        <x:v>VOICE</x:v>
      </x:c>
      <x:c r="C813" s="10" t="str">
        <x:v>VOICE:S2-02:input</x:v>
      </x:c>
      <x:c r="D813" s="10" t="str">
        <x:v>{"exclusions":["설치비"],"goal":"비교표 작성","preserve_existing_tasks":true,"relation":"new_goal","targets":["S2-02:quote-L","S2-02:quote-R"]}</x:v>
      </x:c>
      <x:c r="E813" s="10" t="str">
        <x:v>{"exclusions":["설치비"],"goal":"비교표 작성","preserve_existing_tasks":true,"relation":"new_goal","targets":["S2-02:quote-L","S2-02:quote-R"]}</x:v>
      </x:c>
      <x:c r="F813" s="10" t="n">
        <x:f>IF(D813=E813,1,0)</x:f>
        <x:v>1</x:v>
      </x:c>
      <x:c r="G813" s="10" t="str">
        <x:v>필수 의미 전체 일치</x:v>
      </x:c>
    </x:row>
    <x:row r="814" ht="145" customHeight="1">
      <x:c r="A814" s="10" t="str">
        <x:v>V-A</x:v>
      </x:c>
      <x:c r="B814" s="10" t="str">
        <x:v>VOICE</x:v>
      </x:c>
      <x:c r="C814" s="10" t="str">
        <x:v>VOICE:S2-03:input</x:v>
      </x:c>
      <x:c r="D814" s="10" t="str">
        <x:v>{"exclusions":["설치비"],"goal":"비교표 작성","preserve_existing_tasks":true,"relation":"new_goal","targets":["S2-03:quote-L","S2-03:quote-R"]}</x:v>
      </x:c>
      <x:c r="E814" s="10" t="str">
        <x:v>{"exclusions":["설치비"],"goal":"비교표 작성","preserve_existing_tasks":true,"relation":"new_goal","targets":["S2-03:quote-L","S2-03:quote-Z"]}</x:v>
      </x:c>
      <x:c r="F814" s="10" t="n">
        <x:f>IF(D814=E814,1,0)</x:f>
        <x:v>0</x:v>
      </x:c>
      <x:c r="G814" s="10" t="str">
        <x:v>원본의 경계/집합/스크롤 전후 동일성을 잘못 결합</x:v>
      </x:c>
    </x:row>
    <x:row r="815" ht="145" customHeight="1">
      <x:c r="A815" s="10" t="str">
        <x:v>V-R1</x:v>
      </x:c>
      <x:c r="B815" s="10" t="str">
        <x:v>VOICE</x:v>
      </x:c>
      <x:c r="C815" s="10" t="str">
        <x:v>VOICE:S2-03:input</x:v>
      </x:c>
      <x:c r="D815" s="10" t="str">
        <x:v>{"exclusions":["설치비"],"goal":"비교표 작성","preserve_existing_tasks":true,"relation":"new_goal","targets":["S2-03:quote-L","S2-03:quote-R"]}</x:v>
      </x:c>
      <x:c r="E815" s="10" t="str">
        <x:v>{"exclusions":["설치비"],"goal":"비교표 작성","preserve_existing_tasks":true,"relation":"new_goal","targets":["S2-03:quote-L","S2-03:quote-Z"]}</x:v>
      </x:c>
      <x:c r="F815" s="10" t="n">
        <x:f>IF(D815=E815,1,0)</x:f>
        <x:v>0</x:v>
      </x:c>
      <x:c r="G815" s="10" t="str">
        <x:v>생산 후보 누락 또는 잘못된 경계/track을 결합 단계가 바로잡지 못함</x:v>
      </x:c>
    </x:row>
    <x:row r="816" ht="145" customHeight="1">
      <x:c r="A816" s="10" t="str">
        <x:v>V-R2</x:v>
      </x:c>
      <x:c r="B816" s="10" t="str">
        <x:v>VOICE</x:v>
      </x:c>
      <x:c r="C816" s="10" t="str">
        <x:v>VOICE:S2-03:input</x:v>
      </x:c>
      <x:c r="D816" s="10" t="str">
        <x:v>{"exclusions":["설치비"],"goal":"비교표 작성","preserve_existing_tasks":true,"relation":"new_goal","targets":["S2-03:quote-L","S2-03:quote-R"]}</x:v>
      </x:c>
      <x:c r="E816" s="10" t="str">
        <x:v>{"exclusions":["설치비"],"goal":"비교표 작성","preserve_existing_tasks":true,"relation":"new_goal","targets":["S2-03:quote-L","S2-03:quote-Z"]}</x:v>
      </x:c>
      <x:c r="F816" s="10" t="n">
        <x:f>IF(D816=E816,1,0)</x:f>
        <x:v>0</x:v>
      </x:c>
      <x:c r="G816" s="10" t="str">
        <x:v>생산 후보 누락 또는 잘못된 경계/track을 결합 단계가 바로잡지 못함</x:v>
      </x:c>
    </x:row>
    <x:row r="817" ht="145" customHeight="1">
      <x:c r="A817" s="10" t="str">
        <x:v>V-R3</x:v>
      </x:c>
      <x:c r="B817" s="10" t="str">
        <x:v>VOICE</x:v>
      </x:c>
      <x:c r="C817" s="10" t="str">
        <x:v>VOICE:S2-03:input</x:v>
      </x:c>
      <x:c r="D817" s="10" t="str">
        <x:v>{"exclusions":["설치비"],"goal":"비교표 작성","preserve_existing_tasks":true,"relation":"new_goal","targets":["S2-03:quote-L","S2-03:quote-R"]}</x:v>
      </x:c>
      <x:c r="E817" s="10" t="str">
        <x:v>{"exclusions":["설치비"],"goal":"비교표 작성","preserve_existing_tasks":true,"relation":"new_goal","targets":["S2-03:quote-L","S2-03:quote-Z"]}</x:v>
      </x:c>
      <x:c r="F817" s="10" t="n">
        <x:f>IF(D817=E817,1,0)</x:f>
        <x:v>0</x:v>
      </x:c>
      <x:c r="G817" s="10" t="str">
        <x:v>생산 후보 누락 또는 잘못된 경계/track을 결합 단계가 바로잡지 못함</x:v>
      </x:c>
    </x:row>
    <x:row r="818" ht="145" customHeight="1">
      <x:c r="A818" s="10" t="str">
        <x:v>V-A</x:v>
      </x:c>
      <x:c r="B818" s="10" t="str">
        <x:v>VOICE</x:v>
      </x:c>
      <x:c r="C818" s="10" t="str">
        <x:v>VOICE:S2-04:input</x:v>
      </x:c>
      <x:c r="D818" s="10" t="str">
        <x:v>{"exclusions":["설치비"],"goal":"비교표 작성","preserve_existing_tasks":true,"relation":"new_goal","targets":["S2-04:quote-L","S2-04:quote-R"]}</x:v>
      </x:c>
      <x:c r="E818" s="10" t="str">
        <x:v>{"exclusions":["설치비"],"goal":"비교표 작성","preserve_existing_tasks":true,"relation":"new_goal","targets":["S2-04:quote-L","S2-04:quote-R"]}</x:v>
      </x:c>
      <x:c r="F818" s="10" t="n">
        <x:f>IF(D818=E818,1,0)</x:f>
        <x:v>1</x:v>
      </x:c>
      <x:c r="G818" s="10" t="str">
        <x:v>필수 의미 전체 일치</x:v>
      </x:c>
    </x:row>
    <x:row r="819" ht="145" customHeight="1">
      <x:c r="A819" s="10" t="str">
        <x:v>V-R1</x:v>
      </x:c>
      <x:c r="B819" s="10" t="str">
        <x:v>VOICE</x:v>
      </x:c>
      <x:c r="C819" s="10" t="str">
        <x:v>VOICE:S2-04:input</x:v>
      </x:c>
      <x:c r="D819" s="10" t="str">
        <x:v>{"exclusions":["설치비"],"goal":"비교표 작성","preserve_existing_tasks":true,"relation":"new_goal","targets":["S2-04:quote-L","S2-04:quote-R"]}</x:v>
      </x:c>
      <x:c r="E819" s="10" t="str">
        <x:v>{"exclusions":["설치비"],"goal":"비교표 작성","preserve_existing_tasks":true,"relation":"new_goal","targets":["S2-04:quote-L","S2-04:quote-R"]}</x:v>
      </x:c>
      <x:c r="F819" s="10" t="n">
        <x:f>IF(D819=E819,1,0)</x:f>
        <x:v>1</x:v>
      </x:c>
      <x:c r="G819" s="10" t="str">
        <x:v>필수 의미 전체 일치</x:v>
      </x:c>
    </x:row>
    <x:row r="820" ht="145" customHeight="1">
      <x:c r="A820" s="10" t="str">
        <x:v>V-R2</x:v>
      </x:c>
      <x:c r="B820" s="10" t="str">
        <x:v>VOICE</x:v>
      </x:c>
      <x:c r="C820" s="10" t="str">
        <x:v>VOICE:S2-04:input</x:v>
      </x:c>
      <x:c r="D820" s="10" t="str">
        <x:v>{"exclusions":["설치비"],"goal":"비교표 작성","preserve_existing_tasks":true,"relation":"new_goal","targets":["S2-04:quote-L","S2-04:quote-R"]}</x:v>
      </x:c>
      <x:c r="E820" s="10" t="str">
        <x:v>{"exclusions":["설치비"],"goal":"비교표 작성","preserve_existing_tasks":true,"relation":"new_goal","targets":["S2-04:quote-L","S2-04:quote-R"]}</x:v>
      </x:c>
      <x:c r="F820" s="10" t="n">
        <x:f>IF(D820=E820,1,0)</x:f>
        <x:v>1</x:v>
      </x:c>
      <x:c r="G820" s="10" t="str">
        <x:v>필수 의미 전체 일치</x:v>
      </x:c>
    </x:row>
    <x:row r="821" ht="145" customHeight="1">
      <x:c r="A821" s="10" t="str">
        <x:v>V-R3</x:v>
      </x:c>
      <x:c r="B821" s="10" t="str">
        <x:v>VOICE</x:v>
      </x:c>
      <x:c r="C821" s="10" t="str">
        <x:v>VOICE:S2-04:input</x:v>
      </x:c>
      <x:c r="D821" s="10" t="str">
        <x:v>{"exclusions":["설치비"],"goal":"비교표 작성","preserve_existing_tasks":true,"relation":"new_goal","targets":["S2-04:quote-L","S2-04:quote-R"]}</x:v>
      </x:c>
      <x:c r="E821" s="10" t="str">
        <x:v>{"exclusions":["설치비"],"goal":"비교표 작성","preserve_existing_tasks":true,"relation":"new_goal","targets":["S2-04:quote-L","S2-04:quote-R"]}</x:v>
      </x:c>
      <x:c r="F821" s="10" t="n">
        <x:f>IF(D821=E821,1,0)</x:f>
        <x:v>1</x:v>
      </x:c>
      <x:c r="G821" s="10" t="str">
        <x:v>필수 의미 전체 일치</x:v>
      </x:c>
    </x:row>
    <x:row r="822" ht="145" customHeight="1">
      <x:c r="A822" s="10" t="str">
        <x:v>V-A</x:v>
      </x:c>
      <x:c r="B822" s="10" t="str">
        <x:v>VOICE</x:v>
      </x:c>
      <x:c r="C822" s="10" t="str">
        <x:v>VOICE:S2-05:input</x:v>
      </x:c>
      <x:c r="D822" s="10" t="str">
        <x:v>{"exclusions":["설치비"],"goal":"비교표 작성","preserve_existing_tasks":true,"relation":"new_goal","targets":["S2-05:quote-L","S2-05:quote-R"]}</x:v>
      </x:c>
      <x:c r="E822" s="10" t="str">
        <x:v>{"exclusions":["설치비"],"goal":"비교표 작성","preserve_existing_tasks":true,"relation":"new_goal","targets":["S2-05:quote-L","S2-05:quote-R"]}</x:v>
      </x:c>
      <x:c r="F822" s="10" t="n">
        <x:f>IF(D822=E822,1,0)</x:f>
        <x:v>1</x:v>
      </x:c>
      <x:c r="G822" s="10" t="str">
        <x:v>필수 의미 전체 일치</x:v>
      </x:c>
    </x:row>
    <x:row r="823" ht="145" customHeight="1">
      <x:c r="A823" s="10" t="str">
        <x:v>V-R1</x:v>
      </x:c>
      <x:c r="B823" s="10" t="str">
        <x:v>VOICE</x:v>
      </x:c>
      <x:c r="C823" s="10" t="str">
        <x:v>VOICE:S2-05:input</x:v>
      </x:c>
      <x:c r="D823" s="10" t="str">
        <x:v>{"exclusions":["설치비"],"goal":"비교표 작성","preserve_existing_tasks":true,"relation":"new_goal","targets":["S2-05:quote-L","S2-05:quote-R"]}</x:v>
      </x:c>
      <x:c r="E823" s="10" t="str">
        <x:v>{"exclusions":["설치비"],"goal":"비교표 작성","preserve_existing_tasks":true,"relation":"new_goal","targets":["S2-05:quote-L","S2-05:quote-R"]}</x:v>
      </x:c>
      <x:c r="F823" s="10" t="n">
        <x:f>IF(D823=E823,1,0)</x:f>
        <x:v>1</x:v>
      </x:c>
      <x:c r="G823" s="10" t="str">
        <x:v>필수 의미 전체 일치</x:v>
      </x:c>
    </x:row>
    <x:row r="824" ht="145" customHeight="1">
      <x:c r="A824" s="10" t="str">
        <x:v>V-R2</x:v>
      </x:c>
      <x:c r="B824" s="10" t="str">
        <x:v>VOICE</x:v>
      </x:c>
      <x:c r="C824" s="10" t="str">
        <x:v>VOICE:S2-05:input</x:v>
      </x:c>
      <x:c r="D824" s="10" t="str">
        <x:v>{"exclusions":["설치비"],"goal":"비교표 작성","preserve_existing_tasks":true,"relation":"new_goal","targets":["S2-05:quote-L","S2-05:quote-R"]}</x:v>
      </x:c>
      <x:c r="E824" s="10" t="str">
        <x:v>{"exclusions":["설치비"],"goal":"비교표 작성","preserve_existing_tasks":true,"relation":"new_goal","targets":["S2-05:quote-L","S2-05:quote-R"]}</x:v>
      </x:c>
      <x:c r="F824" s="10" t="n">
        <x:f>IF(D824=E824,1,0)</x:f>
        <x:v>1</x:v>
      </x:c>
      <x:c r="G824" s="10" t="str">
        <x:v>필수 의미 전체 일치</x:v>
      </x:c>
    </x:row>
    <x:row r="825" ht="145" customHeight="1">
      <x:c r="A825" s="10" t="str">
        <x:v>V-R3</x:v>
      </x:c>
      <x:c r="B825" s="10" t="str">
        <x:v>VOICE</x:v>
      </x:c>
      <x:c r="C825" s="10" t="str">
        <x:v>VOICE:S2-05:input</x:v>
      </x:c>
      <x:c r="D825" s="10" t="str">
        <x:v>{"exclusions":["설치비"],"goal":"비교표 작성","preserve_existing_tasks":true,"relation":"new_goal","targets":["S2-05:quote-L","S2-05:quote-R"]}</x:v>
      </x:c>
      <x:c r="E825" s="10" t="str">
        <x:v>{"exclusions":["설치비"],"goal":"비교표 작성","preserve_existing_tasks":true,"relation":"new_goal","targets":["S2-05:quote-L","S2-05:quote-R"]}</x:v>
      </x:c>
      <x:c r="F825" s="10" t="n">
        <x:f>IF(D825=E825,1,0)</x:f>
        <x:v>1</x:v>
      </x:c>
      <x:c r="G825" s="10" t="str">
        <x:v>필수 의미 전체 일치</x:v>
      </x:c>
    </x:row>
    <x:row r="826" ht="145" customHeight="1">
      <x:c r="A826" s="10" t="str">
        <x:v>V-A</x:v>
      </x:c>
      <x:c r="B826" s="10" t="str">
        <x:v>VOICE</x:v>
      </x:c>
      <x:c r="C826" s="10" t="str">
        <x:v>VOICE:S2-06:input</x:v>
      </x:c>
      <x:c r="D826" s="10" t="str">
        <x:v>{"exclusions":["설치비"],"goal":"비교표 작성","preserve_existing_tasks":true,"relation":"new_goal","targets":["S2-06:quote-L","S2-06:quote-R"]}</x:v>
      </x:c>
      <x:c r="E826" s="10" t="str">
        <x:v>{"exclusions":["설치비"],"goal":"비교표 작성","preserve_existing_tasks":true,"relation":"new_goal","targets":["S2-06:quote-L","S2-06:quote-R"]}</x:v>
      </x:c>
      <x:c r="F826" s="10" t="n">
        <x:f>IF(D826=E826,1,0)</x:f>
        <x:v>1</x:v>
      </x:c>
      <x:c r="G826" s="10" t="str">
        <x:v>필수 의미 전체 일치</x:v>
      </x:c>
    </x:row>
    <x:row r="827" ht="145" customHeight="1">
      <x:c r="A827" s="10" t="str">
        <x:v>V-R1</x:v>
      </x:c>
      <x:c r="B827" s="10" t="str">
        <x:v>VOICE</x:v>
      </x:c>
      <x:c r="C827" s="10" t="str">
        <x:v>VOICE:S2-06:input</x:v>
      </x:c>
      <x:c r="D827" s="10" t="str">
        <x:v>{"exclusions":["설치비"],"goal":"비교표 작성","preserve_existing_tasks":true,"relation":"new_goal","targets":["S2-06:quote-L","S2-06:quote-R"]}</x:v>
      </x:c>
      <x:c r="E827" s="10" t="str">
        <x:v>{"exclusions":["설치비"],"goal":"비교표 작성","preserve_existing_tasks":true,"relation":"new_goal","targets":["S2-06:quote-L","S2-06:quote-R"]}</x:v>
      </x:c>
      <x:c r="F827" s="10" t="n">
        <x:f>IF(D827=E827,1,0)</x:f>
        <x:v>1</x:v>
      </x:c>
      <x:c r="G827" s="10" t="str">
        <x:v>필수 의미 전체 일치</x:v>
      </x:c>
    </x:row>
    <x:row r="828" ht="145" customHeight="1">
      <x:c r="A828" s="10" t="str">
        <x:v>V-R2</x:v>
      </x:c>
      <x:c r="B828" s="10" t="str">
        <x:v>VOICE</x:v>
      </x:c>
      <x:c r="C828" s="10" t="str">
        <x:v>VOICE:S2-06:input</x:v>
      </x:c>
      <x:c r="D828" s="10" t="str">
        <x:v>{"exclusions":["설치비"],"goal":"비교표 작성","preserve_existing_tasks":true,"relation":"new_goal","targets":["S2-06:quote-L","S2-06:quote-R"]}</x:v>
      </x:c>
      <x:c r="E828" s="10" t="str">
        <x:v>{"exclusions":["설치비"],"goal":"비교표 작성","preserve_existing_tasks":true,"relation":"new_goal","targets":["S2-06:quote-L","S2-06:quote-R"]}</x:v>
      </x:c>
      <x:c r="F828" s="10" t="n">
        <x:f>IF(D828=E828,1,0)</x:f>
        <x:v>1</x:v>
      </x:c>
      <x:c r="G828" s="10" t="str">
        <x:v>필수 의미 전체 일치</x:v>
      </x:c>
    </x:row>
    <x:row r="829" ht="145" customHeight="1">
      <x:c r="A829" s="10" t="str">
        <x:v>V-R3</x:v>
      </x:c>
      <x:c r="B829" s="10" t="str">
        <x:v>VOICE</x:v>
      </x:c>
      <x:c r="C829" s="10" t="str">
        <x:v>VOICE:S2-06:input</x:v>
      </x:c>
      <x:c r="D829" s="10" t="str">
        <x:v>{"exclusions":["설치비"],"goal":"비교표 작성","preserve_existing_tasks":true,"relation":"new_goal","targets":["S2-06:quote-L","S2-06:quote-R"]}</x:v>
      </x:c>
      <x:c r="E829" s="10" t="str">
        <x:v>{"exclusions":["설치비"],"goal":"비교표 작성","preserve_existing_tasks":true,"relation":"new_goal","targets":["S2-06:quote-L","S2-06:quote-R"]}</x:v>
      </x:c>
      <x:c r="F829" s="10" t="n">
        <x:f>IF(D829=E829,1,0)</x:f>
        <x:v>1</x:v>
      </x:c>
      <x:c r="G829" s="10" t="str">
        <x:v>필수 의미 전체 일치</x:v>
      </x:c>
    </x:row>
    <x:row r="830" ht="145" customHeight="1">
      <x:c r="A830" s="10" t="str">
        <x:v>V-A</x:v>
      </x:c>
      <x:c r="B830" s="10" t="str">
        <x:v>VOICE</x:v>
      </x:c>
      <x:c r="C830" s="10" t="str">
        <x:v>VOICE:S2-07:input</x:v>
      </x:c>
      <x:c r="D830" s="10" t="str">
        <x:v>{"exclusions":["설치비"],"goal":"비교표 작성","preserve_existing_tasks":true,"relation":"new_goal","targets":["S2-07:quote-L","S2-07:quote-R"]}</x:v>
      </x:c>
      <x:c r="E830" s="10" t="str">
        <x:v>{"exclusions":["설치비"],"goal":"비교표 작성","preserve_existing_tasks":true,"relation":"new_goal","targets":["S2-07:quote-L","S2-07:quote-R"]}</x:v>
      </x:c>
      <x:c r="F830" s="10" t="n">
        <x:f>IF(D830=E830,1,0)</x:f>
        <x:v>1</x:v>
      </x:c>
      <x:c r="G830" s="10" t="str">
        <x:v>필수 의미 전체 일치</x:v>
      </x:c>
    </x:row>
    <x:row r="831" ht="145" customHeight="1">
      <x:c r="A831" s="10" t="str">
        <x:v>V-R1</x:v>
      </x:c>
      <x:c r="B831" s="10" t="str">
        <x:v>VOICE</x:v>
      </x:c>
      <x:c r="C831" s="10" t="str">
        <x:v>VOICE:S2-07:input</x:v>
      </x:c>
      <x:c r="D831" s="10" t="str">
        <x:v>{"exclusions":["설치비"],"goal":"비교표 작성","preserve_existing_tasks":true,"relation":"new_goal","targets":["S2-07:quote-L","S2-07:quote-R"]}</x:v>
      </x:c>
      <x:c r="E831" s="10" t="str">
        <x:v>{"exclusions":["설치비"],"goal":"비교표 작성","preserve_existing_tasks":true,"relation":"new_goal","targets":["S2-07:quote-L","S2-07:quote-R"]}</x:v>
      </x:c>
      <x:c r="F831" s="10" t="n">
        <x:f>IF(D831=E831,1,0)</x:f>
        <x:v>1</x:v>
      </x:c>
      <x:c r="G831" s="10" t="str">
        <x:v>필수 의미 전체 일치</x:v>
      </x:c>
    </x:row>
    <x:row r="832" ht="145" customHeight="1">
      <x:c r="A832" s="10" t="str">
        <x:v>V-R2</x:v>
      </x:c>
      <x:c r="B832" s="10" t="str">
        <x:v>VOICE</x:v>
      </x:c>
      <x:c r="C832" s="10" t="str">
        <x:v>VOICE:S2-07:input</x:v>
      </x:c>
      <x:c r="D832" s="10" t="str">
        <x:v>{"exclusions":["설치비"],"goal":"비교표 작성","preserve_existing_tasks":true,"relation":"new_goal","targets":["S2-07:quote-L","S2-07:quote-R"]}</x:v>
      </x:c>
      <x:c r="E832" s="10" t="str">
        <x:v>{"exclusions":["설치비"],"goal":"비교표 작성","preserve_existing_tasks":true,"relation":"new_goal","targets":["S2-07:quote-L","S2-07:quote-R"]}</x:v>
      </x:c>
      <x:c r="F832" s="10" t="n">
        <x:f>IF(D832=E832,1,0)</x:f>
        <x:v>1</x:v>
      </x:c>
      <x:c r="G832" s="10" t="str">
        <x:v>필수 의미 전체 일치</x:v>
      </x:c>
    </x:row>
    <x:row r="833" ht="145" customHeight="1">
      <x:c r="A833" s="10" t="str">
        <x:v>V-R3</x:v>
      </x:c>
      <x:c r="B833" s="10" t="str">
        <x:v>VOICE</x:v>
      </x:c>
      <x:c r="C833" s="10" t="str">
        <x:v>VOICE:S2-07:input</x:v>
      </x:c>
      <x:c r="D833" s="10" t="str">
        <x:v>{"exclusions":["설치비"],"goal":"비교표 작성","preserve_existing_tasks":true,"relation":"new_goal","targets":["S2-07:quote-L","S2-07:quote-R"]}</x:v>
      </x:c>
      <x:c r="E833" s="10" t="str">
        <x:v>{"exclusions":["설치비"],"goal":"비교표 작성","preserve_existing_tasks":true,"relation":"new_goal","targets":["S2-07:quote-L","S2-07:quote-R"]}</x:v>
      </x:c>
      <x:c r="F833" s="10" t="n">
        <x:f>IF(D833=E833,1,0)</x:f>
        <x:v>1</x:v>
      </x:c>
      <x:c r="G833" s="10" t="str">
        <x:v>필수 의미 전체 일치</x:v>
      </x:c>
    </x:row>
    <x:row r="834" ht="145" customHeight="1">
      <x:c r="A834" s="10" t="str">
        <x:v>V-A</x:v>
      </x:c>
      <x:c r="B834" s="10" t="str">
        <x:v>VOICE</x:v>
      </x:c>
      <x:c r="C834" s="10" t="str">
        <x:v>VOICE:S2-08:input</x:v>
      </x:c>
      <x:c r="D834" s="10" t="str">
        <x:v>{"exclusions":["설치비"],"goal":"비교표 작성","preserve_existing_tasks":true,"relation":"new_goal","targets":["S2-08:quote-L","S2-08:quote-R"]}</x:v>
      </x:c>
      <x:c r="E834" s="10" t="str">
        <x:v>{"exclusions":["설치비"],"goal":"비교표 작성","preserve_existing_tasks":true,"relation":"new_goal","targets":["S2-08:quote-L","S2-08:quote-R"]}</x:v>
      </x:c>
      <x:c r="F834" s="10" t="n">
        <x:f>IF(D834=E834,1,0)</x:f>
        <x:v>1</x:v>
      </x:c>
      <x:c r="G834" s="10" t="str">
        <x:v>필수 의미 전체 일치</x:v>
      </x:c>
    </x:row>
    <x:row r="835" ht="145" customHeight="1">
      <x:c r="A835" s="10" t="str">
        <x:v>V-R1</x:v>
      </x:c>
      <x:c r="B835" s="10" t="str">
        <x:v>VOICE</x:v>
      </x:c>
      <x:c r="C835" s="10" t="str">
        <x:v>VOICE:S2-08:input</x:v>
      </x:c>
      <x:c r="D835" s="10" t="str">
        <x:v>{"exclusions":["설치비"],"goal":"비교표 작성","preserve_existing_tasks":true,"relation":"new_goal","targets":["S2-08:quote-L","S2-08:quote-R"]}</x:v>
      </x:c>
      <x:c r="E835" s="10" t="str">
        <x:v>{"exclusions":["설치비"],"goal":"비교표 작성","preserve_existing_tasks":true,"relation":"new_goal","targets":["S2-08:quote-L","S2-08:quote-R"]}</x:v>
      </x:c>
      <x:c r="F835" s="10" t="n">
        <x:f>IF(D835=E835,1,0)</x:f>
        <x:v>1</x:v>
      </x:c>
      <x:c r="G835" s="10" t="str">
        <x:v>필수 의미 전체 일치</x:v>
      </x:c>
    </x:row>
    <x:row r="836" ht="145" customHeight="1">
      <x:c r="A836" s="10" t="str">
        <x:v>V-R2</x:v>
      </x:c>
      <x:c r="B836" s="10" t="str">
        <x:v>VOICE</x:v>
      </x:c>
      <x:c r="C836" s="10" t="str">
        <x:v>VOICE:S2-08:input</x:v>
      </x:c>
      <x:c r="D836" s="10" t="str">
        <x:v>{"exclusions":["설치비"],"goal":"비교표 작성","preserve_existing_tasks":true,"relation":"new_goal","targets":["S2-08:quote-L","S2-08:quote-R"]}</x:v>
      </x:c>
      <x:c r="E836" s="10" t="str">
        <x:v>{"exclusions":["설치비"],"goal":"비교표 작성","preserve_existing_tasks":true,"relation":"new_goal","targets":["S2-08:quote-L","S2-08:quote-R"]}</x:v>
      </x:c>
      <x:c r="F836" s="10" t="n">
        <x:f>IF(D836=E836,1,0)</x:f>
        <x:v>1</x:v>
      </x:c>
      <x:c r="G836" s="10" t="str">
        <x:v>필수 의미 전체 일치</x:v>
      </x:c>
    </x:row>
    <x:row r="837" ht="145" customHeight="1">
      <x:c r="A837" s="10" t="str">
        <x:v>V-R3</x:v>
      </x:c>
      <x:c r="B837" s="10" t="str">
        <x:v>VOICE</x:v>
      </x:c>
      <x:c r="C837" s="10" t="str">
        <x:v>VOICE:S2-08:input</x:v>
      </x:c>
      <x:c r="D837" s="10" t="str">
        <x:v>{"exclusions":["설치비"],"goal":"비교표 작성","preserve_existing_tasks":true,"relation":"new_goal","targets":["S2-08:quote-L","S2-08:quote-R"]}</x:v>
      </x:c>
      <x:c r="E837" s="10" t="str">
        <x:v>{"exclusions":["설치비"],"goal":"비교표 작성","preserve_existing_tasks":true,"relation":"new_goal","targets":["S2-08:quote-L","S2-08:quote-R"]}</x:v>
      </x:c>
      <x:c r="F837" s="10" t="n">
        <x:f>IF(D837=E837,1,0)</x:f>
        <x:v>1</x:v>
      </x:c>
      <x:c r="G837" s="10" t="str">
        <x:v>필수 의미 전체 일치</x:v>
      </x:c>
    </x:row>
    <x:row r="838" ht="145" customHeight="1">
      <x:c r="A838" s="10" t="str">
        <x:v>V-A</x:v>
      </x:c>
      <x:c r="B838" s="10" t="str">
        <x:v>VOICE</x:v>
      </x:c>
      <x:c r="C838" s="10" t="str">
        <x:v>VOICE:S2-09:input</x:v>
      </x:c>
      <x:c r="D838" s="10" t="str">
        <x:v>{"exclusions":["설치비"],"goal":"비교표 작성","preserve_existing_tasks":true,"relation":"new_goal","targets":["S2-09:quote-L","S2-09:quote-R"]}</x:v>
      </x:c>
      <x:c r="E838" s="10" t="str">
        <x:v>{"exclusions":["설치비"],"goal":"비교표 작성","preserve_existing_tasks":true,"relation":"new_goal","targets":["S2-09:quote-L","S2-09:quote-R"]}</x:v>
      </x:c>
      <x:c r="F838" s="10" t="n">
        <x:f>IF(D838=E838,1,0)</x:f>
        <x:v>1</x:v>
      </x:c>
      <x:c r="G838" s="10" t="str">
        <x:v>필수 의미 전체 일치</x:v>
      </x:c>
    </x:row>
    <x:row r="839" ht="145" customHeight="1">
      <x:c r="A839" s="10" t="str">
        <x:v>V-R1</x:v>
      </x:c>
      <x:c r="B839" s="10" t="str">
        <x:v>VOICE</x:v>
      </x:c>
      <x:c r="C839" s="10" t="str">
        <x:v>VOICE:S2-09:input</x:v>
      </x:c>
      <x:c r="D839" s="10" t="str">
        <x:v>{"exclusions":["설치비"],"goal":"비교표 작성","preserve_existing_tasks":true,"relation":"new_goal","targets":["S2-09:quote-L","S2-09:quote-R"]}</x:v>
      </x:c>
      <x:c r="E839" s="10" t="str">
        <x:v>{"exclusions":["설치비"],"goal":"비교표 작성","preserve_existing_tasks":true,"relation":"new_goal","targets":["S2-09:quote-L","S2-09:quote-R"]}</x:v>
      </x:c>
      <x:c r="F839" s="10" t="n">
        <x:f>IF(D839=E839,1,0)</x:f>
        <x:v>1</x:v>
      </x:c>
      <x:c r="G839" s="10" t="str">
        <x:v>필수 의미 전체 일치</x:v>
      </x:c>
    </x:row>
    <x:row r="840" ht="145" customHeight="1">
      <x:c r="A840" s="10" t="str">
        <x:v>V-R2</x:v>
      </x:c>
      <x:c r="B840" s="10" t="str">
        <x:v>VOICE</x:v>
      </x:c>
      <x:c r="C840" s="10" t="str">
        <x:v>VOICE:S2-09:input</x:v>
      </x:c>
      <x:c r="D840" s="10" t="str">
        <x:v>{"exclusions":["설치비"],"goal":"비교표 작성","preserve_existing_tasks":true,"relation":"new_goal","targets":["S2-09:quote-L","S2-09:quote-R"]}</x:v>
      </x:c>
      <x:c r="E840" s="10" t="str">
        <x:v>{"exclusions":["설치비"],"goal":"비교표 작성","preserve_existing_tasks":true,"relation":"new_goal","targets":["S2-09:quote-L","S2-09:quote-R"]}</x:v>
      </x:c>
      <x:c r="F840" s="10" t="n">
        <x:f>IF(D840=E840,1,0)</x:f>
        <x:v>1</x:v>
      </x:c>
      <x:c r="G840" s="10" t="str">
        <x:v>필수 의미 전체 일치</x:v>
      </x:c>
    </x:row>
    <x:row r="841" ht="145" customHeight="1">
      <x:c r="A841" s="10" t="str">
        <x:v>V-R3</x:v>
      </x:c>
      <x:c r="B841" s="10" t="str">
        <x:v>VOICE</x:v>
      </x:c>
      <x:c r="C841" s="10" t="str">
        <x:v>VOICE:S2-09:input</x:v>
      </x:c>
      <x:c r="D841" s="10" t="str">
        <x:v>{"exclusions":["설치비"],"goal":"비교표 작성","preserve_existing_tasks":true,"relation":"new_goal","targets":["S2-09:quote-L","S2-09:quote-R"]}</x:v>
      </x:c>
      <x:c r="E841" s="10" t="str">
        <x:v>{"exclusions":["설치비"],"goal":"비교표 작성","preserve_existing_tasks":true,"relation":"new_goal","targets":["S2-09:quote-L","S2-09:quote-R"]}</x:v>
      </x:c>
      <x:c r="F841" s="10" t="n">
        <x:f>IF(D841=E841,1,0)</x:f>
        <x:v>1</x:v>
      </x:c>
      <x:c r="G841" s="10" t="str">
        <x:v>필수 의미 전체 일치</x:v>
      </x:c>
    </x:row>
    <x:row r="842" ht="145" customHeight="1">
      <x:c r="A842" s="10" t="str">
        <x:v>V-A</x:v>
      </x:c>
      <x:c r="B842" s="10" t="str">
        <x:v>VOICE</x:v>
      </x:c>
      <x:c r="C842" s="10" t="str">
        <x:v>VOICE:S2-10:input</x:v>
      </x:c>
      <x:c r="D842" s="10" t="str">
        <x:v>{"exclusions":["설치비"],"goal":"비교표 작성","preserve_existing_tasks":true,"relation":"new_goal","targets":["S2-10:quote-L","S2-10:quote-R"]}</x:v>
      </x:c>
      <x:c r="E842" s="10" t="str">
        <x:v>{"exclusions":[],"goal":"비교표 작성","preserve_existing_tasks":true,"relation":"new_goal","targets":["S2-10:quote-L","S2-10:quote-R"]}</x:v>
      </x:c>
      <x:c r="F842" s="10" t="n">
        <x:f>IF(D842=E842,1,0)</x:f>
        <x:v>0</x:v>
      </x:c>
      <x:c r="G842" s="10" t="str">
        <x:v>대상은 맞지만 설치비 제외 조건을 최초 채택에서 누락</x:v>
      </x:c>
    </x:row>
    <x:row r="843" ht="145" customHeight="1">
      <x:c r="A843" s="10" t="str">
        <x:v>V-R1</x:v>
      </x:c>
      <x:c r="B843" s="10" t="str">
        <x:v>VOICE</x:v>
      </x:c>
      <x:c r="C843" s="10" t="str">
        <x:v>VOICE:S2-10:input</x:v>
      </x:c>
      <x:c r="D843" s="10" t="str">
        <x:v>{"exclusions":["설치비"],"goal":"비교표 작성","preserve_existing_tasks":true,"relation":"new_goal","targets":["S2-10:quote-L","S2-10:quote-R"]}</x:v>
      </x:c>
      <x:c r="E843" s="10" t="str">
        <x:v>{"exclusions":[],"goal":"비교표 작성","preserve_existing_tasks":true,"relation":"new_goal","targets":["S2-10:quote-L","S2-10:quote-R"]}</x:v>
      </x:c>
      <x:c r="F843" s="10" t="n">
        <x:f>IF(D843=E843,1,0)</x:f>
        <x:v>0</x:v>
      </x:c>
      <x:c r="G843" s="10" t="str">
        <x:v>대상은 맞지만 설치비 제외 조건을 최초 채택에서 누락</x:v>
      </x:c>
    </x:row>
    <x:row r="844" ht="145" customHeight="1">
      <x:c r="A844" s="10" t="str">
        <x:v>V-R2</x:v>
      </x:c>
      <x:c r="B844" s="10" t="str">
        <x:v>VOICE</x:v>
      </x:c>
      <x:c r="C844" s="10" t="str">
        <x:v>VOICE:S2-10:input</x:v>
      </x:c>
      <x:c r="D844" s="10" t="str">
        <x:v>{"exclusions":["설치비"],"goal":"비교표 작성","preserve_existing_tasks":true,"relation":"new_goal","targets":["S2-10:quote-L","S2-10:quote-R"]}</x:v>
      </x:c>
      <x:c r="E844" s="10" t="str">
        <x:v>{"exclusions":[],"goal":"비교표 작성","preserve_existing_tasks":true,"relation":"new_goal","targets":["S2-10:quote-L","S2-10:quote-R"]}</x:v>
      </x:c>
      <x:c r="F844" s="10" t="n">
        <x:f>IF(D844=E844,1,0)</x:f>
        <x:v>0</x:v>
      </x:c>
      <x:c r="G844" s="10" t="str">
        <x:v>대상은 맞지만 설치비 제외 조건을 최초 채택에서 누락</x:v>
      </x:c>
    </x:row>
    <x:row r="845" ht="145" customHeight="1">
      <x:c r="A845" s="10" t="str">
        <x:v>V-R3</x:v>
      </x:c>
      <x:c r="B845" s="10" t="str">
        <x:v>VOICE</x:v>
      </x:c>
      <x:c r="C845" s="10" t="str">
        <x:v>VOICE:S2-10:input</x:v>
      </x:c>
      <x:c r="D845" s="10" t="str">
        <x:v>{"exclusions":["설치비"],"goal":"비교표 작성","preserve_existing_tasks":true,"relation":"new_goal","targets":["S2-10:quote-L","S2-10:quote-R"]}</x:v>
      </x:c>
      <x:c r="E845" s="10" t="str">
        <x:v>{"exclusions":[],"goal":"비교표 작성","preserve_existing_tasks":true,"relation":"new_goal","targets":["S2-10:quote-L","S2-10:quote-R"]}</x:v>
      </x:c>
      <x:c r="F845" s="10" t="n">
        <x:f>IF(D845=E845,1,0)</x:f>
        <x:v>0</x:v>
      </x:c>
      <x:c r="G845" s="10" t="str">
        <x:v>대상은 맞지만 설치비 제외 조건을 최초 채택에서 누락</x:v>
      </x:c>
    </x:row>
    <x:row r="846" ht="145" customHeight="1">
      <x:c r="A846" s="10" t="str">
        <x:v>V-A</x:v>
      </x:c>
      <x:c r="B846" s="10" t="str">
        <x:v>VOICE</x:v>
      </x:c>
      <x:c r="C846" s="10" t="str">
        <x:v>VOICE:S2-11:input</x:v>
      </x:c>
      <x:c r="D846" s="10" t="str">
        <x:v>{"exclusions":["설치비"],"goal":"비교표 작성","preserve_existing_tasks":true,"relation":"new_goal","targets":["S2-11:quote-L","S2-11:quote-R"]}</x:v>
      </x:c>
      <x:c r="E846" s="10" t="str">
        <x:v>{"exclusions":["설치비"],"goal":"비교표 작성","preserve_existing_tasks":true,"relation":"new_goal","targets":["S2-11:quote-L","S2-11:quote-R"]}</x:v>
      </x:c>
      <x:c r="F846" s="10" t="n">
        <x:f>IF(D846=E846,1,0)</x:f>
        <x:v>1</x:v>
      </x:c>
      <x:c r="G846" s="10" t="str">
        <x:v>필수 의미 전체 일치</x:v>
      </x:c>
    </x:row>
    <x:row r="847" ht="145" customHeight="1">
      <x:c r="A847" s="10" t="str">
        <x:v>V-R1</x:v>
      </x:c>
      <x:c r="B847" s="10" t="str">
        <x:v>VOICE</x:v>
      </x:c>
      <x:c r="C847" s="10" t="str">
        <x:v>VOICE:S2-11:input</x:v>
      </x:c>
      <x:c r="D847" s="10" t="str">
        <x:v>{"exclusions":["설치비"],"goal":"비교표 작성","preserve_existing_tasks":true,"relation":"new_goal","targets":["S2-11:quote-L","S2-11:quote-R"]}</x:v>
      </x:c>
      <x:c r="E847" s="10" t="str">
        <x:v>{"exclusions":["설치비"],"goal":"비교표 작성","preserve_existing_tasks":true,"relation":"new_goal","targets":["S2-11:quote-L","S2-11:quote-R"]}</x:v>
      </x:c>
      <x:c r="F847" s="10" t="n">
        <x:f>IF(D847=E847,1,0)</x:f>
        <x:v>1</x:v>
      </x:c>
      <x:c r="G847" s="10" t="str">
        <x:v>필수 의미 전체 일치</x:v>
      </x:c>
    </x:row>
    <x:row r="848" ht="145" customHeight="1">
      <x:c r="A848" s="10" t="str">
        <x:v>V-R2</x:v>
      </x:c>
      <x:c r="B848" s="10" t="str">
        <x:v>VOICE</x:v>
      </x:c>
      <x:c r="C848" s="10" t="str">
        <x:v>VOICE:S2-11:input</x:v>
      </x:c>
      <x:c r="D848" s="10" t="str">
        <x:v>{"exclusions":["설치비"],"goal":"비교표 작성","preserve_existing_tasks":true,"relation":"new_goal","targets":["S2-11:quote-L","S2-11:quote-R"]}</x:v>
      </x:c>
      <x:c r="E848" s="10" t="str">
        <x:v>{"exclusions":["설치비"],"goal":"비교표 작성","preserve_existing_tasks":true,"relation":"new_goal","targets":["S2-11:quote-L","S2-11:quote-R"]}</x:v>
      </x:c>
      <x:c r="F848" s="10" t="n">
        <x:f>IF(D848=E848,1,0)</x:f>
        <x:v>1</x:v>
      </x:c>
      <x:c r="G848" s="10" t="str">
        <x:v>필수 의미 전체 일치</x:v>
      </x:c>
    </x:row>
    <x:row r="849" ht="145" customHeight="1">
      <x:c r="A849" s="10" t="str">
        <x:v>V-R3</x:v>
      </x:c>
      <x:c r="B849" s="10" t="str">
        <x:v>VOICE</x:v>
      </x:c>
      <x:c r="C849" s="10" t="str">
        <x:v>VOICE:S2-11:input</x:v>
      </x:c>
      <x:c r="D849" s="10" t="str">
        <x:v>{"exclusions":["설치비"],"goal":"비교표 작성","preserve_existing_tasks":true,"relation":"new_goal","targets":["S2-11:quote-L","S2-11:quote-R"]}</x:v>
      </x:c>
      <x:c r="E849" s="10" t="str">
        <x:v>{"exclusions":["설치비"],"goal":"비교표 작성","preserve_existing_tasks":true,"relation":"new_goal","targets":["S2-11:quote-L","S2-11:quote-R"]}</x:v>
      </x:c>
      <x:c r="F849" s="10" t="n">
        <x:f>IF(D849=E849,1,0)</x:f>
        <x:v>1</x:v>
      </x:c>
      <x:c r="G849" s="10" t="str">
        <x:v>필수 의미 전체 일치</x:v>
      </x:c>
    </x:row>
    <x:row r="850" ht="145" customHeight="1">
      <x:c r="A850" s="10" t="str">
        <x:v>V-A</x:v>
      </x:c>
      <x:c r="B850" s="10" t="str">
        <x:v>VOICE</x:v>
      </x:c>
      <x:c r="C850" s="10" t="str">
        <x:v>VOICE:S2-12:input</x:v>
      </x:c>
      <x:c r="D850" s="10" t="str">
        <x:v>{"exclusions":["설치비"],"goal":"비교표 작성","preserve_existing_tasks":true,"relation":"new_goal","targets":["S2-12:quote-L","S2-12:quote-R"]}</x:v>
      </x:c>
      <x:c r="E850" s="10" t="str">
        <x:v>{"exclusions":["설치비"],"goal":"비교표 작성","preserve_existing_tasks":true,"relation":"new_goal","targets":["S2-12:quote-L","S2-12:quote-R"]}</x:v>
      </x:c>
      <x:c r="F850" s="10" t="n">
        <x:f>IF(D850=E850,1,0)</x:f>
        <x:v>1</x:v>
      </x:c>
      <x:c r="G850" s="10" t="str">
        <x:v>필수 의미 전체 일치</x:v>
      </x:c>
    </x:row>
    <x:row r="851" ht="145" customHeight="1">
      <x:c r="A851" s="10" t="str">
        <x:v>V-R1</x:v>
      </x:c>
      <x:c r="B851" s="10" t="str">
        <x:v>VOICE</x:v>
      </x:c>
      <x:c r="C851" s="10" t="str">
        <x:v>VOICE:S2-12:input</x:v>
      </x:c>
      <x:c r="D851" s="10" t="str">
        <x:v>{"exclusions":["설치비"],"goal":"비교표 작성","preserve_existing_tasks":true,"relation":"new_goal","targets":["S2-12:quote-L","S2-12:quote-R"]}</x:v>
      </x:c>
      <x:c r="E851" s="10" t="str">
        <x:v>{"exclusions":["설치비"],"goal":"비교표 작성","preserve_existing_tasks":true,"relation":"new_goal","targets":["S2-12:quote-L","S2-12:quote-R"]}</x:v>
      </x:c>
      <x:c r="F851" s="10" t="n">
        <x:f>IF(D851=E851,1,0)</x:f>
        <x:v>1</x:v>
      </x:c>
      <x:c r="G851" s="10" t="str">
        <x:v>필수 의미 전체 일치</x:v>
      </x:c>
    </x:row>
    <x:row r="852" ht="145" customHeight="1">
      <x:c r="A852" s="10" t="str">
        <x:v>V-R2</x:v>
      </x:c>
      <x:c r="B852" s="10" t="str">
        <x:v>VOICE</x:v>
      </x:c>
      <x:c r="C852" s="10" t="str">
        <x:v>VOICE:S2-12:input</x:v>
      </x:c>
      <x:c r="D852" s="10" t="str">
        <x:v>{"exclusions":["설치비"],"goal":"비교표 작성","preserve_existing_tasks":true,"relation":"new_goal","targets":["S2-12:quote-L","S2-12:quote-R"]}</x:v>
      </x:c>
      <x:c r="E852" s="10" t="str">
        <x:v>{"exclusions":["설치비"],"goal":"비교표 작성","preserve_existing_tasks":true,"relation":"new_goal","targets":["S2-12:quote-L","S2-12:quote-R"]}</x:v>
      </x:c>
      <x:c r="F852" s="10" t="n">
        <x:f>IF(D852=E852,1,0)</x:f>
        <x:v>1</x:v>
      </x:c>
      <x:c r="G852" s="10" t="str">
        <x:v>필수 의미 전체 일치</x:v>
      </x:c>
    </x:row>
    <x:row r="853" ht="145" customHeight="1">
      <x:c r="A853" s="10" t="str">
        <x:v>V-R3</x:v>
      </x:c>
      <x:c r="B853" s="10" t="str">
        <x:v>VOICE</x:v>
      </x:c>
      <x:c r="C853" s="10" t="str">
        <x:v>VOICE:S2-12:input</x:v>
      </x:c>
      <x:c r="D853" s="10" t="str">
        <x:v>{"exclusions":["설치비"],"goal":"비교표 작성","preserve_existing_tasks":true,"relation":"new_goal","targets":["S2-12:quote-L","S2-12:quote-R"]}</x:v>
      </x:c>
      <x:c r="E853" s="10" t="str">
        <x:v>{"exclusions":["설치비"],"goal":"비교표 작성","preserve_existing_tasks":true,"relation":"new_goal","targets":["S2-12:quote-L","S2-12:quote-R"]}</x:v>
      </x:c>
      <x:c r="F853" s="10" t="n">
        <x:f>IF(D853=E853,1,0)</x:f>
        <x:v>1</x:v>
      </x:c>
      <x:c r="G853" s="10" t="str">
        <x:v>필수 의미 전체 일치</x:v>
      </x:c>
    </x:row>
    <x:row r="854" ht="145" customHeight="1">
      <x:c r="A854" s="10" t="str">
        <x:v>V-A</x:v>
      </x:c>
      <x:c r="B854" s="10" t="str">
        <x:v>VOICE</x:v>
      </x:c>
      <x:c r="C854" s="10" t="str">
        <x:v>VOICE:S2-13:input</x:v>
      </x:c>
      <x:c r="D854" s="10" t="str">
        <x:v>{"exclusions":["설치비"],"goal":"비교표 작성","preserve_existing_tasks":true,"relation":"new_goal","targets":["S2-13:quote-L","S2-13:quote-R"]}</x:v>
      </x:c>
      <x:c r="E854" s="10" t="str">
        <x:v>{"exclusions":["설치비"],"goal":"비교표 작성","preserve_existing_tasks":true,"relation":"new_goal","targets":["S2-13:quote-L","S2-13:quote-R"]}</x:v>
      </x:c>
      <x:c r="F854" s="10" t="n">
        <x:f>IF(D854=E854,1,0)</x:f>
        <x:v>1</x:v>
      </x:c>
      <x:c r="G854" s="10" t="str">
        <x:v>필수 의미 전체 일치</x:v>
      </x:c>
    </x:row>
    <x:row r="855" ht="145" customHeight="1">
      <x:c r="A855" s="10" t="str">
        <x:v>V-R1</x:v>
      </x:c>
      <x:c r="B855" s="10" t="str">
        <x:v>VOICE</x:v>
      </x:c>
      <x:c r="C855" s="10" t="str">
        <x:v>VOICE:S2-13:input</x:v>
      </x:c>
      <x:c r="D855" s="10" t="str">
        <x:v>{"exclusions":["설치비"],"goal":"비교표 작성","preserve_existing_tasks":true,"relation":"new_goal","targets":["S2-13:quote-L","S2-13:quote-R"]}</x:v>
      </x:c>
      <x:c r="E855" s="10" t="str">
        <x:v>{"exclusions":["설치비"],"goal":"비교표 작성","preserve_existing_tasks":true,"relation":"new_goal","targets":["S2-13:quote-L","S2-13:quote-R"]}</x:v>
      </x:c>
      <x:c r="F855" s="10" t="n">
        <x:f>IF(D855=E855,1,0)</x:f>
        <x:v>1</x:v>
      </x:c>
      <x:c r="G855" s="10" t="str">
        <x:v>필수 의미 전체 일치</x:v>
      </x:c>
    </x:row>
    <x:row r="856" ht="145" customHeight="1">
      <x:c r="A856" s="10" t="str">
        <x:v>V-R2</x:v>
      </x:c>
      <x:c r="B856" s="10" t="str">
        <x:v>VOICE</x:v>
      </x:c>
      <x:c r="C856" s="10" t="str">
        <x:v>VOICE:S2-13:input</x:v>
      </x:c>
      <x:c r="D856" s="10" t="str">
        <x:v>{"exclusions":["설치비"],"goal":"비교표 작성","preserve_existing_tasks":true,"relation":"new_goal","targets":["S2-13:quote-L","S2-13:quote-R"]}</x:v>
      </x:c>
      <x:c r="E856" s="10" t="str">
        <x:v>{"exclusions":["설치비"],"goal":"비교표 작성","preserve_existing_tasks":true,"relation":"new_goal","targets":["S2-13:quote-L","S2-13:quote-R"]}</x:v>
      </x:c>
      <x:c r="F856" s="10" t="n">
        <x:f>IF(D856=E856,1,0)</x:f>
        <x:v>1</x:v>
      </x:c>
      <x:c r="G856" s="10" t="str">
        <x:v>필수 의미 전체 일치</x:v>
      </x:c>
    </x:row>
    <x:row r="857" ht="145" customHeight="1">
      <x:c r="A857" s="10" t="str">
        <x:v>V-R3</x:v>
      </x:c>
      <x:c r="B857" s="10" t="str">
        <x:v>VOICE</x:v>
      </x:c>
      <x:c r="C857" s="10" t="str">
        <x:v>VOICE:S2-13:input</x:v>
      </x:c>
      <x:c r="D857" s="10" t="str">
        <x:v>{"exclusions":["설치비"],"goal":"비교표 작성","preserve_existing_tasks":true,"relation":"new_goal","targets":["S2-13:quote-L","S2-13:quote-R"]}</x:v>
      </x:c>
      <x:c r="E857" s="10" t="str">
        <x:v>{"exclusions":["설치비"],"goal":"비교표 작성","preserve_existing_tasks":true,"relation":"new_goal","targets":["S2-13:quote-L","S2-13:quote-R"]}</x:v>
      </x:c>
      <x:c r="F857" s="10" t="n">
        <x:f>IF(D857=E857,1,0)</x:f>
        <x:v>1</x:v>
      </x:c>
      <x:c r="G857" s="10" t="str">
        <x:v>필수 의미 전체 일치</x:v>
      </x:c>
    </x:row>
    <x:row r="858" ht="145" customHeight="1">
      <x:c r="A858" s="10" t="str">
        <x:v>V-A</x:v>
      </x:c>
      <x:c r="B858" s="10" t="str">
        <x:v>VOICE</x:v>
      </x:c>
      <x:c r="C858" s="10" t="str">
        <x:v>VOICE:S2-14:input</x:v>
      </x:c>
      <x:c r="D858" s="10" t="str">
        <x:v>{"exclusions":["설치비"],"goal":"비교표 작성","preserve_existing_tasks":true,"relation":"new_goal","targets":["S2-14:quote-L","S2-14:quote-R"]}</x:v>
      </x:c>
      <x:c r="E858" s="10" t="str">
        <x:v>{"exclusions":["설치비"],"goal":"비교표 작성","preserve_existing_tasks":true,"relation":"new_goal","targets":["S2-14:quote-L","S2-14:quote-R"]}</x:v>
      </x:c>
      <x:c r="F858" s="10" t="n">
        <x:f>IF(D858=E858,1,0)</x:f>
        <x:v>1</x:v>
      </x:c>
      <x:c r="G858" s="10" t="str">
        <x:v>필수 의미 전체 일치</x:v>
      </x:c>
    </x:row>
    <x:row r="859" ht="145" customHeight="1">
      <x:c r="A859" s="10" t="str">
        <x:v>V-R1</x:v>
      </x:c>
      <x:c r="B859" s="10" t="str">
        <x:v>VOICE</x:v>
      </x:c>
      <x:c r="C859" s="10" t="str">
        <x:v>VOICE:S2-14:input</x:v>
      </x:c>
      <x:c r="D859" s="10" t="str">
        <x:v>{"exclusions":["설치비"],"goal":"비교표 작성","preserve_existing_tasks":true,"relation":"new_goal","targets":["S2-14:quote-L","S2-14:quote-R"]}</x:v>
      </x:c>
      <x:c r="E859" s="10" t="str">
        <x:v>{"exclusions":["설치비"],"goal":"비교표 작성","preserve_existing_tasks":true,"relation":"new_goal","targets":["S2-14:quote-L","S2-14:quote-R"]}</x:v>
      </x:c>
      <x:c r="F859" s="10" t="n">
        <x:f>IF(D859=E859,1,0)</x:f>
        <x:v>1</x:v>
      </x:c>
      <x:c r="G859" s="10" t="str">
        <x:v>필수 의미 전체 일치</x:v>
      </x:c>
    </x:row>
    <x:row r="860" ht="145" customHeight="1">
      <x:c r="A860" s="10" t="str">
        <x:v>V-R2</x:v>
      </x:c>
      <x:c r="B860" s="10" t="str">
        <x:v>VOICE</x:v>
      </x:c>
      <x:c r="C860" s="10" t="str">
        <x:v>VOICE:S2-14:input</x:v>
      </x:c>
      <x:c r="D860" s="10" t="str">
        <x:v>{"exclusions":["설치비"],"goal":"비교표 작성","preserve_existing_tasks":true,"relation":"new_goal","targets":["S2-14:quote-L","S2-14:quote-R"]}</x:v>
      </x:c>
      <x:c r="E860" s="10" t="str">
        <x:v>{"exclusions":["설치비"],"goal":"비교표 작성","preserve_existing_tasks":true,"relation":"new_goal","targets":["S2-14:quote-L","S2-14:quote-R"]}</x:v>
      </x:c>
      <x:c r="F860" s="10" t="n">
        <x:f>IF(D860=E860,1,0)</x:f>
        <x:v>1</x:v>
      </x:c>
      <x:c r="G860" s="10" t="str">
        <x:v>필수 의미 전체 일치</x:v>
      </x:c>
    </x:row>
    <x:row r="861" ht="145" customHeight="1">
      <x:c r="A861" s="10" t="str">
        <x:v>V-R3</x:v>
      </x:c>
      <x:c r="B861" s="10" t="str">
        <x:v>VOICE</x:v>
      </x:c>
      <x:c r="C861" s="10" t="str">
        <x:v>VOICE:S2-14:input</x:v>
      </x:c>
      <x:c r="D861" s="10" t="str">
        <x:v>{"exclusions":["설치비"],"goal":"비교표 작성","preserve_existing_tasks":true,"relation":"new_goal","targets":["S2-14:quote-L","S2-14:quote-R"]}</x:v>
      </x:c>
      <x:c r="E861" s="10" t="str">
        <x:v>{"exclusions":["설치비"],"goal":"비교표 작성","preserve_existing_tasks":true,"relation":"new_goal","targets":["S2-14:quote-L","S2-14:quote-R"]}</x:v>
      </x:c>
      <x:c r="F861" s="10" t="n">
        <x:f>IF(D861=E861,1,0)</x:f>
        <x:v>1</x:v>
      </x:c>
      <x:c r="G861" s="10" t="str">
        <x:v>필수 의미 전체 일치</x:v>
      </x:c>
    </x:row>
    <x:row r="862" ht="145" customHeight="1">
      <x:c r="A862" s="10" t="str">
        <x:v>V-A</x:v>
      </x:c>
      <x:c r="B862" s="10" t="str">
        <x:v>VOICE</x:v>
      </x:c>
      <x:c r="C862" s="10" t="str">
        <x:v>VOICE:S2-15:input</x:v>
      </x:c>
      <x:c r="D862" s="10" t="str">
        <x:v>{"exclusions":["설치비"],"goal":"비교표 작성","preserve_existing_tasks":true,"relation":"new_goal","targets":["S2-15:quote-L","S2-15:quote-R"]}</x:v>
      </x:c>
      <x:c r="E862" s="10" t="str">
        <x:v>{"exclusions":["설치비"],"goal":"비교표 작성","preserve_existing_tasks":true,"relation":"new_goal","targets":["S2-15:quote-L","S2-15:quote-R"]}</x:v>
      </x:c>
      <x:c r="F862" s="10" t="n">
        <x:f>IF(D862=E862,1,0)</x:f>
        <x:v>1</x:v>
      </x:c>
      <x:c r="G862" s="10" t="str">
        <x:v>필수 의미 전체 일치</x:v>
      </x:c>
    </x:row>
    <x:row r="863" ht="145" customHeight="1">
      <x:c r="A863" s="10" t="str">
        <x:v>V-R1</x:v>
      </x:c>
      <x:c r="B863" s="10" t="str">
        <x:v>VOICE</x:v>
      </x:c>
      <x:c r="C863" s="10" t="str">
        <x:v>VOICE:S2-15:input</x:v>
      </x:c>
      <x:c r="D863" s="10" t="str">
        <x:v>{"exclusions":["설치비"],"goal":"비교표 작성","preserve_existing_tasks":true,"relation":"new_goal","targets":["S2-15:quote-L","S2-15:quote-R"]}</x:v>
      </x:c>
      <x:c r="E863" s="10" t="str">
        <x:v>{"exclusions":["설치비"],"goal":"비교표 작성","preserve_existing_tasks":true,"relation":"new_goal","targets":["S2-15:quote-L","S2-15:quote-R"]}</x:v>
      </x:c>
      <x:c r="F863" s="10" t="n">
        <x:f>IF(D863=E863,1,0)</x:f>
        <x:v>1</x:v>
      </x:c>
      <x:c r="G863" s="10" t="str">
        <x:v>필수 의미 전체 일치</x:v>
      </x:c>
    </x:row>
    <x:row r="864" ht="145" customHeight="1">
      <x:c r="A864" s="10" t="str">
        <x:v>V-R2</x:v>
      </x:c>
      <x:c r="B864" s="10" t="str">
        <x:v>VOICE</x:v>
      </x:c>
      <x:c r="C864" s="10" t="str">
        <x:v>VOICE:S2-15:input</x:v>
      </x:c>
      <x:c r="D864" s="10" t="str">
        <x:v>{"exclusions":["설치비"],"goal":"비교표 작성","preserve_existing_tasks":true,"relation":"new_goal","targets":["S2-15:quote-L","S2-15:quote-R"]}</x:v>
      </x:c>
      <x:c r="E864" s="10" t="str">
        <x:v>{"exclusions":["설치비"],"goal":"비교표 작성","preserve_existing_tasks":true,"relation":"new_goal","targets":["S2-15:quote-L","S2-15:quote-R"]}</x:v>
      </x:c>
      <x:c r="F864" s="10" t="n">
        <x:f>IF(D864=E864,1,0)</x:f>
        <x:v>1</x:v>
      </x:c>
      <x:c r="G864" s="10" t="str">
        <x:v>필수 의미 전체 일치</x:v>
      </x:c>
    </x:row>
    <x:row r="865" ht="145" customHeight="1">
      <x:c r="A865" s="10" t="str">
        <x:v>V-R3</x:v>
      </x:c>
      <x:c r="B865" s="10" t="str">
        <x:v>VOICE</x:v>
      </x:c>
      <x:c r="C865" s="10" t="str">
        <x:v>VOICE:S2-15:input</x:v>
      </x:c>
      <x:c r="D865" s="10" t="str">
        <x:v>{"exclusions":["설치비"],"goal":"비교표 작성","preserve_existing_tasks":true,"relation":"new_goal","targets":["S2-15:quote-L","S2-15:quote-R"]}</x:v>
      </x:c>
      <x:c r="E865" s="10" t="str">
        <x:v>{"exclusions":["설치비"],"goal":"비교표 작성","preserve_existing_tasks":true,"relation":"new_goal","targets":["S2-15:quote-L","S2-15:quote-R"]}</x:v>
      </x:c>
      <x:c r="F865" s="10" t="n">
        <x:f>IF(D865=E865,1,0)</x:f>
        <x:v>1</x:v>
      </x:c>
      <x:c r="G865" s="10" t="str">
        <x:v>필수 의미 전체 일치</x:v>
      </x:c>
    </x:row>
    <x:row r="866" ht="145" customHeight="1">
      <x:c r="A866" s="10" t="str">
        <x:v>V-A</x:v>
      </x:c>
      <x:c r="B866" s="10" t="str">
        <x:v>VOICE</x:v>
      </x:c>
      <x:c r="C866" s="10" t="str">
        <x:v>VOICE:S2-16:input</x:v>
      </x:c>
      <x:c r="D866" s="10" t="str">
        <x:v>{"exclusions":["설치비"],"goal":"비교표 작성","preserve_existing_tasks":true,"relation":"new_goal","targets":["S2-16:quote-L","S2-16:quote-R"]}</x:v>
      </x:c>
      <x:c r="E866" s="10" t="str">
        <x:v>{"exclusions":["설치비"],"goal":"비교표 작성","preserve_existing_tasks":true,"relation":"new_goal","targets":["S2-16:quote-L","S2-16:quote-R"]}</x:v>
      </x:c>
      <x:c r="F866" s="10" t="n">
        <x:f>IF(D866=E866,1,0)</x:f>
        <x:v>1</x:v>
      </x:c>
      <x:c r="G866" s="10" t="str">
        <x:v>필수 의미 전체 일치</x:v>
      </x:c>
    </x:row>
    <x:row r="867" ht="145" customHeight="1">
      <x:c r="A867" s="10" t="str">
        <x:v>V-R1</x:v>
      </x:c>
      <x:c r="B867" s="10" t="str">
        <x:v>VOICE</x:v>
      </x:c>
      <x:c r="C867" s="10" t="str">
        <x:v>VOICE:S2-16:input</x:v>
      </x:c>
      <x:c r="D867" s="10" t="str">
        <x:v>{"exclusions":["설치비"],"goal":"비교표 작성","preserve_existing_tasks":true,"relation":"new_goal","targets":["S2-16:quote-L","S2-16:quote-R"]}</x:v>
      </x:c>
      <x:c r="E867" s="10" t="str">
        <x:v>{"exclusions":["설치비"],"goal":"비교표 작성","preserve_existing_tasks":true,"relation":"new_goal","targets":["S2-16:quote-L","S2-16:quote-R"]}</x:v>
      </x:c>
      <x:c r="F867" s="10" t="n">
        <x:f>IF(D867=E867,1,0)</x:f>
        <x:v>1</x:v>
      </x:c>
      <x:c r="G867" s="10" t="str">
        <x:v>필수 의미 전체 일치</x:v>
      </x:c>
    </x:row>
    <x:row r="868" ht="145" customHeight="1">
      <x:c r="A868" s="10" t="str">
        <x:v>V-R2</x:v>
      </x:c>
      <x:c r="B868" s="10" t="str">
        <x:v>VOICE</x:v>
      </x:c>
      <x:c r="C868" s="10" t="str">
        <x:v>VOICE:S2-16:input</x:v>
      </x:c>
      <x:c r="D868" s="10" t="str">
        <x:v>{"exclusions":["설치비"],"goal":"비교표 작성","preserve_existing_tasks":true,"relation":"new_goal","targets":["S2-16:quote-L","S2-16:quote-R"]}</x:v>
      </x:c>
      <x:c r="E868" s="10" t="str">
        <x:v>{"exclusions":["설치비"],"goal":"비교표 작성","preserve_existing_tasks":true,"relation":"new_goal","targets":["S2-16:quote-L","S2-16:quote-R"]}</x:v>
      </x:c>
      <x:c r="F868" s="10" t="n">
        <x:f>IF(D868=E868,1,0)</x:f>
        <x:v>1</x:v>
      </x:c>
      <x:c r="G868" s="10" t="str">
        <x:v>필수 의미 전체 일치</x:v>
      </x:c>
    </x:row>
    <x:row r="869" ht="145" customHeight="1">
      <x:c r="A869" s="10" t="str">
        <x:v>V-R3</x:v>
      </x:c>
      <x:c r="B869" s="10" t="str">
        <x:v>VOICE</x:v>
      </x:c>
      <x:c r="C869" s="10" t="str">
        <x:v>VOICE:S2-16:input</x:v>
      </x:c>
      <x:c r="D869" s="10" t="str">
        <x:v>{"exclusions":["설치비"],"goal":"비교표 작성","preserve_existing_tasks":true,"relation":"new_goal","targets":["S2-16:quote-L","S2-16:quote-R"]}</x:v>
      </x:c>
      <x:c r="E869" s="10" t="str">
        <x:v>{"exclusions":["설치비"],"goal":"비교표 작성","preserve_existing_tasks":true,"relation":"new_goal","targets":["S2-16:quote-L","S2-16:quote-R"]}</x:v>
      </x:c>
      <x:c r="F869" s="10" t="n">
        <x:f>IF(D869=E869,1,0)</x:f>
        <x:v>1</x:v>
      </x:c>
      <x:c r="G869" s="10" t="str">
        <x:v>필수 의미 전체 일치</x:v>
      </x:c>
    </x:row>
    <x:row r="870" ht="145" customHeight="1">
      <x:c r="A870" s="10" t="str">
        <x:v>V-A</x:v>
      </x:c>
      <x:c r="B870" s="10" t="str">
        <x:v>VOICE</x:v>
      </x:c>
      <x:c r="C870" s="10" t="str">
        <x:v>VOICE:S2-17:input</x:v>
      </x:c>
      <x:c r="D870" s="10" t="str">
        <x:v>{"exclusions":["설치비"],"goal":"비교표 작성","preserve_existing_tasks":true,"relation":"new_goal","targets":["S2-17:quote-L","S2-17:quote-R"]}</x:v>
      </x:c>
      <x:c r="E870" s="10" t="str">
        <x:v>{"exclusions":["설치비"],"goal":"비교표 작성","preserve_existing_tasks":true,"relation":"new_goal","targets":["S2-17:quote-L","S2-17:quote-R"]}</x:v>
      </x:c>
      <x:c r="F870" s="10" t="n">
        <x:f>IF(D870=E870,1,0)</x:f>
        <x:v>1</x:v>
      </x:c>
      <x:c r="G870" s="10" t="str">
        <x:v>필수 의미 전체 일치</x:v>
      </x:c>
    </x:row>
    <x:row r="871" ht="145" customHeight="1">
      <x:c r="A871" s="10" t="str">
        <x:v>V-R1</x:v>
      </x:c>
      <x:c r="B871" s="10" t="str">
        <x:v>VOICE</x:v>
      </x:c>
      <x:c r="C871" s="10" t="str">
        <x:v>VOICE:S2-17:input</x:v>
      </x:c>
      <x:c r="D871" s="10" t="str">
        <x:v>{"exclusions":["설치비"],"goal":"비교표 작성","preserve_existing_tasks":true,"relation":"new_goal","targets":["S2-17:quote-L","S2-17:quote-R"]}</x:v>
      </x:c>
      <x:c r="E871" s="10" t="str">
        <x:v>{"exclusions":["설치비"],"goal":"비교표 작성","preserve_existing_tasks":true,"relation":"new_goal","targets":["S2-17:quote-L","S2-17:quote-R"]}</x:v>
      </x:c>
      <x:c r="F871" s="10" t="n">
        <x:f>IF(D871=E871,1,0)</x:f>
        <x:v>1</x:v>
      </x:c>
      <x:c r="G871" s="10" t="str">
        <x:v>필수 의미 전체 일치</x:v>
      </x:c>
    </x:row>
    <x:row r="872" ht="145" customHeight="1">
      <x:c r="A872" s="10" t="str">
        <x:v>V-R2</x:v>
      </x:c>
      <x:c r="B872" s="10" t="str">
        <x:v>VOICE</x:v>
      </x:c>
      <x:c r="C872" s="10" t="str">
        <x:v>VOICE:S2-17:input</x:v>
      </x:c>
      <x:c r="D872" s="10" t="str">
        <x:v>{"exclusions":["설치비"],"goal":"비교표 작성","preserve_existing_tasks":true,"relation":"new_goal","targets":["S2-17:quote-L","S2-17:quote-R"]}</x:v>
      </x:c>
      <x:c r="E872" s="10" t="str">
        <x:v>{"exclusions":["설치비"],"goal":"비교표 작성","preserve_existing_tasks":true,"relation":"new_goal","targets":["S2-17:quote-L","S2-17:quote-R"]}</x:v>
      </x:c>
      <x:c r="F872" s="10" t="n">
        <x:f>IF(D872=E872,1,0)</x:f>
        <x:v>1</x:v>
      </x:c>
      <x:c r="G872" s="10" t="str">
        <x:v>필수 의미 전체 일치</x:v>
      </x:c>
    </x:row>
    <x:row r="873" ht="145" customHeight="1">
      <x:c r="A873" s="10" t="str">
        <x:v>V-R3</x:v>
      </x:c>
      <x:c r="B873" s="10" t="str">
        <x:v>VOICE</x:v>
      </x:c>
      <x:c r="C873" s="10" t="str">
        <x:v>VOICE:S2-17:input</x:v>
      </x:c>
      <x:c r="D873" s="10" t="str">
        <x:v>{"exclusions":["설치비"],"goal":"비교표 작성","preserve_existing_tasks":true,"relation":"new_goal","targets":["S2-17:quote-L","S2-17:quote-R"]}</x:v>
      </x:c>
      <x:c r="E873" s="10" t="str">
        <x:v>{"exclusions":["설치비"],"goal":"비교표 작성","preserve_existing_tasks":true,"relation":"new_goal","targets":["S2-17:quote-L","S2-17:quote-R"]}</x:v>
      </x:c>
      <x:c r="F873" s="10" t="n">
        <x:f>IF(D873=E873,1,0)</x:f>
        <x:v>1</x:v>
      </x:c>
      <x:c r="G873" s="10" t="str">
        <x:v>필수 의미 전체 일치</x:v>
      </x:c>
    </x:row>
    <x:row r="874" ht="145" customHeight="1">
      <x:c r="A874" s="10" t="str">
        <x:v>V-A</x:v>
      </x:c>
      <x:c r="B874" s="10" t="str">
        <x:v>VOICE</x:v>
      </x:c>
      <x:c r="C874" s="10" t="str">
        <x:v>VOICE:S2-18:input</x:v>
      </x:c>
      <x:c r="D874" s="10" t="str">
        <x:v>{"exclusions":["설치비"],"goal":"비교표 작성","preserve_existing_tasks":true,"relation":"new_goal","targets":["S2-18:quote-L","S2-18:quote-R"]}</x:v>
      </x:c>
      <x:c r="E874" s="10" t="str">
        <x:v>{"exclusions":["설치비"],"goal":"비교표 작성","preserve_existing_tasks":true,"relation":"new_goal","targets":["S2-18:quote-L","S2-18:quote-R"]}</x:v>
      </x:c>
      <x:c r="F874" s="10" t="n">
        <x:f>IF(D874=E874,1,0)</x:f>
        <x:v>1</x:v>
      </x:c>
      <x:c r="G874" s="10" t="str">
        <x:v>필수 의미 전체 일치</x:v>
      </x:c>
    </x:row>
    <x:row r="875" ht="145" customHeight="1">
      <x:c r="A875" s="10" t="str">
        <x:v>V-R1</x:v>
      </x:c>
      <x:c r="B875" s="10" t="str">
        <x:v>VOICE</x:v>
      </x:c>
      <x:c r="C875" s="10" t="str">
        <x:v>VOICE:S2-18:input</x:v>
      </x:c>
      <x:c r="D875" s="10" t="str">
        <x:v>{"exclusions":["설치비"],"goal":"비교표 작성","preserve_existing_tasks":true,"relation":"new_goal","targets":["S2-18:quote-L","S2-18:quote-R"]}</x:v>
      </x:c>
      <x:c r="E875" s="10" t="str">
        <x:v>{"exclusions":["설치비"],"goal":"비교표 작성","preserve_existing_tasks":true,"relation":"new_goal","targets":["S2-18:quote-L","S2-18:quote-R"]}</x:v>
      </x:c>
      <x:c r="F875" s="10" t="n">
        <x:f>IF(D875=E875,1,0)</x:f>
        <x:v>1</x:v>
      </x:c>
      <x:c r="G875" s="10" t="str">
        <x:v>필수 의미 전체 일치</x:v>
      </x:c>
    </x:row>
    <x:row r="876" ht="145" customHeight="1">
      <x:c r="A876" s="10" t="str">
        <x:v>V-R2</x:v>
      </x:c>
      <x:c r="B876" s="10" t="str">
        <x:v>VOICE</x:v>
      </x:c>
      <x:c r="C876" s="10" t="str">
        <x:v>VOICE:S2-18:input</x:v>
      </x:c>
      <x:c r="D876" s="10" t="str">
        <x:v>{"exclusions":["설치비"],"goal":"비교표 작성","preserve_existing_tasks":true,"relation":"new_goal","targets":["S2-18:quote-L","S2-18:quote-R"]}</x:v>
      </x:c>
      <x:c r="E876" s="10" t="str">
        <x:v>{"exclusions":["설치비"],"goal":"비교표 작성","preserve_existing_tasks":true,"relation":"new_goal","targets":["S2-18:quote-L","S2-18:quote-R"]}</x:v>
      </x:c>
      <x:c r="F876" s="10" t="n">
        <x:f>IF(D876=E876,1,0)</x:f>
        <x:v>1</x:v>
      </x:c>
      <x:c r="G876" s="10" t="str">
        <x:v>필수 의미 전체 일치</x:v>
      </x:c>
    </x:row>
    <x:row r="877" ht="145" customHeight="1">
      <x:c r="A877" s="10" t="str">
        <x:v>V-R3</x:v>
      </x:c>
      <x:c r="B877" s="10" t="str">
        <x:v>VOICE</x:v>
      </x:c>
      <x:c r="C877" s="10" t="str">
        <x:v>VOICE:S2-18:input</x:v>
      </x:c>
      <x:c r="D877" s="10" t="str">
        <x:v>{"exclusions":["설치비"],"goal":"비교표 작성","preserve_existing_tasks":true,"relation":"new_goal","targets":["S2-18:quote-L","S2-18:quote-R"]}</x:v>
      </x:c>
      <x:c r="E877" s="10" t="str">
        <x:v>{"exclusions":["설치비"],"goal":"비교표 작성","preserve_existing_tasks":true,"relation":"new_goal","targets":["S2-18:quote-L","S2-18:quote-R"]}</x:v>
      </x:c>
      <x:c r="F877" s="10" t="n">
        <x:f>IF(D877=E877,1,0)</x:f>
        <x:v>1</x:v>
      </x:c>
      <x:c r="G877" s="10" t="str">
        <x:v>필수 의미 전체 일치</x:v>
      </x:c>
    </x:row>
    <x:row r="878" ht="145" customHeight="1">
      <x:c r="A878" s="10" t="str">
        <x:v>V-A</x:v>
      </x:c>
      <x:c r="B878" s="10" t="str">
        <x:v>VOICE</x:v>
      </x:c>
      <x:c r="C878" s="10" t="str">
        <x:v>VOICE:S2-19:input</x:v>
      </x:c>
      <x:c r="D878" s="10" t="str">
        <x:v>{"exclusions":["설치비"],"goal":"비교표 작성","preserve_existing_tasks":true,"relation":"new_goal","targets":["S2-19:quote-L","S2-19:quote-R"]}</x:v>
      </x:c>
      <x:c r="E878" s="10" t="str">
        <x:v>{"exclusions":["설치비"],"goal":"비교표 작성","preserve_existing_tasks":true,"relation":"new_goal","targets":["S2-19:quote-L","S2-19:quote-R"]}</x:v>
      </x:c>
      <x:c r="F878" s="10" t="n">
        <x:f>IF(D878=E878,1,0)</x:f>
        <x:v>1</x:v>
      </x:c>
      <x:c r="G878" s="10" t="str">
        <x:v>필수 의미 전체 일치</x:v>
      </x:c>
    </x:row>
    <x:row r="879" ht="145" customHeight="1">
      <x:c r="A879" s="10" t="str">
        <x:v>V-R1</x:v>
      </x:c>
      <x:c r="B879" s="10" t="str">
        <x:v>VOICE</x:v>
      </x:c>
      <x:c r="C879" s="10" t="str">
        <x:v>VOICE:S2-19:input</x:v>
      </x:c>
      <x:c r="D879" s="10" t="str">
        <x:v>{"exclusions":["설치비"],"goal":"비교표 작성","preserve_existing_tasks":true,"relation":"new_goal","targets":["S2-19:quote-L","S2-19:quote-R"]}</x:v>
      </x:c>
      <x:c r="E879" s="10" t="str">
        <x:v>{"exclusions":["설치비"],"goal":"비교표 작성","preserve_existing_tasks":true,"relation":"new_goal","targets":["S2-19:quote-L","S2-19:quote-R"]}</x:v>
      </x:c>
      <x:c r="F879" s="10" t="n">
        <x:f>IF(D879=E879,1,0)</x:f>
        <x:v>1</x:v>
      </x:c>
      <x:c r="G879" s="10" t="str">
        <x:v>필수 의미 전체 일치</x:v>
      </x:c>
    </x:row>
    <x:row r="880" ht="145" customHeight="1">
      <x:c r="A880" s="10" t="str">
        <x:v>V-R2</x:v>
      </x:c>
      <x:c r="B880" s="10" t="str">
        <x:v>VOICE</x:v>
      </x:c>
      <x:c r="C880" s="10" t="str">
        <x:v>VOICE:S2-19:input</x:v>
      </x:c>
      <x:c r="D880" s="10" t="str">
        <x:v>{"exclusions":["설치비"],"goal":"비교표 작성","preserve_existing_tasks":true,"relation":"new_goal","targets":["S2-19:quote-L","S2-19:quote-R"]}</x:v>
      </x:c>
      <x:c r="E880" s="10" t="str">
        <x:v>{"exclusions":["설치비"],"goal":"비교표 작성","preserve_existing_tasks":true,"relation":"new_goal","targets":["S2-19:quote-L","S2-19:quote-R"]}</x:v>
      </x:c>
      <x:c r="F880" s="10" t="n">
        <x:f>IF(D880=E880,1,0)</x:f>
        <x:v>1</x:v>
      </x:c>
      <x:c r="G880" s="10" t="str">
        <x:v>필수 의미 전체 일치</x:v>
      </x:c>
    </x:row>
    <x:row r="881" ht="145" customHeight="1">
      <x:c r="A881" s="10" t="str">
        <x:v>V-R3</x:v>
      </x:c>
      <x:c r="B881" s="10" t="str">
        <x:v>VOICE</x:v>
      </x:c>
      <x:c r="C881" s="10" t="str">
        <x:v>VOICE:S2-19:input</x:v>
      </x:c>
      <x:c r="D881" s="10" t="str">
        <x:v>{"exclusions":["설치비"],"goal":"비교표 작성","preserve_existing_tasks":true,"relation":"new_goal","targets":["S2-19:quote-L","S2-19:quote-R"]}</x:v>
      </x:c>
      <x:c r="E881" s="10" t="str">
        <x:v>{"exclusions":["설치비"],"goal":"비교표 작성","preserve_existing_tasks":true,"relation":"new_goal","targets":["S2-19:quote-L","S2-19:quote-R"]}</x:v>
      </x:c>
      <x:c r="F881" s="10" t="n">
        <x:f>IF(D881=E881,1,0)</x:f>
        <x:v>1</x:v>
      </x:c>
      <x:c r="G881" s="10" t="str">
        <x:v>필수 의미 전체 일치</x:v>
      </x:c>
    </x:row>
    <x:row r="882" ht="145" customHeight="1">
      <x:c r="A882" s="10" t="str">
        <x:v>V-A</x:v>
      </x:c>
      <x:c r="B882" s="10" t="str">
        <x:v>VOICE</x:v>
      </x:c>
      <x:c r="C882" s="10" t="str">
        <x:v>VOICE:S2-20:input</x:v>
      </x:c>
      <x:c r="D882" s="10" t="str">
        <x:v>{"exclusions":["설치비"],"goal":"비교표 작성","preserve_existing_tasks":true,"relation":"new_goal","targets":["S2-20:quote-L","S2-20:quote-R"]}</x:v>
      </x:c>
      <x:c r="E882" s="10" t="str">
        <x:v>{"exclusions":["설치비"],"goal":"비교표 작성","preserve_existing_tasks":true,"relation":"new_goal","targets":["S2-20:quote-L","S2-20:quote-R"]}</x:v>
      </x:c>
      <x:c r="F882" s="10" t="n">
        <x:f>IF(D882=E882,1,0)</x:f>
        <x:v>1</x:v>
      </x:c>
      <x:c r="G882" s="10" t="str">
        <x:v>필수 의미 전체 일치</x:v>
      </x:c>
    </x:row>
    <x:row r="883" ht="145" customHeight="1">
      <x:c r="A883" s="10" t="str">
        <x:v>V-R1</x:v>
      </x:c>
      <x:c r="B883" s="10" t="str">
        <x:v>VOICE</x:v>
      </x:c>
      <x:c r="C883" s="10" t="str">
        <x:v>VOICE:S2-20:input</x:v>
      </x:c>
      <x:c r="D883" s="10" t="str">
        <x:v>{"exclusions":["설치비"],"goal":"비교표 작성","preserve_existing_tasks":true,"relation":"new_goal","targets":["S2-20:quote-L","S2-20:quote-R"]}</x:v>
      </x:c>
      <x:c r="E883" s="10" t="str">
        <x:v>{"exclusions":["설치비"],"goal":"비교표 작성","preserve_existing_tasks":true,"relation":"new_goal","targets":["S2-20:quote-L","S2-20:quote-R"]}</x:v>
      </x:c>
      <x:c r="F883" s="10" t="n">
        <x:f>IF(D883=E883,1,0)</x:f>
        <x:v>1</x:v>
      </x:c>
      <x:c r="G883" s="10" t="str">
        <x:v>필수 의미 전체 일치</x:v>
      </x:c>
    </x:row>
    <x:row r="884" ht="145" customHeight="1">
      <x:c r="A884" s="10" t="str">
        <x:v>V-R2</x:v>
      </x:c>
      <x:c r="B884" s="10" t="str">
        <x:v>VOICE</x:v>
      </x:c>
      <x:c r="C884" s="10" t="str">
        <x:v>VOICE:S2-20:input</x:v>
      </x:c>
      <x:c r="D884" s="10" t="str">
        <x:v>{"exclusions":["설치비"],"goal":"비교표 작성","preserve_existing_tasks":true,"relation":"new_goal","targets":["S2-20:quote-L","S2-20:quote-R"]}</x:v>
      </x:c>
      <x:c r="E884" s="10" t="str">
        <x:v>{"exclusions":["설치비"],"goal":"비교표 작성","preserve_existing_tasks":true,"relation":"new_goal","targets":["S2-20:quote-L","S2-20:quote-R"]}</x:v>
      </x:c>
      <x:c r="F884" s="10" t="n">
        <x:f>IF(D884=E884,1,0)</x:f>
        <x:v>1</x:v>
      </x:c>
      <x:c r="G884" s="10" t="str">
        <x:v>필수 의미 전체 일치</x:v>
      </x:c>
    </x:row>
    <x:row r="885" ht="145" customHeight="1">
      <x:c r="A885" s="10" t="str">
        <x:v>V-R3</x:v>
      </x:c>
      <x:c r="B885" s="10" t="str">
        <x:v>VOICE</x:v>
      </x:c>
      <x:c r="C885" s="10" t="str">
        <x:v>VOICE:S2-20:input</x:v>
      </x:c>
      <x:c r="D885" s="10" t="str">
        <x:v>{"exclusions":["설치비"],"goal":"비교표 작성","preserve_existing_tasks":true,"relation":"new_goal","targets":["S2-20:quote-L","S2-20:quote-R"]}</x:v>
      </x:c>
      <x:c r="E885" s="10" t="str">
        <x:v>{"exclusions":["설치비"],"goal":"비교표 작성","preserve_existing_tasks":true,"relation":"new_goal","targets":["S2-20:quote-L","S2-20:quote-R"]}</x:v>
      </x:c>
      <x:c r="F885" s="10" t="n">
        <x:f>IF(D885=E885,1,0)</x:f>
        <x:v>1</x:v>
      </x:c>
      <x:c r="G885" s="10" t="str">
        <x:v>필수 의미 전체 일치</x:v>
      </x:c>
    </x:row>
    <x:row r="886" ht="145" customHeight="1">
      <x:c r="A886" s="10" t="str">
        <x:v>V-A</x:v>
      </x:c>
      <x:c r="B886" s="10" t="str">
        <x:v>VOICE</x:v>
      </x:c>
      <x:c r="C886" s="10" t="str">
        <x:v>VOICE:S3-01:input</x:v>
      </x:c>
      <x:c r="D886" s="10" t="str">
        <x:v>{"deduplicate_same_object":true,"exclusions":["설치비"],"goal":"요약표 작성","preserve_existing_tasks":true,"relation":"new_goal","targets":["S3-01:quote-L"]}</x:v>
      </x:c>
      <x:c r="E886" s="10" t="str">
        <x:v>{"deduplicate_same_object":true,"exclusions":["설치비"],"goal":"요약표 작성","preserve_existing_tasks":true,"relation":"new_goal","targets":["S3-01:quote-Z"]}</x:v>
      </x:c>
      <x:c r="F886" s="10" t="n">
        <x:f>IF(D886=E886,1,0)</x:f>
        <x:v>0</x:v>
      </x:c>
      <x:c r="G886" s="10" t="str">
        <x:v>원본의 경계/집합/스크롤 전후 동일성을 잘못 결합</x:v>
      </x:c>
    </x:row>
    <x:row r="887" ht="145" customHeight="1">
      <x:c r="A887" s="10" t="str">
        <x:v>V-R1</x:v>
      </x:c>
      <x:c r="B887" s="10" t="str">
        <x:v>VOICE</x:v>
      </x:c>
      <x:c r="C887" s="10" t="str">
        <x:v>VOICE:S3-01:input</x:v>
      </x:c>
      <x:c r="D887" s="10" t="str">
        <x:v>{"deduplicate_same_object":true,"exclusions":["설치비"],"goal":"요약표 작성","preserve_existing_tasks":true,"relation":"new_goal","targets":["S3-01:quote-L"]}</x:v>
      </x:c>
      <x:c r="E887" s="10" t="str">
        <x:v>{"deduplicate_same_object":true,"exclusions":["설치비"],"goal":"요약표 작성","preserve_existing_tasks":true,"relation":"new_goal","targets":["S3-01:quote-L"]}</x:v>
      </x:c>
      <x:c r="F887" s="10" t="n">
        <x:f>IF(D887=E887,1,0)</x:f>
        <x:v>1</x:v>
      </x:c>
      <x:c r="G887" s="10" t="str">
        <x:v>필수 의미 전체 일치</x:v>
      </x:c>
    </x:row>
    <x:row r="888" ht="145" customHeight="1">
      <x:c r="A888" s="10" t="str">
        <x:v>V-R2</x:v>
      </x:c>
      <x:c r="B888" s="10" t="str">
        <x:v>VOICE</x:v>
      </x:c>
      <x:c r="C888" s="10" t="str">
        <x:v>VOICE:S3-01:input</x:v>
      </x:c>
      <x:c r="D888" s="10" t="str">
        <x:v>{"deduplicate_same_object":true,"exclusions":["설치비"],"goal":"요약표 작성","preserve_existing_tasks":true,"relation":"new_goal","targets":["S3-01:quote-L"]}</x:v>
      </x:c>
      <x:c r="E888" s="10" t="str">
        <x:v>{"deduplicate_same_object":true,"exclusions":["설치비"],"goal":"요약표 작성","preserve_existing_tasks":true,"relation":"new_goal","targets":["S3-01:quote-L"]}</x:v>
      </x:c>
      <x:c r="F888" s="10" t="n">
        <x:f>IF(D888=E888,1,0)</x:f>
        <x:v>1</x:v>
      </x:c>
      <x:c r="G888" s="10" t="str">
        <x:v>필수 의미 전체 일치</x:v>
      </x:c>
    </x:row>
    <x:row r="889" ht="145" customHeight="1">
      <x:c r="A889" s="10" t="str">
        <x:v>V-R3</x:v>
      </x:c>
      <x:c r="B889" s="10" t="str">
        <x:v>VOICE</x:v>
      </x:c>
      <x:c r="C889" s="10" t="str">
        <x:v>VOICE:S3-01:input</x:v>
      </x:c>
      <x:c r="D889" s="10" t="str">
        <x:v>{"deduplicate_same_object":true,"exclusions":["설치비"],"goal":"요약표 작성","preserve_existing_tasks":true,"relation":"new_goal","targets":["S3-01:quote-L"]}</x:v>
      </x:c>
      <x:c r="E889" s="10" t="str">
        <x:v>{"deduplicate_same_object":true,"exclusions":["설치비"],"goal":"요약표 작성","preserve_existing_tasks":true,"relation":"new_goal","targets":["S3-01:quote-L"]}</x:v>
      </x:c>
      <x:c r="F889" s="10" t="n">
        <x:f>IF(D889=E889,1,0)</x:f>
        <x:v>1</x:v>
      </x:c>
      <x:c r="G889" s="10" t="str">
        <x:v>필수 의미 전체 일치</x:v>
      </x:c>
    </x:row>
    <x:row r="890" ht="145" customHeight="1">
      <x:c r="A890" s="10" t="str">
        <x:v>V-A</x:v>
      </x:c>
      <x:c r="B890" s="10" t="str">
        <x:v>VOICE</x:v>
      </x:c>
      <x:c r="C890" s="10" t="str">
        <x:v>VOICE:S3-02:input</x:v>
      </x:c>
      <x:c r="D890" s="10" t="str">
        <x:v>{"deduplicate_same_object":true,"exclusions":["설치비"],"goal":"요약표 작성","preserve_existing_tasks":true,"relation":"new_goal","targets":["S3-02:quote-L"]}</x:v>
      </x:c>
      <x:c r="E890" s="10" t="str">
        <x:v>{"deduplicate_same_object":true,"exclusions":["설치비"],"goal":"요약표 작성","preserve_existing_tasks":true,"relation":"new_goal","targets":["S3-02:quote-Z"]}</x:v>
      </x:c>
      <x:c r="F890" s="10" t="n">
        <x:f>IF(D890=E890,1,0)</x:f>
        <x:v>0</x:v>
      </x:c>
      <x:c r="G890" s="10" t="str">
        <x:v>원본의 경계/집합/스크롤 전후 동일성을 잘못 결합</x:v>
      </x:c>
    </x:row>
    <x:row r="891" ht="145" customHeight="1">
      <x:c r="A891" s="10" t="str">
        <x:v>V-R1</x:v>
      </x:c>
      <x:c r="B891" s="10" t="str">
        <x:v>VOICE</x:v>
      </x:c>
      <x:c r="C891" s="10" t="str">
        <x:v>VOICE:S3-02:input</x:v>
      </x:c>
      <x:c r="D891" s="10" t="str">
        <x:v>{"deduplicate_same_object":true,"exclusions":["설치비"],"goal":"요약표 작성","preserve_existing_tasks":true,"relation":"new_goal","targets":["S3-02:quote-L"]}</x:v>
      </x:c>
      <x:c r="E891" s="10" t="str">
        <x:v>{"deduplicate_same_object":true,"exclusions":["설치비"],"goal":"요약표 작성","preserve_existing_tasks":true,"relation":"new_goal","targets":["S3-02:quote-L"]}</x:v>
      </x:c>
      <x:c r="F891" s="10" t="n">
        <x:f>IF(D891=E891,1,0)</x:f>
        <x:v>1</x:v>
      </x:c>
      <x:c r="G891" s="10" t="str">
        <x:v>필수 의미 전체 일치</x:v>
      </x:c>
    </x:row>
    <x:row r="892" ht="145" customHeight="1">
      <x:c r="A892" s="10" t="str">
        <x:v>V-R2</x:v>
      </x:c>
      <x:c r="B892" s="10" t="str">
        <x:v>VOICE</x:v>
      </x:c>
      <x:c r="C892" s="10" t="str">
        <x:v>VOICE:S3-02:input</x:v>
      </x:c>
      <x:c r="D892" s="10" t="str">
        <x:v>{"deduplicate_same_object":true,"exclusions":["설치비"],"goal":"요약표 작성","preserve_existing_tasks":true,"relation":"new_goal","targets":["S3-02:quote-L"]}</x:v>
      </x:c>
      <x:c r="E892" s="10" t="str">
        <x:v>{"deduplicate_same_object":true,"exclusions":["설치비"],"goal":"요약표 작성","preserve_existing_tasks":true,"relation":"new_goal","targets":["S3-02:quote-L"]}</x:v>
      </x:c>
      <x:c r="F892" s="10" t="n">
        <x:f>IF(D892=E892,1,0)</x:f>
        <x:v>1</x:v>
      </x:c>
      <x:c r="G892" s="10" t="str">
        <x:v>필수 의미 전체 일치</x:v>
      </x:c>
    </x:row>
    <x:row r="893" ht="145" customHeight="1">
      <x:c r="A893" s="10" t="str">
        <x:v>V-R3</x:v>
      </x:c>
      <x:c r="B893" s="10" t="str">
        <x:v>VOICE</x:v>
      </x:c>
      <x:c r="C893" s="10" t="str">
        <x:v>VOICE:S3-02:input</x:v>
      </x:c>
      <x:c r="D893" s="10" t="str">
        <x:v>{"deduplicate_same_object":true,"exclusions":["설치비"],"goal":"요약표 작성","preserve_existing_tasks":true,"relation":"new_goal","targets":["S3-02:quote-L"]}</x:v>
      </x:c>
      <x:c r="E893" s="10" t="str">
        <x:v>{"deduplicate_same_object":true,"exclusions":["설치비"],"goal":"요약표 작성","preserve_existing_tasks":true,"relation":"new_goal","targets":["S3-02:quote-L"]}</x:v>
      </x:c>
      <x:c r="F893" s="10" t="n">
        <x:f>IF(D893=E893,1,0)</x:f>
        <x:v>1</x:v>
      </x:c>
      <x:c r="G893" s="10" t="str">
        <x:v>필수 의미 전체 일치</x:v>
      </x:c>
    </x:row>
    <x:row r="894" ht="145" customHeight="1">
      <x:c r="A894" s="10" t="str">
        <x:v>V-A</x:v>
      </x:c>
      <x:c r="B894" s="10" t="str">
        <x:v>VOICE</x:v>
      </x:c>
      <x:c r="C894" s="10" t="str">
        <x:v>VOICE:S3-03:input</x:v>
      </x:c>
      <x:c r="D894" s="10" t="str">
        <x:v>{"deduplicate_same_object":true,"exclusions":["설치비"],"goal":"요약표 작성","preserve_existing_tasks":true,"relation":"new_goal","targets":["S3-03:quote-L"]}</x:v>
      </x:c>
      <x:c r="E894" s="10" t="str">
        <x:v>{"deduplicate_same_object":true,"exclusions":["설치비"],"goal":"요약표 작성","preserve_existing_tasks":true,"relation":"new_goal","targets":["S3-03:quote-Z"]}</x:v>
      </x:c>
      <x:c r="F894" s="10" t="n">
        <x:f>IF(D894=E894,1,0)</x:f>
        <x:v>0</x:v>
      </x:c>
      <x:c r="G894" s="10" t="str">
        <x:v>원본의 경계/집합/스크롤 전후 동일성을 잘못 결합</x:v>
      </x:c>
    </x:row>
    <x:row r="895" ht="145" customHeight="1">
      <x:c r="A895" s="10" t="str">
        <x:v>V-R1</x:v>
      </x:c>
      <x:c r="B895" s="10" t="str">
        <x:v>VOICE</x:v>
      </x:c>
      <x:c r="C895" s="10" t="str">
        <x:v>VOICE:S3-03:input</x:v>
      </x:c>
      <x:c r="D895" s="10" t="str">
        <x:v>{"deduplicate_same_object":true,"exclusions":["설치비"],"goal":"요약표 작성","preserve_existing_tasks":true,"relation":"new_goal","targets":["S3-03:quote-L"]}</x:v>
      </x:c>
      <x:c r="E895" s="10" t="str">
        <x:v>{"deduplicate_same_object":true,"exclusions":["설치비"],"goal":"요약표 작성","preserve_existing_tasks":true,"relation":"new_goal","targets":["S3-03:quote-Z"]}</x:v>
      </x:c>
      <x:c r="F895" s="10" t="n">
        <x:f>IF(D895=E895,1,0)</x:f>
        <x:v>0</x:v>
      </x:c>
      <x:c r="G895" s="10" t="str">
        <x:v>생산 후보 누락 또는 잘못된 경계/track을 결합 단계가 바로잡지 못함</x:v>
      </x:c>
    </x:row>
    <x:row r="896" ht="145" customHeight="1">
      <x:c r="A896" s="10" t="str">
        <x:v>V-R2</x:v>
      </x:c>
      <x:c r="B896" s="10" t="str">
        <x:v>VOICE</x:v>
      </x:c>
      <x:c r="C896" s="10" t="str">
        <x:v>VOICE:S3-03:input</x:v>
      </x:c>
      <x:c r="D896" s="10" t="str">
        <x:v>{"deduplicate_same_object":true,"exclusions":["설치비"],"goal":"요약표 작성","preserve_existing_tasks":true,"relation":"new_goal","targets":["S3-03:quote-L"]}</x:v>
      </x:c>
      <x:c r="E896" s="10" t="str">
        <x:v>{"deduplicate_same_object":true,"exclusions":["설치비"],"goal":"요약표 작성","preserve_existing_tasks":true,"relation":"new_goal","targets":["S3-03:quote-Z"]}</x:v>
      </x:c>
      <x:c r="F896" s="10" t="n">
        <x:f>IF(D896=E896,1,0)</x:f>
        <x:v>0</x:v>
      </x:c>
      <x:c r="G896" s="10" t="str">
        <x:v>생산 후보 누락 또는 잘못된 경계/track을 결합 단계가 바로잡지 못함</x:v>
      </x:c>
    </x:row>
    <x:row r="897" ht="145" customHeight="1">
      <x:c r="A897" s="10" t="str">
        <x:v>V-R3</x:v>
      </x:c>
      <x:c r="B897" s="10" t="str">
        <x:v>VOICE</x:v>
      </x:c>
      <x:c r="C897" s="10" t="str">
        <x:v>VOICE:S3-03:input</x:v>
      </x:c>
      <x:c r="D897" s="10" t="str">
        <x:v>{"deduplicate_same_object":true,"exclusions":["설치비"],"goal":"요약표 작성","preserve_existing_tasks":true,"relation":"new_goal","targets":["S3-03:quote-L"]}</x:v>
      </x:c>
      <x:c r="E897" s="10" t="str">
        <x:v>{"deduplicate_same_object":true,"exclusions":["설치비"],"goal":"요약표 작성","preserve_existing_tasks":true,"relation":"new_goal","targets":["S3-03:quote-Z"]}</x:v>
      </x:c>
      <x:c r="F897" s="10" t="n">
        <x:f>IF(D897=E897,1,0)</x:f>
        <x:v>0</x:v>
      </x:c>
      <x:c r="G897" s="10" t="str">
        <x:v>생산 후보 누락 또는 잘못된 경계/track을 결합 단계가 바로잡지 못함</x:v>
      </x:c>
    </x:row>
    <x:row r="898" ht="145" customHeight="1">
      <x:c r="A898" s="10" t="str">
        <x:v>V-A</x:v>
      </x:c>
      <x:c r="B898" s="10" t="str">
        <x:v>VOICE</x:v>
      </x:c>
      <x:c r="C898" s="10" t="str">
        <x:v>VOICE:S3-04:input</x:v>
      </x:c>
      <x:c r="D898" s="10" t="str">
        <x:v>{"deduplicate_same_object":true,"exclusions":["설치비"],"goal":"요약표 작성","preserve_existing_tasks":true,"relation":"new_goal","targets":["S3-04:quote-L"]}</x:v>
      </x:c>
      <x:c r="E898" s="10" t="str">
        <x:v>{"deduplicate_same_object":true,"exclusions":["설치비"],"goal":"요약표 작성","preserve_existing_tasks":true,"relation":"new_goal","targets":["S3-04:quote-Z"]}</x:v>
      </x:c>
      <x:c r="F898" s="10" t="n">
        <x:f>IF(D898=E898,1,0)</x:f>
        <x:v>0</x:v>
      </x:c>
      <x:c r="G898" s="10" t="str">
        <x:v>원본의 경계/집합/스크롤 전후 동일성을 잘못 결합</x:v>
      </x:c>
    </x:row>
    <x:row r="899" ht="145" customHeight="1">
      <x:c r="A899" s="10" t="str">
        <x:v>V-R1</x:v>
      </x:c>
      <x:c r="B899" s="10" t="str">
        <x:v>VOICE</x:v>
      </x:c>
      <x:c r="C899" s="10" t="str">
        <x:v>VOICE:S3-04:input</x:v>
      </x:c>
      <x:c r="D899" s="10" t="str">
        <x:v>{"deduplicate_same_object":true,"exclusions":["설치비"],"goal":"요약표 작성","preserve_existing_tasks":true,"relation":"new_goal","targets":["S3-04:quote-L"]}</x:v>
      </x:c>
      <x:c r="E899" s="10" t="str">
        <x:v>{"deduplicate_same_object":true,"exclusions":["설치비"],"goal":"요약표 작성","preserve_existing_tasks":true,"relation":"new_goal","targets":["S3-04:quote-Z"]}</x:v>
      </x:c>
      <x:c r="F899" s="10" t="n">
        <x:f>IF(D899=E899,1,0)</x:f>
        <x:v>0</x:v>
      </x:c>
      <x:c r="G899" s="10" t="str">
        <x:v>생산 후보 누락 또는 잘못된 경계/track을 결합 단계가 바로잡지 못함</x:v>
      </x:c>
    </x:row>
    <x:row r="900" ht="145" customHeight="1">
      <x:c r="A900" s="10" t="str">
        <x:v>V-R2</x:v>
      </x:c>
      <x:c r="B900" s="10" t="str">
        <x:v>VOICE</x:v>
      </x:c>
      <x:c r="C900" s="10" t="str">
        <x:v>VOICE:S3-04:input</x:v>
      </x:c>
      <x:c r="D900" s="10" t="str">
        <x:v>{"deduplicate_same_object":true,"exclusions":["설치비"],"goal":"요약표 작성","preserve_existing_tasks":true,"relation":"new_goal","targets":["S3-04:quote-L"]}</x:v>
      </x:c>
      <x:c r="E900" s="10" t="str">
        <x:v>{"deduplicate_same_object":true,"exclusions":["설치비"],"goal":"요약표 작성","preserve_existing_tasks":true,"relation":"new_goal","targets":["S3-04:quote-Z"]}</x:v>
      </x:c>
      <x:c r="F900" s="10" t="n">
        <x:f>IF(D900=E900,1,0)</x:f>
        <x:v>0</x:v>
      </x:c>
      <x:c r="G900" s="10" t="str">
        <x:v>생산 후보 누락 또는 잘못된 경계/track을 결합 단계가 바로잡지 못함</x:v>
      </x:c>
    </x:row>
    <x:row r="901" ht="145" customHeight="1">
      <x:c r="A901" s="10" t="str">
        <x:v>V-R3</x:v>
      </x:c>
      <x:c r="B901" s="10" t="str">
        <x:v>VOICE</x:v>
      </x:c>
      <x:c r="C901" s="10" t="str">
        <x:v>VOICE:S3-04:input</x:v>
      </x:c>
      <x:c r="D901" s="10" t="str">
        <x:v>{"deduplicate_same_object":true,"exclusions":["설치비"],"goal":"요약표 작성","preserve_existing_tasks":true,"relation":"new_goal","targets":["S3-04:quote-L"]}</x:v>
      </x:c>
      <x:c r="E901" s="10" t="str">
        <x:v>{"deduplicate_same_object":true,"exclusions":["설치비"],"goal":"요약표 작성","preserve_existing_tasks":true,"relation":"new_goal","targets":["S3-04:quote-Z"]}</x:v>
      </x:c>
      <x:c r="F901" s="10" t="n">
        <x:f>IF(D901=E901,1,0)</x:f>
        <x:v>0</x:v>
      </x:c>
      <x:c r="G901" s="10" t="str">
        <x:v>생산 후보 누락 또는 잘못된 경계/track을 결합 단계가 바로잡지 못함</x:v>
      </x:c>
    </x:row>
    <x:row r="902" ht="145" customHeight="1">
      <x:c r="A902" s="10" t="str">
        <x:v>V-A</x:v>
      </x:c>
      <x:c r="B902" s="10" t="str">
        <x:v>VOICE</x:v>
      </x:c>
      <x:c r="C902" s="10" t="str">
        <x:v>VOICE:S3-05:input</x:v>
      </x:c>
      <x:c r="D902" s="10" t="str">
        <x:v>{"deduplicate_same_object":true,"exclusions":["설치비"],"goal":"요약표 작성","preserve_existing_tasks":true,"relation":"new_goal","targets":["S3-05:quote-L"]}</x:v>
      </x:c>
      <x:c r="E902" s="10" t="str">
        <x:v>{"deduplicate_same_object":true,"exclusions":["설치비"],"goal":"요약표 작성","preserve_existing_tasks":true,"relation":"new_goal","targets":["S3-05:quote-L"]}</x:v>
      </x:c>
      <x:c r="F902" s="10" t="n">
        <x:f>IF(D902=E902,1,0)</x:f>
        <x:v>1</x:v>
      </x:c>
      <x:c r="G902" s="10" t="str">
        <x:v>필수 의미 전체 일치</x:v>
      </x:c>
    </x:row>
    <x:row r="903" ht="145" customHeight="1">
      <x:c r="A903" s="10" t="str">
        <x:v>V-R1</x:v>
      </x:c>
      <x:c r="B903" s="10" t="str">
        <x:v>VOICE</x:v>
      </x:c>
      <x:c r="C903" s="10" t="str">
        <x:v>VOICE:S3-05:input</x:v>
      </x:c>
      <x:c r="D903" s="10" t="str">
        <x:v>{"deduplicate_same_object":true,"exclusions":["설치비"],"goal":"요약표 작성","preserve_existing_tasks":true,"relation":"new_goal","targets":["S3-05:quote-L"]}</x:v>
      </x:c>
      <x:c r="E903" s="10" t="str">
        <x:v>{"deduplicate_same_object":true,"exclusions":["설치비"],"goal":"요약표 작성","preserve_existing_tasks":true,"relation":"new_goal","targets":["S3-05:quote-L"]}</x:v>
      </x:c>
      <x:c r="F903" s="10" t="n">
        <x:f>IF(D903=E903,1,0)</x:f>
        <x:v>1</x:v>
      </x:c>
      <x:c r="G903" s="10" t="str">
        <x:v>필수 의미 전체 일치</x:v>
      </x:c>
    </x:row>
    <x:row r="904" ht="145" customHeight="1">
      <x:c r="A904" s="10" t="str">
        <x:v>V-R2</x:v>
      </x:c>
      <x:c r="B904" s="10" t="str">
        <x:v>VOICE</x:v>
      </x:c>
      <x:c r="C904" s="10" t="str">
        <x:v>VOICE:S3-05:input</x:v>
      </x:c>
      <x:c r="D904" s="10" t="str">
        <x:v>{"deduplicate_same_object":true,"exclusions":["설치비"],"goal":"요약표 작성","preserve_existing_tasks":true,"relation":"new_goal","targets":["S3-05:quote-L"]}</x:v>
      </x:c>
      <x:c r="E904" s="10" t="str">
        <x:v>{"deduplicate_same_object":true,"exclusions":["설치비"],"goal":"요약표 작성","preserve_existing_tasks":true,"relation":"new_goal","targets":["S3-05:quote-L"]}</x:v>
      </x:c>
      <x:c r="F904" s="10" t="n">
        <x:f>IF(D904=E904,1,0)</x:f>
        <x:v>1</x:v>
      </x:c>
      <x:c r="G904" s="10" t="str">
        <x:v>필수 의미 전체 일치</x:v>
      </x:c>
    </x:row>
    <x:row r="905" ht="145" customHeight="1">
      <x:c r="A905" s="10" t="str">
        <x:v>V-R3</x:v>
      </x:c>
      <x:c r="B905" s="10" t="str">
        <x:v>VOICE</x:v>
      </x:c>
      <x:c r="C905" s="10" t="str">
        <x:v>VOICE:S3-05:input</x:v>
      </x:c>
      <x:c r="D905" s="10" t="str">
        <x:v>{"deduplicate_same_object":true,"exclusions":["설치비"],"goal":"요약표 작성","preserve_existing_tasks":true,"relation":"new_goal","targets":["S3-05:quote-L"]}</x:v>
      </x:c>
      <x:c r="E905" s="10" t="str">
        <x:v>{"deduplicate_same_object":true,"exclusions":["설치비"],"goal":"요약표 작성","preserve_existing_tasks":true,"relation":"new_goal","targets":["S3-05:quote-L"]}</x:v>
      </x:c>
      <x:c r="F905" s="10" t="n">
        <x:f>IF(D905=E905,1,0)</x:f>
        <x:v>1</x:v>
      </x:c>
      <x:c r="G905" s="10" t="str">
        <x:v>필수 의미 전체 일치</x:v>
      </x:c>
    </x:row>
    <x:row r="906" ht="145" customHeight="1">
      <x:c r="A906" s="10" t="str">
        <x:v>V-A</x:v>
      </x:c>
      <x:c r="B906" s="10" t="str">
        <x:v>VOICE</x:v>
      </x:c>
      <x:c r="C906" s="10" t="str">
        <x:v>VOICE:S3-06:input</x:v>
      </x:c>
      <x:c r="D906" s="10" t="str">
        <x:v>{"deduplicate_same_object":true,"exclusions":["설치비"],"goal":"요약표 작성","preserve_existing_tasks":true,"relation":"new_goal","targets":["S3-06:quote-L"]}</x:v>
      </x:c>
      <x:c r="E906" s="10" t="str">
        <x:v>{"deduplicate_same_object":true,"exclusions":["설치비"],"goal":"요약표 작성","preserve_existing_tasks":true,"relation":"new_goal","targets":["S3-06:quote-L"]}</x:v>
      </x:c>
      <x:c r="F906" s="10" t="n">
        <x:f>IF(D906=E906,1,0)</x:f>
        <x:v>1</x:v>
      </x:c>
      <x:c r="G906" s="10" t="str">
        <x:v>필수 의미 전체 일치</x:v>
      </x:c>
    </x:row>
    <x:row r="907" ht="145" customHeight="1">
      <x:c r="A907" s="10" t="str">
        <x:v>V-R1</x:v>
      </x:c>
      <x:c r="B907" s="10" t="str">
        <x:v>VOICE</x:v>
      </x:c>
      <x:c r="C907" s="10" t="str">
        <x:v>VOICE:S3-06:input</x:v>
      </x:c>
      <x:c r="D907" s="10" t="str">
        <x:v>{"deduplicate_same_object":true,"exclusions":["설치비"],"goal":"요약표 작성","preserve_existing_tasks":true,"relation":"new_goal","targets":["S3-06:quote-L"]}</x:v>
      </x:c>
      <x:c r="E907" s="10" t="str">
        <x:v>{"deduplicate_same_object":true,"exclusions":["설치비"],"goal":"요약표 작성","preserve_existing_tasks":true,"relation":"new_goal","targets":["S3-06:quote-L"]}</x:v>
      </x:c>
      <x:c r="F907" s="10" t="n">
        <x:f>IF(D907=E907,1,0)</x:f>
        <x:v>1</x:v>
      </x:c>
      <x:c r="G907" s="10" t="str">
        <x:v>필수 의미 전체 일치</x:v>
      </x:c>
    </x:row>
    <x:row r="908" ht="145" customHeight="1">
      <x:c r="A908" s="10" t="str">
        <x:v>V-R2</x:v>
      </x:c>
      <x:c r="B908" s="10" t="str">
        <x:v>VOICE</x:v>
      </x:c>
      <x:c r="C908" s="10" t="str">
        <x:v>VOICE:S3-06:input</x:v>
      </x:c>
      <x:c r="D908" s="10" t="str">
        <x:v>{"deduplicate_same_object":true,"exclusions":["설치비"],"goal":"요약표 작성","preserve_existing_tasks":true,"relation":"new_goal","targets":["S3-06:quote-L"]}</x:v>
      </x:c>
      <x:c r="E908" s="10" t="str">
        <x:v>{"deduplicate_same_object":true,"exclusions":["설치비"],"goal":"요약표 작성","preserve_existing_tasks":true,"relation":"new_goal","targets":["S3-06:quote-L"]}</x:v>
      </x:c>
      <x:c r="F908" s="10" t="n">
        <x:f>IF(D908=E908,1,0)</x:f>
        <x:v>1</x:v>
      </x:c>
      <x:c r="G908" s="10" t="str">
        <x:v>필수 의미 전체 일치</x:v>
      </x:c>
    </x:row>
    <x:row r="909" ht="145" customHeight="1">
      <x:c r="A909" s="10" t="str">
        <x:v>V-R3</x:v>
      </x:c>
      <x:c r="B909" s="10" t="str">
        <x:v>VOICE</x:v>
      </x:c>
      <x:c r="C909" s="10" t="str">
        <x:v>VOICE:S3-06:input</x:v>
      </x:c>
      <x:c r="D909" s="10" t="str">
        <x:v>{"deduplicate_same_object":true,"exclusions":["설치비"],"goal":"요약표 작성","preserve_existing_tasks":true,"relation":"new_goal","targets":["S3-06:quote-L"]}</x:v>
      </x:c>
      <x:c r="E909" s="10" t="str">
        <x:v>{"deduplicate_same_object":true,"exclusions":["설치비"],"goal":"요약표 작성","preserve_existing_tasks":true,"relation":"new_goal","targets":["S3-06:quote-L"]}</x:v>
      </x:c>
      <x:c r="F909" s="10" t="n">
        <x:f>IF(D909=E909,1,0)</x:f>
        <x:v>1</x:v>
      </x:c>
      <x:c r="G909" s="10" t="str">
        <x:v>필수 의미 전체 일치</x:v>
      </x:c>
    </x:row>
    <x:row r="910" ht="145" customHeight="1">
      <x:c r="A910" s="10" t="str">
        <x:v>V-A</x:v>
      </x:c>
      <x:c r="B910" s="10" t="str">
        <x:v>VOICE</x:v>
      </x:c>
      <x:c r="C910" s="10" t="str">
        <x:v>VOICE:S3-07:input</x:v>
      </x:c>
      <x:c r="D910" s="10" t="str">
        <x:v>{"deduplicate_same_object":true,"exclusions":["설치비"],"goal":"요약표 작성","preserve_existing_tasks":true,"relation":"new_goal","targets":["S3-07:quote-L"]}</x:v>
      </x:c>
      <x:c r="E910" s="10" t="str">
        <x:v>{"deduplicate_same_object":true,"exclusions":["설치비"],"goal":"요약표 작성","preserve_existing_tasks":true,"relation":"new_goal","targets":["S3-07:quote-L"]}</x:v>
      </x:c>
      <x:c r="F910" s="10" t="n">
        <x:f>IF(D910=E910,1,0)</x:f>
        <x:v>1</x:v>
      </x:c>
      <x:c r="G910" s="10" t="str">
        <x:v>필수 의미 전체 일치</x:v>
      </x:c>
    </x:row>
    <x:row r="911" ht="145" customHeight="1">
      <x:c r="A911" s="10" t="str">
        <x:v>V-R1</x:v>
      </x:c>
      <x:c r="B911" s="10" t="str">
        <x:v>VOICE</x:v>
      </x:c>
      <x:c r="C911" s="10" t="str">
        <x:v>VOICE:S3-07:input</x:v>
      </x:c>
      <x:c r="D911" s="10" t="str">
        <x:v>{"deduplicate_same_object":true,"exclusions":["설치비"],"goal":"요약표 작성","preserve_existing_tasks":true,"relation":"new_goal","targets":["S3-07:quote-L"]}</x:v>
      </x:c>
      <x:c r="E911" s="10" t="str">
        <x:v>{"deduplicate_same_object":true,"exclusions":["설치비"],"goal":"요약표 작성","preserve_existing_tasks":true,"relation":"new_goal","targets":["S3-07:quote-L"]}</x:v>
      </x:c>
      <x:c r="F911" s="10" t="n">
        <x:f>IF(D911=E911,1,0)</x:f>
        <x:v>1</x:v>
      </x:c>
      <x:c r="G911" s="10" t="str">
        <x:v>필수 의미 전체 일치</x:v>
      </x:c>
    </x:row>
    <x:row r="912" ht="145" customHeight="1">
      <x:c r="A912" s="10" t="str">
        <x:v>V-R2</x:v>
      </x:c>
      <x:c r="B912" s="10" t="str">
        <x:v>VOICE</x:v>
      </x:c>
      <x:c r="C912" s="10" t="str">
        <x:v>VOICE:S3-07:input</x:v>
      </x:c>
      <x:c r="D912" s="10" t="str">
        <x:v>{"deduplicate_same_object":true,"exclusions":["설치비"],"goal":"요약표 작성","preserve_existing_tasks":true,"relation":"new_goal","targets":["S3-07:quote-L"]}</x:v>
      </x:c>
      <x:c r="E912" s="10" t="str">
        <x:v>{"deduplicate_same_object":true,"exclusions":["설치비"],"goal":"요약표 작성","preserve_existing_tasks":true,"relation":"new_goal","targets":["S3-07:quote-L"]}</x:v>
      </x:c>
      <x:c r="F912" s="10" t="n">
        <x:f>IF(D912=E912,1,0)</x:f>
        <x:v>1</x:v>
      </x:c>
      <x:c r="G912" s="10" t="str">
        <x:v>필수 의미 전체 일치</x:v>
      </x:c>
    </x:row>
    <x:row r="913" ht="145" customHeight="1">
      <x:c r="A913" s="10" t="str">
        <x:v>V-R3</x:v>
      </x:c>
      <x:c r="B913" s="10" t="str">
        <x:v>VOICE</x:v>
      </x:c>
      <x:c r="C913" s="10" t="str">
        <x:v>VOICE:S3-07:input</x:v>
      </x:c>
      <x:c r="D913" s="10" t="str">
        <x:v>{"deduplicate_same_object":true,"exclusions":["설치비"],"goal":"요약표 작성","preserve_existing_tasks":true,"relation":"new_goal","targets":["S3-07:quote-L"]}</x:v>
      </x:c>
      <x:c r="E913" s="10" t="str">
        <x:v>{"deduplicate_same_object":true,"exclusions":["설치비"],"goal":"요약표 작성","preserve_existing_tasks":true,"relation":"new_goal","targets":["S3-07:quote-L"]}</x:v>
      </x:c>
      <x:c r="F913" s="10" t="n">
        <x:f>IF(D913=E913,1,0)</x:f>
        <x:v>1</x:v>
      </x:c>
      <x:c r="G913" s="10" t="str">
        <x:v>필수 의미 전체 일치</x:v>
      </x:c>
    </x:row>
    <x:row r="914" ht="145" customHeight="1">
      <x:c r="A914" s="10" t="str">
        <x:v>V-A</x:v>
      </x:c>
      <x:c r="B914" s="10" t="str">
        <x:v>VOICE</x:v>
      </x:c>
      <x:c r="C914" s="10" t="str">
        <x:v>VOICE:S3-08:input</x:v>
      </x:c>
      <x:c r="D914" s="10" t="str">
        <x:v>{"deduplicate_same_object":true,"exclusions":["설치비"],"goal":"요약표 작성","preserve_existing_tasks":true,"relation":"new_goal","targets":["S3-08:quote-L"]}</x:v>
      </x:c>
      <x:c r="E914" s="10" t="str">
        <x:v>{"deduplicate_same_object":true,"exclusions":["설치비"],"goal":"요약표 작성","preserve_existing_tasks":true,"relation":"new_goal","targets":["S3-08:quote-L"]}</x:v>
      </x:c>
      <x:c r="F914" s="10" t="n">
        <x:f>IF(D914=E914,1,0)</x:f>
        <x:v>1</x:v>
      </x:c>
      <x:c r="G914" s="10" t="str">
        <x:v>필수 의미 전체 일치</x:v>
      </x:c>
    </x:row>
    <x:row r="915" ht="145" customHeight="1">
      <x:c r="A915" s="10" t="str">
        <x:v>V-R1</x:v>
      </x:c>
      <x:c r="B915" s="10" t="str">
        <x:v>VOICE</x:v>
      </x:c>
      <x:c r="C915" s="10" t="str">
        <x:v>VOICE:S3-08:input</x:v>
      </x:c>
      <x:c r="D915" s="10" t="str">
        <x:v>{"deduplicate_same_object":true,"exclusions":["설치비"],"goal":"요약표 작성","preserve_existing_tasks":true,"relation":"new_goal","targets":["S3-08:quote-L"]}</x:v>
      </x:c>
      <x:c r="E915" s="10" t="str">
        <x:v>{"deduplicate_same_object":true,"exclusions":["설치비"],"goal":"요약표 작성","preserve_existing_tasks":true,"relation":"new_goal","targets":["S3-08:quote-L"]}</x:v>
      </x:c>
      <x:c r="F915" s="10" t="n">
        <x:f>IF(D915=E915,1,0)</x:f>
        <x:v>1</x:v>
      </x:c>
      <x:c r="G915" s="10" t="str">
        <x:v>필수 의미 전체 일치</x:v>
      </x:c>
    </x:row>
    <x:row r="916" ht="145" customHeight="1">
      <x:c r="A916" s="10" t="str">
        <x:v>V-R2</x:v>
      </x:c>
      <x:c r="B916" s="10" t="str">
        <x:v>VOICE</x:v>
      </x:c>
      <x:c r="C916" s="10" t="str">
        <x:v>VOICE:S3-08:input</x:v>
      </x:c>
      <x:c r="D916" s="10" t="str">
        <x:v>{"deduplicate_same_object":true,"exclusions":["설치비"],"goal":"요약표 작성","preserve_existing_tasks":true,"relation":"new_goal","targets":["S3-08:quote-L"]}</x:v>
      </x:c>
      <x:c r="E916" s="10" t="str">
        <x:v>{"deduplicate_same_object":true,"exclusions":["설치비"],"goal":"요약표 작성","preserve_existing_tasks":true,"relation":"new_goal","targets":["S3-08:quote-L"]}</x:v>
      </x:c>
      <x:c r="F916" s="10" t="n">
        <x:f>IF(D916=E916,1,0)</x:f>
        <x:v>1</x:v>
      </x:c>
      <x:c r="G916" s="10" t="str">
        <x:v>필수 의미 전체 일치</x:v>
      </x:c>
    </x:row>
    <x:row r="917" ht="145" customHeight="1">
      <x:c r="A917" s="10" t="str">
        <x:v>V-R3</x:v>
      </x:c>
      <x:c r="B917" s="10" t="str">
        <x:v>VOICE</x:v>
      </x:c>
      <x:c r="C917" s="10" t="str">
        <x:v>VOICE:S3-08:input</x:v>
      </x:c>
      <x:c r="D917" s="10" t="str">
        <x:v>{"deduplicate_same_object":true,"exclusions":["설치비"],"goal":"요약표 작성","preserve_existing_tasks":true,"relation":"new_goal","targets":["S3-08:quote-L"]}</x:v>
      </x:c>
      <x:c r="E917" s="10" t="str">
        <x:v>{"deduplicate_same_object":true,"exclusions":["설치비"],"goal":"요약표 작성","preserve_existing_tasks":true,"relation":"new_goal","targets":["S3-08:quote-L"]}</x:v>
      </x:c>
      <x:c r="F917" s="10" t="n">
        <x:f>IF(D917=E917,1,0)</x:f>
        <x:v>1</x:v>
      </x:c>
      <x:c r="G917" s="10" t="str">
        <x:v>필수 의미 전체 일치</x:v>
      </x:c>
    </x:row>
    <x:row r="918" ht="145" customHeight="1">
      <x:c r="A918" s="10" t="str">
        <x:v>V-A</x:v>
      </x:c>
      <x:c r="B918" s="10" t="str">
        <x:v>VOICE</x:v>
      </x:c>
      <x:c r="C918" s="10" t="str">
        <x:v>VOICE:S3-09:input</x:v>
      </x:c>
      <x:c r="D918" s="10" t="str">
        <x:v>{"deduplicate_same_object":true,"exclusions":["설치비"],"goal":"요약표 작성","preserve_existing_tasks":true,"relation":"new_goal","targets":["S3-09:quote-L"]}</x:v>
      </x:c>
      <x:c r="E918" s="10" t="str">
        <x:v>{"deduplicate_same_object":true,"exclusions":["설치비"],"goal":"요약표 작성","preserve_existing_tasks":true,"relation":"new_goal","targets":["S3-09:quote-L"]}</x:v>
      </x:c>
      <x:c r="F918" s="10" t="n">
        <x:f>IF(D918=E918,1,0)</x:f>
        <x:v>1</x:v>
      </x:c>
      <x:c r="G918" s="10" t="str">
        <x:v>필수 의미 전체 일치</x:v>
      </x:c>
    </x:row>
    <x:row r="919" ht="145" customHeight="1">
      <x:c r="A919" s="10" t="str">
        <x:v>V-R1</x:v>
      </x:c>
      <x:c r="B919" s="10" t="str">
        <x:v>VOICE</x:v>
      </x:c>
      <x:c r="C919" s="10" t="str">
        <x:v>VOICE:S3-09:input</x:v>
      </x:c>
      <x:c r="D919" s="10" t="str">
        <x:v>{"deduplicate_same_object":true,"exclusions":["설치비"],"goal":"요약표 작성","preserve_existing_tasks":true,"relation":"new_goal","targets":["S3-09:quote-L"]}</x:v>
      </x:c>
      <x:c r="E919" s="10" t="str">
        <x:v>{"deduplicate_same_object":true,"exclusions":["설치비"],"goal":"요약표 작성","preserve_existing_tasks":true,"relation":"new_goal","targets":["S3-09:quote-L"]}</x:v>
      </x:c>
      <x:c r="F919" s="10" t="n">
        <x:f>IF(D919=E919,1,0)</x:f>
        <x:v>1</x:v>
      </x:c>
      <x:c r="G919" s="10" t="str">
        <x:v>필수 의미 전체 일치</x:v>
      </x:c>
    </x:row>
    <x:row r="920" ht="145" customHeight="1">
      <x:c r="A920" s="10" t="str">
        <x:v>V-R2</x:v>
      </x:c>
      <x:c r="B920" s="10" t="str">
        <x:v>VOICE</x:v>
      </x:c>
      <x:c r="C920" s="10" t="str">
        <x:v>VOICE:S3-09:input</x:v>
      </x:c>
      <x:c r="D920" s="10" t="str">
        <x:v>{"deduplicate_same_object":true,"exclusions":["설치비"],"goal":"요약표 작성","preserve_existing_tasks":true,"relation":"new_goal","targets":["S3-09:quote-L"]}</x:v>
      </x:c>
      <x:c r="E920" s="10" t="str">
        <x:v>{"deduplicate_same_object":true,"exclusions":["설치비"],"goal":"요약표 작성","preserve_existing_tasks":true,"relation":"new_goal","targets":["S3-09:quote-L"]}</x:v>
      </x:c>
      <x:c r="F920" s="10" t="n">
        <x:f>IF(D920=E920,1,0)</x:f>
        <x:v>1</x:v>
      </x:c>
      <x:c r="G920" s="10" t="str">
        <x:v>필수 의미 전체 일치</x:v>
      </x:c>
    </x:row>
    <x:row r="921" ht="145" customHeight="1">
      <x:c r="A921" s="10" t="str">
        <x:v>V-R3</x:v>
      </x:c>
      <x:c r="B921" s="10" t="str">
        <x:v>VOICE</x:v>
      </x:c>
      <x:c r="C921" s="10" t="str">
        <x:v>VOICE:S3-09:input</x:v>
      </x:c>
      <x:c r="D921" s="10" t="str">
        <x:v>{"deduplicate_same_object":true,"exclusions":["설치비"],"goal":"요약표 작성","preserve_existing_tasks":true,"relation":"new_goal","targets":["S3-09:quote-L"]}</x:v>
      </x:c>
      <x:c r="E921" s="10" t="str">
        <x:v>{"deduplicate_same_object":true,"exclusions":["설치비"],"goal":"요약표 작성","preserve_existing_tasks":true,"relation":"new_goal","targets":["S3-09:quote-L"]}</x:v>
      </x:c>
      <x:c r="F921" s="10" t="n">
        <x:f>IF(D921=E921,1,0)</x:f>
        <x:v>1</x:v>
      </x:c>
      <x:c r="G921" s="10" t="str">
        <x:v>필수 의미 전체 일치</x:v>
      </x:c>
    </x:row>
    <x:row r="922" ht="145" customHeight="1">
      <x:c r="A922" s="10" t="str">
        <x:v>V-A</x:v>
      </x:c>
      <x:c r="B922" s="10" t="str">
        <x:v>VOICE</x:v>
      </x:c>
      <x:c r="C922" s="10" t="str">
        <x:v>VOICE:S3-10:input</x:v>
      </x:c>
      <x:c r="D922" s="10" t="str">
        <x:v>{"deduplicate_same_object":true,"exclusions":["설치비"],"goal":"요약표 작성","preserve_existing_tasks":true,"relation":"new_goal","targets":["S3-10:quote-L"]}</x:v>
      </x:c>
      <x:c r="E922" s="10" t="str">
        <x:v>{"deduplicate_same_object":true,"exclusions":[],"goal":"요약표 작성","preserve_existing_tasks":true,"relation":"new_goal","targets":["S3-10:quote-L"]}</x:v>
      </x:c>
      <x:c r="F922" s="10" t="n">
        <x:f>IF(D922=E922,1,0)</x:f>
        <x:v>0</x:v>
      </x:c>
      <x:c r="G922" s="10" t="str">
        <x:v>대상은 맞지만 설치비 제외 조건을 최초 채택에서 누락</x:v>
      </x:c>
    </x:row>
    <x:row r="923" ht="145" customHeight="1">
      <x:c r="A923" s="10" t="str">
        <x:v>V-R1</x:v>
      </x:c>
      <x:c r="B923" s="10" t="str">
        <x:v>VOICE</x:v>
      </x:c>
      <x:c r="C923" s="10" t="str">
        <x:v>VOICE:S3-10:input</x:v>
      </x:c>
      <x:c r="D923" s="10" t="str">
        <x:v>{"deduplicate_same_object":true,"exclusions":["설치비"],"goal":"요약표 작성","preserve_existing_tasks":true,"relation":"new_goal","targets":["S3-10:quote-L"]}</x:v>
      </x:c>
      <x:c r="E923" s="10" t="str">
        <x:v>{"deduplicate_same_object":true,"exclusions":[],"goal":"요약표 작성","preserve_existing_tasks":true,"relation":"new_goal","targets":["S3-10:quote-L"]}</x:v>
      </x:c>
      <x:c r="F923" s="10" t="n">
        <x:f>IF(D923=E923,1,0)</x:f>
        <x:v>0</x:v>
      </x:c>
      <x:c r="G923" s="10" t="str">
        <x:v>대상은 맞지만 설치비 제외 조건을 최초 채택에서 누락</x:v>
      </x:c>
    </x:row>
    <x:row r="924" ht="145" customHeight="1">
      <x:c r="A924" s="10" t="str">
        <x:v>V-R2</x:v>
      </x:c>
      <x:c r="B924" s="10" t="str">
        <x:v>VOICE</x:v>
      </x:c>
      <x:c r="C924" s="10" t="str">
        <x:v>VOICE:S3-10:input</x:v>
      </x:c>
      <x:c r="D924" s="10" t="str">
        <x:v>{"deduplicate_same_object":true,"exclusions":["설치비"],"goal":"요약표 작성","preserve_existing_tasks":true,"relation":"new_goal","targets":["S3-10:quote-L"]}</x:v>
      </x:c>
      <x:c r="E924" s="10" t="str">
        <x:v>{"deduplicate_same_object":true,"exclusions":[],"goal":"요약표 작성","preserve_existing_tasks":true,"relation":"new_goal","targets":["S3-10:quote-L"]}</x:v>
      </x:c>
      <x:c r="F924" s="10" t="n">
        <x:f>IF(D924=E924,1,0)</x:f>
        <x:v>0</x:v>
      </x:c>
      <x:c r="G924" s="10" t="str">
        <x:v>대상은 맞지만 설치비 제외 조건을 최초 채택에서 누락</x:v>
      </x:c>
    </x:row>
    <x:row r="925" ht="145" customHeight="1">
      <x:c r="A925" s="10" t="str">
        <x:v>V-R3</x:v>
      </x:c>
      <x:c r="B925" s="10" t="str">
        <x:v>VOICE</x:v>
      </x:c>
      <x:c r="C925" s="10" t="str">
        <x:v>VOICE:S3-10:input</x:v>
      </x:c>
      <x:c r="D925" s="10" t="str">
        <x:v>{"deduplicate_same_object":true,"exclusions":["설치비"],"goal":"요약표 작성","preserve_existing_tasks":true,"relation":"new_goal","targets":["S3-10:quote-L"]}</x:v>
      </x:c>
      <x:c r="E925" s="10" t="str">
        <x:v>{"deduplicate_same_object":true,"exclusions":[],"goal":"요약표 작성","preserve_existing_tasks":true,"relation":"new_goal","targets":["S3-10:quote-L"]}</x:v>
      </x:c>
      <x:c r="F925" s="10" t="n">
        <x:f>IF(D925=E925,1,0)</x:f>
        <x:v>0</x:v>
      </x:c>
      <x:c r="G925" s="10" t="str">
        <x:v>대상은 맞지만 설치비 제외 조건을 최초 채택에서 누락</x:v>
      </x:c>
    </x:row>
    <x:row r="926" ht="145" customHeight="1">
      <x:c r="A926" s="10" t="str">
        <x:v>V-A</x:v>
      </x:c>
      <x:c r="B926" s="10" t="str">
        <x:v>VOICE</x:v>
      </x:c>
      <x:c r="C926" s="10" t="str">
        <x:v>VOICE:S3-11:input</x:v>
      </x:c>
      <x:c r="D926" s="10" t="str">
        <x:v>{"deduplicate_same_object":true,"exclusions":["설치비"],"goal":"요약표 작성","preserve_existing_tasks":true,"relation":"new_goal","targets":["S3-11:quote-L"]}</x:v>
      </x:c>
      <x:c r="E926" s="10" t="str">
        <x:v>{"deduplicate_same_object":true,"exclusions":["설치비"],"goal":"요약표 작성","preserve_existing_tasks":true,"relation":"new_goal","targets":["S3-11:quote-L"]}</x:v>
      </x:c>
      <x:c r="F926" s="10" t="n">
        <x:f>IF(D926=E926,1,0)</x:f>
        <x:v>1</x:v>
      </x:c>
      <x:c r="G926" s="10" t="str">
        <x:v>필수 의미 전체 일치</x:v>
      </x:c>
    </x:row>
    <x:row r="927" ht="145" customHeight="1">
      <x:c r="A927" s="10" t="str">
        <x:v>V-R1</x:v>
      </x:c>
      <x:c r="B927" s="10" t="str">
        <x:v>VOICE</x:v>
      </x:c>
      <x:c r="C927" s="10" t="str">
        <x:v>VOICE:S3-11:input</x:v>
      </x:c>
      <x:c r="D927" s="10" t="str">
        <x:v>{"deduplicate_same_object":true,"exclusions":["설치비"],"goal":"요약표 작성","preserve_existing_tasks":true,"relation":"new_goal","targets":["S3-11:quote-L"]}</x:v>
      </x:c>
      <x:c r="E927" s="10" t="str">
        <x:v>{"deduplicate_same_object":true,"exclusions":["설치비"],"goal":"요약표 작성","preserve_existing_tasks":true,"relation":"new_goal","targets":["S3-11:quote-L"]}</x:v>
      </x:c>
      <x:c r="F927" s="10" t="n">
        <x:f>IF(D927=E927,1,0)</x:f>
        <x:v>1</x:v>
      </x:c>
      <x:c r="G927" s="10" t="str">
        <x:v>필수 의미 전체 일치</x:v>
      </x:c>
    </x:row>
    <x:row r="928" ht="145" customHeight="1">
      <x:c r="A928" s="10" t="str">
        <x:v>V-R2</x:v>
      </x:c>
      <x:c r="B928" s="10" t="str">
        <x:v>VOICE</x:v>
      </x:c>
      <x:c r="C928" s="10" t="str">
        <x:v>VOICE:S3-11:input</x:v>
      </x:c>
      <x:c r="D928" s="10" t="str">
        <x:v>{"deduplicate_same_object":true,"exclusions":["설치비"],"goal":"요약표 작성","preserve_existing_tasks":true,"relation":"new_goal","targets":["S3-11:quote-L"]}</x:v>
      </x:c>
      <x:c r="E928" s="10" t="str">
        <x:v>{"deduplicate_same_object":true,"exclusions":["설치비"],"goal":"요약표 작성","preserve_existing_tasks":true,"relation":"new_goal","targets":["S3-11:quote-L"]}</x:v>
      </x:c>
      <x:c r="F928" s="10" t="n">
        <x:f>IF(D928=E928,1,0)</x:f>
        <x:v>1</x:v>
      </x:c>
      <x:c r="G928" s="10" t="str">
        <x:v>필수 의미 전체 일치</x:v>
      </x:c>
    </x:row>
    <x:row r="929" ht="145" customHeight="1">
      <x:c r="A929" s="10" t="str">
        <x:v>V-R3</x:v>
      </x:c>
      <x:c r="B929" s="10" t="str">
        <x:v>VOICE</x:v>
      </x:c>
      <x:c r="C929" s="10" t="str">
        <x:v>VOICE:S3-11:input</x:v>
      </x:c>
      <x:c r="D929" s="10" t="str">
        <x:v>{"deduplicate_same_object":true,"exclusions":["설치비"],"goal":"요약표 작성","preserve_existing_tasks":true,"relation":"new_goal","targets":["S3-11:quote-L"]}</x:v>
      </x:c>
      <x:c r="E929" s="10" t="str">
        <x:v>{"deduplicate_same_object":true,"exclusions":["설치비"],"goal":"요약표 작성","preserve_existing_tasks":true,"relation":"new_goal","targets":["S3-11:quote-L"]}</x:v>
      </x:c>
      <x:c r="F929" s="10" t="n">
        <x:f>IF(D929=E929,1,0)</x:f>
        <x:v>1</x:v>
      </x:c>
      <x:c r="G929" s="10" t="str">
        <x:v>필수 의미 전체 일치</x:v>
      </x:c>
    </x:row>
    <x:row r="930" ht="145" customHeight="1">
      <x:c r="A930" s="10" t="str">
        <x:v>V-A</x:v>
      </x:c>
      <x:c r="B930" s="10" t="str">
        <x:v>VOICE</x:v>
      </x:c>
      <x:c r="C930" s="10" t="str">
        <x:v>VOICE:S3-12:input</x:v>
      </x:c>
      <x:c r="D930" s="10" t="str">
        <x:v>{"deduplicate_same_object":true,"exclusions":["설치비"],"goal":"요약표 작성","preserve_existing_tasks":true,"relation":"new_goal","targets":["S3-12:quote-L"]}</x:v>
      </x:c>
      <x:c r="E930" s="10" t="str">
        <x:v>{"deduplicate_same_object":true,"exclusions":["설치비"],"goal":"요약표 작성","preserve_existing_tasks":true,"relation":"new_goal","targets":["S3-12:quote-L"]}</x:v>
      </x:c>
      <x:c r="F930" s="10" t="n">
        <x:f>IF(D930=E930,1,0)</x:f>
        <x:v>1</x:v>
      </x:c>
      <x:c r="G930" s="10" t="str">
        <x:v>필수 의미 전체 일치</x:v>
      </x:c>
    </x:row>
    <x:row r="931" ht="145" customHeight="1">
      <x:c r="A931" s="10" t="str">
        <x:v>V-R1</x:v>
      </x:c>
      <x:c r="B931" s="10" t="str">
        <x:v>VOICE</x:v>
      </x:c>
      <x:c r="C931" s="10" t="str">
        <x:v>VOICE:S3-12:input</x:v>
      </x:c>
      <x:c r="D931" s="10" t="str">
        <x:v>{"deduplicate_same_object":true,"exclusions":["설치비"],"goal":"요약표 작성","preserve_existing_tasks":true,"relation":"new_goal","targets":["S3-12:quote-L"]}</x:v>
      </x:c>
      <x:c r="E931" s="10" t="str">
        <x:v>{"deduplicate_same_object":true,"exclusions":["설치비"],"goal":"요약표 작성","preserve_existing_tasks":true,"relation":"new_goal","targets":["S3-12:quote-L"]}</x:v>
      </x:c>
      <x:c r="F931" s="10" t="n">
        <x:f>IF(D931=E931,1,0)</x:f>
        <x:v>1</x:v>
      </x:c>
      <x:c r="G931" s="10" t="str">
        <x:v>필수 의미 전체 일치</x:v>
      </x:c>
    </x:row>
    <x:row r="932" ht="145" customHeight="1">
      <x:c r="A932" s="10" t="str">
        <x:v>V-R2</x:v>
      </x:c>
      <x:c r="B932" s="10" t="str">
        <x:v>VOICE</x:v>
      </x:c>
      <x:c r="C932" s="10" t="str">
        <x:v>VOICE:S3-12:input</x:v>
      </x:c>
      <x:c r="D932" s="10" t="str">
        <x:v>{"deduplicate_same_object":true,"exclusions":["설치비"],"goal":"요약표 작성","preserve_existing_tasks":true,"relation":"new_goal","targets":["S3-12:quote-L"]}</x:v>
      </x:c>
      <x:c r="E932" s="10" t="str">
        <x:v>{"deduplicate_same_object":true,"exclusions":["설치비"],"goal":"요약표 작성","preserve_existing_tasks":true,"relation":"new_goal","targets":["S3-12:quote-L"]}</x:v>
      </x:c>
      <x:c r="F932" s="10" t="n">
        <x:f>IF(D932=E932,1,0)</x:f>
        <x:v>1</x:v>
      </x:c>
      <x:c r="G932" s="10" t="str">
        <x:v>필수 의미 전체 일치</x:v>
      </x:c>
    </x:row>
    <x:row r="933" ht="145" customHeight="1">
      <x:c r="A933" s="10" t="str">
        <x:v>V-R3</x:v>
      </x:c>
      <x:c r="B933" s="10" t="str">
        <x:v>VOICE</x:v>
      </x:c>
      <x:c r="C933" s="10" t="str">
        <x:v>VOICE:S3-12:input</x:v>
      </x:c>
      <x:c r="D933" s="10" t="str">
        <x:v>{"deduplicate_same_object":true,"exclusions":["설치비"],"goal":"요약표 작성","preserve_existing_tasks":true,"relation":"new_goal","targets":["S3-12:quote-L"]}</x:v>
      </x:c>
      <x:c r="E933" s="10" t="str">
        <x:v>{"deduplicate_same_object":true,"exclusions":["설치비"],"goal":"요약표 작성","preserve_existing_tasks":true,"relation":"new_goal","targets":["S3-12:quote-L"]}</x:v>
      </x:c>
      <x:c r="F933" s="10" t="n">
        <x:f>IF(D933=E933,1,0)</x:f>
        <x:v>1</x:v>
      </x:c>
      <x:c r="G933" s="10" t="str">
        <x:v>필수 의미 전체 일치</x:v>
      </x:c>
    </x:row>
    <x:row r="934" ht="145" customHeight="1">
      <x:c r="A934" s="10" t="str">
        <x:v>V-A</x:v>
      </x:c>
      <x:c r="B934" s="10" t="str">
        <x:v>VOICE</x:v>
      </x:c>
      <x:c r="C934" s="10" t="str">
        <x:v>VOICE:S3-13:input</x:v>
      </x:c>
      <x:c r="D934" s="10" t="str">
        <x:v>{"deduplicate_same_object":true,"exclusions":["설치비"],"goal":"요약표 작성","preserve_existing_tasks":true,"relation":"new_goal","targets":["S3-13:quote-L"]}</x:v>
      </x:c>
      <x:c r="E934" s="10" t="str">
        <x:v>{"deduplicate_same_object":true,"exclusions":["설치비"],"goal":"요약표 작성","preserve_existing_tasks":true,"relation":"new_goal","targets":["S3-13:quote-L"]}</x:v>
      </x:c>
      <x:c r="F934" s="10" t="n">
        <x:f>IF(D934=E934,1,0)</x:f>
        <x:v>1</x:v>
      </x:c>
      <x:c r="G934" s="10" t="str">
        <x:v>필수 의미 전체 일치</x:v>
      </x:c>
    </x:row>
    <x:row r="935" ht="145" customHeight="1">
      <x:c r="A935" s="10" t="str">
        <x:v>V-R1</x:v>
      </x:c>
      <x:c r="B935" s="10" t="str">
        <x:v>VOICE</x:v>
      </x:c>
      <x:c r="C935" s="10" t="str">
        <x:v>VOICE:S3-13:input</x:v>
      </x:c>
      <x:c r="D935" s="10" t="str">
        <x:v>{"deduplicate_same_object":true,"exclusions":["설치비"],"goal":"요약표 작성","preserve_existing_tasks":true,"relation":"new_goal","targets":["S3-13:quote-L"]}</x:v>
      </x:c>
      <x:c r="E935" s="10" t="str">
        <x:v>{"deduplicate_same_object":true,"exclusions":["설치비"],"goal":"요약표 작성","preserve_existing_tasks":true,"relation":"new_goal","targets":["S3-13:quote-L"]}</x:v>
      </x:c>
      <x:c r="F935" s="10" t="n">
        <x:f>IF(D935=E935,1,0)</x:f>
        <x:v>1</x:v>
      </x:c>
      <x:c r="G935" s="10" t="str">
        <x:v>필수 의미 전체 일치</x:v>
      </x:c>
    </x:row>
    <x:row r="936" ht="145" customHeight="1">
      <x:c r="A936" s="10" t="str">
        <x:v>V-R2</x:v>
      </x:c>
      <x:c r="B936" s="10" t="str">
        <x:v>VOICE</x:v>
      </x:c>
      <x:c r="C936" s="10" t="str">
        <x:v>VOICE:S3-13:input</x:v>
      </x:c>
      <x:c r="D936" s="10" t="str">
        <x:v>{"deduplicate_same_object":true,"exclusions":["설치비"],"goal":"요약표 작성","preserve_existing_tasks":true,"relation":"new_goal","targets":["S3-13:quote-L"]}</x:v>
      </x:c>
      <x:c r="E936" s="10" t="str">
        <x:v>{"deduplicate_same_object":true,"exclusions":["설치비"],"goal":"요약표 작성","preserve_existing_tasks":true,"relation":"new_goal","targets":["S3-13:quote-L"]}</x:v>
      </x:c>
      <x:c r="F936" s="10" t="n">
        <x:f>IF(D936=E936,1,0)</x:f>
        <x:v>1</x:v>
      </x:c>
      <x:c r="G936" s="10" t="str">
        <x:v>필수 의미 전체 일치</x:v>
      </x:c>
    </x:row>
    <x:row r="937" ht="145" customHeight="1">
      <x:c r="A937" s="10" t="str">
        <x:v>V-R3</x:v>
      </x:c>
      <x:c r="B937" s="10" t="str">
        <x:v>VOICE</x:v>
      </x:c>
      <x:c r="C937" s="10" t="str">
        <x:v>VOICE:S3-13:input</x:v>
      </x:c>
      <x:c r="D937" s="10" t="str">
        <x:v>{"deduplicate_same_object":true,"exclusions":["설치비"],"goal":"요약표 작성","preserve_existing_tasks":true,"relation":"new_goal","targets":["S3-13:quote-L"]}</x:v>
      </x:c>
      <x:c r="E937" s="10" t="str">
        <x:v>{"deduplicate_same_object":true,"exclusions":["설치비"],"goal":"요약표 작성","preserve_existing_tasks":true,"relation":"new_goal","targets":["S3-13:quote-L"]}</x:v>
      </x:c>
      <x:c r="F937" s="10" t="n">
        <x:f>IF(D937=E937,1,0)</x:f>
        <x:v>1</x:v>
      </x:c>
      <x:c r="G937" s="10" t="str">
        <x:v>필수 의미 전체 일치</x:v>
      </x:c>
    </x:row>
    <x:row r="938" ht="145" customHeight="1">
      <x:c r="A938" s="10" t="str">
        <x:v>V-A</x:v>
      </x:c>
      <x:c r="B938" s="10" t="str">
        <x:v>VOICE</x:v>
      </x:c>
      <x:c r="C938" s="10" t="str">
        <x:v>VOICE:S3-14:input</x:v>
      </x:c>
      <x:c r="D938" s="10" t="str">
        <x:v>{"deduplicate_same_object":true,"exclusions":["설치비"],"goal":"요약표 작성","preserve_existing_tasks":true,"relation":"new_goal","targets":["S3-14:quote-L"]}</x:v>
      </x:c>
      <x:c r="E938" s="10" t="str">
        <x:v>{"deduplicate_same_object":true,"exclusions":["설치비"],"goal":"요약표 작성","preserve_existing_tasks":true,"relation":"new_goal","targets":["S3-14:quote-L"]}</x:v>
      </x:c>
      <x:c r="F938" s="10" t="n">
        <x:f>IF(D938=E938,1,0)</x:f>
        <x:v>1</x:v>
      </x:c>
      <x:c r="G938" s="10" t="str">
        <x:v>필수 의미 전체 일치</x:v>
      </x:c>
    </x:row>
    <x:row r="939" ht="145" customHeight="1">
      <x:c r="A939" s="10" t="str">
        <x:v>V-R1</x:v>
      </x:c>
      <x:c r="B939" s="10" t="str">
        <x:v>VOICE</x:v>
      </x:c>
      <x:c r="C939" s="10" t="str">
        <x:v>VOICE:S3-14:input</x:v>
      </x:c>
      <x:c r="D939" s="10" t="str">
        <x:v>{"deduplicate_same_object":true,"exclusions":["설치비"],"goal":"요약표 작성","preserve_existing_tasks":true,"relation":"new_goal","targets":["S3-14:quote-L"]}</x:v>
      </x:c>
      <x:c r="E939" s="10" t="str">
        <x:v>{"deduplicate_same_object":true,"exclusions":["설치비"],"goal":"요약표 작성","preserve_existing_tasks":true,"relation":"new_goal","targets":["S3-14:quote-L"]}</x:v>
      </x:c>
      <x:c r="F939" s="10" t="n">
        <x:f>IF(D939=E939,1,0)</x:f>
        <x:v>1</x:v>
      </x:c>
      <x:c r="G939" s="10" t="str">
        <x:v>필수 의미 전체 일치</x:v>
      </x:c>
    </x:row>
    <x:row r="940" ht="145" customHeight="1">
      <x:c r="A940" s="10" t="str">
        <x:v>V-R2</x:v>
      </x:c>
      <x:c r="B940" s="10" t="str">
        <x:v>VOICE</x:v>
      </x:c>
      <x:c r="C940" s="10" t="str">
        <x:v>VOICE:S3-14:input</x:v>
      </x:c>
      <x:c r="D940" s="10" t="str">
        <x:v>{"deduplicate_same_object":true,"exclusions":["설치비"],"goal":"요약표 작성","preserve_existing_tasks":true,"relation":"new_goal","targets":["S3-14:quote-L"]}</x:v>
      </x:c>
      <x:c r="E940" s="10" t="str">
        <x:v>{"deduplicate_same_object":true,"exclusions":["설치비"],"goal":"요약표 작성","preserve_existing_tasks":true,"relation":"new_goal","targets":["S3-14:quote-L"]}</x:v>
      </x:c>
      <x:c r="F940" s="10" t="n">
        <x:f>IF(D940=E940,1,0)</x:f>
        <x:v>1</x:v>
      </x:c>
      <x:c r="G940" s="10" t="str">
        <x:v>필수 의미 전체 일치</x:v>
      </x:c>
    </x:row>
    <x:row r="941" ht="145" customHeight="1">
      <x:c r="A941" s="10" t="str">
        <x:v>V-R3</x:v>
      </x:c>
      <x:c r="B941" s="10" t="str">
        <x:v>VOICE</x:v>
      </x:c>
      <x:c r="C941" s="10" t="str">
        <x:v>VOICE:S3-14:input</x:v>
      </x:c>
      <x:c r="D941" s="10" t="str">
        <x:v>{"deduplicate_same_object":true,"exclusions":["설치비"],"goal":"요약표 작성","preserve_existing_tasks":true,"relation":"new_goal","targets":["S3-14:quote-L"]}</x:v>
      </x:c>
      <x:c r="E941" s="10" t="str">
        <x:v>{"deduplicate_same_object":true,"exclusions":["설치비"],"goal":"요약표 작성","preserve_existing_tasks":true,"relation":"new_goal","targets":["S3-14:quote-L"]}</x:v>
      </x:c>
      <x:c r="F941" s="10" t="n">
        <x:f>IF(D941=E941,1,0)</x:f>
        <x:v>1</x:v>
      </x:c>
      <x:c r="G941" s="10" t="str">
        <x:v>필수 의미 전체 일치</x:v>
      </x:c>
    </x:row>
    <x:row r="942" ht="145" customHeight="1">
      <x:c r="A942" s="10" t="str">
        <x:v>V-A</x:v>
      </x:c>
      <x:c r="B942" s="10" t="str">
        <x:v>VOICE</x:v>
      </x:c>
      <x:c r="C942" s="10" t="str">
        <x:v>VOICE:S3-15:input</x:v>
      </x:c>
      <x:c r="D942" s="10" t="str">
        <x:v>{"deduplicate_same_object":true,"exclusions":["설치비"],"goal":"요약표 작성","preserve_existing_tasks":true,"relation":"new_goal","targets":["S3-15:quote-L"]}</x:v>
      </x:c>
      <x:c r="E942" s="10" t="str">
        <x:v>{"deduplicate_same_object":true,"exclusions":["설치비"],"goal":"요약표 작성","preserve_existing_tasks":true,"relation":"new_goal","targets":["S3-15:quote-L"]}</x:v>
      </x:c>
      <x:c r="F942" s="10" t="n">
        <x:f>IF(D942=E942,1,0)</x:f>
        <x:v>1</x:v>
      </x:c>
      <x:c r="G942" s="10" t="str">
        <x:v>필수 의미 전체 일치</x:v>
      </x:c>
    </x:row>
    <x:row r="943" ht="145" customHeight="1">
      <x:c r="A943" s="10" t="str">
        <x:v>V-R1</x:v>
      </x:c>
      <x:c r="B943" s="10" t="str">
        <x:v>VOICE</x:v>
      </x:c>
      <x:c r="C943" s="10" t="str">
        <x:v>VOICE:S3-15:input</x:v>
      </x:c>
      <x:c r="D943" s="10" t="str">
        <x:v>{"deduplicate_same_object":true,"exclusions":["설치비"],"goal":"요약표 작성","preserve_existing_tasks":true,"relation":"new_goal","targets":["S3-15:quote-L"]}</x:v>
      </x:c>
      <x:c r="E943" s="10" t="str">
        <x:v>{"deduplicate_same_object":true,"exclusions":["설치비"],"goal":"요약표 작성","preserve_existing_tasks":true,"relation":"new_goal","targets":["S3-15:quote-L"]}</x:v>
      </x:c>
      <x:c r="F943" s="10" t="n">
        <x:f>IF(D943=E943,1,0)</x:f>
        <x:v>1</x:v>
      </x:c>
      <x:c r="G943" s="10" t="str">
        <x:v>필수 의미 전체 일치</x:v>
      </x:c>
    </x:row>
    <x:row r="944" ht="145" customHeight="1">
      <x:c r="A944" s="10" t="str">
        <x:v>V-R2</x:v>
      </x:c>
      <x:c r="B944" s="10" t="str">
        <x:v>VOICE</x:v>
      </x:c>
      <x:c r="C944" s="10" t="str">
        <x:v>VOICE:S3-15:input</x:v>
      </x:c>
      <x:c r="D944" s="10" t="str">
        <x:v>{"deduplicate_same_object":true,"exclusions":["설치비"],"goal":"요약표 작성","preserve_existing_tasks":true,"relation":"new_goal","targets":["S3-15:quote-L"]}</x:v>
      </x:c>
      <x:c r="E944" s="10" t="str">
        <x:v>{"deduplicate_same_object":true,"exclusions":["설치비"],"goal":"요약표 작성","preserve_existing_tasks":true,"relation":"new_goal","targets":["S3-15:quote-L"]}</x:v>
      </x:c>
      <x:c r="F944" s="10" t="n">
        <x:f>IF(D944=E944,1,0)</x:f>
        <x:v>1</x:v>
      </x:c>
      <x:c r="G944" s="10" t="str">
        <x:v>필수 의미 전체 일치</x:v>
      </x:c>
    </x:row>
    <x:row r="945" ht="145" customHeight="1">
      <x:c r="A945" s="10" t="str">
        <x:v>V-R3</x:v>
      </x:c>
      <x:c r="B945" s="10" t="str">
        <x:v>VOICE</x:v>
      </x:c>
      <x:c r="C945" s="10" t="str">
        <x:v>VOICE:S3-15:input</x:v>
      </x:c>
      <x:c r="D945" s="10" t="str">
        <x:v>{"deduplicate_same_object":true,"exclusions":["설치비"],"goal":"요약표 작성","preserve_existing_tasks":true,"relation":"new_goal","targets":["S3-15:quote-L"]}</x:v>
      </x:c>
      <x:c r="E945" s="10" t="str">
        <x:v>{"deduplicate_same_object":true,"exclusions":["설치비"],"goal":"요약표 작성","preserve_existing_tasks":true,"relation":"new_goal","targets":["S3-15:quote-L"]}</x:v>
      </x:c>
      <x:c r="F945" s="10" t="n">
        <x:f>IF(D945=E945,1,0)</x:f>
        <x:v>1</x:v>
      </x:c>
      <x:c r="G945" s="10" t="str">
        <x:v>필수 의미 전체 일치</x:v>
      </x:c>
    </x:row>
    <x:row r="946" ht="145" customHeight="1">
      <x:c r="A946" s="10" t="str">
        <x:v>V-A</x:v>
      </x:c>
      <x:c r="B946" s="10" t="str">
        <x:v>VOICE</x:v>
      </x:c>
      <x:c r="C946" s="10" t="str">
        <x:v>VOICE:S3-16:input</x:v>
      </x:c>
      <x:c r="D946" s="10" t="str">
        <x:v>{"deduplicate_same_object":true,"exclusions":["설치비"],"goal":"요약표 작성","preserve_existing_tasks":true,"relation":"new_goal","targets":["S3-16:quote-L"]}</x:v>
      </x:c>
      <x:c r="E946" s="10" t="str">
        <x:v>{"deduplicate_same_object":true,"exclusions":["설치비"],"goal":"요약표 작성","preserve_existing_tasks":true,"relation":"new_goal","targets":["S3-16:quote-L"]}</x:v>
      </x:c>
      <x:c r="F946" s="10" t="n">
        <x:f>IF(D946=E946,1,0)</x:f>
        <x:v>1</x:v>
      </x:c>
      <x:c r="G946" s="10" t="str">
        <x:v>필수 의미 전체 일치</x:v>
      </x:c>
    </x:row>
    <x:row r="947" ht="145" customHeight="1">
      <x:c r="A947" s="10" t="str">
        <x:v>V-R1</x:v>
      </x:c>
      <x:c r="B947" s="10" t="str">
        <x:v>VOICE</x:v>
      </x:c>
      <x:c r="C947" s="10" t="str">
        <x:v>VOICE:S3-16:input</x:v>
      </x:c>
      <x:c r="D947" s="10" t="str">
        <x:v>{"deduplicate_same_object":true,"exclusions":["설치비"],"goal":"요약표 작성","preserve_existing_tasks":true,"relation":"new_goal","targets":["S3-16:quote-L"]}</x:v>
      </x:c>
      <x:c r="E947" s="10" t="str">
        <x:v>{"deduplicate_same_object":true,"exclusions":["설치비"],"goal":"요약표 작성","preserve_existing_tasks":true,"relation":"new_goal","targets":["S3-16:quote-L"]}</x:v>
      </x:c>
      <x:c r="F947" s="10" t="n">
        <x:f>IF(D947=E947,1,0)</x:f>
        <x:v>1</x:v>
      </x:c>
      <x:c r="G947" s="10" t="str">
        <x:v>필수 의미 전체 일치</x:v>
      </x:c>
    </x:row>
    <x:row r="948" ht="145" customHeight="1">
      <x:c r="A948" s="10" t="str">
        <x:v>V-R2</x:v>
      </x:c>
      <x:c r="B948" s="10" t="str">
        <x:v>VOICE</x:v>
      </x:c>
      <x:c r="C948" s="10" t="str">
        <x:v>VOICE:S3-16:input</x:v>
      </x:c>
      <x:c r="D948" s="10" t="str">
        <x:v>{"deduplicate_same_object":true,"exclusions":["설치비"],"goal":"요약표 작성","preserve_existing_tasks":true,"relation":"new_goal","targets":["S3-16:quote-L"]}</x:v>
      </x:c>
      <x:c r="E948" s="10" t="str">
        <x:v>{"deduplicate_same_object":true,"exclusions":["설치비"],"goal":"요약표 작성","preserve_existing_tasks":true,"relation":"new_goal","targets":["S3-16:quote-L"]}</x:v>
      </x:c>
      <x:c r="F948" s="10" t="n">
        <x:f>IF(D948=E948,1,0)</x:f>
        <x:v>1</x:v>
      </x:c>
      <x:c r="G948" s="10" t="str">
        <x:v>필수 의미 전체 일치</x:v>
      </x:c>
    </x:row>
    <x:row r="949" ht="145" customHeight="1">
      <x:c r="A949" s="10" t="str">
        <x:v>V-R3</x:v>
      </x:c>
      <x:c r="B949" s="10" t="str">
        <x:v>VOICE</x:v>
      </x:c>
      <x:c r="C949" s="10" t="str">
        <x:v>VOICE:S3-16:input</x:v>
      </x:c>
      <x:c r="D949" s="10" t="str">
        <x:v>{"deduplicate_same_object":true,"exclusions":["설치비"],"goal":"요약표 작성","preserve_existing_tasks":true,"relation":"new_goal","targets":["S3-16:quote-L"]}</x:v>
      </x:c>
      <x:c r="E949" s="10" t="str">
        <x:v>{"deduplicate_same_object":true,"exclusions":["설치비"],"goal":"요약표 작성","preserve_existing_tasks":true,"relation":"new_goal","targets":["S3-16:quote-L"]}</x:v>
      </x:c>
      <x:c r="F949" s="10" t="n">
        <x:f>IF(D949=E949,1,0)</x:f>
        <x:v>1</x:v>
      </x:c>
      <x:c r="G949" s="10" t="str">
        <x:v>필수 의미 전체 일치</x:v>
      </x:c>
    </x:row>
    <x:row r="950" ht="145" customHeight="1">
      <x:c r="A950" s="10" t="str">
        <x:v>V-A</x:v>
      </x:c>
      <x:c r="B950" s="10" t="str">
        <x:v>VOICE</x:v>
      </x:c>
      <x:c r="C950" s="10" t="str">
        <x:v>VOICE:S3-17:input</x:v>
      </x:c>
      <x:c r="D950" s="10" t="str">
        <x:v>{"deduplicate_same_object":true,"exclusions":["설치비"],"goal":"요약표 작성","preserve_existing_tasks":true,"relation":"new_goal","targets":["S3-17:quote-L"]}</x:v>
      </x:c>
      <x:c r="E950" s="10" t="str">
        <x:v>{"deduplicate_same_object":true,"exclusions":["설치비"],"goal":"요약표 작성","preserve_existing_tasks":true,"relation":"new_goal","targets":["S3-17:quote-L"]}</x:v>
      </x:c>
      <x:c r="F950" s="10" t="n">
        <x:f>IF(D950=E950,1,0)</x:f>
        <x:v>1</x:v>
      </x:c>
      <x:c r="G950" s="10" t="str">
        <x:v>필수 의미 전체 일치</x:v>
      </x:c>
    </x:row>
    <x:row r="951" ht="145" customHeight="1">
      <x:c r="A951" s="10" t="str">
        <x:v>V-R1</x:v>
      </x:c>
      <x:c r="B951" s="10" t="str">
        <x:v>VOICE</x:v>
      </x:c>
      <x:c r="C951" s="10" t="str">
        <x:v>VOICE:S3-17:input</x:v>
      </x:c>
      <x:c r="D951" s="10" t="str">
        <x:v>{"deduplicate_same_object":true,"exclusions":["설치비"],"goal":"요약표 작성","preserve_existing_tasks":true,"relation":"new_goal","targets":["S3-17:quote-L"]}</x:v>
      </x:c>
      <x:c r="E951" s="10" t="str">
        <x:v>{"deduplicate_same_object":true,"exclusions":["설치비"],"goal":"요약표 작성","preserve_existing_tasks":true,"relation":"new_goal","targets":["S3-17:quote-L"]}</x:v>
      </x:c>
      <x:c r="F951" s="10" t="n">
        <x:f>IF(D951=E951,1,0)</x:f>
        <x:v>1</x:v>
      </x:c>
      <x:c r="G951" s="10" t="str">
        <x:v>필수 의미 전체 일치</x:v>
      </x:c>
    </x:row>
    <x:row r="952" ht="145" customHeight="1">
      <x:c r="A952" s="10" t="str">
        <x:v>V-R2</x:v>
      </x:c>
      <x:c r="B952" s="10" t="str">
        <x:v>VOICE</x:v>
      </x:c>
      <x:c r="C952" s="10" t="str">
        <x:v>VOICE:S3-17:input</x:v>
      </x:c>
      <x:c r="D952" s="10" t="str">
        <x:v>{"deduplicate_same_object":true,"exclusions":["설치비"],"goal":"요약표 작성","preserve_existing_tasks":true,"relation":"new_goal","targets":["S3-17:quote-L"]}</x:v>
      </x:c>
      <x:c r="E952" s="10" t="str">
        <x:v>{"deduplicate_same_object":true,"exclusions":["설치비"],"goal":"요약표 작성","preserve_existing_tasks":true,"relation":"new_goal","targets":["S3-17:quote-L"]}</x:v>
      </x:c>
      <x:c r="F952" s="10" t="n">
        <x:f>IF(D952=E952,1,0)</x:f>
        <x:v>1</x:v>
      </x:c>
      <x:c r="G952" s="10" t="str">
        <x:v>필수 의미 전체 일치</x:v>
      </x:c>
    </x:row>
    <x:row r="953" ht="145" customHeight="1">
      <x:c r="A953" s="10" t="str">
        <x:v>V-R3</x:v>
      </x:c>
      <x:c r="B953" s="10" t="str">
        <x:v>VOICE</x:v>
      </x:c>
      <x:c r="C953" s="10" t="str">
        <x:v>VOICE:S3-17:input</x:v>
      </x:c>
      <x:c r="D953" s="10" t="str">
        <x:v>{"deduplicate_same_object":true,"exclusions":["설치비"],"goal":"요약표 작성","preserve_existing_tasks":true,"relation":"new_goal","targets":["S3-17:quote-L"]}</x:v>
      </x:c>
      <x:c r="E953" s="10" t="str">
        <x:v>{"deduplicate_same_object":true,"exclusions":["설치비"],"goal":"요약표 작성","preserve_existing_tasks":true,"relation":"new_goal","targets":["S3-17:quote-L"]}</x:v>
      </x:c>
      <x:c r="F953" s="10" t="n">
        <x:f>IF(D953=E953,1,0)</x:f>
        <x:v>1</x:v>
      </x:c>
      <x:c r="G953" s="10" t="str">
        <x:v>필수 의미 전체 일치</x:v>
      </x:c>
    </x:row>
    <x:row r="954" ht="145" customHeight="1">
      <x:c r="A954" s="10" t="str">
        <x:v>V-A</x:v>
      </x:c>
      <x:c r="B954" s="10" t="str">
        <x:v>VOICE</x:v>
      </x:c>
      <x:c r="C954" s="10" t="str">
        <x:v>VOICE:S3-18:input</x:v>
      </x:c>
      <x:c r="D954" s="10" t="str">
        <x:v>{"deduplicate_same_object":true,"exclusions":["설치비"],"goal":"요약표 작성","preserve_existing_tasks":true,"relation":"new_goal","targets":["S3-18:quote-L"]}</x:v>
      </x:c>
      <x:c r="E954" s="10" t="str">
        <x:v>{"deduplicate_same_object":true,"exclusions":["설치비"],"goal":"요약표 작성","preserve_existing_tasks":true,"relation":"new_goal","targets":["S3-18:quote-L"]}</x:v>
      </x:c>
      <x:c r="F954" s="10" t="n">
        <x:f>IF(D954=E954,1,0)</x:f>
        <x:v>1</x:v>
      </x:c>
      <x:c r="G954" s="10" t="str">
        <x:v>필수 의미 전체 일치</x:v>
      </x:c>
    </x:row>
    <x:row r="955" ht="145" customHeight="1">
      <x:c r="A955" s="10" t="str">
        <x:v>V-R1</x:v>
      </x:c>
      <x:c r="B955" s="10" t="str">
        <x:v>VOICE</x:v>
      </x:c>
      <x:c r="C955" s="10" t="str">
        <x:v>VOICE:S3-18:input</x:v>
      </x:c>
      <x:c r="D955" s="10" t="str">
        <x:v>{"deduplicate_same_object":true,"exclusions":["설치비"],"goal":"요약표 작성","preserve_existing_tasks":true,"relation":"new_goal","targets":["S3-18:quote-L"]}</x:v>
      </x:c>
      <x:c r="E955" s="10" t="str">
        <x:v>{"deduplicate_same_object":true,"exclusions":["설치비"],"goal":"요약표 작성","preserve_existing_tasks":true,"relation":"new_goal","targets":["S3-18:quote-L"]}</x:v>
      </x:c>
      <x:c r="F955" s="10" t="n">
        <x:f>IF(D955=E955,1,0)</x:f>
        <x:v>1</x:v>
      </x:c>
      <x:c r="G955" s="10" t="str">
        <x:v>필수 의미 전체 일치</x:v>
      </x:c>
    </x:row>
    <x:row r="956" ht="145" customHeight="1">
      <x:c r="A956" s="10" t="str">
        <x:v>V-R2</x:v>
      </x:c>
      <x:c r="B956" s="10" t="str">
        <x:v>VOICE</x:v>
      </x:c>
      <x:c r="C956" s="10" t="str">
        <x:v>VOICE:S3-18:input</x:v>
      </x:c>
      <x:c r="D956" s="10" t="str">
        <x:v>{"deduplicate_same_object":true,"exclusions":["설치비"],"goal":"요약표 작성","preserve_existing_tasks":true,"relation":"new_goal","targets":["S3-18:quote-L"]}</x:v>
      </x:c>
      <x:c r="E956" s="10" t="str">
        <x:v>{"deduplicate_same_object":true,"exclusions":["설치비"],"goal":"요약표 작성","preserve_existing_tasks":true,"relation":"new_goal","targets":["S3-18:quote-L"]}</x:v>
      </x:c>
      <x:c r="F956" s="10" t="n">
        <x:f>IF(D956=E956,1,0)</x:f>
        <x:v>1</x:v>
      </x:c>
      <x:c r="G956" s="10" t="str">
        <x:v>필수 의미 전체 일치</x:v>
      </x:c>
    </x:row>
    <x:row r="957" ht="145" customHeight="1">
      <x:c r="A957" s="10" t="str">
        <x:v>V-R3</x:v>
      </x:c>
      <x:c r="B957" s="10" t="str">
        <x:v>VOICE</x:v>
      </x:c>
      <x:c r="C957" s="10" t="str">
        <x:v>VOICE:S3-18:input</x:v>
      </x:c>
      <x:c r="D957" s="10" t="str">
        <x:v>{"deduplicate_same_object":true,"exclusions":["설치비"],"goal":"요약표 작성","preserve_existing_tasks":true,"relation":"new_goal","targets":["S3-18:quote-L"]}</x:v>
      </x:c>
      <x:c r="E957" s="10" t="str">
        <x:v>{"deduplicate_same_object":true,"exclusions":["설치비"],"goal":"요약표 작성","preserve_existing_tasks":true,"relation":"new_goal","targets":["S3-18:quote-L"]}</x:v>
      </x:c>
      <x:c r="F957" s="10" t="n">
        <x:f>IF(D957=E957,1,0)</x:f>
        <x:v>1</x:v>
      </x:c>
      <x:c r="G957" s="10" t="str">
        <x:v>필수 의미 전체 일치</x:v>
      </x:c>
    </x:row>
    <x:row r="958" ht="145" customHeight="1">
      <x:c r="A958" s="10" t="str">
        <x:v>V-A</x:v>
      </x:c>
      <x:c r="B958" s="10" t="str">
        <x:v>VOICE</x:v>
      </x:c>
      <x:c r="C958" s="10" t="str">
        <x:v>VOICE:S3-19:input</x:v>
      </x:c>
      <x:c r="D958" s="10" t="str">
        <x:v>{"deduplicate_same_object":true,"exclusions":["설치비"],"goal":"요약표 작성","preserve_existing_tasks":true,"relation":"new_goal","targets":["S3-19:quote-L"]}</x:v>
      </x:c>
      <x:c r="E958" s="10" t="str">
        <x:v>{"deduplicate_same_object":true,"exclusions":["설치비"],"goal":"요약표 작성","preserve_existing_tasks":true,"relation":"new_goal","targets":["S3-19:quote-L"]}</x:v>
      </x:c>
      <x:c r="F958" s="10" t="n">
        <x:f>IF(D958=E958,1,0)</x:f>
        <x:v>1</x:v>
      </x:c>
      <x:c r="G958" s="10" t="str">
        <x:v>필수 의미 전체 일치</x:v>
      </x:c>
    </x:row>
    <x:row r="959" ht="145" customHeight="1">
      <x:c r="A959" s="10" t="str">
        <x:v>V-R1</x:v>
      </x:c>
      <x:c r="B959" s="10" t="str">
        <x:v>VOICE</x:v>
      </x:c>
      <x:c r="C959" s="10" t="str">
        <x:v>VOICE:S3-19:input</x:v>
      </x:c>
      <x:c r="D959" s="10" t="str">
        <x:v>{"deduplicate_same_object":true,"exclusions":["설치비"],"goal":"요약표 작성","preserve_existing_tasks":true,"relation":"new_goal","targets":["S3-19:quote-L"]}</x:v>
      </x:c>
      <x:c r="E959" s="10" t="str">
        <x:v>{"deduplicate_same_object":true,"exclusions":["설치비"],"goal":"요약표 작성","preserve_existing_tasks":true,"relation":"new_goal","targets":["S3-19:quote-L"]}</x:v>
      </x:c>
      <x:c r="F959" s="10" t="n">
        <x:f>IF(D959=E959,1,0)</x:f>
        <x:v>1</x:v>
      </x:c>
      <x:c r="G959" s="10" t="str">
        <x:v>필수 의미 전체 일치</x:v>
      </x:c>
    </x:row>
    <x:row r="960" ht="145" customHeight="1">
      <x:c r="A960" s="10" t="str">
        <x:v>V-R2</x:v>
      </x:c>
      <x:c r="B960" s="10" t="str">
        <x:v>VOICE</x:v>
      </x:c>
      <x:c r="C960" s="10" t="str">
        <x:v>VOICE:S3-19:input</x:v>
      </x:c>
      <x:c r="D960" s="10" t="str">
        <x:v>{"deduplicate_same_object":true,"exclusions":["설치비"],"goal":"요약표 작성","preserve_existing_tasks":true,"relation":"new_goal","targets":["S3-19:quote-L"]}</x:v>
      </x:c>
      <x:c r="E960" s="10" t="str">
        <x:v>{"deduplicate_same_object":true,"exclusions":["설치비"],"goal":"요약표 작성","preserve_existing_tasks":true,"relation":"new_goal","targets":["S3-19:quote-L"]}</x:v>
      </x:c>
      <x:c r="F960" s="10" t="n">
        <x:f>IF(D960=E960,1,0)</x:f>
        <x:v>1</x:v>
      </x:c>
      <x:c r="G960" s="10" t="str">
        <x:v>필수 의미 전체 일치</x:v>
      </x:c>
    </x:row>
    <x:row r="961" ht="145" customHeight="1">
      <x:c r="A961" s="10" t="str">
        <x:v>V-R3</x:v>
      </x:c>
      <x:c r="B961" s="10" t="str">
        <x:v>VOICE</x:v>
      </x:c>
      <x:c r="C961" s="10" t="str">
        <x:v>VOICE:S3-19:input</x:v>
      </x:c>
      <x:c r="D961" s="10" t="str">
        <x:v>{"deduplicate_same_object":true,"exclusions":["설치비"],"goal":"요약표 작성","preserve_existing_tasks":true,"relation":"new_goal","targets":["S3-19:quote-L"]}</x:v>
      </x:c>
      <x:c r="E961" s="10" t="str">
        <x:v>{"deduplicate_same_object":true,"exclusions":["설치비"],"goal":"요약표 작성","preserve_existing_tasks":true,"relation":"new_goal","targets":["S3-19:quote-L"]}</x:v>
      </x:c>
      <x:c r="F961" s="10" t="n">
        <x:f>IF(D961=E961,1,0)</x:f>
        <x:v>1</x:v>
      </x:c>
      <x:c r="G961" s="10" t="str">
        <x:v>필수 의미 전체 일치</x:v>
      </x:c>
    </x:row>
    <x:row r="962" ht="145" customHeight="1">
      <x:c r="A962" s="10" t="str">
        <x:v>V-A</x:v>
      </x:c>
      <x:c r="B962" s="10" t="str">
        <x:v>VOICE</x:v>
      </x:c>
      <x:c r="C962" s="10" t="str">
        <x:v>VOICE:S3-20:input</x:v>
      </x:c>
      <x:c r="D962" s="10" t="str">
        <x:v>{"deduplicate_same_object":true,"exclusions":["설치비"],"goal":"요약표 작성","preserve_existing_tasks":true,"relation":"new_goal","targets":["S3-20:quote-L"]}</x:v>
      </x:c>
      <x:c r="E962" s="10" t="str">
        <x:v>{"deduplicate_same_object":true,"exclusions":["설치비"],"goal":"요약표 작성","preserve_existing_tasks":true,"relation":"new_goal","targets":["S3-20:quote-L"]}</x:v>
      </x:c>
      <x:c r="F962" s="10" t="n">
        <x:f>IF(D962=E962,1,0)</x:f>
        <x:v>1</x:v>
      </x:c>
      <x:c r="G962" s="10" t="str">
        <x:v>필수 의미 전체 일치</x:v>
      </x:c>
    </x:row>
    <x:row r="963" ht="145" customHeight="1">
      <x:c r="A963" s="10" t="str">
        <x:v>V-R1</x:v>
      </x:c>
      <x:c r="B963" s="10" t="str">
        <x:v>VOICE</x:v>
      </x:c>
      <x:c r="C963" s="10" t="str">
        <x:v>VOICE:S3-20:input</x:v>
      </x:c>
      <x:c r="D963" s="10" t="str">
        <x:v>{"deduplicate_same_object":true,"exclusions":["설치비"],"goal":"요약표 작성","preserve_existing_tasks":true,"relation":"new_goal","targets":["S3-20:quote-L"]}</x:v>
      </x:c>
      <x:c r="E963" s="10" t="str">
        <x:v>{"deduplicate_same_object":true,"exclusions":["설치비"],"goal":"요약표 작성","preserve_existing_tasks":true,"relation":"new_goal","targets":["S3-20:quote-L"]}</x:v>
      </x:c>
      <x:c r="F963" s="10" t="n">
        <x:f>IF(D963=E963,1,0)</x:f>
        <x:v>1</x:v>
      </x:c>
      <x:c r="G963" s="10" t="str">
        <x:v>필수 의미 전체 일치</x:v>
      </x:c>
    </x:row>
    <x:row r="964" ht="145" customHeight="1">
      <x:c r="A964" s="10" t="str">
        <x:v>V-R2</x:v>
      </x:c>
      <x:c r="B964" s="10" t="str">
        <x:v>VOICE</x:v>
      </x:c>
      <x:c r="C964" s="10" t="str">
        <x:v>VOICE:S3-20:input</x:v>
      </x:c>
      <x:c r="D964" s="10" t="str">
        <x:v>{"deduplicate_same_object":true,"exclusions":["설치비"],"goal":"요약표 작성","preserve_existing_tasks":true,"relation":"new_goal","targets":["S3-20:quote-L"]}</x:v>
      </x:c>
      <x:c r="E964" s="10" t="str">
        <x:v>{"deduplicate_same_object":true,"exclusions":["설치비"],"goal":"요약표 작성","preserve_existing_tasks":true,"relation":"new_goal","targets":["S3-20:quote-L"]}</x:v>
      </x:c>
      <x:c r="F964" s="10" t="n">
        <x:f>IF(D964=E964,1,0)</x:f>
        <x:v>1</x:v>
      </x:c>
      <x:c r="G964" s="10" t="str">
        <x:v>필수 의미 전체 일치</x:v>
      </x:c>
    </x:row>
    <x:row r="965" ht="145" customHeight="1">
      <x:c r="A965" s="10" t="str">
        <x:v>V-R3</x:v>
      </x:c>
      <x:c r="B965" s="10" t="str">
        <x:v>VOICE</x:v>
      </x:c>
      <x:c r="C965" s="10" t="str">
        <x:v>VOICE:S3-20:input</x:v>
      </x:c>
      <x:c r="D965" s="10" t="str">
        <x:v>{"deduplicate_same_object":true,"exclusions":["설치비"],"goal":"요약표 작성","preserve_existing_tasks":true,"relation":"new_goal","targets":["S3-20:quote-L"]}</x:v>
      </x:c>
      <x:c r="E965" s="10" t="str">
        <x:v>{"deduplicate_same_object":true,"exclusions":["설치비"],"goal":"요약표 작성","preserve_existing_tasks":true,"relation":"new_goal","targets":["S3-20:quote-L"]}</x:v>
      </x:c>
      <x:c r="F965" s="10" t="n">
        <x:f>IF(D965=E965,1,0)</x:f>
        <x:v>1</x:v>
      </x:c>
      <x:c r="G965" s="10" t="str">
        <x:v>필수 의미 전체 일치</x:v>
      </x:c>
    </x:row>
    <x:row r="966" ht="145" customHeight="1">
      <x:c r="A966" s="10" t="str">
        <x:v>V-A</x:v>
      </x:c>
      <x:c r="B966" s="10" t="str">
        <x:v>VOICE</x:v>
      </x:c>
      <x:c r="C966" s="10" t="str">
        <x:v>VOICE:S4-01:input</x:v>
      </x:c>
      <x:c r="D966" s="10" t="str">
        <x:v>{"exclusions":["설치비"],"goal":"비교표 작성","preserve_existing_tasks":true,"relation":"new_goal","targets":["S4-01:quote-L","S4-01:quote-R"]}</x:v>
      </x:c>
      <x:c r="E966" s="10" t="str">
        <x:v>{"exclusions":["설치비"],"goal":"비교표 작성","preserve_existing_tasks":true,"relation":"new_goal","targets":["S4-01:quote-L","S4-01:quote-Z"]}</x:v>
      </x:c>
      <x:c r="F966" s="10" t="n">
        <x:f>IF(D966=E966,1,0)</x:f>
        <x:v>0</x:v>
      </x:c>
      <x:c r="G966" s="10" t="str">
        <x:v>원본의 경계/집합/스크롤 전후 동일성을 잘못 결합</x:v>
      </x:c>
    </x:row>
    <x:row r="967" ht="145" customHeight="1">
      <x:c r="A967" s="10" t="str">
        <x:v>V-R1</x:v>
      </x:c>
      <x:c r="B967" s="10" t="str">
        <x:v>VOICE</x:v>
      </x:c>
      <x:c r="C967" s="10" t="str">
        <x:v>VOICE:S4-01:input</x:v>
      </x:c>
      <x:c r="D967" s="10" t="str">
        <x:v>{"exclusions":["설치비"],"goal":"비교표 작성","preserve_existing_tasks":true,"relation":"new_goal","targets":["S4-01:quote-L","S4-01:quote-R"]}</x:v>
      </x:c>
      <x:c r="E967" s="10" t="str">
        <x:v>{"exclusions":["설치비"],"goal":"비교표 작성","preserve_existing_tasks":true,"relation":"new_goal","targets":["S4-01:quote-L","S4-01:quote-R"]}</x:v>
      </x:c>
      <x:c r="F967" s="10" t="n">
        <x:f>IF(D967=E967,1,0)</x:f>
        <x:v>1</x:v>
      </x:c>
      <x:c r="G967" s="10" t="str">
        <x:v>필수 의미 전체 일치</x:v>
      </x:c>
    </x:row>
    <x:row r="968" ht="145" customHeight="1">
      <x:c r="A968" s="10" t="str">
        <x:v>V-R2</x:v>
      </x:c>
      <x:c r="B968" s="10" t="str">
        <x:v>VOICE</x:v>
      </x:c>
      <x:c r="C968" s="10" t="str">
        <x:v>VOICE:S4-01:input</x:v>
      </x:c>
      <x:c r="D968" s="10" t="str">
        <x:v>{"exclusions":["설치비"],"goal":"비교표 작성","preserve_existing_tasks":true,"relation":"new_goal","targets":["S4-01:quote-L","S4-01:quote-R"]}</x:v>
      </x:c>
      <x:c r="E968" s="10" t="str">
        <x:v>{"exclusions":["설치비"],"goal":"비교표 작성","preserve_existing_tasks":true,"relation":"new_goal","targets":["S4-01:quote-L","S4-01:quote-R"]}</x:v>
      </x:c>
      <x:c r="F968" s="10" t="n">
        <x:f>IF(D968=E968,1,0)</x:f>
        <x:v>1</x:v>
      </x:c>
      <x:c r="G968" s="10" t="str">
        <x:v>필수 의미 전체 일치</x:v>
      </x:c>
    </x:row>
    <x:row r="969" ht="145" customHeight="1">
      <x:c r="A969" s="10" t="str">
        <x:v>V-R3</x:v>
      </x:c>
      <x:c r="B969" s="10" t="str">
        <x:v>VOICE</x:v>
      </x:c>
      <x:c r="C969" s="10" t="str">
        <x:v>VOICE:S4-01:input</x:v>
      </x:c>
      <x:c r="D969" s="10" t="str">
        <x:v>{"exclusions":["설치비"],"goal":"비교표 작성","preserve_existing_tasks":true,"relation":"new_goal","targets":["S4-01:quote-L","S4-01:quote-R"]}</x:v>
      </x:c>
      <x:c r="E969" s="10" t="str">
        <x:v>{"exclusions":["설치비"],"goal":"비교표 작성","preserve_existing_tasks":true,"relation":"new_goal","targets":["S4-01:quote-L","S4-01:quote-R"]}</x:v>
      </x:c>
      <x:c r="F969" s="10" t="n">
        <x:f>IF(D969=E969,1,0)</x:f>
        <x:v>1</x:v>
      </x:c>
      <x:c r="G969" s="10" t="str">
        <x:v>필수 의미 전체 일치</x:v>
      </x:c>
    </x:row>
    <x:row r="970" ht="145" customHeight="1">
      <x:c r="A970" s="10" t="str">
        <x:v>V-A</x:v>
      </x:c>
      <x:c r="B970" s="10" t="str">
        <x:v>VOICE</x:v>
      </x:c>
      <x:c r="C970" s="10" t="str">
        <x:v>VOICE:S4-02:input</x:v>
      </x:c>
      <x:c r="D970" s="10" t="str">
        <x:v>{"exclusions":["설치비"],"goal":"비교표 작성","preserve_existing_tasks":true,"relation":"new_goal","targets":["S4-02:quote-L","S4-02:quote-R"]}</x:v>
      </x:c>
      <x:c r="E970" s="10" t="str">
        <x:v>{"exclusions":["설치비"],"goal":"비교표 작성","preserve_existing_tasks":true,"relation":"new_goal","targets":["S4-02:quote-L","S4-02:quote-Z"]}</x:v>
      </x:c>
      <x:c r="F970" s="10" t="n">
        <x:f>IF(D970=E970,1,0)</x:f>
        <x:v>0</x:v>
      </x:c>
      <x:c r="G970" s="10" t="str">
        <x:v>원본의 경계/집합/스크롤 전후 동일성을 잘못 결합</x:v>
      </x:c>
    </x:row>
    <x:row r="971" ht="145" customHeight="1">
      <x:c r="A971" s="10" t="str">
        <x:v>V-R1</x:v>
      </x:c>
      <x:c r="B971" s="10" t="str">
        <x:v>VOICE</x:v>
      </x:c>
      <x:c r="C971" s="10" t="str">
        <x:v>VOICE:S4-02:input</x:v>
      </x:c>
      <x:c r="D971" s="10" t="str">
        <x:v>{"exclusions":["설치비"],"goal":"비교표 작성","preserve_existing_tasks":true,"relation":"new_goal","targets":["S4-02:quote-L","S4-02:quote-R"]}</x:v>
      </x:c>
      <x:c r="E971" s="10" t="str">
        <x:v>{"exclusions":["설치비"],"goal":"비교표 작성","preserve_existing_tasks":true,"relation":"new_goal","targets":["S4-02:quote-L","S4-02:quote-Z"]}</x:v>
      </x:c>
      <x:c r="F971" s="10" t="n">
        <x:f>IF(D971=E971,1,0)</x:f>
        <x:v>0</x:v>
      </x:c>
      <x:c r="G971" s="10" t="str">
        <x:v>생산 후보 누락 또는 잘못된 경계/track을 결합 단계가 바로잡지 못함</x:v>
      </x:c>
    </x:row>
    <x:row r="972" ht="145" customHeight="1">
      <x:c r="A972" s="10" t="str">
        <x:v>V-R2</x:v>
      </x:c>
      <x:c r="B972" s="10" t="str">
        <x:v>VOICE</x:v>
      </x:c>
      <x:c r="C972" s="10" t="str">
        <x:v>VOICE:S4-02:input</x:v>
      </x:c>
      <x:c r="D972" s="10" t="str">
        <x:v>{"exclusions":["설치비"],"goal":"비교표 작성","preserve_existing_tasks":true,"relation":"new_goal","targets":["S4-02:quote-L","S4-02:quote-R"]}</x:v>
      </x:c>
      <x:c r="E972" s="10" t="str">
        <x:v>{"exclusions":["설치비"],"goal":"비교표 작성","preserve_existing_tasks":true,"relation":"new_goal","targets":["S4-02:quote-L","S4-02:quote-Z"]}</x:v>
      </x:c>
      <x:c r="F972" s="10" t="n">
        <x:f>IF(D972=E972,1,0)</x:f>
        <x:v>0</x:v>
      </x:c>
      <x:c r="G972" s="10" t="str">
        <x:v>생산 후보 누락 또는 잘못된 경계/track을 결합 단계가 바로잡지 못함</x:v>
      </x:c>
    </x:row>
    <x:row r="973" ht="145" customHeight="1">
      <x:c r="A973" s="10" t="str">
        <x:v>V-R3</x:v>
      </x:c>
      <x:c r="B973" s="10" t="str">
        <x:v>VOICE</x:v>
      </x:c>
      <x:c r="C973" s="10" t="str">
        <x:v>VOICE:S4-02:input</x:v>
      </x:c>
      <x:c r="D973" s="10" t="str">
        <x:v>{"exclusions":["설치비"],"goal":"비교표 작성","preserve_existing_tasks":true,"relation":"new_goal","targets":["S4-02:quote-L","S4-02:quote-R"]}</x:v>
      </x:c>
      <x:c r="E973" s="10" t="str">
        <x:v>{"exclusions":["설치비"],"goal":"비교표 작성","preserve_existing_tasks":true,"relation":"new_goal","targets":["S4-02:quote-L","S4-02:quote-Z"]}</x:v>
      </x:c>
      <x:c r="F973" s="10" t="n">
        <x:f>IF(D973=E973,1,0)</x:f>
        <x:v>0</x:v>
      </x:c>
      <x:c r="G973" s="10" t="str">
        <x:v>생산 후보 누락 또는 잘못된 경계/track을 결합 단계가 바로잡지 못함</x:v>
      </x:c>
    </x:row>
    <x:row r="974" ht="145" customHeight="1">
      <x:c r="A974" s="10" t="str">
        <x:v>V-A</x:v>
      </x:c>
      <x:c r="B974" s="10" t="str">
        <x:v>VOICE</x:v>
      </x:c>
      <x:c r="C974" s="10" t="str">
        <x:v>VOICE:S4-03:input</x:v>
      </x:c>
      <x:c r="D974" s="10" t="str">
        <x:v>{"exclusions":["설치비"],"goal":"비교표 작성","preserve_existing_tasks":true,"relation":"new_goal","targets":["S4-03:quote-L","S4-03:quote-R"]}</x:v>
      </x:c>
      <x:c r="E974" s="10" t="str">
        <x:v>{"exclusions":["설치비"],"goal":"비교표 작성","preserve_existing_tasks":true,"relation":"new_goal","targets":["S4-03:quote-L","S4-03:quote-R"]}</x:v>
      </x:c>
      <x:c r="F974" s="10" t="n">
        <x:f>IF(D974=E974,1,0)</x:f>
        <x:v>1</x:v>
      </x:c>
      <x:c r="G974" s="10" t="str">
        <x:v>필수 의미 전체 일치</x:v>
      </x:c>
    </x:row>
    <x:row r="975" ht="145" customHeight="1">
      <x:c r="A975" s="10" t="str">
        <x:v>V-R1</x:v>
      </x:c>
      <x:c r="B975" s="10" t="str">
        <x:v>VOICE</x:v>
      </x:c>
      <x:c r="C975" s="10" t="str">
        <x:v>VOICE:S4-03:input</x:v>
      </x:c>
      <x:c r="D975" s="10" t="str">
        <x:v>{"exclusions":["설치비"],"goal":"비교표 작성","preserve_existing_tasks":true,"relation":"new_goal","targets":["S4-03:quote-L","S4-03:quote-R"]}</x:v>
      </x:c>
      <x:c r="E975" s="10" t="str">
        <x:v>{"exclusions":["설치비"],"goal":"비교표 작성","preserve_existing_tasks":true,"relation":"new_goal","targets":["S4-03:quote-L","S4-03:quote-R"]}</x:v>
      </x:c>
      <x:c r="F975" s="10" t="n">
        <x:f>IF(D975=E975,1,0)</x:f>
        <x:v>1</x:v>
      </x:c>
      <x:c r="G975" s="10" t="str">
        <x:v>필수 의미 전체 일치</x:v>
      </x:c>
    </x:row>
    <x:row r="976" ht="145" customHeight="1">
      <x:c r="A976" s="10" t="str">
        <x:v>V-R2</x:v>
      </x:c>
      <x:c r="B976" s="10" t="str">
        <x:v>VOICE</x:v>
      </x:c>
      <x:c r="C976" s="10" t="str">
        <x:v>VOICE:S4-03:input</x:v>
      </x:c>
      <x:c r="D976" s="10" t="str">
        <x:v>{"exclusions":["설치비"],"goal":"비교표 작성","preserve_existing_tasks":true,"relation":"new_goal","targets":["S4-03:quote-L","S4-03:quote-R"]}</x:v>
      </x:c>
      <x:c r="E976" s="10" t="str">
        <x:v>{"exclusions":["설치비"],"goal":"비교표 작성","preserve_existing_tasks":true,"relation":"new_goal","targets":["S4-03:quote-L","S4-03:quote-R"]}</x:v>
      </x:c>
      <x:c r="F976" s="10" t="n">
        <x:f>IF(D976=E976,1,0)</x:f>
        <x:v>1</x:v>
      </x:c>
      <x:c r="G976" s="10" t="str">
        <x:v>필수 의미 전체 일치</x:v>
      </x:c>
    </x:row>
    <x:row r="977" ht="145" customHeight="1">
      <x:c r="A977" s="10" t="str">
        <x:v>V-R3</x:v>
      </x:c>
      <x:c r="B977" s="10" t="str">
        <x:v>VOICE</x:v>
      </x:c>
      <x:c r="C977" s="10" t="str">
        <x:v>VOICE:S4-03:input</x:v>
      </x:c>
      <x:c r="D977" s="10" t="str">
        <x:v>{"exclusions":["설치비"],"goal":"비교표 작성","preserve_existing_tasks":true,"relation":"new_goal","targets":["S4-03:quote-L","S4-03:quote-R"]}</x:v>
      </x:c>
      <x:c r="E977" s="10" t="str">
        <x:v>{"exclusions":["설치비"],"goal":"비교표 작성","preserve_existing_tasks":true,"relation":"new_goal","targets":["S4-03:quote-L","S4-03:quote-R"]}</x:v>
      </x:c>
      <x:c r="F977" s="10" t="n">
        <x:f>IF(D977=E977,1,0)</x:f>
        <x:v>1</x:v>
      </x:c>
      <x:c r="G977" s="10" t="str">
        <x:v>필수 의미 전체 일치</x:v>
      </x:c>
    </x:row>
    <x:row r="978" ht="145" customHeight="1">
      <x:c r="A978" s="10" t="str">
        <x:v>V-A</x:v>
      </x:c>
      <x:c r="B978" s="10" t="str">
        <x:v>VOICE</x:v>
      </x:c>
      <x:c r="C978" s="10" t="str">
        <x:v>VOICE:S4-04:input</x:v>
      </x:c>
      <x:c r="D978" s="10" t="str">
        <x:v>{"exclusions":["설치비"],"goal":"비교표 작성","preserve_existing_tasks":true,"relation":"new_goal","targets":["S4-04:quote-L","S4-04:quote-R"]}</x:v>
      </x:c>
      <x:c r="E978" s="10" t="str">
        <x:v>{"exclusions":["설치비"],"goal":"비교표 작성","preserve_existing_tasks":true,"relation":"new_goal","targets":["S4-04:quote-L","S4-04:quote-R"]}</x:v>
      </x:c>
      <x:c r="F978" s="10" t="n">
        <x:f>IF(D978=E978,1,0)</x:f>
        <x:v>1</x:v>
      </x:c>
      <x:c r="G978" s="10" t="str">
        <x:v>필수 의미 전체 일치</x:v>
      </x:c>
    </x:row>
    <x:row r="979" ht="145" customHeight="1">
      <x:c r="A979" s="10" t="str">
        <x:v>V-R1</x:v>
      </x:c>
      <x:c r="B979" s="10" t="str">
        <x:v>VOICE</x:v>
      </x:c>
      <x:c r="C979" s="10" t="str">
        <x:v>VOICE:S4-04:input</x:v>
      </x:c>
      <x:c r="D979" s="10" t="str">
        <x:v>{"exclusions":["설치비"],"goal":"비교표 작성","preserve_existing_tasks":true,"relation":"new_goal","targets":["S4-04:quote-L","S4-04:quote-R"]}</x:v>
      </x:c>
      <x:c r="E979" s="10" t="str">
        <x:v>{"exclusions":["설치비"],"goal":"비교표 작성","preserve_existing_tasks":true,"relation":"new_goal","targets":["S4-04:quote-L","S4-04:quote-R"]}</x:v>
      </x:c>
      <x:c r="F979" s="10" t="n">
        <x:f>IF(D979=E979,1,0)</x:f>
        <x:v>1</x:v>
      </x:c>
      <x:c r="G979" s="10" t="str">
        <x:v>필수 의미 전체 일치</x:v>
      </x:c>
    </x:row>
    <x:row r="980" ht="145" customHeight="1">
      <x:c r="A980" s="10" t="str">
        <x:v>V-R2</x:v>
      </x:c>
      <x:c r="B980" s="10" t="str">
        <x:v>VOICE</x:v>
      </x:c>
      <x:c r="C980" s="10" t="str">
        <x:v>VOICE:S4-04:input</x:v>
      </x:c>
      <x:c r="D980" s="10" t="str">
        <x:v>{"exclusions":["설치비"],"goal":"비교표 작성","preserve_existing_tasks":true,"relation":"new_goal","targets":["S4-04:quote-L","S4-04:quote-R"]}</x:v>
      </x:c>
      <x:c r="E980" s="10" t="str">
        <x:v>{"exclusions":["설치비"],"goal":"비교표 작성","preserve_existing_tasks":true,"relation":"new_goal","targets":["S4-04:quote-L","S4-04:quote-R"]}</x:v>
      </x:c>
      <x:c r="F980" s="10" t="n">
        <x:f>IF(D980=E980,1,0)</x:f>
        <x:v>1</x:v>
      </x:c>
      <x:c r="G980" s="10" t="str">
        <x:v>필수 의미 전체 일치</x:v>
      </x:c>
    </x:row>
    <x:row r="981" ht="145" customHeight="1">
      <x:c r="A981" s="10" t="str">
        <x:v>V-R3</x:v>
      </x:c>
      <x:c r="B981" s="10" t="str">
        <x:v>VOICE</x:v>
      </x:c>
      <x:c r="C981" s="10" t="str">
        <x:v>VOICE:S4-04:input</x:v>
      </x:c>
      <x:c r="D981" s="10" t="str">
        <x:v>{"exclusions":["설치비"],"goal":"비교표 작성","preserve_existing_tasks":true,"relation":"new_goal","targets":["S4-04:quote-L","S4-04:quote-R"]}</x:v>
      </x:c>
      <x:c r="E981" s="10" t="str">
        <x:v>{"exclusions":["설치비"],"goal":"비교표 작성","preserve_existing_tasks":true,"relation":"new_goal","targets":["S4-04:quote-L","S4-04:quote-R"]}</x:v>
      </x:c>
      <x:c r="F981" s="10" t="n">
        <x:f>IF(D981=E981,1,0)</x:f>
        <x:v>1</x:v>
      </x:c>
      <x:c r="G981" s="10" t="str">
        <x:v>필수 의미 전체 일치</x:v>
      </x:c>
    </x:row>
    <x:row r="982" ht="145" customHeight="1">
      <x:c r="A982" s="10" t="str">
        <x:v>V-A</x:v>
      </x:c>
      <x:c r="B982" s="10" t="str">
        <x:v>VOICE</x:v>
      </x:c>
      <x:c r="C982" s="10" t="str">
        <x:v>VOICE:S4-05:input</x:v>
      </x:c>
      <x:c r="D982" s="10" t="str">
        <x:v>{"exclusions":["설치비"],"goal":"비교표 작성","preserve_existing_tasks":true,"relation":"new_goal","targets":["S4-05:quote-L","S4-05:quote-R"]}</x:v>
      </x:c>
      <x:c r="E982" s="10" t="str">
        <x:v>{"exclusions":["설치비"],"goal":"비교표 작성","preserve_existing_tasks":true,"relation":"new_goal","targets":["S4-05:quote-L","S4-05:quote-R"]}</x:v>
      </x:c>
      <x:c r="F982" s="10" t="n">
        <x:f>IF(D982=E982,1,0)</x:f>
        <x:v>1</x:v>
      </x:c>
      <x:c r="G982" s="10" t="str">
        <x:v>필수 의미 전체 일치</x:v>
      </x:c>
    </x:row>
    <x:row r="983" ht="145" customHeight="1">
      <x:c r="A983" s="10" t="str">
        <x:v>V-R1</x:v>
      </x:c>
      <x:c r="B983" s="10" t="str">
        <x:v>VOICE</x:v>
      </x:c>
      <x:c r="C983" s="10" t="str">
        <x:v>VOICE:S4-05:input</x:v>
      </x:c>
      <x:c r="D983" s="10" t="str">
        <x:v>{"exclusions":["설치비"],"goal":"비교표 작성","preserve_existing_tasks":true,"relation":"new_goal","targets":["S4-05:quote-L","S4-05:quote-R"]}</x:v>
      </x:c>
      <x:c r="E983" s="10" t="str">
        <x:v>{"exclusions":["설치비"],"goal":"비교표 작성","preserve_existing_tasks":true,"relation":"new_goal","targets":["S4-05:quote-L","S4-05:quote-R"]}</x:v>
      </x:c>
      <x:c r="F983" s="10" t="n">
        <x:f>IF(D983=E983,1,0)</x:f>
        <x:v>1</x:v>
      </x:c>
      <x:c r="G983" s="10" t="str">
        <x:v>필수 의미 전체 일치</x:v>
      </x:c>
    </x:row>
    <x:row r="984" ht="145" customHeight="1">
      <x:c r="A984" s="10" t="str">
        <x:v>V-R2</x:v>
      </x:c>
      <x:c r="B984" s="10" t="str">
        <x:v>VOICE</x:v>
      </x:c>
      <x:c r="C984" s="10" t="str">
        <x:v>VOICE:S4-05:input</x:v>
      </x:c>
      <x:c r="D984" s="10" t="str">
        <x:v>{"exclusions":["설치비"],"goal":"비교표 작성","preserve_existing_tasks":true,"relation":"new_goal","targets":["S4-05:quote-L","S4-05:quote-R"]}</x:v>
      </x:c>
      <x:c r="E984" s="10" t="str">
        <x:v>{"exclusions":["설치비"],"goal":"비교표 작성","preserve_existing_tasks":true,"relation":"new_goal","targets":["S4-05:quote-L","S4-05:quote-R"]}</x:v>
      </x:c>
      <x:c r="F984" s="10" t="n">
        <x:f>IF(D984=E984,1,0)</x:f>
        <x:v>1</x:v>
      </x:c>
      <x:c r="G984" s="10" t="str">
        <x:v>필수 의미 전체 일치</x:v>
      </x:c>
    </x:row>
    <x:row r="985" ht="145" customHeight="1">
      <x:c r="A985" s="10" t="str">
        <x:v>V-R3</x:v>
      </x:c>
      <x:c r="B985" s="10" t="str">
        <x:v>VOICE</x:v>
      </x:c>
      <x:c r="C985" s="10" t="str">
        <x:v>VOICE:S4-05:input</x:v>
      </x:c>
      <x:c r="D985" s="10" t="str">
        <x:v>{"exclusions":["설치비"],"goal":"비교표 작성","preserve_existing_tasks":true,"relation":"new_goal","targets":["S4-05:quote-L","S4-05:quote-R"]}</x:v>
      </x:c>
      <x:c r="E985" s="10" t="str">
        <x:v>{"exclusions":["설치비"],"goal":"비교표 작성","preserve_existing_tasks":true,"relation":"new_goal","targets":["S4-05:quote-L","S4-05:quote-R"]}</x:v>
      </x:c>
      <x:c r="F985" s="10" t="n">
        <x:f>IF(D985=E985,1,0)</x:f>
        <x:v>1</x:v>
      </x:c>
      <x:c r="G985" s="10" t="str">
        <x:v>필수 의미 전체 일치</x:v>
      </x:c>
    </x:row>
    <x:row r="986" ht="145" customHeight="1">
      <x:c r="A986" s="10" t="str">
        <x:v>V-A</x:v>
      </x:c>
      <x:c r="B986" s="10" t="str">
        <x:v>VOICE</x:v>
      </x:c>
      <x:c r="C986" s="10" t="str">
        <x:v>VOICE:S4-06:input</x:v>
      </x:c>
      <x:c r="D986" s="10" t="str">
        <x:v>{"exclusions":["설치비"],"goal":"비교표 작성","preserve_existing_tasks":true,"relation":"new_goal","targets":["S4-06:quote-L","S4-06:quote-R"]}</x:v>
      </x:c>
      <x:c r="E986" s="10" t="str">
        <x:v>{"exclusions":["설치비"],"goal":"비교표 작성","preserve_existing_tasks":true,"relation":"new_goal","targets":["S4-06:quote-L","S4-06:quote-R"]}</x:v>
      </x:c>
      <x:c r="F986" s="10" t="n">
        <x:f>IF(D986=E986,1,0)</x:f>
        <x:v>1</x:v>
      </x:c>
      <x:c r="G986" s="10" t="str">
        <x:v>필수 의미 전체 일치</x:v>
      </x:c>
    </x:row>
    <x:row r="987" ht="145" customHeight="1">
      <x:c r="A987" s="10" t="str">
        <x:v>V-R1</x:v>
      </x:c>
      <x:c r="B987" s="10" t="str">
        <x:v>VOICE</x:v>
      </x:c>
      <x:c r="C987" s="10" t="str">
        <x:v>VOICE:S4-06:input</x:v>
      </x:c>
      <x:c r="D987" s="10" t="str">
        <x:v>{"exclusions":["설치비"],"goal":"비교표 작성","preserve_existing_tasks":true,"relation":"new_goal","targets":["S4-06:quote-L","S4-06:quote-R"]}</x:v>
      </x:c>
      <x:c r="E987" s="10" t="str">
        <x:v>{"exclusions":["설치비"],"goal":"비교표 작성","preserve_existing_tasks":true,"relation":"new_goal","targets":["S4-06:quote-L","S4-06:quote-R"]}</x:v>
      </x:c>
      <x:c r="F987" s="10" t="n">
        <x:f>IF(D987=E987,1,0)</x:f>
        <x:v>1</x:v>
      </x:c>
      <x:c r="G987" s="10" t="str">
        <x:v>필수 의미 전체 일치</x:v>
      </x:c>
    </x:row>
    <x:row r="988" ht="145" customHeight="1">
      <x:c r="A988" s="10" t="str">
        <x:v>V-R2</x:v>
      </x:c>
      <x:c r="B988" s="10" t="str">
        <x:v>VOICE</x:v>
      </x:c>
      <x:c r="C988" s="10" t="str">
        <x:v>VOICE:S4-06:input</x:v>
      </x:c>
      <x:c r="D988" s="10" t="str">
        <x:v>{"exclusions":["설치비"],"goal":"비교표 작성","preserve_existing_tasks":true,"relation":"new_goal","targets":["S4-06:quote-L","S4-06:quote-R"]}</x:v>
      </x:c>
      <x:c r="E988" s="10" t="str">
        <x:v>{"exclusions":["설치비"],"goal":"비교표 작성","preserve_existing_tasks":true,"relation":"new_goal","targets":["S4-06:quote-L","S4-06:quote-R"]}</x:v>
      </x:c>
      <x:c r="F988" s="10" t="n">
        <x:f>IF(D988=E988,1,0)</x:f>
        <x:v>1</x:v>
      </x:c>
      <x:c r="G988" s="10" t="str">
        <x:v>필수 의미 전체 일치</x:v>
      </x:c>
    </x:row>
    <x:row r="989" ht="145" customHeight="1">
      <x:c r="A989" s="10" t="str">
        <x:v>V-R3</x:v>
      </x:c>
      <x:c r="B989" s="10" t="str">
        <x:v>VOICE</x:v>
      </x:c>
      <x:c r="C989" s="10" t="str">
        <x:v>VOICE:S4-06:input</x:v>
      </x:c>
      <x:c r="D989" s="10" t="str">
        <x:v>{"exclusions":["설치비"],"goal":"비교표 작성","preserve_existing_tasks":true,"relation":"new_goal","targets":["S4-06:quote-L","S4-06:quote-R"]}</x:v>
      </x:c>
      <x:c r="E989" s="10" t="str">
        <x:v>{"exclusions":["설치비"],"goal":"비교표 작성","preserve_existing_tasks":true,"relation":"new_goal","targets":["S4-06:quote-L","S4-06:quote-R"]}</x:v>
      </x:c>
      <x:c r="F989" s="10" t="n">
        <x:f>IF(D989=E989,1,0)</x:f>
        <x:v>1</x:v>
      </x:c>
      <x:c r="G989" s="10" t="str">
        <x:v>필수 의미 전체 일치</x:v>
      </x:c>
    </x:row>
    <x:row r="990" ht="145" customHeight="1">
      <x:c r="A990" s="10" t="str">
        <x:v>V-A</x:v>
      </x:c>
      <x:c r="B990" s="10" t="str">
        <x:v>VOICE</x:v>
      </x:c>
      <x:c r="C990" s="10" t="str">
        <x:v>VOICE:S4-07:input</x:v>
      </x:c>
      <x:c r="D990" s="10" t="str">
        <x:v>{"exclusions":["설치비"],"goal":"비교표 작성","preserve_existing_tasks":true,"relation":"new_goal","targets":["S4-07:quote-L","S4-07:quote-R"]}</x:v>
      </x:c>
      <x:c r="E990" s="10" t="str">
        <x:v>{"exclusions":["설치비"],"goal":"비교표 작성","preserve_existing_tasks":true,"relation":"new_goal","targets":["S4-07:quote-L","S4-07:quote-R"]}</x:v>
      </x:c>
      <x:c r="F990" s="10" t="n">
        <x:f>IF(D990=E990,1,0)</x:f>
        <x:v>1</x:v>
      </x:c>
      <x:c r="G990" s="10" t="str">
        <x:v>필수 의미 전체 일치</x:v>
      </x:c>
    </x:row>
    <x:row r="991" ht="145" customHeight="1">
      <x:c r="A991" s="10" t="str">
        <x:v>V-R1</x:v>
      </x:c>
      <x:c r="B991" s="10" t="str">
        <x:v>VOICE</x:v>
      </x:c>
      <x:c r="C991" s="10" t="str">
        <x:v>VOICE:S4-07:input</x:v>
      </x:c>
      <x:c r="D991" s="10" t="str">
        <x:v>{"exclusions":["설치비"],"goal":"비교표 작성","preserve_existing_tasks":true,"relation":"new_goal","targets":["S4-07:quote-L","S4-07:quote-R"]}</x:v>
      </x:c>
      <x:c r="E991" s="10" t="str">
        <x:v>{"exclusions":["설치비"],"goal":"비교표 작성","preserve_existing_tasks":true,"relation":"new_goal","targets":["S4-07:quote-L","S4-07:quote-R"]}</x:v>
      </x:c>
      <x:c r="F991" s="10" t="n">
        <x:f>IF(D991=E991,1,0)</x:f>
        <x:v>1</x:v>
      </x:c>
      <x:c r="G991" s="10" t="str">
        <x:v>필수 의미 전체 일치</x:v>
      </x:c>
    </x:row>
    <x:row r="992" ht="145" customHeight="1">
      <x:c r="A992" s="10" t="str">
        <x:v>V-R2</x:v>
      </x:c>
      <x:c r="B992" s="10" t="str">
        <x:v>VOICE</x:v>
      </x:c>
      <x:c r="C992" s="10" t="str">
        <x:v>VOICE:S4-07:input</x:v>
      </x:c>
      <x:c r="D992" s="10" t="str">
        <x:v>{"exclusions":["설치비"],"goal":"비교표 작성","preserve_existing_tasks":true,"relation":"new_goal","targets":["S4-07:quote-L","S4-07:quote-R"]}</x:v>
      </x:c>
      <x:c r="E992" s="10" t="str">
        <x:v>{"exclusions":["설치비"],"goal":"비교표 작성","preserve_existing_tasks":true,"relation":"new_goal","targets":["S4-07:quote-L","S4-07:quote-R"]}</x:v>
      </x:c>
      <x:c r="F992" s="10" t="n">
        <x:f>IF(D992=E992,1,0)</x:f>
        <x:v>1</x:v>
      </x:c>
      <x:c r="G992" s="10" t="str">
        <x:v>필수 의미 전체 일치</x:v>
      </x:c>
    </x:row>
    <x:row r="993" ht="145" customHeight="1">
      <x:c r="A993" s="10" t="str">
        <x:v>V-R3</x:v>
      </x:c>
      <x:c r="B993" s="10" t="str">
        <x:v>VOICE</x:v>
      </x:c>
      <x:c r="C993" s="10" t="str">
        <x:v>VOICE:S4-07:input</x:v>
      </x:c>
      <x:c r="D993" s="10" t="str">
        <x:v>{"exclusions":["설치비"],"goal":"비교표 작성","preserve_existing_tasks":true,"relation":"new_goal","targets":["S4-07:quote-L","S4-07:quote-R"]}</x:v>
      </x:c>
      <x:c r="E993" s="10" t="str">
        <x:v>{"exclusions":["설치비"],"goal":"비교표 작성","preserve_existing_tasks":true,"relation":"new_goal","targets":["S4-07:quote-L","S4-07:quote-R"]}</x:v>
      </x:c>
      <x:c r="F993" s="10" t="n">
        <x:f>IF(D993=E993,1,0)</x:f>
        <x:v>1</x:v>
      </x:c>
      <x:c r="G993" s="10" t="str">
        <x:v>필수 의미 전체 일치</x:v>
      </x:c>
    </x:row>
    <x:row r="994" ht="145" customHeight="1">
      <x:c r="A994" s="10" t="str">
        <x:v>V-A</x:v>
      </x:c>
      <x:c r="B994" s="10" t="str">
        <x:v>VOICE</x:v>
      </x:c>
      <x:c r="C994" s="10" t="str">
        <x:v>VOICE:S4-08:input</x:v>
      </x:c>
      <x:c r="D994" s="10" t="str">
        <x:v>{"exclusions":["설치비"],"goal":"비교표 작성","preserve_existing_tasks":true,"relation":"new_goal","targets":["S4-08:quote-L","S4-08:quote-R"]}</x:v>
      </x:c>
      <x:c r="E994" s="10" t="str">
        <x:v>{"exclusions":["설치비"],"goal":"비교표 작성","preserve_existing_tasks":true,"relation":"new_goal","targets":["S4-08:quote-L","S4-08:quote-R"]}</x:v>
      </x:c>
      <x:c r="F994" s="10" t="n">
        <x:f>IF(D994=E994,1,0)</x:f>
        <x:v>1</x:v>
      </x:c>
      <x:c r="G994" s="10" t="str">
        <x:v>필수 의미 전체 일치</x:v>
      </x:c>
    </x:row>
    <x:row r="995" ht="145" customHeight="1">
      <x:c r="A995" s="10" t="str">
        <x:v>V-R1</x:v>
      </x:c>
      <x:c r="B995" s="10" t="str">
        <x:v>VOICE</x:v>
      </x:c>
      <x:c r="C995" s="10" t="str">
        <x:v>VOICE:S4-08:input</x:v>
      </x:c>
      <x:c r="D995" s="10" t="str">
        <x:v>{"exclusions":["설치비"],"goal":"비교표 작성","preserve_existing_tasks":true,"relation":"new_goal","targets":["S4-08:quote-L","S4-08:quote-R"]}</x:v>
      </x:c>
      <x:c r="E995" s="10" t="str">
        <x:v>{"exclusions":["설치비"],"goal":"비교표 작성","preserve_existing_tasks":true,"relation":"new_goal","targets":["S4-08:quote-L","S4-08:quote-R"]}</x:v>
      </x:c>
      <x:c r="F995" s="10" t="n">
        <x:f>IF(D995=E995,1,0)</x:f>
        <x:v>1</x:v>
      </x:c>
      <x:c r="G995" s="10" t="str">
        <x:v>필수 의미 전체 일치</x:v>
      </x:c>
    </x:row>
    <x:row r="996" ht="145" customHeight="1">
      <x:c r="A996" s="10" t="str">
        <x:v>V-R2</x:v>
      </x:c>
      <x:c r="B996" s="10" t="str">
        <x:v>VOICE</x:v>
      </x:c>
      <x:c r="C996" s="10" t="str">
        <x:v>VOICE:S4-08:input</x:v>
      </x:c>
      <x:c r="D996" s="10" t="str">
        <x:v>{"exclusions":["설치비"],"goal":"비교표 작성","preserve_existing_tasks":true,"relation":"new_goal","targets":["S4-08:quote-L","S4-08:quote-R"]}</x:v>
      </x:c>
      <x:c r="E996" s="10" t="str">
        <x:v>{"exclusions":["설치비"],"goal":"비교표 작성","preserve_existing_tasks":true,"relation":"new_goal","targets":["S4-08:quote-L","S4-08:quote-R"]}</x:v>
      </x:c>
      <x:c r="F996" s="10" t="n">
        <x:f>IF(D996=E996,1,0)</x:f>
        <x:v>1</x:v>
      </x:c>
      <x:c r="G996" s="10" t="str">
        <x:v>필수 의미 전체 일치</x:v>
      </x:c>
    </x:row>
    <x:row r="997" ht="145" customHeight="1">
      <x:c r="A997" s="10" t="str">
        <x:v>V-R3</x:v>
      </x:c>
      <x:c r="B997" s="10" t="str">
        <x:v>VOICE</x:v>
      </x:c>
      <x:c r="C997" s="10" t="str">
        <x:v>VOICE:S4-08:input</x:v>
      </x:c>
      <x:c r="D997" s="10" t="str">
        <x:v>{"exclusions":["설치비"],"goal":"비교표 작성","preserve_existing_tasks":true,"relation":"new_goal","targets":["S4-08:quote-L","S4-08:quote-R"]}</x:v>
      </x:c>
      <x:c r="E997" s="10" t="str">
        <x:v>{"exclusions":["설치비"],"goal":"비교표 작성","preserve_existing_tasks":true,"relation":"new_goal","targets":["S4-08:quote-L","S4-08:quote-R"]}</x:v>
      </x:c>
      <x:c r="F997" s="10" t="n">
        <x:f>IF(D997=E997,1,0)</x:f>
        <x:v>1</x:v>
      </x:c>
      <x:c r="G997" s="10" t="str">
        <x:v>필수 의미 전체 일치</x:v>
      </x:c>
    </x:row>
    <x:row r="998" ht="145" customHeight="1">
      <x:c r="A998" s="10" t="str">
        <x:v>V-A</x:v>
      </x:c>
      <x:c r="B998" s="10" t="str">
        <x:v>VOICE</x:v>
      </x:c>
      <x:c r="C998" s="10" t="str">
        <x:v>VOICE:S4-09:input</x:v>
      </x:c>
      <x:c r="D998" s="10" t="str">
        <x:v>{"exclusions":["설치비"],"goal":"비교표 작성","preserve_existing_tasks":true,"relation":"new_goal","targets":["S4-09:quote-L","S4-09:quote-R"]}</x:v>
      </x:c>
      <x:c r="E998" s="10" t="str">
        <x:v>{"exclusions":["설치비"],"goal":"비교표 작성","preserve_existing_tasks":true,"relation":"new_goal","targets":["S4-09:quote-L","S4-09:quote-R"]}</x:v>
      </x:c>
      <x:c r="F998" s="10" t="n">
        <x:f>IF(D998=E998,1,0)</x:f>
        <x:v>1</x:v>
      </x:c>
      <x:c r="G998" s="10" t="str">
        <x:v>필수 의미 전체 일치</x:v>
      </x:c>
    </x:row>
    <x:row r="999" ht="145" customHeight="1">
      <x:c r="A999" s="10" t="str">
        <x:v>V-R1</x:v>
      </x:c>
      <x:c r="B999" s="10" t="str">
        <x:v>VOICE</x:v>
      </x:c>
      <x:c r="C999" s="10" t="str">
        <x:v>VOICE:S4-09:input</x:v>
      </x:c>
      <x:c r="D999" s="10" t="str">
        <x:v>{"exclusions":["설치비"],"goal":"비교표 작성","preserve_existing_tasks":true,"relation":"new_goal","targets":["S4-09:quote-L","S4-09:quote-R"]}</x:v>
      </x:c>
      <x:c r="E999" s="10" t="str">
        <x:v>{"exclusions":["설치비"],"goal":"비교표 작성","preserve_existing_tasks":true,"relation":"new_goal","targets":["S4-09:quote-L","S4-09:quote-R"]}</x:v>
      </x:c>
      <x:c r="F999" s="10" t="n">
        <x:f>IF(D999=E999,1,0)</x:f>
        <x:v>1</x:v>
      </x:c>
      <x:c r="G999" s="10" t="str">
        <x:v>필수 의미 전체 일치</x:v>
      </x:c>
    </x:row>
    <x:row r="1000" ht="145" customHeight="1">
      <x:c r="A1000" s="10" t="str">
        <x:v>V-R2</x:v>
      </x:c>
      <x:c r="B1000" s="10" t="str">
        <x:v>VOICE</x:v>
      </x:c>
      <x:c r="C1000" s="10" t="str">
        <x:v>VOICE:S4-09:input</x:v>
      </x:c>
      <x:c r="D1000" s="10" t="str">
        <x:v>{"exclusions":["설치비"],"goal":"비교표 작성","preserve_existing_tasks":true,"relation":"new_goal","targets":["S4-09:quote-L","S4-09:quote-R"]}</x:v>
      </x:c>
      <x:c r="E1000" s="10" t="str">
        <x:v>{"exclusions":["설치비"],"goal":"비교표 작성","preserve_existing_tasks":true,"relation":"new_goal","targets":["S4-09:quote-L","S4-09:quote-R"]}</x:v>
      </x:c>
      <x:c r="F1000" s="10" t="n">
        <x:f>IF(D1000=E1000,1,0)</x:f>
        <x:v>1</x:v>
      </x:c>
      <x:c r="G1000" s="10" t="str">
        <x:v>필수 의미 전체 일치</x:v>
      </x:c>
    </x:row>
    <x:row r="1001" ht="145" customHeight="1">
      <x:c r="A1001" s="10" t="str">
        <x:v>V-R3</x:v>
      </x:c>
      <x:c r="B1001" s="10" t="str">
        <x:v>VOICE</x:v>
      </x:c>
      <x:c r="C1001" s="10" t="str">
        <x:v>VOICE:S4-09:input</x:v>
      </x:c>
      <x:c r="D1001" s="10" t="str">
        <x:v>{"exclusions":["설치비"],"goal":"비교표 작성","preserve_existing_tasks":true,"relation":"new_goal","targets":["S4-09:quote-L","S4-09:quote-R"]}</x:v>
      </x:c>
      <x:c r="E1001" s="10" t="str">
        <x:v>{"exclusions":["설치비"],"goal":"비교표 작성","preserve_existing_tasks":true,"relation":"new_goal","targets":["S4-09:quote-L","S4-09:quote-R"]}</x:v>
      </x:c>
      <x:c r="F1001" s="10" t="n">
        <x:f>IF(D1001=E1001,1,0)</x:f>
        <x:v>1</x:v>
      </x:c>
      <x:c r="G1001" s="10" t="str">
        <x:v>필수 의미 전체 일치</x:v>
      </x:c>
    </x:row>
    <x:row r="1002" ht="145" customHeight="1">
      <x:c r="A1002" s="10" t="str">
        <x:v>V-A</x:v>
      </x:c>
      <x:c r="B1002" s="10" t="str">
        <x:v>VOICE</x:v>
      </x:c>
      <x:c r="C1002" s="10" t="str">
        <x:v>VOICE:S4-10:input</x:v>
      </x:c>
      <x:c r="D1002" s="10" t="str">
        <x:v>{"exclusions":["설치비"],"goal":"비교표 작성","preserve_existing_tasks":true,"relation":"new_goal","targets":["S4-10:quote-L","S4-10:quote-R"]}</x:v>
      </x:c>
      <x:c r="E1002" s="10" t="str">
        <x:v>{"exclusions":[],"goal":"비교표 작성","preserve_existing_tasks":true,"relation":"new_goal","targets":["S4-10:quote-L","S4-10:quote-R"]}</x:v>
      </x:c>
      <x:c r="F1002" s="10" t="n">
        <x:f>IF(D1002=E1002,1,0)</x:f>
        <x:v>0</x:v>
      </x:c>
      <x:c r="G1002" s="10" t="str">
        <x:v>대상은 맞지만 설치비 제외 조건을 최초 채택에서 누락</x:v>
      </x:c>
    </x:row>
    <x:row r="1003" ht="145" customHeight="1">
      <x:c r="A1003" s="10" t="str">
        <x:v>V-R1</x:v>
      </x:c>
      <x:c r="B1003" s="10" t="str">
        <x:v>VOICE</x:v>
      </x:c>
      <x:c r="C1003" s="10" t="str">
        <x:v>VOICE:S4-10:input</x:v>
      </x:c>
      <x:c r="D1003" s="10" t="str">
        <x:v>{"exclusions":["설치비"],"goal":"비교표 작성","preserve_existing_tasks":true,"relation":"new_goal","targets":["S4-10:quote-L","S4-10:quote-R"]}</x:v>
      </x:c>
      <x:c r="E1003" s="10" t="str">
        <x:v>{"exclusions":[],"goal":"비교표 작성","preserve_existing_tasks":true,"relation":"new_goal","targets":["S4-10:quote-L","S4-10:quote-R"]}</x:v>
      </x:c>
      <x:c r="F1003" s="10" t="n">
        <x:f>IF(D1003=E1003,1,0)</x:f>
        <x:v>0</x:v>
      </x:c>
      <x:c r="G1003" s="10" t="str">
        <x:v>대상은 맞지만 설치비 제외 조건을 최초 채택에서 누락</x:v>
      </x:c>
    </x:row>
    <x:row r="1004" ht="145" customHeight="1">
      <x:c r="A1004" s="10" t="str">
        <x:v>V-R2</x:v>
      </x:c>
      <x:c r="B1004" s="10" t="str">
        <x:v>VOICE</x:v>
      </x:c>
      <x:c r="C1004" s="10" t="str">
        <x:v>VOICE:S4-10:input</x:v>
      </x:c>
      <x:c r="D1004" s="10" t="str">
        <x:v>{"exclusions":["설치비"],"goal":"비교표 작성","preserve_existing_tasks":true,"relation":"new_goal","targets":["S4-10:quote-L","S4-10:quote-R"]}</x:v>
      </x:c>
      <x:c r="E1004" s="10" t="str">
        <x:v>{"exclusions":[],"goal":"비교표 작성","preserve_existing_tasks":true,"relation":"new_goal","targets":["S4-10:quote-L","S4-10:quote-R"]}</x:v>
      </x:c>
      <x:c r="F1004" s="10" t="n">
        <x:f>IF(D1004=E1004,1,0)</x:f>
        <x:v>0</x:v>
      </x:c>
      <x:c r="G1004" s="10" t="str">
        <x:v>대상은 맞지만 설치비 제외 조건을 최초 채택에서 누락</x:v>
      </x:c>
    </x:row>
    <x:row r="1005" ht="145" customHeight="1">
      <x:c r="A1005" s="10" t="str">
        <x:v>V-R3</x:v>
      </x:c>
      <x:c r="B1005" s="10" t="str">
        <x:v>VOICE</x:v>
      </x:c>
      <x:c r="C1005" s="10" t="str">
        <x:v>VOICE:S4-10:input</x:v>
      </x:c>
      <x:c r="D1005" s="10" t="str">
        <x:v>{"exclusions":["설치비"],"goal":"비교표 작성","preserve_existing_tasks":true,"relation":"new_goal","targets":["S4-10:quote-L","S4-10:quote-R"]}</x:v>
      </x:c>
      <x:c r="E1005" s="10" t="str">
        <x:v>{"exclusions":[],"goal":"비교표 작성","preserve_existing_tasks":true,"relation":"new_goal","targets":["S4-10:quote-L","S4-10:quote-R"]}</x:v>
      </x:c>
      <x:c r="F1005" s="10" t="n">
        <x:f>IF(D1005=E1005,1,0)</x:f>
        <x:v>0</x:v>
      </x:c>
      <x:c r="G1005" s="10" t="str">
        <x:v>대상은 맞지만 설치비 제외 조건을 최초 채택에서 누락</x:v>
      </x:c>
    </x:row>
    <x:row r="1006" ht="145" customHeight="1">
      <x:c r="A1006" s="10" t="str">
        <x:v>V-A</x:v>
      </x:c>
      <x:c r="B1006" s="10" t="str">
        <x:v>VOICE</x:v>
      </x:c>
      <x:c r="C1006" s="10" t="str">
        <x:v>VOICE:S4-11:input</x:v>
      </x:c>
      <x:c r="D1006" s="10" t="str">
        <x:v>{"exclusions":["설치비"],"goal":"비교표 작성","preserve_existing_tasks":true,"relation":"new_goal","targets":["S4-11:quote-L","S4-11:quote-R"]}</x:v>
      </x:c>
      <x:c r="E1006" s="10" t="str">
        <x:v>{"exclusions":["설치비"],"goal":"비교표 작성","preserve_existing_tasks":true,"relation":"new_goal","targets":["S4-11:quote-L","S4-11:quote-R"]}</x:v>
      </x:c>
      <x:c r="F1006" s="10" t="n">
        <x:f>IF(D1006=E1006,1,0)</x:f>
        <x:v>1</x:v>
      </x:c>
      <x:c r="G1006" s="10" t="str">
        <x:v>필수 의미 전체 일치</x:v>
      </x:c>
    </x:row>
    <x:row r="1007" ht="145" customHeight="1">
      <x:c r="A1007" s="10" t="str">
        <x:v>V-R1</x:v>
      </x:c>
      <x:c r="B1007" s="10" t="str">
        <x:v>VOICE</x:v>
      </x:c>
      <x:c r="C1007" s="10" t="str">
        <x:v>VOICE:S4-11:input</x:v>
      </x:c>
      <x:c r="D1007" s="10" t="str">
        <x:v>{"exclusions":["설치비"],"goal":"비교표 작성","preserve_existing_tasks":true,"relation":"new_goal","targets":["S4-11:quote-L","S4-11:quote-R"]}</x:v>
      </x:c>
      <x:c r="E1007" s="10" t="str">
        <x:v>{"exclusions":["설치비"],"goal":"비교표 작성","preserve_existing_tasks":true,"relation":"new_goal","targets":["S4-11:quote-L","S4-11:quote-R"]}</x:v>
      </x:c>
      <x:c r="F1007" s="10" t="n">
        <x:f>IF(D1007=E1007,1,0)</x:f>
        <x:v>1</x:v>
      </x:c>
      <x:c r="G1007" s="10" t="str">
        <x:v>필수 의미 전체 일치</x:v>
      </x:c>
    </x:row>
    <x:row r="1008" ht="145" customHeight="1">
      <x:c r="A1008" s="10" t="str">
        <x:v>V-R2</x:v>
      </x:c>
      <x:c r="B1008" s="10" t="str">
        <x:v>VOICE</x:v>
      </x:c>
      <x:c r="C1008" s="10" t="str">
        <x:v>VOICE:S4-11:input</x:v>
      </x:c>
      <x:c r="D1008" s="10" t="str">
        <x:v>{"exclusions":["설치비"],"goal":"비교표 작성","preserve_existing_tasks":true,"relation":"new_goal","targets":["S4-11:quote-L","S4-11:quote-R"]}</x:v>
      </x:c>
      <x:c r="E1008" s="10" t="str">
        <x:v>{"exclusions":["설치비"],"goal":"비교표 작성","preserve_existing_tasks":true,"relation":"new_goal","targets":["S4-11:quote-L","S4-11:quote-R"]}</x:v>
      </x:c>
      <x:c r="F1008" s="10" t="n">
        <x:f>IF(D1008=E1008,1,0)</x:f>
        <x:v>1</x:v>
      </x:c>
      <x:c r="G1008" s="10" t="str">
        <x:v>필수 의미 전체 일치</x:v>
      </x:c>
    </x:row>
    <x:row r="1009" ht="145" customHeight="1">
      <x:c r="A1009" s="10" t="str">
        <x:v>V-R3</x:v>
      </x:c>
      <x:c r="B1009" s="10" t="str">
        <x:v>VOICE</x:v>
      </x:c>
      <x:c r="C1009" s="10" t="str">
        <x:v>VOICE:S4-11:input</x:v>
      </x:c>
      <x:c r="D1009" s="10" t="str">
        <x:v>{"exclusions":["설치비"],"goal":"비교표 작성","preserve_existing_tasks":true,"relation":"new_goal","targets":["S4-11:quote-L","S4-11:quote-R"]}</x:v>
      </x:c>
      <x:c r="E1009" s="10" t="str">
        <x:v>{"exclusions":["설치비"],"goal":"비교표 작성","preserve_existing_tasks":true,"relation":"new_goal","targets":["S4-11:quote-L","S4-11:quote-R"]}</x:v>
      </x:c>
      <x:c r="F1009" s="10" t="n">
        <x:f>IF(D1009=E1009,1,0)</x:f>
        <x:v>1</x:v>
      </x:c>
      <x:c r="G1009" s="10" t="str">
        <x:v>필수 의미 전체 일치</x:v>
      </x:c>
    </x:row>
    <x:row r="1010" ht="145" customHeight="1">
      <x:c r="A1010" s="10" t="str">
        <x:v>V-A</x:v>
      </x:c>
      <x:c r="B1010" s="10" t="str">
        <x:v>VOICE</x:v>
      </x:c>
      <x:c r="C1010" s="10" t="str">
        <x:v>VOICE:S4-12:input</x:v>
      </x:c>
      <x:c r="D1010" s="10" t="str">
        <x:v>{"exclusions":["설치비"],"goal":"비교표 작성","preserve_existing_tasks":true,"relation":"new_goal","targets":["S4-12:quote-L","S4-12:quote-R"]}</x:v>
      </x:c>
      <x:c r="E1010" s="10" t="str">
        <x:v>{"exclusions":["설치비"],"goal":"비교표 작성","preserve_existing_tasks":true,"relation":"new_goal","targets":["S4-12:quote-L","S4-12:quote-R"]}</x:v>
      </x:c>
      <x:c r="F1010" s="10" t="n">
        <x:f>IF(D1010=E1010,1,0)</x:f>
        <x:v>1</x:v>
      </x:c>
      <x:c r="G1010" s="10" t="str">
        <x:v>필수 의미 전체 일치</x:v>
      </x:c>
    </x:row>
    <x:row r="1011" ht="145" customHeight="1">
      <x:c r="A1011" s="10" t="str">
        <x:v>V-R1</x:v>
      </x:c>
      <x:c r="B1011" s="10" t="str">
        <x:v>VOICE</x:v>
      </x:c>
      <x:c r="C1011" s="10" t="str">
        <x:v>VOICE:S4-12:input</x:v>
      </x:c>
      <x:c r="D1011" s="10" t="str">
        <x:v>{"exclusions":["설치비"],"goal":"비교표 작성","preserve_existing_tasks":true,"relation":"new_goal","targets":["S4-12:quote-L","S4-12:quote-R"]}</x:v>
      </x:c>
      <x:c r="E1011" s="10" t="str">
        <x:v>{"exclusions":["설치비"],"goal":"비교표 작성","preserve_existing_tasks":true,"relation":"new_goal","targets":["S4-12:quote-L","S4-12:quote-R"]}</x:v>
      </x:c>
      <x:c r="F1011" s="10" t="n">
        <x:f>IF(D1011=E1011,1,0)</x:f>
        <x:v>1</x:v>
      </x:c>
      <x:c r="G1011" s="10" t="str">
        <x:v>필수 의미 전체 일치</x:v>
      </x:c>
    </x:row>
    <x:row r="1012" ht="145" customHeight="1">
      <x:c r="A1012" s="10" t="str">
        <x:v>V-R2</x:v>
      </x:c>
      <x:c r="B1012" s="10" t="str">
        <x:v>VOICE</x:v>
      </x:c>
      <x:c r="C1012" s="10" t="str">
        <x:v>VOICE:S4-12:input</x:v>
      </x:c>
      <x:c r="D1012" s="10" t="str">
        <x:v>{"exclusions":["설치비"],"goal":"비교표 작성","preserve_existing_tasks":true,"relation":"new_goal","targets":["S4-12:quote-L","S4-12:quote-R"]}</x:v>
      </x:c>
      <x:c r="E1012" s="10" t="str">
        <x:v>{"exclusions":["설치비"],"goal":"비교표 작성","preserve_existing_tasks":true,"relation":"new_goal","targets":["S4-12:quote-L","S4-12:quote-R"]}</x:v>
      </x:c>
      <x:c r="F1012" s="10" t="n">
        <x:f>IF(D1012=E1012,1,0)</x:f>
        <x:v>1</x:v>
      </x:c>
      <x:c r="G1012" s="10" t="str">
        <x:v>필수 의미 전체 일치</x:v>
      </x:c>
    </x:row>
    <x:row r="1013" ht="145" customHeight="1">
      <x:c r="A1013" s="10" t="str">
        <x:v>V-R3</x:v>
      </x:c>
      <x:c r="B1013" s="10" t="str">
        <x:v>VOICE</x:v>
      </x:c>
      <x:c r="C1013" s="10" t="str">
        <x:v>VOICE:S4-12:input</x:v>
      </x:c>
      <x:c r="D1013" s="10" t="str">
        <x:v>{"exclusions":["설치비"],"goal":"비교표 작성","preserve_existing_tasks":true,"relation":"new_goal","targets":["S4-12:quote-L","S4-12:quote-R"]}</x:v>
      </x:c>
      <x:c r="E1013" s="10" t="str">
        <x:v>{"exclusions":["설치비"],"goal":"비교표 작성","preserve_existing_tasks":true,"relation":"new_goal","targets":["S4-12:quote-L","S4-12:quote-R"]}</x:v>
      </x:c>
      <x:c r="F1013" s="10" t="n">
        <x:f>IF(D1013=E1013,1,0)</x:f>
        <x:v>1</x:v>
      </x:c>
      <x:c r="G1013" s="10" t="str">
        <x:v>필수 의미 전체 일치</x:v>
      </x:c>
    </x:row>
    <x:row r="1014" ht="145" customHeight="1">
      <x:c r="A1014" s="10" t="str">
        <x:v>V-A</x:v>
      </x:c>
      <x:c r="B1014" s="10" t="str">
        <x:v>VOICE</x:v>
      </x:c>
      <x:c r="C1014" s="10" t="str">
        <x:v>VOICE:S4-13:input</x:v>
      </x:c>
      <x:c r="D1014" s="10" t="str">
        <x:v>{"exclusions":["설치비"],"goal":"비교표 작성","preserve_existing_tasks":true,"relation":"new_goal","targets":["S4-13:quote-L","S4-13:quote-R"]}</x:v>
      </x:c>
      <x:c r="E1014" s="10" t="str">
        <x:v>{"exclusions":["설치비"],"goal":"비교표 작성","preserve_existing_tasks":true,"relation":"new_goal","targets":["S4-13:quote-L","S4-13:quote-R"]}</x:v>
      </x:c>
      <x:c r="F1014" s="10" t="n">
        <x:f>IF(D1014=E1014,1,0)</x:f>
        <x:v>1</x:v>
      </x:c>
      <x:c r="G1014" s="10" t="str">
        <x:v>필수 의미 전체 일치</x:v>
      </x:c>
    </x:row>
    <x:row r="1015" ht="145" customHeight="1">
      <x:c r="A1015" s="10" t="str">
        <x:v>V-R1</x:v>
      </x:c>
      <x:c r="B1015" s="10" t="str">
        <x:v>VOICE</x:v>
      </x:c>
      <x:c r="C1015" s="10" t="str">
        <x:v>VOICE:S4-13:input</x:v>
      </x:c>
      <x:c r="D1015" s="10" t="str">
        <x:v>{"exclusions":["설치비"],"goal":"비교표 작성","preserve_existing_tasks":true,"relation":"new_goal","targets":["S4-13:quote-L","S4-13:quote-R"]}</x:v>
      </x:c>
      <x:c r="E1015" s="10" t="str">
        <x:v>{"exclusions":["설치비"],"goal":"비교표 작성","preserve_existing_tasks":true,"relation":"new_goal","targets":["S4-13:quote-L","S4-13:quote-R"]}</x:v>
      </x:c>
      <x:c r="F1015" s="10" t="n">
        <x:f>IF(D1015=E1015,1,0)</x:f>
        <x:v>1</x:v>
      </x:c>
      <x:c r="G1015" s="10" t="str">
        <x:v>필수 의미 전체 일치</x:v>
      </x:c>
    </x:row>
    <x:row r="1016" ht="145" customHeight="1">
      <x:c r="A1016" s="10" t="str">
        <x:v>V-R2</x:v>
      </x:c>
      <x:c r="B1016" s="10" t="str">
        <x:v>VOICE</x:v>
      </x:c>
      <x:c r="C1016" s="10" t="str">
        <x:v>VOICE:S4-13:input</x:v>
      </x:c>
      <x:c r="D1016" s="10" t="str">
        <x:v>{"exclusions":["설치비"],"goal":"비교표 작성","preserve_existing_tasks":true,"relation":"new_goal","targets":["S4-13:quote-L","S4-13:quote-R"]}</x:v>
      </x:c>
      <x:c r="E1016" s="10" t="str">
        <x:v>{"exclusions":["설치비"],"goal":"비교표 작성","preserve_existing_tasks":true,"relation":"new_goal","targets":["S4-13:quote-L","S4-13:quote-R"]}</x:v>
      </x:c>
      <x:c r="F1016" s="10" t="n">
        <x:f>IF(D1016=E1016,1,0)</x:f>
        <x:v>1</x:v>
      </x:c>
      <x:c r="G1016" s="10" t="str">
        <x:v>필수 의미 전체 일치</x:v>
      </x:c>
    </x:row>
    <x:row r="1017" ht="145" customHeight="1">
      <x:c r="A1017" s="10" t="str">
        <x:v>V-R3</x:v>
      </x:c>
      <x:c r="B1017" s="10" t="str">
        <x:v>VOICE</x:v>
      </x:c>
      <x:c r="C1017" s="10" t="str">
        <x:v>VOICE:S4-13:input</x:v>
      </x:c>
      <x:c r="D1017" s="10" t="str">
        <x:v>{"exclusions":["설치비"],"goal":"비교표 작성","preserve_existing_tasks":true,"relation":"new_goal","targets":["S4-13:quote-L","S4-13:quote-R"]}</x:v>
      </x:c>
      <x:c r="E1017" s="10" t="str">
        <x:v>{"exclusions":["설치비"],"goal":"비교표 작성","preserve_existing_tasks":true,"relation":"new_goal","targets":["S4-13:quote-L","S4-13:quote-R"]}</x:v>
      </x:c>
      <x:c r="F1017" s="10" t="n">
        <x:f>IF(D1017=E1017,1,0)</x:f>
        <x:v>1</x:v>
      </x:c>
      <x:c r="G1017" s="10" t="str">
        <x:v>필수 의미 전체 일치</x:v>
      </x:c>
    </x:row>
    <x:row r="1018" ht="145" customHeight="1">
      <x:c r="A1018" s="10" t="str">
        <x:v>V-A</x:v>
      </x:c>
      <x:c r="B1018" s="10" t="str">
        <x:v>VOICE</x:v>
      </x:c>
      <x:c r="C1018" s="10" t="str">
        <x:v>VOICE:S4-14:input</x:v>
      </x:c>
      <x:c r="D1018" s="10" t="str">
        <x:v>{"exclusions":["설치비"],"goal":"비교표 작성","preserve_existing_tasks":true,"relation":"new_goal","targets":["S4-14:quote-L","S4-14:quote-R"]}</x:v>
      </x:c>
      <x:c r="E1018" s="10" t="str">
        <x:v>{"exclusions":["설치비"],"goal":"비교표 작성","preserve_existing_tasks":true,"relation":"new_goal","targets":["S4-14:quote-L","S4-14:quote-R"]}</x:v>
      </x:c>
      <x:c r="F1018" s="10" t="n">
        <x:f>IF(D1018=E1018,1,0)</x:f>
        <x:v>1</x:v>
      </x:c>
      <x:c r="G1018" s="10" t="str">
        <x:v>필수 의미 전체 일치</x:v>
      </x:c>
    </x:row>
    <x:row r="1019" ht="145" customHeight="1">
      <x:c r="A1019" s="10" t="str">
        <x:v>V-R1</x:v>
      </x:c>
      <x:c r="B1019" s="10" t="str">
        <x:v>VOICE</x:v>
      </x:c>
      <x:c r="C1019" s="10" t="str">
        <x:v>VOICE:S4-14:input</x:v>
      </x:c>
      <x:c r="D1019" s="10" t="str">
        <x:v>{"exclusions":["설치비"],"goal":"비교표 작성","preserve_existing_tasks":true,"relation":"new_goal","targets":["S4-14:quote-L","S4-14:quote-R"]}</x:v>
      </x:c>
      <x:c r="E1019" s="10" t="str">
        <x:v>{"exclusions":["설치비"],"goal":"비교표 작성","preserve_existing_tasks":true,"relation":"new_goal","targets":["S4-14:quote-L","S4-14:quote-R"]}</x:v>
      </x:c>
      <x:c r="F1019" s="10" t="n">
        <x:f>IF(D1019=E1019,1,0)</x:f>
        <x:v>1</x:v>
      </x:c>
      <x:c r="G1019" s="10" t="str">
        <x:v>필수 의미 전체 일치</x:v>
      </x:c>
    </x:row>
    <x:row r="1020" ht="145" customHeight="1">
      <x:c r="A1020" s="10" t="str">
        <x:v>V-R2</x:v>
      </x:c>
      <x:c r="B1020" s="10" t="str">
        <x:v>VOICE</x:v>
      </x:c>
      <x:c r="C1020" s="10" t="str">
        <x:v>VOICE:S4-14:input</x:v>
      </x:c>
      <x:c r="D1020" s="10" t="str">
        <x:v>{"exclusions":["설치비"],"goal":"비교표 작성","preserve_existing_tasks":true,"relation":"new_goal","targets":["S4-14:quote-L","S4-14:quote-R"]}</x:v>
      </x:c>
      <x:c r="E1020" s="10" t="str">
        <x:v>{"exclusions":["설치비"],"goal":"비교표 작성","preserve_existing_tasks":true,"relation":"new_goal","targets":["S4-14:quote-L","S4-14:quote-R"]}</x:v>
      </x:c>
      <x:c r="F1020" s="10" t="n">
        <x:f>IF(D1020=E1020,1,0)</x:f>
        <x:v>1</x:v>
      </x:c>
      <x:c r="G1020" s="10" t="str">
        <x:v>필수 의미 전체 일치</x:v>
      </x:c>
    </x:row>
    <x:row r="1021" ht="145" customHeight="1">
      <x:c r="A1021" s="10" t="str">
        <x:v>V-R3</x:v>
      </x:c>
      <x:c r="B1021" s="10" t="str">
        <x:v>VOICE</x:v>
      </x:c>
      <x:c r="C1021" s="10" t="str">
        <x:v>VOICE:S4-14:input</x:v>
      </x:c>
      <x:c r="D1021" s="10" t="str">
        <x:v>{"exclusions":["설치비"],"goal":"비교표 작성","preserve_existing_tasks":true,"relation":"new_goal","targets":["S4-14:quote-L","S4-14:quote-R"]}</x:v>
      </x:c>
      <x:c r="E1021" s="10" t="str">
        <x:v>{"exclusions":["설치비"],"goal":"비교표 작성","preserve_existing_tasks":true,"relation":"new_goal","targets":["S4-14:quote-L","S4-14:quote-R"]}</x:v>
      </x:c>
      <x:c r="F1021" s="10" t="n">
        <x:f>IF(D1021=E1021,1,0)</x:f>
        <x:v>1</x:v>
      </x:c>
      <x:c r="G1021" s="10" t="str">
        <x:v>필수 의미 전체 일치</x:v>
      </x:c>
    </x:row>
    <x:row r="1022" ht="145" customHeight="1">
      <x:c r="A1022" s="10" t="str">
        <x:v>V-A</x:v>
      </x:c>
      <x:c r="B1022" s="10" t="str">
        <x:v>VOICE</x:v>
      </x:c>
      <x:c r="C1022" s="10" t="str">
        <x:v>VOICE:S4-15:input</x:v>
      </x:c>
      <x:c r="D1022" s="10" t="str">
        <x:v>{"exclusions":["설치비"],"goal":"비교표 작성","preserve_existing_tasks":true,"relation":"new_goal","targets":["S4-15:quote-L","S4-15:quote-R"]}</x:v>
      </x:c>
      <x:c r="E1022" s="10" t="str">
        <x:v>{"exclusions":["설치비"],"goal":"비교표 작성","preserve_existing_tasks":true,"relation":"new_goal","targets":["S4-15:quote-L","S4-15:quote-R"]}</x:v>
      </x:c>
      <x:c r="F1022" s="10" t="n">
        <x:f>IF(D1022=E1022,1,0)</x:f>
        <x:v>1</x:v>
      </x:c>
      <x:c r="G1022" s="10" t="str">
        <x:v>필수 의미 전체 일치</x:v>
      </x:c>
    </x:row>
    <x:row r="1023" ht="145" customHeight="1">
      <x:c r="A1023" s="10" t="str">
        <x:v>V-R1</x:v>
      </x:c>
      <x:c r="B1023" s="10" t="str">
        <x:v>VOICE</x:v>
      </x:c>
      <x:c r="C1023" s="10" t="str">
        <x:v>VOICE:S4-15:input</x:v>
      </x:c>
      <x:c r="D1023" s="10" t="str">
        <x:v>{"exclusions":["설치비"],"goal":"비교표 작성","preserve_existing_tasks":true,"relation":"new_goal","targets":["S4-15:quote-L","S4-15:quote-R"]}</x:v>
      </x:c>
      <x:c r="E1023" s="10" t="str">
        <x:v>{"exclusions":["설치비"],"goal":"비교표 작성","preserve_existing_tasks":true,"relation":"new_goal","targets":["S4-15:quote-L","S4-15:quote-R"]}</x:v>
      </x:c>
      <x:c r="F1023" s="10" t="n">
        <x:f>IF(D1023=E1023,1,0)</x:f>
        <x:v>1</x:v>
      </x:c>
      <x:c r="G1023" s="10" t="str">
        <x:v>필수 의미 전체 일치</x:v>
      </x:c>
    </x:row>
    <x:row r="1024" ht="145" customHeight="1">
      <x:c r="A1024" s="10" t="str">
        <x:v>V-R2</x:v>
      </x:c>
      <x:c r="B1024" s="10" t="str">
        <x:v>VOICE</x:v>
      </x:c>
      <x:c r="C1024" s="10" t="str">
        <x:v>VOICE:S4-15:input</x:v>
      </x:c>
      <x:c r="D1024" s="10" t="str">
        <x:v>{"exclusions":["설치비"],"goal":"비교표 작성","preserve_existing_tasks":true,"relation":"new_goal","targets":["S4-15:quote-L","S4-15:quote-R"]}</x:v>
      </x:c>
      <x:c r="E1024" s="10" t="str">
        <x:v>{"exclusions":["설치비"],"goal":"비교표 작성","preserve_existing_tasks":true,"relation":"new_goal","targets":["S4-15:quote-L","S4-15:quote-R"]}</x:v>
      </x:c>
      <x:c r="F1024" s="10" t="n">
        <x:f>IF(D1024=E1024,1,0)</x:f>
        <x:v>1</x:v>
      </x:c>
      <x:c r="G1024" s="10" t="str">
        <x:v>필수 의미 전체 일치</x:v>
      </x:c>
    </x:row>
    <x:row r="1025" ht="145" customHeight="1">
      <x:c r="A1025" s="10" t="str">
        <x:v>V-R3</x:v>
      </x:c>
      <x:c r="B1025" s="10" t="str">
        <x:v>VOICE</x:v>
      </x:c>
      <x:c r="C1025" s="10" t="str">
        <x:v>VOICE:S4-15:input</x:v>
      </x:c>
      <x:c r="D1025" s="10" t="str">
        <x:v>{"exclusions":["설치비"],"goal":"비교표 작성","preserve_existing_tasks":true,"relation":"new_goal","targets":["S4-15:quote-L","S4-15:quote-R"]}</x:v>
      </x:c>
      <x:c r="E1025" s="10" t="str">
        <x:v>{"exclusions":["설치비"],"goal":"비교표 작성","preserve_existing_tasks":true,"relation":"new_goal","targets":["S4-15:quote-L","S4-15:quote-R"]}</x:v>
      </x:c>
      <x:c r="F1025" s="10" t="n">
        <x:f>IF(D1025=E1025,1,0)</x:f>
        <x:v>1</x:v>
      </x:c>
      <x:c r="G1025" s="10" t="str">
        <x:v>필수 의미 전체 일치</x:v>
      </x:c>
    </x:row>
    <x:row r="1026" ht="145" customHeight="1">
      <x:c r="A1026" s="10" t="str">
        <x:v>V-A</x:v>
      </x:c>
      <x:c r="B1026" s="10" t="str">
        <x:v>VOICE</x:v>
      </x:c>
      <x:c r="C1026" s="10" t="str">
        <x:v>VOICE:S4-16:input</x:v>
      </x:c>
      <x:c r="D1026" s="10" t="str">
        <x:v>{"exclusions":["설치비"],"goal":"비교표 작성","preserve_existing_tasks":true,"relation":"new_goal","targets":["S4-16:quote-L","S4-16:quote-R"]}</x:v>
      </x:c>
      <x:c r="E1026" s="10" t="str">
        <x:v>{"exclusions":["설치비"],"goal":"비교표 작성","preserve_existing_tasks":true,"relation":"new_goal","targets":["S4-16:quote-L","S4-16:quote-R"]}</x:v>
      </x:c>
      <x:c r="F1026" s="10" t="n">
        <x:f>IF(D1026=E1026,1,0)</x:f>
        <x:v>1</x:v>
      </x:c>
      <x:c r="G1026" s="10" t="str">
        <x:v>필수 의미 전체 일치</x:v>
      </x:c>
    </x:row>
    <x:row r="1027" ht="145" customHeight="1">
      <x:c r="A1027" s="10" t="str">
        <x:v>V-R1</x:v>
      </x:c>
      <x:c r="B1027" s="10" t="str">
        <x:v>VOICE</x:v>
      </x:c>
      <x:c r="C1027" s="10" t="str">
        <x:v>VOICE:S4-16:input</x:v>
      </x:c>
      <x:c r="D1027" s="10" t="str">
        <x:v>{"exclusions":["설치비"],"goal":"비교표 작성","preserve_existing_tasks":true,"relation":"new_goal","targets":["S4-16:quote-L","S4-16:quote-R"]}</x:v>
      </x:c>
      <x:c r="E1027" s="10" t="str">
        <x:v>{"exclusions":["설치비"],"goal":"비교표 작성","preserve_existing_tasks":true,"relation":"new_goal","targets":["S4-16:quote-L","S4-16:quote-R"]}</x:v>
      </x:c>
      <x:c r="F1027" s="10" t="n">
        <x:f>IF(D1027=E1027,1,0)</x:f>
        <x:v>1</x:v>
      </x:c>
      <x:c r="G1027" s="10" t="str">
        <x:v>필수 의미 전체 일치</x:v>
      </x:c>
    </x:row>
    <x:row r="1028" ht="145" customHeight="1">
      <x:c r="A1028" s="10" t="str">
        <x:v>V-R2</x:v>
      </x:c>
      <x:c r="B1028" s="10" t="str">
        <x:v>VOICE</x:v>
      </x:c>
      <x:c r="C1028" s="10" t="str">
        <x:v>VOICE:S4-16:input</x:v>
      </x:c>
      <x:c r="D1028" s="10" t="str">
        <x:v>{"exclusions":["설치비"],"goal":"비교표 작성","preserve_existing_tasks":true,"relation":"new_goal","targets":["S4-16:quote-L","S4-16:quote-R"]}</x:v>
      </x:c>
      <x:c r="E1028" s="10" t="str">
        <x:v>{"exclusions":["설치비"],"goal":"비교표 작성","preserve_existing_tasks":true,"relation":"new_goal","targets":["S4-16:quote-L","S4-16:quote-R"]}</x:v>
      </x:c>
      <x:c r="F1028" s="10" t="n">
        <x:f>IF(D1028=E1028,1,0)</x:f>
        <x:v>1</x:v>
      </x:c>
      <x:c r="G1028" s="10" t="str">
        <x:v>필수 의미 전체 일치</x:v>
      </x:c>
    </x:row>
    <x:row r="1029" ht="145" customHeight="1">
      <x:c r="A1029" s="10" t="str">
        <x:v>V-R3</x:v>
      </x:c>
      <x:c r="B1029" s="10" t="str">
        <x:v>VOICE</x:v>
      </x:c>
      <x:c r="C1029" s="10" t="str">
        <x:v>VOICE:S4-16:input</x:v>
      </x:c>
      <x:c r="D1029" s="10" t="str">
        <x:v>{"exclusions":["설치비"],"goal":"비교표 작성","preserve_existing_tasks":true,"relation":"new_goal","targets":["S4-16:quote-L","S4-16:quote-R"]}</x:v>
      </x:c>
      <x:c r="E1029" s="10" t="str">
        <x:v>{"exclusions":["설치비"],"goal":"비교표 작성","preserve_existing_tasks":true,"relation":"new_goal","targets":["S4-16:quote-L","S4-16:quote-R"]}</x:v>
      </x:c>
      <x:c r="F1029" s="10" t="n">
        <x:f>IF(D1029=E1029,1,0)</x:f>
        <x:v>1</x:v>
      </x:c>
      <x:c r="G1029" s="10" t="str">
        <x:v>필수 의미 전체 일치</x:v>
      </x:c>
    </x:row>
    <x:row r="1030" ht="145" customHeight="1">
      <x:c r="A1030" s="10" t="str">
        <x:v>V-A</x:v>
      </x:c>
      <x:c r="B1030" s="10" t="str">
        <x:v>VOICE</x:v>
      </x:c>
      <x:c r="C1030" s="10" t="str">
        <x:v>VOICE:S4-17:input</x:v>
      </x:c>
      <x:c r="D1030" s="10" t="str">
        <x:v>{"exclusions":["설치비"],"goal":"비교표 작성","preserve_existing_tasks":true,"relation":"new_goal","targets":["S4-17:quote-L","S4-17:quote-R"]}</x:v>
      </x:c>
      <x:c r="E1030" s="10" t="str">
        <x:v>{"exclusions":["설치비"],"goal":"비교표 작성","preserve_existing_tasks":true,"relation":"new_goal","targets":["S4-17:quote-L","S4-17:quote-R"]}</x:v>
      </x:c>
      <x:c r="F1030" s="10" t="n">
        <x:f>IF(D1030=E1030,1,0)</x:f>
        <x:v>1</x:v>
      </x:c>
      <x:c r="G1030" s="10" t="str">
        <x:v>필수 의미 전체 일치</x:v>
      </x:c>
    </x:row>
    <x:row r="1031" ht="145" customHeight="1">
      <x:c r="A1031" s="10" t="str">
        <x:v>V-R1</x:v>
      </x:c>
      <x:c r="B1031" s="10" t="str">
        <x:v>VOICE</x:v>
      </x:c>
      <x:c r="C1031" s="10" t="str">
        <x:v>VOICE:S4-17:input</x:v>
      </x:c>
      <x:c r="D1031" s="10" t="str">
        <x:v>{"exclusions":["설치비"],"goal":"비교표 작성","preserve_existing_tasks":true,"relation":"new_goal","targets":["S4-17:quote-L","S4-17:quote-R"]}</x:v>
      </x:c>
      <x:c r="E1031" s="10" t="str">
        <x:v>{"exclusions":["설치비"],"goal":"비교표 작성","preserve_existing_tasks":true,"relation":"new_goal","targets":["S4-17:quote-L","S4-17:quote-R"]}</x:v>
      </x:c>
      <x:c r="F1031" s="10" t="n">
        <x:f>IF(D1031=E1031,1,0)</x:f>
        <x:v>1</x:v>
      </x:c>
      <x:c r="G1031" s="10" t="str">
        <x:v>필수 의미 전체 일치</x:v>
      </x:c>
    </x:row>
    <x:row r="1032" ht="145" customHeight="1">
      <x:c r="A1032" s="10" t="str">
        <x:v>V-R2</x:v>
      </x:c>
      <x:c r="B1032" s="10" t="str">
        <x:v>VOICE</x:v>
      </x:c>
      <x:c r="C1032" s="10" t="str">
        <x:v>VOICE:S4-17:input</x:v>
      </x:c>
      <x:c r="D1032" s="10" t="str">
        <x:v>{"exclusions":["설치비"],"goal":"비교표 작성","preserve_existing_tasks":true,"relation":"new_goal","targets":["S4-17:quote-L","S4-17:quote-R"]}</x:v>
      </x:c>
      <x:c r="E1032" s="10" t="str">
        <x:v>{"exclusions":["설치비"],"goal":"비교표 작성","preserve_existing_tasks":true,"relation":"new_goal","targets":["S4-17:quote-L","S4-17:quote-R"]}</x:v>
      </x:c>
      <x:c r="F1032" s="10" t="n">
        <x:f>IF(D1032=E1032,1,0)</x:f>
        <x:v>1</x:v>
      </x:c>
      <x:c r="G1032" s="10" t="str">
        <x:v>필수 의미 전체 일치</x:v>
      </x:c>
    </x:row>
    <x:row r="1033" ht="145" customHeight="1">
      <x:c r="A1033" s="10" t="str">
        <x:v>V-R3</x:v>
      </x:c>
      <x:c r="B1033" s="10" t="str">
        <x:v>VOICE</x:v>
      </x:c>
      <x:c r="C1033" s="10" t="str">
        <x:v>VOICE:S4-17:input</x:v>
      </x:c>
      <x:c r="D1033" s="10" t="str">
        <x:v>{"exclusions":["설치비"],"goal":"비교표 작성","preserve_existing_tasks":true,"relation":"new_goal","targets":["S4-17:quote-L","S4-17:quote-R"]}</x:v>
      </x:c>
      <x:c r="E1033" s="10" t="str">
        <x:v>{"exclusions":["설치비"],"goal":"비교표 작성","preserve_existing_tasks":true,"relation":"new_goal","targets":["S4-17:quote-L","S4-17:quote-R"]}</x:v>
      </x:c>
      <x:c r="F1033" s="10" t="n">
        <x:f>IF(D1033=E1033,1,0)</x:f>
        <x:v>1</x:v>
      </x:c>
      <x:c r="G1033" s="10" t="str">
        <x:v>필수 의미 전체 일치</x:v>
      </x:c>
    </x:row>
    <x:row r="1034" ht="145" customHeight="1">
      <x:c r="A1034" s="10" t="str">
        <x:v>V-A</x:v>
      </x:c>
      <x:c r="B1034" s="10" t="str">
        <x:v>VOICE</x:v>
      </x:c>
      <x:c r="C1034" s="10" t="str">
        <x:v>VOICE:S4-18:input</x:v>
      </x:c>
      <x:c r="D1034" s="10" t="str">
        <x:v>{"exclusions":["설치비"],"goal":"비교표 작성","preserve_existing_tasks":true,"relation":"new_goal","targets":["S4-18:quote-L","S4-18:quote-R"]}</x:v>
      </x:c>
      <x:c r="E1034" s="10" t="str">
        <x:v>{"exclusions":["설치비"],"goal":"비교표 작성","preserve_existing_tasks":true,"relation":"new_goal","targets":["S4-18:quote-L","S4-18:quote-R"]}</x:v>
      </x:c>
      <x:c r="F1034" s="10" t="n">
        <x:f>IF(D1034=E1034,1,0)</x:f>
        <x:v>1</x:v>
      </x:c>
      <x:c r="G1034" s="10" t="str">
        <x:v>필수 의미 전체 일치</x:v>
      </x:c>
    </x:row>
    <x:row r="1035" ht="145" customHeight="1">
      <x:c r="A1035" s="10" t="str">
        <x:v>V-R1</x:v>
      </x:c>
      <x:c r="B1035" s="10" t="str">
        <x:v>VOICE</x:v>
      </x:c>
      <x:c r="C1035" s="10" t="str">
        <x:v>VOICE:S4-18:input</x:v>
      </x:c>
      <x:c r="D1035" s="10" t="str">
        <x:v>{"exclusions":["설치비"],"goal":"비교표 작성","preserve_existing_tasks":true,"relation":"new_goal","targets":["S4-18:quote-L","S4-18:quote-R"]}</x:v>
      </x:c>
      <x:c r="E1035" s="10" t="str">
        <x:v>{"exclusions":["설치비"],"goal":"비교표 작성","preserve_existing_tasks":true,"relation":"new_goal","targets":["S4-18:quote-L","S4-18:quote-R"]}</x:v>
      </x:c>
      <x:c r="F1035" s="10" t="n">
        <x:f>IF(D1035=E1035,1,0)</x:f>
        <x:v>1</x:v>
      </x:c>
      <x:c r="G1035" s="10" t="str">
        <x:v>필수 의미 전체 일치</x:v>
      </x:c>
    </x:row>
    <x:row r="1036" ht="145" customHeight="1">
      <x:c r="A1036" s="10" t="str">
        <x:v>V-R2</x:v>
      </x:c>
      <x:c r="B1036" s="10" t="str">
        <x:v>VOICE</x:v>
      </x:c>
      <x:c r="C1036" s="10" t="str">
        <x:v>VOICE:S4-18:input</x:v>
      </x:c>
      <x:c r="D1036" s="10" t="str">
        <x:v>{"exclusions":["설치비"],"goal":"비교표 작성","preserve_existing_tasks":true,"relation":"new_goal","targets":["S4-18:quote-L","S4-18:quote-R"]}</x:v>
      </x:c>
      <x:c r="E1036" s="10" t="str">
        <x:v>{"exclusions":["설치비"],"goal":"비교표 작성","preserve_existing_tasks":true,"relation":"new_goal","targets":["S4-18:quote-L","S4-18:quote-R"]}</x:v>
      </x:c>
      <x:c r="F1036" s="10" t="n">
        <x:f>IF(D1036=E1036,1,0)</x:f>
        <x:v>1</x:v>
      </x:c>
      <x:c r="G1036" s="10" t="str">
        <x:v>필수 의미 전체 일치</x:v>
      </x:c>
    </x:row>
    <x:row r="1037" ht="145" customHeight="1">
      <x:c r="A1037" s="10" t="str">
        <x:v>V-R3</x:v>
      </x:c>
      <x:c r="B1037" s="10" t="str">
        <x:v>VOICE</x:v>
      </x:c>
      <x:c r="C1037" s="10" t="str">
        <x:v>VOICE:S4-18:input</x:v>
      </x:c>
      <x:c r="D1037" s="10" t="str">
        <x:v>{"exclusions":["설치비"],"goal":"비교표 작성","preserve_existing_tasks":true,"relation":"new_goal","targets":["S4-18:quote-L","S4-18:quote-R"]}</x:v>
      </x:c>
      <x:c r="E1037" s="10" t="str">
        <x:v>{"exclusions":["설치비"],"goal":"비교표 작성","preserve_existing_tasks":true,"relation":"new_goal","targets":["S4-18:quote-L","S4-18:quote-R"]}</x:v>
      </x:c>
      <x:c r="F1037" s="10" t="n">
        <x:f>IF(D1037=E1037,1,0)</x:f>
        <x:v>1</x:v>
      </x:c>
      <x:c r="G1037" s="10" t="str">
        <x:v>필수 의미 전체 일치</x:v>
      </x:c>
    </x:row>
    <x:row r="1038" ht="145" customHeight="1">
      <x:c r="A1038" s="10" t="str">
        <x:v>V-A</x:v>
      </x:c>
      <x:c r="B1038" s="10" t="str">
        <x:v>VOICE</x:v>
      </x:c>
      <x:c r="C1038" s="10" t="str">
        <x:v>VOICE:S4-19:input</x:v>
      </x:c>
      <x:c r="D1038" s="10" t="str">
        <x:v>{"exclusions":["설치비"],"goal":"비교표 작성","preserve_existing_tasks":true,"relation":"new_goal","targets":["S4-19:quote-L","S4-19:quote-R"]}</x:v>
      </x:c>
      <x:c r="E1038" s="10" t="str">
        <x:v>{"exclusions":["설치비"],"goal":"비교표 작성","preserve_existing_tasks":true,"relation":"new_goal","targets":["S4-19:quote-L","S4-19:quote-R"]}</x:v>
      </x:c>
      <x:c r="F1038" s="10" t="n">
        <x:f>IF(D1038=E1038,1,0)</x:f>
        <x:v>1</x:v>
      </x:c>
      <x:c r="G1038" s="10" t="str">
        <x:v>필수 의미 전체 일치</x:v>
      </x:c>
    </x:row>
    <x:row r="1039" ht="145" customHeight="1">
      <x:c r="A1039" s="10" t="str">
        <x:v>V-R1</x:v>
      </x:c>
      <x:c r="B1039" s="10" t="str">
        <x:v>VOICE</x:v>
      </x:c>
      <x:c r="C1039" s="10" t="str">
        <x:v>VOICE:S4-19:input</x:v>
      </x:c>
      <x:c r="D1039" s="10" t="str">
        <x:v>{"exclusions":["설치비"],"goal":"비교표 작성","preserve_existing_tasks":true,"relation":"new_goal","targets":["S4-19:quote-L","S4-19:quote-R"]}</x:v>
      </x:c>
      <x:c r="E1039" s="10" t="str">
        <x:v>{"exclusions":["설치비"],"goal":"비교표 작성","preserve_existing_tasks":true,"relation":"new_goal","targets":["S4-19:quote-L","S4-19:quote-R"]}</x:v>
      </x:c>
      <x:c r="F1039" s="10" t="n">
        <x:f>IF(D1039=E1039,1,0)</x:f>
        <x:v>1</x:v>
      </x:c>
      <x:c r="G1039" s="10" t="str">
        <x:v>필수 의미 전체 일치</x:v>
      </x:c>
    </x:row>
    <x:row r="1040" ht="145" customHeight="1">
      <x:c r="A1040" s="10" t="str">
        <x:v>V-R2</x:v>
      </x:c>
      <x:c r="B1040" s="10" t="str">
        <x:v>VOICE</x:v>
      </x:c>
      <x:c r="C1040" s="10" t="str">
        <x:v>VOICE:S4-19:input</x:v>
      </x:c>
      <x:c r="D1040" s="10" t="str">
        <x:v>{"exclusions":["설치비"],"goal":"비교표 작성","preserve_existing_tasks":true,"relation":"new_goal","targets":["S4-19:quote-L","S4-19:quote-R"]}</x:v>
      </x:c>
      <x:c r="E1040" s="10" t="str">
        <x:v>{"exclusions":["설치비"],"goal":"비교표 작성","preserve_existing_tasks":true,"relation":"new_goal","targets":["S4-19:quote-L","S4-19:quote-R"]}</x:v>
      </x:c>
      <x:c r="F1040" s="10" t="n">
        <x:f>IF(D1040=E1040,1,0)</x:f>
        <x:v>1</x:v>
      </x:c>
      <x:c r="G1040" s="10" t="str">
        <x:v>필수 의미 전체 일치</x:v>
      </x:c>
    </x:row>
    <x:row r="1041" ht="145" customHeight="1">
      <x:c r="A1041" s="10" t="str">
        <x:v>V-R3</x:v>
      </x:c>
      <x:c r="B1041" s="10" t="str">
        <x:v>VOICE</x:v>
      </x:c>
      <x:c r="C1041" s="10" t="str">
        <x:v>VOICE:S4-19:input</x:v>
      </x:c>
      <x:c r="D1041" s="10" t="str">
        <x:v>{"exclusions":["설치비"],"goal":"비교표 작성","preserve_existing_tasks":true,"relation":"new_goal","targets":["S4-19:quote-L","S4-19:quote-R"]}</x:v>
      </x:c>
      <x:c r="E1041" s="10" t="str">
        <x:v>{"exclusions":["설치비"],"goal":"비교표 작성","preserve_existing_tasks":true,"relation":"new_goal","targets":["S4-19:quote-L","S4-19:quote-R"]}</x:v>
      </x:c>
      <x:c r="F1041" s="10" t="n">
        <x:f>IF(D1041=E1041,1,0)</x:f>
        <x:v>1</x:v>
      </x:c>
      <x:c r="G1041" s="10" t="str">
        <x:v>필수 의미 전체 일치</x:v>
      </x:c>
    </x:row>
    <x:row r="1042" ht="145" customHeight="1">
      <x:c r="A1042" s="10" t="str">
        <x:v>V-A</x:v>
      </x:c>
      <x:c r="B1042" s="10" t="str">
        <x:v>VOICE</x:v>
      </x:c>
      <x:c r="C1042" s="10" t="str">
        <x:v>VOICE:S4-20:input</x:v>
      </x:c>
      <x:c r="D1042" s="10" t="str">
        <x:v>{"exclusions":["설치비"],"goal":"비교표 작성","preserve_existing_tasks":true,"relation":"new_goal","targets":["S4-20:quote-L","S4-20:quote-R"]}</x:v>
      </x:c>
      <x:c r="E1042" s="10" t="str">
        <x:v>{"exclusions":["설치비"],"goal":"비교표 작성","preserve_existing_tasks":true,"relation":"new_goal","targets":["S4-20:quote-L","S4-20:quote-R"]}</x:v>
      </x:c>
      <x:c r="F1042" s="10" t="n">
        <x:f>IF(D1042=E1042,1,0)</x:f>
        <x:v>1</x:v>
      </x:c>
      <x:c r="G1042" s="10" t="str">
        <x:v>필수 의미 전체 일치</x:v>
      </x:c>
    </x:row>
    <x:row r="1043" ht="145" customHeight="1">
      <x:c r="A1043" s="10" t="str">
        <x:v>V-R1</x:v>
      </x:c>
      <x:c r="B1043" s="10" t="str">
        <x:v>VOICE</x:v>
      </x:c>
      <x:c r="C1043" s="10" t="str">
        <x:v>VOICE:S4-20:input</x:v>
      </x:c>
      <x:c r="D1043" s="10" t="str">
        <x:v>{"exclusions":["설치비"],"goal":"비교표 작성","preserve_existing_tasks":true,"relation":"new_goal","targets":["S4-20:quote-L","S4-20:quote-R"]}</x:v>
      </x:c>
      <x:c r="E1043" s="10" t="str">
        <x:v>{"exclusions":["설치비"],"goal":"비교표 작성","preserve_existing_tasks":true,"relation":"new_goal","targets":["S4-20:quote-L","S4-20:quote-R"]}</x:v>
      </x:c>
      <x:c r="F1043" s="10" t="n">
        <x:f>IF(D1043=E1043,1,0)</x:f>
        <x:v>1</x:v>
      </x:c>
      <x:c r="G1043" s="10" t="str">
        <x:v>필수 의미 전체 일치</x:v>
      </x:c>
    </x:row>
    <x:row r="1044" ht="145" customHeight="1">
      <x:c r="A1044" s="10" t="str">
        <x:v>V-R2</x:v>
      </x:c>
      <x:c r="B1044" s="10" t="str">
        <x:v>VOICE</x:v>
      </x:c>
      <x:c r="C1044" s="10" t="str">
        <x:v>VOICE:S4-20:input</x:v>
      </x:c>
      <x:c r="D1044" s="10" t="str">
        <x:v>{"exclusions":["설치비"],"goal":"비교표 작성","preserve_existing_tasks":true,"relation":"new_goal","targets":["S4-20:quote-L","S4-20:quote-R"]}</x:v>
      </x:c>
      <x:c r="E1044" s="10" t="str">
        <x:v>{"exclusions":["설치비"],"goal":"비교표 작성","preserve_existing_tasks":true,"relation":"new_goal","targets":["S4-20:quote-L","S4-20:quote-R"]}</x:v>
      </x:c>
      <x:c r="F1044" s="10" t="n">
        <x:f>IF(D1044=E1044,1,0)</x:f>
        <x:v>1</x:v>
      </x:c>
      <x:c r="G1044" s="10" t="str">
        <x:v>필수 의미 전체 일치</x:v>
      </x:c>
    </x:row>
    <x:row r="1045" ht="145" customHeight="1">
      <x:c r="A1045" s="10" t="str">
        <x:v>V-R3</x:v>
      </x:c>
      <x:c r="B1045" s="10" t="str">
        <x:v>VOICE</x:v>
      </x:c>
      <x:c r="C1045" s="10" t="str">
        <x:v>VOICE:S4-20:input</x:v>
      </x:c>
      <x:c r="D1045" s="10" t="str">
        <x:v>{"exclusions":["설치비"],"goal":"비교표 작성","preserve_existing_tasks":true,"relation":"new_goal","targets":["S4-20:quote-L","S4-20:quote-R"]}</x:v>
      </x:c>
      <x:c r="E1045" s="10" t="str">
        <x:v>{"exclusions":["설치비"],"goal":"비교표 작성","preserve_existing_tasks":true,"relation":"new_goal","targets":["S4-20:quote-L","S4-20:quote-R"]}</x:v>
      </x:c>
      <x:c r="F1045" s="10" t="n">
        <x:f>IF(D1045=E1045,1,0)</x:f>
        <x:v>1</x:v>
      </x:c>
      <x:c r="G1045" s="10" t="str">
        <x:v>필수 의미 전체 일치</x:v>
      </x:c>
    </x:row>
    <x:row r="1046" ht="145" customHeight="1">
      <x:c r="A1046" s="10" t="str">
        <x:v>V-A</x:v>
      </x:c>
      <x:c r="B1046" s="10" t="str">
        <x:v>VOICE</x:v>
      </x:c>
      <x:c r="C1046" s="10" t="str">
        <x:v>VOICE:S5-01:input</x:v>
      </x:c>
      <x:c r="D1046" s="10" t="str">
        <x:v>{"exclusions":["설치비"],"goal":"비교표 작성","preserve_existing_tasks":true,"relation":"new_goal","targets":["S5-01:quote-L","S5-01:quote-R"]}</x:v>
      </x:c>
      <x:c r="E1046" s="10" t="str">
        <x:v>{"exclusions":["설치비"],"goal":"비교표 작성","preserve_existing_tasks":true,"relation":"new_goal","targets":["S5-01:quote-L","S5-01:quote-Z"]}</x:v>
      </x:c>
      <x:c r="F1046" s="10" t="n">
        <x:f>IF(D1046=E1046,1,0)</x:f>
        <x:v>0</x:v>
      </x:c>
      <x:c r="G1046" s="10" t="str">
        <x:v>원본의 경계/집합/스크롤 전후 동일성을 잘못 결합</x:v>
      </x:c>
    </x:row>
    <x:row r="1047" ht="145" customHeight="1">
      <x:c r="A1047" s="10" t="str">
        <x:v>V-R1</x:v>
      </x:c>
      <x:c r="B1047" s="10" t="str">
        <x:v>VOICE</x:v>
      </x:c>
      <x:c r="C1047" s="10" t="str">
        <x:v>VOICE:S5-01:input</x:v>
      </x:c>
      <x:c r="D1047" s="10" t="str">
        <x:v>{"exclusions":["설치비"],"goal":"비교표 작성","preserve_existing_tasks":true,"relation":"new_goal","targets":["S5-01:quote-L","S5-01:quote-R"]}</x:v>
      </x:c>
      <x:c r="E1047" s="10" t="str">
        <x:v>{"exclusions":["설치비"],"goal":"비교표 작성","preserve_existing_tasks":true,"relation":"new_goal","targets":["S5-01:quote-L","S5-01:quote-R"]}</x:v>
      </x:c>
      <x:c r="F1047" s="10" t="n">
        <x:f>IF(D1047=E1047,1,0)</x:f>
        <x:v>1</x:v>
      </x:c>
      <x:c r="G1047" s="10" t="str">
        <x:v>필수 의미 전체 일치</x:v>
      </x:c>
    </x:row>
    <x:row r="1048" ht="145" customHeight="1">
      <x:c r="A1048" s="10" t="str">
        <x:v>V-R2</x:v>
      </x:c>
      <x:c r="B1048" s="10" t="str">
        <x:v>VOICE</x:v>
      </x:c>
      <x:c r="C1048" s="10" t="str">
        <x:v>VOICE:S5-01:input</x:v>
      </x:c>
      <x:c r="D1048" s="10" t="str">
        <x:v>{"exclusions":["설치비"],"goal":"비교표 작성","preserve_existing_tasks":true,"relation":"new_goal","targets":["S5-01:quote-L","S5-01:quote-R"]}</x:v>
      </x:c>
      <x:c r="E1048" s="10" t="str">
        <x:v>{"exclusions":["설치비"],"goal":"비교표 작성","preserve_existing_tasks":true,"relation":"new_goal","targets":["S5-01:quote-L","S5-01:quote-R"]}</x:v>
      </x:c>
      <x:c r="F1048" s="10" t="n">
        <x:f>IF(D1048=E1048,1,0)</x:f>
        <x:v>1</x:v>
      </x:c>
      <x:c r="G1048" s="10" t="str">
        <x:v>필수 의미 전체 일치</x:v>
      </x:c>
    </x:row>
    <x:row r="1049" ht="145" customHeight="1">
      <x:c r="A1049" s="10" t="str">
        <x:v>V-R3</x:v>
      </x:c>
      <x:c r="B1049" s="10" t="str">
        <x:v>VOICE</x:v>
      </x:c>
      <x:c r="C1049" s="10" t="str">
        <x:v>VOICE:S5-01:input</x:v>
      </x:c>
      <x:c r="D1049" s="10" t="str">
        <x:v>{"exclusions":["설치비"],"goal":"비교표 작성","preserve_existing_tasks":true,"relation":"new_goal","targets":["S5-01:quote-L","S5-01:quote-R"]}</x:v>
      </x:c>
      <x:c r="E1049" s="10" t="str">
        <x:v>{"exclusions":["설치비"],"goal":"비교표 작성","preserve_existing_tasks":true,"relation":"new_goal","targets":["S5-01:quote-L","S5-01:quote-R"]}</x:v>
      </x:c>
      <x:c r="F1049" s="10" t="n">
        <x:f>IF(D1049=E1049,1,0)</x:f>
        <x:v>1</x:v>
      </x:c>
      <x:c r="G1049" s="10" t="str">
        <x:v>필수 의미 전체 일치</x:v>
      </x:c>
    </x:row>
    <x:row r="1050" ht="145" customHeight="1">
      <x:c r="A1050" s="10" t="str">
        <x:v>V-A</x:v>
      </x:c>
      <x:c r="B1050" s="10" t="str">
        <x:v>VOICE</x:v>
      </x:c>
      <x:c r="C1050" s="10" t="str">
        <x:v>VOICE:S5-02:input</x:v>
      </x:c>
      <x:c r="D1050" s="10" t="str">
        <x:v>{"exclusions":["설치비"],"goal":"비교표 작성","preserve_existing_tasks":true,"relation":"new_goal","targets":["S5-02:quote-L","S5-02:quote-R"]}</x:v>
      </x:c>
      <x:c r="E1050" s="10" t="str">
        <x:v>{"exclusions":["설치비"],"goal":"비교표 작성","preserve_existing_tasks":true,"relation":"new_goal","targets":["S5-02:quote-L","S5-02:quote-Z"]}</x:v>
      </x:c>
      <x:c r="F1050" s="10" t="n">
        <x:f>IF(D1050=E1050,1,0)</x:f>
        <x:v>0</x:v>
      </x:c>
      <x:c r="G1050" s="10" t="str">
        <x:v>원본의 경계/집합/스크롤 전후 동일성을 잘못 결합</x:v>
      </x:c>
    </x:row>
    <x:row r="1051" ht="145" customHeight="1">
      <x:c r="A1051" s="10" t="str">
        <x:v>V-R1</x:v>
      </x:c>
      <x:c r="B1051" s="10" t="str">
        <x:v>VOICE</x:v>
      </x:c>
      <x:c r="C1051" s="10" t="str">
        <x:v>VOICE:S5-02:input</x:v>
      </x:c>
      <x:c r="D1051" s="10" t="str">
        <x:v>{"exclusions":["설치비"],"goal":"비교표 작성","preserve_existing_tasks":true,"relation":"new_goal","targets":["S5-02:quote-L","S5-02:quote-R"]}</x:v>
      </x:c>
      <x:c r="E1051" s="10" t="str">
        <x:v>{"exclusions":["설치비"],"goal":"비교표 작성","preserve_existing_tasks":true,"relation":"new_goal","targets":["S5-02:quote-L","S5-02:quote-R"]}</x:v>
      </x:c>
      <x:c r="F1051" s="10" t="n">
        <x:f>IF(D1051=E1051,1,0)</x:f>
        <x:v>1</x:v>
      </x:c>
      <x:c r="G1051" s="10" t="str">
        <x:v>필수 의미 전체 일치</x:v>
      </x:c>
    </x:row>
    <x:row r="1052" ht="145" customHeight="1">
      <x:c r="A1052" s="10" t="str">
        <x:v>V-R2</x:v>
      </x:c>
      <x:c r="B1052" s="10" t="str">
        <x:v>VOICE</x:v>
      </x:c>
      <x:c r="C1052" s="10" t="str">
        <x:v>VOICE:S5-02:input</x:v>
      </x:c>
      <x:c r="D1052" s="10" t="str">
        <x:v>{"exclusions":["설치비"],"goal":"비교표 작성","preserve_existing_tasks":true,"relation":"new_goal","targets":["S5-02:quote-L","S5-02:quote-R"]}</x:v>
      </x:c>
      <x:c r="E1052" s="10" t="str">
        <x:v>{"exclusions":["설치비"],"goal":"비교표 작성","preserve_existing_tasks":true,"relation":"new_goal","targets":["S5-02:quote-L","S5-02:quote-R"]}</x:v>
      </x:c>
      <x:c r="F1052" s="10" t="n">
        <x:f>IF(D1052=E1052,1,0)</x:f>
        <x:v>1</x:v>
      </x:c>
      <x:c r="G1052" s="10" t="str">
        <x:v>필수 의미 전체 일치</x:v>
      </x:c>
    </x:row>
    <x:row r="1053" ht="145" customHeight="1">
      <x:c r="A1053" s="10" t="str">
        <x:v>V-R3</x:v>
      </x:c>
      <x:c r="B1053" s="10" t="str">
        <x:v>VOICE</x:v>
      </x:c>
      <x:c r="C1053" s="10" t="str">
        <x:v>VOICE:S5-02:input</x:v>
      </x:c>
      <x:c r="D1053" s="10" t="str">
        <x:v>{"exclusions":["설치비"],"goal":"비교표 작성","preserve_existing_tasks":true,"relation":"new_goal","targets":["S5-02:quote-L","S5-02:quote-R"]}</x:v>
      </x:c>
      <x:c r="E1053" s="10" t="str">
        <x:v>{"exclusions":["설치비"],"goal":"비교표 작성","preserve_existing_tasks":true,"relation":"new_goal","targets":["S5-02:quote-L","S5-02:quote-R"]}</x:v>
      </x:c>
      <x:c r="F1053" s="10" t="n">
        <x:f>IF(D1053=E1053,1,0)</x:f>
        <x:v>1</x:v>
      </x:c>
      <x:c r="G1053" s="10" t="str">
        <x:v>필수 의미 전체 일치</x:v>
      </x:c>
    </x:row>
    <x:row r="1054" ht="145" customHeight="1">
      <x:c r="A1054" s="10" t="str">
        <x:v>V-A</x:v>
      </x:c>
      <x:c r="B1054" s="10" t="str">
        <x:v>VOICE</x:v>
      </x:c>
      <x:c r="C1054" s="10" t="str">
        <x:v>VOICE:S5-03:input</x:v>
      </x:c>
      <x:c r="D1054" s="10" t="str">
        <x:v>{"exclusions":["설치비"],"goal":"비교표 작성","preserve_existing_tasks":true,"relation":"new_goal","targets":["S5-03:quote-L","S5-03:quote-R"]}</x:v>
      </x:c>
      <x:c r="E1054" s="10" t="str">
        <x:v>{"exclusions":["설치비"],"goal":"비교표 작성","preserve_existing_tasks":true,"relation":"new_goal","targets":["S5-03:quote-L","S5-03:quote-Z"]}</x:v>
      </x:c>
      <x:c r="F1054" s="10" t="n">
        <x:f>IF(D1054=E1054,1,0)</x:f>
        <x:v>0</x:v>
      </x:c>
      <x:c r="G1054" s="10" t="str">
        <x:v>원본의 경계/집합/스크롤 전후 동일성을 잘못 결합</x:v>
      </x:c>
    </x:row>
    <x:row r="1055" ht="145" customHeight="1">
      <x:c r="A1055" s="10" t="str">
        <x:v>V-R1</x:v>
      </x:c>
      <x:c r="B1055" s="10" t="str">
        <x:v>VOICE</x:v>
      </x:c>
      <x:c r="C1055" s="10" t="str">
        <x:v>VOICE:S5-03:input</x:v>
      </x:c>
      <x:c r="D1055" s="10" t="str">
        <x:v>{"exclusions":["설치비"],"goal":"비교표 작성","preserve_existing_tasks":true,"relation":"new_goal","targets":["S5-03:quote-L","S5-03:quote-R"]}</x:v>
      </x:c>
      <x:c r="E1055" s="10" t="str">
        <x:v>{"exclusions":["설치비"],"goal":"비교표 작성","preserve_existing_tasks":true,"relation":"new_goal","targets":["S5-03:quote-L","S5-03:quote-R"]}</x:v>
      </x:c>
      <x:c r="F1055" s="10" t="n">
        <x:f>IF(D1055=E1055,1,0)</x:f>
        <x:v>1</x:v>
      </x:c>
      <x:c r="G1055" s="10" t="str">
        <x:v>필수 의미 전체 일치</x:v>
      </x:c>
    </x:row>
    <x:row r="1056" ht="145" customHeight="1">
      <x:c r="A1056" s="10" t="str">
        <x:v>V-R2</x:v>
      </x:c>
      <x:c r="B1056" s="10" t="str">
        <x:v>VOICE</x:v>
      </x:c>
      <x:c r="C1056" s="10" t="str">
        <x:v>VOICE:S5-03:input</x:v>
      </x:c>
      <x:c r="D1056" s="10" t="str">
        <x:v>{"exclusions":["설치비"],"goal":"비교표 작성","preserve_existing_tasks":true,"relation":"new_goal","targets":["S5-03:quote-L","S5-03:quote-R"]}</x:v>
      </x:c>
      <x:c r="E1056" s="10" t="str">
        <x:v>{"exclusions":["설치비"],"goal":"비교표 작성","preserve_existing_tasks":true,"relation":"new_goal","targets":["S5-03:quote-L","S5-03:quote-R"]}</x:v>
      </x:c>
      <x:c r="F1056" s="10" t="n">
        <x:f>IF(D1056=E1056,1,0)</x:f>
        <x:v>1</x:v>
      </x:c>
      <x:c r="G1056" s="10" t="str">
        <x:v>필수 의미 전체 일치</x:v>
      </x:c>
    </x:row>
    <x:row r="1057" ht="145" customHeight="1">
      <x:c r="A1057" s="10" t="str">
        <x:v>V-R3</x:v>
      </x:c>
      <x:c r="B1057" s="10" t="str">
        <x:v>VOICE</x:v>
      </x:c>
      <x:c r="C1057" s="10" t="str">
        <x:v>VOICE:S5-03:input</x:v>
      </x:c>
      <x:c r="D1057" s="10" t="str">
        <x:v>{"exclusions":["설치비"],"goal":"비교표 작성","preserve_existing_tasks":true,"relation":"new_goal","targets":["S5-03:quote-L","S5-03:quote-R"]}</x:v>
      </x:c>
      <x:c r="E1057" s="10" t="str">
        <x:v>{"exclusions":["설치비"],"goal":"비교표 작성","preserve_existing_tasks":true,"relation":"new_goal","targets":["S5-03:quote-L","S5-03:quote-R"]}</x:v>
      </x:c>
      <x:c r="F1057" s="10" t="n">
        <x:f>IF(D1057=E1057,1,0)</x:f>
        <x:v>1</x:v>
      </x:c>
      <x:c r="G1057" s="10" t="str">
        <x:v>필수 의미 전체 일치</x:v>
      </x:c>
    </x:row>
    <x:row r="1058" ht="145" customHeight="1">
      <x:c r="A1058" s="10" t="str">
        <x:v>V-A</x:v>
      </x:c>
      <x:c r="B1058" s="10" t="str">
        <x:v>VOICE</x:v>
      </x:c>
      <x:c r="C1058" s="10" t="str">
        <x:v>VOICE:S5-04:input</x:v>
      </x:c>
      <x:c r="D1058" s="10" t="str">
        <x:v>{"exclusions":["설치비"],"goal":"비교표 작성","preserve_existing_tasks":true,"relation":"new_goal","targets":["S5-04:quote-L","S5-04:quote-R"]}</x:v>
      </x:c>
      <x:c r="E1058" s="10" t="str">
        <x:v>{"exclusions":["설치비"],"goal":"비교표 작성","preserve_existing_tasks":true,"relation":"new_goal","targets":["S5-04:quote-L","S5-04:quote-R"]}</x:v>
      </x:c>
      <x:c r="F1058" s="10" t="n">
        <x:f>IF(D1058=E1058,1,0)</x:f>
        <x:v>1</x:v>
      </x:c>
      <x:c r="G1058" s="10" t="str">
        <x:v>필수 의미 전체 일치</x:v>
      </x:c>
    </x:row>
    <x:row r="1059" ht="145" customHeight="1">
      <x:c r="A1059" s="10" t="str">
        <x:v>V-R1</x:v>
      </x:c>
      <x:c r="B1059" s="10" t="str">
        <x:v>VOICE</x:v>
      </x:c>
      <x:c r="C1059" s="10" t="str">
        <x:v>VOICE:S5-04:input</x:v>
      </x:c>
      <x:c r="D1059" s="10" t="str">
        <x:v>{"exclusions":["설치비"],"goal":"비교표 작성","preserve_existing_tasks":true,"relation":"new_goal","targets":["S5-04:quote-L","S5-04:quote-R"]}</x:v>
      </x:c>
      <x:c r="E1059" s="10" t="str">
        <x:v>{"exclusions":["설치비"],"goal":"비교표 작성","preserve_existing_tasks":true,"relation":"new_goal","targets":["S5-04:quote-L","S5-04:quote-Z"]}</x:v>
      </x:c>
      <x:c r="F1059" s="10" t="n">
        <x:f>IF(D1059=E1059,1,0)</x:f>
        <x:v>0</x:v>
      </x:c>
      <x:c r="G1059" s="10" t="str">
        <x:v>생산 후보 누락 또는 잘못된 경계/track을 결합 단계가 바로잡지 못함</x:v>
      </x:c>
    </x:row>
    <x:row r="1060" ht="145" customHeight="1">
      <x:c r="A1060" s="10" t="str">
        <x:v>V-R2</x:v>
      </x:c>
      <x:c r="B1060" s="10" t="str">
        <x:v>VOICE</x:v>
      </x:c>
      <x:c r="C1060" s="10" t="str">
        <x:v>VOICE:S5-04:input</x:v>
      </x:c>
      <x:c r="D1060" s="10" t="str">
        <x:v>{"exclusions":["설치비"],"goal":"비교표 작성","preserve_existing_tasks":true,"relation":"new_goal","targets":["S5-04:quote-L","S5-04:quote-R"]}</x:v>
      </x:c>
      <x:c r="E1060" s="10" t="str">
        <x:v>{"exclusions":["설치비"],"goal":"비교표 작성","preserve_existing_tasks":true,"relation":"new_goal","targets":["S5-04:quote-L","S5-04:quote-Z"]}</x:v>
      </x:c>
      <x:c r="F1060" s="10" t="n">
        <x:f>IF(D1060=E1060,1,0)</x:f>
        <x:v>0</x:v>
      </x:c>
      <x:c r="G1060" s="10" t="str">
        <x:v>생산 후보 누락 또는 잘못된 경계/track을 결합 단계가 바로잡지 못함</x:v>
      </x:c>
    </x:row>
    <x:row r="1061" ht="145" customHeight="1">
      <x:c r="A1061" s="10" t="str">
        <x:v>V-R3</x:v>
      </x:c>
      <x:c r="B1061" s="10" t="str">
        <x:v>VOICE</x:v>
      </x:c>
      <x:c r="C1061" s="10" t="str">
        <x:v>VOICE:S5-04:input</x:v>
      </x:c>
      <x:c r="D1061" s="10" t="str">
        <x:v>{"exclusions":["설치비"],"goal":"비교표 작성","preserve_existing_tasks":true,"relation":"new_goal","targets":["S5-04:quote-L","S5-04:quote-R"]}</x:v>
      </x:c>
      <x:c r="E1061" s="10" t="str">
        <x:v>{"exclusions":["설치비"],"goal":"비교표 작성","preserve_existing_tasks":true,"relation":"new_goal","targets":["S5-04:quote-L","S5-04:quote-Z"]}</x:v>
      </x:c>
      <x:c r="F1061" s="10" t="n">
        <x:f>IF(D1061=E1061,1,0)</x:f>
        <x:v>0</x:v>
      </x:c>
      <x:c r="G1061" s="10" t="str">
        <x:v>생산 후보 누락 또는 잘못된 경계/track을 결합 단계가 바로잡지 못함</x:v>
      </x:c>
    </x:row>
    <x:row r="1062" ht="145" customHeight="1">
      <x:c r="A1062" s="10" t="str">
        <x:v>V-A</x:v>
      </x:c>
      <x:c r="B1062" s="10" t="str">
        <x:v>VOICE</x:v>
      </x:c>
      <x:c r="C1062" s="10" t="str">
        <x:v>VOICE:S5-05:input</x:v>
      </x:c>
      <x:c r="D1062" s="10" t="str">
        <x:v>{"exclusions":["설치비"],"goal":"비교표 작성","preserve_existing_tasks":true,"relation":"new_goal","targets":["S5-05:quote-L","S5-05:quote-R"]}</x:v>
      </x:c>
      <x:c r="E1062" s="10" t="str">
        <x:v>{"exclusions":["설치비"],"goal":"비교표 작성","preserve_existing_tasks":true,"relation":"new_goal","targets":["S5-05:quote-L","S5-05:quote-R"]}</x:v>
      </x:c>
      <x:c r="F1062" s="10" t="n">
        <x:f>IF(D1062=E1062,1,0)</x:f>
        <x:v>1</x:v>
      </x:c>
      <x:c r="G1062" s="10" t="str">
        <x:v>필수 의미 전체 일치</x:v>
      </x:c>
    </x:row>
    <x:row r="1063" ht="145" customHeight="1">
      <x:c r="A1063" s="10" t="str">
        <x:v>V-R1</x:v>
      </x:c>
      <x:c r="B1063" s="10" t="str">
        <x:v>VOICE</x:v>
      </x:c>
      <x:c r="C1063" s="10" t="str">
        <x:v>VOICE:S5-05:input</x:v>
      </x:c>
      <x:c r="D1063" s="10" t="str">
        <x:v>{"exclusions":["설치비"],"goal":"비교표 작성","preserve_existing_tasks":true,"relation":"new_goal","targets":["S5-05:quote-L","S5-05:quote-R"]}</x:v>
      </x:c>
      <x:c r="E1063" s="10" t="str">
        <x:v>{"exclusions":["설치비"],"goal":"비교표 작성","preserve_existing_tasks":true,"relation":"new_goal","targets":["S5-05:quote-L","S5-05:quote-R"]}</x:v>
      </x:c>
      <x:c r="F1063" s="10" t="n">
        <x:f>IF(D1063=E1063,1,0)</x:f>
        <x:v>1</x:v>
      </x:c>
      <x:c r="G1063" s="10" t="str">
        <x:v>필수 의미 전체 일치</x:v>
      </x:c>
    </x:row>
    <x:row r="1064" ht="145" customHeight="1">
      <x:c r="A1064" s="10" t="str">
        <x:v>V-R2</x:v>
      </x:c>
      <x:c r="B1064" s="10" t="str">
        <x:v>VOICE</x:v>
      </x:c>
      <x:c r="C1064" s="10" t="str">
        <x:v>VOICE:S5-05:input</x:v>
      </x:c>
      <x:c r="D1064" s="10" t="str">
        <x:v>{"exclusions":["설치비"],"goal":"비교표 작성","preserve_existing_tasks":true,"relation":"new_goal","targets":["S5-05:quote-L","S5-05:quote-R"]}</x:v>
      </x:c>
      <x:c r="E1064" s="10" t="str">
        <x:v>{"exclusions":["설치비"],"goal":"비교표 작성","preserve_existing_tasks":true,"relation":"new_goal","targets":["S5-05:quote-L","S5-05:quote-R"]}</x:v>
      </x:c>
      <x:c r="F1064" s="10" t="n">
        <x:f>IF(D1064=E1064,1,0)</x:f>
        <x:v>1</x:v>
      </x:c>
      <x:c r="G1064" s="10" t="str">
        <x:v>필수 의미 전체 일치</x:v>
      </x:c>
    </x:row>
    <x:row r="1065" ht="145" customHeight="1">
      <x:c r="A1065" s="10" t="str">
        <x:v>V-R3</x:v>
      </x:c>
      <x:c r="B1065" s="10" t="str">
        <x:v>VOICE</x:v>
      </x:c>
      <x:c r="C1065" s="10" t="str">
        <x:v>VOICE:S5-05:input</x:v>
      </x:c>
      <x:c r="D1065" s="10" t="str">
        <x:v>{"exclusions":["설치비"],"goal":"비교표 작성","preserve_existing_tasks":true,"relation":"new_goal","targets":["S5-05:quote-L","S5-05:quote-R"]}</x:v>
      </x:c>
      <x:c r="E1065" s="10" t="str">
        <x:v>{"exclusions":["설치비"],"goal":"비교표 작성","preserve_existing_tasks":true,"relation":"new_goal","targets":["S5-05:quote-L","S5-05:quote-R"]}</x:v>
      </x:c>
      <x:c r="F1065" s="10" t="n">
        <x:f>IF(D1065=E1065,1,0)</x:f>
        <x:v>1</x:v>
      </x:c>
      <x:c r="G1065" s="10" t="str">
        <x:v>필수 의미 전체 일치</x:v>
      </x:c>
    </x:row>
    <x:row r="1066" ht="145" customHeight="1">
      <x:c r="A1066" s="10" t="str">
        <x:v>V-A</x:v>
      </x:c>
      <x:c r="B1066" s="10" t="str">
        <x:v>VOICE</x:v>
      </x:c>
      <x:c r="C1066" s="10" t="str">
        <x:v>VOICE:S5-06:input</x:v>
      </x:c>
      <x:c r="D1066" s="10" t="str">
        <x:v>{"exclusions":["설치비"],"goal":"비교표 작성","preserve_existing_tasks":true,"relation":"new_goal","targets":["S5-06:quote-L","S5-06:quote-R"]}</x:v>
      </x:c>
      <x:c r="E1066" s="10" t="str">
        <x:v>{"exclusions":["설치비"],"goal":"비교표 작성","preserve_existing_tasks":true,"relation":"new_goal","targets":["S5-06:quote-L","S5-06:quote-R"]}</x:v>
      </x:c>
      <x:c r="F1066" s="10" t="n">
        <x:f>IF(D1066=E1066,1,0)</x:f>
        <x:v>1</x:v>
      </x:c>
      <x:c r="G1066" s="10" t="str">
        <x:v>필수 의미 전체 일치</x:v>
      </x:c>
    </x:row>
    <x:row r="1067" ht="145" customHeight="1">
      <x:c r="A1067" s="10" t="str">
        <x:v>V-R1</x:v>
      </x:c>
      <x:c r="B1067" s="10" t="str">
        <x:v>VOICE</x:v>
      </x:c>
      <x:c r="C1067" s="10" t="str">
        <x:v>VOICE:S5-06:input</x:v>
      </x:c>
      <x:c r="D1067" s="10" t="str">
        <x:v>{"exclusions":["설치비"],"goal":"비교표 작성","preserve_existing_tasks":true,"relation":"new_goal","targets":["S5-06:quote-L","S5-06:quote-R"]}</x:v>
      </x:c>
      <x:c r="E1067" s="10" t="str">
        <x:v>{"exclusions":["설치비"],"goal":"비교표 작성","preserve_existing_tasks":true,"relation":"new_goal","targets":["S5-06:quote-L","S5-06:quote-R"]}</x:v>
      </x:c>
      <x:c r="F1067" s="10" t="n">
        <x:f>IF(D1067=E1067,1,0)</x:f>
        <x:v>1</x:v>
      </x:c>
      <x:c r="G1067" s="10" t="str">
        <x:v>필수 의미 전체 일치</x:v>
      </x:c>
    </x:row>
    <x:row r="1068" ht="145" customHeight="1">
      <x:c r="A1068" s="10" t="str">
        <x:v>V-R2</x:v>
      </x:c>
      <x:c r="B1068" s="10" t="str">
        <x:v>VOICE</x:v>
      </x:c>
      <x:c r="C1068" s="10" t="str">
        <x:v>VOICE:S5-06:input</x:v>
      </x:c>
      <x:c r="D1068" s="10" t="str">
        <x:v>{"exclusions":["설치비"],"goal":"비교표 작성","preserve_existing_tasks":true,"relation":"new_goal","targets":["S5-06:quote-L","S5-06:quote-R"]}</x:v>
      </x:c>
      <x:c r="E1068" s="10" t="str">
        <x:v>{"exclusions":["설치비"],"goal":"비교표 작성","preserve_existing_tasks":true,"relation":"new_goal","targets":["S5-06:quote-L","S5-06:quote-R"]}</x:v>
      </x:c>
      <x:c r="F1068" s="10" t="n">
        <x:f>IF(D1068=E1068,1,0)</x:f>
        <x:v>1</x:v>
      </x:c>
      <x:c r="G1068" s="10" t="str">
        <x:v>필수 의미 전체 일치</x:v>
      </x:c>
    </x:row>
    <x:row r="1069" ht="145" customHeight="1">
      <x:c r="A1069" s="10" t="str">
        <x:v>V-R3</x:v>
      </x:c>
      <x:c r="B1069" s="10" t="str">
        <x:v>VOICE</x:v>
      </x:c>
      <x:c r="C1069" s="10" t="str">
        <x:v>VOICE:S5-06:input</x:v>
      </x:c>
      <x:c r="D1069" s="10" t="str">
        <x:v>{"exclusions":["설치비"],"goal":"비교표 작성","preserve_existing_tasks":true,"relation":"new_goal","targets":["S5-06:quote-L","S5-06:quote-R"]}</x:v>
      </x:c>
      <x:c r="E1069" s="10" t="str">
        <x:v>{"exclusions":["설치비"],"goal":"비교표 작성","preserve_existing_tasks":true,"relation":"new_goal","targets":["S5-06:quote-L","S5-06:quote-R"]}</x:v>
      </x:c>
      <x:c r="F1069" s="10" t="n">
        <x:f>IF(D1069=E1069,1,0)</x:f>
        <x:v>1</x:v>
      </x:c>
      <x:c r="G1069" s="10" t="str">
        <x:v>필수 의미 전체 일치</x:v>
      </x:c>
    </x:row>
    <x:row r="1070" ht="145" customHeight="1">
      <x:c r="A1070" s="10" t="str">
        <x:v>V-A</x:v>
      </x:c>
      <x:c r="B1070" s="10" t="str">
        <x:v>VOICE</x:v>
      </x:c>
      <x:c r="C1070" s="10" t="str">
        <x:v>VOICE:S5-07:input</x:v>
      </x:c>
      <x:c r="D1070" s="10" t="str">
        <x:v>{"exclusions":["설치비"],"goal":"비교표 작성","preserve_existing_tasks":true,"relation":"new_goal","targets":["S5-07:quote-L","S5-07:quote-R"]}</x:v>
      </x:c>
      <x:c r="E1070" s="10" t="str">
        <x:v>{"exclusions":["설치비"],"goal":"비교표 작성","preserve_existing_tasks":true,"relation":"new_goal","targets":["S5-07:quote-L","S5-07:quote-R"]}</x:v>
      </x:c>
      <x:c r="F1070" s="10" t="n">
        <x:f>IF(D1070=E1070,1,0)</x:f>
        <x:v>1</x:v>
      </x:c>
      <x:c r="G1070" s="10" t="str">
        <x:v>필수 의미 전체 일치</x:v>
      </x:c>
    </x:row>
    <x:row r="1071" ht="145" customHeight="1">
      <x:c r="A1071" s="10" t="str">
        <x:v>V-R1</x:v>
      </x:c>
      <x:c r="B1071" s="10" t="str">
        <x:v>VOICE</x:v>
      </x:c>
      <x:c r="C1071" s="10" t="str">
        <x:v>VOICE:S5-07:input</x:v>
      </x:c>
      <x:c r="D1071" s="10" t="str">
        <x:v>{"exclusions":["설치비"],"goal":"비교표 작성","preserve_existing_tasks":true,"relation":"new_goal","targets":["S5-07:quote-L","S5-07:quote-R"]}</x:v>
      </x:c>
      <x:c r="E1071" s="10" t="str">
        <x:v>{"exclusions":["설치비"],"goal":"비교표 작성","preserve_existing_tasks":true,"relation":"new_goal","targets":["S5-07:quote-L","S5-07:quote-R"]}</x:v>
      </x:c>
      <x:c r="F1071" s="10" t="n">
        <x:f>IF(D1071=E1071,1,0)</x:f>
        <x:v>1</x:v>
      </x:c>
      <x:c r="G1071" s="10" t="str">
        <x:v>필수 의미 전체 일치</x:v>
      </x:c>
    </x:row>
    <x:row r="1072" ht="145" customHeight="1">
      <x:c r="A1072" s="10" t="str">
        <x:v>V-R2</x:v>
      </x:c>
      <x:c r="B1072" s="10" t="str">
        <x:v>VOICE</x:v>
      </x:c>
      <x:c r="C1072" s="10" t="str">
        <x:v>VOICE:S5-07:input</x:v>
      </x:c>
      <x:c r="D1072" s="10" t="str">
        <x:v>{"exclusions":["설치비"],"goal":"비교표 작성","preserve_existing_tasks":true,"relation":"new_goal","targets":["S5-07:quote-L","S5-07:quote-R"]}</x:v>
      </x:c>
      <x:c r="E1072" s="10" t="str">
        <x:v>{"exclusions":["설치비"],"goal":"비교표 작성","preserve_existing_tasks":true,"relation":"new_goal","targets":["S5-07:quote-L","S5-07:quote-R"]}</x:v>
      </x:c>
      <x:c r="F1072" s="10" t="n">
        <x:f>IF(D1072=E1072,1,0)</x:f>
        <x:v>1</x:v>
      </x:c>
      <x:c r="G1072" s="10" t="str">
        <x:v>필수 의미 전체 일치</x:v>
      </x:c>
    </x:row>
    <x:row r="1073" ht="145" customHeight="1">
      <x:c r="A1073" s="10" t="str">
        <x:v>V-R3</x:v>
      </x:c>
      <x:c r="B1073" s="10" t="str">
        <x:v>VOICE</x:v>
      </x:c>
      <x:c r="C1073" s="10" t="str">
        <x:v>VOICE:S5-07:input</x:v>
      </x:c>
      <x:c r="D1073" s="10" t="str">
        <x:v>{"exclusions":["설치비"],"goal":"비교표 작성","preserve_existing_tasks":true,"relation":"new_goal","targets":["S5-07:quote-L","S5-07:quote-R"]}</x:v>
      </x:c>
      <x:c r="E1073" s="10" t="str">
        <x:v>{"exclusions":["설치비"],"goal":"비교표 작성","preserve_existing_tasks":true,"relation":"new_goal","targets":["S5-07:quote-L","S5-07:quote-R"]}</x:v>
      </x:c>
      <x:c r="F1073" s="10" t="n">
        <x:f>IF(D1073=E1073,1,0)</x:f>
        <x:v>1</x:v>
      </x:c>
      <x:c r="G1073" s="10" t="str">
        <x:v>필수 의미 전체 일치</x:v>
      </x:c>
    </x:row>
    <x:row r="1074" ht="145" customHeight="1">
      <x:c r="A1074" s="10" t="str">
        <x:v>V-A</x:v>
      </x:c>
      <x:c r="B1074" s="10" t="str">
        <x:v>VOICE</x:v>
      </x:c>
      <x:c r="C1074" s="10" t="str">
        <x:v>VOICE:S5-08:input</x:v>
      </x:c>
      <x:c r="D1074" s="10" t="str">
        <x:v>{"exclusions":["설치비"],"goal":"비교표 작성","preserve_existing_tasks":true,"relation":"new_goal","targets":["S5-08:quote-L","S5-08:quote-R"]}</x:v>
      </x:c>
      <x:c r="E1074" s="10" t="str">
        <x:v>{"exclusions":["설치비"],"goal":"비교표 작성","preserve_existing_tasks":true,"relation":"new_goal","targets":["S5-08:quote-L","S5-08:quote-R"]}</x:v>
      </x:c>
      <x:c r="F1074" s="10" t="n">
        <x:f>IF(D1074=E1074,1,0)</x:f>
        <x:v>1</x:v>
      </x:c>
      <x:c r="G1074" s="10" t="str">
        <x:v>필수 의미 전체 일치</x:v>
      </x:c>
    </x:row>
    <x:row r="1075" ht="145" customHeight="1">
      <x:c r="A1075" s="10" t="str">
        <x:v>V-R1</x:v>
      </x:c>
      <x:c r="B1075" s="10" t="str">
        <x:v>VOICE</x:v>
      </x:c>
      <x:c r="C1075" s="10" t="str">
        <x:v>VOICE:S5-08:input</x:v>
      </x:c>
      <x:c r="D1075" s="10" t="str">
        <x:v>{"exclusions":["설치비"],"goal":"비교표 작성","preserve_existing_tasks":true,"relation":"new_goal","targets":["S5-08:quote-L","S5-08:quote-R"]}</x:v>
      </x:c>
      <x:c r="E1075" s="10" t="str">
        <x:v>{"exclusions":["설치비"],"goal":"비교표 작성","preserve_existing_tasks":true,"relation":"new_goal","targets":["S5-08:quote-L","S5-08:quote-R"]}</x:v>
      </x:c>
      <x:c r="F1075" s="10" t="n">
        <x:f>IF(D1075=E1075,1,0)</x:f>
        <x:v>1</x:v>
      </x:c>
      <x:c r="G1075" s="10" t="str">
        <x:v>필수 의미 전체 일치</x:v>
      </x:c>
    </x:row>
    <x:row r="1076" ht="145" customHeight="1">
      <x:c r="A1076" s="10" t="str">
        <x:v>V-R2</x:v>
      </x:c>
      <x:c r="B1076" s="10" t="str">
        <x:v>VOICE</x:v>
      </x:c>
      <x:c r="C1076" s="10" t="str">
        <x:v>VOICE:S5-08:input</x:v>
      </x:c>
      <x:c r="D1076" s="10" t="str">
        <x:v>{"exclusions":["설치비"],"goal":"비교표 작성","preserve_existing_tasks":true,"relation":"new_goal","targets":["S5-08:quote-L","S5-08:quote-R"]}</x:v>
      </x:c>
      <x:c r="E1076" s="10" t="str">
        <x:v>{"exclusions":["설치비"],"goal":"비교표 작성","preserve_existing_tasks":true,"relation":"new_goal","targets":["S5-08:quote-L","S5-08:quote-R"]}</x:v>
      </x:c>
      <x:c r="F1076" s="10" t="n">
        <x:f>IF(D1076=E1076,1,0)</x:f>
        <x:v>1</x:v>
      </x:c>
      <x:c r="G1076" s="10" t="str">
        <x:v>필수 의미 전체 일치</x:v>
      </x:c>
    </x:row>
    <x:row r="1077" ht="145" customHeight="1">
      <x:c r="A1077" s="10" t="str">
        <x:v>V-R3</x:v>
      </x:c>
      <x:c r="B1077" s="10" t="str">
        <x:v>VOICE</x:v>
      </x:c>
      <x:c r="C1077" s="10" t="str">
        <x:v>VOICE:S5-08:input</x:v>
      </x:c>
      <x:c r="D1077" s="10" t="str">
        <x:v>{"exclusions":["설치비"],"goal":"비교표 작성","preserve_existing_tasks":true,"relation":"new_goal","targets":["S5-08:quote-L","S5-08:quote-R"]}</x:v>
      </x:c>
      <x:c r="E1077" s="10" t="str">
        <x:v>{"exclusions":["설치비"],"goal":"비교표 작성","preserve_existing_tasks":true,"relation":"new_goal","targets":["S5-08:quote-L","S5-08:quote-R"]}</x:v>
      </x:c>
      <x:c r="F1077" s="10" t="n">
        <x:f>IF(D1077=E1077,1,0)</x:f>
        <x:v>1</x:v>
      </x:c>
      <x:c r="G1077" s="10" t="str">
        <x:v>필수 의미 전체 일치</x:v>
      </x:c>
    </x:row>
    <x:row r="1078" ht="145" customHeight="1">
      <x:c r="A1078" s="10" t="str">
        <x:v>V-A</x:v>
      </x:c>
      <x:c r="B1078" s="10" t="str">
        <x:v>VOICE</x:v>
      </x:c>
      <x:c r="C1078" s="10" t="str">
        <x:v>VOICE:S5-09:input</x:v>
      </x:c>
      <x:c r="D1078" s="10" t="str">
        <x:v>{"exclusions":["설치비"],"goal":"비교표 작성","preserve_existing_tasks":true,"relation":"new_goal","targets":["S5-09:quote-L","S5-09:quote-R"]}</x:v>
      </x:c>
      <x:c r="E1078" s="10" t="str">
        <x:v>{"exclusions":["설치비"],"goal":"비교표 작성","preserve_existing_tasks":true,"relation":"new_goal","targets":["S5-09:quote-L","S5-09:quote-R"]}</x:v>
      </x:c>
      <x:c r="F1078" s="10" t="n">
        <x:f>IF(D1078=E1078,1,0)</x:f>
        <x:v>1</x:v>
      </x:c>
      <x:c r="G1078" s="10" t="str">
        <x:v>필수 의미 전체 일치</x:v>
      </x:c>
    </x:row>
    <x:row r="1079" ht="145" customHeight="1">
      <x:c r="A1079" s="10" t="str">
        <x:v>V-R1</x:v>
      </x:c>
      <x:c r="B1079" s="10" t="str">
        <x:v>VOICE</x:v>
      </x:c>
      <x:c r="C1079" s="10" t="str">
        <x:v>VOICE:S5-09:input</x:v>
      </x:c>
      <x:c r="D1079" s="10" t="str">
        <x:v>{"exclusions":["설치비"],"goal":"비교표 작성","preserve_existing_tasks":true,"relation":"new_goal","targets":["S5-09:quote-L","S5-09:quote-R"]}</x:v>
      </x:c>
      <x:c r="E1079" s="10" t="str">
        <x:v>{"exclusions":["설치비"],"goal":"비교표 작성","preserve_existing_tasks":true,"relation":"new_goal","targets":["S5-09:quote-L","S5-09:quote-R"]}</x:v>
      </x:c>
      <x:c r="F1079" s="10" t="n">
        <x:f>IF(D1079=E1079,1,0)</x:f>
        <x:v>1</x:v>
      </x:c>
      <x:c r="G1079" s="10" t="str">
        <x:v>필수 의미 전체 일치</x:v>
      </x:c>
    </x:row>
    <x:row r="1080" ht="145" customHeight="1">
      <x:c r="A1080" s="10" t="str">
        <x:v>V-R2</x:v>
      </x:c>
      <x:c r="B1080" s="10" t="str">
        <x:v>VOICE</x:v>
      </x:c>
      <x:c r="C1080" s="10" t="str">
        <x:v>VOICE:S5-09:input</x:v>
      </x:c>
      <x:c r="D1080" s="10" t="str">
        <x:v>{"exclusions":["설치비"],"goal":"비교표 작성","preserve_existing_tasks":true,"relation":"new_goal","targets":["S5-09:quote-L","S5-09:quote-R"]}</x:v>
      </x:c>
      <x:c r="E1080" s="10" t="str">
        <x:v>{"exclusions":["설치비"],"goal":"비교표 작성","preserve_existing_tasks":true,"relation":"new_goal","targets":["S5-09:quote-L","S5-09:quote-R"]}</x:v>
      </x:c>
      <x:c r="F1080" s="10" t="n">
        <x:f>IF(D1080=E1080,1,0)</x:f>
        <x:v>1</x:v>
      </x:c>
      <x:c r="G1080" s="10" t="str">
        <x:v>필수 의미 전체 일치</x:v>
      </x:c>
    </x:row>
    <x:row r="1081" ht="145" customHeight="1">
      <x:c r="A1081" s="10" t="str">
        <x:v>V-R3</x:v>
      </x:c>
      <x:c r="B1081" s="10" t="str">
        <x:v>VOICE</x:v>
      </x:c>
      <x:c r="C1081" s="10" t="str">
        <x:v>VOICE:S5-09:input</x:v>
      </x:c>
      <x:c r="D1081" s="10" t="str">
        <x:v>{"exclusions":["설치비"],"goal":"비교표 작성","preserve_existing_tasks":true,"relation":"new_goal","targets":["S5-09:quote-L","S5-09:quote-R"]}</x:v>
      </x:c>
      <x:c r="E1081" s="10" t="str">
        <x:v>{"exclusions":["설치비"],"goal":"비교표 작성","preserve_existing_tasks":true,"relation":"new_goal","targets":["S5-09:quote-L","S5-09:quote-R"]}</x:v>
      </x:c>
      <x:c r="F1081" s="10" t="n">
        <x:f>IF(D1081=E1081,1,0)</x:f>
        <x:v>1</x:v>
      </x:c>
      <x:c r="G1081" s="10" t="str">
        <x:v>필수 의미 전체 일치</x:v>
      </x:c>
    </x:row>
    <x:row r="1082" ht="145" customHeight="1">
      <x:c r="A1082" s="10" t="str">
        <x:v>V-A</x:v>
      </x:c>
      <x:c r="B1082" s="10" t="str">
        <x:v>VOICE</x:v>
      </x:c>
      <x:c r="C1082" s="10" t="str">
        <x:v>VOICE:S5-10:input</x:v>
      </x:c>
      <x:c r="D1082" s="10" t="str">
        <x:v>{"exclusions":["설치비"],"goal":"비교표 작성","preserve_existing_tasks":true,"relation":"new_goal","targets":["S5-10:quote-L","S5-10:quote-R"]}</x:v>
      </x:c>
      <x:c r="E1082" s="10" t="str">
        <x:v>{"exclusions":[],"goal":"비교표 작성","preserve_existing_tasks":true,"relation":"new_goal","targets":["S5-10:quote-L","S5-10:quote-R"]}</x:v>
      </x:c>
      <x:c r="F1082" s="10" t="n">
        <x:f>IF(D1082=E1082,1,0)</x:f>
        <x:v>0</x:v>
      </x:c>
      <x:c r="G1082" s="10" t="str">
        <x:v>대상은 맞지만 설치비 제외 조건을 최초 채택에서 누락</x:v>
      </x:c>
    </x:row>
    <x:row r="1083" ht="145" customHeight="1">
      <x:c r="A1083" s="10" t="str">
        <x:v>V-R1</x:v>
      </x:c>
      <x:c r="B1083" s="10" t="str">
        <x:v>VOICE</x:v>
      </x:c>
      <x:c r="C1083" s="10" t="str">
        <x:v>VOICE:S5-10:input</x:v>
      </x:c>
      <x:c r="D1083" s="10" t="str">
        <x:v>{"exclusions":["설치비"],"goal":"비교표 작성","preserve_existing_tasks":true,"relation":"new_goal","targets":["S5-10:quote-L","S5-10:quote-R"]}</x:v>
      </x:c>
      <x:c r="E1083" s="10" t="str">
        <x:v>{"exclusions":[],"goal":"비교표 작성","preserve_existing_tasks":true,"relation":"new_goal","targets":["S5-10:quote-L","S5-10:quote-R"]}</x:v>
      </x:c>
      <x:c r="F1083" s="10" t="n">
        <x:f>IF(D1083=E1083,1,0)</x:f>
        <x:v>0</x:v>
      </x:c>
      <x:c r="G1083" s="10" t="str">
        <x:v>대상은 맞지만 설치비 제외 조건을 최초 채택에서 누락</x:v>
      </x:c>
    </x:row>
    <x:row r="1084" ht="145" customHeight="1">
      <x:c r="A1084" s="10" t="str">
        <x:v>V-R2</x:v>
      </x:c>
      <x:c r="B1084" s="10" t="str">
        <x:v>VOICE</x:v>
      </x:c>
      <x:c r="C1084" s="10" t="str">
        <x:v>VOICE:S5-10:input</x:v>
      </x:c>
      <x:c r="D1084" s="10" t="str">
        <x:v>{"exclusions":["설치비"],"goal":"비교표 작성","preserve_existing_tasks":true,"relation":"new_goal","targets":["S5-10:quote-L","S5-10:quote-R"]}</x:v>
      </x:c>
      <x:c r="E1084" s="10" t="str">
        <x:v>{"exclusions":[],"goal":"비교표 작성","preserve_existing_tasks":true,"relation":"new_goal","targets":["S5-10:quote-L","S5-10:quote-R"]}</x:v>
      </x:c>
      <x:c r="F1084" s="10" t="n">
        <x:f>IF(D1084=E1084,1,0)</x:f>
        <x:v>0</x:v>
      </x:c>
      <x:c r="G1084" s="10" t="str">
        <x:v>대상은 맞지만 설치비 제외 조건을 최초 채택에서 누락</x:v>
      </x:c>
    </x:row>
    <x:row r="1085" ht="145" customHeight="1">
      <x:c r="A1085" s="10" t="str">
        <x:v>V-R3</x:v>
      </x:c>
      <x:c r="B1085" s="10" t="str">
        <x:v>VOICE</x:v>
      </x:c>
      <x:c r="C1085" s="10" t="str">
        <x:v>VOICE:S5-10:input</x:v>
      </x:c>
      <x:c r="D1085" s="10" t="str">
        <x:v>{"exclusions":["설치비"],"goal":"비교표 작성","preserve_existing_tasks":true,"relation":"new_goal","targets":["S5-10:quote-L","S5-10:quote-R"]}</x:v>
      </x:c>
      <x:c r="E1085" s="10" t="str">
        <x:v>{"exclusions":[],"goal":"비교표 작성","preserve_existing_tasks":true,"relation":"new_goal","targets":["S5-10:quote-L","S5-10:quote-R"]}</x:v>
      </x:c>
      <x:c r="F1085" s="10" t="n">
        <x:f>IF(D1085=E1085,1,0)</x:f>
        <x:v>0</x:v>
      </x:c>
      <x:c r="G1085" s="10" t="str">
        <x:v>대상은 맞지만 설치비 제외 조건을 최초 채택에서 누락</x:v>
      </x:c>
    </x:row>
    <x:row r="1086" ht="145" customHeight="1">
      <x:c r="A1086" s="10" t="str">
        <x:v>V-A</x:v>
      </x:c>
      <x:c r="B1086" s="10" t="str">
        <x:v>VOICE</x:v>
      </x:c>
      <x:c r="C1086" s="10" t="str">
        <x:v>VOICE:S5-11:input</x:v>
      </x:c>
      <x:c r="D1086" s="10" t="str">
        <x:v>{"exclusions":["설치비"],"goal":"비교표 작성","preserve_existing_tasks":true,"relation":"new_goal","targets":["S5-11:quote-L","S5-11:quote-R"]}</x:v>
      </x:c>
      <x:c r="E1086" s="10" t="str">
        <x:v>{"exclusions":["설치비"],"goal":"비교표 작성","preserve_existing_tasks":true,"relation":"new_goal","targets":["S5-11:quote-L","S5-11:quote-R"]}</x:v>
      </x:c>
      <x:c r="F1086" s="10" t="n">
        <x:f>IF(D1086=E1086,1,0)</x:f>
        <x:v>1</x:v>
      </x:c>
      <x:c r="G1086" s="10" t="str">
        <x:v>필수 의미 전체 일치</x:v>
      </x:c>
    </x:row>
    <x:row r="1087" ht="145" customHeight="1">
      <x:c r="A1087" s="10" t="str">
        <x:v>V-R1</x:v>
      </x:c>
      <x:c r="B1087" s="10" t="str">
        <x:v>VOICE</x:v>
      </x:c>
      <x:c r="C1087" s="10" t="str">
        <x:v>VOICE:S5-11:input</x:v>
      </x:c>
      <x:c r="D1087" s="10" t="str">
        <x:v>{"exclusions":["설치비"],"goal":"비교표 작성","preserve_existing_tasks":true,"relation":"new_goal","targets":["S5-11:quote-L","S5-11:quote-R"]}</x:v>
      </x:c>
      <x:c r="E1087" s="10" t="str">
        <x:v>{"exclusions":["설치비"],"goal":"비교표 작성","preserve_existing_tasks":true,"relation":"new_goal","targets":["S5-11:quote-L","S5-11:quote-R"]}</x:v>
      </x:c>
      <x:c r="F1087" s="10" t="n">
        <x:f>IF(D1087=E1087,1,0)</x:f>
        <x:v>1</x:v>
      </x:c>
      <x:c r="G1087" s="10" t="str">
        <x:v>필수 의미 전체 일치</x:v>
      </x:c>
    </x:row>
    <x:row r="1088" ht="145" customHeight="1">
      <x:c r="A1088" s="10" t="str">
        <x:v>V-R2</x:v>
      </x:c>
      <x:c r="B1088" s="10" t="str">
        <x:v>VOICE</x:v>
      </x:c>
      <x:c r="C1088" s="10" t="str">
        <x:v>VOICE:S5-11:input</x:v>
      </x:c>
      <x:c r="D1088" s="10" t="str">
        <x:v>{"exclusions":["설치비"],"goal":"비교표 작성","preserve_existing_tasks":true,"relation":"new_goal","targets":["S5-11:quote-L","S5-11:quote-R"]}</x:v>
      </x:c>
      <x:c r="E1088" s="10" t="str">
        <x:v>{"exclusions":["설치비"],"goal":"비교표 작성","preserve_existing_tasks":true,"relation":"new_goal","targets":["S5-11:quote-L","S5-11:quote-R"]}</x:v>
      </x:c>
      <x:c r="F1088" s="10" t="n">
        <x:f>IF(D1088=E1088,1,0)</x:f>
        <x:v>1</x:v>
      </x:c>
      <x:c r="G1088" s="10" t="str">
        <x:v>필수 의미 전체 일치</x:v>
      </x:c>
    </x:row>
    <x:row r="1089" ht="145" customHeight="1">
      <x:c r="A1089" s="10" t="str">
        <x:v>V-R3</x:v>
      </x:c>
      <x:c r="B1089" s="10" t="str">
        <x:v>VOICE</x:v>
      </x:c>
      <x:c r="C1089" s="10" t="str">
        <x:v>VOICE:S5-11:input</x:v>
      </x:c>
      <x:c r="D1089" s="10" t="str">
        <x:v>{"exclusions":["설치비"],"goal":"비교표 작성","preserve_existing_tasks":true,"relation":"new_goal","targets":["S5-11:quote-L","S5-11:quote-R"]}</x:v>
      </x:c>
      <x:c r="E1089" s="10" t="str">
        <x:v>{"exclusions":["설치비"],"goal":"비교표 작성","preserve_existing_tasks":true,"relation":"new_goal","targets":["S5-11:quote-L","S5-11:quote-R"]}</x:v>
      </x:c>
      <x:c r="F1089" s="10" t="n">
        <x:f>IF(D1089=E1089,1,0)</x:f>
        <x:v>1</x:v>
      </x:c>
      <x:c r="G1089" s="10" t="str">
        <x:v>필수 의미 전체 일치</x:v>
      </x:c>
    </x:row>
    <x:row r="1090" ht="145" customHeight="1">
      <x:c r="A1090" s="10" t="str">
        <x:v>V-A</x:v>
      </x:c>
      <x:c r="B1090" s="10" t="str">
        <x:v>VOICE</x:v>
      </x:c>
      <x:c r="C1090" s="10" t="str">
        <x:v>VOICE:S5-12:input</x:v>
      </x:c>
      <x:c r="D1090" s="10" t="str">
        <x:v>{"exclusions":["설치비"],"goal":"비교표 작성","preserve_existing_tasks":true,"relation":"new_goal","targets":["S5-12:quote-L","S5-12:quote-R"]}</x:v>
      </x:c>
      <x:c r="E1090" s="10" t="str">
        <x:v>{"exclusions":["설치비"],"goal":"비교표 작성","preserve_existing_tasks":true,"relation":"new_goal","targets":["S5-12:quote-L","S5-12:quote-R"]}</x:v>
      </x:c>
      <x:c r="F1090" s="10" t="n">
        <x:f>IF(D1090=E1090,1,0)</x:f>
        <x:v>1</x:v>
      </x:c>
      <x:c r="G1090" s="10" t="str">
        <x:v>필수 의미 전체 일치</x:v>
      </x:c>
    </x:row>
    <x:row r="1091" ht="145" customHeight="1">
      <x:c r="A1091" s="10" t="str">
        <x:v>V-R1</x:v>
      </x:c>
      <x:c r="B1091" s="10" t="str">
        <x:v>VOICE</x:v>
      </x:c>
      <x:c r="C1091" s="10" t="str">
        <x:v>VOICE:S5-12:input</x:v>
      </x:c>
      <x:c r="D1091" s="10" t="str">
        <x:v>{"exclusions":["설치비"],"goal":"비교표 작성","preserve_existing_tasks":true,"relation":"new_goal","targets":["S5-12:quote-L","S5-12:quote-R"]}</x:v>
      </x:c>
      <x:c r="E1091" s="10" t="str">
        <x:v>{"exclusions":["설치비"],"goal":"비교표 작성","preserve_existing_tasks":true,"relation":"new_goal","targets":["S5-12:quote-L","S5-12:quote-R"]}</x:v>
      </x:c>
      <x:c r="F1091" s="10" t="n">
        <x:f>IF(D1091=E1091,1,0)</x:f>
        <x:v>1</x:v>
      </x:c>
      <x:c r="G1091" s="10" t="str">
        <x:v>필수 의미 전체 일치</x:v>
      </x:c>
    </x:row>
    <x:row r="1092" ht="145" customHeight="1">
      <x:c r="A1092" s="10" t="str">
        <x:v>V-R2</x:v>
      </x:c>
      <x:c r="B1092" s="10" t="str">
        <x:v>VOICE</x:v>
      </x:c>
      <x:c r="C1092" s="10" t="str">
        <x:v>VOICE:S5-12:input</x:v>
      </x:c>
      <x:c r="D1092" s="10" t="str">
        <x:v>{"exclusions":["설치비"],"goal":"비교표 작성","preserve_existing_tasks":true,"relation":"new_goal","targets":["S5-12:quote-L","S5-12:quote-R"]}</x:v>
      </x:c>
      <x:c r="E1092" s="10" t="str">
        <x:v>{"exclusions":["설치비"],"goal":"비교표 작성","preserve_existing_tasks":true,"relation":"new_goal","targets":["S5-12:quote-L","S5-12:quote-R"]}</x:v>
      </x:c>
      <x:c r="F1092" s="10" t="n">
        <x:f>IF(D1092=E1092,1,0)</x:f>
        <x:v>1</x:v>
      </x:c>
      <x:c r="G1092" s="10" t="str">
        <x:v>필수 의미 전체 일치</x:v>
      </x:c>
    </x:row>
    <x:row r="1093" ht="145" customHeight="1">
      <x:c r="A1093" s="10" t="str">
        <x:v>V-R3</x:v>
      </x:c>
      <x:c r="B1093" s="10" t="str">
        <x:v>VOICE</x:v>
      </x:c>
      <x:c r="C1093" s="10" t="str">
        <x:v>VOICE:S5-12:input</x:v>
      </x:c>
      <x:c r="D1093" s="10" t="str">
        <x:v>{"exclusions":["설치비"],"goal":"비교표 작성","preserve_existing_tasks":true,"relation":"new_goal","targets":["S5-12:quote-L","S5-12:quote-R"]}</x:v>
      </x:c>
      <x:c r="E1093" s="10" t="str">
        <x:v>{"exclusions":["설치비"],"goal":"비교표 작성","preserve_existing_tasks":true,"relation":"new_goal","targets":["S5-12:quote-L","S5-12:quote-R"]}</x:v>
      </x:c>
      <x:c r="F1093" s="10" t="n">
        <x:f>IF(D1093=E1093,1,0)</x:f>
        <x:v>1</x:v>
      </x:c>
      <x:c r="G1093" s="10" t="str">
        <x:v>필수 의미 전체 일치</x:v>
      </x:c>
    </x:row>
    <x:row r="1094" ht="145" customHeight="1">
      <x:c r="A1094" s="10" t="str">
        <x:v>V-A</x:v>
      </x:c>
      <x:c r="B1094" s="10" t="str">
        <x:v>VOICE</x:v>
      </x:c>
      <x:c r="C1094" s="10" t="str">
        <x:v>VOICE:S5-13:input</x:v>
      </x:c>
      <x:c r="D1094" s="10" t="str">
        <x:v>{"exclusions":["설치비"],"goal":"비교표 작성","preserve_existing_tasks":true,"relation":"new_goal","targets":["S5-13:quote-L","S5-13:quote-R"]}</x:v>
      </x:c>
      <x:c r="E1094" s="10" t="str">
        <x:v>{"exclusions":["설치비"],"goal":"비교표 작성","preserve_existing_tasks":true,"relation":"new_goal","targets":["S5-13:quote-L","S5-13:quote-R"]}</x:v>
      </x:c>
      <x:c r="F1094" s="10" t="n">
        <x:f>IF(D1094=E1094,1,0)</x:f>
        <x:v>1</x:v>
      </x:c>
      <x:c r="G1094" s="10" t="str">
        <x:v>필수 의미 전체 일치</x:v>
      </x:c>
    </x:row>
    <x:row r="1095" ht="145" customHeight="1">
      <x:c r="A1095" s="10" t="str">
        <x:v>V-R1</x:v>
      </x:c>
      <x:c r="B1095" s="10" t="str">
        <x:v>VOICE</x:v>
      </x:c>
      <x:c r="C1095" s="10" t="str">
        <x:v>VOICE:S5-13:input</x:v>
      </x:c>
      <x:c r="D1095" s="10" t="str">
        <x:v>{"exclusions":["설치비"],"goal":"비교표 작성","preserve_existing_tasks":true,"relation":"new_goal","targets":["S5-13:quote-L","S5-13:quote-R"]}</x:v>
      </x:c>
      <x:c r="E1095" s="10" t="str">
        <x:v>{"exclusions":["설치비"],"goal":"비교표 작성","preserve_existing_tasks":true,"relation":"new_goal","targets":["S5-13:quote-L","S5-13:quote-R"]}</x:v>
      </x:c>
      <x:c r="F1095" s="10" t="n">
        <x:f>IF(D1095=E1095,1,0)</x:f>
        <x:v>1</x:v>
      </x:c>
      <x:c r="G1095" s="10" t="str">
        <x:v>필수 의미 전체 일치</x:v>
      </x:c>
    </x:row>
    <x:row r="1096" ht="145" customHeight="1">
      <x:c r="A1096" s="10" t="str">
        <x:v>V-R2</x:v>
      </x:c>
      <x:c r="B1096" s="10" t="str">
        <x:v>VOICE</x:v>
      </x:c>
      <x:c r="C1096" s="10" t="str">
        <x:v>VOICE:S5-13:input</x:v>
      </x:c>
      <x:c r="D1096" s="10" t="str">
        <x:v>{"exclusions":["설치비"],"goal":"비교표 작성","preserve_existing_tasks":true,"relation":"new_goal","targets":["S5-13:quote-L","S5-13:quote-R"]}</x:v>
      </x:c>
      <x:c r="E1096" s="10" t="str">
        <x:v>{"exclusions":["설치비"],"goal":"비교표 작성","preserve_existing_tasks":true,"relation":"new_goal","targets":["S5-13:quote-L","S5-13:quote-R"]}</x:v>
      </x:c>
      <x:c r="F1096" s="10" t="n">
        <x:f>IF(D1096=E1096,1,0)</x:f>
        <x:v>1</x:v>
      </x:c>
      <x:c r="G1096" s="10" t="str">
        <x:v>필수 의미 전체 일치</x:v>
      </x:c>
    </x:row>
    <x:row r="1097" ht="145" customHeight="1">
      <x:c r="A1097" s="10" t="str">
        <x:v>V-R3</x:v>
      </x:c>
      <x:c r="B1097" s="10" t="str">
        <x:v>VOICE</x:v>
      </x:c>
      <x:c r="C1097" s="10" t="str">
        <x:v>VOICE:S5-13:input</x:v>
      </x:c>
      <x:c r="D1097" s="10" t="str">
        <x:v>{"exclusions":["설치비"],"goal":"비교표 작성","preserve_existing_tasks":true,"relation":"new_goal","targets":["S5-13:quote-L","S5-13:quote-R"]}</x:v>
      </x:c>
      <x:c r="E1097" s="10" t="str">
        <x:v>{"exclusions":["설치비"],"goal":"비교표 작성","preserve_existing_tasks":true,"relation":"new_goal","targets":["S5-13:quote-L","S5-13:quote-R"]}</x:v>
      </x:c>
      <x:c r="F1097" s="10" t="n">
        <x:f>IF(D1097=E1097,1,0)</x:f>
        <x:v>1</x:v>
      </x:c>
      <x:c r="G1097" s="10" t="str">
        <x:v>필수 의미 전체 일치</x:v>
      </x:c>
    </x:row>
    <x:row r="1098" ht="145" customHeight="1">
      <x:c r="A1098" s="10" t="str">
        <x:v>V-A</x:v>
      </x:c>
      <x:c r="B1098" s="10" t="str">
        <x:v>VOICE</x:v>
      </x:c>
      <x:c r="C1098" s="10" t="str">
        <x:v>VOICE:S5-14:input</x:v>
      </x:c>
      <x:c r="D1098" s="10" t="str">
        <x:v>{"exclusions":["설치비"],"goal":"비교표 작성","preserve_existing_tasks":true,"relation":"new_goal","targets":["S5-14:quote-L","S5-14:quote-R"]}</x:v>
      </x:c>
      <x:c r="E1098" s="10" t="str">
        <x:v>{"exclusions":["설치비"],"goal":"비교표 작성","preserve_existing_tasks":true,"relation":"new_goal","targets":["S5-14:quote-L","S5-14:quote-R"]}</x:v>
      </x:c>
      <x:c r="F1098" s="10" t="n">
        <x:f>IF(D1098=E1098,1,0)</x:f>
        <x:v>1</x:v>
      </x:c>
      <x:c r="G1098" s="10" t="str">
        <x:v>필수 의미 전체 일치</x:v>
      </x:c>
    </x:row>
    <x:row r="1099" ht="145" customHeight="1">
      <x:c r="A1099" s="10" t="str">
        <x:v>V-R1</x:v>
      </x:c>
      <x:c r="B1099" s="10" t="str">
        <x:v>VOICE</x:v>
      </x:c>
      <x:c r="C1099" s="10" t="str">
        <x:v>VOICE:S5-14:input</x:v>
      </x:c>
      <x:c r="D1099" s="10" t="str">
        <x:v>{"exclusions":["설치비"],"goal":"비교표 작성","preserve_existing_tasks":true,"relation":"new_goal","targets":["S5-14:quote-L","S5-14:quote-R"]}</x:v>
      </x:c>
      <x:c r="E1099" s="10" t="str">
        <x:v>{"exclusions":["설치비"],"goal":"비교표 작성","preserve_existing_tasks":true,"relation":"new_goal","targets":["S5-14:quote-L","S5-14:quote-R"]}</x:v>
      </x:c>
      <x:c r="F1099" s="10" t="n">
        <x:f>IF(D1099=E1099,1,0)</x:f>
        <x:v>1</x:v>
      </x:c>
      <x:c r="G1099" s="10" t="str">
        <x:v>필수 의미 전체 일치</x:v>
      </x:c>
    </x:row>
    <x:row r="1100" ht="145" customHeight="1">
      <x:c r="A1100" s="10" t="str">
        <x:v>V-R2</x:v>
      </x:c>
      <x:c r="B1100" s="10" t="str">
        <x:v>VOICE</x:v>
      </x:c>
      <x:c r="C1100" s="10" t="str">
        <x:v>VOICE:S5-14:input</x:v>
      </x:c>
      <x:c r="D1100" s="10" t="str">
        <x:v>{"exclusions":["설치비"],"goal":"비교표 작성","preserve_existing_tasks":true,"relation":"new_goal","targets":["S5-14:quote-L","S5-14:quote-R"]}</x:v>
      </x:c>
      <x:c r="E1100" s="10" t="str">
        <x:v>{"exclusions":["설치비"],"goal":"비교표 작성","preserve_existing_tasks":true,"relation":"new_goal","targets":["S5-14:quote-L","S5-14:quote-R"]}</x:v>
      </x:c>
      <x:c r="F1100" s="10" t="n">
        <x:f>IF(D1100=E1100,1,0)</x:f>
        <x:v>1</x:v>
      </x:c>
      <x:c r="G1100" s="10" t="str">
        <x:v>필수 의미 전체 일치</x:v>
      </x:c>
    </x:row>
    <x:row r="1101" ht="145" customHeight="1">
      <x:c r="A1101" s="10" t="str">
        <x:v>V-R3</x:v>
      </x:c>
      <x:c r="B1101" s="10" t="str">
        <x:v>VOICE</x:v>
      </x:c>
      <x:c r="C1101" s="10" t="str">
        <x:v>VOICE:S5-14:input</x:v>
      </x:c>
      <x:c r="D1101" s="10" t="str">
        <x:v>{"exclusions":["설치비"],"goal":"비교표 작성","preserve_existing_tasks":true,"relation":"new_goal","targets":["S5-14:quote-L","S5-14:quote-R"]}</x:v>
      </x:c>
      <x:c r="E1101" s="10" t="str">
        <x:v>{"exclusions":["설치비"],"goal":"비교표 작성","preserve_existing_tasks":true,"relation":"new_goal","targets":["S5-14:quote-L","S5-14:quote-R"]}</x:v>
      </x:c>
      <x:c r="F1101" s="10" t="n">
        <x:f>IF(D1101=E1101,1,0)</x:f>
        <x:v>1</x:v>
      </x:c>
      <x:c r="G1101" s="10" t="str">
        <x:v>필수 의미 전체 일치</x:v>
      </x:c>
    </x:row>
    <x:row r="1102" ht="145" customHeight="1">
      <x:c r="A1102" s="10" t="str">
        <x:v>V-A</x:v>
      </x:c>
      <x:c r="B1102" s="10" t="str">
        <x:v>VOICE</x:v>
      </x:c>
      <x:c r="C1102" s="10" t="str">
        <x:v>VOICE:S5-15:input</x:v>
      </x:c>
      <x:c r="D1102" s="10" t="str">
        <x:v>{"exclusions":["설치비"],"goal":"비교표 작성","preserve_existing_tasks":true,"relation":"new_goal","targets":["S5-15:quote-L","S5-15:quote-R"]}</x:v>
      </x:c>
      <x:c r="E1102" s="10" t="str">
        <x:v>{"exclusions":["설치비"],"goal":"비교표 작성","preserve_existing_tasks":true,"relation":"new_goal","targets":["S5-15:quote-L","S5-15:quote-R"]}</x:v>
      </x:c>
      <x:c r="F1102" s="10" t="n">
        <x:f>IF(D1102=E1102,1,0)</x:f>
        <x:v>1</x:v>
      </x:c>
      <x:c r="G1102" s="10" t="str">
        <x:v>필수 의미 전체 일치</x:v>
      </x:c>
    </x:row>
    <x:row r="1103" ht="145" customHeight="1">
      <x:c r="A1103" s="10" t="str">
        <x:v>V-R1</x:v>
      </x:c>
      <x:c r="B1103" s="10" t="str">
        <x:v>VOICE</x:v>
      </x:c>
      <x:c r="C1103" s="10" t="str">
        <x:v>VOICE:S5-15:input</x:v>
      </x:c>
      <x:c r="D1103" s="10" t="str">
        <x:v>{"exclusions":["설치비"],"goal":"비교표 작성","preserve_existing_tasks":true,"relation":"new_goal","targets":["S5-15:quote-L","S5-15:quote-R"]}</x:v>
      </x:c>
      <x:c r="E1103" s="10" t="str">
        <x:v>{"exclusions":["설치비"],"goal":"비교표 작성","preserve_existing_tasks":true,"relation":"new_goal","targets":["S5-15:quote-L","S5-15:quote-R"]}</x:v>
      </x:c>
      <x:c r="F1103" s="10" t="n">
        <x:f>IF(D1103=E1103,1,0)</x:f>
        <x:v>1</x:v>
      </x:c>
      <x:c r="G1103" s="10" t="str">
        <x:v>필수 의미 전체 일치</x:v>
      </x:c>
    </x:row>
    <x:row r="1104" ht="145" customHeight="1">
      <x:c r="A1104" s="10" t="str">
        <x:v>V-R2</x:v>
      </x:c>
      <x:c r="B1104" s="10" t="str">
        <x:v>VOICE</x:v>
      </x:c>
      <x:c r="C1104" s="10" t="str">
        <x:v>VOICE:S5-15:input</x:v>
      </x:c>
      <x:c r="D1104" s="10" t="str">
        <x:v>{"exclusions":["설치비"],"goal":"비교표 작성","preserve_existing_tasks":true,"relation":"new_goal","targets":["S5-15:quote-L","S5-15:quote-R"]}</x:v>
      </x:c>
      <x:c r="E1104" s="10" t="str">
        <x:v>{"exclusions":["설치비"],"goal":"비교표 작성","preserve_existing_tasks":true,"relation":"new_goal","targets":["S5-15:quote-L","S5-15:quote-R"]}</x:v>
      </x:c>
      <x:c r="F1104" s="10" t="n">
        <x:f>IF(D1104=E1104,1,0)</x:f>
        <x:v>1</x:v>
      </x:c>
      <x:c r="G1104" s="10" t="str">
        <x:v>필수 의미 전체 일치</x:v>
      </x:c>
    </x:row>
    <x:row r="1105" ht="145" customHeight="1">
      <x:c r="A1105" s="10" t="str">
        <x:v>V-R3</x:v>
      </x:c>
      <x:c r="B1105" s="10" t="str">
        <x:v>VOICE</x:v>
      </x:c>
      <x:c r="C1105" s="10" t="str">
        <x:v>VOICE:S5-15:input</x:v>
      </x:c>
      <x:c r="D1105" s="10" t="str">
        <x:v>{"exclusions":["설치비"],"goal":"비교표 작성","preserve_existing_tasks":true,"relation":"new_goal","targets":["S5-15:quote-L","S5-15:quote-R"]}</x:v>
      </x:c>
      <x:c r="E1105" s="10" t="str">
        <x:v>{"exclusions":["설치비"],"goal":"비교표 작성","preserve_existing_tasks":true,"relation":"new_goal","targets":["S5-15:quote-L","S5-15:quote-R"]}</x:v>
      </x:c>
      <x:c r="F1105" s="10" t="n">
        <x:f>IF(D1105=E1105,1,0)</x:f>
        <x:v>1</x:v>
      </x:c>
      <x:c r="G1105" s="10" t="str">
        <x:v>필수 의미 전체 일치</x:v>
      </x:c>
    </x:row>
    <x:row r="1106" ht="145" customHeight="1">
      <x:c r="A1106" s="10" t="str">
        <x:v>V-A</x:v>
      </x:c>
      <x:c r="B1106" s="10" t="str">
        <x:v>VOICE</x:v>
      </x:c>
      <x:c r="C1106" s="10" t="str">
        <x:v>VOICE:S5-16:input</x:v>
      </x:c>
      <x:c r="D1106" s="10" t="str">
        <x:v>{"exclusions":["설치비"],"goal":"비교표 작성","preserve_existing_tasks":true,"relation":"new_goal","targets":["S5-16:quote-L","S5-16:quote-R"]}</x:v>
      </x:c>
      <x:c r="E1106" s="10" t="str">
        <x:v>{"exclusions":["설치비"],"goal":"비교표 작성","preserve_existing_tasks":true,"relation":"new_goal","targets":["S5-16:quote-L","S5-16:quote-R"]}</x:v>
      </x:c>
      <x:c r="F1106" s="10" t="n">
        <x:f>IF(D1106=E1106,1,0)</x:f>
        <x:v>1</x:v>
      </x:c>
      <x:c r="G1106" s="10" t="str">
        <x:v>필수 의미 전체 일치</x:v>
      </x:c>
    </x:row>
    <x:row r="1107" ht="145" customHeight="1">
      <x:c r="A1107" s="10" t="str">
        <x:v>V-R1</x:v>
      </x:c>
      <x:c r="B1107" s="10" t="str">
        <x:v>VOICE</x:v>
      </x:c>
      <x:c r="C1107" s="10" t="str">
        <x:v>VOICE:S5-16:input</x:v>
      </x:c>
      <x:c r="D1107" s="10" t="str">
        <x:v>{"exclusions":["설치비"],"goal":"비교표 작성","preserve_existing_tasks":true,"relation":"new_goal","targets":["S5-16:quote-L","S5-16:quote-R"]}</x:v>
      </x:c>
      <x:c r="E1107" s="10" t="str">
        <x:v>{"exclusions":["설치비"],"goal":"비교표 작성","preserve_existing_tasks":true,"relation":"new_goal","targets":["S5-16:quote-L","S5-16:quote-R"]}</x:v>
      </x:c>
      <x:c r="F1107" s="10" t="n">
        <x:f>IF(D1107=E1107,1,0)</x:f>
        <x:v>1</x:v>
      </x:c>
      <x:c r="G1107" s="10" t="str">
        <x:v>필수 의미 전체 일치</x:v>
      </x:c>
    </x:row>
    <x:row r="1108" ht="145" customHeight="1">
      <x:c r="A1108" s="10" t="str">
        <x:v>V-R2</x:v>
      </x:c>
      <x:c r="B1108" s="10" t="str">
        <x:v>VOICE</x:v>
      </x:c>
      <x:c r="C1108" s="10" t="str">
        <x:v>VOICE:S5-16:input</x:v>
      </x:c>
      <x:c r="D1108" s="10" t="str">
        <x:v>{"exclusions":["설치비"],"goal":"비교표 작성","preserve_existing_tasks":true,"relation":"new_goal","targets":["S5-16:quote-L","S5-16:quote-R"]}</x:v>
      </x:c>
      <x:c r="E1108" s="10" t="str">
        <x:v>{"exclusions":["설치비"],"goal":"비교표 작성","preserve_existing_tasks":true,"relation":"new_goal","targets":["S5-16:quote-L","S5-16:quote-R"]}</x:v>
      </x:c>
      <x:c r="F1108" s="10" t="n">
        <x:f>IF(D1108=E1108,1,0)</x:f>
        <x:v>1</x:v>
      </x:c>
      <x:c r="G1108" s="10" t="str">
        <x:v>필수 의미 전체 일치</x:v>
      </x:c>
    </x:row>
    <x:row r="1109" ht="145" customHeight="1">
      <x:c r="A1109" s="10" t="str">
        <x:v>V-R3</x:v>
      </x:c>
      <x:c r="B1109" s="10" t="str">
        <x:v>VOICE</x:v>
      </x:c>
      <x:c r="C1109" s="10" t="str">
        <x:v>VOICE:S5-16:input</x:v>
      </x:c>
      <x:c r="D1109" s="10" t="str">
        <x:v>{"exclusions":["설치비"],"goal":"비교표 작성","preserve_existing_tasks":true,"relation":"new_goal","targets":["S5-16:quote-L","S5-16:quote-R"]}</x:v>
      </x:c>
      <x:c r="E1109" s="10" t="str">
        <x:v>{"exclusions":["설치비"],"goal":"비교표 작성","preserve_existing_tasks":true,"relation":"new_goal","targets":["S5-16:quote-L","S5-16:quote-R"]}</x:v>
      </x:c>
      <x:c r="F1109" s="10" t="n">
        <x:f>IF(D1109=E1109,1,0)</x:f>
        <x:v>1</x:v>
      </x:c>
      <x:c r="G1109" s="10" t="str">
        <x:v>필수 의미 전체 일치</x:v>
      </x:c>
    </x:row>
    <x:row r="1110" ht="145" customHeight="1">
      <x:c r="A1110" s="10" t="str">
        <x:v>V-A</x:v>
      </x:c>
      <x:c r="B1110" s="10" t="str">
        <x:v>VOICE</x:v>
      </x:c>
      <x:c r="C1110" s="10" t="str">
        <x:v>VOICE:S5-17:input</x:v>
      </x:c>
      <x:c r="D1110" s="10" t="str">
        <x:v>{"exclusions":["설치비"],"goal":"비교표 작성","preserve_existing_tasks":true,"relation":"new_goal","targets":["S5-17:quote-L","S5-17:quote-R"]}</x:v>
      </x:c>
      <x:c r="E1110" s="10" t="str">
        <x:v>{"exclusions":["설치비"],"goal":"비교표 작성","preserve_existing_tasks":true,"relation":"new_goal","targets":["S5-17:quote-L","S5-17:quote-R"]}</x:v>
      </x:c>
      <x:c r="F1110" s="10" t="n">
        <x:f>IF(D1110=E1110,1,0)</x:f>
        <x:v>1</x:v>
      </x:c>
      <x:c r="G1110" s="10" t="str">
        <x:v>필수 의미 전체 일치</x:v>
      </x:c>
    </x:row>
    <x:row r="1111" ht="145" customHeight="1">
      <x:c r="A1111" s="10" t="str">
        <x:v>V-R1</x:v>
      </x:c>
      <x:c r="B1111" s="10" t="str">
        <x:v>VOICE</x:v>
      </x:c>
      <x:c r="C1111" s="10" t="str">
        <x:v>VOICE:S5-17:input</x:v>
      </x:c>
      <x:c r="D1111" s="10" t="str">
        <x:v>{"exclusions":["설치비"],"goal":"비교표 작성","preserve_existing_tasks":true,"relation":"new_goal","targets":["S5-17:quote-L","S5-17:quote-R"]}</x:v>
      </x:c>
      <x:c r="E1111" s="10" t="str">
        <x:v>{"exclusions":["설치비"],"goal":"비교표 작성","preserve_existing_tasks":true,"relation":"new_goal","targets":["S5-17:quote-L","S5-17:quote-R"]}</x:v>
      </x:c>
      <x:c r="F1111" s="10" t="n">
        <x:f>IF(D1111=E1111,1,0)</x:f>
        <x:v>1</x:v>
      </x:c>
      <x:c r="G1111" s="10" t="str">
        <x:v>필수 의미 전체 일치</x:v>
      </x:c>
    </x:row>
    <x:row r="1112" ht="145" customHeight="1">
      <x:c r="A1112" s="10" t="str">
        <x:v>V-R2</x:v>
      </x:c>
      <x:c r="B1112" s="10" t="str">
        <x:v>VOICE</x:v>
      </x:c>
      <x:c r="C1112" s="10" t="str">
        <x:v>VOICE:S5-17:input</x:v>
      </x:c>
      <x:c r="D1112" s="10" t="str">
        <x:v>{"exclusions":["설치비"],"goal":"비교표 작성","preserve_existing_tasks":true,"relation":"new_goal","targets":["S5-17:quote-L","S5-17:quote-R"]}</x:v>
      </x:c>
      <x:c r="E1112" s="10" t="str">
        <x:v>{"exclusions":["설치비"],"goal":"비교표 작성","preserve_existing_tasks":true,"relation":"new_goal","targets":["S5-17:quote-L","S5-17:quote-R"]}</x:v>
      </x:c>
      <x:c r="F1112" s="10" t="n">
        <x:f>IF(D1112=E1112,1,0)</x:f>
        <x:v>1</x:v>
      </x:c>
      <x:c r="G1112" s="10" t="str">
        <x:v>필수 의미 전체 일치</x:v>
      </x:c>
    </x:row>
    <x:row r="1113" ht="145" customHeight="1">
      <x:c r="A1113" s="10" t="str">
        <x:v>V-R3</x:v>
      </x:c>
      <x:c r="B1113" s="10" t="str">
        <x:v>VOICE</x:v>
      </x:c>
      <x:c r="C1113" s="10" t="str">
        <x:v>VOICE:S5-17:input</x:v>
      </x:c>
      <x:c r="D1113" s="10" t="str">
        <x:v>{"exclusions":["설치비"],"goal":"비교표 작성","preserve_existing_tasks":true,"relation":"new_goal","targets":["S5-17:quote-L","S5-17:quote-R"]}</x:v>
      </x:c>
      <x:c r="E1113" s="10" t="str">
        <x:v>{"exclusions":["설치비"],"goal":"비교표 작성","preserve_existing_tasks":true,"relation":"new_goal","targets":["S5-17:quote-L","S5-17:quote-R"]}</x:v>
      </x:c>
      <x:c r="F1113" s="10" t="n">
        <x:f>IF(D1113=E1113,1,0)</x:f>
        <x:v>1</x:v>
      </x:c>
      <x:c r="G1113" s="10" t="str">
        <x:v>필수 의미 전체 일치</x:v>
      </x:c>
    </x:row>
    <x:row r="1114" ht="145" customHeight="1">
      <x:c r="A1114" s="10" t="str">
        <x:v>V-A</x:v>
      </x:c>
      <x:c r="B1114" s="10" t="str">
        <x:v>VOICE</x:v>
      </x:c>
      <x:c r="C1114" s="10" t="str">
        <x:v>VOICE:S5-18:input</x:v>
      </x:c>
      <x:c r="D1114" s="10" t="str">
        <x:v>{"exclusions":["설치비"],"goal":"비교표 작성","preserve_existing_tasks":true,"relation":"new_goal","targets":["S5-18:quote-L","S5-18:quote-R"]}</x:v>
      </x:c>
      <x:c r="E1114" s="10" t="str">
        <x:v>{"exclusions":["설치비"],"goal":"비교표 작성","preserve_existing_tasks":true,"relation":"new_goal","targets":["S5-18:quote-L","S5-18:quote-R"]}</x:v>
      </x:c>
      <x:c r="F1114" s="10" t="n">
        <x:f>IF(D1114=E1114,1,0)</x:f>
        <x:v>1</x:v>
      </x:c>
      <x:c r="G1114" s="10" t="str">
        <x:v>필수 의미 전체 일치</x:v>
      </x:c>
    </x:row>
    <x:row r="1115" ht="145" customHeight="1">
      <x:c r="A1115" s="10" t="str">
        <x:v>V-R1</x:v>
      </x:c>
      <x:c r="B1115" s="10" t="str">
        <x:v>VOICE</x:v>
      </x:c>
      <x:c r="C1115" s="10" t="str">
        <x:v>VOICE:S5-18:input</x:v>
      </x:c>
      <x:c r="D1115" s="10" t="str">
        <x:v>{"exclusions":["설치비"],"goal":"비교표 작성","preserve_existing_tasks":true,"relation":"new_goal","targets":["S5-18:quote-L","S5-18:quote-R"]}</x:v>
      </x:c>
      <x:c r="E1115" s="10" t="str">
        <x:v>{"exclusions":["설치비"],"goal":"비교표 작성","preserve_existing_tasks":true,"relation":"new_goal","targets":["S5-18:quote-L","S5-18:quote-R"]}</x:v>
      </x:c>
      <x:c r="F1115" s="10" t="n">
        <x:f>IF(D1115=E1115,1,0)</x:f>
        <x:v>1</x:v>
      </x:c>
      <x:c r="G1115" s="10" t="str">
        <x:v>필수 의미 전체 일치</x:v>
      </x:c>
    </x:row>
    <x:row r="1116" ht="145" customHeight="1">
      <x:c r="A1116" s="10" t="str">
        <x:v>V-R2</x:v>
      </x:c>
      <x:c r="B1116" s="10" t="str">
        <x:v>VOICE</x:v>
      </x:c>
      <x:c r="C1116" s="10" t="str">
        <x:v>VOICE:S5-18:input</x:v>
      </x:c>
      <x:c r="D1116" s="10" t="str">
        <x:v>{"exclusions":["설치비"],"goal":"비교표 작성","preserve_existing_tasks":true,"relation":"new_goal","targets":["S5-18:quote-L","S5-18:quote-R"]}</x:v>
      </x:c>
      <x:c r="E1116" s="10" t="str">
        <x:v>{"exclusions":["설치비"],"goal":"비교표 작성","preserve_existing_tasks":true,"relation":"new_goal","targets":["S5-18:quote-L","S5-18:quote-R"]}</x:v>
      </x:c>
      <x:c r="F1116" s="10" t="n">
        <x:f>IF(D1116=E1116,1,0)</x:f>
        <x:v>1</x:v>
      </x:c>
      <x:c r="G1116" s="10" t="str">
        <x:v>필수 의미 전체 일치</x:v>
      </x:c>
    </x:row>
    <x:row r="1117" ht="145" customHeight="1">
      <x:c r="A1117" s="10" t="str">
        <x:v>V-R3</x:v>
      </x:c>
      <x:c r="B1117" s="10" t="str">
        <x:v>VOICE</x:v>
      </x:c>
      <x:c r="C1117" s="10" t="str">
        <x:v>VOICE:S5-18:input</x:v>
      </x:c>
      <x:c r="D1117" s="10" t="str">
        <x:v>{"exclusions":["설치비"],"goal":"비교표 작성","preserve_existing_tasks":true,"relation":"new_goal","targets":["S5-18:quote-L","S5-18:quote-R"]}</x:v>
      </x:c>
      <x:c r="E1117" s="10" t="str">
        <x:v>{"exclusions":["설치비"],"goal":"비교표 작성","preserve_existing_tasks":true,"relation":"new_goal","targets":["S5-18:quote-L","S5-18:quote-R"]}</x:v>
      </x:c>
      <x:c r="F1117" s="10" t="n">
        <x:f>IF(D1117=E1117,1,0)</x:f>
        <x:v>1</x:v>
      </x:c>
      <x:c r="G1117" s="10" t="str">
        <x:v>필수 의미 전체 일치</x:v>
      </x:c>
    </x:row>
    <x:row r="1118" ht="145" customHeight="1">
      <x:c r="A1118" s="10" t="str">
        <x:v>V-A</x:v>
      </x:c>
      <x:c r="B1118" s="10" t="str">
        <x:v>VOICE</x:v>
      </x:c>
      <x:c r="C1118" s="10" t="str">
        <x:v>VOICE:S5-19:input</x:v>
      </x:c>
      <x:c r="D1118" s="10" t="str">
        <x:v>{"exclusions":["설치비"],"goal":"비교표 작성","preserve_existing_tasks":true,"relation":"new_goal","targets":["S5-19:quote-L","S5-19:quote-R"]}</x:v>
      </x:c>
      <x:c r="E1118" s="10" t="str">
        <x:v>{"exclusions":["설치비"],"goal":"비교표 작성","preserve_existing_tasks":true,"relation":"new_goal","targets":["S5-19:quote-L","S5-19:quote-R"]}</x:v>
      </x:c>
      <x:c r="F1118" s="10" t="n">
        <x:f>IF(D1118=E1118,1,0)</x:f>
        <x:v>1</x:v>
      </x:c>
      <x:c r="G1118" s="10" t="str">
        <x:v>필수 의미 전체 일치</x:v>
      </x:c>
    </x:row>
    <x:row r="1119" ht="145" customHeight="1">
      <x:c r="A1119" s="10" t="str">
        <x:v>V-R1</x:v>
      </x:c>
      <x:c r="B1119" s="10" t="str">
        <x:v>VOICE</x:v>
      </x:c>
      <x:c r="C1119" s="10" t="str">
        <x:v>VOICE:S5-19:input</x:v>
      </x:c>
      <x:c r="D1119" s="10" t="str">
        <x:v>{"exclusions":["설치비"],"goal":"비교표 작성","preserve_existing_tasks":true,"relation":"new_goal","targets":["S5-19:quote-L","S5-19:quote-R"]}</x:v>
      </x:c>
      <x:c r="E1119" s="10" t="str">
        <x:v>{"exclusions":["설치비"],"goal":"비교표 작성","preserve_existing_tasks":true,"relation":"new_goal","targets":["S5-19:quote-L","S5-19:quote-R"]}</x:v>
      </x:c>
      <x:c r="F1119" s="10" t="n">
        <x:f>IF(D1119=E1119,1,0)</x:f>
        <x:v>1</x:v>
      </x:c>
      <x:c r="G1119" s="10" t="str">
        <x:v>필수 의미 전체 일치</x:v>
      </x:c>
    </x:row>
    <x:row r="1120" ht="145" customHeight="1">
      <x:c r="A1120" s="10" t="str">
        <x:v>V-R2</x:v>
      </x:c>
      <x:c r="B1120" s="10" t="str">
        <x:v>VOICE</x:v>
      </x:c>
      <x:c r="C1120" s="10" t="str">
        <x:v>VOICE:S5-19:input</x:v>
      </x:c>
      <x:c r="D1120" s="10" t="str">
        <x:v>{"exclusions":["설치비"],"goal":"비교표 작성","preserve_existing_tasks":true,"relation":"new_goal","targets":["S5-19:quote-L","S5-19:quote-R"]}</x:v>
      </x:c>
      <x:c r="E1120" s="10" t="str">
        <x:v>{"exclusions":["설치비"],"goal":"비교표 작성","preserve_existing_tasks":true,"relation":"new_goal","targets":["S5-19:quote-L","S5-19:quote-R"]}</x:v>
      </x:c>
      <x:c r="F1120" s="10" t="n">
        <x:f>IF(D1120=E1120,1,0)</x:f>
        <x:v>1</x:v>
      </x:c>
      <x:c r="G1120" s="10" t="str">
        <x:v>필수 의미 전체 일치</x:v>
      </x:c>
    </x:row>
    <x:row r="1121" ht="145" customHeight="1">
      <x:c r="A1121" s="10" t="str">
        <x:v>V-R3</x:v>
      </x:c>
      <x:c r="B1121" s="10" t="str">
        <x:v>VOICE</x:v>
      </x:c>
      <x:c r="C1121" s="10" t="str">
        <x:v>VOICE:S5-19:input</x:v>
      </x:c>
      <x:c r="D1121" s="10" t="str">
        <x:v>{"exclusions":["설치비"],"goal":"비교표 작성","preserve_existing_tasks":true,"relation":"new_goal","targets":["S5-19:quote-L","S5-19:quote-R"]}</x:v>
      </x:c>
      <x:c r="E1121" s="10" t="str">
        <x:v>{"exclusions":["설치비"],"goal":"비교표 작성","preserve_existing_tasks":true,"relation":"new_goal","targets":["S5-19:quote-L","S5-19:quote-R"]}</x:v>
      </x:c>
      <x:c r="F1121" s="10" t="n">
        <x:f>IF(D1121=E1121,1,0)</x:f>
        <x:v>1</x:v>
      </x:c>
      <x:c r="G1121" s="10" t="str">
        <x:v>필수 의미 전체 일치</x:v>
      </x:c>
    </x:row>
    <x:row r="1122" ht="145" customHeight="1">
      <x:c r="A1122" s="10" t="str">
        <x:v>V-A</x:v>
      </x:c>
      <x:c r="B1122" s="10" t="str">
        <x:v>VOICE</x:v>
      </x:c>
      <x:c r="C1122" s="10" t="str">
        <x:v>VOICE:S5-20:input</x:v>
      </x:c>
      <x:c r="D1122" s="10" t="str">
        <x:v>{"exclusions":["설치비"],"goal":"비교표 작성","preserve_existing_tasks":true,"relation":"new_goal","targets":["S5-20:quote-L","S5-20:quote-R"]}</x:v>
      </x:c>
      <x:c r="E1122" s="10" t="str">
        <x:v>{"exclusions":["설치비"],"goal":"비교표 작성","preserve_existing_tasks":true,"relation":"new_goal","targets":["S5-20:quote-L","S5-20:quote-R"]}</x:v>
      </x:c>
      <x:c r="F1122" s="10" t="n">
        <x:f>IF(D1122=E1122,1,0)</x:f>
        <x:v>1</x:v>
      </x:c>
      <x:c r="G1122" s="10" t="str">
        <x:v>필수 의미 전체 일치</x:v>
      </x:c>
    </x:row>
    <x:row r="1123" ht="145" customHeight="1">
      <x:c r="A1123" s="10" t="str">
        <x:v>V-R1</x:v>
      </x:c>
      <x:c r="B1123" s="10" t="str">
        <x:v>VOICE</x:v>
      </x:c>
      <x:c r="C1123" s="10" t="str">
        <x:v>VOICE:S5-20:input</x:v>
      </x:c>
      <x:c r="D1123" s="10" t="str">
        <x:v>{"exclusions":["설치비"],"goal":"비교표 작성","preserve_existing_tasks":true,"relation":"new_goal","targets":["S5-20:quote-L","S5-20:quote-R"]}</x:v>
      </x:c>
      <x:c r="E1123" s="10" t="str">
        <x:v>{"exclusions":["설치비"],"goal":"비교표 작성","preserve_existing_tasks":true,"relation":"new_goal","targets":["S5-20:quote-L","S5-20:quote-R"]}</x:v>
      </x:c>
      <x:c r="F1123" s="10" t="n">
        <x:f>IF(D1123=E1123,1,0)</x:f>
        <x:v>1</x:v>
      </x:c>
      <x:c r="G1123" s="10" t="str">
        <x:v>필수 의미 전체 일치</x:v>
      </x:c>
    </x:row>
    <x:row r="1124" ht="145" customHeight="1">
      <x:c r="A1124" s="10" t="str">
        <x:v>V-R2</x:v>
      </x:c>
      <x:c r="B1124" s="10" t="str">
        <x:v>VOICE</x:v>
      </x:c>
      <x:c r="C1124" s="10" t="str">
        <x:v>VOICE:S5-20:input</x:v>
      </x:c>
      <x:c r="D1124" s="10" t="str">
        <x:v>{"exclusions":["설치비"],"goal":"비교표 작성","preserve_existing_tasks":true,"relation":"new_goal","targets":["S5-20:quote-L","S5-20:quote-R"]}</x:v>
      </x:c>
      <x:c r="E1124" s="10" t="str">
        <x:v>{"exclusions":["설치비"],"goal":"비교표 작성","preserve_existing_tasks":true,"relation":"new_goal","targets":["S5-20:quote-L","S5-20:quote-R"]}</x:v>
      </x:c>
      <x:c r="F1124" s="10" t="n">
        <x:f>IF(D1124=E1124,1,0)</x:f>
        <x:v>1</x:v>
      </x:c>
      <x:c r="G1124" s="10" t="str">
        <x:v>필수 의미 전체 일치</x:v>
      </x:c>
    </x:row>
    <x:row r="1125" ht="145" customHeight="1">
      <x:c r="A1125" s="10" t="str">
        <x:v>V-R3</x:v>
      </x:c>
      <x:c r="B1125" s="10" t="str">
        <x:v>VOICE</x:v>
      </x:c>
      <x:c r="C1125" s="10" t="str">
        <x:v>VOICE:S5-20:input</x:v>
      </x:c>
      <x:c r="D1125" s="10" t="str">
        <x:v>{"exclusions":["설치비"],"goal":"비교표 작성","preserve_existing_tasks":true,"relation":"new_goal","targets":["S5-20:quote-L","S5-20:quote-R"]}</x:v>
      </x:c>
      <x:c r="E1125" s="10" t="str">
        <x:v>{"exclusions":["설치비"],"goal":"비교표 작성","preserve_existing_tasks":true,"relation":"new_goal","targets":["S5-20:quote-L","S5-20:quote-R"]}</x:v>
      </x:c>
      <x:c r="F1125" s="10" t="n">
        <x:f>IF(D1125=E1125,1,0)</x:f>
        <x:v>1</x:v>
      </x:c>
      <x:c r="G1125" s="10" t="str">
        <x:v>필수 의미 전체 일치</x:v>
      </x:c>
    </x:row>
    <x:row r="1126" ht="145" customHeight="1">
      <x:c r="A1126" s="10" t="str">
        <x:v>V-A</x:v>
      </x:c>
      <x:c r="B1126" s="10" t="str">
        <x:v>VOICE</x:v>
      </x:c>
      <x:c r="C1126" s="10" t="str">
        <x:v>VOICE:S6-01:input</x:v>
      </x:c>
      <x:c r="D1126" s="10" t="str">
        <x:v>{"exclusions":["설치비"],"goal":"비교표 작성","preserve_existing_tasks":true,"relation":"new_goal","targets":["S6-01:quote-L","S6-01:quote-R"]}</x:v>
      </x:c>
      <x:c r="E1126" s="10" t="str">
        <x:v>{"exclusions":["설치비"],"goal":"비교표 작성","preserve_existing_tasks":true,"relation":"new_goal","targets":["S6-01:quote-L","S6-01:quote-Z"]}</x:v>
      </x:c>
      <x:c r="F1126" s="10" t="n">
        <x:f>IF(D1126=E1126,1,0)</x:f>
        <x:v>0</x:v>
      </x:c>
      <x:c r="G1126" s="10" t="str">
        <x:v>원본의 경계/집합/스크롤 전후 동일성을 잘못 결합</x:v>
      </x:c>
    </x:row>
    <x:row r="1127" ht="145" customHeight="1">
      <x:c r="A1127" s="10" t="str">
        <x:v>V-R1</x:v>
      </x:c>
      <x:c r="B1127" s="10" t="str">
        <x:v>VOICE</x:v>
      </x:c>
      <x:c r="C1127" s="10" t="str">
        <x:v>VOICE:S6-01:input</x:v>
      </x:c>
      <x:c r="D1127" s="10" t="str">
        <x:v>{"exclusions":["설치비"],"goal":"비교표 작성","preserve_existing_tasks":true,"relation":"new_goal","targets":["S6-01:quote-L","S6-01:quote-R"]}</x:v>
      </x:c>
      <x:c r="E1127" s="10" t="str">
        <x:v>{"exclusions":["설치비"],"goal":"비교표 작성","preserve_existing_tasks":true,"relation":"new_goal","targets":["S6-01:quote-L","S6-01:quote-R"]}</x:v>
      </x:c>
      <x:c r="F1127" s="10" t="n">
        <x:f>IF(D1127=E1127,1,0)</x:f>
        <x:v>1</x:v>
      </x:c>
      <x:c r="G1127" s="10" t="str">
        <x:v>필수 의미 전체 일치</x:v>
      </x:c>
    </x:row>
    <x:row r="1128" ht="145" customHeight="1">
      <x:c r="A1128" s="10" t="str">
        <x:v>V-R2</x:v>
      </x:c>
      <x:c r="B1128" s="10" t="str">
        <x:v>VOICE</x:v>
      </x:c>
      <x:c r="C1128" s="10" t="str">
        <x:v>VOICE:S6-01:input</x:v>
      </x:c>
      <x:c r="D1128" s="10" t="str">
        <x:v>{"exclusions":["설치비"],"goal":"비교표 작성","preserve_existing_tasks":true,"relation":"new_goal","targets":["S6-01:quote-L","S6-01:quote-R"]}</x:v>
      </x:c>
      <x:c r="E1128" s="10" t="str">
        <x:v>{"exclusions":["설치비"],"goal":"비교표 작성","preserve_existing_tasks":true,"relation":"new_goal","targets":["S6-01:quote-L","S6-01:quote-R"]}</x:v>
      </x:c>
      <x:c r="F1128" s="10" t="n">
        <x:f>IF(D1128=E1128,1,0)</x:f>
        <x:v>1</x:v>
      </x:c>
      <x:c r="G1128" s="10" t="str">
        <x:v>필수 의미 전체 일치</x:v>
      </x:c>
    </x:row>
    <x:row r="1129" ht="145" customHeight="1">
      <x:c r="A1129" s="10" t="str">
        <x:v>V-R3</x:v>
      </x:c>
      <x:c r="B1129" s="10" t="str">
        <x:v>VOICE</x:v>
      </x:c>
      <x:c r="C1129" s="10" t="str">
        <x:v>VOICE:S6-01:input</x:v>
      </x:c>
      <x:c r="D1129" s="10" t="str">
        <x:v>{"exclusions":["설치비"],"goal":"비교표 작성","preserve_existing_tasks":true,"relation":"new_goal","targets":["S6-01:quote-L","S6-01:quote-R"]}</x:v>
      </x:c>
      <x:c r="E1129" s="10" t="str">
        <x:v>{"exclusions":["설치비"],"goal":"비교표 작성","preserve_existing_tasks":true,"relation":"new_goal","targets":["S6-01:quote-L","S6-01:quote-R"]}</x:v>
      </x:c>
      <x:c r="F1129" s="10" t="n">
        <x:f>IF(D1129=E1129,1,0)</x:f>
        <x:v>1</x:v>
      </x:c>
      <x:c r="G1129" s="10" t="str">
        <x:v>필수 의미 전체 일치</x:v>
      </x:c>
    </x:row>
    <x:row r="1130" ht="145" customHeight="1">
      <x:c r="A1130" s="10" t="str">
        <x:v>V-A</x:v>
      </x:c>
      <x:c r="B1130" s="10" t="str">
        <x:v>VOICE</x:v>
      </x:c>
      <x:c r="C1130" s="10" t="str">
        <x:v>VOICE:S6-02:input</x:v>
      </x:c>
      <x:c r="D1130" s="10" t="str">
        <x:v>{"exclusions":["설치비"],"goal":"비교표 작성","preserve_existing_tasks":true,"relation":"new_goal","targets":["S6-02:quote-L","S6-02:quote-R"]}</x:v>
      </x:c>
      <x:c r="E1130" s="10" t="str">
        <x:v>{"exclusions":["설치비"],"goal":"비교표 작성","preserve_existing_tasks":true,"relation":"new_goal","targets":["S6-02:quote-L","S6-02:quote-R"]}</x:v>
      </x:c>
      <x:c r="F1130" s="10" t="n">
        <x:f>IF(D1130=E1130,1,0)</x:f>
        <x:v>1</x:v>
      </x:c>
      <x:c r="G1130" s="10" t="str">
        <x:v>필수 의미 전체 일치</x:v>
      </x:c>
    </x:row>
    <x:row r="1131" ht="145" customHeight="1">
      <x:c r="A1131" s="10" t="str">
        <x:v>V-R1</x:v>
      </x:c>
      <x:c r="B1131" s="10" t="str">
        <x:v>VOICE</x:v>
      </x:c>
      <x:c r="C1131" s="10" t="str">
        <x:v>VOICE:S6-02:input</x:v>
      </x:c>
      <x:c r="D1131" s="10" t="str">
        <x:v>{"exclusions":["설치비"],"goal":"비교표 작성","preserve_existing_tasks":true,"relation":"new_goal","targets":["S6-02:quote-L","S6-02:quote-R"]}</x:v>
      </x:c>
      <x:c r="E1131" s="10" t="str">
        <x:v>{"exclusions":["설치비"],"goal":"비교표 작성","preserve_existing_tasks":true,"relation":"new_goal","targets":["S6-02:quote-L","S6-02:quote-R"]}</x:v>
      </x:c>
      <x:c r="F1131" s="10" t="n">
        <x:f>IF(D1131=E1131,1,0)</x:f>
        <x:v>1</x:v>
      </x:c>
      <x:c r="G1131" s="10" t="str">
        <x:v>필수 의미 전체 일치</x:v>
      </x:c>
    </x:row>
    <x:row r="1132" ht="145" customHeight="1">
      <x:c r="A1132" s="10" t="str">
        <x:v>V-R2</x:v>
      </x:c>
      <x:c r="B1132" s="10" t="str">
        <x:v>VOICE</x:v>
      </x:c>
      <x:c r="C1132" s="10" t="str">
        <x:v>VOICE:S6-02:input</x:v>
      </x:c>
      <x:c r="D1132" s="10" t="str">
        <x:v>{"exclusions":["설치비"],"goal":"비교표 작성","preserve_existing_tasks":true,"relation":"new_goal","targets":["S6-02:quote-L","S6-02:quote-R"]}</x:v>
      </x:c>
      <x:c r="E1132" s="10" t="str">
        <x:v>{"exclusions":["설치비"],"goal":"비교표 작성","preserve_existing_tasks":true,"relation":"new_goal","targets":["S6-02:quote-L","S6-02:quote-R"]}</x:v>
      </x:c>
      <x:c r="F1132" s="10" t="n">
        <x:f>IF(D1132=E1132,1,0)</x:f>
        <x:v>1</x:v>
      </x:c>
      <x:c r="G1132" s="10" t="str">
        <x:v>필수 의미 전체 일치</x:v>
      </x:c>
    </x:row>
    <x:row r="1133" ht="145" customHeight="1">
      <x:c r="A1133" s="10" t="str">
        <x:v>V-R3</x:v>
      </x:c>
      <x:c r="B1133" s="10" t="str">
        <x:v>VOICE</x:v>
      </x:c>
      <x:c r="C1133" s="10" t="str">
        <x:v>VOICE:S6-02:input</x:v>
      </x:c>
      <x:c r="D1133" s="10" t="str">
        <x:v>{"exclusions":["설치비"],"goal":"비교표 작성","preserve_existing_tasks":true,"relation":"new_goal","targets":["S6-02:quote-L","S6-02:quote-R"]}</x:v>
      </x:c>
      <x:c r="E1133" s="10" t="str">
        <x:v>{"exclusions":["설치비"],"goal":"비교표 작성","preserve_existing_tasks":true,"relation":"new_goal","targets":["S6-02:quote-L","S6-02:quote-R"]}</x:v>
      </x:c>
      <x:c r="F1133" s="10" t="n">
        <x:f>IF(D1133=E1133,1,0)</x:f>
        <x:v>1</x:v>
      </x:c>
      <x:c r="G1133" s="10" t="str">
        <x:v>필수 의미 전체 일치</x:v>
      </x:c>
    </x:row>
    <x:row r="1134" ht="145" customHeight="1">
      <x:c r="A1134" s="10" t="str">
        <x:v>V-A</x:v>
      </x:c>
      <x:c r="B1134" s="10" t="str">
        <x:v>VOICE</x:v>
      </x:c>
      <x:c r="C1134" s="10" t="str">
        <x:v>VOICE:S6-03:input</x:v>
      </x:c>
      <x:c r="D1134" s="10" t="str">
        <x:v>{"exclusions":["설치비"],"goal":"비교표 작성","preserve_existing_tasks":true,"relation":"new_goal","targets":["S6-03:quote-L","S6-03:quote-R"]}</x:v>
      </x:c>
      <x:c r="E1134" s="10" t="str">
        <x:v>{"exclusions":["설치비"],"goal":"비교표 작성","preserve_existing_tasks":true,"relation":"new_goal","targets":["S6-03:quote-L","S6-03:quote-R"]}</x:v>
      </x:c>
      <x:c r="F1134" s="10" t="n">
        <x:f>IF(D1134=E1134,1,0)</x:f>
        <x:v>1</x:v>
      </x:c>
      <x:c r="G1134" s="10" t="str">
        <x:v>필수 의미 전체 일치</x:v>
      </x:c>
    </x:row>
    <x:row r="1135" ht="145" customHeight="1">
      <x:c r="A1135" s="10" t="str">
        <x:v>V-R1</x:v>
      </x:c>
      <x:c r="B1135" s="10" t="str">
        <x:v>VOICE</x:v>
      </x:c>
      <x:c r="C1135" s="10" t="str">
        <x:v>VOICE:S6-03:input</x:v>
      </x:c>
      <x:c r="D1135" s="10" t="str">
        <x:v>{"exclusions":["설치비"],"goal":"비교표 작성","preserve_existing_tasks":true,"relation":"new_goal","targets":["S6-03:quote-L","S6-03:quote-R"]}</x:v>
      </x:c>
      <x:c r="E1135" s="10" t="str">
        <x:v>{"exclusions":["설치비"],"goal":"비교표 작성","preserve_existing_tasks":true,"relation":"new_goal","targets":["S6-03:quote-L","S6-03:quote-R"]}</x:v>
      </x:c>
      <x:c r="F1135" s="10" t="n">
        <x:f>IF(D1135=E1135,1,0)</x:f>
        <x:v>1</x:v>
      </x:c>
      <x:c r="G1135" s="10" t="str">
        <x:v>필수 의미 전체 일치</x:v>
      </x:c>
    </x:row>
    <x:row r="1136" ht="145" customHeight="1">
      <x:c r="A1136" s="10" t="str">
        <x:v>V-R2</x:v>
      </x:c>
      <x:c r="B1136" s="10" t="str">
        <x:v>VOICE</x:v>
      </x:c>
      <x:c r="C1136" s="10" t="str">
        <x:v>VOICE:S6-03:input</x:v>
      </x:c>
      <x:c r="D1136" s="10" t="str">
        <x:v>{"exclusions":["설치비"],"goal":"비교표 작성","preserve_existing_tasks":true,"relation":"new_goal","targets":["S6-03:quote-L","S6-03:quote-R"]}</x:v>
      </x:c>
      <x:c r="E1136" s="10" t="str">
        <x:v>{"exclusions":["설치비"],"goal":"비교표 작성","preserve_existing_tasks":true,"relation":"new_goal","targets":["S6-03:quote-L","S6-03:quote-R"]}</x:v>
      </x:c>
      <x:c r="F1136" s="10" t="n">
        <x:f>IF(D1136=E1136,1,0)</x:f>
        <x:v>1</x:v>
      </x:c>
      <x:c r="G1136" s="10" t="str">
        <x:v>필수 의미 전체 일치</x:v>
      </x:c>
    </x:row>
    <x:row r="1137" ht="145" customHeight="1">
      <x:c r="A1137" s="10" t="str">
        <x:v>V-R3</x:v>
      </x:c>
      <x:c r="B1137" s="10" t="str">
        <x:v>VOICE</x:v>
      </x:c>
      <x:c r="C1137" s="10" t="str">
        <x:v>VOICE:S6-03:input</x:v>
      </x:c>
      <x:c r="D1137" s="10" t="str">
        <x:v>{"exclusions":["설치비"],"goal":"비교표 작성","preserve_existing_tasks":true,"relation":"new_goal","targets":["S6-03:quote-L","S6-03:quote-R"]}</x:v>
      </x:c>
      <x:c r="E1137" s="10" t="str">
        <x:v>{"exclusions":["설치비"],"goal":"비교표 작성","preserve_existing_tasks":true,"relation":"new_goal","targets":["S6-03:quote-L","S6-03:quote-R"]}</x:v>
      </x:c>
      <x:c r="F1137" s="10" t="n">
        <x:f>IF(D1137=E1137,1,0)</x:f>
        <x:v>1</x:v>
      </x:c>
      <x:c r="G1137" s="10" t="str">
        <x:v>필수 의미 전체 일치</x:v>
      </x:c>
    </x:row>
    <x:row r="1138" ht="145" customHeight="1">
      <x:c r="A1138" s="10" t="str">
        <x:v>V-A</x:v>
      </x:c>
      <x:c r="B1138" s="10" t="str">
        <x:v>VOICE</x:v>
      </x:c>
      <x:c r="C1138" s="10" t="str">
        <x:v>VOICE:S6-04:input</x:v>
      </x:c>
      <x:c r="D1138" s="10" t="str">
        <x:v>{"exclusions":["설치비"],"goal":"비교표 작성","preserve_existing_tasks":true,"relation":"new_goal","targets":["S6-04:quote-L","S6-04:quote-R"]}</x:v>
      </x:c>
      <x:c r="E1138" s="10" t="str">
        <x:v>{"exclusions":["설치비"],"goal":"비교표 작성","preserve_existing_tasks":true,"relation":"new_goal","targets":["S6-04:quote-L","S6-04:quote-R"]}</x:v>
      </x:c>
      <x:c r="F1138" s="10" t="n">
        <x:f>IF(D1138=E1138,1,0)</x:f>
        <x:v>1</x:v>
      </x:c>
      <x:c r="G1138" s="10" t="str">
        <x:v>필수 의미 전체 일치</x:v>
      </x:c>
    </x:row>
    <x:row r="1139" ht="145" customHeight="1">
      <x:c r="A1139" s="10" t="str">
        <x:v>V-R1</x:v>
      </x:c>
      <x:c r="B1139" s="10" t="str">
        <x:v>VOICE</x:v>
      </x:c>
      <x:c r="C1139" s="10" t="str">
        <x:v>VOICE:S6-04:input</x:v>
      </x:c>
      <x:c r="D1139" s="10" t="str">
        <x:v>{"exclusions":["설치비"],"goal":"비교표 작성","preserve_existing_tasks":true,"relation":"new_goal","targets":["S6-04:quote-L","S6-04:quote-R"]}</x:v>
      </x:c>
      <x:c r="E1139" s="10" t="str">
        <x:v>{"exclusions":["설치비"],"goal":"비교표 작성","preserve_existing_tasks":true,"relation":"new_goal","targets":["S6-04:quote-L","S6-04:quote-R"]}</x:v>
      </x:c>
      <x:c r="F1139" s="10" t="n">
        <x:f>IF(D1139=E1139,1,0)</x:f>
        <x:v>1</x:v>
      </x:c>
      <x:c r="G1139" s="10" t="str">
        <x:v>필수 의미 전체 일치</x:v>
      </x:c>
    </x:row>
    <x:row r="1140" ht="145" customHeight="1">
      <x:c r="A1140" s="10" t="str">
        <x:v>V-R2</x:v>
      </x:c>
      <x:c r="B1140" s="10" t="str">
        <x:v>VOICE</x:v>
      </x:c>
      <x:c r="C1140" s="10" t="str">
        <x:v>VOICE:S6-04:input</x:v>
      </x:c>
      <x:c r="D1140" s="10" t="str">
        <x:v>{"exclusions":["설치비"],"goal":"비교표 작성","preserve_existing_tasks":true,"relation":"new_goal","targets":["S6-04:quote-L","S6-04:quote-R"]}</x:v>
      </x:c>
      <x:c r="E1140" s="10" t="str">
        <x:v>{"exclusions":["설치비"],"goal":"비교표 작성","preserve_existing_tasks":true,"relation":"new_goal","targets":["S6-04:quote-L","S6-04:quote-R"]}</x:v>
      </x:c>
      <x:c r="F1140" s="10" t="n">
        <x:f>IF(D1140=E1140,1,0)</x:f>
        <x:v>1</x:v>
      </x:c>
      <x:c r="G1140" s="10" t="str">
        <x:v>필수 의미 전체 일치</x:v>
      </x:c>
    </x:row>
    <x:row r="1141" ht="145" customHeight="1">
      <x:c r="A1141" s="10" t="str">
        <x:v>V-R3</x:v>
      </x:c>
      <x:c r="B1141" s="10" t="str">
        <x:v>VOICE</x:v>
      </x:c>
      <x:c r="C1141" s="10" t="str">
        <x:v>VOICE:S6-04:input</x:v>
      </x:c>
      <x:c r="D1141" s="10" t="str">
        <x:v>{"exclusions":["설치비"],"goal":"비교표 작성","preserve_existing_tasks":true,"relation":"new_goal","targets":["S6-04:quote-L","S6-04:quote-R"]}</x:v>
      </x:c>
      <x:c r="E1141" s="10" t="str">
        <x:v>{"exclusions":["설치비"],"goal":"비교표 작성","preserve_existing_tasks":true,"relation":"new_goal","targets":["S6-04:quote-L","S6-04:quote-R"]}</x:v>
      </x:c>
      <x:c r="F1141" s="10" t="n">
        <x:f>IF(D1141=E1141,1,0)</x:f>
        <x:v>1</x:v>
      </x:c>
      <x:c r="G1141" s="10" t="str">
        <x:v>필수 의미 전체 일치</x:v>
      </x:c>
    </x:row>
    <x:row r="1142" ht="145" customHeight="1">
      <x:c r="A1142" s="10" t="str">
        <x:v>V-A</x:v>
      </x:c>
      <x:c r="B1142" s="10" t="str">
        <x:v>VOICE</x:v>
      </x:c>
      <x:c r="C1142" s="10" t="str">
        <x:v>VOICE:S6-05:input</x:v>
      </x:c>
      <x:c r="D1142" s="10" t="str">
        <x:v>{"exclusions":["설치비"],"goal":"비교표 작성","preserve_existing_tasks":true,"relation":"new_goal","targets":["S6-05:quote-L","S6-05:quote-R"]}</x:v>
      </x:c>
      <x:c r="E1142" s="10" t="str">
        <x:v>{"exclusions":["설치비"],"goal":"비교표 작성","preserve_existing_tasks":true,"relation":"new_goal","targets":["S6-05:quote-L","S6-05:quote-R"]}</x:v>
      </x:c>
      <x:c r="F1142" s="10" t="n">
        <x:f>IF(D1142=E1142,1,0)</x:f>
        <x:v>1</x:v>
      </x:c>
      <x:c r="G1142" s="10" t="str">
        <x:v>필수 의미 전체 일치</x:v>
      </x:c>
    </x:row>
    <x:row r="1143" ht="145" customHeight="1">
      <x:c r="A1143" s="10" t="str">
        <x:v>V-R1</x:v>
      </x:c>
      <x:c r="B1143" s="10" t="str">
        <x:v>VOICE</x:v>
      </x:c>
      <x:c r="C1143" s="10" t="str">
        <x:v>VOICE:S6-05:input</x:v>
      </x:c>
      <x:c r="D1143" s="10" t="str">
        <x:v>{"exclusions":["설치비"],"goal":"비교표 작성","preserve_existing_tasks":true,"relation":"new_goal","targets":["S6-05:quote-L","S6-05:quote-R"]}</x:v>
      </x:c>
      <x:c r="E1143" s="10" t="str">
        <x:v>{"exclusions":["설치비"],"goal":"비교표 작성","preserve_existing_tasks":true,"relation":"new_goal","targets":["S6-05:quote-L","S6-05:quote-R"]}</x:v>
      </x:c>
      <x:c r="F1143" s="10" t="n">
        <x:f>IF(D1143=E1143,1,0)</x:f>
        <x:v>1</x:v>
      </x:c>
      <x:c r="G1143" s="10" t="str">
        <x:v>필수 의미 전체 일치</x:v>
      </x:c>
    </x:row>
    <x:row r="1144" ht="145" customHeight="1">
      <x:c r="A1144" s="10" t="str">
        <x:v>V-R2</x:v>
      </x:c>
      <x:c r="B1144" s="10" t="str">
        <x:v>VOICE</x:v>
      </x:c>
      <x:c r="C1144" s="10" t="str">
        <x:v>VOICE:S6-05:input</x:v>
      </x:c>
      <x:c r="D1144" s="10" t="str">
        <x:v>{"exclusions":["설치비"],"goal":"비교표 작성","preserve_existing_tasks":true,"relation":"new_goal","targets":["S6-05:quote-L","S6-05:quote-R"]}</x:v>
      </x:c>
      <x:c r="E1144" s="10" t="str">
        <x:v>{"exclusions":["설치비"],"goal":"비교표 작성","preserve_existing_tasks":true,"relation":"new_goal","targets":["S6-05:quote-L","S6-05:quote-R"]}</x:v>
      </x:c>
      <x:c r="F1144" s="10" t="n">
        <x:f>IF(D1144=E1144,1,0)</x:f>
        <x:v>1</x:v>
      </x:c>
      <x:c r="G1144" s="10" t="str">
        <x:v>필수 의미 전체 일치</x:v>
      </x:c>
    </x:row>
    <x:row r="1145" ht="145" customHeight="1">
      <x:c r="A1145" s="10" t="str">
        <x:v>V-R3</x:v>
      </x:c>
      <x:c r="B1145" s="10" t="str">
        <x:v>VOICE</x:v>
      </x:c>
      <x:c r="C1145" s="10" t="str">
        <x:v>VOICE:S6-05:input</x:v>
      </x:c>
      <x:c r="D1145" s="10" t="str">
        <x:v>{"exclusions":["설치비"],"goal":"비교표 작성","preserve_existing_tasks":true,"relation":"new_goal","targets":["S6-05:quote-L","S6-05:quote-R"]}</x:v>
      </x:c>
      <x:c r="E1145" s="10" t="str">
        <x:v>{"exclusions":["설치비"],"goal":"비교표 작성","preserve_existing_tasks":true,"relation":"new_goal","targets":["S6-05:quote-L","S6-05:quote-R"]}</x:v>
      </x:c>
      <x:c r="F1145" s="10" t="n">
        <x:f>IF(D1145=E1145,1,0)</x:f>
        <x:v>1</x:v>
      </x:c>
      <x:c r="G1145" s="10" t="str">
        <x:v>필수 의미 전체 일치</x:v>
      </x:c>
    </x:row>
    <x:row r="1146" ht="145" customHeight="1">
      <x:c r="A1146" s="10" t="str">
        <x:v>V-A</x:v>
      </x:c>
      <x:c r="B1146" s="10" t="str">
        <x:v>VOICE</x:v>
      </x:c>
      <x:c r="C1146" s="10" t="str">
        <x:v>VOICE:S6-06:input</x:v>
      </x:c>
      <x:c r="D1146" s="10" t="str">
        <x:v>{"exclusions":["설치비"],"goal":"비교표 작성","preserve_existing_tasks":true,"relation":"new_goal","targets":["S6-06:quote-L","S6-06:quote-R"]}</x:v>
      </x:c>
      <x:c r="E1146" s="10" t="str">
        <x:v>{"exclusions":["설치비"],"goal":"비교표 작성","preserve_existing_tasks":true,"relation":"new_goal","targets":["S6-06:quote-L","S6-06:quote-R"]}</x:v>
      </x:c>
      <x:c r="F1146" s="10" t="n">
        <x:f>IF(D1146=E1146,1,0)</x:f>
        <x:v>1</x:v>
      </x:c>
      <x:c r="G1146" s="10" t="str">
        <x:v>필수 의미 전체 일치</x:v>
      </x:c>
    </x:row>
    <x:row r="1147" ht="145" customHeight="1">
      <x:c r="A1147" s="10" t="str">
        <x:v>V-R1</x:v>
      </x:c>
      <x:c r="B1147" s="10" t="str">
        <x:v>VOICE</x:v>
      </x:c>
      <x:c r="C1147" s="10" t="str">
        <x:v>VOICE:S6-06:input</x:v>
      </x:c>
      <x:c r="D1147" s="10" t="str">
        <x:v>{"exclusions":["설치비"],"goal":"비교표 작성","preserve_existing_tasks":true,"relation":"new_goal","targets":["S6-06:quote-L","S6-06:quote-R"]}</x:v>
      </x:c>
      <x:c r="E1147" s="10" t="str">
        <x:v>{"exclusions":["설치비"],"goal":"비교표 작성","preserve_existing_tasks":true,"relation":"new_goal","targets":["S6-06:quote-L","S6-06:quote-R"]}</x:v>
      </x:c>
      <x:c r="F1147" s="10" t="n">
        <x:f>IF(D1147=E1147,1,0)</x:f>
        <x:v>1</x:v>
      </x:c>
      <x:c r="G1147" s="10" t="str">
        <x:v>필수 의미 전체 일치</x:v>
      </x:c>
    </x:row>
    <x:row r="1148" ht="145" customHeight="1">
      <x:c r="A1148" s="10" t="str">
        <x:v>V-R2</x:v>
      </x:c>
      <x:c r="B1148" s="10" t="str">
        <x:v>VOICE</x:v>
      </x:c>
      <x:c r="C1148" s="10" t="str">
        <x:v>VOICE:S6-06:input</x:v>
      </x:c>
      <x:c r="D1148" s="10" t="str">
        <x:v>{"exclusions":["설치비"],"goal":"비교표 작성","preserve_existing_tasks":true,"relation":"new_goal","targets":["S6-06:quote-L","S6-06:quote-R"]}</x:v>
      </x:c>
      <x:c r="E1148" s="10" t="str">
        <x:v>{"exclusions":["설치비"],"goal":"비교표 작성","preserve_existing_tasks":true,"relation":"new_goal","targets":["S6-06:quote-L","S6-06:quote-R"]}</x:v>
      </x:c>
      <x:c r="F1148" s="10" t="n">
        <x:f>IF(D1148=E1148,1,0)</x:f>
        <x:v>1</x:v>
      </x:c>
      <x:c r="G1148" s="10" t="str">
        <x:v>필수 의미 전체 일치</x:v>
      </x:c>
    </x:row>
    <x:row r="1149" ht="145" customHeight="1">
      <x:c r="A1149" s="10" t="str">
        <x:v>V-R3</x:v>
      </x:c>
      <x:c r="B1149" s="10" t="str">
        <x:v>VOICE</x:v>
      </x:c>
      <x:c r="C1149" s="10" t="str">
        <x:v>VOICE:S6-06:input</x:v>
      </x:c>
      <x:c r="D1149" s="10" t="str">
        <x:v>{"exclusions":["설치비"],"goal":"비교표 작성","preserve_existing_tasks":true,"relation":"new_goal","targets":["S6-06:quote-L","S6-06:quote-R"]}</x:v>
      </x:c>
      <x:c r="E1149" s="10" t="str">
        <x:v>{"exclusions":["설치비"],"goal":"비교표 작성","preserve_existing_tasks":true,"relation":"new_goal","targets":["S6-06:quote-L","S6-06:quote-R"]}</x:v>
      </x:c>
      <x:c r="F1149" s="10" t="n">
        <x:f>IF(D1149=E1149,1,0)</x:f>
        <x:v>1</x:v>
      </x:c>
      <x:c r="G1149" s="10" t="str">
        <x:v>필수 의미 전체 일치</x:v>
      </x:c>
    </x:row>
    <x:row r="1150" ht="145" customHeight="1">
      <x:c r="A1150" s="10" t="str">
        <x:v>V-A</x:v>
      </x:c>
      <x:c r="B1150" s="10" t="str">
        <x:v>VOICE</x:v>
      </x:c>
      <x:c r="C1150" s="10" t="str">
        <x:v>VOICE:S6-07:input</x:v>
      </x:c>
      <x:c r="D1150" s="10" t="str">
        <x:v>{"exclusions":["설치비"],"goal":"비교표 작성","preserve_existing_tasks":true,"relation":"new_goal","targets":["S6-07:quote-L","S6-07:quote-R"]}</x:v>
      </x:c>
      <x:c r="E1150" s="10" t="str">
        <x:v>{"exclusions":["설치비"],"goal":"비교표 작성","preserve_existing_tasks":true,"relation":"new_goal","targets":["S6-07:quote-L","S6-07:quote-R"]}</x:v>
      </x:c>
      <x:c r="F1150" s="10" t="n">
        <x:f>IF(D1150=E1150,1,0)</x:f>
        <x:v>1</x:v>
      </x:c>
      <x:c r="G1150" s="10" t="str">
        <x:v>필수 의미 전체 일치</x:v>
      </x:c>
    </x:row>
    <x:row r="1151" ht="145" customHeight="1">
      <x:c r="A1151" s="10" t="str">
        <x:v>V-R1</x:v>
      </x:c>
      <x:c r="B1151" s="10" t="str">
        <x:v>VOICE</x:v>
      </x:c>
      <x:c r="C1151" s="10" t="str">
        <x:v>VOICE:S6-07:input</x:v>
      </x:c>
      <x:c r="D1151" s="10" t="str">
        <x:v>{"exclusions":["설치비"],"goal":"비교표 작성","preserve_existing_tasks":true,"relation":"new_goal","targets":["S6-07:quote-L","S6-07:quote-R"]}</x:v>
      </x:c>
      <x:c r="E1151" s="10" t="str">
        <x:v>{"exclusions":["설치비"],"goal":"비교표 작성","preserve_existing_tasks":true,"relation":"new_goal","targets":["S6-07:quote-L","S6-07:quote-R"]}</x:v>
      </x:c>
      <x:c r="F1151" s="10" t="n">
        <x:f>IF(D1151=E1151,1,0)</x:f>
        <x:v>1</x:v>
      </x:c>
      <x:c r="G1151" s="10" t="str">
        <x:v>필수 의미 전체 일치</x:v>
      </x:c>
    </x:row>
    <x:row r="1152" ht="145" customHeight="1">
      <x:c r="A1152" s="10" t="str">
        <x:v>V-R2</x:v>
      </x:c>
      <x:c r="B1152" s="10" t="str">
        <x:v>VOICE</x:v>
      </x:c>
      <x:c r="C1152" s="10" t="str">
        <x:v>VOICE:S6-07:input</x:v>
      </x:c>
      <x:c r="D1152" s="10" t="str">
        <x:v>{"exclusions":["설치비"],"goal":"비교표 작성","preserve_existing_tasks":true,"relation":"new_goal","targets":["S6-07:quote-L","S6-07:quote-R"]}</x:v>
      </x:c>
      <x:c r="E1152" s="10" t="str">
        <x:v>{"exclusions":["설치비"],"goal":"비교표 작성","preserve_existing_tasks":true,"relation":"new_goal","targets":["S6-07:quote-L","S6-07:quote-R"]}</x:v>
      </x:c>
      <x:c r="F1152" s="10" t="n">
        <x:f>IF(D1152=E1152,1,0)</x:f>
        <x:v>1</x:v>
      </x:c>
      <x:c r="G1152" s="10" t="str">
        <x:v>필수 의미 전체 일치</x:v>
      </x:c>
    </x:row>
    <x:row r="1153" ht="145" customHeight="1">
      <x:c r="A1153" s="10" t="str">
        <x:v>V-R3</x:v>
      </x:c>
      <x:c r="B1153" s="10" t="str">
        <x:v>VOICE</x:v>
      </x:c>
      <x:c r="C1153" s="10" t="str">
        <x:v>VOICE:S6-07:input</x:v>
      </x:c>
      <x:c r="D1153" s="10" t="str">
        <x:v>{"exclusions":["설치비"],"goal":"비교표 작성","preserve_existing_tasks":true,"relation":"new_goal","targets":["S6-07:quote-L","S6-07:quote-R"]}</x:v>
      </x:c>
      <x:c r="E1153" s="10" t="str">
        <x:v>{"exclusions":["설치비"],"goal":"비교표 작성","preserve_existing_tasks":true,"relation":"new_goal","targets":["S6-07:quote-L","S6-07:quote-R"]}</x:v>
      </x:c>
      <x:c r="F1153" s="10" t="n">
        <x:f>IF(D1153=E1153,1,0)</x:f>
        <x:v>1</x:v>
      </x:c>
      <x:c r="G1153" s="10" t="str">
        <x:v>필수 의미 전체 일치</x:v>
      </x:c>
    </x:row>
    <x:row r="1154" ht="145" customHeight="1">
      <x:c r="A1154" s="10" t="str">
        <x:v>V-A</x:v>
      </x:c>
      <x:c r="B1154" s="10" t="str">
        <x:v>VOICE</x:v>
      </x:c>
      <x:c r="C1154" s="10" t="str">
        <x:v>VOICE:S6-08:input</x:v>
      </x:c>
      <x:c r="D1154" s="10" t="str">
        <x:v>{"exclusions":["설치비"],"goal":"비교표 작성","preserve_existing_tasks":true,"relation":"new_goal","targets":["S6-08:quote-L","S6-08:quote-R"]}</x:v>
      </x:c>
      <x:c r="E1154" s="10" t="str">
        <x:v>{"exclusions":["설치비"],"goal":"비교표 작성","preserve_existing_tasks":true,"relation":"new_goal","targets":["S6-08:quote-L","S6-08:quote-R"]}</x:v>
      </x:c>
      <x:c r="F1154" s="10" t="n">
        <x:f>IF(D1154=E1154,1,0)</x:f>
        <x:v>1</x:v>
      </x:c>
      <x:c r="G1154" s="10" t="str">
        <x:v>필수 의미 전체 일치</x:v>
      </x:c>
    </x:row>
    <x:row r="1155" ht="145" customHeight="1">
      <x:c r="A1155" s="10" t="str">
        <x:v>V-R1</x:v>
      </x:c>
      <x:c r="B1155" s="10" t="str">
        <x:v>VOICE</x:v>
      </x:c>
      <x:c r="C1155" s="10" t="str">
        <x:v>VOICE:S6-08:input</x:v>
      </x:c>
      <x:c r="D1155" s="10" t="str">
        <x:v>{"exclusions":["설치비"],"goal":"비교표 작성","preserve_existing_tasks":true,"relation":"new_goal","targets":["S6-08:quote-L","S6-08:quote-R"]}</x:v>
      </x:c>
      <x:c r="E1155" s="10" t="str">
        <x:v>{"exclusions":["설치비"],"goal":"비교표 작성","preserve_existing_tasks":true,"relation":"new_goal","targets":["S6-08:quote-L","S6-08:quote-R"]}</x:v>
      </x:c>
      <x:c r="F1155" s="10" t="n">
        <x:f>IF(D1155=E1155,1,0)</x:f>
        <x:v>1</x:v>
      </x:c>
      <x:c r="G1155" s="10" t="str">
        <x:v>필수 의미 전체 일치</x:v>
      </x:c>
    </x:row>
    <x:row r="1156" ht="145" customHeight="1">
      <x:c r="A1156" s="10" t="str">
        <x:v>V-R2</x:v>
      </x:c>
      <x:c r="B1156" s="10" t="str">
        <x:v>VOICE</x:v>
      </x:c>
      <x:c r="C1156" s="10" t="str">
        <x:v>VOICE:S6-08:input</x:v>
      </x:c>
      <x:c r="D1156" s="10" t="str">
        <x:v>{"exclusions":["설치비"],"goal":"비교표 작성","preserve_existing_tasks":true,"relation":"new_goal","targets":["S6-08:quote-L","S6-08:quote-R"]}</x:v>
      </x:c>
      <x:c r="E1156" s="10" t="str">
        <x:v>{"exclusions":["설치비"],"goal":"비교표 작성","preserve_existing_tasks":true,"relation":"new_goal","targets":["S6-08:quote-L","S6-08:quote-R"]}</x:v>
      </x:c>
      <x:c r="F1156" s="10" t="n">
        <x:f>IF(D1156=E1156,1,0)</x:f>
        <x:v>1</x:v>
      </x:c>
      <x:c r="G1156" s="10" t="str">
        <x:v>필수 의미 전체 일치</x:v>
      </x:c>
    </x:row>
    <x:row r="1157" ht="145" customHeight="1">
      <x:c r="A1157" s="10" t="str">
        <x:v>V-R3</x:v>
      </x:c>
      <x:c r="B1157" s="10" t="str">
        <x:v>VOICE</x:v>
      </x:c>
      <x:c r="C1157" s="10" t="str">
        <x:v>VOICE:S6-08:input</x:v>
      </x:c>
      <x:c r="D1157" s="10" t="str">
        <x:v>{"exclusions":["설치비"],"goal":"비교표 작성","preserve_existing_tasks":true,"relation":"new_goal","targets":["S6-08:quote-L","S6-08:quote-R"]}</x:v>
      </x:c>
      <x:c r="E1157" s="10" t="str">
        <x:v>{"exclusions":["설치비"],"goal":"비교표 작성","preserve_existing_tasks":true,"relation":"new_goal","targets":["S6-08:quote-L","S6-08:quote-R"]}</x:v>
      </x:c>
      <x:c r="F1157" s="10" t="n">
        <x:f>IF(D1157=E1157,1,0)</x:f>
        <x:v>1</x:v>
      </x:c>
      <x:c r="G1157" s="10" t="str">
        <x:v>필수 의미 전체 일치</x:v>
      </x:c>
    </x:row>
    <x:row r="1158" ht="145" customHeight="1">
      <x:c r="A1158" s="10" t="str">
        <x:v>V-A</x:v>
      </x:c>
      <x:c r="B1158" s="10" t="str">
        <x:v>VOICE</x:v>
      </x:c>
      <x:c r="C1158" s="10" t="str">
        <x:v>VOICE:S6-09:input</x:v>
      </x:c>
      <x:c r="D1158" s="10" t="str">
        <x:v>{"exclusions":["설치비"],"goal":"비교표 작성","preserve_existing_tasks":true,"relation":"new_goal","targets":["S6-09:quote-L","S6-09:quote-R"]}</x:v>
      </x:c>
      <x:c r="E1158" s="10" t="str">
        <x:v>{"exclusions":["설치비"],"goal":"비교표 작성","preserve_existing_tasks":true,"relation":"new_goal","targets":["S6-09:quote-L","S6-09:quote-R"]}</x:v>
      </x:c>
      <x:c r="F1158" s="10" t="n">
        <x:f>IF(D1158=E1158,1,0)</x:f>
        <x:v>1</x:v>
      </x:c>
      <x:c r="G1158" s="10" t="str">
        <x:v>필수 의미 전체 일치</x:v>
      </x:c>
    </x:row>
    <x:row r="1159" ht="145" customHeight="1">
      <x:c r="A1159" s="10" t="str">
        <x:v>V-R1</x:v>
      </x:c>
      <x:c r="B1159" s="10" t="str">
        <x:v>VOICE</x:v>
      </x:c>
      <x:c r="C1159" s="10" t="str">
        <x:v>VOICE:S6-09:input</x:v>
      </x:c>
      <x:c r="D1159" s="10" t="str">
        <x:v>{"exclusions":["설치비"],"goal":"비교표 작성","preserve_existing_tasks":true,"relation":"new_goal","targets":["S6-09:quote-L","S6-09:quote-R"]}</x:v>
      </x:c>
      <x:c r="E1159" s="10" t="str">
        <x:v>{"exclusions":["설치비"],"goal":"비교표 작성","preserve_existing_tasks":true,"relation":"new_goal","targets":["S6-09:quote-L","S6-09:quote-R"]}</x:v>
      </x:c>
      <x:c r="F1159" s="10" t="n">
        <x:f>IF(D1159=E1159,1,0)</x:f>
        <x:v>1</x:v>
      </x:c>
      <x:c r="G1159" s="10" t="str">
        <x:v>필수 의미 전체 일치</x:v>
      </x:c>
    </x:row>
    <x:row r="1160" ht="145" customHeight="1">
      <x:c r="A1160" s="10" t="str">
        <x:v>V-R2</x:v>
      </x:c>
      <x:c r="B1160" s="10" t="str">
        <x:v>VOICE</x:v>
      </x:c>
      <x:c r="C1160" s="10" t="str">
        <x:v>VOICE:S6-09:input</x:v>
      </x:c>
      <x:c r="D1160" s="10" t="str">
        <x:v>{"exclusions":["설치비"],"goal":"비교표 작성","preserve_existing_tasks":true,"relation":"new_goal","targets":["S6-09:quote-L","S6-09:quote-R"]}</x:v>
      </x:c>
      <x:c r="E1160" s="10" t="str">
        <x:v>{"exclusions":["설치비"],"goal":"비교표 작성","preserve_existing_tasks":true,"relation":"new_goal","targets":["S6-09:quote-L","S6-09:quote-R"]}</x:v>
      </x:c>
      <x:c r="F1160" s="10" t="n">
        <x:f>IF(D1160=E1160,1,0)</x:f>
        <x:v>1</x:v>
      </x:c>
      <x:c r="G1160" s="10" t="str">
        <x:v>필수 의미 전체 일치</x:v>
      </x:c>
    </x:row>
    <x:row r="1161" ht="145" customHeight="1">
      <x:c r="A1161" s="10" t="str">
        <x:v>V-R3</x:v>
      </x:c>
      <x:c r="B1161" s="10" t="str">
        <x:v>VOICE</x:v>
      </x:c>
      <x:c r="C1161" s="10" t="str">
        <x:v>VOICE:S6-09:input</x:v>
      </x:c>
      <x:c r="D1161" s="10" t="str">
        <x:v>{"exclusions":["설치비"],"goal":"비교표 작성","preserve_existing_tasks":true,"relation":"new_goal","targets":["S6-09:quote-L","S6-09:quote-R"]}</x:v>
      </x:c>
      <x:c r="E1161" s="10" t="str">
        <x:v>{"exclusions":["설치비"],"goal":"비교표 작성","preserve_existing_tasks":true,"relation":"new_goal","targets":["S6-09:quote-L","S6-09:quote-R"]}</x:v>
      </x:c>
      <x:c r="F1161" s="10" t="n">
        <x:f>IF(D1161=E1161,1,0)</x:f>
        <x:v>1</x:v>
      </x:c>
      <x:c r="G1161" s="10" t="str">
        <x:v>필수 의미 전체 일치</x:v>
      </x:c>
    </x:row>
    <x:row r="1162" ht="145" customHeight="1">
      <x:c r="A1162" s="10" t="str">
        <x:v>V-A</x:v>
      </x:c>
      <x:c r="B1162" s="10" t="str">
        <x:v>VOICE</x:v>
      </x:c>
      <x:c r="C1162" s="10" t="str">
        <x:v>VOICE:S6-10:input</x:v>
      </x:c>
      <x:c r="D1162" s="10" t="str">
        <x:v>{"exclusions":["설치비"],"goal":"비교표 작성","preserve_existing_tasks":true,"relation":"new_goal","targets":["S6-10:quote-L","S6-10:quote-R"]}</x:v>
      </x:c>
      <x:c r="E1162" s="10" t="str">
        <x:v>{"exclusions":["설치비"],"goal":"비교표 작성","preserve_existing_tasks":true,"relation":"new_goal","targets":["S6-10:quote-L","S6-10:quote-R"]}</x:v>
      </x:c>
      <x:c r="F1162" s="10" t="n">
        <x:f>IF(D1162=E1162,1,0)</x:f>
        <x:v>1</x:v>
      </x:c>
      <x:c r="G1162" s="10" t="str">
        <x:v>필수 의미 전체 일치</x:v>
      </x:c>
    </x:row>
    <x:row r="1163" ht="145" customHeight="1">
      <x:c r="A1163" s="10" t="str">
        <x:v>V-R1</x:v>
      </x:c>
      <x:c r="B1163" s="10" t="str">
        <x:v>VOICE</x:v>
      </x:c>
      <x:c r="C1163" s="10" t="str">
        <x:v>VOICE:S6-10:input</x:v>
      </x:c>
      <x:c r="D1163" s="10" t="str">
        <x:v>{"exclusions":["설치비"],"goal":"비교표 작성","preserve_existing_tasks":true,"relation":"new_goal","targets":["S6-10:quote-L","S6-10:quote-R"]}</x:v>
      </x:c>
      <x:c r="E1163" s="10" t="str">
        <x:v>{"exclusions":["설치비"],"goal":"비교표 작성","preserve_existing_tasks":true,"relation":"new_goal","targets":["S6-10:quote-L","S6-10:quote-R"]}</x:v>
      </x:c>
      <x:c r="F1163" s="10" t="n">
        <x:f>IF(D1163=E1163,1,0)</x:f>
        <x:v>1</x:v>
      </x:c>
      <x:c r="G1163" s="10" t="str">
        <x:v>필수 의미 전체 일치</x:v>
      </x:c>
    </x:row>
    <x:row r="1164" ht="145" customHeight="1">
      <x:c r="A1164" s="10" t="str">
        <x:v>V-R2</x:v>
      </x:c>
      <x:c r="B1164" s="10" t="str">
        <x:v>VOICE</x:v>
      </x:c>
      <x:c r="C1164" s="10" t="str">
        <x:v>VOICE:S6-10:input</x:v>
      </x:c>
      <x:c r="D1164" s="10" t="str">
        <x:v>{"exclusions":["설치비"],"goal":"비교표 작성","preserve_existing_tasks":true,"relation":"new_goal","targets":["S6-10:quote-L","S6-10:quote-R"]}</x:v>
      </x:c>
      <x:c r="E1164" s="10" t="str">
        <x:v>{"exclusions":["설치비"],"goal":"비교표 작성","preserve_existing_tasks":true,"relation":"new_goal","targets":["S6-10:quote-L","S6-10:quote-R"]}</x:v>
      </x:c>
      <x:c r="F1164" s="10" t="n">
        <x:f>IF(D1164=E1164,1,0)</x:f>
        <x:v>1</x:v>
      </x:c>
      <x:c r="G1164" s="10" t="str">
        <x:v>필수 의미 전체 일치</x:v>
      </x:c>
    </x:row>
    <x:row r="1165" ht="145" customHeight="1">
      <x:c r="A1165" s="10" t="str">
        <x:v>V-R3</x:v>
      </x:c>
      <x:c r="B1165" s="10" t="str">
        <x:v>VOICE</x:v>
      </x:c>
      <x:c r="C1165" s="10" t="str">
        <x:v>VOICE:S6-10:input</x:v>
      </x:c>
      <x:c r="D1165" s="10" t="str">
        <x:v>{"exclusions":["설치비"],"goal":"비교표 작성","preserve_existing_tasks":true,"relation":"new_goal","targets":["S6-10:quote-L","S6-10:quote-R"]}</x:v>
      </x:c>
      <x:c r="E1165" s="10" t="str">
        <x:v>{"exclusions":["설치비"],"goal":"비교표 작성","preserve_existing_tasks":true,"relation":"new_goal","targets":["S6-10:quote-L","S6-10:quote-R"]}</x:v>
      </x:c>
      <x:c r="F1165" s="10" t="n">
        <x:f>IF(D1165=E1165,1,0)</x:f>
        <x:v>1</x:v>
      </x:c>
      <x:c r="G1165" s="10" t="str">
        <x:v>필수 의미 전체 일치</x:v>
      </x:c>
    </x:row>
    <x:row r="1166" ht="145" customHeight="1">
      <x:c r="A1166" s="10" t="str">
        <x:v>V-A</x:v>
      </x:c>
      <x:c r="B1166" s="10" t="str">
        <x:v>VOICE</x:v>
      </x:c>
      <x:c r="C1166" s="10" t="str">
        <x:v>VOICE:S6-11:input</x:v>
      </x:c>
      <x:c r="D1166" s="10" t="str">
        <x:v>{"exclusions":["설치비"],"goal":"비교표 작성","preserve_existing_tasks":true,"relation":"new_goal","targets":["S6-11:quote-L","S6-11:quote-R"]}</x:v>
      </x:c>
      <x:c r="E1166" s="10" t="str">
        <x:v>{"exclusions":["설치비"],"goal":"비교표 작성","preserve_existing_tasks":true,"relation":"new_goal","targets":["S6-11:quote-L","S6-11:quote-R"]}</x:v>
      </x:c>
      <x:c r="F1166" s="10" t="n">
        <x:f>IF(D1166=E1166,1,0)</x:f>
        <x:v>1</x:v>
      </x:c>
      <x:c r="G1166" s="10" t="str">
        <x:v>필수 의미 전체 일치</x:v>
      </x:c>
    </x:row>
    <x:row r="1167" ht="145" customHeight="1">
      <x:c r="A1167" s="10" t="str">
        <x:v>V-R1</x:v>
      </x:c>
      <x:c r="B1167" s="10" t="str">
        <x:v>VOICE</x:v>
      </x:c>
      <x:c r="C1167" s="10" t="str">
        <x:v>VOICE:S6-11:input</x:v>
      </x:c>
      <x:c r="D1167" s="10" t="str">
        <x:v>{"exclusions":["설치비"],"goal":"비교표 작성","preserve_existing_tasks":true,"relation":"new_goal","targets":["S6-11:quote-L","S6-11:quote-R"]}</x:v>
      </x:c>
      <x:c r="E1167" s="10" t="str">
        <x:v>{"exclusions":["설치비"],"goal":"비교표 작성","preserve_existing_tasks":true,"relation":"new_goal","targets":["S6-11:quote-L","S6-11:quote-R"]}</x:v>
      </x:c>
      <x:c r="F1167" s="10" t="n">
        <x:f>IF(D1167=E1167,1,0)</x:f>
        <x:v>1</x:v>
      </x:c>
      <x:c r="G1167" s="10" t="str">
        <x:v>필수 의미 전체 일치</x:v>
      </x:c>
    </x:row>
    <x:row r="1168" ht="145" customHeight="1">
      <x:c r="A1168" s="10" t="str">
        <x:v>V-R2</x:v>
      </x:c>
      <x:c r="B1168" s="10" t="str">
        <x:v>VOICE</x:v>
      </x:c>
      <x:c r="C1168" s="10" t="str">
        <x:v>VOICE:S6-11:input</x:v>
      </x:c>
      <x:c r="D1168" s="10" t="str">
        <x:v>{"exclusions":["설치비"],"goal":"비교표 작성","preserve_existing_tasks":true,"relation":"new_goal","targets":["S6-11:quote-L","S6-11:quote-R"]}</x:v>
      </x:c>
      <x:c r="E1168" s="10" t="str">
        <x:v>{"exclusions":["설치비"],"goal":"비교표 작성","preserve_existing_tasks":true,"relation":"new_goal","targets":["S6-11:quote-L","S6-11:quote-R"]}</x:v>
      </x:c>
      <x:c r="F1168" s="10" t="n">
        <x:f>IF(D1168=E1168,1,0)</x:f>
        <x:v>1</x:v>
      </x:c>
      <x:c r="G1168" s="10" t="str">
        <x:v>필수 의미 전체 일치</x:v>
      </x:c>
    </x:row>
    <x:row r="1169" ht="145" customHeight="1">
      <x:c r="A1169" s="10" t="str">
        <x:v>V-R3</x:v>
      </x:c>
      <x:c r="B1169" s="10" t="str">
        <x:v>VOICE</x:v>
      </x:c>
      <x:c r="C1169" s="10" t="str">
        <x:v>VOICE:S6-11:input</x:v>
      </x:c>
      <x:c r="D1169" s="10" t="str">
        <x:v>{"exclusions":["설치비"],"goal":"비교표 작성","preserve_existing_tasks":true,"relation":"new_goal","targets":["S6-11:quote-L","S6-11:quote-R"]}</x:v>
      </x:c>
      <x:c r="E1169" s="10" t="str">
        <x:v>{"exclusions":["설치비"],"goal":"비교표 작성","preserve_existing_tasks":true,"relation":"new_goal","targets":["S6-11:quote-L","S6-11:quote-R"]}</x:v>
      </x:c>
      <x:c r="F1169" s="10" t="n">
        <x:f>IF(D1169=E1169,1,0)</x:f>
        <x:v>1</x:v>
      </x:c>
      <x:c r="G1169" s="10" t="str">
        <x:v>필수 의미 전체 일치</x:v>
      </x:c>
    </x:row>
    <x:row r="1170" ht="145" customHeight="1">
      <x:c r="A1170" s="10" t="str">
        <x:v>V-A</x:v>
      </x:c>
      <x:c r="B1170" s="10" t="str">
        <x:v>VOICE</x:v>
      </x:c>
      <x:c r="C1170" s="10" t="str">
        <x:v>VOICE:S6-12:input</x:v>
      </x:c>
      <x:c r="D1170" s="10" t="str">
        <x:v>{"exclusions":["설치비"],"goal":"비교표 작성","preserve_existing_tasks":true,"relation":"new_goal","targets":["S6-12:quote-L","S6-12:quote-R"]}</x:v>
      </x:c>
      <x:c r="E1170" s="10" t="str">
        <x:v>{"exclusions":["설치비"],"goal":"비교표 작성","preserve_existing_tasks":true,"relation":"new_goal","targets":["S6-12:quote-L","S6-12:quote-R"]}</x:v>
      </x:c>
      <x:c r="F1170" s="10" t="n">
        <x:f>IF(D1170=E1170,1,0)</x:f>
        <x:v>1</x:v>
      </x:c>
      <x:c r="G1170" s="10" t="str">
        <x:v>필수 의미 전체 일치</x:v>
      </x:c>
    </x:row>
    <x:row r="1171" ht="145" customHeight="1">
      <x:c r="A1171" s="10" t="str">
        <x:v>V-R1</x:v>
      </x:c>
      <x:c r="B1171" s="10" t="str">
        <x:v>VOICE</x:v>
      </x:c>
      <x:c r="C1171" s="10" t="str">
        <x:v>VOICE:S6-12:input</x:v>
      </x:c>
      <x:c r="D1171" s="10" t="str">
        <x:v>{"exclusions":["설치비"],"goal":"비교표 작성","preserve_existing_tasks":true,"relation":"new_goal","targets":["S6-12:quote-L","S6-12:quote-R"]}</x:v>
      </x:c>
      <x:c r="E1171" s="10" t="str">
        <x:v>{"exclusions":["설치비"],"goal":"비교표 작성","preserve_existing_tasks":true,"relation":"new_goal","targets":["S6-12:quote-L","S6-12:quote-R"]}</x:v>
      </x:c>
      <x:c r="F1171" s="10" t="n">
        <x:f>IF(D1171=E1171,1,0)</x:f>
        <x:v>1</x:v>
      </x:c>
      <x:c r="G1171" s="10" t="str">
        <x:v>필수 의미 전체 일치</x:v>
      </x:c>
    </x:row>
    <x:row r="1172" ht="145" customHeight="1">
      <x:c r="A1172" s="10" t="str">
        <x:v>V-R2</x:v>
      </x:c>
      <x:c r="B1172" s="10" t="str">
        <x:v>VOICE</x:v>
      </x:c>
      <x:c r="C1172" s="10" t="str">
        <x:v>VOICE:S6-12:input</x:v>
      </x:c>
      <x:c r="D1172" s="10" t="str">
        <x:v>{"exclusions":["설치비"],"goal":"비교표 작성","preserve_existing_tasks":true,"relation":"new_goal","targets":["S6-12:quote-L","S6-12:quote-R"]}</x:v>
      </x:c>
      <x:c r="E1172" s="10" t="str">
        <x:v>{"exclusions":["설치비"],"goal":"비교표 작성","preserve_existing_tasks":true,"relation":"new_goal","targets":["S6-12:quote-L","S6-12:quote-R"]}</x:v>
      </x:c>
      <x:c r="F1172" s="10" t="n">
        <x:f>IF(D1172=E1172,1,0)</x:f>
        <x:v>1</x:v>
      </x:c>
      <x:c r="G1172" s="10" t="str">
        <x:v>필수 의미 전체 일치</x:v>
      </x:c>
    </x:row>
    <x:row r="1173" ht="145" customHeight="1">
      <x:c r="A1173" s="10" t="str">
        <x:v>V-R3</x:v>
      </x:c>
      <x:c r="B1173" s="10" t="str">
        <x:v>VOICE</x:v>
      </x:c>
      <x:c r="C1173" s="10" t="str">
        <x:v>VOICE:S6-12:input</x:v>
      </x:c>
      <x:c r="D1173" s="10" t="str">
        <x:v>{"exclusions":["설치비"],"goal":"비교표 작성","preserve_existing_tasks":true,"relation":"new_goal","targets":["S6-12:quote-L","S6-12:quote-R"]}</x:v>
      </x:c>
      <x:c r="E1173" s="10" t="str">
        <x:v>{"exclusions":["설치비"],"goal":"비교표 작성","preserve_existing_tasks":true,"relation":"new_goal","targets":["S6-12:quote-L","S6-12:quote-R"]}</x:v>
      </x:c>
      <x:c r="F1173" s="10" t="n">
        <x:f>IF(D1173=E1173,1,0)</x:f>
        <x:v>1</x:v>
      </x:c>
      <x:c r="G1173" s="10" t="str">
        <x:v>필수 의미 전체 일치</x:v>
      </x:c>
    </x:row>
    <x:row r="1174" ht="145" customHeight="1">
      <x:c r="A1174" s="10" t="str">
        <x:v>V-A</x:v>
      </x:c>
      <x:c r="B1174" s="10" t="str">
        <x:v>VOICE</x:v>
      </x:c>
      <x:c r="C1174" s="10" t="str">
        <x:v>VOICE:S6-13:input</x:v>
      </x:c>
      <x:c r="D1174" s="10" t="str">
        <x:v>{"exclusions":["설치비"],"goal":"비교표 작성","preserve_existing_tasks":true,"relation":"new_goal","targets":["S6-13:quote-L","S6-13:quote-R"]}</x:v>
      </x:c>
      <x:c r="E1174" s="10" t="str">
        <x:v>{"exclusions":["설치비"],"goal":"비교표 작성","preserve_existing_tasks":true,"relation":"new_goal","targets":["S6-13:quote-L","S6-13:quote-R"]}</x:v>
      </x:c>
      <x:c r="F1174" s="10" t="n">
        <x:f>IF(D1174=E1174,1,0)</x:f>
        <x:v>1</x:v>
      </x:c>
      <x:c r="G1174" s="10" t="str">
        <x:v>필수 의미 전체 일치</x:v>
      </x:c>
    </x:row>
    <x:row r="1175" ht="145" customHeight="1">
      <x:c r="A1175" s="10" t="str">
        <x:v>V-R1</x:v>
      </x:c>
      <x:c r="B1175" s="10" t="str">
        <x:v>VOICE</x:v>
      </x:c>
      <x:c r="C1175" s="10" t="str">
        <x:v>VOICE:S6-13:input</x:v>
      </x:c>
      <x:c r="D1175" s="10" t="str">
        <x:v>{"exclusions":["설치비"],"goal":"비교표 작성","preserve_existing_tasks":true,"relation":"new_goal","targets":["S6-13:quote-L","S6-13:quote-R"]}</x:v>
      </x:c>
      <x:c r="E1175" s="10" t="str">
        <x:v>{"exclusions":["설치비"],"goal":"비교표 작성","preserve_existing_tasks":true,"relation":"new_goal","targets":["S6-13:quote-L","S6-13:quote-R"]}</x:v>
      </x:c>
      <x:c r="F1175" s="10" t="n">
        <x:f>IF(D1175=E1175,1,0)</x:f>
        <x:v>1</x:v>
      </x:c>
      <x:c r="G1175" s="10" t="str">
        <x:v>필수 의미 전체 일치</x:v>
      </x:c>
    </x:row>
    <x:row r="1176" ht="145" customHeight="1">
      <x:c r="A1176" s="10" t="str">
        <x:v>V-R2</x:v>
      </x:c>
      <x:c r="B1176" s="10" t="str">
        <x:v>VOICE</x:v>
      </x:c>
      <x:c r="C1176" s="10" t="str">
        <x:v>VOICE:S6-13:input</x:v>
      </x:c>
      <x:c r="D1176" s="10" t="str">
        <x:v>{"exclusions":["설치비"],"goal":"비교표 작성","preserve_existing_tasks":true,"relation":"new_goal","targets":["S6-13:quote-L","S6-13:quote-R"]}</x:v>
      </x:c>
      <x:c r="E1176" s="10" t="str">
        <x:v>{"exclusions":["설치비"],"goal":"비교표 작성","preserve_existing_tasks":true,"relation":"new_goal","targets":["S6-13:quote-L","S6-13:quote-R"]}</x:v>
      </x:c>
      <x:c r="F1176" s="10" t="n">
        <x:f>IF(D1176=E1176,1,0)</x:f>
        <x:v>1</x:v>
      </x:c>
      <x:c r="G1176" s="10" t="str">
        <x:v>필수 의미 전체 일치</x:v>
      </x:c>
    </x:row>
    <x:row r="1177" ht="145" customHeight="1">
      <x:c r="A1177" s="10" t="str">
        <x:v>V-R3</x:v>
      </x:c>
      <x:c r="B1177" s="10" t="str">
        <x:v>VOICE</x:v>
      </x:c>
      <x:c r="C1177" s="10" t="str">
        <x:v>VOICE:S6-13:input</x:v>
      </x:c>
      <x:c r="D1177" s="10" t="str">
        <x:v>{"exclusions":["설치비"],"goal":"비교표 작성","preserve_existing_tasks":true,"relation":"new_goal","targets":["S6-13:quote-L","S6-13:quote-R"]}</x:v>
      </x:c>
      <x:c r="E1177" s="10" t="str">
        <x:v>{"exclusions":["설치비"],"goal":"비교표 작성","preserve_existing_tasks":true,"relation":"new_goal","targets":["S6-13:quote-L","S6-13:quote-R"]}</x:v>
      </x:c>
      <x:c r="F1177" s="10" t="n">
        <x:f>IF(D1177=E1177,1,0)</x:f>
        <x:v>1</x:v>
      </x:c>
      <x:c r="G1177" s="10" t="str">
        <x:v>필수 의미 전체 일치</x:v>
      </x:c>
    </x:row>
    <x:row r="1178" ht="145" customHeight="1">
      <x:c r="A1178" s="10" t="str">
        <x:v>V-A</x:v>
      </x:c>
      <x:c r="B1178" s="10" t="str">
        <x:v>VOICE</x:v>
      </x:c>
      <x:c r="C1178" s="10" t="str">
        <x:v>VOICE:S6-14:input</x:v>
      </x:c>
      <x:c r="D1178" s="10" t="str">
        <x:v>{"exclusions":["설치비"],"goal":"비교표 작성","preserve_existing_tasks":true,"relation":"new_goal","targets":["S6-14:quote-L","S6-14:quote-R"]}</x:v>
      </x:c>
      <x:c r="E1178" s="10" t="str">
        <x:v>{"exclusions":["설치비"],"goal":"비교표 작성","preserve_existing_tasks":true,"relation":"new_goal","targets":["S6-14:quote-L","S6-14:quote-R"]}</x:v>
      </x:c>
      <x:c r="F1178" s="10" t="n">
        <x:f>IF(D1178=E1178,1,0)</x:f>
        <x:v>1</x:v>
      </x:c>
      <x:c r="G1178" s="10" t="str">
        <x:v>필수 의미 전체 일치</x:v>
      </x:c>
    </x:row>
    <x:row r="1179" ht="145" customHeight="1">
      <x:c r="A1179" s="10" t="str">
        <x:v>V-R1</x:v>
      </x:c>
      <x:c r="B1179" s="10" t="str">
        <x:v>VOICE</x:v>
      </x:c>
      <x:c r="C1179" s="10" t="str">
        <x:v>VOICE:S6-14:input</x:v>
      </x:c>
      <x:c r="D1179" s="10" t="str">
        <x:v>{"exclusions":["설치비"],"goal":"비교표 작성","preserve_existing_tasks":true,"relation":"new_goal","targets":["S6-14:quote-L","S6-14:quote-R"]}</x:v>
      </x:c>
      <x:c r="E1179" s="10" t="str">
        <x:v>{"exclusions":["설치비"],"goal":"비교표 작성","preserve_existing_tasks":true,"relation":"new_goal","targets":["S6-14:quote-L","S6-14:quote-R"]}</x:v>
      </x:c>
      <x:c r="F1179" s="10" t="n">
        <x:f>IF(D1179=E1179,1,0)</x:f>
        <x:v>1</x:v>
      </x:c>
      <x:c r="G1179" s="10" t="str">
        <x:v>필수 의미 전체 일치</x:v>
      </x:c>
    </x:row>
    <x:row r="1180" ht="145" customHeight="1">
      <x:c r="A1180" s="10" t="str">
        <x:v>V-R2</x:v>
      </x:c>
      <x:c r="B1180" s="10" t="str">
        <x:v>VOICE</x:v>
      </x:c>
      <x:c r="C1180" s="10" t="str">
        <x:v>VOICE:S6-14:input</x:v>
      </x:c>
      <x:c r="D1180" s="10" t="str">
        <x:v>{"exclusions":["설치비"],"goal":"비교표 작성","preserve_existing_tasks":true,"relation":"new_goal","targets":["S6-14:quote-L","S6-14:quote-R"]}</x:v>
      </x:c>
      <x:c r="E1180" s="10" t="str">
        <x:v>{"exclusions":["설치비"],"goal":"비교표 작성","preserve_existing_tasks":true,"relation":"new_goal","targets":["S6-14:quote-L","S6-14:quote-R"]}</x:v>
      </x:c>
      <x:c r="F1180" s="10" t="n">
        <x:f>IF(D1180=E1180,1,0)</x:f>
        <x:v>1</x:v>
      </x:c>
      <x:c r="G1180" s="10" t="str">
        <x:v>필수 의미 전체 일치</x:v>
      </x:c>
    </x:row>
    <x:row r="1181" ht="145" customHeight="1">
      <x:c r="A1181" s="10" t="str">
        <x:v>V-R3</x:v>
      </x:c>
      <x:c r="B1181" s="10" t="str">
        <x:v>VOICE</x:v>
      </x:c>
      <x:c r="C1181" s="10" t="str">
        <x:v>VOICE:S6-14:input</x:v>
      </x:c>
      <x:c r="D1181" s="10" t="str">
        <x:v>{"exclusions":["설치비"],"goal":"비교표 작성","preserve_existing_tasks":true,"relation":"new_goal","targets":["S6-14:quote-L","S6-14:quote-R"]}</x:v>
      </x:c>
      <x:c r="E1181" s="10" t="str">
        <x:v>{"exclusions":["설치비"],"goal":"비교표 작성","preserve_existing_tasks":true,"relation":"new_goal","targets":["S6-14:quote-L","S6-14:quote-R"]}</x:v>
      </x:c>
      <x:c r="F1181" s="10" t="n">
        <x:f>IF(D1181=E1181,1,0)</x:f>
        <x:v>1</x:v>
      </x:c>
      <x:c r="G1181" s="10" t="str">
        <x:v>필수 의미 전체 일치</x:v>
      </x:c>
    </x:row>
    <x:row r="1182" ht="145" customHeight="1">
      <x:c r="A1182" s="10" t="str">
        <x:v>V-A</x:v>
      </x:c>
      <x:c r="B1182" s="10" t="str">
        <x:v>VOICE</x:v>
      </x:c>
      <x:c r="C1182" s="10" t="str">
        <x:v>VOICE:S6-15:input</x:v>
      </x:c>
      <x:c r="D1182" s="10" t="str">
        <x:v>{"exclusions":["설치비"],"goal":"비교표 작성","preserve_existing_tasks":true,"relation":"new_goal","targets":["S6-15:quote-L","S6-15:quote-R"]}</x:v>
      </x:c>
      <x:c r="E1182" s="10" t="str">
        <x:v>{"exclusions":["설치비"],"goal":"비교표 작성","preserve_existing_tasks":true,"relation":"new_goal","targets":["S6-15:quote-L","S6-15:quote-R"]}</x:v>
      </x:c>
      <x:c r="F1182" s="10" t="n">
        <x:f>IF(D1182=E1182,1,0)</x:f>
        <x:v>1</x:v>
      </x:c>
      <x:c r="G1182" s="10" t="str">
        <x:v>필수 의미 전체 일치</x:v>
      </x:c>
    </x:row>
    <x:row r="1183" ht="145" customHeight="1">
      <x:c r="A1183" s="10" t="str">
        <x:v>V-R1</x:v>
      </x:c>
      <x:c r="B1183" s="10" t="str">
        <x:v>VOICE</x:v>
      </x:c>
      <x:c r="C1183" s="10" t="str">
        <x:v>VOICE:S6-15:input</x:v>
      </x:c>
      <x:c r="D1183" s="10" t="str">
        <x:v>{"exclusions":["설치비"],"goal":"비교표 작성","preserve_existing_tasks":true,"relation":"new_goal","targets":["S6-15:quote-L","S6-15:quote-R"]}</x:v>
      </x:c>
      <x:c r="E1183" s="10" t="str">
        <x:v>{"exclusions":["설치비"],"goal":"비교표 작성","preserve_existing_tasks":true,"relation":"new_goal","targets":["S6-15:quote-L","S6-15:quote-R"]}</x:v>
      </x:c>
      <x:c r="F1183" s="10" t="n">
        <x:f>IF(D1183=E1183,1,0)</x:f>
        <x:v>1</x:v>
      </x:c>
      <x:c r="G1183" s="10" t="str">
        <x:v>필수 의미 전체 일치</x:v>
      </x:c>
    </x:row>
    <x:row r="1184" ht="145" customHeight="1">
      <x:c r="A1184" s="10" t="str">
        <x:v>V-R2</x:v>
      </x:c>
      <x:c r="B1184" s="10" t="str">
        <x:v>VOICE</x:v>
      </x:c>
      <x:c r="C1184" s="10" t="str">
        <x:v>VOICE:S6-15:input</x:v>
      </x:c>
      <x:c r="D1184" s="10" t="str">
        <x:v>{"exclusions":["설치비"],"goal":"비교표 작성","preserve_existing_tasks":true,"relation":"new_goal","targets":["S6-15:quote-L","S6-15:quote-R"]}</x:v>
      </x:c>
      <x:c r="E1184" s="10" t="str">
        <x:v>{"exclusions":["설치비"],"goal":"비교표 작성","preserve_existing_tasks":true,"relation":"new_goal","targets":["S6-15:quote-L","S6-15:quote-R"]}</x:v>
      </x:c>
      <x:c r="F1184" s="10" t="n">
        <x:f>IF(D1184=E1184,1,0)</x:f>
        <x:v>1</x:v>
      </x:c>
      <x:c r="G1184" s="10" t="str">
        <x:v>필수 의미 전체 일치</x:v>
      </x:c>
    </x:row>
    <x:row r="1185" ht="145" customHeight="1">
      <x:c r="A1185" s="10" t="str">
        <x:v>V-R3</x:v>
      </x:c>
      <x:c r="B1185" s="10" t="str">
        <x:v>VOICE</x:v>
      </x:c>
      <x:c r="C1185" s="10" t="str">
        <x:v>VOICE:S6-15:input</x:v>
      </x:c>
      <x:c r="D1185" s="10" t="str">
        <x:v>{"exclusions":["설치비"],"goal":"비교표 작성","preserve_existing_tasks":true,"relation":"new_goal","targets":["S6-15:quote-L","S6-15:quote-R"]}</x:v>
      </x:c>
      <x:c r="E1185" s="10" t="str">
        <x:v>{"exclusions":["설치비"],"goal":"비교표 작성","preserve_existing_tasks":true,"relation":"new_goal","targets":["S6-15:quote-L","S6-15:quote-R"]}</x:v>
      </x:c>
      <x:c r="F1185" s="10" t="n">
        <x:f>IF(D1185=E1185,1,0)</x:f>
        <x:v>1</x:v>
      </x:c>
      <x:c r="G1185" s="10" t="str">
        <x:v>필수 의미 전체 일치</x:v>
      </x:c>
    </x:row>
    <x:row r="1186" ht="145" customHeight="1">
      <x:c r="A1186" s="10" t="str">
        <x:v>V-A</x:v>
      </x:c>
      <x:c r="B1186" s="10" t="str">
        <x:v>VOICE</x:v>
      </x:c>
      <x:c r="C1186" s="10" t="str">
        <x:v>VOICE:S6-16:input</x:v>
      </x:c>
      <x:c r="D1186" s="10" t="str">
        <x:v>{"exclusions":["설치비"],"goal":"비교표 작성","preserve_existing_tasks":true,"relation":"new_goal","targets":["S6-16:quote-L","S6-16:quote-R"]}</x:v>
      </x:c>
      <x:c r="E1186" s="10" t="str">
        <x:v>{"exclusions":["설치비"],"goal":"비교표 작성","preserve_existing_tasks":true,"relation":"new_goal","targets":["S6-16:quote-L","S6-16:quote-R"]}</x:v>
      </x:c>
      <x:c r="F1186" s="10" t="n">
        <x:f>IF(D1186=E1186,1,0)</x:f>
        <x:v>1</x:v>
      </x:c>
      <x:c r="G1186" s="10" t="str">
        <x:v>필수 의미 전체 일치</x:v>
      </x:c>
    </x:row>
    <x:row r="1187" ht="145" customHeight="1">
      <x:c r="A1187" s="10" t="str">
        <x:v>V-R1</x:v>
      </x:c>
      <x:c r="B1187" s="10" t="str">
        <x:v>VOICE</x:v>
      </x:c>
      <x:c r="C1187" s="10" t="str">
        <x:v>VOICE:S6-16:input</x:v>
      </x:c>
      <x:c r="D1187" s="10" t="str">
        <x:v>{"exclusions":["설치비"],"goal":"비교표 작성","preserve_existing_tasks":true,"relation":"new_goal","targets":["S6-16:quote-L","S6-16:quote-R"]}</x:v>
      </x:c>
      <x:c r="E1187" s="10" t="str">
        <x:v>{"exclusions":["설치비"],"goal":"비교표 작성","preserve_existing_tasks":true,"relation":"new_goal","targets":["S6-16:quote-L","S6-16:quote-R"]}</x:v>
      </x:c>
      <x:c r="F1187" s="10" t="n">
        <x:f>IF(D1187=E1187,1,0)</x:f>
        <x:v>1</x:v>
      </x:c>
      <x:c r="G1187" s="10" t="str">
        <x:v>필수 의미 전체 일치</x:v>
      </x:c>
    </x:row>
    <x:row r="1188" ht="145" customHeight="1">
      <x:c r="A1188" s="10" t="str">
        <x:v>V-R2</x:v>
      </x:c>
      <x:c r="B1188" s="10" t="str">
        <x:v>VOICE</x:v>
      </x:c>
      <x:c r="C1188" s="10" t="str">
        <x:v>VOICE:S6-16:input</x:v>
      </x:c>
      <x:c r="D1188" s="10" t="str">
        <x:v>{"exclusions":["설치비"],"goal":"비교표 작성","preserve_existing_tasks":true,"relation":"new_goal","targets":["S6-16:quote-L","S6-16:quote-R"]}</x:v>
      </x:c>
      <x:c r="E1188" s="10" t="str">
        <x:v>{"exclusions":["설치비"],"goal":"비교표 작성","preserve_existing_tasks":true,"relation":"new_goal","targets":["S6-16:quote-L","S6-16:quote-R"]}</x:v>
      </x:c>
      <x:c r="F1188" s="10" t="n">
        <x:f>IF(D1188=E1188,1,0)</x:f>
        <x:v>1</x:v>
      </x:c>
      <x:c r="G1188" s="10" t="str">
        <x:v>필수 의미 전체 일치</x:v>
      </x:c>
    </x:row>
    <x:row r="1189" ht="145" customHeight="1">
      <x:c r="A1189" s="10" t="str">
        <x:v>V-R3</x:v>
      </x:c>
      <x:c r="B1189" s="10" t="str">
        <x:v>VOICE</x:v>
      </x:c>
      <x:c r="C1189" s="10" t="str">
        <x:v>VOICE:S6-16:input</x:v>
      </x:c>
      <x:c r="D1189" s="10" t="str">
        <x:v>{"exclusions":["설치비"],"goal":"비교표 작성","preserve_existing_tasks":true,"relation":"new_goal","targets":["S6-16:quote-L","S6-16:quote-R"]}</x:v>
      </x:c>
      <x:c r="E1189" s="10" t="str">
        <x:v>{"exclusions":["설치비"],"goal":"비교표 작성","preserve_existing_tasks":true,"relation":"new_goal","targets":["S6-16:quote-L","S6-16:quote-R"]}</x:v>
      </x:c>
      <x:c r="F1189" s="10" t="n">
        <x:f>IF(D1189=E1189,1,0)</x:f>
        <x:v>1</x:v>
      </x:c>
      <x:c r="G1189" s="10" t="str">
        <x:v>필수 의미 전체 일치</x:v>
      </x:c>
    </x:row>
    <x:row r="1190" ht="145" customHeight="1">
      <x:c r="A1190" s="10" t="str">
        <x:v>V-A</x:v>
      </x:c>
      <x:c r="B1190" s="10" t="str">
        <x:v>VOICE</x:v>
      </x:c>
      <x:c r="C1190" s="10" t="str">
        <x:v>VOICE:S6-17:input</x:v>
      </x:c>
      <x:c r="D1190" s="10" t="str">
        <x:v>{"exclusions":["설치비"],"goal":"비교표 작성","preserve_existing_tasks":true,"relation":"new_goal","targets":["S6-17:quote-L","S6-17:quote-R"]}</x:v>
      </x:c>
      <x:c r="E1190" s="10" t="str">
        <x:v>{"exclusions":["설치비"],"goal":"비교표 작성","preserve_existing_tasks":true,"relation":"new_goal","targets":["S6-17:quote-L","S6-17:quote-R"]}</x:v>
      </x:c>
      <x:c r="F1190" s="10" t="n">
        <x:f>IF(D1190=E1190,1,0)</x:f>
        <x:v>1</x:v>
      </x:c>
      <x:c r="G1190" s="10" t="str">
        <x:v>필수 의미 전체 일치</x:v>
      </x:c>
    </x:row>
    <x:row r="1191" ht="145" customHeight="1">
      <x:c r="A1191" s="10" t="str">
        <x:v>V-R1</x:v>
      </x:c>
      <x:c r="B1191" s="10" t="str">
        <x:v>VOICE</x:v>
      </x:c>
      <x:c r="C1191" s="10" t="str">
        <x:v>VOICE:S6-17:input</x:v>
      </x:c>
      <x:c r="D1191" s="10" t="str">
        <x:v>{"exclusions":["설치비"],"goal":"비교표 작성","preserve_existing_tasks":true,"relation":"new_goal","targets":["S6-17:quote-L","S6-17:quote-R"]}</x:v>
      </x:c>
      <x:c r="E1191" s="10" t="str">
        <x:v>{"exclusions":["설치비"],"goal":"비교표 작성","preserve_existing_tasks":true,"relation":"new_goal","targets":["S6-17:quote-L","S6-17:quote-R"]}</x:v>
      </x:c>
      <x:c r="F1191" s="10" t="n">
        <x:f>IF(D1191=E1191,1,0)</x:f>
        <x:v>1</x:v>
      </x:c>
      <x:c r="G1191" s="10" t="str">
        <x:v>필수 의미 전체 일치</x:v>
      </x:c>
    </x:row>
    <x:row r="1192" ht="145" customHeight="1">
      <x:c r="A1192" s="10" t="str">
        <x:v>V-R2</x:v>
      </x:c>
      <x:c r="B1192" s="10" t="str">
        <x:v>VOICE</x:v>
      </x:c>
      <x:c r="C1192" s="10" t="str">
        <x:v>VOICE:S6-17:input</x:v>
      </x:c>
      <x:c r="D1192" s="10" t="str">
        <x:v>{"exclusions":["설치비"],"goal":"비교표 작성","preserve_existing_tasks":true,"relation":"new_goal","targets":["S6-17:quote-L","S6-17:quote-R"]}</x:v>
      </x:c>
      <x:c r="E1192" s="10" t="str">
        <x:v>{"exclusions":["설치비"],"goal":"비교표 작성","preserve_existing_tasks":true,"relation":"new_goal","targets":["S6-17:quote-L","S6-17:quote-R"]}</x:v>
      </x:c>
      <x:c r="F1192" s="10" t="n">
        <x:f>IF(D1192=E1192,1,0)</x:f>
        <x:v>1</x:v>
      </x:c>
      <x:c r="G1192" s="10" t="str">
        <x:v>필수 의미 전체 일치</x:v>
      </x:c>
    </x:row>
    <x:row r="1193" ht="145" customHeight="1">
      <x:c r="A1193" s="10" t="str">
        <x:v>V-R3</x:v>
      </x:c>
      <x:c r="B1193" s="10" t="str">
        <x:v>VOICE</x:v>
      </x:c>
      <x:c r="C1193" s="10" t="str">
        <x:v>VOICE:S6-17:input</x:v>
      </x:c>
      <x:c r="D1193" s="10" t="str">
        <x:v>{"exclusions":["설치비"],"goal":"비교표 작성","preserve_existing_tasks":true,"relation":"new_goal","targets":["S6-17:quote-L","S6-17:quote-R"]}</x:v>
      </x:c>
      <x:c r="E1193" s="10" t="str">
        <x:v>{"exclusions":["설치비"],"goal":"비교표 작성","preserve_existing_tasks":true,"relation":"new_goal","targets":["S6-17:quote-L","S6-17:quote-R"]}</x:v>
      </x:c>
      <x:c r="F1193" s="10" t="n">
        <x:f>IF(D1193=E1193,1,0)</x:f>
        <x:v>1</x:v>
      </x:c>
      <x:c r="G1193" s="10" t="str">
        <x:v>필수 의미 전체 일치</x:v>
      </x:c>
    </x:row>
    <x:row r="1194" ht="145" customHeight="1">
      <x:c r="A1194" s="10" t="str">
        <x:v>V-A</x:v>
      </x:c>
      <x:c r="B1194" s="10" t="str">
        <x:v>VOICE</x:v>
      </x:c>
      <x:c r="C1194" s="10" t="str">
        <x:v>VOICE:S6-18:input</x:v>
      </x:c>
      <x:c r="D1194" s="10" t="str">
        <x:v>{"exclusions":["설치비"],"goal":"비교표 작성","preserve_existing_tasks":true,"relation":"new_goal","targets":["S6-18:quote-L","S6-18:quote-R"]}</x:v>
      </x:c>
      <x:c r="E1194" s="10" t="str">
        <x:v>{"exclusions":["설치비"],"goal":"비교표 작성","preserve_existing_tasks":true,"relation":"new_goal","targets":["S6-18:quote-L","S6-18:quote-R"]}</x:v>
      </x:c>
      <x:c r="F1194" s="10" t="n">
        <x:f>IF(D1194=E1194,1,0)</x:f>
        <x:v>1</x:v>
      </x:c>
      <x:c r="G1194" s="10" t="str">
        <x:v>필수 의미 전체 일치</x:v>
      </x:c>
    </x:row>
    <x:row r="1195" ht="145" customHeight="1">
      <x:c r="A1195" s="10" t="str">
        <x:v>V-R1</x:v>
      </x:c>
      <x:c r="B1195" s="10" t="str">
        <x:v>VOICE</x:v>
      </x:c>
      <x:c r="C1195" s="10" t="str">
        <x:v>VOICE:S6-18:input</x:v>
      </x:c>
      <x:c r="D1195" s="10" t="str">
        <x:v>{"exclusions":["설치비"],"goal":"비교표 작성","preserve_existing_tasks":true,"relation":"new_goal","targets":["S6-18:quote-L","S6-18:quote-R"]}</x:v>
      </x:c>
      <x:c r="E1195" s="10" t="str">
        <x:v>{"exclusions":["설치비"],"goal":"비교표 작성","preserve_existing_tasks":true,"relation":"new_goal","targets":["S6-18:quote-L","S6-18:quote-R"]}</x:v>
      </x:c>
      <x:c r="F1195" s="10" t="n">
        <x:f>IF(D1195=E1195,1,0)</x:f>
        <x:v>1</x:v>
      </x:c>
      <x:c r="G1195" s="10" t="str">
        <x:v>필수 의미 전체 일치</x:v>
      </x:c>
    </x:row>
    <x:row r="1196" ht="145" customHeight="1">
      <x:c r="A1196" s="10" t="str">
        <x:v>V-R2</x:v>
      </x:c>
      <x:c r="B1196" s="10" t="str">
        <x:v>VOICE</x:v>
      </x:c>
      <x:c r="C1196" s="10" t="str">
        <x:v>VOICE:S6-18:input</x:v>
      </x:c>
      <x:c r="D1196" s="10" t="str">
        <x:v>{"exclusions":["설치비"],"goal":"비교표 작성","preserve_existing_tasks":true,"relation":"new_goal","targets":["S6-18:quote-L","S6-18:quote-R"]}</x:v>
      </x:c>
      <x:c r="E1196" s="10" t="str">
        <x:v>{"exclusions":["설치비"],"goal":"비교표 작성","preserve_existing_tasks":true,"relation":"new_goal","targets":["S6-18:quote-L","S6-18:quote-R"]}</x:v>
      </x:c>
      <x:c r="F1196" s="10" t="n">
        <x:f>IF(D1196=E1196,1,0)</x:f>
        <x:v>1</x:v>
      </x:c>
      <x:c r="G1196" s="10" t="str">
        <x:v>필수 의미 전체 일치</x:v>
      </x:c>
    </x:row>
    <x:row r="1197" ht="145" customHeight="1">
      <x:c r="A1197" s="10" t="str">
        <x:v>V-R3</x:v>
      </x:c>
      <x:c r="B1197" s="10" t="str">
        <x:v>VOICE</x:v>
      </x:c>
      <x:c r="C1197" s="10" t="str">
        <x:v>VOICE:S6-18:input</x:v>
      </x:c>
      <x:c r="D1197" s="10" t="str">
        <x:v>{"exclusions":["설치비"],"goal":"비교표 작성","preserve_existing_tasks":true,"relation":"new_goal","targets":["S6-18:quote-L","S6-18:quote-R"]}</x:v>
      </x:c>
      <x:c r="E1197" s="10" t="str">
        <x:v>{"exclusions":["설치비"],"goal":"비교표 작성","preserve_existing_tasks":true,"relation":"new_goal","targets":["S6-18:quote-L","S6-18:quote-R"]}</x:v>
      </x:c>
      <x:c r="F1197" s="10" t="n">
        <x:f>IF(D1197=E1197,1,0)</x:f>
        <x:v>1</x:v>
      </x:c>
      <x:c r="G1197" s="10" t="str">
        <x:v>필수 의미 전체 일치</x:v>
      </x:c>
    </x:row>
    <x:row r="1198" ht="145" customHeight="1">
      <x:c r="A1198" s="10" t="str">
        <x:v>V-A</x:v>
      </x:c>
      <x:c r="B1198" s="10" t="str">
        <x:v>VOICE</x:v>
      </x:c>
      <x:c r="C1198" s="10" t="str">
        <x:v>VOICE:S6-19:input</x:v>
      </x:c>
      <x:c r="D1198" s="10" t="str">
        <x:v>{"exclusions":["설치비"],"goal":"비교표 작성","preserve_existing_tasks":true,"relation":"new_goal","targets":["S6-19:quote-L","S6-19:quote-R"]}</x:v>
      </x:c>
      <x:c r="E1198" s="10" t="str">
        <x:v>{"exclusions":["설치비"],"goal":"비교표 작성","preserve_existing_tasks":true,"relation":"new_goal","targets":["S6-19:quote-L","S6-19:quote-R"]}</x:v>
      </x:c>
      <x:c r="F1198" s="10" t="n">
        <x:f>IF(D1198=E1198,1,0)</x:f>
        <x:v>1</x:v>
      </x:c>
      <x:c r="G1198" s="10" t="str">
        <x:v>필수 의미 전체 일치</x:v>
      </x:c>
    </x:row>
    <x:row r="1199" ht="145" customHeight="1">
      <x:c r="A1199" s="10" t="str">
        <x:v>V-R1</x:v>
      </x:c>
      <x:c r="B1199" s="10" t="str">
        <x:v>VOICE</x:v>
      </x:c>
      <x:c r="C1199" s="10" t="str">
        <x:v>VOICE:S6-19:input</x:v>
      </x:c>
      <x:c r="D1199" s="10" t="str">
        <x:v>{"exclusions":["설치비"],"goal":"비교표 작성","preserve_existing_tasks":true,"relation":"new_goal","targets":["S6-19:quote-L","S6-19:quote-R"]}</x:v>
      </x:c>
      <x:c r="E1199" s="10" t="str">
        <x:v>{"exclusions":["설치비"],"goal":"비교표 작성","preserve_existing_tasks":true,"relation":"new_goal","targets":["S6-19:quote-L","S6-19:quote-R"]}</x:v>
      </x:c>
      <x:c r="F1199" s="10" t="n">
        <x:f>IF(D1199=E1199,1,0)</x:f>
        <x:v>1</x:v>
      </x:c>
      <x:c r="G1199" s="10" t="str">
        <x:v>필수 의미 전체 일치</x:v>
      </x:c>
    </x:row>
    <x:row r="1200" ht="145" customHeight="1">
      <x:c r="A1200" s="10" t="str">
        <x:v>V-R2</x:v>
      </x:c>
      <x:c r="B1200" s="10" t="str">
        <x:v>VOICE</x:v>
      </x:c>
      <x:c r="C1200" s="10" t="str">
        <x:v>VOICE:S6-19:input</x:v>
      </x:c>
      <x:c r="D1200" s="10" t="str">
        <x:v>{"exclusions":["설치비"],"goal":"비교표 작성","preserve_existing_tasks":true,"relation":"new_goal","targets":["S6-19:quote-L","S6-19:quote-R"]}</x:v>
      </x:c>
      <x:c r="E1200" s="10" t="str">
        <x:v>{"exclusions":["설치비"],"goal":"비교표 작성","preserve_existing_tasks":true,"relation":"new_goal","targets":["S6-19:quote-L","S6-19:quote-R"]}</x:v>
      </x:c>
      <x:c r="F1200" s="10" t="n">
        <x:f>IF(D1200=E1200,1,0)</x:f>
        <x:v>1</x:v>
      </x:c>
      <x:c r="G1200" s="10" t="str">
        <x:v>필수 의미 전체 일치</x:v>
      </x:c>
    </x:row>
    <x:row r="1201" ht="145" customHeight="1">
      <x:c r="A1201" s="10" t="str">
        <x:v>V-R3</x:v>
      </x:c>
      <x:c r="B1201" s="10" t="str">
        <x:v>VOICE</x:v>
      </x:c>
      <x:c r="C1201" s="10" t="str">
        <x:v>VOICE:S6-19:input</x:v>
      </x:c>
      <x:c r="D1201" s="10" t="str">
        <x:v>{"exclusions":["설치비"],"goal":"비교표 작성","preserve_existing_tasks":true,"relation":"new_goal","targets":["S6-19:quote-L","S6-19:quote-R"]}</x:v>
      </x:c>
      <x:c r="E1201" s="10" t="str">
        <x:v>{"exclusions":["설치비"],"goal":"비교표 작성","preserve_existing_tasks":true,"relation":"new_goal","targets":["S6-19:quote-L","S6-19:quote-R"]}</x:v>
      </x:c>
      <x:c r="F1201" s="10" t="n">
        <x:f>IF(D1201=E1201,1,0)</x:f>
        <x:v>1</x:v>
      </x:c>
      <x:c r="G1201" s="10" t="str">
        <x:v>필수 의미 전체 일치</x:v>
      </x:c>
    </x:row>
    <x:row r="1202" ht="145" customHeight="1">
      <x:c r="A1202" s="10" t="str">
        <x:v>V-A</x:v>
      </x:c>
      <x:c r="B1202" s="10" t="str">
        <x:v>VOICE</x:v>
      </x:c>
      <x:c r="C1202" s="10" t="str">
        <x:v>VOICE:S6-20:input</x:v>
      </x:c>
      <x:c r="D1202" s="10" t="str">
        <x:v>{"exclusions":["설치비"],"goal":"비교표 작성","preserve_existing_tasks":true,"relation":"new_goal","targets":["S6-20:quote-L","S6-20:quote-R"]}</x:v>
      </x:c>
      <x:c r="E1202" s="10" t="str">
        <x:v>{"exclusions":["설치비"],"goal":"비교표 작성","preserve_existing_tasks":true,"relation":"new_goal","targets":["S6-20:quote-L","S6-20:quote-R"]}</x:v>
      </x:c>
      <x:c r="F1202" s="10" t="n">
        <x:f>IF(D1202=E1202,1,0)</x:f>
        <x:v>1</x:v>
      </x:c>
      <x:c r="G1202" s="10" t="str">
        <x:v>필수 의미 전체 일치</x:v>
      </x:c>
    </x:row>
    <x:row r="1203" ht="145" customHeight="1">
      <x:c r="A1203" s="10" t="str">
        <x:v>V-R1</x:v>
      </x:c>
      <x:c r="B1203" s="10" t="str">
        <x:v>VOICE</x:v>
      </x:c>
      <x:c r="C1203" s="10" t="str">
        <x:v>VOICE:S6-20:input</x:v>
      </x:c>
      <x:c r="D1203" s="10" t="str">
        <x:v>{"exclusions":["설치비"],"goal":"비교표 작성","preserve_existing_tasks":true,"relation":"new_goal","targets":["S6-20:quote-L","S6-20:quote-R"]}</x:v>
      </x:c>
      <x:c r="E1203" s="10" t="str">
        <x:v>{"exclusions":["설치비"],"goal":"비교표 작성","preserve_existing_tasks":true,"relation":"new_goal","targets":["S6-20:quote-L","S6-20:quote-R"]}</x:v>
      </x:c>
      <x:c r="F1203" s="10" t="n">
        <x:f>IF(D1203=E1203,1,0)</x:f>
        <x:v>1</x:v>
      </x:c>
      <x:c r="G1203" s="10" t="str">
        <x:v>필수 의미 전체 일치</x:v>
      </x:c>
    </x:row>
    <x:row r="1204" ht="145" customHeight="1">
      <x:c r="A1204" s="10" t="str">
        <x:v>V-R2</x:v>
      </x:c>
      <x:c r="B1204" s="10" t="str">
        <x:v>VOICE</x:v>
      </x:c>
      <x:c r="C1204" s="10" t="str">
        <x:v>VOICE:S6-20:input</x:v>
      </x:c>
      <x:c r="D1204" s="10" t="str">
        <x:v>{"exclusions":["설치비"],"goal":"비교표 작성","preserve_existing_tasks":true,"relation":"new_goal","targets":["S6-20:quote-L","S6-20:quote-R"]}</x:v>
      </x:c>
      <x:c r="E1204" s="10" t="str">
        <x:v>{"exclusions":["설치비"],"goal":"비교표 작성","preserve_existing_tasks":true,"relation":"new_goal","targets":["S6-20:quote-L","S6-20:quote-R"]}</x:v>
      </x:c>
      <x:c r="F1204" s="10" t="n">
        <x:f>IF(D1204=E1204,1,0)</x:f>
        <x:v>1</x:v>
      </x:c>
      <x:c r="G1204" s="10" t="str">
        <x:v>필수 의미 전체 일치</x:v>
      </x:c>
    </x:row>
    <x:row r="1205" ht="145" customHeight="1">
      <x:c r="A1205" s="10" t="str">
        <x:v>V-R3</x:v>
      </x:c>
      <x:c r="B1205" s="10" t="str">
        <x:v>VOICE</x:v>
      </x:c>
      <x:c r="C1205" s="10" t="str">
        <x:v>VOICE:S6-20:input</x:v>
      </x:c>
      <x:c r="D1205" s="10" t="str">
        <x:v>{"exclusions":["설치비"],"goal":"비교표 작성","preserve_existing_tasks":true,"relation":"new_goal","targets":["S6-20:quote-L","S6-20:quote-R"]}</x:v>
      </x:c>
      <x:c r="E1205" s="10" t="str">
        <x:v>{"exclusions":["설치비"],"goal":"비교표 작성","preserve_existing_tasks":true,"relation":"new_goal","targets":["S6-20:quote-L","S6-20:quote-R"]}</x:v>
      </x:c>
      <x:c r="F1205" s="10" t="n">
        <x:f>IF(D1205=E1205,1,0)</x:f>
        <x:v>1</x:v>
      </x:c>
      <x:c r="G1205" s="10" t="str">
        <x:v>필수 의미 전체 일치</x:v>
      </x:c>
    </x:row>
    <x:row r="1206" ht="145" customHeight="1">
      <x:c r="A1206" s="10" t="str">
        <x:v>D-A</x:v>
      </x:c>
      <x:c r="B1206" s="10" t="str">
        <x:v>DELIVERY</x:v>
      </x:c>
      <x:c r="C1206" s="10" t="str">
        <x:v>DELIVERY:S01-01:input</x:v>
      </x:c>
      <x:c r="D1206" s="10" t="str">
        <x:v>{"conditions":{"read_selected_content":true},"mail_send_authorized":false,"operation":"idle","preserve_unrelated_tasks":true,"targets":["S01-01:status"]}</x:v>
      </x:c>
      <x:c r="E1206" s="10" t="str">
        <x:v>{"conditions":{"read_selected_content":true},"mail_send_authorized":false,"operation":"idle","preserve_unrelated_tasks":true,"targets":["S01-01:status"]}</x:v>
      </x:c>
      <x:c r="F1206" s="10" t="n">
        <x:f>IF(D1206=E1206,1,0)</x:f>
        <x:v>1</x:v>
      </x:c>
      <x:c r="G1206" s="10" t="str">
        <x:v>FIXED_CORRECT_SEMANTIC_FIXTURE; not model accuracy evidence</x:v>
      </x:c>
    </x:row>
    <x:row r="1207" ht="145" customHeight="1">
      <x:c r="A1207" s="10" t="str">
        <x:v>D-B</x:v>
      </x:c>
      <x:c r="B1207" s="10" t="str">
        <x:v>DELIVERY</x:v>
      </x:c>
      <x:c r="C1207" s="10" t="str">
        <x:v>DELIVERY:S01-01:input</x:v>
      </x:c>
      <x:c r="D1207" s="10" t="str">
        <x:v>{"conditions":{"read_selected_content":true},"mail_send_authorized":false,"operation":"idle","preserve_unrelated_tasks":true,"targets":["S01-01:status"]}</x:v>
      </x:c>
      <x:c r="E1207" s="10" t="str">
        <x:v>{"conditions":{"read_selected_content":true},"mail_send_authorized":false,"operation":"idle","preserve_unrelated_tasks":true,"targets":["S01-01:status"]}</x:v>
      </x:c>
      <x:c r="F1207" s="10" t="n">
        <x:f>IF(D1207=E1207,1,0)</x:f>
        <x:v>1</x:v>
      </x:c>
      <x:c r="G1207" s="10" t="str">
        <x:v>FIXED_CORRECT_SEMANTIC_FIXTURE; not model accuracy evidence</x:v>
      </x:c>
    </x:row>
    <x:row r="1208" ht="145" customHeight="1">
      <x:c r="A1208" s="10" t="str">
        <x:v>D-A</x:v>
      </x:c>
      <x:c r="B1208" s="10" t="str">
        <x:v>DELIVERY</x:v>
      </x:c>
      <x:c r="C1208" s="10" t="str">
        <x:v>DELIVERY:S01-02:input</x:v>
      </x:c>
      <x:c r="D1208" s="10" t="str">
        <x:v>{"conditions":{"read_selected_content":true},"mail_send_authorized":false,"operation":"idle","preserve_unrelated_tasks":true,"targets":["S01-02:status"]}</x:v>
      </x:c>
      <x:c r="E1208" s="10" t="str">
        <x:v>{"conditions":{"read_selected_content":true},"mail_send_authorized":false,"operation":"idle","preserve_unrelated_tasks":true,"targets":["S01-02:status"]}</x:v>
      </x:c>
      <x:c r="F1208" s="10" t="n">
        <x:f>IF(D1208=E1208,1,0)</x:f>
        <x:v>1</x:v>
      </x:c>
      <x:c r="G1208" s="10" t="str">
        <x:v>FIXED_CORRECT_SEMANTIC_FIXTURE; not model accuracy evidence</x:v>
      </x:c>
    </x:row>
    <x:row r="1209" ht="145" customHeight="1">
      <x:c r="A1209" s="10" t="str">
        <x:v>D-B</x:v>
      </x:c>
      <x:c r="B1209" s="10" t="str">
        <x:v>DELIVERY</x:v>
      </x:c>
      <x:c r="C1209" s="10" t="str">
        <x:v>DELIVERY:S01-02:input</x:v>
      </x:c>
      <x:c r="D1209" s="10" t="str">
        <x:v>{"conditions":{"read_selected_content":true},"mail_send_authorized":false,"operation":"idle","preserve_unrelated_tasks":true,"targets":["S01-02:status"]}</x:v>
      </x:c>
      <x:c r="E1209" s="10" t="str">
        <x:v>{"conditions":{"read_selected_content":true},"mail_send_authorized":false,"operation":"idle","preserve_unrelated_tasks":true,"targets":["S01-02:status"]}</x:v>
      </x:c>
      <x:c r="F1209" s="10" t="n">
        <x:f>IF(D1209=E1209,1,0)</x:f>
        <x:v>1</x:v>
      </x:c>
      <x:c r="G1209" s="10" t="str">
        <x:v>FIXED_CORRECT_SEMANTIC_FIXTURE; not model accuracy evidence</x:v>
      </x:c>
    </x:row>
    <x:row r="1210" ht="145" customHeight="1">
      <x:c r="A1210" s="10" t="str">
        <x:v>D-A</x:v>
      </x:c>
      <x:c r="B1210" s="10" t="str">
        <x:v>DELIVERY</x:v>
      </x:c>
      <x:c r="C1210" s="10" t="str">
        <x:v>DELIVERY:S01-03:input</x:v>
      </x:c>
      <x:c r="D1210" s="10" t="str">
        <x:v>{"conditions":{"read_selected_content":true},"mail_send_authorized":false,"operation":"idle","preserve_unrelated_tasks":true,"targets":["S01-03:status"]}</x:v>
      </x:c>
      <x:c r="E1210" s="10" t="str">
        <x:v>{"conditions":{"read_selected_content":true},"mail_send_authorized":false,"operation":"idle","preserve_unrelated_tasks":true,"targets":["S01-03:status"]}</x:v>
      </x:c>
      <x:c r="F1210" s="10" t="n">
        <x:f>IF(D1210=E1210,1,0)</x:f>
        <x:v>1</x:v>
      </x:c>
      <x:c r="G1210" s="10" t="str">
        <x:v>FIXED_CORRECT_SEMANTIC_FIXTURE; not model accuracy evidence</x:v>
      </x:c>
    </x:row>
    <x:row r="1211" ht="145" customHeight="1">
      <x:c r="A1211" s="10" t="str">
        <x:v>D-B</x:v>
      </x:c>
      <x:c r="B1211" s="10" t="str">
        <x:v>DELIVERY</x:v>
      </x:c>
      <x:c r="C1211" s="10" t="str">
        <x:v>DELIVERY:S01-03:input</x:v>
      </x:c>
      <x:c r="D1211" s="10" t="str">
        <x:v>{"conditions":{"read_selected_content":true},"mail_send_authorized":false,"operation":"idle","preserve_unrelated_tasks":true,"targets":["S01-03:status"]}</x:v>
      </x:c>
      <x:c r="E1211" s="10" t="str">
        <x:v>{"conditions":{"read_selected_content":true},"mail_send_authorized":false,"operation":"idle","preserve_unrelated_tasks":true,"targets":["S01-03:status"]}</x:v>
      </x:c>
      <x:c r="F1211" s="10" t="n">
        <x:f>IF(D1211=E1211,1,0)</x:f>
        <x:v>1</x:v>
      </x:c>
      <x:c r="G1211" s="10" t="str">
        <x:v>FIXED_CORRECT_SEMANTIC_FIXTURE; not model accuracy evidence</x:v>
      </x:c>
    </x:row>
    <x:row r="1212" ht="145" customHeight="1">
      <x:c r="A1212" s="10" t="str">
        <x:v>D-A</x:v>
      </x:c>
      <x:c r="B1212" s="10" t="str">
        <x:v>DELIVERY</x:v>
      </x:c>
      <x:c r="C1212" s="10" t="str">
        <x:v>DELIVERY:S01-04:input</x:v>
      </x:c>
      <x:c r="D1212" s="10" t="str">
        <x:v>{"conditions":{"read_selected_content":true},"mail_send_authorized":false,"operation":"idle","preserve_unrelated_tasks":true,"targets":["S01-04:status"]}</x:v>
      </x:c>
      <x:c r="E1212" s="10" t="str">
        <x:v>{"conditions":{"read_selected_content":true},"mail_send_authorized":false,"operation":"idle","preserve_unrelated_tasks":true,"targets":["S01-04:status"]}</x:v>
      </x:c>
      <x:c r="F1212" s="10" t="n">
        <x:f>IF(D1212=E1212,1,0)</x:f>
        <x:v>1</x:v>
      </x:c>
      <x:c r="G1212" s="10" t="str">
        <x:v>FIXED_CORRECT_SEMANTIC_FIXTURE; not model accuracy evidence</x:v>
      </x:c>
    </x:row>
    <x:row r="1213" ht="145" customHeight="1">
      <x:c r="A1213" s="10" t="str">
        <x:v>D-B</x:v>
      </x:c>
      <x:c r="B1213" s="10" t="str">
        <x:v>DELIVERY</x:v>
      </x:c>
      <x:c r="C1213" s="10" t="str">
        <x:v>DELIVERY:S01-04:input</x:v>
      </x:c>
      <x:c r="D1213" s="10" t="str">
        <x:v>{"conditions":{"read_selected_content":true},"mail_send_authorized":false,"operation":"idle","preserve_unrelated_tasks":true,"targets":["S01-04:status"]}</x:v>
      </x:c>
      <x:c r="E1213" s="10" t="str">
        <x:v>{"conditions":{"read_selected_content":true},"mail_send_authorized":false,"operation":"idle","preserve_unrelated_tasks":true,"targets":["S01-04:status"]}</x:v>
      </x:c>
      <x:c r="F1213" s="10" t="n">
        <x:f>IF(D1213=E1213,1,0)</x:f>
        <x:v>1</x:v>
      </x:c>
      <x:c r="G1213" s="10" t="str">
        <x:v>FIXED_CORRECT_SEMANTIC_FIXTURE; not model accuracy evidence</x:v>
      </x:c>
    </x:row>
    <x:row r="1214" ht="145" customHeight="1">
      <x:c r="A1214" s="10" t="str">
        <x:v>D-A</x:v>
      </x:c>
      <x:c r="B1214" s="10" t="str">
        <x:v>DELIVERY</x:v>
      </x:c>
      <x:c r="C1214" s="10" t="str">
        <x:v>DELIVERY:S01-05:input</x:v>
      </x:c>
      <x:c r="D1214" s="10" t="str">
        <x:v>{"conditions":{"read_selected_content":true},"mail_send_authorized":false,"operation":"idle","preserve_unrelated_tasks":true,"targets":["S01-05:status"]}</x:v>
      </x:c>
      <x:c r="E1214" s="10" t="str">
        <x:v>{"conditions":{"read_selected_content":true},"mail_send_authorized":false,"operation":"idle","preserve_unrelated_tasks":true,"targets":["S01-05:status"]}</x:v>
      </x:c>
      <x:c r="F1214" s="10" t="n">
        <x:f>IF(D1214=E1214,1,0)</x:f>
        <x:v>1</x:v>
      </x:c>
      <x:c r="G1214" s="10" t="str">
        <x:v>FIXED_CORRECT_SEMANTIC_FIXTURE; not model accuracy evidence</x:v>
      </x:c>
    </x:row>
    <x:row r="1215" ht="145" customHeight="1">
      <x:c r="A1215" s="10" t="str">
        <x:v>D-B</x:v>
      </x:c>
      <x:c r="B1215" s="10" t="str">
        <x:v>DELIVERY</x:v>
      </x:c>
      <x:c r="C1215" s="10" t="str">
        <x:v>DELIVERY:S01-05:input</x:v>
      </x:c>
      <x:c r="D1215" s="10" t="str">
        <x:v>{"conditions":{"read_selected_content":true},"mail_send_authorized":false,"operation":"idle","preserve_unrelated_tasks":true,"targets":["S01-05:status"]}</x:v>
      </x:c>
      <x:c r="E1215" s="10" t="str">
        <x:v>{"conditions":{"read_selected_content":true},"mail_send_authorized":false,"operation":"idle","preserve_unrelated_tasks":true,"targets":["S01-05:status"]}</x:v>
      </x:c>
      <x:c r="F1215" s="10" t="n">
        <x:f>IF(D1215=E1215,1,0)</x:f>
        <x:v>1</x:v>
      </x:c>
      <x:c r="G1215" s="10" t="str">
        <x:v>FIXED_CORRECT_SEMANTIC_FIXTURE; not model accuracy evidence</x:v>
      </x:c>
    </x:row>
    <x:row r="1216" ht="145" customHeight="1">
      <x:c r="A1216" s="10" t="str">
        <x:v>D-A</x:v>
      </x:c>
      <x:c r="B1216" s="10" t="str">
        <x:v>DELIVERY</x:v>
      </x:c>
      <x:c r="C1216" s="10" t="str">
        <x:v>DELIVERY:S01-06:input</x:v>
      </x:c>
      <x:c r="D1216" s="10" t="str">
        <x:v>{"conditions":{"read_selected_content":true},"mail_send_authorized":false,"operation":"idle","preserve_unrelated_tasks":true,"targets":["S01-06:status"]}</x:v>
      </x:c>
      <x:c r="E1216" s="10" t="str">
        <x:v>{"conditions":{"read_selected_content":true},"mail_send_authorized":false,"operation":"idle","preserve_unrelated_tasks":true,"targets":["S01-06:status"]}</x:v>
      </x:c>
      <x:c r="F1216" s="10" t="n">
        <x:f>IF(D1216=E1216,1,0)</x:f>
        <x:v>1</x:v>
      </x:c>
      <x:c r="G1216" s="10" t="str">
        <x:v>FIXED_CORRECT_SEMANTIC_FIXTURE; not model accuracy evidence</x:v>
      </x:c>
    </x:row>
    <x:row r="1217" ht="145" customHeight="1">
      <x:c r="A1217" s="10" t="str">
        <x:v>D-B</x:v>
      </x:c>
      <x:c r="B1217" s="10" t="str">
        <x:v>DELIVERY</x:v>
      </x:c>
      <x:c r="C1217" s="10" t="str">
        <x:v>DELIVERY:S01-06:input</x:v>
      </x:c>
      <x:c r="D1217" s="10" t="str">
        <x:v>{"conditions":{"read_selected_content":true},"mail_send_authorized":false,"operation":"idle","preserve_unrelated_tasks":true,"targets":["S01-06:status"]}</x:v>
      </x:c>
      <x:c r="E1217" s="10" t="str">
        <x:v>{"conditions":{"read_selected_content":true},"mail_send_authorized":false,"operation":"idle","preserve_unrelated_tasks":true,"targets":["S01-06:status"]}</x:v>
      </x:c>
      <x:c r="F1217" s="10" t="n">
        <x:f>IF(D1217=E1217,1,0)</x:f>
        <x:v>1</x:v>
      </x:c>
      <x:c r="G1217" s="10" t="str">
        <x:v>FIXED_CORRECT_SEMANTIC_FIXTURE; not model accuracy evidence</x:v>
      </x:c>
    </x:row>
    <x:row r="1218" ht="145" customHeight="1">
      <x:c r="A1218" s="10" t="str">
        <x:v>D-A</x:v>
      </x:c>
      <x:c r="B1218" s="10" t="str">
        <x:v>DELIVERY</x:v>
      </x:c>
      <x:c r="C1218" s="10" t="str">
        <x:v>DELIVERY:S01-07:input</x:v>
      </x:c>
      <x:c r="D1218" s="10" t="str">
        <x:v>{"conditions":{"read_selected_content":true},"mail_send_authorized":false,"operation":"idle","preserve_unrelated_tasks":true,"targets":["S01-07:status"]}</x:v>
      </x:c>
      <x:c r="E1218" s="10" t="str">
        <x:v>{"conditions":{"read_selected_content":true},"mail_send_authorized":false,"operation":"idle","preserve_unrelated_tasks":true,"targets":["S01-07:status"]}</x:v>
      </x:c>
      <x:c r="F1218" s="10" t="n">
        <x:f>IF(D1218=E1218,1,0)</x:f>
        <x:v>1</x:v>
      </x:c>
      <x:c r="G1218" s="10" t="str">
        <x:v>FIXED_CORRECT_SEMANTIC_FIXTURE; not model accuracy evidence</x:v>
      </x:c>
    </x:row>
    <x:row r="1219" ht="145" customHeight="1">
      <x:c r="A1219" s="10" t="str">
        <x:v>D-B</x:v>
      </x:c>
      <x:c r="B1219" s="10" t="str">
        <x:v>DELIVERY</x:v>
      </x:c>
      <x:c r="C1219" s="10" t="str">
        <x:v>DELIVERY:S01-07:input</x:v>
      </x:c>
      <x:c r="D1219" s="10" t="str">
        <x:v>{"conditions":{"read_selected_content":true},"mail_send_authorized":false,"operation":"idle","preserve_unrelated_tasks":true,"targets":["S01-07:status"]}</x:v>
      </x:c>
      <x:c r="E1219" s="10" t="str">
        <x:v>{"conditions":{"read_selected_content":true},"mail_send_authorized":false,"operation":"idle","preserve_unrelated_tasks":true,"targets":["S01-07:status"]}</x:v>
      </x:c>
      <x:c r="F1219" s="10" t="n">
        <x:f>IF(D1219=E1219,1,0)</x:f>
        <x:v>1</x:v>
      </x:c>
      <x:c r="G1219" s="10" t="str">
        <x:v>FIXED_CORRECT_SEMANTIC_FIXTURE; not model accuracy evidence</x:v>
      </x:c>
    </x:row>
    <x:row r="1220" ht="145" customHeight="1">
      <x:c r="A1220" s="10" t="str">
        <x:v>D-A</x:v>
      </x:c>
      <x:c r="B1220" s="10" t="str">
        <x:v>DELIVERY</x:v>
      </x:c>
      <x:c r="C1220" s="10" t="str">
        <x:v>DELIVERY:S01-08:input</x:v>
      </x:c>
      <x:c r="D1220" s="10" t="str">
        <x:v>{"conditions":{"read_selected_content":true},"mail_send_authorized":false,"operation":"idle","preserve_unrelated_tasks":true,"targets":["S01-08:status"]}</x:v>
      </x:c>
      <x:c r="E1220" s="10" t="str">
        <x:v>{"conditions":{"read_selected_content":true},"mail_send_authorized":false,"operation":"idle","preserve_unrelated_tasks":true,"targets":["S01-08:status"]}</x:v>
      </x:c>
      <x:c r="F1220" s="10" t="n">
        <x:f>IF(D1220=E1220,1,0)</x:f>
        <x:v>1</x:v>
      </x:c>
      <x:c r="G1220" s="10" t="str">
        <x:v>FIXED_CORRECT_SEMANTIC_FIXTURE; not model accuracy evidence</x:v>
      </x:c>
    </x:row>
    <x:row r="1221" ht="145" customHeight="1">
      <x:c r="A1221" s="10" t="str">
        <x:v>D-B</x:v>
      </x:c>
      <x:c r="B1221" s="10" t="str">
        <x:v>DELIVERY</x:v>
      </x:c>
      <x:c r="C1221" s="10" t="str">
        <x:v>DELIVERY:S01-08:input</x:v>
      </x:c>
      <x:c r="D1221" s="10" t="str">
        <x:v>{"conditions":{"read_selected_content":true},"mail_send_authorized":false,"operation":"idle","preserve_unrelated_tasks":true,"targets":["S01-08:status"]}</x:v>
      </x:c>
      <x:c r="E1221" s="10" t="str">
        <x:v>{"conditions":{"read_selected_content":true},"mail_send_authorized":false,"operation":"idle","preserve_unrelated_tasks":true,"targets":["S01-08:status"]}</x:v>
      </x:c>
      <x:c r="F1221" s="10" t="n">
        <x:f>IF(D1221=E1221,1,0)</x:f>
        <x:v>1</x:v>
      </x:c>
      <x:c r="G1221" s="10" t="str">
        <x:v>FIXED_CORRECT_SEMANTIC_FIXTURE; not model accuracy evidence</x:v>
      </x:c>
    </x:row>
    <x:row r="1222" ht="145" customHeight="1">
      <x:c r="A1222" s="10" t="str">
        <x:v>D-A</x:v>
      </x:c>
      <x:c r="B1222" s="10" t="str">
        <x:v>DELIVERY</x:v>
      </x:c>
      <x:c r="C1222" s="10" t="str">
        <x:v>DELIVERY:S01-09:input</x:v>
      </x:c>
      <x:c r="D1222" s="10" t="str">
        <x:v>{"conditions":{"read_selected_content":true},"mail_send_authorized":false,"operation":"idle","preserve_unrelated_tasks":true,"targets":["S01-09:status"]}</x:v>
      </x:c>
      <x:c r="E1222" s="10" t="str">
        <x:v>{"conditions":{"read_selected_content":true},"mail_send_authorized":false,"operation":"idle","preserve_unrelated_tasks":true,"targets":["S01-09:status"]}</x:v>
      </x:c>
      <x:c r="F1222" s="10" t="n">
        <x:f>IF(D1222=E1222,1,0)</x:f>
        <x:v>1</x:v>
      </x:c>
      <x:c r="G1222" s="10" t="str">
        <x:v>FIXED_CORRECT_SEMANTIC_FIXTURE; not model accuracy evidence</x:v>
      </x:c>
    </x:row>
    <x:row r="1223" ht="145" customHeight="1">
      <x:c r="A1223" s="10" t="str">
        <x:v>D-B</x:v>
      </x:c>
      <x:c r="B1223" s="10" t="str">
        <x:v>DELIVERY</x:v>
      </x:c>
      <x:c r="C1223" s="10" t="str">
        <x:v>DELIVERY:S01-09:input</x:v>
      </x:c>
      <x:c r="D1223" s="10" t="str">
        <x:v>{"conditions":{"read_selected_content":true},"mail_send_authorized":false,"operation":"idle","preserve_unrelated_tasks":true,"targets":["S01-09:status"]}</x:v>
      </x:c>
      <x:c r="E1223" s="10" t="str">
        <x:v>{"conditions":{"read_selected_content":true},"mail_send_authorized":false,"operation":"idle","preserve_unrelated_tasks":true,"targets":["S01-09:status"]}</x:v>
      </x:c>
      <x:c r="F1223" s="10" t="n">
        <x:f>IF(D1223=E1223,1,0)</x:f>
        <x:v>1</x:v>
      </x:c>
      <x:c r="G1223" s="10" t="str">
        <x:v>FIXED_CORRECT_SEMANTIC_FIXTURE; not model accuracy evidence</x:v>
      </x:c>
    </x:row>
    <x:row r="1224" ht="145" customHeight="1">
      <x:c r="A1224" s="10" t="str">
        <x:v>D-A</x:v>
      </x:c>
      <x:c r="B1224" s="10" t="str">
        <x:v>DELIVERY</x:v>
      </x:c>
      <x:c r="C1224" s="10" t="str">
        <x:v>DELIVERY:S01-10:input</x:v>
      </x:c>
      <x:c r="D1224" s="10" t="str">
        <x:v>{"conditions":{"read_selected_content":true},"mail_send_authorized":false,"operation":"idle","preserve_unrelated_tasks":true,"targets":["S01-10:status"]}</x:v>
      </x:c>
      <x:c r="E1224" s="10" t="str">
        <x:v>{"conditions":{"read_selected_content":true},"mail_send_authorized":false,"operation":"idle","preserve_unrelated_tasks":true,"targets":["S01-10:status"]}</x:v>
      </x:c>
      <x:c r="F1224" s="10" t="n">
        <x:f>IF(D1224=E1224,1,0)</x:f>
        <x:v>1</x:v>
      </x:c>
      <x:c r="G1224" s="10" t="str">
        <x:v>FIXED_CORRECT_SEMANTIC_FIXTURE; not model accuracy evidence</x:v>
      </x:c>
    </x:row>
    <x:row r="1225" ht="145" customHeight="1">
      <x:c r="A1225" s="10" t="str">
        <x:v>D-B</x:v>
      </x:c>
      <x:c r="B1225" s="10" t="str">
        <x:v>DELIVERY</x:v>
      </x:c>
      <x:c r="C1225" s="10" t="str">
        <x:v>DELIVERY:S01-10:input</x:v>
      </x:c>
      <x:c r="D1225" s="10" t="str">
        <x:v>{"conditions":{"read_selected_content":true},"mail_send_authorized":false,"operation":"idle","preserve_unrelated_tasks":true,"targets":["S01-10:status"]}</x:v>
      </x:c>
      <x:c r="E1225" s="10" t="str">
        <x:v>{"conditions":{"read_selected_content":true},"mail_send_authorized":false,"operation":"idle","preserve_unrelated_tasks":true,"targets":["S01-10:status"]}</x:v>
      </x:c>
      <x:c r="F1225" s="10" t="n">
        <x:f>IF(D1225=E1225,1,0)</x:f>
        <x:v>1</x:v>
      </x:c>
      <x:c r="G1225" s="10" t="str">
        <x:v>FIXED_CORRECT_SEMANTIC_FIXTURE; not model accuracy evidence</x:v>
      </x:c>
    </x:row>
    <x:row r="1226" ht="145" customHeight="1">
      <x:c r="A1226" s="10" t="str">
        <x:v>D-A</x:v>
      </x:c>
      <x:c r="B1226" s="10" t="str">
        <x:v>DELIVERY</x:v>
      </x:c>
      <x:c r="C1226" s="10" t="str">
        <x:v>DELIVERY:S02-01:input</x:v>
      </x:c>
      <x:c r="D1226" s="10" t="str">
        <x:v>{"conditions":{"read_selected_content":true},"mail_send_authorized":false,"operation":"ready","preserve_unrelated_tasks":true,"targets":["S02-01:question"]}</x:v>
      </x:c>
      <x:c r="E1226" s="10" t="str">
        <x:v>{"conditions":{"read_selected_content":true},"mail_send_authorized":false,"operation":"ready","preserve_unrelated_tasks":true,"targets":["S02-01:question"]}</x:v>
      </x:c>
      <x:c r="F1226" s="10" t="n">
        <x:f>IF(D1226=E1226,1,0)</x:f>
        <x:v>1</x:v>
      </x:c>
      <x:c r="G1226" s="10" t="str">
        <x:v>FIXED_CORRECT_SEMANTIC_FIXTURE; not model accuracy evidence</x:v>
      </x:c>
    </x:row>
    <x:row r="1227" ht="145" customHeight="1">
      <x:c r="A1227" s="10" t="str">
        <x:v>D-B</x:v>
      </x:c>
      <x:c r="B1227" s="10" t="str">
        <x:v>DELIVERY</x:v>
      </x:c>
      <x:c r="C1227" s="10" t="str">
        <x:v>DELIVERY:S02-01:input</x:v>
      </x:c>
      <x:c r="D1227" s="10" t="str">
        <x:v>{"conditions":{"read_selected_content":true},"mail_send_authorized":false,"operation":"ready","preserve_unrelated_tasks":true,"targets":["S02-01:question"]}</x:v>
      </x:c>
      <x:c r="E1227" s="10" t="str">
        <x:v>{"conditions":{"read_selected_content":true},"mail_send_authorized":false,"operation":"ready","preserve_unrelated_tasks":true,"targets":["S02-01:question"]}</x:v>
      </x:c>
      <x:c r="F1227" s="10" t="n">
        <x:f>IF(D1227=E1227,1,0)</x:f>
        <x:v>1</x:v>
      </x:c>
      <x:c r="G1227" s="10" t="str">
        <x:v>FIXED_CORRECT_SEMANTIC_FIXTURE; not model accuracy evidence</x:v>
      </x:c>
    </x:row>
    <x:row r="1228" ht="145" customHeight="1">
      <x:c r="A1228" s="10" t="str">
        <x:v>D-A</x:v>
      </x:c>
      <x:c r="B1228" s="10" t="str">
        <x:v>DELIVERY</x:v>
      </x:c>
      <x:c r="C1228" s="10" t="str">
        <x:v>DELIVERY:S02-02:input</x:v>
      </x:c>
      <x:c r="D1228" s="10" t="str">
        <x:v>{"conditions":{"read_selected_content":true},"mail_send_authorized":false,"operation":"ready","preserve_unrelated_tasks":true,"targets":["S02-02:question"]}</x:v>
      </x:c>
      <x:c r="E1228" s="10" t="str">
        <x:v>{"conditions":{"read_selected_content":true},"mail_send_authorized":false,"operation":"ready","preserve_unrelated_tasks":true,"targets":["S02-02:question"]}</x:v>
      </x:c>
      <x:c r="F1228" s="10" t="n">
        <x:f>IF(D1228=E1228,1,0)</x:f>
        <x:v>1</x:v>
      </x:c>
      <x:c r="G1228" s="10" t="str">
        <x:v>FIXED_CORRECT_SEMANTIC_FIXTURE; not model accuracy evidence</x:v>
      </x:c>
    </x:row>
    <x:row r="1229" ht="145" customHeight="1">
      <x:c r="A1229" s="10" t="str">
        <x:v>D-B</x:v>
      </x:c>
      <x:c r="B1229" s="10" t="str">
        <x:v>DELIVERY</x:v>
      </x:c>
      <x:c r="C1229" s="10" t="str">
        <x:v>DELIVERY:S02-02:input</x:v>
      </x:c>
      <x:c r="D1229" s="10" t="str">
        <x:v>{"conditions":{"read_selected_content":true},"mail_send_authorized":false,"operation":"ready","preserve_unrelated_tasks":true,"targets":["S02-02:question"]}</x:v>
      </x:c>
      <x:c r="E1229" s="10" t="str">
        <x:v>{"conditions":{"read_selected_content":true},"mail_send_authorized":false,"operation":"ready","preserve_unrelated_tasks":true,"targets":["S02-02:question"]}</x:v>
      </x:c>
      <x:c r="F1229" s="10" t="n">
        <x:f>IF(D1229=E1229,1,0)</x:f>
        <x:v>1</x:v>
      </x:c>
      <x:c r="G1229" s="10" t="str">
        <x:v>FIXED_CORRECT_SEMANTIC_FIXTURE; not model accuracy evidence</x:v>
      </x:c>
    </x:row>
    <x:row r="1230" ht="145" customHeight="1">
      <x:c r="A1230" s="10" t="str">
        <x:v>D-A</x:v>
      </x:c>
      <x:c r="B1230" s="10" t="str">
        <x:v>DELIVERY</x:v>
      </x:c>
      <x:c r="C1230" s="10" t="str">
        <x:v>DELIVERY:S02-03:input</x:v>
      </x:c>
      <x:c r="D1230" s="10" t="str">
        <x:v>{"conditions":{"read_selected_content":true},"mail_send_authorized":false,"operation":"ready","preserve_unrelated_tasks":true,"targets":["S02-03:question"]}</x:v>
      </x:c>
      <x:c r="E1230" s="10" t="str">
        <x:v>{"conditions":{"read_selected_content":true},"mail_send_authorized":false,"operation":"ready","preserve_unrelated_tasks":true,"targets":["S02-03:question"]}</x:v>
      </x:c>
      <x:c r="F1230" s="10" t="n">
        <x:f>IF(D1230=E1230,1,0)</x:f>
        <x:v>1</x:v>
      </x:c>
      <x:c r="G1230" s="10" t="str">
        <x:v>FIXED_CORRECT_SEMANTIC_FIXTURE; not model accuracy evidence</x:v>
      </x:c>
    </x:row>
    <x:row r="1231" ht="145" customHeight="1">
      <x:c r="A1231" s="10" t="str">
        <x:v>D-B</x:v>
      </x:c>
      <x:c r="B1231" s="10" t="str">
        <x:v>DELIVERY</x:v>
      </x:c>
      <x:c r="C1231" s="10" t="str">
        <x:v>DELIVERY:S02-03:input</x:v>
      </x:c>
      <x:c r="D1231" s="10" t="str">
        <x:v>{"conditions":{"read_selected_content":true},"mail_send_authorized":false,"operation":"ready","preserve_unrelated_tasks":true,"targets":["S02-03:question"]}</x:v>
      </x:c>
      <x:c r="E1231" s="10" t="str">
        <x:v>{"conditions":{"read_selected_content":true},"mail_send_authorized":false,"operation":"ready","preserve_unrelated_tasks":true,"targets":["S02-03:question"]}</x:v>
      </x:c>
      <x:c r="F1231" s="10" t="n">
        <x:f>IF(D1231=E1231,1,0)</x:f>
        <x:v>1</x:v>
      </x:c>
      <x:c r="G1231" s="10" t="str">
        <x:v>FIXED_CORRECT_SEMANTIC_FIXTURE; not model accuracy evidence</x:v>
      </x:c>
    </x:row>
    <x:row r="1232" ht="145" customHeight="1">
      <x:c r="A1232" s="10" t="str">
        <x:v>D-A</x:v>
      </x:c>
      <x:c r="B1232" s="10" t="str">
        <x:v>DELIVERY</x:v>
      </x:c>
      <x:c r="C1232" s="10" t="str">
        <x:v>DELIVERY:S02-04:input</x:v>
      </x:c>
      <x:c r="D1232" s="10" t="str">
        <x:v>{"conditions":{"read_selected_content":true},"mail_send_authorized":false,"operation":"ready","preserve_unrelated_tasks":true,"targets":["S02-04:question"]}</x:v>
      </x:c>
      <x:c r="E1232" s="10" t="str">
        <x:v>{"conditions":{"read_selected_content":true},"mail_send_authorized":false,"operation":"ready","preserve_unrelated_tasks":true,"targets":["S02-04:question"]}</x:v>
      </x:c>
      <x:c r="F1232" s="10" t="n">
        <x:f>IF(D1232=E1232,1,0)</x:f>
        <x:v>1</x:v>
      </x:c>
      <x:c r="G1232" s="10" t="str">
        <x:v>FIXED_CORRECT_SEMANTIC_FIXTURE; not model accuracy evidence</x:v>
      </x:c>
    </x:row>
    <x:row r="1233" ht="145" customHeight="1">
      <x:c r="A1233" s="10" t="str">
        <x:v>D-B</x:v>
      </x:c>
      <x:c r="B1233" s="10" t="str">
        <x:v>DELIVERY</x:v>
      </x:c>
      <x:c r="C1233" s="10" t="str">
        <x:v>DELIVERY:S02-04:input</x:v>
      </x:c>
      <x:c r="D1233" s="10" t="str">
        <x:v>{"conditions":{"read_selected_content":true},"mail_send_authorized":false,"operation":"ready","preserve_unrelated_tasks":true,"targets":["S02-04:question"]}</x:v>
      </x:c>
      <x:c r="E1233" s="10" t="str">
        <x:v>{"conditions":{"read_selected_content":true},"mail_send_authorized":false,"operation":"ready","preserve_unrelated_tasks":true,"targets":["S02-04:question"]}</x:v>
      </x:c>
      <x:c r="F1233" s="10" t="n">
        <x:f>IF(D1233=E1233,1,0)</x:f>
        <x:v>1</x:v>
      </x:c>
      <x:c r="G1233" s="10" t="str">
        <x:v>FIXED_CORRECT_SEMANTIC_FIXTURE; not model accuracy evidence</x:v>
      </x:c>
    </x:row>
    <x:row r="1234" ht="145" customHeight="1">
      <x:c r="A1234" s="10" t="str">
        <x:v>D-A</x:v>
      </x:c>
      <x:c r="B1234" s="10" t="str">
        <x:v>DELIVERY</x:v>
      </x:c>
      <x:c r="C1234" s="10" t="str">
        <x:v>DELIVERY:S02-05:input</x:v>
      </x:c>
      <x:c r="D1234" s="10" t="str">
        <x:v>{"conditions":{"read_selected_content":true},"mail_send_authorized":false,"operation":"ready","preserve_unrelated_tasks":true,"targets":["S02-05:question"]}</x:v>
      </x:c>
      <x:c r="E1234" s="10" t="str">
        <x:v>{"conditions":{"read_selected_content":true},"mail_send_authorized":false,"operation":"ready","preserve_unrelated_tasks":true,"targets":["S02-05:question"]}</x:v>
      </x:c>
      <x:c r="F1234" s="10" t="n">
        <x:f>IF(D1234=E1234,1,0)</x:f>
        <x:v>1</x:v>
      </x:c>
      <x:c r="G1234" s="10" t="str">
        <x:v>FIXED_CORRECT_SEMANTIC_FIXTURE; not model accuracy evidence</x:v>
      </x:c>
    </x:row>
    <x:row r="1235" ht="145" customHeight="1">
      <x:c r="A1235" s="10" t="str">
        <x:v>D-B</x:v>
      </x:c>
      <x:c r="B1235" s="10" t="str">
        <x:v>DELIVERY</x:v>
      </x:c>
      <x:c r="C1235" s="10" t="str">
        <x:v>DELIVERY:S02-05:input</x:v>
      </x:c>
      <x:c r="D1235" s="10" t="str">
        <x:v>{"conditions":{"read_selected_content":true},"mail_send_authorized":false,"operation":"ready","preserve_unrelated_tasks":true,"targets":["S02-05:question"]}</x:v>
      </x:c>
      <x:c r="E1235" s="10" t="str">
        <x:v>{"conditions":{"read_selected_content":true},"mail_send_authorized":false,"operation":"ready","preserve_unrelated_tasks":true,"targets":["S02-05:question"]}</x:v>
      </x:c>
      <x:c r="F1235" s="10" t="n">
        <x:f>IF(D1235=E1235,1,0)</x:f>
        <x:v>1</x:v>
      </x:c>
      <x:c r="G1235" s="10" t="str">
        <x:v>FIXED_CORRECT_SEMANTIC_FIXTURE; not model accuracy evidence</x:v>
      </x:c>
    </x:row>
    <x:row r="1236" ht="145" customHeight="1">
      <x:c r="A1236" s="10" t="str">
        <x:v>D-A</x:v>
      </x:c>
      <x:c r="B1236" s="10" t="str">
        <x:v>DELIVERY</x:v>
      </x:c>
      <x:c r="C1236" s="10" t="str">
        <x:v>DELIVERY:S02-06:input</x:v>
      </x:c>
      <x:c r="D1236" s="10" t="str">
        <x:v>{"conditions":{"read_selected_content":true},"mail_send_authorized":false,"operation":"ready","preserve_unrelated_tasks":true,"targets":["S02-06:question"]}</x:v>
      </x:c>
      <x:c r="E1236" s="10" t="str">
        <x:v>{"conditions":{"read_selected_content":true},"mail_send_authorized":false,"operation":"ready","preserve_unrelated_tasks":true,"targets":["S02-06:question"]}</x:v>
      </x:c>
      <x:c r="F1236" s="10" t="n">
        <x:f>IF(D1236=E1236,1,0)</x:f>
        <x:v>1</x:v>
      </x:c>
      <x:c r="G1236" s="10" t="str">
        <x:v>FIXED_CORRECT_SEMANTIC_FIXTURE; not model accuracy evidence</x:v>
      </x:c>
    </x:row>
    <x:row r="1237" ht="145" customHeight="1">
      <x:c r="A1237" s="10" t="str">
        <x:v>D-B</x:v>
      </x:c>
      <x:c r="B1237" s="10" t="str">
        <x:v>DELIVERY</x:v>
      </x:c>
      <x:c r="C1237" s="10" t="str">
        <x:v>DELIVERY:S02-06:input</x:v>
      </x:c>
      <x:c r="D1237" s="10" t="str">
        <x:v>{"conditions":{"read_selected_content":true},"mail_send_authorized":false,"operation":"ready","preserve_unrelated_tasks":true,"targets":["S02-06:question"]}</x:v>
      </x:c>
      <x:c r="E1237" s="10" t="str">
        <x:v>{"conditions":{"read_selected_content":true},"mail_send_authorized":false,"operation":"ready","preserve_unrelated_tasks":true,"targets":["S02-06:question"]}</x:v>
      </x:c>
      <x:c r="F1237" s="10" t="n">
        <x:f>IF(D1237=E1237,1,0)</x:f>
        <x:v>1</x:v>
      </x:c>
      <x:c r="G1237" s="10" t="str">
        <x:v>FIXED_CORRECT_SEMANTIC_FIXTURE; not model accuracy evidence</x:v>
      </x:c>
    </x:row>
    <x:row r="1238" ht="145" customHeight="1">
      <x:c r="A1238" s="10" t="str">
        <x:v>D-A</x:v>
      </x:c>
      <x:c r="B1238" s="10" t="str">
        <x:v>DELIVERY</x:v>
      </x:c>
      <x:c r="C1238" s="10" t="str">
        <x:v>DELIVERY:S02-07:input</x:v>
      </x:c>
      <x:c r="D1238" s="10" t="str">
        <x:v>{"conditions":{"read_selected_content":true},"mail_send_authorized":false,"operation":"ready","preserve_unrelated_tasks":true,"targets":["S02-07:question"]}</x:v>
      </x:c>
      <x:c r="E1238" s="10" t="str">
        <x:v>{"conditions":{"read_selected_content":true},"mail_send_authorized":false,"operation":"ready","preserve_unrelated_tasks":true,"targets":["S02-07:question"]}</x:v>
      </x:c>
      <x:c r="F1238" s="10" t="n">
        <x:f>IF(D1238=E1238,1,0)</x:f>
        <x:v>1</x:v>
      </x:c>
      <x:c r="G1238" s="10" t="str">
        <x:v>FIXED_CORRECT_SEMANTIC_FIXTURE; not model accuracy evidence</x:v>
      </x:c>
    </x:row>
    <x:row r="1239" ht="145" customHeight="1">
      <x:c r="A1239" s="10" t="str">
        <x:v>D-B</x:v>
      </x:c>
      <x:c r="B1239" s="10" t="str">
        <x:v>DELIVERY</x:v>
      </x:c>
      <x:c r="C1239" s="10" t="str">
        <x:v>DELIVERY:S02-07:input</x:v>
      </x:c>
      <x:c r="D1239" s="10" t="str">
        <x:v>{"conditions":{"read_selected_content":true},"mail_send_authorized":false,"operation":"ready","preserve_unrelated_tasks":true,"targets":["S02-07:question"]}</x:v>
      </x:c>
      <x:c r="E1239" s="10" t="str">
        <x:v>{"conditions":{"read_selected_content":true},"mail_send_authorized":false,"operation":"ready","preserve_unrelated_tasks":true,"targets":["S02-07:question"]}</x:v>
      </x:c>
      <x:c r="F1239" s="10" t="n">
        <x:f>IF(D1239=E1239,1,0)</x:f>
        <x:v>1</x:v>
      </x:c>
      <x:c r="G1239" s="10" t="str">
        <x:v>FIXED_CORRECT_SEMANTIC_FIXTURE; not model accuracy evidence</x:v>
      </x:c>
    </x:row>
    <x:row r="1240" ht="145" customHeight="1">
      <x:c r="A1240" s="10" t="str">
        <x:v>D-A</x:v>
      </x:c>
      <x:c r="B1240" s="10" t="str">
        <x:v>DELIVERY</x:v>
      </x:c>
      <x:c r="C1240" s="10" t="str">
        <x:v>DELIVERY:S02-08:input</x:v>
      </x:c>
      <x:c r="D1240" s="10" t="str">
        <x:v>{"conditions":{"read_selected_content":true},"mail_send_authorized":false,"operation":"ready","preserve_unrelated_tasks":true,"targets":["S02-08:question"]}</x:v>
      </x:c>
      <x:c r="E1240" s="10" t="str">
        <x:v>{"conditions":{"read_selected_content":true},"mail_send_authorized":false,"operation":"ready","preserve_unrelated_tasks":true,"targets":["S02-08:question"]}</x:v>
      </x:c>
      <x:c r="F1240" s="10" t="n">
        <x:f>IF(D1240=E1240,1,0)</x:f>
        <x:v>1</x:v>
      </x:c>
      <x:c r="G1240" s="10" t="str">
        <x:v>FIXED_CORRECT_SEMANTIC_FIXTURE; not model accuracy evidence</x:v>
      </x:c>
    </x:row>
    <x:row r="1241" ht="145" customHeight="1">
      <x:c r="A1241" s="10" t="str">
        <x:v>D-B</x:v>
      </x:c>
      <x:c r="B1241" s="10" t="str">
        <x:v>DELIVERY</x:v>
      </x:c>
      <x:c r="C1241" s="10" t="str">
        <x:v>DELIVERY:S02-08:input</x:v>
      </x:c>
      <x:c r="D1241" s="10" t="str">
        <x:v>{"conditions":{"read_selected_content":true},"mail_send_authorized":false,"operation":"ready","preserve_unrelated_tasks":true,"targets":["S02-08:question"]}</x:v>
      </x:c>
      <x:c r="E1241" s="10" t="str">
        <x:v>{"conditions":{"read_selected_content":true},"mail_send_authorized":false,"operation":"ready","preserve_unrelated_tasks":true,"targets":["S02-08:question"]}</x:v>
      </x:c>
      <x:c r="F1241" s="10" t="n">
        <x:f>IF(D1241=E1241,1,0)</x:f>
        <x:v>1</x:v>
      </x:c>
      <x:c r="G1241" s="10" t="str">
        <x:v>FIXED_CORRECT_SEMANTIC_FIXTURE; not model accuracy evidence</x:v>
      </x:c>
    </x:row>
    <x:row r="1242" ht="145" customHeight="1">
      <x:c r="A1242" s="10" t="str">
        <x:v>D-A</x:v>
      </x:c>
      <x:c r="B1242" s="10" t="str">
        <x:v>DELIVERY</x:v>
      </x:c>
      <x:c r="C1242" s="10" t="str">
        <x:v>DELIVERY:S02-09:input</x:v>
      </x:c>
      <x:c r="D1242" s="10" t="str">
        <x:v>{"conditions":{"read_selected_content":true},"mail_send_authorized":false,"operation":"ready","preserve_unrelated_tasks":true,"targets":["S02-09:question"]}</x:v>
      </x:c>
      <x:c r="E1242" s="10" t="str">
        <x:v>{"conditions":{"read_selected_content":true},"mail_send_authorized":false,"operation":"ready","preserve_unrelated_tasks":true,"targets":["S02-09:question"]}</x:v>
      </x:c>
      <x:c r="F1242" s="10" t="n">
        <x:f>IF(D1242=E1242,1,0)</x:f>
        <x:v>1</x:v>
      </x:c>
      <x:c r="G1242" s="10" t="str">
        <x:v>FIXED_CORRECT_SEMANTIC_FIXTURE; not model accuracy evidence</x:v>
      </x:c>
    </x:row>
    <x:row r="1243" ht="145" customHeight="1">
      <x:c r="A1243" s="10" t="str">
        <x:v>D-B</x:v>
      </x:c>
      <x:c r="B1243" s="10" t="str">
        <x:v>DELIVERY</x:v>
      </x:c>
      <x:c r="C1243" s="10" t="str">
        <x:v>DELIVERY:S02-09:input</x:v>
      </x:c>
      <x:c r="D1243" s="10" t="str">
        <x:v>{"conditions":{"read_selected_content":true},"mail_send_authorized":false,"operation":"ready","preserve_unrelated_tasks":true,"targets":["S02-09:question"]}</x:v>
      </x:c>
      <x:c r="E1243" s="10" t="str">
        <x:v>{"conditions":{"read_selected_content":true},"mail_send_authorized":false,"operation":"ready","preserve_unrelated_tasks":true,"targets":["S02-09:question"]}</x:v>
      </x:c>
      <x:c r="F1243" s="10" t="n">
        <x:f>IF(D1243=E1243,1,0)</x:f>
        <x:v>1</x:v>
      </x:c>
      <x:c r="G1243" s="10" t="str">
        <x:v>FIXED_CORRECT_SEMANTIC_FIXTURE; not model accuracy evidence</x:v>
      </x:c>
    </x:row>
    <x:row r="1244" ht="145" customHeight="1">
      <x:c r="A1244" s="10" t="str">
        <x:v>D-A</x:v>
      </x:c>
      <x:c r="B1244" s="10" t="str">
        <x:v>DELIVERY</x:v>
      </x:c>
      <x:c r="C1244" s="10" t="str">
        <x:v>DELIVERY:S02-10:input</x:v>
      </x:c>
      <x:c r="D1244" s="10" t="str">
        <x:v>{"conditions":{"read_selected_content":true},"mail_send_authorized":false,"operation":"ready","preserve_unrelated_tasks":true,"targets":["S02-10:question"]}</x:v>
      </x:c>
      <x:c r="E1244" s="10" t="str">
        <x:v>{"conditions":{"read_selected_content":true},"mail_send_authorized":false,"operation":"ready","preserve_unrelated_tasks":true,"targets":["S02-10:question"]}</x:v>
      </x:c>
      <x:c r="F1244" s="10" t="n">
        <x:f>IF(D1244=E1244,1,0)</x:f>
        <x:v>1</x:v>
      </x:c>
      <x:c r="G1244" s="10" t="str">
        <x:v>FIXED_CORRECT_SEMANTIC_FIXTURE; not model accuracy evidence</x:v>
      </x:c>
    </x:row>
    <x:row r="1245" ht="145" customHeight="1">
      <x:c r="A1245" s="10" t="str">
        <x:v>D-B</x:v>
      </x:c>
      <x:c r="B1245" s="10" t="str">
        <x:v>DELIVERY</x:v>
      </x:c>
      <x:c r="C1245" s="10" t="str">
        <x:v>DELIVERY:S02-10:input</x:v>
      </x:c>
      <x:c r="D1245" s="10" t="str">
        <x:v>{"conditions":{"read_selected_content":true},"mail_send_authorized":false,"operation":"ready","preserve_unrelated_tasks":true,"targets":["S02-10:question"]}</x:v>
      </x:c>
      <x:c r="E1245" s="10" t="str">
        <x:v>{"conditions":{"read_selected_content":true},"mail_send_authorized":false,"operation":"ready","preserve_unrelated_tasks":true,"targets":["S02-10:question"]}</x:v>
      </x:c>
      <x:c r="F1245" s="10" t="n">
        <x:f>IF(D1245=E1245,1,0)</x:f>
        <x:v>1</x:v>
      </x:c>
      <x:c r="G1245" s="10" t="str">
        <x:v>FIXED_CORRECT_SEMANTIC_FIXTURE; not model accuracy evidence</x:v>
      </x:c>
    </x:row>
    <x:row r="1246" ht="145" customHeight="1">
      <x:c r="A1246" s="10" t="str">
        <x:v>D-A</x:v>
      </x:c>
      <x:c r="B1246" s="10" t="str">
        <x:v>DELIVERY</x:v>
      </x:c>
      <x:c r="C1246" s="10" t="str">
        <x:v>DELIVERY:S03-01:input</x:v>
      </x:c>
      <x:c r="D1246" s="10" t="str">
        <x:v>{"conditions":{"question_first":true,"report_month":6},"mail_send_authorized":false,"operation":"revision","preserve_unrelated_tasks":true,"targets":["S03-01:report_v1","S03-01:question"]}</x:v>
      </x:c>
      <x:c r="E1246" s="10" t="str">
        <x:v>{"conditions":{"question_first":true,"report_month":6},"mail_send_authorized":false,"operation":"revision","preserve_unrelated_tasks":true,"targets":["S03-01:report_v1","S03-01:question"]}</x:v>
      </x:c>
      <x:c r="F1246" s="10" t="n">
        <x:f>IF(D1246=E1246,1,0)</x:f>
        <x:v>1</x:v>
      </x:c>
      <x:c r="G1246" s="10" t="str">
        <x:v>FIXED_CORRECT_SEMANTIC_FIXTURE; not model accuracy evidence</x:v>
      </x:c>
    </x:row>
    <x:row r="1247" ht="145" customHeight="1">
      <x:c r="A1247" s="10" t="str">
        <x:v>D-B</x:v>
      </x:c>
      <x:c r="B1247" s="10" t="str">
        <x:v>DELIVERY</x:v>
      </x:c>
      <x:c r="C1247" s="10" t="str">
        <x:v>DELIVERY:S03-01:input</x:v>
      </x:c>
      <x:c r="D1247" s="10" t="str">
        <x:v>{"conditions":{"question_first":true,"report_month":6},"mail_send_authorized":false,"operation":"revision","preserve_unrelated_tasks":true,"targets":["S03-01:report_v1","S03-01:question"]}</x:v>
      </x:c>
      <x:c r="E1247" s="10" t="str">
        <x:v>{"conditions":{"question_first":true,"report_month":6},"mail_send_authorized":false,"operation":"revision","preserve_unrelated_tasks":true,"targets":["S03-01:report_v1","S03-01:question"]}</x:v>
      </x:c>
      <x:c r="F1247" s="10" t="n">
        <x:f>IF(D1247=E1247,1,0)</x:f>
        <x:v>1</x:v>
      </x:c>
      <x:c r="G1247" s="10" t="str">
        <x:v>FIXED_CORRECT_SEMANTIC_FIXTURE; not model accuracy evidence</x:v>
      </x:c>
    </x:row>
    <x:row r="1248" ht="145" customHeight="1">
      <x:c r="A1248" s="10" t="str">
        <x:v>D-A</x:v>
      </x:c>
      <x:c r="B1248" s="10" t="str">
        <x:v>DELIVERY</x:v>
      </x:c>
      <x:c r="C1248" s="10" t="str">
        <x:v>DELIVERY:S03-02:input</x:v>
      </x:c>
      <x:c r="D1248" s="10" t="str">
        <x:v>{"conditions":{"question_first":true,"report_month":6},"mail_send_authorized":false,"operation":"revision","preserve_unrelated_tasks":true,"targets":["S03-02:report_v1","S03-02:question"]}</x:v>
      </x:c>
      <x:c r="E1248" s="10" t="str">
        <x:v>{"conditions":{"question_first":true,"report_month":6},"mail_send_authorized":false,"operation":"revision","preserve_unrelated_tasks":true,"targets":["S03-02:report_v1","S03-02:question"]}</x:v>
      </x:c>
      <x:c r="F1248" s="10" t="n">
        <x:f>IF(D1248=E1248,1,0)</x:f>
        <x:v>1</x:v>
      </x:c>
      <x:c r="G1248" s="10" t="str">
        <x:v>FIXED_CORRECT_SEMANTIC_FIXTURE; not model accuracy evidence</x:v>
      </x:c>
    </x:row>
    <x:row r="1249" ht="145" customHeight="1">
      <x:c r="A1249" s="10" t="str">
        <x:v>D-B</x:v>
      </x:c>
      <x:c r="B1249" s="10" t="str">
        <x:v>DELIVERY</x:v>
      </x:c>
      <x:c r="C1249" s="10" t="str">
        <x:v>DELIVERY:S03-02:input</x:v>
      </x:c>
      <x:c r="D1249" s="10" t="str">
        <x:v>{"conditions":{"question_first":true,"report_month":6},"mail_send_authorized":false,"operation":"revision","preserve_unrelated_tasks":true,"targets":["S03-02:report_v1","S03-02:question"]}</x:v>
      </x:c>
      <x:c r="E1249" s="10" t="str">
        <x:v>{"conditions":{"question_first":true,"report_month":6},"mail_send_authorized":false,"operation":"revision","preserve_unrelated_tasks":true,"targets":["S03-02:report_v1","S03-02:question"]}</x:v>
      </x:c>
      <x:c r="F1249" s="10" t="n">
        <x:f>IF(D1249=E1249,1,0)</x:f>
        <x:v>1</x:v>
      </x:c>
      <x:c r="G1249" s="10" t="str">
        <x:v>FIXED_CORRECT_SEMANTIC_FIXTURE; not model accuracy evidence</x:v>
      </x:c>
    </x:row>
    <x:row r="1250" ht="145" customHeight="1">
      <x:c r="A1250" s="10" t="str">
        <x:v>D-A</x:v>
      </x:c>
      <x:c r="B1250" s="10" t="str">
        <x:v>DELIVERY</x:v>
      </x:c>
      <x:c r="C1250" s="10" t="str">
        <x:v>DELIVERY:S03-03:input</x:v>
      </x:c>
      <x:c r="D1250" s="10" t="str">
        <x:v>{"conditions":{"question_first":true,"report_month":6},"mail_send_authorized":false,"operation":"revision","preserve_unrelated_tasks":true,"targets":["S03-03:report_v1","S03-03:question"]}</x:v>
      </x:c>
      <x:c r="E1250" s="10" t="str">
        <x:v>{"conditions":{"question_first":true,"report_month":6},"mail_send_authorized":false,"operation":"revision","preserve_unrelated_tasks":true,"targets":["S03-03:report_v1","S03-03:question"]}</x:v>
      </x:c>
      <x:c r="F1250" s="10" t="n">
        <x:f>IF(D1250=E1250,1,0)</x:f>
        <x:v>1</x:v>
      </x:c>
      <x:c r="G1250" s="10" t="str">
        <x:v>FIXED_CORRECT_SEMANTIC_FIXTURE; not model accuracy evidence</x:v>
      </x:c>
    </x:row>
    <x:row r="1251" ht="145" customHeight="1">
      <x:c r="A1251" s="10" t="str">
        <x:v>D-B</x:v>
      </x:c>
      <x:c r="B1251" s="10" t="str">
        <x:v>DELIVERY</x:v>
      </x:c>
      <x:c r="C1251" s="10" t="str">
        <x:v>DELIVERY:S03-03:input</x:v>
      </x:c>
      <x:c r="D1251" s="10" t="str">
        <x:v>{"conditions":{"question_first":true,"report_month":6},"mail_send_authorized":false,"operation":"revision","preserve_unrelated_tasks":true,"targets":["S03-03:report_v1","S03-03:question"]}</x:v>
      </x:c>
      <x:c r="E1251" s="10" t="str">
        <x:v>{"conditions":{"question_first":true,"report_month":6},"mail_send_authorized":false,"operation":"revision","preserve_unrelated_tasks":true,"targets":["S03-03:report_v1","S03-03:question"]}</x:v>
      </x:c>
      <x:c r="F1251" s="10" t="n">
        <x:f>IF(D1251=E1251,1,0)</x:f>
        <x:v>1</x:v>
      </x:c>
      <x:c r="G1251" s="10" t="str">
        <x:v>FIXED_CORRECT_SEMANTIC_FIXTURE; not model accuracy evidence</x:v>
      </x:c>
    </x:row>
    <x:row r="1252" ht="145" customHeight="1">
      <x:c r="A1252" s="10" t="str">
        <x:v>D-A</x:v>
      </x:c>
      <x:c r="B1252" s="10" t="str">
        <x:v>DELIVERY</x:v>
      </x:c>
      <x:c r="C1252" s="10" t="str">
        <x:v>DELIVERY:S03-04:input</x:v>
      </x:c>
      <x:c r="D1252" s="10" t="str">
        <x:v>{"conditions":{"question_first":true,"report_month":6},"mail_send_authorized":false,"operation":"revision","preserve_unrelated_tasks":true,"targets":["S03-04:report_v1","S03-04:question"]}</x:v>
      </x:c>
      <x:c r="E1252" s="10" t="str">
        <x:v>{"conditions":{"question_first":true,"report_month":6},"mail_send_authorized":false,"operation":"revision","preserve_unrelated_tasks":true,"targets":["S03-04:report_v1","S03-04:question"]}</x:v>
      </x:c>
      <x:c r="F1252" s="10" t="n">
        <x:f>IF(D1252=E1252,1,0)</x:f>
        <x:v>1</x:v>
      </x:c>
      <x:c r="G1252" s="10" t="str">
        <x:v>FIXED_CORRECT_SEMANTIC_FIXTURE; not model accuracy evidence</x:v>
      </x:c>
    </x:row>
    <x:row r="1253" ht="145" customHeight="1">
      <x:c r="A1253" s="10" t="str">
        <x:v>D-B</x:v>
      </x:c>
      <x:c r="B1253" s="10" t="str">
        <x:v>DELIVERY</x:v>
      </x:c>
      <x:c r="C1253" s="10" t="str">
        <x:v>DELIVERY:S03-04:input</x:v>
      </x:c>
      <x:c r="D1253" s="10" t="str">
        <x:v>{"conditions":{"question_first":true,"report_month":6},"mail_send_authorized":false,"operation":"revision","preserve_unrelated_tasks":true,"targets":["S03-04:report_v1","S03-04:question"]}</x:v>
      </x:c>
      <x:c r="E1253" s="10" t="str">
        <x:v>{"conditions":{"question_first":true,"report_month":6},"mail_send_authorized":false,"operation":"revision","preserve_unrelated_tasks":true,"targets":["S03-04:report_v1","S03-04:question"]}</x:v>
      </x:c>
      <x:c r="F1253" s="10" t="n">
        <x:f>IF(D1253=E1253,1,0)</x:f>
        <x:v>1</x:v>
      </x:c>
      <x:c r="G1253" s="10" t="str">
        <x:v>FIXED_CORRECT_SEMANTIC_FIXTURE; not model accuracy evidence</x:v>
      </x:c>
    </x:row>
    <x:row r="1254" ht="145" customHeight="1">
      <x:c r="A1254" s="10" t="str">
        <x:v>D-A</x:v>
      </x:c>
      <x:c r="B1254" s="10" t="str">
        <x:v>DELIVERY</x:v>
      </x:c>
      <x:c r="C1254" s="10" t="str">
        <x:v>DELIVERY:S03-05:input</x:v>
      </x:c>
      <x:c r="D1254" s="10" t="str">
        <x:v>{"conditions":{"question_first":true,"report_month":6},"mail_send_authorized":false,"operation":"revision","preserve_unrelated_tasks":true,"targets":["S03-05:report_v1","S03-05:question"]}</x:v>
      </x:c>
      <x:c r="E1254" s="10" t="str">
        <x:v>{"conditions":{"question_first":true,"report_month":6},"mail_send_authorized":false,"operation":"revision","preserve_unrelated_tasks":true,"targets":["S03-05:report_v1","S03-05:question"]}</x:v>
      </x:c>
      <x:c r="F1254" s="10" t="n">
        <x:f>IF(D1254=E1254,1,0)</x:f>
        <x:v>1</x:v>
      </x:c>
      <x:c r="G1254" s="10" t="str">
        <x:v>FIXED_CORRECT_SEMANTIC_FIXTURE; not model accuracy evidence</x:v>
      </x:c>
    </x:row>
    <x:row r="1255" ht="145" customHeight="1">
      <x:c r="A1255" s="10" t="str">
        <x:v>D-B</x:v>
      </x:c>
      <x:c r="B1255" s="10" t="str">
        <x:v>DELIVERY</x:v>
      </x:c>
      <x:c r="C1255" s="10" t="str">
        <x:v>DELIVERY:S03-05:input</x:v>
      </x:c>
      <x:c r="D1255" s="10" t="str">
        <x:v>{"conditions":{"question_first":true,"report_month":6},"mail_send_authorized":false,"operation":"revision","preserve_unrelated_tasks":true,"targets":["S03-05:report_v1","S03-05:question"]}</x:v>
      </x:c>
      <x:c r="E1255" s="10" t="str">
        <x:v>{"conditions":{"question_first":true,"report_month":6},"mail_send_authorized":false,"operation":"revision","preserve_unrelated_tasks":true,"targets":["S03-05:report_v1","S03-05:question"]}</x:v>
      </x:c>
      <x:c r="F1255" s="10" t="n">
        <x:f>IF(D1255=E1255,1,0)</x:f>
        <x:v>1</x:v>
      </x:c>
      <x:c r="G1255" s="10" t="str">
        <x:v>FIXED_CORRECT_SEMANTIC_FIXTURE; not model accuracy evidence</x:v>
      </x:c>
    </x:row>
    <x:row r="1256" ht="145" customHeight="1">
      <x:c r="A1256" s="10" t="str">
        <x:v>D-A</x:v>
      </x:c>
      <x:c r="B1256" s="10" t="str">
        <x:v>DELIVERY</x:v>
      </x:c>
      <x:c r="C1256" s="10" t="str">
        <x:v>DELIVERY:S03-06:input</x:v>
      </x:c>
      <x:c r="D1256" s="10" t="str">
        <x:v>{"conditions":{"question_first":true,"report_month":6},"mail_send_authorized":false,"operation":"revision","preserve_unrelated_tasks":true,"targets":["S03-06:report_v1","S03-06:question"]}</x:v>
      </x:c>
      <x:c r="E1256" s="10" t="str">
        <x:v>{"conditions":{"question_first":true,"report_month":6},"mail_send_authorized":false,"operation":"revision","preserve_unrelated_tasks":true,"targets":["S03-06:report_v1","S03-06:question"]}</x:v>
      </x:c>
      <x:c r="F1256" s="10" t="n">
        <x:f>IF(D1256=E1256,1,0)</x:f>
        <x:v>1</x:v>
      </x:c>
      <x:c r="G1256" s="10" t="str">
        <x:v>FIXED_CORRECT_SEMANTIC_FIXTURE; not model accuracy evidence</x:v>
      </x:c>
    </x:row>
    <x:row r="1257" ht="145" customHeight="1">
      <x:c r="A1257" s="10" t="str">
        <x:v>D-B</x:v>
      </x:c>
      <x:c r="B1257" s="10" t="str">
        <x:v>DELIVERY</x:v>
      </x:c>
      <x:c r="C1257" s="10" t="str">
        <x:v>DELIVERY:S03-06:input</x:v>
      </x:c>
      <x:c r="D1257" s="10" t="str">
        <x:v>{"conditions":{"question_first":true,"report_month":6},"mail_send_authorized":false,"operation":"revision","preserve_unrelated_tasks":true,"targets":["S03-06:report_v1","S03-06:question"]}</x:v>
      </x:c>
      <x:c r="E1257" s="10" t="str">
        <x:v>{"conditions":{"question_first":true,"report_month":6},"mail_send_authorized":false,"operation":"revision","preserve_unrelated_tasks":true,"targets":["S03-06:report_v1","S03-06:question"]}</x:v>
      </x:c>
      <x:c r="F1257" s="10" t="n">
        <x:f>IF(D1257=E1257,1,0)</x:f>
        <x:v>1</x:v>
      </x:c>
      <x:c r="G1257" s="10" t="str">
        <x:v>FIXED_CORRECT_SEMANTIC_FIXTURE; not model accuracy evidence</x:v>
      </x:c>
    </x:row>
    <x:row r="1258" ht="145" customHeight="1">
      <x:c r="A1258" s="10" t="str">
        <x:v>D-A</x:v>
      </x:c>
      <x:c r="B1258" s="10" t="str">
        <x:v>DELIVERY</x:v>
      </x:c>
      <x:c r="C1258" s="10" t="str">
        <x:v>DELIVERY:S03-07:input</x:v>
      </x:c>
      <x:c r="D1258" s="10" t="str">
        <x:v>{"conditions":{"question_first":true,"report_month":6},"mail_send_authorized":false,"operation":"revision","preserve_unrelated_tasks":true,"targets":["S03-07:report_v1","S03-07:question"]}</x:v>
      </x:c>
      <x:c r="E1258" s="10" t="str">
        <x:v>{"conditions":{"question_first":true,"report_month":6},"mail_send_authorized":false,"operation":"revision","preserve_unrelated_tasks":true,"targets":["S03-07:report_v1","S03-07:question"]}</x:v>
      </x:c>
      <x:c r="F1258" s="10" t="n">
        <x:f>IF(D1258=E1258,1,0)</x:f>
        <x:v>1</x:v>
      </x:c>
      <x:c r="G1258" s="10" t="str">
        <x:v>FIXED_CORRECT_SEMANTIC_FIXTURE; not model accuracy evidence</x:v>
      </x:c>
    </x:row>
    <x:row r="1259" ht="145" customHeight="1">
      <x:c r="A1259" s="10" t="str">
        <x:v>D-B</x:v>
      </x:c>
      <x:c r="B1259" s="10" t="str">
        <x:v>DELIVERY</x:v>
      </x:c>
      <x:c r="C1259" s="10" t="str">
        <x:v>DELIVERY:S03-07:input</x:v>
      </x:c>
      <x:c r="D1259" s="10" t="str">
        <x:v>{"conditions":{"question_first":true,"report_month":6},"mail_send_authorized":false,"operation":"revision","preserve_unrelated_tasks":true,"targets":["S03-07:report_v1","S03-07:question"]}</x:v>
      </x:c>
      <x:c r="E1259" s="10" t="str">
        <x:v>{"conditions":{"question_first":true,"report_month":6},"mail_send_authorized":false,"operation":"revision","preserve_unrelated_tasks":true,"targets":["S03-07:report_v1","S03-07:question"]}</x:v>
      </x:c>
      <x:c r="F1259" s="10" t="n">
        <x:f>IF(D1259=E1259,1,0)</x:f>
        <x:v>1</x:v>
      </x:c>
      <x:c r="G1259" s="10" t="str">
        <x:v>FIXED_CORRECT_SEMANTIC_FIXTURE; not model accuracy evidence</x:v>
      </x:c>
    </x:row>
    <x:row r="1260" ht="145" customHeight="1">
      <x:c r="A1260" s="10" t="str">
        <x:v>D-A</x:v>
      </x:c>
      <x:c r="B1260" s="10" t="str">
        <x:v>DELIVERY</x:v>
      </x:c>
      <x:c r="C1260" s="10" t="str">
        <x:v>DELIVERY:S03-08:input</x:v>
      </x:c>
      <x:c r="D1260" s="10" t="str">
        <x:v>{"conditions":{"question_first":true,"report_month":6},"mail_send_authorized":false,"operation":"revision","preserve_unrelated_tasks":true,"targets":["S03-08:report_v1","S03-08:question"]}</x:v>
      </x:c>
      <x:c r="E1260" s="10" t="str">
        <x:v>{"conditions":{"question_first":true,"report_month":6},"mail_send_authorized":false,"operation":"revision","preserve_unrelated_tasks":true,"targets":["S03-08:report_v1","S03-08:question"]}</x:v>
      </x:c>
      <x:c r="F1260" s="10" t="n">
        <x:f>IF(D1260=E1260,1,0)</x:f>
        <x:v>1</x:v>
      </x:c>
      <x:c r="G1260" s="10" t="str">
        <x:v>FIXED_CORRECT_SEMANTIC_FIXTURE; not model accuracy evidence</x:v>
      </x:c>
    </x:row>
    <x:row r="1261" ht="145" customHeight="1">
      <x:c r="A1261" s="10" t="str">
        <x:v>D-B</x:v>
      </x:c>
      <x:c r="B1261" s="10" t="str">
        <x:v>DELIVERY</x:v>
      </x:c>
      <x:c r="C1261" s="10" t="str">
        <x:v>DELIVERY:S03-08:input</x:v>
      </x:c>
      <x:c r="D1261" s="10" t="str">
        <x:v>{"conditions":{"question_first":true,"report_month":6},"mail_send_authorized":false,"operation":"revision","preserve_unrelated_tasks":true,"targets":["S03-08:report_v1","S03-08:question"]}</x:v>
      </x:c>
      <x:c r="E1261" s="10" t="str">
        <x:v>{"conditions":{"question_first":true,"report_month":6},"mail_send_authorized":false,"operation":"revision","preserve_unrelated_tasks":true,"targets":["S03-08:report_v1","S03-08:question"]}</x:v>
      </x:c>
      <x:c r="F1261" s="10" t="n">
        <x:f>IF(D1261=E1261,1,0)</x:f>
        <x:v>1</x:v>
      </x:c>
      <x:c r="G1261" s="10" t="str">
        <x:v>FIXED_CORRECT_SEMANTIC_FIXTURE; not model accuracy evidence</x:v>
      </x:c>
    </x:row>
    <x:row r="1262" ht="145" customHeight="1">
      <x:c r="A1262" s="10" t="str">
        <x:v>D-A</x:v>
      </x:c>
      <x:c r="B1262" s="10" t="str">
        <x:v>DELIVERY</x:v>
      </x:c>
      <x:c r="C1262" s="10" t="str">
        <x:v>DELIVERY:S03-09:input</x:v>
      </x:c>
      <x:c r="D1262" s="10" t="str">
        <x:v>{"conditions":{"question_first":true,"report_month":6},"mail_send_authorized":false,"operation":"revision","preserve_unrelated_tasks":true,"targets":["S03-09:report_v1","S03-09:question"]}</x:v>
      </x:c>
      <x:c r="E1262" s="10" t="str">
        <x:v>{"conditions":{"question_first":true,"report_month":6},"mail_send_authorized":false,"operation":"revision","preserve_unrelated_tasks":true,"targets":["S03-09:report_v1","S03-09:question"]}</x:v>
      </x:c>
      <x:c r="F1262" s="10" t="n">
        <x:f>IF(D1262=E1262,1,0)</x:f>
        <x:v>1</x:v>
      </x:c>
      <x:c r="G1262" s="10" t="str">
        <x:v>FIXED_CORRECT_SEMANTIC_FIXTURE; not model accuracy evidence</x:v>
      </x:c>
    </x:row>
    <x:row r="1263" ht="145" customHeight="1">
      <x:c r="A1263" s="10" t="str">
        <x:v>D-B</x:v>
      </x:c>
      <x:c r="B1263" s="10" t="str">
        <x:v>DELIVERY</x:v>
      </x:c>
      <x:c r="C1263" s="10" t="str">
        <x:v>DELIVERY:S03-09:input</x:v>
      </x:c>
      <x:c r="D1263" s="10" t="str">
        <x:v>{"conditions":{"question_first":true,"report_month":6},"mail_send_authorized":false,"operation":"revision","preserve_unrelated_tasks":true,"targets":["S03-09:report_v1","S03-09:question"]}</x:v>
      </x:c>
      <x:c r="E1263" s="10" t="str">
        <x:v>{"conditions":{"question_first":true,"report_month":6},"mail_send_authorized":false,"operation":"revision","preserve_unrelated_tasks":true,"targets":["S03-09:report_v1","S03-09:question"]}</x:v>
      </x:c>
      <x:c r="F1263" s="10" t="n">
        <x:f>IF(D1263=E1263,1,0)</x:f>
        <x:v>1</x:v>
      </x:c>
      <x:c r="G1263" s="10" t="str">
        <x:v>FIXED_CORRECT_SEMANTIC_FIXTURE; not model accuracy evidence</x:v>
      </x:c>
    </x:row>
    <x:row r="1264" ht="145" customHeight="1">
      <x:c r="A1264" s="10" t="str">
        <x:v>D-A</x:v>
      </x:c>
      <x:c r="B1264" s="10" t="str">
        <x:v>DELIVERY</x:v>
      </x:c>
      <x:c r="C1264" s="10" t="str">
        <x:v>DELIVERY:S03-10:input</x:v>
      </x:c>
      <x:c r="D1264" s="10" t="str">
        <x:v>{"conditions":{"question_first":true,"report_month":6},"mail_send_authorized":false,"operation":"revision","preserve_unrelated_tasks":true,"targets":["S03-10:report_v1","S03-10:question"]}</x:v>
      </x:c>
      <x:c r="E1264" s="10" t="str">
        <x:v>{"conditions":{"question_first":true,"report_month":6},"mail_send_authorized":false,"operation":"revision","preserve_unrelated_tasks":true,"targets":["S03-10:report_v1","S03-10:question"]}</x:v>
      </x:c>
      <x:c r="F1264" s="10" t="n">
        <x:f>IF(D1264=E1264,1,0)</x:f>
        <x:v>1</x:v>
      </x:c>
      <x:c r="G1264" s="10" t="str">
        <x:v>FIXED_CORRECT_SEMANTIC_FIXTURE; not model accuracy evidence</x:v>
      </x:c>
    </x:row>
    <x:row r="1265" ht="145" customHeight="1">
      <x:c r="A1265" s="10" t="str">
        <x:v>D-B</x:v>
      </x:c>
      <x:c r="B1265" s="10" t="str">
        <x:v>DELIVERY</x:v>
      </x:c>
      <x:c r="C1265" s="10" t="str">
        <x:v>DELIVERY:S03-10:input</x:v>
      </x:c>
      <x:c r="D1265" s="10" t="str">
        <x:v>{"conditions":{"question_first":true,"report_month":6},"mail_send_authorized":false,"operation":"revision","preserve_unrelated_tasks":true,"targets":["S03-10:report_v1","S03-10:question"]}</x:v>
      </x:c>
      <x:c r="E1265" s="10" t="str">
        <x:v>{"conditions":{"question_first":true,"report_month":6},"mail_send_authorized":false,"operation":"revision","preserve_unrelated_tasks":true,"targets":["S03-10:report_v1","S03-10:question"]}</x:v>
      </x:c>
      <x:c r="F1265" s="10" t="n">
        <x:f>IF(D1265=E1265,1,0)</x:f>
        <x:v>1</x:v>
      </x:c>
      <x:c r="G1265" s="10" t="str">
        <x:v>FIXED_CORRECT_SEMANTIC_FIXTURE; not model accuracy evidence</x:v>
      </x:c>
    </x:row>
    <x:row r="1266" ht="145" customHeight="1">
      <x:c r="A1266" s="10" t="str">
        <x:v>D-A</x:v>
      </x:c>
      <x:c r="B1266" s="10" t="str">
        <x:v>DELIVERY</x:v>
      </x:c>
      <x:c r="C1266" s="10" t="str">
        <x:v>DELIVERY:S04-01:input</x:v>
      </x:c>
      <x:c r="D1266" s="10" t="str">
        <x:v>{"conditions":{"cancel_audio_only":true,"keep_display":true},"mail_send_authorized":false,"operation":"withdraw","preserve_unrelated_tasks":true,"targets":["S04-01:report_v1"]}</x:v>
      </x:c>
      <x:c r="E1266" s="10" t="str">
        <x:v>{"conditions":{"cancel_audio_only":true,"keep_display":true},"mail_send_authorized":false,"operation":"withdraw","preserve_unrelated_tasks":true,"targets":["S04-01:report_v1"]}</x:v>
      </x:c>
      <x:c r="F1266" s="10" t="n">
        <x:f>IF(D1266=E1266,1,0)</x:f>
        <x:v>1</x:v>
      </x:c>
      <x:c r="G1266" s="10" t="str">
        <x:v>FIXED_CORRECT_SEMANTIC_FIXTURE; not model accuracy evidence</x:v>
      </x:c>
    </x:row>
    <x:row r="1267" ht="145" customHeight="1">
      <x:c r="A1267" s="10" t="str">
        <x:v>D-B</x:v>
      </x:c>
      <x:c r="B1267" s="10" t="str">
        <x:v>DELIVERY</x:v>
      </x:c>
      <x:c r="C1267" s="10" t="str">
        <x:v>DELIVERY:S04-01:input</x:v>
      </x:c>
      <x:c r="D1267" s="10" t="str">
        <x:v>{"conditions":{"cancel_audio_only":true,"keep_display":true},"mail_send_authorized":false,"operation":"withdraw","preserve_unrelated_tasks":true,"targets":["S04-01:report_v1"]}</x:v>
      </x:c>
      <x:c r="E1267" s="10" t="str">
        <x:v>{"conditions":{"cancel_audio_only":true,"keep_display":true},"mail_send_authorized":false,"operation":"withdraw","preserve_unrelated_tasks":true,"targets":["S04-01:report_v1"]}</x:v>
      </x:c>
      <x:c r="F1267" s="10" t="n">
        <x:f>IF(D1267=E1267,1,0)</x:f>
        <x:v>1</x:v>
      </x:c>
      <x:c r="G1267" s="10" t="str">
        <x:v>FIXED_CORRECT_SEMANTIC_FIXTURE; not model accuracy evidence</x:v>
      </x:c>
    </x:row>
    <x:row r="1268" ht="145" customHeight="1">
      <x:c r="A1268" s="10" t="str">
        <x:v>D-A</x:v>
      </x:c>
      <x:c r="B1268" s="10" t="str">
        <x:v>DELIVERY</x:v>
      </x:c>
      <x:c r="C1268" s="10" t="str">
        <x:v>DELIVERY:S04-02:input</x:v>
      </x:c>
      <x:c r="D1268" s="10" t="str">
        <x:v>{"conditions":{"cancel_audio_only":true,"keep_display":true},"mail_send_authorized":false,"operation":"withdraw","preserve_unrelated_tasks":true,"targets":["S04-02:report_v1"]}</x:v>
      </x:c>
      <x:c r="E1268" s="10" t="str">
        <x:v>{"conditions":{"cancel_audio_only":true,"keep_display":true},"mail_send_authorized":false,"operation":"withdraw","preserve_unrelated_tasks":true,"targets":["S04-02:report_v1"]}</x:v>
      </x:c>
      <x:c r="F1268" s="10" t="n">
        <x:f>IF(D1268=E1268,1,0)</x:f>
        <x:v>1</x:v>
      </x:c>
      <x:c r="G1268" s="10" t="str">
        <x:v>FIXED_CORRECT_SEMANTIC_FIXTURE; not model accuracy evidence</x:v>
      </x:c>
    </x:row>
    <x:row r="1269" ht="145" customHeight="1">
      <x:c r="A1269" s="10" t="str">
        <x:v>D-B</x:v>
      </x:c>
      <x:c r="B1269" s="10" t="str">
        <x:v>DELIVERY</x:v>
      </x:c>
      <x:c r="C1269" s="10" t="str">
        <x:v>DELIVERY:S04-02:input</x:v>
      </x:c>
      <x:c r="D1269" s="10" t="str">
        <x:v>{"conditions":{"cancel_audio_only":true,"keep_display":true},"mail_send_authorized":false,"operation":"withdraw","preserve_unrelated_tasks":true,"targets":["S04-02:report_v1"]}</x:v>
      </x:c>
      <x:c r="E1269" s="10" t="str">
        <x:v>{"conditions":{"cancel_audio_only":true,"keep_display":true},"mail_send_authorized":false,"operation":"withdraw","preserve_unrelated_tasks":true,"targets":["S04-02:report_v1"]}</x:v>
      </x:c>
      <x:c r="F1269" s="10" t="n">
        <x:f>IF(D1269=E1269,1,0)</x:f>
        <x:v>1</x:v>
      </x:c>
      <x:c r="G1269" s="10" t="str">
        <x:v>FIXED_CORRECT_SEMANTIC_FIXTURE; not model accuracy evidence</x:v>
      </x:c>
    </x:row>
    <x:row r="1270" ht="145" customHeight="1">
      <x:c r="A1270" s="10" t="str">
        <x:v>D-A</x:v>
      </x:c>
      <x:c r="B1270" s="10" t="str">
        <x:v>DELIVERY</x:v>
      </x:c>
      <x:c r="C1270" s="10" t="str">
        <x:v>DELIVERY:S04-03:input</x:v>
      </x:c>
      <x:c r="D1270" s="10" t="str">
        <x:v>{"conditions":{"cancel_audio_only":true,"keep_display":true},"mail_send_authorized":false,"operation":"withdraw","preserve_unrelated_tasks":true,"targets":["S04-03:report_v1"]}</x:v>
      </x:c>
      <x:c r="E1270" s="10" t="str">
        <x:v>{"conditions":{"cancel_audio_only":true,"keep_display":true},"mail_send_authorized":false,"operation":"withdraw","preserve_unrelated_tasks":true,"targets":["S04-03:report_v1"]}</x:v>
      </x:c>
      <x:c r="F1270" s="10" t="n">
        <x:f>IF(D1270=E1270,1,0)</x:f>
        <x:v>1</x:v>
      </x:c>
      <x:c r="G1270" s="10" t="str">
        <x:v>FIXED_CORRECT_SEMANTIC_FIXTURE; not model accuracy evidence</x:v>
      </x:c>
    </x:row>
    <x:row r="1271" ht="145" customHeight="1">
      <x:c r="A1271" s="10" t="str">
        <x:v>D-B</x:v>
      </x:c>
      <x:c r="B1271" s="10" t="str">
        <x:v>DELIVERY</x:v>
      </x:c>
      <x:c r="C1271" s="10" t="str">
        <x:v>DELIVERY:S04-03:input</x:v>
      </x:c>
      <x:c r="D1271" s="10" t="str">
        <x:v>{"conditions":{"cancel_audio_only":true,"keep_display":true},"mail_send_authorized":false,"operation":"withdraw","preserve_unrelated_tasks":true,"targets":["S04-03:report_v1"]}</x:v>
      </x:c>
      <x:c r="E1271" s="10" t="str">
        <x:v>{"conditions":{"cancel_audio_only":true,"keep_display":true},"mail_send_authorized":false,"operation":"withdraw","preserve_unrelated_tasks":true,"targets":["S04-03:report_v1"]}</x:v>
      </x:c>
      <x:c r="F1271" s="10" t="n">
        <x:f>IF(D1271=E1271,1,0)</x:f>
        <x:v>1</x:v>
      </x:c>
      <x:c r="G1271" s="10" t="str">
        <x:v>FIXED_CORRECT_SEMANTIC_FIXTURE; not model accuracy evidence</x:v>
      </x:c>
    </x:row>
    <x:row r="1272" ht="145" customHeight="1">
      <x:c r="A1272" s="10" t="str">
        <x:v>D-A</x:v>
      </x:c>
      <x:c r="B1272" s="10" t="str">
        <x:v>DELIVERY</x:v>
      </x:c>
      <x:c r="C1272" s="10" t="str">
        <x:v>DELIVERY:S04-04:input</x:v>
      </x:c>
      <x:c r="D1272" s="10" t="str">
        <x:v>{"conditions":{"cancel_audio_only":true,"keep_display":true},"mail_send_authorized":false,"operation":"withdraw","preserve_unrelated_tasks":true,"targets":["S04-04:report_v1"]}</x:v>
      </x:c>
      <x:c r="E1272" s="10" t="str">
        <x:v>{"conditions":{"cancel_audio_only":true,"keep_display":true},"mail_send_authorized":false,"operation":"withdraw","preserve_unrelated_tasks":true,"targets":["S04-04:report_v1"]}</x:v>
      </x:c>
      <x:c r="F1272" s="10" t="n">
        <x:f>IF(D1272=E1272,1,0)</x:f>
        <x:v>1</x:v>
      </x:c>
      <x:c r="G1272" s="10" t="str">
        <x:v>FIXED_CORRECT_SEMANTIC_FIXTURE; not model accuracy evidence</x:v>
      </x:c>
    </x:row>
    <x:row r="1273" ht="145" customHeight="1">
      <x:c r="A1273" s="10" t="str">
        <x:v>D-B</x:v>
      </x:c>
      <x:c r="B1273" s="10" t="str">
        <x:v>DELIVERY</x:v>
      </x:c>
      <x:c r="C1273" s="10" t="str">
        <x:v>DELIVERY:S04-04:input</x:v>
      </x:c>
      <x:c r="D1273" s="10" t="str">
        <x:v>{"conditions":{"cancel_audio_only":true,"keep_display":true},"mail_send_authorized":false,"operation":"withdraw","preserve_unrelated_tasks":true,"targets":["S04-04:report_v1"]}</x:v>
      </x:c>
      <x:c r="E1273" s="10" t="str">
        <x:v>{"conditions":{"cancel_audio_only":true,"keep_display":true},"mail_send_authorized":false,"operation":"withdraw","preserve_unrelated_tasks":true,"targets":["S04-04:report_v1"]}</x:v>
      </x:c>
      <x:c r="F1273" s="10" t="n">
        <x:f>IF(D1273=E1273,1,0)</x:f>
        <x:v>1</x:v>
      </x:c>
      <x:c r="G1273" s="10" t="str">
        <x:v>FIXED_CORRECT_SEMANTIC_FIXTURE; not model accuracy evidence</x:v>
      </x:c>
    </x:row>
    <x:row r="1274" ht="145" customHeight="1">
      <x:c r="A1274" s="10" t="str">
        <x:v>D-A</x:v>
      </x:c>
      <x:c r="B1274" s="10" t="str">
        <x:v>DELIVERY</x:v>
      </x:c>
      <x:c r="C1274" s="10" t="str">
        <x:v>DELIVERY:S04-05:input</x:v>
      </x:c>
      <x:c r="D1274" s="10" t="str">
        <x:v>{"conditions":{"cancel_audio_only":true,"keep_display":true},"mail_send_authorized":false,"operation":"withdraw","preserve_unrelated_tasks":true,"targets":["S04-05:report_v1"]}</x:v>
      </x:c>
      <x:c r="E1274" s="10" t="str">
        <x:v>{"conditions":{"cancel_audio_only":true,"keep_display":true},"mail_send_authorized":false,"operation":"withdraw","preserve_unrelated_tasks":true,"targets":["S04-05:report_v1"]}</x:v>
      </x:c>
      <x:c r="F1274" s="10" t="n">
        <x:f>IF(D1274=E1274,1,0)</x:f>
        <x:v>1</x:v>
      </x:c>
      <x:c r="G1274" s="10" t="str">
        <x:v>FIXED_CORRECT_SEMANTIC_FIXTURE; not model accuracy evidence</x:v>
      </x:c>
    </x:row>
    <x:row r="1275" ht="145" customHeight="1">
      <x:c r="A1275" s="10" t="str">
        <x:v>D-B</x:v>
      </x:c>
      <x:c r="B1275" s="10" t="str">
        <x:v>DELIVERY</x:v>
      </x:c>
      <x:c r="C1275" s="10" t="str">
        <x:v>DELIVERY:S04-05:input</x:v>
      </x:c>
      <x:c r="D1275" s="10" t="str">
        <x:v>{"conditions":{"cancel_audio_only":true,"keep_display":true},"mail_send_authorized":false,"operation":"withdraw","preserve_unrelated_tasks":true,"targets":["S04-05:report_v1"]}</x:v>
      </x:c>
      <x:c r="E1275" s="10" t="str">
        <x:v>{"conditions":{"cancel_audio_only":true,"keep_display":true},"mail_send_authorized":false,"operation":"withdraw","preserve_unrelated_tasks":true,"targets":["S04-05:report_v1"]}</x:v>
      </x:c>
      <x:c r="F1275" s="10" t="n">
        <x:f>IF(D1275=E1275,1,0)</x:f>
        <x:v>1</x:v>
      </x:c>
      <x:c r="G1275" s="10" t="str">
        <x:v>FIXED_CORRECT_SEMANTIC_FIXTURE; not model accuracy evidence</x:v>
      </x:c>
    </x:row>
    <x:row r="1276" ht="145" customHeight="1">
      <x:c r="A1276" s="10" t="str">
        <x:v>D-A</x:v>
      </x:c>
      <x:c r="B1276" s="10" t="str">
        <x:v>DELIVERY</x:v>
      </x:c>
      <x:c r="C1276" s="10" t="str">
        <x:v>DELIVERY:S04-06:input</x:v>
      </x:c>
      <x:c r="D1276" s="10" t="str">
        <x:v>{"conditions":{"cancel_audio_only":true,"keep_display":true},"mail_send_authorized":false,"operation":"withdraw","preserve_unrelated_tasks":true,"targets":["S04-06:report_v1"]}</x:v>
      </x:c>
      <x:c r="E1276" s="10" t="str">
        <x:v>{"conditions":{"cancel_audio_only":true,"keep_display":true},"mail_send_authorized":false,"operation":"withdraw","preserve_unrelated_tasks":true,"targets":["S04-06:report_v1"]}</x:v>
      </x:c>
      <x:c r="F1276" s="10" t="n">
        <x:f>IF(D1276=E1276,1,0)</x:f>
        <x:v>1</x:v>
      </x:c>
      <x:c r="G1276" s="10" t="str">
        <x:v>FIXED_CORRECT_SEMANTIC_FIXTURE; not model accuracy evidence</x:v>
      </x:c>
    </x:row>
    <x:row r="1277" ht="145" customHeight="1">
      <x:c r="A1277" s="10" t="str">
        <x:v>D-B</x:v>
      </x:c>
      <x:c r="B1277" s="10" t="str">
        <x:v>DELIVERY</x:v>
      </x:c>
      <x:c r="C1277" s="10" t="str">
        <x:v>DELIVERY:S04-06:input</x:v>
      </x:c>
      <x:c r="D1277" s="10" t="str">
        <x:v>{"conditions":{"cancel_audio_only":true,"keep_display":true},"mail_send_authorized":false,"operation":"withdraw","preserve_unrelated_tasks":true,"targets":["S04-06:report_v1"]}</x:v>
      </x:c>
      <x:c r="E1277" s="10" t="str">
        <x:v>{"conditions":{"cancel_audio_only":true,"keep_display":true},"mail_send_authorized":false,"operation":"withdraw","preserve_unrelated_tasks":true,"targets":["S04-06:report_v1"]}</x:v>
      </x:c>
      <x:c r="F1277" s="10" t="n">
        <x:f>IF(D1277=E1277,1,0)</x:f>
        <x:v>1</x:v>
      </x:c>
      <x:c r="G1277" s="10" t="str">
        <x:v>FIXED_CORRECT_SEMANTIC_FIXTURE; not model accuracy evidence</x:v>
      </x:c>
    </x:row>
    <x:row r="1278" ht="145" customHeight="1">
      <x:c r="A1278" s="10" t="str">
        <x:v>D-A</x:v>
      </x:c>
      <x:c r="B1278" s="10" t="str">
        <x:v>DELIVERY</x:v>
      </x:c>
      <x:c r="C1278" s="10" t="str">
        <x:v>DELIVERY:S04-07:input</x:v>
      </x:c>
      <x:c r="D1278" s="10" t="str">
        <x:v>{"conditions":{"cancel_audio_only":true,"keep_display":true},"mail_send_authorized":false,"operation":"withdraw","preserve_unrelated_tasks":true,"targets":["S04-07:report_v1"]}</x:v>
      </x:c>
      <x:c r="E1278" s="10" t="str">
        <x:v>{"conditions":{"cancel_audio_only":true,"keep_display":true},"mail_send_authorized":false,"operation":"withdraw","preserve_unrelated_tasks":true,"targets":["S04-07:report_v1"]}</x:v>
      </x:c>
      <x:c r="F1278" s="10" t="n">
        <x:f>IF(D1278=E1278,1,0)</x:f>
        <x:v>1</x:v>
      </x:c>
      <x:c r="G1278" s="10" t="str">
        <x:v>FIXED_CORRECT_SEMANTIC_FIXTURE; not model accuracy evidence</x:v>
      </x:c>
    </x:row>
    <x:row r="1279" ht="145" customHeight="1">
      <x:c r="A1279" s="10" t="str">
        <x:v>D-B</x:v>
      </x:c>
      <x:c r="B1279" s="10" t="str">
        <x:v>DELIVERY</x:v>
      </x:c>
      <x:c r="C1279" s="10" t="str">
        <x:v>DELIVERY:S04-07:input</x:v>
      </x:c>
      <x:c r="D1279" s="10" t="str">
        <x:v>{"conditions":{"cancel_audio_only":true,"keep_display":true},"mail_send_authorized":false,"operation":"withdraw","preserve_unrelated_tasks":true,"targets":["S04-07:report_v1"]}</x:v>
      </x:c>
      <x:c r="E1279" s="10" t="str">
        <x:v>{"conditions":{"cancel_audio_only":true,"keep_display":true},"mail_send_authorized":false,"operation":"withdraw","preserve_unrelated_tasks":true,"targets":["S04-07:report_v1"]}</x:v>
      </x:c>
      <x:c r="F1279" s="10" t="n">
        <x:f>IF(D1279=E1279,1,0)</x:f>
        <x:v>1</x:v>
      </x:c>
      <x:c r="G1279" s="10" t="str">
        <x:v>FIXED_CORRECT_SEMANTIC_FIXTURE; not model accuracy evidence</x:v>
      </x:c>
    </x:row>
    <x:row r="1280" ht="145" customHeight="1">
      <x:c r="A1280" s="10" t="str">
        <x:v>D-A</x:v>
      </x:c>
      <x:c r="B1280" s="10" t="str">
        <x:v>DELIVERY</x:v>
      </x:c>
      <x:c r="C1280" s="10" t="str">
        <x:v>DELIVERY:S04-08:input</x:v>
      </x:c>
      <x:c r="D1280" s="10" t="str">
        <x:v>{"conditions":{"cancel_audio_only":true,"keep_display":true},"mail_send_authorized":false,"operation":"withdraw","preserve_unrelated_tasks":true,"targets":["S04-08:report_v1"]}</x:v>
      </x:c>
      <x:c r="E1280" s="10" t="str">
        <x:v>{"conditions":{"cancel_audio_only":true,"keep_display":true},"mail_send_authorized":false,"operation":"withdraw","preserve_unrelated_tasks":true,"targets":["S04-08:report_v1"]}</x:v>
      </x:c>
      <x:c r="F1280" s="10" t="n">
        <x:f>IF(D1280=E1280,1,0)</x:f>
        <x:v>1</x:v>
      </x:c>
      <x:c r="G1280" s="10" t="str">
        <x:v>FIXED_CORRECT_SEMANTIC_FIXTURE; not model accuracy evidence</x:v>
      </x:c>
    </x:row>
    <x:row r="1281" ht="145" customHeight="1">
      <x:c r="A1281" s="10" t="str">
        <x:v>D-B</x:v>
      </x:c>
      <x:c r="B1281" s="10" t="str">
        <x:v>DELIVERY</x:v>
      </x:c>
      <x:c r="C1281" s="10" t="str">
        <x:v>DELIVERY:S04-08:input</x:v>
      </x:c>
      <x:c r="D1281" s="10" t="str">
        <x:v>{"conditions":{"cancel_audio_only":true,"keep_display":true},"mail_send_authorized":false,"operation":"withdraw","preserve_unrelated_tasks":true,"targets":["S04-08:report_v1"]}</x:v>
      </x:c>
      <x:c r="E1281" s="10" t="str">
        <x:v>{"conditions":{"cancel_audio_only":true,"keep_display":true},"mail_send_authorized":false,"operation":"withdraw","preserve_unrelated_tasks":true,"targets":["S04-08:report_v1"]}</x:v>
      </x:c>
      <x:c r="F1281" s="10" t="n">
        <x:f>IF(D1281=E1281,1,0)</x:f>
        <x:v>1</x:v>
      </x:c>
      <x:c r="G1281" s="10" t="str">
        <x:v>FIXED_CORRECT_SEMANTIC_FIXTURE; not model accuracy evidence</x:v>
      </x:c>
    </x:row>
    <x:row r="1282" ht="145" customHeight="1">
      <x:c r="A1282" s="10" t="str">
        <x:v>D-A</x:v>
      </x:c>
      <x:c r="B1282" s="10" t="str">
        <x:v>DELIVERY</x:v>
      </x:c>
      <x:c r="C1282" s="10" t="str">
        <x:v>DELIVERY:S04-09:input</x:v>
      </x:c>
      <x:c r="D1282" s="10" t="str">
        <x:v>{"conditions":{"cancel_audio_only":true,"keep_display":true},"mail_send_authorized":false,"operation":"withdraw","preserve_unrelated_tasks":true,"targets":["S04-09:report_v1"]}</x:v>
      </x:c>
      <x:c r="E1282" s="10" t="str">
        <x:v>{"conditions":{"cancel_audio_only":true,"keep_display":true},"mail_send_authorized":false,"operation":"withdraw","preserve_unrelated_tasks":true,"targets":["S04-09:report_v1"]}</x:v>
      </x:c>
      <x:c r="F1282" s="10" t="n">
        <x:f>IF(D1282=E1282,1,0)</x:f>
        <x:v>1</x:v>
      </x:c>
      <x:c r="G1282" s="10" t="str">
        <x:v>FIXED_CORRECT_SEMANTIC_FIXTURE; not model accuracy evidence</x:v>
      </x:c>
    </x:row>
    <x:row r="1283" ht="145" customHeight="1">
      <x:c r="A1283" s="10" t="str">
        <x:v>D-B</x:v>
      </x:c>
      <x:c r="B1283" s="10" t="str">
        <x:v>DELIVERY</x:v>
      </x:c>
      <x:c r="C1283" s="10" t="str">
        <x:v>DELIVERY:S04-09:input</x:v>
      </x:c>
      <x:c r="D1283" s="10" t="str">
        <x:v>{"conditions":{"cancel_audio_only":true,"keep_display":true},"mail_send_authorized":false,"operation":"withdraw","preserve_unrelated_tasks":true,"targets":["S04-09:report_v1"]}</x:v>
      </x:c>
      <x:c r="E1283" s="10" t="str">
        <x:v>{"conditions":{"cancel_audio_only":true,"keep_display":true},"mail_send_authorized":false,"operation":"withdraw","preserve_unrelated_tasks":true,"targets":["S04-09:report_v1"]}</x:v>
      </x:c>
      <x:c r="F1283" s="10" t="n">
        <x:f>IF(D1283=E1283,1,0)</x:f>
        <x:v>1</x:v>
      </x:c>
      <x:c r="G1283" s="10" t="str">
        <x:v>FIXED_CORRECT_SEMANTIC_FIXTURE; not model accuracy evidence</x:v>
      </x:c>
    </x:row>
    <x:row r="1284" ht="145" customHeight="1">
      <x:c r="A1284" s="10" t="str">
        <x:v>D-A</x:v>
      </x:c>
      <x:c r="B1284" s="10" t="str">
        <x:v>DELIVERY</x:v>
      </x:c>
      <x:c r="C1284" s="10" t="str">
        <x:v>DELIVERY:S04-10:input</x:v>
      </x:c>
      <x:c r="D1284" s="10" t="str">
        <x:v>{"conditions":{"cancel_audio_only":true,"keep_display":true},"mail_send_authorized":false,"operation":"withdraw","preserve_unrelated_tasks":true,"targets":["S04-10:report_v1"]}</x:v>
      </x:c>
      <x:c r="E1284" s="10" t="str">
        <x:v>{"conditions":{"cancel_audio_only":true,"keep_display":true},"mail_send_authorized":false,"operation":"withdraw","preserve_unrelated_tasks":true,"targets":["S04-10:report_v1"]}</x:v>
      </x:c>
      <x:c r="F1284" s="10" t="n">
        <x:f>IF(D1284=E1284,1,0)</x:f>
        <x:v>1</x:v>
      </x:c>
      <x:c r="G1284" s="10" t="str">
        <x:v>FIXED_CORRECT_SEMANTIC_FIXTURE; not model accuracy evidence</x:v>
      </x:c>
    </x:row>
    <x:row r="1285" ht="145" customHeight="1">
      <x:c r="A1285" s="10" t="str">
        <x:v>D-B</x:v>
      </x:c>
      <x:c r="B1285" s="10" t="str">
        <x:v>DELIVERY</x:v>
      </x:c>
      <x:c r="C1285" s="10" t="str">
        <x:v>DELIVERY:S04-10:input</x:v>
      </x:c>
      <x:c r="D1285" s="10" t="str">
        <x:v>{"conditions":{"cancel_audio_only":true,"keep_display":true},"mail_send_authorized":false,"operation":"withdraw","preserve_unrelated_tasks":true,"targets":["S04-10:report_v1"]}</x:v>
      </x:c>
      <x:c r="E1285" s="10" t="str">
        <x:v>{"conditions":{"cancel_audio_only":true,"keep_display":true},"mail_send_authorized":false,"operation":"withdraw","preserve_unrelated_tasks":true,"targets":["S04-10:report_v1"]}</x:v>
      </x:c>
      <x:c r="F1285" s="10" t="n">
        <x:f>IF(D1285=E1285,1,0)</x:f>
        <x:v>1</x:v>
      </x:c>
      <x:c r="G1285" s="10" t="str">
        <x:v>FIXED_CORRECT_SEMANTIC_FIXTURE; not model accuracy evidence</x:v>
      </x:c>
    </x:row>
    <x:row r="1286" ht="145" customHeight="1">
      <x:c r="A1286" s="10" t="str">
        <x:v>D-A</x:v>
      </x:c>
      <x:c r="B1286" s="10" t="str">
        <x:v>DELIVERY</x:v>
      </x:c>
      <x:c r="C1286" s="10" t="str">
        <x:v>DELIVERY:S05-01:input</x:v>
      </x:c>
      <x:c r="D1286" s="10" t="str">
        <x:v>{"conditions":{"question_first":true,"resume_from_played_position":true},"mail_send_authorized":false,"operation":"resume","preserve_unrelated_tasks":true,"targets":["S05-01:question","S05-01:long_report"]}</x:v>
      </x:c>
      <x:c r="E1286" s="10" t="str">
        <x:v>{"conditions":{"question_first":true,"resume_from_played_position":true},"mail_send_authorized":false,"operation":"resume","preserve_unrelated_tasks":true,"targets":["S05-01:question","S05-01:long_report"]}</x:v>
      </x:c>
      <x:c r="F1286" s="10" t="n">
        <x:f>IF(D1286=E1286,1,0)</x:f>
        <x:v>1</x:v>
      </x:c>
      <x:c r="G1286" s="10" t="str">
        <x:v>FIXED_CORRECT_SEMANTIC_FIXTURE; not model accuracy evidence</x:v>
      </x:c>
    </x:row>
    <x:row r="1287" ht="145" customHeight="1">
      <x:c r="A1287" s="10" t="str">
        <x:v>D-B</x:v>
      </x:c>
      <x:c r="B1287" s="10" t="str">
        <x:v>DELIVERY</x:v>
      </x:c>
      <x:c r="C1287" s="10" t="str">
        <x:v>DELIVERY:S05-01:input</x:v>
      </x:c>
      <x:c r="D1287" s="10" t="str">
        <x:v>{"conditions":{"question_first":true,"resume_from_played_position":true},"mail_send_authorized":false,"operation":"resume","preserve_unrelated_tasks":true,"targets":["S05-01:question","S05-01:long_report"]}</x:v>
      </x:c>
      <x:c r="E1287" s="10" t="str">
        <x:v>{"conditions":{"question_first":true,"resume_from_played_position":true},"mail_send_authorized":false,"operation":"resume","preserve_unrelated_tasks":true,"targets":["S05-01:question","S05-01:long_report"]}</x:v>
      </x:c>
      <x:c r="F1287" s="10" t="n">
        <x:f>IF(D1287=E1287,1,0)</x:f>
        <x:v>1</x:v>
      </x:c>
      <x:c r="G1287" s="10" t="str">
        <x:v>FIXED_CORRECT_SEMANTIC_FIXTURE; not model accuracy evidence</x:v>
      </x:c>
    </x:row>
    <x:row r="1288" ht="145" customHeight="1">
      <x:c r="A1288" s="10" t="str">
        <x:v>D-A</x:v>
      </x:c>
      <x:c r="B1288" s="10" t="str">
        <x:v>DELIVERY</x:v>
      </x:c>
      <x:c r="C1288" s="10" t="str">
        <x:v>DELIVERY:S05-02:input</x:v>
      </x:c>
      <x:c r="D1288" s="10" t="str">
        <x:v>{"conditions":{"question_first":true,"resume_from_played_position":true},"mail_send_authorized":false,"operation":"resume","preserve_unrelated_tasks":true,"targets":["S05-02:question","S05-02:long_report"]}</x:v>
      </x:c>
      <x:c r="E1288" s="10" t="str">
        <x:v>{"conditions":{"question_first":true,"resume_from_played_position":true},"mail_send_authorized":false,"operation":"resume","preserve_unrelated_tasks":true,"targets":["S05-02:question","S05-02:long_report"]}</x:v>
      </x:c>
      <x:c r="F1288" s="10" t="n">
        <x:f>IF(D1288=E1288,1,0)</x:f>
        <x:v>1</x:v>
      </x:c>
      <x:c r="G1288" s="10" t="str">
        <x:v>FIXED_CORRECT_SEMANTIC_FIXTURE; not model accuracy evidence</x:v>
      </x:c>
    </x:row>
    <x:row r="1289" ht="145" customHeight="1">
      <x:c r="A1289" s="10" t="str">
        <x:v>D-B</x:v>
      </x:c>
      <x:c r="B1289" s="10" t="str">
        <x:v>DELIVERY</x:v>
      </x:c>
      <x:c r="C1289" s="10" t="str">
        <x:v>DELIVERY:S05-02:input</x:v>
      </x:c>
      <x:c r="D1289" s="10" t="str">
        <x:v>{"conditions":{"question_first":true,"resume_from_played_position":true},"mail_send_authorized":false,"operation":"resume","preserve_unrelated_tasks":true,"targets":["S05-02:question","S05-02:long_report"]}</x:v>
      </x:c>
      <x:c r="E1289" s="10" t="str">
        <x:v>{"conditions":{"question_first":true,"resume_from_played_position":true},"mail_send_authorized":false,"operation":"resume","preserve_unrelated_tasks":true,"targets":["S05-02:question","S05-02:long_report"]}</x:v>
      </x:c>
      <x:c r="F1289" s="10" t="n">
        <x:f>IF(D1289=E1289,1,0)</x:f>
        <x:v>1</x:v>
      </x:c>
      <x:c r="G1289" s="10" t="str">
        <x:v>FIXED_CORRECT_SEMANTIC_FIXTURE; not model accuracy evidence</x:v>
      </x:c>
    </x:row>
    <x:row r="1290" ht="145" customHeight="1">
      <x:c r="A1290" s="10" t="str">
        <x:v>D-A</x:v>
      </x:c>
      <x:c r="B1290" s="10" t="str">
        <x:v>DELIVERY</x:v>
      </x:c>
      <x:c r="C1290" s="10" t="str">
        <x:v>DELIVERY:S05-03:input</x:v>
      </x:c>
      <x:c r="D1290" s="10" t="str">
        <x:v>{"conditions":{"question_first":true,"resume_from_played_position":true},"mail_send_authorized":false,"operation":"resume","preserve_unrelated_tasks":true,"targets":["S05-03:question","S05-03:long_report"]}</x:v>
      </x:c>
      <x:c r="E1290" s="10" t="str">
        <x:v>{"conditions":{"question_first":true,"resume_from_played_position":true},"mail_send_authorized":false,"operation":"resume","preserve_unrelated_tasks":true,"targets":["S05-03:question","S05-03:long_report"]}</x:v>
      </x:c>
      <x:c r="F1290" s="10" t="n">
        <x:f>IF(D1290=E1290,1,0)</x:f>
        <x:v>1</x:v>
      </x:c>
      <x:c r="G1290" s="10" t="str">
        <x:v>FIXED_CORRECT_SEMANTIC_FIXTURE; not model accuracy evidence</x:v>
      </x:c>
    </x:row>
    <x:row r="1291" ht="145" customHeight="1">
      <x:c r="A1291" s="10" t="str">
        <x:v>D-B</x:v>
      </x:c>
      <x:c r="B1291" s="10" t="str">
        <x:v>DELIVERY</x:v>
      </x:c>
      <x:c r="C1291" s="10" t="str">
        <x:v>DELIVERY:S05-03:input</x:v>
      </x:c>
      <x:c r="D1291" s="10" t="str">
        <x:v>{"conditions":{"question_first":true,"resume_from_played_position":true},"mail_send_authorized":false,"operation":"resume","preserve_unrelated_tasks":true,"targets":["S05-03:question","S05-03:long_report"]}</x:v>
      </x:c>
      <x:c r="E1291" s="10" t="str">
        <x:v>{"conditions":{"question_first":true,"resume_from_played_position":true},"mail_send_authorized":false,"operation":"resume","preserve_unrelated_tasks":true,"targets":["S05-03:question","S05-03:long_report"]}</x:v>
      </x:c>
      <x:c r="F1291" s="10" t="n">
        <x:f>IF(D1291=E1291,1,0)</x:f>
        <x:v>1</x:v>
      </x:c>
      <x:c r="G1291" s="10" t="str">
        <x:v>FIXED_CORRECT_SEMANTIC_FIXTURE; not model accuracy evidence</x:v>
      </x:c>
    </x:row>
    <x:row r="1292" ht="145" customHeight="1">
      <x:c r="A1292" s="10" t="str">
        <x:v>D-A</x:v>
      </x:c>
      <x:c r="B1292" s="10" t="str">
        <x:v>DELIVERY</x:v>
      </x:c>
      <x:c r="C1292" s="10" t="str">
        <x:v>DELIVERY:S05-04:input</x:v>
      </x:c>
      <x:c r="D1292" s="10" t="str">
        <x:v>{"conditions":{"question_first":true,"resume_from_played_position":true},"mail_send_authorized":false,"operation":"resume","preserve_unrelated_tasks":true,"targets":["S05-04:question","S05-04:long_report"]}</x:v>
      </x:c>
      <x:c r="E1292" s="10" t="str">
        <x:v>{"conditions":{"question_first":true,"resume_from_played_position":true},"mail_send_authorized":false,"operation":"resume","preserve_unrelated_tasks":true,"targets":["S05-04:question","S05-04:long_report"]}</x:v>
      </x:c>
      <x:c r="F1292" s="10" t="n">
        <x:f>IF(D1292=E1292,1,0)</x:f>
        <x:v>1</x:v>
      </x:c>
      <x:c r="G1292" s="10" t="str">
        <x:v>FIXED_CORRECT_SEMANTIC_FIXTURE; not model accuracy evidence</x:v>
      </x:c>
    </x:row>
    <x:row r="1293" ht="145" customHeight="1">
      <x:c r="A1293" s="10" t="str">
        <x:v>D-B</x:v>
      </x:c>
      <x:c r="B1293" s="10" t="str">
        <x:v>DELIVERY</x:v>
      </x:c>
      <x:c r="C1293" s="10" t="str">
        <x:v>DELIVERY:S05-04:input</x:v>
      </x:c>
      <x:c r="D1293" s="10" t="str">
        <x:v>{"conditions":{"question_first":true,"resume_from_played_position":true},"mail_send_authorized":false,"operation":"resume","preserve_unrelated_tasks":true,"targets":["S05-04:question","S05-04:long_report"]}</x:v>
      </x:c>
      <x:c r="E1293" s="10" t="str">
        <x:v>{"conditions":{"question_first":true,"resume_from_played_position":true},"mail_send_authorized":false,"operation":"resume","preserve_unrelated_tasks":true,"targets":["S05-04:question","S05-04:long_report"]}</x:v>
      </x:c>
      <x:c r="F1293" s="10" t="n">
        <x:f>IF(D1293=E1293,1,0)</x:f>
        <x:v>1</x:v>
      </x:c>
      <x:c r="G1293" s="10" t="str">
        <x:v>FIXED_CORRECT_SEMANTIC_FIXTURE; not model accuracy evidence</x:v>
      </x:c>
    </x:row>
    <x:row r="1294" ht="145" customHeight="1">
      <x:c r="A1294" s="10" t="str">
        <x:v>D-A</x:v>
      </x:c>
      <x:c r="B1294" s="10" t="str">
        <x:v>DELIVERY</x:v>
      </x:c>
      <x:c r="C1294" s="10" t="str">
        <x:v>DELIVERY:S05-05:input</x:v>
      </x:c>
      <x:c r="D1294" s="10" t="str">
        <x:v>{"conditions":{"question_first":true,"resume_from_played_position":true},"mail_send_authorized":false,"operation":"resume","preserve_unrelated_tasks":true,"targets":["S05-05:question","S05-05:long_report"]}</x:v>
      </x:c>
      <x:c r="E1294" s="10" t="str">
        <x:v>{"conditions":{"question_first":true,"resume_from_played_position":true},"mail_send_authorized":false,"operation":"resume","preserve_unrelated_tasks":true,"targets":["S05-05:question","S05-05:long_report"]}</x:v>
      </x:c>
      <x:c r="F1294" s="10" t="n">
        <x:f>IF(D1294=E1294,1,0)</x:f>
        <x:v>1</x:v>
      </x:c>
      <x:c r="G1294" s="10" t="str">
        <x:v>FIXED_CORRECT_SEMANTIC_FIXTURE; not model accuracy evidence</x:v>
      </x:c>
    </x:row>
    <x:row r="1295" ht="145" customHeight="1">
      <x:c r="A1295" s="10" t="str">
        <x:v>D-B</x:v>
      </x:c>
      <x:c r="B1295" s="10" t="str">
        <x:v>DELIVERY</x:v>
      </x:c>
      <x:c r="C1295" s="10" t="str">
        <x:v>DELIVERY:S05-05:input</x:v>
      </x:c>
      <x:c r="D1295" s="10" t="str">
        <x:v>{"conditions":{"question_first":true,"resume_from_played_position":true},"mail_send_authorized":false,"operation":"resume","preserve_unrelated_tasks":true,"targets":["S05-05:question","S05-05:long_report"]}</x:v>
      </x:c>
      <x:c r="E1295" s="10" t="str">
        <x:v>{"conditions":{"question_first":true,"resume_from_played_position":true},"mail_send_authorized":false,"operation":"resume","preserve_unrelated_tasks":true,"targets":["S05-05:question","S05-05:long_report"]}</x:v>
      </x:c>
      <x:c r="F1295" s="10" t="n">
        <x:f>IF(D1295=E1295,1,0)</x:f>
        <x:v>1</x:v>
      </x:c>
      <x:c r="G1295" s="10" t="str">
        <x:v>FIXED_CORRECT_SEMANTIC_FIXTURE; not model accuracy evidence</x:v>
      </x:c>
    </x:row>
    <x:row r="1296" ht="145" customHeight="1">
      <x:c r="A1296" s="10" t="str">
        <x:v>D-A</x:v>
      </x:c>
      <x:c r="B1296" s="10" t="str">
        <x:v>DELIVERY</x:v>
      </x:c>
      <x:c r="C1296" s="10" t="str">
        <x:v>DELIVERY:S05-06:input</x:v>
      </x:c>
      <x:c r="D1296" s="10" t="str">
        <x:v>{"conditions":{"question_first":true,"resume_from_played_position":true},"mail_send_authorized":false,"operation":"resume","preserve_unrelated_tasks":true,"targets":["S05-06:question","S05-06:long_report"]}</x:v>
      </x:c>
      <x:c r="E1296" s="10" t="str">
        <x:v>{"conditions":{"question_first":true,"resume_from_played_position":true},"mail_send_authorized":false,"operation":"resume","preserve_unrelated_tasks":true,"targets":["S05-06:question","S05-06:long_report"]}</x:v>
      </x:c>
      <x:c r="F1296" s="10" t="n">
        <x:f>IF(D1296=E1296,1,0)</x:f>
        <x:v>1</x:v>
      </x:c>
      <x:c r="G1296" s="10" t="str">
        <x:v>FIXED_CORRECT_SEMANTIC_FIXTURE; not model accuracy evidence</x:v>
      </x:c>
    </x:row>
    <x:row r="1297" ht="145" customHeight="1">
      <x:c r="A1297" s="10" t="str">
        <x:v>D-B</x:v>
      </x:c>
      <x:c r="B1297" s="10" t="str">
        <x:v>DELIVERY</x:v>
      </x:c>
      <x:c r="C1297" s="10" t="str">
        <x:v>DELIVERY:S05-06:input</x:v>
      </x:c>
      <x:c r="D1297" s="10" t="str">
        <x:v>{"conditions":{"question_first":true,"resume_from_played_position":true},"mail_send_authorized":false,"operation":"resume","preserve_unrelated_tasks":true,"targets":["S05-06:question","S05-06:long_report"]}</x:v>
      </x:c>
      <x:c r="E1297" s="10" t="str">
        <x:v>{"conditions":{"question_first":true,"resume_from_played_position":true},"mail_send_authorized":false,"operation":"resume","preserve_unrelated_tasks":true,"targets":["S05-06:question","S05-06:long_report"]}</x:v>
      </x:c>
      <x:c r="F1297" s="10" t="n">
        <x:f>IF(D1297=E1297,1,0)</x:f>
        <x:v>1</x:v>
      </x:c>
      <x:c r="G1297" s="10" t="str">
        <x:v>FIXED_CORRECT_SEMANTIC_FIXTURE; not model accuracy evidence</x:v>
      </x:c>
    </x:row>
    <x:row r="1298" ht="145" customHeight="1">
      <x:c r="A1298" s="10" t="str">
        <x:v>D-A</x:v>
      </x:c>
      <x:c r="B1298" s="10" t="str">
        <x:v>DELIVERY</x:v>
      </x:c>
      <x:c r="C1298" s="10" t="str">
        <x:v>DELIVERY:S05-07:input</x:v>
      </x:c>
      <x:c r="D1298" s="10" t="str">
        <x:v>{"conditions":{"question_first":true,"resume_from_played_position":true},"mail_send_authorized":false,"operation":"resume","preserve_unrelated_tasks":true,"targets":["S05-07:question","S05-07:long_report"]}</x:v>
      </x:c>
      <x:c r="E1298" s="10" t="str">
        <x:v>{"conditions":{"question_first":true,"resume_from_played_position":true},"mail_send_authorized":false,"operation":"resume","preserve_unrelated_tasks":true,"targets":["S05-07:question","S05-07:long_report"]}</x:v>
      </x:c>
      <x:c r="F1298" s="10" t="n">
        <x:f>IF(D1298=E1298,1,0)</x:f>
        <x:v>1</x:v>
      </x:c>
      <x:c r="G1298" s="10" t="str">
        <x:v>FIXED_CORRECT_SEMANTIC_FIXTURE; not model accuracy evidence</x:v>
      </x:c>
    </x:row>
    <x:row r="1299" ht="145" customHeight="1">
      <x:c r="A1299" s="10" t="str">
        <x:v>D-B</x:v>
      </x:c>
      <x:c r="B1299" s="10" t="str">
        <x:v>DELIVERY</x:v>
      </x:c>
      <x:c r="C1299" s="10" t="str">
        <x:v>DELIVERY:S05-07:input</x:v>
      </x:c>
      <x:c r="D1299" s="10" t="str">
        <x:v>{"conditions":{"question_first":true,"resume_from_played_position":true},"mail_send_authorized":false,"operation":"resume","preserve_unrelated_tasks":true,"targets":["S05-07:question","S05-07:long_report"]}</x:v>
      </x:c>
      <x:c r="E1299" s="10" t="str">
        <x:v>{"conditions":{"question_first":true,"resume_from_played_position":true},"mail_send_authorized":false,"operation":"resume","preserve_unrelated_tasks":true,"targets":["S05-07:question","S05-07:long_report"]}</x:v>
      </x:c>
      <x:c r="F1299" s="10" t="n">
        <x:f>IF(D1299=E1299,1,0)</x:f>
        <x:v>1</x:v>
      </x:c>
      <x:c r="G1299" s="10" t="str">
        <x:v>FIXED_CORRECT_SEMANTIC_FIXTURE; not model accuracy evidence</x:v>
      </x:c>
    </x:row>
    <x:row r="1300" ht="145" customHeight="1">
      <x:c r="A1300" s="10" t="str">
        <x:v>D-A</x:v>
      </x:c>
      <x:c r="B1300" s="10" t="str">
        <x:v>DELIVERY</x:v>
      </x:c>
      <x:c r="C1300" s="10" t="str">
        <x:v>DELIVERY:S05-08:input</x:v>
      </x:c>
      <x:c r="D1300" s="10" t="str">
        <x:v>{"conditions":{"question_first":true,"resume_from_played_position":true},"mail_send_authorized":false,"operation":"resume","preserve_unrelated_tasks":true,"targets":["S05-08:question","S05-08:long_report"]}</x:v>
      </x:c>
      <x:c r="E1300" s="10" t="str">
        <x:v>{"conditions":{"question_first":true,"resume_from_played_position":true},"mail_send_authorized":false,"operation":"resume","preserve_unrelated_tasks":true,"targets":["S05-08:question","S05-08:long_report"]}</x:v>
      </x:c>
      <x:c r="F1300" s="10" t="n">
        <x:f>IF(D1300=E1300,1,0)</x:f>
        <x:v>1</x:v>
      </x:c>
      <x:c r="G1300" s="10" t="str">
        <x:v>FIXED_CORRECT_SEMANTIC_FIXTURE; not model accuracy evidence</x:v>
      </x:c>
    </x:row>
    <x:row r="1301" ht="145" customHeight="1">
      <x:c r="A1301" s="10" t="str">
        <x:v>D-B</x:v>
      </x:c>
      <x:c r="B1301" s="10" t="str">
        <x:v>DELIVERY</x:v>
      </x:c>
      <x:c r="C1301" s="10" t="str">
        <x:v>DELIVERY:S05-08:input</x:v>
      </x:c>
      <x:c r="D1301" s="10" t="str">
        <x:v>{"conditions":{"question_first":true,"resume_from_played_position":true},"mail_send_authorized":false,"operation":"resume","preserve_unrelated_tasks":true,"targets":["S05-08:question","S05-08:long_report"]}</x:v>
      </x:c>
      <x:c r="E1301" s="10" t="str">
        <x:v>{"conditions":{"question_first":true,"resume_from_played_position":true},"mail_send_authorized":false,"operation":"resume","preserve_unrelated_tasks":true,"targets":["S05-08:question","S05-08:long_report"]}</x:v>
      </x:c>
      <x:c r="F1301" s="10" t="n">
        <x:f>IF(D1301=E1301,1,0)</x:f>
        <x:v>1</x:v>
      </x:c>
      <x:c r="G1301" s="10" t="str">
        <x:v>FIXED_CORRECT_SEMANTIC_FIXTURE; not model accuracy evidence</x:v>
      </x:c>
    </x:row>
    <x:row r="1302" ht="145" customHeight="1">
      <x:c r="A1302" s="10" t="str">
        <x:v>D-A</x:v>
      </x:c>
      <x:c r="B1302" s="10" t="str">
        <x:v>DELIVERY</x:v>
      </x:c>
      <x:c r="C1302" s="10" t="str">
        <x:v>DELIVERY:S05-09:input</x:v>
      </x:c>
      <x:c r="D1302" s="10" t="str">
        <x:v>{"conditions":{"question_first":true,"resume_from_played_position":true},"mail_send_authorized":false,"operation":"resume","preserve_unrelated_tasks":true,"targets":["S05-09:question","S05-09:long_report"]}</x:v>
      </x:c>
      <x:c r="E1302" s="10" t="str">
        <x:v>{"conditions":{"question_first":true,"resume_from_played_position":true},"mail_send_authorized":false,"operation":"resume","preserve_unrelated_tasks":true,"targets":["S05-09:question","S05-09:long_report"]}</x:v>
      </x:c>
      <x:c r="F1302" s="10" t="n">
        <x:f>IF(D1302=E1302,1,0)</x:f>
        <x:v>1</x:v>
      </x:c>
      <x:c r="G1302" s="10" t="str">
        <x:v>FIXED_CORRECT_SEMANTIC_FIXTURE; not model accuracy evidence</x:v>
      </x:c>
    </x:row>
    <x:row r="1303" ht="145" customHeight="1">
      <x:c r="A1303" s="10" t="str">
        <x:v>D-B</x:v>
      </x:c>
      <x:c r="B1303" s="10" t="str">
        <x:v>DELIVERY</x:v>
      </x:c>
      <x:c r="C1303" s="10" t="str">
        <x:v>DELIVERY:S05-09:input</x:v>
      </x:c>
      <x:c r="D1303" s="10" t="str">
        <x:v>{"conditions":{"question_first":true,"resume_from_played_position":true},"mail_send_authorized":false,"operation":"resume","preserve_unrelated_tasks":true,"targets":["S05-09:question","S05-09:long_report"]}</x:v>
      </x:c>
      <x:c r="E1303" s="10" t="str">
        <x:v>{"conditions":{"question_first":true,"resume_from_played_position":true},"mail_send_authorized":false,"operation":"resume","preserve_unrelated_tasks":true,"targets":["S05-09:question","S05-09:long_report"]}</x:v>
      </x:c>
      <x:c r="F1303" s="10" t="n">
        <x:f>IF(D1303=E1303,1,0)</x:f>
        <x:v>1</x:v>
      </x:c>
      <x:c r="G1303" s="10" t="str">
        <x:v>FIXED_CORRECT_SEMANTIC_FIXTURE; not model accuracy evidence</x:v>
      </x:c>
    </x:row>
    <x:row r="1304" ht="145" customHeight="1">
      <x:c r="A1304" s="10" t="str">
        <x:v>D-A</x:v>
      </x:c>
      <x:c r="B1304" s="10" t="str">
        <x:v>DELIVERY</x:v>
      </x:c>
      <x:c r="C1304" s="10" t="str">
        <x:v>DELIVERY:S05-10:input</x:v>
      </x:c>
      <x:c r="D1304" s="10" t="str">
        <x:v>{"conditions":{"question_first":true,"resume_from_played_position":true},"mail_send_authorized":false,"operation":"resume","preserve_unrelated_tasks":true,"targets":["S05-10:question","S05-10:long_report"]}</x:v>
      </x:c>
      <x:c r="E1304" s="10" t="str">
        <x:v>{"conditions":{"question_first":true,"resume_from_played_position":true},"mail_send_authorized":false,"operation":"resume","preserve_unrelated_tasks":true,"targets":["S05-10:question","S05-10:long_report"]}</x:v>
      </x:c>
      <x:c r="F1304" s="10" t="n">
        <x:f>IF(D1304=E1304,1,0)</x:f>
        <x:v>1</x:v>
      </x:c>
      <x:c r="G1304" s="10" t="str">
        <x:v>FIXED_CORRECT_SEMANTIC_FIXTURE; not model accuracy evidence</x:v>
      </x:c>
    </x:row>
    <x:row r="1305" ht="145" customHeight="1">
      <x:c r="A1305" s="10" t="str">
        <x:v>D-B</x:v>
      </x:c>
      <x:c r="B1305" s="10" t="str">
        <x:v>DELIVERY</x:v>
      </x:c>
      <x:c r="C1305" s="10" t="str">
        <x:v>DELIVERY:S05-10:input</x:v>
      </x:c>
      <x:c r="D1305" s="10" t="str">
        <x:v>{"conditions":{"question_first":true,"resume_from_played_position":true},"mail_send_authorized":false,"operation":"resume","preserve_unrelated_tasks":true,"targets":["S05-10:question","S05-10:long_report"]}</x:v>
      </x:c>
      <x:c r="E1305" s="10" t="str">
        <x:v>{"conditions":{"question_first":true,"resume_from_played_position":true},"mail_send_authorized":false,"operation":"resume","preserve_unrelated_tasks":true,"targets":["S05-10:question","S05-10:long_report"]}</x:v>
      </x:c>
      <x:c r="F1305" s="10" t="n">
        <x:f>IF(D1305=E1305,1,0)</x:f>
        <x:v>1</x:v>
      </x:c>
      <x:c r="G1305" s="10" t="str">
        <x:v>FIXED_CORRECT_SEMANTIC_FIXTURE; not model accuracy evidence</x:v>
      </x:c>
    </x:row>
    <x:row r="1306" ht="145" customHeight="1">
      <x:c r="A1306" s="10" t="str">
        <x:v>D-A</x:v>
      </x:c>
      <x:c r="B1306" s="10" t="str">
        <x:v>DELIVERY</x:v>
      </x:c>
      <x:c r="C1306" s="10" t="str">
        <x:v>DELIVERY:S06-01:input</x:v>
      </x:c>
      <x:c r="D1306" s="10" t="str">
        <x:v>{"conditions":{"resume_from_played_position":true},"mail_send_authorized":false,"operation":"false_trigger","preserve_unrelated_tasks":true,"targets":["S06-01:explanation"]}</x:v>
      </x:c>
      <x:c r="E1306" s="10" t="str">
        <x:v>{"conditions":{"resume_from_played_position":true},"mail_send_authorized":false,"operation":"false_trigger","preserve_unrelated_tasks":true,"targets":["S06-01:explanation"]}</x:v>
      </x:c>
      <x:c r="F1306" s="10" t="n">
        <x:f>IF(D1306=E1306,1,0)</x:f>
        <x:v>1</x:v>
      </x:c>
      <x:c r="G1306" s="10" t="str">
        <x:v>FIXED_CORRECT_SEMANTIC_FIXTURE; not model accuracy evidence</x:v>
      </x:c>
    </x:row>
    <x:row r="1307" ht="145" customHeight="1">
      <x:c r="A1307" s="10" t="str">
        <x:v>D-B</x:v>
      </x:c>
      <x:c r="B1307" s="10" t="str">
        <x:v>DELIVERY</x:v>
      </x:c>
      <x:c r="C1307" s="10" t="str">
        <x:v>DELIVERY:S06-01:input</x:v>
      </x:c>
      <x:c r="D1307" s="10" t="str">
        <x:v>{"conditions":{"resume_from_played_position":true},"mail_send_authorized":false,"operation":"false_trigger","preserve_unrelated_tasks":true,"targets":["S06-01:explanation"]}</x:v>
      </x:c>
      <x:c r="E1307" s="10" t="str">
        <x:v>{"conditions":{"resume_from_played_position":true},"mail_send_authorized":false,"operation":"false_trigger","preserve_unrelated_tasks":true,"targets":["S06-01:explanation"]}</x:v>
      </x:c>
      <x:c r="F1307" s="10" t="n">
        <x:f>IF(D1307=E1307,1,0)</x:f>
        <x:v>1</x:v>
      </x:c>
      <x:c r="G1307" s="10" t="str">
        <x:v>FIXED_CORRECT_SEMANTIC_FIXTURE; not model accuracy evidence</x:v>
      </x:c>
    </x:row>
    <x:row r="1308" ht="145" customHeight="1">
      <x:c r="A1308" s="10" t="str">
        <x:v>D-A</x:v>
      </x:c>
      <x:c r="B1308" s="10" t="str">
        <x:v>DELIVERY</x:v>
      </x:c>
      <x:c r="C1308" s="10" t="str">
        <x:v>DELIVERY:S06-02:input</x:v>
      </x:c>
      <x:c r="D1308" s="10" t="str">
        <x:v>{"conditions":{"resume_from_played_position":true},"mail_send_authorized":false,"operation":"false_trigger","preserve_unrelated_tasks":true,"targets":["S06-02:explanation"]}</x:v>
      </x:c>
      <x:c r="E1308" s="10" t="str">
        <x:v>{"conditions":{"resume_from_played_position":true},"mail_send_authorized":false,"operation":"false_trigger","preserve_unrelated_tasks":true,"targets":["S06-02:explanation"]}</x:v>
      </x:c>
      <x:c r="F1308" s="10" t="n">
        <x:f>IF(D1308=E1308,1,0)</x:f>
        <x:v>1</x:v>
      </x:c>
      <x:c r="G1308" s="10" t="str">
        <x:v>FIXED_CORRECT_SEMANTIC_FIXTURE; not model accuracy evidence</x:v>
      </x:c>
    </x:row>
    <x:row r="1309" ht="145" customHeight="1">
      <x:c r="A1309" s="10" t="str">
        <x:v>D-B</x:v>
      </x:c>
      <x:c r="B1309" s="10" t="str">
        <x:v>DELIVERY</x:v>
      </x:c>
      <x:c r="C1309" s="10" t="str">
        <x:v>DELIVERY:S06-02:input</x:v>
      </x:c>
      <x:c r="D1309" s="10" t="str">
        <x:v>{"conditions":{"resume_from_played_position":true},"mail_send_authorized":false,"operation":"false_trigger","preserve_unrelated_tasks":true,"targets":["S06-02:explanation"]}</x:v>
      </x:c>
      <x:c r="E1309" s="10" t="str">
        <x:v>{"conditions":{"resume_from_played_position":true},"mail_send_authorized":false,"operation":"false_trigger","preserve_unrelated_tasks":true,"targets":["S06-02:explanation"]}</x:v>
      </x:c>
      <x:c r="F1309" s="10" t="n">
        <x:f>IF(D1309=E1309,1,0)</x:f>
        <x:v>1</x:v>
      </x:c>
      <x:c r="G1309" s="10" t="str">
        <x:v>FIXED_CORRECT_SEMANTIC_FIXTURE; not model accuracy evidence</x:v>
      </x:c>
    </x:row>
    <x:row r="1310" ht="145" customHeight="1">
      <x:c r="A1310" s="10" t="str">
        <x:v>D-A</x:v>
      </x:c>
      <x:c r="B1310" s="10" t="str">
        <x:v>DELIVERY</x:v>
      </x:c>
      <x:c r="C1310" s="10" t="str">
        <x:v>DELIVERY:S06-03:input</x:v>
      </x:c>
      <x:c r="D1310" s="10" t="str">
        <x:v>{"conditions":{"resume_from_played_position":true},"mail_send_authorized":false,"operation":"false_trigger","preserve_unrelated_tasks":true,"targets":["S06-03:explanation"]}</x:v>
      </x:c>
      <x:c r="E1310" s="10" t="str">
        <x:v>{"conditions":{"resume_from_played_position":true},"mail_send_authorized":false,"operation":"false_trigger","preserve_unrelated_tasks":true,"targets":["S06-03:explanation"]}</x:v>
      </x:c>
      <x:c r="F1310" s="10" t="n">
        <x:f>IF(D1310=E1310,1,0)</x:f>
        <x:v>1</x:v>
      </x:c>
      <x:c r="G1310" s="10" t="str">
        <x:v>FIXED_CORRECT_SEMANTIC_FIXTURE; not model accuracy evidence</x:v>
      </x:c>
    </x:row>
    <x:row r="1311" ht="145" customHeight="1">
      <x:c r="A1311" s="10" t="str">
        <x:v>D-B</x:v>
      </x:c>
      <x:c r="B1311" s="10" t="str">
        <x:v>DELIVERY</x:v>
      </x:c>
      <x:c r="C1311" s="10" t="str">
        <x:v>DELIVERY:S06-03:input</x:v>
      </x:c>
      <x:c r="D1311" s="10" t="str">
        <x:v>{"conditions":{"resume_from_played_position":true},"mail_send_authorized":false,"operation":"false_trigger","preserve_unrelated_tasks":true,"targets":["S06-03:explanation"]}</x:v>
      </x:c>
      <x:c r="E1311" s="10" t="str">
        <x:v>{"conditions":{"resume_from_played_position":true},"mail_send_authorized":false,"operation":"false_trigger","preserve_unrelated_tasks":true,"targets":["S06-03:explanation"]}</x:v>
      </x:c>
      <x:c r="F1311" s="10" t="n">
        <x:f>IF(D1311=E1311,1,0)</x:f>
        <x:v>1</x:v>
      </x:c>
      <x:c r="G1311" s="10" t="str">
        <x:v>FIXED_CORRECT_SEMANTIC_FIXTURE; not model accuracy evidence</x:v>
      </x:c>
    </x:row>
    <x:row r="1312" ht="145" customHeight="1">
      <x:c r="A1312" s="10" t="str">
        <x:v>D-A</x:v>
      </x:c>
      <x:c r="B1312" s="10" t="str">
        <x:v>DELIVERY</x:v>
      </x:c>
      <x:c r="C1312" s="10" t="str">
        <x:v>DELIVERY:S06-04:input</x:v>
      </x:c>
      <x:c r="D1312" s="10" t="str">
        <x:v>{"conditions":{"resume_from_played_position":true},"mail_send_authorized":false,"operation":"false_trigger","preserve_unrelated_tasks":true,"targets":["S06-04:explanation"]}</x:v>
      </x:c>
      <x:c r="E1312" s="10" t="str">
        <x:v>{"conditions":{"resume_from_played_position":true},"mail_send_authorized":false,"operation":"false_trigger","preserve_unrelated_tasks":true,"targets":["S06-04:explanation"]}</x:v>
      </x:c>
      <x:c r="F1312" s="10" t="n">
        <x:f>IF(D1312=E1312,1,0)</x:f>
        <x:v>1</x:v>
      </x:c>
      <x:c r="G1312" s="10" t="str">
        <x:v>FIXED_CORRECT_SEMANTIC_FIXTURE; not model accuracy evidence</x:v>
      </x:c>
    </x:row>
    <x:row r="1313" ht="145" customHeight="1">
      <x:c r="A1313" s="10" t="str">
        <x:v>D-B</x:v>
      </x:c>
      <x:c r="B1313" s="10" t="str">
        <x:v>DELIVERY</x:v>
      </x:c>
      <x:c r="C1313" s="10" t="str">
        <x:v>DELIVERY:S06-04:input</x:v>
      </x:c>
      <x:c r="D1313" s="10" t="str">
        <x:v>{"conditions":{"resume_from_played_position":true},"mail_send_authorized":false,"operation":"false_trigger","preserve_unrelated_tasks":true,"targets":["S06-04:explanation"]}</x:v>
      </x:c>
      <x:c r="E1313" s="10" t="str">
        <x:v>{"conditions":{"resume_from_played_position":true},"mail_send_authorized":false,"operation":"false_trigger","preserve_unrelated_tasks":true,"targets":["S06-04:explanation"]}</x:v>
      </x:c>
      <x:c r="F1313" s="10" t="n">
        <x:f>IF(D1313=E1313,1,0)</x:f>
        <x:v>1</x:v>
      </x:c>
      <x:c r="G1313" s="10" t="str">
        <x:v>FIXED_CORRECT_SEMANTIC_FIXTURE; not model accuracy evidence</x:v>
      </x:c>
    </x:row>
    <x:row r="1314" ht="145" customHeight="1">
      <x:c r="A1314" s="10" t="str">
        <x:v>D-A</x:v>
      </x:c>
      <x:c r="B1314" s="10" t="str">
        <x:v>DELIVERY</x:v>
      </x:c>
      <x:c r="C1314" s="10" t="str">
        <x:v>DELIVERY:S06-05:input</x:v>
      </x:c>
      <x:c r="D1314" s="10" t="str">
        <x:v>{"conditions":{"resume_from_played_position":true},"mail_send_authorized":false,"operation":"false_trigger","preserve_unrelated_tasks":true,"targets":["S06-05:explanation"]}</x:v>
      </x:c>
      <x:c r="E1314" s="10" t="str">
        <x:v>{"conditions":{"resume_from_played_position":true},"mail_send_authorized":false,"operation":"false_trigger","preserve_unrelated_tasks":true,"targets":["S06-05:explanation"]}</x:v>
      </x:c>
      <x:c r="F1314" s="10" t="n">
        <x:f>IF(D1314=E1314,1,0)</x:f>
        <x:v>1</x:v>
      </x:c>
      <x:c r="G1314" s="10" t="str">
        <x:v>FIXED_CORRECT_SEMANTIC_FIXTURE; not model accuracy evidence</x:v>
      </x:c>
    </x:row>
    <x:row r="1315" ht="145" customHeight="1">
      <x:c r="A1315" s="10" t="str">
        <x:v>D-B</x:v>
      </x:c>
      <x:c r="B1315" s="10" t="str">
        <x:v>DELIVERY</x:v>
      </x:c>
      <x:c r="C1315" s="10" t="str">
        <x:v>DELIVERY:S06-05:input</x:v>
      </x:c>
      <x:c r="D1315" s="10" t="str">
        <x:v>{"conditions":{"resume_from_played_position":true},"mail_send_authorized":false,"operation":"false_trigger","preserve_unrelated_tasks":true,"targets":["S06-05:explanation"]}</x:v>
      </x:c>
      <x:c r="E1315" s="10" t="str">
        <x:v>{"conditions":{"resume_from_played_position":true},"mail_send_authorized":false,"operation":"false_trigger","preserve_unrelated_tasks":true,"targets":["S06-05:explanation"]}</x:v>
      </x:c>
      <x:c r="F1315" s="10" t="n">
        <x:f>IF(D1315=E1315,1,0)</x:f>
        <x:v>1</x:v>
      </x:c>
      <x:c r="G1315" s="10" t="str">
        <x:v>FIXED_CORRECT_SEMANTIC_FIXTURE; not model accuracy evidence</x:v>
      </x:c>
    </x:row>
    <x:row r="1316" ht="145" customHeight="1">
      <x:c r="A1316" s="10" t="str">
        <x:v>D-A</x:v>
      </x:c>
      <x:c r="B1316" s="10" t="str">
        <x:v>DELIVERY</x:v>
      </x:c>
      <x:c r="C1316" s="10" t="str">
        <x:v>DELIVERY:S06-06:input</x:v>
      </x:c>
      <x:c r="D1316" s="10" t="str">
        <x:v>{"conditions":{"resume_from_played_position":true},"mail_send_authorized":false,"operation":"false_trigger","preserve_unrelated_tasks":true,"targets":["S06-06:explanation"]}</x:v>
      </x:c>
      <x:c r="E1316" s="10" t="str">
        <x:v>{"conditions":{"resume_from_played_position":true},"mail_send_authorized":false,"operation":"false_trigger","preserve_unrelated_tasks":true,"targets":["S06-06:explanation"]}</x:v>
      </x:c>
      <x:c r="F1316" s="10" t="n">
        <x:f>IF(D1316=E1316,1,0)</x:f>
        <x:v>1</x:v>
      </x:c>
      <x:c r="G1316" s="10" t="str">
        <x:v>FIXED_CORRECT_SEMANTIC_FIXTURE; not model accuracy evidence</x:v>
      </x:c>
    </x:row>
    <x:row r="1317" ht="145" customHeight="1">
      <x:c r="A1317" s="10" t="str">
        <x:v>D-B</x:v>
      </x:c>
      <x:c r="B1317" s="10" t="str">
        <x:v>DELIVERY</x:v>
      </x:c>
      <x:c r="C1317" s="10" t="str">
        <x:v>DELIVERY:S06-06:input</x:v>
      </x:c>
      <x:c r="D1317" s="10" t="str">
        <x:v>{"conditions":{"resume_from_played_position":true},"mail_send_authorized":false,"operation":"false_trigger","preserve_unrelated_tasks":true,"targets":["S06-06:explanation"]}</x:v>
      </x:c>
      <x:c r="E1317" s="10" t="str">
        <x:v>{"conditions":{"resume_from_played_position":true},"mail_send_authorized":false,"operation":"false_trigger","preserve_unrelated_tasks":true,"targets":["S06-06:explanation"]}</x:v>
      </x:c>
      <x:c r="F1317" s="10" t="n">
        <x:f>IF(D1317=E1317,1,0)</x:f>
        <x:v>1</x:v>
      </x:c>
      <x:c r="G1317" s="10" t="str">
        <x:v>FIXED_CORRECT_SEMANTIC_FIXTURE; not model accuracy evidence</x:v>
      </x:c>
    </x:row>
    <x:row r="1318" ht="145" customHeight="1">
      <x:c r="A1318" s="10" t="str">
        <x:v>D-A</x:v>
      </x:c>
      <x:c r="B1318" s="10" t="str">
        <x:v>DELIVERY</x:v>
      </x:c>
      <x:c r="C1318" s="10" t="str">
        <x:v>DELIVERY:S06-07:input</x:v>
      </x:c>
      <x:c r="D1318" s="10" t="str">
        <x:v>{"conditions":{"resume_from_played_position":true},"mail_send_authorized":false,"operation":"false_trigger","preserve_unrelated_tasks":true,"targets":["S06-07:explanation"]}</x:v>
      </x:c>
      <x:c r="E1318" s="10" t="str">
        <x:v>{"conditions":{"resume_from_played_position":true},"mail_send_authorized":false,"operation":"false_trigger","preserve_unrelated_tasks":true,"targets":["S06-07:explanation"]}</x:v>
      </x:c>
      <x:c r="F1318" s="10" t="n">
        <x:f>IF(D1318=E1318,1,0)</x:f>
        <x:v>1</x:v>
      </x:c>
      <x:c r="G1318" s="10" t="str">
        <x:v>FIXED_CORRECT_SEMANTIC_FIXTURE; not model accuracy evidence</x:v>
      </x:c>
    </x:row>
    <x:row r="1319" ht="145" customHeight="1">
      <x:c r="A1319" s="10" t="str">
        <x:v>D-B</x:v>
      </x:c>
      <x:c r="B1319" s="10" t="str">
        <x:v>DELIVERY</x:v>
      </x:c>
      <x:c r="C1319" s="10" t="str">
        <x:v>DELIVERY:S06-07:input</x:v>
      </x:c>
      <x:c r="D1319" s="10" t="str">
        <x:v>{"conditions":{"resume_from_played_position":true},"mail_send_authorized":false,"operation":"false_trigger","preserve_unrelated_tasks":true,"targets":["S06-07:explanation"]}</x:v>
      </x:c>
      <x:c r="E1319" s="10" t="str">
        <x:v>{"conditions":{"resume_from_played_position":true},"mail_send_authorized":false,"operation":"false_trigger","preserve_unrelated_tasks":true,"targets":["S06-07:explanation"]}</x:v>
      </x:c>
      <x:c r="F1319" s="10" t="n">
        <x:f>IF(D1319=E1319,1,0)</x:f>
        <x:v>1</x:v>
      </x:c>
      <x:c r="G1319" s="10" t="str">
        <x:v>FIXED_CORRECT_SEMANTIC_FIXTURE; not model accuracy evidence</x:v>
      </x:c>
    </x:row>
    <x:row r="1320" ht="145" customHeight="1">
      <x:c r="A1320" s="10" t="str">
        <x:v>D-A</x:v>
      </x:c>
      <x:c r="B1320" s="10" t="str">
        <x:v>DELIVERY</x:v>
      </x:c>
      <x:c r="C1320" s="10" t="str">
        <x:v>DELIVERY:S06-08:input</x:v>
      </x:c>
      <x:c r="D1320" s="10" t="str">
        <x:v>{"conditions":{"resume_from_played_position":true},"mail_send_authorized":false,"operation":"false_trigger","preserve_unrelated_tasks":true,"targets":["S06-08:explanation"]}</x:v>
      </x:c>
      <x:c r="E1320" s="10" t="str">
        <x:v>{"conditions":{"resume_from_played_position":true},"mail_send_authorized":false,"operation":"false_trigger","preserve_unrelated_tasks":true,"targets":["S06-08:explanation"]}</x:v>
      </x:c>
      <x:c r="F1320" s="10" t="n">
        <x:f>IF(D1320=E1320,1,0)</x:f>
        <x:v>1</x:v>
      </x:c>
      <x:c r="G1320" s="10" t="str">
        <x:v>FIXED_CORRECT_SEMANTIC_FIXTURE; not model accuracy evidence</x:v>
      </x:c>
    </x:row>
    <x:row r="1321" ht="145" customHeight="1">
      <x:c r="A1321" s="10" t="str">
        <x:v>D-B</x:v>
      </x:c>
      <x:c r="B1321" s="10" t="str">
        <x:v>DELIVERY</x:v>
      </x:c>
      <x:c r="C1321" s="10" t="str">
        <x:v>DELIVERY:S06-08:input</x:v>
      </x:c>
      <x:c r="D1321" s="10" t="str">
        <x:v>{"conditions":{"resume_from_played_position":true},"mail_send_authorized":false,"operation":"false_trigger","preserve_unrelated_tasks":true,"targets":["S06-08:explanation"]}</x:v>
      </x:c>
      <x:c r="E1321" s="10" t="str">
        <x:v>{"conditions":{"resume_from_played_position":true},"mail_send_authorized":false,"operation":"false_trigger","preserve_unrelated_tasks":true,"targets":["S06-08:explanation"]}</x:v>
      </x:c>
      <x:c r="F1321" s="10" t="n">
        <x:f>IF(D1321=E1321,1,0)</x:f>
        <x:v>1</x:v>
      </x:c>
      <x:c r="G1321" s="10" t="str">
        <x:v>FIXED_CORRECT_SEMANTIC_FIXTURE; not model accuracy evidence</x:v>
      </x:c>
    </x:row>
    <x:row r="1322" ht="145" customHeight="1">
      <x:c r="A1322" s="10" t="str">
        <x:v>D-A</x:v>
      </x:c>
      <x:c r="B1322" s="10" t="str">
        <x:v>DELIVERY</x:v>
      </x:c>
      <x:c r="C1322" s="10" t="str">
        <x:v>DELIVERY:S06-09:input</x:v>
      </x:c>
      <x:c r="D1322" s="10" t="str">
        <x:v>{"conditions":{"resume_from_played_position":true},"mail_send_authorized":false,"operation":"false_trigger","preserve_unrelated_tasks":true,"targets":["S06-09:explanation"]}</x:v>
      </x:c>
      <x:c r="E1322" s="10" t="str">
        <x:v>{"conditions":{"resume_from_played_position":true},"mail_send_authorized":false,"operation":"false_trigger","preserve_unrelated_tasks":true,"targets":["S06-09:explanation"]}</x:v>
      </x:c>
      <x:c r="F1322" s="10" t="n">
        <x:f>IF(D1322=E1322,1,0)</x:f>
        <x:v>1</x:v>
      </x:c>
      <x:c r="G1322" s="10" t="str">
        <x:v>FIXED_CORRECT_SEMANTIC_FIXTURE; not model accuracy evidence</x:v>
      </x:c>
    </x:row>
    <x:row r="1323" ht="145" customHeight="1">
      <x:c r="A1323" s="10" t="str">
        <x:v>D-B</x:v>
      </x:c>
      <x:c r="B1323" s="10" t="str">
        <x:v>DELIVERY</x:v>
      </x:c>
      <x:c r="C1323" s="10" t="str">
        <x:v>DELIVERY:S06-09:input</x:v>
      </x:c>
      <x:c r="D1323" s="10" t="str">
        <x:v>{"conditions":{"resume_from_played_position":true},"mail_send_authorized":false,"operation":"false_trigger","preserve_unrelated_tasks":true,"targets":["S06-09:explanation"]}</x:v>
      </x:c>
      <x:c r="E1323" s="10" t="str">
        <x:v>{"conditions":{"resume_from_played_position":true},"mail_send_authorized":false,"operation":"false_trigger","preserve_unrelated_tasks":true,"targets":["S06-09:explanation"]}</x:v>
      </x:c>
      <x:c r="F1323" s="10" t="n">
        <x:f>IF(D1323=E1323,1,0)</x:f>
        <x:v>1</x:v>
      </x:c>
      <x:c r="G1323" s="10" t="str">
        <x:v>FIXED_CORRECT_SEMANTIC_FIXTURE; not model accuracy evidence</x:v>
      </x:c>
    </x:row>
    <x:row r="1324" ht="145" customHeight="1">
      <x:c r="A1324" s="10" t="str">
        <x:v>D-A</x:v>
      </x:c>
      <x:c r="B1324" s="10" t="str">
        <x:v>DELIVERY</x:v>
      </x:c>
      <x:c r="C1324" s="10" t="str">
        <x:v>DELIVERY:S06-10:input</x:v>
      </x:c>
      <x:c r="D1324" s="10" t="str">
        <x:v>{"conditions":{"resume_from_played_position":true},"mail_send_authorized":false,"operation":"false_trigger","preserve_unrelated_tasks":true,"targets":["S06-10:explanation"]}</x:v>
      </x:c>
      <x:c r="E1324" s="10" t="str">
        <x:v>{"conditions":{"resume_from_played_position":true},"mail_send_authorized":false,"operation":"false_trigger","preserve_unrelated_tasks":true,"targets":["S06-10:explanation"]}</x:v>
      </x:c>
      <x:c r="F1324" s="10" t="n">
        <x:f>IF(D1324=E1324,1,0)</x:f>
        <x:v>1</x:v>
      </x:c>
      <x:c r="G1324" s="10" t="str">
        <x:v>FIXED_CORRECT_SEMANTIC_FIXTURE; not model accuracy evidence</x:v>
      </x:c>
    </x:row>
    <x:row r="1325" ht="145" customHeight="1">
      <x:c r="A1325" s="10" t="str">
        <x:v>D-B</x:v>
      </x:c>
      <x:c r="B1325" s="10" t="str">
        <x:v>DELIVERY</x:v>
      </x:c>
      <x:c r="C1325" s="10" t="str">
        <x:v>DELIVERY:S06-10:input</x:v>
      </x:c>
      <x:c r="D1325" s="10" t="str">
        <x:v>{"conditions":{"resume_from_played_position":true},"mail_send_authorized":false,"operation":"false_trigger","preserve_unrelated_tasks":true,"targets":["S06-10:explanation"]}</x:v>
      </x:c>
      <x:c r="E1325" s="10" t="str">
        <x:v>{"conditions":{"resume_from_played_position":true},"mail_send_authorized":false,"operation":"false_trigger","preserve_unrelated_tasks":true,"targets":["S06-10:explanation"]}</x:v>
      </x:c>
      <x:c r="F1325" s="10" t="n">
        <x:f>IF(D1325=E1325,1,0)</x:f>
        <x:v>1</x:v>
      </x:c>
      <x:c r="G1325" s="10" t="str">
        <x:v>FIXED_CORRECT_SEMANTIC_FIXTURE; not model accuracy evidence</x:v>
      </x:c>
    </x:row>
    <x:row r="1326" ht="145" customHeight="1">
      <x:c r="A1326" s="10" t="str">
        <x:v>D-A</x:v>
      </x:c>
      <x:c r="B1326" s="10" t="str">
        <x:v>DELIVERY</x:v>
      </x:c>
      <x:c r="C1326" s="10" t="str">
        <x:v>DELIVERY:S07-01:input</x:v>
      </x:c>
      <x:c r="D1326" s="10" t="str">
        <x:v>{"conditions":{"order":["S07-01:calendar","S07-01:mail","S07-01:report"]},"mail_send_authorized":false,"operation":"burst","preserve_unrelated_tasks":true,"targets":["S07-01:calendar","S07-01:mail","S07-01:report"]}</x:v>
      </x:c>
      <x:c r="E1326" s="10" t="str">
        <x:v>{"conditions":{"order":["S07-01:calendar","S07-01:mail","S07-01:report"]},"mail_send_authorized":false,"operation":"burst","preserve_unrelated_tasks":true,"targets":["S07-01:calendar","S07-01:mail","S07-01:report"]}</x:v>
      </x:c>
      <x:c r="F1326" s="10" t="n">
        <x:f>IF(D1326=E1326,1,0)</x:f>
        <x:v>1</x:v>
      </x:c>
      <x:c r="G1326" s="10" t="str">
        <x:v>FIXED_CORRECT_SEMANTIC_FIXTURE; not model accuracy evidence</x:v>
      </x:c>
    </x:row>
    <x:row r="1327" ht="145" customHeight="1">
      <x:c r="A1327" s="10" t="str">
        <x:v>D-B</x:v>
      </x:c>
      <x:c r="B1327" s="10" t="str">
        <x:v>DELIVERY</x:v>
      </x:c>
      <x:c r="C1327" s="10" t="str">
        <x:v>DELIVERY:S07-01:input</x:v>
      </x:c>
      <x:c r="D1327" s="10" t="str">
        <x:v>{"conditions":{"order":["S07-01:calendar","S07-01:mail","S07-01:report"]},"mail_send_authorized":false,"operation":"burst","preserve_unrelated_tasks":true,"targets":["S07-01:calendar","S07-01:mail","S07-01:report"]}</x:v>
      </x:c>
      <x:c r="E1327" s="10" t="str">
        <x:v>{"conditions":{"order":["S07-01:calendar","S07-01:mail","S07-01:report"]},"mail_send_authorized":false,"operation":"burst","preserve_unrelated_tasks":true,"targets":["S07-01:calendar","S07-01:mail","S07-01:report"]}</x:v>
      </x:c>
      <x:c r="F1327" s="10" t="n">
        <x:f>IF(D1327=E1327,1,0)</x:f>
        <x:v>1</x:v>
      </x:c>
      <x:c r="G1327" s="10" t="str">
        <x:v>FIXED_CORRECT_SEMANTIC_FIXTURE; not model accuracy evidence</x:v>
      </x:c>
    </x:row>
    <x:row r="1328" ht="145" customHeight="1">
      <x:c r="A1328" s="10" t="str">
        <x:v>D-A</x:v>
      </x:c>
      <x:c r="B1328" s="10" t="str">
        <x:v>DELIVERY</x:v>
      </x:c>
      <x:c r="C1328" s="10" t="str">
        <x:v>DELIVERY:S07-02:input</x:v>
      </x:c>
      <x:c r="D1328" s="10" t="str">
        <x:v>{"conditions":{"order":["S07-02:calendar","S07-02:mail","S07-02:report"]},"mail_send_authorized":false,"operation":"burst","preserve_unrelated_tasks":true,"targets":["S07-02:calendar","S07-02:mail","S07-02:report"]}</x:v>
      </x:c>
      <x:c r="E1328" s="10" t="str">
        <x:v>{"conditions":{"order":["S07-02:calendar","S07-02:mail","S07-02:report"]},"mail_send_authorized":false,"operation":"burst","preserve_unrelated_tasks":true,"targets":["S07-02:calendar","S07-02:mail","S07-02:report"]}</x:v>
      </x:c>
      <x:c r="F1328" s="10" t="n">
        <x:f>IF(D1328=E1328,1,0)</x:f>
        <x:v>1</x:v>
      </x:c>
      <x:c r="G1328" s="10" t="str">
        <x:v>FIXED_CORRECT_SEMANTIC_FIXTURE; not model accuracy evidence</x:v>
      </x:c>
    </x:row>
    <x:row r="1329" ht="145" customHeight="1">
      <x:c r="A1329" s="10" t="str">
        <x:v>D-B</x:v>
      </x:c>
      <x:c r="B1329" s="10" t="str">
        <x:v>DELIVERY</x:v>
      </x:c>
      <x:c r="C1329" s="10" t="str">
        <x:v>DELIVERY:S07-02:input</x:v>
      </x:c>
      <x:c r="D1329" s="10" t="str">
        <x:v>{"conditions":{"order":["S07-02:calendar","S07-02:mail","S07-02:report"]},"mail_send_authorized":false,"operation":"burst","preserve_unrelated_tasks":true,"targets":["S07-02:calendar","S07-02:mail","S07-02:report"]}</x:v>
      </x:c>
      <x:c r="E1329" s="10" t="str">
        <x:v>{"conditions":{"order":["S07-02:calendar","S07-02:mail","S07-02:report"]},"mail_send_authorized":false,"operation":"burst","preserve_unrelated_tasks":true,"targets":["S07-02:calendar","S07-02:mail","S07-02:report"]}</x:v>
      </x:c>
      <x:c r="F1329" s="10" t="n">
        <x:f>IF(D1329=E1329,1,0)</x:f>
        <x:v>1</x:v>
      </x:c>
      <x:c r="G1329" s="10" t="str">
        <x:v>FIXED_CORRECT_SEMANTIC_FIXTURE; not model accuracy evidence</x:v>
      </x:c>
    </x:row>
    <x:row r="1330" ht="145" customHeight="1">
      <x:c r="A1330" s="10" t="str">
        <x:v>D-A</x:v>
      </x:c>
      <x:c r="B1330" s="10" t="str">
        <x:v>DELIVERY</x:v>
      </x:c>
      <x:c r="C1330" s="10" t="str">
        <x:v>DELIVERY:S07-03:input</x:v>
      </x:c>
      <x:c r="D1330" s="10" t="str">
        <x:v>{"conditions":{"order":["S07-03:calendar","S07-03:mail","S07-03:report"]},"mail_send_authorized":false,"operation":"burst","preserve_unrelated_tasks":true,"targets":["S07-03:calendar","S07-03:mail","S07-03:report"]}</x:v>
      </x:c>
      <x:c r="E1330" s="10" t="str">
        <x:v>{"conditions":{"order":["S07-03:calendar","S07-03:mail","S07-03:report"]},"mail_send_authorized":false,"operation":"burst","preserve_unrelated_tasks":true,"targets":["S07-03:calendar","S07-03:mail","S07-03:report"]}</x:v>
      </x:c>
      <x:c r="F1330" s="10" t="n">
        <x:f>IF(D1330=E1330,1,0)</x:f>
        <x:v>1</x:v>
      </x:c>
      <x:c r="G1330" s="10" t="str">
        <x:v>FIXED_CORRECT_SEMANTIC_FIXTURE; not model accuracy evidence</x:v>
      </x:c>
    </x:row>
    <x:row r="1331" ht="145" customHeight="1">
      <x:c r="A1331" s="10" t="str">
        <x:v>D-B</x:v>
      </x:c>
      <x:c r="B1331" s="10" t="str">
        <x:v>DELIVERY</x:v>
      </x:c>
      <x:c r="C1331" s="10" t="str">
        <x:v>DELIVERY:S07-03:input</x:v>
      </x:c>
      <x:c r="D1331" s="10" t="str">
        <x:v>{"conditions":{"order":["S07-03:calendar","S07-03:mail","S07-03:report"]},"mail_send_authorized":false,"operation":"burst","preserve_unrelated_tasks":true,"targets":["S07-03:calendar","S07-03:mail","S07-03:report"]}</x:v>
      </x:c>
      <x:c r="E1331" s="10" t="str">
        <x:v>{"conditions":{"order":["S07-03:calendar","S07-03:mail","S07-03:report"]},"mail_send_authorized":false,"operation":"burst","preserve_unrelated_tasks":true,"targets":["S07-03:calendar","S07-03:mail","S07-03:report"]}</x:v>
      </x:c>
      <x:c r="F1331" s="10" t="n">
        <x:f>IF(D1331=E1331,1,0)</x:f>
        <x:v>1</x:v>
      </x:c>
      <x:c r="G1331" s="10" t="str">
        <x:v>FIXED_CORRECT_SEMANTIC_FIXTURE; not model accuracy evidence</x:v>
      </x:c>
    </x:row>
    <x:row r="1332" ht="145" customHeight="1">
      <x:c r="A1332" s="10" t="str">
        <x:v>D-A</x:v>
      </x:c>
      <x:c r="B1332" s="10" t="str">
        <x:v>DELIVERY</x:v>
      </x:c>
      <x:c r="C1332" s="10" t="str">
        <x:v>DELIVERY:S07-04:input</x:v>
      </x:c>
      <x:c r="D1332" s="10" t="str">
        <x:v>{"conditions":{"order":["S07-04:calendar","S07-04:mail","S07-04:report"]},"mail_send_authorized":false,"operation":"burst","preserve_unrelated_tasks":true,"targets":["S07-04:calendar","S07-04:mail","S07-04:report"]}</x:v>
      </x:c>
      <x:c r="E1332" s="10" t="str">
        <x:v>{"conditions":{"order":["S07-04:calendar","S07-04:mail","S07-04:report"]},"mail_send_authorized":false,"operation":"burst","preserve_unrelated_tasks":true,"targets":["S07-04:calendar","S07-04:mail","S07-04:report"]}</x:v>
      </x:c>
      <x:c r="F1332" s="10" t="n">
        <x:f>IF(D1332=E1332,1,0)</x:f>
        <x:v>1</x:v>
      </x:c>
      <x:c r="G1332" s="10" t="str">
        <x:v>FIXED_CORRECT_SEMANTIC_FIXTURE; not model accuracy evidence</x:v>
      </x:c>
    </x:row>
    <x:row r="1333" ht="145" customHeight="1">
      <x:c r="A1333" s="10" t="str">
        <x:v>D-B</x:v>
      </x:c>
      <x:c r="B1333" s="10" t="str">
        <x:v>DELIVERY</x:v>
      </x:c>
      <x:c r="C1333" s="10" t="str">
        <x:v>DELIVERY:S07-04:input</x:v>
      </x:c>
      <x:c r="D1333" s="10" t="str">
        <x:v>{"conditions":{"order":["S07-04:calendar","S07-04:mail","S07-04:report"]},"mail_send_authorized":false,"operation":"burst","preserve_unrelated_tasks":true,"targets":["S07-04:calendar","S07-04:mail","S07-04:report"]}</x:v>
      </x:c>
      <x:c r="E1333" s="10" t="str">
        <x:v>{"conditions":{"order":["S07-04:calendar","S07-04:mail","S07-04:report"]},"mail_send_authorized":false,"operation":"burst","preserve_unrelated_tasks":true,"targets":["S07-04:calendar","S07-04:mail","S07-04:report"]}</x:v>
      </x:c>
      <x:c r="F1333" s="10" t="n">
        <x:f>IF(D1333=E1333,1,0)</x:f>
        <x:v>1</x:v>
      </x:c>
      <x:c r="G1333" s="10" t="str">
        <x:v>FIXED_CORRECT_SEMANTIC_FIXTURE; not model accuracy evidence</x:v>
      </x:c>
    </x:row>
    <x:row r="1334" ht="145" customHeight="1">
      <x:c r="A1334" s="10" t="str">
        <x:v>D-A</x:v>
      </x:c>
      <x:c r="B1334" s="10" t="str">
        <x:v>DELIVERY</x:v>
      </x:c>
      <x:c r="C1334" s="10" t="str">
        <x:v>DELIVERY:S07-05:input</x:v>
      </x:c>
      <x:c r="D1334" s="10" t="str">
        <x:v>{"conditions":{"order":["S07-05:calendar","S07-05:mail","S07-05:report"]},"mail_send_authorized":false,"operation":"burst","preserve_unrelated_tasks":true,"targets":["S07-05:calendar","S07-05:mail","S07-05:report"]}</x:v>
      </x:c>
      <x:c r="E1334" s="10" t="str">
        <x:v>{"conditions":{"order":["S07-05:calendar","S07-05:mail","S07-05:report"]},"mail_send_authorized":false,"operation":"burst","preserve_unrelated_tasks":true,"targets":["S07-05:calendar","S07-05:mail","S07-05:report"]}</x:v>
      </x:c>
      <x:c r="F1334" s="10" t="n">
        <x:f>IF(D1334=E1334,1,0)</x:f>
        <x:v>1</x:v>
      </x:c>
      <x:c r="G1334" s="10" t="str">
        <x:v>FIXED_CORRECT_SEMANTIC_FIXTURE; not model accuracy evidence</x:v>
      </x:c>
    </x:row>
    <x:row r="1335" ht="145" customHeight="1">
      <x:c r="A1335" s="10" t="str">
        <x:v>D-B</x:v>
      </x:c>
      <x:c r="B1335" s="10" t="str">
        <x:v>DELIVERY</x:v>
      </x:c>
      <x:c r="C1335" s="10" t="str">
        <x:v>DELIVERY:S07-05:input</x:v>
      </x:c>
      <x:c r="D1335" s="10" t="str">
        <x:v>{"conditions":{"order":["S07-05:calendar","S07-05:mail","S07-05:report"]},"mail_send_authorized":false,"operation":"burst","preserve_unrelated_tasks":true,"targets":["S07-05:calendar","S07-05:mail","S07-05:report"]}</x:v>
      </x:c>
      <x:c r="E1335" s="10" t="str">
        <x:v>{"conditions":{"order":["S07-05:calendar","S07-05:mail","S07-05:report"]},"mail_send_authorized":false,"operation":"burst","preserve_unrelated_tasks":true,"targets":["S07-05:calendar","S07-05:mail","S07-05:report"]}</x:v>
      </x:c>
      <x:c r="F1335" s="10" t="n">
        <x:f>IF(D1335=E1335,1,0)</x:f>
        <x:v>1</x:v>
      </x:c>
      <x:c r="G1335" s="10" t="str">
        <x:v>FIXED_CORRECT_SEMANTIC_FIXTURE; not model accuracy evidence</x:v>
      </x:c>
    </x:row>
    <x:row r="1336" ht="145" customHeight="1">
      <x:c r="A1336" s="10" t="str">
        <x:v>D-A</x:v>
      </x:c>
      <x:c r="B1336" s="10" t="str">
        <x:v>DELIVERY</x:v>
      </x:c>
      <x:c r="C1336" s="10" t="str">
        <x:v>DELIVERY:S07-06:input</x:v>
      </x:c>
      <x:c r="D1336" s="10" t="str">
        <x:v>{"conditions":{"order":["S07-06:calendar","S07-06:mail","S07-06:report"]},"mail_send_authorized":false,"operation":"burst","preserve_unrelated_tasks":true,"targets":["S07-06:calendar","S07-06:mail","S07-06:report"]}</x:v>
      </x:c>
      <x:c r="E1336" s="10" t="str">
        <x:v>{"conditions":{"order":["S07-06:calendar","S07-06:mail","S07-06:report"]},"mail_send_authorized":false,"operation":"burst","preserve_unrelated_tasks":true,"targets":["S07-06:calendar","S07-06:mail","S07-06:report"]}</x:v>
      </x:c>
      <x:c r="F1336" s="10" t="n">
        <x:f>IF(D1336=E1336,1,0)</x:f>
        <x:v>1</x:v>
      </x:c>
      <x:c r="G1336" s="10" t="str">
        <x:v>FIXED_CORRECT_SEMANTIC_FIXTURE; not model accuracy evidence</x:v>
      </x:c>
    </x:row>
    <x:row r="1337" ht="145" customHeight="1">
      <x:c r="A1337" s="10" t="str">
        <x:v>D-B</x:v>
      </x:c>
      <x:c r="B1337" s="10" t="str">
        <x:v>DELIVERY</x:v>
      </x:c>
      <x:c r="C1337" s="10" t="str">
        <x:v>DELIVERY:S07-06:input</x:v>
      </x:c>
      <x:c r="D1337" s="10" t="str">
        <x:v>{"conditions":{"order":["S07-06:calendar","S07-06:mail","S07-06:report"]},"mail_send_authorized":false,"operation":"burst","preserve_unrelated_tasks":true,"targets":["S07-06:calendar","S07-06:mail","S07-06:report"]}</x:v>
      </x:c>
      <x:c r="E1337" s="10" t="str">
        <x:v>{"conditions":{"order":["S07-06:calendar","S07-06:mail","S07-06:report"]},"mail_send_authorized":false,"operation":"burst","preserve_unrelated_tasks":true,"targets":["S07-06:calendar","S07-06:mail","S07-06:report"]}</x:v>
      </x:c>
      <x:c r="F1337" s="10" t="n">
        <x:f>IF(D1337=E1337,1,0)</x:f>
        <x:v>1</x:v>
      </x:c>
      <x:c r="G1337" s="10" t="str">
        <x:v>FIXED_CORRECT_SEMANTIC_FIXTURE; not model accuracy evidence</x:v>
      </x:c>
    </x:row>
    <x:row r="1338" ht="145" customHeight="1">
      <x:c r="A1338" s="10" t="str">
        <x:v>D-A</x:v>
      </x:c>
      <x:c r="B1338" s="10" t="str">
        <x:v>DELIVERY</x:v>
      </x:c>
      <x:c r="C1338" s="10" t="str">
        <x:v>DELIVERY:S07-07:input</x:v>
      </x:c>
      <x:c r="D1338" s="10" t="str">
        <x:v>{"conditions":{"order":["S07-07:calendar","S07-07:mail","S07-07:report"]},"mail_send_authorized":false,"operation":"burst","preserve_unrelated_tasks":true,"targets":["S07-07:calendar","S07-07:mail","S07-07:report"]}</x:v>
      </x:c>
      <x:c r="E1338" s="10" t="str">
        <x:v>{"conditions":{"order":["S07-07:calendar","S07-07:mail","S07-07:report"]},"mail_send_authorized":false,"operation":"burst","preserve_unrelated_tasks":true,"targets":["S07-07:calendar","S07-07:mail","S07-07:report"]}</x:v>
      </x:c>
      <x:c r="F1338" s="10" t="n">
        <x:f>IF(D1338=E1338,1,0)</x:f>
        <x:v>1</x:v>
      </x:c>
      <x:c r="G1338" s="10" t="str">
        <x:v>FIXED_CORRECT_SEMANTIC_FIXTURE; not model accuracy evidence</x:v>
      </x:c>
    </x:row>
    <x:row r="1339" ht="145" customHeight="1">
      <x:c r="A1339" s="10" t="str">
        <x:v>D-B</x:v>
      </x:c>
      <x:c r="B1339" s="10" t="str">
        <x:v>DELIVERY</x:v>
      </x:c>
      <x:c r="C1339" s="10" t="str">
        <x:v>DELIVERY:S07-07:input</x:v>
      </x:c>
      <x:c r="D1339" s="10" t="str">
        <x:v>{"conditions":{"order":["S07-07:calendar","S07-07:mail","S07-07:report"]},"mail_send_authorized":false,"operation":"burst","preserve_unrelated_tasks":true,"targets":["S07-07:calendar","S07-07:mail","S07-07:report"]}</x:v>
      </x:c>
      <x:c r="E1339" s="10" t="str">
        <x:v>{"conditions":{"order":["S07-07:calendar","S07-07:mail","S07-07:report"]},"mail_send_authorized":false,"operation":"burst","preserve_unrelated_tasks":true,"targets":["S07-07:calendar","S07-07:mail","S07-07:report"]}</x:v>
      </x:c>
      <x:c r="F1339" s="10" t="n">
        <x:f>IF(D1339=E1339,1,0)</x:f>
        <x:v>1</x:v>
      </x:c>
      <x:c r="G1339" s="10" t="str">
        <x:v>FIXED_CORRECT_SEMANTIC_FIXTURE; not model accuracy evidence</x:v>
      </x:c>
    </x:row>
    <x:row r="1340" ht="145" customHeight="1">
      <x:c r="A1340" s="10" t="str">
        <x:v>D-A</x:v>
      </x:c>
      <x:c r="B1340" s="10" t="str">
        <x:v>DELIVERY</x:v>
      </x:c>
      <x:c r="C1340" s="10" t="str">
        <x:v>DELIVERY:S07-08:input</x:v>
      </x:c>
      <x:c r="D1340" s="10" t="str">
        <x:v>{"conditions":{"order":["S07-08:calendar","S07-08:mail","S07-08:report"]},"mail_send_authorized":false,"operation":"burst","preserve_unrelated_tasks":true,"targets":["S07-08:calendar","S07-08:mail","S07-08:report"]}</x:v>
      </x:c>
      <x:c r="E1340" s="10" t="str">
        <x:v>{"conditions":{"order":["S07-08:calendar","S07-08:mail","S07-08:report"]},"mail_send_authorized":false,"operation":"burst","preserve_unrelated_tasks":true,"targets":["S07-08:calendar","S07-08:mail","S07-08:report"]}</x:v>
      </x:c>
      <x:c r="F1340" s="10" t="n">
        <x:f>IF(D1340=E1340,1,0)</x:f>
        <x:v>1</x:v>
      </x:c>
      <x:c r="G1340" s="10" t="str">
        <x:v>FIXED_CORRECT_SEMANTIC_FIXTURE; not model accuracy evidence</x:v>
      </x:c>
    </x:row>
    <x:row r="1341" ht="145" customHeight="1">
      <x:c r="A1341" s="10" t="str">
        <x:v>D-B</x:v>
      </x:c>
      <x:c r="B1341" s="10" t="str">
        <x:v>DELIVERY</x:v>
      </x:c>
      <x:c r="C1341" s="10" t="str">
        <x:v>DELIVERY:S07-08:input</x:v>
      </x:c>
      <x:c r="D1341" s="10" t="str">
        <x:v>{"conditions":{"order":["S07-08:calendar","S07-08:mail","S07-08:report"]},"mail_send_authorized":false,"operation":"burst","preserve_unrelated_tasks":true,"targets":["S07-08:calendar","S07-08:mail","S07-08:report"]}</x:v>
      </x:c>
      <x:c r="E1341" s="10" t="str">
        <x:v>{"conditions":{"order":["S07-08:calendar","S07-08:mail","S07-08:report"]},"mail_send_authorized":false,"operation":"burst","preserve_unrelated_tasks":true,"targets":["S07-08:calendar","S07-08:mail","S07-08:report"]}</x:v>
      </x:c>
      <x:c r="F1341" s="10" t="n">
        <x:f>IF(D1341=E1341,1,0)</x:f>
        <x:v>1</x:v>
      </x:c>
      <x:c r="G1341" s="10" t="str">
        <x:v>FIXED_CORRECT_SEMANTIC_FIXTURE; not model accuracy evidence</x:v>
      </x:c>
    </x:row>
    <x:row r="1342" ht="145" customHeight="1">
      <x:c r="A1342" s="10" t="str">
        <x:v>D-A</x:v>
      </x:c>
      <x:c r="B1342" s="10" t="str">
        <x:v>DELIVERY</x:v>
      </x:c>
      <x:c r="C1342" s="10" t="str">
        <x:v>DELIVERY:S07-09:input</x:v>
      </x:c>
      <x:c r="D1342" s="10" t="str">
        <x:v>{"conditions":{"order":["S07-09:calendar","S07-09:mail","S07-09:report"]},"mail_send_authorized":false,"operation":"burst","preserve_unrelated_tasks":true,"targets":["S07-09:calendar","S07-09:mail","S07-09:report"]}</x:v>
      </x:c>
      <x:c r="E1342" s="10" t="str">
        <x:v>{"conditions":{"order":["S07-09:calendar","S07-09:mail","S07-09:report"]},"mail_send_authorized":false,"operation":"burst","preserve_unrelated_tasks":true,"targets":["S07-09:calendar","S07-09:mail","S07-09:report"]}</x:v>
      </x:c>
      <x:c r="F1342" s="10" t="n">
        <x:f>IF(D1342=E1342,1,0)</x:f>
        <x:v>1</x:v>
      </x:c>
      <x:c r="G1342" s="10" t="str">
        <x:v>FIXED_CORRECT_SEMANTIC_FIXTURE; not model accuracy evidence</x:v>
      </x:c>
    </x:row>
    <x:row r="1343" ht="145" customHeight="1">
      <x:c r="A1343" s="10" t="str">
        <x:v>D-B</x:v>
      </x:c>
      <x:c r="B1343" s="10" t="str">
        <x:v>DELIVERY</x:v>
      </x:c>
      <x:c r="C1343" s="10" t="str">
        <x:v>DELIVERY:S07-09:input</x:v>
      </x:c>
      <x:c r="D1343" s="10" t="str">
        <x:v>{"conditions":{"order":["S07-09:calendar","S07-09:mail","S07-09:report"]},"mail_send_authorized":false,"operation":"burst","preserve_unrelated_tasks":true,"targets":["S07-09:calendar","S07-09:mail","S07-09:report"]}</x:v>
      </x:c>
      <x:c r="E1343" s="10" t="str">
        <x:v>{"conditions":{"order":["S07-09:calendar","S07-09:mail","S07-09:report"]},"mail_send_authorized":false,"operation":"burst","preserve_unrelated_tasks":true,"targets":["S07-09:calendar","S07-09:mail","S07-09:report"]}</x:v>
      </x:c>
      <x:c r="F1343" s="10" t="n">
        <x:f>IF(D1343=E1343,1,0)</x:f>
        <x:v>1</x:v>
      </x:c>
      <x:c r="G1343" s="10" t="str">
        <x:v>FIXED_CORRECT_SEMANTIC_FIXTURE; not model accuracy evidence</x:v>
      </x:c>
    </x:row>
    <x:row r="1344" ht="145" customHeight="1">
      <x:c r="A1344" s="10" t="str">
        <x:v>D-A</x:v>
      </x:c>
      <x:c r="B1344" s="10" t="str">
        <x:v>DELIVERY</x:v>
      </x:c>
      <x:c r="C1344" s="10" t="str">
        <x:v>DELIVERY:S07-10:input</x:v>
      </x:c>
      <x:c r="D1344" s="10" t="str">
        <x:v>{"conditions":{"order":["S07-10:calendar","S07-10:mail","S07-10:report"]},"mail_send_authorized":false,"operation":"burst","preserve_unrelated_tasks":true,"targets":["S07-10:calendar","S07-10:mail","S07-10:report"]}</x:v>
      </x:c>
      <x:c r="E1344" s="10" t="str">
        <x:v>{"conditions":{"order":["S07-10:calendar","S07-10:mail","S07-10:report"]},"mail_send_authorized":false,"operation":"burst","preserve_unrelated_tasks":true,"targets":["S07-10:calendar","S07-10:mail","S07-10:report"]}</x:v>
      </x:c>
      <x:c r="F1344" s="10" t="n">
        <x:f>IF(D1344=E1344,1,0)</x:f>
        <x:v>1</x:v>
      </x:c>
      <x:c r="G1344" s="10" t="str">
        <x:v>FIXED_CORRECT_SEMANTIC_FIXTURE; not model accuracy evidence</x:v>
      </x:c>
    </x:row>
    <x:row r="1345" ht="145" customHeight="1">
      <x:c r="A1345" s="10" t="str">
        <x:v>D-B</x:v>
      </x:c>
      <x:c r="B1345" s="10" t="str">
        <x:v>DELIVERY</x:v>
      </x:c>
      <x:c r="C1345" s="10" t="str">
        <x:v>DELIVERY:S07-10:input</x:v>
      </x:c>
      <x:c r="D1345" s="10" t="str">
        <x:v>{"conditions":{"order":["S07-10:calendar","S07-10:mail","S07-10:report"]},"mail_send_authorized":false,"operation":"burst","preserve_unrelated_tasks":true,"targets":["S07-10:calendar","S07-10:mail","S07-10:report"]}</x:v>
      </x:c>
      <x:c r="E1345" s="10" t="str">
        <x:v>{"conditions":{"order":["S07-10:calendar","S07-10:mail","S07-10:report"]},"mail_send_authorized":false,"operation":"burst","preserve_unrelated_tasks":true,"targets":["S07-10:calendar","S07-10:mail","S07-10:report"]}</x:v>
      </x:c>
      <x:c r="F1345" s="10" t="n">
        <x:f>IF(D1345=E1345,1,0)</x:f>
        <x:v>1</x:v>
      </x:c>
      <x:c r="G1345" s="10" t="str">
        <x:v>FIXED_CORRECT_SEMANTIC_FIXTURE; not model accuracy evidence</x:v>
      </x:c>
    </x:row>
    <x:row r="1346" ht="145" customHeight="1">
      <x:c r="A1346" s="10" t="str">
        <x:v>D-A</x:v>
      </x:c>
      <x:c r="B1346" s="10" t="str">
        <x:v>DELIVERY</x:v>
      </x:c>
      <x:c r="C1346" s="10" t="str">
        <x:v>DELIVERY:S08-01:input</x:v>
      </x:c>
      <x:c r="D1346" s="10" t="str">
        <x:v>{"conditions":{"read_selected_content":true},"mail_send_authorized":false,"operation":"late","preserve_unrelated_tasks":true,"targets":["S08-01:question"]}</x:v>
      </x:c>
      <x:c r="E1346" s="10" t="str">
        <x:v>{"conditions":{"read_selected_content":true},"mail_send_authorized":false,"operation":"late","preserve_unrelated_tasks":true,"targets":["S08-01:question"]}</x:v>
      </x:c>
      <x:c r="F1346" s="10" t="n">
        <x:f>IF(D1346=E1346,1,0)</x:f>
        <x:v>1</x:v>
      </x:c>
      <x:c r="G1346" s="10" t="str">
        <x:v>FIXED_CORRECT_SEMANTIC_FIXTURE; not model accuracy evidence</x:v>
      </x:c>
    </x:row>
    <x:row r="1347" ht="145" customHeight="1">
      <x:c r="A1347" s="10" t="str">
        <x:v>D-B</x:v>
      </x:c>
      <x:c r="B1347" s="10" t="str">
        <x:v>DELIVERY</x:v>
      </x:c>
      <x:c r="C1347" s="10" t="str">
        <x:v>DELIVERY:S08-01:input</x:v>
      </x:c>
      <x:c r="D1347" s="10" t="str">
        <x:v>{"conditions":{"read_selected_content":true},"mail_send_authorized":false,"operation":"late","preserve_unrelated_tasks":true,"targets":["S08-01:question"]}</x:v>
      </x:c>
      <x:c r="E1347" s="10" t="str">
        <x:v>{"conditions":{"read_selected_content":true},"mail_send_authorized":false,"operation":"late","preserve_unrelated_tasks":true,"targets":["S08-01:question"]}</x:v>
      </x:c>
      <x:c r="F1347" s="10" t="n">
        <x:f>IF(D1347=E1347,1,0)</x:f>
        <x:v>1</x:v>
      </x:c>
      <x:c r="G1347" s="10" t="str">
        <x:v>FIXED_CORRECT_SEMANTIC_FIXTURE; not model accuracy evidence</x:v>
      </x:c>
    </x:row>
    <x:row r="1348" ht="145" customHeight="1">
      <x:c r="A1348" s="10" t="str">
        <x:v>D-A</x:v>
      </x:c>
      <x:c r="B1348" s="10" t="str">
        <x:v>DELIVERY</x:v>
      </x:c>
      <x:c r="C1348" s="10" t="str">
        <x:v>DELIVERY:S08-02:input</x:v>
      </x:c>
      <x:c r="D1348" s="10" t="str">
        <x:v>{"conditions":{"read_selected_content":true},"mail_send_authorized":false,"operation":"late","preserve_unrelated_tasks":true,"targets":["S08-02:question"]}</x:v>
      </x:c>
      <x:c r="E1348" s="10" t="str">
        <x:v>{"conditions":{"read_selected_content":true},"mail_send_authorized":false,"operation":"late","preserve_unrelated_tasks":true,"targets":["S08-02:question"]}</x:v>
      </x:c>
      <x:c r="F1348" s="10" t="n">
        <x:f>IF(D1348=E1348,1,0)</x:f>
        <x:v>1</x:v>
      </x:c>
      <x:c r="G1348" s="10" t="str">
        <x:v>FIXED_CORRECT_SEMANTIC_FIXTURE; not model accuracy evidence</x:v>
      </x:c>
    </x:row>
    <x:row r="1349" ht="145" customHeight="1">
      <x:c r="A1349" s="10" t="str">
        <x:v>D-B</x:v>
      </x:c>
      <x:c r="B1349" s="10" t="str">
        <x:v>DELIVERY</x:v>
      </x:c>
      <x:c r="C1349" s="10" t="str">
        <x:v>DELIVERY:S08-02:input</x:v>
      </x:c>
      <x:c r="D1349" s="10" t="str">
        <x:v>{"conditions":{"read_selected_content":true},"mail_send_authorized":false,"operation":"late","preserve_unrelated_tasks":true,"targets":["S08-02:question"]}</x:v>
      </x:c>
      <x:c r="E1349" s="10" t="str">
        <x:v>{"conditions":{"read_selected_content":true},"mail_send_authorized":false,"operation":"late","preserve_unrelated_tasks":true,"targets":["S08-02:question"]}</x:v>
      </x:c>
      <x:c r="F1349" s="10" t="n">
        <x:f>IF(D1349=E1349,1,0)</x:f>
        <x:v>1</x:v>
      </x:c>
      <x:c r="G1349" s="10" t="str">
        <x:v>FIXED_CORRECT_SEMANTIC_FIXTURE; not model accuracy evidence</x:v>
      </x:c>
    </x:row>
    <x:row r="1350" ht="145" customHeight="1">
      <x:c r="A1350" s="10" t="str">
        <x:v>D-A</x:v>
      </x:c>
      <x:c r="B1350" s="10" t="str">
        <x:v>DELIVERY</x:v>
      </x:c>
      <x:c r="C1350" s="10" t="str">
        <x:v>DELIVERY:S08-03:input</x:v>
      </x:c>
      <x:c r="D1350" s="10" t="str">
        <x:v>{"conditions":{"read_selected_content":true},"mail_send_authorized":false,"operation":"late","preserve_unrelated_tasks":true,"targets":["S08-03:question"]}</x:v>
      </x:c>
      <x:c r="E1350" s="10" t="str">
        <x:v>{"conditions":{"read_selected_content":true},"mail_send_authorized":false,"operation":"late","preserve_unrelated_tasks":true,"targets":["S08-03:question"]}</x:v>
      </x:c>
      <x:c r="F1350" s="10" t="n">
        <x:f>IF(D1350=E1350,1,0)</x:f>
        <x:v>1</x:v>
      </x:c>
      <x:c r="G1350" s="10" t="str">
        <x:v>FIXED_CORRECT_SEMANTIC_FIXTURE; not model accuracy evidence</x:v>
      </x:c>
    </x:row>
    <x:row r="1351" ht="145" customHeight="1">
      <x:c r="A1351" s="10" t="str">
        <x:v>D-B</x:v>
      </x:c>
      <x:c r="B1351" s="10" t="str">
        <x:v>DELIVERY</x:v>
      </x:c>
      <x:c r="C1351" s="10" t="str">
        <x:v>DELIVERY:S08-03:input</x:v>
      </x:c>
      <x:c r="D1351" s="10" t="str">
        <x:v>{"conditions":{"read_selected_content":true},"mail_send_authorized":false,"operation":"late","preserve_unrelated_tasks":true,"targets":["S08-03:question"]}</x:v>
      </x:c>
      <x:c r="E1351" s="10" t="str">
        <x:v>{"conditions":{"read_selected_content":true},"mail_send_authorized":false,"operation":"late","preserve_unrelated_tasks":true,"targets":["S08-03:question"]}</x:v>
      </x:c>
      <x:c r="F1351" s="10" t="n">
        <x:f>IF(D1351=E1351,1,0)</x:f>
        <x:v>1</x:v>
      </x:c>
      <x:c r="G1351" s="10" t="str">
        <x:v>FIXED_CORRECT_SEMANTIC_FIXTURE; not model accuracy evidence</x:v>
      </x:c>
    </x:row>
    <x:row r="1352" ht="145" customHeight="1">
      <x:c r="A1352" s="10" t="str">
        <x:v>D-A</x:v>
      </x:c>
      <x:c r="B1352" s="10" t="str">
        <x:v>DELIVERY</x:v>
      </x:c>
      <x:c r="C1352" s="10" t="str">
        <x:v>DELIVERY:S08-04:input</x:v>
      </x:c>
      <x:c r="D1352" s="10" t="str">
        <x:v>{"conditions":{"read_selected_content":true},"mail_send_authorized":false,"operation":"late","preserve_unrelated_tasks":true,"targets":["S08-04:question"]}</x:v>
      </x:c>
      <x:c r="E1352" s="10" t="str">
        <x:v>{"conditions":{"read_selected_content":true},"mail_send_authorized":false,"operation":"late","preserve_unrelated_tasks":true,"targets":["S08-04:question"]}</x:v>
      </x:c>
      <x:c r="F1352" s="10" t="n">
        <x:f>IF(D1352=E1352,1,0)</x:f>
        <x:v>1</x:v>
      </x:c>
      <x:c r="G1352" s="10" t="str">
        <x:v>FIXED_CORRECT_SEMANTIC_FIXTURE; not model accuracy evidence</x:v>
      </x:c>
    </x:row>
    <x:row r="1353" ht="145" customHeight="1">
      <x:c r="A1353" s="10" t="str">
        <x:v>D-B</x:v>
      </x:c>
      <x:c r="B1353" s="10" t="str">
        <x:v>DELIVERY</x:v>
      </x:c>
      <x:c r="C1353" s="10" t="str">
        <x:v>DELIVERY:S08-04:input</x:v>
      </x:c>
      <x:c r="D1353" s="10" t="str">
        <x:v>{"conditions":{"read_selected_content":true},"mail_send_authorized":false,"operation":"late","preserve_unrelated_tasks":true,"targets":["S08-04:question"]}</x:v>
      </x:c>
      <x:c r="E1353" s="10" t="str">
        <x:v>{"conditions":{"read_selected_content":true},"mail_send_authorized":false,"operation":"late","preserve_unrelated_tasks":true,"targets":["S08-04:question"]}</x:v>
      </x:c>
      <x:c r="F1353" s="10" t="n">
        <x:f>IF(D1353=E1353,1,0)</x:f>
        <x:v>1</x:v>
      </x:c>
      <x:c r="G1353" s="10" t="str">
        <x:v>FIXED_CORRECT_SEMANTIC_FIXTURE; not model accuracy evidence</x:v>
      </x:c>
    </x:row>
    <x:row r="1354" ht="145" customHeight="1">
      <x:c r="A1354" s="10" t="str">
        <x:v>D-A</x:v>
      </x:c>
      <x:c r="B1354" s="10" t="str">
        <x:v>DELIVERY</x:v>
      </x:c>
      <x:c r="C1354" s="10" t="str">
        <x:v>DELIVERY:S08-05:input</x:v>
      </x:c>
      <x:c r="D1354" s="10" t="str">
        <x:v>{"conditions":{"read_selected_content":true},"mail_send_authorized":false,"operation":"late","preserve_unrelated_tasks":true,"targets":["S08-05:question"]}</x:v>
      </x:c>
      <x:c r="E1354" s="10" t="str">
        <x:v>{"conditions":{"read_selected_content":true},"mail_send_authorized":false,"operation":"late","preserve_unrelated_tasks":true,"targets":["S08-05:question"]}</x:v>
      </x:c>
      <x:c r="F1354" s="10" t="n">
        <x:f>IF(D1354=E1354,1,0)</x:f>
        <x:v>1</x:v>
      </x:c>
      <x:c r="G1354" s="10" t="str">
        <x:v>FIXED_CORRECT_SEMANTIC_FIXTURE; not model accuracy evidence</x:v>
      </x:c>
    </x:row>
    <x:row r="1355" ht="145" customHeight="1">
      <x:c r="A1355" s="10" t="str">
        <x:v>D-B</x:v>
      </x:c>
      <x:c r="B1355" s="10" t="str">
        <x:v>DELIVERY</x:v>
      </x:c>
      <x:c r="C1355" s="10" t="str">
        <x:v>DELIVERY:S08-05:input</x:v>
      </x:c>
      <x:c r="D1355" s="10" t="str">
        <x:v>{"conditions":{"read_selected_content":true},"mail_send_authorized":false,"operation":"late","preserve_unrelated_tasks":true,"targets":["S08-05:question"]}</x:v>
      </x:c>
      <x:c r="E1355" s="10" t="str">
        <x:v>{"conditions":{"read_selected_content":true},"mail_send_authorized":false,"operation":"late","preserve_unrelated_tasks":true,"targets":["S08-05:question"]}</x:v>
      </x:c>
      <x:c r="F1355" s="10" t="n">
        <x:f>IF(D1355=E1355,1,0)</x:f>
        <x:v>1</x:v>
      </x:c>
      <x:c r="G1355" s="10" t="str">
        <x:v>FIXED_CORRECT_SEMANTIC_FIXTURE; not model accuracy evidence</x:v>
      </x:c>
    </x:row>
    <x:row r="1356" ht="145" customHeight="1">
      <x:c r="A1356" s="10" t="str">
        <x:v>D-A</x:v>
      </x:c>
      <x:c r="B1356" s="10" t="str">
        <x:v>DELIVERY</x:v>
      </x:c>
      <x:c r="C1356" s="10" t="str">
        <x:v>DELIVERY:S08-06:input</x:v>
      </x:c>
      <x:c r="D1356" s="10" t="str">
        <x:v>{"conditions":{"read_selected_content":true},"mail_send_authorized":false,"operation":"late","preserve_unrelated_tasks":true,"targets":["S08-06:question"]}</x:v>
      </x:c>
      <x:c r="E1356" s="10" t="str">
        <x:v>{"conditions":{"read_selected_content":true},"mail_send_authorized":false,"operation":"late","preserve_unrelated_tasks":true,"targets":["S08-06:question"]}</x:v>
      </x:c>
      <x:c r="F1356" s="10" t="n">
        <x:f>IF(D1356=E1356,1,0)</x:f>
        <x:v>1</x:v>
      </x:c>
      <x:c r="G1356" s="10" t="str">
        <x:v>FIXED_CORRECT_SEMANTIC_FIXTURE; not model accuracy evidence</x:v>
      </x:c>
    </x:row>
    <x:row r="1357" ht="145" customHeight="1">
      <x:c r="A1357" s="10" t="str">
        <x:v>D-B</x:v>
      </x:c>
      <x:c r="B1357" s="10" t="str">
        <x:v>DELIVERY</x:v>
      </x:c>
      <x:c r="C1357" s="10" t="str">
        <x:v>DELIVERY:S08-06:input</x:v>
      </x:c>
      <x:c r="D1357" s="10" t="str">
        <x:v>{"conditions":{"read_selected_content":true},"mail_send_authorized":false,"operation":"late","preserve_unrelated_tasks":true,"targets":["S08-06:question"]}</x:v>
      </x:c>
      <x:c r="E1357" s="10" t="str">
        <x:v>{"conditions":{"read_selected_content":true},"mail_send_authorized":false,"operation":"late","preserve_unrelated_tasks":true,"targets":["S08-06:question"]}</x:v>
      </x:c>
      <x:c r="F1357" s="10" t="n">
        <x:f>IF(D1357=E1357,1,0)</x:f>
        <x:v>1</x:v>
      </x:c>
      <x:c r="G1357" s="10" t="str">
        <x:v>FIXED_CORRECT_SEMANTIC_FIXTURE; not model accuracy evidence</x:v>
      </x:c>
    </x:row>
    <x:row r="1358" ht="145" customHeight="1">
      <x:c r="A1358" s="10" t="str">
        <x:v>D-A</x:v>
      </x:c>
      <x:c r="B1358" s="10" t="str">
        <x:v>DELIVERY</x:v>
      </x:c>
      <x:c r="C1358" s="10" t="str">
        <x:v>DELIVERY:S08-07:input</x:v>
      </x:c>
      <x:c r="D1358" s="10" t="str">
        <x:v>{"conditions":{"read_selected_content":true},"mail_send_authorized":false,"operation":"late","preserve_unrelated_tasks":true,"targets":["S08-07:question"]}</x:v>
      </x:c>
      <x:c r="E1358" s="10" t="str">
        <x:v>{"conditions":{"read_selected_content":true},"mail_send_authorized":false,"operation":"late","preserve_unrelated_tasks":true,"targets":["S08-07:question"]}</x:v>
      </x:c>
      <x:c r="F1358" s="10" t="n">
        <x:f>IF(D1358=E1358,1,0)</x:f>
        <x:v>1</x:v>
      </x:c>
      <x:c r="G1358" s="10" t="str">
        <x:v>FIXED_CORRECT_SEMANTIC_FIXTURE; not model accuracy evidence</x:v>
      </x:c>
    </x:row>
    <x:row r="1359" ht="145" customHeight="1">
      <x:c r="A1359" s="10" t="str">
        <x:v>D-B</x:v>
      </x:c>
      <x:c r="B1359" s="10" t="str">
        <x:v>DELIVERY</x:v>
      </x:c>
      <x:c r="C1359" s="10" t="str">
        <x:v>DELIVERY:S08-07:input</x:v>
      </x:c>
      <x:c r="D1359" s="10" t="str">
        <x:v>{"conditions":{"read_selected_content":true},"mail_send_authorized":false,"operation":"late","preserve_unrelated_tasks":true,"targets":["S08-07:question"]}</x:v>
      </x:c>
      <x:c r="E1359" s="10" t="str">
        <x:v>{"conditions":{"read_selected_content":true},"mail_send_authorized":false,"operation":"late","preserve_unrelated_tasks":true,"targets":["S08-07:question"]}</x:v>
      </x:c>
      <x:c r="F1359" s="10" t="n">
        <x:f>IF(D1359=E1359,1,0)</x:f>
        <x:v>1</x:v>
      </x:c>
      <x:c r="G1359" s="10" t="str">
        <x:v>FIXED_CORRECT_SEMANTIC_FIXTURE; not model accuracy evidence</x:v>
      </x:c>
    </x:row>
    <x:row r="1360" ht="145" customHeight="1">
      <x:c r="A1360" s="10" t="str">
        <x:v>D-A</x:v>
      </x:c>
      <x:c r="B1360" s="10" t="str">
        <x:v>DELIVERY</x:v>
      </x:c>
      <x:c r="C1360" s="10" t="str">
        <x:v>DELIVERY:S08-08:input</x:v>
      </x:c>
      <x:c r="D1360" s="10" t="str">
        <x:v>{"conditions":{"read_selected_content":true},"mail_send_authorized":false,"operation":"late","preserve_unrelated_tasks":true,"targets":["S08-08:question"]}</x:v>
      </x:c>
      <x:c r="E1360" s="10" t="str">
        <x:v>{"conditions":{"read_selected_content":true},"mail_send_authorized":false,"operation":"late","preserve_unrelated_tasks":true,"targets":["S08-08:question"]}</x:v>
      </x:c>
      <x:c r="F1360" s="10" t="n">
        <x:f>IF(D1360=E1360,1,0)</x:f>
        <x:v>1</x:v>
      </x:c>
      <x:c r="G1360" s="10" t="str">
        <x:v>FIXED_CORRECT_SEMANTIC_FIXTURE; not model accuracy evidence</x:v>
      </x:c>
    </x:row>
    <x:row r="1361" ht="145" customHeight="1">
      <x:c r="A1361" s="10" t="str">
        <x:v>D-B</x:v>
      </x:c>
      <x:c r="B1361" s="10" t="str">
        <x:v>DELIVERY</x:v>
      </x:c>
      <x:c r="C1361" s="10" t="str">
        <x:v>DELIVERY:S08-08:input</x:v>
      </x:c>
      <x:c r="D1361" s="10" t="str">
        <x:v>{"conditions":{"read_selected_content":true},"mail_send_authorized":false,"operation":"late","preserve_unrelated_tasks":true,"targets":["S08-08:question"]}</x:v>
      </x:c>
      <x:c r="E1361" s="10" t="str">
        <x:v>{"conditions":{"read_selected_content":true},"mail_send_authorized":false,"operation":"late","preserve_unrelated_tasks":true,"targets":["S08-08:question"]}</x:v>
      </x:c>
      <x:c r="F1361" s="10" t="n">
        <x:f>IF(D1361=E1361,1,0)</x:f>
        <x:v>1</x:v>
      </x:c>
      <x:c r="G1361" s="10" t="str">
        <x:v>FIXED_CORRECT_SEMANTIC_FIXTURE; not model accuracy evidence</x:v>
      </x:c>
    </x:row>
    <x:row r="1362" ht="145" customHeight="1">
      <x:c r="A1362" s="10" t="str">
        <x:v>D-A</x:v>
      </x:c>
      <x:c r="B1362" s="10" t="str">
        <x:v>DELIVERY</x:v>
      </x:c>
      <x:c r="C1362" s="10" t="str">
        <x:v>DELIVERY:S08-09:input</x:v>
      </x:c>
      <x:c r="D1362" s="10" t="str">
        <x:v>{"conditions":{"read_selected_content":true},"mail_send_authorized":false,"operation":"late","preserve_unrelated_tasks":true,"targets":["S08-09:question"]}</x:v>
      </x:c>
      <x:c r="E1362" s="10" t="str">
        <x:v>{"conditions":{"read_selected_content":true},"mail_send_authorized":false,"operation":"late","preserve_unrelated_tasks":true,"targets":["S08-09:question"]}</x:v>
      </x:c>
      <x:c r="F1362" s="10" t="n">
        <x:f>IF(D1362=E1362,1,0)</x:f>
        <x:v>1</x:v>
      </x:c>
      <x:c r="G1362" s="10" t="str">
        <x:v>FIXED_CORRECT_SEMANTIC_FIXTURE; not model accuracy evidence</x:v>
      </x:c>
    </x:row>
    <x:row r="1363" ht="145" customHeight="1">
      <x:c r="A1363" s="10" t="str">
        <x:v>D-B</x:v>
      </x:c>
      <x:c r="B1363" s="10" t="str">
        <x:v>DELIVERY</x:v>
      </x:c>
      <x:c r="C1363" s="10" t="str">
        <x:v>DELIVERY:S08-09:input</x:v>
      </x:c>
      <x:c r="D1363" s="10" t="str">
        <x:v>{"conditions":{"read_selected_content":true},"mail_send_authorized":false,"operation":"late","preserve_unrelated_tasks":true,"targets":["S08-09:question"]}</x:v>
      </x:c>
      <x:c r="E1363" s="10" t="str">
        <x:v>{"conditions":{"read_selected_content":true},"mail_send_authorized":false,"operation":"late","preserve_unrelated_tasks":true,"targets":["S08-09:question"]}</x:v>
      </x:c>
      <x:c r="F1363" s="10" t="n">
        <x:f>IF(D1363=E1363,1,0)</x:f>
        <x:v>1</x:v>
      </x:c>
      <x:c r="G1363" s="10" t="str">
        <x:v>FIXED_CORRECT_SEMANTIC_FIXTURE; not model accuracy evidence</x:v>
      </x:c>
    </x:row>
    <x:row r="1364" ht="145" customHeight="1">
      <x:c r="A1364" s="10" t="str">
        <x:v>D-A</x:v>
      </x:c>
      <x:c r="B1364" s="10" t="str">
        <x:v>DELIVERY</x:v>
      </x:c>
      <x:c r="C1364" s="10" t="str">
        <x:v>DELIVERY:S08-10:input</x:v>
      </x:c>
      <x:c r="D1364" s="10" t="str">
        <x:v>{"conditions":{"read_selected_content":true},"mail_send_authorized":false,"operation":"late","preserve_unrelated_tasks":true,"targets":["S08-10:question"]}</x:v>
      </x:c>
      <x:c r="E1364" s="10" t="str">
        <x:v>{"conditions":{"read_selected_content":true},"mail_send_authorized":false,"operation":"late","preserve_unrelated_tasks":true,"targets":["S08-10:question"]}</x:v>
      </x:c>
      <x:c r="F1364" s="10" t="n">
        <x:f>IF(D1364=E1364,1,0)</x:f>
        <x:v>1</x:v>
      </x:c>
      <x:c r="G1364" s="10" t="str">
        <x:v>FIXED_CORRECT_SEMANTIC_FIXTURE; not model accuracy evidence</x:v>
      </x:c>
    </x:row>
    <x:row r="1365" ht="145" customHeight="1">
      <x:c r="A1365" s="10" t="str">
        <x:v>D-B</x:v>
      </x:c>
      <x:c r="B1365" s="10" t="str">
        <x:v>DELIVERY</x:v>
      </x:c>
      <x:c r="C1365" s="10" t="str">
        <x:v>DELIVERY:S08-10:input</x:v>
      </x:c>
      <x:c r="D1365" s="10" t="str">
        <x:v>{"conditions":{"read_selected_content":true},"mail_send_authorized":false,"operation":"late","preserve_unrelated_tasks":true,"targets":["S08-10:question"]}</x:v>
      </x:c>
      <x:c r="E1365" s="10" t="str">
        <x:v>{"conditions":{"read_selected_content":true},"mail_send_authorized":false,"operation":"late","preserve_unrelated_tasks":true,"targets":["S08-10:question"]}</x:v>
      </x:c>
      <x:c r="F1365" s="10" t="n">
        <x:f>IF(D1365=E1365,1,0)</x:f>
        <x:v>1</x:v>
      </x:c>
      <x:c r="G1365" s="10" t="str">
        <x:v>FIXED_CORRECT_SEMANTIC_FIXTURE; not model accuracy evidence</x:v>
      </x:c>
    </x:row>
  </x:sheetData>
  <x:pageMargins left="0.7" right="0.7" top="0.75" bottom="0.75" header="0.3" footer="0.3"/>
  <x:tableParts count="1">
    <x:tablePart xmlns:r="http://schemas.openxmlformats.org/officeDocument/2006/relationships" r:id="Rb069565e9b1f471a"/>
  </x:tableParts>
</x:worksheet>
</file>

<file path=xl/worksheets/sheet6.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0.5600004196167" hidden="0" customWidth="1"/>
    <x:col min="2" max="2" width="10" hidden="0" customWidth="1"/>
    <x:col min="3" max="3" width="21.110000610351562" hidden="0" customWidth="1"/>
    <x:col min="4" max="4" width="29.440000534057617" hidden="0" customWidth="1"/>
    <x:col min="5" max="5" width="11.670000076293945" hidden="0" customWidth="1"/>
    <x:col min="6" max="6" width="12.779999732971191" hidden="0" customWidth="1"/>
    <x:col min="7" max="7" width="15.5600004196167" hidden="0" customWidth="1"/>
    <x:col min="8" max="8" width="11.670000076293945" hidden="0" customWidth="1"/>
    <x:col min="9" max="9" width="23.329999923706055" hidden="0" customWidth="1"/>
    <x:col min="10" max="10" width="37.779998779296875" hidden="0" customWidth="1"/>
    <x:col min="11" max="11" width="53.33000183105469" hidden="0" customWidth="1"/>
    <x:col min="12" max="12" width="53.33000183105469" hidden="0" customWidth="1"/>
  </x:cols>
  <x:sheetData>
    <x:row r="1">
      <x:c r="A1" s="1"/>
      <x:c r="B1" s="1"/>
      <x:c r="C1" s="1"/>
      <x:c r="D1" s="1"/>
      <x:c r="E1" s="1"/>
      <x:c r="F1" s="1"/>
      <x:c r="G1" s="1"/>
      <x:c r="H1" s="1"/>
      <x:c r="I1" s="1"/>
      <x:c r="J1" s="1"/>
      <x:c r="K1" s="1"/>
      <x:c r="L1" s="1"/>
    </x:row>
    <x:row r="2">
      <x:c r="A2" s="2" t="str">
        <x:v>원래 목표의 VIA 처리 경로</x:v>
      </x:c>
      <x:c r="B2" s="1"/>
      <x:c r="C2" s="1"/>
      <x:c r="D2" s="1"/>
      <x:c r="E2" s="1"/>
      <x:c r="F2" s="1"/>
      <x:c r="G2" s="1"/>
      <x:c r="H2" s="1"/>
      <x:c r="I2" s="1"/>
      <x:c r="J2" s="1"/>
      <x:c r="K2" s="1"/>
      <x:c r="L2" s="1"/>
    </x:row>
    <x:row r="3">
      <x:c r="A3" s="3" t="str">
        <x:v>VIA 초는 외부 duration=0인 인과 DAG 투영값. 경과시간과 같은 단축량이 아니다. DELIVERY는 원래 보고서 10+새 목표 80이다.</x:v>
      </x:c>
      <x:c r="B3" s="1"/>
      <x:c r="C3" s="1"/>
      <x:c r="D3" s="1"/>
      <x:c r="E3" s="1"/>
      <x:c r="F3" s="1"/>
      <x:c r="G3" s="1"/>
      <x:c r="H3" s="1"/>
      <x:c r="I3" s="1"/>
      <x:c r="J3" s="1"/>
      <x:c r="K3" s="1"/>
      <x:c r="L3" s="1"/>
    </x:row>
    <x:row r="4">
      <x:c r="A4" s="1"/>
      <x:c r="B4" s="1"/>
      <x:c r="C4" s="1"/>
      <x:c r="D4" s="1"/>
      <x:c r="E4" s="1"/>
      <x:c r="F4" s="1"/>
      <x:c r="G4" s="1"/>
      <x:c r="H4" s="1"/>
      <x:c r="I4" s="1"/>
      <x:c r="J4" s="1"/>
      <x:c r="K4" s="1"/>
      <x:c r="L4" s="1"/>
    </x:row>
    <x:row r="5" ht="35" customHeight="1">
      <x:c r="A5" s="8" t="str">
        <x:v>구성</x:v>
      </x:c>
      <x:c r="B5" s="8" t="str">
        <x:v>층</x:v>
      </x:c>
      <x:c r="C5" s="8" t="str">
        <x:v>사례</x:v>
      </x:c>
      <x:c r="D5" s="8" t="str">
        <x:v>목표 ID</x:v>
      </x:c>
      <x:c r="E5" s="8" t="str">
        <x:v>VIA 초</x:v>
      </x:c>
      <x:c r="F5" s="8" t="str">
        <x:v>전체 경과 초</x:v>
      </x:c>
      <x:c r="G5" s="8" t="str">
        <x:v>경과와 투영의 차이</x:v>
      </x:c>
      <x:c r="H5" s="8" t="str">
        <x:v>최종 의미 일치</x:v>
      </x:c>
      <x:c r="I5" s="8" t="str">
        <x:v>종료 종류</x:v>
      </x:c>
      <x:c r="J5" s="8" t="str">
        <x:v>QA03 종료 노드</x:v>
      </x:c>
      <x:c r="K5" s="8" t="str">
        <x:v>입력 ID</x:v>
      </x:c>
      <x:c r="L5" s="8" t="str">
        <x:v>전체 terminal 목록</x:v>
      </x:c>
    </x:row>
    <x:row r="6" ht="52" customHeight="1">
      <x:c r="A6" s="10" t="str">
        <x:v>T-BASE</x:v>
      </x:c>
      <x:c r="B6" s="10" t="str">
        <x:v>TEXT</x:v>
      </x:c>
      <x:c r="C6" s="10" t="str">
        <x:v>TEXT:SYN-F01-01</x:v>
      </x:c>
      <x:c r="D6" s="10" t="str">
        <x:v>TEXT:SYN-F01-01-G01</x:v>
      </x:c>
      <x:c r="E6" s="11" t="n">
        <x:v>7.576964</x:v>
      </x:c>
      <x:c r="F6" s="11" t="n">
        <x:v>25.076964</x:v>
      </x:c>
      <x:c r="G6" s="11" t="n">
        <x:f>F6-E6</x:f>
        <x:v>17.5</x:v>
      </x:c>
      <x:c r="H6" s="10" t="n">
        <x:v>1</x:v>
      </x:c>
      <x:c r="I6" s="10" t="str">
        <x:v>AUTHORED_TERMINAL</x:v>
      </x:c>
      <x:c r="J6" s="10" t="str">
        <x:v>TEXT:SYN-F01-01-BASE-N21</x:v>
      </x:c>
      <x:c r="K6" s="10" t="str">
        <x:v>TEXT:SYN-F01-01-U01, TEXT:SYN-F01-01-U02</x:v>
      </x:c>
      <x:c r="L6" s="10" t="str">
        <x:v>TEXT:SYN-F01-01-BASE-N21</x:v>
      </x:c>
    </x:row>
    <x:row r="7" ht="52" customHeight="1">
      <x:c r="A7" s="10" t="str">
        <x:v>T-EXEC</x:v>
      </x:c>
      <x:c r="B7" s="10" t="str">
        <x:v>TEXT</x:v>
      </x:c>
      <x:c r="C7" s="10" t="str">
        <x:v>TEXT:SYN-F01-01</x:v>
      </x:c>
      <x:c r="D7" s="10" t="str">
        <x:v>TEXT:SYN-F01-01-G01</x:v>
      </x:c>
      <x:c r="E7" s="11" t="n">
        <x:v>8.031964</x:v>
      </x:c>
      <x:c r="F7" s="11" t="n">
        <x:v>25.531964</x:v>
      </x:c>
      <x:c r="G7" s="11" t="n">
        <x:f>F7-E7</x:f>
        <x:v>17.5</x:v>
      </x:c>
      <x:c r="H7" s="10" t="n">
        <x:v>1</x:v>
      </x:c>
      <x:c r="I7" s="10" t="str">
        <x:v>AUTHORED_TERMINAL</x:v>
      </x:c>
      <x:c r="J7" s="10" t="str">
        <x:v>TEXT:SYN-F01-01-EXEC-N22</x:v>
      </x:c>
      <x:c r="K7" s="10" t="str">
        <x:v>TEXT:SYN-F01-01-U01, TEXT:SYN-F01-01-U02</x:v>
      </x:c>
      <x:c r="L7" s="10" t="str">
        <x:v>TEXT:SYN-F01-01-EXEC-N22</x:v>
      </x:c>
    </x:row>
    <x:row r="8" ht="52" customHeight="1">
      <x:c r="A8" s="10" t="str">
        <x:v>T-REL</x:v>
      </x:c>
      <x:c r="B8" s="10" t="str">
        <x:v>TEXT</x:v>
      </x:c>
      <x:c r="C8" s="10" t="str">
        <x:v>TEXT:SYN-F01-01</x:v>
      </x:c>
      <x:c r="D8" s="10" t="str">
        <x:v>TEXT:SYN-F01-01-G01</x:v>
      </x:c>
      <x:c r="E8" s="11" t="n">
        <x:v>7.576964</x:v>
      </x:c>
      <x:c r="F8" s="11" t="n">
        <x:v>25.076964</x:v>
      </x:c>
      <x:c r="G8" s="11" t="n">
        <x:f>F8-E8</x:f>
        <x:v>17.5</x:v>
      </x:c>
      <x:c r="H8" s="10" t="n">
        <x:v>1</x:v>
      </x:c>
      <x:c r="I8" s="10" t="str">
        <x:v>AUTHORED_TERMINAL</x:v>
      </x:c>
      <x:c r="J8" s="10" t="str">
        <x:v>TEXT:SYN-F01-01-REL-N24</x:v>
      </x:c>
      <x:c r="K8" s="10" t="str">
        <x:v>TEXT:SYN-F01-01-U01, TEXT:SYN-F01-01-U02</x:v>
      </x:c>
      <x:c r="L8" s="10" t="str">
        <x:v>TEXT:SYN-F01-01-REL-N24</x:v>
      </x:c>
    </x:row>
    <x:row r="9" ht="52" customHeight="1">
      <x:c r="A9" s="10" t="str">
        <x:v>T-BASE</x:v>
      </x:c>
      <x:c r="B9" s="10" t="str">
        <x:v>TEXT</x:v>
      </x:c>
      <x:c r="C9" s="10" t="str">
        <x:v>TEXT:SYN-F01-02</x:v>
      </x:c>
      <x:c r="D9" s="10" t="str">
        <x:v>TEXT:SYN-F01-02-G01</x:v>
      </x:c>
      <x:c r="E9" s="11" t="n">
        <x:v>7.703964</x:v>
      </x:c>
      <x:c r="F9" s="11" t="n">
        <x:v>25.203964</x:v>
      </x:c>
      <x:c r="G9" s="11" t="n">
        <x:f>F9-E9</x:f>
        <x:v>17.5</x:v>
      </x:c>
      <x:c r="H9" s="10" t="n">
        <x:v>1</x:v>
      </x:c>
      <x:c r="I9" s="10" t="str">
        <x:v>AUTHORED_TERMINAL</x:v>
      </x:c>
      <x:c r="J9" s="10" t="str">
        <x:v>TEXT:SYN-F01-02-BASE-N21</x:v>
      </x:c>
      <x:c r="K9" s="10" t="str">
        <x:v>TEXT:SYN-F01-02-U01, TEXT:SYN-F01-02-U02</x:v>
      </x:c>
      <x:c r="L9" s="10" t="str">
        <x:v>TEXT:SYN-F01-02-BASE-N21</x:v>
      </x:c>
    </x:row>
    <x:row r="10" ht="52" customHeight="1">
      <x:c r="A10" s="10" t="str">
        <x:v>T-EXEC</x:v>
      </x:c>
      <x:c r="B10" s="10" t="str">
        <x:v>TEXT</x:v>
      </x:c>
      <x:c r="C10" s="10" t="str">
        <x:v>TEXT:SYN-F01-02</x:v>
      </x:c>
      <x:c r="D10" s="10" t="str">
        <x:v>TEXT:SYN-F01-02-G01</x:v>
      </x:c>
      <x:c r="E10" s="11" t="n">
        <x:v>8.168643</x:v>
      </x:c>
      <x:c r="F10" s="11" t="n">
        <x:v>25.668643</x:v>
      </x:c>
      <x:c r="G10" s="11" t="n">
        <x:f>F10-E10</x:f>
        <x:v>17.5</x:v>
      </x:c>
      <x:c r="H10" s="10" t="n">
        <x:v>1</x:v>
      </x:c>
      <x:c r="I10" s="10" t="str">
        <x:v>AUTHORED_TERMINAL</x:v>
      </x:c>
      <x:c r="J10" s="10" t="str">
        <x:v>TEXT:SYN-F01-02-EXEC-N22</x:v>
      </x:c>
      <x:c r="K10" s="10" t="str">
        <x:v>TEXT:SYN-F01-02-U01, TEXT:SYN-F01-02-U02</x:v>
      </x:c>
      <x:c r="L10" s="10" t="str">
        <x:v>TEXT:SYN-F01-02-EXEC-N22</x:v>
      </x:c>
    </x:row>
    <x:row r="11" ht="52" customHeight="1">
      <x:c r="A11" s="10" t="str">
        <x:v>T-REL</x:v>
      </x:c>
      <x:c r="B11" s="10" t="str">
        <x:v>TEXT</x:v>
      </x:c>
      <x:c r="C11" s="10" t="str">
        <x:v>TEXT:SYN-F01-02</x:v>
      </x:c>
      <x:c r="D11" s="10" t="str">
        <x:v>TEXT:SYN-F01-02-G01</x:v>
      </x:c>
      <x:c r="E11" s="11" t="n">
        <x:v>7.703964</x:v>
      </x:c>
      <x:c r="F11" s="11" t="n">
        <x:v>25.203964</x:v>
      </x:c>
      <x:c r="G11" s="11" t="n">
        <x:f>F11-E11</x:f>
        <x:v>17.5</x:v>
      </x:c>
      <x:c r="H11" s="10" t="n">
        <x:v>1</x:v>
      </x:c>
      <x:c r="I11" s="10" t="str">
        <x:v>AUTHORED_TERMINAL</x:v>
      </x:c>
      <x:c r="J11" s="10" t="str">
        <x:v>TEXT:SYN-F01-02-REL-N24</x:v>
      </x:c>
      <x:c r="K11" s="10" t="str">
        <x:v>TEXT:SYN-F01-02-U01, TEXT:SYN-F01-02-U02</x:v>
      </x:c>
      <x:c r="L11" s="10" t="str">
        <x:v>TEXT:SYN-F01-02-REL-N24</x:v>
      </x:c>
    </x:row>
    <x:row r="12" ht="52" customHeight="1">
      <x:c r="A12" s="10" t="str">
        <x:v>T-BASE</x:v>
      </x:c>
      <x:c r="B12" s="10" t="str">
        <x:v>TEXT</x:v>
      </x:c>
      <x:c r="C12" s="10" t="str">
        <x:v>TEXT:SYN-F01-03</x:v>
      </x:c>
      <x:c r="D12" s="10" t="str">
        <x:v>TEXT:SYN-F01-03-G01</x:v>
      </x:c>
      <x:c r="E12" s="11" t="n">
        <x:v>7.830964</x:v>
      </x:c>
      <x:c r="F12" s="11" t="n">
        <x:v>25.330964</x:v>
      </x:c>
      <x:c r="G12" s="11" t="n">
        <x:f>F12-E12</x:f>
        <x:v>17.5</x:v>
      </x:c>
      <x:c r="H12" s="10" t="n">
        <x:v>1</x:v>
      </x:c>
      <x:c r="I12" s="10" t="str">
        <x:v>AUTHORED_TERMINAL</x:v>
      </x:c>
      <x:c r="J12" s="10" t="str">
        <x:v>TEXT:SYN-F01-03-BASE-N21</x:v>
      </x:c>
      <x:c r="K12" s="10" t="str">
        <x:v>TEXT:SYN-F01-03-U01, TEXT:SYN-F01-03-U02</x:v>
      </x:c>
      <x:c r="L12" s="10" t="str">
        <x:v>TEXT:SYN-F01-03-BASE-N21</x:v>
      </x:c>
    </x:row>
    <x:row r="13" ht="52" customHeight="1">
      <x:c r="A13" s="10" t="str">
        <x:v>T-EXEC</x:v>
      </x:c>
      <x:c r="B13" s="10" t="str">
        <x:v>TEXT</x:v>
      </x:c>
      <x:c r="C13" s="10" t="str">
        <x:v>TEXT:SYN-F01-03</x:v>
      </x:c>
      <x:c r="D13" s="10" t="str">
        <x:v>TEXT:SYN-F01-03-G01</x:v>
      </x:c>
      <x:c r="E13" s="11" t="n">
        <x:v>8.305321</x:v>
      </x:c>
      <x:c r="F13" s="11" t="n">
        <x:v>25.805321</x:v>
      </x:c>
      <x:c r="G13" s="11" t="n">
        <x:f>F13-E13</x:f>
        <x:v>17.5</x:v>
      </x:c>
      <x:c r="H13" s="10" t="n">
        <x:v>1</x:v>
      </x:c>
      <x:c r="I13" s="10" t="str">
        <x:v>AUTHORED_TERMINAL</x:v>
      </x:c>
      <x:c r="J13" s="10" t="str">
        <x:v>TEXT:SYN-F01-03-EXEC-N22</x:v>
      </x:c>
      <x:c r="K13" s="10" t="str">
        <x:v>TEXT:SYN-F01-03-U01, TEXT:SYN-F01-03-U02</x:v>
      </x:c>
      <x:c r="L13" s="10" t="str">
        <x:v>TEXT:SYN-F01-03-EXEC-N22</x:v>
      </x:c>
    </x:row>
    <x:row r="14" ht="52" customHeight="1">
      <x:c r="A14" s="10" t="str">
        <x:v>T-REL</x:v>
      </x:c>
      <x:c r="B14" s="10" t="str">
        <x:v>TEXT</x:v>
      </x:c>
      <x:c r="C14" s="10" t="str">
        <x:v>TEXT:SYN-F01-03</x:v>
      </x:c>
      <x:c r="D14" s="10" t="str">
        <x:v>TEXT:SYN-F01-03-G01</x:v>
      </x:c>
      <x:c r="E14" s="11" t="n">
        <x:v>7.830964</x:v>
      </x:c>
      <x:c r="F14" s="11" t="n">
        <x:v>25.330964</x:v>
      </x:c>
      <x:c r="G14" s="11" t="n">
        <x:f>F14-E14</x:f>
        <x:v>17.5</x:v>
      </x:c>
      <x:c r="H14" s="10" t="n">
        <x:v>1</x:v>
      </x:c>
      <x:c r="I14" s="10" t="str">
        <x:v>AUTHORED_TERMINAL</x:v>
      </x:c>
      <x:c r="J14" s="10" t="str">
        <x:v>TEXT:SYN-F01-03-REL-N24</x:v>
      </x:c>
      <x:c r="K14" s="10" t="str">
        <x:v>TEXT:SYN-F01-03-U01, TEXT:SYN-F01-03-U02</x:v>
      </x:c>
      <x:c r="L14" s="10" t="str">
        <x:v>TEXT:SYN-F01-03-REL-N24</x:v>
      </x:c>
    </x:row>
    <x:row r="15" ht="52" customHeight="1">
      <x:c r="A15" s="10" t="str">
        <x:v>T-BASE</x:v>
      </x:c>
      <x:c r="B15" s="10" t="str">
        <x:v>TEXT</x:v>
      </x:c>
      <x:c r="C15" s="10" t="str">
        <x:v>TEXT:SYN-F01-04</x:v>
      </x:c>
      <x:c r="D15" s="10" t="str">
        <x:v>TEXT:SYN-F01-04-G01</x:v>
      </x:c>
      <x:c r="E15" s="11" t="n">
        <x:v>7.957964</x:v>
      </x:c>
      <x:c r="F15" s="11" t="n">
        <x:v>25.457964</x:v>
      </x:c>
      <x:c r="G15" s="11" t="n">
        <x:f>F15-E15</x:f>
        <x:v>17.5</x:v>
      </x:c>
      <x:c r="H15" s="10" t="n">
        <x:v>1</x:v>
      </x:c>
      <x:c r="I15" s="10" t="str">
        <x:v>AUTHORED_TERMINAL</x:v>
      </x:c>
      <x:c r="J15" s="10" t="str">
        <x:v>TEXT:SYN-F01-04-BASE-N21</x:v>
      </x:c>
      <x:c r="K15" s="10" t="str">
        <x:v>TEXT:SYN-F01-04-U01, TEXT:SYN-F01-04-U02</x:v>
      </x:c>
      <x:c r="L15" s="10" t="str">
        <x:v>TEXT:SYN-F01-04-BASE-N21</x:v>
      </x:c>
    </x:row>
    <x:row r="16" ht="52" customHeight="1">
      <x:c r="A16" s="10" t="str">
        <x:v>T-EXEC</x:v>
      </x:c>
      <x:c r="B16" s="10" t="str">
        <x:v>TEXT</x:v>
      </x:c>
      <x:c r="C16" s="10" t="str">
        <x:v>TEXT:SYN-F01-04</x:v>
      </x:c>
      <x:c r="D16" s="10" t="str">
        <x:v>TEXT:SYN-F01-04-G01</x:v>
      </x:c>
      <x:c r="E16" s="11" t="n">
        <x:v>8.42325</x:v>
      </x:c>
      <x:c r="F16" s="11" t="n">
        <x:v>25.92325</x:v>
      </x:c>
      <x:c r="G16" s="11" t="n">
        <x:f>F16-E16</x:f>
        <x:v>17.5</x:v>
      </x:c>
      <x:c r="H16" s="10" t="n">
        <x:v>1</x:v>
      </x:c>
      <x:c r="I16" s="10" t="str">
        <x:v>AUTHORED_TERMINAL</x:v>
      </x:c>
      <x:c r="J16" s="10" t="str">
        <x:v>TEXT:SYN-F01-04-EXEC-N22</x:v>
      </x:c>
      <x:c r="K16" s="10" t="str">
        <x:v>TEXT:SYN-F01-04-U01, TEXT:SYN-F01-04-U02</x:v>
      </x:c>
      <x:c r="L16" s="10" t="str">
        <x:v>TEXT:SYN-F01-04-EXEC-N22</x:v>
      </x:c>
    </x:row>
    <x:row r="17" ht="52" customHeight="1">
      <x:c r="A17" s="10" t="str">
        <x:v>T-REL</x:v>
      </x:c>
      <x:c r="B17" s="10" t="str">
        <x:v>TEXT</x:v>
      </x:c>
      <x:c r="C17" s="10" t="str">
        <x:v>TEXT:SYN-F01-04</x:v>
      </x:c>
      <x:c r="D17" s="10" t="str">
        <x:v>TEXT:SYN-F01-04-G01</x:v>
      </x:c>
      <x:c r="E17" s="11" t="n">
        <x:v>7.957964</x:v>
      </x:c>
      <x:c r="F17" s="11" t="n">
        <x:v>25.457964</x:v>
      </x:c>
      <x:c r="G17" s="11" t="n">
        <x:f>F17-E17</x:f>
        <x:v>17.5</x:v>
      </x:c>
      <x:c r="H17" s="10" t="n">
        <x:v>1</x:v>
      </x:c>
      <x:c r="I17" s="10" t="str">
        <x:v>AUTHORED_TERMINAL</x:v>
      </x:c>
      <x:c r="J17" s="10" t="str">
        <x:v>TEXT:SYN-F01-04-REL-N24</x:v>
      </x:c>
      <x:c r="K17" s="10" t="str">
        <x:v>TEXT:SYN-F01-04-U01, TEXT:SYN-F01-04-U02</x:v>
      </x:c>
      <x:c r="L17" s="10" t="str">
        <x:v>TEXT:SYN-F01-04-REL-N24</x:v>
      </x:c>
    </x:row>
    <x:row r="18" ht="52" customHeight="1">
      <x:c r="A18" s="10" t="str">
        <x:v>T-BASE</x:v>
      </x:c>
      <x:c r="B18" s="10" t="str">
        <x:v>TEXT</x:v>
      </x:c>
      <x:c r="C18" s="10" t="str">
        <x:v>TEXT:SYN-F01-05</x:v>
      </x:c>
      <x:c r="D18" s="10" t="str">
        <x:v>TEXT:SYN-F01-05-G01</x:v>
      </x:c>
      <x:c r="E18" s="11" t="n">
        <x:v>7.984964</x:v>
      </x:c>
      <x:c r="F18" s="11" t="n">
        <x:v>25.484964</x:v>
      </x:c>
      <x:c r="G18" s="11" t="n">
        <x:f>F18-E18</x:f>
        <x:v>17.5</x:v>
      </x:c>
      <x:c r="H18" s="10" t="n">
        <x:v>1</x:v>
      </x:c>
      <x:c r="I18" s="10" t="str">
        <x:v>AUTHORED_TERMINAL</x:v>
      </x:c>
      <x:c r="J18" s="10" t="str">
        <x:v>TEXT:SYN-F01-05-BASE-N21</x:v>
      </x:c>
      <x:c r="K18" s="10" t="str">
        <x:v>TEXT:SYN-F01-05-U01, TEXT:SYN-F01-05-U02</x:v>
      </x:c>
      <x:c r="L18" s="10" t="str">
        <x:v>TEXT:SYN-F01-05-BASE-N21</x:v>
      </x:c>
    </x:row>
    <x:row r="19" ht="52" customHeight="1">
      <x:c r="A19" s="10" t="str">
        <x:v>T-EXEC</x:v>
      </x:c>
      <x:c r="B19" s="10" t="str">
        <x:v>TEXT</x:v>
      </x:c>
      <x:c r="C19" s="10" t="str">
        <x:v>TEXT:SYN-F01-05</x:v>
      </x:c>
      <x:c r="D19" s="10" t="str">
        <x:v>TEXT:SYN-F01-05-G01</x:v>
      </x:c>
      <x:c r="E19" s="11" t="n">
        <x:v>8.459928</x:v>
      </x:c>
      <x:c r="F19" s="11" t="n">
        <x:v>25.959928</x:v>
      </x:c>
      <x:c r="G19" s="11" t="n">
        <x:f>F19-E19</x:f>
        <x:v>17.5</x:v>
      </x:c>
      <x:c r="H19" s="10" t="n">
        <x:v>1</x:v>
      </x:c>
      <x:c r="I19" s="10" t="str">
        <x:v>AUTHORED_TERMINAL</x:v>
      </x:c>
      <x:c r="J19" s="10" t="str">
        <x:v>TEXT:SYN-F01-05-EXEC-N22</x:v>
      </x:c>
      <x:c r="K19" s="10" t="str">
        <x:v>TEXT:SYN-F01-05-U01, TEXT:SYN-F01-05-U02</x:v>
      </x:c>
      <x:c r="L19" s="10" t="str">
        <x:v>TEXT:SYN-F01-05-EXEC-N22</x:v>
      </x:c>
    </x:row>
    <x:row r="20" ht="52" customHeight="1">
      <x:c r="A20" s="10" t="str">
        <x:v>T-REL</x:v>
      </x:c>
      <x:c r="B20" s="10" t="str">
        <x:v>TEXT</x:v>
      </x:c>
      <x:c r="C20" s="10" t="str">
        <x:v>TEXT:SYN-F01-05</x:v>
      </x:c>
      <x:c r="D20" s="10" t="str">
        <x:v>TEXT:SYN-F01-05-G01</x:v>
      </x:c>
      <x:c r="E20" s="11" t="n">
        <x:v>7.984964</x:v>
      </x:c>
      <x:c r="F20" s="11" t="n">
        <x:v>25.484964</x:v>
      </x:c>
      <x:c r="G20" s="11" t="n">
        <x:f>F20-E20</x:f>
        <x:v>17.5</x:v>
      </x:c>
      <x:c r="H20" s="10" t="n">
        <x:v>1</x:v>
      </x:c>
      <x:c r="I20" s="10" t="str">
        <x:v>AUTHORED_TERMINAL</x:v>
      </x:c>
      <x:c r="J20" s="10" t="str">
        <x:v>TEXT:SYN-F01-05-REL-N24</x:v>
      </x:c>
      <x:c r="K20" s="10" t="str">
        <x:v>TEXT:SYN-F01-05-U01, TEXT:SYN-F01-05-U02</x:v>
      </x:c>
      <x:c r="L20" s="10" t="str">
        <x:v>TEXT:SYN-F01-05-REL-N24</x:v>
      </x:c>
    </x:row>
    <x:row r="21" ht="52" customHeight="1">
      <x:c r="A21" s="10" t="str">
        <x:v>T-BASE</x:v>
      </x:c>
      <x:c r="B21" s="10" t="str">
        <x:v>TEXT</x:v>
      </x:c>
      <x:c r="C21" s="10" t="str">
        <x:v>TEXT:SYN-F01-06</x:v>
      </x:c>
      <x:c r="D21" s="10" t="str">
        <x:v>TEXT:SYN-F01-06-G01</x:v>
      </x:c>
      <x:c r="E21" s="11" t="n">
        <x:v>7.946964</x:v>
      </x:c>
      <x:c r="F21" s="11" t="n">
        <x:v>25.446964</x:v>
      </x:c>
      <x:c r="G21" s="11" t="n">
        <x:f>F21-E21</x:f>
        <x:v>17.5</x:v>
      </x:c>
      <x:c r="H21" s="10" t="n">
        <x:v>1</x:v>
      </x:c>
      <x:c r="I21" s="10" t="str">
        <x:v>AUTHORED_TERMINAL</x:v>
      </x:c>
      <x:c r="J21" s="10" t="str">
        <x:v>TEXT:SYN-F01-06-BASE-N21</x:v>
      </x:c>
      <x:c r="K21" s="10" t="str">
        <x:v>TEXT:SYN-F01-06-U01, TEXT:SYN-F01-06-U02</x:v>
      </x:c>
      <x:c r="L21" s="10" t="str">
        <x:v>TEXT:SYN-F01-06-BASE-N21</x:v>
      </x:c>
    </x:row>
    <x:row r="22" ht="52" customHeight="1">
      <x:c r="A22" s="10" t="str">
        <x:v>T-EXEC</x:v>
      </x:c>
      <x:c r="B22" s="10" t="str">
        <x:v>TEXT</x:v>
      </x:c>
      <x:c r="C22" s="10" t="str">
        <x:v>TEXT:SYN-F01-06</x:v>
      </x:c>
      <x:c r="D22" s="10" t="str">
        <x:v>TEXT:SYN-F01-06-G01</x:v>
      </x:c>
      <x:c r="E22" s="11" t="n">
        <x:v>8.431607</x:v>
      </x:c>
      <x:c r="F22" s="11" t="n">
        <x:v>25.931607</x:v>
      </x:c>
      <x:c r="G22" s="11" t="n">
        <x:f>F22-E22</x:f>
        <x:v>17.5</x:v>
      </x:c>
      <x:c r="H22" s="10" t="n">
        <x:v>1</x:v>
      </x:c>
      <x:c r="I22" s="10" t="str">
        <x:v>AUTHORED_TERMINAL</x:v>
      </x:c>
      <x:c r="J22" s="10" t="str">
        <x:v>TEXT:SYN-F01-06-EXEC-N22</x:v>
      </x:c>
      <x:c r="K22" s="10" t="str">
        <x:v>TEXT:SYN-F01-06-U01, TEXT:SYN-F01-06-U02</x:v>
      </x:c>
      <x:c r="L22" s="10" t="str">
        <x:v>TEXT:SYN-F01-06-EXEC-N22</x:v>
      </x:c>
    </x:row>
    <x:row r="23" ht="52" customHeight="1">
      <x:c r="A23" s="10" t="str">
        <x:v>T-REL</x:v>
      </x:c>
      <x:c r="B23" s="10" t="str">
        <x:v>TEXT</x:v>
      </x:c>
      <x:c r="C23" s="10" t="str">
        <x:v>TEXT:SYN-F01-06</x:v>
      </x:c>
      <x:c r="D23" s="10" t="str">
        <x:v>TEXT:SYN-F01-06-G01</x:v>
      </x:c>
      <x:c r="E23" s="11" t="n">
        <x:v>7.946964</x:v>
      </x:c>
      <x:c r="F23" s="11" t="n">
        <x:v>25.446964</x:v>
      </x:c>
      <x:c r="G23" s="11" t="n">
        <x:f>F23-E23</x:f>
        <x:v>17.5</x:v>
      </x:c>
      <x:c r="H23" s="10" t="n">
        <x:v>1</x:v>
      </x:c>
      <x:c r="I23" s="10" t="str">
        <x:v>AUTHORED_TERMINAL</x:v>
      </x:c>
      <x:c r="J23" s="10" t="str">
        <x:v>TEXT:SYN-F01-06-REL-N24</x:v>
      </x:c>
      <x:c r="K23" s="10" t="str">
        <x:v>TEXT:SYN-F01-06-U01, TEXT:SYN-F01-06-U02</x:v>
      </x:c>
      <x:c r="L23" s="10" t="str">
        <x:v>TEXT:SYN-F01-06-REL-N24</x:v>
      </x:c>
    </x:row>
    <x:row r="24" ht="52" customHeight="1">
      <x:c r="A24" s="10" t="str">
        <x:v>T-BASE</x:v>
      </x:c>
      <x:c r="B24" s="10" t="str">
        <x:v>TEXT</x:v>
      </x:c>
      <x:c r="C24" s="10" t="str">
        <x:v>TEXT:SYN-F01-07</x:v>
      </x:c>
      <x:c r="D24" s="10" t="str">
        <x:v>TEXT:SYN-F01-07-G01</x:v>
      </x:c>
      <x:c r="E24" s="11" t="n">
        <x:v>8.073966</x:v>
      </x:c>
      <x:c r="F24" s="11" t="n">
        <x:v>25.573966</x:v>
      </x:c>
      <x:c r="G24" s="11" t="n">
        <x:f>F24-E24</x:f>
        <x:v>17.5</x:v>
      </x:c>
      <x:c r="H24" s="10" t="n">
        <x:v>1</x:v>
      </x:c>
      <x:c r="I24" s="10" t="str">
        <x:v>AUTHORED_TERMINAL</x:v>
      </x:c>
      <x:c r="J24" s="10" t="str">
        <x:v>TEXT:SYN-F01-07-BASE-N21</x:v>
      </x:c>
      <x:c r="K24" s="10" t="str">
        <x:v>TEXT:SYN-F01-07-U01, TEXT:SYN-F01-07-U02</x:v>
      </x:c>
      <x:c r="L24" s="10" t="str">
        <x:v>TEXT:SYN-F01-07-BASE-N21</x:v>
      </x:c>
    </x:row>
    <x:row r="25" ht="52" customHeight="1">
      <x:c r="A25" s="10" t="str">
        <x:v>T-EXEC</x:v>
      </x:c>
      <x:c r="B25" s="10" t="str">
        <x:v>TEXT</x:v>
      </x:c>
      <x:c r="C25" s="10" t="str">
        <x:v>TEXT:SYN-F01-07</x:v>
      </x:c>
      <x:c r="D25" s="10" t="str">
        <x:v>TEXT:SYN-F01-07-G01</x:v>
      </x:c>
      <x:c r="E25" s="11" t="n">
        <x:v>8.549537</x:v>
      </x:c>
      <x:c r="F25" s="11" t="n">
        <x:v>26.049537</x:v>
      </x:c>
      <x:c r="G25" s="11" t="n">
        <x:f>F25-E25</x:f>
        <x:v>17.5</x:v>
      </x:c>
      <x:c r="H25" s="10" t="n">
        <x:v>1</x:v>
      </x:c>
      <x:c r="I25" s="10" t="str">
        <x:v>AUTHORED_TERMINAL</x:v>
      </x:c>
      <x:c r="J25" s="10" t="str">
        <x:v>TEXT:SYN-F01-07-EXEC-N22</x:v>
      </x:c>
      <x:c r="K25" s="10" t="str">
        <x:v>TEXT:SYN-F01-07-U01, TEXT:SYN-F01-07-U02</x:v>
      </x:c>
      <x:c r="L25" s="10" t="str">
        <x:v>TEXT:SYN-F01-07-EXEC-N22</x:v>
      </x:c>
    </x:row>
    <x:row r="26" ht="52" customHeight="1">
      <x:c r="A26" s="10" t="str">
        <x:v>T-REL</x:v>
      </x:c>
      <x:c r="B26" s="10" t="str">
        <x:v>TEXT</x:v>
      </x:c>
      <x:c r="C26" s="10" t="str">
        <x:v>TEXT:SYN-F01-07</x:v>
      </x:c>
      <x:c r="D26" s="10" t="str">
        <x:v>TEXT:SYN-F01-07-G01</x:v>
      </x:c>
      <x:c r="E26" s="11" t="n">
        <x:v>8.073966</x:v>
      </x:c>
      <x:c r="F26" s="11" t="n">
        <x:v>25.573966</x:v>
      </x:c>
      <x:c r="G26" s="11" t="n">
        <x:f>F26-E26</x:f>
        <x:v>17.5</x:v>
      </x:c>
      <x:c r="H26" s="10" t="n">
        <x:v>1</x:v>
      </x:c>
      <x:c r="I26" s="10" t="str">
        <x:v>AUTHORED_TERMINAL</x:v>
      </x:c>
      <x:c r="J26" s="10" t="str">
        <x:v>TEXT:SYN-F01-07-REL-N24</x:v>
      </x:c>
      <x:c r="K26" s="10" t="str">
        <x:v>TEXT:SYN-F01-07-U01, TEXT:SYN-F01-07-U02</x:v>
      </x:c>
      <x:c r="L26" s="10" t="str">
        <x:v>TEXT:SYN-F01-07-REL-N24</x:v>
      </x:c>
    </x:row>
    <x:row r="27" ht="52" customHeight="1">
      <x:c r="A27" s="10" t="str">
        <x:v>T-BASE</x:v>
      </x:c>
      <x:c r="B27" s="10" t="str">
        <x:v>TEXT</x:v>
      </x:c>
      <x:c r="C27" s="10" t="str">
        <x:v>TEXT:SYN-F01-08</x:v>
      </x:c>
      <x:c r="D27" s="10" t="str">
        <x:v>TEXT:SYN-F01-08-G01</x:v>
      </x:c>
      <x:c r="E27" s="11" t="n">
        <x:v>8.200964</x:v>
      </x:c>
      <x:c r="F27" s="11" t="n">
        <x:v>25.700964</x:v>
      </x:c>
      <x:c r="G27" s="11" t="n">
        <x:f>F27-E27</x:f>
        <x:v>17.5</x:v>
      </x:c>
      <x:c r="H27" s="10" t="n">
        <x:v>1</x:v>
      </x:c>
      <x:c r="I27" s="10" t="str">
        <x:v>AUTHORED_TERMINAL</x:v>
      </x:c>
      <x:c r="J27" s="10" t="str">
        <x:v>TEXT:SYN-F01-08-BASE-N21</x:v>
      </x:c>
      <x:c r="K27" s="10" t="str">
        <x:v>TEXT:SYN-F01-08-U01, TEXT:SYN-F01-08-U02</x:v>
      </x:c>
      <x:c r="L27" s="10" t="str">
        <x:v>TEXT:SYN-F01-08-BASE-N21</x:v>
      </x:c>
    </x:row>
    <x:row r="28" ht="52" customHeight="1">
      <x:c r="A28" s="10" t="str">
        <x:v>T-EXEC</x:v>
      </x:c>
      <x:c r="B28" s="10" t="str">
        <x:v>TEXT</x:v>
      </x:c>
      <x:c r="C28" s="10" t="str">
        <x:v>TEXT:SYN-F01-08</x:v>
      </x:c>
      <x:c r="D28" s="10" t="str">
        <x:v>TEXT:SYN-F01-08-G01</x:v>
      </x:c>
      <x:c r="E28" s="11" t="n">
        <x:v>8.686214</x:v>
      </x:c>
      <x:c r="F28" s="11" t="n">
        <x:v>26.186214</x:v>
      </x:c>
      <x:c r="G28" s="11" t="n">
        <x:f>F28-E28</x:f>
        <x:v>17.5</x:v>
      </x:c>
      <x:c r="H28" s="10" t="n">
        <x:v>1</x:v>
      </x:c>
      <x:c r="I28" s="10" t="str">
        <x:v>AUTHORED_TERMINAL</x:v>
      </x:c>
      <x:c r="J28" s="10" t="str">
        <x:v>TEXT:SYN-F01-08-EXEC-N22</x:v>
      </x:c>
      <x:c r="K28" s="10" t="str">
        <x:v>TEXT:SYN-F01-08-U01, TEXT:SYN-F01-08-U02</x:v>
      </x:c>
      <x:c r="L28" s="10" t="str">
        <x:v>TEXT:SYN-F01-08-EXEC-N22</x:v>
      </x:c>
    </x:row>
    <x:row r="29" ht="52" customHeight="1">
      <x:c r="A29" s="10" t="str">
        <x:v>T-REL</x:v>
      </x:c>
      <x:c r="B29" s="10" t="str">
        <x:v>TEXT</x:v>
      </x:c>
      <x:c r="C29" s="10" t="str">
        <x:v>TEXT:SYN-F01-08</x:v>
      </x:c>
      <x:c r="D29" s="10" t="str">
        <x:v>TEXT:SYN-F01-08-G01</x:v>
      </x:c>
      <x:c r="E29" s="11" t="n">
        <x:v>8.200964</x:v>
      </x:c>
      <x:c r="F29" s="11" t="n">
        <x:v>25.700964</x:v>
      </x:c>
      <x:c r="G29" s="11" t="n">
        <x:f>F29-E29</x:f>
        <x:v>17.5</x:v>
      </x:c>
      <x:c r="H29" s="10" t="n">
        <x:v>1</x:v>
      </x:c>
      <x:c r="I29" s="10" t="str">
        <x:v>AUTHORED_TERMINAL</x:v>
      </x:c>
      <x:c r="J29" s="10" t="str">
        <x:v>TEXT:SYN-F01-08-REL-N24</x:v>
      </x:c>
      <x:c r="K29" s="10" t="str">
        <x:v>TEXT:SYN-F01-08-U01, TEXT:SYN-F01-08-U02</x:v>
      </x:c>
      <x:c r="L29" s="10" t="str">
        <x:v>TEXT:SYN-F01-08-REL-N24</x:v>
      </x:c>
    </x:row>
    <x:row r="30" ht="52" customHeight="1">
      <x:c r="A30" s="10" t="str">
        <x:v>T-BASE</x:v>
      </x:c>
      <x:c r="B30" s="10" t="str">
        <x:v>TEXT</x:v>
      </x:c>
      <x:c r="C30" s="10" t="str">
        <x:v>TEXT:SYN-F01-09</x:v>
      </x:c>
      <x:c r="D30" s="10" t="str">
        <x:v>TEXT:SYN-F01-09-G01</x:v>
      </x:c>
      <x:c r="E30" s="11" t="n">
        <x:v>8.227964</x:v>
      </x:c>
      <x:c r="F30" s="11" t="n">
        <x:v>25.727964</x:v>
      </x:c>
      <x:c r="G30" s="11" t="n">
        <x:f>F30-E30</x:f>
        <x:v>17.5</x:v>
      </x:c>
      <x:c r="H30" s="10" t="n">
        <x:v>1</x:v>
      </x:c>
      <x:c r="I30" s="10" t="str">
        <x:v>AUTHORED_TERMINAL</x:v>
      </x:c>
      <x:c r="J30" s="10" t="str">
        <x:v>TEXT:SYN-F01-09-BASE-N21</x:v>
      </x:c>
      <x:c r="K30" s="10" t="str">
        <x:v>TEXT:SYN-F01-09-U01, TEXT:SYN-F01-09-U02</x:v>
      </x:c>
      <x:c r="L30" s="10" t="str">
        <x:v>TEXT:SYN-F01-09-BASE-N21</x:v>
      </x:c>
    </x:row>
    <x:row r="31" ht="52" customHeight="1">
      <x:c r="A31" s="10" t="str">
        <x:v>T-EXEC</x:v>
      </x:c>
      <x:c r="B31" s="10" t="str">
        <x:v>TEXT</x:v>
      </x:c>
      <x:c r="C31" s="10" t="str">
        <x:v>TEXT:SYN-F01-09</x:v>
      </x:c>
      <x:c r="D31" s="10" t="str">
        <x:v>TEXT:SYN-F01-09-G01</x:v>
      </x:c>
      <x:c r="E31" s="11" t="n">
        <x:v>8.722893</x:v>
      </x:c>
      <x:c r="F31" s="11" t="n">
        <x:v>26.222893</x:v>
      </x:c>
      <x:c r="G31" s="11" t="n">
        <x:f>F31-E31</x:f>
        <x:v>17.5</x:v>
      </x:c>
      <x:c r="H31" s="10" t="n">
        <x:v>1</x:v>
      </x:c>
      <x:c r="I31" s="10" t="str">
        <x:v>AUTHORED_TERMINAL</x:v>
      </x:c>
      <x:c r="J31" s="10" t="str">
        <x:v>TEXT:SYN-F01-09-EXEC-N22</x:v>
      </x:c>
      <x:c r="K31" s="10" t="str">
        <x:v>TEXT:SYN-F01-09-U01, TEXT:SYN-F01-09-U02</x:v>
      </x:c>
      <x:c r="L31" s="10" t="str">
        <x:v>TEXT:SYN-F01-09-EXEC-N22</x:v>
      </x:c>
    </x:row>
    <x:row r="32" ht="52" customHeight="1">
      <x:c r="A32" s="10" t="str">
        <x:v>T-REL</x:v>
      </x:c>
      <x:c r="B32" s="10" t="str">
        <x:v>TEXT</x:v>
      </x:c>
      <x:c r="C32" s="10" t="str">
        <x:v>TEXT:SYN-F01-09</x:v>
      </x:c>
      <x:c r="D32" s="10" t="str">
        <x:v>TEXT:SYN-F01-09-G01</x:v>
      </x:c>
      <x:c r="E32" s="11" t="n">
        <x:v>8.227964</x:v>
      </x:c>
      <x:c r="F32" s="11" t="n">
        <x:v>25.727964</x:v>
      </x:c>
      <x:c r="G32" s="11" t="n">
        <x:f>F32-E32</x:f>
        <x:v>17.5</x:v>
      </x:c>
      <x:c r="H32" s="10" t="n">
        <x:v>1</x:v>
      </x:c>
      <x:c r="I32" s="10" t="str">
        <x:v>AUTHORED_TERMINAL</x:v>
      </x:c>
      <x:c r="J32" s="10" t="str">
        <x:v>TEXT:SYN-F01-09-REL-N24</x:v>
      </x:c>
      <x:c r="K32" s="10" t="str">
        <x:v>TEXT:SYN-F01-09-U01, TEXT:SYN-F01-09-U02</x:v>
      </x:c>
      <x:c r="L32" s="10" t="str">
        <x:v>TEXT:SYN-F01-09-REL-N24</x:v>
      </x:c>
    </x:row>
    <x:row r="33" ht="52" customHeight="1">
      <x:c r="A33" s="10" t="str">
        <x:v>T-BASE</x:v>
      </x:c>
      <x:c r="B33" s="10" t="str">
        <x:v>TEXT</x:v>
      </x:c>
      <x:c r="C33" s="10" t="str">
        <x:v>TEXT:SYN-F01-10</x:v>
      </x:c>
      <x:c r="D33" s="10" t="str">
        <x:v>TEXT:SYN-F01-10-G01</x:v>
      </x:c>
      <x:c r="E33" s="11" t="n">
        <x:v>8.354964</x:v>
      </x:c>
      <x:c r="F33" s="11" t="n">
        <x:v>25.854964</x:v>
      </x:c>
      <x:c r="G33" s="11" t="n">
        <x:f>F33-E33</x:f>
        <x:v>17.5</x:v>
      </x:c>
      <x:c r="H33" s="10" t="n">
        <x:v>1</x:v>
      </x:c>
      <x:c r="I33" s="10" t="str">
        <x:v>AUTHORED_TERMINAL</x:v>
      </x:c>
      <x:c r="J33" s="10" t="str">
        <x:v>TEXT:SYN-F01-10-BASE-N21</x:v>
      </x:c>
      <x:c r="K33" s="10" t="str">
        <x:v>TEXT:SYN-F01-10-U01, TEXT:SYN-F01-10-U02</x:v>
      </x:c>
      <x:c r="L33" s="10" t="str">
        <x:v>TEXT:SYN-F01-10-BASE-N21</x:v>
      </x:c>
    </x:row>
    <x:row r="34" ht="52" customHeight="1">
      <x:c r="A34" s="10" t="str">
        <x:v>T-EXEC</x:v>
      </x:c>
      <x:c r="B34" s="10" t="str">
        <x:v>TEXT</x:v>
      </x:c>
      <x:c r="C34" s="10" t="str">
        <x:v>TEXT:SYN-F01-10</x:v>
      </x:c>
      <x:c r="D34" s="10" t="str">
        <x:v>TEXT:SYN-F01-10-G01</x:v>
      </x:c>
      <x:c r="E34" s="11" t="n">
        <x:v>8.840821</x:v>
      </x:c>
      <x:c r="F34" s="11" t="n">
        <x:v>26.340821</x:v>
      </x:c>
      <x:c r="G34" s="11" t="n">
        <x:f>F34-E34</x:f>
        <x:v>17.5</x:v>
      </x:c>
      <x:c r="H34" s="10" t="n">
        <x:v>1</x:v>
      </x:c>
      <x:c r="I34" s="10" t="str">
        <x:v>AUTHORED_TERMINAL</x:v>
      </x:c>
      <x:c r="J34" s="10" t="str">
        <x:v>TEXT:SYN-F01-10-EXEC-N22</x:v>
      </x:c>
      <x:c r="K34" s="10" t="str">
        <x:v>TEXT:SYN-F01-10-U01, TEXT:SYN-F01-10-U02</x:v>
      </x:c>
      <x:c r="L34" s="10" t="str">
        <x:v>TEXT:SYN-F01-10-EXEC-N22</x:v>
      </x:c>
    </x:row>
    <x:row r="35" ht="52" customHeight="1">
      <x:c r="A35" s="10" t="str">
        <x:v>T-REL</x:v>
      </x:c>
      <x:c r="B35" s="10" t="str">
        <x:v>TEXT</x:v>
      </x:c>
      <x:c r="C35" s="10" t="str">
        <x:v>TEXT:SYN-F01-10</x:v>
      </x:c>
      <x:c r="D35" s="10" t="str">
        <x:v>TEXT:SYN-F01-10-G01</x:v>
      </x:c>
      <x:c r="E35" s="11" t="n">
        <x:v>8.354964</x:v>
      </x:c>
      <x:c r="F35" s="11" t="n">
        <x:v>25.854964</x:v>
      </x:c>
      <x:c r="G35" s="11" t="n">
        <x:f>F35-E35</x:f>
        <x:v>17.5</x:v>
      </x:c>
      <x:c r="H35" s="10" t="n">
        <x:v>1</x:v>
      </x:c>
      <x:c r="I35" s="10" t="str">
        <x:v>AUTHORED_TERMINAL</x:v>
      </x:c>
      <x:c r="J35" s="10" t="str">
        <x:v>TEXT:SYN-F01-10-REL-N24</x:v>
      </x:c>
      <x:c r="K35" s="10" t="str">
        <x:v>TEXT:SYN-F01-10-U01, TEXT:SYN-F01-10-U02</x:v>
      </x:c>
      <x:c r="L35" s="10" t="str">
        <x:v>TEXT:SYN-F01-10-REL-N24</x:v>
      </x:c>
    </x:row>
    <x:row r="36" ht="52" customHeight="1">
      <x:c r="A36" s="10" t="str">
        <x:v>T-BASE</x:v>
      </x:c>
      <x:c r="B36" s="10" t="str">
        <x:v>TEXT</x:v>
      </x:c>
      <x:c r="C36" s="10" t="str">
        <x:v>TEXT:SYN-F02-01</x:v>
      </x:c>
      <x:c r="D36" s="10" t="str">
        <x:v>TEXT:SYN-F02-01-G01</x:v>
      </x:c>
      <x:c r="E36" s="11" t="n">
        <x:v>8.72225</x:v>
      </x:c>
      <x:c r="F36" s="11" t="n">
        <x:v>16.72225</x:v>
      </x:c>
      <x:c r="G36" s="11" t="n">
        <x:f>F36-E36</x:f>
        <x:v>7.999999999999998</x:v>
      </x:c>
      <x:c r="H36" s="10" t="n">
        <x:v>1</x:v>
      </x:c>
      <x:c r="I36" s="10" t="str">
        <x:v>AUTHORED_TERMINAL</x:v>
      </x:c>
      <x:c r="J36" s="10" t="str">
        <x:v>TEXT:SYN-F02-01-BASE-N20</x:v>
      </x:c>
      <x:c r="K36" s="10" t="str">
        <x:v>TEXT:SYN-F02-01-U01</x:v>
      </x:c>
      <x:c r="L36" s="10" t="str">
        <x:v>TEXT:SYN-F02-01-BASE-N20</x:v>
      </x:c>
    </x:row>
    <x:row r="37" ht="52" customHeight="1">
      <x:c r="A37" s="10" t="str">
        <x:v>T-BASE</x:v>
      </x:c>
      <x:c r="B37" s="10" t="str">
        <x:v>TEXT</x:v>
      </x:c>
      <x:c r="C37" s="10" t="str">
        <x:v>TEXT:SYN-F02-01</x:v>
      </x:c>
      <x:c r="D37" s="10" t="str">
        <x:v>TEXT:SYN-F02-01-G02</x:v>
      </x:c>
      <x:c r="E37" s="11" t="n">
        <x:v>4.89975</x:v>
      </x:c>
      <x:c r="F37" s="11" t="n">
        <x:v>4.89975</x:v>
      </x:c>
      <x:c r="G37" s="11" t="n">
        <x:f>F37-E37</x:f>
        <x:v>0</x:v>
      </x:c>
      <x:c r="H37" s="10" t="n">
        <x:v>1</x:v>
      </x:c>
      <x:c r="I37" s="10" t="str">
        <x:v>AUTHORED_TERMINAL</x:v>
      </x:c>
      <x:c r="J37" s="10" t="str">
        <x:v>TEXT:SYN-F02-01-BASE-N15</x:v>
      </x:c>
      <x:c r="K37" s="10" t="str">
        <x:v>TEXT:SYN-F02-01-U02</x:v>
      </x:c>
      <x:c r="L37" s="10" t="str">
        <x:v>TEXT:SYN-F02-01-BASE-N15</x:v>
      </x:c>
    </x:row>
    <x:row r="38" ht="52" customHeight="1">
      <x:c r="A38" s="10" t="str">
        <x:v>T-EXEC</x:v>
      </x:c>
      <x:c r="B38" s="10" t="str">
        <x:v>TEXT</x:v>
      </x:c>
      <x:c r="C38" s="10" t="str">
        <x:v>TEXT:SYN-F02-01</x:v>
      </x:c>
      <x:c r="D38" s="10" t="str">
        <x:v>TEXT:SYN-F02-01-G01</x:v>
      </x:c>
      <x:c r="E38" s="11" t="n">
        <x:v>5.7385</x:v>
      </x:c>
      <x:c r="F38" s="11" t="n">
        <x:v>13.7385</x:v>
      </x:c>
      <x:c r="G38" s="11" t="n">
        <x:f>F38-E38</x:f>
        <x:v>8</x:v>
      </x:c>
      <x:c r="H38" s="10" t="n">
        <x:v>1</x:v>
      </x:c>
      <x:c r="I38" s="10" t="str">
        <x:v>AUTHORED_TERMINAL</x:v>
      </x:c>
      <x:c r="J38" s="10" t="str">
        <x:v>TEXT:SYN-F02-01-EXEC-N21</x:v>
      </x:c>
      <x:c r="K38" s="10" t="str">
        <x:v>TEXT:SYN-F02-01-U01</x:v>
      </x:c>
      <x:c r="L38" s="10" t="str">
        <x:v>TEXT:SYN-F02-01-EXEC-N21</x:v>
      </x:c>
    </x:row>
    <x:row r="39" ht="52" customHeight="1">
      <x:c r="A39" s="10" t="str">
        <x:v>T-EXEC</x:v>
      </x:c>
      <x:c r="B39" s="10" t="str">
        <x:v>TEXT</x:v>
      </x:c>
      <x:c r="C39" s="10" t="str">
        <x:v>TEXT:SYN-F02-01</x:v>
      </x:c>
      <x:c r="D39" s="10" t="str">
        <x:v>TEXT:SYN-F02-01-G02</x:v>
      </x:c>
      <x:c r="E39" s="11" t="n">
        <x:v>4.500464</x:v>
      </x:c>
      <x:c r="F39" s="11" t="n">
        <x:v>4.500464</x:v>
      </x:c>
      <x:c r="G39" s="11" t="n">
        <x:f>F39-E39</x:f>
        <x:v>0</x:v>
      </x:c>
      <x:c r="H39" s="10" t="n">
        <x:v>1</x:v>
      </x:c>
      <x:c r="I39" s="10" t="str">
        <x:v>AUTHORED_TERMINAL</x:v>
      </x:c>
      <x:c r="J39" s="10" t="str">
        <x:v>TEXT:SYN-F02-01-EXEC-N16</x:v>
      </x:c>
      <x:c r="K39" s="10" t="str">
        <x:v>TEXT:SYN-F02-01-U02</x:v>
      </x:c>
      <x:c r="L39" s="10" t="str">
        <x:v>TEXT:SYN-F02-01-EXEC-N16</x:v>
      </x:c>
    </x:row>
    <x:row r="40" ht="52" customHeight="1">
      <x:c r="A40" s="10" t="str">
        <x:v>T-REL</x:v>
      </x:c>
      <x:c r="B40" s="10" t="str">
        <x:v>TEXT</x:v>
      </x:c>
      <x:c r="C40" s="10" t="str">
        <x:v>TEXT:SYN-F02-01</x:v>
      </x:c>
      <x:c r="D40" s="10" t="str">
        <x:v>TEXT:SYN-F02-01-G01</x:v>
      </x:c>
      <x:c r="E40" s="11" t="n">
        <x:v>7.031536</x:v>
      </x:c>
      <x:c r="F40" s="11" t="n">
        <x:v>15.031536</x:v>
      </x:c>
      <x:c r="G40" s="11" t="n">
        <x:f>F40-E40</x:f>
        <x:v>7.999999999999999</x:v>
      </x:c>
      <x:c r="H40" s="10" t="n">
        <x:v>1</x:v>
      </x:c>
      <x:c r="I40" s="10" t="str">
        <x:v>AUTHORED_TERMINAL</x:v>
      </x:c>
      <x:c r="J40" s="10" t="str">
        <x:v>TEXT:SYN-F02-01-REL-N23</x:v>
      </x:c>
      <x:c r="K40" s="10" t="str">
        <x:v>TEXT:SYN-F02-01-U01</x:v>
      </x:c>
      <x:c r="L40" s="10" t="str">
        <x:v>TEXT:SYN-F02-01-REL-N23</x:v>
      </x:c>
    </x:row>
    <x:row r="41" ht="52" customHeight="1">
      <x:c r="A41" s="10" t="str">
        <x:v>T-REL</x:v>
      </x:c>
      <x:c r="B41" s="10" t="str">
        <x:v>TEXT</x:v>
      </x:c>
      <x:c r="C41" s="10" t="str">
        <x:v>TEXT:SYN-F02-01</x:v>
      </x:c>
      <x:c r="D41" s="10" t="str">
        <x:v>TEXT:SYN-F02-01-G02</x:v>
      </x:c>
      <x:c r="E41" s="11" t="n">
        <x:v>4.12225</x:v>
      </x:c>
      <x:c r="F41" s="11" t="n">
        <x:v>4.12225</x:v>
      </x:c>
      <x:c r="G41" s="11" t="n">
        <x:f>F41-E41</x:f>
        <x:v>0</x:v>
      </x:c>
      <x:c r="H41" s="10" t="n">
        <x:v>1</x:v>
      </x:c>
      <x:c r="I41" s="10" t="str">
        <x:v>AUTHORED_TERMINAL</x:v>
      </x:c>
      <x:c r="J41" s="10" t="str">
        <x:v>TEXT:SYN-F02-01-REL-N18</x:v>
      </x:c>
      <x:c r="K41" s="10" t="str">
        <x:v>TEXT:SYN-F02-01-U02</x:v>
      </x:c>
      <x:c r="L41" s="10" t="str">
        <x:v>TEXT:SYN-F02-01-REL-N18</x:v>
      </x:c>
    </x:row>
    <x:row r="42" ht="52" customHeight="1">
      <x:c r="A42" s="10" t="str">
        <x:v>T-BASE</x:v>
      </x:c>
      <x:c r="B42" s="10" t="str">
        <x:v>TEXT</x:v>
      </x:c>
      <x:c r="C42" s="10" t="str">
        <x:v>TEXT:SYN-F02-02</x:v>
      </x:c>
      <x:c r="D42" s="10" t="str">
        <x:v>TEXT:SYN-F02-02-G01</x:v>
      </x:c>
      <x:c r="E42" s="11" t="n">
        <x:v>8.88275</x:v>
      </x:c>
      <x:c r="F42" s="11" t="n">
        <x:v>16.88275</x:v>
      </x:c>
      <x:c r="G42" s="11" t="n">
        <x:f>F42-E42</x:f>
        <x:v>8.000000000000002</x:v>
      </x:c>
      <x:c r="H42" s="10" t="n">
        <x:v>0</x:v>
      </x:c>
      <x:c r="I42" s="10" t="str">
        <x:v>AUTHORED_TERMINAL</x:v>
      </x:c>
      <x:c r="J42" s="10" t="str">
        <x:v>TEXT:SYN-F02-02-BASE-N20</x:v>
      </x:c>
      <x:c r="K42" s="10" t="str">
        <x:v>TEXT:SYN-F02-02-U01</x:v>
      </x:c>
      <x:c r="L42" s="10" t="str">
        <x:v>TEXT:SYN-F02-02-BASE-N20</x:v>
      </x:c>
    </x:row>
    <x:row r="43" ht="52" customHeight="1">
      <x:c r="A43" s="10" t="str">
        <x:v>T-BASE</x:v>
      </x:c>
      <x:c r="B43" s="10" t="str">
        <x:v>TEXT</x:v>
      </x:c>
      <x:c r="C43" s="10" t="str">
        <x:v>TEXT:SYN-F02-02</x:v>
      </x:c>
      <x:c r="D43" s="10" t="str">
        <x:v>TEXT:SYN-F02-02-G02</x:v>
      </x:c>
      <x:c r="E43" s="11" t="n">
        <x:v>5.01075</x:v>
      </x:c>
      <x:c r="F43" s="11" t="n">
        <x:v>5.01075</x:v>
      </x:c>
      <x:c r="G43" s="11" t="n">
        <x:f>F43-E43</x:f>
        <x:v>0</x:v>
      </x:c>
      <x:c r="H43" s="10" t="n">
        <x:v>1</x:v>
      </x:c>
      <x:c r="I43" s="10" t="str">
        <x:v>AUTHORED_TERMINAL</x:v>
      </x:c>
      <x:c r="J43" s="10" t="str">
        <x:v>TEXT:SYN-F02-02-BASE-N15</x:v>
      </x:c>
      <x:c r="K43" s="10" t="str">
        <x:v>TEXT:SYN-F02-02-U02</x:v>
      </x:c>
      <x:c r="L43" s="10" t="str">
        <x:v>TEXT:SYN-F02-02-BASE-N15</x:v>
      </x:c>
    </x:row>
    <x:row r="44" ht="52" customHeight="1">
      <x:c r="A44" s="10" t="str">
        <x:v>T-EXEC</x:v>
      </x:c>
      <x:c r="B44" s="10" t="str">
        <x:v>TEXT</x:v>
      </x:c>
      <x:c r="C44" s="10" t="str">
        <x:v>TEXT:SYN-F02-02</x:v>
      </x:c>
      <x:c r="D44" s="10" t="str">
        <x:v>TEXT:SYN-F02-02-G01</x:v>
      </x:c>
      <x:c r="E44" s="11" t="n">
        <x:v>5.8495</x:v>
      </x:c>
      <x:c r="F44" s="11" t="n">
        <x:v>13.8495</x:v>
      </x:c>
      <x:c r="G44" s="11" t="n">
        <x:f>F44-E44</x:f>
        <x:v>8</x:v>
      </x:c>
      <x:c r="H44" s="10" t="n">
        <x:v>0</x:v>
      </x:c>
      <x:c r="I44" s="10" t="str">
        <x:v>AUTHORED_TERMINAL</x:v>
      </x:c>
      <x:c r="J44" s="10" t="str">
        <x:v>TEXT:SYN-F02-02-EXEC-N21</x:v>
      </x:c>
      <x:c r="K44" s="10" t="str">
        <x:v>TEXT:SYN-F02-02-U01</x:v>
      </x:c>
      <x:c r="L44" s="10" t="str">
        <x:v>TEXT:SYN-F02-02-EXEC-N21</x:v>
      </x:c>
    </x:row>
    <x:row r="45" ht="52" customHeight="1">
      <x:c r="A45" s="10" t="str">
        <x:v>T-EXEC</x:v>
      </x:c>
      <x:c r="B45" s="10" t="str">
        <x:v>TEXT</x:v>
      </x:c>
      <x:c r="C45" s="10" t="str">
        <x:v>TEXT:SYN-F02-02</x:v>
      </x:c>
      <x:c r="D45" s="10" t="str">
        <x:v>TEXT:SYN-F02-02-G02</x:v>
      </x:c>
      <x:c r="E45" s="11" t="n">
        <x:v>4.58725</x:v>
      </x:c>
      <x:c r="F45" s="11" t="n">
        <x:v>4.58725</x:v>
      </x:c>
      <x:c r="G45" s="11" t="n">
        <x:f>F45-E45</x:f>
        <x:v>0</x:v>
      </x:c>
      <x:c r="H45" s="10" t="n">
        <x:v>1</x:v>
      </x:c>
      <x:c r="I45" s="10" t="str">
        <x:v>AUTHORED_TERMINAL</x:v>
      </x:c>
      <x:c r="J45" s="10" t="str">
        <x:v>TEXT:SYN-F02-02-EXEC-N16</x:v>
      </x:c>
      <x:c r="K45" s="10" t="str">
        <x:v>TEXT:SYN-F02-02-U02</x:v>
      </x:c>
      <x:c r="L45" s="10" t="str">
        <x:v>TEXT:SYN-F02-02-EXEC-N16</x:v>
      </x:c>
    </x:row>
    <x:row r="46" ht="52" customHeight="1">
      <x:c r="A46" s="10" t="str">
        <x:v>T-REL</x:v>
      </x:c>
      <x:c r="B46" s="10" t="str">
        <x:v>TEXT</x:v>
      </x:c>
      <x:c r="C46" s="10" t="str">
        <x:v>TEXT:SYN-F02-02</x:v>
      </x:c>
      <x:c r="D46" s="10" t="str">
        <x:v>TEXT:SYN-F02-02-G01</x:v>
      </x:c>
      <x:c r="E46" s="11" t="n">
        <x:v>7.142036</x:v>
      </x:c>
      <x:c r="F46" s="11" t="n">
        <x:v>15.142036</x:v>
      </x:c>
      <x:c r="G46" s="11" t="n">
        <x:f>F46-E46</x:f>
        <x:v>7.999999999999999</x:v>
      </x:c>
      <x:c r="H46" s="10" t="n">
        <x:v>1</x:v>
      </x:c>
      <x:c r="I46" s="10" t="str">
        <x:v>AUTHORED_TERMINAL</x:v>
      </x:c>
      <x:c r="J46" s="10" t="str">
        <x:v>TEXT:SYN-F02-02-REL-N23</x:v>
      </x:c>
      <x:c r="K46" s="10" t="str">
        <x:v>TEXT:SYN-F02-02-U01</x:v>
      </x:c>
      <x:c r="L46" s="10" t="str">
        <x:v>TEXT:SYN-F02-02-REL-N23</x:v>
      </x:c>
    </x:row>
    <x:row r="47" ht="52" customHeight="1">
      <x:c r="A47" s="10" t="str">
        <x:v>T-REL</x:v>
      </x:c>
      <x:c r="B47" s="10" t="str">
        <x:v>TEXT</x:v>
      </x:c>
      <x:c r="C47" s="10" t="str">
        <x:v>TEXT:SYN-F02-02</x:v>
      </x:c>
      <x:c r="D47" s="10" t="str">
        <x:v>TEXT:SYN-F02-02-G02</x:v>
      </x:c>
      <x:c r="E47" s="11" t="n">
        <x:v>4.20825</x:v>
      </x:c>
      <x:c r="F47" s="11" t="n">
        <x:v>4.20825</x:v>
      </x:c>
      <x:c r="G47" s="11" t="n">
        <x:f>F47-E47</x:f>
        <x:v>0</x:v>
      </x:c>
      <x:c r="H47" s="10" t="n">
        <x:v>1</x:v>
      </x:c>
      <x:c r="I47" s="10" t="str">
        <x:v>AUTHORED_TERMINAL</x:v>
      </x:c>
      <x:c r="J47" s="10" t="str">
        <x:v>TEXT:SYN-F02-02-REL-N18</x:v>
      </x:c>
      <x:c r="K47" s="10" t="str">
        <x:v>TEXT:SYN-F02-02-U02</x:v>
      </x:c>
      <x:c r="L47" s="10" t="str">
        <x:v>TEXT:SYN-F02-02-REL-N18</x:v>
      </x:c>
    </x:row>
    <x:row r="48" ht="52" customHeight="1">
      <x:c r="A48" s="10" t="str">
        <x:v>T-BASE</x:v>
      </x:c>
      <x:c r="B48" s="10" t="str">
        <x:v>TEXT</x:v>
      </x:c>
      <x:c r="C48" s="10" t="str">
        <x:v>TEXT:SYN-F02-03</x:v>
      </x:c>
      <x:c r="D48" s="10" t="str">
        <x:v>TEXT:SYN-F02-03-G01</x:v>
      </x:c>
      <x:c r="E48" s="11" t="n">
        <x:v>9.04325</x:v>
      </x:c>
      <x:c r="F48" s="11" t="n">
        <x:v>17.04325</x:v>
      </x:c>
      <x:c r="G48" s="11" t="n">
        <x:f>F48-E48</x:f>
        <x:v>8</x:v>
      </x:c>
      <x:c r="H48" s="10" t="n">
        <x:v>1</x:v>
      </x:c>
      <x:c r="I48" s="10" t="str">
        <x:v>AUTHORED_TERMINAL</x:v>
      </x:c>
      <x:c r="J48" s="10" t="str">
        <x:v>TEXT:SYN-F02-03-BASE-N20</x:v>
      </x:c>
      <x:c r="K48" s="10" t="str">
        <x:v>TEXT:SYN-F02-03-U01</x:v>
      </x:c>
      <x:c r="L48" s="10" t="str">
        <x:v>TEXT:SYN-F02-03-BASE-N20</x:v>
      </x:c>
    </x:row>
    <x:row r="49" ht="52" customHeight="1">
      <x:c r="A49" s="10" t="str">
        <x:v>T-BASE</x:v>
      </x:c>
      <x:c r="B49" s="10" t="str">
        <x:v>TEXT</x:v>
      </x:c>
      <x:c r="C49" s="10" t="str">
        <x:v>TEXT:SYN-F02-03</x:v>
      </x:c>
      <x:c r="D49" s="10" t="str">
        <x:v>TEXT:SYN-F02-03-G02</x:v>
      </x:c>
      <x:c r="E49" s="11" t="n">
        <x:v>5.12175</x:v>
      </x:c>
      <x:c r="F49" s="11" t="n">
        <x:v>5.12175</x:v>
      </x:c>
      <x:c r="G49" s="11" t="n">
        <x:f>F49-E49</x:f>
        <x:v>0</x:v>
      </x:c>
      <x:c r="H49" s="10" t="n">
        <x:v>1</x:v>
      </x:c>
      <x:c r="I49" s="10" t="str">
        <x:v>AUTHORED_TERMINAL</x:v>
      </x:c>
      <x:c r="J49" s="10" t="str">
        <x:v>TEXT:SYN-F02-03-BASE-N15</x:v>
      </x:c>
      <x:c r="K49" s="10" t="str">
        <x:v>TEXT:SYN-F02-03-U02</x:v>
      </x:c>
      <x:c r="L49" s="10" t="str">
        <x:v>TEXT:SYN-F02-03-BASE-N15</x:v>
      </x:c>
    </x:row>
    <x:row r="50" ht="52" customHeight="1">
      <x:c r="A50" s="10" t="str">
        <x:v>T-EXEC</x:v>
      </x:c>
      <x:c r="B50" s="10" t="str">
        <x:v>TEXT</x:v>
      </x:c>
      <x:c r="C50" s="10" t="str">
        <x:v>TEXT:SYN-F02-03</x:v>
      </x:c>
      <x:c r="D50" s="10" t="str">
        <x:v>TEXT:SYN-F02-03-G01</x:v>
      </x:c>
      <x:c r="E50" s="11" t="n">
        <x:v>5.9605</x:v>
      </x:c>
      <x:c r="F50" s="11" t="n">
        <x:v>13.9605</x:v>
      </x:c>
      <x:c r="G50" s="11" t="n">
        <x:f>F50-E50</x:f>
        <x:v>8</x:v>
      </x:c>
      <x:c r="H50" s="10" t="n">
        <x:v>1</x:v>
      </x:c>
      <x:c r="I50" s="10" t="str">
        <x:v>AUTHORED_TERMINAL</x:v>
      </x:c>
      <x:c r="J50" s="10" t="str">
        <x:v>TEXT:SYN-F02-03-EXEC-N21</x:v>
      </x:c>
      <x:c r="K50" s="10" t="str">
        <x:v>TEXT:SYN-F02-03-U01</x:v>
      </x:c>
      <x:c r="L50" s="10" t="str">
        <x:v>TEXT:SYN-F02-03-EXEC-N21</x:v>
      </x:c>
    </x:row>
    <x:row r="51" ht="52" customHeight="1">
      <x:c r="A51" s="10" t="str">
        <x:v>T-EXEC</x:v>
      </x:c>
      <x:c r="B51" s="10" t="str">
        <x:v>TEXT</x:v>
      </x:c>
      <x:c r="C51" s="10" t="str">
        <x:v>TEXT:SYN-F02-03</x:v>
      </x:c>
      <x:c r="D51" s="10" t="str">
        <x:v>TEXT:SYN-F02-03-G02</x:v>
      </x:c>
      <x:c r="E51" s="11" t="n">
        <x:v>4.674036</x:v>
      </x:c>
      <x:c r="F51" s="11" t="n">
        <x:v>4.674036</x:v>
      </x:c>
      <x:c r="G51" s="11" t="n">
        <x:f>F51-E51</x:f>
        <x:v>0</x:v>
      </x:c>
      <x:c r="H51" s="10" t="n">
        <x:v>1</x:v>
      </x:c>
      <x:c r="I51" s="10" t="str">
        <x:v>AUTHORED_TERMINAL</x:v>
      </x:c>
      <x:c r="J51" s="10" t="str">
        <x:v>TEXT:SYN-F02-03-EXEC-N16</x:v>
      </x:c>
      <x:c r="K51" s="10" t="str">
        <x:v>TEXT:SYN-F02-03-U02</x:v>
      </x:c>
      <x:c r="L51" s="10" t="str">
        <x:v>TEXT:SYN-F02-03-EXEC-N16</x:v>
      </x:c>
    </x:row>
    <x:row r="52" ht="52" customHeight="1">
      <x:c r="A52" s="10" t="str">
        <x:v>T-REL</x:v>
      </x:c>
      <x:c r="B52" s="10" t="str">
        <x:v>TEXT</x:v>
      </x:c>
      <x:c r="C52" s="10" t="str">
        <x:v>TEXT:SYN-F02-03</x:v>
      </x:c>
      <x:c r="D52" s="10" t="str">
        <x:v>TEXT:SYN-F02-03-G01</x:v>
      </x:c>
      <x:c r="E52" s="11" t="n">
        <x:v>7.252535</x:v>
      </x:c>
      <x:c r="F52" s="11" t="n">
        <x:v>15.252535</x:v>
      </x:c>
      <x:c r="G52" s="11" t="n">
        <x:f>F52-E52</x:f>
        <x:v>8</x:v>
      </x:c>
      <x:c r="H52" s="10" t="n">
        <x:v>1</x:v>
      </x:c>
      <x:c r="I52" s="10" t="str">
        <x:v>AUTHORED_TERMINAL</x:v>
      </x:c>
      <x:c r="J52" s="10" t="str">
        <x:v>TEXT:SYN-F02-03-REL-N23</x:v>
      </x:c>
      <x:c r="K52" s="10" t="str">
        <x:v>TEXT:SYN-F02-03-U01</x:v>
      </x:c>
      <x:c r="L52" s="10" t="str">
        <x:v>TEXT:SYN-F02-03-REL-N23</x:v>
      </x:c>
    </x:row>
    <x:row r="53" ht="52" customHeight="1">
      <x:c r="A53" s="10" t="str">
        <x:v>T-REL</x:v>
      </x:c>
      <x:c r="B53" s="10" t="str">
        <x:v>TEXT</x:v>
      </x:c>
      <x:c r="C53" s="10" t="str">
        <x:v>TEXT:SYN-F02-03</x:v>
      </x:c>
      <x:c r="D53" s="10" t="str">
        <x:v>TEXT:SYN-F02-03-G02</x:v>
      </x:c>
      <x:c r="E53" s="11" t="n">
        <x:v>4.29425</x:v>
      </x:c>
      <x:c r="F53" s="11" t="n">
        <x:v>4.29425</x:v>
      </x:c>
      <x:c r="G53" s="11" t="n">
        <x:f>F53-E53</x:f>
        <x:v>0</x:v>
      </x:c>
      <x:c r="H53" s="10" t="n">
        <x:v>1</x:v>
      </x:c>
      <x:c r="I53" s="10" t="str">
        <x:v>AUTHORED_TERMINAL</x:v>
      </x:c>
      <x:c r="J53" s="10" t="str">
        <x:v>TEXT:SYN-F02-03-REL-N18</x:v>
      </x:c>
      <x:c r="K53" s="10" t="str">
        <x:v>TEXT:SYN-F02-03-U02</x:v>
      </x:c>
      <x:c r="L53" s="10" t="str">
        <x:v>TEXT:SYN-F02-03-REL-N18</x:v>
      </x:c>
    </x:row>
    <x:row r="54" ht="52" customHeight="1">
      <x:c r="A54" s="10" t="str">
        <x:v>T-BASE</x:v>
      </x:c>
      <x:c r="B54" s="10" t="str">
        <x:v>TEXT</x:v>
      </x:c>
      <x:c r="C54" s="10" t="str">
        <x:v>TEXT:SYN-F02-04</x:v>
      </x:c>
      <x:c r="D54" s="10" t="str">
        <x:v>TEXT:SYN-F02-04-G01</x:v>
      </x:c>
      <x:c r="E54" s="11" t="n">
        <x:v>9.05375</x:v>
      </x:c>
      <x:c r="F54" s="11" t="n">
        <x:v>17.05375</x:v>
      </x:c>
      <x:c r="G54" s="11" t="n">
        <x:f>F54-E54</x:f>
        <x:v>8</x:v>
      </x:c>
      <x:c r="H54" s="10" t="n">
        <x:v>1</x:v>
      </x:c>
      <x:c r="I54" s="10" t="str">
        <x:v>AUTHORED_TERMINAL</x:v>
      </x:c>
      <x:c r="J54" s="10" t="str">
        <x:v>TEXT:SYN-F02-04-BASE-N20</x:v>
      </x:c>
      <x:c r="K54" s="10" t="str">
        <x:v>TEXT:SYN-F02-04-U01</x:v>
      </x:c>
      <x:c r="L54" s="10" t="str">
        <x:v>TEXT:SYN-F02-04-BASE-N20</x:v>
      </x:c>
    </x:row>
    <x:row r="55" ht="52" customHeight="1">
      <x:c r="A55" s="10" t="str">
        <x:v>T-BASE</x:v>
      </x:c>
      <x:c r="B55" s="10" t="str">
        <x:v>TEXT</x:v>
      </x:c>
      <x:c r="C55" s="10" t="str">
        <x:v>TEXT:SYN-F02-04</x:v>
      </x:c>
      <x:c r="D55" s="10" t="str">
        <x:v>TEXT:SYN-F02-04-G02</x:v>
      </x:c>
      <x:c r="E55" s="11" t="n">
        <x:v>5.15775</x:v>
      </x:c>
      <x:c r="F55" s="11" t="n">
        <x:v>5.15775</x:v>
      </x:c>
      <x:c r="G55" s="11" t="n">
        <x:f>F55-E55</x:f>
        <x:v>0</x:v>
      </x:c>
      <x:c r="H55" s="10" t="n">
        <x:v>1</x:v>
      </x:c>
      <x:c r="I55" s="10" t="str">
        <x:v>AUTHORED_TERMINAL</x:v>
      </x:c>
      <x:c r="J55" s="10" t="str">
        <x:v>TEXT:SYN-F02-04-BASE-N15</x:v>
      </x:c>
      <x:c r="K55" s="10" t="str">
        <x:v>TEXT:SYN-F02-04-U02</x:v>
      </x:c>
      <x:c r="L55" s="10" t="str">
        <x:v>TEXT:SYN-F02-04-BASE-N15</x:v>
      </x:c>
    </x:row>
    <x:row r="56" ht="52" customHeight="1">
      <x:c r="A56" s="10" t="str">
        <x:v>T-EXEC</x:v>
      </x:c>
      <x:c r="B56" s="10" t="str">
        <x:v>TEXT</x:v>
      </x:c>
      <x:c r="C56" s="10" t="str">
        <x:v>TEXT:SYN-F02-04</x:v>
      </x:c>
      <x:c r="D56" s="10" t="str">
        <x:v>TEXT:SYN-F02-04-G01</x:v>
      </x:c>
      <x:c r="E56" s="11" t="n">
        <x:v>5.9965</x:v>
      </x:c>
      <x:c r="F56" s="11" t="n">
        <x:v>13.9965</x:v>
      </x:c>
      <x:c r="G56" s="11" t="n">
        <x:f>F56-E56</x:f>
        <x:v>7.999999999999999</x:v>
      </x:c>
      <x:c r="H56" s="10" t="n">
        <x:v>1</x:v>
      </x:c>
      <x:c r="I56" s="10" t="str">
        <x:v>AUTHORED_TERMINAL</x:v>
      </x:c>
      <x:c r="J56" s="10" t="str">
        <x:v>TEXT:SYN-F02-04-EXEC-N21</x:v>
      </x:c>
      <x:c r="K56" s="10" t="str">
        <x:v>TEXT:SYN-F02-04-U01</x:v>
      </x:c>
      <x:c r="L56" s="10" t="str">
        <x:v>TEXT:SYN-F02-04-EXEC-N21</x:v>
      </x:c>
    </x:row>
    <x:row r="57" ht="52" customHeight="1">
      <x:c r="A57" s="10" t="str">
        <x:v>T-EXEC</x:v>
      </x:c>
      <x:c r="B57" s="10" t="str">
        <x:v>TEXT</x:v>
      </x:c>
      <x:c r="C57" s="10" t="str">
        <x:v>TEXT:SYN-F02-04</x:v>
      </x:c>
      <x:c r="D57" s="10" t="str">
        <x:v>TEXT:SYN-F02-04-G02</x:v>
      </x:c>
      <x:c r="E57" s="11" t="n">
        <x:v>4.667072</x:v>
      </x:c>
      <x:c r="F57" s="11" t="n">
        <x:v>4.667072</x:v>
      </x:c>
      <x:c r="G57" s="11" t="n">
        <x:f>F57-E57</x:f>
        <x:v>0</x:v>
      </x:c>
      <x:c r="H57" s="10" t="n">
        <x:v>1</x:v>
      </x:c>
      <x:c r="I57" s="10" t="str">
        <x:v>AUTHORED_TERMINAL</x:v>
      </x:c>
      <x:c r="J57" s="10" t="str">
        <x:v>TEXT:SYN-F02-04-EXEC-N16</x:v>
      </x:c>
      <x:c r="K57" s="10" t="str">
        <x:v>TEXT:SYN-F02-04-U02</x:v>
      </x:c>
      <x:c r="L57" s="10" t="str">
        <x:v>TEXT:SYN-F02-04-EXEC-N16</x:v>
      </x:c>
    </x:row>
    <x:row r="58" ht="52" customHeight="1">
      <x:c r="A58" s="10" t="str">
        <x:v>T-REL</x:v>
      </x:c>
      <x:c r="B58" s="10" t="str">
        <x:v>TEXT</x:v>
      </x:c>
      <x:c r="C58" s="10" t="str">
        <x:v>TEXT:SYN-F02-04</x:v>
      </x:c>
      <x:c r="D58" s="10" t="str">
        <x:v>TEXT:SYN-F02-04-G01</x:v>
      </x:c>
      <x:c r="E58" s="11" t="n">
        <x:v>7.363036</x:v>
      </x:c>
      <x:c r="F58" s="11" t="n">
        <x:v>15.363036</x:v>
      </x:c>
      <x:c r="G58" s="11" t="n">
        <x:f>F58-E58</x:f>
        <x:v>7.999999999999999</x:v>
      </x:c>
      <x:c r="H58" s="10" t="n">
        <x:v>1</x:v>
      </x:c>
      <x:c r="I58" s="10" t="str">
        <x:v>AUTHORED_TERMINAL</x:v>
      </x:c>
      <x:c r="J58" s="10" t="str">
        <x:v>TEXT:SYN-F02-04-REL-N23</x:v>
      </x:c>
      <x:c r="K58" s="10" t="str">
        <x:v>TEXT:SYN-F02-04-U01</x:v>
      </x:c>
      <x:c r="L58" s="10" t="str">
        <x:v>TEXT:SYN-F02-04-REL-N23</x:v>
      </x:c>
    </x:row>
    <x:row r="59" ht="52" customHeight="1">
      <x:c r="A59" s="10" t="str">
        <x:v>T-REL</x:v>
      </x:c>
      <x:c r="B59" s="10" t="str">
        <x:v>TEXT</x:v>
      </x:c>
      <x:c r="C59" s="10" t="str">
        <x:v>TEXT:SYN-F02-04</x:v>
      </x:c>
      <x:c r="D59" s="10" t="str">
        <x:v>TEXT:SYN-F02-04-G02</x:v>
      </x:c>
      <x:c r="E59" s="11" t="n">
        <x:v>4.38025</x:v>
      </x:c>
      <x:c r="F59" s="11" t="n">
        <x:v>4.38025</x:v>
      </x:c>
      <x:c r="G59" s="11" t="n">
        <x:f>F59-E59</x:f>
        <x:v>0</x:v>
      </x:c>
      <x:c r="H59" s="10" t="n">
        <x:v>1</x:v>
      </x:c>
      <x:c r="I59" s="10" t="str">
        <x:v>AUTHORED_TERMINAL</x:v>
      </x:c>
      <x:c r="J59" s="10" t="str">
        <x:v>TEXT:SYN-F02-04-REL-N18</x:v>
      </x:c>
      <x:c r="K59" s="10" t="str">
        <x:v>TEXT:SYN-F02-04-U02</x:v>
      </x:c>
      <x:c r="L59" s="10" t="str">
        <x:v>TEXT:SYN-F02-04-REL-N18</x:v>
      </x:c>
    </x:row>
    <x:row r="60" ht="52" customHeight="1">
      <x:c r="A60" s="10" t="str">
        <x:v>T-BASE</x:v>
      </x:c>
      <x:c r="B60" s="10" t="str">
        <x:v>TEXT</x:v>
      </x:c>
      <x:c r="C60" s="10" t="str">
        <x:v>TEXT:SYN-F02-05</x:v>
      </x:c>
      <x:c r="D60" s="10" t="str">
        <x:v>TEXT:SYN-F02-05-G01</x:v>
      </x:c>
      <x:c r="E60" s="11" t="n">
        <x:v>9.11425</x:v>
      </x:c>
      <x:c r="F60" s="11" t="n">
        <x:v>17.11425</x:v>
      </x:c>
      <x:c r="G60" s="11" t="n">
        <x:f>F60-E60</x:f>
        <x:v>7.999999999999998</x:v>
      </x:c>
      <x:c r="H60" s="10" t="n">
        <x:v>1</x:v>
      </x:c>
      <x:c r="I60" s="10" t="str">
        <x:v>AUTHORED_TERMINAL</x:v>
      </x:c>
      <x:c r="J60" s="10" t="str">
        <x:v>TEXT:SYN-F02-05-BASE-N20</x:v>
      </x:c>
      <x:c r="K60" s="10" t="str">
        <x:v>TEXT:SYN-F02-05-U01</x:v>
      </x:c>
      <x:c r="L60" s="10" t="str">
        <x:v>TEXT:SYN-F02-05-BASE-N20</x:v>
      </x:c>
    </x:row>
    <x:row r="61" ht="52" customHeight="1">
      <x:c r="A61" s="10" t="str">
        <x:v>T-BASE</x:v>
      </x:c>
      <x:c r="B61" s="10" t="str">
        <x:v>TEXT</x:v>
      </x:c>
      <x:c r="C61" s="10" t="str">
        <x:v>TEXT:SYN-F02-05</x:v>
      </x:c>
      <x:c r="D61" s="10" t="str">
        <x:v>TEXT:SYN-F02-05-G02</x:v>
      </x:c>
      <x:c r="E61" s="11" t="n">
        <x:v>5.21875</x:v>
      </x:c>
      <x:c r="F61" s="11" t="n">
        <x:v>5.21875</x:v>
      </x:c>
      <x:c r="G61" s="11" t="n">
        <x:f>F61-E61</x:f>
        <x:v>0</x:v>
      </x:c>
      <x:c r="H61" s="10" t="n">
        <x:v>1</x:v>
      </x:c>
      <x:c r="I61" s="10" t="str">
        <x:v>AUTHORED_TERMINAL</x:v>
      </x:c>
      <x:c r="J61" s="10" t="str">
        <x:v>TEXT:SYN-F02-05-BASE-N15</x:v>
      </x:c>
      <x:c r="K61" s="10" t="str">
        <x:v>TEXT:SYN-F02-05-U02</x:v>
      </x:c>
      <x:c r="L61" s="10" t="str">
        <x:v>TEXT:SYN-F02-05-BASE-N15</x:v>
      </x:c>
    </x:row>
    <x:row r="62" ht="52" customHeight="1">
      <x:c r="A62" s="10" t="str">
        <x:v>T-EXEC</x:v>
      </x:c>
      <x:c r="B62" s="10" t="str">
        <x:v>TEXT</x:v>
      </x:c>
      <x:c r="C62" s="10" t="str">
        <x:v>TEXT:SYN-F02-05</x:v>
      </x:c>
      <x:c r="D62" s="10" t="str">
        <x:v>TEXT:SYN-F02-05-G01</x:v>
      </x:c>
      <x:c r="E62" s="11" t="n">
        <x:v>6.0575</x:v>
      </x:c>
      <x:c r="F62" s="11" t="n">
        <x:v>14.0575</x:v>
      </x:c>
      <x:c r="G62" s="11" t="n">
        <x:f>F62-E62</x:f>
        <x:v>7.999999999999999</x:v>
      </x:c>
      <x:c r="H62" s="10" t="n">
        <x:v>1</x:v>
      </x:c>
      <x:c r="I62" s="10" t="str">
        <x:v>AUTHORED_TERMINAL</x:v>
      </x:c>
      <x:c r="J62" s="10" t="str">
        <x:v>TEXT:SYN-F02-05-EXEC-N21</x:v>
      </x:c>
      <x:c r="K62" s="10" t="str">
        <x:v>TEXT:SYN-F02-05-U01</x:v>
      </x:c>
      <x:c r="L62" s="10" t="str">
        <x:v>TEXT:SYN-F02-05-EXEC-N21</x:v>
      </x:c>
    </x:row>
    <x:row r="63" ht="52" customHeight="1">
      <x:c r="A63" s="10" t="str">
        <x:v>T-EXEC</x:v>
      </x:c>
      <x:c r="B63" s="10" t="str">
        <x:v>TEXT</x:v>
      </x:c>
      <x:c r="C63" s="10" t="str">
        <x:v>TEXT:SYN-F02-05</x:v>
      </x:c>
      <x:c r="D63" s="10" t="str">
        <x:v>TEXT:SYN-F02-05-G02</x:v>
      </x:c>
      <x:c r="E63" s="11" t="n">
        <x:v>4.678857</x:v>
      </x:c>
      <x:c r="F63" s="11" t="n">
        <x:v>4.678857</x:v>
      </x:c>
      <x:c r="G63" s="11" t="n">
        <x:f>F63-E63</x:f>
        <x:v>0</x:v>
      </x:c>
      <x:c r="H63" s="10" t="n">
        <x:v>1</x:v>
      </x:c>
      <x:c r="I63" s="10" t="str">
        <x:v>AUTHORED_TERMINAL</x:v>
      </x:c>
      <x:c r="J63" s="10" t="str">
        <x:v>TEXT:SYN-F02-05-EXEC-N16</x:v>
      </x:c>
      <x:c r="K63" s="10" t="str">
        <x:v>TEXT:SYN-F02-05-U02</x:v>
      </x:c>
      <x:c r="L63" s="10" t="str">
        <x:v>TEXT:SYN-F02-05-EXEC-N16</x:v>
      </x:c>
    </x:row>
    <x:row r="64" ht="52" customHeight="1">
      <x:c r="A64" s="10" t="str">
        <x:v>T-REL</x:v>
      </x:c>
      <x:c r="B64" s="10" t="str">
        <x:v>TEXT</x:v>
      </x:c>
      <x:c r="C64" s="10" t="str">
        <x:v>TEXT:SYN-F02-05</x:v>
      </x:c>
      <x:c r="D64" s="10" t="str">
        <x:v>TEXT:SYN-F02-05-G01</x:v>
      </x:c>
      <x:c r="E64" s="11" t="n">
        <x:v>7.373535</x:v>
      </x:c>
      <x:c r="F64" s="11" t="n">
        <x:v>15.373535</x:v>
      </x:c>
      <x:c r="G64" s="11" t="n">
        <x:f>F64-E64</x:f>
        <x:v>8</x:v>
      </x:c>
      <x:c r="H64" s="10" t="n">
        <x:v>1</x:v>
      </x:c>
      <x:c r="I64" s="10" t="str">
        <x:v>AUTHORED_TERMINAL</x:v>
      </x:c>
      <x:c r="J64" s="10" t="str">
        <x:v>TEXT:SYN-F02-05-REL-N23</x:v>
      </x:c>
      <x:c r="K64" s="10" t="str">
        <x:v>TEXT:SYN-F02-05-U01</x:v>
      </x:c>
      <x:c r="L64" s="10" t="str">
        <x:v>TEXT:SYN-F02-05-REL-N23</x:v>
      </x:c>
    </x:row>
    <x:row r="65" ht="52" customHeight="1">
      <x:c r="A65" s="10" t="str">
        <x:v>T-REL</x:v>
      </x:c>
      <x:c r="B65" s="10" t="str">
        <x:v>TEXT</x:v>
      </x:c>
      <x:c r="C65" s="10" t="str">
        <x:v>TEXT:SYN-F02-05</x:v>
      </x:c>
      <x:c r="D65" s="10" t="str">
        <x:v>TEXT:SYN-F02-05-G02</x:v>
      </x:c>
      <x:c r="E65" s="11" t="n">
        <x:v>4.41625</x:v>
      </x:c>
      <x:c r="F65" s="11" t="n">
        <x:v>4.41625</x:v>
      </x:c>
      <x:c r="G65" s="11" t="n">
        <x:f>F65-E65</x:f>
        <x:v>0</x:v>
      </x:c>
      <x:c r="H65" s="10" t="n">
        <x:v>1</x:v>
      </x:c>
      <x:c r="I65" s="10" t="str">
        <x:v>AUTHORED_TERMINAL</x:v>
      </x:c>
      <x:c r="J65" s="10" t="str">
        <x:v>TEXT:SYN-F02-05-REL-N18</x:v>
      </x:c>
      <x:c r="K65" s="10" t="str">
        <x:v>TEXT:SYN-F02-05-U02</x:v>
      </x:c>
      <x:c r="L65" s="10" t="str">
        <x:v>TEXT:SYN-F02-05-REL-N18</x:v>
      </x:c>
    </x:row>
    <x:row r="66" ht="52" customHeight="1">
      <x:c r="A66" s="10" t="str">
        <x:v>T-BASE</x:v>
      </x:c>
      <x:c r="B66" s="10" t="str">
        <x:v>TEXT</x:v>
      </x:c>
      <x:c r="C66" s="10" t="str">
        <x:v>TEXT:SYN-F02-06</x:v>
      </x:c>
      <x:c r="D66" s="10" t="str">
        <x:v>TEXT:SYN-F02-06-G01</x:v>
      </x:c>
      <x:c r="E66" s="11" t="n">
        <x:v>9.19225</x:v>
      </x:c>
      <x:c r="F66" s="11" t="n">
        <x:v>17.19225</x:v>
      </x:c>
      <x:c r="G66" s="11" t="n">
        <x:f>F66-E66</x:f>
        <x:v>8.000000000000002</x:v>
      </x:c>
      <x:c r="H66" s="10" t="n">
        <x:v>1</x:v>
      </x:c>
      <x:c r="I66" s="10" t="str">
        <x:v>AUTHORED_TERMINAL</x:v>
      </x:c>
      <x:c r="J66" s="10" t="str">
        <x:v>TEXT:SYN-F02-06-BASE-N20</x:v>
      </x:c>
      <x:c r="K66" s="10" t="str">
        <x:v>TEXT:SYN-F02-06-U01</x:v>
      </x:c>
      <x:c r="L66" s="10" t="str">
        <x:v>TEXT:SYN-F02-06-BASE-N20</x:v>
      </x:c>
    </x:row>
    <x:row r="67" ht="52" customHeight="1">
      <x:c r="A67" s="10" t="str">
        <x:v>T-BASE</x:v>
      </x:c>
      <x:c r="B67" s="10" t="str">
        <x:v>TEXT</x:v>
      </x:c>
      <x:c r="C67" s="10" t="str">
        <x:v>TEXT:SYN-F02-06</x:v>
      </x:c>
      <x:c r="D67" s="10" t="str">
        <x:v>TEXT:SYN-F02-06-G02</x:v>
      </x:c>
      <x:c r="E67" s="11" t="n">
        <x:v>5.24725</x:v>
      </x:c>
      <x:c r="F67" s="11" t="n">
        <x:v>5.24725</x:v>
      </x:c>
      <x:c r="G67" s="11" t="n">
        <x:f>F67-E67</x:f>
        <x:v>0</x:v>
      </x:c>
      <x:c r="H67" s="10" t="n">
        <x:v>1</x:v>
      </x:c>
      <x:c r="I67" s="10" t="str">
        <x:v>AUTHORED_TERMINAL</x:v>
      </x:c>
      <x:c r="J67" s="10" t="str">
        <x:v>TEXT:SYN-F02-06-BASE-N15</x:v>
      </x:c>
      <x:c r="K67" s="10" t="str">
        <x:v>TEXT:SYN-F02-06-U02</x:v>
      </x:c>
      <x:c r="L67" s="10" t="str">
        <x:v>TEXT:SYN-F02-06-BASE-N15</x:v>
      </x:c>
    </x:row>
    <x:row r="68" ht="52" customHeight="1">
      <x:c r="A68" s="10" t="str">
        <x:v>T-EXEC</x:v>
      </x:c>
      <x:c r="B68" s="10" t="str">
        <x:v>TEXT</x:v>
      </x:c>
      <x:c r="C68" s="10" t="str">
        <x:v>TEXT:SYN-F02-06</x:v>
      </x:c>
      <x:c r="D68" s="10" t="str">
        <x:v>TEXT:SYN-F02-06-G01</x:v>
      </x:c>
      <x:c r="E68" s="11" t="n">
        <x:v>6.086</x:v>
      </x:c>
      <x:c r="F68" s="11" t="n">
        <x:v>14.086</x:v>
      </x:c>
      <x:c r="G68" s="11" t="n">
        <x:f>F68-E68</x:f>
        <x:v>8</x:v>
      </x:c>
      <x:c r="H68" s="10" t="n">
        <x:v>1</x:v>
      </x:c>
      <x:c r="I68" s="10" t="str">
        <x:v>AUTHORED_TERMINAL</x:v>
      </x:c>
      <x:c r="J68" s="10" t="str">
        <x:v>TEXT:SYN-F02-06-EXEC-N21</x:v>
      </x:c>
      <x:c r="K68" s="10" t="str">
        <x:v>TEXT:SYN-F02-06-U01</x:v>
      </x:c>
      <x:c r="L68" s="10" t="str">
        <x:v>TEXT:SYN-F02-06-EXEC-N21</x:v>
      </x:c>
    </x:row>
    <x:row r="69" ht="52" customHeight="1">
      <x:c r="A69" s="10" t="str">
        <x:v>T-EXEC</x:v>
      </x:c>
      <x:c r="B69" s="10" t="str">
        <x:v>TEXT</x:v>
      </x:c>
      <x:c r="C69" s="10" t="str">
        <x:v>TEXT:SYN-F02-06</x:v>
      </x:c>
      <x:c r="D69" s="10" t="str">
        <x:v>TEXT:SYN-F02-06-G02</x:v>
      </x:c>
      <x:c r="E69" s="11" t="n">
        <x:v>4.683143</x:v>
      </x:c>
      <x:c r="F69" s="11" t="n">
        <x:v>4.683143</x:v>
      </x:c>
      <x:c r="G69" s="11" t="n">
        <x:f>F69-E69</x:f>
        <x:v>0</x:v>
      </x:c>
      <x:c r="H69" s="10" t="n">
        <x:v>1</x:v>
      </x:c>
      <x:c r="I69" s="10" t="str">
        <x:v>AUTHORED_TERMINAL</x:v>
      </x:c>
      <x:c r="J69" s="10" t="str">
        <x:v>TEXT:SYN-F02-06-EXEC-N16</x:v>
      </x:c>
      <x:c r="K69" s="10" t="str">
        <x:v>TEXT:SYN-F02-06-U02</x:v>
      </x:c>
      <x:c r="L69" s="10" t="str">
        <x:v>TEXT:SYN-F02-06-EXEC-N16</x:v>
      </x:c>
    </x:row>
    <x:row r="70" ht="52" customHeight="1">
      <x:c r="A70" s="10" t="str">
        <x:v>T-REL</x:v>
      </x:c>
      <x:c r="B70" s="10" t="str">
        <x:v>TEXT</x:v>
      </x:c>
      <x:c r="C70" s="10" t="str">
        <x:v>TEXT:SYN-F02-06</x:v>
      </x:c>
      <x:c r="D70" s="10" t="str">
        <x:v>TEXT:SYN-F02-06-G01</x:v>
      </x:c>
      <x:c r="E70" s="11" t="n">
        <x:v>7.401536</x:v>
      </x:c>
      <x:c r="F70" s="11" t="n">
        <x:v>15.401536</x:v>
      </x:c>
      <x:c r="G70" s="11" t="n">
        <x:f>F70-E70</x:f>
        <x:v>8</x:v>
      </x:c>
      <x:c r="H70" s="10" t="n">
        <x:v>1</x:v>
      </x:c>
      <x:c r="I70" s="10" t="str">
        <x:v>AUTHORED_TERMINAL</x:v>
      </x:c>
      <x:c r="J70" s="10" t="str">
        <x:v>TEXT:SYN-F02-06-REL-N23</x:v>
      </x:c>
      <x:c r="K70" s="10" t="str">
        <x:v>TEXT:SYN-F02-06-U01</x:v>
      </x:c>
      <x:c r="L70" s="10" t="str">
        <x:v>TEXT:SYN-F02-06-REL-N23</x:v>
      </x:c>
    </x:row>
    <x:row r="71" ht="52" customHeight="1">
      <x:c r="A71" s="10" t="str">
        <x:v>T-REL</x:v>
      </x:c>
      <x:c r="B71" s="10" t="str">
        <x:v>TEXT</x:v>
      </x:c>
      <x:c r="C71" s="10" t="str">
        <x:v>TEXT:SYN-F02-06</x:v>
      </x:c>
      <x:c r="D71" s="10" t="str">
        <x:v>TEXT:SYN-F02-06-G02</x:v>
      </x:c>
      <x:c r="E71" s="11" t="n">
        <x:v>4.41975</x:v>
      </x:c>
      <x:c r="F71" s="11" t="n">
        <x:v>4.41975</x:v>
      </x:c>
      <x:c r="G71" s="11" t="n">
        <x:f>F71-E71</x:f>
        <x:v>0</x:v>
      </x:c>
      <x:c r="H71" s="10" t="n">
        <x:v>1</x:v>
      </x:c>
      <x:c r="I71" s="10" t="str">
        <x:v>AUTHORED_TERMINAL</x:v>
      </x:c>
      <x:c r="J71" s="10" t="str">
        <x:v>TEXT:SYN-F02-06-REL-N18</x:v>
      </x:c>
      <x:c r="K71" s="10" t="str">
        <x:v>TEXT:SYN-F02-06-U02</x:v>
      </x:c>
      <x:c r="L71" s="10" t="str">
        <x:v>TEXT:SYN-F02-06-REL-N18</x:v>
      </x:c>
    </x:row>
    <x:row r="72" ht="52" customHeight="1">
      <x:c r="A72" s="10" t="str">
        <x:v>T-BASE</x:v>
      </x:c>
      <x:c r="B72" s="10" t="str">
        <x:v>TEXT</x:v>
      </x:c>
      <x:c r="C72" s="10" t="str">
        <x:v>TEXT:SYN-F02-07</x:v>
      </x:c>
      <x:c r="D72" s="10" t="str">
        <x:v>TEXT:SYN-F02-07-G01</x:v>
      </x:c>
      <x:c r="E72" s="11" t="n">
        <x:v>9.20275</x:v>
      </x:c>
      <x:c r="F72" s="11" t="n">
        <x:v>17.20275</x:v>
      </x:c>
      <x:c r="G72" s="11" t="n">
        <x:f>F72-E72</x:f>
        <x:v>8.000000000000002</x:v>
      </x:c>
      <x:c r="H72" s="10" t="n">
        <x:v>1</x:v>
      </x:c>
      <x:c r="I72" s="10" t="str">
        <x:v>AUTHORED_TERMINAL</x:v>
      </x:c>
      <x:c r="J72" s="10" t="str">
        <x:v>TEXT:SYN-F02-07-BASE-N20</x:v>
      </x:c>
      <x:c r="K72" s="10" t="str">
        <x:v>TEXT:SYN-F02-07-U01</x:v>
      </x:c>
      <x:c r="L72" s="10" t="str">
        <x:v>TEXT:SYN-F02-07-BASE-N20</x:v>
      </x:c>
    </x:row>
    <x:row r="73" ht="52" customHeight="1">
      <x:c r="A73" s="10" t="str">
        <x:v>T-BASE</x:v>
      </x:c>
      <x:c r="B73" s="10" t="str">
        <x:v>TEXT</x:v>
      </x:c>
      <x:c r="C73" s="10" t="str">
        <x:v>TEXT:SYN-F02-07</x:v>
      </x:c>
      <x:c r="D73" s="10" t="str">
        <x:v>TEXT:SYN-F02-07-G02</x:v>
      </x:c>
      <x:c r="E73" s="11" t="n">
        <x:v>5.28325</x:v>
      </x:c>
      <x:c r="F73" s="11" t="n">
        <x:v>5.28325</x:v>
      </x:c>
      <x:c r="G73" s="11" t="n">
        <x:f>F73-E73</x:f>
        <x:v>0</x:v>
      </x:c>
      <x:c r="H73" s="10" t="n">
        <x:v>1</x:v>
      </x:c>
      <x:c r="I73" s="10" t="str">
        <x:v>AUTHORED_TERMINAL</x:v>
      </x:c>
      <x:c r="J73" s="10" t="str">
        <x:v>TEXT:SYN-F02-07-BASE-N15</x:v>
      </x:c>
      <x:c r="K73" s="10" t="str">
        <x:v>TEXT:SYN-F02-07-U02</x:v>
      </x:c>
      <x:c r="L73" s="10" t="str">
        <x:v>TEXT:SYN-F02-07-BASE-N15</x:v>
      </x:c>
    </x:row>
    <x:row r="74" ht="52" customHeight="1">
      <x:c r="A74" s="10" t="str">
        <x:v>T-EXEC</x:v>
      </x:c>
      <x:c r="B74" s="10" t="str">
        <x:v>TEXT</x:v>
      </x:c>
      <x:c r="C74" s="10" t="str">
        <x:v>TEXT:SYN-F02-07</x:v>
      </x:c>
      <x:c r="D74" s="10" t="str">
        <x:v>TEXT:SYN-F02-07-G01</x:v>
      </x:c>
      <x:c r="E74" s="11" t="n">
        <x:v>6.122</x:v>
      </x:c>
      <x:c r="F74" s="11" t="n">
        <x:v>14.122</x:v>
      </x:c>
      <x:c r="G74" s="11" t="n">
        <x:f>F74-E74</x:f>
        <x:v>8</x:v>
      </x:c>
      <x:c r="H74" s="10" t="n">
        <x:v>1</x:v>
      </x:c>
      <x:c r="I74" s="10" t="str">
        <x:v>AUTHORED_TERMINAL</x:v>
      </x:c>
      <x:c r="J74" s="10" t="str">
        <x:v>TEXT:SYN-F02-07-EXEC-N21</x:v>
      </x:c>
      <x:c r="K74" s="10" t="str">
        <x:v>TEXT:SYN-F02-07-U01</x:v>
      </x:c>
      <x:c r="L74" s="10" t="str">
        <x:v>TEXT:SYN-F02-07-EXEC-N21</x:v>
      </x:c>
    </x:row>
    <x:row r="75" ht="52" customHeight="1">
      <x:c r="A75" s="10" t="str">
        <x:v>T-EXEC</x:v>
      </x:c>
      <x:c r="B75" s="10" t="str">
        <x:v>TEXT</x:v>
      </x:c>
      <x:c r="C75" s="10" t="str">
        <x:v>TEXT:SYN-F02-07</x:v>
      </x:c>
      <x:c r="D75" s="10" t="str">
        <x:v>TEXT:SYN-F02-07-G02</x:v>
      </x:c>
      <x:c r="E75" s="11" t="n">
        <x:v>4.676178</x:v>
      </x:c>
      <x:c r="F75" s="11" t="n">
        <x:v>4.676178</x:v>
      </x:c>
      <x:c r="G75" s="11" t="n">
        <x:f>F75-E75</x:f>
        <x:v>0</x:v>
      </x:c>
      <x:c r="H75" s="10" t="n">
        <x:v>1</x:v>
      </x:c>
      <x:c r="I75" s="10" t="str">
        <x:v>AUTHORED_TERMINAL</x:v>
      </x:c>
      <x:c r="J75" s="10" t="str">
        <x:v>TEXT:SYN-F02-07-EXEC-N16</x:v>
      </x:c>
      <x:c r="K75" s="10" t="str">
        <x:v>TEXT:SYN-F02-07-U02</x:v>
      </x:c>
      <x:c r="L75" s="10" t="str">
        <x:v>TEXT:SYN-F02-07-EXEC-N16</x:v>
      </x:c>
    </x:row>
    <x:row r="76" ht="52" customHeight="1">
      <x:c r="A76" s="10" t="str">
        <x:v>T-REL</x:v>
      </x:c>
      <x:c r="B76" s="10" t="str">
        <x:v>TEXT</x:v>
      </x:c>
      <x:c r="C76" s="10" t="str">
        <x:v>TEXT:SYN-F02-07</x:v>
      </x:c>
      <x:c r="D76" s="10" t="str">
        <x:v>TEXT:SYN-F02-07-G01</x:v>
      </x:c>
      <x:c r="E76" s="11" t="n">
        <x:v>7.512036</x:v>
      </x:c>
      <x:c r="F76" s="11" t="n">
        <x:v>15.512036</x:v>
      </x:c>
      <x:c r="G76" s="11" t="n">
        <x:f>F76-E76</x:f>
        <x:v>8</x:v>
      </x:c>
      <x:c r="H76" s="10" t="n">
        <x:v>1</x:v>
      </x:c>
      <x:c r="I76" s="10" t="str">
        <x:v>AUTHORED_TERMINAL</x:v>
      </x:c>
      <x:c r="J76" s="10" t="str">
        <x:v>TEXT:SYN-F02-07-REL-N23</x:v>
      </x:c>
      <x:c r="K76" s="10" t="str">
        <x:v>TEXT:SYN-F02-07-U01</x:v>
      </x:c>
      <x:c r="L76" s="10" t="str">
        <x:v>TEXT:SYN-F02-07-REL-N23</x:v>
      </x:c>
    </x:row>
    <x:row r="77" ht="52" customHeight="1">
      <x:c r="A77" s="10" t="str">
        <x:v>T-REL</x:v>
      </x:c>
      <x:c r="B77" s="10" t="str">
        <x:v>TEXT</x:v>
      </x:c>
      <x:c r="C77" s="10" t="str">
        <x:v>TEXT:SYN-F02-07</x:v>
      </x:c>
      <x:c r="D77" s="10" t="str">
        <x:v>TEXT:SYN-F02-07-G02</x:v>
      </x:c>
      <x:c r="E77" s="11" t="n">
        <x:v>4.50575</x:v>
      </x:c>
      <x:c r="F77" s="11" t="n">
        <x:v>4.50575</x:v>
      </x:c>
      <x:c r="G77" s="11" t="n">
        <x:f>F77-E77</x:f>
        <x:v>0</x:v>
      </x:c>
      <x:c r="H77" s="10" t="n">
        <x:v>1</x:v>
      </x:c>
      <x:c r="I77" s="10" t="str">
        <x:v>AUTHORED_TERMINAL</x:v>
      </x:c>
      <x:c r="J77" s="10" t="str">
        <x:v>TEXT:SYN-F02-07-REL-N18</x:v>
      </x:c>
      <x:c r="K77" s="10" t="str">
        <x:v>TEXT:SYN-F02-07-U02</x:v>
      </x:c>
      <x:c r="L77" s="10" t="str">
        <x:v>TEXT:SYN-F02-07-REL-N18</x:v>
      </x:c>
    </x:row>
    <x:row r="78" ht="52" customHeight="1">
      <x:c r="A78" s="10" t="str">
        <x:v>T-BASE</x:v>
      </x:c>
      <x:c r="B78" s="10" t="str">
        <x:v>TEXT</x:v>
      </x:c>
      <x:c r="C78" s="10" t="str">
        <x:v>TEXT:SYN-F02-08</x:v>
      </x:c>
      <x:c r="D78" s="10" t="str">
        <x:v>TEXT:SYN-F02-08-G01</x:v>
      </x:c>
      <x:c r="E78" s="11" t="n">
        <x:v>9.36325</x:v>
      </x:c>
      <x:c r="F78" s="11" t="n">
        <x:v>17.36325</x:v>
      </x:c>
      <x:c r="G78" s="11" t="n">
        <x:f>F78-E78</x:f>
        <x:v>8</x:v>
      </x:c>
      <x:c r="H78" s="10" t="n">
        <x:v>0</x:v>
      </x:c>
      <x:c r="I78" s="10" t="str">
        <x:v>AUTHORED_TERMINAL</x:v>
      </x:c>
      <x:c r="J78" s="10" t="str">
        <x:v>TEXT:SYN-F02-08-BASE-N20</x:v>
      </x:c>
      <x:c r="K78" s="10" t="str">
        <x:v>TEXT:SYN-F02-08-U01</x:v>
      </x:c>
      <x:c r="L78" s="10" t="str">
        <x:v>TEXT:SYN-F02-08-BASE-N20</x:v>
      </x:c>
    </x:row>
    <x:row r="79" ht="52" customHeight="1">
      <x:c r="A79" s="10" t="str">
        <x:v>T-BASE</x:v>
      </x:c>
      <x:c r="B79" s="10" t="str">
        <x:v>TEXT</x:v>
      </x:c>
      <x:c r="C79" s="10" t="str">
        <x:v>TEXT:SYN-F02-08</x:v>
      </x:c>
      <x:c r="D79" s="10" t="str">
        <x:v>TEXT:SYN-F02-08-G02</x:v>
      </x:c>
      <x:c r="E79" s="11" t="n">
        <x:v>5.39425</x:v>
      </x:c>
      <x:c r="F79" s="11" t="n">
        <x:v>5.39425</x:v>
      </x:c>
      <x:c r="G79" s="11" t="n">
        <x:f>F79-E79</x:f>
        <x:v>0</x:v>
      </x:c>
      <x:c r="H79" s="10" t="n">
        <x:v>1</x:v>
      </x:c>
      <x:c r="I79" s="10" t="str">
        <x:v>AUTHORED_TERMINAL</x:v>
      </x:c>
      <x:c r="J79" s="10" t="str">
        <x:v>TEXT:SYN-F02-08-BASE-N15</x:v>
      </x:c>
      <x:c r="K79" s="10" t="str">
        <x:v>TEXT:SYN-F02-08-U02</x:v>
      </x:c>
      <x:c r="L79" s="10" t="str">
        <x:v>TEXT:SYN-F02-08-BASE-N15</x:v>
      </x:c>
    </x:row>
    <x:row r="80" ht="52" customHeight="1">
      <x:c r="A80" s="10" t="str">
        <x:v>T-EXEC</x:v>
      </x:c>
      <x:c r="B80" s="10" t="str">
        <x:v>TEXT</x:v>
      </x:c>
      <x:c r="C80" s="10" t="str">
        <x:v>TEXT:SYN-F02-08</x:v>
      </x:c>
      <x:c r="D80" s="10" t="str">
        <x:v>TEXT:SYN-F02-08-G01</x:v>
      </x:c>
      <x:c r="E80" s="11" t="n">
        <x:v>6.233</x:v>
      </x:c>
      <x:c r="F80" s="11" t="n">
        <x:v>14.233</x:v>
      </x:c>
      <x:c r="G80" s="11" t="n">
        <x:f>F80-E80</x:f>
        <x:v>8</x:v>
      </x:c>
      <x:c r="H80" s="10" t="n">
        <x:v>0</x:v>
      </x:c>
      <x:c r="I80" s="10" t="str">
        <x:v>AUTHORED_TERMINAL</x:v>
      </x:c>
      <x:c r="J80" s="10" t="str">
        <x:v>TEXT:SYN-F02-08-EXEC-N21</x:v>
      </x:c>
      <x:c r="K80" s="10" t="str">
        <x:v>TEXT:SYN-F02-08-U01</x:v>
      </x:c>
      <x:c r="L80" s="10" t="str">
        <x:v>TEXT:SYN-F02-08-EXEC-N21</x:v>
      </x:c>
    </x:row>
    <x:row r="81" ht="52" customHeight="1">
      <x:c r="A81" s="10" t="str">
        <x:v>T-EXEC</x:v>
      </x:c>
      <x:c r="B81" s="10" t="str">
        <x:v>TEXT</x:v>
      </x:c>
      <x:c r="C81" s="10" t="str">
        <x:v>TEXT:SYN-F02-08</x:v>
      </x:c>
      <x:c r="D81" s="10" t="str">
        <x:v>TEXT:SYN-F02-08-G02</x:v>
      </x:c>
      <x:c r="E81" s="11" t="n">
        <x:v>4.762964</x:v>
      </x:c>
      <x:c r="F81" s="11" t="n">
        <x:v>4.762964</x:v>
      </x:c>
      <x:c r="G81" s="11" t="n">
        <x:f>F81-E81</x:f>
        <x:v>0</x:v>
      </x:c>
      <x:c r="H81" s="10" t="n">
        <x:v>1</x:v>
      </x:c>
      <x:c r="I81" s="10" t="str">
        <x:v>AUTHORED_TERMINAL</x:v>
      </x:c>
      <x:c r="J81" s="10" t="str">
        <x:v>TEXT:SYN-F02-08-EXEC-N16</x:v>
      </x:c>
      <x:c r="K81" s="10" t="str">
        <x:v>TEXT:SYN-F02-08-U02</x:v>
      </x:c>
      <x:c r="L81" s="10" t="str">
        <x:v>TEXT:SYN-F02-08-EXEC-N16</x:v>
      </x:c>
    </x:row>
    <x:row r="82" ht="52" customHeight="1">
      <x:c r="A82" s="10" t="str">
        <x:v>T-REL</x:v>
      </x:c>
      <x:c r="B82" s="10" t="str">
        <x:v>TEXT</x:v>
      </x:c>
      <x:c r="C82" s="10" t="str">
        <x:v>TEXT:SYN-F02-08</x:v>
      </x:c>
      <x:c r="D82" s="10" t="str">
        <x:v>TEXT:SYN-F02-08-G01</x:v>
      </x:c>
      <x:c r="E82" s="11" t="n">
        <x:v>7.622536</x:v>
      </x:c>
      <x:c r="F82" s="11" t="n">
        <x:v>15.622536</x:v>
      </x:c>
      <x:c r="G82" s="11" t="n">
        <x:f>F82-E82</x:f>
        <x:v>8</x:v>
      </x:c>
      <x:c r="H82" s="10" t="n">
        <x:v>1</x:v>
      </x:c>
      <x:c r="I82" s="10" t="str">
        <x:v>AUTHORED_TERMINAL</x:v>
      </x:c>
      <x:c r="J82" s="10" t="str">
        <x:v>TEXT:SYN-F02-08-REL-N23</x:v>
      </x:c>
      <x:c r="K82" s="10" t="str">
        <x:v>TEXT:SYN-F02-08-U01</x:v>
      </x:c>
      <x:c r="L82" s="10" t="str">
        <x:v>TEXT:SYN-F02-08-REL-N23</x:v>
      </x:c>
    </x:row>
    <x:row r="83" ht="52" customHeight="1">
      <x:c r="A83" s="10" t="str">
        <x:v>T-REL</x:v>
      </x:c>
      <x:c r="B83" s="10" t="str">
        <x:v>TEXT</x:v>
      </x:c>
      <x:c r="C83" s="10" t="str">
        <x:v>TEXT:SYN-F02-08</x:v>
      </x:c>
      <x:c r="D83" s="10" t="str">
        <x:v>TEXT:SYN-F02-08-G02</x:v>
      </x:c>
      <x:c r="E83" s="11" t="n">
        <x:v>4.59175</x:v>
      </x:c>
      <x:c r="F83" s="11" t="n">
        <x:v>4.59175</x:v>
      </x:c>
      <x:c r="G83" s="11" t="n">
        <x:f>F83-E83</x:f>
        <x:v>0</x:v>
      </x:c>
      <x:c r="H83" s="10" t="n">
        <x:v>1</x:v>
      </x:c>
      <x:c r="I83" s="10" t="str">
        <x:v>AUTHORED_TERMINAL</x:v>
      </x:c>
      <x:c r="J83" s="10" t="str">
        <x:v>TEXT:SYN-F02-08-REL-N18</x:v>
      </x:c>
      <x:c r="K83" s="10" t="str">
        <x:v>TEXT:SYN-F02-08-U02</x:v>
      </x:c>
      <x:c r="L83" s="10" t="str">
        <x:v>TEXT:SYN-F02-08-REL-N18</x:v>
      </x:c>
    </x:row>
    <x:row r="84" ht="52" customHeight="1">
      <x:c r="A84" s="10" t="str">
        <x:v>T-BASE</x:v>
      </x:c>
      <x:c r="B84" s="10" t="str">
        <x:v>TEXT</x:v>
      </x:c>
      <x:c r="C84" s="10" t="str">
        <x:v>TEXT:SYN-F02-09</x:v>
      </x:c>
      <x:c r="D84" s="10" t="str">
        <x:v>TEXT:SYN-F02-09-G01</x:v>
      </x:c>
      <x:c r="E84" s="11" t="n">
        <x:v>9.42375</x:v>
      </x:c>
      <x:c r="F84" s="11" t="n">
        <x:v>17.42375</x:v>
      </x:c>
      <x:c r="G84" s="11" t="n">
        <x:f>F84-E84</x:f>
        <x:v>7.999999999999998</x:v>
      </x:c>
      <x:c r="H84" s="10" t="n">
        <x:v>1</x:v>
      </x:c>
      <x:c r="I84" s="10" t="str">
        <x:v>AUTHORED_TERMINAL</x:v>
      </x:c>
      <x:c r="J84" s="10" t="str">
        <x:v>TEXT:SYN-F02-09-BASE-N20</x:v>
      </x:c>
      <x:c r="K84" s="10" t="str">
        <x:v>TEXT:SYN-F02-09-U01</x:v>
      </x:c>
      <x:c r="L84" s="10" t="str">
        <x:v>TEXT:SYN-F02-09-BASE-N20</x:v>
      </x:c>
    </x:row>
    <x:row r="85" ht="52" customHeight="1">
      <x:c r="A85" s="10" t="str">
        <x:v>T-BASE</x:v>
      </x:c>
      <x:c r="B85" s="10" t="str">
        <x:v>TEXT</x:v>
      </x:c>
      <x:c r="C85" s="10" t="str">
        <x:v>TEXT:SYN-F02-09</x:v>
      </x:c>
      <x:c r="D85" s="10" t="str">
        <x:v>TEXT:SYN-F02-09-G02</x:v>
      </x:c>
      <x:c r="E85" s="11" t="n">
        <x:v>5.45525</x:v>
      </x:c>
      <x:c r="F85" s="11" t="n">
        <x:v>5.45525</x:v>
      </x:c>
      <x:c r="G85" s="11" t="n">
        <x:f>F85-E85</x:f>
        <x:v>0</x:v>
      </x:c>
      <x:c r="H85" s="10" t="n">
        <x:v>1</x:v>
      </x:c>
      <x:c r="I85" s="10" t="str">
        <x:v>AUTHORED_TERMINAL</x:v>
      </x:c>
      <x:c r="J85" s="10" t="str">
        <x:v>TEXT:SYN-F02-09-BASE-N15</x:v>
      </x:c>
      <x:c r="K85" s="10" t="str">
        <x:v>TEXT:SYN-F02-09-U02</x:v>
      </x:c>
      <x:c r="L85" s="10" t="str">
        <x:v>TEXT:SYN-F02-09-BASE-N15</x:v>
      </x:c>
    </x:row>
    <x:row r="86" ht="52" customHeight="1">
      <x:c r="A86" s="10" t="str">
        <x:v>T-EXEC</x:v>
      </x:c>
      <x:c r="B86" s="10" t="str">
        <x:v>TEXT</x:v>
      </x:c>
      <x:c r="C86" s="10" t="str">
        <x:v>TEXT:SYN-F02-09</x:v>
      </x:c>
      <x:c r="D86" s="10" t="str">
        <x:v>TEXT:SYN-F02-09-G01</x:v>
      </x:c>
      <x:c r="E86" s="11" t="n">
        <x:v>6.294</x:v>
      </x:c>
      <x:c r="F86" s="11" t="n">
        <x:v>14.294</x:v>
      </x:c>
      <x:c r="G86" s="11" t="n">
        <x:f>F86-E86</x:f>
        <x:v>8</x:v>
      </x:c>
      <x:c r="H86" s="10" t="n">
        <x:v>1</x:v>
      </x:c>
      <x:c r="I86" s="10" t="str">
        <x:v>AUTHORED_TERMINAL</x:v>
      </x:c>
      <x:c r="J86" s="10" t="str">
        <x:v>TEXT:SYN-F02-09-EXEC-N21</x:v>
      </x:c>
      <x:c r="K86" s="10" t="str">
        <x:v>TEXT:SYN-F02-09-U01</x:v>
      </x:c>
      <x:c r="L86" s="10" t="str">
        <x:v>TEXT:SYN-F02-09-EXEC-N21</x:v>
      </x:c>
    </x:row>
    <x:row r="87" ht="52" customHeight="1">
      <x:c r="A87" s="10" t="str">
        <x:v>T-EXEC</x:v>
      </x:c>
      <x:c r="B87" s="10" t="str">
        <x:v>TEXT</x:v>
      </x:c>
      <x:c r="C87" s="10" t="str">
        <x:v>TEXT:SYN-F02-09</x:v>
      </x:c>
      <x:c r="D87" s="10" t="str">
        <x:v>TEXT:SYN-F02-09-G02</x:v>
      </x:c>
      <x:c r="E87" s="11" t="n">
        <x:v>4.77475</x:v>
      </x:c>
      <x:c r="F87" s="11" t="n">
        <x:v>4.77475</x:v>
      </x:c>
      <x:c r="G87" s="11" t="n">
        <x:f>F87-E87</x:f>
        <x:v>0</x:v>
      </x:c>
      <x:c r="H87" s="10" t="n">
        <x:v>1</x:v>
      </x:c>
      <x:c r="I87" s="10" t="str">
        <x:v>AUTHORED_TERMINAL</x:v>
      </x:c>
      <x:c r="J87" s="10" t="str">
        <x:v>TEXT:SYN-F02-09-EXEC-N16</x:v>
      </x:c>
      <x:c r="K87" s="10" t="str">
        <x:v>TEXT:SYN-F02-09-U02</x:v>
      </x:c>
      <x:c r="L87" s="10" t="str">
        <x:v>TEXT:SYN-F02-09-EXEC-N16</x:v>
      </x:c>
    </x:row>
    <x:row r="88" ht="52" customHeight="1">
      <x:c r="A88" s="10" t="str">
        <x:v>T-REL</x:v>
      </x:c>
      <x:c r="B88" s="10" t="str">
        <x:v>TEXT</x:v>
      </x:c>
      <x:c r="C88" s="10" t="str">
        <x:v>TEXT:SYN-F02-09</x:v>
      </x:c>
      <x:c r="D88" s="10" t="str">
        <x:v>TEXT:SYN-F02-09-G01</x:v>
      </x:c>
      <x:c r="E88" s="11" t="n">
        <x:v>7.633036</x:v>
      </x:c>
      <x:c r="F88" s="11" t="n">
        <x:v>15.633036</x:v>
      </x:c>
      <x:c r="G88" s="11" t="n">
        <x:f>F88-E88</x:f>
        <x:v>8</x:v>
      </x:c>
      <x:c r="H88" s="10" t="n">
        <x:v>1</x:v>
      </x:c>
      <x:c r="I88" s="10" t="str">
        <x:v>AUTHORED_TERMINAL</x:v>
      </x:c>
      <x:c r="J88" s="10" t="str">
        <x:v>TEXT:SYN-F02-09-REL-N23</x:v>
      </x:c>
      <x:c r="K88" s="10" t="str">
        <x:v>TEXT:SYN-F02-09-U01</x:v>
      </x:c>
      <x:c r="L88" s="10" t="str">
        <x:v>TEXT:SYN-F02-09-REL-N23</x:v>
      </x:c>
    </x:row>
    <x:row r="89" ht="52" customHeight="1">
      <x:c r="A89" s="10" t="str">
        <x:v>T-REL</x:v>
      </x:c>
      <x:c r="B89" s="10" t="str">
        <x:v>TEXT</x:v>
      </x:c>
      <x:c r="C89" s="10" t="str">
        <x:v>TEXT:SYN-F02-09</x:v>
      </x:c>
      <x:c r="D89" s="10" t="str">
        <x:v>TEXT:SYN-F02-09-G02</x:v>
      </x:c>
      <x:c r="E89" s="11" t="n">
        <x:v>4.62775</x:v>
      </x:c>
      <x:c r="F89" s="11" t="n">
        <x:v>4.62775</x:v>
      </x:c>
      <x:c r="G89" s="11" t="n">
        <x:f>F89-E89</x:f>
        <x:v>0</x:v>
      </x:c>
      <x:c r="H89" s="10" t="n">
        <x:v>1</x:v>
      </x:c>
      <x:c r="I89" s="10" t="str">
        <x:v>AUTHORED_TERMINAL</x:v>
      </x:c>
      <x:c r="J89" s="10" t="str">
        <x:v>TEXT:SYN-F02-09-REL-N18</x:v>
      </x:c>
      <x:c r="K89" s="10" t="str">
        <x:v>TEXT:SYN-F02-09-U02</x:v>
      </x:c>
      <x:c r="L89" s="10" t="str">
        <x:v>TEXT:SYN-F02-09-REL-N18</x:v>
      </x:c>
    </x:row>
    <x:row r="90" ht="52" customHeight="1">
      <x:c r="A90" s="10" t="str">
        <x:v>T-BASE</x:v>
      </x:c>
      <x:c r="B90" s="10" t="str">
        <x:v>TEXT</x:v>
      </x:c>
      <x:c r="C90" s="10" t="str">
        <x:v>TEXT:SYN-F02-10</x:v>
      </x:c>
      <x:c r="D90" s="10" t="str">
        <x:v>TEXT:SYN-F02-10-G01</x:v>
      </x:c>
      <x:c r="E90" s="11" t="n">
        <x:v>9.43425</x:v>
      </x:c>
      <x:c r="F90" s="11" t="n">
        <x:v>17.43425</x:v>
      </x:c>
      <x:c r="G90" s="11" t="n">
        <x:f>F90-E90</x:f>
        <x:v>7.999999999999998</x:v>
      </x:c>
      <x:c r="H90" s="10" t="n">
        <x:v>1</x:v>
      </x:c>
      <x:c r="I90" s="10" t="str">
        <x:v>AUTHORED_TERMINAL</x:v>
      </x:c>
      <x:c r="J90" s="10" t="str">
        <x:v>TEXT:SYN-F02-10-BASE-N20</x:v>
      </x:c>
      <x:c r="K90" s="10" t="str">
        <x:v>TEXT:SYN-F02-10-U01</x:v>
      </x:c>
      <x:c r="L90" s="10" t="str">
        <x:v>TEXT:SYN-F02-10-BASE-N20</x:v>
      </x:c>
    </x:row>
    <x:row r="91" ht="52" customHeight="1">
      <x:c r="A91" s="10" t="str">
        <x:v>T-BASE</x:v>
      </x:c>
      <x:c r="B91" s="10" t="str">
        <x:v>TEXT</x:v>
      </x:c>
      <x:c r="C91" s="10" t="str">
        <x:v>TEXT:SYN-F02-10</x:v>
      </x:c>
      <x:c r="D91" s="10" t="str">
        <x:v>TEXT:SYN-F02-10-G02</x:v>
      </x:c>
      <x:c r="E91" s="11" t="n">
        <x:v>5.49125</x:v>
      </x:c>
      <x:c r="F91" s="11" t="n">
        <x:v>5.49125</x:v>
      </x:c>
      <x:c r="G91" s="11" t="n">
        <x:f>F91-E91</x:f>
        <x:v>0</x:v>
      </x:c>
      <x:c r="H91" s="10" t="n">
        <x:v>1</x:v>
      </x:c>
      <x:c r="I91" s="10" t="str">
        <x:v>AUTHORED_TERMINAL</x:v>
      </x:c>
      <x:c r="J91" s="10" t="str">
        <x:v>TEXT:SYN-F02-10-BASE-N15</x:v>
      </x:c>
      <x:c r="K91" s="10" t="str">
        <x:v>TEXT:SYN-F02-10-U02</x:v>
      </x:c>
      <x:c r="L91" s="10" t="str">
        <x:v>TEXT:SYN-F02-10-BASE-N15</x:v>
      </x:c>
    </x:row>
    <x:row r="92" ht="52" customHeight="1">
      <x:c r="A92" s="10" t="str">
        <x:v>T-EXEC</x:v>
      </x:c>
      <x:c r="B92" s="10" t="str">
        <x:v>TEXT</x:v>
      </x:c>
      <x:c r="C92" s="10" t="str">
        <x:v>TEXT:SYN-F02-10</x:v>
      </x:c>
      <x:c r="D92" s="10" t="str">
        <x:v>TEXT:SYN-F02-10-G01</x:v>
      </x:c>
      <x:c r="E92" s="11" t="n">
        <x:v>6.33</x:v>
      </x:c>
      <x:c r="F92" s="11" t="n">
        <x:v>14.33</x:v>
      </x:c>
      <x:c r="G92" s="11" t="n">
        <x:f>F92-E92</x:f>
        <x:v>8</x:v>
      </x:c>
      <x:c r="H92" s="10" t="n">
        <x:v>1</x:v>
      </x:c>
      <x:c r="I92" s="10" t="str">
        <x:v>AUTHORED_TERMINAL</x:v>
      </x:c>
      <x:c r="J92" s="10" t="str">
        <x:v>TEXT:SYN-F02-10-EXEC-N21</x:v>
      </x:c>
      <x:c r="K92" s="10" t="str">
        <x:v>TEXT:SYN-F02-10-U01</x:v>
      </x:c>
      <x:c r="L92" s="10" t="str">
        <x:v>TEXT:SYN-F02-10-EXEC-N21</x:v>
      </x:c>
    </x:row>
    <x:row r="93" ht="52" customHeight="1">
      <x:c r="A93" s="10" t="str">
        <x:v>T-EXEC</x:v>
      </x:c>
      <x:c r="B93" s="10" t="str">
        <x:v>TEXT</x:v>
      </x:c>
      <x:c r="C93" s="10" t="str">
        <x:v>TEXT:SYN-F02-10</x:v>
      </x:c>
      <x:c r="D93" s="10" t="str">
        <x:v>TEXT:SYN-F02-10-G02</x:v>
      </x:c>
      <x:c r="E93" s="11" t="n">
        <x:v>4.767786</x:v>
      </x:c>
      <x:c r="F93" s="11" t="n">
        <x:v>4.767786</x:v>
      </x:c>
      <x:c r="G93" s="11" t="n">
        <x:f>F93-E93</x:f>
        <x:v>0</x:v>
      </x:c>
      <x:c r="H93" s="10" t="n">
        <x:v>1</x:v>
      </x:c>
      <x:c r="I93" s="10" t="str">
        <x:v>AUTHORED_TERMINAL</x:v>
      </x:c>
      <x:c r="J93" s="10" t="str">
        <x:v>TEXT:SYN-F02-10-EXEC-N16</x:v>
      </x:c>
      <x:c r="K93" s="10" t="str">
        <x:v>TEXT:SYN-F02-10-U02</x:v>
      </x:c>
      <x:c r="L93" s="10" t="str">
        <x:v>TEXT:SYN-F02-10-EXEC-N16</x:v>
      </x:c>
    </x:row>
    <x:row r="94" ht="52" customHeight="1">
      <x:c r="A94" s="10" t="str">
        <x:v>T-REL</x:v>
      </x:c>
      <x:c r="B94" s="10" t="str">
        <x:v>TEXT</x:v>
      </x:c>
      <x:c r="C94" s="10" t="str">
        <x:v>TEXT:SYN-F02-10</x:v>
      </x:c>
      <x:c r="D94" s="10" t="str">
        <x:v>TEXT:SYN-F02-10-G01</x:v>
      </x:c>
      <x:c r="E94" s="11" t="n">
        <x:v>7.743535</x:v>
      </x:c>
      <x:c r="F94" s="11" t="n">
        <x:v>15.743535</x:v>
      </x:c>
      <x:c r="G94" s="11" t="n">
        <x:f>F94-E94</x:f>
        <x:v>8</x:v>
      </x:c>
      <x:c r="H94" s="10" t="n">
        <x:v>1</x:v>
      </x:c>
      <x:c r="I94" s="10" t="str">
        <x:v>AUTHORED_TERMINAL</x:v>
      </x:c>
      <x:c r="J94" s="10" t="str">
        <x:v>TEXT:SYN-F02-10-REL-N23</x:v>
      </x:c>
      <x:c r="K94" s="10" t="str">
        <x:v>TEXT:SYN-F02-10-U01</x:v>
      </x:c>
      <x:c r="L94" s="10" t="str">
        <x:v>TEXT:SYN-F02-10-REL-N23</x:v>
      </x:c>
    </x:row>
    <x:row r="95" ht="52" customHeight="1">
      <x:c r="A95" s="10" t="str">
        <x:v>T-REL</x:v>
      </x:c>
      <x:c r="B95" s="10" t="str">
        <x:v>TEXT</x:v>
      </x:c>
      <x:c r="C95" s="10" t="str">
        <x:v>TEXT:SYN-F02-10</x:v>
      </x:c>
      <x:c r="D95" s="10" t="str">
        <x:v>TEXT:SYN-F02-10-G02</x:v>
      </x:c>
      <x:c r="E95" s="11" t="n">
        <x:v>4.71375</x:v>
      </x:c>
      <x:c r="F95" s="11" t="n">
        <x:v>4.71375</x:v>
      </x:c>
      <x:c r="G95" s="11" t="n">
        <x:f>F95-E95</x:f>
        <x:v>0</x:v>
      </x:c>
      <x:c r="H95" s="10" t="n">
        <x:v>1</x:v>
      </x:c>
      <x:c r="I95" s="10" t="str">
        <x:v>AUTHORED_TERMINAL</x:v>
      </x:c>
      <x:c r="J95" s="10" t="str">
        <x:v>TEXT:SYN-F02-10-REL-N18</x:v>
      </x:c>
      <x:c r="K95" s="10" t="str">
        <x:v>TEXT:SYN-F02-10-U02</x:v>
      </x:c>
      <x:c r="L95" s="10" t="str">
        <x:v>TEXT:SYN-F02-10-REL-N18</x:v>
      </x:c>
    </x:row>
    <x:row r="96" ht="52" customHeight="1">
      <x:c r="A96" s="10" t="str">
        <x:v>T-BASE</x:v>
      </x:c>
      <x:c r="B96" s="10" t="str">
        <x:v>TEXT</x:v>
      </x:c>
      <x:c r="C96" s="10" t="str">
        <x:v>TEXT:SYN-F03-01</x:v>
      </x:c>
      <x:c r="D96" s="10" t="str">
        <x:v>TEXT:SYN-F03-01-G01</x:v>
      </x:c>
      <x:c r="E96" s="11" t="n">
        <x:v>8.862821</x:v>
      </x:c>
      <x:c r="F96" s="11" t="n">
        <x:v>16.862821</x:v>
      </x:c>
      <x:c r="G96" s="11" t="n">
        <x:f>F96-E96</x:f>
        <x:v>8</x:v>
      </x:c>
      <x:c r="H96" s="10" t="n">
        <x:v>1</x:v>
      </x:c>
      <x:c r="I96" s="10" t="str">
        <x:v>AUTHORED_TERMINAL</x:v>
      </x:c>
      <x:c r="J96" s="10" t="str">
        <x:v>TEXT:SYN-F03-01-BASE-N20</x:v>
      </x:c>
      <x:c r="K96" s="10" t="str">
        <x:v>TEXT:SYN-F03-01-U01</x:v>
      </x:c>
      <x:c r="L96" s="10" t="str">
        <x:v>TEXT:SYN-F03-01-BASE-N20</x:v>
      </x:c>
    </x:row>
    <x:row r="97" ht="52" customHeight="1">
      <x:c r="A97" s="10" t="str">
        <x:v>T-BASE</x:v>
      </x:c>
      <x:c r="B97" s="10" t="str">
        <x:v>TEXT</x:v>
      </x:c>
      <x:c r="C97" s="10" t="str">
        <x:v>TEXT:SYN-F03-01</x:v>
      </x:c>
      <x:c r="D97" s="10" t="str">
        <x:v>TEXT:SYN-F03-01-G02</x:v>
      </x:c>
      <x:c r="E97" s="11" t="n">
        <x:v>4.960321</x:v>
      </x:c>
      <x:c r="F97" s="11" t="n">
        <x:v>4.960321</x:v>
      </x:c>
      <x:c r="G97" s="11" t="n">
        <x:f>F97-E97</x:f>
        <x:v>0</x:v>
      </x:c>
      <x:c r="H97" s="10" t="n">
        <x:v>1</x:v>
      </x:c>
      <x:c r="I97" s="10" t="str">
        <x:v>AUTHORED_TERMINAL</x:v>
      </x:c>
      <x:c r="J97" s="10" t="str">
        <x:v>TEXT:SYN-F03-01-BASE-N15</x:v>
      </x:c>
      <x:c r="K97" s="10" t="str">
        <x:v>TEXT:SYN-F03-01-U02</x:v>
      </x:c>
      <x:c r="L97" s="10" t="str">
        <x:v>TEXT:SYN-F03-01-BASE-N15</x:v>
      </x:c>
    </x:row>
    <x:row r="98" ht="52" customHeight="1">
      <x:c r="A98" s="10" t="str">
        <x:v>T-EXEC</x:v>
      </x:c>
      <x:c r="B98" s="10" t="str">
        <x:v>TEXT</x:v>
      </x:c>
      <x:c r="C98" s="10" t="str">
        <x:v>TEXT:SYN-F03-01</x:v>
      </x:c>
      <x:c r="D98" s="10" t="str">
        <x:v>TEXT:SYN-F03-01-G01</x:v>
      </x:c>
      <x:c r="E98" s="11" t="n">
        <x:v>5.8185</x:v>
      </x:c>
      <x:c r="F98" s="11" t="n">
        <x:v>13.8185</x:v>
      </x:c>
      <x:c r="G98" s="11" t="n">
        <x:f>F98-E98</x:f>
        <x:v>8</x:v>
      </x:c>
      <x:c r="H98" s="10" t="n">
        <x:v>1</x:v>
      </x:c>
      <x:c r="I98" s="10" t="str">
        <x:v>AUTHORED_TERMINAL</x:v>
      </x:c>
      <x:c r="J98" s="10" t="str">
        <x:v>TEXT:SYN-F03-01-EXEC-N21</x:v>
      </x:c>
      <x:c r="K98" s="10" t="str">
        <x:v>TEXT:SYN-F03-01-U01</x:v>
      </x:c>
      <x:c r="L98" s="10" t="str">
        <x:v>TEXT:SYN-F03-01-EXEC-N21</x:v>
      </x:c>
    </x:row>
    <x:row r="99" ht="52" customHeight="1">
      <x:c r="A99" s="10" t="str">
        <x:v>T-EXEC</x:v>
      </x:c>
      <x:c r="B99" s="10" t="str">
        <x:v>TEXT</x:v>
      </x:c>
      <x:c r="C99" s="10" t="str">
        <x:v>TEXT:SYN-F03-01</x:v>
      </x:c>
      <x:c r="D99" s="10" t="str">
        <x:v>TEXT:SYN-F03-01-G02</x:v>
      </x:c>
      <x:c r="E99" s="11" t="n">
        <x:v>4.561035</x:v>
      </x:c>
      <x:c r="F99" s="11" t="n">
        <x:v>4.561035</x:v>
      </x:c>
      <x:c r="G99" s="11" t="n">
        <x:f>F99-E99</x:f>
        <x:v>0</x:v>
      </x:c>
      <x:c r="H99" s="10" t="n">
        <x:v>1</x:v>
      </x:c>
      <x:c r="I99" s="10" t="str">
        <x:v>AUTHORED_TERMINAL</x:v>
      </x:c>
      <x:c r="J99" s="10" t="str">
        <x:v>TEXT:SYN-F03-01-EXEC-N16</x:v>
      </x:c>
      <x:c r="K99" s="10" t="str">
        <x:v>TEXT:SYN-F03-01-U02</x:v>
      </x:c>
      <x:c r="L99" s="10" t="str">
        <x:v>TEXT:SYN-F03-01-EXEC-N16</x:v>
      </x:c>
    </x:row>
    <x:row r="100" ht="52" customHeight="1">
      <x:c r="A100" s="10" t="str">
        <x:v>T-REL</x:v>
      </x:c>
      <x:c r="B100" s="10" t="str">
        <x:v>TEXT</x:v>
      </x:c>
      <x:c r="C100" s="10" t="str">
        <x:v>TEXT:SYN-F03-01</x:v>
      </x:c>
      <x:c r="D100" s="10" t="str">
        <x:v>TEXT:SYN-F03-01-G01</x:v>
      </x:c>
      <x:c r="E100" s="11" t="n">
        <x:v>6.940964</x:v>
      </x:c>
      <x:c r="F100" s="11" t="n">
        <x:v>14.940964</x:v>
      </x:c>
      <x:c r="G100" s="11" t="n">
        <x:f>F100-E100</x:f>
        <x:v>7.999999999999999</x:v>
      </x:c>
      <x:c r="H100" s="10" t="n">
        <x:v>1</x:v>
      </x:c>
      <x:c r="I100" s="10" t="str">
        <x:v>AUTHORED_TERMINAL</x:v>
      </x:c>
      <x:c r="J100" s="10" t="str">
        <x:v>TEXT:SYN-F03-01-REL-N23</x:v>
      </x:c>
      <x:c r="K100" s="10" t="str">
        <x:v>TEXT:SYN-F03-01-U01</x:v>
      </x:c>
      <x:c r="L100" s="10" t="str">
        <x:v>TEXT:SYN-F03-01-REL-N23</x:v>
      </x:c>
    </x:row>
    <x:row r="101" ht="52" customHeight="1">
      <x:c r="A101" s="10" t="str">
        <x:v>T-REL</x:v>
      </x:c>
      <x:c r="B101" s="10" t="str">
        <x:v>TEXT</x:v>
      </x:c>
      <x:c r="C101" s="10" t="str">
        <x:v>TEXT:SYN-F03-01</x:v>
      </x:c>
      <x:c r="D101" s="10" t="str">
        <x:v>TEXT:SYN-F03-01-G02</x:v>
      </x:c>
      <x:c r="E101" s="11" t="n">
        <x:v>4.083107</x:v>
      </x:c>
      <x:c r="F101" s="11" t="n">
        <x:v>4.083107</x:v>
      </x:c>
      <x:c r="G101" s="11" t="n">
        <x:f>F101-E101</x:f>
        <x:v>0</x:v>
      </x:c>
      <x:c r="H101" s="10" t="n">
        <x:v>1</x:v>
      </x:c>
      <x:c r="I101" s="10" t="str">
        <x:v>AUTHORED_TERMINAL</x:v>
      </x:c>
      <x:c r="J101" s="10" t="str">
        <x:v>TEXT:SYN-F03-01-REL-N18</x:v>
      </x:c>
      <x:c r="K101" s="10" t="str">
        <x:v>TEXT:SYN-F03-01-U02</x:v>
      </x:c>
      <x:c r="L101" s="10" t="str">
        <x:v>TEXT:SYN-F03-01-REL-N18</x:v>
      </x:c>
    </x:row>
    <x:row r="102" ht="52" customHeight="1">
      <x:c r="A102" s="10" t="str">
        <x:v>T-BASE</x:v>
      </x:c>
      <x:c r="B102" s="10" t="str">
        <x:v>TEXT</x:v>
      </x:c>
      <x:c r="C102" s="10" t="str">
        <x:v>TEXT:SYN-F03-02</x:v>
      </x:c>
      <x:c r="D102" s="10" t="str">
        <x:v>TEXT:SYN-F03-02-G01</x:v>
      </x:c>
      <x:c r="E102" s="11" t="n">
        <x:v>9.023322</x:v>
      </x:c>
      <x:c r="F102" s="11" t="n">
        <x:v>17.023322</x:v>
      </x:c>
      <x:c r="G102" s="11" t="n">
        <x:f>F102-E102</x:f>
        <x:v>8</x:v>
      </x:c>
      <x:c r="H102" s="10" t="n">
        <x:v>1</x:v>
      </x:c>
      <x:c r="I102" s="10" t="str">
        <x:v>AUTHORED_TERMINAL</x:v>
      </x:c>
      <x:c r="J102" s="10" t="str">
        <x:v>TEXT:SYN-F03-02-BASE-N20</x:v>
      </x:c>
      <x:c r="K102" s="10" t="str">
        <x:v>TEXT:SYN-F03-02-U01</x:v>
      </x:c>
      <x:c r="L102" s="10" t="str">
        <x:v>TEXT:SYN-F03-02-BASE-N20</x:v>
      </x:c>
    </x:row>
    <x:row r="103" ht="52" customHeight="1">
      <x:c r="A103" s="10" t="str">
        <x:v>T-BASE</x:v>
      </x:c>
      <x:c r="B103" s="10" t="str">
        <x:v>TEXT</x:v>
      </x:c>
      <x:c r="C103" s="10" t="str">
        <x:v>TEXT:SYN-F03-02</x:v>
      </x:c>
      <x:c r="D103" s="10" t="str">
        <x:v>TEXT:SYN-F03-02-G02</x:v>
      </x:c>
      <x:c r="E103" s="11" t="n">
        <x:v>5.071322</x:v>
      </x:c>
      <x:c r="F103" s="11" t="n">
        <x:v>5.071322</x:v>
      </x:c>
      <x:c r="G103" s="11" t="n">
        <x:f>F103-E103</x:f>
        <x:v>0</x:v>
      </x:c>
      <x:c r="H103" s="10" t="n">
        <x:v>1</x:v>
      </x:c>
      <x:c r="I103" s="10" t="str">
        <x:v>AUTHORED_TERMINAL</x:v>
      </x:c>
      <x:c r="J103" s="10" t="str">
        <x:v>TEXT:SYN-F03-02-BASE-N15</x:v>
      </x:c>
      <x:c r="K103" s="10" t="str">
        <x:v>TEXT:SYN-F03-02-U02</x:v>
      </x:c>
      <x:c r="L103" s="10" t="str">
        <x:v>TEXT:SYN-F03-02-BASE-N15</x:v>
      </x:c>
    </x:row>
    <x:row r="104" ht="52" customHeight="1">
      <x:c r="A104" s="10" t="str">
        <x:v>T-EXEC</x:v>
      </x:c>
      <x:c r="B104" s="10" t="str">
        <x:v>TEXT</x:v>
      </x:c>
      <x:c r="C104" s="10" t="str">
        <x:v>TEXT:SYN-F03-02</x:v>
      </x:c>
      <x:c r="D104" s="10" t="str">
        <x:v>TEXT:SYN-F03-02-G01</x:v>
      </x:c>
      <x:c r="E104" s="11" t="n">
        <x:v>5.9295</x:v>
      </x:c>
      <x:c r="F104" s="11" t="n">
        <x:v>13.9295</x:v>
      </x:c>
      <x:c r="G104" s="11" t="n">
        <x:f>F104-E104</x:f>
        <x:v>8</x:v>
      </x:c>
      <x:c r="H104" s="10" t="n">
        <x:v>1</x:v>
      </x:c>
      <x:c r="I104" s="10" t="str">
        <x:v>AUTHORED_TERMINAL</x:v>
      </x:c>
      <x:c r="J104" s="10" t="str">
        <x:v>TEXT:SYN-F03-02-EXEC-N21</x:v>
      </x:c>
      <x:c r="K104" s="10" t="str">
        <x:v>TEXT:SYN-F03-02-U01</x:v>
      </x:c>
      <x:c r="L104" s="10" t="str">
        <x:v>TEXT:SYN-F03-02-EXEC-N21</x:v>
      </x:c>
    </x:row>
    <x:row r="105" ht="52" customHeight="1">
      <x:c r="A105" s="10" t="str">
        <x:v>T-EXEC</x:v>
      </x:c>
      <x:c r="B105" s="10" t="str">
        <x:v>TEXT</x:v>
      </x:c>
      <x:c r="C105" s="10" t="str">
        <x:v>TEXT:SYN-F03-02</x:v>
      </x:c>
      <x:c r="D105" s="10" t="str">
        <x:v>TEXT:SYN-F03-02-G02</x:v>
      </x:c>
      <x:c r="E105" s="11" t="n">
        <x:v>4.647822</x:v>
      </x:c>
      <x:c r="F105" s="11" t="n">
        <x:v>4.647822</x:v>
      </x:c>
      <x:c r="G105" s="11" t="n">
        <x:f>F105-E105</x:f>
        <x:v>0</x:v>
      </x:c>
      <x:c r="H105" s="10" t="n">
        <x:v>1</x:v>
      </x:c>
      <x:c r="I105" s="10" t="str">
        <x:v>AUTHORED_TERMINAL</x:v>
      </x:c>
      <x:c r="J105" s="10" t="str">
        <x:v>TEXT:SYN-F03-02-EXEC-N16</x:v>
      </x:c>
      <x:c r="K105" s="10" t="str">
        <x:v>TEXT:SYN-F03-02-U02</x:v>
      </x:c>
      <x:c r="L105" s="10" t="str">
        <x:v>TEXT:SYN-F03-02-EXEC-N16</x:v>
      </x:c>
    </x:row>
    <x:row r="106" ht="52" customHeight="1">
      <x:c r="A106" s="10" t="str">
        <x:v>T-REL</x:v>
      </x:c>
      <x:c r="B106" s="10" t="str">
        <x:v>TEXT</x:v>
      </x:c>
      <x:c r="C106" s="10" t="str">
        <x:v>TEXT:SYN-F03-02</x:v>
      </x:c>
      <x:c r="D106" s="10" t="str">
        <x:v>TEXT:SYN-F03-02-G01</x:v>
      </x:c>
      <x:c r="E106" s="11" t="n">
        <x:v>7.051464</x:v>
      </x:c>
      <x:c r="F106" s="11" t="n">
        <x:v>15.051464</x:v>
      </x:c>
      <x:c r="G106" s="11" t="n">
        <x:f>F106-E106</x:f>
        <x:v>7.999999999999999</x:v>
      </x:c>
      <x:c r="H106" s="10" t="n">
        <x:v>1</x:v>
      </x:c>
      <x:c r="I106" s="10" t="str">
        <x:v>AUTHORED_TERMINAL</x:v>
      </x:c>
      <x:c r="J106" s="10" t="str">
        <x:v>TEXT:SYN-F03-02-REL-N23</x:v>
      </x:c>
      <x:c r="K106" s="10" t="str">
        <x:v>TEXT:SYN-F03-02-U01</x:v>
      </x:c>
      <x:c r="L106" s="10" t="str">
        <x:v>TEXT:SYN-F03-02-REL-N23</x:v>
      </x:c>
    </x:row>
    <x:row r="107" ht="52" customHeight="1">
      <x:c r="A107" s="10" t="str">
        <x:v>T-REL</x:v>
      </x:c>
      <x:c r="B107" s="10" t="str">
        <x:v>TEXT</x:v>
      </x:c>
      <x:c r="C107" s="10" t="str">
        <x:v>TEXT:SYN-F03-02</x:v>
      </x:c>
      <x:c r="D107" s="10" t="str">
        <x:v>TEXT:SYN-F03-02-G02</x:v>
      </x:c>
      <x:c r="E107" s="11" t="n">
        <x:v>4.169107</x:v>
      </x:c>
      <x:c r="F107" s="11" t="n">
        <x:v>4.169107</x:v>
      </x:c>
      <x:c r="G107" s="11" t="n">
        <x:f>F107-E107</x:f>
        <x:v>0</x:v>
      </x:c>
      <x:c r="H107" s="10" t="n">
        <x:v>1</x:v>
      </x:c>
      <x:c r="I107" s="10" t="str">
        <x:v>AUTHORED_TERMINAL</x:v>
      </x:c>
      <x:c r="J107" s="10" t="str">
        <x:v>TEXT:SYN-F03-02-REL-N18</x:v>
      </x:c>
      <x:c r="K107" s="10" t="str">
        <x:v>TEXT:SYN-F03-02-U02</x:v>
      </x:c>
      <x:c r="L107" s="10" t="str">
        <x:v>TEXT:SYN-F03-02-REL-N18</x:v>
      </x:c>
    </x:row>
    <x:row r="108" ht="52" customHeight="1">
      <x:c r="A108" s="10" t="str">
        <x:v>T-BASE</x:v>
      </x:c>
      <x:c r="B108" s="10" t="str">
        <x:v>TEXT</x:v>
      </x:c>
      <x:c r="C108" s="10" t="str">
        <x:v>TEXT:SYN-F03-03</x:v>
      </x:c>
      <x:c r="D108" s="10" t="str">
        <x:v>TEXT:SYN-F03-03-G01</x:v>
      </x:c>
      <x:c r="E108" s="11" t="n">
        <x:v>9.183821</x:v>
      </x:c>
      <x:c r="F108" s="11" t="n">
        <x:v>17.183821</x:v>
      </x:c>
      <x:c r="G108" s="11" t="n">
        <x:f>F108-E108</x:f>
        <x:v>7.999999999999998</x:v>
      </x:c>
      <x:c r="H108" s="10" t="n">
        <x:v>0</x:v>
      </x:c>
      <x:c r="I108" s="10" t="str">
        <x:v>AUTHORED_TERMINAL</x:v>
      </x:c>
      <x:c r="J108" s="10" t="str">
        <x:v>TEXT:SYN-F03-03-BASE-N20</x:v>
      </x:c>
      <x:c r="K108" s="10" t="str">
        <x:v>TEXT:SYN-F03-03-U01</x:v>
      </x:c>
      <x:c r="L108" s="10" t="str">
        <x:v>TEXT:SYN-F03-03-BASE-N20</x:v>
      </x:c>
    </x:row>
    <x:row r="109" ht="52" customHeight="1">
      <x:c r="A109" s="10" t="str">
        <x:v>T-BASE</x:v>
      </x:c>
      <x:c r="B109" s="10" t="str">
        <x:v>TEXT</x:v>
      </x:c>
      <x:c r="C109" s="10" t="str">
        <x:v>TEXT:SYN-F03-03</x:v>
      </x:c>
      <x:c r="D109" s="10" t="str">
        <x:v>TEXT:SYN-F03-03-G02</x:v>
      </x:c>
      <x:c r="E109" s="11" t="n">
        <x:v>5.182321</x:v>
      </x:c>
      <x:c r="F109" s="11" t="n">
        <x:v>5.182321</x:v>
      </x:c>
      <x:c r="G109" s="11" t="n">
        <x:f>F109-E109</x:f>
        <x:v>0</x:v>
      </x:c>
      <x:c r="H109" s="10" t="n">
        <x:v>1</x:v>
      </x:c>
      <x:c r="I109" s="10" t="str">
        <x:v>AUTHORED_TERMINAL</x:v>
      </x:c>
      <x:c r="J109" s="10" t="str">
        <x:v>TEXT:SYN-F03-03-BASE-N15</x:v>
      </x:c>
      <x:c r="K109" s="10" t="str">
        <x:v>TEXT:SYN-F03-03-U02</x:v>
      </x:c>
      <x:c r="L109" s="10" t="str">
        <x:v>TEXT:SYN-F03-03-BASE-N15</x:v>
      </x:c>
    </x:row>
    <x:row r="110" ht="52" customHeight="1">
      <x:c r="A110" s="10" t="str">
        <x:v>T-EXEC</x:v>
      </x:c>
      <x:c r="B110" s="10" t="str">
        <x:v>TEXT</x:v>
      </x:c>
      <x:c r="C110" s="10" t="str">
        <x:v>TEXT:SYN-F03-03</x:v>
      </x:c>
      <x:c r="D110" s="10" t="str">
        <x:v>TEXT:SYN-F03-03-G01</x:v>
      </x:c>
      <x:c r="E110" s="11" t="n">
        <x:v>6.0405</x:v>
      </x:c>
      <x:c r="F110" s="11" t="n">
        <x:v>14.0405</x:v>
      </x:c>
      <x:c r="G110" s="11" t="n">
        <x:f>F110-E110</x:f>
        <x:v>8</x:v>
      </x:c>
      <x:c r="H110" s="10" t="n">
        <x:v>0</x:v>
      </x:c>
      <x:c r="I110" s="10" t="str">
        <x:v>AUTHORED_TERMINAL</x:v>
      </x:c>
      <x:c r="J110" s="10" t="str">
        <x:v>TEXT:SYN-F03-03-EXEC-N21</x:v>
      </x:c>
      <x:c r="K110" s="10" t="str">
        <x:v>TEXT:SYN-F03-03-U01</x:v>
      </x:c>
      <x:c r="L110" s="10" t="str">
        <x:v>TEXT:SYN-F03-03-EXEC-N21</x:v>
      </x:c>
    </x:row>
    <x:row r="111" ht="52" customHeight="1">
      <x:c r="A111" s="10" t="str">
        <x:v>T-EXEC</x:v>
      </x:c>
      <x:c r="B111" s="10" t="str">
        <x:v>TEXT</x:v>
      </x:c>
      <x:c r="C111" s="10" t="str">
        <x:v>TEXT:SYN-F03-03</x:v>
      </x:c>
      <x:c r="D111" s="10" t="str">
        <x:v>TEXT:SYN-F03-03-G02</x:v>
      </x:c>
      <x:c r="E111" s="11" t="n">
        <x:v>4.734607</x:v>
      </x:c>
      <x:c r="F111" s="11" t="n">
        <x:v>4.734607</x:v>
      </x:c>
      <x:c r="G111" s="11" t="n">
        <x:f>F111-E111</x:f>
        <x:v>0</x:v>
      </x:c>
      <x:c r="H111" s="10" t="n">
        <x:v>1</x:v>
      </x:c>
      <x:c r="I111" s="10" t="str">
        <x:v>AUTHORED_TERMINAL</x:v>
      </x:c>
      <x:c r="J111" s="10" t="str">
        <x:v>TEXT:SYN-F03-03-EXEC-N16</x:v>
      </x:c>
      <x:c r="K111" s="10" t="str">
        <x:v>TEXT:SYN-F03-03-U02</x:v>
      </x:c>
      <x:c r="L111" s="10" t="str">
        <x:v>TEXT:SYN-F03-03-EXEC-N16</x:v>
      </x:c>
    </x:row>
    <x:row r="112" ht="52" customHeight="1">
      <x:c r="A112" s="10" t="str">
        <x:v>T-REL</x:v>
      </x:c>
      <x:c r="B112" s="10" t="str">
        <x:v>TEXT</x:v>
      </x:c>
      <x:c r="C112" s="10" t="str">
        <x:v>TEXT:SYN-F03-03</x:v>
      </x:c>
      <x:c r="D112" s="10" t="str">
        <x:v>TEXT:SYN-F03-03-G01</x:v>
      </x:c>
      <x:c r="E112" s="11" t="n">
        <x:v>7.161964</x:v>
      </x:c>
      <x:c r="F112" s="11" t="n">
        <x:v>15.161964</x:v>
      </x:c>
      <x:c r="G112" s="11" t="n">
        <x:f>F112-E112</x:f>
        <x:v>7.999999999999999</x:v>
      </x:c>
      <x:c r="H112" s="10" t="n">
        <x:v>1</x:v>
      </x:c>
      <x:c r="I112" s="10" t="str">
        <x:v>AUTHORED_TERMINAL</x:v>
      </x:c>
      <x:c r="J112" s="10" t="str">
        <x:v>TEXT:SYN-F03-03-REL-N23</x:v>
      </x:c>
      <x:c r="K112" s="10" t="str">
        <x:v>TEXT:SYN-F03-03-U01</x:v>
      </x:c>
      <x:c r="L112" s="10" t="str">
        <x:v>TEXT:SYN-F03-03-REL-N23</x:v>
      </x:c>
    </x:row>
    <x:row r="113" ht="52" customHeight="1">
      <x:c r="A113" s="10" t="str">
        <x:v>T-REL</x:v>
      </x:c>
      <x:c r="B113" s="10" t="str">
        <x:v>TEXT</x:v>
      </x:c>
      <x:c r="C113" s="10" t="str">
        <x:v>TEXT:SYN-F03-03</x:v>
      </x:c>
      <x:c r="D113" s="10" t="str">
        <x:v>TEXT:SYN-F03-03-G02</x:v>
      </x:c>
      <x:c r="E113" s="11" t="n">
        <x:v>4.255107</x:v>
      </x:c>
      <x:c r="F113" s="11" t="n">
        <x:v>4.255107</x:v>
      </x:c>
      <x:c r="G113" s="11" t="n">
        <x:f>F113-E113</x:f>
        <x:v>0</x:v>
      </x:c>
      <x:c r="H113" s="10" t="n">
        <x:v>1</x:v>
      </x:c>
      <x:c r="I113" s="10" t="str">
        <x:v>AUTHORED_TERMINAL</x:v>
      </x:c>
      <x:c r="J113" s="10" t="str">
        <x:v>TEXT:SYN-F03-03-REL-N18</x:v>
      </x:c>
      <x:c r="K113" s="10" t="str">
        <x:v>TEXT:SYN-F03-03-U02</x:v>
      </x:c>
      <x:c r="L113" s="10" t="str">
        <x:v>TEXT:SYN-F03-03-REL-N18</x:v>
      </x:c>
    </x:row>
    <x:row r="114" ht="52" customHeight="1">
      <x:c r="A114" s="10" t="str">
        <x:v>T-BASE</x:v>
      </x:c>
      <x:c r="B114" s="10" t="str">
        <x:v>TEXT</x:v>
      </x:c>
      <x:c r="C114" s="10" t="str">
        <x:v>TEXT:SYN-F03-04</x:v>
      </x:c>
      <x:c r="D114" s="10" t="str">
        <x:v>TEXT:SYN-F03-04-G01</x:v>
      </x:c>
      <x:c r="E114" s="11" t="n">
        <x:v>9.194322</x:v>
      </x:c>
      <x:c r="F114" s="11" t="n">
        <x:v>17.194322</x:v>
      </x:c>
      <x:c r="G114" s="11" t="n">
        <x:f>F114-E114</x:f>
        <x:v>8</x:v>
      </x:c>
      <x:c r="H114" s="10" t="n">
        <x:v>1</x:v>
      </x:c>
      <x:c r="I114" s="10" t="str">
        <x:v>AUTHORED_TERMINAL</x:v>
      </x:c>
      <x:c r="J114" s="10" t="str">
        <x:v>TEXT:SYN-F03-04-BASE-N20</x:v>
      </x:c>
      <x:c r="K114" s="10" t="str">
        <x:v>TEXT:SYN-F03-04-U01</x:v>
      </x:c>
      <x:c r="L114" s="10" t="str">
        <x:v>TEXT:SYN-F03-04-BASE-N20</x:v>
      </x:c>
    </x:row>
    <x:row r="115" ht="52" customHeight="1">
      <x:c r="A115" s="10" t="str">
        <x:v>T-BASE</x:v>
      </x:c>
      <x:c r="B115" s="10" t="str">
        <x:v>TEXT</x:v>
      </x:c>
      <x:c r="C115" s="10" t="str">
        <x:v>TEXT:SYN-F03-04</x:v>
      </x:c>
      <x:c r="D115" s="10" t="str">
        <x:v>TEXT:SYN-F03-04-G02</x:v>
      </x:c>
      <x:c r="E115" s="11" t="n">
        <x:v>5.218322</x:v>
      </x:c>
      <x:c r="F115" s="11" t="n">
        <x:v>5.218322</x:v>
      </x:c>
      <x:c r="G115" s="11" t="n">
        <x:f>F115-E115</x:f>
        <x:v>0</x:v>
      </x:c>
      <x:c r="H115" s="10" t="n">
        <x:v>1</x:v>
      </x:c>
      <x:c r="I115" s="10" t="str">
        <x:v>AUTHORED_TERMINAL</x:v>
      </x:c>
      <x:c r="J115" s="10" t="str">
        <x:v>TEXT:SYN-F03-04-BASE-N15</x:v>
      </x:c>
      <x:c r="K115" s="10" t="str">
        <x:v>TEXT:SYN-F03-04-U02</x:v>
      </x:c>
      <x:c r="L115" s="10" t="str">
        <x:v>TEXT:SYN-F03-04-BASE-N15</x:v>
      </x:c>
    </x:row>
    <x:row r="116" ht="52" customHeight="1">
      <x:c r="A116" s="10" t="str">
        <x:v>T-EXEC</x:v>
      </x:c>
      <x:c r="B116" s="10" t="str">
        <x:v>TEXT</x:v>
      </x:c>
      <x:c r="C116" s="10" t="str">
        <x:v>TEXT:SYN-F03-04</x:v>
      </x:c>
      <x:c r="D116" s="10" t="str">
        <x:v>TEXT:SYN-F03-04-G01</x:v>
      </x:c>
      <x:c r="E116" s="11" t="n">
        <x:v>6.0765</x:v>
      </x:c>
      <x:c r="F116" s="11" t="n">
        <x:v>14.0765</x:v>
      </x:c>
      <x:c r="G116" s="11" t="n">
        <x:f>F116-E116</x:f>
        <x:v>7.999999999999999</x:v>
      </x:c>
      <x:c r="H116" s="10" t="n">
        <x:v>1</x:v>
      </x:c>
      <x:c r="I116" s="10" t="str">
        <x:v>AUTHORED_TERMINAL</x:v>
      </x:c>
      <x:c r="J116" s="10" t="str">
        <x:v>TEXT:SYN-F03-04-EXEC-N21</x:v>
      </x:c>
      <x:c r="K116" s="10" t="str">
        <x:v>TEXT:SYN-F03-04-U01</x:v>
      </x:c>
      <x:c r="L116" s="10" t="str">
        <x:v>TEXT:SYN-F03-04-EXEC-N21</x:v>
      </x:c>
    </x:row>
    <x:row r="117" ht="52" customHeight="1">
      <x:c r="A117" s="10" t="str">
        <x:v>T-EXEC</x:v>
      </x:c>
      <x:c r="B117" s="10" t="str">
        <x:v>TEXT</x:v>
      </x:c>
      <x:c r="C117" s="10" t="str">
        <x:v>TEXT:SYN-F03-04</x:v>
      </x:c>
      <x:c r="D117" s="10" t="str">
        <x:v>TEXT:SYN-F03-04-G02</x:v>
      </x:c>
      <x:c r="E117" s="11" t="n">
        <x:v>4.727644</x:v>
      </x:c>
      <x:c r="F117" s="11" t="n">
        <x:v>4.727644</x:v>
      </x:c>
      <x:c r="G117" s="11" t="n">
        <x:f>F117-E117</x:f>
        <x:v>0</x:v>
      </x:c>
      <x:c r="H117" s="10" t="n">
        <x:v>1</x:v>
      </x:c>
      <x:c r="I117" s="10" t="str">
        <x:v>AUTHORED_TERMINAL</x:v>
      </x:c>
      <x:c r="J117" s="10" t="str">
        <x:v>TEXT:SYN-F03-04-EXEC-N16</x:v>
      </x:c>
      <x:c r="K117" s="10" t="str">
        <x:v>TEXT:SYN-F03-04-U02</x:v>
      </x:c>
      <x:c r="L117" s="10" t="str">
        <x:v>TEXT:SYN-F03-04-EXEC-N16</x:v>
      </x:c>
    </x:row>
    <x:row r="118" ht="52" customHeight="1">
      <x:c r="A118" s="10" t="str">
        <x:v>T-REL</x:v>
      </x:c>
      <x:c r="B118" s="10" t="str">
        <x:v>TEXT</x:v>
      </x:c>
      <x:c r="C118" s="10" t="str">
        <x:v>TEXT:SYN-F03-04</x:v>
      </x:c>
      <x:c r="D118" s="10" t="str">
        <x:v>TEXT:SYN-F03-04-G01</x:v>
      </x:c>
      <x:c r="E118" s="11" t="n">
        <x:v>7.272464</x:v>
      </x:c>
      <x:c r="F118" s="11" t="n">
        <x:v>15.272464</x:v>
      </x:c>
      <x:c r="G118" s="11" t="n">
        <x:f>F118-E118</x:f>
        <x:v>7.999999999999999</x:v>
      </x:c>
      <x:c r="H118" s="10" t="n">
        <x:v>1</x:v>
      </x:c>
      <x:c r="I118" s="10" t="str">
        <x:v>AUTHORED_TERMINAL</x:v>
      </x:c>
      <x:c r="J118" s="10" t="str">
        <x:v>TEXT:SYN-F03-04-REL-N23</x:v>
      </x:c>
      <x:c r="K118" s="10" t="str">
        <x:v>TEXT:SYN-F03-04-U01</x:v>
      </x:c>
      <x:c r="L118" s="10" t="str">
        <x:v>TEXT:SYN-F03-04-REL-N23</x:v>
      </x:c>
    </x:row>
    <x:row r="119" ht="52" customHeight="1">
      <x:c r="A119" s="10" t="str">
        <x:v>T-REL</x:v>
      </x:c>
      <x:c r="B119" s="10" t="str">
        <x:v>TEXT</x:v>
      </x:c>
      <x:c r="C119" s="10" t="str">
        <x:v>TEXT:SYN-F03-04</x:v>
      </x:c>
      <x:c r="D119" s="10" t="str">
        <x:v>TEXT:SYN-F03-04-G02</x:v>
      </x:c>
      <x:c r="E119" s="11" t="n">
        <x:v>4.341107</x:v>
      </x:c>
      <x:c r="F119" s="11" t="n">
        <x:v>4.341107</x:v>
      </x:c>
      <x:c r="G119" s="11" t="n">
        <x:f>F119-E119</x:f>
        <x:v>0</x:v>
      </x:c>
      <x:c r="H119" s="10" t="n">
        <x:v>1</x:v>
      </x:c>
      <x:c r="I119" s="10" t="str">
        <x:v>AUTHORED_TERMINAL</x:v>
      </x:c>
      <x:c r="J119" s="10" t="str">
        <x:v>TEXT:SYN-F03-04-REL-N18</x:v>
      </x:c>
      <x:c r="K119" s="10" t="str">
        <x:v>TEXT:SYN-F03-04-U02</x:v>
      </x:c>
      <x:c r="L119" s="10" t="str">
        <x:v>TEXT:SYN-F03-04-REL-N18</x:v>
      </x:c>
    </x:row>
    <x:row r="120" ht="52" customHeight="1">
      <x:c r="A120" s="10" t="str">
        <x:v>T-BASE</x:v>
      </x:c>
      <x:c r="B120" s="10" t="str">
        <x:v>TEXT</x:v>
      </x:c>
      <x:c r="C120" s="10" t="str">
        <x:v>TEXT:SYN-F03-05</x:v>
      </x:c>
      <x:c r="D120" s="10" t="str">
        <x:v>TEXT:SYN-F03-05-G01</x:v>
      </x:c>
      <x:c r="E120" s="11" t="n">
        <x:v>9.254821</x:v>
      </x:c>
      <x:c r="F120" s="11" t="n">
        <x:v>17.254821</x:v>
      </x:c>
      <x:c r="G120" s="11" t="n">
        <x:f>F120-E120</x:f>
        <x:v>8</x:v>
      </x:c>
      <x:c r="H120" s="10" t="n">
        <x:v>1</x:v>
      </x:c>
      <x:c r="I120" s="10" t="str">
        <x:v>AUTHORED_TERMINAL</x:v>
      </x:c>
      <x:c r="J120" s="10" t="str">
        <x:v>TEXT:SYN-F03-05-BASE-N20</x:v>
      </x:c>
      <x:c r="K120" s="10" t="str">
        <x:v>TEXT:SYN-F03-05-U01</x:v>
      </x:c>
      <x:c r="L120" s="10" t="str">
        <x:v>TEXT:SYN-F03-05-BASE-N20</x:v>
      </x:c>
    </x:row>
    <x:row r="121" ht="52" customHeight="1">
      <x:c r="A121" s="10" t="str">
        <x:v>T-BASE</x:v>
      </x:c>
      <x:c r="B121" s="10" t="str">
        <x:v>TEXT</x:v>
      </x:c>
      <x:c r="C121" s="10" t="str">
        <x:v>TEXT:SYN-F03-05</x:v>
      </x:c>
      <x:c r="D121" s="10" t="str">
        <x:v>TEXT:SYN-F03-05-G02</x:v>
      </x:c>
      <x:c r="E121" s="11" t="n">
        <x:v>5.279321</x:v>
      </x:c>
      <x:c r="F121" s="11" t="n">
        <x:v>5.279321</x:v>
      </x:c>
      <x:c r="G121" s="11" t="n">
        <x:f>F121-E121</x:f>
        <x:v>0</x:v>
      </x:c>
      <x:c r="H121" s="10" t="n">
        <x:v>1</x:v>
      </x:c>
      <x:c r="I121" s="10" t="str">
        <x:v>AUTHORED_TERMINAL</x:v>
      </x:c>
      <x:c r="J121" s="10" t="str">
        <x:v>TEXT:SYN-F03-05-BASE-N15</x:v>
      </x:c>
      <x:c r="K121" s="10" t="str">
        <x:v>TEXT:SYN-F03-05-U02</x:v>
      </x:c>
      <x:c r="L121" s="10" t="str">
        <x:v>TEXT:SYN-F03-05-BASE-N15</x:v>
      </x:c>
    </x:row>
    <x:row r="122" ht="52" customHeight="1">
      <x:c r="A122" s="10" t="str">
        <x:v>T-EXEC</x:v>
      </x:c>
      <x:c r="B122" s="10" t="str">
        <x:v>TEXT</x:v>
      </x:c>
      <x:c r="C122" s="10" t="str">
        <x:v>TEXT:SYN-F03-05</x:v>
      </x:c>
      <x:c r="D122" s="10" t="str">
        <x:v>TEXT:SYN-F03-05-G01</x:v>
      </x:c>
      <x:c r="E122" s="11" t="n">
        <x:v>6.1375</x:v>
      </x:c>
      <x:c r="F122" s="11" t="n">
        <x:v>14.1375</x:v>
      </x:c>
      <x:c r="G122" s="11" t="n">
        <x:f>F122-E122</x:f>
        <x:v>7.999999999999999</x:v>
      </x:c>
      <x:c r="H122" s="10" t="n">
        <x:v>1</x:v>
      </x:c>
      <x:c r="I122" s="10" t="str">
        <x:v>AUTHORED_TERMINAL</x:v>
      </x:c>
      <x:c r="J122" s="10" t="str">
        <x:v>TEXT:SYN-F03-05-EXEC-N21</x:v>
      </x:c>
      <x:c r="K122" s="10" t="str">
        <x:v>TEXT:SYN-F03-05-U01</x:v>
      </x:c>
      <x:c r="L122" s="10" t="str">
        <x:v>TEXT:SYN-F03-05-EXEC-N21</x:v>
      </x:c>
    </x:row>
    <x:row r="123" ht="52" customHeight="1">
      <x:c r="A123" s="10" t="str">
        <x:v>T-EXEC</x:v>
      </x:c>
      <x:c r="B123" s="10" t="str">
        <x:v>TEXT</x:v>
      </x:c>
      <x:c r="C123" s="10" t="str">
        <x:v>TEXT:SYN-F03-05</x:v>
      </x:c>
      <x:c r="D123" s="10" t="str">
        <x:v>TEXT:SYN-F03-05-G02</x:v>
      </x:c>
      <x:c r="E123" s="11" t="n">
        <x:v>4.739428</x:v>
      </x:c>
      <x:c r="F123" s="11" t="n">
        <x:v>4.739428</x:v>
      </x:c>
      <x:c r="G123" s="11" t="n">
        <x:f>F123-E123</x:f>
        <x:v>0</x:v>
      </x:c>
      <x:c r="H123" s="10" t="n">
        <x:v>1</x:v>
      </x:c>
      <x:c r="I123" s="10" t="str">
        <x:v>AUTHORED_TERMINAL</x:v>
      </x:c>
      <x:c r="J123" s="10" t="str">
        <x:v>TEXT:SYN-F03-05-EXEC-N16</x:v>
      </x:c>
      <x:c r="K123" s="10" t="str">
        <x:v>TEXT:SYN-F03-05-U02</x:v>
      </x:c>
      <x:c r="L123" s="10" t="str">
        <x:v>TEXT:SYN-F03-05-EXEC-N16</x:v>
      </x:c>
    </x:row>
    <x:row r="124" ht="52" customHeight="1">
      <x:c r="A124" s="10" t="str">
        <x:v>T-REL</x:v>
      </x:c>
      <x:c r="B124" s="10" t="str">
        <x:v>TEXT</x:v>
      </x:c>
      <x:c r="C124" s="10" t="str">
        <x:v>TEXT:SYN-F03-05</x:v>
      </x:c>
      <x:c r="D124" s="10" t="str">
        <x:v>TEXT:SYN-F03-05-G01</x:v>
      </x:c>
      <x:c r="E124" s="11" t="n">
        <x:v>7.282964</x:v>
      </x:c>
      <x:c r="F124" s="11" t="n">
        <x:v>15.282964</x:v>
      </x:c>
      <x:c r="G124" s="11" t="n">
        <x:f>F124-E124</x:f>
        <x:v>8</x:v>
      </x:c>
      <x:c r="H124" s="10" t="n">
        <x:v>1</x:v>
      </x:c>
      <x:c r="I124" s="10" t="str">
        <x:v>AUTHORED_TERMINAL</x:v>
      </x:c>
      <x:c r="J124" s="10" t="str">
        <x:v>TEXT:SYN-F03-05-REL-N23</x:v>
      </x:c>
      <x:c r="K124" s="10" t="str">
        <x:v>TEXT:SYN-F03-05-U01</x:v>
      </x:c>
      <x:c r="L124" s="10" t="str">
        <x:v>TEXT:SYN-F03-05-REL-N23</x:v>
      </x:c>
    </x:row>
    <x:row r="125" ht="52" customHeight="1">
      <x:c r="A125" s="10" t="str">
        <x:v>T-REL</x:v>
      </x:c>
      <x:c r="B125" s="10" t="str">
        <x:v>TEXT</x:v>
      </x:c>
      <x:c r="C125" s="10" t="str">
        <x:v>TEXT:SYN-F03-05</x:v>
      </x:c>
      <x:c r="D125" s="10" t="str">
        <x:v>TEXT:SYN-F03-05-G02</x:v>
      </x:c>
      <x:c r="E125" s="11" t="n">
        <x:v>4.377107</x:v>
      </x:c>
      <x:c r="F125" s="11" t="n">
        <x:v>4.377107</x:v>
      </x:c>
      <x:c r="G125" s="11" t="n">
        <x:f>F125-E125</x:f>
        <x:v>0</x:v>
      </x:c>
      <x:c r="H125" s="10" t="n">
        <x:v>1</x:v>
      </x:c>
      <x:c r="I125" s="10" t="str">
        <x:v>AUTHORED_TERMINAL</x:v>
      </x:c>
      <x:c r="J125" s="10" t="str">
        <x:v>TEXT:SYN-F03-05-REL-N18</x:v>
      </x:c>
      <x:c r="K125" s="10" t="str">
        <x:v>TEXT:SYN-F03-05-U02</x:v>
      </x:c>
      <x:c r="L125" s="10" t="str">
        <x:v>TEXT:SYN-F03-05-REL-N18</x:v>
      </x:c>
    </x:row>
    <x:row r="126" ht="52" customHeight="1">
      <x:c r="A126" s="10" t="str">
        <x:v>T-BASE</x:v>
      </x:c>
      <x:c r="B126" s="10" t="str">
        <x:v>TEXT</x:v>
      </x:c>
      <x:c r="C126" s="10" t="str">
        <x:v>TEXT:SYN-F03-06</x:v>
      </x:c>
      <x:c r="D126" s="10" t="str">
        <x:v>TEXT:SYN-F03-06-G01</x:v>
      </x:c>
      <x:c r="E126" s="11" t="n">
        <x:v>9.332821</x:v>
      </x:c>
      <x:c r="F126" s="11" t="n">
        <x:v>17.332821</x:v>
      </x:c>
      <x:c r="G126" s="11" t="n">
        <x:f>F126-E126</x:f>
        <x:v>8</x:v>
      </x:c>
      <x:c r="H126" s="10" t="n">
        <x:v>1</x:v>
      </x:c>
      <x:c r="I126" s="10" t="str">
        <x:v>AUTHORED_TERMINAL</x:v>
      </x:c>
      <x:c r="J126" s="10" t="str">
        <x:v>TEXT:SYN-F03-06-BASE-N20</x:v>
      </x:c>
      <x:c r="K126" s="10" t="str">
        <x:v>TEXT:SYN-F03-06-U01</x:v>
      </x:c>
      <x:c r="L126" s="10" t="str">
        <x:v>TEXT:SYN-F03-06-BASE-N20</x:v>
      </x:c>
    </x:row>
    <x:row r="127" ht="52" customHeight="1">
      <x:c r="A127" s="10" t="str">
        <x:v>T-BASE</x:v>
      </x:c>
      <x:c r="B127" s="10" t="str">
        <x:v>TEXT</x:v>
      </x:c>
      <x:c r="C127" s="10" t="str">
        <x:v>TEXT:SYN-F03-06</x:v>
      </x:c>
      <x:c r="D127" s="10" t="str">
        <x:v>TEXT:SYN-F03-06-G02</x:v>
      </x:c>
      <x:c r="E127" s="11" t="n">
        <x:v>5.307821</x:v>
      </x:c>
      <x:c r="F127" s="11" t="n">
        <x:v>5.307821</x:v>
      </x:c>
      <x:c r="G127" s="11" t="n">
        <x:f>F127-E127</x:f>
        <x:v>0</x:v>
      </x:c>
      <x:c r="H127" s="10" t="n">
        <x:v>1</x:v>
      </x:c>
      <x:c r="I127" s="10" t="str">
        <x:v>AUTHORED_TERMINAL</x:v>
      </x:c>
      <x:c r="J127" s="10" t="str">
        <x:v>TEXT:SYN-F03-06-BASE-N15</x:v>
      </x:c>
      <x:c r="K127" s="10" t="str">
        <x:v>TEXT:SYN-F03-06-U02</x:v>
      </x:c>
      <x:c r="L127" s="10" t="str">
        <x:v>TEXT:SYN-F03-06-BASE-N15</x:v>
      </x:c>
    </x:row>
    <x:row r="128" ht="52" customHeight="1">
      <x:c r="A128" s="10" t="str">
        <x:v>T-EXEC</x:v>
      </x:c>
      <x:c r="B128" s="10" t="str">
        <x:v>TEXT</x:v>
      </x:c>
      <x:c r="C128" s="10" t="str">
        <x:v>TEXT:SYN-F03-06</x:v>
      </x:c>
      <x:c r="D128" s="10" t="str">
        <x:v>TEXT:SYN-F03-06-G01</x:v>
      </x:c>
      <x:c r="E128" s="11" t="n">
        <x:v>6.166</x:v>
      </x:c>
      <x:c r="F128" s="11" t="n">
        <x:v>14.166</x:v>
      </x:c>
      <x:c r="G128" s="11" t="n">
        <x:f>F128-E128</x:f>
        <x:v>8</x:v>
      </x:c>
      <x:c r="H128" s="10" t="n">
        <x:v>1</x:v>
      </x:c>
      <x:c r="I128" s="10" t="str">
        <x:v>AUTHORED_TERMINAL</x:v>
      </x:c>
      <x:c r="J128" s="10" t="str">
        <x:v>TEXT:SYN-F03-06-EXEC-N21</x:v>
      </x:c>
      <x:c r="K128" s="10" t="str">
        <x:v>TEXT:SYN-F03-06-U01</x:v>
      </x:c>
      <x:c r="L128" s="10" t="str">
        <x:v>TEXT:SYN-F03-06-EXEC-N21</x:v>
      </x:c>
    </x:row>
    <x:row r="129" ht="52" customHeight="1">
      <x:c r="A129" s="10" t="str">
        <x:v>T-EXEC</x:v>
      </x:c>
      <x:c r="B129" s="10" t="str">
        <x:v>TEXT</x:v>
      </x:c>
      <x:c r="C129" s="10" t="str">
        <x:v>TEXT:SYN-F03-06</x:v>
      </x:c>
      <x:c r="D129" s="10" t="str">
        <x:v>TEXT:SYN-F03-06-G02</x:v>
      </x:c>
      <x:c r="E129" s="11" t="n">
        <x:v>4.743714</x:v>
      </x:c>
      <x:c r="F129" s="11" t="n">
        <x:v>4.743714</x:v>
      </x:c>
      <x:c r="G129" s="11" t="n">
        <x:f>F129-E129</x:f>
        <x:v>0</x:v>
      </x:c>
      <x:c r="H129" s="10" t="n">
        <x:v>1</x:v>
      </x:c>
      <x:c r="I129" s="10" t="str">
        <x:v>AUTHORED_TERMINAL</x:v>
      </x:c>
      <x:c r="J129" s="10" t="str">
        <x:v>TEXT:SYN-F03-06-EXEC-N16</x:v>
      </x:c>
      <x:c r="K129" s="10" t="str">
        <x:v>TEXT:SYN-F03-06-U02</x:v>
      </x:c>
      <x:c r="L129" s="10" t="str">
        <x:v>TEXT:SYN-F03-06-EXEC-N16</x:v>
      </x:c>
    </x:row>
    <x:row r="130" ht="52" customHeight="1">
      <x:c r="A130" s="10" t="str">
        <x:v>T-REL</x:v>
      </x:c>
      <x:c r="B130" s="10" t="str">
        <x:v>TEXT</x:v>
      </x:c>
      <x:c r="C130" s="10" t="str">
        <x:v>TEXT:SYN-F03-06</x:v>
      </x:c>
      <x:c r="D130" s="10" t="str">
        <x:v>TEXT:SYN-F03-06-G01</x:v>
      </x:c>
      <x:c r="E130" s="11" t="n">
        <x:v>7.310964</x:v>
      </x:c>
      <x:c r="F130" s="11" t="n">
        <x:v>15.310964</x:v>
      </x:c>
      <x:c r="G130" s="11" t="n">
        <x:f>F130-E130</x:f>
        <x:v>8</x:v>
      </x:c>
      <x:c r="H130" s="10" t="n">
        <x:v>1</x:v>
      </x:c>
      <x:c r="I130" s="10" t="str">
        <x:v>AUTHORED_TERMINAL</x:v>
      </x:c>
      <x:c r="J130" s="10" t="str">
        <x:v>TEXT:SYN-F03-06-REL-N23</x:v>
      </x:c>
      <x:c r="K130" s="10" t="str">
        <x:v>TEXT:SYN-F03-06-U01</x:v>
      </x:c>
      <x:c r="L130" s="10" t="str">
        <x:v>TEXT:SYN-F03-06-REL-N23</x:v>
      </x:c>
    </x:row>
    <x:row r="131" ht="52" customHeight="1">
      <x:c r="A131" s="10" t="str">
        <x:v>T-REL</x:v>
      </x:c>
      <x:c r="B131" s="10" t="str">
        <x:v>TEXT</x:v>
      </x:c>
      <x:c r="C131" s="10" t="str">
        <x:v>TEXT:SYN-F03-06</x:v>
      </x:c>
      <x:c r="D131" s="10" t="str">
        <x:v>TEXT:SYN-F03-06-G02</x:v>
      </x:c>
      <x:c r="E131" s="11" t="n">
        <x:v>4.380607</x:v>
      </x:c>
      <x:c r="F131" s="11" t="n">
        <x:v>4.380607</x:v>
      </x:c>
      <x:c r="G131" s="11" t="n">
        <x:f>F131-E131</x:f>
        <x:v>0</x:v>
      </x:c>
      <x:c r="H131" s="10" t="n">
        <x:v>1</x:v>
      </x:c>
      <x:c r="I131" s="10" t="str">
        <x:v>AUTHORED_TERMINAL</x:v>
      </x:c>
      <x:c r="J131" s="10" t="str">
        <x:v>TEXT:SYN-F03-06-REL-N18</x:v>
      </x:c>
      <x:c r="K131" s="10" t="str">
        <x:v>TEXT:SYN-F03-06-U02</x:v>
      </x:c>
      <x:c r="L131" s="10" t="str">
        <x:v>TEXT:SYN-F03-06-REL-N18</x:v>
      </x:c>
    </x:row>
    <x:row r="132" ht="52" customHeight="1">
      <x:c r="A132" s="10" t="str">
        <x:v>T-BASE</x:v>
      </x:c>
      <x:c r="B132" s="10" t="str">
        <x:v>TEXT</x:v>
      </x:c>
      <x:c r="C132" s="10" t="str">
        <x:v>TEXT:SYN-F03-07</x:v>
      </x:c>
      <x:c r="D132" s="10" t="str">
        <x:v>TEXT:SYN-F03-07-G01</x:v>
      </x:c>
      <x:c r="E132" s="11" t="n">
        <x:v>9.343322</x:v>
      </x:c>
      <x:c r="F132" s="11" t="n">
        <x:v>17.343322</x:v>
      </x:c>
      <x:c r="G132" s="11" t="n">
        <x:f>F132-E132</x:f>
        <x:v>8</x:v>
      </x:c>
      <x:c r="H132" s="10" t="n">
        <x:v>1</x:v>
      </x:c>
      <x:c r="I132" s="10" t="str">
        <x:v>AUTHORED_TERMINAL</x:v>
      </x:c>
      <x:c r="J132" s="10" t="str">
        <x:v>TEXT:SYN-F03-07-BASE-N20</x:v>
      </x:c>
      <x:c r="K132" s="10" t="str">
        <x:v>TEXT:SYN-F03-07-U01</x:v>
      </x:c>
      <x:c r="L132" s="10" t="str">
        <x:v>TEXT:SYN-F03-07-BASE-N20</x:v>
      </x:c>
    </x:row>
    <x:row r="133" ht="52" customHeight="1">
      <x:c r="A133" s="10" t="str">
        <x:v>T-BASE</x:v>
      </x:c>
      <x:c r="B133" s="10" t="str">
        <x:v>TEXT</x:v>
      </x:c>
      <x:c r="C133" s="10" t="str">
        <x:v>TEXT:SYN-F03-07</x:v>
      </x:c>
      <x:c r="D133" s="10" t="str">
        <x:v>TEXT:SYN-F03-07-G02</x:v>
      </x:c>
      <x:c r="E133" s="11" t="n">
        <x:v>5.343822</x:v>
      </x:c>
      <x:c r="F133" s="11" t="n">
        <x:v>5.343822</x:v>
      </x:c>
      <x:c r="G133" s="11" t="n">
        <x:f>F133-E133</x:f>
        <x:v>0</x:v>
      </x:c>
      <x:c r="H133" s="10" t="n">
        <x:v>1</x:v>
      </x:c>
      <x:c r="I133" s="10" t="str">
        <x:v>AUTHORED_TERMINAL</x:v>
      </x:c>
      <x:c r="J133" s="10" t="str">
        <x:v>TEXT:SYN-F03-07-BASE-N15</x:v>
      </x:c>
      <x:c r="K133" s="10" t="str">
        <x:v>TEXT:SYN-F03-07-U02</x:v>
      </x:c>
      <x:c r="L133" s="10" t="str">
        <x:v>TEXT:SYN-F03-07-BASE-N15</x:v>
      </x:c>
    </x:row>
    <x:row r="134" ht="52" customHeight="1">
      <x:c r="A134" s="10" t="str">
        <x:v>T-EXEC</x:v>
      </x:c>
      <x:c r="B134" s="10" t="str">
        <x:v>TEXT</x:v>
      </x:c>
      <x:c r="C134" s="10" t="str">
        <x:v>TEXT:SYN-F03-07</x:v>
      </x:c>
      <x:c r="D134" s="10" t="str">
        <x:v>TEXT:SYN-F03-07-G01</x:v>
      </x:c>
      <x:c r="E134" s="11" t="n">
        <x:v>6.202</x:v>
      </x:c>
      <x:c r="F134" s="11" t="n">
        <x:v>14.202</x:v>
      </x:c>
      <x:c r="G134" s="11" t="n">
        <x:f>F134-E134</x:f>
        <x:v>8</x:v>
      </x:c>
      <x:c r="H134" s="10" t="n">
        <x:v>1</x:v>
      </x:c>
      <x:c r="I134" s="10" t="str">
        <x:v>AUTHORED_TERMINAL</x:v>
      </x:c>
      <x:c r="J134" s="10" t="str">
        <x:v>TEXT:SYN-F03-07-EXEC-N21</x:v>
      </x:c>
      <x:c r="K134" s="10" t="str">
        <x:v>TEXT:SYN-F03-07-U01</x:v>
      </x:c>
      <x:c r="L134" s="10" t="str">
        <x:v>TEXT:SYN-F03-07-EXEC-N21</x:v>
      </x:c>
    </x:row>
    <x:row r="135" ht="52" customHeight="1">
      <x:c r="A135" s="10" t="str">
        <x:v>T-EXEC</x:v>
      </x:c>
      <x:c r="B135" s="10" t="str">
        <x:v>TEXT</x:v>
      </x:c>
      <x:c r="C135" s="10" t="str">
        <x:v>TEXT:SYN-F03-07</x:v>
      </x:c>
      <x:c r="D135" s="10" t="str">
        <x:v>TEXT:SYN-F03-07-G02</x:v>
      </x:c>
      <x:c r="E135" s="11" t="n">
        <x:v>4.73675</x:v>
      </x:c>
      <x:c r="F135" s="11" t="n">
        <x:v>4.73675</x:v>
      </x:c>
      <x:c r="G135" s="11" t="n">
        <x:f>F135-E135</x:f>
        <x:v>0</x:v>
      </x:c>
      <x:c r="H135" s="10" t="n">
        <x:v>1</x:v>
      </x:c>
      <x:c r="I135" s="10" t="str">
        <x:v>AUTHORED_TERMINAL</x:v>
      </x:c>
      <x:c r="J135" s="10" t="str">
        <x:v>TEXT:SYN-F03-07-EXEC-N16</x:v>
      </x:c>
      <x:c r="K135" s="10" t="str">
        <x:v>TEXT:SYN-F03-07-U02</x:v>
      </x:c>
      <x:c r="L135" s="10" t="str">
        <x:v>TEXT:SYN-F03-07-EXEC-N16</x:v>
      </x:c>
    </x:row>
    <x:row r="136" ht="52" customHeight="1">
      <x:c r="A136" s="10" t="str">
        <x:v>T-REL</x:v>
      </x:c>
      <x:c r="B136" s="10" t="str">
        <x:v>TEXT</x:v>
      </x:c>
      <x:c r="C136" s="10" t="str">
        <x:v>TEXT:SYN-F03-07</x:v>
      </x:c>
      <x:c r="D136" s="10" t="str">
        <x:v>TEXT:SYN-F03-07-G01</x:v>
      </x:c>
      <x:c r="E136" s="11" t="n">
        <x:v>7.421466</x:v>
      </x:c>
      <x:c r="F136" s="11" t="n">
        <x:v>15.421466</x:v>
      </x:c>
      <x:c r="G136" s="11" t="n">
        <x:f>F136-E136</x:f>
        <x:v>8</x:v>
      </x:c>
      <x:c r="H136" s="10" t="n">
        <x:v>1</x:v>
      </x:c>
      <x:c r="I136" s="10" t="str">
        <x:v>AUTHORED_TERMINAL</x:v>
      </x:c>
      <x:c r="J136" s="10" t="str">
        <x:v>TEXT:SYN-F03-07-REL-N23</x:v>
      </x:c>
      <x:c r="K136" s="10" t="str">
        <x:v>TEXT:SYN-F03-07-U01</x:v>
      </x:c>
      <x:c r="L136" s="10" t="str">
        <x:v>TEXT:SYN-F03-07-REL-N23</x:v>
      </x:c>
    </x:row>
    <x:row r="137" ht="52" customHeight="1">
      <x:c r="A137" s="10" t="str">
        <x:v>T-REL</x:v>
      </x:c>
      <x:c r="B137" s="10" t="str">
        <x:v>TEXT</x:v>
      </x:c>
      <x:c r="C137" s="10" t="str">
        <x:v>TEXT:SYN-F03-07</x:v>
      </x:c>
      <x:c r="D137" s="10" t="str">
        <x:v>TEXT:SYN-F03-07-G02</x:v>
      </x:c>
      <x:c r="E137" s="11" t="n">
        <x:v>4.466608</x:v>
      </x:c>
      <x:c r="F137" s="11" t="n">
        <x:v>4.466608</x:v>
      </x:c>
      <x:c r="G137" s="11" t="n">
        <x:f>F137-E137</x:f>
        <x:v>0</x:v>
      </x:c>
      <x:c r="H137" s="10" t="n">
        <x:v>1</x:v>
      </x:c>
      <x:c r="I137" s="10" t="str">
        <x:v>AUTHORED_TERMINAL</x:v>
      </x:c>
      <x:c r="J137" s="10" t="str">
        <x:v>TEXT:SYN-F03-07-REL-N18</x:v>
      </x:c>
      <x:c r="K137" s="10" t="str">
        <x:v>TEXT:SYN-F03-07-U02</x:v>
      </x:c>
      <x:c r="L137" s="10" t="str">
        <x:v>TEXT:SYN-F03-07-REL-N18</x:v>
      </x:c>
    </x:row>
    <x:row r="138" ht="52" customHeight="1">
      <x:c r="A138" s="10" t="str">
        <x:v>T-BASE</x:v>
      </x:c>
      <x:c r="B138" s="10" t="str">
        <x:v>TEXT</x:v>
      </x:c>
      <x:c r="C138" s="10" t="str">
        <x:v>TEXT:SYN-F03-08</x:v>
      </x:c>
      <x:c r="D138" s="10" t="str">
        <x:v>TEXT:SYN-F03-08-G01</x:v>
      </x:c>
      <x:c r="E138" s="11" t="n">
        <x:v>9.503821</x:v>
      </x:c>
      <x:c r="F138" s="11" t="n">
        <x:v>17.503821</x:v>
      </x:c>
      <x:c r="G138" s="11" t="n">
        <x:f>F138-E138</x:f>
        <x:v>7.999999999999998</x:v>
      </x:c>
      <x:c r="H138" s="10" t="n">
        <x:v>1</x:v>
      </x:c>
      <x:c r="I138" s="10" t="str">
        <x:v>AUTHORED_TERMINAL</x:v>
      </x:c>
      <x:c r="J138" s="10" t="str">
        <x:v>TEXT:SYN-F03-08-BASE-N20</x:v>
      </x:c>
      <x:c r="K138" s="10" t="str">
        <x:v>TEXT:SYN-F03-08-U01</x:v>
      </x:c>
      <x:c r="L138" s="10" t="str">
        <x:v>TEXT:SYN-F03-08-BASE-N20</x:v>
      </x:c>
    </x:row>
    <x:row r="139" ht="52" customHeight="1">
      <x:c r="A139" s="10" t="str">
        <x:v>T-BASE</x:v>
      </x:c>
      <x:c r="B139" s="10" t="str">
        <x:v>TEXT</x:v>
      </x:c>
      <x:c r="C139" s="10" t="str">
        <x:v>TEXT:SYN-F03-08</x:v>
      </x:c>
      <x:c r="D139" s="10" t="str">
        <x:v>TEXT:SYN-F03-08-G02</x:v>
      </x:c>
      <x:c r="E139" s="11" t="n">
        <x:v>5.454821</x:v>
      </x:c>
      <x:c r="F139" s="11" t="n">
        <x:v>5.454821</x:v>
      </x:c>
      <x:c r="G139" s="11" t="n">
        <x:f>F139-E139</x:f>
        <x:v>0</x:v>
      </x:c>
      <x:c r="H139" s="10" t="n">
        <x:v>1</x:v>
      </x:c>
      <x:c r="I139" s="10" t="str">
        <x:v>AUTHORED_TERMINAL</x:v>
      </x:c>
      <x:c r="J139" s="10" t="str">
        <x:v>TEXT:SYN-F03-08-BASE-N15</x:v>
      </x:c>
      <x:c r="K139" s="10" t="str">
        <x:v>TEXT:SYN-F03-08-U02</x:v>
      </x:c>
      <x:c r="L139" s="10" t="str">
        <x:v>TEXT:SYN-F03-08-BASE-N15</x:v>
      </x:c>
    </x:row>
    <x:row r="140" ht="52" customHeight="1">
      <x:c r="A140" s="10" t="str">
        <x:v>T-EXEC</x:v>
      </x:c>
      <x:c r="B140" s="10" t="str">
        <x:v>TEXT</x:v>
      </x:c>
      <x:c r="C140" s="10" t="str">
        <x:v>TEXT:SYN-F03-08</x:v>
      </x:c>
      <x:c r="D140" s="10" t="str">
        <x:v>TEXT:SYN-F03-08-G01</x:v>
      </x:c>
      <x:c r="E140" s="11" t="n">
        <x:v>6.313</x:v>
      </x:c>
      <x:c r="F140" s="11" t="n">
        <x:v>14.313</x:v>
      </x:c>
      <x:c r="G140" s="11" t="n">
        <x:f>F140-E140</x:f>
        <x:v>8</x:v>
      </x:c>
      <x:c r="H140" s="10" t="n">
        <x:v>1</x:v>
      </x:c>
      <x:c r="I140" s="10" t="str">
        <x:v>AUTHORED_TERMINAL</x:v>
      </x:c>
      <x:c r="J140" s="10" t="str">
        <x:v>TEXT:SYN-F03-08-EXEC-N21</x:v>
      </x:c>
      <x:c r="K140" s="10" t="str">
        <x:v>TEXT:SYN-F03-08-U01</x:v>
      </x:c>
      <x:c r="L140" s="10" t="str">
        <x:v>TEXT:SYN-F03-08-EXEC-N21</x:v>
      </x:c>
    </x:row>
    <x:row r="141" ht="52" customHeight="1">
      <x:c r="A141" s="10" t="str">
        <x:v>T-EXEC</x:v>
      </x:c>
      <x:c r="B141" s="10" t="str">
        <x:v>TEXT</x:v>
      </x:c>
      <x:c r="C141" s="10" t="str">
        <x:v>TEXT:SYN-F03-08</x:v>
      </x:c>
      <x:c r="D141" s="10" t="str">
        <x:v>TEXT:SYN-F03-08-G02</x:v>
      </x:c>
      <x:c r="E141" s="11" t="n">
        <x:v>4.823535</x:v>
      </x:c>
      <x:c r="F141" s="11" t="n">
        <x:v>4.823535</x:v>
      </x:c>
      <x:c r="G141" s="11" t="n">
        <x:f>F141-E141</x:f>
        <x:v>0</x:v>
      </x:c>
      <x:c r="H141" s="10" t="n">
        <x:v>1</x:v>
      </x:c>
      <x:c r="I141" s="10" t="str">
        <x:v>AUTHORED_TERMINAL</x:v>
      </x:c>
      <x:c r="J141" s="10" t="str">
        <x:v>TEXT:SYN-F03-08-EXEC-N16</x:v>
      </x:c>
      <x:c r="K141" s="10" t="str">
        <x:v>TEXT:SYN-F03-08-U02</x:v>
      </x:c>
      <x:c r="L141" s="10" t="str">
        <x:v>TEXT:SYN-F03-08-EXEC-N16</x:v>
      </x:c>
    </x:row>
    <x:row r="142" ht="52" customHeight="1">
      <x:c r="A142" s="10" t="str">
        <x:v>T-REL</x:v>
      </x:c>
      <x:c r="B142" s="10" t="str">
        <x:v>TEXT</x:v>
      </x:c>
      <x:c r="C142" s="10" t="str">
        <x:v>TEXT:SYN-F03-08</x:v>
      </x:c>
      <x:c r="D142" s="10" t="str">
        <x:v>TEXT:SYN-F03-08-G01</x:v>
      </x:c>
      <x:c r="E142" s="11" t="n">
        <x:v>7.531964</x:v>
      </x:c>
      <x:c r="F142" s="11" t="n">
        <x:v>15.531964</x:v>
      </x:c>
      <x:c r="G142" s="11" t="n">
        <x:f>F142-E142</x:f>
        <x:v>8</x:v>
      </x:c>
      <x:c r="H142" s="10" t="n">
        <x:v>1</x:v>
      </x:c>
      <x:c r="I142" s="10" t="str">
        <x:v>AUTHORED_TERMINAL</x:v>
      </x:c>
      <x:c r="J142" s="10" t="str">
        <x:v>TEXT:SYN-F03-08-REL-N23</x:v>
      </x:c>
      <x:c r="K142" s="10" t="str">
        <x:v>TEXT:SYN-F03-08-U01</x:v>
      </x:c>
      <x:c r="L142" s="10" t="str">
        <x:v>TEXT:SYN-F03-08-REL-N23</x:v>
      </x:c>
    </x:row>
    <x:row r="143" ht="52" customHeight="1">
      <x:c r="A143" s="10" t="str">
        <x:v>T-REL</x:v>
      </x:c>
      <x:c r="B143" s="10" t="str">
        <x:v>TEXT</x:v>
      </x:c>
      <x:c r="C143" s="10" t="str">
        <x:v>TEXT:SYN-F03-08</x:v>
      </x:c>
      <x:c r="D143" s="10" t="str">
        <x:v>TEXT:SYN-F03-08-G02</x:v>
      </x:c>
      <x:c r="E143" s="11" t="n">
        <x:v>4.552607</x:v>
      </x:c>
      <x:c r="F143" s="11" t="n">
        <x:v>4.552607</x:v>
      </x:c>
      <x:c r="G143" s="11" t="n">
        <x:f>F143-E143</x:f>
        <x:v>0</x:v>
      </x:c>
      <x:c r="H143" s="10" t="n">
        <x:v>1</x:v>
      </x:c>
      <x:c r="I143" s="10" t="str">
        <x:v>AUTHORED_TERMINAL</x:v>
      </x:c>
      <x:c r="J143" s="10" t="str">
        <x:v>TEXT:SYN-F03-08-REL-N18</x:v>
      </x:c>
      <x:c r="K143" s="10" t="str">
        <x:v>TEXT:SYN-F03-08-U02</x:v>
      </x:c>
      <x:c r="L143" s="10" t="str">
        <x:v>TEXT:SYN-F03-08-REL-N18</x:v>
      </x:c>
    </x:row>
    <x:row r="144" ht="52" customHeight="1">
      <x:c r="A144" s="10" t="str">
        <x:v>T-BASE</x:v>
      </x:c>
      <x:c r="B144" s="10" t="str">
        <x:v>TEXT</x:v>
      </x:c>
      <x:c r="C144" s="10" t="str">
        <x:v>TEXT:SYN-F03-09</x:v>
      </x:c>
      <x:c r="D144" s="10" t="str">
        <x:v>TEXT:SYN-F03-09-G01</x:v>
      </x:c>
      <x:c r="E144" s="11" t="n">
        <x:v>9.564322</x:v>
      </x:c>
      <x:c r="F144" s="11" t="n">
        <x:v>17.564322</x:v>
      </x:c>
      <x:c r="G144" s="11" t="n">
        <x:f>F144-E144</x:f>
        <x:v>8</x:v>
      </x:c>
      <x:c r="H144" s="10" t="n">
        <x:v>0</x:v>
      </x:c>
      <x:c r="I144" s="10" t="str">
        <x:v>AUTHORED_TERMINAL</x:v>
      </x:c>
      <x:c r="J144" s="10" t="str">
        <x:v>TEXT:SYN-F03-09-BASE-N20</x:v>
      </x:c>
      <x:c r="K144" s="10" t="str">
        <x:v>TEXT:SYN-F03-09-U01</x:v>
      </x:c>
      <x:c r="L144" s="10" t="str">
        <x:v>TEXT:SYN-F03-09-BASE-N20</x:v>
      </x:c>
    </x:row>
    <x:row r="145" ht="52" customHeight="1">
      <x:c r="A145" s="10" t="str">
        <x:v>T-BASE</x:v>
      </x:c>
      <x:c r="B145" s="10" t="str">
        <x:v>TEXT</x:v>
      </x:c>
      <x:c r="C145" s="10" t="str">
        <x:v>TEXT:SYN-F03-09</x:v>
      </x:c>
      <x:c r="D145" s="10" t="str">
        <x:v>TEXT:SYN-F03-09-G02</x:v>
      </x:c>
      <x:c r="E145" s="11" t="n">
        <x:v>5.515822</x:v>
      </x:c>
      <x:c r="F145" s="11" t="n">
        <x:v>5.515822</x:v>
      </x:c>
      <x:c r="G145" s="11" t="n">
        <x:f>F145-E145</x:f>
        <x:v>0</x:v>
      </x:c>
      <x:c r="H145" s="10" t="n">
        <x:v>1</x:v>
      </x:c>
      <x:c r="I145" s="10" t="str">
        <x:v>AUTHORED_TERMINAL</x:v>
      </x:c>
      <x:c r="J145" s="10" t="str">
        <x:v>TEXT:SYN-F03-09-BASE-N15</x:v>
      </x:c>
      <x:c r="K145" s="10" t="str">
        <x:v>TEXT:SYN-F03-09-U02</x:v>
      </x:c>
      <x:c r="L145" s="10" t="str">
        <x:v>TEXT:SYN-F03-09-BASE-N15</x:v>
      </x:c>
    </x:row>
    <x:row r="146" ht="52" customHeight="1">
      <x:c r="A146" s="10" t="str">
        <x:v>T-EXEC</x:v>
      </x:c>
      <x:c r="B146" s="10" t="str">
        <x:v>TEXT</x:v>
      </x:c>
      <x:c r="C146" s="10" t="str">
        <x:v>TEXT:SYN-F03-09</x:v>
      </x:c>
      <x:c r="D146" s="10" t="str">
        <x:v>TEXT:SYN-F03-09-G01</x:v>
      </x:c>
      <x:c r="E146" s="11" t="n">
        <x:v>6.374</x:v>
      </x:c>
      <x:c r="F146" s="11" t="n">
        <x:v>14.374</x:v>
      </x:c>
      <x:c r="G146" s="11" t="n">
        <x:f>F146-E146</x:f>
        <x:v>8</x:v>
      </x:c>
      <x:c r="H146" s="10" t="n">
        <x:v>0</x:v>
      </x:c>
      <x:c r="I146" s="10" t="str">
        <x:v>AUTHORED_TERMINAL</x:v>
      </x:c>
      <x:c r="J146" s="10" t="str">
        <x:v>TEXT:SYN-F03-09-EXEC-N21</x:v>
      </x:c>
      <x:c r="K146" s="10" t="str">
        <x:v>TEXT:SYN-F03-09-U01</x:v>
      </x:c>
      <x:c r="L146" s="10" t="str">
        <x:v>TEXT:SYN-F03-09-EXEC-N21</x:v>
      </x:c>
    </x:row>
    <x:row r="147" ht="52" customHeight="1">
      <x:c r="A147" s="10" t="str">
        <x:v>T-EXEC</x:v>
      </x:c>
      <x:c r="B147" s="10" t="str">
        <x:v>TEXT</x:v>
      </x:c>
      <x:c r="C147" s="10" t="str">
        <x:v>TEXT:SYN-F03-09</x:v>
      </x:c>
      <x:c r="D147" s="10" t="str">
        <x:v>TEXT:SYN-F03-09-G02</x:v>
      </x:c>
      <x:c r="E147" s="11" t="n">
        <x:v>4.835322</x:v>
      </x:c>
      <x:c r="F147" s="11" t="n">
        <x:v>4.835322</x:v>
      </x:c>
      <x:c r="G147" s="11" t="n">
        <x:f>F147-E147</x:f>
        <x:v>0</x:v>
      </x:c>
      <x:c r="H147" s="10" t="n">
        <x:v>1</x:v>
      </x:c>
      <x:c r="I147" s="10" t="str">
        <x:v>AUTHORED_TERMINAL</x:v>
      </x:c>
      <x:c r="J147" s="10" t="str">
        <x:v>TEXT:SYN-F03-09-EXEC-N16</x:v>
      </x:c>
      <x:c r="K147" s="10" t="str">
        <x:v>TEXT:SYN-F03-09-U02</x:v>
      </x:c>
      <x:c r="L147" s="10" t="str">
        <x:v>TEXT:SYN-F03-09-EXEC-N16</x:v>
      </x:c>
    </x:row>
    <x:row r="148" ht="52" customHeight="1">
      <x:c r="A148" s="10" t="str">
        <x:v>T-REL</x:v>
      </x:c>
      <x:c r="B148" s="10" t="str">
        <x:v>TEXT</x:v>
      </x:c>
      <x:c r="C148" s="10" t="str">
        <x:v>TEXT:SYN-F03-09</x:v>
      </x:c>
      <x:c r="D148" s="10" t="str">
        <x:v>TEXT:SYN-F03-09-G01</x:v>
      </x:c>
      <x:c r="E148" s="11" t="n">
        <x:v>7.542464</x:v>
      </x:c>
      <x:c r="F148" s="11" t="n">
        <x:v>15.542464</x:v>
      </x:c>
      <x:c r="G148" s="11" t="n">
        <x:f>F148-E148</x:f>
        <x:v>8</x:v>
      </x:c>
      <x:c r="H148" s="10" t="n">
        <x:v>0</x:v>
      </x:c>
      <x:c r="I148" s="10" t="str">
        <x:v>AUTHORED_TERMINAL</x:v>
      </x:c>
      <x:c r="J148" s="10" t="str">
        <x:v>TEXT:SYN-F03-09-REL-N23</x:v>
      </x:c>
      <x:c r="K148" s="10" t="str">
        <x:v>TEXT:SYN-F03-09-U01</x:v>
      </x:c>
      <x:c r="L148" s="10" t="str">
        <x:v>TEXT:SYN-F03-09-REL-N23</x:v>
      </x:c>
    </x:row>
    <x:row r="149" ht="52" customHeight="1">
      <x:c r="A149" s="10" t="str">
        <x:v>T-REL</x:v>
      </x:c>
      <x:c r="B149" s="10" t="str">
        <x:v>TEXT</x:v>
      </x:c>
      <x:c r="C149" s="10" t="str">
        <x:v>TEXT:SYN-F03-09</x:v>
      </x:c>
      <x:c r="D149" s="10" t="str">
        <x:v>TEXT:SYN-F03-09-G02</x:v>
      </x:c>
      <x:c r="E149" s="11" t="n">
        <x:v>4.588607</x:v>
      </x:c>
      <x:c r="F149" s="11" t="n">
        <x:v>4.588607</x:v>
      </x:c>
      <x:c r="G149" s="11" t="n">
        <x:f>F149-E149</x:f>
        <x:v>0</x:v>
      </x:c>
      <x:c r="H149" s="10" t="n">
        <x:v>1</x:v>
      </x:c>
      <x:c r="I149" s="10" t="str">
        <x:v>AUTHORED_TERMINAL</x:v>
      </x:c>
      <x:c r="J149" s="10" t="str">
        <x:v>TEXT:SYN-F03-09-REL-N18</x:v>
      </x:c>
      <x:c r="K149" s="10" t="str">
        <x:v>TEXT:SYN-F03-09-U02</x:v>
      </x:c>
      <x:c r="L149" s="10" t="str">
        <x:v>TEXT:SYN-F03-09-REL-N18</x:v>
      </x:c>
    </x:row>
    <x:row r="150" ht="52" customHeight="1">
      <x:c r="A150" s="10" t="str">
        <x:v>T-BASE</x:v>
      </x:c>
      <x:c r="B150" s="10" t="str">
        <x:v>TEXT</x:v>
      </x:c>
      <x:c r="C150" s="10" t="str">
        <x:v>TEXT:SYN-F03-10</x:v>
      </x:c>
      <x:c r="D150" s="10" t="str">
        <x:v>TEXT:SYN-F03-10-G01</x:v>
      </x:c>
      <x:c r="E150" s="11" t="n">
        <x:v>9.574821</x:v>
      </x:c>
      <x:c r="F150" s="11" t="n">
        <x:v>17.574821</x:v>
      </x:c>
      <x:c r="G150" s="11" t="n">
        <x:f>F150-E150</x:f>
        <x:v>8</x:v>
      </x:c>
      <x:c r="H150" s="10" t="n">
        <x:v>1</x:v>
      </x:c>
      <x:c r="I150" s="10" t="str">
        <x:v>AUTHORED_TERMINAL</x:v>
      </x:c>
      <x:c r="J150" s="10" t="str">
        <x:v>TEXT:SYN-F03-10-BASE-N20</x:v>
      </x:c>
      <x:c r="K150" s="10" t="str">
        <x:v>TEXT:SYN-F03-10-U01</x:v>
      </x:c>
      <x:c r="L150" s="10" t="str">
        <x:v>TEXT:SYN-F03-10-BASE-N20</x:v>
      </x:c>
    </x:row>
    <x:row r="151" ht="52" customHeight="1">
      <x:c r="A151" s="10" t="str">
        <x:v>T-BASE</x:v>
      </x:c>
      <x:c r="B151" s="10" t="str">
        <x:v>TEXT</x:v>
      </x:c>
      <x:c r="C151" s="10" t="str">
        <x:v>TEXT:SYN-F03-10</x:v>
      </x:c>
      <x:c r="D151" s="10" t="str">
        <x:v>TEXT:SYN-F03-10-G02</x:v>
      </x:c>
      <x:c r="E151" s="11" t="n">
        <x:v>5.551821</x:v>
      </x:c>
      <x:c r="F151" s="11" t="n">
        <x:v>5.551821</x:v>
      </x:c>
      <x:c r="G151" s="11" t="n">
        <x:f>F151-E151</x:f>
        <x:v>0</x:v>
      </x:c>
      <x:c r="H151" s="10" t="n">
        <x:v>1</x:v>
      </x:c>
      <x:c r="I151" s="10" t="str">
        <x:v>AUTHORED_TERMINAL</x:v>
      </x:c>
      <x:c r="J151" s="10" t="str">
        <x:v>TEXT:SYN-F03-10-BASE-N15</x:v>
      </x:c>
      <x:c r="K151" s="10" t="str">
        <x:v>TEXT:SYN-F03-10-U02</x:v>
      </x:c>
      <x:c r="L151" s="10" t="str">
        <x:v>TEXT:SYN-F03-10-BASE-N15</x:v>
      </x:c>
    </x:row>
    <x:row r="152" ht="52" customHeight="1">
      <x:c r="A152" s="10" t="str">
        <x:v>T-EXEC</x:v>
      </x:c>
      <x:c r="B152" s="10" t="str">
        <x:v>TEXT</x:v>
      </x:c>
      <x:c r="C152" s="10" t="str">
        <x:v>TEXT:SYN-F03-10</x:v>
      </x:c>
      <x:c r="D152" s="10" t="str">
        <x:v>TEXT:SYN-F03-10-G01</x:v>
      </x:c>
      <x:c r="E152" s="11" t="n">
        <x:v>6.41</x:v>
      </x:c>
      <x:c r="F152" s="11" t="n">
        <x:v>14.41</x:v>
      </x:c>
      <x:c r="G152" s="11" t="n">
        <x:f>F152-E152</x:f>
        <x:v>8</x:v>
      </x:c>
      <x:c r="H152" s="10" t="n">
        <x:v>1</x:v>
      </x:c>
      <x:c r="I152" s="10" t="str">
        <x:v>AUTHORED_TERMINAL</x:v>
      </x:c>
      <x:c r="J152" s="10" t="str">
        <x:v>TEXT:SYN-F03-10-EXEC-N21</x:v>
      </x:c>
      <x:c r="K152" s="10" t="str">
        <x:v>TEXT:SYN-F03-10-U01</x:v>
      </x:c>
      <x:c r="L152" s="10" t="str">
        <x:v>TEXT:SYN-F03-10-EXEC-N21</x:v>
      </x:c>
    </x:row>
    <x:row r="153" ht="52" customHeight="1">
      <x:c r="A153" s="10" t="str">
        <x:v>T-EXEC</x:v>
      </x:c>
      <x:c r="B153" s="10" t="str">
        <x:v>TEXT</x:v>
      </x:c>
      <x:c r="C153" s="10" t="str">
        <x:v>TEXT:SYN-F03-10</x:v>
      </x:c>
      <x:c r="D153" s="10" t="str">
        <x:v>TEXT:SYN-F03-10-G02</x:v>
      </x:c>
      <x:c r="E153" s="11" t="n">
        <x:v>4.828357</x:v>
      </x:c>
      <x:c r="F153" s="11" t="n">
        <x:v>4.828357</x:v>
      </x:c>
      <x:c r="G153" s="11" t="n">
        <x:f>F153-E153</x:f>
        <x:v>0</x:v>
      </x:c>
      <x:c r="H153" s="10" t="n">
        <x:v>1</x:v>
      </x:c>
      <x:c r="I153" s="10" t="str">
        <x:v>AUTHORED_TERMINAL</x:v>
      </x:c>
      <x:c r="J153" s="10" t="str">
        <x:v>TEXT:SYN-F03-10-EXEC-N16</x:v>
      </x:c>
      <x:c r="K153" s="10" t="str">
        <x:v>TEXT:SYN-F03-10-U02</x:v>
      </x:c>
      <x:c r="L153" s="10" t="str">
        <x:v>TEXT:SYN-F03-10-EXEC-N16</x:v>
      </x:c>
    </x:row>
    <x:row r="154" ht="52" customHeight="1">
      <x:c r="A154" s="10" t="str">
        <x:v>T-REL</x:v>
      </x:c>
      <x:c r="B154" s="10" t="str">
        <x:v>TEXT</x:v>
      </x:c>
      <x:c r="C154" s="10" t="str">
        <x:v>TEXT:SYN-F03-10</x:v>
      </x:c>
      <x:c r="D154" s="10" t="str">
        <x:v>TEXT:SYN-F03-10-G01</x:v>
      </x:c>
      <x:c r="E154" s="11" t="n">
        <x:v>7.652964</x:v>
      </x:c>
      <x:c r="F154" s="11" t="n">
        <x:v>15.652964</x:v>
      </x:c>
      <x:c r="G154" s="11" t="n">
        <x:f>F154-E154</x:f>
        <x:v>8</x:v>
      </x:c>
      <x:c r="H154" s="10" t="n">
        <x:v>1</x:v>
      </x:c>
      <x:c r="I154" s="10" t="str">
        <x:v>AUTHORED_TERMINAL</x:v>
      </x:c>
      <x:c r="J154" s="10" t="str">
        <x:v>TEXT:SYN-F03-10-REL-N23</x:v>
      </x:c>
      <x:c r="K154" s="10" t="str">
        <x:v>TEXT:SYN-F03-10-U01</x:v>
      </x:c>
      <x:c r="L154" s="10" t="str">
        <x:v>TEXT:SYN-F03-10-REL-N23</x:v>
      </x:c>
    </x:row>
    <x:row r="155" ht="52" customHeight="1">
      <x:c r="A155" s="10" t="str">
        <x:v>T-REL</x:v>
      </x:c>
      <x:c r="B155" s="10" t="str">
        <x:v>TEXT</x:v>
      </x:c>
      <x:c r="C155" s="10" t="str">
        <x:v>TEXT:SYN-F03-10</x:v>
      </x:c>
      <x:c r="D155" s="10" t="str">
        <x:v>TEXT:SYN-F03-10-G02</x:v>
      </x:c>
      <x:c r="E155" s="11" t="n">
        <x:v>4.674607</x:v>
      </x:c>
      <x:c r="F155" s="11" t="n">
        <x:v>4.674607</x:v>
      </x:c>
      <x:c r="G155" s="11" t="n">
        <x:f>F155-E155</x:f>
        <x:v>0</x:v>
      </x:c>
      <x:c r="H155" s="10" t="n">
        <x:v>1</x:v>
      </x:c>
      <x:c r="I155" s="10" t="str">
        <x:v>AUTHORED_TERMINAL</x:v>
      </x:c>
      <x:c r="J155" s="10" t="str">
        <x:v>TEXT:SYN-F03-10-REL-N18</x:v>
      </x:c>
      <x:c r="K155" s="10" t="str">
        <x:v>TEXT:SYN-F03-10-U02</x:v>
      </x:c>
      <x:c r="L155" s="10" t="str">
        <x:v>TEXT:SYN-F03-10-REL-N18</x:v>
      </x:c>
    </x:row>
    <x:row r="156" ht="52" customHeight="1">
      <x:c r="A156" s="10" t="str">
        <x:v>T-BASE</x:v>
      </x:c>
      <x:c r="B156" s="10" t="str">
        <x:v>TEXT</x:v>
      </x:c>
      <x:c r="C156" s="10" t="str">
        <x:v>TEXT:SYN-F04-01</x:v>
      </x:c>
      <x:c r="D156" s="10" t="str">
        <x:v>TEXT:SYN-F04-01-G01</x:v>
      </x:c>
      <x:c r="E156" s="11" t="n">
        <x:v>5.5785</x:v>
      </x:c>
      <x:c r="F156" s="11" t="n">
        <x:v>13.5785</x:v>
      </x:c>
      <x:c r="G156" s="11" t="n">
        <x:f>F156-E156</x:f>
        <x:v>8</x:v>
      </x:c>
      <x:c r="H156" s="10" t="n">
        <x:v>1</x:v>
      </x:c>
      <x:c r="I156" s="10" t="str">
        <x:v>AUTHORED_TERMINAL</x:v>
      </x:c>
      <x:c r="J156" s="10" t="str">
        <x:v>TEXT:SYN-F04-01-BASE-N11</x:v>
      </x:c>
      <x:c r="K156" s="10" t="str">
        <x:v>TEXT:SYN-F04-01-U01</x:v>
      </x:c>
      <x:c r="L156" s="10" t="str">
        <x:v>TEXT:SYN-F04-01-BASE-N11</x:v>
      </x:c>
    </x:row>
    <x:row r="157" ht="52" customHeight="1">
      <x:c r="A157" s="10" t="str">
        <x:v>T-BASE</x:v>
      </x:c>
      <x:c r="B157" s="10" t="str">
        <x:v>TEXT</x:v>
      </x:c>
      <x:c r="C157" s="10" t="str">
        <x:v>TEXT:SYN-F04-01</x:v>
      </x:c>
      <x:c r="D157" s="10" t="str">
        <x:v>TEXT:SYN-F04-01-G02</x:v>
      </x:c>
      <x:c r="E157" s="11" t="n">
        <x:v>3.338036</x:v>
      </x:c>
      <x:c r="F157" s="11" t="n">
        <x:v>3.338036</x:v>
      </x:c>
      <x:c r="G157" s="11" t="n">
        <x:f>F157-E157</x:f>
        <x:v>0</x:v>
      </x:c>
      <x:c r="H157" s="10" t="n">
        <x:v>1</x:v>
      </x:c>
      <x:c r="I157" s="10" t="str">
        <x:v>AUTHORED_TERMINAL</x:v>
      </x:c>
      <x:c r="J157" s="10" t="str">
        <x:v>TEXT:SYN-F04-01-BASE-N19</x:v>
      </x:c>
      <x:c r="K157" s="10" t="str">
        <x:v>TEXT:SYN-F04-01-U02</x:v>
      </x:c>
      <x:c r="L157" s="10" t="str">
        <x:v>TEXT:SYN-F04-01-BASE-N19</x:v>
      </x:c>
    </x:row>
    <x:row r="158" ht="52" customHeight="1">
      <x:c r="A158" s="10" t="str">
        <x:v>T-EXEC</x:v>
      </x:c>
      <x:c r="B158" s="10" t="str">
        <x:v>TEXT</x:v>
      </x:c>
      <x:c r="C158" s="10" t="str">
        <x:v>TEXT:SYN-F04-01</x:v>
      </x:c>
      <x:c r="D158" s="10" t="str">
        <x:v>TEXT:SYN-F04-01-G01</x:v>
      </x:c>
      <x:c r="E158" s="11" t="n">
        <x:v>5.5785</x:v>
      </x:c>
      <x:c r="F158" s="11" t="n">
        <x:v>13.5785</x:v>
      </x:c>
      <x:c r="G158" s="11" t="n">
        <x:f>F158-E158</x:f>
        <x:v>8</x:v>
      </x:c>
      <x:c r="H158" s="10" t="n">
        <x:v>1</x:v>
      </x:c>
      <x:c r="I158" s="10" t="str">
        <x:v>AUTHORED_TERMINAL</x:v>
      </x:c>
      <x:c r="J158" s="10" t="str">
        <x:v>TEXT:SYN-F04-01-EXEC-N11</x:v>
      </x:c>
      <x:c r="K158" s="10" t="str">
        <x:v>TEXT:SYN-F04-01-U01</x:v>
      </x:c>
      <x:c r="L158" s="10" t="str">
        <x:v>TEXT:SYN-F04-01-EXEC-N11</x:v>
      </x:c>
    </x:row>
    <x:row r="159" ht="52" customHeight="1">
      <x:c r="A159" s="10" t="str">
        <x:v>T-EXEC</x:v>
      </x:c>
      <x:c r="B159" s="10" t="str">
        <x:v>TEXT</x:v>
      </x:c>
      <x:c r="C159" s="10" t="str">
        <x:v>TEXT:SYN-F04-01</x:v>
      </x:c>
      <x:c r="D159" s="10" t="str">
        <x:v>TEXT:SYN-F04-01-G02</x:v>
      </x:c>
      <x:c r="E159" s="11" t="n">
        <x:v>3.793036</x:v>
      </x:c>
      <x:c r="F159" s="11" t="n">
        <x:v>3.793036</x:v>
      </x:c>
      <x:c r="G159" s="11" t="n">
        <x:f>F159-E159</x:f>
        <x:v>0</x:v>
      </x:c>
      <x:c r="H159" s="10" t="n">
        <x:v>1</x:v>
      </x:c>
      <x:c r="I159" s="10" t="str">
        <x:v>AUTHORED_TERMINAL</x:v>
      </x:c>
      <x:c r="J159" s="10" t="str">
        <x:v>TEXT:SYN-F04-01-EXEC-N20</x:v>
      </x:c>
      <x:c r="K159" s="10" t="str">
        <x:v>TEXT:SYN-F04-01-U02</x:v>
      </x:c>
      <x:c r="L159" s="10" t="str">
        <x:v>TEXT:SYN-F04-01-EXEC-N20</x:v>
      </x:c>
    </x:row>
    <x:row r="160" ht="52" customHeight="1">
      <x:c r="A160" s="10" t="str">
        <x:v>T-REL</x:v>
      </x:c>
      <x:c r="B160" s="10" t="str">
        <x:v>TEXT</x:v>
      </x:c>
      <x:c r="C160" s="10" t="str">
        <x:v>TEXT:SYN-F04-01</x:v>
      </x:c>
      <x:c r="D160" s="10" t="str">
        <x:v>TEXT:SYN-F04-01-G01</x:v>
      </x:c>
      <x:c r="E160" s="11" t="n">
        <x:v>4.799571</x:v>
      </x:c>
      <x:c r="F160" s="11" t="n">
        <x:v>12.799571</x:v>
      </x:c>
      <x:c r="G160" s="11" t="n">
        <x:f>F160-E160</x:f>
        <x:v>8</x:v>
      </x:c>
      <x:c r="H160" s="10" t="n">
        <x:v>1</x:v>
      </x:c>
      <x:c r="I160" s="10" t="str">
        <x:v>AUTHORED_TERMINAL</x:v>
      </x:c>
      <x:c r="J160" s="10" t="str">
        <x:v>TEXT:SYN-F04-01-REL-N14</x:v>
      </x:c>
      <x:c r="K160" s="10" t="str">
        <x:v>TEXT:SYN-F04-01-U01</x:v>
      </x:c>
      <x:c r="L160" s="10" t="str">
        <x:v>TEXT:SYN-F04-01-REL-N14</x:v>
      </x:c>
    </x:row>
    <x:row r="161" ht="52" customHeight="1">
      <x:c r="A161" s="10" t="str">
        <x:v>T-REL</x:v>
      </x:c>
      <x:c r="B161" s="10" t="str">
        <x:v>TEXT</x:v>
      </x:c>
      <x:c r="C161" s="10" t="str">
        <x:v>TEXT:SYN-F04-01</x:v>
      </x:c>
      <x:c r="D161" s="10" t="str">
        <x:v>TEXT:SYN-F04-01-G02</x:v>
      </x:c>
      <x:c r="E161" s="11" t="n">
        <x:v>2.662536</x:v>
      </x:c>
      <x:c r="F161" s="11" t="n">
        <x:v>2.662536</x:v>
      </x:c>
      <x:c r="G161" s="11" t="n">
        <x:f>F161-E161</x:f>
        <x:v>0</x:v>
      </x:c>
      <x:c r="H161" s="10" t="n">
        <x:v>1</x:v>
      </x:c>
      <x:c r="I161" s="10" t="str">
        <x:v>AUTHORED_TERMINAL</x:v>
      </x:c>
      <x:c r="J161" s="10" t="str">
        <x:v>TEXT:SYN-F04-01-REL-N22</x:v>
      </x:c>
      <x:c r="K161" s="10" t="str">
        <x:v>TEXT:SYN-F04-01-U02</x:v>
      </x:c>
      <x:c r="L161" s="10" t="str">
        <x:v>TEXT:SYN-F04-01-REL-N22</x:v>
      </x:c>
    </x:row>
    <x:row r="162" ht="52" customHeight="1">
      <x:c r="A162" s="10" t="str">
        <x:v>T-BASE</x:v>
      </x:c>
      <x:c r="B162" s="10" t="str">
        <x:v>TEXT</x:v>
      </x:c>
      <x:c r="C162" s="10" t="str">
        <x:v>TEXT:SYN-F04-02</x:v>
      </x:c>
      <x:c r="D162" s="10" t="str">
        <x:v>TEXT:SYN-F04-02-G01</x:v>
      </x:c>
      <x:c r="E162" s="11" t="n">
        <x:v>5.6895</x:v>
      </x:c>
      <x:c r="F162" s="11" t="n">
        <x:v>13.6895</x:v>
      </x:c>
      <x:c r="G162" s="11" t="n">
        <x:f>F162-E162</x:f>
        <x:v>8</x:v>
      </x:c>
      <x:c r="H162" s="10" t="n">
        <x:v>1</x:v>
      </x:c>
      <x:c r="I162" s="10" t="str">
        <x:v>AUTHORED_TERMINAL</x:v>
      </x:c>
      <x:c r="J162" s="10" t="str">
        <x:v>TEXT:SYN-F04-02-BASE-N11</x:v>
      </x:c>
      <x:c r="K162" s="10" t="str">
        <x:v>TEXT:SYN-F04-02-U01</x:v>
      </x:c>
      <x:c r="L162" s="10" t="str">
        <x:v>TEXT:SYN-F04-02-BASE-N11</x:v>
      </x:c>
    </x:row>
    <x:row r="163" ht="52" customHeight="1">
      <x:c r="A163" s="10" t="str">
        <x:v>T-BASE</x:v>
      </x:c>
      <x:c r="B163" s="10" t="str">
        <x:v>TEXT</x:v>
      </x:c>
      <x:c r="C163" s="10" t="str">
        <x:v>TEXT:SYN-F04-02</x:v>
      </x:c>
      <x:c r="D163" s="10" t="str">
        <x:v>TEXT:SYN-F04-02-G02</x:v>
      </x:c>
      <x:c r="E163" s="11" t="n">
        <x:v>3.404036</x:v>
      </x:c>
      <x:c r="F163" s="11" t="n">
        <x:v>3.404036</x:v>
      </x:c>
      <x:c r="G163" s="11" t="n">
        <x:f>F163-E163</x:f>
        <x:v>0</x:v>
      </x:c>
      <x:c r="H163" s="10" t="n">
        <x:v>1</x:v>
      </x:c>
      <x:c r="I163" s="10" t="str">
        <x:v>AUTHORED_TERMINAL</x:v>
      </x:c>
      <x:c r="J163" s="10" t="str">
        <x:v>TEXT:SYN-F04-02-BASE-N19</x:v>
      </x:c>
      <x:c r="K163" s="10" t="str">
        <x:v>TEXT:SYN-F04-02-U02</x:v>
      </x:c>
      <x:c r="L163" s="10" t="str">
        <x:v>TEXT:SYN-F04-02-BASE-N19</x:v>
      </x:c>
    </x:row>
    <x:row r="164" ht="52" customHeight="1">
      <x:c r="A164" s="10" t="str">
        <x:v>T-EXEC</x:v>
      </x:c>
      <x:c r="B164" s="10" t="str">
        <x:v>TEXT</x:v>
      </x:c>
      <x:c r="C164" s="10" t="str">
        <x:v>TEXT:SYN-F04-02</x:v>
      </x:c>
      <x:c r="D164" s="10" t="str">
        <x:v>TEXT:SYN-F04-02-G01</x:v>
      </x:c>
      <x:c r="E164" s="11" t="n">
        <x:v>5.6895</x:v>
      </x:c>
      <x:c r="F164" s="11" t="n">
        <x:v>13.6895</x:v>
      </x:c>
      <x:c r="G164" s="11" t="n">
        <x:f>F164-E164</x:f>
        <x:v>8</x:v>
      </x:c>
      <x:c r="H164" s="10" t="n">
        <x:v>1</x:v>
      </x:c>
      <x:c r="I164" s="10" t="str">
        <x:v>AUTHORED_TERMINAL</x:v>
      </x:c>
      <x:c r="J164" s="10" t="str">
        <x:v>TEXT:SYN-F04-02-EXEC-N11</x:v>
      </x:c>
      <x:c r="K164" s="10" t="str">
        <x:v>TEXT:SYN-F04-02-U01</x:v>
      </x:c>
      <x:c r="L164" s="10" t="str">
        <x:v>TEXT:SYN-F04-02-EXEC-N11</x:v>
      </x:c>
    </x:row>
    <x:row r="165" ht="52" customHeight="1">
      <x:c r="A165" s="10" t="str">
        <x:v>T-EXEC</x:v>
      </x:c>
      <x:c r="B165" s="10" t="str">
        <x:v>TEXT</x:v>
      </x:c>
      <x:c r="C165" s="10" t="str">
        <x:v>TEXT:SYN-F04-02</x:v>
      </x:c>
      <x:c r="D165" s="10" t="str">
        <x:v>TEXT:SYN-F04-02-G02</x:v>
      </x:c>
      <x:c r="E165" s="11" t="n">
        <x:v>3.868715</x:v>
      </x:c>
      <x:c r="F165" s="11" t="n">
        <x:v>3.868715</x:v>
      </x:c>
      <x:c r="G165" s="11" t="n">
        <x:f>F165-E165</x:f>
        <x:v>0</x:v>
      </x:c>
      <x:c r="H165" s="10" t="n">
        <x:v>1</x:v>
      </x:c>
      <x:c r="I165" s="10" t="str">
        <x:v>AUTHORED_TERMINAL</x:v>
      </x:c>
      <x:c r="J165" s="10" t="str">
        <x:v>TEXT:SYN-F04-02-EXEC-N20</x:v>
      </x:c>
      <x:c r="K165" s="10" t="str">
        <x:v>TEXT:SYN-F04-02-U02</x:v>
      </x:c>
      <x:c r="L165" s="10" t="str">
        <x:v>TEXT:SYN-F04-02-EXEC-N20</x:v>
      </x:c>
    </x:row>
    <x:row r="166" ht="52" customHeight="1">
      <x:c r="A166" s="10" t="str">
        <x:v>T-REL</x:v>
      </x:c>
      <x:c r="B166" s="10" t="str">
        <x:v>TEXT</x:v>
      </x:c>
      <x:c r="C166" s="10" t="str">
        <x:v>TEXT:SYN-F04-02</x:v>
      </x:c>
      <x:c r="D166" s="10" t="str">
        <x:v>TEXT:SYN-F04-02-G01</x:v>
      </x:c>
      <x:c r="E166" s="11" t="n">
        <x:v>4.885572</x:v>
      </x:c>
      <x:c r="F166" s="11" t="n">
        <x:v>12.885572</x:v>
      </x:c>
      <x:c r="G166" s="11" t="n">
        <x:f>F166-E166</x:f>
        <x:v>8</x:v>
      </x:c>
      <x:c r="H166" s="10" t="n">
        <x:v>1</x:v>
      </x:c>
      <x:c r="I166" s="10" t="str">
        <x:v>AUTHORED_TERMINAL</x:v>
      </x:c>
      <x:c r="J166" s="10" t="str">
        <x:v>TEXT:SYN-F04-02-REL-N14</x:v>
      </x:c>
      <x:c r="K166" s="10" t="str">
        <x:v>TEXT:SYN-F04-02-U01</x:v>
      </x:c>
      <x:c r="L166" s="10" t="str">
        <x:v>TEXT:SYN-F04-02-REL-N14</x:v>
      </x:c>
    </x:row>
    <x:row r="167" ht="52" customHeight="1">
      <x:c r="A167" s="10" t="str">
        <x:v>T-REL</x:v>
      </x:c>
      <x:c r="B167" s="10" t="str">
        <x:v>TEXT</x:v>
      </x:c>
      <x:c r="C167" s="10" t="str">
        <x:v>TEXT:SYN-F04-02</x:v>
      </x:c>
      <x:c r="D167" s="10" t="str">
        <x:v>TEXT:SYN-F04-02-G02</x:v>
      </x:c>
      <x:c r="E167" s="11" t="n">
        <x:v>2.703536</x:v>
      </x:c>
      <x:c r="F167" s="11" t="n">
        <x:v>2.703536</x:v>
      </x:c>
      <x:c r="G167" s="11" t="n">
        <x:f>F167-E167</x:f>
        <x:v>0</x:v>
      </x:c>
      <x:c r="H167" s="10" t="n">
        <x:v>1</x:v>
      </x:c>
      <x:c r="I167" s="10" t="str">
        <x:v>AUTHORED_TERMINAL</x:v>
      </x:c>
      <x:c r="J167" s="10" t="str">
        <x:v>TEXT:SYN-F04-02-REL-N22</x:v>
      </x:c>
      <x:c r="K167" s="10" t="str">
        <x:v>TEXT:SYN-F04-02-U02</x:v>
      </x:c>
      <x:c r="L167" s="10" t="str">
        <x:v>TEXT:SYN-F04-02-REL-N22</x:v>
      </x:c>
    </x:row>
    <x:row r="168" ht="52" customHeight="1">
      <x:c r="A168" s="10" t="str">
        <x:v>T-BASE</x:v>
      </x:c>
      <x:c r="B168" s="10" t="str">
        <x:v>TEXT</x:v>
      </x:c>
      <x:c r="C168" s="10" t="str">
        <x:v>TEXT:SYN-F04-03</x:v>
      </x:c>
      <x:c r="D168" s="10" t="str">
        <x:v>TEXT:SYN-F04-03-G01</x:v>
      </x:c>
      <x:c r="E168" s="11" t="n">
        <x:v>5.8005</x:v>
      </x:c>
      <x:c r="F168" s="11" t="n">
        <x:v>13.8005</x:v>
      </x:c>
      <x:c r="G168" s="11" t="n">
        <x:f>F168-E168</x:f>
        <x:v>7.999999999999999</x:v>
      </x:c>
      <x:c r="H168" s="10" t="n">
        <x:v>1</x:v>
      </x:c>
      <x:c r="I168" s="10" t="str">
        <x:v>AUTHORED_TERMINAL</x:v>
      </x:c>
      <x:c r="J168" s="10" t="str">
        <x:v>TEXT:SYN-F04-03-BASE-N11</x:v>
      </x:c>
      <x:c r="K168" s="10" t="str">
        <x:v>TEXT:SYN-F04-03-U01</x:v>
      </x:c>
      <x:c r="L168" s="10" t="str">
        <x:v>TEXT:SYN-F04-03-BASE-N11</x:v>
      </x:c>
    </x:row>
    <x:row r="169" ht="52" customHeight="1">
      <x:c r="A169" s="10" t="str">
        <x:v>T-BASE</x:v>
      </x:c>
      <x:c r="B169" s="10" t="str">
        <x:v>TEXT</x:v>
      </x:c>
      <x:c r="C169" s="10" t="str">
        <x:v>TEXT:SYN-F04-03</x:v>
      </x:c>
      <x:c r="D169" s="10" t="str">
        <x:v>TEXT:SYN-F04-03-G02</x:v>
      </x:c>
      <x:c r="E169" s="11" t="n">
        <x:v>3.470035</x:v>
      </x:c>
      <x:c r="F169" s="11" t="n">
        <x:v>3.470035</x:v>
      </x:c>
      <x:c r="G169" s="11" t="n">
        <x:f>F169-E169</x:f>
        <x:v>0</x:v>
      </x:c>
      <x:c r="H169" s="10" t="n">
        <x:v>1</x:v>
      </x:c>
      <x:c r="I169" s="10" t="str">
        <x:v>AUTHORED_TERMINAL</x:v>
      </x:c>
      <x:c r="J169" s="10" t="str">
        <x:v>TEXT:SYN-F04-03-BASE-N19</x:v>
      </x:c>
      <x:c r="K169" s="10" t="str">
        <x:v>TEXT:SYN-F04-03-U02</x:v>
      </x:c>
      <x:c r="L169" s="10" t="str">
        <x:v>TEXT:SYN-F04-03-BASE-N19</x:v>
      </x:c>
    </x:row>
    <x:row r="170" ht="52" customHeight="1">
      <x:c r="A170" s="10" t="str">
        <x:v>T-EXEC</x:v>
      </x:c>
      <x:c r="B170" s="10" t="str">
        <x:v>TEXT</x:v>
      </x:c>
      <x:c r="C170" s="10" t="str">
        <x:v>TEXT:SYN-F04-03</x:v>
      </x:c>
      <x:c r="D170" s="10" t="str">
        <x:v>TEXT:SYN-F04-03-G01</x:v>
      </x:c>
      <x:c r="E170" s="11" t="n">
        <x:v>5.8005</x:v>
      </x:c>
      <x:c r="F170" s="11" t="n">
        <x:v>13.8005</x:v>
      </x:c>
      <x:c r="G170" s="11" t="n">
        <x:f>F170-E170</x:f>
        <x:v>7.999999999999999</x:v>
      </x:c>
      <x:c r="H170" s="10" t="n">
        <x:v>1</x:v>
      </x:c>
      <x:c r="I170" s="10" t="str">
        <x:v>AUTHORED_TERMINAL</x:v>
      </x:c>
      <x:c r="J170" s="10" t="str">
        <x:v>TEXT:SYN-F04-03-EXEC-N11</x:v>
      </x:c>
      <x:c r="K170" s="10" t="str">
        <x:v>TEXT:SYN-F04-03-U01</x:v>
      </x:c>
      <x:c r="L170" s="10" t="str">
        <x:v>TEXT:SYN-F04-03-EXEC-N11</x:v>
      </x:c>
    </x:row>
    <x:row r="171" ht="52" customHeight="1">
      <x:c r="A171" s="10" t="str">
        <x:v>T-EXEC</x:v>
      </x:c>
      <x:c r="B171" s="10" t="str">
        <x:v>TEXT</x:v>
      </x:c>
      <x:c r="C171" s="10" t="str">
        <x:v>TEXT:SYN-F04-03</x:v>
      </x:c>
      <x:c r="D171" s="10" t="str">
        <x:v>TEXT:SYN-F04-03-G02</x:v>
      </x:c>
      <x:c r="E171" s="11" t="n">
        <x:v>3.944392</x:v>
      </x:c>
      <x:c r="F171" s="11" t="n">
        <x:v>3.944392</x:v>
      </x:c>
      <x:c r="G171" s="11" t="n">
        <x:f>F171-E171</x:f>
        <x:v>0</x:v>
      </x:c>
      <x:c r="H171" s="10" t="n">
        <x:v>1</x:v>
      </x:c>
      <x:c r="I171" s="10" t="str">
        <x:v>AUTHORED_TERMINAL</x:v>
      </x:c>
      <x:c r="J171" s="10" t="str">
        <x:v>TEXT:SYN-F04-03-EXEC-N20</x:v>
      </x:c>
      <x:c r="K171" s="10" t="str">
        <x:v>TEXT:SYN-F04-03-U02</x:v>
      </x:c>
      <x:c r="L171" s="10" t="str">
        <x:v>TEXT:SYN-F04-03-EXEC-N20</x:v>
      </x:c>
    </x:row>
    <x:row r="172" ht="52" customHeight="1">
      <x:c r="A172" s="10" t="str">
        <x:v>T-REL</x:v>
      </x:c>
      <x:c r="B172" s="10" t="str">
        <x:v>TEXT</x:v>
      </x:c>
      <x:c r="C172" s="10" t="str">
        <x:v>TEXT:SYN-F04-03</x:v>
      </x:c>
      <x:c r="D172" s="10" t="str">
        <x:v>TEXT:SYN-F04-03-G01</x:v>
      </x:c>
      <x:c r="E172" s="11" t="n">
        <x:v>4.971571</x:v>
      </x:c>
      <x:c r="F172" s="11" t="n">
        <x:v>12.971571</x:v>
      </x:c>
      <x:c r="G172" s="11" t="n">
        <x:f>F172-E172</x:f>
        <x:v>8</x:v>
      </x:c>
      <x:c r="H172" s="10" t="n">
        <x:v>1</x:v>
      </x:c>
      <x:c r="I172" s="10" t="str">
        <x:v>AUTHORED_TERMINAL</x:v>
      </x:c>
      <x:c r="J172" s="10" t="str">
        <x:v>TEXT:SYN-F04-03-REL-N14</x:v>
      </x:c>
      <x:c r="K172" s="10" t="str">
        <x:v>TEXT:SYN-F04-03-U01</x:v>
      </x:c>
      <x:c r="L172" s="10" t="str">
        <x:v>TEXT:SYN-F04-03-REL-N14</x:v>
      </x:c>
    </x:row>
    <x:row r="173" ht="52" customHeight="1">
      <x:c r="A173" s="10" t="str">
        <x:v>T-REL</x:v>
      </x:c>
      <x:c r="B173" s="10" t="str">
        <x:v>TEXT</x:v>
      </x:c>
      <x:c r="C173" s="10" t="str">
        <x:v>TEXT:SYN-F04-03</x:v>
      </x:c>
      <x:c r="D173" s="10" t="str">
        <x:v>TEXT:SYN-F04-03-G02</x:v>
      </x:c>
      <x:c r="E173" s="11" t="n">
        <x:v>2.744535</x:v>
      </x:c>
      <x:c r="F173" s="11" t="n">
        <x:v>2.744535</x:v>
      </x:c>
      <x:c r="G173" s="11" t="n">
        <x:f>F173-E173</x:f>
        <x:v>0</x:v>
      </x:c>
      <x:c r="H173" s="10" t="n">
        <x:v>1</x:v>
      </x:c>
      <x:c r="I173" s="10" t="str">
        <x:v>AUTHORED_TERMINAL</x:v>
      </x:c>
      <x:c r="J173" s="10" t="str">
        <x:v>TEXT:SYN-F04-03-REL-N22</x:v>
      </x:c>
      <x:c r="K173" s="10" t="str">
        <x:v>TEXT:SYN-F04-03-U02</x:v>
      </x:c>
      <x:c r="L173" s="10" t="str">
        <x:v>TEXT:SYN-F04-03-REL-N22</x:v>
      </x:c>
    </x:row>
    <x:row r="174" ht="52" customHeight="1">
      <x:c r="A174" s="10" t="str">
        <x:v>T-BASE</x:v>
      </x:c>
      <x:c r="B174" s="10" t="str">
        <x:v>TEXT</x:v>
      </x:c>
      <x:c r="C174" s="10" t="str">
        <x:v>TEXT:SYN-F04-04</x:v>
      </x:c>
      <x:c r="D174" s="10" t="str">
        <x:v>TEXT:SYN-F04-04-G01</x:v>
      </x:c>
      <x:c r="E174" s="11" t="n">
        <x:v>5.8365</x:v>
      </x:c>
      <x:c r="F174" s="11" t="n">
        <x:v>13.8365</x:v>
      </x:c>
      <x:c r="G174" s="11" t="n">
        <x:f>F174-E174</x:f>
        <x:v>7.999999999999999</x:v>
      </x:c>
      <x:c r="H174" s="10" t="n">
        <x:v>0</x:v>
      </x:c>
      <x:c r="I174" s="10" t="str">
        <x:v>AUTHORED_TERMINAL</x:v>
      </x:c>
      <x:c r="J174" s="10" t="str">
        <x:v>TEXT:SYN-F04-04-BASE-N11</x:v>
      </x:c>
      <x:c r="K174" s="10" t="str">
        <x:v>TEXT:SYN-F04-04-U01</x:v>
      </x:c>
      <x:c r="L174" s="10" t="str">
        <x:v>TEXT:SYN-F04-04-BASE-N11</x:v>
      </x:c>
    </x:row>
    <x:row r="175" ht="52" customHeight="1">
      <x:c r="A175" s="10" t="str">
        <x:v>T-BASE</x:v>
      </x:c>
      <x:c r="B175" s="10" t="str">
        <x:v>TEXT</x:v>
      </x:c>
      <x:c r="C175" s="10" t="str">
        <x:v>TEXT:SYN-F04-04</x:v>
      </x:c>
      <x:c r="D175" s="10" t="str">
        <x:v>TEXT:SYN-F04-04-G02</x:v>
      </x:c>
      <x:c r="E175" s="11" t="n">
        <x:v>3.461036</x:v>
      </x:c>
      <x:c r="F175" s="11" t="n">
        <x:v>3.461036</x:v>
      </x:c>
      <x:c r="G175" s="11" t="n">
        <x:f>F175-E175</x:f>
        <x:v>0</x:v>
      </x:c>
      <x:c r="H175" s="10" t="n">
        <x:v>1</x:v>
      </x:c>
      <x:c r="I175" s="10" t="str">
        <x:v>AUTHORED_TERMINAL</x:v>
      </x:c>
      <x:c r="J175" s="10" t="str">
        <x:v>TEXT:SYN-F04-04-BASE-N19</x:v>
      </x:c>
      <x:c r="K175" s="10" t="str">
        <x:v>TEXT:SYN-F04-04-U02</x:v>
      </x:c>
      <x:c r="L175" s="10" t="str">
        <x:v>TEXT:SYN-F04-04-BASE-N19</x:v>
      </x:c>
    </x:row>
    <x:row r="176" ht="52" customHeight="1">
      <x:c r="A176" s="10" t="str">
        <x:v>T-EXEC</x:v>
      </x:c>
      <x:c r="B176" s="10" t="str">
        <x:v>TEXT</x:v>
      </x:c>
      <x:c r="C176" s="10" t="str">
        <x:v>TEXT:SYN-F04-04</x:v>
      </x:c>
      <x:c r="D176" s="10" t="str">
        <x:v>TEXT:SYN-F04-04-G01</x:v>
      </x:c>
      <x:c r="E176" s="11" t="n">
        <x:v>5.8365</x:v>
      </x:c>
      <x:c r="F176" s="11" t="n">
        <x:v>13.8365</x:v>
      </x:c>
      <x:c r="G176" s="11" t="n">
        <x:f>F176-E176</x:f>
        <x:v>7.999999999999999</x:v>
      </x:c>
      <x:c r="H176" s="10" t="n">
        <x:v>0</x:v>
      </x:c>
      <x:c r="I176" s="10" t="str">
        <x:v>AUTHORED_TERMINAL</x:v>
      </x:c>
      <x:c r="J176" s="10" t="str">
        <x:v>TEXT:SYN-F04-04-EXEC-N11</x:v>
      </x:c>
      <x:c r="K176" s="10" t="str">
        <x:v>TEXT:SYN-F04-04-U01</x:v>
      </x:c>
      <x:c r="L176" s="10" t="str">
        <x:v>TEXT:SYN-F04-04-EXEC-N11</x:v>
      </x:c>
    </x:row>
    <x:row r="177" ht="52" customHeight="1">
      <x:c r="A177" s="10" t="str">
        <x:v>T-EXEC</x:v>
      </x:c>
      <x:c r="B177" s="10" t="str">
        <x:v>TEXT</x:v>
      </x:c>
      <x:c r="C177" s="10" t="str">
        <x:v>TEXT:SYN-F04-04</x:v>
      </x:c>
      <x:c r="D177" s="10" t="str">
        <x:v>TEXT:SYN-F04-04-G02</x:v>
      </x:c>
      <x:c r="E177" s="11" t="n">
        <x:v>3.926322</x:v>
      </x:c>
      <x:c r="F177" s="11" t="n">
        <x:v>3.926322</x:v>
      </x:c>
      <x:c r="G177" s="11" t="n">
        <x:f>F177-E177</x:f>
        <x:v>0</x:v>
      </x:c>
      <x:c r="H177" s="10" t="n">
        <x:v>1</x:v>
      </x:c>
      <x:c r="I177" s="10" t="str">
        <x:v>AUTHORED_TERMINAL</x:v>
      </x:c>
      <x:c r="J177" s="10" t="str">
        <x:v>TEXT:SYN-F04-04-EXEC-N20</x:v>
      </x:c>
      <x:c r="K177" s="10" t="str">
        <x:v>TEXT:SYN-F04-04-U02</x:v>
      </x:c>
      <x:c r="L177" s="10" t="str">
        <x:v>TEXT:SYN-F04-04-EXEC-N20</x:v>
      </x:c>
    </x:row>
    <x:row r="178" ht="52" customHeight="1">
      <x:c r="A178" s="10" t="str">
        <x:v>T-REL</x:v>
      </x:c>
      <x:c r="B178" s="10" t="str">
        <x:v>TEXT</x:v>
      </x:c>
      <x:c r="C178" s="10" t="str">
        <x:v>TEXT:SYN-F04-04</x:v>
      </x:c>
      <x:c r="D178" s="10" t="str">
        <x:v>TEXT:SYN-F04-04-G01</x:v>
      </x:c>
      <x:c r="E178" s="11" t="n">
        <x:v>5.057572</x:v>
      </x:c>
      <x:c r="F178" s="11" t="n">
        <x:v>13.057572</x:v>
      </x:c>
      <x:c r="G178" s="11" t="n">
        <x:f>F178-E178</x:f>
        <x:v>8</x:v>
      </x:c>
      <x:c r="H178" s="10" t="n">
        <x:v>1</x:v>
      </x:c>
      <x:c r="I178" s="10" t="str">
        <x:v>AUTHORED_TERMINAL</x:v>
      </x:c>
      <x:c r="J178" s="10" t="str">
        <x:v>TEXT:SYN-F04-04-REL-N14</x:v>
      </x:c>
      <x:c r="K178" s="10" t="str">
        <x:v>TEXT:SYN-F04-04-U01</x:v>
      </x:c>
      <x:c r="L178" s="10" t="str">
        <x:v>TEXT:SYN-F04-04-REL-N14</x:v>
      </x:c>
    </x:row>
    <x:row r="179" ht="52" customHeight="1">
      <x:c r="A179" s="10" t="str">
        <x:v>T-REL</x:v>
      </x:c>
      <x:c r="B179" s="10" t="str">
        <x:v>TEXT</x:v>
      </x:c>
      <x:c r="C179" s="10" t="str">
        <x:v>TEXT:SYN-F04-04</x:v>
      </x:c>
      <x:c r="D179" s="10" t="str">
        <x:v>TEXT:SYN-F04-04-G02</x:v>
      </x:c>
      <x:c r="E179" s="11" t="n">
        <x:v>2.785536</x:v>
      </x:c>
      <x:c r="F179" s="11" t="n">
        <x:v>2.785536</x:v>
      </x:c>
      <x:c r="G179" s="11" t="n">
        <x:f>F179-E179</x:f>
        <x:v>0</x:v>
      </x:c>
      <x:c r="H179" s="10" t="n">
        <x:v>1</x:v>
      </x:c>
      <x:c r="I179" s="10" t="str">
        <x:v>AUTHORED_TERMINAL</x:v>
      </x:c>
      <x:c r="J179" s="10" t="str">
        <x:v>TEXT:SYN-F04-04-REL-N22</x:v>
      </x:c>
      <x:c r="K179" s="10" t="str">
        <x:v>TEXT:SYN-F04-04-U02</x:v>
      </x:c>
      <x:c r="L179" s="10" t="str">
        <x:v>TEXT:SYN-F04-04-REL-N22</x:v>
      </x:c>
    </x:row>
    <x:row r="180" ht="52" customHeight="1">
      <x:c r="A180" s="10" t="str">
        <x:v>T-BASE</x:v>
      </x:c>
      <x:c r="B180" s="10" t="str">
        <x:v>TEXT</x:v>
      </x:c>
      <x:c r="C180" s="10" t="str">
        <x:v>TEXT:SYN-F04-05</x:v>
      </x:c>
      <x:c r="D180" s="10" t="str">
        <x:v>TEXT:SYN-F04-05-G01</x:v>
      </x:c>
      <x:c r="E180" s="11" t="n">
        <x:v>5.8975</x:v>
      </x:c>
      <x:c r="F180" s="11" t="n">
        <x:v>13.8975</x:v>
      </x:c>
      <x:c r="G180" s="11" t="n">
        <x:f>F180-E180</x:f>
        <x:v>8</x:v>
      </x:c>
      <x:c r="H180" s="10" t="n">
        <x:v>1</x:v>
      </x:c>
      <x:c r="I180" s="10" t="str">
        <x:v>AUTHORED_TERMINAL</x:v>
      </x:c>
      <x:c r="J180" s="10" t="str">
        <x:v>TEXT:SYN-F04-05-BASE-N11</x:v>
      </x:c>
      <x:c r="K180" s="10" t="str">
        <x:v>TEXT:SYN-F04-05-U01</x:v>
      </x:c>
      <x:c r="L180" s="10" t="str">
        <x:v>TEXT:SYN-F04-05-BASE-N11</x:v>
      </x:c>
    </x:row>
    <x:row r="181" ht="52" customHeight="1">
      <x:c r="A181" s="10" t="str">
        <x:v>T-BASE</x:v>
      </x:c>
      <x:c r="B181" s="10" t="str">
        <x:v>TEXT</x:v>
      </x:c>
      <x:c r="C181" s="10" t="str">
        <x:v>TEXT:SYN-F04-05</x:v>
      </x:c>
      <x:c r="D181" s="10" t="str">
        <x:v>TEXT:SYN-F04-05-G02</x:v>
      </x:c>
      <x:c r="E181" s="11" t="n">
        <x:v>3.477035</x:v>
      </x:c>
      <x:c r="F181" s="11" t="n">
        <x:v>3.477035</x:v>
      </x:c>
      <x:c r="G181" s="11" t="n">
        <x:f>F181-E181</x:f>
        <x:v>0</x:v>
      </x:c>
      <x:c r="H181" s="10" t="n">
        <x:v>1</x:v>
      </x:c>
      <x:c r="I181" s="10" t="str">
        <x:v>AUTHORED_TERMINAL</x:v>
      </x:c>
      <x:c r="J181" s="10" t="str">
        <x:v>TEXT:SYN-F04-05-BASE-N19</x:v>
      </x:c>
      <x:c r="K181" s="10" t="str">
        <x:v>TEXT:SYN-F04-05-U02</x:v>
      </x:c>
      <x:c r="L181" s="10" t="str">
        <x:v>TEXT:SYN-F04-05-BASE-N19</x:v>
      </x:c>
    </x:row>
    <x:row r="182" ht="52" customHeight="1">
      <x:c r="A182" s="10" t="str">
        <x:v>T-EXEC</x:v>
      </x:c>
      <x:c r="B182" s="10" t="str">
        <x:v>TEXT</x:v>
      </x:c>
      <x:c r="C182" s="10" t="str">
        <x:v>TEXT:SYN-F04-05</x:v>
      </x:c>
      <x:c r="D182" s="10" t="str">
        <x:v>TEXT:SYN-F04-05-G01</x:v>
      </x:c>
      <x:c r="E182" s="11" t="n">
        <x:v>5.8975</x:v>
      </x:c>
      <x:c r="F182" s="11" t="n">
        <x:v>13.8975</x:v>
      </x:c>
      <x:c r="G182" s="11" t="n">
        <x:f>F182-E182</x:f>
        <x:v>8</x:v>
      </x:c>
      <x:c r="H182" s="10" t="n">
        <x:v>1</x:v>
      </x:c>
      <x:c r="I182" s="10" t="str">
        <x:v>AUTHORED_TERMINAL</x:v>
      </x:c>
      <x:c r="J182" s="10" t="str">
        <x:v>TEXT:SYN-F04-05-EXEC-N11</x:v>
      </x:c>
      <x:c r="K182" s="10" t="str">
        <x:v>TEXT:SYN-F04-05-U01</x:v>
      </x:c>
      <x:c r="L182" s="10" t="str">
        <x:v>TEXT:SYN-F04-05-EXEC-N11</x:v>
      </x:c>
    </x:row>
    <x:row r="183" ht="52" customHeight="1">
      <x:c r="A183" s="10" t="str">
        <x:v>T-EXEC</x:v>
      </x:c>
      <x:c r="B183" s="10" t="str">
        <x:v>TEXT</x:v>
      </x:c>
      <x:c r="C183" s="10" t="str">
        <x:v>TEXT:SYN-F04-05</x:v>
      </x:c>
      <x:c r="D183" s="10" t="str">
        <x:v>TEXT:SYN-F04-05-G02</x:v>
      </x:c>
      <x:c r="E183" s="11" t="n">
        <x:v>3.951999</x:v>
      </x:c>
      <x:c r="F183" s="11" t="n">
        <x:v>3.951999</x:v>
      </x:c>
      <x:c r="G183" s="11" t="n">
        <x:f>F183-E183</x:f>
        <x:v>0</x:v>
      </x:c>
      <x:c r="H183" s="10" t="n">
        <x:v>1</x:v>
      </x:c>
      <x:c r="I183" s="10" t="str">
        <x:v>AUTHORED_TERMINAL</x:v>
      </x:c>
      <x:c r="J183" s="10" t="str">
        <x:v>TEXT:SYN-F04-05-EXEC-N20</x:v>
      </x:c>
      <x:c r="K183" s="10" t="str">
        <x:v>TEXT:SYN-F04-05-U02</x:v>
      </x:c>
      <x:c r="L183" s="10" t="str">
        <x:v>TEXT:SYN-F04-05-EXEC-N20</x:v>
      </x:c>
    </x:row>
    <x:row r="184" ht="52" customHeight="1">
      <x:c r="A184" s="10" t="str">
        <x:v>T-REL</x:v>
      </x:c>
      <x:c r="B184" s="10" t="str">
        <x:v>TEXT</x:v>
      </x:c>
      <x:c r="C184" s="10" t="str">
        <x:v>TEXT:SYN-F04-05</x:v>
      </x:c>
      <x:c r="D184" s="10" t="str">
        <x:v>TEXT:SYN-F04-05-G01</x:v>
      </x:c>
      <x:c r="E184" s="11" t="n">
        <x:v>5.093571</x:v>
      </x:c>
      <x:c r="F184" s="11" t="n">
        <x:v>13.093571</x:v>
      </x:c>
      <x:c r="G184" s="11" t="n">
        <x:f>F184-E184</x:f>
        <x:v>8</x:v>
      </x:c>
      <x:c r="H184" s="10" t="n">
        <x:v>1</x:v>
      </x:c>
      <x:c r="I184" s="10" t="str">
        <x:v>AUTHORED_TERMINAL</x:v>
      </x:c>
      <x:c r="J184" s="10" t="str">
        <x:v>TEXT:SYN-F04-05-REL-N14</x:v>
      </x:c>
      <x:c r="K184" s="10" t="str">
        <x:v>TEXT:SYN-F04-05-U01</x:v>
      </x:c>
      <x:c r="L184" s="10" t="str">
        <x:v>TEXT:SYN-F04-05-REL-N14</x:v>
      </x:c>
    </x:row>
    <x:row r="185" ht="52" customHeight="1">
      <x:c r="A185" s="10" t="str">
        <x:v>T-REL</x:v>
      </x:c>
      <x:c r="B185" s="10" t="str">
        <x:v>TEXT</x:v>
      </x:c>
      <x:c r="C185" s="10" t="str">
        <x:v>TEXT:SYN-F04-05</x:v>
      </x:c>
      <x:c r="D185" s="10" t="str">
        <x:v>TEXT:SYN-F04-05-G02</x:v>
      </x:c>
      <x:c r="E185" s="11" t="n">
        <x:v>2.776535</x:v>
      </x:c>
      <x:c r="F185" s="11" t="n">
        <x:v>2.776535</x:v>
      </x:c>
      <x:c r="G185" s="11" t="n">
        <x:f>F185-E185</x:f>
        <x:v>0</x:v>
      </x:c>
      <x:c r="H185" s="10" t="n">
        <x:v>1</x:v>
      </x:c>
      <x:c r="I185" s="10" t="str">
        <x:v>AUTHORED_TERMINAL</x:v>
      </x:c>
      <x:c r="J185" s="10" t="str">
        <x:v>TEXT:SYN-F04-05-REL-N22</x:v>
      </x:c>
      <x:c r="K185" s="10" t="str">
        <x:v>TEXT:SYN-F04-05-U02</x:v>
      </x:c>
      <x:c r="L185" s="10" t="str">
        <x:v>TEXT:SYN-F04-05-REL-N22</x:v>
      </x:c>
    </x:row>
    <x:row r="186" ht="52" customHeight="1">
      <x:c r="A186" s="10" t="str">
        <x:v>T-BASE</x:v>
      </x:c>
      <x:c r="B186" s="10" t="str">
        <x:v>TEXT</x:v>
      </x:c>
      <x:c r="C186" s="10" t="str">
        <x:v>TEXT:SYN-F04-06</x:v>
      </x:c>
      <x:c r="D186" s="10" t="str">
        <x:v>TEXT:SYN-F04-06-G01</x:v>
      </x:c>
      <x:c r="E186" s="11" t="n">
        <x:v>5.926</x:v>
      </x:c>
      <x:c r="F186" s="11" t="n">
        <x:v>13.926</x:v>
      </x:c>
      <x:c r="G186" s="11" t="n">
        <x:f>F186-E186</x:f>
        <x:v>8</x:v>
      </x:c>
      <x:c r="H186" s="10" t="n">
        <x:v>1</x:v>
      </x:c>
      <x:c r="I186" s="10" t="str">
        <x:v>AUTHORED_TERMINAL</x:v>
      </x:c>
      <x:c r="J186" s="10" t="str">
        <x:v>TEXT:SYN-F04-06-BASE-N11</x:v>
      </x:c>
      <x:c r="K186" s="10" t="str">
        <x:v>TEXT:SYN-F04-06-U01</x:v>
      </x:c>
      <x:c r="L186" s="10" t="str">
        <x:v>TEXT:SYN-F04-06-BASE-N11</x:v>
      </x:c>
    </x:row>
    <x:row r="187" ht="52" customHeight="1">
      <x:c r="A187" s="10" t="str">
        <x:v>T-BASE</x:v>
      </x:c>
      <x:c r="B187" s="10" t="str">
        <x:v>TEXT</x:v>
      </x:c>
      <x:c r="C187" s="10" t="str">
        <x:v>TEXT:SYN-F04-06</x:v>
      </x:c>
      <x:c r="D187" s="10" t="str">
        <x:v>TEXT:SYN-F04-06-G02</x:v>
      </x:c>
      <x:c r="E187" s="11" t="n">
        <x:v>3.460536</x:v>
      </x:c>
      <x:c r="F187" s="11" t="n">
        <x:v>3.460536</x:v>
      </x:c>
      <x:c r="G187" s="11" t="n">
        <x:f>F187-E187</x:f>
        <x:v>0</x:v>
      </x:c>
      <x:c r="H187" s="10" t="n">
        <x:v>1</x:v>
      </x:c>
      <x:c r="I187" s="10" t="str">
        <x:v>AUTHORED_TERMINAL</x:v>
      </x:c>
      <x:c r="J187" s="10" t="str">
        <x:v>TEXT:SYN-F04-06-BASE-N19</x:v>
      </x:c>
      <x:c r="K187" s="10" t="str">
        <x:v>TEXT:SYN-F04-06-U02</x:v>
      </x:c>
      <x:c r="L187" s="10" t="str">
        <x:v>TEXT:SYN-F04-06-BASE-N19</x:v>
      </x:c>
    </x:row>
    <x:row r="188" ht="52" customHeight="1">
      <x:c r="A188" s="10" t="str">
        <x:v>T-EXEC</x:v>
      </x:c>
      <x:c r="B188" s="10" t="str">
        <x:v>TEXT</x:v>
      </x:c>
      <x:c r="C188" s="10" t="str">
        <x:v>TEXT:SYN-F04-06</x:v>
      </x:c>
      <x:c r="D188" s="10" t="str">
        <x:v>TEXT:SYN-F04-06-G01</x:v>
      </x:c>
      <x:c r="E188" s="11" t="n">
        <x:v>5.926</x:v>
      </x:c>
      <x:c r="F188" s="11" t="n">
        <x:v>13.926</x:v>
      </x:c>
      <x:c r="G188" s="11" t="n">
        <x:f>F188-E188</x:f>
        <x:v>8</x:v>
      </x:c>
      <x:c r="H188" s="10" t="n">
        <x:v>1</x:v>
      </x:c>
      <x:c r="I188" s="10" t="str">
        <x:v>AUTHORED_TERMINAL</x:v>
      </x:c>
      <x:c r="J188" s="10" t="str">
        <x:v>TEXT:SYN-F04-06-EXEC-N11</x:v>
      </x:c>
      <x:c r="K188" s="10" t="str">
        <x:v>TEXT:SYN-F04-06-U01</x:v>
      </x:c>
      <x:c r="L188" s="10" t="str">
        <x:v>TEXT:SYN-F04-06-EXEC-N11</x:v>
      </x:c>
    </x:row>
    <x:row r="189" ht="52" customHeight="1">
      <x:c r="A189" s="10" t="str">
        <x:v>T-EXEC</x:v>
      </x:c>
      <x:c r="B189" s="10" t="str">
        <x:v>TEXT</x:v>
      </x:c>
      <x:c r="C189" s="10" t="str">
        <x:v>TEXT:SYN-F04-06</x:v>
      </x:c>
      <x:c r="D189" s="10" t="str">
        <x:v>TEXT:SYN-F04-06-G02</x:v>
      </x:c>
      <x:c r="E189" s="11" t="n">
        <x:v>3.945179</x:v>
      </x:c>
      <x:c r="F189" s="11" t="n">
        <x:v>3.945179</x:v>
      </x:c>
      <x:c r="G189" s="11" t="n">
        <x:f>F189-E189</x:f>
        <x:v>0</x:v>
      </x:c>
      <x:c r="H189" s="10" t="n">
        <x:v>1</x:v>
      </x:c>
      <x:c r="I189" s="10" t="str">
        <x:v>AUTHORED_TERMINAL</x:v>
      </x:c>
      <x:c r="J189" s="10" t="str">
        <x:v>TEXT:SYN-F04-06-EXEC-N20</x:v>
      </x:c>
      <x:c r="K189" s="10" t="str">
        <x:v>TEXT:SYN-F04-06-U02</x:v>
      </x:c>
      <x:c r="L189" s="10" t="str">
        <x:v>TEXT:SYN-F04-06-EXEC-N20</x:v>
      </x:c>
    </x:row>
    <x:row r="190" ht="52" customHeight="1">
      <x:c r="A190" s="10" t="str">
        <x:v>T-REL</x:v>
      </x:c>
      <x:c r="B190" s="10" t="str">
        <x:v>TEXT</x:v>
      </x:c>
      <x:c r="C190" s="10" t="str">
        <x:v>TEXT:SYN-F04-06</x:v>
      </x:c>
      <x:c r="D190" s="10" t="str">
        <x:v>TEXT:SYN-F04-06-G01</x:v>
      </x:c>
      <x:c r="E190" s="11" t="n">
        <x:v>5.097071</x:v>
      </x:c>
      <x:c r="F190" s="11" t="n">
        <x:v>13.097071</x:v>
      </x:c>
      <x:c r="G190" s="11" t="n">
        <x:f>F190-E190</x:f>
        <x:v>8</x:v>
      </x:c>
      <x:c r="H190" s="10" t="n">
        <x:v>1</x:v>
      </x:c>
      <x:c r="I190" s="10" t="str">
        <x:v>AUTHORED_TERMINAL</x:v>
      </x:c>
      <x:c r="J190" s="10" t="str">
        <x:v>TEXT:SYN-F04-06-REL-N14</x:v>
      </x:c>
      <x:c r="K190" s="10" t="str">
        <x:v>TEXT:SYN-F04-06-U01</x:v>
      </x:c>
      <x:c r="L190" s="10" t="str">
        <x:v>TEXT:SYN-F04-06-REL-N14</x:v>
      </x:c>
    </x:row>
    <x:row r="191" ht="52" customHeight="1">
      <x:c r="A191" s="10" t="str">
        <x:v>T-REL</x:v>
      </x:c>
      <x:c r="B191" s="10" t="str">
        <x:v>TEXT</x:v>
      </x:c>
      <x:c r="C191" s="10" t="str">
        <x:v>TEXT:SYN-F04-06</x:v>
      </x:c>
      <x:c r="D191" s="10" t="str">
        <x:v>TEXT:SYN-F04-06-G02</x:v>
      </x:c>
      <x:c r="E191" s="11" t="n">
        <x:v>2.735036</x:v>
      </x:c>
      <x:c r="F191" s="11" t="n">
        <x:v>2.735036</x:v>
      </x:c>
      <x:c r="G191" s="11" t="n">
        <x:f>F191-E191</x:f>
        <x:v>0</x:v>
      </x:c>
      <x:c r="H191" s="10" t="n">
        <x:v>1</x:v>
      </x:c>
      <x:c r="I191" s="10" t="str">
        <x:v>AUTHORED_TERMINAL</x:v>
      </x:c>
      <x:c r="J191" s="10" t="str">
        <x:v>TEXT:SYN-F04-06-REL-N22</x:v>
      </x:c>
      <x:c r="K191" s="10" t="str">
        <x:v>TEXT:SYN-F04-06-U02</x:v>
      </x:c>
      <x:c r="L191" s="10" t="str">
        <x:v>TEXT:SYN-F04-06-REL-N22</x:v>
      </x:c>
    </x:row>
    <x:row r="192" ht="52" customHeight="1">
      <x:c r="A192" s="10" t="str">
        <x:v>T-BASE</x:v>
      </x:c>
      <x:c r="B192" s="10" t="str">
        <x:v>TEXT</x:v>
      </x:c>
      <x:c r="C192" s="10" t="str">
        <x:v>TEXT:SYN-F04-07</x:v>
      </x:c>
      <x:c r="D192" s="10" t="str">
        <x:v>TEXT:SYN-F04-07-G01</x:v>
      </x:c>
      <x:c r="E192" s="11" t="n">
        <x:v>5.962</x:v>
      </x:c>
      <x:c r="F192" s="11" t="n">
        <x:v>13.962</x:v>
      </x:c>
      <x:c r="G192" s="11" t="n">
        <x:f>F192-E192</x:f>
        <x:v>8</x:v>
      </x:c>
      <x:c r="H192" s="10" t="n">
        <x:v>1</x:v>
      </x:c>
      <x:c r="I192" s="10" t="str">
        <x:v>AUTHORED_TERMINAL</x:v>
      </x:c>
      <x:c r="J192" s="10" t="str">
        <x:v>TEXT:SYN-F04-07-BASE-N11</x:v>
      </x:c>
      <x:c r="K192" s="10" t="str">
        <x:v>TEXT:SYN-F04-07-U01</x:v>
      </x:c>
      <x:c r="L192" s="10" t="str">
        <x:v>TEXT:SYN-F04-07-BASE-N11</x:v>
      </x:c>
    </x:row>
    <x:row r="193" ht="52" customHeight="1">
      <x:c r="A193" s="10" t="str">
        <x:v>T-BASE</x:v>
      </x:c>
      <x:c r="B193" s="10" t="str">
        <x:v>TEXT</x:v>
      </x:c>
      <x:c r="C193" s="10" t="str">
        <x:v>TEXT:SYN-F04-07</x:v>
      </x:c>
      <x:c r="D193" s="10" t="str">
        <x:v>TEXT:SYN-F04-07-G02</x:v>
      </x:c>
      <x:c r="E193" s="11" t="n">
        <x:v>3.451536</x:v>
      </x:c>
      <x:c r="F193" s="11" t="n">
        <x:v>3.451536</x:v>
      </x:c>
      <x:c r="G193" s="11" t="n">
        <x:f>F193-E193</x:f>
        <x:v>0</x:v>
      </x:c>
      <x:c r="H193" s="10" t="n">
        <x:v>1</x:v>
      </x:c>
      <x:c r="I193" s="10" t="str">
        <x:v>AUTHORED_TERMINAL</x:v>
      </x:c>
      <x:c r="J193" s="10" t="str">
        <x:v>TEXT:SYN-F04-07-BASE-N19</x:v>
      </x:c>
      <x:c r="K193" s="10" t="str">
        <x:v>TEXT:SYN-F04-07-U02</x:v>
      </x:c>
      <x:c r="L193" s="10" t="str">
        <x:v>TEXT:SYN-F04-07-BASE-N19</x:v>
      </x:c>
    </x:row>
    <x:row r="194" ht="52" customHeight="1">
      <x:c r="A194" s="10" t="str">
        <x:v>T-EXEC</x:v>
      </x:c>
      <x:c r="B194" s="10" t="str">
        <x:v>TEXT</x:v>
      </x:c>
      <x:c r="C194" s="10" t="str">
        <x:v>TEXT:SYN-F04-07</x:v>
      </x:c>
      <x:c r="D194" s="10" t="str">
        <x:v>TEXT:SYN-F04-07-G01</x:v>
      </x:c>
      <x:c r="E194" s="11" t="n">
        <x:v>5.962</x:v>
      </x:c>
      <x:c r="F194" s="11" t="n">
        <x:v>13.962</x:v>
      </x:c>
      <x:c r="G194" s="11" t="n">
        <x:f>F194-E194</x:f>
        <x:v>8</x:v>
      </x:c>
      <x:c r="H194" s="10" t="n">
        <x:v>1</x:v>
      </x:c>
      <x:c r="I194" s="10" t="str">
        <x:v>AUTHORED_TERMINAL</x:v>
      </x:c>
      <x:c r="J194" s="10" t="str">
        <x:v>TEXT:SYN-F04-07-EXEC-N11</x:v>
      </x:c>
      <x:c r="K194" s="10" t="str">
        <x:v>TEXT:SYN-F04-07-U01</x:v>
      </x:c>
      <x:c r="L194" s="10" t="str">
        <x:v>TEXT:SYN-F04-07-EXEC-N11</x:v>
      </x:c>
    </x:row>
    <x:row r="195" ht="52" customHeight="1">
      <x:c r="A195" s="10" t="str">
        <x:v>T-EXEC</x:v>
      </x:c>
      <x:c r="B195" s="10" t="str">
        <x:v>TEXT</x:v>
      </x:c>
      <x:c r="C195" s="10" t="str">
        <x:v>TEXT:SYN-F04-07</x:v>
      </x:c>
      <x:c r="D195" s="10" t="str">
        <x:v>TEXT:SYN-F04-07-G02</x:v>
      </x:c>
      <x:c r="E195" s="11" t="n">
        <x:v>3.927107</x:v>
      </x:c>
      <x:c r="F195" s="11" t="n">
        <x:v>3.927107</x:v>
      </x:c>
      <x:c r="G195" s="11" t="n">
        <x:f>F195-E195</x:f>
        <x:v>0</x:v>
      </x:c>
      <x:c r="H195" s="10" t="n">
        <x:v>1</x:v>
      </x:c>
      <x:c r="I195" s="10" t="str">
        <x:v>AUTHORED_TERMINAL</x:v>
      </x:c>
      <x:c r="J195" s="10" t="str">
        <x:v>TEXT:SYN-F04-07-EXEC-N20</x:v>
      </x:c>
      <x:c r="K195" s="10" t="str">
        <x:v>TEXT:SYN-F04-07-U02</x:v>
      </x:c>
      <x:c r="L195" s="10" t="str">
        <x:v>TEXT:SYN-F04-07-EXEC-N20</x:v>
      </x:c>
    </x:row>
    <x:row r="196" ht="52" customHeight="1">
      <x:c r="A196" s="10" t="str">
        <x:v>T-REL</x:v>
      </x:c>
      <x:c r="B196" s="10" t="str">
        <x:v>TEXT</x:v>
      </x:c>
      <x:c r="C196" s="10" t="str">
        <x:v>TEXT:SYN-F04-07</x:v>
      </x:c>
      <x:c r="D196" s="10" t="str">
        <x:v>TEXT:SYN-F04-07-G01</x:v>
      </x:c>
      <x:c r="E196" s="11" t="n">
        <x:v>5.183072</x:v>
      </x:c>
      <x:c r="F196" s="11" t="n">
        <x:v>13.183072</x:v>
      </x:c>
      <x:c r="G196" s="11" t="n">
        <x:f>F196-E196</x:f>
        <x:v>7.999999999999999</x:v>
      </x:c>
      <x:c r="H196" s="10" t="n">
        <x:v>1</x:v>
      </x:c>
      <x:c r="I196" s="10" t="str">
        <x:v>AUTHORED_TERMINAL</x:v>
      </x:c>
      <x:c r="J196" s="10" t="str">
        <x:v>TEXT:SYN-F04-07-REL-N14</x:v>
      </x:c>
      <x:c r="K196" s="10" t="str">
        <x:v>TEXT:SYN-F04-07-U01</x:v>
      </x:c>
      <x:c r="L196" s="10" t="str">
        <x:v>TEXT:SYN-F04-07-REL-N14</x:v>
      </x:c>
    </x:row>
    <x:row r="197" ht="52" customHeight="1">
      <x:c r="A197" s="10" t="str">
        <x:v>T-REL</x:v>
      </x:c>
      <x:c r="B197" s="10" t="str">
        <x:v>TEXT</x:v>
      </x:c>
      <x:c r="C197" s="10" t="str">
        <x:v>TEXT:SYN-F04-07</x:v>
      </x:c>
      <x:c r="D197" s="10" t="str">
        <x:v>TEXT:SYN-F04-07-G02</x:v>
      </x:c>
      <x:c r="E197" s="11" t="n">
        <x:v>2.776036</x:v>
      </x:c>
      <x:c r="F197" s="11" t="n">
        <x:v>2.776036</x:v>
      </x:c>
      <x:c r="G197" s="11" t="n">
        <x:f>F197-E197</x:f>
        <x:v>0</x:v>
      </x:c>
      <x:c r="H197" s="10" t="n">
        <x:v>1</x:v>
      </x:c>
      <x:c r="I197" s="10" t="str">
        <x:v>AUTHORED_TERMINAL</x:v>
      </x:c>
      <x:c r="J197" s="10" t="str">
        <x:v>TEXT:SYN-F04-07-REL-N22</x:v>
      </x:c>
      <x:c r="K197" s="10" t="str">
        <x:v>TEXT:SYN-F04-07-U02</x:v>
      </x:c>
      <x:c r="L197" s="10" t="str">
        <x:v>TEXT:SYN-F04-07-REL-N22</x:v>
      </x:c>
    </x:row>
    <x:row r="198" ht="52" customHeight="1">
      <x:c r="A198" s="10" t="str">
        <x:v>T-BASE</x:v>
      </x:c>
      <x:c r="B198" s="10" t="str">
        <x:v>TEXT</x:v>
      </x:c>
      <x:c r="C198" s="10" t="str">
        <x:v>TEXT:SYN-F04-08</x:v>
      </x:c>
      <x:c r="D198" s="10" t="str">
        <x:v>TEXT:SYN-F04-08-G01</x:v>
      </x:c>
      <x:c r="E198" s="11" t="n">
        <x:v>6.073</x:v>
      </x:c>
      <x:c r="F198" s="11" t="n">
        <x:v>14.073</x:v>
      </x:c>
      <x:c r="G198" s="11" t="n">
        <x:f>F198-E198</x:f>
        <x:v>8</x:v>
      </x:c>
      <x:c r="H198" s="10" t="n">
        <x:v>1</x:v>
      </x:c>
      <x:c r="I198" s="10" t="str">
        <x:v>AUTHORED_TERMINAL</x:v>
      </x:c>
      <x:c r="J198" s="10" t="str">
        <x:v>TEXT:SYN-F04-08-BASE-N11</x:v>
      </x:c>
      <x:c r="K198" s="10" t="str">
        <x:v>TEXT:SYN-F04-08-U01</x:v>
      </x:c>
      <x:c r="L198" s="10" t="str">
        <x:v>TEXT:SYN-F04-08-BASE-N11</x:v>
      </x:c>
    </x:row>
    <x:row r="199" ht="52" customHeight="1">
      <x:c r="A199" s="10" t="str">
        <x:v>T-BASE</x:v>
      </x:c>
      <x:c r="B199" s="10" t="str">
        <x:v>TEXT</x:v>
      </x:c>
      <x:c r="C199" s="10" t="str">
        <x:v>TEXT:SYN-F04-08</x:v>
      </x:c>
      <x:c r="D199" s="10" t="str">
        <x:v>TEXT:SYN-F04-08-G02</x:v>
      </x:c>
      <x:c r="E199" s="11" t="n">
        <x:v>3.517536</x:v>
      </x:c>
      <x:c r="F199" s="11" t="n">
        <x:v>3.517536</x:v>
      </x:c>
      <x:c r="G199" s="11" t="n">
        <x:f>F199-E199</x:f>
        <x:v>0</x:v>
      </x:c>
      <x:c r="H199" s="10" t="n">
        <x:v>1</x:v>
      </x:c>
      <x:c r="I199" s="10" t="str">
        <x:v>AUTHORED_TERMINAL</x:v>
      </x:c>
      <x:c r="J199" s="10" t="str">
        <x:v>TEXT:SYN-F04-08-BASE-N19</x:v>
      </x:c>
      <x:c r="K199" s="10" t="str">
        <x:v>TEXT:SYN-F04-08-U02</x:v>
      </x:c>
      <x:c r="L199" s="10" t="str">
        <x:v>TEXT:SYN-F04-08-BASE-N19</x:v>
      </x:c>
    </x:row>
    <x:row r="200" ht="52" customHeight="1">
      <x:c r="A200" s="10" t="str">
        <x:v>T-EXEC</x:v>
      </x:c>
      <x:c r="B200" s="10" t="str">
        <x:v>TEXT</x:v>
      </x:c>
      <x:c r="C200" s="10" t="str">
        <x:v>TEXT:SYN-F04-08</x:v>
      </x:c>
      <x:c r="D200" s="10" t="str">
        <x:v>TEXT:SYN-F04-08-G01</x:v>
      </x:c>
      <x:c r="E200" s="11" t="n">
        <x:v>6.073</x:v>
      </x:c>
      <x:c r="F200" s="11" t="n">
        <x:v>14.073</x:v>
      </x:c>
      <x:c r="G200" s="11" t="n">
        <x:f>F200-E200</x:f>
        <x:v>8</x:v>
      </x:c>
      <x:c r="H200" s="10" t="n">
        <x:v>1</x:v>
      </x:c>
      <x:c r="I200" s="10" t="str">
        <x:v>AUTHORED_TERMINAL</x:v>
      </x:c>
      <x:c r="J200" s="10" t="str">
        <x:v>TEXT:SYN-F04-08-EXEC-N11</x:v>
      </x:c>
      <x:c r="K200" s="10" t="str">
        <x:v>TEXT:SYN-F04-08-U01</x:v>
      </x:c>
      <x:c r="L200" s="10" t="str">
        <x:v>TEXT:SYN-F04-08-EXEC-N11</x:v>
      </x:c>
    </x:row>
    <x:row r="201" ht="52" customHeight="1">
      <x:c r="A201" s="10" t="str">
        <x:v>T-EXEC</x:v>
      </x:c>
      <x:c r="B201" s="10" t="str">
        <x:v>TEXT</x:v>
      </x:c>
      <x:c r="C201" s="10" t="str">
        <x:v>TEXT:SYN-F04-08</x:v>
      </x:c>
      <x:c r="D201" s="10" t="str">
        <x:v>TEXT:SYN-F04-08-G02</x:v>
      </x:c>
      <x:c r="E201" s="11" t="n">
        <x:v>4.002786</x:v>
      </x:c>
      <x:c r="F201" s="11" t="n">
        <x:v>4.002786</x:v>
      </x:c>
      <x:c r="G201" s="11" t="n">
        <x:f>F201-E201</x:f>
        <x:v>0</x:v>
      </x:c>
      <x:c r="H201" s="10" t="n">
        <x:v>1</x:v>
      </x:c>
      <x:c r="I201" s="10" t="str">
        <x:v>AUTHORED_TERMINAL</x:v>
      </x:c>
      <x:c r="J201" s="10" t="str">
        <x:v>TEXT:SYN-F04-08-EXEC-N20</x:v>
      </x:c>
      <x:c r="K201" s="10" t="str">
        <x:v>TEXT:SYN-F04-08-U02</x:v>
      </x:c>
      <x:c r="L201" s="10" t="str">
        <x:v>TEXT:SYN-F04-08-EXEC-N20</x:v>
      </x:c>
    </x:row>
    <x:row r="202" ht="52" customHeight="1">
      <x:c r="A202" s="10" t="str">
        <x:v>T-REL</x:v>
      </x:c>
      <x:c r="B202" s="10" t="str">
        <x:v>TEXT</x:v>
      </x:c>
      <x:c r="C202" s="10" t="str">
        <x:v>TEXT:SYN-F04-08</x:v>
      </x:c>
      <x:c r="D202" s="10" t="str">
        <x:v>TEXT:SYN-F04-08-G01</x:v>
      </x:c>
      <x:c r="E202" s="11" t="n">
        <x:v>5.269071</x:v>
      </x:c>
      <x:c r="F202" s="11" t="n">
        <x:v>13.269071</x:v>
      </x:c>
      <x:c r="G202" s="11" t="n">
        <x:f>F202-E202</x:f>
        <x:v>8</x:v>
      </x:c>
      <x:c r="H202" s="10" t="n">
        <x:v>1</x:v>
      </x:c>
      <x:c r="I202" s="10" t="str">
        <x:v>AUTHORED_TERMINAL</x:v>
      </x:c>
      <x:c r="J202" s="10" t="str">
        <x:v>TEXT:SYN-F04-08-REL-N14</x:v>
      </x:c>
      <x:c r="K202" s="10" t="str">
        <x:v>TEXT:SYN-F04-08-U01</x:v>
      </x:c>
      <x:c r="L202" s="10" t="str">
        <x:v>TEXT:SYN-F04-08-REL-N14</x:v>
      </x:c>
    </x:row>
    <x:row r="203" ht="52" customHeight="1">
      <x:c r="A203" s="10" t="str">
        <x:v>T-REL</x:v>
      </x:c>
      <x:c r="B203" s="10" t="str">
        <x:v>TEXT</x:v>
      </x:c>
      <x:c r="C203" s="10" t="str">
        <x:v>TEXT:SYN-F04-08</x:v>
      </x:c>
      <x:c r="D203" s="10" t="str">
        <x:v>TEXT:SYN-F04-08-G02</x:v>
      </x:c>
      <x:c r="E203" s="11" t="n">
        <x:v>2.817036</x:v>
      </x:c>
      <x:c r="F203" s="11" t="n">
        <x:v>2.817036</x:v>
      </x:c>
      <x:c r="G203" s="11" t="n">
        <x:f>F203-E203</x:f>
        <x:v>0</x:v>
      </x:c>
      <x:c r="H203" s="10" t="n">
        <x:v>1</x:v>
      </x:c>
      <x:c r="I203" s="10" t="str">
        <x:v>AUTHORED_TERMINAL</x:v>
      </x:c>
      <x:c r="J203" s="10" t="str">
        <x:v>TEXT:SYN-F04-08-REL-N22</x:v>
      </x:c>
      <x:c r="K203" s="10" t="str">
        <x:v>TEXT:SYN-F04-08-U02</x:v>
      </x:c>
      <x:c r="L203" s="10" t="str">
        <x:v>TEXT:SYN-F04-08-REL-N22</x:v>
      </x:c>
    </x:row>
    <x:row r="204" ht="52" customHeight="1">
      <x:c r="A204" s="10" t="str">
        <x:v>T-BASE</x:v>
      </x:c>
      <x:c r="B204" s="10" t="str">
        <x:v>TEXT</x:v>
      </x:c>
      <x:c r="C204" s="10" t="str">
        <x:v>TEXT:SYN-F04-09</x:v>
      </x:c>
      <x:c r="D204" s="10" t="str">
        <x:v>TEXT:SYN-F04-09-G01</x:v>
      </x:c>
      <x:c r="E204" s="11" t="n">
        <x:v>6.134</x:v>
      </x:c>
      <x:c r="F204" s="11" t="n">
        <x:v>14.134</x:v>
      </x:c>
      <x:c r="G204" s="11" t="n">
        <x:f>F204-E204</x:f>
        <x:v>8</x:v>
      </x:c>
      <x:c r="H204" s="10" t="n">
        <x:v>1</x:v>
      </x:c>
      <x:c r="I204" s="10" t="str">
        <x:v>AUTHORED_TERMINAL</x:v>
      </x:c>
      <x:c r="J204" s="10" t="str">
        <x:v>TEXT:SYN-F04-09-BASE-N11</x:v>
      </x:c>
      <x:c r="K204" s="10" t="str">
        <x:v>TEXT:SYN-F04-09-U01</x:v>
      </x:c>
      <x:c r="L204" s="10" t="str">
        <x:v>TEXT:SYN-F04-09-BASE-N11</x:v>
      </x:c>
    </x:row>
    <x:row r="205" ht="52" customHeight="1">
      <x:c r="A205" s="10" t="str">
        <x:v>T-BASE</x:v>
      </x:c>
      <x:c r="B205" s="10" t="str">
        <x:v>TEXT</x:v>
      </x:c>
      <x:c r="C205" s="10" t="str">
        <x:v>TEXT:SYN-F04-09</x:v>
      </x:c>
      <x:c r="D205" s="10" t="str">
        <x:v>TEXT:SYN-F04-09-G02</x:v>
      </x:c>
      <x:c r="E205" s="11" t="n">
        <x:v>3.533536</x:v>
      </x:c>
      <x:c r="F205" s="11" t="n">
        <x:v>3.533536</x:v>
      </x:c>
      <x:c r="G205" s="11" t="n">
        <x:f>F205-E205</x:f>
        <x:v>0</x:v>
      </x:c>
      <x:c r="H205" s="10" t="n">
        <x:v>1</x:v>
      </x:c>
      <x:c r="I205" s="10" t="str">
        <x:v>AUTHORED_TERMINAL</x:v>
      </x:c>
      <x:c r="J205" s="10" t="str">
        <x:v>TEXT:SYN-F04-09-BASE-N19</x:v>
      </x:c>
      <x:c r="K205" s="10" t="str">
        <x:v>TEXT:SYN-F04-09-U02</x:v>
      </x:c>
      <x:c r="L205" s="10" t="str">
        <x:v>TEXT:SYN-F04-09-BASE-N19</x:v>
      </x:c>
    </x:row>
    <x:row r="206" ht="52" customHeight="1">
      <x:c r="A206" s="10" t="str">
        <x:v>T-EXEC</x:v>
      </x:c>
      <x:c r="B206" s="10" t="str">
        <x:v>TEXT</x:v>
      </x:c>
      <x:c r="C206" s="10" t="str">
        <x:v>TEXT:SYN-F04-09</x:v>
      </x:c>
      <x:c r="D206" s="10" t="str">
        <x:v>TEXT:SYN-F04-09-G01</x:v>
      </x:c>
      <x:c r="E206" s="11" t="n">
        <x:v>6.134</x:v>
      </x:c>
      <x:c r="F206" s="11" t="n">
        <x:v>14.134</x:v>
      </x:c>
      <x:c r="G206" s="11" t="n">
        <x:f>F206-E206</x:f>
        <x:v>8</x:v>
      </x:c>
      <x:c r="H206" s="10" t="n">
        <x:v>1</x:v>
      </x:c>
      <x:c r="I206" s="10" t="str">
        <x:v>AUTHORED_TERMINAL</x:v>
      </x:c>
      <x:c r="J206" s="10" t="str">
        <x:v>TEXT:SYN-F04-09-EXEC-N11</x:v>
      </x:c>
      <x:c r="K206" s="10" t="str">
        <x:v>TEXT:SYN-F04-09-U01</x:v>
      </x:c>
      <x:c r="L206" s="10" t="str">
        <x:v>TEXT:SYN-F04-09-EXEC-N11</x:v>
      </x:c>
    </x:row>
    <x:row r="207" ht="52" customHeight="1">
      <x:c r="A207" s="10" t="str">
        <x:v>T-EXEC</x:v>
      </x:c>
      <x:c r="B207" s="10" t="str">
        <x:v>TEXT</x:v>
      </x:c>
      <x:c r="C207" s="10" t="str">
        <x:v>TEXT:SYN-F04-09</x:v>
      </x:c>
      <x:c r="D207" s="10" t="str">
        <x:v>TEXT:SYN-F04-09-G02</x:v>
      </x:c>
      <x:c r="E207" s="11" t="n">
        <x:v>4.028465</x:v>
      </x:c>
      <x:c r="F207" s="11" t="n">
        <x:v>4.028465</x:v>
      </x:c>
      <x:c r="G207" s="11" t="n">
        <x:f>F207-E207</x:f>
        <x:v>0</x:v>
      </x:c>
      <x:c r="H207" s="10" t="n">
        <x:v>1</x:v>
      </x:c>
      <x:c r="I207" s="10" t="str">
        <x:v>AUTHORED_TERMINAL</x:v>
      </x:c>
      <x:c r="J207" s="10" t="str">
        <x:v>TEXT:SYN-F04-09-EXEC-N20</x:v>
      </x:c>
      <x:c r="K207" s="10" t="str">
        <x:v>TEXT:SYN-F04-09-U02</x:v>
      </x:c>
      <x:c r="L207" s="10" t="str">
        <x:v>TEXT:SYN-F04-09-EXEC-N20</x:v>
      </x:c>
    </x:row>
    <x:row r="208" ht="52" customHeight="1">
      <x:c r="A208" s="10" t="str">
        <x:v>T-REL</x:v>
      </x:c>
      <x:c r="B208" s="10" t="str">
        <x:v>TEXT</x:v>
      </x:c>
      <x:c r="C208" s="10" t="str">
        <x:v>TEXT:SYN-F04-09</x:v>
      </x:c>
      <x:c r="D208" s="10" t="str">
        <x:v>TEXT:SYN-F04-09-G01</x:v>
      </x:c>
      <x:c r="E208" s="11" t="n">
        <x:v>5.305072</x:v>
      </x:c>
      <x:c r="F208" s="11" t="n">
        <x:v>13.305072</x:v>
      </x:c>
      <x:c r="G208" s="11" t="n">
        <x:f>F208-E208</x:f>
        <x:v>7.999999999999999</x:v>
      </x:c>
      <x:c r="H208" s="10" t="n">
        <x:v>1</x:v>
      </x:c>
      <x:c r="I208" s="10" t="str">
        <x:v>AUTHORED_TERMINAL</x:v>
      </x:c>
      <x:c r="J208" s="10" t="str">
        <x:v>TEXT:SYN-F04-09-REL-N14</x:v>
      </x:c>
      <x:c r="K208" s="10" t="str">
        <x:v>TEXT:SYN-F04-09-U01</x:v>
      </x:c>
      <x:c r="L208" s="10" t="str">
        <x:v>TEXT:SYN-F04-09-REL-N14</x:v>
      </x:c>
    </x:row>
    <x:row r="209" ht="52" customHeight="1">
      <x:c r="A209" s="10" t="str">
        <x:v>T-REL</x:v>
      </x:c>
      <x:c r="B209" s="10" t="str">
        <x:v>TEXT</x:v>
      </x:c>
      <x:c r="C209" s="10" t="str">
        <x:v>TEXT:SYN-F04-09</x:v>
      </x:c>
      <x:c r="D209" s="10" t="str">
        <x:v>TEXT:SYN-F04-09-G02</x:v>
      </x:c>
      <x:c r="E209" s="11" t="n">
        <x:v>2.808036</x:v>
      </x:c>
      <x:c r="F209" s="11" t="n">
        <x:v>2.808036</x:v>
      </x:c>
      <x:c r="G209" s="11" t="n">
        <x:f>F209-E209</x:f>
        <x:v>0</x:v>
      </x:c>
      <x:c r="H209" s="10" t="n">
        <x:v>1</x:v>
      </x:c>
      <x:c r="I209" s="10" t="str">
        <x:v>AUTHORED_TERMINAL</x:v>
      </x:c>
      <x:c r="J209" s="10" t="str">
        <x:v>TEXT:SYN-F04-09-REL-N22</x:v>
      </x:c>
      <x:c r="K209" s="10" t="str">
        <x:v>TEXT:SYN-F04-09-U02</x:v>
      </x:c>
      <x:c r="L209" s="10" t="str">
        <x:v>TEXT:SYN-F04-09-REL-N22</x:v>
      </x:c>
    </x:row>
    <x:row r="210" ht="52" customHeight="1">
      <x:c r="A210" s="10" t="str">
        <x:v>T-BASE</x:v>
      </x:c>
      <x:c r="B210" s="10" t="str">
        <x:v>TEXT</x:v>
      </x:c>
      <x:c r="C210" s="10" t="str">
        <x:v>TEXT:SYN-F04-10</x:v>
      </x:c>
      <x:c r="D210" s="10" t="str">
        <x:v>TEXT:SYN-F04-10-G01</x:v>
      </x:c>
      <x:c r="E210" s="11" t="n">
        <x:v>6.17</x:v>
      </x:c>
      <x:c r="F210" s="11" t="n">
        <x:v>14.17</x:v>
      </x:c>
      <x:c r="G210" s="11" t="n">
        <x:f>F210-E210</x:f>
        <x:v>8</x:v>
      </x:c>
      <x:c r="H210" s="10" t="n">
        <x:v>0</x:v>
      </x:c>
      <x:c r="I210" s="10" t="str">
        <x:v>AUTHORED_TERMINAL</x:v>
      </x:c>
      <x:c r="J210" s="10" t="str">
        <x:v>TEXT:SYN-F04-10-BASE-N11</x:v>
      </x:c>
      <x:c r="K210" s="10" t="str">
        <x:v>TEXT:SYN-F04-10-U01</x:v>
      </x:c>
      <x:c r="L210" s="10" t="str">
        <x:v>TEXT:SYN-F04-10-BASE-N11</x:v>
      </x:c>
    </x:row>
    <x:row r="211" ht="52" customHeight="1">
      <x:c r="A211" s="10" t="str">
        <x:v>T-BASE</x:v>
      </x:c>
      <x:c r="B211" s="10" t="str">
        <x:v>TEXT</x:v>
      </x:c>
      <x:c r="C211" s="10" t="str">
        <x:v>TEXT:SYN-F04-10</x:v>
      </x:c>
      <x:c r="D211" s="10" t="str">
        <x:v>TEXT:SYN-F04-10-G02</x:v>
      </x:c>
      <x:c r="E211" s="11" t="n">
        <x:v>3.524535</x:v>
      </x:c>
      <x:c r="F211" s="11" t="n">
        <x:v>3.524535</x:v>
      </x:c>
      <x:c r="G211" s="11" t="n">
        <x:f>F211-E211</x:f>
        <x:v>0</x:v>
      </x:c>
      <x:c r="H211" s="10" t="n">
        <x:v>1</x:v>
      </x:c>
      <x:c r="I211" s="10" t="str">
        <x:v>AUTHORED_TERMINAL</x:v>
      </x:c>
      <x:c r="J211" s="10" t="str">
        <x:v>TEXT:SYN-F04-10-BASE-N19</x:v>
      </x:c>
      <x:c r="K211" s="10" t="str">
        <x:v>TEXT:SYN-F04-10-U02</x:v>
      </x:c>
      <x:c r="L211" s="10" t="str">
        <x:v>TEXT:SYN-F04-10-BASE-N19</x:v>
      </x:c>
    </x:row>
    <x:row r="212" ht="52" customHeight="1">
      <x:c r="A212" s="10" t="str">
        <x:v>T-EXEC</x:v>
      </x:c>
      <x:c r="B212" s="10" t="str">
        <x:v>TEXT</x:v>
      </x:c>
      <x:c r="C212" s="10" t="str">
        <x:v>TEXT:SYN-F04-10</x:v>
      </x:c>
      <x:c r="D212" s="10" t="str">
        <x:v>TEXT:SYN-F04-10-G01</x:v>
      </x:c>
      <x:c r="E212" s="11" t="n">
        <x:v>6.17</x:v>
      </x:c>
      <x:c r="F212" s="11" t="n">
        <x:v>14.17</x:v>
      </x:c>
      <x:c r="G212" s="11" t="n">
        <x:f>F212-E212</x:f>
        <x:v>8</x:v>
      </x:c>
      <x:c r="H212" s="10" t="n">
        <x:v>0</x:v>
      </x:c>
      <x:c r="I212" s="10" t="str">
        <x:v>AUTHORED_TERMINAL</x:v>
      </x:c>
      <x:c r="J212" s="10" t="str">
        <x:v>TEXT:SYN-F04-10-EXEC-N11</x:v>
      </x:c>
      <x:c r="K212" s="10" t="str">
        <x:v>TEXT:SYN-F04-10-U01</x:v>
      </x:c>
      <x:c r="L212" s="10" t="str">
        <x:v>TEXT:SYN-F04-10-EXEC-N11</x:v>
      </x:c>
    </x:row>
    <x:row r="213" ht="52" customHeight="1">
      <x:c r="A213" s="10" t="str">
        <x:v>T-EXEC</x:v>
      </x:c>
      <x:c r="B213" s="10" t="str">
        <x:v>TEXT</x:v>
      </x:c>
      <x:c r="C213" s="10" t="str">
        <x:v>TEXT:SYN-F04-10</x:v>
      </x:c>
      <x:c r="D213" s="10" t="str">
        <x:v>TEXT:SYN-F04-10-G02</x:v>
      </x:c>
      <x:c r="E213" s="11" t="n">
        <x:v>4.010392</x:v>
      </x:c>
      <x:c r="F213" s="11" t="n">
        <x:v>4.010392</x:v>
      </x:c>
      <x:c r="G213" s="11" t="n">
        <x:f>F213-E213</x:f>
        <x:v>0</x:v>
      </x:c>
      <x:c r="H213" s="10" t="n">
        <x:v>1</x:v>
      </x:c>
      <x:c r="I213" s="10" t="str">
        <x:v>AUTHORED_TERMINAL</x:v>
      </x:c>
      <x:c r="J213" s="10" t="str">
        <x:v>TEXT:SYN-F04-10-EXEC-N20</x:v>
      </x:c>
      <x:c r="K213" s="10" t="str">
        <x:v>TEXT:SYN-F04-10-U02</x:v>
      </x:c>
      <x:c r="L213" s="10" t="str">
        <x:v>TEXT:SYN-F04-10-EXEC-N20</x:v>
      </x:c>
    </x:row>
    <x:row r="214" ht="52" customHeight="1">
      <x:c r="A214" s="10" t="str">
        <x:v>T-REL</x:v>
      </x:c>
      <x:c r="B214" s="10" t="str">
        <x:v>TEXT</x:v>
      </x:c>
      <x:c r="C214" s="10" t="str">
        <x:v>TEXT:SYN-F04-10</x:v>
      </x:c>
      <x:c r="D214" s="10" t="str">
        <x:v>TEXT:SYN-F04-10-G01</x:v>
      </x:c>
      <x:c r="E214" s="11" t="n">
        <x:v>5.391071</x:v>
      </x:c>
      <x:c r="F214" s="11" t="n">
        <x:v>13.391071</x:v>
      </x:c>
      <x:c r="G214" s="11" t="n">
        <x:f>F214-E214</x:f>
        <x:v>8</x:v>
      </x:c>
      <x:c r="H214" s="10" t="n">
        <x:v>0</x:v>
      </x:c>
      <x:c r="I214" s="10" t="str">
        <x:v>AUTHORED_TERMINAL</x:v>
      </x:c>
      <x:c r="J214" s="10" t="str">
        <x:v>TEXT:SYN-F04-10-REL-N14</x:v>
      </x:c>
      <x:c r="K214" s="10" t="str">
        <x:v>TEXT:SYN-F04-10-U01</x:v>
      </x:c>
      <x:c r="L214" s="10" t="str">
        <x:v>TEXT:SYN-F04-10-REL-N14</x:v>
      </x:c>
    </x:row>
    <x:row r="215" ht="52" customHeight="1">
      <x:c r="A215" s="10" t="str">
        <x:v>T-REL</x:v>
      </x:c>
      <x:c r="B215" s="10" t="str">
        <x:v>TEXT</x:v>
      </x:c>
      <x:c r="C215" s="10" t="str">
        <x:v>TEXT:SYN-F04-10</x:v>
      </x:c>
      <x:c r="D215" s="10" t="str">
        <x:v>TEXT:SYN-F04-10-G02</x:v>
      </x:c>
      <x:c r="E215" s="11" t="n">
        <x:v>2.849035</x:v>
      </x:c>
      <x:c r="F215" s="11" t="n">
        <x:v>2.849035</x:v>
      </x:c>
      <x:c r="G215" s="11" t="n">
        <x:f>F215-E215</x:f>
        <x:v>0</x:v>
      </x:c>
      <x:c r="H215" s="10" t="n">
        <x:v>1</x:v>
      </x:c>
      <x:c r="I215" s="10" t="str">
        <x:v>AUTHORED_TERMINAL</x:v>
      </x:c>
      <x:c r="J215" s="10" t="str">
        <x:v>TEXT:SYN-F04-10-REL-N22</x:v>
      </x:c>
      <x:c r="K215" s="10" t="str">
        <x:v>TEXT:SYN-F04-10-U02</x:v>
      </x:c>
      <x:c r="L215" s="10" t="str">
        <x:v>TEXT:SYN-F04-10-REL-N22</x:v>
      </x:c>
    </x:row>
    <x:row r="216" ht="52" customHeight="1">
      <x:c r="A216" s="10" t="str">
        <x:v>T-BASE</x:v>
      </x:c>
      <x:c r="B216" s="10" t="str">
        <x:v>TEXT</x:v>
      </x:c>
      <x:c r="C216" s="10" t="str">
        <x:v>TEXT:SYN-F05-01</x:v>
      </x:c>
      <x:c r="D216" s="10" t="str">
        <x:v>TEXT:SYN-F05-01-G01</x:v>
      </x:c>
      <x:c r="E216" s="11" t="n">
        <x:v>7.611036</x:v>
      </x:c>
      <x:c r="F216" s="11" t="n">
        <x:v>15.611036</x:v>
      </x:c>
      <x:c r="G216" s="11" t="n">
        <x:f>F216-E216</x:f>
        <x:v>8</x:v>
      </x:c>
      <x:c r="H216" s="10" t="n">
        <x:v>1</x:v>
      </x:c>
      <x:c r="I216" s="10" t="str">
        <x:v>AUTHORED_TERMINAL</x:v>
      </x:c>
      <x:c r="J216" s="10" t="str">
        <x:v>TEXT:SYN-F05-01-BASE-N17</x:v>
      </x:c>
      <x:c r="K216" s="10" t="str">
        <x:v>TEXT:SYN-F05-01-U01, TEXT:SYN-F05-01-U02</x:v>
      </x:c>
      <x:c r="L216" s="10" t="str">
        <x:v>TEXT:SYN-F05-01-BASE-N17</x:v>
      </x:c>
    </x:row>
    <x:row r="217" ht="52" customHeight="1">
      <x:c r="A217" s="10" t="str">
        <x:v>T-EXEC</x:v>
      </x:c>
      <x:c r="B217" s="10" t="str">
        <x:v>TEXT</x:v>
      </x:c>
      <x:c r="C217" s="10" t="str">
        <x:v>TEXT:SYN-F05-01</x:v>
      </x:c>
      <x:c r="D217" s="10" t="str">
        <x:v>TEXT:SYN-F05-01-G01</x:v>
      </x:c>
      <x:c r="E217" s="11" t="n">
        <x:v>6.86175</x:v>
      </x:c>
      <x:c r="F217" s="11" t="n">
        <x:v>15.21175</x:v>
      </x:c>
      <x:c r="G217" s="11" t="n">
        <x:f>F217-E217</x:f>
        <x:v>8.350000000000001</x:v>
      </x:c>
      <x:c r="H217" s="10" t="n">
        <x:v>1</x:v>
      </x:c>
      <x:c r="I217" s="10" t="str">
        <x:v>AUTHORED_TERMINAL</x:v>
      </x:c>
      <x:c r="J217" s="10" t="str">
        <x:v>TEXT:SYN-F05-01-EXEC-N18</x:v>
      </x:c>
      <x:c r="K217" s="10" t="str">
        <x:v>TEXT:SYN-F05-01-U01, TEXT:SYN-F05-01-U02</x:v>
      </x:c>
      <x:c r="L217" s="10" t="str">
        <x:v>TEXT:SYN-F05-01-EXEC-N18</x:v>
      </x:c>
    </x:row>
    <x:row r="218" ht="52" customHeight="1">
      <x:c r="A218" s="10" t="str">
        <x:v>T-REL</x:v>
      </x:c>
      <x:c r="B218" s="10" t="str">
        <x:v>TEXT</x:v>
      </x:c>
      <x:c r="C218" s="10" t="str">
        <x:v>TEXT:SYN-F05-01</x:v>
      </x:c>
      <x:c r="D218" s="10" t="str">
        <x:v>TEXT:SYN-F05-01-G01</x:v>
      </x:c>
      <x:c r="E218" s="11" t="n">
        <x:v>7.856465</x:v>
      </x:c>
      <x:c r="F218" s="11" t="n">
        <x:v>15.856465</x:v>
      </x:c>
      <x:c r="G218" s="11" t="n">
        <x:f>F218-E218</x:f>
        <x:v>8</x:v>
      </x:c>
      <x:c r="H218" s="10" t="n">
        <x:v>1</x:v>
      </x:c>
      <x:c r="I218" s="10" t="str">
        <x:v>AUTHORED_TERMINAL</x:v>
      </x:c>
      <x:c r="J218" s="10" t="str">
        <x:v>TEXT:SYN-F05-01-REL-N20</x:v>
      </x:c>
      <x:c r="K218" s="10" t="str">
        <x:v>TEXT:SYN-F05-01-U01, TEXT:SYN-F05-01-U02</x:v>
      </x:c>
      <x:c r="L218" s="10" t="str">
        <x:v>TEXT:SYN-F05-01-REL-N20</x:v>
      </x:c>
    </x:row>
    <x:row r="219" ht="52" customHeight="1">
      <x:c r="A219" s="10" t="str">
        <x:v>T-BASE</x:v>
      </x:c>
      <x:c r="B219" s="10" t="str">
        <x:v>TEXT</x:v>
      </x:c>
      <x:c r="C219" s="10" t="str">
        <x:v>TEXT:SYN-F05-02</x:v>
      </x:c>
      <x:c r="D219" s="10" t="str">
        <x:v>TEXT:SYN-F05-02-G01</x:v>
      </x:c>
      <x:c r="E219" s="11" t="n">
        <x:v>7.759857</x:v>
      </x:c>
      <x:c r="F219" s="11" t="n">
        <x:v>15.759857</x:v>
      </x:c>
      <x:c r="G219" s="11" t="n">
        <x:f>F219-E219</x:f>
        <x:v>8</x:v>
      </x:c>
      <x:c r="H219" s="10" t="n">
        <x:v>1</x:v>
      </x:c>
      <x:c r="I219" s="10" t="str">
        <x:v>AUTHORED_TERMINAL</x:v>
      </x:c>
      <x:c r="J219" s="10" t="str">
        <x:v>TEXT:SYN-F05-02-BASE-N17</x:v>
      </x:c>
      <x:c r="K219" s="10" t="str">
        <x:v>TEXT:SYN-F05-02-U01, TEXT:SYN-F05-02-U02</x:v>
      </x:c>
      <x:c r="L219" s="10" t="str">
        <x:v>TEXT:SYN-F05-02-BASE-N17</x:v>
      </x:c>
    </x:row>
    <x:row r="220" ht="52" customHeight="1">
      <x:c r="A220" s="10" t="str">
        <x:v>T-EXEC</x:v>
      </x:c>
      <x:c r="B220" s="10" t="str">
        <x:v>TEXT</x:v>
      </x:c>
      <x:c r="C220" s="10" t="str">
        <x:v>TEXT:SYN-F05-02</x:v>
      </x:c>
      <x:c r="D220" s="10" t="str">
        <x:v>TEXT:SYN-F05-02-G01</x:v>
      </x:c>
      <x:c r="E220" s="11" t="n">
        <x:v>6.986357</x:v>
      </x:c>
      <x:c r="F220" s="11" t="n">
        <x:v>15.336357</x:v>
      </x:c>
      <x:c r="G220" s="11" t="n">
        <x:f>F220-E220</x:f>
        <x:v>8.35</x:v>
      </x:c>
      <x:c r="H220" s="10" t="n">
        <x:v>1</x:v>
      </x:c>
      <x:c r="I220" s="10" t="str">
        <x:v>AUTHORED_TERMINAL</x:v>
      </x:c>
      <x:c r="J220" s="10" t="str">
        <x:v>TEXT:SYN-F05-02-EXEC-N18</x:v>
      </x:c>
      <x:c r="K220" s="10" t="str">
        <x:v>TEXT:SYN-F05-02-U01, TEXT:SYN-F05-02-U02</x:v>
      </x:c>
      <x:c r="L220" s="10" t="str">
        <x:v>TEXT:SYN-F05-02-EXEC-N18</x:v>
      </x:c>
    </x:row>
    <x:row r="221" ht="52" customHeight="1">
      <x:c r="A221" s="10" t="str">
        <x:v>T-REL</x:v>
      </x:c>
      <x:c r="B221" s="10" t="str">
        <x:v>TEXT</x:v>
      </x:c>
      <x:c r="C221" s="10" t="str">
        <x:v>TEXT:SYN-F05-02</x:v>
      </x:c>
      <x:c r="D221" s="10" t="str">
        <x:v>TEXT:SYN-F05-02-G01</x:v>
      </x:c>
      <x:c r="E221" s="11" t="n">
        <x:v>8.005286</x:v>
      </x:c>
      <x:c r="F221" s="11" t="n">
        <x:v>16.005286</x:v>
      </x:c>
      <x:c r="G221" s="11" t="n">
        <x:f>F221-E221</x:f>
        <x:v>8.000000000000002</x:v>
      </x:c>
      <x:c r="H221" s="10" t="n">
        <x:v>1</x:v>
      </x:c>
      <x:c r="I221" s="10" t="str">
        <x:v>AUTHORED_TERMINAL</x:v>
      </x:c>
      <x:c r="J221" s="10" t="str">
        <x:v>TEXT:SYN-F05-02-REL-N20</x:v>
      </x:c>
      <x:c r="K221" s="10" t="str">
        <x:v>TEXT:SYN-F05-02-U01, TEXT:SYN-F05-02-U02</x:v>
      </x:c>
      <x:c r="L221" s="10" t="str">
        <x:v>TEXT:SYN-F05-02-REL-N20</x:v>
      </x:c>
    </x:row>
    <x:row r="222" ht="52" customHeight="1">
      <x:c r="A222" s="10" t="str">
        <x:v>T-BASE</x:v>
      </x:c>
      <x:c r="B222" s="10" t="str">
        <x:v>TEXT</x:v>
      </x:c>
      <x:c r="C222" s="10" t="str">
        <x:v>TEXT:SYN-F05-03</x:v>
      </x:c>
      <x:c r="D222" s="10" t="str">
        <x:v>TEXT:SYN-F05-03-G01</x:v>
      </x:c>
      <x:c r="E222" s="11" t="n">
        <x:v>7.908679</x:v>
      </x:c>
      <x:c r="F222" s="11" t="n">
        <x:v>15.908679</x:v>
      </x:c>
      <x:c r="G222" s="11" t="n">
        <x:f>F222-E222</x:f>
        <x:v>7.999999999999999</x:v>
      </x:c>
      <x:c r="H222" s="10" t="n">
        <x:v>1</x:v>
      </x:c>
      <x:c r="I222" s="10" t="str">
        <x:v>AUTHORED_TERMINAL</x:v>
      </x:c>
      <x:c r="J222" s="10" t="str">
        <x:v>TEXT:SYN-F05-03-BASE-N17</x:v>
      </x:c>
      <x:c r="K222" s="10" t="str">
        <x:v>TEXT:SYN-F05-03-U01, TEXT:SYN-F05-03-U02</x:v>
      </x:c>
      <x:c r="L222" s="10" t="str">
        <x:v>TEXT:SYN-F05-03-BASE-N17</x:v>
      </x:c>
    </x:row>
    <x:row r="223" ht="52" customHeight="1">
      <x:c r="A223" s="10" t="str">
        <x:v>T-EXEC</x:v>
      </x:c>
      <x:c r="B223" s="10" t="str">
        <x:v>TEXT</x:v>
      </x:c>
      <x:c r="C223" s="10" t="str">
        <x:v>TEXT:SYN-F05-03</x:v>
      </x:c>
      <x:c r="D223" s="10" t="str">
        <x:v>TEXT:SYN-F05-03-G01</x:v>
      </x:c>
      <x:c r="E223" s="11" t="n">
        <x:v>7.110965</x:v>
      </x:c>
      <x:c r="F223" s="11" t="n">
        <x:v>15.460965</x:v>
      </x:c>
      <x:c r="G223" s="11" t="n">
        <x:f>F223-E223</x:f>
        <x:v>8.35</x:v>
      </x:c>
      <x:c r="H223" s="10" t="n">
        <x:v>1</x:v>
      </x:c>
      <x:c r="I223" s="10" t="str">
        <x:v>AUTHORED_TERMINAL</x:v>
      </x:c>
      <x:c r="J223" s="10" t="str">
        <x:v>TEXT:SYN-F05-03-EXEC-N18</x:v>
      </x:c>
      <x:c r="K223" s="10" t="str">
        <x:v>TEXT:SYN-F05-03-U01, TEXT:SYN-F05-03-U02</x:v>
      </x:c>
      <x:c r="L223" s="10" t="str">
        <x:v>TEXT:SYN-F05-03-EXEC-N18</x:v>
      </x:c>
    </x:row>
    <x:row r="224" ht="52" customHeight="1">
      <x:c r="A224" s="10" t="str">
        <x:v>T-REL</x:v>
      </x:c>
      <x:c r="B224" s="10" t="str">
        <x:v>TEXT</x:v>
      </x:c>
      <x:c r="C224" s="10" t="str">
        <x:v>TEXT:SYN-F05-03</x:v>
      </x:c>
      <x:c r="D224" s="10" t="str">
        <x:v>TEXT:SYN-F05-03-G01</x:v>
      </x:c>
      <x:c r="E224" s="11" t="n">
        <x:v>8.154106</x:v>
      </x:c>
      <x:c r="F224" s="11" t="n">
        <x:v>16.154106</x:v>
      </x:c>
      <x:c r="G224" s="11" t="n">
        <x:f>F224-E224</x:f>
        <x:v>7.999999999999998</x:v>
      </x:c>
      <x:c r="H224" s="10" t="n">
        <x:v>1</x:v>
      </x:c>
      <x:c r="I224" s="10" t="str">
        <x:v>AUTHORED_TERMINAL</x:v>
      </x:c>
      <x:c r="J224" s="10" t="str">
        <x:v>TEXT:SYN-F05-03-REL-N20</x:v>
      </x:c>
      <x:c r="K224" s="10" t="str">
        <x:v>TEXT:SYN-F05-03-U01, TEXT:SYN-F05-03-U02</x:v>
      </x:c>
      <x:c r="L224" s="10" t="str">
        <x:v>TEXT:SYN-F05-03-REL-N20</x:v>
      </x:c>
    </x:row>
    <x:row r="225" ht="52" customHeight="1">
      <x:c r="A225" s="10" t="str">
        <x:v>T-BASE</x:v>
      </x:c>
      <x:c r="B225" s="10" t="str">
        <x:v>TEXT</x:v>
      </x:c>
      <x:c r="C225" s="10" t="str">
        <x:v>TEXT:SYN-F05-04</x:v>
      </x:c>
      <x:c r="D225" s="10" t="str">
        <x:v>TEXT:SYN-F05-04-G01</x:v>
      </x:c>
      <x:c r="E225" s="11" t="n">
        <x:v>7.9075</x:v>
      </x:c>
      <x:c r="F225" s="11" t="n">
        <x:v>15.9075</x:v>
      </x:c>
      <x:c r="G225" s="11" t="n">
        <x:f>F225-E225</x:f>
        <x:v>8</x:v>
      </x:c>
      <x:c r="H225" s="10" t="n">
        <x:v>1</x:v>
      </x:c>
      <x:c r="I225" s="10" t="str">
        <x:v>AUTHORED_TERMINAL</x:v>
      </x:c>
      <x:c r="J225" s="10" t="str">
        <x:v>TEXT:SYN-F05-04-BASE-N17</x:v>
      </x:c>
      <x:c r="K225" s="10" t="str">
        <x:v>TEXT:SYN-F05-04-U01, TEXT:SYN-F05-04-U02</x:v>
      </x:c>
      <x:c r="L225" s="10" t="str">
        <x:v>TEXT:SYN-F05-04-BASE-N17</x:v>
      </x:c>
    </x:row>
    <x:row r="226" ht="52" customHeight="1">
      <x:c r="A226" s="10" t="str">
        <x:v>T-EXEC</x:v>
      </x:c>
      <x:c r="B226" s="10" t="str">
        <x:v>TEXT</x:v>
      </x:c>
      <x:c r="C226" s="10" t="str">
        <x:v>TEXT:SYN-F05-04</x:v>
      </x:c>
      <x:c r="D226" s="10" t="str">
        <x:v>TEXT:SYN-F05-04-G01</x:v>
      </x:c>
      <x:c r="E226" s="11" t="n">
        <x:v>7.066822</x:v>
      </x:c>
      <x:c r="F226" s="11" t="n">
        <x:v>15.416822</x:v>
      </x:c>
      <x:c r="G226" s="11" t="n">
        <x:f>F226-E226</x:f>
        <x:v>8.35</x:v>
      </x:c>
      <x:c r="H226" s="10" t="n">
        <x:v>1</x:v>
      </x:c>
      <x:c r="I226" s="10" t="str">
        <x:v>AUTHORED_TERMINAL</x:v>
      </x:c>
      <x:c r="J226" s="10" t="str">
        <x:v>TEXT:SYN-F05-04-EXEC-N18</x:v>
      </x:c>
      <x:c r="K226" s="10" t="str">
        <x:v>TEXT:SYN-F05-04-U01, TEXT:SYN-F05-04-U02</x:v>
      </x:c>
      <x:c r="L226" s="10" t="str">
        <x:v>TEXT:SYN-F05-04-EXEC-N18</x:v>
      </x:c>
    </x:row>
    <x:row r="227" ht="52" customHeight="1">
      <x:c r="A227" s="10" t="str">
        <x:v>T-REL</x:v>
      </x:c>
      <x:c r="B227" s="10" t="str">
        <x:v>TEXT</x:v>
      </x:c>
      <x:c r="C227" s="10" t="str">
        <x:v>TEXT:SYN-F05-04</x:v>
      </x:c>
      <x:c r="D227" s="10" t="str">
        <x:v>TEXT:SYN-F05-04-G01</x:v>
      </x:c>
      <x:c r="E227" s="11" t="n">
        <x:v>8.152929</x:v>
      </x:c>
      <x:c r="F227" s="11" t="n">
        <x:v>16.152929</x:v>
      </x:c>
      <x:c r="G227" s="11" t="n">
        <x:f>F227-E227</x:f>
        <x:v>8</x:v>
      </x:c>
      <x:c r="H227" s="10" t="n">
        <x:v>1</x:v>
      </x:c>
      <x:c r="I227" s="10" t="str">
        <x:v>AUTHORED_TERMINAL</x:v>
      </x:c>
      <x:c r="J227" s="10" t="str">
        <x:v>TEXT:SYN-F05-04-REL-N20</x:v>
      </x:c>
      <x:c r="K227" s="10" t="str">
        <x:v>TEXT:SYN-F05-04-U01, TEXT:SYN-F05-04-U02</x:v>
      </x:c>
      <x:c r="L227" s="10" t="str">
        <x:v>TEXT:SYN-F05-04-REL-N20</x:v>
      </x:c>
    </x:row>
    <x:row r="228" ht="52" customHeight="1">
      <x:c r="A228" s="10" t="str">
        <x:v>T-BASE</x:v>
      </x:c>
      <x:c r="B228" s="10" t="str">
        <x:v>TEXT</x:v>
      </x:c>
      <x:c r="C228" s="10" t="str">
        <x:v>TEXT:SYN-F05-05</x:v>
      </x:c>
      <x:c r="D228" s="10" t="str">
        <x:v>TEXT:SYN-F05-05-G01</x:v>
      </x:c>
      <x:c r="E228" s="11" t="n">
        <x:v>7.981321</x:v>
      </x:c>
      <x:c r="F228" s="11" t="n">
        <x:v>15.981321</x:v>
      </x:c>
      <x:c r="G228" s="11" t="n">
        <x:f>F228-E228</x:f>
        <x:v>7.999999999999999</x:v>
      </x:c>
      <x:c r="H228" s="10" t="n">
        <x:v>0</x:v>
      </x:c>
      <x:c r="I228" s="10" t="str">
        <x:v>AUTHORED_TERMINAL</x:v>
      </x:c>
      <x:c r="J228" s="10" t="str">
        <x:v>TEXT:SYN-F05-05-BASE-N17</x:v>
      </x:c>
      <x:c r="K228" s="10" t="str">
        <x:v>TEXT:SYN-F05-05-U01, TEXT:SYN-F05-05-U02</x:v>
      </x:c>
      <x:c r="L228" s="10" t="str">
        <x:v>TEXT:SYN-F05-05-BASE-N17</x:v>
      </x:c>
    </x:row>
    <x:row r="229" ht="52" customHeight="1">
      <x:c r="A229" s="10" t="str">
        <x:v>T-EXEC</x:v>
      </x:c>
      <x:c r="B229" s="10" t="str">
        <x:v>TEXT</x:v>
      </x:c>
      <x:c r="C229" s="10" t="str">
        <x:v>TEXT:SYN-F05-05</x:v>
      </x:c>
      <x:c r="D229" s="10" t="str">
        <x:v>TEXT:SYN-F05-05-G01</x:v>
      </x:c>
      <x:c r="E229" s="11" t="n">
        <x:v>7.091428</x:v>
      </x:c>
      <x:c r="F229" s="11" t="n">
        <x:v>15.441428</x:v>
      </x:c>
      <x:c r="G229" s="11" t="n">
        <x:f>F229-E229</x:f>
        <x:v>8.350000000000001</x:v>
      </x:c>
      <x:c r="H229" s="10" t="n">
        <x:v>0</x:v>
      </x:c>
      <x:c r="I229" s="10" t="str">
        <x:v>AUTHORED_TERMINAL</x:v>
      </x:c>
      <x:c r="J229" s="10" t="str">
        <x:v>TEXT:SYN-F05-05-EXEC-N18</x:v>
      </x:c>
      <x:c r="K229" s="10" t="str">
        <x:v>TEXT:SYN-F05-05-U01, TEXT:SYN-F05-05-U02</x:v>
      </x:c>
      <x:c r="L229" s="10" t="str">
        <x:v>TEXT:SYN-F05-05-EXEC-N18</x:v>
      </x:c>
    </x:row>
    <x:row r="230" ht="52" customHeight="1">
      <x:c r="A230" s="10" t="str">
        <x:v>T-REL</x:v>
      </x:c>
      <x:c r="B230" s="10" t="str">
        <x:v>TEXT</x:v>
      </x:c>
      <x:c r="C230" s="10" t="str">
        <x:v>TEXT:SYN-F05-05</x:v>
      </x:c>
      <x:c r="D230" s="10" t="str">
        <x:v>TEXT:SYN-F05-05-G01</x:v>
      </x:c>
      <x:c r="E230" s="11" t="n">
        <x:v>8.226749</x:v>
      </x:c>
      <x:c r="F230" s="11" t="n">
        <x:v>16.226749</x:v>
      </x:c>
      <x:c r="G230" s="11" t="n">
        <x:f>F230-E230</x:f>
        <x:v>8.000000000000002</x:v>
      </x:c>
      <x:c r="H230" s="10" t="n">
        <x:v>0</x:v>
      </x:c>
      <x:c r="I230" s="10" t="str">
        <x:v>AUTHORED_TERMINAL</x:v>
      </x:c>
      <x:c r="J230" s="10" t="str">
        <x:v>TEXT:SYN-F05-05-REL-N20</x:v>
      </x:c>
      <x:c r="K230" s="10" t="str">
        <x:v>TEXT:SYN-F05-05-U01, TEXT:SYN-F05-05-U02</x:v>
      </x:c>
      <x:c r="L230" s="10" t="str">
        <x:v>TEXT:SYN-F05-05-REL-N20</x:v>
      </x:c>
    </x:row>
    <x:row r="231" ht="52" customHeight="1">
      <x:c r="A231" s="10" t="str">
        <x:v>T-BASE</x:v>
      </x:c>
      <x:c r="B231" s="10" t="str">
        <x:v>TEXT</x:v>
      </x:c>
      <x:c r="C231" s="10" t="str">
        <x:v>TEXT:SYN-F05-06</x:v>
      </x:c>
      <x:c r="D231" s="10" t="str">
        <x:v>TEXT:SYN-F05-06-G01</x:v>
      </x:c>
      <x:c r="E231" s="11" t="n">
        <x:v>8.047643</x:v>
      </x:c>
      <x:c r="F231" s="11" t="n">
        <x:v>16.047643</x:v>
      </x:c>
      <x:c r="G231" s="11" t="n">
        <x:f>F231-E231</x:f>
        <x:v>8</x:v>
      </x:c>
      <x:c r="H231" s="10" t="n">
        <x:v>1</x:v>
      </x:c>
      <x:c r="I231" s="10" t="str">
        <x:v>AUTHORED_TERMINAL</x:v>
      </x:c>
      <x:c r="J231" s="10" t="str">
        <x:v>TEXT:SYN-F05-06-BASE-N17</x:v>
      </x:c>
      <x:c r="K231" s="10" t="str">
        <x:v>TEXT:SYN-F05-06-U01, TEXT:SYN-F05-06-U02</x:v>
      </x:c>
      <x:c r="L231" s="10" t="str">
        <x:v>TEXT:SYN-F05-06-BASE-N17</x:v>
      </x:c>
    </x:row>
    <x:row r="232" ht="52" customHeight="1">
      <x:c r="A232" s="10" t="str">
        <x:v>T-EXEC</x:v>
      </x:c>
      <x:c r="B232" s="10" t="str">
        <x:v>TEXT</x:v>
      </x:c>
      <x:c r="C232" s="10" t="str">
        <x:v>TEXT:SYN-F05-06</x:v>
      </x:c>
      <x:c r="D232" s="10" t="str">
        <x:v>TEXT:SYN-F05-06-G01</x:v>
      </x:c>
      <x:c r="E232" s="11" t="n">
        <x:v>7.133536</x:v>
      </x:c>
      <x:c r="F232" s="11" t="n">
        <x:v>15.483536</x:v>
      </x:c>
      <x:c r="G232" s="11" t="n">
        <x:f>F232-E232</x:f>
        <x:v>8.350000000000001</x:v>
      </x:c>
      <x:c r="H232" s="10" t="n">
        <x:v>1</x:v>
      </x:c>
      <x:c r="I232" s="10" t="str">
        <x:v>AUTHORED_TERMINAL</x:v>
      </x:c>
      <x:c r="J232" s="10" t="str">
        <x:v>TEXT:SYN-F05-06-EXEC-N18</x:v>
      </x:c>
      <x:c r="K232" s="10" t="str">
        <x:v>TEXT:SYN-F05-06-U01, TEXT:SYN-F05-06-U02</x:v>
      </x:c>
      <x:c r="L232" s="10" t="str">
        <x:v>TEXT:SYN-F05-06-EXEC-N18</x:v>
      </x:c>
    </x:row>
    <x:row r="233" ht="52" customHeight="1">
      <x:c r="A233" s="10" t="str">
        <x:v>T-REL</x:v>
      </x:c>
      <x:c r="B233" s="10" t="str">
        <x:v>TEXT</x:v>
      </x:c>
      <x:c r="C233" s="10" t="str">
        <x:v>TEXT:SYN-F05-06</x:v>
      </x:c>
      <x:c r="D233" s="10" t="str">
        <x:v>TEXT:SYN-F05-06-G01</x:v>
      </x:c>
      <x:c r="E233" s="11" t="n">
        <x:v>8.293072</x:v>
      </x:c>
      <x:c r="F233" s="11" t="n">
        <x:v>16.293072</x:v>
      </x:c>
      <x:c r="G233" s="11" t="n">
        <x:f>F233-E233</x:f>
        <x:v>7.999999999999998</x:v>
      </x:c>
      <x:c r="H233" s="10" t="n">
        <x:v>1</x:v>
      </x:c>
      <x:c r="I233" s="10" t="str">
        <x:v>AUTHORED_TERMINAL</x:v>
      </x:c>
      <x:c r="J233" s="10" t="str">
        <x:v>TEXT:SYN-F05-06-REL-N20</x:v>
      </x:c>
      <x:c r="K233" s="10" t="str">
        <x:v>TEXT:SYN-F05-06-U01, TEXT:SYN-F05-06-U02</x:v>
      </x:c>
      <x:c r="L233" s="10" t="str">
        <x:v>TEXT:SYN-F05-06-REL-N20</x:v>
      </x:c>
    </x:row>
    <x:row r="234" ht="52" customHeight="1">
      <x:c r="A234" s="10" t="str">
        <x:v>T-BASE</x:v>
      </x:c>
      <x:c r="B234" s="10" t="str">
        <x:v>TEXT</x:v>
      </x:c>
      <x:c r="C234" s="10" t="str">
        <x:v>TEXT:SYN-F05-07</x:v>
      </x:c>
      <x:c r="D234" s="10" t="str">
        <x:v>TEXT:SYN-F05-07-G01</x:v>
      </x:c>
      <x:c r="E234" s="11" t="n">
        <x:v>8.046464</x:v>
      </x:c>
      <x:c r="F234" s="11" t="n">
        <x:v>16.046464</x:v>
      </x:c>
      <x:c r="G234" s="11" t="n">
        <x:f>F234-E234</x:f>
        <x:v>8</x:v>
      </x:c>
      <x:c r="H234" s="10" t="n">
        <x:v>1</x:v>
      </x:c>
      <x:c r="I234" s="10" t="str">
        <x:v>AUTHORED_TERMINAL</x:v>
      </x:c>
      <x:c r="J234" s="10" t="str">
        <x:v>TEXT:SYN-F05-07-BASE-N17</x:v>
      </x:c>
      <x:c r="K234" s="10" t="str">
        <x:v>TEXT:SYN-F05-07-U01, TEXT:SYN-F05-07-U02</x:v>
      </x:c>
      <x:c r="L234" s="10" t="str">
        <x:v>TEXT:SYN-F05-07-BASE-N17</x:v>
      </x:c>
    </x:row>
    <x:row r="235" ht="52" customHeight="1">
      <x:c r="A235" s="10" t="str">
        <x:v>T-EXEC</x:v>
      </x:c>
      <x:c r="B235" s="10" t="str">
        <x:v>TEXT</x:v>
      </x:c>
      <x:c r="C235" s="10" t="str">
        <x:v>TEXT:SYN-F05-07</x:v>
      </x:c>
      <x:c r="D235" s="10" t="str">
        <x:v>TEXT:SYN-F05-07-G01</x:v>
      </x:c>
      <x:c r="E235" s="11" t="n">
        <x:v>7.089392</x:v>
      </x:c>
      <x:c r="F235" s="11" t="n">
        <x:v>15.439392</x:v>
      </x:c>
      <x:c r="G235" s="11" t="n">
        <x:f>F235-E235</x:f>
        <x:v>8.35</x:v>
      </x:c>
      <x:c r="H235" s="10" t="n">
        <x:v>1</x:v>
      </x:c>
      <x:c r="I235" s="10" t="str">
        <x:v>AUTHORED_TERMINAL</x:v>
      </x:c>
      <x:c r="J235" s="10" t="str">
        <x:v>TEXT:SYN-F05-07-EXEC-N18</x:v>
      </x:c>
      <x:c r="K235" s="10" t="str">
        <x:v>TEXT:SYN-F05-07-U01, TEXT:SYN-F05-07-U02</x:v>
      </x:c>
      <x:c r="L235" s="10" t="str">
        <x:v>TEXT:SYN-F05-07-EXEC-N18</x:v>
      </x:c>
    </x:row>
    <x:row r="236" ht="52" customHeight="1">
      <x:c r="A236" s="10" t="str">
        <x:v>T-REL</x:v>
      </x:c>
      <x:c r="B236" s="10" t="str">
        <x:v>TEXT</x:v>
      </x:c>
      <x:c r="C236" s="10" t="str">
        <x:v>TEXT:SYN-F05-07</x:v>
      </x:c>
      <x:c r="D236" s="10" t="str">
        <x:v>TEXT:SYN-F05-07-G01</x:v>
      </x:c>
      <x:c r="E236" s="11" t="n">
        <x:v>8.291893</x:v>
      </x:c>
      <x:c r="F236" s="11" t="n">
        <x:v>16.291893</x:v>
      </x:c>
      <x:c r="G236" s="11" t="n">
        <x:f>F236-E236</x:f>
        <x:v>8.000000000000002</x:v>
      </x:c>
      <x:c r="H236" s="10" t="n">
        <x:v>1</x:v>
      </x:c>
      <x:c r="I236" s="10" t="str">
        <x:v>AUTHORED_TERMINAL</x:v>
      </x:c>
      <x:c r="J236" s="10" t="str">
        <x:v>TEXT:SYN-F05-07-REL-N20</x:v>
      </x:c>
      <x:c r="K236" s="10" t="str">
        <x:v>TEXT:SYN-F05-07-U01, TEXT:SYN-F05-07-U02</x:v>
      </x:c>
      <x:c r="L236" s="10" t="str">
        <x:v>TEXT:SYN-F05-07-REL-N20</x:v>
      </x:c>
    </x:row>
    <x:row r="237" ht="52" customHeight="1">
      <x:c r="A237" s="10" t="str">
        <x:v>T-BASE</x:v>
      </x:c>
      <x:c r="B237" s="10" t="str">
        <x:v>TEXT</x:v>
      </x:c>
      <x:c r="C237" s="10" t="str">
        <x:v>TEXT:SYN-F05-08</x:v>
      </x:c>
      <x:c r="D237" s="10" t="str">
        <x:v>TEXT:SYN-F05-08-G01</x:v>
      </x:c>
      <x:c r="E237" s="11" t="n">
        <x:v>8.195286</x:v>
      </x:c>
      <x:c r="F237" s="11" t="n">
        <x:v>16.195286</x:v>
      </x:c>
      <x:c r="G237" s="11" t="n">
        <x:f>F237-E237</x:f>
        <x:v>8</x:v>
      </x:c>
      <x:c r="H237" s="10" t="n">
        <x:v>0</x:v>
      </x:c>
      <x:c r="I237" s="10" t="str">
        <x:v>AUTHORED_TERMINAL</x:v>
      </x:c>
      <x:c r="J237" s="10" t="str">
        <x:v>TEXT:SYN-F05-08-BASE-N17</x:v>
      </x:c>
      <x:c r="K237" s="10" t="str">
        <x:v>TEXT:SYN-F05-08-U01, TEXT:SYN-F05-08-U02</x:v>
      </x:c>
      <x:c r="L237" s="10" t="str">
        <x:v>TEXT:SYN-F05-08-BASE-N17</x:v>
      </x:c>
    </x:row>
    <x:row r="238" ht="52" customHeight="1">
      <x:c r="A238" s="10" t="str">
        <x:v>T-EXEC</x:v>
      </x:c>
      <x:c r="B238" s="10" t="str">
        <x:v>TEXT</x:v>
      </x:c>
      <x:c r="C238" s="10" t="str">
        <x:v>TEXT:SYN-F05-08</x:v>
      </x:c>
      <x:c r="D238" s="10" t="str">
        <x:v>TEXT:SYN-F05-08-G01</x:v>
      </x:c>
      <x:c r="E238" s="11" t="n">
        <x:v>7.214</x:v>
      </x:c>
      <x:c r="F238" s="11" t="n">
        <x:v>15.564</x:v>
      </x:c>
      <x:c r="G238" s="11" t="n">
        <x:f>F238-E238</x:f>
        <x:v>8.35</x:v>
      </x:c>
      <x:c r="H238" s="10" t="n">
        <x:v>0</x:v>
      </x:c>
      <x:c r="I238" s="10" t="str">
        <x:v>AUTHORED_TERMINAL</x:v>
      </x:c>
      <x:c r="J238" s="10" t="str">
        <x:v>TEXT:SYN-F05-08-EXEC-N18</x:v>
      </x:c>
      <x:c r="K238" s="10" t="str">
        <x:v>TEXT:SYN-F05-08-U01, TEXT:SYN-F05-08-U02</x:v>
      </x:c>
      <x:c r="L238" s="10" t="str">
        <x:v>TEXT:SYN-F05-08-EXEC-N18</x:v>
      </x:c>
    </x:row>
    <x:row r="239" ht="52" customHeight="1">
      <x:c r="A239" s="10" t="str">
        <x:v>T-REL</x:v>
      </x:c>
      <x:c r="B239" s="10" t="str">
        <x:v>TEXT</x:v>
      </x:c>
      <x:c r="C239" s="10" t="str">
        <x:v>TEXT:SYN-F05-08</x:v>
      </x:c>
      <x:c r="D239" s="10" t="str">
        <x:v>TEXT:SYN-F05-08-G01</x:v>
      </x:c>
      <x:c r="E239" s="11" t="n">
        <x:v>8.440715</x:v>
      </x:c>
      <x:c r="F239" s="11" t="n">
        <x:v>16.440715</x:v>
      </x:c>
      <x:c r="G239" s="11" t="n">
        <x:f>F239-E239</x:f>
        <x:v>8</x:v>
      </x:c>
      <x:c r="H239" s="10" t="n">
        <x:v>0</x:v>
      </x:c>
      <x:c r="I239" s="10" t="str">
        <x:v>AUTHORED_TERMINAL</x:v>
      </x:c>
      <x:c r="J239" s="10" t="str">
        <x:v>TEXT:SYN-F05-08-REL-N20</x:v>
      </x:c>
      <x:c r="K239" s="10" t="str">
        <x:v>TEXT:SYN-F05-08-U01, TEXT:SYN-F05-08-U02</x:v>
      </x:c>
      <x:c r="L239" s="10" t="str">
        <x:v>TEXT:SYN-F05-08-REL-N20</x:v>
      </x:c>
    </x:row>
    <x:row r="240" ht="52" customHeight="1">
      <x:c r="A240" s="10" t="str">
        <x:v>T-BASE</x:v>
      </x:c>
      <x:c r="B240" s="10" t="str">
        <x:v>TEXT</x:v>
      </x:c>
      <x:c r="C240" s="10" t="str">
        <x:v>TEXT:SYN-F05-09</x:v>
      </x:c>
      <x:c r="D240" s="10" t="str">
        <x:v>TEXT:SYN-F05-09-G01</x:v>
      </x:c>
      <x:c r="E240" s="11" t="n">
        <x:v>8.269107</x:v>
      </x:c>
      <x:c r="F240" s="11" t="n">
        <x:v>16.269107</x:v>
      </x:c>
      <x:c r="G240" s="11" t="n">
        <x:f>F240-E240</x:f>
        <x:v>8.000000000000002</x:v>
      </x:c>
      <x:c r="H240" s="10" t="n">
        <x:v>1</x:v>
      </x:c>
      <x:c r="I240" s="10" t="str">
        <x:v>AUTHORED_TERMINAL</x:v>
      </x:c>
      <x:c r="J240" s="10" t="str">
        <x:v>TEXT:SYN-F05-09-BASE-N17</x:v>
      </x:c>
      <x:c r="K240" s="10" t="str">
        <x:v>TEXT:SYN-F05-09-U01, TEXT:SYN-F05-09-U02</x:v>
      </x:c>
      <x:c r="L240" s="10" t="str">
        <x:v>TEXT:SYN-F05-09-BASE-N17</x:v>
      </x:c>
    </x:row>
    <x:row r="241" ht="52" customHeight="1">
      <x:c r="A241" s="10" t="str">
        <x:v>T-EXEC</x:v>
      </x:c>
      <x:c r="B241" s="10" t="str">
        <x:v>TEXT</x:v>
      </x:c>
      <x:c r="C241" s="10" t="str">
        <x:v>TEXT:SYN-F05-09</x:v>
      </x:c>
      <x:c r="D241" s="10" t="str">
        <x:v>TEXT:SYN-F05-09-G01</x:v>
      </x:c>
      <x:c r="E241" s="11" t="n">
        <x:v>7.238607</x:v>
      </x:c>
      <x:c r="F241" s="11" t="n">
        <x:v>15.588607</x:v>
      </x:c>
      <x:c r="G241" s="11" t="n">
        <x:f>F241-E241</x:f>
        <x:v>8.35</x:v>
      </x:c>
      <x:c r="H241" s="10" t="n">
        <x:v>1</x:v>
      </x:c>
      <x:c r="I241" s="10" t="str">
        <x:v>AUTHORED_TERMINAL</x:v>
      </x:c>
      <x:c r="J241" s="10" t="str">
        <x:v>TEXT:SYN-F05-09-EXEC-N18</x:v>
      </x:c>
      <x:c r="K241" s="10" t="str">
        <x:v>TEXT:SYN-F05-09-U01, TEXT:SYN-F05-09-U02</x:v>
      </x:c>
      <x:c r="L241" s="10" t="str">
        <x:v>TEXT:SYN-F05-09-EXEC-N18</x:v>
      </x:c>
    </x:row>
    <x:row r="242" ht="52" customHeight="1">
      <x:c r="A242" s="10" t="str">
        <x:v>T-REL</x:v>
      </x:c>
      <x:c r="B242" s="10" t="str">
        <x:v>TEXT</x:v>
      </x:c>
      <x:c r="C242" s="10" t="str">
        <x:v>TEXT:SYN-F05-09</x:v>
      </x:c>
      <x:c r="D242" s="10" t="str">
        <x:v>TEXT:SYN-F05-09-G01</x:v>
      </x:c>
      <x:c r="E242" s="11" t="n">
        <x:v>8.514536</x:v>
      </x:c>
      <x:c r="F242" s="11" t="n">
        <x:v>16.514536</x:v>
      </x:c>
      <x:c r="G242" s="11" t="n">
        <x:f>F242-E242</x:f>
        <x:v>8</x:v>
      </x:c>
      <x:c r="H242" s="10" t="n">
        <x:v>1</x:v>
      </x:c>
      <x:c r="I242" s="10" t="str">
        <x:v>AUTHORED_TERMINAL</x:v>
      </x:c>
      <x:c r="J242" s="10" t="str">
        <x:v>TEXT:SYN-F05-09-REL-N20</x:v>
      </x:c>
      <x:c r="K242" s="10" t="str">
        <x:v>TEXT:SYN-F05-09-U01, TEXT:SYN-F05-09-U02</x:v>
      </x:c>
      <x:c r="L242" s="10" t="str">
        <x:v>TEXT:SYN-F05-09-REL-N20</x:v>
      </x:c>
    </x:row>
    <x:row r="243" ht="52" customHeight="1">
      <x:c r="A243" s="10" t="str">
        <x:v>T-BASE</x:v>
      </x:c>
      <x:c r="B243" s="10" t="str">
        <x:v>TEXT</x:v>
      </x:c>
      <x:c r="C243" s="10" t="str">
        <x:v>TEXT:SYN-F05-10</x:v>
      </x:c>
      <x:c r="D243" s="10" t="str">
        <x:v>TEXT:SYN-F05-10-G01</x:v>
      </x:c>
      <x:c r="E243" s="11" t="n">
        <x:v>8.267929</x:v>
      </x:c>
      <x:c r="F243" s="11" t="n">
        <x:v>16.267929</x:v>
      </x:c>
      <x:c r="G243" s="11" t="n">
        <x:f>F243-E243</x:f>
        <x:v>7.999999999999998</x:v>
      </x:c>
      <x:c r="H243" s="10" t="n">
        <x:v>1</x:v>
      </x:c>
      <x:c r="I243" s="10" t="str">
        <x:v>AUTHORED_TERMINAL</x:v>
      </x:c>
      <x:c r="J243" s="10" t="str">
        <x:v>TEXT:SYN-F05-10-BASE-N17</x:v>
      </x:c>
      <x:c r="K243" s="10" t="str">
        <x:v>TEXT:SYN-F05-10-U01, TEXT:SYN-F05-10-U02</x:v>
      </x:c>
      <x:c r="L243" s="10" t="str">
        <x:v>TEXT:SYN-F05-10-BASE-N17</x:v>
      </x:c>
    </x:row>
    <x:row r="244" ht="52" customHeight="1">
      <x:c r="A244" s="10" t="str">
        <x:v>T-EXEC</x:v>
      </x:c>
      <x:c r="B244" s="10" t="str">
        <x:v>TEXT</x:v>
      </x:c>
      <x:c r="C244" s="10" t="str">
        <x:v>TEXT:SYN-F05-10</x:v>
      </x:c>
      <x:c r="D244" s="10" t="str">
        <x:v>TEXT:SYN-F05-10-G01</x:v>
      </x:c>
      <x:c r="E244" s="11" t="n">
        <x:v>7.194465</x:v>
      </x:c>
      <x:c r="F244" s="11" t="n">
        <x:v>15.544465</x:v>
      </x:c>
      <x:c r="G244" s="11" t="n">
        <x:f>F244-E244</x:f>
        <x:v>8.350000000000001</x:v>
      </x:c>
      <x:c r="H244" s="10" t="n">
        <x:v>1</x:v>
      </x:c>
      <x:c r="I244" s="10" t="str">
        <x:v>AUTHORED_TERMINAL</x:v>
      </x:c>
      <x:c r="J244" s="10" t="str">
        <x:v>TEXT:SYN-F05-10-EXEC-N18</x:v>
      </x:c>
      <x:c r="K244" s="10" t="str">
        <x:v>TEXT:SYN-F05-10-U01, TEXT:SYN-F05-10-U02</x:v>
      </x:c>
      <x:c r="L244" s="10" t="str">
        <x:v>TEXT:SYN-F05-10-EXEC-N18</x:v>
      </x:c>
    </x:row>
    <x:row r="245" ht="52" customHeight="1">
      <x:c r="A245" s="10" t="str">
        <x:v>T-REL</x:v>
      </x:c>
      <x:c r="B245" s="10" t="str">
        <x:v>TEXT</x:v>
      </x:c>
      <x:c r="C245" s="10" t="str">
        <x:v>TEXT:SYN-F05-10</x:v>
      </x:c>
      <x:c r="D245" s="10" t="str">
        <x:v>TEXT:SYN-F05-10-G01</x:v>
      </x:c>
      <x:c r="E245" s="11" t="n">
        <x:v>8.513356</x:v>
      </x:c>
      <x:c r="F245" s="11" t="n">
        <x:v>16.513356</x:v>
      </x:c>
      <x:c r="G245" s="11" t="n">
        <x:f>F245-E245</x:f>
        <x:v>8.000000000000002</x:v>
      </x:c>
      <x:c r="H245" s="10" t="n">
        <x:v>1</x:v>
      </x:c>
      <x:c r="I245" s="10" t="str">
        <x:v>AUTHORED_TERMINAL</x:v>
      </x:c>
      <x:c r="J245" s="10" t="str">
        <x:v>TEXT:SYN-F05-10-REL-N20</x:v>
      </x:c>
      <x:c r="K245" s="10" t="str">
        <x:v>TEXT:SYN-F05-10-U01, TEXT:SYN-F05-10-U02</x:v>
      </x:c>
      <x:c r="L245" s="10" t="str">
        <x:v>TEXT:SYN-F05-10-REL-N20</x:v>
      </x:c>
    </x:row>
    <x:row r="246" ht="52" customHeight="1">
      <x:c r="A246" s="10" t="str">
        <x:v>T-BASE</x:v>
      </x:c>
      <x:c r="B246" s="10" t="str">
        <x:v>TEXT</x:v>
      </x:c>
      <x:c r="C246" s="10" t="str">
        <x:v>TEXT:SYN-F06-01</x:v>
      </x:c>
      <x:c r="D246" s="10" t="str">
        <x:v>TEXT:SYN-F06-01-G01</x:v>
      </x:c>
      <x:c r="E246" s="11" t="n">
        <x:v>7.751893</x:v>
      </x:c>
      <x:c r="F246" s="11" t="n">
        <x:v>15.751893</x:v>
      </x:c>
      <x:c r="G246" s="11" t="n">
        <x:f>F246-E246</x:f>
        <x:v>8</x:v>
      </x:c>
      <x:c r="H246" s="10" t="n">
        <x:v>1</x:v>
      </x:c>
      <x:c r="I246" s="10" t="str">
        <x:v>AUTHORED_TERMINAL</x:v>
      </x:c>
      <x:c r="J246" s="10" t="str">
        <x:v>TEXT:SYN-F06-01-BASE-N17</x:v>
      </x:c>
      <x:c r="K246" s="10" t="str">
        <x:v>TEXT:SYN-F06-01-U01, TEXT:SYN-F06-01-U02</x:v>
      </x:c>
      <x:c r="L246" s="10" t="str">
        <x:v>TEXT:SYN-F06-01-BASE-N17</x:v>
      </x:c>
    </x:row>
    <x:row r="247" ht="52" customHeight="1">
      <x:c r="A247" s="10" t="str">
        <x:v>T-EXEC</x:v>
      </x:c>
      <x:c r="B247" s="10" t="str">
        <x:v>TEXT</x:v>
      </x:c>
      <x:c r="C247" s="10" t="str">
        <x:v>TEXT:SYN-F06-01</x:v>
      </x:c>
      <x:c r="D247" s="10" t="str">
        <x:v>TEXT:SYN-F06-01-G01</x:v>
      </x:c>
      <x:c r="E247" s="11" t="n">
        <x:v>7.002607</x:v>
      </x:c>
      <x:c r="F247" s="11" t="n">
        <x:v>15.352607</x:v>
      </x:c>
      <x:c r="G247" s="11" t="n">
        <x:f>F247-E247</x:f>
        <x:v>8.350000000000001</x:v>
      </x:c>
      <x:c r="H247" s="10" t="n">
        <x:v>0</x:v>
      </x:c>
      <x:c r="I247" s="10" t="str">
        <x:v>AUTHORED_TERMINAL</x:v>
      </x:c>
      <x:c r="J247" s="10" t="str">
        <x:v>TEXT:SYN-F06-01-EXEC-N18</x:v>
      </x:c>
      <x:c r="K247" s="10" t="str">
        <x:v>TEXT:SYN-F06-01-U01, TEXT:SYN-F06-01-U02</x:v>
      </x:c>
      <x:c r="L247" s="10" t="str">
        <x:v>TEXT:SYN-F06-01-EXEC-N18</x:v>
      </x:c>
    </x:row>
    <x:row r="248" ht="52" customHeight="1">
      <x:c r="A248" s="10" t="str">
        <x:v>T-REL</x:v>
      </x:c>
      <x:c r="B248" s="10" t="str">
        <x:v>TEXT</x:v>
      </x:c>
      <x:c r="C248" s="10" t="str">
        <x:v>TEXT:SYN-F06-01</x:v>
      </x:c>
      <x:c r="D248" s="10" t="str">
        <x:v>TEXT:SYN-F06-01-G01</x:v>
      </x:c>
      <x:c r="E248" s="11" t="n">
        <x:v>5.970607</x:v>
      </x:c>
      <x:c r="F248" s="11" t="n">
        <x:v>13.970607</x:v>
      </x:c>
      <x:c r="G248" s="11" t="n">
        <x:f>F248-E248</x:f>
        <x:v>7.999999999999999</x:v>
      </x:c>
      <x:c r="H248" s="10" t="n">
        <x:v>0</x:v>
      </x:c>
      <x:c r="I248" s="10" t="str">
        <x:v>AUTHORED_TERMINAL</x:v>
      </x:c>
      <x:c r="J248" s="10" t="str">
        <x:v>TEXT:SYN-F06-01-REL-N20</x:v>
      </x:c>
      <x:c r="K248" s="10" t="str">
        <x:v>TEXT:SYN-F06-01-U01, TEXT:SYN-F06-01-U02</x:v>
      </x:c>
      <x:c r="L248" s="10" t="str">
        <x:v>TEXT:SYN-F06-01-REL-N20</x:v>
      </x:c>
    </x:row>
    <x:row r="249" ht="52" customHeight="1">
      <x:c r="A249" s="10" t="str">
        <x:v>T-BASE</x:v>
      </x:c>
      <x:c r="B249" s="10" t="str">
        <x:v>TEXT</x:v>
      </x:c>
      <x:c r="C249" s="10" t="str">
        <x:v>TEXT:SYN-F06-02</x:v>
      </x:c>
      <x:c r="D249" s="10" t="str">
        <x:v>TEXT:SYN-F06-02-G01</x:v>
      </x:c>
      <x:c r="E249" s="11" t="n">
        <x:v>7.900714</x:v>
      </x:c>
      <x:c r="F249" s="11" t="n">
        <x:v>15.900714</x:v>
      </x:c>
      <x:c r="G249" s="11" t="n">
        <x:f>F249-E249</x:f>
        <x:v>8</x:v>
      </x:c>
      <x:c r="H249" s="10" t="n">
        <x:v>1</x:v>
      </x:c>
      <x:c r="I249" s="10" t="str">
        <x:v>AUTHORED_TERMINAL</x:v>
      </x:c>
      <x:c r="J249" s="10" t="str">
        <x:v>TEXT:SYN-F06-02-BASE-N17</x:v>
      </x:c>
      <x:c r="K249" s="10" t="str">
        <x:v>TEXT:SYN-F06-02-U01, TEXT:SYN-F06-02-U02</x:v>
      </x:c>
      <x:c r="L249" s="10" t="str">
        <x:v>TEXT:SYN-F06-02-BASE-N17</x:v>
      </x:c>
    </x:row>
    <x:row r="250" ht="52" customHeight="1">
      <x:c r="A250" s="10" t="str">
        <x:v>T-EXEC</x:v>
      </x:c>
      <x:c r="B250" s="10" t="str">
        <x:v>TEXT</x:v>
      </x:c>
      <x:c r="C250" s="10" t="str">
        <x:v>TEXT:SYN-F06-02</x:v>
      </x:c>
      <x:c r="D250" s="10" t="str">
        <x:v>TEXT:SYN-F06-02-G01</x:v>
      </x:c>
      <x:c r="E250" s="11" t="n">
        <x:v>7.127214</x:v>
      </x:c>
      <x:c r="F250" s="11" t="n">
        <x:v>15.477214</x:v>
      </x:c>
      <x:c r="G250" s="11" t="n">
        <x:f>F250-E250</x:f>
        <x:v>8.35</x:v>
      </x:c>
      <x:c r="H250" s="10" t="n">
        <x:v>1</x:v>
      </x:c>
      <x:c r="I250" s="10" t="str">
        <x:v>AUTHORED_TERMINAL</x:v>
      </x:c>
      <x:c r="J250" s="10" t="str">
        <x:v>TEXT:SYN-F06-02-EXEC-N18</x:v>
      </x:c>
      <x:c r="K250" s="10" t="str">
        <x:v>TEXT:SYN-F06-02-U01, TEXT:SYN-F06-02-U02</x:v>
      </x:c>
      <x:c r="L250" s="10" t="str">
        <x:v>TEXT:SYN-F06-02-EXEC-N18</x:v>
      </x:c>
    </x:row>
    <x:row r="251" ht="52" customHeight="1">
      <x:c r="A251" s="10" t="str">
        <x:v>T-REL</x:v>
      </x:c>
      <x:c r="B251" s="10" t="str">
        <x:v>TEXT</x:v>
      </x:c>
      <x:c r="C251" s="10" t="str">
        <x:v>TEXT:SYN-F06-02</x:v>
      </x:c>
      <x:c r="D251" s="10" t="str">
        <x:v>TEXT:SYN-F06-02-G01</x:v>
      </x:c>
      <x:c r="E251" s="11" t="n">
        <x:v>6.069428</x:v>
      </x:c>
      <x:c r="F251" s="11" t="n">
        <x:v>14.069428</x:v>
      </x:c>
      <x:c r="G251" s="11" t="n">
        <x:f>F251-E251</x:f>
        <x:v>8</x:v>
      </x:c>
      <x:c r="H251" s="10" t="n">
        <x:v>1</x:v>
      </x:c>
      <x:c r="I251" s="10" t="str">
        <x:v>AUTHORED_TERMINAL</x:v>
      </x:c>
      <x:c r="J251" s="10" t="str">
        <x:v>TEXT:SYN-F06-02-REL-N20</x:v>
      </x:c>
      <x:c r="K251" s="10" t="str">
        <x:v>TEXT:SYN-F06-02-U01, TEXT:SYN-F06-02-U02</x:v>
      </x:c>
      <x:c r="L251" s="10" t="str">
        <x:v>TEXT:SYN-F06-02-REL-N20</x:v>
      </x:c>
    </x:row>
    <x:row r="252" ht="52" customHeight="1">
      <x:c r="A252" s="10" t="str">
        <x:v>T-BASE</x:v>
      </x:c>
      <x:c r="B252" s="10" t="str">
        <x:v>TEXT</x:v>
      </x:c>
      <x:c r="C252" s="10" t="str">
        <x:v>TEXT:SYN-F06-03</x:v>
      </x:c>
      <x:c r="D252" s="10" t="str">
        <x:v>TEXT:SYN-F06-03-G01</x:v>
      </x:c>
      <x:c r="E252" s="11" t="n">
        <x:v>8.049536</x:v>
      </x:c>
      <x:c r="F252" s="11" t="n">
        <x:v>16.049536</x:v>
      </x:c>
      <x:c r="G252" s="11" t="n">
        <x:f>F252-E252</x:f>
        <x:v>8</x:v>
      </x:c>
      <x:c r="H252" s="10" t="n">
        <x:v>1</x:v>
      </x:c>
      <x:c r="I252" s="10" t="str">
        <x:v>AUTHORED_TERMINAL</x:v>
      </x:c>
      <x:c r="J252" s="10" t="str">
        <x:v>TEXT:SYN-F06-03-BASE-N17</x:v>
      </x:c>
      <x:c r="K252" s="10" t="str">
        <x:v>TEXT:SYN-F06-03-U01, TEXT:SYN-F06-03-U02</x:v>
      </x:c>
      <x:c r="L252" s="10" t="str">
        <x:v>TEXT:SYN-F06-03-BASE-N17</x:v>
      </x:c>
    </x:row>
    <x:row r="253" ht="52" customHeight="1">
      <x:c r="A253" s="10" t="str">
        <x:v>T-EXEC</x:v>
      </x:c>
      <x:c r="B253" s="10" t="str">
        <x:v>TEXT</x:v>
      </x:c>
      <x:c r="C253" s="10" t="str">
        <x:v>TEXT:SYN-F06-03</x:v>
      </x:c>
      <x:c r="D253" s="10" t="str">
        <x:v>TEXT:SYN-F06-03-G01</x:v>
      </x:c>
      <x:c r="E253" s="11" t="n">
        <x:v>7.251822</x:v>
      </x:c>
      <x:c r="F253" s="11" t="n">
        <x:v>15.601822</x:v>
      </x:c>
      <x:c r="G253" s="11" t="n">
        <x:f>F253-E253</x:f>
        <x:v>8.350000000000001</x:v>
      </x:c>
      <x:c r="H253" s="10" t="n">
        <x:v>1</x:v>
      </x:c>
      <x:c r="I253" s="10" t="str">
        <x:v>AUTHORED_TERMINAL</x:v>
      </x:c>
      <x:c r="J253" s="10" t="str">
        <x:v>TEXT:SYN-F06-03-EXEC-N18</x:v>
      </x:c>
      <x:c r="K253" s="10" t="str">
        <x:v>TEXT:SYN-F06-03-U01, TEXT:SYN-F06-03-U02</x:v>
      </x:c>
      <x:c r="L253" s="10" t="str">
        <x:v>TEXT:SYN-F06-03-EXEC-N18</x:v>
      </x:c>
    </x:row>
    <x:row r="254" ht="52" customHeight="1">
      <x:c r="A254" s="10" t="str">
        <x:v>T-REL</x:v>
      </x:c>
      <x:c r="B254" s="10" t="str">
        <x:v>TEXT</x:v>
      </x:c>
      <x:c r="C254" s="10" t="str">
        <x:v>TEXT:SYN-F06-03</x:v>
      </x:c>
      <x:c r="D254" s="10" t="str">
        <x:v>TEXT:SYN-F06-03-G01</x:v>
      </x:c>
      <x:c r="E254" s="11" t="n">
        <x:v>6.16825</x:v>
      </x:c>
      <x:c r="F254" s="11" t="n">
        <x:v>14.16825</x:v>
      </x:c>
      <x:c r="G254" s="11" t="n">
        <x:f>F254-E254</x:f>
        <x:v>8</x:v>
      </x:c>
      <x:c r="H254" s="10" t="n">
        <x:v>1</x:v>
      </x:c>
      <x:c r="I254" s="10" t="str">
        <x:v>AUTHORED_TERMINAL</x:v>
      </x:c>
      <x:c r="J254" s="10" t="str">
        <x:v>TEXT:SYN-F06-03-REL-N20</x:v>
      </x:c>
      <x:c r="K254" s="10" t="str">
        <x:v>TEXT:SYN-F06-03-U01, TEXT:SYN-F06-03-U02</x:v>
      </x:c>
      <x:c r="L254" s="10" t="str">
        <x:v>TEXT:SYN-F06-03-REL-N20</x:v>
      </x:c>
    </x:row>
    <x:row r="255" ht="52" customHeight="1">
      <x:c r="A255" s="10" t="str">
        <x:v>T-BASE</x:v>
      </x:c>
      <x:c r="B255" s="10" t="str">
        <x:v>TEXT</x:v>
      </x:c>
      <x:c r="C255" s="10" t="str">
        <x:v>TEXT:SYN-F06-04</x:v>
      </x:c>
      <x:c r="D255" s="10" t="str">
        <x:v>TEXT:SYN-F06-04-G01</x:v>
      </x:c>
      <x:c r="E255" s="11" t="n">
        <x:v>8.048357</x:v>
      </x:c>
      <x:c r="F255" s="11" t="n">
        <x:v>16.048357</x:v>
      </x:c>
      <x:c r="G255" s="11" t="n">
        <x:f>F255-E255</x:f>
        <x:v>8</x:v>
      </x:c>
      <x:c r="H255" s="10" t="n">
        <x:v>1</x:v>
      </x:c>
      <x:c r="I255" s="10" t="str">
        <x:v>AUTHORED_TERMINAL</x:v>
      </x:c>
      <x:c r="J255" s="10" t="str">
        <x:v>TEXT:SYN-F06-04-BASE-N17</x:v>
      </x:c>
      <x:c r="K255" s="10" t="str">
        <x:v>TEXT:SYN-F06-04-U01, TEXT:SYN-F06-04-U02</x:v>
      </x:c>
      <x:c r="L255" s="10" t="str">
        <x:v>TEXT:SYN-F06-04-BASE-N17</x:v>
      </x:c>
    </x:row>
    <x:row r="256" ht="52" customHeight="1">
      <x:c r="A256" s="10" t="str">
        <x:v>T-EXEC</x:v>
      </x:c>
      <x:c r="B256" s="10" t="str">
        <x:v>TEXT</x:v>
      </x:c>
      <x:c r="C256" s="10" t="str">
        <x:v>TEXT:SYN-F06-04</x:v>
      </x:c>
      <x:c r="D256" s="10" t="str">
        <x:v>TEXT:SYN-F06-04-G01</x:v>
      </x:c>
      <x:c r="E256" s="11" t="n">
        <x:v>7.207679</x:v>
      </x:c>
      <x:c r="F256" s="11" t="n">
        <x:v>15.557679</x:v>
      </x:c>
      <x:c r="G256" s="11" t="n">
        <x:f>F256-E256</x:f>
        <x:v>8.350000000000001</x:v>
      </x:c>
      <x:c r="H256" s="10" t="n">
        <x:v>0</x:v>
      </x:c>
      <x:c r="I256" s="10" t="str">
        <x:v>AUTHORED_TERMINAL</x:v>
      </x:c>
      <x:c r="J256" s="10" t="str">
        <x:v>TEXT:SYN-F06-04-EXEC-N18</x:v>
      </x:c>
      <x:c r="K256" s="10" t="str">
        <x:v>TEXT:SYN-F06-04-U01, TEXT:SYN-F06-04-U02</x:v>
      </x:c>
      <x:c r="L256" s="10" t="str">
        <x:v>TEXT:SYN-F06-04-EXEC-N18</x:v>
      </x:c>
    </x:row>
    <x:row r="257" ht="52" customHeight="1">
      <x:c r="A257" s="10" t="str">
        <x:v>T-REL</x:v>
      </x:c>
      <x:c r="B257" s="10" t="str">
        <x:v>TEXT</x:v>
      </x:c>
      <x:c r="C257" s="10" t="str">
        <x:v>TEXT:SYN-F06-04</x:v>
      </x:c>
      <x:c r="D257" s="10" t="str">
        <x:v>TEXT:SYN-F06-04-G01</x:v>
      </x:c>
      <x:c r="E257" s="11" t="n">
        <x:v>6.267071</x:v>
      </x:c>
      <x:c r="F257" s="11" t="n">
        <x:v>14.267071</x:v>
      </x:c>
      <x:c r="G257" s="11" t="n">
        <x:f>F257-E257</x:f>
        <x:v>8</x:v>
      </x:c>
      <x:c r="H257" s="10" t="n">
        <x:v>0</x:v>
      </x:c>
      <x:c r="I257" s="10" t="str">
        <x:v>AUTHORED_TERMINAL</x:v>
      </x:c>
      <x:c r="J257" s="10" t="str">
        <x:v>TEXT:SYN-F06-04-REL-N20</x:v>
      </x:c>
      <x:c r="K257" s="10" t="str">
        <x:v>TEXT:SYN-F06-04-U01, TEXT:SYN-F06-04-U02</x:v>
      </x:c>
      <x:c r="L257" s="10" t="str">
        <x:v>TEXT:SYN-F06-04-REL-N20</x:v>
      </x:c>
    </x:row>
    <x:row r="258" ht="52" customHeight="1">
      <x:c r="A258" s="10" t="str">
        <x:v>T-BASE</x:v>
      </x:c>
      <x:c r="B258" s="10" t="str">
        <x:v>TEXT</x:v>
      </x:c>
      <x:c r="C258" s="10" t="str">
        <x:v>TEXT:SYN-F06-05</x:v>
      </x:c>
      <x:c r="D258" s="10" t="str">
        <x:v>TEXT:SYN-F06-05-G01</x:v>
      </x:c>
      <x:c r="E258" s="11" t="n">
        <x:v>8.122179</x:v>
      </x:c>
      <x:c r="F258" s="11" t="n">
        <x:v>16.122179</x:v>
      </x:c>
      <x:c r="G258" s="11" t="n">
        <x:f>F258-E258</x:f>
        <x:v>8</x:v>
      </x:c>
      <x:c r="H258" s="10" t="n">
        <x:v>1</x:v>
      </x:c>
      <x:c r="I258" s="10" t="str">
        <x:v>AUTHORED_TERMINAL</x:v>
      </x:c>
      <x:c r="J258" s="10" t="str">
        <x:v>TEXT:SYN-F06-05-BASE-N17</x:v>
      </x:c>
      <x:c r="K258" s="10" t="str">
        <x:v>TEXT:SYN-F06-05-U01, TEXT:SYN-F06-05-U02</x:v>
      </x:c>
      <x:c r="L258" s="10" t="str">
        <x:v>TEXT:SYN-F06-05-BASE-N17</x:v>
      </x:c>
    </x:row>
    <x:row r="259" ht="52" customHeight="1">
      <x:c r="A259" s="10" t="str">
        <x:v>T-EXEC</x:v>
      </x:c>
      <x:c r="B259" s="10" t="str">
        <x:v>TEXT</x:v>
      </x:c>
      <x:c r="C259" s="10" t="str">
        <x:v>TEXT:SYN-F06-05</x:v>
      </x:c>
      <x:c r="D259" s="10" t="str">
        <x:v>TEXT:SYN-F06-05-G01</x:v>
      </x:c>
      <x:c r="E259" s="11" t="n">
        <x:v>7.232286</x:v>
      </x:c>
      <x:c r="F259" s="11" t="n">
        <x:v>15.582286</x:v>
      </x:c>
      <x:c r="G259" s="11" t="n">
        <x:f>F259-E259</x:f>
        <x:v>8.35</x:v>
      </x:c>
      <x:c r="H259" s="10" t="n">
        <x:v>1</x:v>
      </x:c>
      <x:c r="I259" s="10" t="str">
        <x:v>AUTHORED_TERMINAL</x:v>
      </x:c>
      <x:c r="J259" s="10" t="str">
        <x:v>TEXT:SYN-F06-05-EXEC-N18</x:v>
      </x:c>
      <x:c r="K259" s="10" t="str">
        <x:v>TEXT:SYN-F06-05-U01, TEXT:SYN-F06-05-U02</x:v>
      </x:c>
      <x:c r="L259" s="10" t="str">
        <x:v>TEXT:SYN-F06-05-EXEC-N18</x:v>
      </x:c>
    </x:row>
    <x:row r="260" ht="52" customHeight="1">
      <x:c r="A260" s="10" t="str">
        <x:v>T-REL</x:v>
      </x:c>
      <x:c r="B260" s="10" t="str">
        <x:v>TEXT</x:v>
      </x:c>
      <x:c r="C260" s="10" t="str">
        <x:v>TEXT:SYN-F06-05</x:v>
      </x:c>
      <x:c r="D260" s="10" t="str">
        <x:v>TEXT:SYN-F06-05-G01</x:v>
      </x:c>
      <x:c r="E260" s="11" t="n">
        <x:v>6.290893</x:v>
      </x:c>
      <x:c r="F260" s="11" t="n">
        <x:v>14.290893</x:v>
      </x:c>
      <x:c r="G260" s="11" t="n">
        <x:f>F260-E260</x:f>
        <x:v>8</x:v>
      </x:c>
      <x:c r="H260" s="10" t="n">
        <x:v>1</x:v>
      </x:c>
      <x:c r="I260" s="10" t="str">
        <x:v>AUTHORED_TERMINAL</x:v>
      </x:c>
      <x:c r="J260" s="10" t="str">
        <x:v>TEXT:SYN-F06-05-REL-N20</x:v>
      </x:c>
      <x:c r="K260" s="10" t="str">
        <x:v>TEXT:SYN-F06-05-U01, TEXT:SYN-F06-05-U02</x:v>
      </x:c>
      <x:c r="L260" s="10" t="str">
        <x:v>TEXT:SYN-F06-05-REL-N20</x:v>
      </x:c>
    </x:row>
    <x:row r="261" ht="52" customHeight="1">
      <x:c r="A261" s="10" t="str">
        <x:v>T-BASE</x:v>
      </x:c>
      <x:c r="B261" s="10" t="str">
        <x:v>TEXT</x:v>
      </x:c>
      <x:c r="C261" s="10" t="str">
        <x:v>TEXT:SYN-F06-06</x:v>
      </x:c>
      <x:c r="D261" s="10" t="str">
        <x:v>TEXT:SYN-F06-06-G01</x:v>
      </x:c>
      <x:c r="E261" s="11" t="n">
        <x:v>8.1885</x:v>
      </x:c>
      <x:c r="F261" s="11" t="n">
        <x:v>16.1885</x:v>
      </x:c>
      <x:c r="G261" s="11" t="n">
        <x:f>F261-E261</x:f>
        <x:v>8.000000000000002</x:v>
      </x:c>
      <x:c r="H261" s="10" t="n">
        <x:v>1</x:v>
      </x:c>
      <x:c r="I261" s="10" t="str">
        <x:v>AUTHORED_TERMINAL</x:v>
      </x:c>
      <x:c r="J261" s="10" t="str">
        <x:v>TEXT:SYN-F06-06-BASE-N17</x:v>
      </x:c>
      <x:c r="K261" s="10" t="str">
        <x:v>TEXT:SYN-F06-06-U01, TEXT:SYN-F06-06-U02</x:v>
      </x:c>
      <x:c r="L261" s="10" t="str">
        <x:v>TEXT:SYN-F06-06-BASE-N17</x:v>
      </x:c>
    </x:row>
    <x:row r="262" ht="52" customHeight="1">
      <x:c r="A262" s="10" t="str">
        <x:v>T-EXEC</x:v>
      </x:c>
      <x:c r="B262" s="10" t="str">
        <x:v>TEXT</x:v>
      </x:c>
      <x:c r="C262" s="10" t="str">
        <x:v>TEXT:SYN-F06-06</x:v>
      </x:c>
      <x:c r="D262" s="10" t="str">
        <x:v>TEXT:SYN-F06-06-G01</x:v>
      </x:c>
      <x:c r="E262" s="11" t="n">
        <x:v>7.274393</x:v>
      </x:c>
      <x:c r="F262" s="11" t="n">
        <x:v>15.624393</x:v>
      </x:c>
      <x:c r="G262" s="11" t="n">
        <x:f>F262-E262</x:f>
        <x:v>8.35</x:v>
      </x:c>
      <x:c r="H262" s="10" t="n">
        <x:v>1</x:v>
      </x:c>
      <x:c r="I262" s="10" t="str">
        <x:v>AUTHORED_TERMINAL</x:v>
      </x:c>
      <x:c r="J262" s="10" t="str">
        <x:v>TEXT:SYN-F06-06-EXEC-N18</x:v>
      </x:c>
      <x:c r="K262" s="10" t="str">
        <x:v>TEXT:SYN-F06-06-U01, TEXT:SYN-F06-06-U02</x:v>
      </x:c>
      <x:c r="L262" s="10" t="str">
        <x:v>TEXT:SYN-F06-06-EXEC-N18</x:v>
      </x:c>
    </x:row>
    <x:row r="263" ht="52" customHeight="1">
      <x:c r="A263" s="10" t="str">
        <x:v>T-REL</x:v>
      </x:c>
      <x:c r="B263" s="10" t="str">
        <x:v>TEXT</x:v>
      </x:c>
      <x:c r="C263" s="10" t="str">
        <x:v>TEXT:SYN-F06-06</x:v>
      </x:c>
      <x:c r="D263" s="10" t="str">
        <x:v>TEXT:SYN-F06-06-G01</x:v>
      </x:c>
      <x:c r="E263" s="11" t="n">
        <x:v>6.307214</x:v>
      </x:c>
      <x:c r="F263" s="11" t="n">
        <x:v>14.307214</x:v>
      </x:c>
      <x:c r="G263" s="11" t="n">
        <x:f>F263-E263</x:f>
        <x:v>8</x:v>
      </x:c>
      <x:c r="H263" s="10" t="n">
        <x:v>1</x:v>
      </x:c>
      <x:c r="I263" s="10" t="str">
        <x:v>AUTHORED_TERMINAL</x:v>
      </x:c>
      <x:c r="J263" s="10" t="str">
        <x:v>TEXT:SYN-F06-06-REL-N20</x:v>
      </x:c>
      <x:c r="K263" s="10" t="str">
        <x:v>TEXT:SYN-F06-06-U01, TEXT:SYN-F06-06-U02</x:v>
      </x:c>
      <x:c r="L263" s="10" t="str">
        <x:v>TEXT:SYN-F06-06-REL-N20</x:v>
      </x:c>
    </x:row>
    <x:row r="264" ht="52" customHeight="1">
      <x:c r="A264" s="10" t="str">
        <x:v>T-BASE</x:v>
      </x:c>
      <x:c r="B264" s="10" t="str">
        <x:v>TEXT</x:v>
      </x:c>
      <x:c r="C264" s="10" t="str">
        <x:v>TEXT:SYN-F06-07</x:v>
      </x:c>
      <x:c r="D264" s="10" t="str">
        <x:v>TEXT:SYN-F06-07-G01</x:v>
      </x:c>
      <x:c r="E264" s="11" t="n">
        <x:v>8.187321</x:v>
      </x:c>
      <x:c r="F264" s="11" t="n">
        <x:v>16.187321</x:v>
      </x:c>
      <x:c r="G264" s="11" t="n">
        <x:f>F264-E264</x:f>
        <x:v>8</x:v>
      </x:c>
      <x:c r="H264" s="10" t="n">
        <x:v>1</x:v>
      </x:c>
      <x:c r="I264" s="10" t="str">
        <x:v>AUTHORED_TERMINAL</x:v>
      </x:c>
      <x:c r="J264" s="10" t="str">
        <x:v>TEXT:SYN-F06-07-BASE-N17</x:v>
      </x:c>
      <x:c r="K264" s="10" t="str">
        <x:v>TEXT:SYN-F06-07-U01, TEXT:SYN-F06-07-U02</x:v>
      </x:c>
      <x:c r="L264" s="10" t="str">
        <x:v>TEXT:SYN-F06-07-BASE-N17</x:v>
      </x:c>
    </x:row>
    <x:row r="265" ht="52" customHeight="1">
      <x:c r="A265" s="10" t="str">
        <x:v>T-EXEC</x:v>
      </x:c>
      <x:c r="B265" s="10" t="str">
        <x:v>TEXT</x:v>
      </x:c>
      <x:c r="C265" s="10" t="str">
        <x:v>TEXT:SYN-F06-07</x:v>
      </x:c>
      <x:c r="D265" s="10" t="str">
        <x:v>TEXT:SYN-F06-07-G01</x:v>
      </x:c>
      <x:c r="E265" s="11" t="n">
        <x:v>7.230249</x:v>
      </x:c>
      <x:c r="F265" s="11" t="n">
        <x:v>15.580249</x:v>
      </x:c>
      <x:c r="G265" s="11" t="n">
        <x:f>F265-E265</x:f>
        <x:v>8.350000000000001</x:v>
      </x:c>
      <x:c r="H265" s="10" t="n">
        <x:v>1</x:v>
      </x:c>
      <x:c r="I265" s="10" t="str">
        <x:v>AUTHORED_TERMINAL</x:v>
      </x:c>
      <x:c r="J265" s="10" t="str">
        <x:v>TEXT:SYN-F06-07-EXEC-N18</x:v>
      </x:c>
      <x:c r="K265" s="10" t="str">
        <x:v>TEXT:SYN-F06-07-U01, TEXT:SYN-F06-07-U02</x:v>
      </x:c>
      <x:c r="L265" s="10" t="str">
        <x:v>TEXT:SYN-F06-07-EXEC-N18</x:v>
      </x:c>
    </x:row>
    <x:row r="266" ht="52" customHeight="1">
      <x:c r="A266" s="10" t="str">
        <x:v>T-REL</x:v>
      </x:c>
      <x:c r="B266" s="10" t="str">
        <x:v>TEXT</x:v>
      </x:c>
      <x:c r="C266" s="10" t="str">
        <x:v>TEXT:SYN-F06-07</x:v>
      </x:c>
      <x:c r="D266" s="10" t="str">
        <x:v>TEXT:SYN-F06-07-G01</x:v>
      </x:c>
      <x:c r="E266" s="11" t="n">
        <x:v>6.406037</x:v>
      </x:c>
      <x:c r="F266" s="11" t="n">
        <x:v>14.406037</x:v>
      </x:c>
      <x:c r="G266" s="11" t="n">
        <x:f>F266-E266</x:f>
        <x:v>7.999999999999999</x:v>
      </x:c>
      <x:c r="H266" s="10" t="n">
        <x:v>0</x:v>
      </x:c>
      <x:c r="I266" s="10" t="str">
        <x:v>AUTHORED_TERMINAL</x:v>
      </x:c>
      <x:c r="J266" s="10" t="str">
        <x:v>TEXT:SYN-F06-07-REL-N20</x:v>
      </x:c>
      <x:c r="K266" s="10" t="str">
        <x:v>TEXT:SYN-F06-07-U01, TEXT:SYN-F06-07-U02</x:v>
      </x:c>
      <x:c r="L266" s="10" t="str">
        <x:v>TEXT:SYN-F06-07-REL-N20</x:v>
      </x:c>
    </x:row>
    <x:row r="267" ht="52" customHeight="1">
      <x:c r="A267" s="10" t="str">
        <x:v>T-BASE</x:v>
      </x:c>
      <x:c r="B267" s="10" t="str">
        <x:v>TEXT</x:v>
      </x:c>
      <x:c r="C267" s="10" t="str">
        <x:v>TEXT:SYN-F06-08</x:v>
      </x:c>
      <x:c r="D267" s="10" t="str">
        <x:v>TEXT:SYN-F06-08-G01</x:v>
      </x:c>
      <x:c r="E267" s="11" t="n">
        <x:v>8.336143</x:v>
      </x:c>
      <x:c r="F267" s="11" t="n">
        <x:v>16.336143</x:v>
      </x:c>
      <x:c r="G267" s="11" t="n">
        <x:f>F267-E267</x:f>
        <x:v>8</x:v>
      </x:c>
      <x:c r="H267" s="10" t="n">
        <x:v>1</x:v>
      </x:c>
      <x:c r="I267" s="10" t="str">
        <x:v>AUTHORED_TERMINAL</x:v>
      </x:c>
      <x:c r="J267" s="10" t="str">
        <x:v>TEXT:SYN-F06-08-BASE-N17</x:v>
      </x:c>
      <x:c r="K267" s="10" t="str">
        <x:v>TEXT:SYN-F06-08-U01, TEXT:SYN-F06-08-U02</x:v>
      </x:c>
      <x:c r="L267" s="10" t="str">
        <x:v>TEXT:SYN-F06-08-BASE-N17</x:v>
      </x:c>
    </x:row>
    <x:row r="268" ht="52" customHeight="1">
      <x:c r="A268" s="10" t="str">
        <x:v>T-EXEC</x:v>
      </x:c>
      <x:c r="B268" s="10" t="str">
        <x:v>TEXT</x:v>
      </x:c>
      <x:c r="C268" s="10" t="str">
        <x:v>TEXT:SYN-F06-08</x:v>
      </x:c>
      <x:c r="D268" s="10" t="str">
        <x:v>TEXT:SYN-F06-08-G01</x:v>
      </x:c>
      <x:c r="E268" s="11" t="n">
        <x:v>7.354857</x:v>
      </x:c>
      <x:c r="F268" s="11" t="n">
        <x:v>15.704857</x:v>
      </x:c>
      <x:c r="G268" s="11" t="n">
        <x:f>F268-E268</x:f>
        <x:v>8.350000000000001</x:v>
      </x:c>
      <x:c r="H268" s="10" t="n">
        <x:v>0</x:v>
      </x:c>
      <x:c r="I268" s="10" t="str">
        <x:v>AUTHORED_TERMINAL</x:v>
      </x:c>
      <x:c r="J268" s="10" t="str">
        <x:v>TEXT:SYN-F06-08-EXEC-N18</x:v>
      </x:c>
      <x:c r="K268" s="10" t="str">
        <x:v>TEXT:SYN-F06-08-U01, TEXT:SYN-F06-08-U02</x:v>
      </x:c>
      <x:c r="L268" s="10" t="str">
        <x:v>TEXT:SYN-F06-08-EXEC-N18</x:v>
      </x:c>
    </x:row>
    <x:row r="269" ht="52" customHeight="1">
      <x:c r="A269" s="10" t="str">
        <x:v>T-REL</x:v>
      </x:c>
      <x:c r="B269" s="10" t="str">
        <x:v>TEXT</x:v>
      </x:c>
      <x:c r="C269" s="10" t="str">
        <x:v>TEXT:SYN-F06-08</x:v>
      </x:c>
      <x:c r="D269" s="10" t="str">
        <x:v>TEXT:SYN-F06-08-G01</x:v>
      </x:c>
      <x:c r="E269" s="11" t="n">
        <x:v>6.504857</x:v>
      </x:c>
      <x:c r="F269" s="11" t="n">
        <x:v>14.504857</x:v>
      </x:c>
      <x:c r="G269" s="11" t="n">
        <x:f>F269-E269</x:f>
        <x:v>7.999999999999999</x:v>
      </x:c>
      <x:c r="H269" s="10" t="n">
        <x:v>1</x:v>
      </x:c>
      <x:c r="I269" s="10" t="str">
        <x:v>AUTHORED_TERMINAL</x:v>
      </x:c>
      <x:c r="J269" s="10" t="str">
        <x:v>TEXT:SYN-F06-08-REL-N20</x:v>
      </x:c>
      <x:c r="K269" s="10" t="str">
        <x:v>TEXT:SYN-F06-08-U01, TEXT:SYN-F06-08-U02</x:v>
      </x:c>
      <x:c r="L269" s="10" t="str">
        <x:v>TEXT:SYN-F06-08-REL-N20</x:v>
      </x:c>
    </x:row>
    <x:row r="270" ht="52" customHeight="1">
      <x:c r="A270" s="10" t="str">
        <x:v>T-BASE</x:v>
      </x:c>
      <x:c r="B270" s="10" t="str">
        <x:v>TEXT</x:v>
      </x:c>
      <x:c r="C270" s="10" t="str">
        <x:v>TEXT:SYN-F06-09</x:v>
      </x:c>
      <x:c r="D270" s="10" t="str">
        <x:v>TEXT:SYN-F06-09-G01</x:v>
      </x:c>
      <x:c r="E270" s="11" t="n">
        <x:v>8.409964</x:v>
      </x:c>
      <x:c r="F270" s="11" t="n">
        <x:v>16.409964</x:v>
      </x:c>
      <x:c r="G270" s="11" t="n">
        <x:f>F270-E270</x:f>
        <x:v>7.999999999999998</x:v>
      </x:c>
      <x:c r="H270" s="10" t="n">
        <x:v>1</x:v>
      </x:c>
      <x:c r="I270" s="10" t="str">
        <x:v>AUTHORED_TERMINAL</x:v>
      </x:c>
      <x:c r="J270" s="10" t="str">
        <x:v>TEXT:SYN-F06-09-BASE-N17</x:v>
      </x:c>
      <x:c r="K270" s="10" t="str">
        <x:v>TEXT:SYN-F06-09-U01, TEXT:SYN-F06-09-U02</x:v>
      </x:c>
      <x:c r="L270" s="10" t="str">
        <x:v>TEXT:SYN-F06-09-BASE-N17</x:v>
      </x:c>
    </x:row>
    <x:row r="271" ht="52" customHeight="1">
      <x:c r="A271" s="10" t="str">
        <x:v>T-EXEC</x:v>
      </x:c>
      <x:c r="B271" s="10" t="str">
        <x:v>TEXT</x:v>
      </x:c>
      <x:c r="C271" s="10" t="str">
        <x:v>TEXT:SYN-F06-09</x:v>
      </x:c>
      <x:c r="D271" s="10" t="str">
        <x:v>TEXT:SYN-F06-09-G01</x:v>
      </x:c>
      <x:c r="E271" s="11" t="n">
        <x:v>7.379464</x:v>
      </x:c>
      <x:c r="F271" s="11" t="n">
        <x:v>15.729464</x:v>
      </x:c>
      <x:c r="G271" s="11" t="n">
        <x:f>F271-E271</x:f>
        <x:v>8.350000000000001</x:v>
      </x:c>
      <x:c r="H271" s="10" t="n">
        <x:v>1</x:v>
      </x:c>
      <x:c r="I271" s="10" t="str">
        <x:v>AUTHORED_TERMINAL</x:v>
      </x:c>
      <x:c r="J271" s="10" t="str">
        <x:v>TEXT:SYN-F06-09-EXEC-N18</x:v>
      </x:c>
      <x:c r="K271" s="10" t="str">
        <x:v>TEXT:SYN-F06-09-U01, TEXT:SYN-F06-09-U02</x:v>
      </x:c>
      <x:c r="L271" s="10" t="str">
        <x:v>TEXT:SYN-F06-09-EXEC-N18</x:v>
      </x:c>
    </x:row>
    <x:row r="272" ht="52" customHeight="1">
      <x:c r="A272" s="10" t="str">
        <x:v>T-REL</x:v>
      </x:c>
      <x:c r="B272" s="10" t="str">
        <x:v>TEXT</x:v>
      </x:c>
      <x:c r="C272" s="10" t="str">
        <x:v>TEXT:SYN-F06-09</x:v>
      </x:c>
      <x:c r="D272" s="10" t="str">
        <x:v>TEXT:SYN-F06-09-G01</x:v>
      </x:c>
      <x:c r="E272" s="11" t="n">
        <x:v>6.528678</x:v>
      </x:c>
      <x:c r="F272" s="11" t="n">
        <x:v>14.528678</x:v>
      </x:c>
      <x:c r="G272" s="11" t="n">
        <x:f>F272-E272</x:f>
        <x:v>7.999999999999999</x:v>
      </x:c>
      <x:c r="H272" s="10" t="n">
        <x:v>1</x:v>
      </x:c>
      <x:c r="I272" s="10" t="str">
        <x:v>AUTHORED_TERMINAL</x:v>
      </x:c>
      <x:c r="J272" s="10" t="str">
        <x:v>TEXT:SYN-F06-09-REL-N20</x:v>
      </x:c>
      <x:c r="K272" s="10" t="str">
        <x:v>TEXT:SYN-F06-09-U01, TEXT:SYN-F06-09-U02</x:v>
      </x:c>
      <x:c r="L272" s="10" t="str">
        <x:v>TEXT:SYN-F06-09-REL-N20</x:v>
      </x:c>
    </x:row>
    <x:row r="273" ht="52" customHeight="1">
      <x:c r="A273" s="10" t="str">
        <x:v>T-BASE</x:v>
      </x:c>
      <x:c r="B273" s="10" t="str">
        <x:v>TEXT</x:v>
      </x:c>
      <x:c r="C273" s="10" t="str">
        <x:v>TEXT:SYN-F06-10</x:v>
      </x:c>
      <x:c r="D273" s="10" t="str">
        <x:v>TEXT:SYN-F06-10-G01</x:v>
      </x:c>
      <x:c r="E273" s="11" t="n">
        <x:v>8.408786</x:v>
      </x:c>
      <x:c r="F273" s="11" t="n">
        <x:v>16.408786</x:v>
      </x:c>
      <x:c r="G273" s="11" t="n">
        <x:f>F273-E273</x:f>
        <x:v>8</x:v>
      </x:c>
      <x:c r="H273" s="10" t="n">
        <x:v>1</x:v>
      </x:c>
      <x:c r="I273" s="10" t="str">
        <x:v>AUTHORED_TERMINAL</x:v>
      </x:c>
      <x:c r="J273" s="10" t="str">
        <x:v>TEXT:SYN-F06-10-BASE-N17</x:v>
      </x:c>
      <x:c r="K273" s="10" t="str">
        <x:v>TEXT:SYN-F06-10-U01, TEXT:SYN-F06-10-U02</x:v>
      </x:c>
      <x:c r="L273" s="10" t="str">
        <x:v>TEXT:SYN-F06-10-BASE-N17</x:v>
      </x:c>
    </x:row>
    <x:row r="274" ht="52" customHeight="1">
      <x:c r="A274" s="10" t="str">
        <x:v>T-EXEC</x:v>
      </x:c>
      <x:c r="B274" s="10" t="str">
        <x:v>TEXT</x:v>
      </x:c>
      <x:c r="C274" s="10" t="str">
        <x:v>TEXT:SYN-F06-10</x:v>
      </x:c>
      <x:c r="D274" s="10" t="str">
        <x:v>TEXT:SYN-F06-10-G01</x:v>
      </x:c>
      <x:c r="E274" s="11" t="n">
        <x:v>7.335322</x:v>
      </x:c>
      <x:c r="F274" s="11" t="n">
        <x:v>15.685322</x:v>
      </x:c>
      <x:c r="G274" s="11" t="n">
        <x:f>F274-E274</x:f>
        <x:v>8.35</x:v>
      </x:c>
      <x:c r="H274" s="10" t="n">
        <x:v>1</x:v>
      </x:c>
      <x:c r="I274" s="10" t="str">
        <x:v>AUTHORED_TERMINAL</x:v>
      </x:c>
      <x:c r="J274" s="10" t="str">
        <x:v>TEXT:SYN-F06-10-EXEC-N18</x:v>
      </x:c>
      <x:c r="K274" s="10" t="str">
        <x:v>TEXT:SYN-F06-10-U01, TEXT:SYN-F06-10-U02</x:v>
      </x:c>
      <x:c r="L274" s="10" t="str">
        <x:v>TEXT:SYN-F06-10-EXEC-N18</x:v>
      </x:c>
    </x:row>
    <x:row r="275" ht="52" customHeight="1">
      <x:c r="A275" s="10" t="str">
        <x:v>T-REL</x:v>
      </x:c>
      <x:c r="B275" s="10" t="str">
        <x:v>TEXT</x:v>
      </x:c>
      <x:c r="C275" s="10" t="str">
        <x:v>TEXT:SYN-F06-10</x:v>
      </x:c>
      <x:c r="D275" s="10" t="str">
        <x:v>TEXT:SYN-F06-10-G01</x:v>
      </x:c>
      <x:c r="E275" s="11" t="n">
        <x:v>6.6275</x:v>
      </x:c>
      <x:c r="F275" s="11" t="n">
        <x:v>14.6275</x:v>
      </x:c>
      <x:c r="G275" s="11" t="n">
        <x:f>F275-E275</x:f>
        <x:v>7.999999999999999</x:v>
      </x:c>
      <x:c r="H275" s="10" t="n">
        <x:v>0</x:v>
      </x:c>
      <x:c r="I275" s="10" t="str">
        <x:v>AUTHORED_TERMINAL</x:v>
      </x:c>
      <x:c r="J275" s="10" t="str">
        <x:v>TEXT:SYN-F06-10-REL-N20</x:v>
      </x:c>
      <x:c r="K275" s="10" t="str">
        <x:v>TEXT:SYN-F06-10-U01, TEXT:SYN-F06-10-U02</x:v>
      </x:c>
      <x:c r="L275" s="10" t="str">
        <x:v>TEXT:SYN-F06-10-REL-N20</x:v>
      </x:c>
    </x:row>
    <x:row r="276" ht="52" customHeight="1">
      <x:c r="A276" s="10" t="str">
        <x:v>T-BASE</x:v>
      </x:c>
      <x:c r="B276" s="10" t="str">
        <x:v>TEXT</x:v>
      </x:c>
      <x:c r="C276" s="10" t="str">
        <x:v>TEXT:SYN-F07-01</x:v>
      </x:c>
      <x:c r="D276" s="10" t="str">
        <x:v>TEXT:SYN-F07-01-G01</x:v>
      </x:c>
      <x:c r="E276" s="11" t="n">
        <x:v>9.638821</x:v>
      </x:c>
      <x:c r="F276" s="11" t="n">
        <x:v>27.138821</x:v>
      </x:c>
      <x:c r="G276" s="11" t="n">
        <x:f>F276-E276</x:f>
        <x:v>17.5</x:v>
      </x:c>
      <x:c r="H276" s="10" t="n">
        <x:v>1</x:v>
      </x:c>
      <x:c r="I276" s="10" t="str">
        <x:v>AUTHORED_TERMINAL</x:v>
      </x:c>
      <x:c r="J276" s="10" t="str">
        <x:v>TEXT:SYN-F07-01-BASE-N21</x:v>
      </x:c>
      <x:c r="K276" s="10" t="str">
        <x:v>TEXT:SYN-F07-01-U01, TEXT:SYN-F07-01-U02</x:v>
      </x:c>
      <x:c r="L276" s="10" t="str">
        <x:v>TEXT:SYN-F07-01-BASE-N21</x:v>
      </x:c>
    </x:row>
    <x:row r="277" ht="52" customHeight="1">
      <x:c r="A277" s="10" t="str">
        <x:v>T-EXEC</x:v>
      </x:c>
      <x:c r="B277" s="10" t="str">
        <x:v>TEXT</x:v>
      </x:c>
      <x:c r="C277" s="10" t="str">
        <x:v>TEXT:SYN-F07-01</x:v>
      </x:c>
      <x:c r="D277" s="10" t="str">
        <x:v>TEXT:SYN-F07-01-G01</x:v>
      </x:c>
      <x:c r="E277" s="11" t="n">
        <x:v>10.093821</x:v>
      </x:c>
      <x:c r="F277" s="11" t="n">
        <x:v>27.593821</x:v>
      </x:c>
      <x:c r="G277" s="11" t="n">
        <x:f>F277-E277</x:f>
        <x:v>17.5</x:v>
      </x:c>
      <x:c r="H277" s="10" t="n">
        <x:v>1</x:v>
      </x:c>
      <x:c r="I277" s="10" t="str">
        <x:v>AUTHORED_TERMINAL</x:v>
      </x:c>
      <x:c r="J277" s="10" t="str">
        <x:v>TEXT:SYN-F07-01-EXEC-N22</x:v>
      </x:c>
      <x:c r="K277" s="10" t="str">
        <x:v>TEXT:SYN-F07-01-U01, TEXT:SYN-F07-01-U02</x:v>
      </x:c>
      <x:c r="L277" s="10" t="str">
        <x:v>TEXT:SYN-F07-01-EXEC-N22</x:v>
      </x:c>
    </x:row>
    <x:row r="278" ht="52" customHeight="1">
      <x:c r="A278" s="10" t="str">
        <x:v>T-REL</x:v>
      </x:c>
      <x:c r="B278" s="10" t="str">
        <x:v>TEXT</x:v>
      </x:c>
      <x:c r="C278" s="10" t="str">
        <x:v>TEXT:SYN-F07-01</x:v>
      </x:c>
      <x:c r="D278" s="10" t="str">
        <x:v>TEXT:SYN-F07-01-G01</x:v>
      </x:c>
      <x:c r="E278" s="11" t="n">
        <x:v>7.762107</x:v>
      </x:c>
      <x:c r="F278" s="11" t="n">
        <x:v>25.262107</x:v>
      </x:c>
      <x:c r="G278" s="11" t="n">
        <x:f>F278-E278</x:f>
        <x:v>17.5</x:v>
      </x:c>
      <x:c r="H278" s="10" t="n">
        <x:v>0</x:v>
      </x:c>
      <x:c r="I278" s="10" t="str">
        <x:v>AUTHORED_TERMINAL</x:v>
      </x:c>
      <x:c r="J278" s="10" t="str">
        <x:v>TEXT:SYN-F07-01-REL-N24</x:v>
      </x:c>
      <x:c r="K278" s="10" t="str">
        <x:v>TEXT:SYN-F07-01-U01, TEXT:SYN-F07-01-U02</x:v>
      </x:c>
      <x:c r="L278" s="10" t="str">
        <x:v>TEXT:SYN-F07-01-REL-N24</x:v>
      </x:c>
    </x:row>
    <x:row r="279" ht="52" customHeight="1">
      <x:c r="A279" s="10" t="str">
        <x:v>T-BASE</x:v>
      </x:c>
      <x:c r="B279" s="10" t="str">
        <x:v>TEXT</x:v>
      </x:c>
      <x:c r="C279" s="10" t="str">
        <x:v>TEXT:SYN-F07-02</x:v>
      </x:c>
      <x:c r="D279" s="10" t="str">
        <x:v>TEXT:SYN-F07-02-G01</x:v>
      </x:c>
      <x:c r="E279" s="11" t="n">
        <x:v>9.815822</x:v>
      </x:c>
      <x:c r="F279" s="11" t="n">
        <x:v>27.315822</x:v>
      </x:c>
      <x:c r="G279" s="11" t="n">
        <x:f>F279-E279</x:f>
        <x:v>17.5</x:v>
      </x:c>
      <x:c r="H279" s="10" t="n">
        <x:v>1</x:v>
      </x:c>
      <x:c r="I279" s="10" t="str">
        <x:v>AUTHORED_TERMINAL</x:v>
      </x:c>
      <x:c r="J279" s="10" t="str">
        <x:v>TEXT:SYN-F07-02-BASE-N21</x:v>
      </x:c>
      <x:c r="K279" s="10" t="str">
        <x:v>TEXT:SYN-F07-02-U01, TEXT:SYN-F07-02-U02</x:v>
      </x:c>
      <x:c r="L279" s="10" t="str">
        <x:v>TEXT:SYN-F07-02-BASE-N21</x:v>
      </x:c>
    </x:row>
    <x:row r="280" ht="52" customHeight="1">
      <x:c r="A280" s="10" t="str">
        <x:v>T-EXEC</x:v>
      </x:c>
      <x:c r="B280" s="10" t="str">
        <x:v>TEXT</x:v>
      </x:c>
      <x:c r="C280" s="10" t="str">
        <x:v>TEXT:SYN-F07-02</x:v>
      </x:c>
      <x:c r="D280" s="10" t="str">
        <x:v>TEXT:SYN-F07-02-G01</x:v>
      </x:c>
      <x:c r="E280" s="11" t="n">
        <x:v>10.280501</x:v>
      </x:c>
      <x:c r="F280" s="11" t="n">
        <x:v>27.780501</x:v>
      </x:c>
      <x:c r="G280" s="11" t="n">
        <x:f>F280-E280</x:f>
        <x:v>17.5</x:v>
      </x:c>
      <x:c r="H280" s="10" t="n">
        <x:v>1</x:v>
      </x:c>
      <x:c r="I280" s="10" t="str">
        <x:v>AUTHORED_TERMINAL</x:v>
      </x:c>
      <x:c r="J280" s="10" t="str">
        <x:v>TEXT:SYN-F07-02-EXEC-N22</x:v>
      </x:c>
      <x:c r="K280" s="10" t="str">
        <x:v>TEXT:SYN-F07-02-U01, TEXT:SYN-F07-02-U02</x:v>
      </x:c>
      <x:c r="L280" s="10" t="str">
        <x:v>TEXT:SYN-F07-02-EXEC-N22</x:v>
      </x:c>
    </x:row>
    <x:row r="281" ht="52" customHeight="1">
      <x:c r="A281" s="10" t="str">
        <x:v>T-REL</x:v>
      </x:c>
      <x:c r="B281" s="10" t="str">
        <x:v>TEXT</x:v>
      </x:c>
      <x:c r="C281" s="10" t="str">
        <x:v>TEXT:SYN-F07-02</x:v>
      </x:c>
      <x:c r="D281" s="10" t="str">
        <x:v>TEXT:SYN-F07-02-G01</x:v>
      </x:c>
      <x:c r="E281" s="11" t="n">
        <x:v>7.889108</x:v>
      </x:c>
      <x:c r="F281" s="11" t="n">
        <x:v>25.389108</x:v>
      </x:c>
      <x:c r="G281" s="11" t="n">
        <x:f>F281-E281</x:f>
        <x:v>17.5</x:v>
      </x:c>
      <x:c r="H281" s="10" t="n">
        <x:v>1</x:v>
      </x:c>
      <x:c r="I281" s="10" t="str">
        <x:v>AUTHORED_TERMINAL</x:v>
      </x:c>
      <x:c r="J281" s="10" t="str">
        <x:v>TEXT:SYN-F07-02-REL-N24</x:v>
      </x:c>
      <x:c r="K281" s="10" t="str">
        <x:v>TEXT:SYN-F07-02-U01, TEXT:SYN-F07-02-U02</x:v>
      </x:c>
      <x:c r="L281" s="10" t="str">
        <x:v>TEXT:SYN-F07-02-REL-N24</x:v>
      </x:c>
    </x:row>
    <x:row r="282" ht="52" customHeight="1">
      <x:c r="A282" s="10" t="str">
        <x:v>T-BASE</x:v>
      </x:c>
      <x:c r="B282" s="10" t="str">
        <x:v>TEXT</x:v>
      </x:c>
      <x:c r="C282" s="10" t="str">
        <x:v>TEXT:SYN-F07-03</x:v>
      </x:c>
      <x:c r="D282" s="10" t="str">
        <x:v>TEXT:SYN-F07-03-G01</x:v>
      </x:c>
      <x:c r="E282" s="11" t="n">
        <x:v>9.992821</x:v>
      </x:c>
      <x:c r="F282" s="11" t="n">
        <x:v>27.492821</x:v>
      </x:c>
      <x:c r="G282" s="11" t="n">
        <x:f>F282-E282</x:f>
        <x:v>17.5</x:v>
      </x:c>
      <x:c r="H282" s="10" t="n">
        <x:v>1</x:v>
      </x:c>
      <x:c r="I282" s="10" t="str">
        <x:v>AUTHORED_TERMINAL</x:v>
      </x:c>
      <x:c r="J282" s="10" t="str">
        <x:v>TEXT:SYN-F07-03-BASE-N21</x:v>
      </x:c>
      <x:c r="K282" s="10" t="str">
        <x:v>TEXT:SYN-F07-03-U01, TEXT:SYN-F07-03-U02</x:v>
      </x:c>
      <x:c r="L282" s="10" t="str">
        <x:v>TEXT:SYN-F07-03-BASE-N21</x:v>
      </x:c>
    </x:row>
    <x:row r="283" ht="52" customHeight="1">
      <x:c r="A283" s="10" t="str">
        <x:v>T-EXEC</x:v>
      </x:c>
      <x:c r="B283" s="10" t="str">
        <x:v>TEXT</x:v>
      </x:c>
      <x:c r="C283" s="10" t="str">
        <x:v>TEXT:SYN-F07-03</x:v>
      </x:c>
      <x:c r="D283" s="10" t="str">
        <x:v>TEXT:SYN-F07-03-G01</x:v>
      </x:c>
      <x:c r="E283" s="11" t="n">
        <x:v>10.467178</x:v>
      </x:c>
      <x:c r="F283" s="11" t="n">
        <x:v>27.967178</x:v>
      </x:c>
      <x:c r="G283" s="11" t="n">
        <x:f>F283-E283</x:f>
        <x:v>17.5</x:v>
      </x:c>
      <x:c r="H283" s="10" t="n">
        <x:v>1</x:v>
      </x:c>
      <x:c r="I283" s="10" t="str">
        <x:v>AUTHORED_TERMINAL</x:v>
      </x:c>
      <x:c r="J283" s="10" t="str">
        <x:v>TEXT:SYN-F07-03-EXEC-N22</x:v>
      </x:c>
      <x:c r="K283" s="10" t="str">
        <x:v>TEXT:SYN-F07-03-U01, TEXT:SYN-F07-03-U02</x:v>
      </x:c>
      <x:c r="L283" s="10" t="str">
        <x:v>TEXT:SYN-F07-03-EXEC-N22</x:v>
      </x:c>
    </x:row>
    <x:row r="284" ht="52" customHeight="1">
      <x:c r="A284" s="10" t="str">
        <x:v>T-REL</x:v>
      </x:c>
      <x:c r="B284" s="10" t="str">
        <x:v>TEXT</x:v>
      </x:c>
      <x:c r="C284" s="10" t="str">
        <x:v>TEXT:SYN-F07-03</x:v>
      </x:c>
      <x:c r="D284" s="10" t="str">
        <x:v>TEXT:SYN-F07-03-G01</x:v>
      </x:c>
      <x:c r="E284" s="11" t="n">
        <x:v>8.016106</x:v>
      </x:c>
      <x:c r="F284" s="11" t="n">
        <x:v>25.516106</x:v>
      </x:c>
      <x:c r="G284" s="11" t="n">
        <x:f>F284-E284</x:f>
        <x:v>17.5</x:v>
      </x:c>
      <x:c r="H284" s="10" t="n">
        <x:v>1</x:v>
      </x:c>
      <x:c r="I284" s="10" t="str">
        <x:v>AUTHORED_TERMINAL</x:v>
      </x:c>
      <x:c r="J284" s="10" t="str">
        <x:v>TEXT:SYN-F07-03-REL-N24</x:v>
      </x:c>
      <x:c r="K284" s="10" t="str">
        <x:v>TEXT:SYN-F07-03-U01, TEXT:SYN-F07-03-U02</x:v>
      </x:c>
      <x:c r="L284" s="10" t="str">
        <x:v>TEXT:SYN-F07-03-REL-N24</x:v>
      </x:c>
    </x:row>
    <x:row r="285" ht="52" customHeight="1">
      <x:c r="A285" s="10" t="str">
        <x:v>T-BASE</x:v>
      </x:c>
      <x:c r="B285" s="10" t="str">
        <x:v>TEXT</x:v>
      </x:c>
      <x:c r="C285" s="10" t="str">
        <x:v>TEXT:SYN-F07-04</x:v>
      </x:c>
      <x:c r="D285" s="10" t="str">
        <x:v>TEXT:SYN-F07-04-G01</x:v>
      </x:c>
      <x:c r="E285" s="11" t="n">
        <x:v>10.019822</x:v>
      </x:c>
      <x:c r="F285" s="11" t="n">
        <x:v>27.519822</x:v>
      </x:c>
      <x:c r="G285" s="11" t="n">
        <x:f>F285-E285</x:f>
        <x:v>17.5</x:v>
      </x:c>
      <x:c r="H285" s="10" t="n">
        <x:v>1</x:v>
      </x:c>
      <x:c r="I285" s="10" t="str">
        <x:v>AUTHORED_TERMINAL</x:v>
      </x:c>
      <x:c r="J285" s="10" t="str">
        <x:v>TEXT:SYN-F07-04-BASE-N21</x:v>
      </x:c>
      <x:c r="K285" s="10" t="str">
        <x:v>TEXT:SYN-F07-04-U01, TEXT:SYN-F07-04-U02</x:v>
      </x:c>
      <x:c r="L285" s="10" t="str">
        <x:v>TEXT:SYN-F07-04-BASE-N21</x:v>
      </x:c>
    </x:row>
    <x:row r="286" ht="52" customHeight="1">
      <x:c r="A286" s="10" t="str">
        <x:v>T-EXEC</x:v>
      </x:c>
      <x:c r="B286" s="10" t="str">
        <x:v>TEXT</x:v>
      </x:c>
      <x:c r="C286" s="10" t="str">
        <x:v>TEXT:SYN-F07-04</x:v>
      </x:c>
      <x:c r="D286" s="10" t="str">
        <x:v>TEXT:SYN-F07-04-G01</x:v>
      </x:c>
      <x:c r="E286" s="11" t="n">
        <x:v>10.485108</x:v>
      </x:c>
      <x:c r="F286" s="11" t="n">
        <x:v>27.985108</x:v>
      </x:c>
      <x:c r="G286" s="11" t="n">
        <x:f>F286-E286</x:f>
        <x:v>17.5</x:v>
      </x:c>
      <x:c r="H286" s="10" t="n">
        <x:v>1</x:v>
      </x:c>
      <x:c r="I286" s="10" t="str">
        <x:v>AUTHORED_TERMINAL</x:v>
      </x:c>
      <x:c r="J286" s="10" t="str">
        <x:v>TEXT:SYN-F07-04-EXEC-N22</x:v>
      </x:c>
      <x:c r="K286" s="10" t="str">
        <x:v>TEXT:SYN-F07-04-U01, TEXT:SYN-F07-04-U02</x:v>
      </x:c>
      <x:c r="L286" s="10" t="str">
        <x:v>TEXT:SYN-F07-04-EXEC-N22</x:v>
      </x:c>
    </x:row>
    <x:row r="287" ht="52" customHeight="1">
      <x:c r="A287" s="10" t="str">
        <x:v>T-REL</x:v>
      </x:c>
      <x:c r="B287" s="10" t="str">
        <x:v>TEXT</x:v>
      </x:c>
      <x:c r="C287" s="10" t="str">
        <x:v>TEXT:SYN-F07-04</x:v>
      </x:c>
      <x:c r="D287" s="10" t="str">
        <x:v>TEXT:SYN-F07-04-G01</x:v>
      </x:c>
      <x:c r="E287" s="11" t="n">
        <x:v>8.143108</x:v>
      </x:c>
      <x:c r="F287" s="11" t="n">
        <x:v>25.643108</x:v>
      </x:c>
      <x:c r="G287" s="11" t="n">
        <x:f>F287-E287</x:f>
        <x:v>17.5</x:v>
      </x:c>
      <x:c r="H287" s="10" t="n">
        <x:v>0</x:v>
      </x:c>
      <x:c r="I287" s="10" t="str">
        <x:v>AUTHORED_TERMINAL</x:v>
      </x:c>
      <x:c r="J287" s="10" t="str">
        <x:v>TEXT:SYN-F07-04-REL-N24</x:v>
      </x:c>
      <x:c r="K287" s="10" t="str">
        <x:v>TEXT:SYN-F07-04-U01, TEXT:SYN-F07-04-U02</x:v>
      </x:c>
      <x:c r="L287" s="10" t="str">
        <x:v>TEXT:SYN-F07-04-REL-N24</x:v>
      </x:c>
    </x:row>
    <x:row r="288" ht="52" customHeight="1">
      <x:c r="A288" s="10" t="str">
        <x:v>T-BASE</x:v>
      </x:c>
      <x:c r="B288" s="10" t="str">
        <x:v>TEXT</x:v>
      </x:c>
      <x:c r="C288" s="10" t="str">
        <x:v>TEXT:SYN-F07-05</x:v>
      </x:c>
      <x:c r="D288" s="10" t="str">
        <x:v>TEXT:SYN-F07-05-G01</x:v>
      </x:c>
      <x:c r="E288" s="11" t="n">
        <x:v>10.096821</x:v>
      </x:c>
      <x:c r="F288" s="11" t="n">
        <x:v>27.596821</x:v>
      </x:c>
      <x:c r="G288" s="11" t="n">
        <x:f>F288-E288</x:f>
        <x:v>17.5</x:v>
      </x:c>
      <x:c r="H288" s="10" t="n">
        <x:v>0</x:v>
      </x:c>
      <x:c r="I288" s="10" t="str">
        <x:v>AUTHORED_TERMINAL</x:v>
      </x:c>
      <x:c r="J288" s="10" t="str">
        <x:v>TEXT:SYN-F07-05-BASE-N21</x:v>
      </x:c>
      <x:c r="K288" s="10" t="str">
        <x:v>TEXT:SYN-F07-05-U01, TEXT:SYN-F07-05-U02</x:v>
      </x:c>
      <x:c r="L288" s="10" t="str">
        <x:v>TEXT:SYN-F07-05-BASE-N21</x:v>
      </x:c>
    </x:row>
    <x:row r="289" ht="52" customHeight="1">
      <x:c r="A289" s="10" t="str">
        <x:v>T-EXEC</x:v>
      </x:c>
      <x:c r="B289" s="10" t="str">
        <x:v>TEXT</x:v>
      </x:c>
      <x:c r="C289" s="10" t="str">
        <x:v>TEXT:SYN-F07-05</x:v>
      </x:c>
      <x:c r="D289" s="10" t="str">
        <x:v>TEXT:SYN-F07-05-G01</x:v>
      </x:c>
      <x:c r="E289" s="11" t="n">
        <x:v>10.571785</x:v>
      </x:c>
      <x:c r="F289" s="11" t="n">
        <x:v>28.071785</x:v>
      </x:c>
      <x:c r="G289" s="11" t="n">
        <x:f>F289-E289</x:f>
        <x:v>17.5</x:v>
      </x:c>
      <x:c r="H289" s="10" t="n">
        <x:v>0</x:v>
      </x:c>
      <x:c r="I289" s="10" t="str">
        <x:v>AUTHORED_TERMINAL</x:v>
      </x:c>
      <x:c r="J289" s="10" t="str">
        <x:v>TEXT:SYN-F07-05-EXEC-N22</x:v>
      </x:c>
      <x:c r="K289" s="10" t="str">
        <x:v>TEXT:SYN-F07-05-U01, TEXT:SYN-F07-05-U02</x:v>
      </x:c>
      <x:c r="L289" s="10" t="str">
        <x:v>TEXT:SYN-F07-05-EXEC-N22</x:v>
      </x:c>
    </x:row>
    <x:row r="290" ht="52" customHeight="1">
      <x:c r="A290" s="10" t="str">
        <x:v>T-REL</x:v>
      </x:c>
      <x:c r="B290" s="10" t="str">
        <x:v>TEXT</x:v>
      </x:c>
      <x:c r="C290" s="10" t="str">
        <x:v>TEXT:SYN-F07-05</x:v>
      </x:c>
      <x:c r="D290" s="10" t="str">
        <x:v>TEXT:SYN-F07-05-G01</x:v>
      </x:c>
      <x:c r="E290" s="11" t="n">
        <x:v>8.170106</x:v>
      </x:c>
      <x:c r="F290" s="11" t="n">
        <x:v>25.670106</x:v>
      </x:c>
      <x:c r="G290" s="11" t="n">
        <x:f>F290-E290</x:f>
        <x:v>17.5</x:v>
      </x:c>
      <x:c r="H290" s="10" t="n">
        <x:v>0</x:v>
      </x:c>
      <x:c r="I290" s="10" t="str">
        <x:v>AUTHORED_TERMINAL</x:v>
      </x:c>
      <x:c r="J290" s="10" t="str">
        <x:v>TEXT:SYN-F07-05-REL-N24</x:v>
      </x:c>
      <x:c r="K290" s="10" t="str">
        <x:v>TEXT:SYN-F07-05-U01, TEXT:SYN-F07-05-U02</x:v>
      </x:c>
      <x:c r="L290" s="10" t="str">
        <x:v>TEXT:SYN-F07-05-REL-N24</x:v>
      </x:c>
    </x:row>
    <x:row r="291" ht="52" customHeight="1">
      <x:c r="A291" s="10" t="str">
        <x:v>T-BASE</x:v>
      </x:c>
      <x:c r="B291" s="10" t="str">
        <x:v>TEXT</x:v>
      </x:c>
      <x:c r="C291" s="10" t="str">
        <x:v>TEXT:SYN-F07-06</x:v>
      </x:c>
      <x:c r="D291" s="10" t="str">
        <x:v>TEXT:SYN-F07-06-G01</x:v>
      </x:c>
      <x:c r="E291" s="11" t="n">
        <x:v>10.108821</x:v>
      </x:c>
      <x:c r="F291" s="11" t="n">
        <x:v>27.608821</x:v>
      </x:c>
      <x:c r="G291" s="11" t="n">
        <x:f>F291-E291</x:f>
        <x:v>17.5</x:v>
      </x:c>
      <x:c r="H291" s="10" t="n">
        <x:v>1</x:v>
      </x:c>
      <x:c r="I291" s="10" t="str">
        <x:v>AUTHORED_TERMINAL</x:v>
      </x:c>
      <x:c r="J291" s="10" t="str">
        <x:v>TEXT:SYN-F07-06-BASE-N21</x:v>
      </x:c>
      <x:c r="K291" s="10" t="str">
        <x:v>TEXT:SYN-F07-06-U01, TEXT:SYN-F07-06-U02</x:v>
      </x:c>
      <x:c r="L291" s="10" t="str">
        <x:v>TEXT:SYN-F07-06-BASE-N21</x:v>
      </x:c>
    </x:row>
    <x:row r="292" ht="52" customHeight="1">
      <x:c r="A292" s="10" t="str">
        <x:v>T-EXEC</x:v>
      </x:c>
      <x:c r="B292" s="10" t="str">
        <x:v>TEXT</x:v>
      </x:c>
      <x:c r="C292" s="10" t="str">
        <x:v>TEXT:SYN-F07-06</x:v>
      </x:c>
      <x:c r="D292" s="10" t="str">
        <x:v>TEXT:SYN-F07-06-G01</x:v>
      </x:c>
      <x:c r="E292" s="11" t="n">
        <x:v>10.593464</x:v>
      </x:c>
      <x:c r="F292" s="11" t="n">
        <x:v>28.093464</x:v>
      </x:c>
      <x:c r="G292" s="11" t="n">
        <x:f>F292-E292</x:f>
        <x:v>17.5</x:v>
      </x:c>
      <x:c r="H292" s="10" t="n">
        <x:v>1</x:v>
      </x:c>
      <x:c r="I292" s="10" t="str">
        <x:v>AUTHORED_TERMINAL</x:v>
      </x:c>
      <x:c r="J292" s="10" t="str">
        <x:v>TEXT:SYN-F07-06-EXEC-N22</x:v>
      </x:c>
      <x:c r="K292" s="10" t="str">
        <x:v>TEXT:SYN-F07-06-U01, TEXT:SYN-F07-06-U02</x:v>
      </x:c>
      <x:c r="L292" s="10" t="str">
        <x:v>TEXT:SYN-F07-06-EXEC-N22</x:v>
      </x:c>
    </x:row>
    <x:row r="293" ht="52" customHeight="1">
      <x:c r="A293" s="10" t="str">
        <x:v>T-REL</x:v>
      </x:c>
      <x:c r="B293" s="10" t="str">
        <x:v>TEXT</x:v>
      </x:c>
      <x:c r="C293" s="10" t="str">
        <x:v>TEXT:SYN-F07-06</x:v>
      </x:c>
      <x:c r="D293" s="10" t="str">
        <x:v>TEXT:SYN-F07-06-G01</x:v>
      </x:c>
      <x:c r="E293" s="11" t="n">
        <x:v>8.132107</x:v>
      </x:c>
      <x:c r="F293" s="11" t="n">
        <x:v>25.632107</x:v>
      </x:c>
      <x:c r="G293" s="11" t="n">
        <x:f>F293-E293</x:f>
        <x:v>17.5</x:v>
      </x:c>
      <x:c r="H293" s="10" t="n">
        <x:v>1</x:v>
      </x:c>
      <x:c r="I293" s="10" t="str">
        <x:v>AUTHORED_TERMINAL</x:v>
      </x:c>
      <x:c r="J293" s="10" t="str">
        <x:v>TEXT:SYN-F07-06-REL-N24</x:v>
      </x:c>
      <x:c r="K293" s="10" t="str">
        <x:v>TEXT:SYN-F07-06-U01, TEXT:SYN-F07-06-U02</x:v>
      </x:c>
      <x:c r="L293" s="10" t="str">
        <x:v>TEXT:SYN-F07-06-REL-N24</x:v>
      </x:c>
    </x:row>
    <x:row r="294" ht="52" customHeight="1">
      <x:c r="A294" s="10" t="str">
        <x:v>T-BASE</x:v>
      </x:c>
      <x:c r="B294" s="10" t="str">
        <x:v>TEXT</x:v>
      </x:c>
      <x:c r="C294" s="10" t="str">
        <x:v>TEXT:SYN-F07-07</x:v>
      </x:c>
      <x:c r="D294" s="10" t="str">
        <x:v>TEXT:SYN-F07-07-G01</x:v>
      </x:c>
      <x:c r="E294" s="11" t="n">
        <x:v>10.135822</x:v>
      </x:c>
      <x:c r="F294" s="11" t="n">
        <x:v>27.635822</x:v>
      </x:c>
      <x:c r="G294" s="11" t="n">
        <x:f>F294-E294</x:f>
        <x:v>17.5</x:v>
      </x:c>
      <x:c r="H294" s="10" t="n">
        <x:v>1</x:v>
      </x:c>
      <x:c r="I294" s="10" t="str">
        <x:v>AUTHORED_TERMINAL</x:v>
      </x:c>
      <x:c r="J294" s="10" t="str">
        <x:v>TEXT:SYN-F07-07-BASE-N21</x:v>
      </x:c>
      <x:c r="K294" s="10" t="str">
        <x:v>TEXT:SYN-F07-07-U01, TEXT:SYN-F07-07-U02</x:v>
      </x:c>
      <x:c r="L294" s="10" t="str">
        <x:v>TEXT:SYN-F07-07-BASE-N21</x:v>
      </x:c>
    </x:row>
    <x:row r="295" ht="52" customHeight="1">
      <x:c r="A295" s="10" t="str">
        <x:v>T-EXEC</x:v>
      </x:c>
      <x:c r="B295" s="10" t="str">
        <x:v>TEXT</x:v>
      </x:c>
      <x:c r="C295" s="10" t="str">
        <x:v>TEXT:SYN-F07-07</x:v>
      </x:c>
      <x:c r="D295" s="10" t="str">
        <x:v>TEXT:SYN-F07-07-G01</x:v>
      </x:c>
      <x:c r="E295" s="11" t="n">
        <x:v>10.611393</x:v>
      </x:c>
      <x:c r="F295" s="11" t="n">
        <x:v>28.111393</x:v>
      </x:c>
      <x:c r="G295" s="11" t="n">
        <x:f>F295-E295</x:f>
        <x:v>17.5</x:v>
      </x:c>
      <x:c r="H295" s="10" t="n">
        <x:v>1</x:v>
      </x:c>
      <x:c r="I295" s="10" t="str">
        <x:v>AUTHORED_TERMINAL</x:v>
      </x:c>
      <x:c r="J295" s="10" t="str">
        <x:v>TEXT:SYN-F07-07-EXEC-N22</x:v>
      </x:c>
      <x:c r="K295" s="10" t="str">
        <x:v>TEXT:SYN-F07-07-U01, TEXT:SYN-F07-07-U02</x:v>
      </x:c>
      <x:c r="L295" s="10" t="str">
        <x:v>TEXT:SYN-F07-07-EXEC-N22</x:v>
      </x:c>
    </x:row>
    <x:row r="296" ht="52" customHeight="1">
      <x:c r="A296" s="10" t="str">
        <x:v>T-REL</x:v>
      </x:c>
      <x:c r="B296" s="10" t="str">
        <x:v>TEXT</x:v>
      </x:c>
      <x:c r="C296" s="10" t="str">
        <x:v>TEXT:SYN-F07-07</x:v>
      </x:c>
      <x:c r="D296" s="10" t="str">
        <x:v>TEXT:SYN-F07-07-G01</x:v>
      </x:c>
      <x:c r="E296" s="11" t="n">
        <x:v>8.259108</x:v>
      </x:c>
      <x:c r="F296" s="11" t="n">
        <x:v>25.759108</x:v>
      </x:c>
      <x:c r="G296" s="11" t="n">
        <x:f>F296-E296</x:f>
        <x:v>17.5</x:v>
      </x:c>
      <x:c r="H296" s="10" t="n">
        <x:v>0</x:v>
      </x:c>
      <x:c r="I296" s="10" t="str">
        <x:v>AUTHORED_TERMINAL</x:v>
      </x:c>
      <x:c r="J296" s="10" t="str">
        <x:v>TEXT:SYN-F07-07-REL-N24</x:v>
      </x:c>
      <x:c r="K296" s="10" t="str">
        <x:v>TEXT:SYN-F07-07-U01, TEXT:SYN-F07-07-U02</x:v>
      </x:c>
      <x:c r="L296" s="10" t="str">
        <x:v>TEXT:SYN-F07-07-REL-N24</x:v>
      </x:c>
    </x:row>
    <x:row r="297" ht="52" customHeight="1">
      <x:c r="A297" s="10" t="str">
        <x:v>T-BASE</x:v>
      </x:c>
      <x:c r="B297" s="10" t="str">
        <x:v>TEXT</x:v>
      </x:c>
      <x:c r="C297" s="10" t="str">
        <x:v>TEXT:SYN-F07-08</x:v>
      </x:c>
      <x:c r="D297" s="10" t="str">
        <x:v>TEXT:SYN-F07-08-G01</x:v>
      </x:c>
      <x:c r="E297" s="11" t="n">
        <x:v>10.312821</x:v>
      </x:c>
      <x:c r="F297" s="11" t="n">
        <x:v>27.812821</x:v>
      </x:c>
      <x:c r="G297" s="11" t="n">
        <x:f>F297-E297</x:f>
        <x:v>17.5</x:v>
      </x:c>
      <x:c r="H297" s="10" t="n">
        <x:v>1</x:v>
      </x:c>
      <x:c r="I297" s="10" t="str">
        <x:v>AUTHORED_TERMINAL</x:v>
      </x:c>
      <x:c r="J297" s="10" t="str">
        <x:v>TEXT:SYN-F07-08-BASE-N21</x:v>
      </x:c>
      <x:c r="K297" s="10" t="str">
        <x:v>TEXT:SYN-F07-08-U01, TEXT:SYN-F07-08-U02</x:v>
      </x:c>
      <x:c r="L297" s="10" t="str">
        <x:v>TEXT:SYN-F07-08-BASE-N21</x:v>
      </x:c>
    </x:row>
    <x:row r="298" ht="52" customHeight="1">
      <x:c r="A298" s="10" t="str">
        <x:v>T-EXEC</x:v>
      </x:c>
      <x:c r="B298" s="10" t="str">
        <x:v>TEXT</x:v>
      </x:c>
      <x:c r="C298" s="10" t="str">
        <x:v>TEXT:SYN-F07-08</x:v>
      </x:c>
      <x:c r="D298" s="10" t="str">
        <x:v>TEXT:SYN-F07-08-G01</x:v>
      </x:c>
      <x:c r="E298" s="11" t="n">
        <x:v>10.798071</x:v>
      </x:c>
      <x:c r="F298" s="11" t="n">
        <x:v>28.298071</x:v>
      </x:c>
      <x:c r="G298" s="11" t="n">
        <x:f>F298-E298</x:f>
        <x:v>17.5</x:v>
      </x:c>
      <x:c r="H298" s="10" t="n">
        <x:v>1</x:v>
      </x:c>
      <x:c r="I298" s="10" t="str">
        <x:v>AUTHORED_TERMINAL</x:v>
      </x:c>
      <x:c r="J298" s="10" t="str">
        <x:v>TEXT:SYN-F07-08-EXEC-N22</x:v>
      </x:c>
      <x:c r="K298" s="10" t="str">
        <x:v>TEXT:SYN-F07-08-U01, TEXT:SYN-F07-08-U02</x:v>
      </x:c>
      <x:c r="L298" s="10" t="str">
        <x:v>TEXT:SYN-F07-08-EXEC-N22</x:v>
      </x:c>
    </x:row>
    <x:row r="299" ht="52" customHeight="1">
      <x:c r="A299" s="10" t="str">
        <x:v>T-REL</x:v>
      </x:c>
      <x:c r="B299" s="10" t="str">
        <x:v>TEXT</x:v>
      </x:c>
      <x:c r="C299" s="10" t="str">
        <x:v>TEXT:SYN-F07-08</x:v>
      </x:c>
      <x:c r="D299" s="10" t="str">
        <x:v>TEXT:SYN-F07-08-G01</x:v>
      </x:c>
      <x:c r="E299" s="11" t="n">
        <x:v>8.386107</x:v>
      </x:c>
      <x:c r="F299" s="11" t="n">
        <x:v>25.886107</x:v>
      </x:c>
      <x:c r="G299" s="11" t="n">
        <x:f>F299-E299</x:f>
        <x:v>17.5</x:v>
      </x:c>
      <x:c r="H299" s="10" t="n">
        <x:v>1</x:v>
      </x:c>
      <x:c r="I299" s="10" t="str">
        <x:v>AUTHORED_TERMINAL</x:v>
      </x:c>
      <x:c r="J299" s="10" t="str">
        <x:v>TEXT:SYN-F07-08-REL-N24</x:v>
      </x:c>
      <x:c r="K299" s="10" t="str">
        <x:v>TEXT:SYN-F07-08-U01, TEXT:SYN-F07-08-U02</x:v>
      </x:c>
      <x:c r="L299" s="10" t="str">
        <x:v>TEXT:SYN-F07-08-REL-N24</x:v>
      </x:c>
    </x:row>
    <x:row r="300" ht="52" customHeight="1">
      <x:c r="A300" s="10" t="str">
        <x:v>T-BASE</x:v>
      </x:c>
      <x:c r="B300" s="10" t="str">
        <x:v>TEXT</x:v>
      </x:c>
      <x:c r="C300" s="10" t="str">
        <x:v>TEXT:SYN-F07-09</x:v>
      </x:c>
      <x:c r="D300" s="10" t="str">
        <x:v>TEXT:SYN-F07-09-G01</x:v>
      </x:c>
      <x:c r="E300" s="11" t="n">
        <x:v>10.389822</x:v>
      </x:c>
      <x:c r="F300" s="11" t="n">
        <x:v>27.889822</x:v>
      </x:c>
      <x:c r="G300" s="11" t="n">
        <x:f>F300-E300</x:f>
        <x:v>17.5</x:v>
      </x:c>
      <x:c r="H300" s="10" t="n">
        <x:v>1</x:v>
      </x:c>
      <x:c r="I300" s="10" t="str">
        <x:v>AUTHORED_TERMINAL</x:v>
      </x:c>
      <x:c r="J300" s="10" t="str">
        <x:v>TEXT:SYN-F07-09-BASE-N21</x:v>
      </x:c>
      <x:c r="K300" s="10" t="str">
        <x:v>TEXT:SYN-F07-09-U01, TEXT:SYN-F07-09-U02</x:v>
      </x:c>
      <x:c r="L300" s="10" t="str">
        <x:v>TEXT:SYN-F07-09-BASE-N21</x:v>
      </x:c>
    </x:row>
    <x:row r="301" ht="52" customHeight="1">
      <x:c r="A301" s="10" t="str">
        <x:v>T-EXEC</x:v>
      </x:c>
      <x:c r="B301" s="10" t="str">
        <x:v>TEXT</x:v>
      </x:c>
      <x:c r="C301" s="10" t="str">
        <x:v>TEXT:SYN-F07-09</x:v>
      </x:c>
      <x:c r="D301" s="10" t="str">
        <x:v>TEXT:SYN-F07-09-G01</x:v>
      </x:c>
      <x:c r="E301" s="11" t="n">
        <x:v>10.884751</x:v>
      </x:c>
      <x:c r="F301" s="11" t="n">
        <x:v>28.384751</x:v>
      </x:c>
      <x:c r="G301" s="11" t="n">
        <x:f>F301-E301</x:f>
        <x:v>17.5</x:v>
      </x:c>
      <x:c r="H301" s="10" t="n">
        <x:v>1</x:v>
      </x:c>
      <x:c r="I301" s="10" t="str">
        <x:v>AUTHORED_TERMINAL</x:v>
      </x:c>
      <x:c r="J301" s="10" t="str">
        <x:v>TEXT:SYN-F07-09-EXEC-N22</x:v>
      </x:c>
      <x:c r="K301" s="10" t="str">
        <x:v>TEXT:SYN-F07-09-U01, TEXT:SYN-F07-09-U02</x:v>
      </x:c>
      <x:c r="L301" s="10" t="str">
        <x:v>TEXT:SYN-F07-09-EXEC-N22</x:v>
      </x:c>
    </x:row>
    <x:row r="302" ht="52" customHeight="1">
      <x:c r="A302" s="10" t="str">
        <x:v>T-REL</x:v>
      </x:c>
      <x:c r="B302" s="10" t="str">
        <x:v>TEXT</x:v>
      </x:c>
      <x:c r="C302" s="10" t="str">
        <x:v>TEXT:SYN-F07-09</x:v>
      </x:c>
      <x:c r="D302" s="10" t="str">
        <x:v>TEXT:SYN-F07-09-G01</x:v>
      </x:c>
      <x:c r="E302" s="11" t="n">
        <x:v>8.413108</x:v>
      </x:c>
      <x:c r="F302" s="11" t="n">
        <x:v>25.913108</x:v>
      </x:c>
      <x:c r="G302" s="11" t="n">
        <x:f>F302-E302</x:f>
        <x:v>17.5</x:v>
      </x:c>
      <x:c r="H302" s="10" t="n">
        <x:v>1</x:v>
      </x:c>
      <x:c r="I302" s="10" t="str">
        <x:v>AUTHORED_TERMINAL</x:v>
      </x:c>
      <x:c r="J302" s="10" t="str">
        <x:v>TEXT:SYN-F07-09-REL-N24</x:v>
      </x:c>
      <x:c r="K302" s="10" t="str">
        <x:v>TEXT:SYN-F07-09-U01, TEXT:SYN-F07-09-U02</x:v>
      </x:c>
      <x:c r="L302" s="10" t="str">
        <x:v>TEXT:SYN-F07-09-REL-N24</x:v>
      </x:c>
    </x:row>
    <x:row r="303" ht="52" customHeight="1">
      <x:c r="A303" s="10" t="str">
        <x:v>T-BASE</x:v>
      </x:c>
      <x:c r="B303" s="10" t="str">
        <x:v>TEXT</x:v>
      </x:c>
      <x:c r="C303" s="10" t="str">
        <x:v>TEXT:SYN-F07-10</x:v>
      </x:c>
      <x:c r="D303" s="10" t="str">
        <x:v>TEXT:SYN-F07-10-G01</x:v>
      </x:c>
      <x:c r="E303" s="11" t="n">
        <x:v>10.416821</x:v>
      </x:c>
      <x:c r="F303" s="11" t="n">
        <x:v>27.916821</x:v>
      </x:c>
      <x:c r="G303" s="11" t="n">
        <x:f>F303-E303</x:f>
        <x:v>17.5</x:v>
      </x:c>
      <x:c r="H303" s="10" t="n">
        <x:v>1</x:v>
      </x:c>
      <x:c r="I303" s="10" t="str">
        <x:v>AUTHORED_TERMINAL</x:v>
      </x:c>
      <x:c r="J303" s="10" t="str">
        <x:v>TEXT:SYN-F07-10-BASE-N21</x:v>
      </x:c>
      <x:c r="K303" s="10" t="str">
        <x:v>TEXT:SYN-F07-10-U01, TEXT:SYN-F07-10-U02</x:v>
      </x:c>
      <x:c r="L303" s="10" t="str">
        <x:v>TEXT:SYN-F07-10-BASE-N21</x:v>
      </x:c>
    </x:row>
    <x:row r="304" ht="52" customHeight="1">
      <x:c r="A304" s="10" t="str">
        <x:v>T-EXEC</x:v>
      </x:c>
      <x:c r="B304" s="10" t="str">
        <x:v>TEXT</x:v>
      </x:c>
      <x:c r="C304" s="10" t="str">
        <x:v>TEXT:SYN-F07-10</x:v>
      </x:c>
      <x:c r="D304" s="10" t="str">
        <x:v>TEXT:SYN-F07-10-G01</x:v>
      </x:c>
      <x:c r="E304" s="11" t="n">
        <x:v>10.902678</x:v>
      </x:c>
      <x:c r="F304" s="11" t="n">
        <x:v>28.402678</x:v>
      </x:c>
      <x:c r="G304" s="11" t="n">
        <x:f>F304-E304</x:f>
        <x:v>17.5</x:v>
      </x:c>
      <x:c r="H304" s="10" t="n">
        <x:v>1</x:v>
      </x:c>
      <x:c r="I304" s="10" t="str">
        <x:v>AUTHORED_TERMINAL</x:v>
      </x:c>
      <x:c r="J304" s="10" t="str">
        <x:v>TEXT:SYN-F07-10-EXEC-N22</x:v>
      </x:c>
      <x:c r="K304" s="10" t="str">
        <x:v>TEXT:SYN-F07-10-U01, TEXT:SYN-F07-10-U02</x:v>
      </x:c>
      <x:c r="L304" s="10" t="str">
        <x:v>TEXT:SYN-F07-10-EXEC-N22</x:v>
      </x:c>
    </x:row>
    <x:row r="305" ht="52" customHeight="1">
      <x:c r="A305" s="10" t="str">
        <x:v>T-REL</x:v>
      </x:c>
      <x:c r="B305" s="10" t="str">
        <x:v>TEXT</x:v>
      </x:c>
      <x:c r="C305" s="10" t="str">
        <x:v>TEXT:SYN-F07-10</x:v>
      </x:c>
      <x:c r="D305" s="10" t="str">
        <x:v>TEXT:SYN-F07-10-G01</x:v>
      </x:c>
      <x:c r="E305" s="11" t="n">
        <x:v>8.540106</x:v>
      </x:c>
      <x:c r="F305" s="11" t="n">
        <x:v>26.040106</x:v>
      </x:c>
      <x:c r="G305" s="11" t="n">
        <x:f>F305-E305</x:f>
        <x:v>17.5</x:v>
      </x:c>
      <x:c r="H305" s="10" t="n">
        <x:v>0</x:v>
      </x:c>
      <x:c r="I305" s="10" t="str">
        <x:v>AUTHORED_TERMINAL</x:v>
      </x:c>
      <x:c r="J305" s="10" t="str">
        <x:v>TEXT:SYN-F07-10-REL-N24</x:v>
      </x:c>
      <x:c r="K305" s="10" t="str">
        <x:v>TEXT:SYN-F07-10-U01, TEXT:SYN-F07-10-U02</x:v>
      </x:c>
      <x:c r="L305" s="10" t="str">
        <x:v>TEXT:SYN-F07-10-REL-N24</x:v>
      </x:c>
    </x:row>
    <x:row r="306" ht="52" customHeight="1">
      <x:c r="A306" s="10" t="str">
        <x:v>T-BASE</x:v>
      </x:c>
      <x:c r="B306" s="10" t="str">
        <x:v>TEXT</x:v>
      </x:c>
      <x:c r="C306" s="10" t="str">
        <x:v>TEXT:SYN-F08-01</x:v>
      </x:c>
      <x:c r="D306" s="10" t="str">
        <x:v>TEXT:SYN-F08-01-G01</x:v>
      </x:c>
      <x:c r="E306" s="11" t="n">
        <x:v>4.703857</x:v>
      </x:c>
      <x:c r="F306" s="11" t="n">
        <x:v>12.703857</x:v>
      </x:c>
      <x:c r="G306" s="11" t="n">
        <x:f>F306-E306</x:f>
        <x:v>7.999999999999999</x:v>
      </x:c>
      <x:c r="H306" s="10" t="n">
        <x:v>1</x:v>
      </x:c>
      <x:c r="I306" s="10" t="str">
        <x:v>AUTHORED_TERMINAL</x:v>
      </x:c>
      <x:c r="J306" s="10" t="str">
        <x:v>TEXT:SYN-F08-01-BASE-N11</x:v>
      </x:c>
      <x:c r="K306" s="10" t="str">
        <x:v>TEXT:SYN-F08-01-U01</x:v>
      </x:c>
      <x:c r="L306" s="10" t="str">
        <x:v>TEXT:SYN-F08-01-BASE-N11</x:v>
      </x:c>
    </x:row>
    <x:row r="307" ht="52" customHeight="1">
      <x:c r="A307" s="10" t="str">
        <x:v>T-BASE</x:v>
      </x:c>
      <x:c r="B307" s="10" t="str">
        <x:v>TEXT</x:v>
      </x:c>
      <x:c r="C307" s="10" t="str">
        <x:v>TEXT:SYN-F08-01</x:v>
      </x:c>
      <x:c r="D307" s="10" t="str">
        <x:v>TEXT:SYN-F08-01-G02</x:v>
      </x:c>
      <x:c r="E307" s="11" t="n">
        <x:v>2.573107</x:v>
      </x:c>
      <x:c r="F307" s="11" t="n">
        <x:v>2.573107</x:v>
      </x:c>
      <x:c r="G307" s="11" t="n">
        <x:f>F307-E307</x:f>
        <x:v>0</x:v>
      </x:c>
      <x:c r="H307" s="10" t="n">
        <x:v>1</x:v>
      </x:c>
      <x:c r="I307" s="10" t="str">
        <x:v>AUTHORED_TERMINAL</x:v>
      </x:c>
      <x:c r="J307" s="10" t="str">
        <x:v>TEXT:SYN-F08-01-BASE-N19</x:v>
      </x:c>
      <x:c r="K307" s="10" t="str">
        <x:v>TEXT:SYN-F08-01-U02</x:v>
      </x:c>
      <x:c r="L307" s="10" t="str">
        <x:v>TEXT:SYN-F08-01-BASE-N19</x:v>
      </x:c>
    </x:row>
    <x:row r="308" ht="52" customHeight="1">
      <x:c r="A308" s="10" t="str">
        <x:v>T-EXEC</x:v>
      </x:c>
      <x:c r="B308" s="10" t="str">
        <x:v>TEXT</x:v>
      </x:c>
      <x:c r="C308" s="10" t="str">
        <x:v>TEXT:SYN-F08-01</x:v>
      </x:c>
      <x:c r="D308" s="10" t="str">
        <x:v>TEXT:SYN-F08-01-G01</x:v>
      </x:c>
      <x:c r="E308" s="11" t="n">
        <x:v>4.703857</x:v>
      </x:c>
      <x:c r="F308" s="11" t="n">
        <x:v>12.703857</x:v>
      </x:c>
      <x:c r="G308" s="11" t="n">
        <x:f>F308-E308</x:f>
        <x:v>7.999999999999999</x:v>
      </x:c>
      <x:c r="H308" s="10" t="n">
        <x:v>1</x:v>
      </x:c>
      <x:c r="I308" s="10" t="str">
        <x:v>AUTHORED_TERMINAL</x:v>
      </x:c>
      <x:c r="J308" s="10" t="str">
        <x:v>TEXT:SYN-F08-01-EXEC-N11</x:v>
      </x:c>
      <x:c r="K308" s="10" t="str">
        <x:v>TEXT:SYN-F08-01-U01</x:v>
      </x:c>
      <x:c r="L308" s="10" t="str">
        <x:v>TEXT:SYN-F08-01-EXEC-N11</x:v>
      </x:c>
    </x:row>
    <x:row r="309" ht="52" customHeight="1">
      <x:c r="A309" s="10" t="str">
        <x:v>T-EXEC</x:v>
      </x:c>
      <x:c r="B309" s="10" t="str">
        <x:v>TEXT</x:v>
      </x:c>
      <x:c r="C309" s="10" t="str">
        <x:v>TEXT:SYN-F08-01</x:v>
      </x:c>
      <x:c r="D309" s="10" t="str">
        <x:v>TEXT:SYN-F08-01-G02</x:v>
      </x:c>
      <x:c r="E309" s="11" t="n">
        <x:v>3.028107</x:v>
      </x:c>
      <x:c r="F309" s="11" t="n">
        <x:v>3.028107</x:v>
      </x:c>
      <x:c r="G309" s="11" t="n">
        <x:f>F309-E309</x:f>
        <x:v>0</x:v>
      </x:c>
      <x:c r="H309" s="10" t="n">
        <x:v>1</x:v>
      </x:c>
      <x:c r="I309" s="10" t="str">
        <x:v>AUTHORED_TERMINAL</x:v>
      </x:c>
      <x:c r="J309" s="10" t="str">
        <x:v>TEXT:SYN-F08-01-EXEC-N20</x:v>
      </x:c>
      <x:c r="K309" s="10" t="str">
        <x:v>TEXT:SYN-F08-01-U02</x:v>
      </x:c>
      <x:c r="L309" s="10" t="str">
        <x:v>TEXT:SYN-F08-01-EXEC-N20</x:v>
      </x:c>
    </x:row>
    <x:row r="310" ht="52" customHeight="1">
      <x:c r="A310" s="10" t="str">
        <x:v>T-REL</x:v>
      </x:c>
      <x:c r="B310" s="10" t="str">
        <x:v>TEXT</x:v>
      </x:c>
      <x:c r="C310" s="10" t="str">
        <x:v>TEXT:SYN-F08-01</x:v>
      </x:c>
      <x:c r="D310" s="10" t="str">
        <x:v>TEXT:SYN-F08-01-G01</x:v>
      </x:c>
      <x:c r="E310" s="11" t="n">
        <x:v>4.703857</x:v>
      </x:c>
      <x:c r="F310" s="11" t="n">
        <x:v>12.703857</x:v>
      </x:c>
      <x:c r="G310" s="11" t="n">
        <x:f>F310-E310</x:f>
        <x:v>7.999999999999999</x:v>
      </x:c>
      <x:c r="H310" s="10" t="n">
        <x:v>1</x:v>
      </x:c>
      <x:c r="I310" s="10" t="str">
        <x:v>AUTHORED_TERMINAL</x:v>
      </x:c>
      <x:c r="J310" s="10" t="str">
        <x:v>TEXT:SYN-F08-01-REL-N14</x:v>
      </x:c>
      <x:c r="K310" s="10" t="str">
        <x:v>TEXT:SYN-F08-01-U01</x:v>
      </x:c>
      <x:c r="L310" s="10" t="str">
        <x:v>TEXT:SYN-F08-01-REL-N14</x:v>
      </x:c>
    </x:row>
    <x:row r="311" ht="52" customHeight="1">
      <x:c r="A311" s="10" t="str">
        <x:v>T-REL</x:v>
      </x:c>
      <x:c r="B311" s="10" t="str">
        <x:v>TEXT</x:v>
      </x:c>
      <x:c r="C311" s="10" t="str">
        <x:v>TEXT:SYN-F08-01</x:v>
      </x:c>
      <x:c r="D311" s="10" t="str">
        <x:v>TEXT:SYN-F08-01-G02</x:v>
      </x:c>
      <x:c r="E311" s="11" t="n">
        <x:v>2.573107</x:v>
      </x:c>
      <x:c r="F311" s="11" t="n">
        <x:v>2.573107</x:v>
      </x:c>
      <x:c r="G311" s="11" t="n">
        <x:f>F311-E311</x:f>
        <x:v>0</x:v>
      </x:c>
      <x:c r="H311" s="10" t="n">
        <x:v>1</x:v>
      </x:c>
      <x:c r="I311" s="10" t="str">
        <x:v>AUTHORED_TERMINAL</x:v>
      </x:c>
      <x:c r="J311" s="10" t="str">
        <x:v>TEXT:SYN-F08-01-REL-N22</x:v>
      </x:c>
      <x:c r="K311" s="10" t="str">
        <x:v>TEXT:SYN-F08-01-U02</x:v>
      </x:c>
      <x:c r="L311" s="10" t="str">
        <x:v>TEXT:SYN-F08-01-REL-N22</x:v>
      </x:c>
    </x:row>
    <x:row r="312" ht="52" customHeight="1">
      <x:c r="A312" s="10" t="str">
        <x:v>T-BASE</x:v>
      </x:c>
      <x:c r="B312" s="10" t="str">
        <x:v>TEXT</x:v>
      </x:c>
      <x:c r="C312" s="10" t="str">
        <x:v>TEXT:SYN-F08-02</x:v>
      </x:c>
      <x:c r="D312" s="10" t="str">
        <x:v>TEXT:SYN-F08-02-G01</x:v>
      </x:c>
      <x:c r="E312" s="11" t="n">
        <x:v>4.789857</x:v>
      </x:c>
      <x:c r="F312" s="11" t="n">
        <x:v>12.789857</x:v>
      </x:c>
      <x:c r="G312" s="11" t="n">
        <x:f>F312-E312</x:f>
        <x:v>8</x:v>
      </x:c>
      <x:c r="H312" s="10" t="n">
        <x:v>1</x:v>
      </x:c>
      <x:c r="I312" s="10" t="str">
        <x:v>AUTHORED_TERMINAL</x:v>
      </x:c>
      <x:c r="J312" s="10" t="str">
        <x:v>TEXT:SYN-F08-02-BASE-N11</x:v>
      </x:c>
      <x:c r="K312" s="10" t="str">
        <x:v>TEXT:SYN-F08-02-U01</x:v>
      </x:c>
      <x:c r="L312" s="10" t="str">
        <x:v>TEXT:SYN-F08-02-BASE-N11</x:v>
      </x:c>
    </x:row>
    <x:row r="313" ht="52" customHeight="1">
      <x:c r="A313" s="10" t="str">
        <x:v>T-BASE</x:v>
      </x:c>
      <x:c r="B313" s="10" t="str">
        <x:v>TEXT</x:v>
      </x:c>
      <x:c r="C313" s="10" t="str">
        <x:v>TEXT:SYN-F08-02</x:v>
      </x:c>
      <x:c r="D313" s="10" t="str">
        <x:v>TEXT:SYN-F08-02-G02</x:v>
      </x:c>
      <x:c r="E313" s="11" t="n">
        <x:v>2.614107</x:v>
      </x:c>
      <x:c r="F313" s="11" t="n">
        <x:v>2.614107</x:v>
      </x:c>
      <x:c r="G313" s="11" t="n">
        <x:f>F313-E313</x:f>
        <x:v>0</x:v>
      </x:c>
      <x:c r="H313" s="10" t="n">
        <x:v>1</x:v>
      </x:c>
      <x:c r="I313" s="10" t="str">
        <x:v>AUTHORED_TERMINAL</x:v>
      </x:c>
      <x:c r="J313" s="10" t="str">
        <x:v>TEXT:SYN-F08-02-BASE-N19</x:v>
      </x:c>
      <x:c r="K313" s="10" t="str">
        <x:v>TEXT:SYN-F08-02-U02</x:v>
      </x:c>
      <x:c r="L313" s="10" t="str">
        <x:v>TEXT:SYN-F08-02-BASE-N19</x:v>
      </x:c>
    </x:row>
    <x:row r="314" ht="52" customHeight="1">
      <x:c r="A314" s="10" t="str">
        <x:v>T-EXEC</x:v>
      </x:c>
      <x:c r="B314" s="10" t="str">
        <x:v>TEXT</x:v>
      </x:c>
      <x:c r="C314" s="10" t="str">
        <x:v>TEXT:SYN-F08-02</x:v>
      </x:c>
      <x:c r="D314" s="10" t="str">
        <x:v>TEXT:SYN-F08-02-G01</x:v>
      </x:c>
      <x:c r="E314" s="11" t="n">
        <x:v>4.789857</x:v>
      </x:c>
      <x:c r="F314" s="11" t="n">
        <x:v>12.789857</x:v>
      </x:c>
      <x:c r="G314" s="11" t="n">
        <x:f>F314-E314</x:f>
        <x:v>8</x:v>
      </x:c>
      <x:c r="H314" s="10" t="n">
        <x:v>1</x:v>
      </x:c>
      <x:c r="I314" s="10" t="str">
        <x:v>AUTHORED_TERMINAL</x:v>
      </x:c>
      <x:c r="J314" s="10" t="str">
        <x:v>TEXT:SYN-F08-02-EXEC-N11</x:v>
      </x:c>
      <x:c r="K314" s="10" t="str">
        <x:v>TEXT:SYN-F08-02-U01</x:v>
      </x:c>
      <x:c r="L314" s="10" t="str">
        <x:v>TEXT:SYN-F08-02-EXEC-N11</x:v>
      </x:c>
    </x:row>
    <x:row r="315" ht="52" customHeight="1">
      <x:c r="A315" s="10" t="str">
        <x:v>T-EXEC</x:v>
      </x:c>
      <x:c r="B315" s="10" t="str">
        <x:v>TEXT</x:v>
      </x:c>
      <x:c r="C315" s="10" t="str">
        <x:v>TEXT:SYN-F08-02</x:v>
      </x:c>
      <x:c r="D315" s="10" t="str">
        <x:v>TEXT:SYN-F08-02-G02</x:v>
      </x:c>
      <x:c r="E315" s="11" t="n">
        <x:v>3.078786</x:v>
      </x:c>
      <x:c r="F315" s="11" t="n">
        <x:v>3.078786</x:v>
      </x:c>
      <x:c r="G315" s="11" t="n">
        <x:f>F315-E315</x:f>
        <x:v>0</x:v>
      </x:c>
      <x:c r="H315" s="10" t="n">
        <x:v>1</x:v>
      </x:c>
      <x:c r="I315" s="10" t="str">
        <x:v>AUTHORED_TERMINAL</x:v>
      </x:c>
      <x:c r="J315" s="10" t="str">
        <x:v>TEXT:SYN-F08-02-EXEC-N20</x:v>
      </x:c>
      <x:c r="K315" s="10" t="str">
        <x:v>TEXT:SYN-F08-02-U02</x:v>
      </x:c>
      <x:c r="L315" s="10" t="str">
        <x:v>TEXT:SYN-F08-02-EXEC-N20</x:v>
      </x:c>
    </x:row>
    <x:row r="316" ht="52" customHeight="1">
      <x:c r="A316" s="10" t="str">
        <x:v>T-REL</x:v>
      </x:c>
      <x:c r="B316" s="10" t="str">
        <x:v>TEXT</x:v>
      </x:c>
      <x:c r="C316" s="10" t="str">
        <x:v>TEXT:SYN-F08-02</x:v>
      </x:c>
      <x:c r="D316" s="10" t="str">
        <x:v>TEXT:SYN-F08-02-G01</x:v>
      </x:c>
      <x:c r="E316" s="11" t="n">
        <x:v>4.789857</x:v>
      </x:c>
      <x:c r="F316" s="11" t="n">
        <x:v>12.789857</x:v>
      </x:c>
      <x:c r="G316" s="11" t="n">
        <x:f>F316-E316</x:f>
        <x:v>8</x:v>
      </x:c>
      <x:c r="H316" s="10" t="n">
        <x:v>1</x:v>
      </x:c>
      <x:c r="I316" s="10" t="str">
        <x:v>AUTHORED_TERMINAL</x:v>
      </x:c>
      <x:c r="J316" s="10" t="str">
        <x:v>TEXT:SYN-F08-02-REL-N14</x:v>
      </x:c>
      <x:c r="K316" s="10" t="str">
        <x:v>TEXT:SYN-F08-02-U01</x:v>
      </x:c>
      <x:c r="L316" s="10" t="str">
        <x:v>TEXT:SYN-F08-02-REL-N14</x:v>
      </x:c>
    </x:row>
    <x:row r="317" ht="52" customHeight="1">
      <x:c r="A317" s="10" t="str">
        <x:v>T-REL</x:v>
      </x:c>
      <x:c r="B317" s="10" t="str">
        <x:v>TEXT</x:v>
      </x:c>
      <x:c r="C317" s="10" t="str">
        <x:v>TEXT:SYN-F08-02</x:v>
      </x:c>
      <x:c r="D317" s="10" t="str">
        <x:v>TEXT:SYN-F08-02-G02</x:v>
      </x:c>
      <x:c r="E317" s="11" t="n">
        <x:v>2.614107</x:v>
      </x:c>
      <x:c r="F317" s="11" t="n">
        <x:v>2.614107</x:v>
      </x:c>
      <x:c r="G317" s="11" t="n">
        <x:f>F317-E317</x:f>
        <x:v>0</x:v>
      </x:c>
      <x:c r="H317" s="10" t="n">
        <x:v>1</x:v>
      </x:c>
      <x:c r="I317" s="10" t="str">
        <x:v>AUTHORED_TERMINAL</x:v>
      </x:c>
      <x:c r="J317" s="10" t="str">
        <x:v>TEXT:SYN-F08-02-REL-N22</x:v>
      </x:c>
      <x:c r="K317" s="10" t="str">
        <x:v>TEXT:SYN-F08-02-U02</x:v>
      </x:c>
      <x:c r="L317" s="10" t="str">
        <x:v>TEXT:SYN-F08-02-REL-N22</x:v>
      </x:c>
    </x:row>
    <x:row r="318" ht="52" customHeight="1">
      <x:c r="A318" s="10" t="str">
        <x:v>T-BASE</x:v>
      </x:c>
      <x:c r="B318" s="10" t="str">
        <x:v>TEXT</x:v>
      </x:c>
      <x:c r="C318" s="10" t="str">
        <x:v>TEXT:SYN-F08-03</x:v>
      </x:c>
      <x:c r="D318" s="10" t="str">
        <x:v>TEXT:SYN-F08-03-G01</x:v>
      </x:c>
      <x:c r="E318" s="11" t="n">
        <x:v>4.875857</x:v>
      </x:c>
      <x:c r="F318" s="11" t="n">
        <x:v>12.875857</x:v>
      </x:c>
      <x:c r="G318" s="11" t="n">
        <x:f>F318-E318</x:f>
        <x:v>8</x:v>
      </x:c>
      <x:c r="H318" s="10" t="n">
        <x:v>1</x:v>
      </x:c>
      <x:c r="I318" s="10" t="str">
        <x:v>AUTHORED_TERMINAL</x:v>
      </x:c>
      <x:c r="J318" s="10" t="str">
        <x:v>TEXT:SYN-F08-03-BASE-N11</x:v>
      </x:c>
      <x:c r="K318" s="10" t="str">
        <x:v>TEXT:SYN-F08-03-U01</x:v>
      </x:c>
      <x:c r="L318" s="10" t="str">
        <x:v>TEXT:SYN-F08-03-BASE-N11</x:v>
      </x:c>
    </x:row>
    <x:row r="319" ht="52" customHeight="1">
      <x:c r="A319" s="10" t="str">
        <x:v>T-BASE</x:v>
      </x:c>
      <x:c r="B319" s="10" t="str">
        <x:v>TEXT</x:v>
      </x:c>
      <x:c r="C319" s="10" t="str">
        <x:v>TEXT:SYN-F08-03</x:v>
      </x:c>
      <x:c r="D319" s="10" t="str">
        <x:v>TEXT:SYN-F08-03-G02</x:v>
      </x:c>
      <x:c r="E319" s="11" t="n">
        <x:v>2.655107</x:v>
      </x:c>
      <x:c r="F319" s="11" t="n">
        <x:v>2.655107</x:v>
      </x:c>
      <x:c r="G319" s="11" t="n">
        <x:f>F319-E319</x:f>
        <x:v>0</x:v>
      </x:c>
      <x:c r="H319" s="10" t="n">
        <x:v>1</x:v>
      </x:c>
      <x:c r="I319" s="10" t="str">
        <x:v>AUTHORED_TERMINAL</x:v>
      </x:c>
      <x:c r="J319" s="10" t="str">
        <x:v>TEXT:SYN-F08-03-BASE-N19</x:v>
      </x:c>
      <x:c r="K319" s="10" t="str">
        <x:v>TEXT:SYN-F08-03-U02</x:v>
      </x:c>
      <x:c r="L319" s="10" t="str">
        <x:v>TEXT:SYN-F08-03-BASE-N19</x:v>
      </x:c>
    </x:row>
    <x:row r="320" ht="52" customHeight="1">
      <x:c r="A320" s="10" t="str">
        <x:v>T-EXEC</x:v>
      </x:c>
      <x:c r="B320" s="10" t="str">
        <x:v>TEXT</x:v>
      </x:c>
      <x:c r="C320" s="10" t="str">
        <x:v>TEXT:SYN-F08-03</x:v>
      </x:c>
      <x:c r="D320" s="10" t="str">
        <x:v>TEXT:SYN-F08-03-G01</x:v>
      </x:c>
      <x:c r="E320" s="11" t="n">
        <x:v>4.875857</x:v>
      </x:c>
      <x:c r="F320" s="11" t="n">
        <x:v>12.875857</x:v>
      </x:c>
      <x:c r="G320" s="11" t="n">
        <x:f>F320-E320</x:f>
        <x:v>8</x:v>
      </x:c>
      <x:c r="H320" s="10" t="n">
        <x:v>1</x:v>
      </x:c>
      <x:c r="I320" s="10" t="str">
        <x:v>AUTHORED_TERMINAL</x:v>
      </x:c>
      <x:c r="J320" s="10" t="str">
        <x:v>TEXT:SYN-F08-03-EXEC-N11</x:v>
      </x:c>
      <x:c r="K320" s="10" t="str">
        <x:v>TEXT:SYN-F08-03-U01</x:v>
      </x:c>
      <x:c r="L320" s="10" t="str">
        <x:v>TEXT:SYN-F08-03-EXEC-N11</x:v>
      </x:c>
    </x:row>
    <x:row r="321" ht="52" customHeight="1">
      <x:c r="A321" s="10" t="str">
        <x:v>T-EXEC</x:v>
      </x:c>
      <x:c r="B321" s="10" t="str">
        <x:v>TEXT</x:v>
      </x:c>
      <x:c r="C321" s="10" t="str">
        <x:v>TEXT:SYN-F08-03</x:v>
      </x:c>
      <x:c r="D321" s="10" t="str">
        <x:v>TEXT:SYN-F08-03-G02</x:v>
      </x:c>
      <x:c r="E321" s="11" t="n">
        <x:v>3.129464</x:v>
      </x:c>
      <x:c r="F321" s="11" t="n">
        <x:v>3.129464</x:v>
      </x:c>
      <x:c r="G321" s="11" t="n">
        <x:f>F321-E321</x:f>
        <x:v>0</x:v>
      </x:c>
      <x:c r="H321" s="10" t="n">
        <x:v>1</x:v>
      </x:c>
      <x:c r="I321" s="10" t="str">
        <x:v>AUTHORED_TERMINAL</x:v>
      </x:c>
      <x:c r="J321" s="10" t="str">
        <x:v>TEXT:SYN-F08-03-EXEC-N20</x:v>
      </x:c>
      <x:c r="K321" s="10" t="str">
        <x:v>TEXT:SYN-F08-03-U02</x:v>
      </x:c>
      <x:c r="L321" s="10" t="str">
        <x:v>TEXT:SYN-F08-03-EXEC-N20</x:v>
      </x:c>
    </x:row>
    <x:row r="322" ht="52" customHeight="1">
      <x:c r="A322" s="10" t="str">
        <x:v>T-REL</x:v>
      </x:c>
      <x:c r="B322" s="10" t="str">
        <x:v>TEXT</x:v>
      </x:c>
      <x:c r="C322" s="10" t="str">
        <x:v>TEXT:SYN-F08-03</x:v>
      </x:c>
      <x:c r="D322" s="10" t="str">
        <x:v>TEXT:SYN-F08-03-G01</x:v>
      </x:c>
      <x:c r="E322" s="11" t="n">
        <x:v>4.875857</x:v>
      </x:c>
      <x:c r="F322" s="11" t="n">
        <x:v>12.875857</x:v>
      </x:c>
      <x:c r="G322" s="11" t="n">
        <x:f>F322-E322</x:f>
        <x:v>8</x:v>
      </x:c>
      <x:c r="H322" s="10" t="n">
        <x:v>1</x:v>
      </x:c>
      <x:c r="I322" s="10" t="str">
        <x:v>AUTHORED_TERMINAL</x:v>
      </x:c>
      <x:c r="J322" s="10" t="str">
        <x:v>TEXT:SYN-F08-03-REL-N14</x:v>
      </x:c>
      <x:c r="K322" s="10" t="str">
        <x:v>TEXT:SYN-F08-03-U01</x:v>
      </x:c>
      <x:c r="L322" s="10" t="str">
        <x:v>TEXT:SYN-F08-03-REL-N14</x:v>
      </x:c>
    </x:row>
    <x:row r="323" ht="52" customHeight="1">
      <x:c r="A323" s="10" t="str">
        <x:v>T-REL</x:v>
      </x:c>
      <x:c r="B323" s="10" t="str">
        <x:v>TEXT</x:v>
      </x:c>
      <x:c r="C323" s="10" t="str">
        <x:v>TEXT:SYN-F08-03</x:v>
      </x:c>
      <x:c r="D323" s="10" t="str">
        <x:v>TEXT:SYN-F08-03-G02</x:v>
      </x:c>
      <x:c r="E323" s="11" t="n">
        <x:v>2.655107</x:v>
      </x:c>
      <x:c r="F323" s="11" t="n">
        <x:v>2.655107</x:v>
      </x:c>
      <x:c r="G323" s="11" t="n">
        <x:f>F323-E323</x:f>
        <x:v>0</x:v>
      </x:c>
      <x:c r="H323" s="10" t="n">
        <x:v>1</x:v>
      </x:c>
      <x:c r="I323" s="10" t="str">
        <x:v>AUTHORED_TERMINAL</x:v>
      </x:c>
      <x:c r="J323" s="10" t="str">
        <x:v>TEXT:SYN-F08-03-REL-N22</x:v>
      </x:c>
      <x:c r="K323" s="10" t="str">
        <x:v>TEXT:SYN-F08-03-U02</x:v>
      </x:c>
      <x:c r="L323" s="10" t="str">
        <x:v>TEXT:SYN-F08-03-REL-N22</x:v>
      </x:c>
    </x:row>
    <x:row r="324" ht="52" customHeight="1">
      <x:c r="A324" s="10" t="str">
        <x:v>T-BASE</x:v>
      </x:c>
      <x:c r="B324" s="10" t="str">
        <x:v>TEXT</x:v>
      </x:c>
      <x:c r="C324" s="10" t="str">
        <x:v>TEXT:SYN-F08-04</x:v>
      </x:c>
      <x:c r="D324" s="10" t="str">
        <x:v>TEXT:SYN-F08-04-G01</x:v>
      </x:c>
      <x:c r="E324" s="11" t="n">
        <x:v>4.961857</x:v>
      </x:c>
      <x:c r="F324" s="11" t="n">
        <x:v>12.961857</x:v>
      </x:c>
      <x:c r="G324" s="11" t="n">
        <x:f>F324-E324</x:f>
        <x:v>8</x:v>
      </x:c>
      <x:c r="H324" s="10" t="n">
        <x:v>1</x:v>
      </x:c>
      <x:c r="I324" s="10" t="str">
        <x:v>AUTHORED_TERMINAL</x:v>
      </x:c>
      <x:c r="J324" s="10" t="str">
        <x:v>TEXT:SYN-F08-04-BASE-N11</x:v>
      </x:c>
      <x:c r="K324" s="10" t="str">
        <x:v>TEXT:SYN-F08-04-U01</x:v>
      </x:c>
      <x:c r="L324" s="10" t="str">
        <x:v>TEXT:SYN-F08-04-BASE-N11</x:v>
      </x:c>
    </x:row>
    <x:row r="325" ht="52" customHeight="1">
      <x:c r="A325" s="10" t="str">
        <x:v>T-BASE</x:v>
      </x:c>
      <x:c r="B325" s="10" t="str">
        <x:v>TEXT</x:v>
      </x:c>
      <x:c r="C325" s="10" t="str">
        <x:v>TEXT:SYN-F08-04</x:v>
      </x:c>
      <x:c r="D325" s="10" t="str">
        <x:v>TEXT:SYN-F08-04-G02</x:v>
      </x:c>
      <x:c r="E325" s="11" t="n">
        <x:v>2.696107</x:v>
      </x:c>
      <x:c r="F325" s="11" t="n">
        <x:v>2.696107</x:v>
      </x:c>
      <x:c r="G325" s="11" t="n">
        <x:f>F325-E325</x:f>
        <x:v>0</x:v>
      </x:c>
      <x:c r="H325" s="10" t="n">
        <x:v>1</x:v>
      </x:c>
      <x:c r="I325" s="10" t="str">
        <x:v>AUTHORED_TERMINAL</x:v>
      </x:c>
      <x:c r="J325" s="10" t="str">
        <x:v>TEXT:SYN-F08-04-BASE-N19</x:v>
      </x:c>
      <x:c r="K325" s="10" t="str">
        <x:v>TEXT:SYN-F08-04-U02</x:v>
      </x:c>
      <x:c r="L325" s="10" t="str">
        <x:v>TEXT:SYN-F08-04-BASE-N19</x:v>
      </x:c>
    </x:row>
    <x:row r="326" ht="52" customHeight="1">
      <x:c r="A326" s="10" t="str">
        <x:v>T-EXEC</x:v>
      </x:c>
      <x:c r="B326" s="10" t="str">
        <x:v>TEXT</x:v>
      </x:c>
      <x:c r="C326" s="10" t="str">
        <x:v>TEXT:SYN-F08-04</x:v>
      </x:c>
      <x:c r="D326" s="10" t="str">
        <x:v>TEXT:SYN-F08-04-G01</x:v>
      </x:c>
      <x:c r="E326" s="11" t="n">
        <x:v>4.961857</x:v>
      </x:c>
      <x:c r="F326" s="11" t="n">
        <x:v>12.961857</x:v>
      </x:c>
      <x:c r="G326" s="11" t="n">
        <x:f>F326-E326</x:f>
        <x:v>8</x:v>
      </x:c>
      <x:c r="H326" s="10" t="n">
        <x:v>1</x:v>
      </x:c>
      <x:c r="I326" s="10" t="str">
        <x:v>AUTHORED_TERMINAL</x:v>
      </x:c>
      <x:c r="J326" s="10" t="str">
        <x:v>TEXT:SYN-F08-04-EXEC-N11</x:v>
      </x:c>
      <x:c r="K326" s="10" t="str">
        <x:v>TEXT:SYN-F08-04-U01</x:v>
      </x:c>
      <x:c r="L326" s="10" t="str">
        <x:v>TEXT:SYN-F08-04-EXEC-N11</x:v>
      </x:c>
    </x:row>
    <x:row r="327" ht="52" customHeight="1">
      <x:c r="A327" s="10" t="str">
        <x:v>T-EXEC</x:v>
      </x:c>
      <x:c r="B327" s="10" t="str">
        <x:v>TEXT</x:v>
      </x:c>
      <x:c r="C327" s="10" t="str">
        <x:v>TEXT:SYN-F08-04</x:v>
      </x:c>
      <x:c r="D327" s="10" t="str">
        <x:v>TEXT:SYN-F08-04-G02</x:v>
      </x:c>
      <x:c r="E327" s="11" t="n">
        <x:v>3.161393</x:v>
      </x:c>
      <x:c r="F327" s="11" t="n">
        <x:v>3.161393</x:v>
      </x:c>
      <x:c r="G327" s="11" t="n">
        <x:f>F327-E327</x:f>
        <x:v>0</x:v>
      </x:c>
      <x:c r="H327" s="10" t="n">
        <x:v>1</x:v>
      </x:c>
      <x:c r="I327" s="10" t="str">
        <x:v>AUTHORED_TERMINAL</x:v>
      </x:c>
      <x:c r="J327" s="10" t="str">
        <x:v>TEXT:SYN-F08-04-EXEC-N20</x:v>
      </x:c>
      <x:c r="K327" s="10" t="str">
        <x:v>TEXT:SYN-F08-04-U02</x:v>
      </x:c>
      <x:c r="L327" s="10" t="str">
        <x:v>TEXT:SYN-F08-04-EXEC-N20</x:v>
      </x:c>
    </x:row>
    <x:row r="328" ht="52" customHeight="1">
      <x:c r="A328" s="10" t="str">
        <x:v>T-REL</x:v>
      </x:c>
      <x:c r="B328" s="10" t="str">
        <x:v>TEXT</x:v>
      </x:c>
      <x:c r="C328" s="10" t="str">
        <x:v>TEXT:SYN-F08-04</x:v>
      </x:c>
      <x:c r="D328" s="10" t="str">
        <x:v>TEXT:SYN-F08-04-G01</x:v>
      </x:c>
      <x:c r="E328" s="11" t="n">
        <x:v>4.961857</x:v>
      </x:c>
      <x:c r="F328" s="11" t="n">
        <x:v>12.961857</x:v>
      </x:c>
      <x:c r="G328" s="11" t="n">
        <x:f>F328-E328</x:f>
        <x:v>8</x:v>
      </x:c>
      <x:c r="H328" s="10" t="n">
        <x:v>1</x:v>
      </x:c>
      <x:c r="I328" s="10" t="str">
        <x:v>AUTHORED_TERMINAL</x:v>
      </x:c>
      <x:c r="J328" s="10" t="str">
        <x:v>TEXT:SYN-F08-04-REL-N14</x:v>
      </x:c>
      <x:c r="K328" s="10" t="str">
        <x:v>TEXT:SYN-F08-04-U01</x:v>
      </x:c>
      <x:c r="L328" s="10" t="str">
        <x:v>TEXT:SYN-F08-04-REL-N14</x:v>
      </x:c>
    </x:row>
    <x:row r="329" ht="52" customHeight="1">
      <x:c r="A329" s="10" t="str">
        <x:v>T-REL</x:v>
      </x:c>
      <x:c r="B329" s="10" t="str">
        <x:v>TEXT</x:v>
      </x:c>
      <x:c r="C329" s="10" t="str">
        <x:v>TEXT:SYN-F08-04</x:v>
      </x:c>
      <x:c r="D329" s="10" t="str">
        <x:v>TEXT:SYN-F08-04-G02</x:v>
      </x:c>
      <x:c r="E329" s="11" t="n">
        <x:v>2.696107</x:v>
      </x:c>
      <x:c r="F329" s="11" t="n">
        <x:v>2.696107</x:v>
      </x:c>
      <x:c r="G329" s="11" t="n">
        <x:f>F329-E329</x:f>
        <x:v>0</x:v>
      </x:c>
      <x:c r="H329" s="10" t="n">
        <x:v>1</x:v>
      </x:c>
      <x:c r="I329" s="10" t="str">
        <x:v>AUTHORED_TERMINAL</x:v>
      </x:c>
      <x:c r="J329" s="10" t="str">
        <x:v>TEXT:SYN-F08-04-REL-N22</x:v>
      </x:c>
      <x:c r="K329" s="10" t="str">
        <x:v>TEXT:SYN-F08-04-U02</x:v>
      </x:c>
      <x:c r="L329" s="10" t="str">
        <x:v>TEXT:SYN-F08-04-REL-N22</x:v>
      </x:c>
    </x:row>
    <x:row r="330" ht="52" customHeight="1">
      <x:c r="A330" s="10" t="str">
        <x:v>T-BASE</x:v>
      </x:c>
      <x:c r="B330" s="10" t="str">
        <x:v>TEXT</x:v>
      </x:c>
      <x:c r="C330" s="10" t="str">
        <x:v>TEXT:SYN-F08-05</x:v>
      </x:c>
      <x:c r="D330" s="10" t="str">
        <x:v>TEXT:SYN-F08-05-G01</x:v>
      </x:c>
      <x:c r="E330" s="11" t="n">
        <x:v>4.997857</x:v>
      </x:c>
      <x:c r="F330" s="11" t="n">
        <x:v>12.997857</x:v>
      </x:c>
      <x:c r="G330" s="11" t="n">
        <x:f>F330-E330</x:f>
        <x:v>8</x:v>
      </x:c>
      <x:c r="H330" s="10" t="n">
        <x:v>1</x:v>
      </x:c>
      <x:c r="I330" s="10" t="str">
        <x:v>AUTHORED_TERMINAL</x:v>
      </x:c>
      <x:c r="J330" s="10" t="str">
        <x:v>TEXT:SYN-F08-05-BASE-N11</x:v>
      </x:c>
      <x:c r="K330" s="10" t="str">
        <x:v>TEXT:SYN-F08-05-U01</x:v>
      </x:c>
      <x:c r="L330" s="10" t="str">
        <x:v>TEXT:SYN-F08-05-BASE-N11</x:v>
      </x:c>
    </x:row>
    <x:row r="331" ht="52" customHeight="1">
      <x:c r="A331" s="10" t="str">
        <x:v>T-BASE</x:v>
      </x:c>
      <x:c r="B331" s="10" t="str">
        <x:v>TEXT</x:v>
      </x:c>
      <x:c r="C331" s="10" t="str">
        <x:v>TEXT:SYN-F08-05</x:v>
      </x:c>
      <x:c r="D331" s="10" t="str">
        <x:v>TEXT:SYN-F08-05-G02</x:v>
      </x:c>
      <x:c r="E331" s="11" t="n">
        <x:v>2.687107</x:v>
      </x:c>
      <x:c r="F331" s="11" t="n">
        <x:v>2.687107</x:v>
      </x:c>
      <x:c r="G331" s="11" t="n">
        <x:f>F331-E331</x:f>
        <x:v>0</x:v>
      </x:c>
      <x:c r="H331" s="10" t="n">
        <x:v>1</x:v>
      </x:c>
      <x:c r="I331" s="10" t="str">
        <x:v>AUTHORED_TERMINAL</x:v>
      </x:c>
      <x:c r="J331" s="10" t="str">
        <x:v>TEXT:SYN-F08-05-BASE-N19</x:v>
      </x:c>
      <x:c r="K331" s="10" t="str">
        <x:v>TEXT:SYN-F08-05-U02</x:v>
      </x:c>
      <x:c r="L331" s="10" t="str">
        <x:v>TEXT:SYN-F08-05-BASE-N19</x:v>
      </x:c>
    </x:row>
    <x:row r="332" ht="52" customHeight="1">
      <x:c r="A332" s="10" t="str">
        <x:v>T-EXEC</x:v>
      </x:c>
      <x:c r="B332" s="10" t="str">
        <x:v>TEXT</x:v>
      </x:c>
      <x:c r="C332" s="10" t="str">
        <x:v>TEXT:SYN-F08-05</x:v>
      </x:c>
      <x:c r="D332" s="10" t="str">
        <x:v>TEXT:SYN-F08-05-G01</x:v>
      </x:c>
      <x:c r="E332" s="11" t="n">
        <x:v>4.997857</x:v>
      </x:c>
      <x:c r="F332" s="11" t="n">
        <x:v>12.997857</x:v>
      </x:c>
      <x:c r="G332" s="11" t="n">
        <x:f>F332-E332</x:f>
        <x:v>8</x:v>
      </x:c>
      <x:c r="H332" s="10" t="n">
        <x:v>1</x:v>
      </x:c>
      <x:c r="I332" s="10" t="str">
        <x:v>AUTHORED_TERMINAL</x:v>
      </x:c>
      <x:c r="J332" s="10" t="str">
        <x:v>TEXT:SYN-F08-05-EXEC-N11</x:v>
      </x:c>
      <x:c r="K332" s="10" t="str">
        <x:v>TEXT:SYN-F08-05-U01</x:v>
      </x:c>
      <x:c r="L332" s="10" t="str">
        <x:v>TEXT:SYN-F08-05-EXEC-N11</x:v>
      </x:c>
    </x:row>
    <x:row r="333" ht="52" customHeight="1">
      <x:c r="A333" s="10" t="str">
        <x:v>T-EXEC</x:v>
      </x:c>
      <x:c r="B333" s="10" t="str">
        <x:v>TEXT</x:v>
      </x:c>
      <x:c r="C333" s="10" t="str">
        <x:v>TEXT:SYN-F08-05</x:v>
      </x:c>
      <x:c r="D333" s="10" t="str">
        <x:v>TEXT:SYN-F08-05-G02</x:v>
      </x:c>
      <x:c r="E333" s="11" t="n">
        <x:v>3.162071</x:v>
      </x:c>
      <x:c r="F333" s="11" t="n">
        <x:v>3.162071</x:v>
      </x:c>
      <x:c r="G333" s="11" t="n">
        <x:f>F333-E333</x:f>
        <x:v>0</x:v>
      </x:c>
      <x:c r="H333" s="10" t="n">
        <x:v>1</x:v>
      </x:c>
      <x:c r="I333" s="10" t="str">
        <x:v>AUTHORED_TERMINAL</x:v>
      </x:c>
      <x:c r="J333" s="10" t="str">
        <x:v>TEXT:SYN-F08-05-EXEC-N20</x:v>
      </x:c>
      <x:c r="K333" s="10" t="str">
        <x:v>TEXT:SYN-F08-05-U02</x:v>
      </x:c>
      <x:c r="L333" s="10" t="str">
        <x:v>TEXT:SYN-F08-05-EXEC-N20</x:v>
      </x:c>
    </x:row>
    <x:row r="334" ht="52" customHeight="1">
      <x:c r="A334" s="10" t="str">
        <x:v>T-REL</x:v>
      </x:c>
      <x:c r="B334" s="10" t="str">
        <x:v>TEXT</x:v>
      </x:c>
      <x:c r="C334" s="10" t="str">
        <x:v>TEXT:SYN-F08-05</x:v>
      </x:c>
      <x:c r="D334" s="10" t="str">
        <x:v>TEXT:SYN-F08-05-G01</x:v>
      </x:c>
      <x:c r="E334" s="11" t="n">
        <x:v>4.997857</x:v>
      </x:c>
      <x:c r="F334" s="11" t="n">
        <x:v>12.997857</x:v>
      </x:c>
      <x:c r="G334" s="11" t="n">
        <x:f>F334-E334</x:f>
        <x:v>8</x:v>
      </x:c>
      <x:c r="H334" s="10" t="n">
        <x:v>1</x:v>
      </x:c>
      <x:c r="I334" s="10" t="str">
        <x:v>AUTHORED_TERMINAL</x:v>
      </x:c>
      <x:c r="J334" s="10" t="str">
        <x:v>TEXT:SYN-F08-05-REL-N14</x:v>
      </x:c>
      <x:c r="K334" s="10" t="str">
        <x:v>TEXT:SYN-F08-05-U01</x:v>
      </x:c>
      <x:c r="L334" s="10" t="str">
        <x:v>TEXT:SYN-F08-05-REL-N14</x:v>
      </x:c>
    </x:row>
    <x:row r="335" ht="52" customHeight="1">
      <x:c r="A335" s="10" t="str">
        <x:v>T-REL</x:v>
      </x:c>
      <x:c r="B335" s="10" t="str">
        <x:v>TEXT</x:v>
      </x:c>
      <x:c r="C335" s="10" t="str">
        <x:v>TEXT:SYN-F08-05</x:v>
      </x:c>
      <x:c r="D335" s="10" t="str">
        <x:v>TEXT:SYN-F08-05-G02</x:v>
      </x:c>
      <x:c r="E335" s="11" t="n">
        <x:v>2.687107</x:v>
      </x:c>
      <x:c r="F335" s="11" t="n">
        <x:v>2.687107</x:v>
      </x:c>
      <x:c r="G335" s="11" t="n">
        <x:f>F335-E335</x:f>
        <x:v>0</x:v>
      </x:c>
      <x:c r="H335" s="10" t="n">
        <x:v>1</x:v>
      </x:c>
      <x:c r="I335" s="10" t="str">
        <x:v>AUTHORED_TERMINAL</x:v>
      </x:c>
      <x:c r="J335" s="10" t="str">
        <x:v>TEXT:SYN-F08-05-REL-N22</x:v>
      </x:c>
      <x:c r="K335" s="10" t="str">
        <x:v>TEXT:SYN-F08-05-U02</x:v>
      </x:c>
      <x:c r="L335" s="10" t="str">
        <x:v>TEXT:SYN-F08-05-REL-N22</x:v>
      </x:c>
    </x:row>
    <x:row r="336" ht="52" customHeight="1">
      <x:c r="A336" s="10" t="str">
        <x:v>T-BASE</x:v>
      </x:c>
      <x:c r="B336" s="10" t="str">
        <x:v>TEXT</x:v>
      </x:c>
      <x:c r="C336" s="10" t="str">
        <x:v>TEXT:SYN-F08-06</x:v>
      </x:c>
      <x:c r="D336" s="10" t="str">
        <x:v>TEXT:SYN-F08-06-G01</x:v>
      </x:c>
      <x:c r="E336" s="11" t="n">
        <x:v>5.001357</x:v>
      </x:c>
      <x:c r="F336" s="11" t="n">
        <x:v>13.001357</x:v>
      </x:c>
      <x:c r="G336" s="11" t="n">
        <x:f>F336-E336</x:f>
        <x:v>8</x:v>
      </x:c>
      <x:c r="H336" s="10" t="n">
        <x:v>1</x:v>
      </x:c>
      <x:c r="I336" s="10" t="str">
        <x:v>AUTHORED_TERMINAL</x:v>
      </x:c>
      <x:c r="J336" s="10" t="str">
        <x:v>TEXT:SYN-F08-06-BASE-N11</x:v>
      </x:c>
      <x:c r="K336" s="10" t="str">
        <x:v>TEXT:SYN-F08-06-U01</x:v>
      </x:c>
      <x:c r="L336" s="10" t="str">
        <x:v>TEXT:SYN-F08-06-BASE-N11</x:v>
      </x:c>
    </x:row>
    <x:row r="337" ht="52" customHeight="1">
      <x:c r="A337" s="10" t="str">
        <x:v>T-BASE</x:v>
      </x:c>
      <x:c r="B337" s="10" t="str">
        <x:v>TEXT</x:v>
      </x:c>
      <x:c r="C337" s="10" t="str">
        <x:v>TEXT:SYN-F08-06</x:v>
      </x:c>
      <x:c r="D337" s="10" t="str">
        <x:v>TEXT:SYN-F08-06-G02</x:v>
      </x:c>
      <x:c r="E337" s="11" t="n">
        <x:v>2.645607</x:v>
      </x:c>
      <x:c r="F337" s="11" t="n">
        <x:v>2.645607</x:v>
      </x:c>
      <x:c r="G337" s="11" t="n">
        <x:f>F337-E337</x:f>
        <x:v>0</x:v>
      </x:c>
      <x:c r="H337" s="10" t="n">
        <x:v>1</x:v>
      </x:c>
      <x:c r="I337" s="10" t="str">
        <x:v>AUTHORED_TERMINAL</x:v>
      </x:c>
      <x:c r="J337" s="10" t="str">
        <x:v>TEXT:SYN-F08-06-BASE-N19</x:v>
      </x:c>
      <x:c r="K337" s="10" t="str">
        <x:v>TEXT:SYN-F08-06-U02</x:v>
      </x:c>
      <x:c r="L337" s="10" t="str">
        <x:v>TEXT:SYN-F08-06-BASE-N19</x:v>
      </x:c>
    </x:row>
    <x:row r="338" ht="52" customHeight="1">
      <x:c r="A338" s="10" t="str">
        <x:v>T-EXEC</x:v>
      </x:c>
      <x:c r="B338" s="10" t="str">
        <x:v>TEXT</x:v>
      </x:c>
      <x:c r="C338" s="10" t="str">
        <x:v>TEXT:SYN-F08-06</x:v>
      </x:c>
      <x:c r="D338" s="10" t="str">
        <x:v>TEXT:SYN-F08-06-G01</x:v>
      </x:c>
      <x:c r="E338" s="11" t="n">
        <x:v>5.001357</x:v>
      </x:c>
      <x:c r="F338" s="11" t="n">
        <x:v>13.001357</x:v>
      </x:c>
      <x:c r="G338" s="11" t="n">
        <x:f>F338-E338</x:f>
        <x:v>8</x:v>
      </x:c>
      <x:c r="H338" s="10" t="n">
        <x:v>1</x:v>
      </x:c>
      <x:c r="I338" s="10" t="str">
        <x:v>AUTHORED_TERMINAL</x:v>
      </x:c>
      <x:c r="J338" s="10" t="str">
        <x:v>TEXT:SYN-F08-06-EXEC-N11</x:v>
      </x:c>
      <x:c r="K338" s="10" t="str">
        <x:v>TEXT:SYN-F08-06-U01</x:v>
      </x:c>
      <x:c r="L338" s="10" t="str">
        <x:v>TEXT:SYN-F08-06-EXEC-N11</x:v>
      </x:c>
    </x:row>
    <x:row r="339" ht="52" customHeight="1">
      <x:c r="A339" s="10" t="str">
        <x:v>T-EXEC</x:v>
      </x:c>
      <x:c r="B339" s="10" t="str">
        <x:v>TEXT</x:v>
      </x:c>
      <x:c r="C339" s="10" t="str">
        <x:v>TEXT:SYN-F08-06</x:v>
      </x:c>
      <x:c r="D339" s="10" t="str">
        <x:v>TEXT:SYN-F08-06-G02</x:v>
      </x:c>
      <x:c r="E339" s="11" t="n">
        <x:v>3.13025</x:v>
      </x:c>
      <x:c r="F339" s="11" t="n">
        <x:v>3.13025</x:v>
      </x:c>
      <x:c r="G339" s="11" t="n">
        <x:f>F339-E339</x:f>
        <x:v>0</x:v>
      </x:c>
      <x:c r="H339" s="10" t="n">
        <x:v>1</x:v>
      </x:c>
      <x:c r="I339" s="10" t="str">
        <x:v>AUTHORED_TERMINAL</x:v>
      </x:c>
      <x:c r="J339" s="10" t="str">
        <x:v>TEXT:SYN-F08-06-EXEC-N20</x:v>
      </x:c>
      <x:c r="K339" s="10" t="str">
        <x:v>TEXT:SYN-F08-06-U02</x:v>
      </x:c>
      <x:c r="L339" s="10" t="str">
        <x:v>TEXT:SYN-F08-06-EXEC-N20</x:v>
      </x:c>
    </x:row>
    <x:row r="340" ht="52" customHeight="1">
      <x:c r="A340" s="10" t="str">
        <x:v>T-REL</x:v>
      </x:c>
      <x:c r="B340" s="10" t="str">
        <x:v>TEXT</x:v>
      </x:c>
      <x:c r="C340" s="10" t="str">
        <x:v>TEXT:SYN-F08-06</x:v>
      </x:c>
      <x:c r="D340" s="10" t="str">
        <x:v>TEXT:SYN-F08-06-G01</x:v>
      </x:c>
      <x:c r="E340" s="11" t="n">
        <x:v>5.001357</x:v>
      </x:c>
      <x:c r="F340" s="11" t="n">
        <x:v>13.001357</x:v>
      </x:c>
      <x:c r="G340" s="11" t="n">
        <x:f>F340-E340</x:f>
        <x:v>8</x:v>
      </x:c>
      <x:c r="H340" s="10" t="n">
        <x:v>1</x:v>
      </x:c>
      <x:c r="I340" s="10" t="str">
        <x:v>AUTHORED_TERMINAL</x:v>
      </x:c>
      <x:c r="J340" s="10" t="str">
        <x:v>TEXT:SYN-F08-06-REL-N14</x:v>
      </x:c>
      <x:c r="K340" s="10" t="str">
        <x:v>TEXT:SYN-F08-06-U01</x:v>
      </x:c>
      <x:c r="L340" s="10" t="str">
        <x:v>TEXT:SYN-F08-06-REL-N14</x:v>
      </x:c>
    </x:row>
    <x:row r="341" ht="52" customHeight="1">
      <x:c r="A341" s="10" t="str">
        <x:v>T-REL</x:v>
      </x:c>
      <x:c r="B341" s="10" t="str">
        <x:v>TEXT</x:v>
      </x:c>
      <x:c r="C341" s="10" t="str">
        <x:v>TEXT:SYN-F08-06</x:v>
      </x:c>
      <x:c r="D341" s="10" t="str">
        <x:v>TEXT:SYN-F08-06-G02</x:v>
      </x:c>
      <x:c r="E341" s="11" t="n">
        <x:v>2.645607</x:v>
      </x:c>
      <x:c r="F341" s="11" t="n">
        <x:v>2.645607</x:v>
      </x:c>
      <x:c r="G341" s="11" t="n">
        <x:f>F341-E341</x:f>
        <x:v>0</x:v>
      </x:c>
      <x:c r="H341" s="10" t="n">
        <x:v>1</x:v>
      </x:c>
      <x:c r="I341" s="10" t="str">
        <x:v>AUTHORED_TERMINAL</x:v>
      </x:c>
      <x:c r="J341" s="10" t="str">
        <x:v>TEXT:SYN-F08-06-REL-N22</x:v>
      </x:c>
      <x:c r="K341" s="10" t="str">
        <x:v>TEXT:SYN-F08-06-U02</x:v>
      </x:c>
      <x:c r="L341" s="10" t="str">
        <x:v>TEXT:SYN-F08-06-REL-N22</x:v>
      </x:c>
    </x:row>
    <x:row r="342" ht="52" customHeight="1">
      <x:c r="A342" s="10" t="str">
        <x:v>T-BASE</x:v>
      </x:c>
      <x:c r="B342" s="10" t="str">
        <x:v>TEXT</x:v>
      </x:c>
      <x:c r="C342" s="10" t="str">
        <x:v>TEXT:SYN-F08-07</x:v>
      </x:c>
      <x:c r="D342" s="10" t="str">
        <x:v>TEXT:SYN-F08-07-G01</x:v>
      </x:c>
      <x:c r="E342" s="11" t="n">
        <x:v>5.087358</x:v>
      </x:c>
      <x:c r="F342" s="11" t="n">
        <x:v>13.087358</x:v>
      </x:c>
      <x:c r="G342" s="11" t="n">
        <x:f>F342-E342</x:f>
        <x:v>8</x:v>
      </x:c>
      <x:c r="H342" s="10" t="n">
        <x:v>1</x:v>
      </x:c>
      <x:c r="I342" s="10" t="str">
        <x:v>AUTHORED_TERMINAL</x:v>
      </x:c>
      <x:c r="J342" s="10" t="str">
        <x:v>TEXT:SYN-F08-07-BASE-N11</x:v>
      </x:c>
      <x:c r="K342" s="10" t="str">
        <x:v>TEXT:SYN-F08-07-U01</x:v>
      </x:c>
      <x:c r="L342" s="10" t="str">
        <x:v>TEXT:SYN-F08-07-BASE-N11</x:v>
      </x:c>
    </x:row>
    <x:row r="343" ht="52" customHeight="1">
      <x:c r="A343" s="10" t="str">
        <x:v>T-BASE</x:v>
      </x:c>
      <x:c r="B343" s="10" t="str">
        <x:v>TEXT</x:v>
      </x:c>
      <x:c r="C343" s="10" t="str">
        <x:v>TEXT:SYN-F08-07</x:v>
      </x:c>
      <x:c r="D343" s="10" t="str">
        <x:v>TEXT:SYN-F08-07-G02</x:v>
      </x:c>
      <x:c r="E343" s="11" t="n">
        <x:v>2.686608</x:v>
      </x:c>
      <x:c r="F343" s="11" t="n">
        <x:v>2.686608</x:v>
      </x:c>
      <x:c r="G343" s="11" t="n">
        <x:f>F343-E343</x:f>
        <x:v>0</x:v>
      </x:c>
      <x:c r="H343" s="10" t="n">
        <x:v>1</x:v>
      </x:c>
      <x:c r="I343" s="10" t="str">
        <x:v>AUTHORED_TERMINAL</x:v>
      </x:c>
      <x:c r="J343" s="10" t="str">
        <x:v>TEXT:SYN-F08-07-BASE-N19</x:v>
      </x:c>
      <x:c r="K343" s="10" t="str">
        <x:v>TEXT:SYN-F08-07-U02</x:v>
      </x:c>
      <x:c r="L343" s="10" t="str">
        <x:v>TEXT:SYN-F08-07-BASE-N19</x:v>
      </x:c>
    </x:row>
    <x:row r="344" ht="52" customHeight="1">
      <x:c r="A344" s="10" t="str">
        <x:v>T-EXEC</x:v>
      </x:c>
      <x:c r="B344" s="10" t="str">
        <x:v>TEXT</x:v>
      </x:c>
      <x:c r="C344" s="10" t="str">
        <x:v>TEXT:SYN-F08-07</x:v>
      </x:c>
      <x:c r="D344" s="10" t="str">
        <x:v>TEXT:SYN-F08-07-G01</x:v>
      </x:c>
      <x:c r="E344" s="11" t="n">
        <x:v>5.087358</x:v>
      </x:c>
      <x:c r="F344" s="11" t="n">
        <x:v>13.087358</x:v>
      </x:c>
      <x:c r="G344" s="11" t="n">
        <x:f>F344-E344</x:f>
        <x:v>8</x:v>
      </x:c>
      <x:c r="H344" s="10" t="n">
        <x:v>1</x:v>
      </x:c>
      <x:c r="I344" s="10" t="str">
        <x:v>AUTHORED_TERMINAL</x:v>
      </x:c>
      <x:c r="J344" s="10" t="str">
        <x:v>TEXT:SYN-F08-07-EXEC-N11</x:v>
      </x:c>
      <x:c r="K344" s="10" t="str">
        <x:v>TEXT:SYN-F08-07-U01</x:v>
      </x:c>
      <x:c r="L344" s="10" t="str">
        <x:v>TEXT:SYN-F08-07-EXEC-N11</x:v>
      </x:c>
    </x:row>
    <x:row r="345" ht="52" customHeight="1">
      <x:c r="A345" s="10" t="str">
        <x:v>T-EXEC</x:v>
      </x:c>
      <x:c r="B345" s="10" t="str">
        <x:v>TEXT</x:v>
      </x:c>
      <x:c r="C345" s="10" t="str">
        <x:v>TEXT:SYN-F08-07</x:v>
      </x:c>
      <x:c r="D345" s="10" t="str">
        <x:v>TEXT:SYN-F08-07-G02</x:v>
      </x:c>
      <x:c r="E345" s="11" t="n">
        <x:v>3.162179</x:v>
      </x:c>
      <x:c r="F345" s="11" t="n">
        <x:v>3.162179</x:v>
      </x:c>
      <x:c r="G345" s="11" t="n">
        <x:f>F345-E345</x:f>
        <x:v>0</x:v>
      </x:c>
      <x:c r="H345" s="10" t="n">
        <x:v>1</x:v>
      </x:c>
      <x:c r="I345" s="10" t="str">
        <x:v>AUTHORED_TERMINAL</x:v>
      </x:c>
      <x:c r="J345" s="10" t="str">
        <x:v>TEXT:SYN-F08-07-EXEC-N20</x:v>
      </x:c>
      <x:c r="K345" s="10" t="str">
        <x:v>TEXT:SYN-F08-07-U02</x:v>
      </x:c>
      <x:c r="L345" s="10" t="str">
        <x:v>TEXT:SYN-F08-07-EXEC-N20</x:v>
      </x:c>
    </x:row>
    <x:row r="346" ht="52" customHeight="1">
      <x:c r="A346" s="10" t="str">
        <x:v>T-REL</x:v>
      </x:c>
      <x:c r="B346" s="10" t="str">
        <x:v>TEXT</x:v>
      </x:c>
      <x:c r="C346" s="10" t="str">
        <x:v>TEXT:SYN-F08-07</x:v>
      </x:c>
      <x:c r="D346" s="10" t="str">
        <x:v>TEXT:SYN-F08-07-G01</x:v>
      </x:c>
      <x:c r="E346" s="11" t="n">
        <x:v>5.087358</x:v>
      </x:c>
      <x:c r="F346" s="11" t="n">
        <x:v>13.087358</x:v>
      </x:c>
      <x:c r="G346" s="11" t="n">
        <x:f>F346-E346</x:f>
        <x:v>8</x:v>
      </x:c>
      <x:c r="H346" s="10" t="n">
        <x:v>1</x:v>
      </x:c>
      <x:c r="I346" s="10" t="str">
        <x:v>AUTHORED_TERMINAL</x:v>
      </x:c>
      <x:c r="J346" s="10" t="str">
        <x:v>TEXT:SYN-F08-07-REL-N14</x:v>
      </x:c>
      <x:c r="K346" s="10" t="str">
        <x:v>TEXT:SYN-F08-07-U01</x:v>
      </x:c>
      <x:c r="L346" s="10" t="str">
        <x:v>TEXT:SYN-F08-07-REL-N14</x:v>
      </x:c>
    </x:row>
    <x:row r="347" ht="52" customHeight="1">
      <x:c r="A347" s="10" t="str">
        <x:v>T-REL</x:v>
      </x:c>
      <x:c r="B347" s="10" t="str">
        <x:v>TEXT</x:v>
      </x:c>
      <x:c r="C347" s="10" t="str">
        <x:v>TEXT:SYN-F08-07</x:v>
      </x:c>
      <x:c r="D347" s="10" t="str">
        <x:v>TEXT:SYN-F08-07-G02</x:v>
      </x:c>
      <x:c r="E347" s="11" t="n">
        <x:v>2.686608</x:v>
      </x:c>
      <x:c r="F347" s="11" t="n">
        <x:v>2.686608</x:v>
      </x:c>
      <x:c r="G347" s="11" t="n">
        <x:f>F347-E347</x:f>
        <x:v>0</x:v>
      </x:c>
      <x:c r="H347" s="10" t="n">
        <x:v>1</x:v>
      </x:c>
      <x:c r="I347" s="10" t="str">
        <x:v>AUTHORED_TERMINAL</x:v>
      </x:c>
      <x:c r="J347" s="10" t="str">
        <x:v>TEXT:SYN-F08-07-REL-N22</x:v>
      </x:c>
      <x:c r="K347" s="10" t="str">
        <x:v>TEXT:SYN-F08-07-U02</x:v>
      </x:c>
      <x:c r="L347" s="10" t="str">
        <x:v>TEXT:SYN-F08-07-REL-N22</x:v>
      </x:c>
    </x:row>
    <x:row r="348" ht="52" customHeight="1">
      <x:c r="A348" s="10" t="str">
        <x:v>T-BASE</x:v>
      </x:c>
      <x:c r="B348" s="10" t="str">
        <x:v>TEXT</x:v>
      </x:c>
      <x:c r="C348" s="10" t="str">
        <x:v>TEXT:SYN-F08-08</x:v>
      </x:c>
      <x:c r="D348" s="10" t="str">
        <x:v>TEXT:SYN-F08-08-G01</x:v>
      </x:c>
      <x:c r="E348" s="11" t="n">
        <x:v>5.173357</x:v>
      </x:c>
      <x:c r="F348" s="11" t="n">
        <x:v>13.173357</x:v>
      </x:c>
      <x:c r="G348" s="11" t="n">
        <x:f>F348-E348</x:f>
        <x:v>7.999999999999999</x:v>
      </x:c>
      <x:c r="H348" s="10" t="n">
        <x:v>1</x:v>
      </x:c>
      <x:c r="I348" s="10" t="str">
        <x:v>AUTHORED_TERMINAL</x:v>
      </x:c>
      <x:c r="J348" s="10" t="str">
        <x:v>TEXT:SYN-F08-08-BASE-N11</x:v>
      </x:c>
      <x:c r="K348" s="10" t="str">
        <x:v>TEXT:SYN-F08-08-U01</x:v>
      </x:c>
      <x:c r="L348" s="10" t="str">
        <x:v>TEXT:SYN-F08-08-BASE-N11</x:v>
      </x:c>
    </x:row>
    <x:row r="349" ht="52" customHeight="1">
      <x:c r="A349" s="10" t="str">
        <x:v>T-BASE</x:v>
      </x:c>
      <x:c r="B349" s="10" t="str">
        <x:v>TEXT</x:v>
      </x:c>
      <x:c r="C349" s="10" t="str">
        <x:v>TEXT:SYN-F08-08</x:v>
      </x:c>
      <x:c r="D349" s="10" t="str">
        <x:v>TEXT:SYN-F08-08-G02</x:v>
      </x:c>
      <x:c r="E349" s="11" t="n">
        <x:v>2.727607</x:v>
      </x:c>
      <x:c r="F349" s="11" t="n">
        <x:v>2.727607</x:v>
      </x:c>
      <x:c r="G349" s="11" t="n">
        <x:f>F349-E349</x:f>
        <x:v>0</x:v>
      </x:c>
      <x:c r="H349" s="10" t="n">
        <x:v>1</x:v>
      </x:c>
      <x:c r="I349" s="10" t="str">
        <x:v>AUTHORED_TERMINAL</x:v>
      </x:c>
      <x:c r="J349" s="10" t="str">
        <x:v>TEXT:SYN-F08-08-BASE-N19</x:v>
      </x:c>
      <x:c r="K349" s="10" t="str">
        <x:v>TEXT:SYN-F08-08-U02</x:v>
      </x:c>
      <x:c r="L349" s="10" t="str">
        <x:v>TEXT:SYN-F08-08-BASE-N19</x:v>
      </x:c>
    </x:row>
    <x:row r="350" ht="52" customHeight="1">
      <x:c r="A350" s="10" t="str">
        <x:v>T-EXEC</x:v>
      </x:c>
      <x:c r="B350" s="10" t="str">
        <x:v>TEXT</x:v>
      </x:c>
      <x:c r="C350" s="10" t="str">
        <x:v>TEXT:SYN-F08-08</x:v>
      </x:c>
      <x:c r="D350" s="10" t="str">
        <x:v>TEXT:SYN-F08-08-G01</x:v>
      </x:c>
      <x:c r="E350" s="11" t="n">
        <x:v>5.173357</x:v>
      </x:c>
      <x:c r="F350" s="11" t="n">
        <x:v>13.173357</x:v>
      </x:c>
      <x:c r="G350" s="11" t="n">
        <x:f>F350-E350</x:f>
        <x:v>7.999999999999999</x:v>
      </x:c>
      <x:c r="H350" s="10" t="n">
        <x:v>1</x:v>
      </x:c>
      <x:c r="I350" s="10" t="str">
        <x:v>AUTHORED_TERMINAL</x:v>
      </x:c>
      <x:c r="J350" s="10" t="str">
        <x:v>TEXT:SYN-F08-08-EXEC-N11</x:v>
      </x:c>
      <x:c r="K350" s="10" t="str">
        <x:v>TEXT:SYN-F08-08-U01</x:v>
      </x:c>
      <x:c r="L350" s="10" t="str">
        <x:v>TEXT:SYN-F08-08-EXEC-N11</x:v>
      </x:c>
    </x:row>
    <x:row r="351" ht="52" customHeight="1">
      <x:c r="A351" s="10" t="str">
        <x:v>T-EXEC</x:v>
      </x:c>
      <x:c r="B351" s="10" t="str">
        <x:v>TEXT</x:v>
      </x:c>
      <x:c r="C351" s="10" t="str">
        <x:v>TEXT:SYN-F08-08</x:v>
      </x:c>
      <x:c r="D351" s="10" t="str">
        <x:v>TEXT:SYN-F08-08-G02</x:v>
      </x:c>
      <x:c r="E351" s="11" t="n">
        <x:v>3.212857</x:v>
      </x:c>
      <x:c r="F351" s="11" t="n">
        <x:v>3.212857</x:v>
      </x:c>
      <x:c r="G351" s="11" t="n">
        <x:f>F351-E351</x:f>
        <x:v>0</x:v>
      </x:c>
      <x:c r="H351" s="10" t="n">
        <x:v>1</x:v>
      </x:c>
      <x:c r="I351" s="10" t="str">
        <x:v>AUTHORED_TERMINAL</x:v>
      </x:c>
      <x:c r="J351" s="10" t="str">
        <x:v>TEXT:SYN-F08-08-EXEC-N20</x:v>
      </x:c>
      <x:c r="K351" s="10" t="str">
        <x:v>TEXT:SYN-F08-08-U02</x:v>
      </x:c>
      <x:c r="L351" s="10" t="str">
        <x:v>TEXT:SYN-F08-08-EXEC-N20</x:v>
      </x:c>
    </x:row>
    <x:row r="352" ht="52" customHeight="1">
      <x:c r="A352" s="10" t="str">
        <x:v>T-REL</x:v>
      </x:c>
      <x:c r="B352" s="10" t="str">
        <x:v>TEXT</x:v>
      </x:c>
      <x:c r="C352" s="10" t="str">
        <x:v>TEXT:SYN-F08-08</x:v>
      </x:c>
      <x:c r="D352" s="10" t="str">
        <x:v>TEXT:SYN-F08-08-G01</x:v>
      </x:c>
      <x:c r="E352" s="11" t="n">
        <x:v>5.173357</x:v>
      </x:c>
      <x:c r="F352" s="11" t="n">
        <x:v>13.173357</x:v>
      </x:c>
      <x:c r="G352" s="11" t="n">
        <x:f>F352-E352</x:f>
        <x:v>7.999999999999999</x:v>
      </x:c>
      <x:c r="H352" s="10" t="n">
        <x:v>1</x:v>
      </x:c>
      <x:c r="I352" s="10" t="str">
        <x:v>AUTHORED_TERMINAL</x:v>
      </x:c>
      <x:c r="J352" s="10" t="str">
        <x:v>TEXT:SYN-F08-08-REL-N14</x:v>
      </x:c>
      <x:c r="K352" s="10" t="str">
        <x:v>TEXT:SYN-F08-08-U01</x:v>
      </x:c>
      <x:c r="L352" s="10" t="str">
        <x:v>TEXT:SYN-F08-08-REL-N14</x:v>
      </x:c>
    </x:row>
    <x:row r="353" ht="52" customHeight="1">
      <x:c r="A353" s="10" t="str">
        <x:v>T-REL</x:v>
      </x:c>
      <x:c r="B353" s="10" t="str">
        <x:v>TEXT</x:v>
      </x:c>
      <x:c r="C353" s="10" t="str">
        <x:v>TEXT:SYN-F08-08</x:v>
      </x:c>
      <x:c r="D353" s="10" t="str">
        <x:v>TEXT:SYN-F08-08-G02</x:v>
      </x:c>
      <x:c r="E353" s="11" t="n">
        <x:v>2.727607</x:v>
      </x:c>
      <x:c r="F353" s="11" t="n">
        <x:v>2.727607</x:v>
      </x:c>
      <x:c r="G353" s="11" t="n">
        <x:f>F353-E353</x:f>
        <x:v>0</x:v>
      </x:c>
      <x:c r="H353" s="10" t="n">
        <x:v>1</x:v>
      </x:c>
      <x:c r="I353" s="10" t="str">
        <x:v>AUTHORED_TERMINAL</x:v>
      </x:c>
      <x:c r="J353" s="10" t="str">
        <x:v>TEXT:SYN-F08-08-REL-N22</x:v>
      </x:c>
      <x:c r="K353" s="10" t="str">
        <x:v>TEXT:SYN-F08-08-U02</x:v>
      </x:c>
      <x:c r="L353" s="10" t="str">
        <x:v>TEXT:SYN-F08-08-REL-N22</x:v>
      </x:c>
    </x:row>
    <x:row r="354" ht="52" customHeight="1">
      <x:c r="A354" s="10" t="str">
        <x:v>T-BASE</x:v>
      </x:c>
      <x:c r="B354" s="10" t="str">
        <x:v>TEXT</x:v>
      </x:c>
      <x:c r="C354" s="10" t="str">
        <x:v>TEXT:SYN-F08-09</x:v>
      </x:c>
      <x:c r="D354" s="10" t="str">
        <x:v>TEXT:SYN-F08-09-G01</x:v>
      </x:c>
      <x:c r="E354" s="11" t="n">
        <x:v>5.209357</x:v>
      </x:c>
      <x:c r="F354" s="11" t="n">
        <x:v>13.209357</x:v>
      </x:c>
      <x:c r="G354" s="11" t="n">
        <x:f>F354-E354</x:f>
        <x:v>8</x:v>
      </x:c>
      <x:c r="H354" s="10" t="n">
        <x:v>1</x:v>
      </x:c>
      <x:c r="I354" s="10" t="str">
        <x:v>AUTHORED_TERMINAL</x:v>
      </x:c>
      <x:c r="J354" s="10" t="str">
        <x:v>TEXT:SYN-F08-09-BASE-N11</x:v>
      </x:c>
      <x:c r="K354" s="10" t="str">
        <x:v>TEXT:SYN-F08-09-U01</x:v>
      </x:c>
      <x:c r="L354" s="10" t="str">
        <x:v>TEXT:SYN-F08-09-BASE-N11</x:v>
      </x:c>
    </x:row>
    <x:row r="355" ht="52" customHeight="1">
      <x:c r="A355" s="10" t="str">
        <x:v>T-BASE</x:v>
      </x:c>
      <x:c r="B355" s="10" t="str">
        <x:v>TEXT</x:v>
      </x:c>
      <x:c r="C355" s="10" t="str">
        <x:v>TEXT:SYN-F08-09</x:v>
      </x:c>
      <x:c r="D355" s="10" t="str">
        <x:v>TEXT:SYN-F08-09-G02</x:v>
      </x:c>
      <x:c r="E355" s="11" t="n">
        <x:v>2.718607</x:v>
      </x:c>
      <x:c r="F355" s="11" t="n">
        <x:v>2.718607</x:v>
      </x:c>
      <x:c r="G355" s="11" t="n">
        <x:f>F355-E355</x:f>
        <x:v>0</x:v>
      </x:c>
      <x:c r="H355" s="10" t="n">
        <x:v>1</x:v>
      </x:c>
      <x:c r="I355" s="10" t="str">
        <x:v>AUTHORED_TERMINAL</x:v>
      </x:c>
      <x:c r="J355" s="10" t="str">
        <x:v>TEXT:SYN-F08-09-BASE-N19</x:v>
      </x:c>
      <x:c r="K355" s="10" t="str">
        <x:v>TEXT:SYN-F08-09-U02</x:v>
      </x:c>
      <x:c r="L355" s="10" t="str">
        <x:v>TEXT:SYN-F08-09-BASE-N19</x:v>
      </x:c>
    </x:row>
    <x:row r="356" ht="52" customHeight="1">
      <x:c r="A356" s="10" t="str">
        <x:v>T-EXEC</x:v>
      </x:c>
      <x:c r="B356" s="10" t="str">
        <x:v>TEXT</x:v>
      </x:c>
      <x:c r="C356" s="10" t="str">
        <x:v>TEXT:SYN-F08-09</x:v>
      </x:c>
      <x:c r="D356" s="10" t="str">
        <x:v>TEXT:SYN-F08-09-G01</x:v>
      </x:c>
      <x:c r="E356" s="11" t="n">
        <x:v>5.209357</x:v>
      </x:c>
      <x:c r="F356" s="11" t="n">
        <x:v>13.209357</x:v>
      </x:c>
      <x:c r="G356" s="11" t="n">
        <x:f>F356-E356</x:f>
        <x:v>8</x:v>
      </x:c>
      <x:c r="H356" s="10" t="n">
        <x:v>1</x:v>
      </x:c>
      <x:c r="I356" s="10" t="str">
        <x:v>AUTHORED_TERMINAL</x:v>
      </x:c>
      <x:c r="J356" s="10" t="str">
        <x:v>TEXT:SYN-F08-09-EXEC-N11</x:v>
      </x:c>
      <x:c r="K356" s="10" t="str">
        <x:v>TEXT:SYN-F08-09-U01</x:v>
      </x:c>
      <x:c r="L356" s="10" t="str">
        <x:v>TEXT:SYN-F08-09-EXEC-N11</x:v>
      </x:c>
    </x:row>
    <x:row r="357" ht="52" customHeight="1">
      <x:c r="A357" s="10" t="str">
        <x:v>T-EXEC</x:v>
      </x:c>
      <x:c r="B357" s="10" t="str">
        <x:v>TEXT</x:v>
      </x:c>
      <x:c r="C357" s="10" t="str">
        <x:v>TEXT:SYN-F08-09</x:v>
      </x:c>
      <x:c r="D357" s="10" t="str">
        <x:v>TEXT:SYN-F08-09-G02</x:v>
      </x:c>
      <x:c r="E357" s="11" t="n">
        <x:v>3.213536</x:v>
      </x:c>
      <x:c r="F357" s="11" t="n">
        <x:v>3.213536</x:v>
      </x:c>
      <x:c r="G357" s="11" t="n">
        <x:f>F357-E357</x:f>
        <x:v>0</x:v>
      </x:c>
      <x:c r="H357" s="10" t="n">
        <x:v>1</x:v>
      </x:c>
      <x:c r="I357" s="10" t="str">
        <x:v>AUTHORED_TERMINAL</x:v>
      </x:c>
      <x:c r="J357" s="10" t="str">
        <x:v>TEXT:SYN-F08-09-EXEC-N20</x:v>
      </x:c>
      <x:c r="K357" s="10" t="str">
        <x:v>TEXT:SYN-F08-09-U02</x:v>
      </x:c>
      <x:c r="L357" s="10" t="str">
        <x:v>TEXT:SYN-F08-09-EXEC-N20</x:v>
      </x:c>
    </x:row>
    <x:row r="358" ht="52" customHeight="1">
      <x:c r="A358" s="10" t="str">
        <x:v>T-REL</x:v>
      </x:c>
      <x:c r="B358" s="10" t="str">
        <x:v>TEXT</x:v>
      </x:c>
      <x:c r="C358" s="10" t="str">
        <x:v>TEXT:SYN-F08-09</x:v>
      </x:c>
      <x:c r="D358" s="10" t="str">
        <x:v>TEXT:SYN-F08-09-G01</x:v>
      </x:c>
      <x:c r="E358" s="11" t="n">
        <x:v>5.209357</x:v>
      </x:c>
      <x:c r="F358" s="11" t="n">
        <x:v>13.209357</x:v>
      </x:c>
      <x:c r="G358" s="11" t="n">
        <x:f>F358-E358</x:f>
        <x:v>8</x:v>
      </x:c>
      <x:c r="H358" s="10" t="n">
        <x:v>1</x:v>
      </x:c>
      <x:c r="I358" s="10" t="str">
        <x:v>AUTHORED_TERMINAL</x:v>
      </x:c>
      <x:c r="J358" s="10" t="str">
        <x:v>TEXT:SYN-F08-09-REL-N14</x:v>
      </x:c>
      <x:c r="K358" s="10" t="str">
        <x:v>TEXT:SYN-F08-09-U01</x:v>
      </x:c>
      <x:c r="L358" s="10" t="str">
        <x:v>TEXT:SYN-F08-09-REL-N14</x:v>
      </x:c>
    </x:row>
    <x:row r="359" ht="52" customHeight="1">
      <x:c r="A359" s="10" t="str">
        <x:v>T-REL</x:v>
      </x:c>
      <x:c r="B359" s="10" t="str">
        <x:v>TEXT</x:v>
      </x:c>
      <x:c r="C359" s="10" t="str">
        <x:v>TEXT:SYN-F08-09</x:v>
      </x:c>
      <x:c r="D359" s="10" t="str">
        <x:v>TEXT:SYN-F08-09-G02</x:v>
      </x:c>
      <x:c r="E359" s="11" t="n">
        <x:v>2.718607</x:v>
      </x:c>
      <x:c r="F359" s="11" t="n">
        <x:v>2.718607</x:v>
      </x:c>
      <x:c r="G359" s="11" t="n">
        <x:f>F359-E359</x:f>
        <x:v>0</x:v>
      </x:c>
      <x:c r="H359" s="10" t="n">
        <x:v>1</x:v>
      </x:c>
      <x:c r="I359" s="10" t="str">
        <x:v>AUTHORED_TERMINAL</x:v>
      </x:c>
      <x:c r="J359" s="10" t="str">
        <x:v>TEXT:SYN-F08-09-REL-N22</x:v>
      </x:c>
      <x:c r="K359" s="10" t="str">
        <x:v>TEXT:SYN-F08-09-U02</x:v>
      </x:c>
      <x:c r="L359" s="10" t="str">
        <x:v>TEXT:SYN-F08-09-REL-N22</x:v>
      </x:c>
    </x:row>
    <x:row r="360" ht="52" customHeight="1">
      <x:c r="A360" s="10" t="str">
        <x:v>T-BASE</x:v>
      </x:c>
      <x:c r="B360" s="10" t="str">
        <x:v>TEXT</x:v>
      </x:c>
      <x:c r="C360" s="10" t="str">
        <x:v>TEXT:SYN-F08-10</x:v>
      </x:c>
      <x:c r="D360" s="10" t="str">
        <x:v>TEXT:SYN-F08-10-G01</x:v>
      </x:c>
      <x:c r="E360" s="11" t="n">
        <x:v>5.295357</x:v>
      </x:c>
      <x:c r="F360" s="11" t="n">
        <x:v>13.295357</x:v>
      </x:c>
      <x:c r="G360" s="11" t="n">
        <x:f>F360-E360</x:f>
        <x:v>7.999999999999999</x:v>
      </x:c>
      <x:c r="H360" s="10" t="n">
        <x:v>1</x:v>
      </x:c>
      <x:c r="I360" s="10" t="str">
        <x:v>AUTHORED_TERMINAL</x:v>
      </x:c>
      <x:c r="J360" s="10" t="str">
        <x:v>TEXT:SYN-F08-10-BASE-N11</x:v>
      </x:c>
      <x:c r="K360" s="10" t="str">
        <x:v>TEXT:SYN-F08-10-U01</x:v>
      </x:c>
      <x:c r="L360" s="10" t="str">
        <x:v>TEXT:SYN-F08-10-BASE-N11</x:v>
      </x:c>
    </x:row>
    <x:row r="361" ht="52" customHeight="1">
      <x:c r="A361" s="10" t="str">
        <x:v>T-BASE</x:v>
      </x:c>
      <x:c r="B361" s="10" t="str">
        <x:v>TEXT</x:v>
      </x:c>
      <x:c r="C361" s="10" t="str">
        <x:v>TEXT:SYN-F08-10</x:v>
      </x:c>
      <x:c r="D361" s="10" t="str">
        <x:v>TEXT:SYN-F08-10-G02</x:v>
      </x:c>
      <x:c r="E361" s="11" t="n">
        <x:v>2.759607</x:v>
      </x:c>
      <x:c r="F361" s="11" t="n">
        <x:v>2.759607</x:v>
      </x:c>
      <x:c r="G361" s="11" t="n">
        <x:f>F361-E361</x:f>
        <x:v>0</x:v>
      </x:c>
      <x:c r="H361" s="10" t="n">
        <x:v>1</x:v>
      </x:c>
      <x:c r="I361" s="10" t="str">
        <x:v>AUTHORED_TERMINAL</x:v>
      </x:c>
      <x:c r="J361" s="10" t="str">
        <x:v>TEXT:SYN-F08-10-BASE-N19</x:v>
      </x:c>
      <x:c r="K361" s="10" t="str">
        <x:v>TEXT:SYN-F08-10-U02</x:v>
      </x:c>
      <x:c r="L361" s="10" t="str">
        <x:v>TEXT:SYN-F08-10-BASE-N19</x:v>
      </x:c>
    </x:row>
    <x:row r="362" ht="52" customHeight="1">
      <x:c r="A362" s="10" t="str">
        <x:v>T-EXEC</x:v>
      </x:c>
      <x:c r="B362" s="10" t="str">
        <x:v>TEXT</x:v>
      </x:c>
      <x:c r="C362" s="10" t="str">
        <x:v>TEXT:SYN-F08-10</x:v>
      </x:c>
      <x:c r="D362" s="10" t="str">
        <x:v>TEXT:SYN-F08-10-G01</x:v>
      </x:c>
      <x:c r="E362" s="11" t="n">
        <x:v>5.295357</x:v>
      </x:c>
      <x:c r="F362" s="11" t="n">
        <x:v>13.295357</x:v>
      </x:c>
      <x:c r="G362" s="11" t="n">
        <x:f>F362-E362</x:f>
        <x:v>7.999999999999999</x:v>
      </x:c>
      <x:c r="H362" s="10" t="n">
        <x:v>1</x:v>
      </x:c>
      <x:c r="I362" s="10" t="str">
        <x:v>AUTHORED_TERMINAL</x:v>
      </x:c>
      <x:c r="J362" s="10" t="str">
        <x:v>TEXT:SYN-F08-10-EXEC-N11</x:v>
      </x:c>
      <x:c r="K362" s="10" t="str">
        <x:v>TEXT:SYN-F08-10-U01</x:v>
      </x:c>
      <x:c r="L362" s="10" t="str">
        <x:v>TEXT:SYN-F08-10-EXEC-N11</x:v>
      </x:c>
    </x:row>
    <x:row r="363" ht="52" customHeight="1">
      <x:c r="A363" s="10" t="str">
        <x:v>T-EXEC</x:v>
      </x:c>
      <x:c r="B363" s="10" t="str">
        <x:v>TEXT</x:v>
      </x:c>
      <x:c r="C363" s="10" t="str">
        <x:v>TEXT:SYN-F08-10</x:v>
      </x:c>
      <x:c r="D363" s="10" t="str">
        <x:v>TEXT:SYN-F08-10-G02</x:v>
      </x:c>
      <x:c r="E363" s="11" t="n">
        <x:v>3.245464</x:v>
      </x:c>
      <x:c r="F363" s="11" t="n">
        <x:v>3.245464</x:v>
      </x:c>
      <x:c r="G363" s="11" t="n">
        <x:f>F363-E363</x:f>
        <x:v>0</x:v>
      </x:c>
      <x:c r="H363" s="10" t="n">
        <x:v>1</x:v>
      </x:c>
      <x:c r="I363" s="10" t="str">
        <x:v>AUTHORED_TERMINAL</x:v>
      </x:c>
      <x:c r="J363" s="10" t="str">
        <x:v>TEXT:SYN-F08-10-EXEC-N20</x:v>
      </x:c>
      <x:c r="K363" s="10" t="str">
        <x:v>TEXT:SYN-F08-10-U02</x:v>
      </x:c>
      <x:c r="L363" s="10" t="str">
        <x:v>TEXT:SYN-F08-10-EXEC-N20</x:v>
      </x:c>
    </x:row>
    <x:row r="364" ht="52" customHeight="1">
      <x:c r="A364" s="10" t="str">
        <x:v>T-REL</x:v>
      </x:c>
      <x:c r="B364" s="10" t="str">
        <x:v>TEXT</x:v>
      </x:c>
      <x:c r="C364" s="10" t="str">
        <x:v>TEXT:SYN-F08-10</x:v>
      </x:c>
      <x:c r="D364" s="10" t="str">
        <x:v>TEXT:SYN-F08-10-G01</x:v>
      </x:c>
      <x:c r="E364" s="11" t="n">
        <x:v>5.295357</x:v>
      </x:c>
      <x:c r="F364" s="11" t="n">
        <x:v>13.295357</x:v>
      </x:c>
      <x:c r="G364" s="11" t="n">
        <x:f>F364-E364</x:f>
        <x:v>7.999999999999999</x:v>
      </x:c>
      <x:c r="H364" s="10" t="n">
        <x:v>1</x:v>
      </x:c>
      <x:c r="I364" s="10" t="str">
        <x:v>AUTHORED_TERMINAL</x:v>
      </x:c>
      <x:c r="J364" s="10" t="str">
        <x:v>TEXT:SYN-F08-10-REL-N14</x:v>
      </x:c>
      <x:c r="K364" s="10" t="str">
        <x:v>TEXT:SYN-F08-10-U01</x:v>
      </x:c>
      <x:c r="L364" s="10" t="str">
        <x:v>TEXT:SYN-F08-10-REL-N14</x:v>
      </x:c>
    </x:row>
    <x:row r="365" ht="52" customHeight="1">
      <x:c r="A365" s="10" t="str">
        <x:v>T-REL</x:v>
      </x:c>
      <x:c r="B365" s="10" t="str">
        <x:v>TEXT</x:v>
      </x:c>
      <x:c r="C365" s="10" t="str">
        <x:v>TEXT:SYN-F08-10</x:v>
      </x:c>
      <x:c r="D365" s="10" t="str">
        <x:v>TEXT:SYN-F08-10-G02</x:v>
      </x:c>
      <x:c r="E365" s="11" t="n">
        <x:v>2.759607</x:v>
      </x:c>
      <x:c r="F365" s="11" t="n">
        <x:v>2.759607</x:v>
      </x:c>
      <x:c r="G365" s="11" t="n">
        <x:f>F365-E365</x:f>
        <x:v>0</x:v>
      </x:c>
      <x:c r="H365" s="10" t="n">
        <x:v>1</x:v>
      </x:c>
      <x:c r="I365" s="10" t="str">
        <x:v>AUTHORED_TERMINAL</x:v>
      </x:c>
      <x:c r="J365" s="10" t="str">
        <x:v>TEXT:SYN-F08-10-REL-N22</x:v>
      </x:c>
      <x:c r="K365" s="10" t="str">
        <x:v>TEXT:SYN-F08-10-U02</x:v>
      </x:c>
      <x:c r="L365" s="10" t="str">
        <x:v>TEXT:SYN-F08-10-REL-N22</x:v>
      </x:c>
    </x:row>
    <x:row r="366" ht="52" customHeight="1">
      <x:c r="A366" s="10" t="str">
        <x:v>T-BASE</x:v>
      </x:c>
      <x:c r="B366" s="10" t="str">
        <x:v>TEXT</x:v>
      </x:c>
      <x:c r="C366" s="10" t="str">
        <x:v>TEXT:SYN-F09-01</x:v>
      </x:c>
      <x:c r="D366" s="10" t="str">
        <x:v>TEXT:SYN-F09-01-G01</x:v>
      </x:c>
      <x:c r="E366" s="11" t="n">
        <x:v>7.611036</x:v>
      </x:c>
      <x:c r="F366" s="11" t="n">
        <x:v>15.611036</x:v>
      </x:c>
      <x:c r="G366" s="11" t="n">
        <x:f>F366-E366</x:f>
        <x:v>8</x:v>
      </x:c>
      <x:c r="H366" s="10" t="n">
        <x:v>1</x:v>
      </x:c>
      <x:c r="I366" s="10" t="str">
        <x:v>AUTHORED_TERMINAL</x:v>
      </x:c>
      <x:c r="J366" s="10" t="str">
        <x:v>TEXT:SYN-F09-01-BASE-N17</x:v>
      </x:c>
      <x:c r="K366" s="10" t="str">
        <x:v>TEXT:SYN-F09-01-U01, TEXT:SYN-F09-01-U02</x:v>
      </x:c>
      <x:c r="L366" s="10" t="str">
        <x:v>TEXT:SYN-F09-01-BASE-N17</x:v>
      </x:c>
    </x:row>
    <x:row r="367" ht="52" customHeight="1">
      <x:c r="A367" s="10" t="str">
        <x:v>T-EXEC</x:v>
      </x:c>
      <x:c r="B367" s="10" t="str">
        <x:v>TEXT</x:v>
      </x:c>
      <x:c r="C367" s="10" t="str">
        <x:v>TEXT:SYN-F09-01</x:v>
      </x:c>
      <x:c r="D367" s="10" t="str">
        <x:v>TEXT:SYN-F09-01-G01</x:v>
      </x:c>
      <x:c r="E367" s="11" t="n">
        <x:v>6.86175</x:v>
      </x:c>
      <x:c r="F367" s="11" t="n">
        <x:v>15.21175</x:v>
      </x:c>
      <x:c r="G367" s="11" t="n">
        <x:f>F367-E367</x:f>
        <x:v>8.350000000000001</x:v>
      </x:c>
      <x:c r="H367" s="10" t="n">
        <x:v>1</x:v>
      </x:c>
      <x:c r="I367" s="10" t="str">
        <x:v>AUTHORED_TERMINAL</x:v>
      </x:c>
      <x:c r="J367" s="10" t="str">
        <x:v>TEXT:SYN-F09-01-EXEC-N18</x:v>
      </x:c>
      <x:c r="K367" s="10" t="str">
        <x:v>TEXT:SYN-F09-01-U01, TEXT:SYN-F09-01-U02</x:v>
      </x:c>
      <x:c r="L367" s="10" t="str">
        <x:v>TEXT:SYN-F09-01-EXEC-N18</x:v>
      </x:c>
    </x:row>
    <x:row r="368" ht="52" customHeight="1">
      <x:c r="A368" s="10" t="str">
        <x:v>T-REL</x:v>
      </x:c>
      <x:c r="B368" s="10" t="str">
        <x:v>TEXT</x:v>
      </x:c>
      <x:c r="C368" s="10" t="str">
        <x:v>TEXT:SYN-F09-01</x:v>
      </x:c>
      <x:c r="D368" s="10" t="str">
        <x:v>TEXT:SYN-F09-01-G01</x:v>
      </x:c>
      <x:c r="E368" s="11" t="n">
        <x:v>7.856465</x:v>
      </x:c>
      <x:c r="F368" s="11" t="n">
        <x:v>15.856465</x:v>
      </x:c>
      <x:c r="G368" s="11" t="n">
        <x:f>F368-E368</x:f>
        <x:v>8</x:v>
      </x:c>
      <x:c r="H368" s="10" t="n">
        <x:v>1</x:v>
      </x:c>
      <x:c r="I368" s="10" t="str">
        <x:v>AUTHORED_TERMINAL</x:v>
      </x:c>
      <x:c r="J368" s="10" t="str">
        <x:v>TEXT:SYN-F09-01-REL-N20</x:v>
      </x:c>
      <x:c r="K368" s="10" t="str">
        <x:v>TEXT:SYN-F09-01-U01, TEXT:SYN-F09-01-U02</x:v>
      </x:c>
      <x:c r="L368" s="10" t="str">
        <x:v>TEXT:SYN-F09-01-REL-N20</x:v>
      </x:c>
    </x:row>
    <x:row r="369" ht="52" customHeight="1">
      <x:c r="A369" s="10" t="str">
        <x:v>T-BASE</x:v>
      </x:c>
      <x:c r="B369" s="10" t="str">
        <x:v>TEXT</x:v>
      </x:c>
      <x:c r="C369" s="10" t="str">
        <x:v>TEXT:SYN-F09-02</x:v>
      </x:c>
      <x:c r="D369" s="10" t="str">
        <x:v>TEXT:SYN-F09-02-G01</x:v>
      </x:c>
      <x:c r="E369" s="11" t="n">
        <x:v>7.759857</x:v>
      </x:c>
      <x:c r="F369" s="11" t="n">
        <x:v>15.759857</x:v>
      </x:c>
      <x:c r="G369" s="11" t="n">
        <x:f>F369-E369</x:f>
        <x:v>8</x:v>
      </x:c>
      <x:c r="H369" s="10" t="n">
        <x:v>1</x:v>
      </x:c>
      <x:c r="I369" s="10" t="str">
        <x:v>AUTHORED_TERMINAL</x:v>
      </x:c>
      <x:c r="J369" s="10" t="str">
        <x:v>TEXT:SYN-F09-02-BASE-N17</x:v>
      </x:c>
      <x:c r="K369" s="10" t="str">
        <x:v>TEXT:SYN-F09-02-U01, TEXT:SYN-F09-02-U02</x:v>
      </x:c>
      <x:c r="L369" s="10" t="str">
        <x:v>TEXT:SYN-F09-02-BASE-N17</x:v>
      </x:c>
    </x:row>
    <x:row r="370" ht="52" customHeight="1">
      <x:c r="A370" s="10" t="str">
        <x:v>T-EXEC</x:v>
      </x:c>
      <x:c r="B370" s="10" t="str">
        <x:v>TEXT</x:v>
      </x:c>
      <x:c r="C370" s="10" t="str">
        <x:v>TEXT:SYN-F09-02</x:v>
      </x:c>
      <x:c r="D370" s="10" t="str">
        <x:v>TEXT:SYN-F09-02-G01</x:v>
      </x:c>
      <x:c r="E370" s="11" t="n">
        <x:v>6.986357</x:v>
      </x:c>
      <x:c r="F370" s="11" t="n">
        <x:v>15.336357</x:v>
      </x:c>
      <x:c r="G370" s="11" t="n">
        <x:f>F370-E370</x:f>
        <x:v>8.35</x:v>
      </x:c>
      <x:c r="H370" s="10" t="n">
        <x:v>1</x:v>
      </x:c>
      <x:c r="I370" s="10" t="str">
        <x:v>AUTHORED_TERMINAL</x:v>
      </x:c>
      <x:c r="J370" s="10" t="str">
        <x:v>TEXT:SYN-F09-02-EXEC-N18</x:v>
      </x:c>
      <x:c r="K370" s="10" t="str">
        <x:v>TEXT:SYN-F09-02-U01, TEXT:SYN-F09-02-U02</x:v>
      </x:c>
      <x:c r="L370" s="10" t="str">
        <x:v>TEXT:SYN-F09-02-EXEC-N18</x:v>
      </x:c>
    </x:row>
    <x:row r="371" ht="52" customHeight="1">
      <x:c r="A371" s="10" t="str">
        <x:v>T-REL</x:v>
      </x:c>
      <x:c r="B371" s="10" t="str">
        <x:v>TEXT</x:v>
      </x:c>
      <x:c r="C371" s="10" t="str">
        <x:v>TEXT:SYN-F09-02</x:v>
      </x:c>
      <x:c r="D371" s="10" t="str">
        <x:v>TEXT:SYN-F09-02-G01</x:v>
      </x:c>
      <x:c r="E371" s="11" t="n">
        <x:v>8.005286</x:v>
      </x:c>
      <x:c r="F371" s="11" t="n">
        <x:v>16.005286</x:v>
      </x:c>
      <x:c r="G371" s="11" t="n">
        <x:f>F371-E371</x:f>
        <x:v>8.000000000000002</x:v>
      </x:c>
      <x:c r="H371" s="10" t="n">
        <x:v>1</x:v>
      </x:c>
      <x:c r="I371" s="10" t="str">
        <x:v>AUTHORED_TERMINAL</x:v>
      </x:c>
      <x:c r="J371" s="10" t="str">
        <x:v>TEXT:SYN-F09-02-REL-N20</x:v>
      </x:c>
      <x:c r="K371" s="10" t="str">
        <x:v>TEXT:SYN-F09-02-U01, TEXT:SYN-F09-02-U02</x:v>
      </x:c>
      <x:c r="L371" s="10" t="str">
        <x:v>TEXT:SYN-F09-02-REL-N20</x:v>
      </x:c>
    </x:row>
    <x:row r="372" ht="52" customHeight="1">
      <x:c r="A372" s="10" t="str">
        <x:v>T-BASE</x:v>
      </x:c>
      <x:c r="B372" s="10" t="str">
        <x:v>TEXT</x:v>
      </x:c>
      <x:c r="C372" s="10" t="str">
        <x:v>TEXT:SYN-F09-03</x:v>
      </x:c>
      <x:c r="D372" s="10" t="str">
        <x:v>TEXT:SYN-F09-03-G01</x:v>
      </x:c>
      <x:c r="E372" s="11" t="n">
        <x:v>7.908679</x:v>
      </x:c>
      <x:c r="F372" s="11" t="n">
        <x:v>15.908679</x:v>
      </x:c>
      <x:c r="G372" s="11" t="n">
        <x:f>F372-E372</x:f>
        <x:v>7.999999999999999</x:v>
      </x:c>
      <x:c r="H372" s="10" t="n">
        <x:v>0</x:v>
      </x:c>
      <x:c r="I372" s="10" t="str">
        <x:v>AUTHORED_TERMINAL</x:v>
      </x:c>
      <x:c r="J372" s="10" t="str">
        <x:v>TEXT:SYN-F09-03-BASE-N17</x:v>
      </x:c>
      <x:c r="K372" s="10" t="str">
        <x:v>TEXT:SYN-F09-03-U01, TEXT:SYN-F09-03-U02</x:v>
      </x:c>
      <x:c r="L372" s="10" t="str">
        <x:v>TEXT:SYN-F09-03-BASE-N17</x:v>
      </x:c>
    </x:row>
    <x:row r="373" ht="52" customHeight="1">
      <x:c r="A373" s="10" t="str">
        <x:v>T-EXEC</x:v>
      </x:c>
      <x:c r="B373" s="10" t="str">
        <x:v>TEXT</x:v>
      </x:c>
      <x:c r="C373" s="10" t="str">
        <x:v>TEXT:SYN-F09-03</x:v>
      </x:c>
      <x:c r="D373" s="10" t="str">
        <x:v>TEXT:SYN-F09-03-G01</x:v>
      </x:c>
      <x:c r="E373" s="11" t="n">
        <x:v>7.110965</x:v>
      </x:c>
      <x:c r="F373" s="11" t="n">
        <x:v>15.460965</x:v>
      </x:c>
      <x:c r="G373" s="11" t="n">
        <x:f>F373-E373</x:f>
        <x:v>8.35</x:v>
      </x:c>
      <x:c r="H373" s="10" t="n">
        <x:v>0</x:v>
      </x:c>
      <x:c r="I373" s="10" t="str">
        <x:v>AUTHORED_TERMINAL</x:v>
      </x:c>
      <x:c r="J373" s="10" t="str">
        <x:v>TEXT:SYN-F09-03-EXEC-N18</x:v>
      </x:c>
      <x:c r="K373" s="10" t="str">
        <x:v>TEXT:SYN-F09-03-U01, TEXT:SYN-F09-03-U02</x:v>
      </x:c>
      <x:c r="L373" s="10" t="str">
        <x:v>TEXT:SYN-F09-03-EXEC-N18</x:v>
      </x:c>
    </x:row>
    <x:row r="374" ht="52" customHeight="1">
      <x:c r="A374" s="10" t="str">
        <x:v>T-REL</x:v>
      </x:c>
      <x:c r="B374" s="10" t="str">
        <x:v>TEXT</x:v>
      </x:c>
      <x:c r="C374" s="10" t="str">
        <x:v>TEXT:SYN-F09-03</x:v>
      </x:c>
      <x:c r="D374" s="10" t="str">
        <x:v>TEXT:SYN-F09-03-G01</x:v>
      </x:c>
      <x:c r="E374" s="11" t="n">
        <x:v>8.154106</x:v>
      </x:c>
      <x:c r="F374" s="11" t="n">
        <x:v>16.154106</x:v>
      </x:c>
      <x:c r="G374" s="11" t="n">
        <x:f>F374-E374</x:f>
        <x:v>7.999999999999998</x:v>
      </x:c>
      <x:c r="H374" s="10" t="n">
        <x:v>0</x:v>
      </x:c>
      <x:c r="I374" s="10" t="str">
        <x:v>AUTHORED_TERMINAL</x:v>
      </x:c>
      <x:c r="J374" s="10" t="str">
        <x:v>TEXT:SYN-F09-03-REL-N20</x:v>
      </x:c>
      <x:c r="K374" s="10" t="str">
        <x:v>TEXT:SYN-F09-03-U01, TEXT:SYN-F09-03-U02</x:v>
      </x:c>
      <x:c r="L374" s="10" t="str">
        <x:v>TEXT:SYN-F09-03-REL-N20</x:v>
      </x:c>
    </x:row>
    <x:row r="375" ht="52" customHeight="1">
      <x:c r="A375" s="10" t="str">
        <x:v>T-BASE</x:v>
      </x:c>
      <x:c r="B375" s="10" t="str">
        <x:v>TEXT</x:v>
      </x:c>
      <x:c r="C375" s="10" t="str">
        <x:v>TEXT:SYN-F09-04</x:v>
      </x:c>
      <x:c r="D375" s="10" t="str">
        <x:v>TEXT:SYN-F09-04-G01</x:v>
      </x:c>
      <x:c r="E375" s="11" t="n">
        <x:v>7.9075</x:v>
      </x:c>
      <x:c r="F375" s="11" t="n">
        <x:v>15.9075</x:v>
      </x:c>
      <x:c r="G375" s="11" t="n">
        <x:f>F375-E375</x:f>
        <x:v>8</x:v>
      </x:c>
      <x:c r="H375" s="10" t="n">
        <x:v>1</x:v>
      </x:c>
      <x:c r="I375" s="10" t="str">
        <x:v>AUTHORED_TERMINAL</x:v>
      </x:c>
      <x:c r="J375" s="10" t="str">
        <x:v>TEXT:SYN-F09-04-BASE-N17</x:v>
      </x:c>
      <x:c r="K375" s="10" t="str">
        <x:v>TEXT:SYN-F09-04-U01, TEXT:SYN-F09-04-U02</x:v>
      </x:c>
      <x:c r="L375" s="10" t="str">
        <x:v>TEXT:SYN-F09-04-BASE-N17</x:v>
      </x:c>
    </x:row>
    <x:row r="376" ht="52" customHeight="1">
      <x:c r="A376" s="10" t="str">
        <x:v>T-EXEC</x:v>
      </x:c>
      <x:c r="B376" s="10" t="str">
        <x:v>TEXT</x:v>
      </x:c>
      <x:c r="C376" s="10" t="str">
        <x:v>TEXT:SYN-F09-04</x:v>
      </x:c>
      <x:c r="D376" s="10" t="str">
        <x:v>TEXT:SYN-F09-04-G01</x:v>
      </x:c>
      <x:c r="E376" s="11" t="n">
        <x:v>7.066822</x:v>
      </x:c>
      <x:c r="F376" s="11" t="n">
        <x:v>15.416822</x:v>
      </x:c>
      <x:c r="G376" s="11" t="n">
        <x:f>F376-E376</x:f>
        <x:v>8.35</x:v>
      </x:c>
      <x:c r="H376" s="10" t="n">
        <x:v>1</x:v>
      </x:c>
      <x:c r="I376" s="10" t="str">
        <x:v>AUTHORED_TERMINAL</x:v>
      </x:c>
      <x:c r="J376" s="10" t="str">
        <x:v>TEXT:SYN-F09-04-EXEC-N18</x:v>
      </x:c>
      <x:c r="K376" s="10" t="str">
        <x:v>TEXT:SYN-F09-04-U01, TEXT:SYN-F09-04-U02</x:v>
      </x:c>
      <x:c r="L376" s="10" t="str">
        <x:v>TEXT:SYN-F09-04-EXEC-N18</x:v>
      </x:c>
    </x:row>
    <x:row r="377" ht="52" customHeight="1">
      <x:c r="A377" s="10" t="str">
        <x:v>T-REL</x:v>
      </x:c>
      <x:c r="B377" s="10" t="str">
        <x:v>TEXT</x:v>
      </x:c>
      <x:c r="C377" s="10" t="str">
        <x:v>TEXT:SYN-F09-04</x:v>
      </x:c>
      <x:c r="D377" s="10" t="str">
        <x:v>TEXT:SYN-F09-04-G01</x:v>
      </x:c>
      <x:c r="E377" s="11" t="n">
        <x:v>8.152929</x:v>
      </x:c>
      <x:c r="F377" s="11" t="n">
        <x:v>16.152929</x:v>
      </x:c>
      <x:c r="G377" s="11" t="n">
        <x:f>F377-E377</x:f>
        <x:v>8</x:v>
      </x:c>
      <x:c r="H377" s="10" t="n">
        <x:v>1</x:v>
      </x:c>
      <x:c r="I377" s="10" t="str">
        <x:v>AUTHORED_TERMINAL</x:v>
      </x:c>
      <x:c r="J377" s="10" t="str">
        <x:v>TEXT:SYN-F09-04-REL-N20</x:v>
      </x:c>
      <x:c r="K377" s="10" t="str">
        <x:v>TEXT:SYN-F09-04-U01, TEXT:SYN-F09-04-U02</x:v>
      </x:c>
      <x:c r="L377" s="10" t="str">
        <x:v>TEXT:SYN-F09-04-REL-N20</x:v>
      </x:c>
    </x:row>
    <x:row r="378" ht="52" customHeight="1">
      <x:c r="A378" s="10" t="str">
        <x:v>T-BASE</x:v>
      </x:c>
      <x:c r="B378" s="10" t="str">
        <x:v>TEXT</x:v>
      </x:c>
      <x:c r="C378" s="10" t="str">
        <x:v>TEXT:SYN-F09-05</x:v>
      </x:c>
      <x:c r="D378" s="10" t="str">
        <x:v>TEXT:SYN-F09-05-G01</x:v>
      </x:c>
      <x:c r="E378" s="11" t="n">
        <x:v>7.981321</x:v>
      </x:c>
      <x:c r="F378" s="11" t="n">
        <x:v>15.981321</x:v>
      </x:c>
      <x:c r="G378" s="11" t="n">
        <x:f>F378-E378</x:f>
        <x:v>7.999999999999999</x:v>
      </x:c>
      <x:c r="H378" s="10" t="n">
        <x:v>1</x:v>
      </x:c>
      <x:c r="I378" s="10" t="str">
        <x:v>AUTHORED_TERMINAL</x:v>
      </x:c>
      <x:c r="J378" s="10" t="str">
        <x:v>TEXT:SYN-F09-05-BASE-N17</x:v>
      </x:c>
      <x:c r="K378" s="10" t="str">
        <x:v>TEXT:SYN-F09-05-U01, TEXT:SYN-F09-05-U02</x:v>
      </x:c>
      <x:c r="L378" s="10" t="str">
        <x:v>TEXT:SYN-F09-05-BASE-N17</x:v>
      </x:c>
    </x:row>
    <x:row r="379" ht="52" customHeight="1">
      <x:c r="A379" s="10" t="str">
        <x:v>T-EXEC</x:v>
      </x:c>
      <x:c r="B379" s="10" t="str">
        <x:v>TEXT</x:v>
      </x:c>
      <x:c r="C379" s="10" t="str">
        <x:v>TEXT:SYN-F09-05</x:v>
      </x:c>
      <x:c r="D379" s="10" t="str">
        <x:v>TEXT:SYN-F09-05-G01</x:v>
      </x:c>
      <x:c r="E379" s="11" t="n">
        <x:v>7.091428</x:v>
      </x:c>
      <x:c r="F379" s="11" t="n">
        <x:v>15.441428</x:v>
      </x:c>
      <x:c r="G379" s="11" t="n">
        <x:f>F379-E379</x:f>
        <x:v>8.350000000000001</x:v>
      </x:c>
      <x:c r="H379" s="10" t="n">
        <x:v>1</x:v>
      </x:c>
      <x:c r="I379" s="10" t="str">
        <x:v>AUTHORED_TERMINAL</x:v>
      </x:c>
      <x:c r="J379" s="10" t="str">
        <x:v>TEXT:SYN-F09-05-EXEC-N18</x:v>
      </x:c>
      <x:c r="K379" s="10" t="str">
        <x:v>TEXT:SYN-F09-05-U01, TEXT:SYN-F09-05-U02</x:v>
      </x:c>
      <x:c r="L379" s="10" t="str">
        <x:v>TEXT:SYN-F09-05-EXEC-N18</x:v>
      </x:c>
    </x:row>
    <x:row r="380" ht="52" customHeight="1">
      <x:c r="A380" s="10" t="str">
        <x:v>T-REL</x:v>
      </x:c>
      <x:c r="B380" s="10" t="str">
        <x:v>TEXT</x:v>
      </x:c>
      <x:c r="C380" s="10" t="str">
        <x:v>TEXT:SYN-F09-05</x:v>
      </x:c>
      <x:c r="D380" s="10" t="str">
        <x:v>TEXT:SYN-F09-05-G01</x:v>
      </x:c>
      <x:c r="E380" s="11" t="n">
        <x:v>8.226749</x:v>
      </x:c>
      <x:c r="F380" s="11" t="n">
        <x:v>16.226749</x:v>
      </x:c>
      <x:c r="G380" s="11" t="n">
        <x:f>F380-E380</x:f>
        <x:v>8.000000000000002</x:v>
      </x:c>
      <x:c r="H380" s="10" t="n">
        <x:v>1</x:v>
      </x:c>
      <x:c r="I380" s="10" t="str">
        <x:v>AUTHORED_TERMINAL</x:v>
      </x:c>
      <x:c r="J380" s="10" t="str">
        <x:v>TEXT:SYN-F09-05-REL-N20</x:v>
      </x:c>
      <x:c r="K380" s="10" t="str">
        <x:v>TEXT:SYN-F09-05-U01, TEXT:SYN-F09-05-U02</x:v>
      </x:c>
      <x:c r="L380" s="10" t="str">
        <x:v>TEXT:SYN-F09-05-REL-N20</x:v>
      </x:c>
    </x:row>
    <x:row r="381" ht="52" customHeight="1">
      <x:c r="A381" s="10" t="str">
        <x:v>T-BASE</x:v>
      </x:c>
      <x:c r="B381" s="10" t="str">
        <x:v>TEXT</x:v>
      </x:c>
      <x:c r="C381" s="10" t="str">
        <x:v>TEXT:SYN-F09-06</x:v>
      </x:c>
      <x:c r="D381" s="10" t="str">
        <x:v>TEXT:SYN-F09-06-G01</x:v>
      </x:c>
      <x:c r="E381" s="11" t="n">
        <x:v>8.047643</x:v>
      </x:c>
      <x:c r="F381" s="11" t="n">
        <x:v>16.047643</x:v>
      </x:c>
      <x:c r="G381" s="11" t="n">
        <x:f>F381-E381</x:f>
        <x:v>8</x:v>
      </x:c>
      <x:c r="H381" s="10" t="n">
        <x:v>0</x:v>
      </x:c>
      <x:c r="I381" s="10" t="str">
        <x:v>AUTHORED_TERMINAL</x:v>
      </x:c>
      <x:c r="J381" s="10" t="str">
        <x:v>TEXT:SYN-F09-06-BASE-N17</x:v>
      </x:c>
      <x:c r="K381" s="10" t="str">
        <x:v>TEXT:SYN-F09-06-U01, TEXT:SYN-F09-06-U02</x:v>
      </x:c>
      <x:c r="L381" s="10" t="str">
        <x:v>TEXT:SYN-F09-06-BASE-N17</x:v>
      </x:c>
    </x:row>
    <x:row r="382" ht="52" customHeight="1">
      <x:c r="A382" s="10" t="str">
        <x:v>T-EXEC</x:v>
      </x:c>
      <x:c r="B382" s="10" t="str">
        <x:v>TEXT</x:v>
      </x:c>
      <x:c r="C382" s="10" t="str">
        <x:v>TEXT:SYN-F09-06</x:v>
      </x:c>
      <x:c r="D382" s="10" t="str">
        <x:v>TEXT:SYN-F09-06-G01</x:v>
      </x:c>
      <x:c r="E382" s="11" t="n">
        <x:v>7.133536</x:v>
      </x:c>
      <x:c r="F382" s="11" t="n">
        <x:v>15.483536</x:v>
      </x:c>
      <x:c r="G382" s="11" t="n">
        <x:f>F382-E382</x:f>
        <x:v>8.350000000000001</x:v>
      </x:c>
      <x:c r="H382" s="10" t="n">
        <x:v>0</x:v>
      </x:c>
      <x:c r="I382" s="10" t="str">
        <x:v>AUTHORED_TERMINAL</x:v>
      </x:c>
      <x:c r="J382" s="10" t="str">
        <x:v>TEXT:SYN-F09-06-EXEC-N18</x:v>
      </x:c>
      <x:c r="K382" s="10" t="str">
        <x:v>TEXT:SYN-F09-06-U01, TEXT:SYN-F09-06-U02</x:v>
      </x:c>
      <x:c r="L382" s="10" t="str">
        <x:v>TEXT:SYN-F09-06-EXEC-N18</x:v>
      </x:c>
    </x:row>
    <x:row r="383" ht="52" customHeight="1">
      <x:c r="A383" s="10" t="str">
        <x:v>T-REL</x:v>
      </x:c>
      <x:c r="B383" s="10" t="str">
        <x:v>TEXT</x:v>
      </x:c>
      <x:c r="C383" s="10" t="str">
        <x:v>TEXT:SYN-F09-06</x:v>
      </x:c>
      <x:c r="D383" s="10" t="str">
        <x:v>TEXT:SYN-F09-06-G01</x:v>
      </x:c>
      <x:c r="E383" s="11" t="n">
        <x:v>8.293072</x:v>
      </x:c>
      <x:c r="F383" s="11" t="n">
        <x:v>16.293072</x:v>
      </x:c>
      <x:c r="G383" s="11" t="n">
        <x:f>F383-E383</x:f>
        <x:v>7.999999999999998</x:v>
      </x:c>
      <x:c r="H383" s="10" t="n">
        <x:v>0</x:v>
      </x:c>
      <x:c r="I383" s="10" t="str">
        <x:v>AUTHORED_TERMINAL</x:v>
      </x:c>
      <x:c r="J383" s="10" t="str">
        <x:v>TEXT:SYN-F09-06-REL-N20</x:v>
      </x:c>
      <x:c r="K383" s="10" t="str">
        <x:v>TEXT:SYN-F09-06-U01, TEXT:SYN-F09-06-U02</x:v>
      </x:c>
      <x:c r="L383" s="10" t="str">
        <x:v>TEXT:SYN-F09-06-REL-N20</x:v>
      </x:c>
    </x:row>
    <x:row r="384" ht="52" customHeight="1">
      <x:c r="A384" s="10" t="str">
        <x:v>T-BASE</x:v>
      </x:c>
      <x:c r="B384" s="10" t="str">
        <x:v>TEXT</x:v>
      </x:c>
      <x:c r="C384" s="10" t="str">
        <x:v>TEXT:SYN-F09-07</x:v>
      </x:c>
      <x:c r="D384" s="10" t="str">
        <x:v>TEXT:SYN-F09-07-G01</x:v>
      </x:c>
      <x:c r="E384" s="11" t="n">
        <x:v>8.046464</x:v>
      </x:c>
      <x:c r="F384" s="11" t="n">
        <x:v>16.046464</x:v>
      </x:c>
      <x:c r="G384" s="11" t="n">
        <x:f>F384-E384</x:f>
        <x:v>8</x:v>
      </x:c>
      <x:c r="H384" s="10" t="n">
        <x:v>1</x:v>
      </x:c>
      <x:c r="I384" s="10" t="str">
        <x:v>AUTHORED_TERMINAL</x:v>
      </x:c>
      <x:c r="J384" s="10" t="str">
        <x:v>TEXT:SYN-F09-07-BASE-N17</x:v>
      </x:c>
      <x:c r="K384" s="10" t="str">
        <x:v>TEXT:SYN-F09-07-U01, TEXT:SYN-F09-07-U02</x:v>
      </x:c>
      <x:c r="L384" s="10" t="str">
        <x:v>TEXT:SYN-F09-07-BASE-N17</x:v>
      </x:c>
    </x:row>
    <x:row r="385" ht="52" customHeight="1">
      <x:c r="A385" s="10" t="str">
        <x:v>T-EXEC</x:v>
      </x:c>
      <x:c r="B385" s="10" t="str">
        <x:v>TEXT</x:v>
      </x:c>
      <x:c r="C385" s="10" t="str">
        <x:v>TEXT:SYN-F09-07</x:v>
      </x:c>
      <x:c r="D385" s="10" t="str">
        <x:v>TEXT:SYN-F09-07-G01</x:v>
      </x:c>
      <x:c r="E385" s="11" t="n">
        <x:v>7.089392</x:v>
      </x:c>
      <x:c r="F385" s="11" t="n">
        <x:v>15.439392</x:v>
      </x:c>
      <x:c r="G385" s="11" t="n">
        <x:f>F385-E385</x:f>
        <x:v>8.35</x:v>
      </x:c>
      <x:c r="H385" s="10" t="n">
        <x:v>1</x:v>
      </x:c>
      <x:c r="I385" s="10" t="str">
        <x:v>AUTHORED_TERMINAL</x:v>
      </x:c>
      <x:c r="J385" s="10" t="str">
        <x:v>TEXT:SYN-F09-07-EXEC-N18</x:v>
      </x:c>
      <x:c r="K385" s="10" t="str">
        <x:v>TEXT:SYN-F09-07-U01, TEXT:SYN-F09-07-U02</x:v>
      </x:c>
      <x:c r="L385" s="10" t="str">
        <x:v>TEXT:SYN-F09-07-EXEC-N18</x:v>
      </x:c>
    </x:row>
    <x:row r="386" ht="52" customHeight="1">
      <x:c r="A386" s="10" t="str">
        <x:v>T-REL</x:v>
      </x:c>
      <x:c r="B386" s="10" t="str">
        <x:v>TEXT</x:v>
      </x:c>
      <x:c r="C386" s="10" t="str">
        <x:v>TEXT:SYN-F09-07</x:v>
      </x:c>
      <x:c r="D386" s="10" t="str">
        <x:v>TEXT:SYN-F09-07-G01</x:v>
      </x:c>
      <x:c r="E386" s="11" t="n">
        <x:v>8.291893</x:v>
      </x:c>
      <x:c r="F386" s="11" t="n">
        <x:v>16.291893</x:v>
      </x:c>
      <x:c r="G386" s="11" t="n">
        <x:f>F386-E386</x:f>
        <x:v>8.000000000000002</x:v>
      </x:c>
      <x:c r="H386" s="10" t="n">
        <x:v>1</x:v>
      </x:c>
      <x:c r="I386" s="10" t="str">
        <x:v>AUTHORED_TERMINAL</x:v>
      </x:c>
      <x:c r="J386" s="10" t="str">
        <x:v>TEXT:SYN-F09-07-REL-N20</x:v>
      </x:c>
      <x:c r="K386" s="10" t="str">
        <x:v>TEXT:SYN-F09-07-U01, TEXT:SYN-F09-07-U02</x:v>
      </x:c>
      <x:c r="L386" s="10" t="str">
        <x:v>TEXT:SYN-F09-07-REL-N20</x:v>
      </x:c>
    </x:row>
    <x:row r="387" ht="52" customHeight="1">
      <x:c r="A387" s="10" t="str">
        <x:v>T-BASE</x:v>
      </x:c>
      <x:c r="B387" s="10" t="str">
        <x:v>TEXT</x:v>
      </x:c>
      <x:c r="C387" s="10" t="str">
        <x:v>TEXT:SYN-F09-08</x:v>
      </x:c>
      <x:c r="D387" s="10" t="str">
        <x:v>TEXT:SYN-F09-08-G01</x:v>
      </x:c>
      <x:c r="E387" s="11" t="n">
        <x:v>8.195286</x:v>
      </x:c>
      <x:c r="F387" s="11" t="n">
        <x:v>16.195286</x:v>
      </x:c>
      <x:c r="G387" s="11" t="n">
        <x:f>F387-E387</x:f>
        <x:v>8</x:v>
      </x:c>
      <x:c r="H387" s="10" t="n">
        <x:v>1</x:v>
      </x:c>
      <x:c r="I387" s="10" t="str">
        <x:v>AUTHORED_TERMINAL</x:v>
      </x:c>
      <x:c r="J387" s="10" t="str">
        <x:v>TEXT:SYN-F09-08-BASE-N17</x:v>
      </x:c>
      <x:c r="K387" s="10" t="str">
        <x:v>TEXT:SYN-F09-08-U01, TEXT:SYN-F09-08-U02</x:v>
      </x:c>
      <x:c r="L387" s="10" t="str">
        <x:v>TEXT:SYN-F09-08-BASE-N17</x:v>
      </x:c>
    </x:row>
    <x:row r="388" ht="52" customHeight="1">
      <x:c r="A388" s="10" t="str">
        <x:v>T-EXEC</x:v>
      </x:c>
      <x:c r="B388" s="10" t="str">
        <x:v>TEXT</x:v>
      </x:c>
      <x:c r="C388" s="10" t="str">
        <x:v>TEXT:SYN-F09-08</x:v>
      </x:c>
      <x:c r="D388" s="10" t="str">
        <x:v>TEXT:SYN-F09-08-G01</x:v>
      </x:c>
      <x:c r="E388" s="11" t="n">
        <x:v>7.214</x:v>
      </x:c>
      <x:c r="F388" s="11" t="n">
        <x:v>15.564</x:v>
      </x:c>
      <x:c r="G388" s="11" t="n">
        <x:f>F388-E388</x:f>
        <x:v>8.35</x:v>
      </x:c>
      <x:c r="H388" s="10" t="n">
        <x:v>1</x:v>
      </x:c>
      <x:c r="I388" s="10" t="str">
        <x:v>AUTHORED_TERMINAL</x:v>
      </x:c>
      <x:c r="J388" s="10" t="str">
        <x:v>TEXT:SYN-F09-08-EXEC-N18</x:v>
      </x:c>
      <x:c r="K388" s="10" t="str">
        <x:v>TEXT:SYN-F09-08-U01, TEXT:SYN-F09-08-U02</x:v>
      </x:c>
      <x:c r="L388" s="10" t="str">
        <x:v>TEXT:SYN-F09-08-EXEC-N18</x:v>
      </x:c>
    </x:row>
    <x:row r="389" ht="52" customHeight="1">
      <x:c r="A389" s="10" t="str">
        <x:v>T-REL</x:v>
      </x:c>
      <x:c r="B389" s="10" t="str">
        <x:v>TEXT</x:v>
      </x:c>
      <x:c r="C389" s="10" t="str">
        <x:v>TEXT:SYN-F09-08</x:v>
      </x:c>
      <x:c r="D389" s="10" t="str">
        <x:v>TEXT:SYN-F09-08-G01</x:v>
      </x:c>
      <x:c r="E389" s="11" t="n">
        <x:v>8.440715</x:v>
      </x:c>
      <x:c r="F389" s="11" t="n">
        <x:v>16.440715</x:v>
      </x:c>
      <x:c r="G389" s="11" t="n">
        <x:f>F389-E389</x:f>
        <x:v>8</x:v>
      </x:c>
      <x:c r="H389" s="10" t="n">
        <x:v>1</x:v>
      </x:c>
      <x:c r="I389" s="10" t="str">
        <x:v>AUTHORED_TERMINAL</x:v>
      </x:c>
      <x:c r="J389" s="10" t="str">
        <x:v>TEXT:SYN-F09-08-REL-N20</x:v>
      </x:c>
      <x:c r="K389" s="10" t="str">
        <x:v>TEXT:SYN-F09-08-U01, TEXT:SYN-F09-08-U02</x:v>
      </x:c>
      <x:c r="L389" s="10" t="str">
        <x:v>TEXT:SYN-F09-08-REL-N20</x:v>
      </x:c>
    </x:row>
    <x:row r="390" ht="52" customHeight="1">
      <x:c r="A390" s="10" t="str">
        <x:v>T-BASE</x:v>
      </x:c>
      <x:c r="B390" s="10" t="str">
        <x:v>TEXT</x:v>
      </x:c>
      <x:c r="C390" s="10" t="str">
        <x:v>TEXT:SYN-F09-09</x:v>
      </x:c>
      <x:c r="D390" s="10" t="str">
        <x:v>TEXT:SYN-F09-09-G01</x:v>
      </x:c>
      <x:c r="E390" s="11" t="n">
        <x:v>8.269107</x:v>
      </x:c>
      <x:c r="F390" s="11" t="n">
        <x:v>16.269107</x:v>
      </x:c>
      <x:c r="G390" s="11" t="n">
        <x:f>F390-E390</x:f>
        <x:v>8.000000000000002</x:v>
      </x:c>
      <x:c r="H390" s="10" t="n">
        <x:v>1</x:v>
      </x:c>
      <x:c r="I390" s="10" t="str">
        <x:v>AUTHORED_TERMINAL</x:v>
      </x:c>
      <x:c r="J390" s="10" t="str">
        <x:v>TEXT:SYN-F09-09-BASE-N17</x:v>
      </x:c>
      <x:c r="K390" s="10" t="str">
        <x:v>TEXT:SYN-F09-09-U01, TEXT:SYN-F09-09-U02</x:v>
      </x:c>
      <x:c r="L390" s="10" t="str">
        <x:v>TEXT:SYN-F09-09-BASE-N17</x:v>
      </x:c>
    </x:row>
    <x:row r="391" ht="52" customHeight="1">
      <x:c r="A391" s="10" t="str">
        <x:v>T-EXEC</x:v>
      </x:c>
      <x:c r="B391" s="10" t="str">
        <x:v>TEXT</x:v>
      </x:c>
      <x:c r="C391" s="10" t="str">
        <x:v>TEXT:SYN-F09-09</x:v>
      </x:c>
      <x:c r="D391" s="10" t="str">
        <x:v>TEXT:SYN-F09-09-G01</x:v>
      </x:c>
      <x:c r="E391" s="11" t="n">
        <x:v>7.238607</x:v>
      </x:c>
      <x:c r="F391" s="11" t="n">
        <x:v>15.588607</x:v>
      </x:c>
      <x:c r="G391" s="11" t="n">
        <x:f>F391-E391</x:f>
        <x:v>8.35</x:v>
      </x:c>
      <x:c r="H391" s="10" t="n">
        <x:v>1</x:v>
      </x:c>
      <x:c r="I391" s="10" t="str">
        <x:v>AUTHORED_TERMINAL</x:v>
      </x:c>
      <x:c r="J391" s="10" t="str">
        <x:v>TEXT:SYN-F09-09-EXEC-N18</x:v>
      </x:c>
      <x:c r="K391" s="10" t="str">
        <x:v>TEXT:SYN-F09-09-U01, TEXT:SYN-F09-09-U02</x:v>
      </x:c>
      <x:c r="L391" s="10" t="str">
        <x:v>TEXT:SYN-F09-09-EXEC-N18</x:v>
      </x:c>
    </x:row>
    <x:row r="392" ht="52" customHeight="1">
      <x:c r="A392" s="10" t="str">
        <x:v>T-REL</x:v>
      </x:c>
      <x:c r="B392" s="10" t="str">
        <x:v>TEXT</x:v>
      </x:c>
      <x:c r="C392" s="10" t="str">
        <x:v>TEXT:SYN-F09-09</x:v>
      </x:c>
      <x:c r="D392" s="10" t="str">
        <x:v>TEXT:SYN-F09-09-G01</x:v>
      </x:c>
      <x:c r="E392" s="11" t="n">
        <x:v>8.514536</x:v>
      </x:c>
      <x:c r="F392" s="11" t="n">
        <x:v>16.514536</x:v>
      </x:c>
      <x:c r="G392" s="11" t="n">
        <x:f>F392-E392</x:f>
        <x:v>8</x:v>
      </x:c>
      <x:c r="H392" s="10" t="n">
        <x:v>1</x:v>
      </x:c>
      <x:c r="I392" s="10" t="str">
        <x:v>AUTHORED_TERMINAL</x:v>
      </x:c>
      <x:c r="J392" s="10" t="str">
        <x:v>TEXT:SYN-F09-09-REL-N20</x:v>
      </x:c>
      <x:c r="K392" s="10" t="str">
        <x:v>TEXT:SYN-F09-09-U01, TEXT:SYN-F09-09-U02</x:v>
      </x:c>
      <x:c r="L392" s="10" t="str">
        <x:v>TEXT:SYN-F09-09-REL-N20</x:v>
      </x:c>
    </x:row>
    <x:row r="393" ht="52" customHeight="1">
      <x:c r="A393" s="10" t="str">
        <x:v>T-BASE</x:v>
      </x:c>
      <x:c r="B393" s="10" t="str">
        <x:v>TEXT</x:v>
      </x:c>
      <x:c r="C393" s="10" t="str">
        <x:v>TEXT:SYN-F09-10</x:v>
      </x:c>
      <x:c r="D393" s="10" t="str">
        <x:v>TEXT:SYN-F09-10-G01</x:v>
      </x:c>
      <x:c r="E393" s="11" t="n">
        <x:v>8.267929</x:v>
      </x:c>
      <x:c r="F393" s="11" t="n">
        <x:v>16.267929</x:v>
      </x:c>
      <x:c r="G393" s="11" t="n">
        <x:f>F393-E393</x:f>
        <x:v>7.999999999999998</x:v>
      </x:c>
      <x:c r="H393" s="10" t="n">
        <x:v>1</x:v>
      </x:c>
      <x:c r="I393" s="10" t="str">
        <x:v>AUTHORED_TERMINAL</x:v>
      </x:c>
      <x:c r="J393" s="10" t="str">
        <x:v>TEXT:SYN-F09-10-BASE-N17</x:v>
      </x:c>
      <x:c r="K393" s="10" t="str">
        <x:v>TEXT:SYN-F09-10-U01, TEXT:SYN-F09-10-U02</x:v>
      </x:c>
      <x:c r="L393" s="10" t="str">
        <x:v>TEXT:SYN-F09-10-BASE-N17</x:v>
      </x:c>
    </x:row>
    <x:row r="394" ht="52" customHeight="1">
      <x:c r="A394" s="10" t="str">
        <x:v>T-EXEC</x:v>
      </x:c>
      <x:c r="B394" s="10" t="str">
        <x:v>TEXT</x:v>
      </x:c>
      <x:c r="C394" s="10" t="str">
        <x:v>TEXT:SYN-F09-10</x:v>
      </x:c>
      <x:c r="D394" s="10" t="str">
        <x:v>TEXT:SYN-F09-10-G01</x:v>
      </x:c>
      <x:c r="E394" s="11" t="n">
        <x:v>7.194465</x:v>
      </x:c>
      <x:c r="F394" s="11" t="n">
        <x:v>15.544465</x:v>
      </x:c>
      <x:c r="G394" s="11" t="n">
        <x:f>F394-E394</x:f>
        <x:v>8.350000000000001</x:v>
      </x:c>
      <x:c r="H394" s="10" t="n">
        <x:v>1</x:v>
      </x:c>
      <x:c r="I394" s="10" t="str">
        <x:v>AUTHORED_TERMINAL</x:v>
      </x:c>
      <x:c r="J394" s="10" t="str">
        <x:v>TEXT:SYN-F09-10-EXEC-N18</x:v>
      </x:c>
      <x:c r="K394" s="10" t="str">
        <x:v>TEXT:SYN-F09-10-U01, TEXT:SYN-F09-10-U02</x:v>
      </x:c>
      <x:c r="L394" s="10" t="str">
        <x:v>TEXT:SYN-F09-10-EXEC-N18</x:v>
      </x:c>
    </x:row>
    <x:row r="395" ht="52" customHeight="1">
      <x:c r="A395" s="10" t="str">
        <x:v>T-REL</x:v>
      </x:c>
      <x:c r="B395" s="10" t="str">
        <x:v>TEXT</x:v>
      </x:c>
      <x:c r="C395" s="10" t="str">
        <x:v>TEXT:SYN-F09-10</x:v>
      </x:c>
      <x:c r="D395" s="10" t="str">
        <x:v>TEXT:SYN-F09-10-G01</x:v>
      </x:c>
      <x:c r="E395" s="11" t="n">
        <x:v>8.513356</x:v>
      </x:c>
      <x:c r="F395" s="11" t="n">
        <x:v>16.513356</x:v>
      </x:c>
      <x:c r="G395" s="11" t="n">
        <x:f>F395-E395</x:f>
        <x:v>8.000000000000002</x:v>
      </x:c>
      <x:c r="H395" s="10" t="n">
        <x:v>1</x:v>
      </x:c>
      <x:c r="I395" s="10" t="str">
        <x:v>AUTHORED_TERMINAL</x:v>
      </x:c>
      <x:c r="J395" s="10" t="str">
        <x:v>TEXT:SYN-F09-10-REL-N20</x:v>
      </x:c>
      <x:c r="K395" s="10" t="str">
        <x:v>TEXT:SYN-F09-10-U01, TEXT:SYN-F09-10-U02</x:v>
      </x:c>
      <x:c r="L395" s="10" t="str">
        <x:v>TEXT:SYN-F09-10-REL-N20</x:v>
      </x:c>
    </x:row>
    <x:row r="396" ht="52" customHeight="1">
      <x:c r="A396" s="10" t="str">
        <x:v>T-BASE</x:v>
      </x:c>
      <x:c r="B396" s="10" t="str">
        <x:v>TEXT</x:v>
      </x:c>
      <x:c r="C396" s="10" t="str">
        <x:v>TEXT:SYN-F10-01</x:v>
      </x:c>
      <x:c r="D396" s="10" t="str">
        <x:v>TEXT:SYN-F10-01-G01</x:v>
      </x:c>
      <x:c r="E396" s="11" t="n">
        <x:v>8.72225</x:v>
      </x:c>
      <x:c r="F396" s="11" t="n">
        <x:v>16.72225</x:v>
      </x:c>
      <x:c r="G396" s="11" t="n">
        <x:f>F396-E396</x:f>
        <x:v>7.999999999999998</x:v>
      </x:c>
      <x:c r="H396" s="10" t="n">
        <x:v>1</x:v>
      </x:c>
      <x:c r="I396" s="10" t="str">
        <x:v>AUTHORED_TERMINAL</x:v>
      </x:c>
      <x:c r="J396" s="10" t="str">
        <x:v>TEXT:SYN-F10-01-BASE-N20</x:v>
      </x:c>
      <x:c r="K396" s="10" t="str">
        <x:v>TEXT:SYN-F10-01-U01</x:v>
      </x:c>
      <x:c r="L396" s="10" t="str">
        <x:v>TEXT:SYN-F10-01-BASE-N20</x:v>
      </x:c>
    </x:row>
    <x:row r="397" ht="52" customHeight="1">
      <x:c r="A397" s="10" t="str">
        <x:v>T-BASE</x:v>
      </x:c>
      <x:c r="B397" s="10" t="str">
        <x:v>TEXT</x:v>
      </x:c>
      <x:c r="C397" s="10" t="str">
        <x:v>TEXT:SYN-F10-01</x:v>
      </x:c>
      <x:c r="D397" s="10" t="str">
        <x:v>TEXT:SYN-F10-01-G02</x:v>
      </x:c>
      <x:c r="E397" s="11" t="n">
        <x:v>4.89975</x:v>
      </x:c>
      <x:c r="F397" s="11" t="n">
        <x:v>4.89975</x:v>
      </x:c>
      <x:c r="G397" s="11" t="n">
        <x:f>F397-E397</x:f>
        <x:v>0</x:v>
      </x:c>
      <x:c r="H397" s="10" t="n">
        <x:v>1</x:v>
      </x:c>
      <x:c r="I397" s="10" t="str">
        <x:v>AUTHORED_TERMINAL</x:v>
      </x:c>
      <x:c r="J397" s="10" t="str">
        <x:v>TEXT:SYN-F10-01-BASE-N15</x:v>
      </x:c>
      <x:c r="K397" s="10" t="str">
        <x:v>TEXT:SYN-F10-01-U02</x:v>
      </x:c>
      <x:c r="L397" s="10" t="str">
        <x:v>TEXT:SYN-F10-01-BASE-N15</x:v>
      </x:c>
    </x:row>
    <x:row r="398" ht="52" customHeight="1">
      <x:c r="A398" s="10" t="str">
        <x:v>T-EXEC</x:v>
      </x:c>
      <x:c r="B398" s="10" t="str">
        <x:v>TEXT</x:v>
      </x:c>
      <x:c r="C398" s="10" t="str">
        <x:v>TEXT:SYN-F10-01</x:v>
      </x:c>
      <x:c r="D398" s="10" t="str">
        <x:v>TEXT:SYN-F10-01-G01</x:v>
      </x:c>
      <x:c r="E398" s="11" t="n">
        <x:v>5.7385</x:v>
      </x:c>
      <x:c r="F398" s="11" t="n">
        <x:v>13.7385</x:v>
      </x:c>
      <x:c r="G398" s="11" t="n">
        <x:f>F398-E398</x:f>
        <x:v>8</x:v>
      </x:c>
      <x:c r="H398" s="10" t="n">
        <x:v>1</x:v>
      </x:c>
      <x:c r="I398" s="10" t="str">
        <x:v>AUTHORED_TERMINAL</x:v>
      </x:c>
      <x:c r="J398" s="10" t="str">
        <x:v>TEXT:SYN-F10-01-EXEC-N21</x:v>
      </x:c>
      <x:c r="K398" s="10" t="str">
        <x:v>TEXT:SYN-F10-01-U01</x:v>
      </x:c>
      <x:c r="L398" s="10" t="str">
        <x:v>TEXT:SYN-F10-01-EXEC-N21</x:v>
      </x:c>
    </x:row>
    <x:row r="399" ht="52" customHeight="1">
      <x:c r="A399" s="10" t="str">
        <x:v>T-EXEC</x:v>
      </x:c>
      <x:c r="B399" s="10" t="str">
        <x:v>TEXT</x:v>
      </x:c>
      <x:c r="C399" s="10" t="str">
        <x:v>TEXT:SYN-F10-01</x:v>
      </x:c>
      <x:c r="D399" s="10" t="str">
        <x:v>TEXT:SYN-F10-01-G02</x:v>
      </x:c>
      <x:c r="E399" s="11" t="n">
        <x:v>4.500464</x:v>
      </x:c>
      <x:c r="F399" s="11" t="n">
        <x:v>4.500464</x:v>
      </x:c>
      <x:c r="G399" s="11" t="n">
        <x:f>F399-E399</x:f>
        <x:v>0</x:v>
      </x:c>
      <x:c r="H399" s="10" t="n">
        <x:v>0</x:v>
      </x:c>
      <x:c r="I399" s="10" t="str">
        <x:v>AUTHORED_TERMINAL</x:v>
      </x:c>
      <x:c r="J399" s="10" t="str">
        <x:v>TEXT:SYN-F10-01-EXEC-N16</x:v>
      </x:c>
      <x:c r="K399" s="10" t="str">
        <x:v>TEXT:SYN-F10-01-U02</x:v>
      </x:c>
      <x:c r="L399" s="10" t="str">
        <x:v>TEXT:SYN-F10-01-EXEC-N16</x:v>
      </x:c>
    </x:row>
    <x:row r="400" ht="52" customHeight="1">
      <x:c r="A400" s="10" t="str">
        <x:v>T-REL</x:v>
      </x:c>
      <x:c r="B400" s="10" t="str">
        <x:v>TEXT</x:v>
      </x:c>
      <x:c r="C400" s="10" t="str">
        <x:v>TEXT:SYN-F10-01</x:v>
      </x:c>
      <x:c r="D400" s="10" t="str">
        <x:v>TEXT:SYN-F10-01-G01</x:v>
      </x:c>
      <x:c r="E400" s="11" t="n">
        <x:v>6.986107</x:v>
      </x:c>
      <x:c r="F400" s="11" t="n">
        <x:v>14.986107</x:v>
      </x:c>
      <x:c r="G400" s="11" t="n">
        <x:f>F400-E400</x:f>
        <x:v>8</x:v>
      </x:c>
      <x:c r="H400" s="10" t="n">
        <x:v>1</x:v>
      </x:c>
      <x:c r="I400" s="10" t="str">
        <x:v>AUTHORED_TERMINAL</x:v>
      </x:c>
      <x:c r="J400" s="10" t="str">
        <x:v>TEXT:SYN-F10-01-REL-N23</x:v>
      </x:c>
      <x:c r="K400" s="10" t="str">
        <x:v>TEXT:SYN-F10-01-U01</x:v>
      </x:c>
      <x:c r="L400" s="10" t="str">
        <x:v>TEXT:SYN-F10-01-REL-N23</x:v>
      </x:c>
    </x:row>
    <x:row r="401" ht="52" customHeight="1">
      <x:c r="A401" s="10" t="str">
        <x:v>T-REL</x:v>
      </x:c>
      <x:c r="B401" s="10" t="str">
        <x:v>TEXT</x:v>
      </x:c>
      <x:c r="C401" s="10" t="str">
        <x:v>TEXT:SYN-F10-01</x:v>
      </x:c>
      <x:c r="D401" s="10" t="str">
        <x:v>TEXT:SYN-F10-01-G02</x:v>
      </x:c>
      <x:c r="E401" s="11" t="n">
        <x:v>4.102536</x:v>
      </x:c>
      <x:c r="F401" s="11" t="n">
        <x:v>4.102536</x:v>
      </x:c>
      <x:c r="G401" s="11" t="n">
        <x:f>F401-E401</x:f>
        <x:v>0</x:v>
      </x:c>
      <x:c r="H401" s="10" t="n">
        <x:v>0</x:v>
      </x:c>
      <x:c r="I401" s="10" t="str">
        <x:v>AUTHORED_TERMINAL</x:v>
      </x:c>
      <x:c r="J401" s="10" t="str">
        <x:v>TEXT:SYN-F10-01-REL-N18</x:v>
      </x:c>
      <x:c r="K401" s="10" t="str">
        <x:v>TEXT:SYN-F10-01-U02</x:v>
      </x:c>
      <x:c r="L401" s="10" t="str">
        <x:v>TEXT:SYN-F10-01-REL-N18</x:v>
      </x:c>
    </x:row>
    <x:row r="402" ht="52" customHeight="1">
      <x:c r="A402" s="10" t="str">
        <x:v>T-BASE</x:v>
      </x:c>
      <x:c r="B402" s="10" t="str">
        <x:v>TEXT</x:v>
      </x:c>
      <x:c r="C402" s="10" t="str">
        <x:v>TEXT:SYN-F10-02</x:v>
      </x:c>
      <x:c r="D402" s="10" t="str">
        <x:v>TEXT:SYN-F10-02-G01</x:v>
      </x:c>
      <x:c r="E402" s="11" t="n">
        <x:v>8.88275</x:v>
      </x:c>
      <x:c r="F402" s="11" t="n">
        <x:v>16.88275</x:v>
      </x:c>
      <x:c r="G402" s="11" t="n">
        <x:f>F402-E402</x:f>
        <x:v>8.000000000000002</x:v>
      </x:c>
      <x:c r="H402" s="10" t="n">
        <x:v>1</x:v>
      </x:c>
      <x:c r="I402" s="10" t="str">
        <x:v>AUTHORED_TERMINAL</x:v>
      </x:c>
      <x:c r="J402" s="10" t="str">
        <x:v>TEXT:SYN-F10-02-BASE-N20</x:v>
      </x:c>
      <x:c r="K402" s="10" t="str">
        <x:v>TEXT:SYN-F10-02-U01</x:v>
      </x:c>
      <x:c r="L402" s="10" t="str">
        <x:v>TEXT:SYN-F10-02-BASE-N20</x:v>
      </x:c>
    </x:row>
    <x:row r="403" ht="52" customHeight="1">
      <x:c r="A403" s="10" t="str">
        <x:v>T-BASE</x:v>
      </x:c>
      <x:c r="B403" s="10" t="str">
        <x:v>TEXT</x:v>
      </x:c>
      <x:c r="C403" s="10" t="str">
        <x:v>TEXT:SYN-F10-02</x:v>
      </x:c>
      <x:c r="D403" s="10" t="str">
        <x:v>TEXT:SYN-F10-02-G02</x:v>
      </x:c>
      <x:c r="E403" s="11" t="n">
        <x:v>5.01075</x:v>
      </x:c>
      <x:c r="F403" s="11" t="n">
        <x:v>5.01075</x:v>
      </x:c>
      <x:c r="G403" s="11" t="n">
        <x:f>F403-E403</x:f>
        <x:v>0</x:v>
      </x:c>
      <x:c r="H403" s="10" t="n">
        <x:v>1</x:v>
      </x:c>
      <x:c r="I403" s="10" t="str">
        <x:v>AUTHORED_TERMINAL</x:v>
      </x:c>
      <x:c r="J403" s="10" t="str">
        <x:v>TEXT:SYN-F10-02-BASE-N15</x:v>
      </x:c>
      <x:c r="K403" s="10" t="str">
        <x:v>TEXT:SYN-F10-02-U02</x:v>
      </x:c>
      <x:c r="L403" s="10" t="str">
        <x:v>TEXT:SYN-F10-02-BASE-N15</x:v>
      </x:c>
    </x:row>
    <x:row r="404" ht="52" customHeight="1">
      <x:c r="A404" s="10" t="str">
        <x:v>T-EXEC</x:v>
      </x:c>
      <x:c r="B404" s="10" t="str">
        <x:v>TEXT</x:v>
      </x:c>
      <x:c r="C404" s="10" t="str">
        <x:v>TEXT:SYN-F10-02</x:v>
      </x:c>
      <x:c r="D404" s="10" t="str">
        <x:v>TEXT:SYN-F10-02-G01</x:v>
      </x:c>
      <x:c r="E404" s="11" t="n">
        <x:v>5.8495</x:v>
      </x:c>
      <x:c r="F404" s="11" t="n">
        <x:v>13.8495</x:v>
      </x:c>
      <x:c r="G404" s="11" t="n">
        <x:f>F404-E404</x:f>
        <x:v>8</x:v>
      </x:c>
      <x:c r="H404" s="10" t="n">
        <x:v>1</x:v>
      </x:c>
      <x:c r="I404" s="10" t="str">
        <x:v>AUTHORED_TERMINAL</x:v>
      </x:c>
      <x:c r="J404" s="10" t="str">
        <x:v>TEXT:SYN-F10-02-EXEC-N21</x:v>
      </x:c>
      <x:c r="K404" s="10" t="str">
        <x:v>TEXT:SYN-F10-02-U01</x:v>
      </x:c>
      <x:c r="L404" s="10" t="str">
        <x:v>TEXT:SYN-F10-02-EXEC-N21</x:v>
      </x:c>
    </x:row>
    <x:row r="405" ht="52" customHeight="1">
      <x:c r="A405" s="10" t="str">
        <x:v>T-EXEC</x:v>
      </x:c>
      <x:c r="B405" s="10" t="str">
        <x:v>TEXT</x:v>
      </x:c>
      <x:c r="C405" s="10" t="str">
        <x:v>TEXT:SYN-F10-02</x:v>
      </x:c>
      <x:c r="D405" s="10" t="str">
        <x:v>TEXT:SYN-F10-02-G02</x:v>
      </x:c>
      <x:c r="E405" s="11" t="n">
        <x:v>4.58725</x:v>
      </x:c>
      <x:c r="F405" s="11" t="n">
        <x:v>4.58725</x:v>
      </x:c>
      <x:c r="G405" s="11" t="n">
        <x:f>F405-E405</x:f>
        <x:v>0</x:v>
      </x:c>
      <x:c r="H405" s="10" t="n">
        <x:v>0</x:v>
      </x:c>
      <x:c r="I405" s="10" t="str">
        <x:v>AUTHORED_TERMINAL</x:v>
      </x:c>
      <x:c r="J405" s="10" t="str">
        <x:v>TEXT:SYN-F10-02-EXEC-N16</x:v>
      </x:c>
      <x:c r="K405" s="10" t="str">
        <x:v>TEXT:SYN-F10-02-U02</x:v>
      </x:c>
      <x:c r="L405" s="10" t="str">
        <x:v>TEXT:SYN-F10-02-EXEC-N16</x:v>
      </x:c>
    </x:row>
    <x:row r="406" ht="52" customHeight="1">
      <x:c r="A406" s="10" t="str">
        <x:v>T-REL</x:v>
      </x:c>
      <x:c r="B406" s="10" t="str">
        <x:v>TEXT</x:v>
      </x:c>
      <x:c r="C406" s="10" t="str">
        <x:v>TEXT:SYN-F10-02</x:v>
      </x:c>
      <x:c r="D406" s="10" t="str">
        <x:v>TEXT:SYN-F10-02-G01</x:v>
      </x:c>
      <x:c r="E406" s="11" t="n">
        <x:v>7.096608</x:v>
      </x:c>
      <x:c r="F406" s="11" t="n">
        <x:v>15.096608</x:v>
      </x:c>
      <x:c r="G406" s="11" t="n">
        <x:f>F406-E406</x:f>
        <x:v>8</x:v>
      </x:c>
      <x:c r="H406" s="10" t="n">
        <x:v>1</x:v>
      </x:c>
      <x:c r="I406" s="10" t="str">
        <x:v>AUTHORED_TERMINAL</x:v>
      </x:c>
      <x:c r="J406" s="10" t="str">
        <x:v>TEXT:SYN-F10-02-REL-N23</x:v>
      </x:c>
      <x:c r="K406" s="10" t="str">
        <x:v>TEXT:SYN-F10-02-U01</x:v>
      </x:c>
      <x:c r="L406" s="10" t="str">
        <x:v>TEXT:SYN-F10-02-REL-N23</x:v>
      </x:c>
    </x:row>
    <x:row r="407" ht="52" customHeight="1">
      <x:c r="A407" s="10" t="str">
        <x:v>T-REL</x:v>
      </x:c>
      <x:c r="B407" s="10" t="str">
        <x:v>TEXT</x:v>
      </x:c>
      <x:c r="C407" s="10" t="str">
        <x:v>TEXT:SYN-F10-02</x:v>
      </x:c>
      <x:c r="D407" s="10" t="str">
        <x:v>TEXT:SYN-F10-02-G02</x:v>
      </x:c>
      <x:c r="E407" s="11" t="n">
        <x:v>4.188536</x:v>
      </x:c>
      <x:c r="F407" s="11" t="n">
        <x:v>4.188536</x:v>
      </x:c>
      <x:c r="G407" s="11" t="n">
        <x:f>F407-E407</x:f>
        <x:v>0</x:v>
      </x:c>
      <x:c r="H407" s="10" t="n">
        <x:v>1</x:v>
      </x:c>
      <x:c r="I407" s="10" t="str">
        <x:v>AUTHORED_TERMINAL</x:v>
      </x:c>
      <x:c r="J407" s="10" t="str">
        <x:v>TEXT:SYN-F10-02-REL-N18</x:v>
      </x:c>
      <x:c r="K407" s="10" t="str">
        <x:v>TEXT:SYN-F10-02-U02</x:v>
      </x:c>
      <x:c r="L407" s="10" t="str">
        <x:v>TEXT:SYN-F10-02-REL-N18</x:v>
      </x:c>
    </x:row>
    <x:row r="408" ht="52" customHeight="1">
      <x:c r="A408" s="10" t="str">
        <x:v>T-BASE</x:v>
      </x:c>
      <x:c r="B408" s="10" t="str">
        <x:v>TEXT</x:v>
      </x:c>
      <x:c r="C408" s="10" t="str">
        <x:v>TEXT:SYN-F10-03</x:v>
      </x:c>
      <x:c r="D408" s="10" t="str">
        <x:v>TEXT:SYN-F10-03-G01</x:v>
      </x:c>
      <x:c r="E408" s="11" t="n">
        <x:v>9.04325</x:v>
      </x:c>
      <x:c r="F408" s="11" t="n">
        <x:v>17.04325</x:v>
      </x:c>
      <x:c r="G408" s="11" t="n">
        <x:f>F408-E408</x:f>
        <x:v>8</x:v>
      </x:c>
      <x:c r="H408" s="10" t="n">
        <x:v>1</x:v>
      </x:c>
      <x:c r="I408" s="10" t="str">
        <x:v>AUTHORED_TERMINAL</x:v>
      </x:c>
      <x:c r="J408" s="10" t="str">
        <x:v>TEXT:SYN-F10-03-BASE-N20</x:v>
      </x:c>
      <x:c r="K408" s="10" t="str">
        <x:v>TEXT:SYN-F10-03-U01</x:v>
      </x:c>
      <x:c r="L408" s="10" t="str">
        <x:v>TEXT:SYN-F10-03-BASE-N20</x:v>
      </x:c>
    </x:row>
    <x:row r="409" ht="52" customHeight="1">
      <x:c r="A409" s="10" t="str">
        <x:v>T-BASE</x:v>
      </x:c>
      <x:c r="B409" s="10" t="str">
        <x:v>TEXT</x:v>
      </x:c>
      <x:c r="C409" s="10" t="str">
        <x:v>TEXT:SYN-F10-03</x:v>
      </x:c>
      <x:c r="D409" s="10" t="str">
        <x:v>TEXT:SYN-F10-03-G02</x:v>
      </x:c>
      <x:c r="E409" s="11" t="n">
        <x:v>5.12175</x:v>
      </x:c>
      <x:c r="F409" s="11" t="n">
        <x:v>5.12175</x:v>
      </x:c>
      <x:c r="G409" s="11" t="n">
        <x:f>F409-E409</x:f>
        <x:v>0</x:v>
      </x:c>
      <x:c r="H409" s="10" t="n">
        <x:v>1</x:v>
      </x:c>
      <x:c r="I409" s="10" t="str">
        <x:v>AUTHORED_TERMINAL</x:v>
      </x:c>
      <x:c r="J409" s="10" t="str">
        <x:v>TEXT:SYN-F10-03-BASE-N15</x:v>
      </x:c>
      <x:c r="K409" s="10" t="str">
        <x:v>TEXT:SYN-F10-03-U02</x:v>
      </x:c>
      <x:c r="L409" s="10" t="str">
        <x:v>TEXT:SYN-F10-03-BASE-N15</x:v>
      </x:c>
    </x:row>
    <x:row r="410" ht="52" customHeight="1">
      <x:c r="A410" s="10" t="str">
        <x:v>T-EXEC</x:v>
      </x:c>
      <x:c r="B410" s="10" t="str">
        <x:v>TEXT</x:v>
      </x:c>
      <x:c r="C410" s="10" t="str">
        <x:v>TEXT:SYN-F10-03</x:v>
      </x:c>
      <x:c r="D410" s="10" t="str">
        <x:v>TEXT:SYN-F10-03-G01</x:v>
      </x:c>
      <x:c r="E410" s="11" t="n">
        <x:v>5.9605</x:v>
      </x:c>
      <x:c r="F410" s="11" t="n">
        <x:v>13.9605</x:v>
      </x:c>
      <x:c r="G410" s="11" t="n">
        <x:f>F410-E410</x:f>
        <x:v>8</x:v>
      </x:c>
      <x:c r="H410" s="10" t="n">
        <x:v>1</x:v>
      </x:c>
      <x:c r="I410" s="10" t="str">
        <x:v>AUTHORED_TERMINAL</x:v>
      </x:c>
      <x:c r="J410" s="10" t="str">
        <x:v>TEXT:SYN-F10-03-EXEC-N21</x:v>
      </x:c>
      <x:c r="K410" s="10" t="str">
        <x:v>TEXT:SYN-F10-03-U01</x:v>
      </x:c>
      <x:c r="L410" s="10" t="str">
        <x:v>TEXT:SYN-F10-03-EXEC-N21</x:v>
      </x:c>
    </x:row>
    <x:row r="411" ht="52" customHeight="1">
      <x:c r="A411" s="10" t="str">
        <x:v>T-EXEC</x:v>
      </x:c>
      <x:c r="B411" s="10" t="str">
        <x:v>TEXT</x:v>
      </x:c>
      <x:c r="C411" s="10" t="str">
        <x:v>TEXT:SYN-F10-03</x:v>
      </x:c>
      <x:c r="D411" s="10" t="str">
        <x:v>TEXT:SYN-F10-03-G02</x:v>
      </x:c>
      <x:c r="E411" s="11" t="n">
        <x:v>4.674036</x:v>
      </x:c>
      <x:c r="F411" s="11" t="n">
        <x:v>4.674036</x:v>
      </x:c>
      <x:c r="G411" s="11" t="n">
        <x:f>F411-E411</x:f>
        <x:v>0</x:v>
      </x:c>
      <x:c r="H411" s="10" t="n">
        <x:v>1</x:v>
      </x:c>
      <x:c r="I411" s="10" t="str">
        <x:v>AUTHORED_TERMINAL</x:v>
      </x:c>
      <x:c r="J411" s="10" t="str">
        <x:v>TEXT:SYN-F10-03-EXEC-N16</x:v>
      </x:c>
      <x:c r="K411" s="10" t="str">
        <x:v>TEXT:SYN-F10-03-U02</x:v>
      </x:c>
      <x:c r="L411" s="10" t="str">
        <x:v>TEXT:SYN-F10-03-EXEC-N16</x:v>
      </x:c>
    </x:row>
    <x:row r="412" ht="52" customHeight="1">
      <x:c r="A412" s="10" t="str">
        <x:v>T-REL</x:v>
      </x:c>
      <x:c r="B412" s="10" t="str">
        <x:v>TEXT</x:v>
      </x:c>
      <x:c r="C412" s="10" t="str">
        <x:v>TEXT:SYN-F10-03</x:v>
      </x:c>
      <x:c r="D412" s="10" t="str">
        <x:v>TEXT:SYN-F10-03-G01</x:v>
      </x:c>
      <x:c r="E412" s="11" t="n">
        <x:v>7.207106</x:v>
      </x:c>
      <x:c r="F412" s="11" t="n">
        <x:v>15.207106</x:v>
      </x:c>
      <x:c r="G412" s="11" t="n">
        <x:f>F412-E412</x:f>
        <x:v>8</x:v>
      </x:c>
      <x:c r="H412" s="10" t="n">
        <x:v>1</x:v>
      </x:c>
      <x:c r="I412" s="10" t="str">
        <x:v>AUTHORED_TERMINAL</x:v>
      </x:c>
      <x:c r="J412" s="10" t="str">
        <x:v>TEXT:SYN-F10-03-REL-N23</x:v>
      </x:c>
      <x:c r="K412" s="10" t="str">
        <x:v>TEXT:SYN-F10-03-U01</x:v>
      </x:c>
      <x:c r="L412" s="10" t="str">
        <x:v>TEXT:SYN-F10-03-REL-N23</x:v>
      </x:c>
    </x:row>
    <x:row r="413" ht="52" customHeight="1">
      <x:c r="A413" s="10" t="str">
        <x:v>T-REL</x:v>
      </x:c>
      <x:c r="B413" s="10" t="str">
        <x:v>TEXT</x:v>
      </x:c>
      <x:c r="C413" s="10" t="str">
        <x:v>TEXT:SYN-F10-03</x:v>
      </x:c>
      <x:c r="D413" s="10" t="str">
        <x:v>TEXT:SYN-F10-03-G02</x:v>
      </x:c>
      <x:c r="E413" s="11" t="n">
        <x:v>4.274535</x:v>
      </x:c>
      <x:c r="F413" s="11" t="n">
        <x:v>4.274535</x:v>
      </x:c>
      <x:c r="G413" s="11" t="n">
        <x:f>F413-E413</x:f>
        <x:v>0</x:v>
      </x:c>
      <x:c r="H413" s="10" t="n">
        <x:v>1</x:v>
      </x:c>
      <x:c r="I413" s="10" t="str">
        <x:v>AUTHORED_TERMINAL</x:v>
      </x:c>
      <x:c r="J413" s="10" t="str">
        <x:v>TEXT:SYN-F10-03-REL-N18</x:v>
      </x:c>
      <x:c r="K413" s="10" t="str">
        <x:v>TEXT:SYN-F10-03-U02</x:v>
      </x:c>
      <x:c r="L413" s="10" t="str">
        <x:v>TEXT:SYN-F10-03-REL-N18</x:v>
      </x:c>
    </x:row>
    <x:row r="414" ht="52" customHeight="1">
      <x:c r="A414" s="10" t="str">
        <x:v>T-BASE</x:v>
      </x:c>
      <x:c r="B414" s="10" t="str">
        <x:v>TEXT</x:v>
      </x:c>
      <x:c r="C414" s="10" t="str">
        <x:v>TEXT:SYN-F10-04</x:v>
      </x:c>
      <x:c r="D414" s="10" t="str">
        <x:v>TEXT:SYN-F10-04-G01</x:v>
      </x:c>
      <x:c r="E414" s="11" t="n">
        <x:v>9.05375</x:v>
      </x:c>
      <x:c r="F414" s="11" t="n">
        <x:v>17.05375</x:v>
      </x:c>
      <x:c r="G414" s="11" t="n">
        <x:f>F414-E414</x:f>
        <x:v>8</x:v>
      </x:c>
      <x:c r="H414" s="10" t="n">
        <x:v>1</x:v>
      </x:c>
      <x:c r="I414" s="10" t="str">
        <x:v>AUTHORED_TERMINAL</x:v>
      </x:c>
      <x:c r="J414" s="10" t="str">
        <x:v>TEXT:SYN-F10-04-BASE-N20</x:v>
      </x:c>
      <x:c r="K414" s="10" t="str">
        <x:v>TEXT:SYN-F10-04-U01</x:v>
      </x:c>
      <x:c r="L414" s="10" t="str">
        <x:v>TEXT:SYN-F10-04-BASE-N20</x:v>
      </x:c>
    </x:row>
    <x:row r="415" ht="52" customHeight="1">
      <x:c r="A415" s="10" t="str">
        <x:v>T-BASE</x:v>
      </x:c>
      <x:c r="B415" s="10" t="str">
        <x:v>TEXT</x:v>
      </x:c>
      <x:c r="C415" s="10" t="str">
        <x:v>TEXT:SYN-F10-04</x:v>
      </x:c>
      <x:c r="D415" s="10" t="str">
        <x:v>TEXT:SYN-F10-04-G02</x:v>
      </x:c>
      <x:c r="E415" s="11" t="n">
        <x:v>5.15775</x:v>
      </x:c>
      <x:c r="F415" s="11" t="n">
        <x:v>5.15775</x:v>
      </x:c>
      <x:c r="G415" s="11" t="n">
        <x:f>F415-E415</x:f>
        <x:v>0</x:v>
      </x:c>
      <x:c r="H415" s="10" t="n">
        <x:v>1</x:v>
      </x:c>
      <x:c r="I415" s="10" t="str">
        <x:v>AUTHORED_TERMINAL</x:v>
      </x:c>
      <x:c r="J415" s="10" t="str">
        <x:v>TEXT:SYN-F10-04-BASE-N15</x:v>
      </x:c>
      <x:c r="K415" s="10" t="str">
        <x:v>TEXT:SYN-F10-04-U02</x:v>
      </x:c>
      <x:c r="L415" s="10" t="str">
        <x:v>TEXT:SYN-F10-04-BASE-N15</x:v>
      </x:c>
    </x:row>
    <x:row r="416" ht="52" customHeight="1">
      <x:c r="A416" s="10" t="str">
        <x:v>T-EXEC</x:v>
      </x:c>
      <x:c r="B416" s="10" t="str">
        <x:v>TEXT</x:v>
      </x:c>
      <x:c r="C416" s="10" t="str">
        <x:v>TEXT:SYN-F10-04</x:v>
      </x:c>
      <x:c r="D416" s="10" t="str">
        <x:v>TEXT:SYN-F10-04-G01</x:v>
      </x:c>
      <x:c r="E416" s="11" t="n">
        <x:v>5.9965</x:v>
      </x:c>
      <x:c r="F416" s="11" t="n">
        <x:v>13.9965</x:v>
      </x:c>
      <x:c r="G416" s="11" t="n">
        <x:f>F416-E416</x:f>
        <x:v>7.999999999999999</x:v>
      </x:c>
      <x:c r="H416" s="10" t="n">
        <x:v>1</x:v>
      </x:c>
      <x:c r="I416" s="10" t="str">
        <x:v>AUTHORED_TERMINAL</x:v>
      </x:c>
      <x:c r="J416" s="10" t="str">
        <x:v>TEXT:SYN-F10-04-EXEC-N21</x:v>
      </x:c>
      <x:c r="K416" s="10" t="str">
        <x:v>TEXT:SYN-F10-04-U01</x:v>
      </x:c>
      <x:c r="L416" s="10" t="str">
        <x:v>TEXT:SYN-F10-04-EXEC-N21</x:v>
      </x:c>
    </x:row>
    <x:row r="417" ht="52" customHeight="1">
      <x:c r="A417" s="10" t="str">
        <x:v>T-EXEC</x:v>
      </x:c>
      <x:c r="B417" s="10" t="str">
        <x:v>TEXT</x:v>
      </x:c>
      <x:c r="C417" s="10" t="str">
        <x:v>TEXT:SYN-F10-04</x:v>
      </x:c>
      <x:c r="D417" s="10" t="str">
        <x:v>TEXT:SYN-F10-04-G02</x:v>
      </x:c>
      <x:c r="E417" s="11" t="n">
        <x:v>4.667072</x:v>
      </x:c>
      <x:c r="F417" s="11" t="n">
        <x:v>4.667072</x:v>
      </x:c>
      <x:c r="G417" s="11" t="n">
        <x:f>F417-E417</x:f>
        <x:v>0</x:v>
      </x:c>
      <x:c r="H417" s="10" t="n">
        <x:v>0</x:v>
      </x:c>
      <x:c r="I417" s="10" t="str">
        <x:v>AUTHORED_TERMINAL</x:v>
      </x:c>
      <x:c r="J417" s="10" t="str">
        <x:v>TEXT:SYN-F10-04-EXEC-N16</x:v>
      </x:c>
      <x:c r="K417" s="10" t="str">
        <x:v>TEXT:SYN-F10-04-U02</x:v>
      </x:c>
      <x:c r="L417" s="10" t="str">
        <x:v>TEXT:SYN-F10-04-EXEC-N16</x:v>
      </x:c>
    </x:row>
    <x:row r="418" ht="52" customHeight="1">
      <x:c r="A418" s="10" t="str">
        <x:v>T-REL</x:v>
      </x:c>
      <x:c r="B418" s="10" t="str">
        <x:v>TEXT</x:v>
      </x:c>
      <x:c r="C418" s="10" t="str">
        <x:v>TEXT:SYN-F10-04</x:v>
      </x:c>
      <x:c r="D418" s="10" t="str">
        <x:v>TEXT:SYN-F10-04-G01</x:v>
      </x:c>
      <x:c r="E418" s="11" t="n">
        <x:v>7.317608</x:v>
      </x:c>
      <x:c r="F418" s="11" t="n">
        <x:v>15.317608</x:v>
      </x:c>
      <x:c r="G418" s="11" t="n">
        <x:f>F418-E418</x:f>
        <x:v>8</x:v>
      </x:c>
      <x:c r="H418" s="10" t="n">
        <x:v>1</x:v>
      </x:c>
      <x:c r="I418" s="10" t="str">
        <x:v>AUTHORED_TERMINAL</x:v>
      </x:c>
      <x:c r="J418" s="10" t="str">
        <x:v>TEXT:SYN-F10-04-REL-N23</x:v>
      </x:c>
      <x:c r="K418" s="10" t="str">
        <x:v>TEXT:SYN-F10-04-U01</x:v>
      </x:c>
      <x:c r="L418" s="10" t="str">
        <x:v>TEXT:SYN-F10-04-REL-N23</x:v>
      </x:c>
    </x:row>
    <x:row r="419" ht="52" customHeight="1">
      <x:c r="A419" s="10" t="str">
        <x:v>T-REL</x:v>
      </x:c>
      <x:c r="B419" s="10" t="str">
        <x:v>TEXT</x:v>
      </x:c>
      <x:c r="C419" s="10" t="str">
        <x:v>TEXT:SYN-F10-04</x:v>
      </x:c>
      <x:c r="D419" s="10" t="str">
        <x:v>TEXT:SYN-F10-04-G02</x:v>
      </x:c>
      <x:c r="E419" s="11" t="n">
        <x:v>4.360536</x:v>
      </x:c>
      <x:c r="F419" s="11" t="n">
        <x:v>4.360536</x:v>
      </x:c>
      <x:c r="G419" s="11" t="n">
        <x:f>F419-E419</x:f>
        <x:v>0</x:v>
      </x:c>
      <x:c r="H419" s="10" t="n">
        <x:v>0</x:v>
      </x:c>
      <x:c r="I419" s="10" t="str">
        <x:v>AUTHORED_TERMINAL</x:v>
      </x:c>
      <x:c r="J419" s="10" t="str">
        <x:v>TEXT:SYN-F10-04-REL-N18</x:v>
      </x:c>
      <x:c r="K419" s="10" t="str">
        <x:v>TEXT:SYN-F10-04-U02</x:v>
      </x:c>
      <x:c r="L419" s="10" t="str">
        <x:v>TEXT:SYN-F10-04-REL-N18</x:v>
      </x:c>
    </x:row>
    <x:row r="420" ht="52" customHeight="1">
      <x:c r="A420" s="10" t="str">
        <x:v>T-BASE</x:v>
      </x:c>
      <x:c r="B420" s="10" t="str">
        <x:v>TEXT</x:v>
      </x:c>
      <x:c r="C420" s="10" t="str">
        <x:v>TEXT:SYN-F10-05</x:v>
      </x:c>
      <x:c r="D420" s="10" t="str">
        <x:v>TEXT:SYN-F10-05-G01</x:v>
      </x:c>
      <x:c r="E420" s="11" t="n">
        <x:v>9.11425</x:v>
      </x:c>
      <x:c r="F420" s="11" t="n">
        <x:v>17.11425</x:v>
      </x:c>
      <x:c r="G420" s="11" t="n">
        <x:f>F420-E420</x:f>
        <x:v>7.999999999999998</x:v>
      </x:c>
      <x:c r="H420" s="10" t="n">
        <x:v>1</x:v>
      </x:c>
      <x:c r="I420" s="10" t="str">
        <x:v>AUTHORED_TERMINAL</x:v>
      </x:c>
      <x:c r="J420" s="10" t="str">
        <x:v>TEXT:SYN-F10-05-BASE-N20</x:v>
      </x:c>
      <x:c r="K420" s="10" t="str">
        <x:v>TEXT:SYN-F10-05-U01</x:v>
      </x:c>
      <x:c r="L420" s="10" t="str">
        <x:v>TEXT:SYN-F10-05-BASE-N20</x:v>
      </x:c>
    </x:row>
    <x:row r="421" ht="52" customHeight="1">
      <x:c r="A421" s="10" t="str">
        <x:v>T-BASE</x:v>
      </x:c>
      <x:c r="B421" s="10" t="str">
        <x:v>TEXT</x:v>
      </x:c>
      <x:c r="C421" s="10" t="str">
        <x:v>TEXT:SYN-F10-05</x:v>
      </x:c>
      <x:c r="D421" s="10" t="str">
        <x:v>TEXT:SYN-F10-05-G02</x:v>
      </x:c>
      <x:c r="E421" s="11" t="n">
        <x:v>5.21875</x:v>
      </x:c>
      <x:c r="F421" s="11" t="n">
        <x:v>5.21875</x:v>
      </x:c>
      <x:c r="G421" s="11" t="n">
        <x:f>F421-E421</x:f>
        <x:v>0</x:v>
      </x:c>
      <x:c r="H421" s="10" t="n">
        <x:v>1</x:v>
      </x:c>
      <x:c r="I421" s="10" t="str">
        <x:v>AUTHORED_TERMINAL</x:v>
      </x:c>
      <x:c r="J421" s="10" t="str">
        <x:v>TEXT:SYN-F10-05-BASE-N15</x:v>
      </x:c>
      <x:c r="K421" s="10" t="str">
        <x:v>TEXT:SYN-F10-05-U02</x:v>
      </x:c>
      <x:c r="L421" s="10" t="str">
        <x:v>TEXT:SYN-F10-05-BASE-N15</x:v>
      </x:c>
    </x:row>
    <x:row r="422" ht="52" customHeight="1">
      <x:c r="A422" s="10" t="str">
        <x:v>T-EXEC</x:v>
      </x:c>
      <x:c r="B422" s="10" t="str">
        <x:v>TEXT</x:v>
      </x:c>
      <x:c r="C422" s="10" t="str">
        <x:v>TEXT:SYN-F10-05</x:v>
      </x:c>
      <x:c r="D422" s="10" t="str">
        <x:v>TEXT:SYN-F10-05-G01</x:v>
      </x:c>
      <x:c r="E422" s="11" t="n">
        <x:v>6.0575</x:v>
      </x:c>
      <x:c r="F422" s="11" t="n">
        <x:v>14.0575</x:v>
      </x:c>
      <x:c r="G422" s="11" t="n">
        <x:f>F422-E422</x:f>
        <x:v>7.999999999999999</x:v>
      </x:c>
      <x:c r="H422" s="10" t="n">
        <x:v>1</x:v>
      </x:c>
      <x:c r="I422" s="10" t="str">
        <x:v>AUTHORED_TERMINAL</x:v>
      </x:c>
      <x:c r="J422" s="10" t="str">
        <x:v>TEXT:SYN-F10-05-EXEC-N21</x:v>
      </x:c>
      <x:c r="K422" s="10" t="str">
        <x:v>TEXT:SYN-F10-05-U01</x:v>
      </x:c>
      <x:c r="L422" s="10" t="str">
        <x:v>TEXT:SYN-F10-05-EXEC-N21</x:v>
      </x:c>
    </x:row>
    <x:row r="423" ht="52" customHeight="1">
      <x:c r="A423" s="10" t="str">
        <x:v>T-EXEC</x:v>
      </x:c>
      <x:c r="B423" s="10" t="str">
        <x:v>TEXT</x:v>
      </x:c>
      <x:c r="C423" s="10" t="str">
        <x:v>TEXT:SYN-F10-05</x:v>
      </x:c>
      <x:c r="D423" s="10" t="str">
        <x:v>TEXT:SYN-F10-05-G02</x:v>
      </x:c>
      <x:c r="E423" s="11" t="n">
        <x:v>4.678857</x:v>
      </x:c>
      <x:c r="F423" s="11" t="n">
        <x:v>4.678857</x:v>
      </x:c>
      <x:c r="G423" s="11" t="n">
        <x:f>F423-E423</x:f>
        <x:v>0</x:v>
      </x:c>
      <x:c r="H423" s="10" t="n">
        <x:v>1</x:v>
      </x:c>
      <x:c r="I423" s="10" t="str">
        <x:v>AUTHORED_TERMINAL</x:v>
      </x:c>
      <x:c r="J423" s="10" t="str">
        <x:v>TEXT:SYN-F10-05-EXEC-N16</x:v>
      </x:c>
      <x:c r="K423" s="10" t="str">
        <x:v>TEXT:SYN-F10-05-U02</x:v>
      </x:c>
      <x:c r="L423" s="10" t="str">
        <x:v>TEXT:SYN-F10-05-EXEC-N16</x:v>
      </x:c>
    </x:row>
    <x:row r="424" ht="52" customHeight="1">
      <x:c r="A424" s="10" t="str">
        <x:v>T-REL</x:v>
      </x:c>
      <x:c r="B424" s="10" t="str">
        <x:v>TEXT</x:v>
      </x:c>
      <x:c r="C424" s="10" t="str">
        <x:v>TEXT:SYN-F10-05</x:v>
      </x:c>
      <x:c r="D424" s="10" t="str">
        <x:v>TEXT:SYN-F10-05-G01</x:v>
      </x:c>
      <x:c r="E424" s="11" t="n">
        <x:v>7.328106</x:v>
      </x:c>
      <x:c r="F424" s="11" t="n">
        <x:v>15.328106</x:v>
      </x:c>
      <x:c r="G424" s="11" t="n">
        <x:f>F424-E424</x:f>
        <x:v>8</x:v>
      </x:c>
      <x:c r="H424" s="10" t="n">
        <x:v>1</x:v>
      </x:c>
      <x:c r="I424" s="10" t="str">
        <x:v>AUTHORED_TERMINAL</x:v>
      </x:c>
      <x:c r="J424" s="10" t="str">
        <x:v>TEXT:SYN-F10-05-REL-N23</x:v>
      </x:c>
      <x:c r="K424" s="10" t="str">
        <x:v>TEXT:SYN-F10-05-U01</x:v>
      </x:c>
      <x:c r="L424" s="10" t="str">
        <x:v>TEXT:SYN-F10-05-REL-N23</x:v>
      </x:c>
    </x:row>
    <x:row r="425" ht="52" customHeight="1">
      <x:c r="A425" s="10" t="str">
        <x:v>T-REL</x:v>
      </x:c>
      <x:c r="B425" s="10" t="str">
        <x:v>TEXT</x:v>
      </x:c>
      <x:c r="C425" s="10" t="str">
        <x:v>TEXT:SYN-F10-05</x:v>
      </x:c>
      <x:c r="D425" s="10" t="str">
        <x:v>TEXT:SYN-F10-05-G02</x:v>
      </x:c>
      <x:c r="E425" s="11" t="n">
        <x:v>4.396535</x:v>
      </x:c>
      <x:c r="F425" s="11" t="n">
        <x:v>4.396535</x:v>
      </x:c>
      <x:c r="G425" s="11" t="n">
        <x:f>F425-E425</x:f>
        <x:v>0</x:v>
      </x:c>
      <x:c r="H425" s="10" t="n">
        <x:v>1</x:v>
      </x:c>
      <x:c r="I425" s="10" t="str">
        <x:v>AUTHORED_TERMINAL</x:v>
      </x:c>
      <x:c r="J425" s="10" t="str">
        <x:v>TEXT:SYN-F10-05-REL-N18</x:v>
      </x:c>
      <x:c r="K425" s="10" t="str">
        <x:v>TEXT:SYN-F10-05-U02</x:v>
      </x:c>
      <x:c r="L425" s="10" t="str">
        <x:v>TEXT:SYN-F10-05-REL-N18</x:v>
      </x:c>
    </x:row>
    <x:row r="426" ht="52" customHeight="1">
      <x:c r="A426" s="10" t="str">
        <x:v>T-BASE</x:v>
      </x:c>
      <x:c r="B426" s="10" t="str">
        <x:v>TEXT</x:v>
      </x:c>
      <x:c r="C426" s="10" t="str">
        <x:v>TEXT:SYN-F10-06</x:v>
      </x:c>
      <x:c r="D426" s="10" t="str">
        <x:v>TEXT:SYN-F10-06-G01</x:v>
      </x:c>
      <x:c r="E426" s="11" t="n">
        <x:v>9.19225</x:v>
      </x:c>
      <x:c r="F426" s="11" t="n">
        <x:v>17.19225</x:v>
      </x:c>
      <x:c r="G426" s="11" t="n">
        <x:f>F426-E426</x:f>
        <x:v>8.000000000000002</x:v>
      </x:c>
      <x:c r="H426" s="10" t="n">
        <x:v>1</x:v>
      </x:c>
      <x:c r="I426" s="10" t="str">
        <x:v>AUTHORED_TERMINAL</x:v>
      </x:c>
      <x:c r="J426" s="10" t="str">
        <x:v>TEXT:SYN-F10-06-BASE-N20</x:v>
      </x:c>
      <x:c r="K426" s="10" t="str">
        <x:v>TEXT:SYN-F10-06-U01</x:v>
      </x:c>
      <x:c r="L426" s="10" t="str">
        <x:v>TEXT:SYN-F10-06-BASE-N20</x:v>
      </x:c>
    </x:row>
    <x:row r="427" ht="52" customHeight="1">
      <x:c r="A427" s="10" t="str">
        <x:v>T-BASE</x:v>
      </x:c>
      <x:c r="B427" s="10" t="str">
        <x:v>TEXT</x:v>
      </x:c>
      <x:c r="C427" s="10" t="str">
        <x:v>TEXT:SYN-F10-06</x:v>
      </x:c>
      <x:c r="D427" s="10" t="str">
        <x:v>TEXT:SYN-F10-06-G02</x:v>
      </x:c>
      <x:c r="E427" s="11" t="n">
        <x:v>5.24725</x:v>
      </x:c>
      <x:c r="F427" s="11" t="n">
        <x:v>5.24725</x:v>
      </x:c>
      <x:c r="G427" s="11" t="n">
        <x:f>F427-E427</x:f>
        <x:v>0</x:v>
      </x:c>
      <x:c r="H427" s="10" t="n">
        <x:v>1</x:v>
      </x:c>
      <x:c r="I427" s="10" t="str">
        <x:v>AUTHORED_TERMINAL</x:v>
      </x:c>
      <x:c r="J427" s="10" t="str">
        <x:v>TEXT:SYN-F10-06-BASE-N15</x:v>
      </x:c>
      <x:c r="K427" s="10" t="str">
        <x:v>TEXT:SYN-F10-06-U02</x:v>
      </x:c>
      <x:c r="L427" s="10" t="str">
        <x:v>TEXT:SYN-F10-06-BASE-N15</x:v>
      </x:c>
    </x:row>
    <x:row r="428" ht="52" customHeight="1">
      <x:c r="A428" s="10" t="str">
        <x:v>T-EXEC</x:v>
      </x:c>
      <x:c r="B428" s="10" t="str">
        <x:v>TEXT</x:v>
      </x:c>
      <x:c r="C428" s="10" t="str">
        <x:v>TEXT:SYN-F10-06</x:v>
      </x:c>
      <x:c r="D428" s="10" t="str">
        <x:v>TEXT:SYN-F10-06-G01</x:v>
      </x:c>
      <x:c r="E428" s="11" t="n">
        <x:v>6.086</x:v>
      </x:c>
      <x:c r="F428" s="11" t="n">
        <x:v>14.086</x:v>
      </x:c>
      <x:c r="G428" s="11" t="n">
        <x:f>F428-E428</x:f>
        <x:v>8</x:v>
      </x:c>
      <x:c r="H428" s="10" t="n">
        <x:v>1</x:v>
      </x:c>
      <x:c r="I428" s="10" t="str">
        <x:v>AUTHORED_TERMINAL</x:v>
      </x:c>
      <x:c r="J428" s="10" t="str">
        <x:v>TEXT:SYN-F10-06-EXEC-N21</x:v>
      </x:c>
      <x:c r="K428" s="10" t="str">
        <x:v>TEXT:SYN-F10-06-U01</x:v>
      </x:c>
      <x:c r="L428" s="10" t="str">
        <x:v>TEXT:SYN-F10-06-EXEC-N21</x:v>
      </x:c>
    </x:row>
    <x:row r="429" ht="52" customHeight="1">
      <x:c r="A429" s="10" t="str">
        <x:v>T-EXEC</x:v>
      </x:c>
      <x:c r="B429" s="10" t="str">
        <x:v>TEXT</x:v>
      </x:c>
      <x:c r="C429" s="10" t="str">
        <x:v>TEXT:SYN-F10-06</x:v>
      </x:c>
      <x:c r="D429" s="10" t="str">
        <x:v>TEXT:SYN-F10-06-G02</x:v>
      </x:c>
      <x:c r="E429" s="11" t="n">
        <x:v>4.683143</x:v>
      </x:c>
      <x:c r="F429" s="11" t="n">
        <x:v>4.683143</x:v>
      </x:c>
      <x:c r="G429" s="11" t="n">
        <x:f>F429-E429</x:f>
        <x:v>0</x:v>
      </x:c>
      <x:c r="H429" s="10" t="n">
        <x:v>0</x:v>
      </x:c>
      <x:c r="I429" s="10" t="str">
        <x:v>AUTHORED_TERMINAL</x:v>
      </x:c>
      <x:c r="J429" s="10" t="str">
        <x:v>TEXT:SYN-F10-06-EXEC-N16</x:v>
      </x:c>
      <x:c r="K429" s="10" t="str">
        <x:v>TEXT:SYN-F10-06-U02</x:v>
      </x:c>
      <x:c r="L429" s="10" t="str">
        <x:v>TEXT:SYN-F10-06-EXEC-N16</x:v>
      </x:c>
    </x:row>
    <x:row r="430" ht="52" customHeight="1">
      <x:c r="A430" s="10" t="str">
        <x:v>T-REL</x:v>
      </x:c>
      <x:c r="B430" s="10" t="str">
        <x:v>TEXT</x:v>
      </x:c>
      <x:c r="C430" s="10" t="str">
        <x:v>TEXT:SYN-F10-06</x:v>
      </x:c>
      <x:c r="D430" s="10" t="str">
        <x:v>TEXT:SYN-F10-06-G01</x:v>
      </x:c>
      <x:c r="E430" s="11" t="n">
        <x:v>7.356107</x:v>
      </x:c>
      <x:c r="F430" s="11" t="n">
        <x:v>15.356107</x:v>
      </x:c>
      <x:c r="G430" s="11" t="n">
        <x:f>F430-E430</x:f>
        <x:v>8</x:v>
      </x:c>
      <x:c r="H430" s="10" t="n">
        <x:v>1</x:v>
      </x:c>
      <x:c r="I430" s="10" t="str">
        <x:v>AUTHORED_TERMINAL</x:v>
      </x:c>
      <x:c r="J430" s="10" t="str">
        <x:v>TEXT:SYN-F10-06-REL-N23</x:v>
      </x:c>
      <x:c r="K430" s="10" t="str">
        <x:v>TEXT:SYN-F10-06-U01</x:v>
      </x:c>
      <x:c r="L430" s="10" t="str">
        <x:v>TEXT:SYN-F10-06-REL-N23</x:v>
      </x:c>
    </x:row>
    <x:row r="431" ht="52" customHeight="1">
      <x:c r="A431" s="10" t="str">
        <x:v>T-REL</x:v>
      </x:c>
      <x:c r="B431" s="10" t="str">
        <x:v>TEXT</x:v>
      </x:c>
      <x:c r="C431" s="10" t="str">
        <x:v>TEXT:SYN-F10-06</x:v>
      </x:c>
      <x:c r="D431" s="10" t="str">
        <x:v>TEXT:SYN-F10-06-G02</x:v>
      </x:c>
      <x:c r="E431" s="11" t="n">
        <x:v>4.400036</x:v>
      </x:c>
      <x:c r="F431" s="11" t="n">
        <x:v>4.400036</x:v>
      </x:c>
      <x:c r="G431" s="11" t="n">
        <x:f>F431-E431</x:f>
        <x:v>0</x:v>
      </x:c>
      <x:c r="H431" s="10" t="n">
        <x:v>1</x:v>
      </x:c>
      <x:c r="I431" s="10" t="str">
        <x:v>AUTHORED_TERMINAL</x:v>
      </x:c>
      <x:c r="J431" s="10" t="str">
        <x:v>TEXT:SYN-F10-06-REL-N18</x:v>
      </x:c>
      <x:c r="K431" s="10" t="str">
        <x:v>TEXT:SYN-F10-06-U02</x:v>
      </x:c>
      <x:c r="L431" s="10" t="str">
        <x:v>TEXT:SYN-F10-06-REL-N18</x:v>
      </x:c>
    </x:row>
    <x:row r="432" ht="52" customHeight="1">
      <x:c r="A432" s="10" t="str">
        <x:v>T-BASE</x:v>
      </x:c>
      <x:c r="B432" s="10" t="str">
        <x:v>TEXT</x:v>
      </x:c>
      <x:c r="C432" s="10" t="str">
        <x:v>TEXT:SYN-F10-07</x:v>
      </x:c>
      <x:c r="D432" s="10" t="str">
        <x:v>TEXT:SYN-F10-07-G01</x:v>
      </x:c>
      <x:c r="E432" s="11" t="n">
        <x:v>9.20275</x:v>
      </x:c>
      <x:c r="F432" s="11" t="n">
        <x:v>17.20275</x:v>
      </x:c>
      <x:c r="G432" s="11" t="n">
        <x:f>F432-E432</x:f>
        <x:v>8.000000000000002</x:v>
      </x:c>
      <x:c r="H432" s="10" t="n">
        <x:v>1</x:v>
      </x:c>
      <x:c r="I432" s="10" t="str">
        <x:v>AUTHORED_TERMINAL</x:v>
      </x:c>
      <x:c r="J432" s="10" t="str">
        <x:v>TEXT:SYN-F10-07-BASE-N20</x:v>
      </x:c>
      <x:c r="K432" s="10" t="str">
        <x:v>TEXT:SYN-F10-07-U01</x:v>
      </x:c>
      <x:c r="L432" s="10" t="str">
        <x:v>TEXT:SYN-F10-07-BASE-N20</x:v>
      </x:c>
    </x:row>
    <x:row r="433" ht="52" customHeight="1">
      <x:c r="A433" s="10" t="str">
        <x:v>T-BASE</x:v>
      </x:c>
      <x:c r="B433" s="10" t="str">
        <x:v>TEXT</x:v>
      </x:c>
      <x:c r="C433" s="10" t="str">
        <x:v>TEXT:SYN-F10-07</x:v>
      </x:c>
      <x:c r="D433" s="10" t="str">
        <x:v>TEXT:SYN-F10-07-G02</x:v>
      </x:c>
      <x:c r="E433" s="11" t="n">
        <x:v>5.28325</x:v>
      </x:c>
      <x:c r="F433" s="11" t="n">
        <x:v>5.28325</x:v>
      </x:c>
      <x:c r="G433" s="11" t="n">
        <x:f>F433-E433</x:f>
        <x:v>0</x:v>
      </x:c>
      <x:c r="H433" s="10" t="n">
        <x:v>1</x:v>
      </x:c>
      <x:c r="I433" s="10" t="str">
        <x:v>AUTHORED_TERMINAL</x:v>
      </x:c>
      <x:c r="J433" s="10" t="str">
        <x:v>TEXT:SYN-F10-07-BASE-N15</x:v>
      </x:c>
      <x:c r="K433" s="10" t="str">
        <x:v>TEXT:SYN-F10-07-U02</x:v>
      </x:c>
      <x:c r="L433" s="10" t="str">
        <x:v>TEXT:SYN-F10-07-BASE-N15</x:v>
      </x:c>
    </x:row>
    <x:row r="434" ht="52" customHeight="1">
      <x:c r="A434" s="10" t="str">
        <x:v>T-EXEC</x:v>
      </x:c>
      <x:c r="B434" s="10" t="str">
        <x:v>TEXT</x:v>
      </x:c>
      <x:c r="C434" s="10" t="str">
        <x:v>TEXT:SYN-F10-07</x:v>
      </x:c>
      <x:c r="D434" s="10" t="str">
        <x:v>TEXT:SYN-F10-07-G01</x:v>
      </x:c>
      <x:c r="E434" s="11" t="n">
        <x:v>6.122</x:v>
      </x:c>
      <x:c r="F434" s="11" t="n">
        <x:v>14.122</x:v>
      </x:c>
      <x:c r="G434" s="11" t="n">
        <x:f>F434-E434</x:f>
        <x:v>8</x:v>
      </x:c>
      <x:c r="H434" s="10" t="n">
        <x:v>1</x:v>
      </x:c>
      <x:c r="I434" s="10" t="str">
        <x:v>AUTHORED_TERMINAL</x:v>
      </x:c>
      <x:c r="J434" s="10" t="str">
        <x:v>TEXT:SYN-F10-07-EXEC-N21</x:v>
      </x:c>
      <x:c r="K434" s="10" t="str">
        <x:v>TEXT:SYN-F10-07-U01</x:v>
      </x:c>
      <x:c r="L434" s="10" t="str">
        <x:v>TEXT:SYN-F10-07-EXEC-N21</x:v>
      </x:c>
    </x:row>
    <x:row r="435" ht="52" customHeight="1">
      <x:c r="A435" s="10" t="str">
        <x:v>T-EXEC</x:v>
      </x:c>
      <x:c r="B435" s="10" t="str">
        <x:v>TEXT</x:v>
      </x:c>
      <x:c r="C435" s="10" t="str">
        <x:v>TEXT:SYN-F10-07</x:v>
      </x:c>
      <x:c r="D435" s="10" t="str">
        <x:v>TEXT:SYN-F10-07-G02</x:v>
      </x:c>
      <x:c r="E435" s="11" t="n">
        <x:v>4.676178</x:v>
      </x:c>
      <x:c r="F435" s="11" t="n">
        <x:v>4.676178</x:v>
      </x:c>
      <x:c r="G435" s="11" t="n">
        <x:f>F435-E435</x:f>
        <x:v>0</x:v>
      </x:c>
      <x:c r="H435" s="10" t="n">
        <x:v>1</x:v>
      </x:c>
      <x:c r="I435" s="10" t="str">
        <x:v>AUTHORED_TERMINAL</x:v>
      </x:c>
      <x:c r="J435" s="10" t="str">
        <x:v>TEXT:SYN-F10-07-EXEC-N16</x:v>
      </x:c>
      <x:c r="K435" s="10" t="str">
        <x:v>TEXT:SYN-F10-07-U02</x:v>
      </x:c>
      <x:c r="L435" s="10" t="str">
        <x:v>TEXT:SYN-F10-07-EXEC-N16</x:v>
      </x:c>
    </x:row>
    <x:row r="436" ht="52" customHeight="1">
      <x:c r="A436" s="10" t="str">
        <x:v>T-REL</x:v>
      </x:c>
      <x:c r="B436" s="10" t="str">
        <x:v>TEXT</x:v>
      </x:c>
      <x:c r="C436" s="10" t="str">
        <x:v>TEXT:SYN-F10-07</x:v>
      </x:c>
      <x:c r="D436" s="10" t="str">
        <x:v>TEXT:SYN-F10-07-G01</x:v>
      </x:c>
      <x:c r="E436" s="11" t="n">
        <x:v>7.466608</x:v>
      </x:c>
      <x:c r="F436" s="11" t="n">
        <x:v>15.466608</x:v>
      </x:c>
      <x:c r="G436" s="11" t="n">
        <x:f>F436-E436</x:f>
        <x:v>8</x:v>
      </x:c>
      <x:c r="H436" s="10" t="n">
        <x:v>1</x:v>
      </x:c>
      <x:c r="I436" s="10" t="str">
        <x:v>AUTHORED_TERMINAL</x:v>
      </x:c>
      <x:c r="J436" s="10" t="str">
        <x:v>TEXT:SYN-F10-07-REL-N23</x:v>
      </x:c>
      <x:c r="K436" s="10" t="str">
        <x:v>TEXT:SYN-F10-07-U01</x:v>
      </x:c>
      <x:c r="L436" s="10" t="str">
        <x:v>TEXT:SYN-F10-07-REL-N23</x:v>
      </x:c>
    </x:row>
    <x:row r="437" ht="52" customHeight="1">
      <x:c r="A437" s="10" t="str">
        <x:v>T-REL</x:v>
      </x:c>
      <x:c r="B437" s="10" t="str">
        <x:v>TEXT</x:v>
      </x:c>
      <x:c r="C437" s="10" t="str">
        <x:v>TEXT:SYN-F10-07</x:v>
      </x:c>
      <x:c r="D437" s="10" t="str">
        <x:v>TEXT:SYN-F10-07-G02</x:v>
      </x:c>
      <x:c r="E437" s="11" t="n">
        <x:v>4.486036</x:v>
      </x:c>
      <x:c r="F437" s="11" t="n">
        <x:v>4.486036</x:v>
      </x:c>
      <x:c r="G437" s="11" t="n">
        <x:f>F437-E437</x:f>
        <x:v>0</x:v>
      </x:c>
      <x:c r="H437" s="10" t="n">
        <x:v>0</x:v>
      </x:c>
      <x:c r="I437" s="10" t="str">
        <x:v>AUTHORED_TERMINAL</x:v>
      </x:c>
      <x:c r="J437" s="10" t="str">
        <x:v>TEXT:SYN-F10-07-REL-N18</x:v>
      </x:c>
      <x:c r="K437" s="10" t="str">
        <x:v>TEXT:SYN-F10-07-U02</x:v>
      </x:c>
      <x:c r="L437" s="10" t="str">
        <x:v>TEXT:SYN-F10-07-REL-N18</x:v>
      </x:c>
    </x:row>
    <x:row r="438" ht="52" customHeight="1">
      <x:c r="A438" s="10" t="str">
        <x:v>T-BASE</x:v>
      </x:c>
      <x:c r="B438" s="10" t="str">
        <x:v>TEXT</x:v>
      </x:c>
      <x:c r="C438" s="10" t="str">
        <x:v>TEXT:SYN-F10-08</x:v>
      </x:c>
      <x:c r="D438" s="10" t="str">
        <x:v>TEXT:SYN-F10-08-G01</x:v>
      </x:c>
      <x:c r="E438" s="11" t="n">
        <x:v>9.36325</x:v>
      </x:c>
      <x:c r="F438" s="11" t="n">
        <x:v>17.36325</x:v>
      </x:c>
      <x:c r="G438" s="11" t="n">
        <x:f>F438-E438</x:f>
        <x:v>8</x:v>
      </x:c>
      <x:c r="H438" s="10" t="n">
        <x:v>1</x:v>
      </x:c>
      <x:c r="I438" s="10" t="str">
        <x:v>AUTHORED_TERMINAL</x:v>
      </x:c>
      <x:c r="J438" s="10" t="str">
        <x:v>TEXT:SYN-F10-08-BASE-N20</x:v>
      </x:c>
      <x:c r="K438" s="10" t="str">
        <x:v>TEXT:SYN-F10-08-U01</x:v>
      </x:c>
      <x:c r="L438" s="10" t="str">
        <x:v>TEXT:SYN-F10-08-BASE-N20</x:v>
      </x:c>
    </x:row>
    <x:row r="439" ht="52" customHeight="1">
      <x:c r="A439" s="10" t="str">
        <x:v>T-BASE</x:v>
      </x:c>
      <x:c r="B439" s="10" t="str">
        <x:v>TEXT</x:v>
      </x:c>
      <x:c r="C439" s="10" t="str">
        <x:v>TEXT:SYN-F10-08</x:v>
      </x:c>
      <x:c r="D439" s="10" t="str">
        <x:v>TEXT:SYN-F10-08-G02</x:v>
      </x:c>
      <x:c r="E439" s="11" t="n">
        <x:v>5.39425</x:v>
      </x:c>
      <x:c r="F439" s="11" t="n">
        <x:v>5.39425</x:v>
      </x:c>
      <x:c r="G439" s="11" t="n">
        <x:f>F439-E439</x:f>
        <x:v>0</x:v>
      </x:c>
      <x:c r="H439" s="10" t="n">
        <x:v>1</x:v>
      </x:c>
      <x:c r="I439" s="10" t="str">
        <x:v>AUTHORED_TERMINAL</x:v>
      </x:c>
      <x:c r="J439" s="10" t="str">
        <x:v>TEXT:SYN-F10-08-BASE-N15</x:v>
      </x:c>
      <x:c r="K439" s="10" t="str">
        <x:v>TEXT:SYN-F10-08-U02</x:v>
      </x:c>
      <x:c r="L439" s="10" t="str">
        <x:v>TEXT:SYN-F10-08-BASE-N15</x:v>
      </x:c>
    </x:row>
    <x:row r="440" ht="52" customHeight="1">
      <x:c r="A440" s="10" t="str">
        <x:v>T-EXEC</x:v>
      </x:c>
      <x:c r="B440" s="10" t="str">
        <x:v>TEXT</x:v>
      </x:c>
      <x:c r="C440" s="10" t="str">
        <x:v>TEXT:SYN-F10-08</x:v>
      </x:c>
      <x:c r="D440" s="10" t="str">
        <x:v>TEXT:SYN-F10-08-G01</x:v>
      </x:c>
      <x:c r="E440" s="11" t="n">
        <x:v>6.233</x:v>
      </x:c>
      <x:c r="F440" s="11" t="n">
        <x:v>14.233</x:v>
      </x:c>
      <x:c r="G440" s="11" t="n">
        <x:f>F440-E440</x:f>
        <x:v>8</x:v>
      </x:c>
      <x:c r="H440" s="10" t="n">
        <x:v>1</x:v>
      </x:c>
      <x:c r="I440" s="10" t="str">
        <x:v>AUTHORED_TERMINAL</x:v>
      </x:c>
      <x:c r="J440" s="10" t="str">
        <x:v>TEXT:SYN-F10-08-EXEC-N21</x:v>
      </x:c>
      <x:c r="K440" s="10" t="str">
        <x:v>TEXT:SYN-F10-08-U01</x:v>
      </x:c>
      <x:c r="L440" s="10" t="str">
        <x:v>TEXT:SYN-F10-08-EXEC-N21</x:v>
      </x:c>
    </x:row>
    <x:row r="441" ht="52" customHeight="1">
      <x:c r="A441" s="10" t="str">
        <x:v>T-EXEC</x:v>
      </x:c>
      <x:c r="B441" s="10" t="str">
        <x:v>TEXT</x:v>
      </x:c>
      <x:c r="C441" s="10" t="str">
        <x:v>TEXT:SYN-F10-08</x:v>
      </x:c>
      <x:c r="D441" s="10" t="str">
        <x:v>TEXT:SYN-F10-08-G02</x:v>
      </x:c>
      <x:c r="E441" s="11" t="n">
        <x:v>4.762964</x:v>
      </x:c>
      <x:c r="F441" s="11" t="n">
        <x:v>4.762964</x:v>
      </x:c>
      <x:c r="G441" s="11" t="n">
        <x:f>F441-E441</x:f>
        <x:v>0</x:v>
      </x:c>
      <x:c r="H441" s="10" t="n">
        <x:v>0</x:v>
      </x:c>
      <x:c r="I441" s="10" t="str">
        <x:v>AUTHORED_TERMINAL</x:v>
      </x:c>
      <x:c r="J441" s="10" t="str">
        <x:v>TEXT:SYN-F10-08-EXEC-N16</x:v>
      </x:c>
      <x:c r="K441" s="10" t="str">
        <x:v>TEXT:SYN-F10-08-U02</x:v>
      </x:c>
      <x:c r="L441" s="10" t="str">
        <x:v>TEXT:SYN-F10-08-EXEC-N16</x:v>
      </x:c>
    </x:row>
    <x:row r="442" ht="52" customHeight="1">
      <x:c r="A442" s="10" t="str">
        <x:v>T-REL</x:v>
      </x:c>
      <x:c r="B442" s="10" t="str">
        <x:v>TEXT</x:v>
      </x:c>
      <x:c r="C442" s="10" t="str">
        <x:v>TEXT:SYN-F10-08</x:v>
      </x:c>
      <x:c r="D442" s="10" t="str">
        <x:v>TEXT:SYN-F10-08-G01</x:v>
      </x:c>
      <x:c r="E442" s="11" t="n">
        <x:v>7.577107</x:v>
      </x:c>
      <x:c r="F442" s="11" t="n">
        <x:v>15.577107</x:v>
      </x:c>
      <x:c r="G442" s="11" t="n">
        <x:f>F442-E442</x:f>
        <x:v>8</x:v>
      </x:c>
      <x:c r="H442" s="10" t="n">
        <x:v>1</x:v>
      </x:c>
      <x:c r="I442" s="10" t="str">
        <x:v>AUTHORED_TERMINAL</x:v>
      </x:c>
      <x:c r="J442" s="10" t="str">
        <x:v>TEXT:SYN-F10-08-REL-N23</x:v>
      </x:c>
      <x:c r="K442" s="10" t="str">
        <x:v>TEXT:SYN-F10-08-U01</x:v>
      </x:c>
      <x:c r="L442" s="10" t="str">
        <x:v>TEXT:SYN-F10-08-REL-N23</x:v>
      </x:c>
    </x:row>
    <x:row r="443" ht="52" customHeight="1">
      <x:c r="A443" s="10" t="str">
        <x:v>T-REL</x:v>
      </x:c>
      <x:c r="B443" s="10" t="str">
        <x:v>TEXT</x:v>
      </x:c>
      <x:c r="C443" s="10" t="str">
        <x:v>TEXT:SYN-F10-08</x:v>
      </x:c>
      <x:c r="D443" s="10" t="str">
        <x:v>TEXT:SYN-F10-08-G02</x:v>
      </x:c>
      <x:c r="E443" s="11" t="n">
        <x:v>4.572036</x:v>
      </x:c>
      <x:c r="F443" s="11" t="n">
        <x:v>4.572036</x:v>
      </x:c>
      <x:c r="G443" s="11" t="n">
        <x:f>F443-E443</x:f>
        <x:v>0</x:v>
      </x:c>
      <x:c r="H443" s="10" t="n">
        <x:v>1</x:v>
      </x:c>
      <x:c r="I443" s="10" t="str">
        <x:v>AUTHORED_TERMINAL</x:v>
      </x:c>
      <x:c r="J443" s="10" t="str">
        <x:v>TEXT:SYN-F10-08-REL-N18</x:v>
      </x:c>
      <x:c r="K443" s="10" t="str">
        <x:v>TEXT:SYN-F10-08-U02</x:v>
      </x:c>
      <x:c r="L443" s="10" t="str">
        <x:v>TEXT:SYN-F10-08-REL-N18</x:v>
      </x:c>
    </x:row>
    <x:row r="444" ht="52" customHeight="1">
      <x:c r="A444" s="10" t="str">
        <x:v>T-BASE</x:v>
      </x:c>
      <x:c r="B444" s="10" t="str">
        <x:v>TEXT</x:v>
      </x:c>
      <x:c r="C444" s="10" t="str">
        <x:v>TEXT:SYN-F10-09</x:v>
      </x:c>
      <x:c r="D444" s="10" t="str">
        <x:v>TEXT:SYN-F10-09-G01</x:v>
      </x:c>
      <x:c r="E444" s="11" t="n">
        <x:v>9.42375</x:v>
      </x:c>
      <x:c r="F444" s="11" t="n">
        <x:v>17.42375</x:v>
      </x:c>
      <x:c r="G444" s="11" t="n">
        <x:f>F444-E444</x:f>
        <x:v>7.999999999999998</x:v>
      </x:c>
      <x:c r="H444" s="10" t="n">
        <x:v>1</x:v>
      </x:c>
      <x:c r="I444" s="10" t="str">
        <x:v>AUTHORED_TERMINAL</x:v>
      </x:c>
      <x:c r="J444" s="10" t="str">
        <x:v>TEXT:SYN-F10-09-BASE-N20</x:v>
      </x:c>
      <x:c r="K444" s="10" t="str">
        <x:v>TEXT:SYN-F10-09-U01</x:v>
      </x:c>
      <x:c r="L444" s="10" t="str">
        <x:v>TEXT:SYN-F10-09-BASE-N20</x:v>
      </x:c>
    </x:row>
    <x:row r="445" ht="52" customHeight="1">
      <x:c r="A445" s="10" t="str">
        <x:v>T-BASE</x:v>
      </x:c>
      <x:c r="B445" s="10" t="str">
        <x:v>TEXT</x:v>
      </x:c>
      <x:c r="C445" s="10" t="str">
        <x:v>TEXT:SYN-F10-09</x:v>
      </x:c>
      <x:c r="D445" s="10" t="str">
        <x:v>TEXT:SYN-F10-09-G02</x:v>
      </x:c>
      <x:c r="E445" s="11" t="n">
        <x:v>5.45525</x:v>
      </x:c>
      <x:c r="F445" s="11" t="n">
        <x:v>5.45525</x:v>
      </x:c>
      <x:c r="G445" s="11" t="n">
        <x:f>F445-E445</x:f>
        <x:v>0</x:v>
      </x:c>
      <x:c r="H445" s="10" t="n">
        <x:v>1</x:v>
      </x:c>
      <x:c r="I445" s="10" t="str">
        <x:v>AUTHORED_TERMINAL</x:v>
      </x:c>
      <x:c r="J445" s="10" t="str">
        <x:v>TEXT:SYN-F10-09-BASE-N15</x:v>
      </x:c>
      <x:c r="K445" s="10" t="str">
        <x:v>TEXT:SYN-F10-09-U02</x:v>
      </x:c>
      <x:c r="L445" s="10" t="str">
        <x:v>TEXT:SYN-F10-09-BASE-N15</x:v>
      </x:c>
    </x:row>
    <x:row r="446" ht="52" customHeight="1">
      <x:c r="A446" s="10" t="str">
        <x:v>T-EXEC</x:v>
      </x:c>
      <x:c r="B446" s="10" t="str">
        <x:v>TEXT</x:v>
      </x:c>
      <x:c r="C446" s="10" t="str">
        <x:v>TEXT:SYN-F10-09</x:v>
      </x:c>
      <x:c r="D446" s="10" t="str">
        <x:v>TEXT:SYN-F10-09-G01</x:v>
      </x:c>
      <x:c r="E446" s="11" t="n">
        <x:v>6.294</x:v>
      </x:c>
      <x:c r="F446" s="11" t="n">
        <x:v>14.294</x:v>
      </x:c>
      <x:c r="G446" s="11" t="n">
        <x:f>F446-E446</x:f>
        <x:v>8</x:v>
      </x:c>
      <x:c r="H446" s="10" t="n">
        <x:v>1</x:v>
      </x:c>
      <x:c r="I446" s="10" t="str">
        <x:v>AUTHORED_TERMINAL</x:v>
      </x:c>
      <x:c r="J446" s="10" t="str">
        <x:v>TEXT:SYN-F10-09-EXEC-N21</x:v>
      </x:c>
      <x:c r="K446" s="10" t="str">
        <x:v>TEXT:SYN-F10-09-U01</x:v>
      </x:c>
      <x:c r="L446" s="10" t="str">
        <x:v>TEXT:SYN-F10-09-EXEC-N21</x:v>
      </x:c>
    </x:row>
    <x:row r="447" ht="52" customHeight="1">
      <x:c r="A447" s="10" t="str">
        <x:v>T-EXEC</x:v>
      </x:c>
      <x:c r="B447" s="10" t="str">
        <x:v>TEXT</x:v>
      </x:c>
      <x:c r="C447" s="10" t="str">
        <x:v>TEXT:SYN-F10-09</x:v>
      </x:c>
      <x:c r="D447" s="10" t="str">
        <x:v>TEXT:SYN-F10-09-G02</x:v>
      </x:c>
      <x:c r="E447" s="11" t="n">
        <x:v>4.77475</x:v>
      </x:c>
      <x:c r="F447" s="11" t="n">
        <x:v>4.77475</x:v>
      </x:c>
      <x:c r="G447" s="11" t="n">
        <x:f>F447-E447</x:f>
        <x:v>0</x:v>
      </x:c>
      <x:c r="H447" s="10" t="n">
        <x:v>1</x:v>
      </x:c>
      <x:c r="I447" s="10" t="str">
        <x:v>AUTHORED_TERMINAL</x:v>
      </x:c>
      <x:c r="J447" s="10" t="str">
        <x:v>TEXT:SYN-F10-09-EXEC-N16</x:v>
      </x:c>
      <x:c r="K447" s="10" t="str">
        <x:v>TEXT:SYN-F10-09-U02</x:v>
      </x:c>
      <x:c r="L447" s="10" t="str">
        <x:v>TEXT:SYN-F10-09-EXEC-N16</x:v>
      </x:c>
    </x:row>
    <x:row r="448" ht="52" customHeight="1">
      <x:c r="A448" s="10" t="str">
        <x:v>T-REL</x:v>
      </x:c>
      <x:c r="B448" s="10" t="str">
        <x:v>TEXT</x:v>
      </x:c>
      <x:c r="C448" s="10" t="str">
        <x:v>TEXT:SYN-F10-09</x:v>
      </x:c>
      <x:c r="D448" s="10" t="str">
        <x:v>TEXT:SYN-F10-09-G01</x:v>
      </x:c>
      <x:c r="E448" s="11" t="n">
        <x:v>7.587608</x:v>
      </x:c>
      <x:c r="F448" s="11" t="n">
        <x:v>15.587608</x:v>
      </x:c>
      <x:c r="G448" s="11" t="n">
        <x:f>F448-E448</x:f>
        <x:v>7.999999999999999</x:v>
      </x:c>
      <x:c r="H448" s="10" t="n">
        <x:v>1</x:v>
      </x:c>
      <x:c r="I448" s="10" t="str">
        <x:v>AUTHORED_TERMINAL</x:v>
      </x:c>
      <x:c r="J448" s="10" t="str">
        <x:v>TEXT:SYN-F10-09-REL-N23</x:v>
      </x:c>
      <x:c r="K448" s="10" t="str">
        <x:v>TEXT:SYN-F10-09-U01</x:v>
      </x:c>
      <x:c r="L448" s="10" t="str">
        <x:v>TEXT:SYN-F10-09-REL-N23</x:v>
      </x:c>
    </x:row>
    <x:row r="449" ht="52" customHeight="1">
      <x:c r="A449" s="10" t="str">
        <x:v>T-REL</x:v>
      </x:c>
      <x:c r="B449" s="10" t="str">
        <x:v>TEXT</x:v>
      </x:c>
      <x:c r="C449" s="10" t="str">
        <x:v>TEXT:SYN-F10-09</x:v>
      </x:c>
      <x:c r="D449" s="10" t="str">
        <x:v>TEXT:SYN-F10-09-G02</x:v>
      </x:c>
      <x:c r="E449" s="11" t="n">
        <x:v>4.608036</x:v>
      </x:c>
      <x:c r="F449" s="11" t="n">
        <x:v>4.608036</x:v>
      </x:c>
      <x:c r="G449" s="11" t="n">
        <x:f>F449-E449</x:f>
        <x:v>0</x:v>
      </x:c>
      <x:c r="H449" s="10" t="n">
        <x:v>1</x:v>
      </x:c>
      <x:c r="I449" s="10" t="str">
        <x:v>AUTHORED_TERMINAL</x:v>
      </x:c>
      <x:c r="J449" s="10" t="str">
        <x:v>TEXT:SYN-F10-09-REL-N18</x:v>
      </x:c>
      <x:c r="K449" s="10" t="str">
        <x:v>TEXT:SYN-F10-09-U02</x:v>
      </x:c>
      <x:c r="L449" s="10" t="str">
        <x:v>TEXT:SYN-F10-09-REL-N18</x:v>
      </x:c>
    </x:row>
    <x:row r="450" ht="52" customHeight="1">
      <x:c r="A450" s="10" t="str">
        <x:v>T-BASE</x:v>
      </x:c>
      <x:c r="B450" s="10" t="str">
        <x:v>TEXT</x:v>
      </x:c>
      <x:c r="C450" s="10" t="str">
        <x:v>TEXT:SYN-F10-10</x:v>
      </x:c>
      <x:c r="D450" s="10" t="str">
        <x:v>TEXT:SYN-F10-10-G01</x:v>
      </x:c>
      <x:c r="E450" s="11" t="n">
        <x:v>9.43425</x:v>
      </x:c>
      <x:c r="F450" s="11" t="n">
        <x:v>17.43425</x:v>
      </x:c>
      <x:c r="G450" s="11" t="n">
        <x:f>F450-E450</x:f>
        <x:v>7.999999999999998</x:v>
      </x:c>
      <x:c r="H450" s="10" t="n">
        <x:v>1</x:v>
      </x:c>
      <x:c r="I450" s="10" t="str">
        <x:v>AUTHORED_TERMINAL</x:v>
      </x:c>
      <x:c r="J450" s="10" t="str">
        <x:v>TEXT:SYN-F10-10-BASE-N20</x:v>
      </x:c>
      <x:c r="K450" s="10" t="str">
        <x:v>TEXT:SYN-F10-10-U01</x:v>
      </x:c>
      <x:c r="L450" s="10" t="str">
        <x:v>TEXT:SYN-F10-10-BASE-N20</x:v>
      </x:c>
    </x:row>
    <x:row r="451" ht="52" customHeight="1">
      <x:c r="A451" s="10" t="str">
        <x:v>T-BASE</x:v>
      </x:c>
      <x:c r="B451" s="10" t="str">
        <x:v>TEXT</x:v>
      </x:c>
      <x:c r="C451" s="10" t="str">
        <x:v>TEXT:SYN-F10-10</x:v>
      </x:c>
      <x:c r="D451" s="10" t="str">
        <x:v>TEXT:SYN-F10-10-G02</x:v>
      </x:c>
      <x:c r="E451" s="11" t="n">
        <x:v>5.49125</x:v>
      </x:c>
      <x:c r="F451" s="11" t="n">
        <x:v>5.49125</x:v>
      </x:c>
      <x:c r="G451" s="11" t="n">
        <x:f>F451-E451</x:f>
        <x:v>0</x:v>
      </x:c>
      <x:c r="H451" s="10" t="n">
        <x:v>1</x:v>
      </x:c>
      <x:c r="I451" s="10" t="str">
        <x:v>AUTHORED_TERMINAL</x:v>
      </x:c>
      <x:c r="J451" s="10" t="str">
        <x:v>TEXT:SYN-F10-10-BASE-N15</x:v>
      </x:c>
      <x:c r="K451" s="10" t="str">
        <x:v>TEXT:SYN-F10-10-U02</x:v>
      </x:c>
      <x:c r="L451" s="10" t="str">
        <x:v>TEXT:SYN-F10-10-BASE-N15</x:v>
      </x:c>
    </x:row>
    <x:row r="452" ht="52" customHeight="1">
      <x:c r="A452" s="10" t="str">
        <x:v>T-EXEC</x:v>
      </x:c>
      <x:c r="B452" s="10" t="str">
        <x:v>TEXT</x:v>
      </x:c>
      <x:c r="C452" s="10" t="str">
        <x:v>TEXT:SYN-F10-10</x:v>
      </x:c>
      <x:c r="D452" s="10" t="str">
        <x:v>TEXT:SYN-F10-10-G01</x:v>
      </x:c>
      <x:c r="E452" s="11" t="n">
        <x:v>6.33</x:v>
      </x:c>
      <x:c r="F452" s="11" t="n">
        <x:v>14.33</x:v>
      </x:c>
      <x:c r="G452" s="11" t="n">
        <x:f>F452-E452</x:f>
        <x:v>8</x:v>
      </x:c>
      <x:c r="H452" s="10" t="n">
        <x:v>1</x:v>
      </x:c>
      <x:c r="I452" s="10" t="str">
        <x:v>AUTHORED_TERMINAL</x:v>
      </x:c>
      <x:c r="J452" s="10" t="str">
        <x:v>TEXT:SYN-F10-10-EXEC-N21</x:v>
      </x:c>
      <x:c r="K452" s="10" t="str">
        <x:v>TEXT:SYN-F10-10-U01</x:v>
      </x:c>
      <x:c r="L452" s="10" t="str">
        <x:v>TEXT:SYN-F10-10-EXEC-N21</x:v>
      </x:c>
    </x:row>
    <x:row r="453" ht="52" customHeight="1">
      <x:c r="A453" s="10" t="str">
        <x:v>T-EXEC</x:v>
      </x:c>
      <x:c r="B453" s="10" t="str">
        <x:v>TEXT</x:v>
      </x:c>
      <x:c r="C453" s="10" t="str">
        <x:v>TEXT:SYN-F10-10</x:v>
      </x:c>
      <x:c r="D453" s="10" t="str">
        <x:v>TEXT:SYN-F10-10-G02</x:v>
      </x:c>
      <x:c r="E453" s="11" t="n">
        <x:v>4.767786</x:v>
      </x:c>
      <x:c r="F453" s="11" t="n">
        <x:v>4.767786</x:v>
      </x:c>
      <x:c r="G453" s="11" t="n">
        <x:f>F453-E453</x:f>
        <x:v>0</x:v>
      </x:c>
      <x:c r="H453" s="10" t="n">
        <x:v>1</x:v>
      </x:c>
      <x:c r="I453" s="10" t="str">
        <x:v>AUTHORED_TERMINAL</x:v>
      </x:c>
      <x:c r="J453" s="10" t="str">
        <x:v>TEXT:SYN-F10-10-EXEC-N16</x:v>
      </x:c>
      <x:c r="K453" s="10" t="str">
        <x:v>TEXT:SYN-F10-10-U02</x:v>
      </x:c>
      <x:c r="L453" s="10" t="str">
        <x:v>TEXT:SYN-F10-10-EXEC-N16</x:v>
      </x:c>
    </x:row>
    <x:row r="454" ht="52" customHeight="1">
      <x:c r="A454" s="10" t="str">
        <x:v>T-REL</x:v>
      </x:c>
      <x:c r="B454" s="10" t="str">
        <x:v>TEXT</x:v>
      </x:c>
      <x:c r="C454" s="10" t="str">
        <x:v>TEXT:SYN-F10-10</x:v>
      </x:c>
      <x:c r="D454" s="10" t="str">
        <x:v>TEXT:SYN-F10-10-G01</x:v>
      </x:c>
      <x:c r="E454" s="11" t="n">
        <x:v>7.698106</x:v>
      </x:c>
      <x:c r="F454" s="11" t="n">
        <x:v>15.698106</x:v>
      </x:c>
      <x:c r="G454" s="11" t="n">
        <x:f>F454-E454</x:f>
        <x:v>7.999999999999999</x:v>
      </x:c>
      <x:c r="H454" s="10" t="n">
        <x:v>1</x:v>
      </x:c>
      <x:c r="I454" s="10" t="str">
        <x:v>AUTHORED_TERMINAL</x:v>
      </x:c>
      <x:c r="J454" s="10" t="str">
        <x:v>TEXT:SYN-F10-10-REL-N23</x:v>
      </x:c>
      <x:c r="K454" s="10" t="str">
        <x:v>TEXT:SYN-F10-10-U01</x:v>
      </x:c>
      <x:c r="L454" s="10" t="str">
        <x:v>TEXT:SYN-F10-10-REL-N23</x:v>
      </x:c>
    </x:row>
    <x:row r="455" ht="52" customHeight="1">
      <x:c r="A455" s="10" t="str">
        <x:v>T-REL</x:v>
      </x:c>
      <x:c r="B455" s="10" t="str">
        <x:v>TEXT</x:v>
      </x:c>
      <x:c r="C455" s="10" t="str">
        <x:v>TEXT:SYN-F10-10</x:v>
      </x:c>
      <x:c r="D455" s="10" t="str">
        <x:v>TEXT:SYN-F10-10-G02</x:v>
      </x:c>
      <x:c r="E455" s="11" t="n">
        <x:v>4.694035</x:v>
      </x:c>
      <x:c r="F455" s="11" t="n">
        <x:v>4.694035</x:v>
      </x:c>
      <x:c r="G455" s="11" t="n">
        <x:f>F455-E455</x:f>
        <x:v>0</x:v>
      </x:c>
      <x:c r="H455" s="10" t="n">
        <x:v>0</x:v>
      </x:c>
      <x:c r="I455" s="10" t="str">
        <x:v>AUTHORED_TERMINAL</x:v>
      </x:c>
      <x:c r="J455" s="10" t="str">
        <x:v>TEXT:SYN-F10-10-REL-N18</x:v>
      </x:c>
      <x:c r="K455" s="10" t="str">
        <x:v>TEXT:SYN-F10-10-U02</x:v>
      </x:c>
      <x:c r="L455" s="10" t="str">
        <x:v>TEXT:SYN-F10-10-REL-N18</x:v>
      </x:c>
    </x:row>
    <x:row r="456" ht="52" customHeight="1">
      <x:c r="A456" s="10" t="str">
        <x:v>T-BASE</x:v>
      </x:c>
      <x:c r="B456" s="10" t="str">
        <x:v>TEXT</x:v>
      </x:c>
      <x:c r="C456" s="10" t="str">
        <x:v>TEXT:SYN-F11-01</x:v>
      </x:c>
      <x:c r="D456" s="10" t="str">
        <x:v>TEXT:SYN-F11-01-G01</x:v>
      </x:c>
      <x:c r="E456" s="11" t="n">
        <x:v>5.830607</x:v>
      </x:c>
      <x:c r="F456" s="11" t="n">
        <x:v>13.830607</x:v>
      </x:c>
      <x:c r="G456" s="11" t="n">
        <x:f>F456-E456</x:f>
        <x:v>8</x:v>
      </x:c>
      <x:c r="H456" s="10" t="n">
        <x:v>1</x:v>
      </x:c>
      <x:c r="I456" s="10" t="str">
        <x:v>AUTHORED_TERMINAL</x:v>
      </x:c>
      <x:c r="J456" s="10" t="str">
        <x:v>TEXT:SYN-F11-01-BASE-N17</x:v>
      </x:c>
      <x:c r="K456" s="10" t="str">
        <x:v>TEXT:SYN-F11-01-U01, TEXT:SYN-F11-01-U02</x:v>
      </x:c>
      <x:c r="L456" s="10" t="str">
        <x:v>TEXT:SYN-F11-01-BASE-N17</x:v>
      </x:c>
    </x:row>
    <x:row r="457" ht="52" customHeight="1">
      <x:c r="A457" s="10" t="str">
        <x:v>T-EXEC</x:v>
      </x:c>
      <x:c r="B457" s="10" t="str">
        <x:v>TEXT</x:v>
      </x:c>
      <x:c r="C457" s="10" t="str">
        <x:v>TEXT:SYN-F11-01</x:v>
      </x:c>
      <x:c r="D457" s="10" t="str">
        <x:v>TEXT:SYN-F11-01-G01</x:v>
      </x:c>
      <x:c r="E457" s="11" t="n">
        <x:v>5.349571</x:v>
      </x:c>
      <x:c r="F457" s="11" t="n">
        <x:v>13.431321</x:v>
      </x:c>
      <x:c r="G457" s="11" t="n">
        <x:f>F457-E457</x:f>
        <x:v>8.08175</x:v>
      </x:c>
      <x:c r="H457" s="10" t="n">
        <x:v>0</x:v>
      </x:c>
      <x:c r="I457" s="10" t="str">
        <x:v>AUTHORED_TERMINAL</x:v>
      </x:c>
      <x:c r="J457" s="10" t="str">
        <x:v>TEXT:SYN-F11-01-EXEC-N18</x:v>
      </x:c>
      <x:c r="K457" s="10" t="str">
        <x:v>TEXT:SYN-F11-01-U01, TEXT:SYN-F11-01-U02</x:v>
      </x:c>
      <x:c r="L457" s="10" t="str">
        <x:v>TEXT:SYN-F11-01-EXEC-N18</x:v>
      </x:c>
    </x:row>
    <x:row r="458" ht="52" customHeight="1">
      <x:c r="A458" s="10" t="str">
        <x:v>T-REL</x:v>
      </x:c>
      <x:c r="B458" s="10" t="str">
        <x:v>TEXT</x:v>
      </x:c>
      <x:c r="C458" s="10" t="str">
        <x:v>TEXT:SYN-F11-01</x:v>
      </x:c>
      <x:c r="D458" s="10" t="str">
        <x:v>TEXT:SYN-F11-01-G01</x:v>
      </x:c>
      <x:c r="E458" s="11" t="n">
        <x:v>5.830607</x:v>
      </x:c>
      <x:c r="F458" s="11" t="n">
        <x:v>13.830607</x:v>
      </x:c>
      <x:c r="G458" s="11" t="n">
        <x:f>F458-E458</x:f>
        <x:v>8</x:v>
      </x:c>
      <x:c r="H458" s="10" t="n">
        <x:v>1</x:v>
      </x:c>
      <x:c r="I458" s="10" t="str">
        <x:v>AUTHORED_TERMINAL</x:v>
      </x:c>
      <x:c r="J458" s="10" t="str">
        <x:v>TEXT:SYN-F11-01-REL-N20</x:v>
      </x:c>
      <x:c r="K458" s="10" t="str">
        <x:v>TEXT:SYN-F11-01-U01, TEXT:SYN-F11-01-U02</x:v>
      </x:c>
      <x:c r="L458" s="10" t="str">
        <x:v>TEXT:SYN-F11-01-REL-N20</x:v>
      </x:c>
    </x:row>
    <x:row r="459" ht="52" customHeight="1">
      <x:c r="A459" s="10" t="str">
        <x:v>T-BASE</x:v>
      </x:c>
      <x:c r="B459" s="10" t="str">
        <x:v>TEXT</x:v>
      </x:c>
      <x:c r="C459" s="10" t="str">
        <x:v>TEXT:SYN-F11-02</x:v>
      </x:c>
      <x:c r="D459" s="10" t="str">
        <x:v>TEXT:SYN-F11-02-G01</x:v>
      </x:c>
      <x:c r="E459" s="11" t="n">
        <x:v>5.929428</x:v>
      </x:c>
      <x:c r="F459" s="11" t="n">
        <x:v>13.929428</x:v>
      </x:c>
      <x:c r="G459" s="11" t="n">
        <x:f>F459-E459</x:f>
        <x:v>8</x:v>
      </x:c>
      <x:c r="H459" s="10" t="n">
        <x:v>1</x:v>
      </x:c>
      <x:c r="I459" s="10" t="str">
        <x:v>AUTHORED_TERMINAL</x:v>
      </x:c>
      <x:c r="J459" s="10" t="str">
        <x:v>TEXT:SYN-F11-02-BASE-N17</x:v>
      </x:c>
      <x:c r="K459" s="10" t="str">
        <x:v>TEXT:SYN-F11-02-U01, TEXT:SYN-F11-02-U02</x:v>
      </x:c>
      <x:c r="L459" s="10" t="str">
        <x:v>TEXT:SYN-F11-02-BASE-N17</x:v>
      </x:c>
    </x:row>
    <x:row r="460" ht="52" customHeight="1">
      <x:c r="A460" s="10" t="str">
        <x:v>T-EXEC</x:v>
      </x:c>
      <x:c r="B460" s="10" t="str">
        <x:v>TEXT</x:v>
      </x:c>
      <x:c r="C460" s="10" t="str">
        <x:v>TEXT:SYN-F11-02</x:v>
      </x:c>
      <x:c r="D460" s="10" t="str">
        <x:v>TEXT:SYN-F11-02-G01</x:v>
      </x:c>
      <x:c r="E460" s="11" t="n">
        <x:v>5.446678</x:v>
      </x:c>
      <x:c r="F460" s="11" t="n">
        <x:v>13.505928</x:v>
      </x:c>
      <x:c r="G460" s="11" t="n">
        <x:f>F460-E460</x:f>
        <x:v>8.05925</x:v>
      </x:c>
      <x:c r="H460" s="10" t="n">
        <x:v>0</x:v>
      </x:c>
      <x:c r="I460" s="10" t="str">
        <x:v>AUTHORED_TERMINAL</x:v>
      </x:c>
      <x:c r="J460" s="10" t="str">
        <x:v>TEXT:SYN-F11-02-EXEC-N18</x:v>
      </x:c>
      <x:c r="K460" s="10" t="str">
        <x:v>TEXT:SYN-F11-02-U01, TEXT:SYN-F11-02-U02</x:v>
      </x:c>
      <x:c r="L460" s="10" t="str">
        <x:v>TEXT:SYN-F11-02-EXEC-N18</x:v>
      </x:c>
    </x:row>
    <x:row r="461" ht="52" customHeight="1">
      <x:c r="A461" s="10" t="str">
        <x:v>T-REL</x:v>
      </x:c>
      <x:c r="B461" s="10" t="str">
        <x:v>TEXT</x:v>
      </x:c>
      <x:c r="C461" s="10" t="str">
        <x:v>TEXT:SYN-F11-02</x:v>
      </x:c>
      <x:c r="D461" s="10" t="str">
        <x:v>TEXT:SYN-F11-02-G01</x:v>
      </x:c>
      <x:c r="E461" s="11" t="n">
        <x:v>5.929428</x:v>
      </x:c>
      <x:c r="F461" s="11" t="n">
        <x:v>13.929428</x:v>
      </x:c>
      <x:c r="G461" s="11" t="n">
        <x:f>F461-E461</x:f>
        <x:v>8</x:v>
      </x:c>
      <x:c r="H461" s="10" t="n">
        <x:v>1</x:v>
      </x:c>
      <x:c r="I461" s="10" t="str">
        <x:v>AUTHORED_TERMINAL</x:v>
      </x:c>
      <x:c r="J461" s="10" t="str">
        <x:v>TEXT:SYN-F11-02-REL-N20</x:v>
      </x:c>
      <x:c r="K461" s="10" t="str">
        <x:v>TEXT:SYN-F11-02-U01, TEXT:SYN-F11-02-U02</x:v>
      </x:c>
      <x:c r="L461" s="10" t="str">
        <x:v>TEXT:SYN-F11-02-REL-N20</x:v>
      </x:c>
    </x:row>
    <x:row r="462" ht="52" customHeight="1">
      <x:c r="A462" s="10" t="str">
        <x:v>T-BASE</x:v>
      </x:c>
      <x:c r="B462" s="10" t="str">
        <x:v>TEXT</x:v>
      </x:c>
      <x:c r="C462" s="10" t="str">
        <x:v>TEXT:SYN-F11-03</x:v>
      </x:c>
      <x:c r="D462" s="10" t="str">
        <x:v>TEXT:SYN-F11-03-G01</x:v>
      </x:c>
      <x:c r="E462" s="11" t="n">
        <x:v>6.02825</x:v>
      </x:c>
      <x:c r="F462" s="11" t="n">
        <x:v>14.02825</x:v>
      </x:c>
      <x:c r="G462" s="11" t="n">
        <x:f>F462-E462</x:f>
        <x:v>8</x:v>
      </x:c>
      <x:c r="H462" s="10" t="n">
        <x:v>1</x:v>
      </x:c>
      <x:c r="I462" s="10" t="str">
        <x:v>AUTHORED_TERMINAL</x:v>
      </x:c>
      <x:c r="J462" s="10" t="str">
        <x:v>TEXT:SYN-F11-03-BASE-N17</x:v>
      </x:c>
      <x:c r="K462" s="10" t="str">
        <x:v>TEXT:SYN-F11-03-U01, TEXT:SYN-F11-03-U02</x:v>
      </x:c>
      <x:c r="L462" s="10" t="str">
        <x:v>TEXT:SYN-F11-03-BASE-N17</x:v>
      </x:c>
    </x:row>
    <x:row r="463" ht="52" customHeight="1">
      <x:c r="A463" s="10" t="str">
        <x:v>T-EXEC</x:v>
      </x:c>
      <x:c r="B463" s="10" t="str">
        <x:v>TEXT</x:v>
      </x:c>
      <x:c r="C463" s="10" t="str">
        <x:v>TEXT:SYN-F11-03</x:v>
      </x:c>
      <x:c r="D463" s="10" t="str">
        <x:v>TEXT:SYN-F11-03-G01</x:v>
      </x:c>
      <x:c r="E463" s="11" t="n">
        <x:v>5.543786</x:v>
      </x:c>
      <x:c r="F463" s="11" t="n">
        <x:v>13.580536</x:v>
      </x:c>
      <x:c r="G463" s="11" t="n">
        <x:f>F463-E463</x:f>
        <x:v>8.036750000000001</x:v>
      </x:c>
      <x:c r="H463" s="10" t="n">
        <x:v>1</x:v>
      </x:c>
      <x:c r="I463" s="10" t="str">
        <x:v>AUTHORED_TERMINAL</x:v>
      </x:c>
      <x:c r="J463" s="10" t="str">
        <x:v>TEXT:SYN-F11-03-EXEC-N18</x:v>
      </x:c>
      <x:c r="K463" s="10" t="str">
        <x:v>TEXT:SYN-F11-03-U01, TEXT:SYN-F11-03-U02</x:v>
      </x:c>
      <x:c r="L463" s="10" t="str">
        <x:v>TEXT:SYN-F11-03-EXEC-N18</x:v>
      </x:c>
    </x:row>
    <x:row r="464" ht="52" customHeight="1">
      <x:c r="A464" s="10" t="str">
        <x:v>T-REL</x:v>
      </x:c>
      <x:c r="B464" s="10" t="str">
        <x:v>TEXT</x:v>
      </x:c>
      <x:c r="C464" s="10" t="str">
        <x:v>TEXT:SYN-F11-03</x:v>
      </x:c>
      <x:c r="D464" s="10" t="str">
        <x:v>TEXT:SYN-F11-03-G01</x:v>
      </x:c>
      <x:c r="E464" s="11" t="n">
        <x:v>6.02825</x:v>
      </x:c>
      <x:c r="F464" s="11" t="n">
        <x:v>14.02825</x:v>
      </x:c>
      <x:c r="G464" s="11" t="n">
        <x:f>F464-E464</x:f>
        <x:v>8</x:v>
      </x:c>
      <x:c r="H464" s="10" t="n">
        <x:v>1</x:v>
      </x:c>
      <x:c r="I464" s="10" t="str">
        <x:v>AUTHORED_TERMINAL</x:v>
      </x:c>
      <x:c r="J464" s="10" t="str">
        <x:v>TEXT:SYN-F11-03-REL-N20</x:v>
      </x:c>
      <x:c r="K464" s="10" t="str">
        <x:v>TEXT:SYN-F11-03-U01, TEXT:SYN-F11-03-U02</x:v>
      </x:c>
      <x:c r="L464" s="10" t="str">
        <x:v>TEXT:SYN-F11-03-REL-N20</x:v>
      </x:c>
    </x:row>
    <x:row r="465" ht="52" customHeight="1">
      <x:c r="A465" s="10" t="str">
        <x:v>T-BASE</x:v>
      </x:c>
      <x:c r="B465" s="10" t="str">
        <x:v>TEXT</x:v>
      </x:c>
      <x:c r="C465" s="10" t="str">
        <x:v>TEXT:SYN-F11-04</x:v>
      </x:c>
      <x:c r="D465" s="10" t="str">
        <x:v>TEXT:SYN-F11-04-G01</x:v>
      </x:c>
      <x:c r="E465" s="11" t="n">
        <x:v>6.127071</x:v>
      </x:c>
      <x:c r="F465" s="11" t="n">
        <x:v>14.127071</x:v>
      </x:c>
      <x:c r="G465" s="11" t="n">
        <x:f>F465-E465</x:f>
        <x:v>8</x:v>
      </x:c>
      <x:c r="H465" s="10" t="n">
        <x:v>1</x:v>
      </x:c>
      <x:c r="I465" s="10" t="str">
        <x:v>AUTHORED_TERMINAL</x:v>
      </x:c>
      <x:c r="J465" s="10" t="str">
        <x:v>TEXT:SYN-F11-04-BASE-N17</x:v>
      </x:c>
      <x:c r="K465" s="10" t="str">
        <x:v>TEXT:SYN-F11-04-U01, TEXT:SYN-F11-04-U02</x:v>
      </x:c>
      <x:c r="L465" s="10" t="str">
        <x:v>TEXT:SYN-F11-04-BASE-N17</x:v>
      </x:c>
    </x:row>
    <x:row r="466" ht="52" customHeight="1">
      <x:c r="A466" s="10" t="str">
        <x:v>T-EXEC</x:v>
      </x:c>
      <x:c r="B466" s="10" t="str">
        <x:v>TEXT</x:v>
      </x:c>
      <x:c r="C466" s="10" t="str">
        <x:v>TEXT:SYN-F11-04</x:v>
      </x:c>
      <x:c r="D466" s="10" t="str">
        <x:v>TEXT:SYN-F11-04-G01</x:v>
      </x:c>
      <x:c r="E466" s="11" t="n">
        <x:v>5.640893</x:v>
      </x:c>
      <x:c r="F466" s="11" t="n">
        <x:v>13.640893</x:v>
      </x:c>
      <x:c r="G466" s="11" t="n">
        <x:f>F466-E466</x:f>
        <x:v>8</x:v>
      </x:c>
      <x:c r="H466" s="10" t="n">
        <x:v>0</x:v>
      </x:c>
      <x:c r="I466" s="10" t="str">
        <x:v>AUTHORED_TERMINAL</x:v>
      </x:c>
      <x:c r="J466" s="10" t="str">
        <x:v>TEXT:SYN-F11-04-EXEC-N18</x:v>
      </x:c>
      <x:c r="K466" s="10" t="str">
        <x:v>TEXT:SYN-F11-04-U01, TEXT:SYN-F11-04-U02</x:v>
      </x:c>
      <x:c r="L466" s="10" t="str">
        <x:v>TEXT:SYN-F11-04-EXEC-N18</x:v>
      </x:c>
    </x:row>
    <x:row r="467" ht="52" customHeight="1">
      <x:c r="A467" s="10" t="str">
        <x:v>T-REL</x:v>
      </x:c>
      <x:c r="B467" s="10" t="str">
        <x:v>TEXT</x:v>
      </x:c>
      <x:c r="C467" s="10" t="str">
        <x:v>TEXT:SYN-F11-04</x:v>
      </x:c>
      <x:c r="D467" s="10" t="str">
        <x:v>TEXT:SYN-F11-04-G01</x:v>
      </x:c>
      <x:c r="E467" s="11" t="n">
        <x:v>6.127071</x:v>
      </x:c>
      <x:c r="F467" s="11" t="n">
        <x:v>14.127071</x:v>
      </x:c>
      <x:c r="G467" s="11" t="n">
        <x:f>F467-E467</x:f>
        <x:v>8</x:v>
      </x:c>
      <x:c r="H467" s="10" t="n">
        <x:v>1</x:v>
      </x:c>
      <x:c r="I467" s="10" t="str">
        <x:v>AUTHORED_TERMINAL</x:v>
      </x:c>
      <x:c r="J467" s="10" t="str">
        <x:v>TEXT:SYN-F11-04-REL-N20</x:v>
      </x:c>
      <x:c r="K467" s="10" t="str">
        <x:v>TEXT:SYN-F11-04-U01, TEXT:SYN-F11-04-U02</x:v>
      </x:c>
      <x:c r="L467" s="10" t="str">
        <x:v>TEXT:SYN-F11-04-REL-N20</x:v>
      </x:c>
    </x:row>
    <x:row r="468" ht="52" customHeight="1">
      <x:c r="A468" s="10" t="str">
        <x:v>T-BASE</x:v>
      </x:c>
      <x:c r="B468" s="10" t="str">
        <x:v>TEXT</x:v>
      </x:c>
      <x:c r="C468" s="10" t="str">
        <x:v>TEXT:SYN-F11-05</x:v>
      </x:c>
      <x:c r="D468" s="10" t="str">
        <x:v>TEXT:SYN-F11-05-G01</x:v>
      </x:c>
      <x:c r="E468" s="11" t="n">
        <x:v>6.150893</x:v>
      </x:c>
      <x:c r="F468" s="11" t="n">
        <x:v>14.150893</x:v>
      </x:c>
      <x:c r="G468" s="11" t="n">
        <x:f>F468-E468</x:f>
        <x:v>8</x:v>
      </x:c>
      <x:c r="H468" s="10" t="n">
        <x:v>1</x:v>
      </x:c>
      <x:c r="I468" s="10" t="str">
        <x:v>AUTHORED_TERMINAL</x:v>
      </x:c>
      <x:c r="J468" s="10" t="str">
        <x:v>TEXT:SYN-F11-05-BASE-N17</x:v>
      </x:c>
      <x:c r="K468" s="10" t="str">
        <x:v>TEXT:SYN-F11-05-U01, TEXT:SYN-F11-05-U02</x:v>
      </x:c>
      <x:c r="L468" s="10" t="str">
        <x:v>TEXT:SYN-F11-05-BASE-N17</x:v>
      </x:c>
    </x:row>
    <x:row r="469" ht="52" customHeight="1">
      <x:c r="A469" s="10" t="str">
        <x:v>T-EXEC</x:v>
      </x:c>
      <x:c r="B469" s="10" t="str">
        <x:v>TEXT</x:v>
      </x:c>
      <x:c r="C469" s="10" t="str">
        <x:v>TEXT:SYN-F11-05</x:v>
      </x:c>
      <x:c r="D469" s="10" t="str">
        <x:v>TEXT:SYN-F11-05-G01</x:v>
      </x:c>
      <x:c r="E469" s="11" t="n">
        <x:v>5.663</x:v>
      </x:c>
      <x:c r="F469" s="11" t="n">
        <x:v>13.663</x:v>
      </x:c>
      <x:c r="G469" s="11" t="n">
        <x:f>F469-E469</x:f>
        <x:v>8</x:v>
      </x:c>
      <x:c r="H469" s="10" t="n">
        <x:v>1</x:v>
      </x:c>
      <x:c r="I469" s="10" t="str">
        <x:v>AUTHORED_TERMINAL</x:v>
      </x:c>
      <x:c r="J469" s="10" t="str">
        <x:v>TEXT:SYN-F11-05-EXEC-N18</x:v>
      </x:c>
      <x:c r="K469" s="10" t="str">
        <x:v>TEXT:SYN-F11-05-U01, TEXT:SYN-F11-05-U02</x:v>
      </x:c>
      <x:c r="L469" s="10" t="str">
        <x:v>TEXT:SYN-F11-05-EXEC-N18</x:v>
      </x:c>
    </x:row>
    <x:row r="470" ht="52" customHeight="1">
      <x:c r="A470" s="10" t="str">
        <x:v>T-REL</x:v>
      </x:c>
      <x:c r="B470" s="10" t="str">
        <x:v>TEXT</x:v>
      </x:c>
      <x:c r="C470" s="10" t="str">
        <x:v>TEXT:SYN-F11-05</x:v>
      </x:c>
      <x:c r="D470" s="10" t="str">
        <x:v>TEXT:SYN-F11-05-G01</x:v>
      </x:c>
      <x:c r="E470" s="11" t="n">
        <x:v>6.150893</x:v>
      </x:c>
      <x:c r="F470" s="11" t="n">
        <x:v>14.150893</x:v>
      </x:c>
      <x:c r="G470" s="11" t="n">
        <x:f>F470-E470</x:f>
        <x:v>8</x:v>
      </x:c>
      <x:c r="H470" s="10" t="n">
        <x:v>1</x:v>
      </x:c>
      <x:c r="I470" s="10" t="str">
        <x:v>AUTHORED_TERMINAL</x:v>
      </x:c>
      <x:c r="J470" s="10" t="str">
        <x:v>TEXT:SYN-F11-05-REL-N20</x:v>
      </x:c>
      <x:c r="K470" s="10" t="str">
        <x:v>TEXT:SYN-F11-05-U01, TEXT:SYN-F11-05-U02</x:v>
      </x:c>
      <x:c r="L470" s="10" t="str">
        <x:v>TEXT:SYN-F11-05-REL-N20</x:v>
      </x:c>
    </x:row>
    <x:row r="471" ht="52" customHeight="1">
      <x:c r="A471" s="10" t="str">
        <x:v>T-BASE</x:v>
      </x:c>
      <x:c r="B471" s="10" t="str">
        <x:v>TEXT</x:v>
      </x:c>
      <x:c r="C471" s="10" t="str">
        <x:v>TEXT:SYN-F11-06</x:v>
      </x:c>
      <x:c r="D471" s="10" t="str">
        <x:v>TEXT:SYN-F11-06-G01</x:v>
      </x:c>
      <x:c r="E471" s="11" t="n">
        <x:v>6.167214</x:v>
      </x:c>
      <x:c r="F471" s="11" t="n">
        <x:v>14.167214</x:v>
      </x:c>
      <x:c r="G471" s="11" t="n">
        <x:f>F471-E471</x:f>
        <x:v>7.999999999999999</x:v>
      </x:c>
      <x:c r="H471" s="10" t="n">
        <x:v>1</x:v>
      </x:c>
      <x:c r="I471" s="10" t="str">
        <x:v>AUTHORED_TERMINAL</x:v>
      </x:c>
      <x:c r="J471" s="10" t="str">
        <x:v>TEXT:SYN-F11-06-BASE-N17</x:v>
      </x:c>
      <x:c r="K471" s="10" t="str">
        <x:v>TEXT:SYN-F11-06-U01, TEXT:SYN-F11-06-U02</x:v>
      </x:c>
      <x:c r="L471" s="10" t="str">
        <x:v>TEXT:SYN-F11-06-BASE-N17</x:v>
      </x:c>
    </x:row>
    <x:row r="472" ht="52" customHeight="1">
      <x:c r="A472" s="10" t="str">
        <x:v>T-EXEC</x:v>
      </x:c>
      <x:c r="B472" s="10" t="str">
        <x:v>TEXT</x:v>
      </x:c>
      <x:c r="C472" s="10" t="str">
        <x:v>TEXT:SYN-F11-06</x:v>
      </x:c>
      <x:c r="D472" s="10" t="str">
        <x:v>TEXT:SYN-F11-06-G01</x:v>
      </x:c>
      <x:c r="E472" s="11" t="n">
        <x:v>5.677607</x:v>
      </x:c>
      <x:c r="F472" s="11" t="n">
        <x:v>13.677607</x:v>
      </x:c>
      <x:c r="G472" s="11" t="n">
        <x:f>F472-E472</x:f>
        <x:v>8</x:v>
      </x:c>
      <x:c r="H472" s="10" t="n">
        <x:v>0</x:v>
      </x:c>
      <x:c r="I472" s="10" t="str">
        <x:v>AUTHORED_TERMINAL</x:v>
      </x:c>
      <x:c r="J472" s="10" t="str">
        <x:v>TEXT:SYN-F11-06-EXEC-N18</x:v>
      </x:c>
      <x:c r="K472" s="10" t="str">
        <x:v>TEXT:SYN-F11-06-U01, TEXT:SYN-F11-06-U02</x:v>
      </x:c>
      <x:c r="L472" s="10" t="str">
        <x:v>TEXT:SYN-F11-06-EXEC-N18</x:v>
      </x:c>
    </x:row>
    <x:row r="473" ht="52" customHeight="1">
      <x:c r="A473" s="10" t="str">
        <x:v>T-REL</x:v>
      </x:c>
      <x:c r="B473" s="10" t="str">
        <x:v>TEXT</x:v>
      </x:c>
      <x:c r="C473" s="10" t="str">
        <x:v>TEXT:SYN-F11-06</x:v>
      </x:c>
      <x:c r="D473" s="10" t="str">
        <x:v>TEXT:SYN-F11-06-G01</x:v>
      </x:c>
      <x:c r="E473" s="11" t="n">
        <x:v>6.167214</x:v>
      </x:c>
      <x:c r="F473" s="11" t="n">
        <x:v>14.167214</x:v>
      </x:c>
      <x:c r="G473" s="11" t="n">
        <x:f>F473-E473</x:f>
        <x:v>7.999999999999999</x:v>
      </x:c>
      <x:c r="H473" s="10" t="n">
        <x:v>1</x:v>
      </x:c>
      <x:c r="I473" s="10" t="str">
        <x:v>AUTHORED_TERMINAL</x:v>
      </x:c>
      <x:c r="J473" s="10" t="str">
        <x:v>TEXT:SYN-F11-06-REL-N20</x:v>
      </x:c>
      <x:c r="K473" s="10" t="str">
        <x:v>TEXT:SYN-F11-06-U01, TEXT:SYN-F11-06-U02</x:v>
      </x:c>
      <x:c r="L473" s="10" t="str">
        <x:v>TEXT:SYN-F11-06-REL-N20</x:v>
      </x:c>
    </x:row>
    <x:row r="474" ht="52" customHeight="1">
      <x:c r="A474" s="10" t="str">
        <x:v>T-BASE</x:v>
      </x:c>
      <x:c r="B474" s="10" t="str">
        <x:v>TEXT</x:v>
      </x:c>
      <x:c r="C474" s="10" t="str">
        <x:v>TEXT:SYN-F11-07</x:v>
      </x:c>
      <x:c r="D474" s="10" t="str">
        <x:v>TEXT:SYN-F11-07-G01</x:v>
      </x:c>
      <x:c r="E474" s="11" t="n">
        <x:v>6.266037</x:v>
      </x:c>
      <x:c r="F474" s="11" t="n">
        <x:v>14.266037</x:v>
      </x:c>
      <x:c r="G474" s="11" t="n">
        <x:f>F474-E474</x:f>
        <x:v>8</x:v>
      </x:c>
      <x:c r="H474" s="10" t="n">
        <x:v>0</x:v>
      </x:c>
      <x:c r="I474" s="10" t="str">
        <x:v>AUTHORED_TERMINAL</x:v>
      </x:c>
      <x:c r="J474" s="10" t="str">
        <x:v>TEXT:SYN-F11-07-BASE-N17</x:v>
      </x:c>
      <x:c r="K474" s="10" t="str">
        <x:v>TEXT:SYN-F11-07-U01, TEXT:SYN-F11-07-U02</x:v>
      </x:c>
      <x:c r="L474" s="10" t="str">
        <x:v>TEXT:SYN-F11-07-BASE-N17</x:v>
      </x:c>
    </x:row>
    <x:row r="475" ht="52" customHeight="1">
      <x:c r="A475" s="10" t="str">
        <x:v>T-EXEC</x:v>
      </x:c>
      <x:c r="B475" s="10" t="str">
        <x:v>TEXT</x:v>
      </x:c>
      <x:c r="C475" s="10" t="str">
        <x:v>TEXT:SYN-F11-07</x:v>
      </x:c>
      <x:c r="D475" s="10" t="str">
        <x:v>TEXT:SYN-F11-07-G01</x:v>
      </x:c>
      <x:c r="E475" s="11" t="n">
        <x:v>5.774715</x:v>
      </x:c>
      <x:c r="F475" s="11" t="n">
        <x:v>13.774715</x:v>
      </x:c>
      <x:c r="G475" s="11" t="n">
        <x:f>F475-E475</x:f>
        <x:v>8</x:v>
      </x:c>
      <x:c r="H475" s="10" t="n">
        <x:v>0</x:v>
      </x:c>
      <x:c r="I475" s="10" t="str">
        <x:v>AUTHORED_TERMINAL</x:v>
      </x:c>
      <x:c r="J475" s="10" t="str">
        <x:v>TEXT:SYN-F11-07-EXEC-N18</x:v>
      </x:c>
      <x:c r="K475" s="10" t="str">
        <x:v>TEXT:SYN-F11-07-U01, TEXT:SYN-F11-07-U02</x:v>
      </x:c>
      <x:c r="L475" s="10" t="str">
        <x:v>TEXT:SYN-F11-07-EXEC-N18</x:v>
      </x:c>
    </x:row>
    <x:row r="476" ht="52" customHeight="1">
      <x:c r="A476" s="10" t="str">
        <x:v>T-REL</x:v>
      </x:c>
      <x:c r="B476" s="10" t="str">
        <x:v>TEXT</x:v>
      </x:c>
      <x:c r="C476" s="10" t="str">
        <x:v>TEXT:SYN-F11-07</x:v>
      </x:c>
      <x:c r="D476" s="10" t="str">
        <x:v>TEXT:SYN-F11-07-G01</x:v>
      </x:c>
      <x:c r="E476" s="11" t="n">
        <x:v>6.266037</x:v>
      </x:c>
      <x:c r="F476" s="11" t="n">
        <x:v>14.266037</x:v>
      </x:c>
      <x:c r="G476" s="11" t="n">
        <x:f>F476-E476</x:f>
        <x:v>8</x:v>
      </x:c>
      <x:c r="H476" s="10" t="n">
        <x:v>0</x:v>
      </x:c>
      <x:c r="I476" s="10" t="str">
        <x:v>AUTHORED_TERMINAL</x:v>
      </x:c>
      <x:c r="J476" s="10" t="str">
        <x:v>TEXT:SYN-F11-07-REL-N20</x:v>
      </x:c>
      <x:c r="K476" s="10" t="str">
        <x:v>TEXT:SYN-F11-07-U01, TEXT:SYN-F11-07-U02</x:v>
      </x:c>
      <x:c r="L476" s="10" t="str">
        <x:v>TEXT:SYN-F11-07-REL-N20</x:v>
      </x:c>
    </x:row>
    <x:row r="477" ht="52" customHeight="1">
      <x:c r="A477" s="10" t="str">
        <x:v>T-BASE</x:v>
      </x:c>
      <x:c r="B477" s="10" t="str">
        <x:v>TEXT</x:v>
      </x:c>
      <x:c r="C477" s="10" t="str">
        <x:v>TEXT:SYN-F11-08</x:v>
      </x:c>
      <x:c r="D477" s="10" t="str">
        <x:v>TEXT:SYN-F11-08-G01</x:v>
      </x:c>
      <x:c r="E477" s="11" t="n">
        <x:v>6.364857</x:v>
      </x:c>
      <x:c r="F477" s="11" t="n">
        <x:v>14.364857</x:v>
      </x:c>
      <x:c r="G477" s="11" t="n">
        <x:f>F477-E477</x:f>
        <x:v>8</x:v>
      </x:c>
      <x:c r="H477" s="10" t="n">
        <x:v>1</x:v>
      </x:c>
      <x:c r="I477" s="10" t="str">
        <x:v>AUTHORED_TERMINAL</x:v>
      </x:c>
      <x:c r="J477" s="10" t="str">
        <x:v>TEXT:SYN-F11-08-BASE-N17</x:v>
      </x:c>
      <x:c r="K477" s="10" t="str">
        <x:v>TEXT:SYN-F11-08-U01, TEXT:SYN-F11-08-U02</x:v>
      </x:c>
      <x:c r="L477" s="10" t="str">
        <x:v>TEXT:SYN-F11-08-BASE-N17</x:v>
      </x:c>
    </x:row>
    <x:row r="478" ht="52" customHeight="1">
      <x:c r="A478" s="10" t="str">
        <x:v>T-EXEC</x:v>
      </x:c>
      <x:c r="B478" s="10" t="str">
        <x:v>TEXT</x:v>
      </x:c>
      <x:c r="C478" s="10" t="str">
        <x:v>TEXT:SYN-F11-08</x:v>
      </x:c>
      <x:c r="D478" s="10" t="str">
        <x:v>TEXT:SYN-F11-08-G01</x:v>
      </x:c>
      <x:c r="E478" s="11" t="n">
        <x:v>5.871821</x:v>
      </x:c>
      <x:c r="F478" s="11" t="n">
        <x:v>13.871821</x:v>
      </x:c>
      <x:c r="G478" s="11" t="n">
        <x:f>F478-E478</x:f>
        <x:v>8</x:v>
      </x:c>
      <x:c r="H478" s="10" t="n">
        <x:v>0</x:v>
      </x:c>
      <x:c r="I478" s="10" t="str">
        <x:v>AUTHORED_TERMINAL</x:v>
      </x:c>
      <x:c r="J478" s="10" t="str">
        <x:v>TEXT:SYN-F11-08-EXEC-N18</x:v>
      </x:c>
      <x:c r="K478" s="10" t="str">
        <x:v>TEXT:SYN-F11-08-U01, TEXT:SYN-F11-08-U02</x:v>
      </x:c>
      <x:c r="L478" s="10" t="str">
        <x:v>TEXT:SYN-F11-08-EXEC-N18</x:v>
      </x:c>
    </x:row>
    <x:row r="479" ht="52" customHeight="1">
      <x:c r="A479" s="10" t="str">
        <x:v>T-REL</x:v>
      </x:c>
      <x:c r="B479" s="10" t="str">
        <x:v>TEXT</x:v>
      </x:c>
      <x:c r="C479" s="10" t="str">
        <x:v>TEXT:SYN-F11-08</x:v>
      </x:c>
      <x:c r="D479" s="10" t="str">
        <x:v>TEXT:SYN-F11-08-G01</x:v>
      </x:c>
      <x:c r="E479" s="11" t="n">
        <x:v>6.364857</x:v>
      </x:c>
      <x:c r="F479" s="11" t="n">
        <x:v>14.364857</x:v>
      </x:c>
      <x:c r="G479" s="11" t="n">
        <x:f>F479-E479</x:f>
        <x:v>8</x:v>
      </x:c>
      <x:c r="H479" s="10" t="n">
        <x:v>1</x:v>
      </x:c>
      <x:c r="I479" s="10" t="str">
        <x:v>AUTHORED_TERMINAL</x:v>
      </x:c>
      <x:c r="J479" s="10" t="str">
        <x:v>TEXT:SYN-F11-08-REL-N20</x:v>
      </x:c>
      <x:c r="K479" s="10" t="str">
        <x:v>TEXT:SYN-F11-08-U01, TEXT:SYN-F11-08-U02</x:v>
      </x:c>
      <x:c r="L479" s="10" t="str">
        <x:v>TEXT:SYN-F11-08-REL-N20</x:v>
      </x:c>
    </x:row>
    <x:row r="480" ht="52" customHeight="1">
      <x:c r="A480" s="10" t="str">
        <x:v>T-BASE</x:v>
      </x:c>
      <x:c r="B480" s="10" t="str">
        <x:v>TEXT</x:v>
      </x:c>
      <x:c r="C480" s="10" t="str">
        <x:v>TEXT:SYN-F11-09</x:v>
      </x:c>
      <x:c r="D480" s="10" t="str">
        <x:v>TEXT:SYN-F11-09-G01</x:v>
      </x:c>
      <x:c r="E480" s="11" t="n">
        <x:v>6.388678</x:v>
      </x:c>
      <x:c r="F480" s="11" t="n">
        <x:v>14.388678</x:v>
      </x:c>
      <x:c r="G480" s="11" t="n">
        <x:f>F480-E480</x:f>
        <x:v>8</x:v>
      </x:c>
      <x:c r="H480" s="10" t="n">
        <x:v>0</x:v>
      </x:c>
      <x:c r="I480" s="10" t="str">
        <x:v>AUTHORED_TERMINAL</x:v>
      </x:c>
      <x:c r="J480" s="10" t="str">
        <x:v>TEXT:SYN-F11-09-BASE-N17</x:v>
      </x:c>
      <x:c r="K480" s="10" t="str">
        <x:v>TEXT:SYN-F11-09-U01, TEXT:SYN-F11-09-U02</x:v>
      </x:c>
      <x:c r="L480" s="10" t="str">
        <x:v>TEXT:SYN-F11-09-BASE-N17</x:v>
      </x:c>
    </x:row>
    <x:row r="481" ht="52" customHeight="1">
      <x:c r="A481" s="10" t="str">
        <x:v>T-EXEC</x:v>
      </x:c>
      <x:c r="B481" s="10" t="str">
        <x:v>TEXT</x:v>
      </x:c>
      <x:c r="C481" s="10" t="str">
        <x:v>TEXT:SYN-F11-09</x:v>
      </x:c>
      <x:c r="D481" s="10" t="str">
        <x:v>TEXT:SYN-F11-09-G01</x:v>
      </x:c>
      <x:c r="E481" s="11" t="n">
        <x:v>5.893928</x:v>
      </x:c>
      <x:c r="F481" s="11" t="n">
        <x:v>13.893928</x:v>
      </x:c>
      <x:c r="G481" s="11" t="n">
        <x:f>F481-E481</x:f>
        <x:v>8</x:v>
      </x:c>
      <x:c r="H481" s="10" t="n">
        <x:v>0</x:v>
      </x:c>
      <x:c r="I481" s="10" t="str">
        <x:v>AUTHORED_TERMINAL</x:v>
      </x:c>
      <x:c r="J481" s="10" t="str">
        <x:v>TEXT:SYN-F11-09-EXEC-N18</x:v>
      </x:c>
      <x:c r="K481" s="10" t="str">
        <x:v>TEXT:SYN-F11-09-U01, TEXT:SYN-F11-09-U02</x:v>
      </x:c>
      <x:c r="L481" s="10" t="str">
        <x:v>TEXT:SYN-F11-09-EXEC-N18</x:v>
      </x:c>
    </x:row>
    <x:row r="482" ht="52" customHeight="1">
      <x:c r="A482" s="10" t="str">
        <x:v>T-REL</x:v>
      </x:c>
      <x:c r="B482" s="10" t="str">
        <x:v>TEXT</x:v>
      </x:c>
      <x:c r="C482" s="10" t="str">
        <x:v>TEXT:SYN-F11-09</x:v>
      </x:c>
      <x:c r="D482" s="10" t="str">
        <x:v>TEXT:SYN-F11-09-G01</x:v>
      </x:c>
      <x:c r="E482" s="11" t="n">
        <x:v>6.388678</x:v>
      </x:c>
      <x:c r="F482" s="11" t="n">
        <x:v>14.388678</x:v>
      </x:c>
      <x:c r="G482" s="11" t="n">
        <x:f>F482-E482</x:f>
        <x:v>8</x:v>
      </x:c>
      <x:c r="H482" s="10" t="n">
        <x:v>0</x:v>
      </x:c>
      <x:c r="I482" s="10" t="str">
        <x:v>AUTHORED_TERMINAL</x:v>
      </x:c>
      <x:c r="J482" s="10" t="str">
        <x:v>TEXT:SYN-F11-09-REL-N20</x:v>
      </x:c>
      <x:c r="K482" s="10" t="str">
        <x:v>TEXT:SYN-F11-09-U01, TEXT:SYN-F11-09-U02</x:v>
      </x:c>
      <x:c r="L482" s="10" t="str">
        <x:v>TEXT:SYN-F11-09-REL-N20</x:v>
      </x:c>
    </x:row>
    <x:row r="483" ht="52" customHeight="1">
      <x:c r="A483" s="10" t="str">
        <x:v>T-BASE</x:v>
      </x:c>
      <x:c r="B483" s="10" t="str">
        <x:v>TEXT</x:v>
      </x:c>
      <x:c r="C483" s="10" t="str">
        <x:v>TEXT:SYN-F11-10</x:v>
      </x:c>
      <x:c r="D483" s="10" t="str">
        <x:v>TEXT:SYN-F11-10-G01</x:v>
      </x:c>
      <x:c r="E483" s="11" t="n">
        <x:v>6.4875</x:v>
      </x:c>
      <x:c r="F483" s="11" t="n">
        <x:v>14.4875</x:v>
      </x:c>
      <x:c r="G483" s="11" t="n">
        <x:f>F483-E483</x:f>
        <x:v>8</x:v>
      </x:c>
      <x:c r="H483" s="10" t="n">
        <x:v>1</x:v>
      </x:c>
      <x:c r="I483" s="10" t="str">
        <x:v>AUTHORED_TERMINAL</x:v>
      </x:c>
      <x:c r="J483" s="10" t="str">
        <x:v>TEXT:SYN-F11-10-BASE-N17</x:v>
      </x:c>
      <x:c r="K483" s="10" t="str">
        <x:v>TEXT:SYN-F11-10-U01, TEXT:SYN-F11-10-U02</x:v>
      </x:c>
      <x:c r="L483" s="10" t="str">
        <x:v>TEXT:SYN-F11-10-BASE-N17</x:v>
      </x:c>
    </x:row>
    <x:row r="484" ht="52" customHeight="1">
      <x:c r="A484" s="10" t="str">
        <x:v>T-EXEC</x:v>
      </x:c>
      <x:c r="B484" s="10" t="str">
        <x:v>TEXT</x:v>
      </x:c>
      <x:c r="C484" s="10" t="str">
        <x:v>TEXT:SYN-F11-10</x:v>
      </x:c>
      <x:c r="D484" s="10" t="str">
        <x:v>TEXT:SYN-F11-10-G01</x:v>
      </x:c>
      <x:c r="E484" s="11" t="n">
        <x:v>5.991036</x:v>
      </x:c>
      <x:c r="F484" s="11" t="n">
        <x:v>13.991036</x:v>
      </x:c>
      <x:c r="G484" s="11" t="n">
        <x:f>F484-E484</x:f>
        <x:v>7.999999999999999</x:v>
      </x:c>
      <x:c r="H484" s="10" t="n">
        <x:v>1</x:v>
      </x:c>
      <x:c r="I484" s="10" t="str">
        <x:v>AUTHORED_TERMINAL</x:v>
      </x:c>
      <x:c r="J484" s="10" t="str">
        <x:v>TEXT:SYN-F11-10-EXEC-N18</x:v>
      </x:c>
      <x:c r="K484" s="10" t="str">
        <x:v>TEXT:SYN-F11-10-U01, TEXT:SYN-F11-10-U02</x:v>
      </x:c>
      <x:c r="L484" s="10" t="str">
        <x:v>TEXT:SYN-F11-10-EXEC-N18</x:v>
      </x:c>
    </x:row>
    <x:row r="485" ht="52" customHeight="1">
      <x:c r="A485" s="10" t="str">
        <x:v>T-REL</x:v>
      </x:c>
      <x:c r="B485" s="10" t="str">
        <x:v>TEXT</x:v>
      </x:c>
      <x:c r="C485" s="10" t="str">
        <x:v>TEXT:SYN-F11-10</x:v>
      </x:c>
      <x:c r="D485" s="10" t="str">
        <x:v>TEXT:SYN-F11-10-G01</x:v>
      </x:c>
      <x:c r="E485" s="11" t="n">
        <x:v>6.4875</x:v>
      </x:c>
      <x:c r="F485" s="11" t="n">
        <x:v>14.4875</x:v>
      </x:c>
      <x:c r="G485" s="11" t="n">
        <x:f>F485-E485</x:f>
        <x:v>8</x:v>
      </x:c>
      <x:c r="H485" s="10" t="n">
        <x:v>1</x:v>
      </x:c>
      <x:c r="I485" s="10" t="str">
        <x:v>AUTHORED_TERMINAL</x:v>
      </x:c>
      <x:c r="J485" s="10" t="str">
        <x:v>TEXT:SYN-F11-10-REL-N20</x:v>
      </x:c>
      <x:c r="K485" s="10" t="str">
        <x:v>TEXT:SYN-F11-10-U01, TEXT:SYN-F11-10-U02</x:v>
      </x:c>
      <x:c r="L485" s="10" t="str">
        <x:v>TEXT:SYN-F11-10-REL-N20</x:v>
      </x:c>
    </x:row>
    <x:row r="486" ht="52" customHeight="1">
      <x:c r="A486" s="10" t="str">
        <x:v>T-BASE</x:v>
      </x:c>
      <x:c r="B486" s="10" t="str">
        <x:v>TEXT</x:v>
      </x:c>
      <x:c r="C486" s="10" t="str">
        <x:v>TEXT:SYN-F12-01</x:v>
      </x:c>
      <x:c r="D486" s="10" t="str">
        <x:v>TEXT:SYN-F12-01-G01</x:v>
      </x:c>
      <x:c r="E486" s="11" t="n">
        <x:v>6.954571</x:v>
      </x:c>
      <x:c r="F486" s="11" t="n">
        <x:v>14.954571</x:v>
      </x:c>
      <x:c r="G486" s="11" t="n">
        <x:f>F486-E486</x:f>
        <x:v>8</x:v>
      </x:c>
      <x:c r="H486" s="10" t="n">
        <x:v>1</x:v>
      </x:c>
      <x:c r="I486" s="10" t="str">
        <x:v>AUTHORED_TERMINAL</x:v>
      </x:c>
      <x:c r="J486" s="10" t="str">
        <x:v>TEXT:SYN-F12-01-BASE-N19</x:v>
      </x:c>
      <x:c r="K486" s="10" t="str">
        <x:v>TEXT:SYN-F12-01-U01</x:v>
      </x:c>
      <x:c r="L486" s="10" t="str">
        <x:v>TEXT:SYN-F12-01-BASE-N19</x:v>
      </x:c>
    </x:row>
    <x:row r="487" ht="52" customHeight="1">
      <x:c r="A487" s="10" t="str">
        <x:v>T-BASE</x:v>
      </x:c>
      <x:c r="B487" s="10" t="str">
        <x:v>TEXT</x:v>
      </x:c>
      <x:c r="C487" s="10" t="str">
        <x:v>TEXT:SYN-F12-01</x:v>
      </x:c>
      <x:c r="D487" s="10" t="str">
        <x:v>TEXT:SYN-F12-01-G02</x:v>
      </x:c>
      <x:c r="E487" s="11" t="n">
        <x:v>3.292071</x:v>
      </x:c>
      <x:c r="F487" s="11" t="n">
        <x:v>3.292071</x:v>
      </x:c>
      <x:c r="G487" s="11" t="n">
        <x:f>F487-E487</x:f>
        <x:v>0</x:v>
      </x:c>
      <x:c r="H487" s="10" t="n">
        <x:v>1</x:v>
      </x:c>
      <x:c r="I487" s="10" t="str">
        <x:v>AUTHORED_TERMINAL</x:v>
      </x:c>
      <x:c r="J487" s="10" t="str">
        <x:v>TEXT:SYN-F12-01-BASE-N14</x:v>
      </x:c>
      <x:c r="K487" s="10" t="str">
        <x:v>TEXT:SYN-F12-01-U02</x:v>
      </x:c>
      <x:c r="L487" s="10" t="str">
        <x:v>TEXT:SYN-F12-01-BASE-N14</x:v>
      </x:c>
    </x:row>
    <x:row r="488" ht="52" customHeight="1">
      <x:c r="A488" s="10" t="str">
        <x:v>T-EXEC</x:v>
      </x:c>
      <x:c r="B488" s="10" t="str">
        <x:v>TEXT</x:v>
      </x:c>
      <x:c r="C488" s="10" t="str">
        <x:v>TEXT:SYN-F12-01</x:v>
      </x:c>
      <x:c r="D488" s="10" t="str">
        <x:v>TEXT:SYN-F12-01-G01</x:v>
      </x:c>
      <x:c r="E488" s="11" t="n">
        <x:v>5.5785</x:v>
      </x:c>
      <x:c r="F488" s="11" t="n">
        <x:v>13.5785</x:v>
      </x:c>
      <x:c r="G488" s="11" t="n">
        <x:f>F488-E488</x:f>
        <x:v>8</x:v>
      </x:c>
      <x:c r="H488" s="10" t="n">
        <x:v>1</x:v>
      </x:c>
      <x:c r="I488" s="10" t="str">
        <x:v>AUTHORED_TERMINAL</x:v>
      </x:c>
      <x:c r="J488" s="10" t="str">
        <x:v>TEXT:SYN-F12-01-EXEC-N19</x:v>
      </x:c>
      <x:c r="K488" s="10" t="str">
        <x:v>TEXT:SYN-F12-01-U01</x:v>
      </x:c>
      <x:c r="L488" s="10" t="str">
        <x:v>TEXT:SYN-F12-01-EXEC-N19</x:v>
      </x:c>
    </x:row>
    <x:row r="489" ht="52" customHeight="1">
      <x:c r="A489" s="10" t="str">
        <x:v>T-EXEC</x:v>
      </x:c>
      <x:c r="B489" s="10" t="str">
        <x:v>TEXT</x:v>
      </x:c>
      <x:c r="C489" s="10" t="str">
        <x:v>TEXT:SYN-F12-01</x:v>
      </x:c>
      <x:c r="D489" s="10" t="str">
        <x:v>TEXT:SYN-F12-01-G02</x:v>
      </x:c>
      <x:c r="E489" s="11" t="n">
        <x:v>1.921357</x:v>
      </x:c>
      <x:c r="F489" s="11" t="n">
        <x:v>1.921357</x:v>
      </x:c>
      <x:c r="G489" s="11" t="n">
        <x:f>F489-E489</x:f>
        <x:v>0</x:v>
      </x:c>
      <x:c r="H489" s="10" t="n">
        <x:v>1</x:v>
      </x:c>
      <x:c r="I489" s="10" t="str">
        <x:v>AUTHORED_TERMINAL</x:v>
      </x:c>
      <x:c r="J489" s="10" t="str">
        <x:v>TEXT:SYN-F12-01-EXEC-N14</x:v>
      </x:c>
      <x:c r="K489" s="10" t="str">
        <x:v>TEXT:SYN-F12-01-U02</x:v>
      </x:c>
      <x:c r="L489" s="10" t="str">
        <x:v>TEXT:SYN-F12-01-EXEC-N14</x:v>
      </x:c>
    </x:row>
    <x:row r="490" ht="52" customHeight="1">
      <x:c r="A490" s="10" t="str">
        <x:v>T-REL</x:v>
      </x:c>
      <x:c r="B490" s="10" t="str">
        <x:v>TEXT</x:v>
      </x:c>
      <x:c r="C490" s="10" t="str">
        <x:v>TEXT:SYN-F12-01</x:v>
      </x:c>
      <x:c r="D490" s="10" t="str">
        <x:v>TEXT:SYN-F12-01-G01</x:v>
      </x:c>
      <x:c r="E490" s="11" t="n">
        <x:v>5.989928</x:v>
      </x:c>
      <x:c r="F490" s="11" t="n">
        <x:v>13.989928</x:v>
      </x:c>
      <x:c r="G490" s="11" t="n">
        <x:f>F490-E490</x:f>
        <x:v>8</x:v>
      </x:c>
      <x:c r="H490" s="10" t="n">
        <x:v>1</x:v>
      </x:c>
      <x:c r="I490" s="10" t="str">
        <x:v>AUTHORED_TERMINAL</x:v>
      </x:c>
      <x:c r="J490" s="10" t="str">
        <x:v>TEXT:SYN-F12-01-REL-N22</x:v>
      </x:c>
      <x:c r="K490" s="10" t="str">
        <x:v>TEXT:SYN-F12-01-U01</x:v>
      </x:c>
      <x:c r="L490" s="10" t="str">
        <x:v>TEXT:SYN-F12-01-REL-N22</x:v>
      </x:c>
    </x:row>
    <x:row r="491" ht="52" customHeight="1">
      <x:c r="A491" s="10" t="str">
        <x:v>T-REL</x:v>
      </x:c>
      <x:c r="B491" s="10" t="str">
        <x:v>TEXT</x:v>
      </x:c>
      <x:c r="C491" s="10" t="str">
        <x:v>TEXT:SYN-F12-01</x:v>
      </x:c>
      <x:c r="D491" s="10" t="str">
        <x:v>TEXT:SYN-F12-01-G02</x:v>
      </x:c>
      <x:c r="E491" s="11" t="n">
        <x:v>3.132071</x:v>
      </x:c>
      <x:c r="F491" s="11" t="n">
        <x:v>3.132071</x:v>
      </x:c>
      <x:c r="G491" s="11" t="n">
        <x:f>F491-E491</x:f>
        <x:v>0</x:v>
      </x:c>
      <x:c r="H491" s="10" t="n">
        <x:v>1</x:v>
      </x:c>
      <x:c r="I491" s="10" t="str">
        <x:v>AUTHORED_TERMINAL</x:v>
      </x:c>
      <x:c r="J491" s="10" t="str">
        <x:v>TEXT:SYN-F12-01-REL-N17</x:v>
      </x:c>
      <x:c r="K491" s="10" t="str">
        <x:v>TEXT:SYN-F12-01-U02</x:v>
      </x:c>
      <x:c r="L491" s="10" t="str">
        <x:v>TEXT:SYN-F12-01-REL-N17</x:v>
      </x:c>
    </x:row>
    <x:row r="492" ht="52" customHeight="1">
      <x:c r="A492" s="10" t="str">
        <x:v>T-BASE</x:v>
      </x:c>
      <x:c r="B492" s="10" t="str">
        <x:v>TEXT</x:v>
      </x:c>
      <x:c r="C492" s="10" t="str">
        <x:v>TEXT:SYN-F12-02</x:v>
      </x:c>
      <x:c r="D492" s="10" t="str">
        <x:v>TEXT:SYN-F12-02-G01</x:v>
      </x:c>
      <x:c r="E492" s="11" t="n">
        <x:v>7.103393</x:v>
      </x:c>
      <x:c r="F492" s="11" t="n">
        <x:v>15.103393</x:v>
      </x:c>
      <x:c r="G492" s="11" t="n">
        <x:f>F492-E492</x:f>
        <x:v>8</x:v>
      </x:c>
      <x:c r="H492" s="10" t="n">
        <x:v>1</x:v>
      </x:c>
      <x:c r="I492" s="10" t="str">
        <x:v>AUTHORED_TERMINAL</x:v>
      </x:c>
      <x:c r="J492" s="10" t="str">
        <x:v>TEXT:SYN-F12-02-BASE-N19</x:v>
      </x:c>
      <x:c r="K492" s="10" t="str">
        <x:v>TEXT:SYN-F12-02-U01</x:v>
      </x:c>
      <x:c r="L492" s="10" t="str">
        <x:v>TEXT:SYN-F12-02-BASE-N19</x:v>
      </x:c>
    </x:row>
    <x:row r="493" ht="52" customHeight="1">
      <x:c r="A493" s="10" t="str">
        <x:v>T-BASE</x:v>
      </x:c>
      <x:c r="B493" s="10" t="str">
        <x:v>TEXT</x:v>
      </x:c>
      <x:c r="C493" s="10" t="str">
        <x:v>TEXT:SYN-F12-02</x:v>
      </x:c>
      <x:c r="D493" s="10" t="str">
        <x:v>TEXT:SYN-F12-02-G02</x:v>
      </x:c>
      <x:c r="E493" s="11" t="n">
        <x:v>3.391393</x:v>
      </x:c>
      <x:c r="F493" s="11" t="n">
        <x:v>3.391393</x:v>
      </x:c>
      <x:c r="G493" s="11" t="n">
        <x:f>F493-E493</x:f>
        <x:v>0</x:v>
      </x:c>
      <x:c r="H493" s="10" t="n">
        <x:v>1</x:v>
      </x:c>
      <x:c r="I493" s="10" t="str">
        <x:v>AUTHORED_TERMINAL</x:v>
      </x:c>
      <x:c r="J493" s="10" t="str">
        <x:v>TEXT:SYN-F12-02-BASE-N14</x:v>
      </x:c>
      <x:c r="K493" s="10" t="str">
        <x:v>TEXT:SYN-F12-02-U02</x:v>
      </x:c>
      <x:c r="L493" s="10" t="str">
        <x:v>TEXT:SYN-F12-02-BASE-N14</x:v>
      </x:c>
    </x:row>
    <x:row r="494" ht="52" customHeight="1">
      <x:c r="A494" s="10" t="str">
        <x:v>T-EXEC</x:v>
      </x:c>
      <x:c r="B494" s="10" t="str">
        <x:v>TEXT</x:v>
      </x:c>
      <x:c r="C494" s="10" t="str">
        <x:v>TEXT:SYN-F12-02</x:v>
      </x:c>
      <x:c r="D494" s="10" t="str">
        <x:v>TEXT:SYN-F12-02-G01</x:v>
      </x:c>
      <x:c r="E494" s="11" t="n">
        <x:v>5.6895</x:v>
      </x:c>
      <x:c r="F494" s="11" t="n">
        <x:v>13.6895</x:v>
      </x:c>
      <x:c r="G494" s="11" t="n">
        <x:f>F494-E494</x:f>
        <x:v>8</x:v>
      </x:c>
      <x:c r="H494" s="10" t="n">
        <x:v>1</x:v>
      </x:c>
      <x:c r="I494" s="10" t="str">
        <x:v>AUTHORED_TERMINAL</x:v>
      </x:c>
      <x:c r="J494" s="10" t="str">
        <x:v>TEXT:SYN-F12-02-EXEC-N19</x:v>
      </x:c>
      <x:c r="K494" s="10" t="str">
        <x:v>TEXT:SYN-F12-02-U01</x:v>
      </x:c>
      <x:c r="L494" s="10" t="str">
        <x:v>TEXT:SYN-F12-02-EXEC-N19</x:v>
      </x:c>
    </x:row>
    <x:row r="495" ht="52" customHeight="1">
      <x:c r="A495" s="10" t="str">
        <x:v>T-EXEC</x:v>
      </x:c>
      <x:c r="B495" s="10" t="str">
        <x:v>TEXT</x:v>
      </x:c>
      <x:c r="C495" s="10" t="str">
        <x:v>TEXT:SYN-F12-02</x:v>
      </x:c>
      <x:c r="D495" s="10" t="str">
        <x:v>TEXT:SYN-F12-02-G02</x:v>
      </x:c>
      <x:c r="E495" s="11" t="n">
        <x:v>1.985358</x:v>
      </x:c>
      <x:c r="F495" s="11" t="n">
        <x:v>1.985358</x:v>
      </x:c>
      <x:c r="G495" s="11" t="n">
        <x:f>F495-E495</x:f>
        <x:v>0</x:v>
      </x:c>
      <x:c r="H495" s="10" t="n">
        <x:v>1</x:v>
      </x:c>
      <x:c r="I495" s="10" t="str">
        <x:v>AUTHORED_TERMINAL</x:v>
      </x:c>
      <x:c r="J495" s="10" t="str">
        <x:v>TEXT:SYN-F12-02-EXEC-N14</x:v>
      </x:c>
      <x:c r="K495" s="10" t="str">
        <x:v>TEXT:SYN-F12-02-U02</x:v>
      </x:c>
      <x:c r="L495" s="10" t="str">
        <x:v>TEXT:SYN-F12-02-EXEC-N14</x:v>
      </x:c>
    </x:row>
    <x:row r="496" ht="52" customHeight="1">
      <x:c r="A496" s="10" t="str">
        <x:v>T-REL</x:v>
      </x:c>
      <x:c r="B496" s="10" t="str">
        <x:v>TEXT</x:v>
      </x:c>
      <x:c r="C496" s="10" t="str">
        <x:v>TEXT:SYN-F12-02</x:v>
      </x:c>
      <x:c r="D496" s="10" t="str">
        <x:v>TEXT:SYN-F12-02-G01</x:v>
      </x:c>
      <x:c r="E496" s="11" t="n">
        <x:v>6.08875</x:v>
      </x:c>
      <x:c r="F496" s="11" t="n">
        <x:v>14.08875</x:v>
      </x:c>
      <x:c r="G496" s="11" t="n">
        <x:f>F496-E496</x:f>
        <x:v>7.999999999999999</x:v>
      </x:c>
      <x:c r="H496" s="10" t="n">
        <x:v>1</x:v>
      </x:c>
      <x:c r="I496" s="10" t="str">
        <x:v>AUTHORED_TERMINAL</x:v>
      </x:c>
      <x:c r="J496" s="10" t="str">
        <x:v>TEXT:SYN-F12-02-REL-N22</x:v>
      </x:c>
      <x:c r="K496" s="10" t="str">
        <x:v>TEXT:SYN-F12-02-U01</x:v>
      </x:c>
      <x:c r="L496" s="10" t="str">
        <x:v>TEXT:SYN-F12-02-REL-N22</x:v>
      </x:c>
    </x:row>
    <x:row r="497" ht="52" customHeight="1">
      <x:c r="A497" s="10" t="str">
        <x:v>T-REL</x:v>
      </x:c>
      <x:c r="B497" s="10" t="str">
        <x:v>TEXT</x:v>
      </x:c>
      <x:c r="C497" s="10" t="str">
        <x:v>TEXT:SYN-F12-02</x:v>
      </x:c>
      <x:c r="D497" s="10" t="str">
        <x:v>TEXT:SYN-F12-02-G02</x:v>
      </x:c>
      <x:c r="E497" s="11" t="n">
        <x:v>3.206393</x:v>
      </x:c>
      <x:c r="F497" s="11" t="n">
        <x:v>3.206393</x:v>
      </x:c>
      <x:c r="G497" s="11" t="n">
        <x:f>F497-E497</x:f>
        <x:v>0</x:v>
      </x:c>
      <x:c r="H497" s="10" t="n">
        <x:v>1</x:v>
      </x:c>
      <x:c r="I497" s="10" t="str">
        <x:v>AUTHORED_TERMINAL</x:v>
      </x:c>
      <x:c r="J497" s="10" t="str">
        <x:v>TEXT:SYN-F12-02-REL-N17</x:v>
      </x:c>
      <x:c r="K497" s="10" t="str">
        <x:v>TEXT:SYN-F12-02-U02</x:v>
      </x:c>
      <x:c r="L497" s="10" t="str">
        <x:v>TEXT:SYN-F12-02-REL-N17</x:v>
      </x:c>
    </x:row>
    <x:row r="498" ht="52" customHeight="1">
      <x:c r="A498" s="10" t="str">
        <x:v>T-BASE</x:v>
      </x:c>
      <x:c r="B498" s="10" t="str">
        <x:v>TEXT</x:v>
      </x:c>
      <x:c r="C498" s="10" t="str">
        <x:v>TEXT:SYN-F12-03</x:v>
      </x:c>
      <x:c r="D498" s="10" t="str">
        <x:v>TEXT:SYN-F12-03-G01</x:v>
      </x:c>
      <x:c r="E498" s="11" t="n">
        <x:v>7.252214</x:v>
      </x:c>
      <x:c r="F498" s="11" t="n">
        <x:v>15.252214</x:v>
      </x:c>
      <x:c r="G498" s="11" t="n">
        <x:f>F498-E498</x:f>
        <x:v>8</x:v>
      </x:c>
      <x:c r="H498" s="10" t="n">
        <x:v>1</x:v>
      </x:c>
      <x:c r="I498" s="10" t="str">
        <x:v>AUTHORED_TERMINAL</x:v>
      </x:c>
      <x:c r="J498" s="10" t="str">
        <x:v>TEXT:SYN-F12-03-BASE-N19</x:v>
      </x:c>
      <x:c r="K498" s="10" t="str">
        <x:v>TEXT:SYN-F12-03-U01</x:v>
      </x:c>
      <x:c r="L498" s="10" t="str">
        <x:v>TEXT:SYN-F12-03-BASE-N19</x:v>
      </x:c>
    </x:row>
    <x:row r="499" ht="52" customHeight="1">
      <x:c r="A499" s="10" t="str">
        <x:v>T-BASE</x:v>
      </x:c>
      <x:c r="B499" s="10" t="str">
        <x:v>TEXT</x:v>
      </x:c>
      <x:c r="C499" s="10" t="str">
        <x:v>TEXT:SYN-F12-03</x:v>
      </x:c>
      <x:c r="D499" s="10" t="str">
        <x:v>TEXT:SYN-F12-03-G02</x:v>
      </x:c>
      <x:c r="E499" s="11" t="n">
        <x:v>3.490714</x:v>
      </x:c>
      <x:c r="F499" s="11" t="n">
        <x:v>3.490714</x:v>
      </x:c>
      <x:c r="G499" s="11" t="n">
        <x:f>F499-E499</x:f>
        <x:v>0</x:v>
      </x:c>
      <x:c r="H499" s="10" t="n">
        <x:v>0</x:v>
      </x:c>
      <x:c r="I499" s="10" t="str">
        <x:v>AUTHORED_TERMINAL</x:v>
      </x:c>
      <x:c r="J499" s="10" t="str">
        <x:v>TEXT:SYN-F12-03-BASE-N14</x:v>
      </x:c>
      <x:c r="K499" s="10" t="str">
        <x:v>TEXT:SYN-F12-03-U02</x:v>
      </x:c>
      <x:c r="L499" s="10" t="str">
        <x:v>TEXT:SYN-F12-03-BASE-N14</x:v>
      </x:c>
    </x:row>
    <x:row r="500" ht="52" customHeight="1">
      <x:c r="A500" s="10" t="str">
        <x:v>T-EXEC</x:v>
      </x:c>
      <x:c r="B500" s="10" t="str">
        <x:v>TEXT</x:v>
      </x:c>
      <x:c r="C500" s="10" t="str">
        <x:v>TEXT:SYN-F12-03</x:v>
      </x:c>
      <x:c r="D500" s="10" t="str">
        <x:v>TEXT:SYN-F12-03-G01</x:v>
      </x:c>
      <x:c r="E500" s="11" t="n">
        <x:v>5.8005</x:v>
      </x:c>
      <x:c r="F500" s="11" t="n">
        <x:v>13.8005</x:v>
      </x:c>
      <x:c r="G500" s="11" t="n">
        <x:f>F500-E500</x:f>
        <x:v>7.999999999999999</x:v>
      </x:c>
      <x:c r="H500" s="10" t="n">
        <x:v>1</x:v>
      </x:c>
      <x:c r="I500" s="10" t="str">
        <x:v>AUTHORED_TERMINAL</x:v>
      </x:c>
      <x:c r="J500" s="10" t="str">
        <x:v>TEXT:SYN-F12-03-EXEC-N19</x:v>
      </x:c>
      <x:c r="K500" s="10" t="str">
        <x:v>TEXT:SYN-F12-03-U01</x:v>
      </x:c>
      <x:c r="L500" s="10" t="str">
        <x:v>TEXT:SYN-F12-03-EXEC-N19</x:v>
      </x:c>
    </x:row>
    <x:row r="501" ht="52" customHeight="1">
      <x:c r="A501" s="10" t="str">
        <x:v>T-EXEC</x:v>
      </x:c>
      <x:c r="B501" s="10" t="str">
        <x:v>TEXT</x:v>
      </x:c>
      <x:c r="C501" s="10" t="str">
        <x:v>TEXT:SYN-F12-03</x:v>
      </x:c>
      <x:c r="D501" s="10" t="str">
        <x:v>TEXT:SYN-F12-03-G02</x:v>
      </x:c>
      <x:c r="E501" s="11" t="n">
        <x:v>2.049357</x:v>
      </x:c>
      <x:c r="F501" s="11" t="n">
        <x:v>2.049357</x:v>
      </x:c>
      <x:c r="G501" s="11" t="n">
        <x:f>F501-E501</x:f>
        <x:v>0</x:v>
      </x:c>
      <x:c r="H501" s="10" t="n">
        <x:v>1</x:v>
      </x:c>
      <x:c r="I501" s="10" t="str">
        <x:v>AUTHORED_TERMINAL</x:v>
      </x:c>
      <x:c r="J501" s="10" t="str">
        <x:v>TEXT:SYN-F12-03-EXEC-N14</x:v>
      </x:c>
      <x:c r="K501" s="10" t="str">
        <x:v>TEXT:SYN-F12-03-U02</x:v>
      </x:c>
      <x:c r="L501" s="10" t="str">
        <x:v>TEXT:SYN-F12-03-EXEC-N14</x:v>
      </x:c>
    </x:row>
    <x:row r="502" ht="52" customHeight="1">
      <x:c r="A502" s="10" t="str">
        <x:v>T-REL</x:v>
      </x:c>
      <x:c r="B502" s="10" t="str">
        <x:v>TEXT</x:v>
      </x:c>
      <x:c r="C502" s="10" t="str">
        <x:v>TEXT:SYN-F12-03</x:v>
      </x:c>
      <x:c r="D502" s="10" t="str">
        <x:v>TEXT:SYN-F12-03-G01</x:v>
      </x:c>
      <x:c r="E502" s="11" t="n">
        <x:v>6.187571</x:v>
      </x:c>
      <x:c r="F502" s="11" t="n">
        <x:v>14.187571</x:v>
      </x:c>
      <x:c r="G502" s="11" t="n">
        <x:f>F502-E502</x:f>
        <x:v>8</x:v>
      </x:c>
      <x:c r="H502" s="10" t="n">
        <x:v>1</x:v>
      </x:c>
      <x:c r="I502" s="10" t="str">
        <x:v>AUTHORED_TERMINAL</x:v>
      </x:c>
      <x:c r="J502" s="10" t="str">
        <x:v>TEXT:SYN-F12-03-REL-N22</x:v>
      </x:c>
      <x:c r="K502" s="10" t="str">
        <x:v>TEXT:SYN-F12-03-U01</x:v>
      </x:c>
      <x:c r="L502" s="10" t="str">
        <x:v>TEXT:SYN-F12-03-REL-N22</x:v>
      </x:c>
    </x:row>
    <x:row r="503" ht="52" customHeight="1">
      <x:c r="A503" s="10" t="str">
        <x:v>T-REL</x:v>
      </x:c>
      <x:c r="B503" s="10" t="str">
        <x:v>TEXT</x:v>
      </x:c>
      <x:c r="C503" s="10" t="str">
        <x:v>TEXT:SYN-F12-03</x:v>
      </x:c>
      <x:c r="D503" s="10" t="str">
        <x:v>TEXT:SYN-F12-03-G02</x:v>
      </x:c>
      <x:c r="E503" s="11" t="n">
        <x:v>3.280714</x:v>
      </x:c>
      <x:c r="F503" s="11" t="n">
        <x:v>3.280714</x:v>
      </x:c>
      <x:c r="G503" s="11" t="n">
        <x:f>F503-E503</x:f>
        <x:v>0</x:v>
      </x:c>
      <x:c r="H503" s="10" t="n">
        <x:v>0</x:v>
      </x:c>
      <x:c r="I503" s="10" t="str">
        <x:v>AUTHORED_TERMINAL</x:v>
      </x:c>
      <x:c r="J503" s="10" t="str">
        <x:v>TEXT:SYN-F12-03-REL-N17</x:v>
      </x:c>
      <x:c r="K503" s="10" t="str">
        <x:v>TEXT:SYN-F12-03-U02</x:v>
      </x:c>
      <x:c r="L503" s="10" t="str">
        <x:v>TEXT:SYN-F12-03-REL-N17</x:v>
      </x:c>
    </x:row>
    <x:row r="504" ht="52" customHeight="1">
      <x:c r="A504" s="10" t="str">
        <x:v>T-BASE</x:v>
      </x:c>
      <x:c r="B504" s="10" t="str">
        <x:v>TEXT</x:v>
      </x:c>
      <x:c r="C504" s="10" t="str">
        <x:v>TEXT:SYN-F12-04</x:v>
      </x:c>
      <x:c r="D504" s="10" t="str">
        <x:v>TEXT:SYN-F12-04-G01</x:v>
      </x:c>
      <x:c r="E504" s="11" t="n">
        <x:v>7.251036</x:v>
      </x:c>
      <x:c r="F504" s="11" t="n">
        <x:v>15.251036</x:v>
      </x:c>
      <x:c r="G504" s="11" t="n">
        <x:f>F504-E504</x:f>
        <x:v>7.999999999999999</x:v>
      </x:c>
      <x:c r="H504" s="10" t="n">
        <x:v>1</x:v>
      </x:c>
      <x:c r="I504" s="10" t="str">
        <x:v>AUTHORED_TERMINAL</x:v>
      </x:c>
      <x:c r="J504" s="10" t="str">
        <x:v>TEXT:SYN-F12-04-BASE-N19</x:v>
      </x:c>
      <x:c r="K504" s="10" t="str">
        <x:v>TEXT:SYN-F12-04-U01</x:v>
      </x:c>
      <x:c r="L504" s="10" t="str">
        <x:v>TEXT:SYN-F12-04-BASE-N19</x:v>
      </x:c>
    </x:row>
    <x:row r="505" ht="52" customHeight="1">
      <x:c r="A505" s="10" t="str">
        <x:v>T-BASE</x:v>
      </x:c>
      <x:c r="B505" s="10" t="str">
        <x:v>TEXT</x:v>
      </x:c>
      <x:c r="C505" s="10" t="str">
        <x:v>TEXT:SYN-F12-04</x:v>
      </x:c>
      <x:c r="D505" s="10" t="str">
        <x:v>TEXT:SYN-F12-04-G02</x:v>
      </x:c>
      <x:c r="E505" s="11" t="n">
        <x:v>3.515036</x:v>
      </x:c>
      <x:c r="F505" s="11" t="n">
        <x:v>3.515036</x:v>
      </x:c>
      <x:c r="G505" s="11" t="n">
        <x:f>F505-E505</x:f>
        <x:v>0</x:v>
      </x:c>
      <x:c r="H505" s="10" t="n">
        <x:v>1</x:v>
      </x:c>
      <x:c r="I505" s="10" t="str">
        <x:v>AUTHORED_TERMINAL</x:v>
      </x:c>
      <x:c r="J505" s="10" t="str">
        <x:v>TEXT:SYN-F12-04-BASE-N14</x:v>
      </x:c>
      <x:c r="K505" s="10" t="str">
        <x:v>TEXT:SYN-F12-04-U02</x:v>
      </x:c>
      <x:c r="L505" s="10" t="str">
        <x:v>TEXT:SYN-F12-04-BASE-N14</x:v>
      </x:c>
    </x:row>
    <x:row r="506" ht="52" customHeight="1">
      <x:c r="A506" s="10" t="str">
        <x:v>T-EXEC</x:v>
      </x:c>
      <x:c r="B506" s="10" t="str">
        <x:v>TEXT</x:v>
      </x:c>
      <x:c r="C506" s="10" t="str">
        <x:v>TEXT:SYN-F12-04</x:v>
      </x:c>
      <x:c r="D506" s="10" t="str">
        <x:v>TEXT:SYN-F12-04-G01</x:v>
      </x:c>
      <x:c r="E506" s="11" t="n">
        <x:v>5.8365</x:v>
      </x:c>
      <x:c r="F506" s="11" t="n">
        <x:v>13.8365</x:v>
      </x:c>
      <x:c r="G506" s="11" t="n">
        <x:f>F506-E506</x:f>
        <x:v>7.999999999999999</x:v>
      </x:c>
      <x:c r="H506" s="10" t="n">
        <x:v>1</x:v>
      </x:c>
      <x:c r="I506" s="10" t="str">
        <x:v>AUTHORED_TERMINAL</x:v>
      </x:c>
      <x:c r="J506" s="10" t="str">
        <x:v>TEXT:SYN-F12-04-EXEC-N19</x:v>
      </x:c>
      <x:c r="K506" s="10" t="str">
        <x:v>TEXT:SYN-F12-04-U01</x:v>
      </x:c>
      <x:c r="L506" s="10" t="str">
        <x:v>TEXT:SYN-F12-04-EXEC-N19</x:v>
      </x:c>
    </x:row>
    <x:row r="507" ht="52" customHeight="1">
      <x:c r="A507" s="10" t="str">
        <x:v>T-EXEC</x:v>
      </x:c>
      <x:c r="B507" s="10" t="str">
        <x:v>TEXT</x:v>
      </x:c>
      <x:c r="C507" s="10" t="str">
        <x:v>TEXT:SYN-F12-04</x:v>
      </x:c>
      <x:c r="D507" s="10" t="str">
        <x:v>TEXT:SYN-F12-04-G02</x:v>
      </x:c>
      <x:c r="E507" s="11" t="n">
        <x:v>2.019607</x:v>
      </x:c>
      <x:c r="F507" s="11" t="n">
        <x:v>2.019607</x:v>
      </x:c>
      <x:c r="G507" s="11" t="n">
        <x:f>F507-E507</x:f>
        <x:v>0</x:v>
      </x:c>
      <x:c r="H507" s="10" t="n">
        <x:v>1</x:v>
      </x:c>
      <x:c r="I507" s="10" t="str">
        <x:v>AUTHORED_TERMINAL</x:v>
      </x:c>
      <x:c r="J507" s="10" t="str">
        <x:v>TEXT:SYN-F12-04-EXEC-N14</x:v>
      </x:c>
      <x:c r="K507" s="10" t="str">
        <x:v>TEXT:SYN-F12-04-U02</x:v>
      </x:c>
      <x:c r="L507" s="10" t="str">
        <x:v>TEXT:SYN-F12-04-EXEC-N14</x:v>
      </x:c>
    </x:row>
    <x:row r="508" ht="52" customHeight="1">
      <x:c r="A508" s="10" t="str">
        <x:v>T-REL</x:v>
      </x:c>
      <x:c r="B508" s="10" t="str">
        <x:v>TEXT</x:v>
      </x:c>
      <x:c r="C508" s="10" t="str">
        <x:v>TEXT:SYN-F12-04</x:v>
      </x:c>
      <x:c r="D508" s="10" t="str">
        <x:v>TEXT:SYN-F12-04-G01</x:v>
      </x:c>
      <x:c r="E508" s="11" t="n">
        <x:v>6.286393</x:v>
      </x:c>
      <x:c r="F508" s="11" t="n">
        <x:v>14.286393</x:v>
      </x:c>
      <x:c r="G508" s="11" t="n">
        <x:f>F508-E508</x:f>
        <x:v>8</x:v>
      </x:c>
      <x:c r="H508" s="10" t="n">
        <x:v>1</x:v>
      </x:c>
      <x:c r="I508" s="10" t="str">
        <x:v>AUTHORED_TERMINAL</x:v>
      </x:c>
      <x:c r="J508" s="10" t="str">
        <x:v>TEXT:SYN-F12-04-REL-N22</x:v>
      </x:c>
      <x:c r="K508" s="10" t="str">
        <x:v>TEXT:SYN-F12-04-U01</x:v>
      </x:c>
      <x:c r="L508" s="10" t="str">
        <x:v>TEXT:SYN-F12-04-REL-N22</x:v>
      </x:c>
    </x:row>
    <x:row r="509" ht="52" customHeight="1">
      <x:c r="A509" s="10" t="str">
        <x:v>T-REL</x:v>
      </x:c>
      <x:c r="B509" s="10" t="str">
        <x:v>TEXT</x:v>
      </x:c>
      <x:c r="C509" s="10" t="str">
        <x:v>TEXT:SYN-F12-04</x:v>
      </x:c>
      <x:c r="D509" s="10" t="str">
        <x:v>TEXT:SYN-F12-04-G02</x:v>
      </x:c>
      <x:c r="E509" s="11" t="n">
        <x:v>3.355036</x:v>
      </x:c>
      <x:c r="F509" s="11" t="n">
        <x:v>3.355036</x:v>
      </x:c>
      <x:c r="G509" s="11" t="n">
        <x:f>F509-E509</x:f>
        <x:v>0</x:v>
      </x:c>
      <x:c r="H509" s="10" t="n">
        <x:v>1</x:v>
      </x:c>
      <x:c r="I509" s="10" t="str">
        <x:v>AUTHORED_TERMINAL</x:v>
      </x:c>
      <x:c r="J509" s="10" t="str">
        <x:v>TEXT:SYN-F12-04-REL-N17</x:v>
      </x:c>
      <x:c r="K509" s="10" t="str">
        <x:v>TEXT:SYN-F12-04-U02</x:v>
      </x:c>
      <x:c r="L509" s="10" t="str">
        <x:v>TEXT:SYN-F12-04-REL-N17</x:v>
      </x:c>
    </x:row>
    <x:row r="510" ht="52" customHeight="1">
      <x:c r="A510" s="10" t="str">
        <x:v>T-BASE</x:v>
      </x:c>
      <x:c r="B510" s="10" t="str">
        <x:v>TEXT</x:v>
      </x:c>
      <x:c r="C510" s="10" t="str">
        <x:v>TEXT:SYN-F12-05</x:v>
      </x:c>
      <x:c r="D510" s="10" t="str">
        <x:v>TEXT:SYN-F12-05-G01</x:v>
      </x:c>
      <x:c r="E510" s="11" t="n">
        <x:v>7.324857</x:v>
      </x:c>
      <x:c r="F510" s="11" t="n">
        <x:v>15.324857</x:v>
      </x:c>
      <x:c r="G510" s="11" t="n">
        <x:f>F510-E510</x:f>
        <x:v>8</x:v>
      </x:c>
      <x:c r="H510" s="10" t="n">
        <x:v>1</x:v>
      </x:c>
      <x:c r="I510" s="10" t="str">
        <x:v>AUTHORED_TERMINAL</x:v>
      </x:c>
      <x:c r="J510" s="10" t="str">
        <x:v>TEXT:SYN-F12-05-BASE-N19</x:v>
      </x:c>
      <x:c r="K510" s="10" t="str">
        <x:v>TEXT:SYN-F12-05-U01</x:v>
      </x:c>
      <x:c r="L510" s="10" t="str">
        <x:v>TEXT:SYN-F12-05-BASE-N19</x:v>
      </x:c>
    </x:row>
    <x:row r="511" ht="52" customHeight="1">
      <x:c r="A511" s="10" t="str">
        <x:v>T-BASE</x:v>
      </x:c>
      <x:c r="B511" s="10" t="str">
        <x:v>TEXT</x:v>
      </x:c>
      <x:c r="C511" s="10" t="str">
        <x:v>TEXT:SYN-F12-05</x:v>
      </x:c>
      <x:c r="D511" s="10" t="str">
        <x:v>TEXT:SYN-F12-05-G02</x:v>
      </x:c>
      <x:c r="E511" s="11" t="n">
        <x:v>3.589357</x:v>
      </x:c>
      <x:c r="F511" s="11" t="n">
        <x:v>3.589357</x:v>
      </x:c>
      <x:c r="G511" s="11" t="n">
        <x:f>F511-E511</x:f>
        <x:v>0</x:v>
      </x:c>
      <x:c r="H511" s="10" t="n">
        <x:v>1</x:v>
      </x:c>
      <x:c r="I511" s="10" t="str">
        <x:v>AUTHORED_TERMINAL</x:v>
      </x:c>
      <x:c r="J511" s="10" t="str">
        <x:v>TEXT:SYN-F12-05-BASE-N14</x:v>
      </x:c>
      <x:c r="K511" s="10" t="str">
        <x:v>TEXT:SYN-F12-05-U02</x:v>
      </x:c>
      <x:c r="L511" s="10" t="str">
        <x:v>TEXT:SYN-F12-05-BASE-N14</x:v>
      </x:c>
    </x:row>
    <x:row r="512" ht="52" customHeight="1">
      <x:c r="A512" s="10" t="str">
        <x:v>T-EXEC</x:v>
      </x:c>
      <x:c r="B512" s="10" t="str">
        <x:v>TEXT</x:v>
      </x:c>
      <x:c r="C512" s="10" t="str">
        <x:v>TEXT:SYN-F12-05</x:v>
      </x:c>
      <x:c r="D512" s="10" t="str">
        <x:v>TEXT:SYN-F12-05-G01</x:v>
      </x:c>
      <x:c r="E512" s="11" t="n">
        <x:v>5.8975</x:v>
      </x:c>
      <x:c r="F512" s="11" t="n">
        <x:v>13.8975</x:v>
      </x:c>
      <x:c r="G512" s="11" t="n">
        <x:f>F512-E512</x:f>
        <x:v>8</x:v>
      </x:c>
      <x:c r="H512" s="10" t="n">
        <x:v>1</x:v>
      </x:c>
      <x:c r="I512" s="10" t="str">
        <x:v>AUTHORED_TERMINAL</x:v>
      </x:c>
      <x:c r="J512" s="10" t="str">
        <x:v>TEXT:SYN-F12-05-EXEC-N19</x:v>
      </x:c>
      <x:c r="K512" s="10" t="str">
        <x:v>TEXT:SYN-F12-05-U01</x:v>
      </x:c>
      <x:c r="L512" s="10" t="str">
        <x:v>TEXT:SYN-F12-05-EXEC-N19</x:v>
      </x:c>
    </x:row>
    <x:row r="513" ht="52" customHeight="1">
      <x:c r="A513" s="10" t="str">
        <x:v>T-EXEC</x:v>
      </x:c>
      <x:c r="B513" s="10" t="str">
        <x:v>TEXT</x:v>
      </x:c>
      <x:c r="C513" s="10" t="str">
        <x:v>TEXT:SYN-F12-05</x:v>
      </x:c>
      <x:c r="D513" s="10" t="str">
        <x:v>TEXT:SYN-F12-05-G02</x:v>
      </x:c>
      <x:c r="E513" s="11" t="n">
        <x:v>2.058607</x:v>
      </x:c>
      <x:c r="F513" s="11" t="n">
        <x:v>2.058607</x:v>
      </x:c>
      <x:c r="G513" s="11" t="n">
        <x:f>F513-E513</x:f>
        <x:v>0</x:v>
      </x:c>
      <x:c r="H513" s="10" t="n">
        <x:v>1</x:v>
      </x:c>
      <x:c r="I513" s="10" t="str">
        <x:v>AUTHORED_TERMINAL</x:v>
      </x:c>
      <x:c r="J513" s="10" t="str">
        <x:v>TEXT:SYN-F12-05-EXEC-N14</x:v>
      </x:c>
      <x:c r="K513" s="10" t="str">
        <x:v>TEXT:SYN-F12-05-U02</x:v>
      </x:c>
      <x:c r="L513" s="10" t="str">
        <x:v>TEXT:SYN-F12-05-EXEC-N14</x:v>
      </x:c>
    </x:row>
    <x:row r="514" ht="52" customHeight="1">
      <x:c r="A514" s="10" t="str">
        <x:v>T-REL</x:v>
      </x:c>
      <x:c r="B514" s="10" t="str">
        <x:v>TEXT</x:v>
      </x:c>
      <x:c r="C514" s="10" t="str">
        <x:v>TEXT:SYN-F12-05</x:v>
      </x:c>
      <x:c r="D514" s="10" t="str">
        <x:v>TEXT:SYN-F12-05-G01</x:v>
      </x:c>
      <x:c r="E514" s="11" t="n">
        <x:v>6.310214</x:v>
      </x:c>
      <x:c r="F514" s="11" t="n">
        <x:v>14.310214</x:v>
      </x:c>
      <x:c r="G514" s="11" t="n">
        <x:f>F514-E514</x:f>
        <x:v>8</x:v>
      </x:c>
      <x:c r="H514" s="10" t="n">
        <x:v>1</x:v>
      </x:c>
      <x:c r="I514" s="10" t="str">
        <x:v>AUTHORED_TERMINAL</x:v>
      </x:c>
      <x:c r="J514" s="10" t="str">
        <x:v>TEXT:SYN-F12-05-REL-N22</x:v>
      </x:c>
      <x:c r="K514" s="10" t="str">
        <x:v>TEXT:SYN-F12-05-U01</x:v>
      </x:c>
      <x:c r="L514" s="10" t="str">
        <x:v>TEXT:SYN-F12-05-REL-N22</x:v>
      </x:c>
    </x:row>
    <x:row r="515" ht="52" customHeight="1">
      <x:c r="A515" s="10" t="str">
        <x:v>T-REL</x:v>
      </x:c>
      <x:c r="B515" s="10" t="str">
        <x:v>TEXT</x:v>
      </x:c>
      <x:c r="C515" s="10" t="str">
        <x:v>TEXT:SYN-F12-05</x:v>
      </x:c>
      <x:c r="D515" s="10" t="str">
        <x:v>TEXT:SYN-F12-05-G02</x:v>
      </x:c>
      <x:c r="E515" s="11" t="n">
        <x:v>3.404357</x:v>
      </x:c>
      <x:c r="F515" s="11" t="n">
        <x:v>3.404357</x:v>
      </x:c>
      <x:c r="G515" s="11" t="n">
        <x:f>F515-E515</x:f>
        <x:v>0</x:v>
      </x:c>
      <x:c r="H515" s="10" t="n">
        <x:v>1</x:v>
      </x:c>
      <x:c r="I515" s="10" t="str">
        <x:v>AUTHORED_TERMINAL</x:v>
      </x:c>
      <x:c r="J515" s="10" t="str">
        <x:v>TEXT:SYN-F12-05-REL-N17</x:v>
      </x:c>
      <x:c r="K515" s="10" t="str">
        <x:v>TEXT:SYN-F12-05-U02</x:v>
      </x:c>
      <x:c r="L515" s="10" t="str">
        <x:v>TEXT:SYN-F12-05-REL-N17</x:v>
      </x:c>
    </x:row>
    <x:row r="516" ht="52" customHeight="1">
      <x:c r="A516" s="10" t="str">
        <x:v>T-BASE</x:v>
      </x:c>
      <x:c r="B516" s="10" t="str">
        <x:v>TEXT</x:v>
      </x:c>
      <x:c r="C516" s="10" t="str">
        <x:v>TEXT:SYN-F12-06</x:v>
      </x:c>
      <x:c r="D516" s="10" t="str">
        <x:v>TEXT:SYN-F12-06-G01</x:v>
      </x:c>
      <x:c r="E516" s="11" t="n">
        <x:v>7.391179</x:v>
      </x:c>
      <x:c r="F516" s="11" t="n">
        <x:v>15.391179</x:v>
      </x:c>
      <x:c r="G516" s="11" t="n">
        <x:f>F516-E516</x:f>
        <x:v>7.999999999999999</x:v>
      </x:c>
      <x:c r="H516" s="10" t="n">
        <x:v>1</x:v>
      </x:c>
      <x:c r="I516" s="10" t="str">
        <x:v>AUTHORED_TERMINAL</x:v>
      </x:c>
      <x:c r="J516" s="10" t="str">
        <x:v>TEXT:SYN-F12-06-BASE-N19</x:v>
      </x:c>
      <x:c r="K516" s="10" t="str">
        <x:v>TEXT:SYN-F12-06-U01</x:v>
      </x:c>
      <x:c r="L516" s="10" t="str">
        <x:v>TEXT:SYN-F12-06-BASE-N19</x:v>
      </x:c>
    </x:row>
    <x:row r="517" ht="52" customHeight="1">
      <x:c r="A517" s="10" t="str">
        <x:v>T-BASE</x:v>
      </x:c>
      <x:c r="B517" s="10" t="str">
        <x:v>TEXT</x:v>
      </x:c>
      <x:c r="C517" s="10" t="str">
        <x:v>TEXT:SYN-F12-06</x:v>
      </x:c>
      <x:c r="D517" s="10" t="str">
        <x:v>TEXT:SYN-F12-06-G02</x:v>
      </x:c>
      <x:c r="E517" s="11" t="n">
        <x:v>3.606179</x:v>
      </x:c>
      <x:c r="F517" s="11" t="n">
        <x:v>3.606179</x:v>
      </x:c>
      <x:c r="G517" s="11" t="n">
        <x:f>F517-E517</x:f>
        <x:v>0</x:v>
      </x:c>
      <x:c r="H517" s="10" t="n">
        <x:v>1</x:v>
      </x:c>
      <x:c r="I517" s="10" t="str">
        <x:v>AUTHORED_TERMINAL</x:v>
      </x:c>
      <x:c r="J517" s="10" t="str">
        <x:v>TEXT:SYN-F12-06-BASE-N14</x:v>
      </x:c>
      <x:c r="K517" s="10" t="str">
        <x:v>TEXT:SYN-F12-06-U02</x:v>
      </x:c>
      <x:c r="L517" s="10" t="str">
        <x:v>TEXT:SYN-F12-06-BASE-N14</x:v>
      </x:c>
    </x:row>
    <x:row r="518" ht="52" customHeight="1">
      <x:c r="A518" s="10" t="str">
        <x:v>T-EXEC</x:v>
      </x:c>
      <x:c r="B518" s="10" t="str">
        <x:v>TEXT</x:v>
      </x:c>
      <x:c r="C518" s="10" t="str">
        <x:v>TEXT:SYN-F12-06</x:v>
      </x:c>
      <x:c r="D518" s="10" t="str">
        <x:v>TEXT:SYN-F12-06-G01</x:v>
      </x:c>
      <x:c r="E518" s="11" t="n">
        <x:v>5.926</x:v>
      </x:c>
      <x:c r="F518" s="11" t="n">
        <x:v>13.926</x:v>
      </x:c>
      <x:c r="G518" s="11" t="n">
        <x:f>F518-E518</x:f>
        <x:v>8</x:v>
      </x:c>
      <x:c r="H518" s="10" t="n">
        <x:v>1</x:v>
      </x:c>
      <x:c r="I518" s="10" t="str">
        <x:v>AUTHORED_TERMINAL</x:v>
      </x:c>
      <x:c r="J518" s="10" t="str">
        <x:v>TEXT:SYN-F12-06-EXEC-N19</x:v>
      </x:c>
      <x:c r="K518" s="10" t="str">
        <x:v>TEXT:SYN-F12-06-U01</x:v>
      </x:c>
      <x:c r="L518" s="10" t="str">
        <x:v>TEXT:SYN-F12-06-EXEC-N19</x:v>
      </x:c>
    </x:row>
    <x:row r="519" ht="52" customHeight="1">
      <x:c r="A519" s="10" t="str">
        <x:v>T-EXEC</x:v>
      </x:c>
      <x:c r="B519" s="10" t="str">
        <x:v>TEXT</x:v>
      </x:c>
      <x:c r="C519" s="10" t="str">
        <x:v>TEXT:SYN-F12-06</x:v>
      </x:c>
      <x:c r="D519" s="10" t="str">
        <x:v>TEXT:SYN-F12-06-G02</x:v>
      </x:c>
      <x:c r="E519" s="11" t="n">
        <x:v>2.040107</x:v>
      </x:c>
      <x:c r="F519" s="11" t="n">
        <x:v>2.040107</x:v>
      </x:c>
      <x:c r="G519" s="11" t="n">
        <x:f>F519-E519</x:f>
        <x:v>0</x:v>
      </x:c>
      <x:c r="H519" s="10" t="n">
        <x:v>1</x:v>
      </x:c>
      <x:c r="I519" s="10" t="str">
        <x:v>AUTHORED_TERMINAL</x:v>
      </x:c>
      <x:c r="J519" s="10" t="str">
        <x:v>TEXT:SYN-F12-06-EXEC-N14</x:v>
      </x:c>
      <x:c r="K519" s="10" t="str">
        <x:v>TEXT:SYN-F12-06-U02</x:v>
      </x:c>
      <x:c r="L519" s="10" t="str">
        <x:v>TEXT:SYN-F12-06-EXEC-N14</x:v>
      </x:c>
    </x:row>
    <x:row r="520" ht="52" customHeight="1">
      <x:c r="A520" s="10" t="str">
        <x:v>T-REL</x:v>
      </x:c>
      <x:c r="B520" s="10" t="str">
        <x:v>TEXT</x:v>
      </x:c>
      <x:c r="C520" s="10" t="str">
        <x:v>TEXT:SYN-F12-06</x:v>
      </x:c>
      <x:c r="D520" s="10" t="str">
        <x:v>TEXT:SYN-F12-06-G01</x:v>
      </x:c>
      <x:c r="E520" s="11" t="n">
        <x:v>6.326536</x:v>
      </x:c>
      <x:c r="F520" s="11" t="n">
        <x:v>14.326536</x:v>
      </x:c>
      <x:c r="G520" s="11" t="n">
        <x:f>F520-E520</x:f>
        <x:v>8</x:v>
      </x:c>
      <x:c r="H520" s="10" t="n">
        <x:v>1</x:v>
      </x:c>
      <x:c r="I520" s="10" t="str">
        <x:v>AUTHORED_TERMINAL</x:v>
      </x:c>
      <x:c r="J520" s="10" t="str">
        <x:v>TEXT:SYN-F12-06-REL-N22</x:v>
      </x:c>
      <x:c r="K520" s="10" t="str">
        <x:v>TEXT:SYN-F12-06-U01</x:v>
      </x:c>
      <x:c r="L520" s="10" t="str">
        <x:v>TEXT:SYN-F12-06-REL-N22</x:v>
      </x:c>
    </x:row>
    <x:row r="521" ht="52" customHeight="1">
      <x:c r="A521" s="10" t="str">
        <x:v>T-REL</x:v>
      </x:c>
      <x:c r="B521" s="10" t="str">
        <x:v>TEXT</x:v>
      </x:c>
      <x:c r="C521" s="10" t="str">
        <x:v>TEXT:SYN-F12-06</x:v>
      </x:c>
      <x:c r="D521" s="10" t="str">
        <x:v>TEXT:SYN-F12-06-G02</x:v>
      </x:c>
      <x:c r="E521" s="11" t="n">
        <x:v>3.396179</x:v>
      </x:c>
      <x:c r="F521" s="11" t="n">
        <x:v>3.396179</x:v>
      </x:c>
      <x:c r="G521" s="11" t="n">
        <x:f>F521-E521</x:f>
        <x:v>0</x:v>
      </x:c>
      <x:c r="H521" s="10" t="n">
        <x:v>1</x:v>
      </x:c>
      <x:c r="I521" s="10" t="str">
        <x:v>AUTHORED_TERMINAL</x:v>
      </x:c>
      <x:c r="J521" s="10" t="str">
        <x:v>TEXT:SYN-F12-06-REL-N17</x:v>
      </x:c>
      <x:c r="K521" s="10" t="str">
        <x:v>TEXT:SYN-F12-06-U02</x:v>
      </x:c>
      <x:c r="L521" s="10" t="str">
        <x:v>TEXT:SYN-F12-06-REL-N17</x:v>
      </x:c>
    </x:row>
    <x:row r="522" ht="52" customHeight="1">
      <x:c r="A522" s="10" t="str">
        <x:v>T-BASE</x:v>
      </x:c>
      <x:c r="B522" s="10" t="str">
        <x:v>TEXT</x:v>
      </x:c>
      <x:c r="C522" s="10" t="str">
        <x:v>TEXT:SYN-F12-07</x:v>
      </x:c>
      <x:c r="D522" s="10" t="str">
        <x:v>TEXT:SYN-F12-07-G01</x:v>
      </x:c>
      <x:c r="E522" s="11" t="n">
        <x:v>7.39</x:v>
      </x:c>
      <x:c r="F522" s="11" t="n">
        <x:v>15.39</x:v>
      </x:c>
      <x:c r="G522" s="11" t="n">
        <x:f>F522-E522</x:f>
        <x:v>8</x:v>
      </x:c>
      <x:c r="H522" s="10" t="n">
        <x:v>1</x:v>
      </x:c>
      <x:c r="I522" s="10" t="str">
        <x:v>AUTHORED_TERMINAL</x:v>
      </x:c>
      <x:c r="J522" s="10" t="str">
        <x:v>TEXT:SYN-F12-07-BASE-N19</x:v>
      </x:c>
      <x:c r="K522" s="10" t="str">
        <x:v>TEXT:SYN-F12-07-U01</x:v>
      </x:c>
      <x:c r="L522" s="10" t="str">
        <x:v>TEXT:SYN-F12-07-BASE-N19</x:v>
      </x:c>
    </x:row>
    <x:row r="523" ht="52" customHeight="1">
      <x:c r="A523" s="10" t="str">
        <x:v>T-BASE</x:v>
      </x:c>
      <x:c r="B523" s="10" t="str">
        <x:v>TEXT</x:v>
      </x:c>
      <x:c r="C523" s="10" t="str">
        <x:v>TEXT:SYN-F12-07</x:v>
      </x:c>
      <x:c r="D523" s="10" t="str">
        <x:v>TEXT:SYN-F12-07-G02</x:v>
      </x:c>
      <x:c r="E523" s="11" t="n">
        <x:v>3.6305</x:v>
      </x:c>
      <x:c r="F523" s="11" t="n">
        <x:v>3.6305</x:v>
      </x:c>
      <x:c r="G523" s="11" t="n">
        <x:f>F523-E523</x:f>
        <x:v>0</x:v>
      </x:c>
      <x:c r="H523" s="10" t="n">
        <x:v>1</x:v>
      </x:c>
      <x:c r="I523" s="10" t="str">
        <x:v>AUTHORED_TERMINAL</x:v>
      </x:c>
      <x:c r="J523" s="10" t="str">
        <x:v>TEXT:SYN-F12-07-BASE-N14</x:v>
      </x:c>
      <x:c r="K523" s="10" t="str">
        <x:v>TEXT:SYN-F12-07-U02</x:v>
      </x:c>
      <x:c r="L523" s="10" t="str">
        <x:v>TEXT:SYN-F12-07-BASE-N14</x:v>
      </x:c>
    </x:row>
    <x:row r="524" ht="52" customHeight="1">
      <x:c r="A524" s="10" t="str">
        <x:v>T-EXEC</x:v>
      </x:c>
      <x:c r="B524" s="10" t="str">
        <x:v>TEXT</x:v>
      </x:c>
      <x:c r="C524" s="10" t="str">
        <x:v>TEXT:SYN-F12-07</x:v>
      </x:c>
      <x:c r="D524" s="10" t="str">
        <x:v>TEXT:SYN-F12-07-G01</x:v>
      </x:c>
      <x:c r="E524" s="11" t="n">
        <x:v>5.962</x:v>
      </x:c>
      <x:c r="F524" s="11" t="n">
        <x:v>13.962</x:v>
      </x:c>
      <x:c r="G524" s="11" t="n">
        <x:f>F524-E524</x:f>
        <x:v>8</x:v>
      </x:c>
      <x:c r="H524" s="10" t="n">
        <x:v>1</x:v>
      </x:c>
      <x:c r="I524" s="10" t="str">
        <x:v>AUTHORED_TERMINAL</x:v>
      </x:c>
      <x:c r="J524" s="10" t="str">
        <x:v>TEXT:SYN-F12-07-EXEC-N19</x:v>
      </x:c>
      <x:c r="K524" s="10" t="str">
        <x:v>TEXT:SYN-F12-07-U01</x:v>
      </x:c>
      <x:c r="L524" s="10" t="str">
        <x:v>TEXT:SYN-F12-07-EXEC-N19</x:v>
      </x:c>
    </x:row>
    <x:row r="525" ht="52" customHeight="1">
      <x:c r="A525" s="10" t="str">
        <x:v>T-EXEC</x:v>
      </x:c>
      <x:c r="B525" s="10" t="str">
        <x:v>TEXT</x:v>
      </x:c>
      <x:c r="C525" s="10" t="str">
        <x:v>TEXT:SYN-F12-07</x:v>
      </x:c>
      <x:c r="D525" s="10" t="str">
        <x:v>TEXT:SYN-F12-07-G02</x:v>
      </x:c>
      <x:c r="E525" s="11" t="n">
        <x:v>2.010357</x:v>
      </x:c>
      <x:c r="F525" s="11" t="n">
        <x:v>2.010357</x:v>
      </x:c>
      <x:c r="G525" s="11" t="n">
        <x:f>F525-E525</x:f>
        <x:v>0</x:v>
      </x:c>
      <x:c r="H525" s="10" t="n">
        <x:v>1</x:v>
      </x:c>
      <x:c r="I525" s="10" t="str">
        <x:v>AUTHORED_TERMINAL</x:v>
      </x:c>
      <x:c r="J525" s="10" t="str">
        <x:v>TEXT:SYN-F12-07-EXEC-N14</x:v>
      </x:c>
      <x:c r="K525" s="10" t="str">
        <x:v>TEXT:SYN-F12-07-U02</x:v>
      </x:c>
      <x:c r="L525" s="10" t="str">
        <x:v>TEXT:SYN-F12-07-EXEC-N14</x:v>
      </x:c>
    </x:row>
    <x:row r="526" ht="52" customHeight="1">
      <x:c r="A526" s="10" t="str">
        <x:v>T-REL</x:v>
      </x:c>
      <x:c r="B526" s="10" t="str">
        <x:v>TEXT</x:v>
      </x:c>
      <x:c r="C526" s="10" t="str">
        <x:v>TEXT:SYN-F12-07</x:v>
      </x:c>
      <x:c r="D526" s="10" t="str">
        <x:v>TEXT:SYN-F12-07-G01</x:v>
      </x:c>
      <x:c r="E526" s="11" t="n">
        <x:v>6.425358</x:v>
      </x:c>
      <x:c r="F526" s="11" t="n">
        <x:v>14.425358</x:v>
      </x:c>
      <x:c r="G526" s="11" t="n">
        <x:f>F526-E526</x:f>
        <x:v>7.999999999999999</x:v>
      </x:c>
      <x:c r="H526" s="10" t="n">
        <x:v>1</x:v>
      </x:c>
      <x:c r="I526" s="10" t="str">
        <x:v>AUTHORED_TERMINAL</x:v>
      </x:c>
      <x:c r="J526" s="10" t="str">
        <x:v>TEXT:SYN-F12-07-REL-N22</x:v>
      </x:c>
      <x:c r="K526" s="10" t="str">
        <x:v>TEXT:SYN-F12-07-U01</x:v>
      </x:c>
      <x:c r="L526" s="10" t="str">
        <x:v>TEXT:SYN-F12-07-REL-N22</x:v>
      </x:c>
    </x:row>
    <x:row r="527" ht="52" customHeight="1">
      <x:c r="A527" s="10" t="str">
        <x:v>T-REL</x:v>
      </x:c>
      <x:c r="B527" s="10" t="str">
        <x:v>TEXT</x:v>
      </x:c>
      <x:c r="C527" s="10" t="str">
        <x:v>TEXT:SYN-F12-07</x:v>
      </x:c>
      <x:c r="D527" s="10" t="str">
        <x:v>TEXT:SYN-F12-07-G02</x:v>
      </x:c>
      <x:c r="E527" s="11" t="n">
        <x:v>3.4705</x:v>
      </x:c>
      <x:c r="F527" s="11" t="n">
        <x:v>3.4705</x:v>
      </x:c>
      <x:c r="G527" s="11" t="n">
        <x:f>F527-E527</x:f>
        <x:v>0</x:v>
      </x:c>
      <x:c r="H527" s="10" t="n">
        <x:v>1</x:v>
      </x:c>
      <x:c r="I527" s="10" t="str">
        <x:v>AUTHORED_TERMINAL</x:v>
      </x:c>
      <x:c r="J527" s="10" t="str">
        <x:v>TEXT:SYN-F12-07-REL-N17</x:v>
      </x:c>
      <x:c r="K527" s="10" t="str">
        <x:v>TEXT:SYN-F12-07-U02</x:v>
      </x:c>
      <x:c r="L527" s="10" t="str">
        <x:v>TEXT:SYN-F12-07-REL-N17</x:v>
      </x:c>
    </x:row>
    <x:row r="528" ht="52" customHeight="1">
      <x:c r="A528" s="10" t="str">
        <x:v>T-BASE</x:v>
      </x:c>
      <x:c r="B528" s="10" t="str">
        <x:v>TEXT</x:v>
      </x:c>
      <x:c r="C528" s="10" t="str">
        <x:v>TEXT:SYN-F12-08</x:v>
      </x:c>
      <x:c r="D528" s="10" t="str">
        <x:v>TEXT:SYN-F12-08-G01</x:v>
      </x:c>
      <x:c r="E528" s="11" t="n">
        <x:v>7.538821</x:v>
      </x:c>
      <x:c r="F528" s="11" t="n">
        <x:v>15.538821</x:v>
      </x:c>
      <x:c r="G528" s="11" t="n">
        <x:f>F528-E528</x:f>
        <x:v>8</x:v>
      </x:c>
      <x:c r="H528" s="10" t="n">
        <x:v>1</x:v>
      </x:c>
      <x:c r="I528" s="10" t="str">
        <x:v>AUTHORED_TERMINAL</x:v>
      </x:c>
      <x:c r="J528" s="10" t="str">
        <x:v>TEXT:SYN-F12-08-BASE-N19</x:v>
      </x:c>
      <x:c r="K528" s="10" t="str">
        <x:v>TEXT:SYN-F12-08-U01</x:v>
      </x:c>
      <x:c r="L528" s="10" t="str">
        <x:v>TEXT:SYN-F12-08-BASE-N19</x:v>
      </x:c>
    </x:row>
    <x:row r="529" ht="52" customHeight="1">
      <x:c r="A529" s="10" t="str">
        <x:v>T-BASE</x:v>
      </x:c>
      <x:c r="B529" s="10" t="str">
        <x:v>TEXT</x:v>
      </x:c>
      <x:c r="C529" s="10" t="str">
        <x:v>TEXT:SYN-F12-08</x:v>
      </x:c>
      <x:c r="D529" s="10" t="str">
        <x:v>TEXT:SYN-F12-08-G02</x:v>
      </x:c>
      <x:c r="E529" s="11" t="n">
        <x:v>3.729821</x:v>
      </x:c>
      <x:c r="F529" s="11" t="n">
        <x:v>3.729821</x:v>
      </x:c>
      <x:c r="G529" s="11" t="n">
        <x:f>F529-E529</x:f>
        <x:v>0</x:v>
      </x:c>
      <x:c r="H529" s="10" t="n">
        <x:v>0</x:v>
      </x:c>
      <x:c r="I529" s="10" t="str">
        <x:v>AUTHORED_TERMINAL</x:v>
      </x:c>
      <x:c r="J529" s="10" t="str">
        <x:v>TEXT:SYN-F12-08-BASE-N14</x:v>
      </x:c>
      <x:c r="K529" s="10" t="str">
        <x:v>TEXT:SYN-F12-08-U02</x:v>
      </x:c>
      <x:c r="L529" s="10" t="str">
        <x:v>TEXT:SYN-F12-08-BASE-N14</x:v>
      </x:c>
    </x:row>
    <x:row r="530" ht="52" customHeight="1">
      <x:c r="A530" s="10" t="str">
        <x:v>T-EXEC</x:v>
      </x:c>
      <x:c r="B530" s="10" t="str">
        <x:v>TEXT</x:v>
      </x:c>
      <x:c r="C530" s="10" t="str">
        <x:v>TEXT:SYN-F12-08</x:v>
      </x:c>
      <x:c r="D530" s="10" t="str">
        <x:v>TEXT:SYN-F12-08-G01</x:v>
      </x:c>
      <x:c r="E530" s="11" t="n">
        <x:v>6.073</x:v>
      </x:c>
      <x:c r="F530" s="11" t="n">
        <x:v>14.073</x:v>
      </x:c>
      <x:c r="G530" s="11" t="n">
        <x:f>F530-E530</x:f>
        <x:v>8</x:v>
      </x:c>
      <x:c r="H530" s="10" t="n">
        <x:v>1</x:v>
      </x:c>
      <x:c r="I530" s="10" t="str">
        <x:v>AUTHORED_TERMINAL</x:v>
      </x:c>
      <x:c r="J530" s="10" t="str">
        <x:v>TEXT:SYN-F12-08-EXEC-N19</x:v>
      </x:c>
      <x:c r="K530" s="10" t="str">
        <x:v>TEXT:SYN-F12-08-U01</x:v>
      </x:c>
      <x:c r="L530" s="10" t="str">
        <x:v>TEXT:SYN-F12-08-EXEC-N19</x:v>
      </x:c>
    </x:row>
    <x:row r="531" ht="52" customHeight="1">
      <x:c r="A531" s="10" t="str">
        <x:v>T-EXEC</x:v>
      </x:c>
      <x:c r="B531" s="10" t="str">
        <x:v>TEXT</x:v>
      </x:c>
      <x:c r="C531" s="10" t="str">
        <x:v>TEXT:SYN-F12-08</x:v>
      </x:c>
      <x:c r="D531" s="10" t="str">
        <x:v>TEXT:SYN-F12-08-G02</x:v>
      </x:c>
      <x:c r="E531" s="11" t="n">
        <x:v>2.074357</x:v>
      </x:c>
      <x:c r="F531" s="11" t="n">
        <x:v>2.074357</x:v>
      </x:c>
      <x:c r="G531" s="11" t="n">
        <x:f>F531-E531</x:f>
        <x:v>0</x:v>
      </x:c>
      <x:c r="H531" s="10" t="n">
        <x:v>1</x:v>
      </x:c>
      <x:c r="I531" s="10" t="str">
        <x:v>AUTHORED_TERMINAL</x:v>
      </x:c>
      <x:c r="J531" s="10" t="str">
        <x:v>TEXT:SYN-F12-08-EXEC-N14</x:v>
      </x:c>
      <x:c r="K531" s="10" t="str">
        <x:v>TEXT:SYN-F12-08-U02</x:v>
      </x:c>
      <x:c r="L531" s="10" t="str">
        <x:v>TEXT:SYN-F12-08-EXEC-N14</x:v>
      </x:c>
    </x:row>
    <x:row r="532" ht="52" customHeight="1">
      <x:c r="A532" s="10" t="str">
        <x:v>T-REL</x:v>
      </x:c>
      <x:c r="B532" s="10" t="str">
        <x:v>TEXT</x:v>
      </x:c>
      <x:c r="C532" s="10" t="str">
        <x:v>TEXT:SYN-F12-08</x:v>
      </x:c>
      <x:c r="D532" s="10" t="str">
        <x:v>TEXT:SYN-F12-08-G01</x:v>
      </x:c>
      <x:c r="E532" s="11" t="n">
        <x:v>6.524178</x:v>
      </x:c>
      <x:c r="F532" s="11" t="n">
        <x:v>14.524178</x:v>
      </x:c>
      <x:c r="G532" s="11" t="n">
        <x:f>F532-E532</x:f>
        <x:v>7.999999999999999</x:v>
      </x:c>
      <x:c r="H532" s="10" t="n">
        <x:v>1</x:v>
      </x:c>
      <x:c r="I532" s="10" t="str">
        <x:v>AUTHORED_TERMINAL</x:v>
      </x:c>
      <x:c r="J532" s="10" t="str">
        <x:v>TEXT:SYN-F12-08-REL-N22</x:v>
      </x:c>
      <x:c r="K532" s="10" t="str">
        <x:v>TEXT:SYN-F12-08-U01</x:v>
      </x:c>
      <x:c r="L532" s="10" t="str">
        <x:v>TEXT:SYN-F12-08-REL-N22</x:v>
      </x:c>
    </x:row>
    <x:row r="533" ht="52" customHeight="1">
      <x:c r="A533" s="10" t="str">
        <x:v>T-REL</x:v>
      </x:c>
      <x:c r="B533" s="10" t="str">
        <x:v>TEXT</x:v>
      </x:c>
      <x:c r="C533" s="10" t="str">
        <x:v>TEXT:SYN-F12-08</x:v>
      </x:c>
      <x:c r="D533" s="10" t="str">
        <x:v>TEXT:SYN-F12-08-G02</x:v>
      </x:c>
      <x:c r="E533" s="11" t="n">
        <x:v>3.544821</x:v>
      </x:c>
      <x:c r="F533" s="11" t="n">
        <x:v>3.544821</x:v>
      </x:c>
      <x:c r="G533" s="11" t="n">
        <x:f>F533-E533</x:f>
        <x:v>0</x:v>
      </x:c>
      <x:c r="H533" s="10" t="n">
        <x:v>0</x:v>
      </x:c>
      <x:c r="I533" s="10" t="str">
        <x:v>AUTHORED_TERMINAL</x:v>
      </x:c>
      <x:c r="J533" s="10" t="str">
        <x:v>TEXT:SYN-F12-08-REL-N17</x:v>
      </x:c>
      <x:c r="K533" s="10" t="str">
        <x:v>TEXT:SYN-F12-08-U02</x:v>
      </x:c>
      <x:c r="L533" s="10" t="str">
        <x:v>TEXT:SYN-F12-08-REL-N17</x:v>
      </x:c>
    </x:row>
    <x:row r="534" ht="52" customHeight="1">
      <x:c r="A534" s="10" t="str">
        <x:v>T-BASE</x:v>
      </x:c>
      <x:c r="B534" s="10" t="str">
        <x:v>TEXT</x:v>
      </x:c>
      <x:c r="C534" s="10" t="str">
        <x:v>TEXT:SYN-F12-09</x:v>
      </x:c>
      <x:c r="D534" s="10" t="str">
        <x:v>TEXT:SYN-F12-09-G01</x:v>
      </x:c>
      <x:c r="E534" s="11" t="n">
        <x:v>7.612643</x:v>
      </x:c>
      <x:c r="F534" s="11" t="n">
        <x:v>15.612643</x:v>
      </x:c>
      <x:c r="G534" s="11" t="n">
        <x:f>F534-E534</x:f>
        <x:v>8</x:v>
      </x:c>
      <x:c r="H534" s="10" t="n">
        <x:v>1</x:v>
      </x:c>
      <x:c r="I534" s="10" t="str">
        <x:v>AUTHORED_TERMINAL</x:v>
      </x:c>
      <x:c r="J534" s="10" t="str">
        <x:v>TEXT:SYN-F12-09-BASE-N19</x:v>
      </x:c>
      <x:c r="K534" s="10" t="str">
        <x:v>TEXT:SYN-F12-09-U01</x:v>
      </x:c>
      <x:c r="L534" s="10" t="str">
        <x:v>TEXT:SYN-F12-09-BASE-N19</x:v>
      </x:c>
    </x:row>
    <x:row r="535" ht="52" customHeight="1">
      <x:c r="A535" s="10" t="str">
        <x:v>T-BASE</x:v>
      </x:c>
      <x:c r="B535" s="10" t="str">
        <x:v>TEXT</x:v>
      </x:c>
      <x:c r="C535" s="10" t="str">
        <x:v>TEXT:SYN-F12-09</x:v>
      </x:c>
      <x:c r="D535" s="10" t="str">
        <x:v>TEXT:SYN-F12-09-G02</x:v>
      </x:c>
      <x:c r="E535" s="11" t="n">
        <x:v>3.804143</x:v>
      </x:c>
      <x:c r="F535" s="11" t="n">
        <x:v>3.804143</x:v>
      </x:c>
      <x:c r="G535" s="11" t="n">
        <x:f>F535-E535</x:f>
        <x:v>0</x:v>
      </x:c>
      <x:c r="H535" s="10" t="n">
        <x:v>1</x:v>
      </x:c>
      <x:c r="I535" s="10" t="str">
        <x:v>AUTHORED_TERMINAL</x:v>
      </x:c>
      <x:c r="J535" s="10" t="str">
        <x:v>TEXT:SYN-F12-09-BASE-N14</x:v>
      </x:c>
      <x:c r="K535" s="10" t="str">
        <x:v>TEXT:SYN-F12-09-U02</x:v>
      </x:c>
      <x:c r="L535" s="10" t="str">
        <x:v>TEXT:SYN-F12-09-BASE-N14</x:v>
      </x:c>
    </x:row>
    <x:row r="536" ht="52" customHeight="1">
      <x:c r="A536" s="10" t="str">
        <x:v>T-EXEC</x:v>
      </x:c>
      <x:c r="B536" s="10" t="str">
        <x:v>TEXT</x:v>
      </x:c>
      <x:c r="C536" s="10" t="str">
        <x:v>TEXT:SYN-F12-09</x:v>
      </x:c>
      <x:c r="D536" s="10" t="str">
        <x:v>TEXT:SYN-F12-09-G01</x:v>
      </x:c>
      <x:c r="E536" s="11" t="n">
        <x:v>6.134</x:v>
      </x:c>
      <x:c r="F536" s="11" t="n">
        <x:v>14.134</x:v>
      </x:c>
      <x:c r="G536" s="11" t="n">
        <x:f>F536-E536</x:f>
        <x:v>8</x:v>
      </x:c>
      <x:c r="H536" s="10" t="n">
        <x:v>1</x:v>
      </x:c>
      <x:c r="I536" s="10" t="str">
        <x:v>AUTHORED_TERMINAL</x:v>
      </x:c>
      <x:c r="J536" s="10" t="str">
        <x:v>TEXT:SYN-F12-09-EXEC-N19</x:v>
      </x:c>
      <x:c r="K536" s="10" t="str">
        <x:v>TEXT:SYN-F12-09-U01</x:v>
      </x:c>
      <x:c r="L536" s="10" t="str">
        <x:v>TEXT:SYN-F12-09-EXEC-N19</x:v>
      </x:c>
    </x:row>
    <x:row r="537" ht="52" customHeight="1">
      <x:c r="A537" s="10" t="str">
        <x:v>T-EXEC</x:v>
      </x:c>
      <x:c r="B537" s="10" t="str">
        <x:v>TEXT</x:v>
      </x:c>
      <x:c r="C537" s="10" t="str">
        <x:v>TEXT:SYN-F12-09</x:v>
      </x:c>
      <x:c r="D537" s="10" t="str">
        <x:v>TEXT:SYN-F12-09-G02</x:v>
      </x:c>
      <x:c r="E537" s="11" t="n">
        <x:v>2.113358</x:v>
      </x:c>
      <x:c r="F537" s="11" t="n">
        <x:v>2.113358</x:v>
      </x:c>
      <x:c r="G537" s="11" t="n">
        <x:f>F537-E537</x:f>
        <x:v>0</x:v>
      </x:c>
      <x:c r="H537" s="10" t="n">
        <x:v>1</x:v>
      </x:c>
      <x:c r="I537" s="10" t="str">
        <x:v>AUTHORED_TERMINAL</x:v>
      </x:c>
      <x:c r="J537" s="10" t="str">
        <x:v>TEXT:SYN-F12-09-EXEC-N14</x:v>
      </x:c>
      <x:c r="K537" s="10" t="str">
        <x:v>TEXT:SYN-F12-09-U02</x:v>
      </x:c>
      <x:c r="L537" s="10" t="str">
        <x:v>TEXT:SYN-F12-09-EXEC-N14</x:v>
      </x:c>
    </x:row>
    <x:row r="538" ht="52" customHeight="1">
      <x:c r="A538" s="10" t="str">
        <x:v>T-REL</x:v>
      </x:c>
      <x:c r="B538" s="10" t="str">
        <x:v>TEXT</x:v>
      </x:c>
      <x:c r="C538" s="10" t="str">
        <x:v>TEXT:SYN-F12-09</x:v>
      </x:c>
      <x:c r="D538" s="10" t="str">
        <x:v>TEXT:SYN-F12-09-G01</x:v>
      </x:c>
      <x:c r="E538" s="11" t="n">
        <x:v>6.548</x:v>
      </x:c>
      <x:c r="F538" s="11" t="n">
        <x:v>14.548</x:v>
      </x:c>
      <x:c r="G538" s="11" t="n">
        <x:f>F538-E538</x:f>
        <x:v>8</x:v>
      </x:c>
      <x:c r="H538" s="10" t="n">
        <x:v>1</x:v>
      </x:c>
      <x:c r="I538" s="10" t="str">
        <x:v>AUTHORED_TERMINAL</x:v>
      </x:c>
      <x:c r="J538" s="10" t="str">
        <x:v>TEXT:SYN-F12-09-REL-N22</x:v>
      </x:c>
      <x:c r="K538" s="10" t="str">
        <x:v>TEXT:SYN-F12-09-U01</x:v>
      </x:c>
      <x:c r="L538" s="10" t="str">
        <x:v>TEXT:SYN-F12-09-REL-N22</x:v>
      </x:c>
    </x:row>
    <x:row r="539" ht="52" customHeight="1">
      <x:c r="A539" s="10" t="str">
        <x:v>T-REL</x:v>
      </x:c>
      <x:c r="B539" s="10" t="str">
        <x:v>TEXT</x:v>
      </x:c>
      <x:c r="C539" s="10" t="str">
        <x:v>TEXT:SYN-F12-09</x:v>
      </x:c>
      <x:c r="D539" s="10" t="str">
        <x:v>TEXT:SYN-F12-09-G02</x:v>
      </x:c>
      <x:c r="E539" s="11" t="n">
        <x:v>3.594143</x:v>
      </x:c>
      <x:c r="F539" s="11" t="n">
        <x:v>3.594143</x:v>
      </x:c>
      <x:c r="G539" s="11" t="n">
        <x:f>F539-E539</x:f>
        <x:v>0</x:v>
      </x:c>
      <x:c r="H539" s="10" t="n">
        <x:v>1</x:v>
      </x:c>
      <x:c r="I539" s="10" t="str">
        <x:v>AUTHORED_TERMINAL</x:v>
      </x:c>
      <x:c r="J539" s="10" t="str">
        <x:v>TEXT:SYN-F12-09-REL-N17</x:v>
      </x:c>
      <x:c r="K539" s="10" t="str">
        <x:v>TEXT:SYN-F12-09-U02</x:v>
      </x:c>
      <x:c r="L539" s="10" t="str">
        <x:v>TEXT:SYN-F12-09-REL-N17</x:v>
      </x:c>
    </x:row>
    <x:row r="540" ht="52" customHeight="1">
      <x:c r="A540" s="10" t="str">
        <x:v>T-BASE</x:v>
      </x:c>
      <x:c r="B540" s="10" t="str">
        <x:v>TEXT</x:v>
      </x:c>
      <x:c r="C540" s="10" t="str">
        <x:v>TEXT:SYN-F12-10</x:v>
      </x:c>
      <x:c r="D540" s="10" t="str">
        <x:v>TEXT:SYN-F12-10-G01</x:v>
      </x:c>
      <x:c r="E540" s="11" t="n">
        <x:v>7.611464</x:v>
      </x:c>
      <x:c r="F540" s="11" t="n">
        <x:v>15.611464</x:v>
      </x:c>
      <x:c r="G540" s="11" t="n">
        <x:f>F540-E540</x:f>
        <x:v>8</x:v>
      </x:c>
      <x:c r="H540" s="10" t="n">
        <x:v>1</x:v>
      </x:c>
      <x:c r="I540" s="10" t="str">
        <x:v>AUTHORED_TERMINAL</x:v>
      </x:c>
      <x:c r="J540" s="10" t="str">
        <x:v>TEXT:SYN-F12-10-BASE-N19</x:v>
      </x:c>
      <x:c r="K540" s="10" t="str">
        <x:v>TEXT:SYN-F12-10-U01</x:v>
      </x:c>
      <x:c r="L540" s="10" t="str">
        <x:v>TEXT:SYN-F12-10-BASE-N19</x:v>
      </x:c>
    </x:row>
    <x:row r="541" ht="52" customHeight="1">
      <x:c r="A541" s="10" t="str">
        <x:v>T-BASE</x:v>
      </x:c>
      <x:c r="B541" s="10" t="str">
        <x:v>TEXT</x:v>
      </x:c>
      <x:c r="C541" s="10" t="str">
        <x:v>TEXT:SYN-F12-10</x:v>
      </x:c>
      <x:c r="D541" s="10" t="str">
        <x:v>TEXT:SYN-F12-10-G02</x:v>
      </x:c>
      <x:c r="E541" s="11" t="n">
        <x:v>3.828464</x:v>
      </x:c>
      <x:c r="F541" s="11" t="n">
        <x:v>3.828464</x:v>
      </x:c>
      <x:c r="G541" s="11" t="n">
        <x:f>F541-E541</x:f>
        <x:v>0</x:v>
      </x:c>
      <x:c r="H541" s="10" t="n">
        <x:v>1</x:v>
      </x:c>
      <x:c r="I541" s="10" t="str">
        <x:v>AUTHORED_TERMINAL</x:v>
      </x:c>
      <x:c r="J541" s="10" t="str">
        <x:v>TEXT:SYN-F12-10-BASE-N14</x:v>
      </x:c>
      <x:c r="K541" s="10" t="str">
        <x:v>TEXT:SYN-F12-10-U02</x:v>
      </x:c>
      <x:c r="L541" s="10" t="str">
        <x:v>TEXT:SYN-F12-10-BASE-N14</x:v>
      </x:c>
    </x:row>
    <x:row r="542" ht="52" customHeight="1">
      <x:c r="A542" s="10" t="str">
        <x:v>T-EXEC</x:v>
      </x:c>
      <x:c r="B542" s="10" t="str">
        <x:v>TEXT</x:v>
      </x:c>
      <x:c r="C542" s="10" t="str">
        <x:v>TEXT:SYN-F12-10</x:v>
      </x:c>
      <x:c r="D542" s="10" t="str">
        <x:v>TEXT:SYN-F12-10-G01</x:v>
      </x:c>
      <x:c r="E542" s="11" t="n">
        <x:v>6.17</x:v>
      </x:c>
      <x:c r="F542" s="11" t="n">
        <x:v>14.17</x:v>
      </x:c>
      <x:c r="G542" s="11" t="n">
        <x:f>F542-E542</x:f>
        <x:v>8</x:v>
      </x:c>
      <x:c r="H542" s="10" t="n">
        <x:v>1</x:v>
      </x:c>
      <x:c r="I542" s="10" t="str">
        <x:v>AUTHORED_TERMINAL</x:v>
      </x:c>
      <x:c r="J542" s="10" t="str">
        <x:v>TEXT:SYN-F12-10-EXEC-N19</x:v>
      </x:c>
      <x:c r="K542" s="10" t="str">
        <x:v>TEXT:SYN-F12-10-U01</x:v>
      </x:c>
      <x:c r="L542" s="10" t="str">
        <x:v>TEXT:SYN-F12-10-EXEC-N19</x:v>
      </x:c>
    </x:row>
    <x:row r="543" ht="52" customHeight="1">
      <x:c r="A543" s="10" t="str">
        <x:v>T-EXEC</x:v>
      </x:c>
      <x:c r="B543" s="10" t="str">
        <x:v>TEXT</x:v>
      </x:c>
      <x:c r="C543" s="10" t="str">
        <x:v>TEXT:SYN-F12-10</x:v>
      </x:c>
      <x:c r="D543" s="10" t="str">
        <x:v>TEXT:SYN-F12-10-G02</x:v>
      </x:c>
      <x:c r="E543" s="11" t="n">
        <x:v>2.083607</x:v>
      </x:c>
      <x:c r="F543" s="11" t="n">
        <x:v>2.083607</x:v>
      </x:c>
      <x:c r="G543" s="11" t="n">
        <x:f>F543-E543</x:f>
        <x:v>0</x:v>
      </x:c>
      <x:c r="H543" s="10" t="n">
        <x:v>1</x:v>
      </x:c>
      <x:c r="I543" s="10" t="str">
        <x:v>AUTHORED_TERMINAL</x:v>
      </x:c>
      <x:c r="J543" s="10" t="str">
        <x:v>TEXT:SYN-F12-10-EXEC-N14</x:v>
      </x:c>
      <x:c r="K543" s="10" t="str">
        <x:v>TEXT:SYN-F12-10-U02</x:v>
      </x:c>
      <x:c r="L543" s="10" t="str">
        <x:v>TEXT:SYN-F12-10-EXEC-N14</x:v>
      </x:c>
    </x:row>
    <x:row r="544" ht="52" customHeight="1">
      <x:c r="A544" s="10" t="str">
        <x:v>T-REL</x:v>
      </x:c>
      <x:c r="B544" s="10" t="str">
        <x:v>TEXT</x:v>
      </x:c>
      <x:c r="C544" s="10" t="str">
        <x:v>TEXT:SYN-F12-10</x:v>
      </x:c>
      <x:c r="D544" s="10" t="str">
        <x:v>TEXT:SYN-F12-10-G01</x:v>
      </x:c>
      <x:c r="E544" s="11" t="n">
        <x:v>6.646821</x:v>
      </x:c>
      <x:c r="F544" s="11" t="n">
        <x:v>14.646821</x:v>
      </x:c>
      <x:c r="G544" s="11" t="n">
        <x:f>F544-E544</x:f>
        <x:v>7.999999999999999</x:v>
      </x:c>
      <x:c r="H544" s="10" t="n">
        <x:v>1</x:v>
      </x:c>
      <x:c r="I544" s="10" t="str">
        <x:v>AUTHORED_TERMINAL</x:v>
      </x:c>
      <x:c r="J544" s="10" t="str">
        <x:v>TEXT:SYN-F12-10-REL-N22</x:v>
      </x:c>
      <x:c r="K544" s="10" t="str">
        <x:v>TEXT:SYN-F12-10-U01</x:v>
      </x:c>
      <x:c r="L544" s="10" t="str">
        <x:v>TEXT:SYN-F12-10-REL-N22</x:v>
      </x:c>
    </x:row>
    <x:row r="545" ht="52" customHeight="1">
      <x:c r="A545" s="10" t="str">
        <x:v>T-REL</x:v>
      </x:c>
      <x:c r="B545" s="10" t="str">
        <x:v>TEXT</x:v>
      </x:c>
      <x:c r="C545" s="10" t="str">
        <x:v>TEXT:SYN-F12-10</x:v>
      </x:c>
      <x:c r="D545" s="10" t="str">
        <x:v>TEXT:SYN-F12-10-G02</x:v>
      </x:c>
      <x:c r="E545" s="11" t="n">
        <x:v>3.668464</x:v>
      </x:c>
      <x:c r="F545" s="11" t="n">
        <x:v>3.668464</x:v>
      </x:c>
      <x:c r="G545" s="11" t="n">
        <x:f>F545-E545</x:f>
        <x:v>0</x:v>
      </x:c>
      <x:c r="H545" s="10" t="n">
        <x:v>1</x:v>
      </x:c>
      <x:c r="I545" s="10" t="str">
        <x:v>AUTHORED_TERMINAL</x:v>
      </x:c>
      <x:c r="J545" s="10" t="str">
        <x:v>TEXT:SYN-F12-10-REL-N17</x:v>
      </x:c>
      <x:c r="K545" s="10" t="str">
        <x:v>TEXT:SYN-F12-10-U02</x:v>
      </x:c>
      <x:c r="L545" s="10" t="str">
        <x:v>TEXT:SYN-F12-10-REL-N17</x:v>
      </x:c>
    </x:row>
    <x:row r="546" ht="52" customHeight="1">
      <x:c r="A546" s="10" t="str">
        <x:v>V-A</x:v>
      </x:c>
      <x:c r="B546" s="10" t="str">
        <x:v>VOICE</x:v>
      </x:c>
      <x:c r="C546" s="10" t="str">
        <x:v>VOICE:S1-01</x:v>
      </x:c>
      <x:c r="D546" s="10" t="str">
        <x:v>VOICE:S1-01:goal</x:v>
      </x:c>
      <x:c r="E546" s="11" t="n">
        <x:v>4.816666666666666</x:v>
      </x:c>
      <x:c r="F546" s="11" t="n">
        <x:v>12.816666666666666</x:v>
      </x:c>
      <x:c r="G546" s="11" t="n">
        <x:f>F546-E546</x:f>
        <x:v>8</x:v>
      </x:c>
      <x:c r="H546" s="10" t="n">
        <x:v>1</x:v>
      </x:c>
      <x:c r="I546" s="10" t="str">
        <x:v>completed_as_adopted</x:v>
      </x:c>
      <x:c r="J546" s="10" t="str">
        <x:v>VOICE:A/S1-01/scored/00010</x:v>
      </x:c>
      <x:c r="K546" s="10" t="str">
        <x:v>VOICE:S1-01:input</x:v>
      </x:c>
      <x:c r="L546" s="10" t="str">
        <x:v>VOICE:A/S1-01/scored/00010</x:v>
      </x:c>
    </x:row>
    <x:row r="547" ht="52" customHeight="1">
      <x:c r="A547" s="10" t="str">
        <x:v>V-R1</x:v>
      </x:c>
      <x:c r="B547" s="10" t="str">
        <x:v>VOICE</x:v>
      </x:c>
      <x:c r="C547" s="10" t="str">
        <x:v>VOICE:S1-01</x:v>
      </x:c>
      <x:c r="D547" s="10" t="str">
        <x:v>VOICE:S1-01:goal</x:v>
      </x:c>
      <x:c r="E547" s="11" t="n">
        <x:v>4.816666666666666</x:v>
      </x:c>
      <x:c r="F547" s="11" t="n">
        <x:v>12.816666666666666</x:v>
      </x:c>
      <x:c r="G547" s="11" t="n">
        <x:f>F547-E547</x:f>
        <x:v>8</x:v>
      </x:c>
      <x:c r="H547" s="10" t="n">
        <x:v>1</x:v>
      </x:c>
      <x:c r="I547" s="10" t="str">
        <x:v>completed_as_adopted</x:v>
      </x:c>
      <x:c r="J547" s="10" t="str">
        <x:v>VOICE:B-R1/S1-01/scored/00021</x:v>
      </x:c>
      <x:c r="K547" s="10" t="str">
        <x:v>VOICE:S1-01:input</x:v>
      </x:c>
      <x:c r="L547" s="10" t="str">
        <x:v>VOICE:B-R1/S1-01/scored/00021</x:v>
      </x:c>
    </x:row>
    <x:row r="548" ht="52" customHeight="1">
      <x:c r="A548" s="10" t="str">
        <x:v>V-R2</x:v>
      </x:c>
      <x:c r="B548" s="10" t="str">
        <x:v>VOICE</x:v>
      </x:c>
      <x:c r="C548" s="10" t="str">
        <x:v>VOICE:S1-01</x:v>
      </x:c>
      <x:c r="D548" s="10" t="str">
        <x:v>VOICE:S1-01:goal</x:v>
      </x:c>
      <x:c r="E548" s="11" t="n">
        <x:v>4.816666666666666</x:v>
      </x:c>
      <x:c r="F548" s="11" t="n">
        <x:v>12.816666666666666</x:v>
      </x:c>
      <x:c r="G548" s="11" t="n">
        <x:f>F548-E548</x:f>
        <x:v>8</x:v>
      </x:c>
      <x:c r="H548" s="10" t="n">
        <x:v>1</x:v>
      </x:c>
      <x:c r="I548" s="10" t="str">
        <x:v>completed_as_adopted</x:v>
      </x:c>
      <x:c r="J548" s="10" t="str">
        <x:v>VOICE:B-R2/S1-01/scored/00032</x:v>
      </x:c>
      <x:c r="K548" s="10" t="str">
        <x:v>VOICE:S1-01:input</x:v>
      </x:c>
      <x:c r="L548" s="10" t="str">
        <x:v>VOICE:B-R2/S1-01/scored/00032</x:v>
      </x:c>
    </x:row>
    <x:row r="549" ht="52" customHeight="1">
      <x:c r="A549" s="10" t="str">
        <x:v>V-R3</x:v>
      </x:c>
      <x:c r="B549" s="10" t="str">
        <x:v>VOICE</x:v>
      </x:c>
      <x:c r="C549" s="10" t="str">
        <x:v>VOICE:S1-01</x:v>
      </x:c>
      <x:c r="D549" s="10" t="str">
        <x:v>VOICE:S1-01:goal</x:v>
      </x:c>
      <x:c r="E549" s="11" t="n">
        <x:v>4.816666666666666</x:v>
      </x:c>
      <x:c r="F549" s="11" t="n">
        <x:v>12.816666666666666</x:v>
      </x:c>
      <x:c r="G549" s="11" t="n">
        <x:f>F549-E549</x:f>
        <x:v>8</x:v>
      </x:c>
      <x:c r="H549" s="10" t="n">
        <x:v>1</x:v>
      </x:c>
      <x:c r="I549" s="10" t="str">
        <x:v>completed_as_adopted</x:v>
      </x:c>
      <x:c r="J549" s="10" t="str">
        <x:v>VOICE:B-R3/S1-01/scored/00043</x:v>
      </x:c>
      <x:c r="K549" s="10" t="str">
        <x:v>VOICE:S1-01:input</x:v>
      </x:c>
      <x:c r="L549" s="10" t="str">
        <x:v>VOICE:B-R3/S1-01/scored/00043</x:v>
      </x:c>
    </x:row>
    <x:row r="550" ht="52" customHeight="1">
      <x:c r="A550" s="10" t="str">
        <x:v>V-A</x:v>
      </x:c>
      <x:c r="B550" s="10" t="str">
        <x:v>VOICE</x:v>
      </x:c>
      <x:c r="C550" s="10" t="str">
        <x:v>VOICE:S1-02</x:v>
      </x:c>
      <x:c r="D550" s="10" t="str">
        <x:v>VOICE:S1-02:goal</x:v>
      </x:c>
      <x:c r="E550" s="11" t="n">
        <x:v>4.816666666666666</x:v>
      </x:c>
      <x:c r="F550" s="11" t="n">
        <x:v>12.816666666666666</x:v>
      </x:c>
      <x:c r="G550" s="11" t="n">
        <x:f>F550-E550</x:f>
        <x:v>8</x:v>
      </x:c>
      <x:c r="H550" s="10" t="n">
        <x:v>1</x:v>
      </x:c>
      <x:c r="I550" s="10" t="str">
        <x:v>completed_as_adopted</x:v>
      </x:c>
      <x:c r="J550" s="10" t="str">
        <x:v>VOICE:A/S1-02/scored/00054</x:v>
      </x:c>
      <x:c r="K550" s="10" t="str">
        <x:v>VOICE:S1-02:input</x:v>
      </x:c>
      <x:c r="L550" s="10" t="str">
        <x:v>VOICE:A/S1-02/scored/00054</x:v>
      </x:c>
    </x:row>
    <x:row r="551" ht="52" customHeight="1">
      <x:c r="A551" s="10" t="str">
        <x:v>V-R1</x:v>
      </x:c>
      <x:c r="B551" s="10" t="str">
        <x:v>VOICE</x:v>
      </x:c>
      <x:c r="C551" s="10" t="str">
        <x:v>VOICE:S1-02</x:v>
      </x:c>
      <x:c r="D551" s="10" t="str">
        <x:v>VOICE:S1-02:goal</x:v>
      </x:c>
      <x:c r="E551" s="11" t="n">
        <x:v>4.816666666666666</x:v>
      </x:c>
      <x:c r="F551" s="11" t="n">
        <x:v>12.816666666666666</x:v>
      </x:c>
      <x:c r="G551" s="11" t="n">
        <x:f>F551-E551</x:f>
        <x:v>8</x:v>
      </x:c>
      <x:c r="H551" s="10" t="n">
        <x:v>1</x:v>
      </x:c>
      <x:c r="I551" s="10" t="str">
        <x:v>completed_as_adopted</x:v>
      </x:c>
      <x:c r="J551" s="10" t="str">
        <x:v>VOICE:B-R1/S1-02/scored/00065</x:v>
      </x:c>
      <x:c r="K551" s="10" t="str">
        <x:v>VOICE:S1-02:input</x:v>
      </x:c>
      <x:c r="L551" s="10" t="str">
        <x:v>VOICE:B-R1/S1-02/scored/00065</x:v>
      </x:c>
    </x:row>
    <x:row r="552" ht="52" customHeight="1">
      <x:c r="A552" s="10" t="str">
        <x:v>V-R2</x:v>
      </x:c>
      <x:c r="B552" s="10" t="str">
        <x:v>VOICE</x:v>
      </x:c>
      <x:c r="C552" s="10" t="str">
        <x:v>VOICE:S1-02</x:v>
      </x:c>
      <x:c r="D552" s="10" t="str">
        <x:v>VOICE:S1-02:goal</x:v>
      </x:c>
      <x:c r="E552" s="11" t="n">
        <x:v>4.816666666666666</x:v>
      </x:c>
      <x:c r="F552" s="11" t="n">
        <x:v>12.816666666666666</x:v>
      </x:c>
      <x:c r="G552" s="11" t="n">
        <x:f>F552-E552</x:f>
        <x:v>8</x:v>
      </x:c>
      <x:c r="H552" s="10" t="n">
        <x:v>1</x:v>
      </x:c>
      <x:c r="I552" s="10" t="str">
        <x:v>completed_as_adopted</x:v>
      </x:c>
      <x:c r="J552" s="10" t="str">
        <x:v>VOICE:B-R2/S1-02/scored/00076</x:v>
      </x:c>
      <x:c r="K552" s="10" t="str">
        <x:v>VOICE:S1-02:input</x:v>
      </x:c>
      <x:c r="L552" s="10" t="str">
        <x:v>VOICE:B-R2/S1-02/scored/00076</x:v>
      </x:c>
    </x:row>
    <x:row r="553" ht="52" customHeight="1">
      <x:c r="A553" s="10" t="str">
        <x:v>V-R3</x:v>
      </x:c>
      <x:c r="B553" s="10" t="str">
        <x:v>VOICE</x:v>
      </x:c>
      <x:c r="C553" s="10" t="str">
        <x:v>VOICE:S1-02</x:v>
      </x:c>
      <x:c r="D553" s="10" t="str">
        <x:v>VOICE:S1-02:goal</x:v>
      </x:c>
      <x:c r="E553" s="11" t="n">
        <x:v>4.816666666666666</x:v>
      </x:c>
      <x:c r="F553" s="11" t="n">
        <x:v>12.816666666666666</x:v>
      </x:c>
      <x:c r="G553" s="11" t="n">
        <x:f>F553-E553</x:f>
        <x:v>8</x:v>
      </x:c>
      <x:c r="H553" s="10" t="n">
        <x:v>1</x:v>
      </x:c>
      <x:c r="I553" s="10" t="str">
        <x:v>completed_as_adopted</x:v>
      </x:c>
      <x:c r="J553" s="10" t="str">
        <x:v>VOICE:B-R3/S1-02/scored/00087</x:v>
      </x:c>
      <x:c r="K553" s="10" t="str">
        <x:v>VOICE:S1-02:input</x:v>
      </x:c>
      <x:c r="L553" s="10" t="str">
        <x:v>VOICE:B-R3/S1-02/scored/00087</x:v>
      </x:c>
    </x:row>
    <x:row r="554" ht="52" customHeight="1">
      <x:c r="A554" s="10" t="str">
        <x:v>V-A</x:v>
      </x:c>
      <x:c r="B554" s="10" t="str">
        <x:v>VOICE</x:v>
      </x:c>
      <x:c r="C554" s="10" t="str">
        <x:v>VOICE:S1-03</x:v>
      </x:c>
      <x:c r="D554" s="10" t="str">
        <x:v>VOICE:S1-03:goal</x:v>
      </x:c>
      <x:c r="E554" s="11" t="n">
        <x:v>4.816666666666666</x:v>
      </x:c>
      <x:c r="F554" s="11" t="n">
        <x:v>12.816666666666666</x:v>
      </x:c>
      <x:c r="G554" s="11" t="n">
        <x:f>F554-E554</x:f>
        <x:v>8</x:v>
      </x:c>
      <x:c r="H554" s="10" t="n">
        <x:v>1</x:v>
      </x:c>
      <x:c r="I554" s="10" t="str">
        <x:v>completed_as_adopted</x:v>
      </x:c>
      <x:c r="J554" s="10" t="str">
        <x:v>VOICE:A/S1-03/scored/00098</x:v>
      </x:c>
      <x:c r="K554" s="10" t="str">
        <x:v>VOICE:S1-03:input</x:v>
      </x:c>
      <x:c r="L554" s="10" t="str">
        <x:v>VOICE:A/S1-03/scored/00098</x:v>
      </x:c>
    </x:row>
    <x:row r="555" ht="52" customHeight="1">
      <x:c r="A555" s="10" t="str">
        <x:v>V-R1</x:v>
      </x:c>
      <x:c r="B555" s="10" t="str">
        <x:v>VOICE</x:v>
      </x:c>
      <x:c r="C555" s="10" t="str">
        <x:v>VOICE:S1-03</x:v>
      </x:c>
      <x:c r="D555" s="10" t="str">
        <x:v>VOICE:S1-03:goal</x:v>
      </x:c>
      <x:c r="E555" s="11" t="n">
        <x:v>4.816666666666666</x:v>
      </x:c>
      <x:c r="F555" s="11" t="n">
        <x:v>12.816666666666666</x:v>
      </x:c>
      <x:c r="G555" s="11" t="n">
        <x:f>F555-E555</x:f>
        <x:v>8</x:v>
      </x:c>
      <x:c r="H555" s="10" t="n">
        <x:v>1</x:v>
      </x:c>
      <x:c r="I555" s="10" t="str">
        <x:v>completed_as_adopted</x:v>
      </x:c>
      <x:c r="J555" s="10" t="str">
        <x:v>VOICE:B-R1/S1-03/scored/00109</x:v>
      </x:c>
      <x:c r="K555" s="10" t="str">
        <x:v>VOICE:S1-03:input</x:v>
      </x:c>
      <x:c r="L555" s="10" t="str">
        <x:v>VOICE:B-R1/S1-03/scored/00109</x:v>
      </x:c>
    </x:row>
    <x:row r="556" ht="52" customHeight="1">
      <x:c r="A556" s="10" t="str">
        <x:v>V-R2</x:v>
      </x:c>
      <x:c r="B556" s="10" t="str">
        <x:v>VOICE</x:v>
      </x:c>
      <x:c r="C556" s="10" t="str">
        <x:v>VOICE:S1-03</x:v>
      </x:c>
      <x:c r="D556" s="10" t="str">
        <x:v>VOICE:S1-03:goal</x:v>
      </x:c>
      <x:c r="E556" s="11" t="n">
        <x:v>4.816666666666666</x:v>
      </x:c>
      <x:c r="F556" s="11" t="n">
        <x:v>12.816666666666666</x:v>
      </x:c>
      <x:c r="G556" s="11" t="n">
        <x:f>F556-E556</x:f>
        <x:v>8</x:v>
      </x:c>
      <x:c r="H556" s="10" t="n">
        <x:v>1</x:v>
      </x:c>
      <x:c r="I556" s="10" t="str">
        <x:v>completed_as_adopted</x:v>
      </x:c>
      <x:c r="J556" s="10" t="str">
        <x:v>VOICE:B-R2/S1-03/scored/00120</x:v>
      </x:c>
      <x:c r="K556" s="10" t="str">
        <x:v>VOICE:S1-03:input</x:v>
      </x:c>
      <x:c r="L556" s="10" t="str">
        <x:v>VOICE:B-R2/S1-03/scored/00120</x:v>
      </x:c>
    </x:row>
    <x:row r="557" ht="52" customHeight="1">
      <x:c r="A557" s="10" t="str">
        <x:v>V-R3</x:v>
      </x:c>
      <x:c r="B557" s="10" t="str">
        <x:v>VOICE</x:v>
      </x:c>
      <x:c r="C557" s="10" t="str">
        <x:v>VOICE:S1-03</x:v>
      </x:c>
      <x:c r="D557" s="10" t="str">
        <x:v>VOICE:S1-03:goal</x:v>
      </x:c>
      <x:c r="E557" s="11" t="n">
        <x:v>4.816666666666666</x:v>
      </x:c>
      <x:c r="F557" s="11" t="n">
        <x:v>12.816666666666666</x:v>
      </x:c>
      <x:c r="G557" s="11" t="n">
        <x:f>F557-E557</x:f>
        <x:v>8</x:v>
      </x:c>
      <x:c r="H557" s="10" t="n">
        <x:v>1</x:v>
      </x:c>
      <x:c r="I557" s="10" t="str">
        <x:v>completed_as_adopted</x:v>
      </x:c>
      <x:c r="J557" s="10" t="str">
        <x:v>VOICE:B-R3/S1-03/scored/00131</x:v>
      </x:c>
      <x:c r="K557" s="10" t="str">
        <x:v>VOICE:S1-03:input</x:v>
      </x:c>
      <x:c r="L557" s="10" t="str">
        <x:v>VOICE:B-R3/S1-03/scored/00131</x:v>
      </x:c>
    </x:row>
    <x:row r="558" ht="52" customHeight="1">
      <x:c r="A558" s="10" t="str">
        <x:v>V-A</x:v>
      </x:c>
      <x:c r="B558" s="10" t="str">
        <x:v>VOICE</x:v>
      </x:c>
      <x:c r="C558" s="10" t="str">
        <x:v>VOICE:S1-04</x:v>
      </x:c>
      <x:c r="D558" s="10" t="str">
        <x:v>VOICE:S1-04:goal</x:v>
      </x:c>
      <x:c r="E558" s="11" t="n">
        <x:v>4.816666666666666</x:v>
      </x:c>
      <x:c r="F558" s="11" t="n">
        <x:v>12.816666666666666</x:v>
      </x:c>
      <x:c r="G558" s="11" t="n">
        <x:f>F558-E558</x:f>
        <x:v>8</x:v>
      </x:c>
      <x:c r="H558" s="10" t="n">
        <x:v>1</x:v>
      </x:c>
      <x:c r="I558" s="10" t="str">
        <x:v>completed_as_adopted</x:v>
      </x:c>
      <x:c r="J558" s="10" t="str">
        <x:v>VOICE:A/S1-04/scored/00142</x:v>
      </x:c>
      <x:c r="K558" s="10" t="str">
        <x:v>VOICE:S1-04:input</x:v>
      </x:c>
      <x:c r="L558" s="10" t="str">
        <x:v>VOICE:A/S1-04/scored/00142</x:v>
      </x:c>
    </x:row>
    <x:row r="559" ht="52" customHeight="1">
      <x:c r="A559" s="10" t="str">
        <x:v>V-R1</x:v>
      </x:c>
      <x:c r="B559" s="10" t="str">
        <x:v>VOICE</x:v>
      </x:c>
      <x:c r="C559" s="10" t="str">
        <x:v>VOICE:S1-04</x:v>
      </x:c>
      <x:c r="D559" s="10" t="str">
        <x:v>VOICE:S1-04:goal</x:v>
      </x:c>
      <x:c r="E559" s="11" t="n">
        <x:v>4.816666666666666</x:v>
      </x:c>
      <x:c r="F559" s="11" t="n">
        <x:v>12.816666666666666</x:v>
      </x:c>
      <x:c r="G559" s="11" t="n">
        <x:f>F559-E559</x:f>
        <x:v>8</x:v>
      </x:c>
      <x:c r="H559" s="10" t="n">
        <x:v>1</x:v>
      </x:c>
      <x:c r="I559" s="10" t="str">
        <x:v>completed_as_adopted</x:v>
      </x:c>
      <x:c r="J559" s="10" t="str">
        <x:v>VOICE:B-R1/S1-04/scored/00153</x:v>
      </x:c>
      <x:c r="K559" s="10" t="str">
        <x:v>VOICE:S1-04:input</x:v>
      </x:c>
      <x:c r="L559" s="10" t="str">
        <x:v>VOICE:B-R1/S1-04/scored/00153</x:v>
      </x:c>
    </x:row>
    <x:row r="560" ht="52" customHeight="1">
      <x:c r="A560" s="10" t="str">
        <x:v>V-R2</x:v>
      </x:c>
      <x:c r="B560" s="10" t="str">
        <x:v>VOICE</x:v>
      </x:c>
      <x:c r="C560" s="10" t="str">
        <x:v>VOICE:S1-04</x:v>
      </x:c>
      <x:c r="D560" s="10" t="str">
        <x:v>VOICE:S1-04:goal</x:v>
      </x:c>
      <x:c r="E560" s="11" t="n">
        <x:v>4.816666666666666</x:v>
      </x:c>
      <x:c r="F560" s="11" t="n">
        <x:v>12.816666666666666</x:v>
      </x:c>
      <x:c r="G560" s="11" t="n">
        <x:f>F560-E560</x:f>
        <x:v>8</x:v>
      </x:c>
      <x:c r="H560" s="10" t="n">
        <x:v>1</x:v>
      </x:c>
      <x:c r="I560" s="10" t="str">
        <x:v>completed_as_adopted</x:v>
      </x:c>
      <x:c r="J560" s="10" t="str">
        <x:v>VOICE:B-R2/S1-04/scored/00164</x:v>
      </x:c>
      <x:c r="K560" s="10" t="str">
        <x:v>VOICE:S1-04:input</x:v>
      </x:c>
      <x:c r="L560" s="10" t="str">
        <x:v>VOICE:B-R2/S1-04/scored/00164</x:v>
      </x:c>
    </x:row>
    <x:row r="561" ht="52" customHeight="1">
      <x:c r="A561" s="10" t="str">
        <x:v>V-R3</x:v>
      </x:c>
      <x:c r="B561" s="10" t="str">
        <x:v>VOICE</x:v>
      </x:c>
      <x:c r="C561" s="10" t="str">
        <x:v>VOICE:S1-04</x:v>
      </x:c>
      <x:c r="D561" s="10" t="str">
        <x:v>VOICE:S1-04:goal</x:v>
      </x:c>
      <x:c r="E561" s="11" t="n">
        <x:v>4.816666666666666</x:v>
      </x:c>
      <x:c r="F561" s="11" t="n">
        <x:v>12.816666666666666</x:v>
      </x:c>
      <x:c r="G561" s="11" t="n">
        <x:f>F561-E561</x:f>
        <x:v>8</x:v>
      </x:c>
      <x:c r="H561" s="10" t="n">
        <x:v>1</x:v>
      </x:c>
      <x:c r="I561" s="10" t="str">
        <x:v>completed_as_adopted</x:v>
      </x:c>
      <x:c r="J561" s="10" t="str">
        <x:v>VOICE:B-R3/S1-04/scored/00175</x:v>
      </x:c>
      <x:c r="K561" s="10" t="str">
        <x:v>VOICE:S1-04:input</x:v>
      </x:c>
      <x:c r="L561" s="10" t="str">
        <x:v>VOICE:B-R3/S1-04/scored/00175</x:v>
      </x:c>
    </x:row>
    <x:row r="562" ht="52" customHeight="1">
      <x:c r="A562" s="10" t="str">
        <x:v>V-A</x:v>
      </x:c>
      <x:c r="B562" s="10" t="str">
        <x:v>VOICE</x:v>
      </x:c>
      <x:c r="C562" s="10" t="str">
        <x:v>VOICE:S1-05</x:v>
      </x:c>
      <x:c r="D562" s="10" t="str">
        <x:v>VOICE:S1-05:goal</x:v>
      </x:c>
      <x:c r="E562" s="11" t="n">
        <x:v>4.816666666666666</x:v>
      </x:c>
      <x:c r="F562" s="11" t="n">
        <x:v>12.816666666666666</x:v>
      </x:c>
      <x:c r="G562" s="11" t="n">
        <x:f>F562-E562</x:f>
        <x:v>8</x:v>
      </x:c>
      <x:c r="H562" s="10" t="n">
        <x:v>1</x:v>
      </x:c>
      <x:c r="I562" s="10" t="str">
        <x:v>completed_as_adopted</x:v>
      </x:c>
      <x:c r="J562" s="10" t="str">
        <x:v>VOICE:A/S1-05/scored/00186</x:v>
      </x:c>
      <x:c r="K562" s="10" t="str">
        <x:v>VOICE:S1-05:input</x:v>
      </x:c>
      <x:c r="L562" s="10" t="str">
        <x:v>VOICE:A/S1-05/scored/00186</x:v>
      </x:c>
    </x:row>
    <x:row r="563" ht="52" customHeight="1">
      <x:c r="A563" s="10" t="str">
        <x:v>V-R1</x:v>
      </x:c>
      <x:c r="B563" s="10" t="str">
        <x:v>VOICE</x:v>
      </x:c>
      <x:c r="C563" s="10" t="str">
        <x:v>VOICE:S1-05</x:v>
      </x:c>
      <x:c r="D563" s="10" t="str">
        <x:v>VOICE:S1-05:goal</x:v>
      </x:c>
      <x:c r="E563" s="11" t="n">
        <x:v>4.816666666666666</x:v>
      </x:c>
      <x:c r="F563" s="11" t="n">
        <x:v>12.816666666666666</x:v>
      </x:c>
      <x:c r="G563" s="11" t="n">
        <x:f>F563-E563</x:f>
        <x:v>8</x:v>
      </x:c>
      <x:c r="H563" s="10" t="n">
        <x:v>1</x:v>
      </x:c>
      <x:c r="I563" s="10" t="str">
        <x:v>completed_as_adopted</x:v>
      </x:c>
      <x:c r="J563" s="10" t="str">
        <x:v>VOICE:B-R1/S1-05/scored/00197</x:v>
      </x:c>
      <x:c r="K563" s="10" t="str">
        <x:v>VOICE:S1-05:input</x:v>
      </x:c>
      <x:c r="L563" s="10" t="str">
        <x:v>VOICE:B-R1/S1-05/scored/00197</x:v>
      </x:c>
    </x:row>
    <x:row r="564" ht="52" customHeight="1">
      <x:c r="A564" s="10" t="str">
        <x:v>V-R2</x:v>
      </x:c>
      <x:c r="B564" s="10" t="str">
        <x:v>VOICE</x:v>
      </x:c>
      <x:c r="C564" s="10" t="str">
        <x:v>VOICE:S1-05</x:v>
      </x:c>
      <x:c r="D564" s="10" t="str">
        <x:v>VOICE:S1-05:goal</x:v>
      </x:c>
      <x:c r="E564" s="11" t="n">
        <x:v>4.816666666666666</x:v>
      </x:c>
      <x:c r="F564" s="11" t="n">
        <x:v>12.816666666666666</x:v>
      </x:c>
      <x:c r="G564" s="11" t="n">
        <x:f>F564-E564</x:f>
        <x:v>8</x:v>
      </x:c>
      <x:c r="H564" s="10" t="n">
        <x:v>1</x:v>
      </x:c>
      <x:c r="I564" s="10" t="str">
        <x:v>completed_as_adopted</x:v>
      </x:c>
      <x:c r="J564" s="10" t="str">
        <x:v>VOICE:B-R2/S1-05/scored/00208</x:v>
      </x:c>
      <x:c r="K564" s="10" t="str">
        <x:v>VOICE:S1-05:input</x:v>
      </x:c>
      <x:c r="L564" s="10" t="str">
        <x:v>VOICE:B-R2/S1-05/scored/00208</x:v>
      </x:c>
    </x:row>
    <x:row r="565" ht="52" customHeight="1">
      <x:c r="A565" s="10" t="str">
        <x:v>V-R3</x:v>
      </x:c>
      <x:c r="B565" s="10" t="str">
        <x:v>VOICE</x:v>
      </x:c>
      <x:c r="C565" s="10" t="str">
        <x:v>VOICE:S1-05</x:v>
      </x:c>
      <x:c r="D565" s="10" t="str">
        <x:v>VOICE:S1-05:goal</x:v>
      </x:c>
      <x:c r="E565" s="11" t="n">
        <x:v>4.816666666666666</x:v>
      </x:c>
      <x:c r="F565" s="11" t="n">
        <x:v>12.816666666666666</x:v>
      </x:c>
      <x:c r="G565" s="11" t="n">
        <x:f>F565-E565</x:f>
        <x:v>8</x:v>
      </x:c>
      <x:c r="H565" s="10" t="n">
        <x:v>1</x:v>
      </x:c>
      <x:c r="I565" s="10" t="str">
        <x:v>completed_as_adopted</x:v>
      </x:c>
      <x:c r="J565" s="10" t="str">
        <x:v>VOICE:B-R3/S1-05/scored/00219</x:v>
      </x:c>
      <x:c r="K565" s="10" t="str">
        <x:v>VOICE:S1-05:input</x:v>
      </x:c>
      <x:c r="L565" s="10" t="str">
        <x:v>VOICE:B-R3/S1-05/scored/00219</x:v>
      </x:c>
    </x:row>
    <x:row r="566" ht="52" customHeight="1">
      <x:c r="A566" s="10" t="str">
        <x:v>V-A</x:v>
      </x:c>
      <x:c r="B566" s="10" t="str">
        <x:v>VOICE</x:v>
      </x:c>
      <x:c r="C566" s="10" t="str">
        <x:v>VOICE:S1-06</x:v>
      </x:c>
      <x:c r="D566" s="10" t="str">
        <x:v>VOICE:S1-06:goal</x:v>
      </x:c>
      <x:c r="E566" s="11" t="n">
        <x:v>4.816666666666666</x:v>
      </x:c>
      <x:c r="F566" s="11" t="n">
        <x:v>12.816666666666666</x:v>
      </x:c>
      <x:c r="G566" s="11" t="n">
        <x:f>F566-E566</x:f>
        <x:v>8</x:v>
      </x:c>
      <x:c r="H566" s="10" t="n">
        <x:v>1</x:v>
      </x:c>
      <x:c r="I566" s="10" t="str">
        <x:v>completed_as_adopted</x:v>
      </x:c>
      <x:c r="J566" s="10" t="str">
        <x:v>VOICE:A/S1-06/scored/00230</x:v>
      </x:c>
      <x:c r="K566" s="10" t="str">
        <x:v>VOICE:S1-06:input</x:v>
      </x:c>
      <x:c r="L566" s="10" t="str">
        <x:v>VOICE:A/S1-06/scored/00230</x:v>
      </x:c>
    </x:row>
    <x:row r="567" ht="52" customHeight="1">
      <x:c r="A567" s="10" t="str">
        <x:v>V-R1</x:v>
      </x:c>
      <x:c r="B567" s="10" t="str">
        <x:v>VOICE</x:v>
      </x:c>
      <x:c r="C567" s="10" t="str">
        <x:v>VOICE:S1-06</x:v>
      </x:c>
      <x:c r="D567" s="10" t="str">
        <x:v>VOICE:S1-06:goal</x:v>
      </x:c>
      <x:c r="E567" s="11" t="n">
        <x:v>4.816666666666666</x:v>
      </x:c>
      <x:c r="F567" s="11" t="n">
        <x:v>12.816666666666666</x:v>
      </x:c>
      <x:c r="G567" s="11" t="n">
        <x:f>F567-E567</x:f>
        <x:v>8</x:v>
      </x:c>
      <x:c r="H567" s="10" t="n">
        <x:v>1</x:v>
      </x:c>
      <x:c r="I567" s="10" t="str">
        <x:v>completed_as_adopted</x:v>
      </x:c>
      <x:c r="J567" s="10" t="str">
        <x:v>VOICE:B-R1/S1-06/scored/00241</x:v>
      </x:c>
      <x:c r="K567" s="10" t="str">
        <x:v>VOICE:S1-06:input</x:v>
      </x:c>
      <x:c r="L567" s="10" t="str">
        <x:v>VOICE:B-R1/S1-06/scored/00241</x:v>
      </x:c>
    </x:row>
    <x:row r="568" ht="52" customHeight="1">
      <x:c r="A568" s="10" t="str">
        <x:v>V-R2</x:v>
      </x:c>
      <x:c r="B568" s="10" t="str">
        <x:v>VOICE</x:v>
      </x:c>
      <x:c r="C568" s="10" t="str">
        <x:v>VOICE:S1-06</x:v>
      </x:c>
      <x:c r="D568" s="10" t="str">
        <x:v>VOICE:S1-06:goal</x:v>
      </x:c>
      <x:c r="E568" s="11" t="n">
        <x:v>4.816666666666666</x:v>
      </x:c>
      <x:c r="F568" s="11" t="n">
        <x:v>12.816666666666666</x:v>
      </x:c>
      <x:c r="G568" s="11" t="n">
        <x:f>F568-E568</x:f>
        <x:v>8</x:v>
      </x:c>
      <x:c r="H568" s="10" t="n">
        <x:v>1</x:v>
      </x:c>
      <x:c r="I568" s="10" t="str">
        <x:v>completed_as_adopted</x:v>
      </x:c>
      <x:c r="J568" s="10" t="str">
        <x:v>VOICE:B-R2/S1-06/scored/00252</x:v>
      </x:c>
      <x:c r="K568" s="10" t="str">
        <x:v>VOICE:S1-06:input</x:v>
      </x:c>
      <x:c r="L568" s="10" t="str">
        <x:v>VOICE:B-R2/S1-06/scored/00252</x:v>
      </x:c>
    </x:row>
    <x:row r="569" ht="52" customHeight="1">
      <x:c r="A569" s="10" t="str">
        <x:v>V-R3</x:v>
      </x:c>
      <x:c r="B569" s="10" t="str">
        <x:v>VOICE</x:v>
      </x:c>
      <x:c r="C569" s="10" t="str">
        <x:v>VOICE:S1-06</x:v>
      </x:c>
      <x:c r="D569" s="10" t="str">
        <x:v>VOICE:S1-06:goal</x:v>
      </x:c>
      <x:c r="E569" s="11" t="n">
        <x:v>4.816666666666666</x:v>
      </x:c>
      <x:c r="F569" s="11" t="n">
        <x:v>12.816666666666666</x:v>
      </x:c>
      <x:c r="G569" s="11" t="n">
        <x:f>F569-E569</x:f>
        <x:v>8</x:v>
      </x:c>
      <x:c r="H569" s="10" t="n">
        <x:v>1</x:v>
      </x:c>
      <x:c r="I569" s="10" t="str">
        <x:v>completed_as_adopted</x:v>
      </x:c>
      <x:c r="J569" s="10" t="str">
        <x:v>VOICE:B-R3/S1-06/scored/00263</x:v>
      </x:c>
      <x:c r="K569" s="10" t="str">
        <x:v>VOICE:S1-06:input</x:v>
      </x:c>
      <x:c r="L569" s="10" t="str">
        <x:v>VOICE:B-R3/S1-06/scored/00263</x:v>
      </x:c>
    </x:row>
    <x:row r="570" ht="52" customHeight="1">
      <x:c r="A570" s="10" t="str">
        <x:v>V-A</x:v>
      </x:c>
      <x:c r="B570" s="10" t="str">
        <x:v>VOICE</x:v>
      </x:c>
      <x:c r="C570" s="10" t="str">
        <x:v>VOICE:S1-07</x:v>
      </x:c>
      <x:c r="D570" s="10" t="str">
        <x:v>VOICE:S1-07:goal</x:v>
      </x:c>
      <x:c r="E570" s="11" t="n">
        <x:v>4.816666666666666</x:v>
      </x:c>
      <x:c r="F570" s="11" t="n">
        <x:v>12.816666666666666</x:v>
      </x:c>
      <x:c r="G570" s="11" t="n">
        <x:f>F570-E570</x:f>
        <x:v>8</x:v>
      </x:c>
      <x:c r="H570" s="10" t="n">
        <x:v>1</x:v>
      </x:c>
      <x:c r="I570" s="10" t="str">
        <x:v>completed_as_adopted</x:v>
      </x:c>
      <x:c r="J570" s="10" t="str">
        <x:v>VOICE:A/S1-07/scored/00274</x:v>
      </x:c>
      <x:c r="K570" s="10" t="str">
        <x:v>VOICE:S1-07:input</x:v>
      </x:c>
      <x:c r="L570" s="10" t="str">
        <x:v>VOICE:A/S1-07/scored/00274</x:v>
      </x:c>
    </x:row>
    <x:row r="571" ht="52" customHeight="1">
      <x:c r="A571" s="10" t="str">
        <x:v>V-R1</x:v>
      </x:c>
      <x:c r="B571" s="10" t="str">
        <x:v>VOICE</x:v>
      </x:c>
      <x:c r="C571" s="10" t="str">
        <x:v>VOICE:S1-07</x:v>
      </x:c>
      <x:c r="D571" s="10" t="str">
        <x:v>VOICE:S1-07:goal</x:v>
      </x:c>
      <x:c r="E571" s="11" t="n">
        <x:v>4.816666666666666</x:v>
      </x:c>
      <x:c r="F571" s="11" t="n">
        <x:v>12.816666666666666</x:v>
      </x:c>
      <x:c r="G571" s="11" t="n">
        <x:f>F571-E571</x:f>
        <x:v>8</x:v>
      </x:c>
      <x:c r="H571" s="10" t="n">
        <x:v>1</x:v>
      </x:c>
      <x:c r="I571" s="10" t="str">
        <x:v>completed_as_adopted</x:v>
      </x:c>
      <x:c r="J571" s="10" t="str">
        <x:v>VOICE:B-R1/S1-07/scored/00285</x:v>
      </x:c>
      <x:c r="K571" s="10" t="str">
        <x:v>VOICE:S1-07:input</x:v>
      </x:c>
      <x:c r="L571" s="10" t="str">
        <x:v>VOICE:B-R1/S1-07/scored/00285</x:v>
      </x:c>
    </x:row>
    <x:row r="572" ht="52" customHeight="1">
      <x:c r="A572" s="10" t="str">
        <x:v>V-R2</x:v>
      </x:c>
      <x:c r="B572" s="10" t="str">
        <x:v>VOICE</x:v>
      </x:c>
      <x:c r="C572" s="10" t="str">
        <x:v>VOICE:S1-07</x:v>
      </x:c>
      <x:c r="D572" s="10" t="str">
        <x:v>VOICE:S1-07:goal</x:v>
      </x:c>
      <x:c r="E572" s="11" t="n">
        <x:v>4.816666666666666</x:v>
      </x:c>
      <x:c r="F572" s="11" t="n">
        <x:v>12.816666666666666</x:v>
      </x:c>
      <x:c r="G572" s="11" t="n">
        <x:f>F572-E572</x:f>
        <x:v>8</x:v>
      </x:c>
      <x:c r="H572" s="10" t="n">
        <x:v>1</x:v>
      </x:c>
      <x:c r="I572" s="10" t="str">
        <x:v>completed_as_adopted</x:v>
      </x:c>
      <x:c r="J572" s="10" t="str">
        <x:v>VOICE:B-R2/S1-07/scored/00296</x:v>
      </x:c>
      <x:c r="K572" s="10" t="str">
        <x:v>VOICE:S1-07:input</x:v>
      </x:c>
      <x:c r="L572" s="10" t="str">
        <x:v>VOICE:B-R2/S1-07/scored/00296</x:v>
      </x:c>
    </x:row>
    <x:row r="573" ht="52" customHeight="1">
      <x:c r="A573" s="10" t="str">
        <x:v>V-R3</x:v>
      </x:c>
      <x:c r="B573" s="10" t="str">
        <x:v>VOICE</x:v>
      </x:c>
      <x:c r="C573" s="10" t="str">
        <x:v>VOICE:S1-07</x:v>
      </x:c>
      <x:c r="D573" s="10" t="str">
        <x:v>VOICE:S1-07:goal</x:v>
      </x:c>
      <x:c r="E573" s="11" t="n">
        <x:v>4.816666666666666</x:v>
      </x:c>
      <x:c r="F573" s="11" t="n">
        <x:v>12.816666666666666</x:v>
      </x:c>
      <x:c r="G573" s="11" t="n">
        <x:f>F573-E573</x:f>
        <x:v>8</x:v>
      </x:c>
      <x:c r="H573" s="10" t="n">
        <x:v>1</x:v>
      </x:c>
      <x:c r="I573" s="10" t="str">
        <x:v>completed_as_adopted</x:v>
      </x:c>
      <x:c r="J573" s="10" t="str">
        <x:v>VOICE:B-R3/S1-07/scored/00307</x:v>
      </x:c>
      <x:c r="K573" s="10" t="str">
        <x:v>VOICE:S1-07:input</x:v>
      </x:c>
      <x:c r="L573" s="10" t="str">
        <x:v>VOICE:B-R3/S1-07/scored/00307</x:v>
      </x:c>
    </x:row>
    <x:row r="574" ht="52" customHeight="1">
      <x:c r="A574" s="10" t="str">
        <x:v>V-A</x:v>
      </x:c>
      <x:c r="B574" s="10" t="str">
        <x:v>VOICE</x:v>
      </x:c>
      <x:c r="C574" s="10" t="str">
        <x:v>VOICE:S1-08</x:v>
      </x:c>
      <x:c r="D574" s="10" t="str">
        <x:v>VOICE:S1-08:goal</x:v>
      </x:c>
      <x:c r="E574" s="11" t="n">
        <x:v>4.816666666666666</x:v>
      </x:c>
      <x:c r="F574" s="11" t="n">
        <x:v>12.816666666666666</x:v>
      </x:c>
      <x:c r="G574" s="11" t="n">
        <x:f>F574-E574</x:f>
        <x:v>8</x:v>
      </x:c>
      <x:c r="H574" s="10" t="n">
        <x:v>1</x:v>
      </x:c>
      <x:c r="I574" s="10" t="str">
        <x:v>completed_as_adopted</x:v>
      </x:c>
      <x:c r="J574" s="10" t="str">
        <x:v>VOICE:A/S1-08/scored/00318</x:v>
      </x:c>
      <x:c r="K574" s="10" t="str">
        <x:v>VOICE:S1-08:input</x:v>
      </x:c>
      <x:c r="L574" s="10" t="str">
        <x:v>VOICE:A/S1-08/scored/00318</x:v>
      </x:c>
    </x:row>
    <x:row r="575" ht="52" customHeight="1">
      <x:c r="A575" s="10" t="str">
        <x:v>V-R1</x:v>
      </x:c>
      <x:c r="B575" s="10" t="str">
        <x:v>VOICE</x:v>
      </x:c>
      <x:c r="C575" s="10" t="str">
        <x:v>VOICE:S1-08</x:v>
      </x:c>
      <x:c r="D575" s="10" t="str">
        <x:v>VOICE:S1-08:goal</x:v>
      </x:c>
      <x:c r="E575" s="11" t="n">
        <x:v>4.816666666666666</x:v>
      </x:c>
      <x:c r="F575" s="11" t="n">
        <x:v>12.816666666666666</x:v>
      </x:c>
      <x:c r="G575" s="11" t="n">
        <x:f>F575-E575</x:f>
        <x:v>8</x:v>
      </x:c>
      <x:c r="H575" s="10" t="n">
        <x:v>1</x:v>
      </x:c>
      <x:c r="I575" s="10" t="str">
        <x:v>completed_as_adopted</x:v>
      </x:c>
      <x:c r="J575" s="10" t="str">
        <x:v>VOICE:B-R1/S1-08/scored/00329</x:v>
      </x:c>
      <x:c r="K575" s="10" t="str">
        <x:v>VOICE:S1-08:input</x:v>
      </x:c>
      <x:c r="L575" s="10" t="str">
        <x:v>VOICE:B-R1/S1-08/scored/00329</x:v>
      </x:c>
    </x:row>
    <x:row r="576" ht="52" customHeight="1">
      <x:c r="A576" s="10" t="str">
        <x:v>V-R2</x:v>
      </x:c>
      <x:c r="B576" s="10" t="str">
        <x:v>VOICE</x:v>
      </x:c>
      <x:c r="C576" s="10" t="str">
        <x:v>VOICE:S1-08</x:v>
      </x:c>
      <x:c r="D576" s="10" t="str">
        <x:v>VOICE:S1-08:goal</x:v>
      </x:c>
      <x:c r="E576" s="11" t="n">
        <x:v>4.816666666666666</x:v>
      </x:c>
      <x:c r="F576" s="11" t="n">
        <x:v>12.816666666666666</x:v>
      </x:c>
      <x:c r="G576" s="11" t="n">
        <x:f>F576-E576</x:f>
        <x:v>8</x:v>
      </x:c>
      <x:c r="H576" s="10" t="n">
        <x:v>1</x:v>
      </x:c>
      <x:c r="I576" s="10" t="str">
        <x:v>completed_as_adopted</x:v>
      </x:c>
      <x:c r="J576" s="10" t="str">
        <x:v>VOICE:B-R2/S1-08/scored/00340</x:v>
      </x:c>
      <x:c r="K576" s="10" t="str">
        <x:v>VOICE:S1-08:input</x:v>
      </x:c>
      <x:c r="L576" s="10" t="str">
        <x:v>VOICE:B-R2/S1-08/scored/00340</x:v>
      </x:c>
    </x:row>
    <x:row r="577" ht="52" customHeight="1">
      <x:c r="A577" s="10" t="str">
        <x:v>V-R3</x:v>
      </x:c>
      <x:c r="B577" s="10" t="str">
        <x:v>VOICE</x:v>
      </x:c>
      <x:c r="C577" s="10" t="str">
        <x:v>VOICE:S1-08</x:v>
      </x:c>
      <x:c r="D577" s="10" t="str">
        <x:v>VOICE:S1-08:goal</x:v>
      </x:c>
      <x:c r="E577" s="11" t="n">
        <x:v>4.816666666666666</x:v>
      </x:c>
      <x:c r="F577" s="11" t="n">
        <x:v>12.816666666666666</x:v>
      </x:c>
      <x:c r="G577" s="11" t="n">
        <x:f>F577-E577</x:f>
        <x:v>8</x:v>
      </x:c>
      <x:c r="H577" s="10" t="n">
        <x:v>1</x:v>
      </x:c>
      <x:c r="I577" s="10" t="str">
        <x:v>completed_as_adopted</x:v>
      </x:c>
      <x:c r="J577" s="10" t="str">
        <x:v>VOICE:B-R3/S1-08/scored/00351</x:v>
      </x:c>
      <x:c r="K577" s="10" t="str">
        <x:v>VOICE:S1-08:input</x:v>
      </x:c>
      <x:c r="L577" s="10" t="str">
        <x:v>VOICE:B-R3/S1-08/scored/00351</x:v>
      </x:c>
    </x:row>
    <x:row r="578" ht="52" customHeight="1">
      <x:c r="A578" s="10" t="str">
        <x:v>V-A</x:v>
      </x:c>
      <x:c r="B578" s="10" t="str">
        <x:v>VOICE</x:v>
      </x:c>
      <x:c r="C578" s="10" t="str">
        <x:v>VOICE:S1-09</x:v>
      </x:c>
      <x:c r="D578" s="10" t="str">
        <x:v>VOICE:S1-09:goal</x:v>
      </x:c>
      <x:c r="E578" s="11" t="n">
        <x:v>4.816666666666666</x:v>
      </x:c>
      <x:c r="F578" s="11" t="n">
        <x:v>12.816666666666666</x:v>
      </x:c>
      <x:c r="G578" s="11" t="n">
        <x:f>F578-E578</x:f>
        <x:v>8</x:v>
      </x:c>
      <x:c r="H578" s="10" t="n">
        <x:v>1</x:v>
      </x:c>
      <x:c r="I578" s="10" t="str">
        <x:v>completed_as_adopted</x:v>
      </x:c>
      <x:c r="J578" s="10" t="str">
        <x:v>VOICE:A/S1-09/scored/00362</x:v>
      </x:c>
      <x:c r="K578" s="10" t="str">
        <x:v>VOICE:S1-09:input</x:v>
      </x:c>
      <x:c r="L578" s="10" t="str">
        <x:v>VOICE:A/S1-09/scored/00362</x:v>
      </x:c>
    </x:row>
    <x:row r="579" ht="52" customHeight="1">
      <x:c r="A579" s="10" t="str">
        <x:v>V-R1</x:v>
      </x:c>
      <x:c r="B579" s="10" t="str">
        <x:v>VOICE</x:v>
      </x:c>
      <x:c r="C579" s="10" t="str">
        <x:v>VOICE:S1-09</x:v>
      </x:c>
      <x:c r="D579" s="10" t="str">
        <x:v>VOICE:S1-09:goal</x:v>
      </x:c>
      <x:c r="E579" s="11" t="n">
        <x:v>4.816666666666666</x:v>
      </x:c>
      <x:c r="F579" s="11" t="n">
        <x:v>12.816666666666666</x:v>
      </x:c>
      <x:c r="G579" s="11" t="n">
        <x:f>F579-E579</x:f>
        <x:v>8</x:v>
      </x:c>
      <x:c r="H579" s="10" t="n">
        <x:v>1</x:v>
      </x:c>
      <x:c r="I579" s="10" t="str">
        <x:v>completed_as_adopted</x:v>
      </x:c>
      <x:c r="J579" s="10" t="str">
        <x:v>VOICE:B-R1/S1-09/scored/00373</x:v>
      </x:c>
      <x:c r="K579" s="10" t="str">
        <x:v>VOICE:S1-09:input</x:v>
      </x:c>
      <x:c r="L579" s="10" t="str">
        <x:v>VOICE:B-R1/S1-09/scored/00373</x:v>
      </x:c>
    </x:row>
    <x:row r="580" ht="52" customHeight="1">
      <x:c r="A580" s="10" t="str">
        <x:v>V-R2</x:v>
      </x:c>
      <x:c r="B580" s="10" t="str">
        <x:v>VOICE</x:v>
      </x:c>
      <x:c r="C580" s="10" t="str">
        <x:v>VOICE:S1-09</x:v>
      </x:c>
      <x:c r="D580" s="10" t="str">
        <x:v>VOICE:S1-09:goal</x:v>
      </x:c>
      <x:c r="E580" s="11" t="n">
        <x:v>4.816666666666666</x:v>
      </x:c>
      <x:c r="F580" s="11" t="n">
        <x:v>12.816666666666666</x:v>
      </x:c>
      <x:c r="G580" s="11" t="n">
        <x:f>F580-E580</x:f>
        <x:v>8</x:v>
      </x:c>
      <x:c r="H580" s="10" t="n">
        <x:v>1</x:v>
      </x:c>
      <x:c r="I580" s="10" t="str">
        <x:v>completed_as_adopted</x:v>
      </x:c>
      <x:c r="J580" s="10" t="str">
        <x:v>VOICE:B-R2/S1-09/scored/00384</x:v>
      </x:c>
      <x:c r="K580" s="10" t="str">
        <x:v>VOICE:S1-09:input</x:v>
      </x:c>
      <x:c r="L580" s="10" t="str">
        <x:v>VOICE:B-R2/S1-09/scored/00384</x:v>
      </x:c>
    </x:row>
    <x:row r="581" ht="52" customHeight="1">
      <x:c r="A581" s="10" t="str">
        <x:v>V-R3</x:v>
      </x:c>
      <x:c r="B581" s="10" t="str">
        <x:v>VOICE</x:v>
      </x:c>
      <x:c r="C581" s="10" t="str">
        <x:v>VOICE:S1-09</x:v>
      </x:c>
      <x:c r="D581" s="10" t="str">
        <x:v>VOICE:S1-09:goal</x:v>
      </x:c>
      <x:c r="E581" s="11" t="n">
        <x:v>4.816666666666666</x:v>
      </x:c>
      <x:c r="F581" s="11" t="n">
        <x:v>12.816666666666666</x:v>
      </x:c>
      <x:c r="G581" s="11" t="n">
        <x:f>F581-E581</x:f>
        <x:v>8</x:v>
      </x:c>
      <x:c r="H581" s="10" t="n">
        <x:v>1</x:v>
      </x:c>
      <x:c r="I581" s="10" t="str">
        <x:v>completed_as_adopted</x:v>
      </x:c>
      <x:c r="J581" s="10" t="str">
        <x:v>VOICE:B-R3/S1-09/scored/00395</x:v>
      </x:c>
      <x:c r="K581" s="10" t="str">
        <x:v>VOICE:S1-09:input</x:v>
      </x:c>
      <x:c r="L581" s="10" t="str">
        <x:v>VOICE:B-R3/S1-09/scored/00395</x:v>
      </x:c>
    </x:row>
    <x:row r="582" ht="52" customHeight="1">
      <x:c r="A582" s="10" t="str">
        <x:v>V-A</x:v>
      </x:c>
      <x:c r="B582" s="10" t="str">
        <x:v>VOICE</x:v>
      </x:c>
      <x:c r="C582" s="10" t="str">
        <x:v>VOICE:S1-10</x:v>
      </x:c>
      <x:c r="D582" s="10" t="str">
        <x:v>VOICE:S1-10:goal</x:v>
      </x:c>
      <x:c r="E582" s="11" t="n">
        <x:v>4.816666666666666</x:v>
      </x:c>
      <x:c r="F582" s="11" t="n">
        <x:v>12.816666666666666</x:v>
      </x:c>
      <x:c r="G582" s="11" t="n">
        <x:f>F582-E582</x:f>
        <x:v>8</x:v>
      </x:c>
      <x:c r="H582" s="10" t="n">
        <x:v>0</x:v>
      </x:c>
      <x:c r="I582" s="10" t="str">
        <x:v>completed_as_adopted</x:v>
      </x:c>
      <x:c r="J582" s="10" t="str">
        <x:v>VOICE:A/S1-10/scored/00406</x:v>
      </x:c>
      <x:c r="K582" s="10" t="str">
        <x:v>VOICE:S1-10:input</x:v>
      </x:c>
      <x:c r="L582" s="10" t="str">
        <x:v>VOICE:A/S1-10/scored/00406</x:v>
      </x:c>
    </x:row>
    <x:row r="583" ht="52" customHeight="1">
      <x:c r="A583" s="10" t="str">
        <x:v>V-R1</x:v>
      </x:c>
      <x:c r="B583" s="10" t="str">
        <x:v>VOICE</x:v>
      </x:c>
      <x:c r="C583" s="10" t="str">
        <x:v>VOICE:S1-10</x:v>
      </x:c>
      <x:c r="D583" s="10" t="str">
        <x:v>VOICE:S1-10:goal</x:v>
      </x:c>
      <x:c r="E583" s="11" t="n">
        <x:v>4.816666666666666</x:v>
      </x:c>
      <x:c r="F583" s="11" t="n">
        <x:v>12.816666666666666</x:v>
      </x:c>
      <x:c r="G583" s="11" t="n">
        <x:f>F583-E583</x:f>
        <x:v>8</x:v>
      </x:c>
      <x:c r="H583" s="10" t="n">
        <x:v>0</x:v>
      </x:c>
      <x:c r="I583" s="10" t="str">
        <x:v>completed_as_adopted</x:v>
      </x:c>
      <x:c r="J583" s="10" t="str">
        <x:v>VOICE:B-R1/S1-10/scored/00417</x:v>
      </x:c>
      <x:c r="K583" s="10" t="str">
        <x:v>VOICE:S1-10:input</x:v>
      </x:c>
      <x:c r="L583" s="10" t="str">
        <x:v>VOICE:B-R1/S1-10/scored/00417</x:v>
      </x:c>
    </x:row>
    <x:row r="584" ht="52" customHeight="1">
      <x:c r="A584" s="10" t="str">
        <x:v>V-R2</x:v>
      </x:c>
      <x:c r="B584" s="10" t="str">
        <x:v>VOICE</x:v>
      </x:c>
      <x:c r="C584" s="10" t="str">
        <x:v>VOICE:S1-10</x:v>
      </x:c>
      <x:c r="D584" s="10" t="str">
        <x:v>VOICE:S1-10:goal</x:v>
      </x:c>
      <x:c r="E584" s="11" t="n">
        <x:v>4.816666666666666</x:v>
      </x:c>
      <x:c r="F584" s="11" t="n">
        <x:v>12.816666666666666</x:v>
      </x:c>
      <x:c r="G584" s="11" t="n">
        <x:f>F584-E584</x:f>
        <x:v>8</x:v>
      </x:c>
      <x:c r="H584" s="10" t="n">
        <x:v>0</x:v>
      </x:c>
      <x:c r="I584" s="10" t="str">
        <x:v>completed_as_adopted</x:v>
      </x:c>
      <x:c r="J584" s="10" t="str">
        <x:v>VOICE:B-R2/S1-10/scored/00428</x:v>
      </x:c>
      <x:c r="K584" s="10" t="str">
        <x:v>VOICE:S1-10:input</x:v>
      </x:c>
      <x:c r="L584" s="10" t="str">
        <x:v>VOICE:B-R2/S1-10/scored/00428</x:v>
      </x:c>
    </x:row>
    <x:row r="585" ht="52" customHeight="1">
      <x:c r="A585" s="10" t="str">
        <x:v>V-R3</x:v>
      </x:c>
      <x:c r="B585" s="10" t="str">
        <x:v>VOICE</x:v>
      </x:c>
      <x:c r="C585" s="10" t="str">
        <x:v>VOICE:S1-10</x:v>
      </x:c>
      <x:c r="D585" s="10" t="str">
        <x:v>VOICE:S1-10:goal</x:v>
      </x:c>
      <x:c r="E585" s="11" t="n">
        <x:v>4.816666666666666</x:v>
      </x:c>
      <x:c r="F585" s="11" t="n">
        <x:v>12.816666666666666</x:v>
      </x:c>
      <x:c r="G585" s="11" t="n">
        <x:f>F585-E585</x:f>
        <x:v>8</x:v>
      </x:c>
      <x:c r="H585" s="10" t="n">
        <x:v>0</x:v>
      </x:c>
      <x:c r="I585" s="10" t="str">
        <x:v>completed_as_adopted</x:v>
      </x:c>
      <x:c r="J585" s="10" t="str">
        <x:v>VOICE:B-R3/S1-10/scored/00439</x:v>
      </x:c>
      <x:c r="K585" s="10" t="str">
        <x:v>VOICE:S1-10:input</x:v>
      </x:c>
      <x:c r="L585" s="10" t="str">
        <x:v>VOICE:B-R3/S1-10/scored/00439</x:v>
      </x:c>
    </x:row>
    <x:row r="586" ht="52" customHeight="1">
      <x:c r="A586" s="10" t="str">
        <x:v>V-A</x:v>
      </x:c>
      <x:c r="B586" s="10" t="str">
        <x:v>VOICE</x:v>
      </x:c>
      <x:c r="C586" s="10" t="str">
        <x:v>VOICE:S1-11</x:v>
      </x:c>
      <x:c r="D586" s="10" t="str">
        <x:v>VOICE:S1-11:goal</x:v>
      </x:c>
      <x:c r="E586" s="11" t="n">
        <x:v>4.816666666666666</x:v>
      </x:c>
      <x:c r="F586" s="11" t="n">
        <x:v>12.816666666666666</x:v>
      </x:c>
      <x:c r="G586" s="11" t="n">
        <x:f>F586-E586</x:f>
        <x:v>8</x:v>
      </x:c>
      <x:c r="H586" s="10" t="n">
        <x:v>1</x:v>
      </x:c>
      <x:c r="I586" s="10" t="str">
        <x:v>completed_as_adopted</x:v>
      </x:c>
      <x:c r="J586" s="10" t="str">
        <x:v>VOICE:A/S1-11/scored/00450</x:v>
      </x:c>
      <x:c r="K586" s="10" t="str">
        <x:v>VOICE:S1-11:input</x:v>
      </x:c>
      <x:c r="L586" s="10" t="str">
        <x:v>VOICE:A/S1-11/scored/00450</x:v>
      </x:c>
    </x:row>
    <x:row r="587" ht="52" customHeight="1">
      <x:c r="A587" s="10" t="str">
        <x:v>V-R1</x:v>
      </x:c>
      <x:c r="B587" s="10" t="str">
        <x:v>VOICE</x:v>
      </x:c>
      <x:c r="C587" s="10" t="str">
        <x:v>VOICE:S1-11</x:v>
      </x:c>
      <x:c r="D587" s="10" t="str">
        <x:v>VOICE:S1-11:goal</x:v>
      </x:c>
      <x:c r="E587" s="11" t="n">
        <x:v>4.816666666666666</x:v>
      </x:c>
      <x:c r="F587" s="11" t="n">
        <x:v>12.816666666666666</x:v>
      </x:c>
      <x:c r="G587" s="11" t="n">
        <x:f>F587-E587</x:f>
        <x:v>8</x:v>
      </x:c>
      <x:c r="H587" s="10" t="n">
        <x:v>1</x:v>
      </x:c>
      <x:c r="I587" s="10" t="str">
        <x:v>completed_as_adopted</x:v>
      </x:c>
      <x:c r="J587" s="10" t="str">
        <x:v>VOICE:B-R1/S1-11/scored/00461</x:v>
      </x:c>
      <x:c r="K587" s="10" t="str">
        <x:v>VOICE:S1-11:input</x:v>
      </x:c>
      <x:c r="L587" s="10" t="str">
        <x:v>VOICE:B-R1/S1-11/scored/00461</x:v>
      </x:c>
    </x:row>
    <x:row r="588" ht="52" customHeight="1">
      <x:c r="A588" s="10" t="str">
        <x:v>V-R2</x:v>
      </x:c>
      <x:c r="B588" s="10" t="str">
        <x:v>VOICE</x:v>
      </x:c>
      <x:c r="C588" s="10" t="str">
        <x:v>VOICE:S1-11</x:v>
      </x:c>
      <x:c r="D588" s="10" t="str">
        <x:v>VOICE:S1-11:goal</x:v>
      </x:c>
      <x:c r="E588" s="11" t="n">
        <x:v>4.816666666666666</x:v>
      </x:c>
      <x:c r="F588" s="11" t="n">
        <x:v>12.816666666666666</x:v>
      </x:c>
      <x:c r="G588" s="11" t="n">
        <x:f>F588-E588</x:f>
        <x:v>8</x:v>
      </x:c>
      <x:c r="H588" s="10" t="n">
        <x:v>1</x:v>
      </x:c>
      <x:c r="I588" s="10" t="str">
        <x:v>completed_as_adopted</x:v>
      </x:c>
      <x:c r="J588" s="10" t="str">
        <x:v>VOICE:B-R2/S1-11/scored/00472</x:v>
      </x:c>
      <x:c r="K588" s="10" t="str">
        <x:v>VOICE:S1-11:input</x:v>
      </x:c>
      <x:c r="L588" s="10" t="str">
        <x:v>VOICE:B-R2/S1-11/scored/00472</x:v>
      </x:c>
    </x:row>
    <x:row r="589" ht="52" customHeight="1">
      <x:c r="A589" s="10" t="str">
        <x:v>V-R3</x:v>
      </x:c>
      <x:c r="B589" s="10" t="str">
        <x:v>VOICE</x:v>
      </x:c>
      <x:c r="C589" s="10" t="str">
        <x:v>VOICE:S1-11</x:v>
      </x:c>
      <x:c r="D589" s="10" t="str">
        <x:v>VOICE:S1-11:goal</x:v>
      </x:c>
      <x:c r="E589" s="11" t="n">
        <x:v>4.816666666666666</x:v>
      </x:c>
      <x:c r="F589" s="11" t="n">
        <x:v>12.816666666666666</x:v>
      </x:c>
      <x:c r="G589" s="11" t="n">
        <x:f>F589-E589</x:f>
        <x:v>8</x:v>
      </x:c>
      <x:c r="H589" s="10" t="n">
        <x:v>1</x:v>
      </x:c>
      <x:c r="I589" s="10" t="str">
        <x:v>completed_as_adopted</x:v>
      </x:c>
      <x:c r="J589" s="10" t="str">
        <x:v>VOICE:B-R3/S1-11/scored/00483</x:v>
      </x:c>
      <x:c r="K589" s="10" t="str">
        <x:v>VOICE:S1-11:input</x:v>
      </x:c>
      <x:c r="L589" s="10" t="str">
        <x:v>VOICE:B-R3/S1-11/scored/00483</x:v>
      </x:c>
    </x:row>
    <x:row r="590" ht="52" customHeight="1">
      <x:c r="A590" s="10" t="str">
        <x:v>V-A</x:v>
      </x:c>
      <x:c r="B590" s="10" t="str">
        <x:v>VOICE</x:v>
      </x:c>
      <x:c r="C590" s="10" t="str">
        <x:v>VOICE:S1-12</x:v>
      </x:c>
      <x:c r="D590" s="10" t="str">
        <x:v>VOICE:S1-12:goal</x:v>
      </x:c>
      <x:c r="E590" s="11" t="n">
        <x:v>4.816666666666666</x:v>
      </x:c>
      <x:c r="F590" s="11" t="n">
        <x:v>12.816666666666666</x:v>
      </x:c>
      <x:c r="G590" s="11" t="n">
        <x:f>F590-E590</x:f>
        <x:v>8</x:v>
      </x:c>
      <x:c r="H590" s="10" t="n">
        <x:v>1</x:v>
      </x:c>
      <x:c r="I590" s="10" t="str">
        <x:v>completed_as_adopted</x:v>
      </x:c>
      <x:c r="J590" s="10" t="str">
        <x:v>VOICE:A/S1-12/scored/00494</x:v>
      </x:c>
      <x:c r="K590" s="10" t="str">
        <x:v>VOICE:S1-12:input</x:v>
      </x:c>
      <x:c r="L590" s="10" t="str">
        <x:v>VOICE:A/S1-12/scored/00494</x:v>
      </x:c>
    </x:row>
    <x:row r="591" ht="52" customHeight="1">
      <x:c r="A591" s="10" t="str">
        <x:v>V-R1</x:v>
      </x:c>
      <x:c r="B591" s="10" t="str">
        <x:v>VOICE</x:v>
      </x:c>
      <x:c r="C591" s="10" t="str">
        <x:v>VOICE:S1-12</x:v>
      </x:c>
      <x:c r="D591" s="10" t="str">
        <x:v>VOICE:S1-12:goal</x:v>
      </x:c>
      <x:c r="E591" s="11" t="n">
        <x:v>4.816666666666666</x:v>
      </x:c>
      <x:c r="F591" s="11" t="n">
        <x:v>12.816666666666666</x:v>
      </x:c>
      <x:c r="G591" s="11" t="n">
        <x:f>F591-E591</x:f>
        <x:v>8</x:v>
      </x:c>
      <x:c r="H591" s="10" t="n">
        <x:v>1</x:v>
      </x:c>
      <x:c r="I591" s="10" t="str">
        <x:v>completed_as_adopted</x:v>
      </x:c>
      <x:c r="J591" s="10" t="str">
        <x:v>VOICE:B-R1/S1-12/scored/00505</x:v>
      </x:c>
      <x:c r="K591" s="10" t="str">
        <x:v>VOICE:S1-12:input</x:v>
      </x:c>
      <x:c r="L591" s="10" t="str">
        <x:v>VOICE:B-R1/S1-12/scored/00505</x:v>
      </x:c>
    </x:row>
    <x:row r="592" ht="52" customHeight="1">
      <x:c r="A592" s="10" t="str">
        <x:v>V-R2</x:v>
      </x:c>
      <x:c r="B592" s="10" t="str">
        <x:v>VOICE</x:v>
      </x:c>
      <x:c r="C592" s="10" t="str">
        <x:v>VOICE:S1-12</x:v>
      </x:c>
      <x:c r="D592" s="10" t="str">
        <x:v>VOICE:S1-12:goal</x:v>
      </x:c>
      <x:c r="E592" s="11" t="n">
        <x:v>4.816666666666666</x:v>
      </x:c>
      <x:c r="F592" s="11" t="n">
        <x:v>12.816666666666666</x:v>
      </x:c>
      <x:c r="G592" s="11" t="n">
        <x:f>F592-E592</x:f>
        <x:v>8</x:v>
      </x:c>
      <x:c r="H592" s="10" t="n">
        <x:v>1</x:v>
      </x:c>
      <x:c r="I592" s="10" t="str">
        <x:v>completed_as_adopted</x:v>
      </x:c>
      <x:c r="J592" s="10" t="str">
        <x:v>VOICE:B-R2/S1-12/scored/00516</x:v>
      </x:c>
      <x:c r="K592" s="10" t="str">
        <x:v>VOICE:S1-12:input</x:v>
      </x:c>
      <x:c r="L592" s="10" t="str">
        <x:v>VOICE:B-R2/S1-12/scored/00516</x:v>
      </x:c>
    </x:row>
    <x:row r="593" ht="52" customHeight="1">
      <x:c r="A593" s="10" t="str">
        <x:v>V-R3</x:v>
      </x:c>
      <x:c r="B593" s="10" t="str">
        <x:v>VOICE</x:v>
      </x:c>
      <x:c r="C593" s="10" t="str">
        <x:v>VOICE:S1-12</x:v>
      </x:c>
      <x:c r="D593" s="10" t="str">
        <x:v>VOICE:S1-12:goal</x:v>
      </x:c>
      <x:c r="E593" s="11" t="n">
        <x:v>4.816666666666666</x:v>
      </x:c>
      <x:c r="F593" s="11" t="n">
        <x:v>12.816666666666666</x:v>
      </x:c>
      <x:c r="G593" s="11" t="n">
        <x:f>F593-E593</x:f>
        <x:v>8</x:v>
      </x:c>
      <x:c r="H593" s="10" t="n">
        <x:v>1</x:v>
      </x:c>
      <x:c r="I593" s="10" t="str">
        <x:v>completed_as_adopted</x:v>
      </x:c>
      <x:c r="J593" s="10" t="str">
        <x:v>VOICE:B-R3/S1-12/scored/00527</x:v>
      </x:c>
      <x:c r="K593" s="10" t="str">
        <x:v>VOICE:S1-12:input</x:v>
      </x:c>
      <x:c r="L593" s="10" t="str">
        <x:v>VOICE:B-R3/S1-12/scored/00527</x:v>
      </x:c>
    </x:row>
    <x:row r="594" ht="52" customHeight="1">
      <x:c r="A594" s="10" t="str">
        <x:v>V-A</x:v>
      </x:c>
      <x:c r="B594" s="10" t="str">
        <x:v>VOICE</x:v>
      </x:c>
      <x:c r="C594" s="10" t="str">
        <x:v>VOICE:S1-13</x:v>
      </x:c>
      <x:c r="D594" s="10" t="str">
        <x:v>VOICE:S1-13:goal</x:v>
      </x:c>
      <x:c r="E594" s="11" t="n">
        <x:v>4.816666666666666</x:v>
      </x:c>
      <x:c r="F594" s="11" t="n">
        <x:v>12.816666666666666</x:v>
      </x:c>
      <x:c r="G594" s="11" t="n">
        <x:f>F594-E594</x:f>
        <x:v>8</x:v>
      </x:c>
      <x:c r="H594" s="10" t="n">
        <x:v>1</x:v>
      </x:c>
      <x:c r="I594" s="10" t="str">
        <x:v>completed_as_adopted</x:v>
      </x:c>
      <x:c r="J594" s="10" t="str">
        <x:v>VOICE:A/S1-13/scored/00538</x:v>
      </x:c>
      <x:c r="K594" s="10" t="str">
        <x:v>VOICE:S1-13:input</x:v>
      </x:c>
      <x:c r="L594" s="10" t="str">
        <x:v>VOICE:A/S1-13/scored/00538</x:v>
      </x:c>
    </x:row>
    <x:row r="595" ht="52" customHeight="1">
      <x:c r="A595" s="10" t="str">
        <x:v>V-R1</x:v>
      </x:c>
      <x:c r="B595" s="10" t="str">
        <x:v>VOICE</x:v>
      </x:c>
      <x:c r="C595" s="10" t="str">
        <x:v>VOICE:S1-13</x:v>
      </x:c>
      <x:c r="D595" s="10" t="str">
        <x:v>VOICE:S1-13:goal</x:v>
      </x:c>
      <x:c r="E595" s="11" t="n">
        <x:v>4.816666666666666</x:v>
      </x:c>
      <x:c r="F595" s="11" t="n">
        <x:v>12.816666666666666</x:v>
      </x:c>
      <x:c r="G595" s="11" t="n">
        <x:f>F595-E595</x:f>
        <x:v>8</x:v>
      </x:c>
      <x:c r="H595" s="10" t="n">
        <x:v>1</x:v>
      </x:c>
      <x:c r="I595" s="10" t="str">
        <x:v>completed_as_adopted</x:v>
      </x:c>
      <x:c r="J595" s="10" t="str">
        <x:v>VOICE:B-R1/S1-13/scored/00549</x:v>
      </x:c>
      <x:c r="K595" s="10" t="str">
        <x:v>VOICE:S1-13:input</x:v>
      </x:c>
      <x:c r="L595" s="10" t="str">
        <x:v>VOICE:B-R1/S1-13/scored/00549</x:v>
      </x:c>
    </x:row>
    <x:row r="596" ht="52" customHeight="1">
      <x:c r="A596" s="10" t="str">
        <x:v>V-R2</x:v>
      </x:c>
      <x:c r="B596" s="10" t="str">
        <x:v>VOICE</x:v>
      </x:c>
      <x:c r="C596" s="10" t="str">
        <x:v>VOICE:S1-13</x:v>
      </x:c>
      <x:c r="D596" s="10" t="str">
        <x:v>VOICE:S1-13:goal</x:v>
      </x:c>
      <x:c r="E596" s="11" t="n">
        <x:v>4.816666666666666</x:v>
      </x:c>
      <x:c r="F596" s="11" t="n">
        <x:v>12.816666666666666</x:v>
      </x:c>
      <x:c r="G596" s="11" t="n">
        <x:f>F596-E596</x:f>
        <x:v>8</x:v>
      </x:c>
      <x:c r="H596" s="10" t="n">
        <x:v>1</x:v>
      </x:c>
      <x:c r="I596" s="10" t="str">
        <x:v>completed_as_adopted</x:v>
      </x:c>
      <x:c r="J596" s="10" t="str">
        <x:v>VOICE:B-R2/S1-13/scored/00560</x:v>
      </x:c>
      <x:c r="K596" s="10" t="str">
        <x:v>VOICE:S1-13:input</x:v>
      </x:c>
      <x:c r="L596" s="10" t="str">
        <x:v>VOICE:B-R2/S1-13/scored/00560</x:v>
      </x:c>
    </x:row>
    <x:row r="597" ht="52" customHeight="1">
      <x:c r="A597" s="10" t="str">
        <x:v>V-R3</x:v>
      </x:c>
      <x:c r="B597" s="10" t="str">
        <x:v>VOICE</x:v>
      </x:c>
      <x:c r="C597" s="10" t="str">
        <x:v>VOICE:S1-13</x:v>
      </x:c>
      <x:c r="D597" s="10" t="str">
        <x:v>VOICE:S1-13:goal</x:v>
      </x:c>
      <x:c r="E597" s="11" t="n">
        <x:v>4.816666666666666</x:v>
      </x:c>
      <x:c r="F597" s="11" t="n">
        <x:v>12.816666666666666</x:v>
      </x:c>
      <x:c r="G597" s="11" t="n">
        <x:f>F597-E597</x:f>
        <x:v>8</x:v>
      </x:c>
      <x:c r="H597" s="10" t="n">
        <x:v>1</x:v>
      </x:c>
      <x:c r="I597" s="10" t="str">
        <x:v>completed_as_adopted</x:v>
      </x:c>
      <x:c r="J597" s="10" t="str">
        <x:v>VOICE:B-R3/S1-13/scored/00571</x:v>
      </x:c>
      <x:c r="K597" s="10" t="str">
        <x:v>VOICE:S1-13:input</x:v>
      </x:c>
      <x:c r="L597" s="10" t="str">
        <x:v>VOICE:B-R3/S1-13/scored/00571</x:v>
      </x:c>
    </x:row>
    <x:row r="598" ht="52" customHeight="1">
      <x:c r="A598" s="10" t="str">
        <x:v>V-A</x:v>
      </x:c>
      <x:c r="B598" s="10" t="str">
        <x:v>VOICE</x:v>
      </x:c>
      <x:c r="C598" s="10" t="str">
        <x:v>VOICE:S1-14</x:v>
      </x:c>
      <x:c r="D598" s="10" t="str">
        <x:v>VOICE:S1-14:goal</x:v>
      </x:c>
      <x:c r="E598" s="11" t="n">
        <x:v>4.816666666666666</x:v>
      </x:c>
      <x:c r="F598" s="11" t="n">
        <x:v>12.816666666666666</x:v>
      </x:c>
      <x:c r="G598" s="11" t="n">
        <x:f>F598-E598</x:f>
        <x:v>8</x:v>
      </x:c>
      <x:c r="H598" s="10" t="n">
        <x:v>1</x:v>
      </x:c>
      <x:c r="I598" s="10" t="str">
        <x:v>completed_as_adopted</x:v>
      </x:c>
      <x:c r="J598" s="10" t="str">
        <x:v>VOICE:A/S1-14/scored/00582</x:v>
      </x:c>
      <x:c r="K598" s="10" t="str">
        <x:v>VOICE:S1-14:input</x:v>
      </x:c>
      <x:c r="L598" s="10" t="str">
        <x:v>VOICE:A/S1-14/scored/00582</x:v>
      </x:c>
    </x:row>
    <x:row r="599" ht="52" customHeight="1">
      <x:c r="A599" s="10" t="str">
        <x:v>V-R1</x:v>
      </x:c>
      <x:c r="B599" s="10" t="str">
        <x:v>VOICE</x:v>
      </x:c>
      <x:c r="C599" s="10" t="str">
        <x:v>VOICE:S1-14</x:v>
      </x:c>
      <x:c r="D599" s="10" t="str">
        <x:v>VOICE:S1-14:goal</x:v>
      </x:c>
      <x:c r="E599" s="11" t="n">
        <x:v>4.816666666666666</x:v>
      </x:c>
      <x:c r="F599" s="11" t="n">
        <x:v>12.816666666666666</x:v>
      </x:c>
      <x:c r="G599" s="11" t="n">
        <x:f>F599-E599</x:f>
        <x:v>8</x:v>
      </x:c>
      <x:c r="H599" s="10" t="n">
        <x:v>1</x:v>
      </x:c>
      <x:c r="I599" s="10" t="str">
        <x:v>completed_as_adopted</x:v>
      </x:c>
      <x:c r="J599" s="10" t="str">
        <x:v>VOICE:B-R1/S1-14/scored/00593</x:v>
      </x:c>
      <x:c r="K599" s="10" t="str">
        <x:v>VOICE:S1-14:input</x:v>
      </x:c>
      <x:c r="L599" s="10" t="str">
        <x:v>VOICE:B-R1/S1-14/scored/00593</x:v>
      </x:c>
    </x:row>
    <x:row r="600" ht="52" customHeight="1">
      <x:c r="A600" s="10" t="str">
        <x:v>V-R2</x:v>
      </x:c>
      <x:c r="B600" s="10" t="str">
        <x:v>VOICE</x:v>
      </x:c>
      <x:c r="C600" s="10" t="str">
        <x:v>VOICE:S1-14</x:v>
      </x:c>
      <x:c r="D600" s="10" t="str">
        <x:v>VOICE:S1-14:goal</x:v>
      </x:c>
      <x:c r="E600" s="11" t="n">
        <x:v>4.816666666666666</x:v>
      </x:c>
      <x:c r="F600" s="11" t="n">
        <x:v>12.816666666666666</x:v>
      </x:c>
      <x:c r="G600" s="11" t="n">
        <x:f>F600-E600</x:f>
        <x:v>8</x:v>
      </x:c>
      <x:c r="H600" s="10" t="n">
        <x:v>1</x:v>
      </x:c>
      <x:c r="I600" s="10" t="str">
        <x:v>completed_as_adopted</x:v>
      </x:c>
      <x:c r="J600" s="10" t="str">
        <x:v>VOICE:B-R2/S1-14/scored/00604</x:v>
      </x:c>
      <x:c r="K600" s="10" t="str">
        <x:v>VOICE:S1-14:input</x:v>
      </x:c>
      <x:c r="L600" s="10" t="str">
        <x:v>VOICE:B-R2/S1-14/scored/00604</x:v>
      </x:c>
    </x:row>
    <x:row r="601" ht="52" customHeight="1">
      <x:c r="A601" s="10" t="str">
        <x:v>V-R3</x:v>
      </x:c>
      <x:c r="B601" s="10" t="str">
        <x:v>VOICE</x:v>
      </x:c>
      <x:c r="C601" s="10" t="str">
        <x:v>VOICE:S1-14</x:v>
      </x:c>
      <x:c r="D601" s="10" t="str">
        <x:v>VOICE:S1-14:goal</x:v>
      </x:c>
      <x:c r="E601" s="11" t="n">
        <x:v>4.816666666666666</x:v>
      </x:c>
      <x:c r="F601" s="11" t="n">
        <x:v>12.816666666666666</x:v>
      </x:c>
      <x:c r="G601" s="11" t="n">
        <x:f>F601-E601</x:f>
        <x:v>8</x:v>
      </x:c>
      <x:c r="H601" s="10" t="n">
        <x:v>1</x:v>
      </x:c>
      <x:c r="I601" s="10" t="str">
        <x:v>completed_as_adopted</x:v>
      </x:c>
      <x:c r="J601" s="10" t="str">
        <x:v>VOICE:B-R3/S1-14/scored/00615</x:v>
      </x:c>
      <x:c r="K601" s="10" t="str">
        <x:v>VOICE:S1-14:input</x:v>
      </x:c>
      <x:c r="L601" s="10" t="str">
        <x:v>VOICE:B-R3/S1-14/scored/00615</x:v>
      </x:c>
    </x:row>
    <x:row r="602" ht="52" customHeight="1">
      <x:c r="A602" s="10" t="str">
        <x:v>V-A</x:v>
      </x:c>
      <x:c r="B602" s="10" t="str">
        <x:v>VOICE</x:v>
      </x:c>
      <x:c r="C602" s="10" t="str">
        <x:v>VOICE:S1-15</x:v>
      </x:c>
      <x:c r="D602" s="10" t="str">
        <x:v>VOICE:S1-15:goal</x:v>
      </x:c>
      <x:c r="E602" s="11" t="n">
        <x:v>4.816666666666666</x:v>
      </x:c>
      <x:c r="F602" s="11" t="n">
        <x:v>12.816666666666666</x:v>
      </x:c>
      <x:c r="G602" s="11" t="n">
        <x:f>F602-E602</x:f>
        <x:v>8</x:v>
      </x:c>
      <x:c r="H602" s="10" t="n">
        <x:v>1</x:v>
      </x:c>
      <x:c r="I602" s="10" t="str">
        <x:v>completed_as_adopted</x:v>
      </x:c>
      <x:c r="J602" s="10" t="str">
        <x:v>VOICE:A/S1-15/scored/00626</x:v>
      </x:c>
      <x:c r="K602" s="10" t="str">
        <x:v>VOICE:S1-15:input</x:v>
      </x:c>
      <x:c r="L602" s="10" t="str">
        <x:v>VOICE:A/S1-15/scored/00626</x:v>
      </x:c>
    </x:row>
    <x:row r="603" ht="52" customHeight="1">
      <x:c r="A603" s="10" t="str">
        <x:v>V-R1</x:v>
      </x:c>
      <x:c r="B603" s="10" t="str">
        <x:v>VOICE</x:v>
      </x:c>
      <x:c r="C603" s="10" t="str">
        <x:v>VOICE:S1-15</x:v>
      </x:c>
      <x:c r="D603" s="10" t="str">
        <x:v>VOICE:S1-15:goal</x:v>
      </x:c>
      <x:c r="E603" s="11" t="n">
        <x:v>4.816666666666666</x:v>
      </x:c>
      <x:c r="F603" s="11" t="n">
        <x:v>12.816666666666666</x:v>
      </x:c>
      <x:c r="G603" s="11" t="n">
        <x:f>F603-E603</x:f>
        <x:v>8</x:v>
      </x:c>
      <x:c r="H603" s="10" t="n">
        <x:v>1</x:v>
      </x:c>
      <x:c r="I603" s="10" t="str">
        <x:v>completed_as_adopted</x:v>
      </x:c>
      <x:c r="J603" s="10" t="str">
        <x:v>VOICE:B-R1/S1-15/scored/00637</x:v>
      </x:c>
      <x:c r="K603" s="10" t="str">
        <x:v>VOICE:S1-15:input</x:v>
      </x:c>
      <x:c r="L603" s="10" t="str">
        <x:v>VOICE:B-R1/S1-15/scored/00637</x:v>
      </x:c>
    </x:row>
    <x:row r="604" ht="52" customHeight="1">
      <x:c r="A604" s="10" t="str">
        <x:v>V-R2</x:v>
      </x:c>
      <x:c r="B604" s="10" t="str">
        <x:v>VOICE</x:v>
      </x:c>
      <x:c r="C604" s="10" t="str">
        <x:v>VOICE:S1-15</x:v>
      </x:c>
      <x:c r="D604" s="10" t="str">
        <x:v>VOICE:S1-15:goal</x:v>
      </x:c>
      <x:c r="E604" s="11" t="n">
        <x:v>4.816666666666666</x:v>
      </x:c>
      <x:c r="F604" s="11" t="n">
        <x:v>12.816666666666666</x:v>
      </x:c>
      <x:c r="G604" s="11" t="n">
        <x:f>F604-E604</x:f>
        <x:v>8</x:v>
      </x:c>
      <x:c r="H604" s="10" t="n">
        <x:v>1</x:v>
      </x:c>
      <x:c r="I604" s="10" t="str">
        <x:v>completed_as_adopted</x:v>
      </x:c>
      <x:c r="J604" s="10" t="str">
        <x:v>VOICE:B-R2/S1-15/scored/00648</x:v>
      </x:c>
      <x:c r="K604" s="10" t="str">
        <x:v>VOICE:S1-15:input</x:v>
      </x:c>
      <x:c r="L604" s="10" t="str">
        <x:v>VOICE:B-R2/S1-15/scored/00648</x:v>
      </x:c>
    </x:row>
    <x:row r="605" ht="52" customHeight="1">
      <x:c r="A605" s="10" t="str">
        <x:v>V-R3</x:v>
      </x:c>
      <x:c r="B605" s="10" t="str">
        <x:v>VOICE</x:v>
      </x:c>
      <x:c r="C605" s="10" t="str">
        <x:v>VOICE:S1-15</x:v>
      </x:c>
      <x:c r="D605" s="10" t="str">
        <x:v>VOICE:S1-15:goal</x:v>
      </x:c>
      <x:c r="E605" s="11" t="n">
        <x:v>4.816666666666666</x:v>
      </x:c>
      <x:c r="F605" s="11" t="n">
        <x:v>12.816666666666666</x:v>
      </x:c>
      <x:c r="G605" s="11" t="n">
        <x:f>F605-E605</x:f>
        <x:v>8</x:v>
      </x:c>
      <x:c r="H605" s="10" t="n">
        <x:v>1</x:v>
      </x:c>
      <x:c r="I605" s="10" t="str">
        <x:v>completed_as_adopted</x:v>
      </x:c>
      <x:c r="J605" s="10" t="str">
        <x:v>VOICE:B-R3/S1-15/scored/00659</x:v>
      </x:c>
      <x:c r="K605" s="10" t="str">
        <x:v>VOICE:S1-15:input</x:v>
      </x:c>
      <x:c r="L605" s="10" t="str">
        <x:v>VOICE:B-R3/S1-15/scored/00659</x:v>
      </x:c>
    </x:row>
    <x:row r="606" ht="52" customHeight="1">
      <x:c r="A606" s="10" t="str">
        <x:v>V-A</x:v>
      </x:c>
      <x:c r="B606" s="10" t="str">
        <x:v>VOICE</x:v>
      </x:c>
      <x:c r="C606" s="10" t="str">
        <x:v>VOICE:S1-16</x:v>
      </x:c>
      <x:c r="D606" s="10" t="str">
        <x:v>VOICE:S1-16:goal</x:v>
      </x:c>
      <x:c r="E606" s="11" t="n">
        <x:v>4.816666666666666</x:v>
      </x:c>
      <x:c r="F606" s="11" t="n">
        <x:v>12.816666666666666</x:v>
      </x:c>
      <x:c r="G606" s="11" t="n">
        <x:f>F606-E606</x:f>
        <x:v>8</x:v>
      </x:c>
      <x:c r="H606" s="10" t="n">
        <x:v>1</x:v>
      </x:c>
      <x:c r="I606" s="10" t="str">
        <x:v>completed_as_adopted</x:v>
      </x:c>
      <x:c r="J606" s="10" t="str">
        <x:v>VOICE:A/S1-16/scored/00670</x:v>
      </x:c>
      <x:c r="K606" s="10" t="str">
        <x:v>VOICE:S1-16:input</x:v>
      </x:c>
      <x:c r="L606" s="10" t="str">
        <x:v>VOICE:A/S1-16/scored/00670</x:v>
      </x:c>
    </x:row>
    <x:row r="607" ht="52" customHeight="1">
      <x:c r="A607" s="10" t="str">
        <x:v>V-R1</x:v>
      </x:c>
      <x:c r="B607" s="10" t="str">
        <x:v>VOICE</x:v>
      </x:c>
      <x:c r="C607" s="10" t="str">
        <x:v>VOICE:S1-16</x:v>
      </x:c>
      <x:c r="D607" s="10" t="str">
        <x:v>VOICE:S1-16:goal</x:v>
      </x:c>
      <x:c r="E607" s="11" t="n">
        <x:v>4.816666666666666</x:v>
      </x:c>
      <x:c r="F607" s="11" t="n">
        <x:v>12.816666666666666</x:v>
      </x:c>
      <x:c r="G607" s="11" t="n">
        <x:f>F607-E607</x:f>
        <x:v>8</x:v>
      </x:c>
      <x:c r="H607" s="10" t="n">
        <x:v>1</x:v>
      </x:c>
      <x:c r="I607" s="10" t="str">
        <x:v>completed_as_adopted</x:v>
      </x:c>
      <x:c r="J607" s="10" t="str">
        <x:v>VOICE:B-R1/S1-16/scored/00681</x:v>
      </x:c>
      <x:c r="K607" s="10" t="str">
        <x:v>VOICE:S1-16:input</x:v>
      </x:c>
      <x:c r="L607" s="10" t="str">
        <x:v>VOICE:B-R1/S1-16/scored/00681</x:v>
      </x:c>
    </x:row>
    <x:row r="608" ht="52" customHeight="1">
      <x:c r="A608" s="10" t="str">
        <x:v>V-R2</x:v>
      </x:c>
      <x:c r="B608" s="10" t="str">
        <x:v>VOICE</x:v>
      </x:c>
      <x:c r="C608" s="10" t="str">
        <x:v>VOICE:S1-16</x:v>
      </x:c>
      <x:c r="D608" s="10" t="str">
        <x:v>VOICE:S1-16:goal</x:v>
      </x:c>
      <x:c r="E608" s="11" t="n">
        <x:v>4.816666666666666</x:v>
      </x:c>
      <x:c r="F608" s="11" t="n">
        <x:v>12.816666666666666</x:v>
      </x:c>
      <x:c r="G608" s="11" t="n">
        <x:f>F608-E608</x:f>
        <x:v>8</x:v>
      </x:c>
      <x:c r="H608" s="10" t="n">
        <x:v>1</x:v>
      </x:c>
      <x:c r="I608" s="10" t="str">
        <x:v>completed_as_adopted</x:v>
      </x:c>
      <x:c r="J608" s="10" t="str">
        <x:v>VOICE:B-R2/S1-16/scored/00692</x:v>
      </x:c>
      <x:c r="K608" s="10" t="str">
        <x:v>VOICE:S1-16:input</x:v>
      </x:c>
      <x:c r="L608" s="10" t="str">
        <x:v>VOICE:B-R2/S1-16/scored/00692</x:v>
      </x:c>
    </x:row>
    <x:row r="609" ht="52" customHeight="1">
      <x:c r="A609" s="10" t="str">
        <x:v>V-R3</x:v>
      </x:c>
      <x:c r="B609" s="10" t="str">
        <x:v>VOICE</x:v>
      </x:c>
      <x:c r="C609" s="10" t="str">
        <x:v>VOICE:S1-16</x:v>
      </x:c>
      <x:c r="D609" s="10" t="str">
        <x:v>VOICE:S1-16:goal</x:v>
      </x:c>
      <x:c r="E609" s="11" t="n">
        <x:v>4.816666666666666</x:v>
      </x:c>
      <x:c r="F609" s="11" t="n">
        <x:v>12.816666666666666</x:v>
      </x:c>
      <x:c r="G609" s="11" t="n">
        <x:f>F609-E609</x:f>
        <x:v>8</x:v>
      </x:c>
      <x:c r="H609" s="10" t="n">
        <x:v>1</x:v>
      </x:c>
      <x:c r="I609" s="10" t="str">
        <x:v>completed_as_adopted</x:v>
      </x:c>
      <x:c r="J609" s="10" t="str">
        <x:v>VOICE:B-R3/S1-16/scored/00703</x:v>
      </x:c>
      <x:c r="K609" s="10" t="str">
        <x:v>VOICE:S1-16:input</x:v>
      </x:c>
      <x:c r="L609" s="10" t="str">
        <x:v>VOICE:B-R3/S1-16/scored/00703</x:v>
      </x:c>
    </x:row>
    <x:row r="610" ht="52" customHeight="1">
      <x:c r="A610" s="10" t="str">
        <x:v>V-A</x:v>
      </x:c>
      <x:c r="B610" s="10" t="str">
        <x:v>VOICE</x:v>
      </x:c>
      <x:c r="C610" s="10" t="str">
        <x:v>VOICE:S1-17</x:v>
      </x:c>
      <x:c r="D610" s="10" t="str">
        <x:v>VOICE:S1-17:goal</x:v>
      </x:c>
      <x:c r="E610" s="11" t="n">
        <x:v>4.816666666666666</x:v>
      </x:c>
      <x:c r="F610" s="11" t="n">
        <x:v>12.816666666666666</x:v>
      </x:c>
      <x:c r="G610" s="11" t="n">
        <x:f>F610-E610</x:f>
        <x:v>8</x:v>
      </x:c>
      <x:c r="H610" s="10" t="n">
        <x:v>1</x:v>
      </x:c>
      <x:c r="I610" s="10" t="str">
        <x:v>completed_as_adopted</x:v>
      </x:c>
      <x:c r="J610" s="10" t="str">
        <x:v>VOICE:A/S1-17/scored/00714</x:v>
      </x:c>
      <x:c r="K610" s="10" t="str">
        <x:v>VOICE:S1-17:input</x:v>
      </x:c>
      <x:c r="L610" s="10" t="str">
        <x:v>VOICE:A/S1-17/scored/00714</x:v>
      </x:c>
    </x:row>
    <x:row r="611" ht="52" customHeight="1">
      <x:c r="A611" s="10" t="str">
        <x:v>V-R1</x:v>
      </x:c>
      <x:c r="B611" s="10" t="str">
        <x:v>VOICE</x:v>
      </x:c>
      <x:c r="C611" s="10" t="str">
        <x:v>VOICE:S1-17</x:v>
      </x:c>
      <x:c r="D611" s="10" t="str">
        <x:v>VOICE:S1-17:goal</x:v>
      </x:c>
      <x:c r="E611" s="11" t="n">
        <x:v>4.816666666666666</x:v>
      </x:c>
      <x:c r="F611" s="11" t="n">
        <x:v>12.816666666666666</x:v>
      </x:c>
      <x:c r="G611" s="11" t="n">
        <x:f>F611-E611</x:f>
        <x:v>8</x:v>
      </x:c>
      <x:c r="H611" s="10" t="n">
        <x:v>1</x:v>
      </x:c>
      <x:c r="I611" s="10" t="str">
        <x:v>completed_as_adopted</x:v>
      </x:c>
      <x:c r="J611" s="10" t="str">
        <x:v>VOICE:B-R1/S1-17/scored/00725</x:v>
      </x:c>
      <x:c r="K611" s="10" t="str">
        <x:v>VOICE:S1-17:input</x:v>
      </x:c>
      <x:c r="L611" s="10" t="str">
        <x:v>VOICE:B-R1/S1-17/scored/00725</x:v>
      </x:c>
    </x:row>
    <x:row r="612" ht="52" customHeight="1">
      <x:c r="A612" s="10" t="str">
        <x:v>V-R2</x:v>
      </x:c>
      <x:c r="B612" s="10" t="str">
        <x:v>VOICE</x:v>
      </x:c>
      <x:c r="C612" s="10" t="str">
        <x:v>VOICE:S1-17</x:v>
      </x:c>
      <x:c r="D612" s="10" t="str">
        <x:v>VOICE:S1-17:goal</x:v>
      </x:c>
      <x:c r="E612" s="11" t="n">
        <x:v>4.816666666666666</x:v>
      </x:c>
      <x:c r="F612" s="11" t="n">
        <x:v>12.816666666666666</x:v>
      </x:c>
      <x:c r="G612" s="11" t="n">
        <x:f>F612-E612</x:f>
        <x:v>8</x:v>
      </x:c>
      <x:c r="H612" s="10" t="n">
        <x:v>1</x:v>
      </x:c>
      <x:c r="I612" s="10" t="str">
        <x:v>completed_as_adopted</x:v>
      </x:c>
      <x:c r="J612" s="10" t="str">
        <x:v>VOICE:B-R2/S1-17/scored/00736</x:v>
      </x:c>
      <x:c r="K612" s="10" t="str">
        <x:v>VOICE:S1-17:input</x:v>
      </x:c>
      <x:c r="L612" s="10" t="str">
        <x:v>VOICE:B-R2/S1-17/scored/00736</x:v>
      </x:c>
    </x:row>
    <x:row r="613" ht="52" customHeight="1">
      <x:c r="A613" s="10" t="str">
        <x:v>V-R3</x:v>
      </x:c>
      <x:c r="B613" s="10" t="str">
        <x:v>VOICE</x:v>
      </x:c>
      <x:c r="C613" s="10" t="str">
        <x:v>VOICE:S1-17</x:v>
      </x:c>
      <x:c r="D613" s="10" t="str">
        <x:v>VOICE:S1-17:goal</x:v>
      </x:c>
      <x:c r="E613" s="11" t="n">
        <x:v>4.816666666666666</x:v>
      </x:c>
      <x:c r="F613" s="11" t="n">
        <x:v>12.816666666666666</x:v>
      </x:c>
      <x:c r="G613" s="11" t="n">
        <x:f>F613-E613</x:f>
        <x:v>8</x:v>
      </x:c>
      <x:c r="H613" s="10" t="n">
        <x:v>1</x:v>
      </x:c>
      <x:c r="I613" s="10" t="str">
        <x:v>completed_as_adopted</x:v>
      </x:c>
      <x:c r="J613" s="10" t="str">
        <x:v>VOICE:B-R3/S1-17/scored/00747</x:v>
      </x:c>
      <x:c r="K613" s="10" t="str">
        <x:v>VOICE:S1-17:input</x:v>
      </x:c>
      <x:c r="L613" s="10" t="str">
        <x:v>VOICE:B-R3/S1-17/scored/00747</x:v>
      </x:c>
    </x:row>
    <x:row r="614" ht="52" customHeight="1">
      <x:c r="A614" s="10" t="str">
        <x:v>V-A</x:v>
      </x:c>
      <x:c r="B614" s="10" t="str">
        <x:v>VOICE</x:v>
      </x:c>
      <x:c r="C614" s="10" t="str">
        <x:v>VOICE:S1-18</x:v>
      </x:c>
      <x:c r="D614" s="10" t="str">
        <x:v>VOICE:S1-18:goal</x:v>
      </x:c>
      <x:c r="E614" s="11" t="n">
        <x:v>4.816666666666666</x:v>
      </x:c>
      <x:c r="F614" s="11" t="n">
        <x:v>12.816666666666666</x:v>
      </x:c>
      <x:c r="G614" s="11" t="n">
        <x:f>F614-E614</x:f>
        <x:v>8</x:v>
      </x:c>
      <x:c r="H614" s="10" t="n">
        <x:v>1</x:v>
      </x:c>
      <x:c r="I614" s="10" t="str">
        <x:v>completed_as_adopted</x:v>
      </x:c>
      <x:c r="J614" s="10" t="str">
        <x:v>VOICE:A/S1-18/scored/00758</x:v>
      </x:c>
      <x:c r="K614" s="10" t="str">
        <x:v>VOICE:S1-18:input</x:v>
      </x:c>
      <x:c r="L614" s="10" t="str">
        <x:v>VOICE:A/S1-18/scored/00758</x:v>
      </x:c>
    </x:row>
    <x:row r="615" ht="52" customHeight="1">
      <x:c r="A615" s="10" t="str">
        <x:v>V-R1</x:v>
      </x:c>
      <x:c r="B615" s="10" t="str">
        <x:v>VOICE</x:v>
      </x:c>
      <x:c r="C615" s="10" t="str">
        <x:v>VOICE:S1-18</x:v>
      </x:c>
      <x:c r="D615" s="10" t="str">
        <x:v>VOICE:S1-18:goal</x:v>
      </x:c>
      <x:c r="E615" s="11" t="n">
        <x:v>4.816666666666666</x:v>
      </x:c>
      <x:c r="F615" s="11" t="n">
        <x:v>12.816666666666666</x:v>
      </x:c>
      <x:c r="G615" s="11" t="n">
        <x:f>F615-E615</x:f>
        <x:v>8</x:v>
      </x:c>
      <x:c r="H615" s="10" t="n">
        <x:v>1</x:v>
      </x:c>
      <x:c r="I615" s="10" t="str">
        <x:v>completed_as_adopted</x:v>
      </x:c>
      <x:c r="J615" s="10" t="str">
        <x:v>VOICE:B-R1/S1-18/scored/00769</x:v>
      </x:c>
      <x:c r="K615" s="10" t="str">
        <x:v>VOICE:S1-18:input</x:v>
      </x:c>
      <x:c r="L615" s="10" t="str">
        <x:v>VOICE:B-R1/S1-18/scored/00769</x:v>
      </x:c>
    </x:row>
    <x:row r="616" ht="52" customHeight="1">
      <x:c r="A616" s="10" t="str">
        <x:v>V-R2</x:v>
      </x:c>
      <x:c r="B616" s="10" t="str">
        <x:v>VOICE</x:v>
      </x:c>
      <x:c r="C616" s="10" t="str">
        <x:v>VOICE:S1-18</x:v>
      </x:c>
      <x:c r="D616" s="10" t="str">
        <x:v>VOICE:S1-18:goal</x:v>
      </x:c>
      <x:c r="E616" s="11" t="n">
        <x:v>4.816666666666666</x:v>
      </x:c>
      <x:c r="F616" s="11" t="n">
        <x:v>12.816666666666666</x:v>
      </x:c>
      <x:c r="G616" s="11" t="n">
        <x:f>F616-E616</x:f>
        <x:v>8</x:v>
      </x:c>
      <x:c r="H616" s="10" t="n">
        <x:v>1</x:v>
      </x:c>
      <x:c r="I616" s="10" t="str">
        <x:v>completed_as_adopted</x:v>
      </x:c>
      <x:c r="J616" s="10" t="str">
        <x:v>VOICE:B-R2/S1-18/scored/00780</x:v>
      </x:c>
      <x:c r="K616" s="10" t="str">
        <x:v>VOICE:S1-18:input</x:v>
      </x:c>
      <x:c r="L616" s="10" t="str">
        <x:v>VOICE:B-R2/S1-18/scored/00780</x:v>
      </x:c>
    </x:row>
    <x:row r="617" ht="52" customHeight="1">
      <x:c r="A617" s="10" t="str">
        <x:v>V-R3</x:v>
      </x:c>
      <x:c r="B617" s="10" t="str">
        <x:v>VOICE</x:v>
      </x:c>
      <x:c r="C617" s="10" t="str">
        <x:v>VOICE:S1-18</x:v>
      </x:c>
      <x:c r="D617" s="10" t="str">
        <x:v>VOICE:S1-18:goal</x:v>
      </x:c>
      <x:c r="E617" s="11" t="n">
        <x:v>4.816666666666666</x:v>
      </x:c>
      <x:c r="F617" s="11" t="n">
        <x:v>12.816666666666666</x:v>
      </x:c>
      <x:c r="G617" s="11" t="n">
        <x:f>F617-E617</x:f>
        <x:v>8</x:v>
      </x:c>
      <x:c r="H617" s="10" t="n">
        <x:v>1</x:v>
      </x:c>
      <x:c r="I617" s="10" t="str">
        <x:v>completed_as_adopted</x:v>
      </x:c>
      <x:c r="J617" s="10" t="str">
        <x:v>VOICE:B-R3/S1-18/scored/00791</x:v>
      </x:c>
      <x:c r="K617" s="10" t="str">
        <x:v>VOICE:S1-18:input</x:v>
      </x:c>
      <x:c r="L617" s="10" t="str">
        <x:v>VOICE:B-R3/S1-18/scored/00791</x:v>
      </x:c>
    </x:row>
    <x:row r="618" ht="52" customHeight="1">
      <x:c r="A618" s="10" t="str">
        <x:v>V-A</x:v>
      </x:c>
      <x:c r="B618" s="10" t="str">
        <x:v>VOICE</x:v>
      </x:c>
      <x:c r="C618" s="10" t="str">
        <x:v>VOICE:S1-19</x:v>
      </x:c>
      <x:c r="D618" s="10" t="str">
        <x:v>VOICE:S1-19:goal</x:v>
      </x:c>
      <x:c r="E618" s="11" t="n">
        <x:v>4.816666666666666</x:v>
      </x:c>
      <x:c r="F618" s="11" t="n">
        <x:v>12.816666666666666</x:v>
      </x:c>
      <x:c r="G618" s="11" t="n">
        <x:f>F618-E618</x:f>
        <x:v>8</x:v>
      </x:c>
      <x:c r="H618" s="10" t="n">
        <x:v>1</x:v>
      </x:c>
      <x:c r="I618" s="10" t="str">
        <x:v>completed_as_adopted</x:v>
      </x:c>
      <x:c r="J618" s="10" t="str">
        <x:v>VOICE:A/S1-19/scored/00802</x:v>
      </x:c>
      <x:c r="K618" s="10" t="str">
        <x:v>VOICE:S1-19:input</x:v>
      </x:c>
      <x:c r="L618" s="10" t="str">
        <x:v>VOICE:A/S1-19/scored/00802</x:v>
      </x:c>
    </x:row>
    <x:row r="619" ht="52" customHeight="1">
      <x:c r="A619" s="10" t="str">
        <x:v>V-R1</x:v>
      </x:c>
      <x:c r="B619" s="10" t="str">
        <x:v>VOICE</x:v>
      </x:c>
      <x:c r="C619" s="10" t="str">
        <x:v>VOICE:S1-19</x:v>
      </x:c>
      <x:c r="D619" s="10" t="str">
        <x:v>VOICE:S1-19:goal</x:v>
      </x:c>
      <x:c r="E619" s="11" t="n">
        <x:v>4.816666666666666</x:v>
      </x:c>
      <x:c r="F619" s="11" t="n">
        <x:v>12.816666666666666</x:v>
      </x:c>
      <x:c r="G619" s="11" t="n">
        <x:f>F619-E619</x:f>
        <x:v>8</x:v>
      </x:c>
      <x:c r="H619" s="10" t="n">
        <x:v>1</x:v>
      </x:c>
      <x:c r="I619" s="10" t="str">
        <x:v>completed_as_adopted</x:v>
      </x:c>
      <x:c r="J619" s="10" t="str">
        <x:v>VOICE:B-R1/S1-19/scored/00813</x:v>
      </x:c>
      <x:c r="K619" s="10" t="str">
        <x:v>VOICE:S1-19:input</x:v>
      </x:c>
      <x:c r="L619" s="10" t="str">
        <x:v>VOICE:B-R1/S1-19/scored/00813</x:v>
      </x:c>
    </x:row>
    <x:row r="620" ht="52" customHeight="1">
      <x:c r="A620" s="10" t="str">
        <x:v>V-R2</x:v>
      </x:c>
      <x:c r="B620" s="10" t="str">
        <x:v>VOICE</x:v>
      </x:c>
      <x:c r="C620" s="10" t="str">
        <x:v>VOICE:S1-19</x:v>
      </x:c>
      <x:c r="D620" s="10" t="str">
        <x:v>VOICE:S1-19:goal</x:v>
      </x:c>
      <x:c r="E620" s="11" t="n">
        <x:v>4.816666666666666</x:v>
      </x:c>
      <x:c r="F620" s="11" t="n">
        <x:v>12.816666666666666</x:v>
      </x:c>
      <x:c r="G620" s="11" t="n">
        <x:f>F620-E620</x:f>
        <x:v>8</x:v>
      </x:c>
      <x:c r="H620" s="10" t="n">
        <x:v>1</x:v>
      </x:c>
      <x:c r="I620" s="10" t="str">
        <x:v>completed_as_adopted</x:v>
      </x:c>
      <x:c r="J620" s="10" t="str">
        <x:v>VOICE:B-R2/S1-19/scored/00824</x:v>
      </x:c>
      <x:c r="K620" s="10" t="str">
        <x:v>VOICE:S1-19:input</x:v>
      </x:c>
      <x:c r="L620" s="10" t="str">
        <x:v>VOICE:B-R2/S1-19/scored/00824</x:v>
      </x:c>
    </x:row>
    <x:row r="621" ht="52" customHeight="1">
      <x:c r="A621" s="10" t="str">
        <x:v>V-R3</x:v>
      </x:c>
      <x:c r="B621" s="10" t="str">
        <x:v>VOICE</x:v>
      </x:c>
      <x:c r="C621" s="10" t="str">
        <x:v>VOICE:S1-19</x:v>
      </x:c>
      <x:c r="D621" s="10" t="str">
        <x:v>VOICE:S1-19:goal</x:v>
      </x:c>
      <x:c r="E621" s="11" t="n">
        <x:v>4.816666666666666</x:v>
      </x:c>
      <x:c r="F621" s="11" t="n">
        <x:v>12.816666666666666</x:v>
      </x:c>
      <x:c r="G621" s="11" t="n">
        <x:f>F621-E621</x:f>
        <x:v>8</x:v>
      </x:c>
      <x:c r="H621" s="10" t="n">
        <x:v>1</x:v>
      </x:c>
      <x:c r="I621" s="10" t="str">
        <x:v>completed_as_adopted</x:v>
      </x:c>
      <x:c r="J621" s="10" t="str">
        <x:v>VOICE:B-R3/S1-19/scored/00835</x:v>
      </x:c>
      <x:c r="K621" s="10" t="str">
        <x:v>VOICE:S1-19:input</x:v>
      </x:c>
      <x:c r="L621" s="10" t="str">
        <x:v>VOICE:B-R3/S1-19/scored/00835</x:v>
      </x:c>
    </x:row>
    <x:row r="622" ht="52" customHeight="1">
      <x:c r="A622" s="10" t="str">
        <x:v>V-A</x:v>
      </x:c>
      <x:c r="B622" s="10" t="str">
        <x:v>VOICE</x:v>
      </x:c>
      <x:c r="C622" s="10" t="str">
        <x:v>VOICE:S1-20</x:v>
      </x:c>
      <x:c r="D622" s="10" t="str">
        <x:v>VOICE:S1-20:goal</x:v>
      </x:c>
      <x:c r="E622" s="11" t="n">
        <x:v>4.816666666666666</x:v>
      </x:c>
      <x:c r="F622" s="11" t="n">
        <x:v>12.816666666666666</x:v>
      </x:c>
      <x:c r="G622" s="11" t="n">
        <x:f>F622-E622</x:f>
        <x:v>8</x:v>
      </x:c>
      <x:c r="H622" s="10" t="n">
        <x:v>1</x:v>
      </x:c>
      <x:c r="I622" s="10" t="str">
        <x:v>completed_as_adopted</x:v>
      </x:c>
      <x:c r="J622" s="10" t="str">
        <x:v>VOICE:A/S1-20/scored/00846</x:v>
      </x:c>
      <x:c r="K622" s="10" t="str">
        <x:v>VOICE:S1-20:input</x:v>
      </x:c>
      <x:c r="L622" s="10" t="str">
        <x:v>VOICE:A/S1-20/scored/00846</x:v>
      </x:c>
    </x:row>
    <x:row r="623" ht="52" customHeight="1">
      <x:c r="A623" s="10" t="str">
        <x:v>V-R1</x:v>
      </x:c>
      <x:c r="B623" s="10" t="str">
        <x:v>VOICE</x:v>
      </x:c>
      <x:c r="C623" s="10" t="str">
        <x:v>VOICE:S1-20</x:v>
      </x:c>
      <x:c r="D623" s="10" t="str">
        <x:v>VOICE:S1-20:goal</x:v>
      </x:c>
      <x:c r="E623" s="11" t="n">
        <x:v>4.816666666666666</x:v>
      </x:c>
      <x:c r="F623" s="11" t="n">
        <x:v>12.816666666666666</x:v>
      </x:c>
      <x:c r="G623" s="11" t="n">
        <x:f>F623-E623</x:f>
        <x:v>8</x:v>
      </x:c>
      <x:c r="H623" s="10" t="n">
        <x:v>1</x:v>
      </x:c>
      <x:c r="I623" s="10" t="str">
        <x:v>completed_as_adopted</x:v>
      </x:c>
      <x:c r="J623" s="10" t="str">
        <x:v>VOICE:B-R1/S1-20/scored/00857</x:v>
      </x:c>
      <x:c r="K623" s="10" t="str">
        <x:v>VOICE:S1-20:input</x:v>
      </x:c>
      <x:c r="L623" s="10" t="str">
        <x:v>VOICE:B-R1/S1-20/scored/00857</x:v>
      </x:c>
    </x:row>
    <x:row r="624" ht="52" customHeight="1">
      <x:c r="A624" s="10" t="str">
        <x:v>V-R2</x:v>
      </x:c>
      <x:c r="B624" s="10" t="str">
        <x:v>VOICE</x:v>
      </x:c>
      <x:c r="C624" s="10" t="str">
        <x:v>VOICE:S1-20</x:v>
      </x:c>
      <x:c r="D624" s="10" t="str">
        <x:v>VOICE:S1-20:goal</x:v>
      </x:c>
      <x:c r="E624" s="11" t="n">
        <x:v>4.816666666666666</x:v>
      </x:c>
      <x:c r="F624" s="11" t="n">
        <x:v>12.816666666666666</x:v>
      </x:c>
      <x:c r="G624" s="11" t="n">
        <x:f>F624-E624</x:f>
        <x:v>8</x:v>
      </x:c>
      <x:c r="H624" s="10" t="n">
        <x:v>1</x:v>
      </x:c>
      <x:c r="I624" s="10" t="str">
        <x:v>completed_as_adopted</x:v>
      </x:c>
      <x:c r="J624" s="10" t="str">
        <x:v>VOICE:B-R2/S1-20/scored/00868</x:v>
      </x:c>
      <x:c r="K624" s="10" t="str">
        <x:v>VOICE:S1-20:input</x:v>
      </x:c>
      <x:c r="L624" s="10" t="str">
        <x:v>VOICE:B-R2/S1-20/scored/00868</x:v>
      </x:c>
    </x:row>
    <x:row r="625" ht="52" customHeight="1">
      <x:c r="A625" s="10" t="str">
        <x:v>V-R3</x:v>
      </x:c>
      <x:c r="B625" s="10" t="str">
        <x:v>VOICE</x:v>
      </x:c>
      <x:c r="C625" s="10" t="str">
        <x:v>VOICE:S1-20</x:v>
      </x:c>
      <x:c r="D625" s="10" t="str">
        <x:v>VOICE:S1-20:goal</x:v>
      </x:c>
      <x:c r="E625" s="11" t="n">
        <x:v>4.816666666666666</x:v>
      </x:c>
      <x:c r="F625" s="11" t="n">
        <x:v>12.816666666666666</x:v>
      </x:c>
      <x:c r="G625" s="11" t="n">
        <x:f>F625-E625</x:f>
        <x:v>8</x:v>
      </x:c>
      <x:c r="H625" s="10" t="n">
        <x:v>1</x:v>
      </x:c>
      <x:c r="I625" s="10" t="str">
        <x:v>completed_as_adopted</x:v>
      </x:c>
      <x:c r="J625" s="10" t="str">
        <x:v>VOICE:B-R3/S1-20/scored/00879</x:v>
      </x:c>
      <x:c r="K625" s="10" t="str">
        <x:v>VOICE:S1-20:input</x:v>
      </x:c>
      <x:c r="L625" s="10" t="str">
        <x:v>VOICE:B-R3/S1-20/scored/00879</x:v>
      </x:c>
    </x:row>
    <x:row r="626" ht="52" customHeight="1">
      <x:c r="A626" s="10" t="str">
        <x:v>V-A</x:v>
      </x:c>
      <x:c r="B626" s="10" t="str">
        <x:v>VOICE</x:v>
      </x:c>
      <x:c r="C626" s="10" t="str">
        <x:v>VOICE:S2-01</x:v>
      </x:c>
      <x:c r="D626" s="10" t="str">
        <x:v>VOICE:S2-01:goal</x:v>
      </x:c>
      <x:c r="E626" s="11" t="n">
        <x:v>6.3166666666666655</x:v>
      </x:c>
      <x:c r="F626" s="11" t="n">
        <x:v>14.316666666666666</x:v>
      </x:c>
      <x:c r="G626" s="11" t="n">
        <x:f>F626-E626</x:f>
        <x:v>8</x:v>
      </x:c>
      <x:c r="H626" s="10" t="n">
        <x:v>0</x:v>
      </x:c>
      <x:c r="I626" s="10" t="str">
        <x:v>completed_as_adopted</x:v>
      </x:c>
      <x:c r="J626" s="10" t="str">
        <x:v>VOICE:A/S2-01/scored/00890</x:v>
      </x:c>
      <x:c r="K626" s="10" t="str">
        <x:v>VOICE:S2-01:input</x:v>
      </x:c>
      <x:c r="L626" s="10" t="str">
        <x:v>VOICE:A/S2-01/scored/00890</x:v>
      </x:c>
    </x:row>
    <x:row r="627" ht="52" customHeight="1">
      <x:c r="A627" s="10" t="str">
        <x:v>V-R1</x:v>
      </x:c>
      <x:c r="B627" s="10" t="str">
        <x:v>VOICE</x:v>
      </x:c>
      <x:c r="C627" s="10" t="str">
        <x:v>VOICE:S2-01</x:v>
      </x:c>
      <x:c r="D627" s="10" t="str">
        <x:v>VOICE:S2-01:goal</x:v>
      </x:c>
      <x:c r="E627" s="11" t="n">
        <x:v>9.450000000000001</x:v>
      </x:c>
      <x:c r="F627" s="11" t="n">
        <x:v>17.450000000000003</x:v>
      </x:c>
      <x:c r="G627" s="11" t="n">
        <x:f>F627-E627</x:f>
        <x:v>8.000000000000002</x:v>
      </x:c>
      <x:c r="H627" s="10" t="n">
        <x:v>1</x:v>
      </x:c>
      <x:c r="I627" s="10" t="str">
        <x:v>completed_as_adopted</x:v>
      </x:c>
      <x:c r="J627" s="10" t="str">
        <x:v>VOICE:B-R1/S2-01/scored/00905</x:v>
      </x:c>
      <x:c r="K627" s="10" t="str">
        <x:v>VOICE:S2-01:input</x:v>
      </x:c>
      <x:c r="L627" s="10" t="str">
        <x:v>VOICE:B-R1/S2-01/scored/00905</x:v>
      </x:c>
    </x:row>
    <x:row r="628" ht="52" customHeight="1">
      <x:c r="A628" s="10" t="str">
        <x:v>V-R2</x:v>
      </x:c>
      <x:c r="B628" s="10" t="str">
        <x:v>VOICE</x:v>
      </x:c>
      <x:c r="C628" s="10" t="str">
        <x:v>VOICE:S2-01</x:v>
      </x:c>
      <x:c r="D628" s="10" t="str">
        <x:v>VOICE:S2-01:goal</x:v>
      </x:c>
      <x:c r="E628" s="11" t="n">
        <x:v>9.450000000000001</x:v>
      </x:c>
      <x:c r="F628" s="11" t="n">
        <x:v>17.450000000000003</x:v>
      </x:c>
      <x:c r="G628" s="11" t="n">
        <x:f>F628-E628</x:f>
        <x:v>8.000000000000002</x:v>
      </x:c>
      <x:c r="H628" s="10" t="n">
        <x:v>1</x:v>
      </x:c>
      <x:c r="I628" s="10" t="str">
        <x:v>completed_as_adopted</x:v>
      </x:c>
      <x:c r="J628" s="10" t="str">
        <x:v>VOICE:B-R2/S2-01/scored/00919</x:v>
      </x:c>
      <x:c r="K628" s="10" t="str">
        <x:v>VOICE:S2-01:input</x:v>
      </x:c>
      <x:c r="L628" s="10" t="str">
        <x:v>VOICE:B-R2/S2-01/scored/00919</x:v>
      </x:c>
    </x:row>
    <x:row r="629" ht="52" customHeight="1">
      <x:c r="A629" s="10" t="str">
        <x:v>V-R3</x:v>
      </x:c>
      <x:c r="B629" s="10" t="str">
        <x:v>VOICE</x:v>
      </x:c>
      <x:c r="C629" s="10" t="str">
        <x:v>VOICE:S2-01</x:v>
      </x:c>
      <x:c r="D629" s="10" t="str">
        <x:v>VOICE:S2-01:goal</x:v>
      </x:c>
      <x:c r="E629" s="11" t="n">
        <x:v>9.51</x:v>
      </x:c>
      <x:c r="F629" s="11" t="n">
        <x:v>17.51</x:v>
      </x:c>
      <x:c r="G629" s="11" t="n">
        <x:f>F629-E629</x:f>
        <x:v>8.000000000000002</x:v>
      </x:c>
      <x:c r="H629" s="10" t="n">
        <x:v>1</x:v>
      </x:c>
      <x:c r="I629" s="10" t="str">
        <x:v>completed_as_adopted</x:v>
      </x:c>
      <x:c r="J629" s="10" t="str">
        <x:v>VOICE:B-R3/S2-01/scored/00934</x:v>
      </x:c>
      <x:c r="K629" s="10" t="str">
        <x:v>VOICE:S2-01:input</x:v>
      </x:c>
      <x:c r="L629" s="10" t="str">
        <x:v>VOICE:B-R3/S2-01/scored/00934</x:v>
      </x:c>
    </x:row>
    <x:row r="630" ht="52" customHeight="1">
      <x:c r="A630" s="10" t="str">
        <x:v>V-A</x:v>
      </x:c>
      <x:c r="B630" s="10" t="str">
        <x:v>VOICE</x:v>
      </x:c>
      <x:c r="C630" s="10" t="str">
        <x:v>VOICE:S2-02</x:v>
      </x:c>
      <x:c r="D630" s="10" t="str">
        <x:v>VOICE:S2-02:goal</x:v>
      </x:c>
      <x:c r="E630" s="11" t="n">
        <x:v>6.3166666666666655</x:v>
      </x:c>
      <x:c r="F630" s="11" t="n">
        <x:v>14.316666666666666</x:v>
      </x:c>
      <x:c r="G630" s="11" t="n">
        <x:f>F630-E630</x:f>
        <x:v>8</x:v>
      </x:c>
      <x:c r="H630" s="10" t="n">
        <x:v>0</x:v>
      </x:c>
      <x:c r="I630" s="10" t="str">
        <x:v>completed_as_adopted</x:v>
      </x:c>
      <x:c r="J630" s="10" t="str">
        <x:v>VOICE:A/S2-02/scored/00945</x:v>
      </x:c>
      <x:c r="K630" s="10" t="str">
        <x:v>VOICE:S2-02:input</x:v>
      </x:c>
      <x:c r="L630" s="10" t="str">
        <x:v>VOICE:A/S2-02/scored/00945</x:v>
      </x:c>
    </x:row>
    <x:row r="631" ht="52" customHeight="1">
      <x:c r="A631" s="10" t="str">
        <x:v>V-R1</x:v>
      </x:c>
      <x:c r="B631" s="10" t="str">
        <x:v>VOICE</x:v>
      </x:c>
      <x:c r="C631" s="10" t="str">
        <x:v>VOICE:S2-02</x:v>
      </x:c>
      <x:c r="D631" s="10" t="str">
        <x:v>VOICE:S2-02:goal</x:v>
      </x:c>
      <x:c r="E631" s="11" t="n">
        <x:v>9.450000000000001</x:v>
      </x:c>
      <x:c r="F631" s="11" t="n">
        <x:v>17.450000000000003</x:v>
      </x:c>
      <x:c r="G631" s="11" t="n">
        <x:f>F631-E631</x:f>
        <x:v>8.000000000000002</x:v>
      </x:c>
      <x:c r="H631" s="10" t="n">
        <x:v>1</x:v>
      </x:c>
      <x:c r="I631" s="10" t="str">
        <x:v>completed_as_adopted</x:v>
      </x:c>
      <x:c r="J631" s="10" t="str">
        <x:v>VOICE:B-R1/S2-02/scored/00960</x:v>
      </x:c>
      <x:c r="K631" s="10" t="str">
        <x:v>VOICE:S2-02:input</x:v>
      </x:c>
      <x:c r="L631" s="10" t="str">
        <x:v>VOICE:B-R1/S2-02/scored/00960</x:v>
      </x:c>
    </x:row>
    <x:row r="632" ht="52" customHeight="1">
      <x:c r="A632" s="10" t="str">
        <x:v>V-R2</x:v>
      </x:c>
      <x:c r="B632" s="10" t="str">
        <x:v>VOICE</x:v>
      </x:c>
      <x:c r="C632" s="10" t="str">
        <x:v>VOICE:S2-02</x:v>
      </x:c>
      <x:c r="D632" s="10" t="str">
        <x:v>VOICE:S2-02:goal</x:v>
      </x:c>
      <x:c r="E632" s="11" t="n">
        <x:v>9.450000000000001</x:v>
      </x:c>
      <x:c r="F632" s="11" t="n">
        <x:v>17.450000000000003</x:v>
      </x:c>
      <x:c r="G632" s="11" t="n">
        <x:f>F632-E632</x:f>
        <x:v>8.000000000000002</x:v>
      </x:c>
      <x:c r="H632" s="10" t="n">
        <x:v>1</x:v>
      </x:c>
      <x:c r="I632" s="10" t="str">
        <x:v>completed_as_adopted</x:v>
      </x:c>
      <x:c r="J632" s="10" t="str">
        <x:v>VOICE:B-R2/S2-02/scored/00974</x:v>
      </x:c>
      <x:c r="K632" s="10" t="str">
        <x:v>VOICE:S2-02:input</x:v>
      </x:c>
      <x:c r="L632" s="10" t="str">
        <x:v>VOICE:B-R2/S2-02/scored/00974</x:v>
      </x:c>
    </x:row>
    <x:row r="633" ht="52" customHeight="1">
      <x:c r="A633" s="10" t="str">
        <x:v>V-R3</x:v>
      </x:c>
      <x:c r="B633" s="10" t="str">
        <x:v>VOICE</x:v>
      </x:c>
      <x:c r="C633" s="10" t="str">
        <x:v>VOICE:S2-02</x:v>
      </x:c>
      <x:c r="D633" s="10" t="str">
        <x:v>VOICE:S2-02:goal</x:v>
      </x:c>
      <x:c r="E633" s="11" t="n">
        <x:v>9.51</x:v>
      </x:c>
      <x:c r="F633" s="11" t="n">
        <x:v>17.51</x:v>
      </x:c>
      <x:c r="G633" s="11" t="n">
        <x:f>F633-E633</x:f>
        <x:v>8.000000000000002</x:v>
      </x:c>
      <x:c r="H633" s="10" t="n">
        <x:v>1</x:v>
      </x:c>
      <x:c r="I633" s="10" t="str">
        <x:v>completed_as_adopted</x:v>
      </x:c>
      <x:c r="J633" s="10" t="str">
        <x:v>VOICE:B-R3/S2-02/scored/00989</x:v>
      </x:c>
      <x:c r="K633" s="10" t="str">
        <x:v>VOICE:S2-02:input</x:v>
      </x:c>
      <x:c r="L633" s="10" t="str">
        <x:v>VOICE:B-R3/S2-02/scored/00989</x:v>
      </x:c>
    </x:row>
    <x:row r="634" ht="52" customHeight="1">
      <x:c r="A634" s="10" t="str">
        <x:v>V-A</x:v>
      </x:c>
      <x:c r="B634" s="10" t="str">
        <x:v>VOICE</x:v>
      </x:c>
      <x:c r="C634" s="10" t="str">
        <x:v>VOICE:S2-03</x:v>
      </x:c>
      <x:c r="D634" s="10" t="str">
        <x:v>VOICE:S2-03:goal</x:v>
      </x:c>
      <x:c r="E634" s="11" t="n">
        <x:v>6.3166666666666655</x:v>
      </x:c>
      <x:c r="F634" s="11" t="n">
        <x:v>14.316666666666666</x:v>
      </x:c>
      <x:c r="G634" s="11" t="n">
        <x:f>F634-E634</x:f>
        <x:v>8</x:v>
      </x:c>
      <x:c r="H634" s="10" t="n">
        <x:v>0</x:v>
      </x:c>
      <x:c r="I634" s="10" t="str">
        <x:v>completed_as_adopted</x:v>
      </x:c>
      <x:c r="J634" s="10" t="str">
        <x:v>VOICE:A/S2-03/scored/01000</x:v>
      </x:c>
      <x:c r="K634" s="10" t="str">
        <x:v>VOICE:S2-03:input</x:v>
      </x:c>
      <x:c r="L634" s="10" t="str">
        <x:v>VOICE:A/S2-03/scored/01000</x:v>
      </x:c>
    </x:row>
    <x:row r="635" ht="52" customHeight="1">
      <x:c r="A635" s="10" t="str">
        <x:v>V-R1</x:v>
      </x:c>
      <x:c r="B635" s="10" t="str">
        <x:v>VOICE</x:v>
      </x:c>
      <x:c r="C635" s="10" t="str">
        <x:v>VOICE:S2-03</x:v>
      </x:c>
      <x:c r="D635" s="10" t="str">
        <x:v>VOICE:S2-03:goal</x:v>
      </x:c>
      <x:c r="E635" s="11" t="n">
        <x:v>9.450000000000001</x:v>
      </x:c>
      <x:c r="F635" s="11" t="n">
        <x:v>17.450000000000003</x:v>
      </x:c>
      <x:c r="G635" s="11" t="n">
        <x:f>F635-E635</x:f>
        <x:v>8.000000000000002</x:v>
      </x:c>
      <x:c r="H635" s="10" t="n">
        <x:v>0</x:v>
      </x:c>
      <x:c r="I635" s="10" t="str">
        <x:v>completed_as_adopted</x:v>
      </x:c>
      <x:c r="J635" s="10" t="str">
        <x:v>VOICE:B-R1/S2-03/scored/01015</x:v>
      </x:c>
      <x:c r="K635" s="10" t="str">
        <x:v>VOICE:S2-03:input</x:v>
      </x:c>
      <x:c r="L635" s="10" t="str">
        <x:v>VOICE:B-R1/S2-03/scored/01015</x:v>
      </x:c>
    </x:row>
    <x:row r="636" ht="52" customHeight="1">
      <x:c r="A636" s="10" t="str">
        <x:v>V-R2</x:v>
      </x:c>
      <x:c r="B636" s="10" t="str">
        <x:v>VOICE</x:v>
      </x:c>
      <x:c r="C636" s="10" t="str">
        <x:v>VOICE:S2-03</x:v>
      </x:c>
      <x:c r="D636" s="10" t="str">
        <x:v>VOICE:S2-03:goal</x:v>
      </x:c>
      <x:c r="E636" s="11" t="n">
        <x:v>9.450000000000001</x:v>
      </x:c>
      <x:c r="F636" s="11" t="n">
        <x:v>17.450000000000003</x:v>
      </x:c>
      <x:c r="G636" s="11" t="n">
        <x:f>F636-E636</x:f>
        <x:v>8.000000000000002</x:v>
      </x:c>
      <x:c r="H636" s="10" t="n">
        <x:v>0</x:v>
      </x:c>
      <x:c r="I636" s="10" t="str">
        <x:v>completed_as_adopted</x:v>
      </x:c>
      <x:c r="J636" s="10" t="str">
        <x:v>VOICE:B-R2/S2-03/scored/01029</x:v>
      </x:c>
      <x:c r="K636" s="10" t="str">
        <x:v>VOICE:S2-03:input</x:v>
      </x:c>
      <x:c r="L636" s="10" t="str">
        <x:v>VOICE:B-R2/S2-03/scored/01029</x:v>
      </x:c>
    </x:row>
    <x:row r="637" ht="52" customHeight="1">
      <x:c r="A637" s="10" t="str">
        <x:v>V-R3</x:v>
      </x:c>
      <x:c r="B637" s="10" t="str">
        <x:v>VOICE</x:v>
      </x:c>
      <x:c r="C637" s="10" t="str">
        <x:v>VOICE:S2-03</x:v>
      </x:c>
      <x:c r="D637" s="10" t="str">
        <x:v>VOICE:S2-03:goal</x:v>
      </x:c>
      <x:c r="E637" s="11" t="n">
        <x:v>9.51</x:v>
      </x:c>
      <x:c r="F637" s="11" t="n">
        <x:v>17.51</x:v>
      </x:c>
      <x:c r="G637" s="11" t="n">
        <x:f>F637-E637</x:f>
        <x:v>8.000000000000002</x:v>
      </x:c>
      <x:c r="H637" s="10" t="n">
        <x:v>0</x:v>
      </x:c>
      <x:c r="I637" s="10" t="str">
        <x:v>completed_as_adopted</x:v>
      </x:c>
      <x:c r="J637" s="10" t="str">
        <x:v>VOICE:B-R3/S2-03/scored/01044</x:v>
      </x:c>
      <x:c r="K637" s="10" t="str">
        <x:v>VOICE:S2-03:input</x:v>
      </x:c>
      <x:c r="L637" s="10" t="str">
        <x:v>VOICE:B-R3/S2-03/scored/01044</x:v>
      </x:c>
    </x:row>
    <x:row r="638" ht="52" customHeight="1">
      <x:c r="A638" s="10" t="str">
        <x:v>V-A</x:v>
      </x:c>
      <x:c r="B638" s="10" t="str">
        <x:v>VOICE</x:v>
      </x:c>
      <x:c r="C638" s="10" t="str">
        <x:v>VOICE:S2-04</x:v>
      </x:c>
      <x:c r="D638" s="10" t="str">
        <x:v>VOICE:S2-04:goal</x:v>
      </x:c>
      <x:c r="E638" s="11" t="n">
        <x:v>6.3166666666666655</x:v>
      </x:c>
      <x:c r="F638" s="11" t="n">
        <x:v>14.316666666666666</x:v>
      </x:c>
      <x:c r="G638" s="11" t="n">
        <x:f>F638-E638</x:f>
        <x:v>8</x:v>
      </x:c>
      <x:c r="H638" s="10" t="n">
        <x:v>1</x:v>
      </x:c>
      <x:c r="I638" s="10" t="str">
        <x:v>completed_as_adopted</x:v>
      </x:c>
      <x:c r="J638" s="10" t="str">
        <x:v>VOICE:A/S2-04/scored/01055</x:v>
      </x:c>
      <x:c r="K638" s="10" t="str">
        <x:v>VOICE:S2-04:input</x:v>
      </x:c>
      <x:c r="L638" s="10" t="str">
        <x:v>VOICE:A/S2-04/scored/01055</x:v>
      </x:c>
    </x:row>
    <x:row r="639" ht="52" customHeight="1">
      <x:c r="A639" s="10" t="str">
        <x:v>V-R1</x:v>
      </x:c>
      <x:c r="B639" s="10" t="str">
        <x:v>VOICE</x:v>
      </x:c>
      <x:c r="C639" s="10" t="str">
        <x:v>VOICE:S2-04</x:v>
      </x:c>
      <x:c r="D639" s="10" t="str">
        <x:v>VOICE:S2-04:goal</x:v>
      </x:c>
      <x:c r="E639" s="11" t="n">
        <x:v>9.450000000000001</x:v>
      </x:c>
      <x:c r="F639" s="11" t="n">
        <x:v>17.450000000000003</x:v>
      </x:c>
      <x:c r="G639" s="11" t="n">
        <x:f>F639-E639</x:f>
        <x:v>8.000000000000002</x:v>
      </x:c>
      <x:c r="H639" s="10" t="n">
        <x:v>1</x:v>
      </x:c>
      <x:c r="I639" s="10" t="str">
        <x:v>completed_as_adopted</x:v>
      </x:c>
      <x:c r="J639" s="10" t="str">
        <x:v>VOICE:B-R1/S2-04/scored/01070</x:v>
      </x:c>
      <x:c r="K639" s="10" t="str">
        <x:v>VOICE:S2-04:input</x:v>
      </x:c>
      <x:c r="L639" s="10" t="str">
        <x:v>VOICE:B-R1/S2-04/scored/01070</x:v>
      </x:c>
    </x:row>
    <x:row r="640" ht="52" customHeight="1">
      <x:c r="A640" s="10" t="str">
        <x:v>V-R2</x:v>
      </x:c>
      <x:c r="B640" s="10" t="str">
        <x:v>VOICE</x:v>
      </x:c>
      <x:c r="C640" s="10" t="str">
        <x:v>VOICE:S2-04</x:v>
      </x:c>
      <x:c r="D640" s="10" t="str">
        <x:v>VOICE:S2-04:goal</x:v>
      </x:c>
      <x:c r="E640" s="11" t="n">
        <x:v>9.450000000000001</x:v>
      </x:c>
      <x:c r="F640" s="11" t="n">
        <x:v>17.450000000000003</x:v>
      </x:c>
      <x:c r="G640" s="11" t="n">
        <x:f>F640-E640</x:f>
        <x:v>8.000000000000002</x:v>
      </x:c>
      <x:c r="H640" s="10" t="n">
        <x:v>1</x:v>
      </x:c>
      <x:c r="I640" s="10" t="str">
        <x:v>completed_as_adopted</x:v>
      </x:c>
      <x:c r="J640" s="10" t="str">
        <x:v>VOICE:B-R2/S2-04/scored/01084</x:v>
      </x:c>
      <x:c r="K640" s="10" t="str">
        <x:v>VOICE:S2-04:input</x:v>
      </x:c>
      <x:c r="L640" s="10" t="str">
        <x:v>VOICE:B-R2/S2-04/scored/01084</x:v>
      </x:c>
    </x:row>
    <x:row r="641" ht="52" customHeight="1">
      <x:c r="A641" s="10" t="str">
        <x:v>V-R3</x:v>
      </x:c>
      <x:c r="B641" s="10" t="str">
        <x:v>VOICE</x:v>
      </x:c>
      <x:c r="C641" s="10" t="str">
        <x:v>VOICE:S2-04</x:v>
      </x:c>
      <x:c r="D641" s="10" t="str">
        <x:v>VOICE:S2-04:goal</x:v>
      </x:c>
      <x:c r="E641" s="11" t="n">
        <x:v>9.51</x:v>
      </x:c>
      <x:c r="F641" s="11" t="n">
        <x:v>17.51</x:v>
      </x:c>
      <x:c r="G641" s="11" t="n">
        <x:f>F641-E641</x:f>
        <x:v>8.000000000000002</x:v>
      </x:c>
      <x:c r="H641" s="10" t="n">
        <x:v>1</x:v>
      </x:c>
      <x:c r="I641" s="10" t="str">
        <x:v>completed_as_adopted</x:v>
      </x:c>
      <x:c r="J641" s="10" t="str">
        <x:v>VOICE:B-R3/S2-04/scored/01099</x:v>
      </x:c>
      <x:c r="K641" s="10" t="str">
        <x:v>VOICE:S2-04:input</x:v>
      </x:c>
      <x:c r="L641" s="10" t="str">
        <x:v>VOICE:B-R3/S2-04/scored/01099</x:v>
      </x:c>
    </x:row>
    <x:row r="642" ht="52" customHeight="1">
      <x:c r="A642" s="10" t="str">
        <x:v>V-A</x:v>
      </x:c>
      <x:c r="B642" s="10" t="str">
        <x:v>VOICE</x:v>
      </x:c>
      <x:c r="C642" s="10" t="str">
        <x:v>VOICE:S2-05</x:v>
      </x:c>
      <x:c r="D642" s="10" t="str">
        <x:v>VOICE:S2-05:goal</x:v>
      </x:c>
      <x:c r="E642" s="11" t="n">
        <x:v>6.3166666666666655</x:v>
      </x:c>
      <x:c r="F642" s="11" t="n">
        <x:v>14.316666666666666</x:v>
      </x:c>
      <x:c r="G642" s="11" t="n">
        <x:f>F642-E642</x:f>
        <x:v>8</x:v>
      </x:c>
      <x:c r="H642" s="10" t="n">
        <x:v>1</x:v>
      </x:c>
      <x:c r="I642" s="10" t="str">
        <x:v>completed_as_adopted</x:v>
      </x:c>
      <x:c r="J642" s="10" t="str">
        <x:v>VOICE:A/S2-05/scored/01110</x:v>
      </x:c>
      <x:c r="K642" s="10" t="str">
        <x:v>VOICE:S2-05:input</x:v>
      </x:c>
      <x:c r="L642" s="10" t="str">
        <x:v>VOICE:A/S2-05/scored/01110</x:v>
      </x:c>
    </x:row>
    <x:row r="643" ht="52" customHeight="1">
      <x:c r="A643" s="10" t="str">
        <x:v>V-R1</x:v>
      </x:c>
      <x:c r="B643" s="10" t="str">
        <x:v>VOICE</x:v>
      </x:c>
      <x:c r="C643" s="10" t="str">
        <x:v>VOICE:S2-05</x:v>
      </x:c>
      <x:c r="D643" s="10" t="str">
        <x:v>VOICE:S2-05:goal</x:v>
      </x:c>
      <x:c r="E643" s="11" t="n">
        <x:v>9.450000000000001</x:v>
      </x:c>
      <x:c r="F643" s="11" t="n">
        <x:v>17.450000000000003</x:v>
      </x:c>
      <x:c r="G643" s="11" t="n">
        <x:f>F643-E643</x:f>
        <x:v>8.000000000000002</x:v>
      </x:c>
      <x:c r="H643" s="10" t="n">
        <x:v>1</x:v>
      </x:c>
      <x:c r="I643" s="10" t="str">
        <x:v>completed_as_adopted</x:v>
      </x:c>
      <x:c r="J643" s="10" t="str">
        <x:v>VOICE:B-R1/S2-05/scored/01125</x:v>
      </x:c>
      <x:c r="K643" s="10" t="str">
        <x:v>VOICE:S2-05:input</x:v>
      </x:c>
      <x:c r="L643" s="10" t="str">
        <x:v>VOICE:B-R1/S2-05/scored/01125</x:v>
      </x:c>
    </x:row>
    <x:row r="644" ht="52" customHeight="1">
      <x:c r="A644" s="10" t="str">
        <x:v>V-R2</x:v>
      </x:c>
      <x:c r="B644" s="10" t="str">
        <x:v>VOICE</x:v>
      </x:c>
      <x:c r="C644" s="10" t="str">
        <x:v>VOICE:S2-05</x:v>
      </x:c>
      <x:c r="D644" s="10" t="str">
        <x:v>VOICE:S2-05:goal</x:v>
      </x:c>
      <x:c r="E644" s="11" t="n">
        <x:v>9.450000000000001</x:v>
      </x:c>
      <x:c r="F644" s="11" t="n">
        <x:v>17.450000000000003</x:v>
      </x:c>
      <x:c r="G644" s="11" t="n">
        <x:f>F644-E644</x:f>
        <x:v>8.000000000000002</x:v>
      </x:c>
      <x:c r="H644" s="10" t="n">
        <x:v>1</x:v>
      </x:c>
      <x:c r="I644" s="10" t="str">
        <x:v>completed_as_adopted</x:v>
      </x:c>
      <x:c r="J644" s="10" t="str">
        <x:v>VOICE:B-R2/S2-05/scored/01139</x:v>
      </x:c>
      <x:c r="K644" s="10" t="str">
        <x:v>VOICE:S2-05:input</x:v>
      </x:c>
      <x:c r="L644" s="10" t="str">
        <x:v>VOICE:B-R2/S2-05/scored/01139</x:v>
      </x:c>
    </x:row>
    <x:row r="645" ht="52" customHeight="1">
      <x:c r="A645" s="10" t="str">
        <x:v>V-R3</x:v>
      </x:c>
      <x:c r="B645" s="10" t="str">
        <x:v>VOICE</x:v>
      </x:c>
      <x:c r="C645" s="10" t="str">
        <x:v>VOICE:S2-05</x:v>
      </x:c>
      <x:c r="D645" s="10" t="str">
        <x:v>VOICE:S2-05:goal</x:v>
      </x:c>
      <x:c r="E645" s="11" t="n">
        <x:v>9.51</x:v>
      </x:c>
      <x:c r="F645" s="11" t="n">
        <x:v>17.51</x:v>
      </x:c>
      <x:c r="G645" s="11" t="n">
        <x:f>F645-E645</x:f>
        <x:v>8.000000000000002</x:v>
      </x:c>
      <x:c r="H645" s="10" t="n">
        <x:v>1</x:v>
      </x:c>
      <x:c r="I645" s="10" t="str">
        <x:v>completed_as_adopted</x:v>
      </x:c>
      <x:c r="J645" s="10" t="str">
        <x:v>VOICE:B-R3/S2-05/scored/01154</x:v>
      </x:c>
      <x:c r="K645" s="10" t="str">
        <x:v>VOICE:S2-05:input</x:v>
      </x:c>
      <x:c r="L645" s="10" t="str">
        <x:v>VOICE:B-R3/S2-05/scored/01154</x:v>
      </x:c>
    </x:row>
    <x:row r="646" ht="52" customHeight="1">
      <x:c r="A646" s="10" t="str">
        <x:v>V-A</x:v>
      </x:c>
      <x:c r="B646" s="10" t="str">
        <x:v>VOICE</x:v>
      </x:c>
      <x:c r="C646" s="10" t="str">
        <x:v>VOICE:S2-06</x:v>
      </x:c>
      <x:c r="D646" s="10" t="str">
        <x:v>VOICE:S2-06:goal</x:v>
      </x:c>
      <x:c r="E646" s="11" t="n">
        <x:v>6.3166666666666655</x:v>
      </x:c>
      <x:c r="F646" s="11" t="n">
        <x:v>14.316666666666666</x:v>
      </x:c>
      <x:c r="G646" s="11" t="n">
        <x:f>F646-E646</x:f>
        <x:v>8</x:v>
      </x:c>
      <x:c r="H646" s="10" t="n">
        <x:v>1</x:v>
      </x:c>
      <x:c r="I646" s="10" t="str">
        <x:v>completed_as_adopted</x:v>
      </x:c>
      <x:c r="J646" s="10" t="str">
        <x:v>VOICE:A/S2-06/scored/01165</x:v>
      </x:c>
      <x:c r="K646" s="10" t="str">
        <x:v>VOICE:S2-06:input</x:v>
      </x:c>
      <x:c r="L646" s="10" t="str">
        <x:v>VOICE:A/S2-06/scored/01165</x:v>
      </x:c>
    </x:row>
    <x:row r="647" ht="52" customHeight="1">
      <x:c r="A647" s="10" t="str">
        <x:v>V-R1</x:v>
      </x:c>
      <x:c r="B647" s="10" t="str">
        <x:v>VOICE</x:v>
      </x:c>
      <x:c r="C647" s="10" t="str">
        <x:v>VOICE:S2-06</x:v>
      </x:c>
      <x:c r="D647" s="10" t="str">
        <x:v>VOICE:S2-06:goal</x:v>
      </x:c>
      <x:c r="E647" s="11" t="n">
        <x:v>9.450000000000001</x:v>
      </x:c>
      <x:c r="F647" s="11" t="n">
        <x:v>17.450000000000003</x:v>
      </x:c>
      <x:c r="G647" s="11" t="n">
        <x:f>F647-E647</x:f>
        <x:v>8.000000000000002</x:v>
      </x:c>
      <x:c r="H647" s="10" t="n">
        <x:v>1</x:v>
      </x:c>
      <x:c r="I647" s="10" t="str">
        <x:v>completed_as_adopted</x:v>
      </x:c>
      <x:c r="J647" s="10" t="str">
        <x:v>VOICE:B-R1/S2-06/scored/01180</x:v>
      </x:c>
      <x:c r="K647" s="10" t="str">
        <x:v>VOICE:S2-06:input</x:v>
      </x:c>
      <x:c r="L647" s="10" t="str">
        <x:v>VOICE:B-R1/S2-06/scored/01180</x:v>
      </x:c>
    </x:row>
    <x:row r="648" ht="52" customHeight="1">
      <x:c r="A648" s="10" t="str">
        <x:v>V-R2</x:v>
      </x:c>
      <x:c r="B648" s="10" t="str">
        <x:v>VOICE</x:v>
      </x:c>
      <x:c r="C648" s="10" t="str">
        <x:v>VOICE:S2-06</x:v>
      </x:c>
      <x:c r="D648" s="10" t="str">
        <x:v>VOICE:S2-06:goal</x:v>
      </x:c>
      <x:c r="E648" s="11" t="n">
        <x:v>9.450000000000001</x:v>
      </x:c>
      <x:c r="F648" s="11" t="n">
        <x:v>17.450000000000003</x:v>
      </x:c>
      <x:c r="G648" s="11" t="n">
        <x:f>F648-E648</x:f>
        <x:v>8.000000000000002</x:v>
      </x:c>
      <x:c r="H648" s="10" t="n">
        <x:v>1</x:v>
      </x:c>
      <x:c r="I648" s="10" t="str">
        <x:v>completed_as_adopted</x:v>
      </x:c>
      <x:c r="J648" s="10" t="str">
        <x:v>VOICE:B-R2/S2-06/scored/01194</x:v>
      </x:c>
      <x:c r="K648" s="10" t="str">
        <x:v>VOICE:S2-06:input</x:v>
      </x:c>
      <x:c r="L648" s="10" t="str">
        <x:v>VOICE:B-R2/S2-06/scored/01194</x:v>
      </x:c>
    </x:row>
    <x:row r="649" ht="52" customHeight="1">
      <x:c r="A649" s="10" t="str">
        <x:v>V-R3</x:v>
      </x:c>
      <x:c r="B649" s="10" t="str">
        <x:v>VOICE</x:v>
      </x:c>
      <x:c r="C649" s="10" t="str">
        <x:v>VOICE:S2-06</x:v>
      </x:c>
      <x:c r="D649" s="10" t="str">
        <x:v>VOICE:S2-06:goal</x:v>
      </x:c>
      <x:c r="E649" s="11" t="n">
        <x:v>9.51</x:v>
      </x:c>
      <x:c r="F649" s="11" t="n">
        <x:v>17.51</x:v>
      </x:c>
      <x:c r="G649" s="11" t="n">
        <x:f>F649-E649</x:f>
        <x:v>8.000000000000002</x:v>
      </x:c>
      <x:c r="H649" s="10" t="n">
        <x:v>1</x:v>
      </x:c>
      <x:c r="I649" s="10" t="str">
        <x:v>completed_as_adopted</x:v>
      </x:c>
      <x:c r="J649" s="10" t="str">
        <x:v>VOICE:B-R3/S2-06/scored/01209</x:v>
      </x:c>
      <x:c r="K649" s="10" t="str">
        <x:v>VOICE:S2-06:input</x:v>
      </x:c>
      <x:c r="L649" s="10" t="str">
        <x:v>VOICE:B-R3/S2-06/scored/01209</x:v>
      </x:c>
    </x:row>
    <x:row r="650" ht="52" customHeight="1">
      <x:c r="A650" s="10" t="str">
        <x:v>V-A</x:v>
      </x:c>
      <x:c r="B650" s="10" t="str">
        <x:v>VOICE</x:v>
      </x:c>
      <x:c r="C650" s="10" t="str">
        <x:v>VOICE:S2-07</x:v>
      </x:c>
      <x:c r="D650" s="10" t="str">
        <x:v>VOICE:S2-07:goal</x:v>
      </x:c>
      <x:c r="E650" s="11" t="n">
        <x:v>6.3166666666666655</x:v>
      </x:c>
      <x:c r="F650" s="11" t="n">
        <x:v>14.316666666666666</x:v>
      </x:c>
      <x:c r="G650" s="11" t="n">
        <x:f>F650-E650</x:f>
        <x:v>8</x:v>
      </x:c>
      <x:c r="H650" s="10" t="n">
        <x:v>1</x:v>
      </x:c>
      <x:c r="I650" s="10" t="str">
        <x:v>completed_as_adopted</x:v>
      </x:c>
      <x:c r="J650" s="10" t="str">
        <x:v>VOICE:A/S2-07/scored/01220</x:v>
      </x:c>
      <x:c r="K650" s="10" t="str">
        <x:v>VOICE:S2-07:input</x:v>
      </x:c>
      <x:c r="L650" s="10" t="str">
        <x:v>VOICE:A/S2-07/scored/01220</x:v>
      </x:c>
    </x:row>
    <x:row r="651" ht="52" customHeight="1">
      <x:c r="A651" s="10" t="str">
        <x:v>V-R1</x:v>
      </x:c>
      <x:c r="B651" s="10" t="str">
        <x:v>VOICE</x:v>
      </x:c>
      <x:c r="C651" s="10" t="str">
        <x:v>VOICE:S2-07</x:v>
      </x:c>
      <x:c r="D651" s="10" t="str">
        <x:v>VOICE:S2-07:goal</x:v>
      </x:c>
      <x:c r="E651" s="11" t="n">
        <x:v>9.450000000000001</x:v>
      </x:c>
      <x:c r="F651" s="11" t="n">
        <x:v>17.450000000000003</x:v>
      </x:c>
      <x:c r="G651" s="11" t="n">
        <x:f>F651-E651</x:f>
        <x:v>8.000000000000002</x:v>
      </x:c>
      <x:c r="H651" s="10" t="n">
        <x:v>1</x:v>
      </x:c>
      <x:c r="I651" s="10" t="str">
        <x:v>completed_as_adopted</x:v>
      </x:c>
      <x:c r="J651" s="10" t="str">
        <x:v>VOICE:B-R1/S2-07/scored/01235</x:v>
      </x:c>
      <x:c r="K651" s="10" t="str">
        <x:v>VOICE:S2-07:input</x:v>
      </x:c>
      <x:c r="L651" s="10" t="str">
        <x:v>VOICE:B-R1/S2-07/scored/01235</x:v>
      </x:c>
    </x:row>
    <x:row r="652" ht="52" customHeight="1">
      <x:c r="A652" s="10" t="str">
        <x:v>V-R2</x:v>
      </x:c>
      <x:c r="B652" s="10" t="str">
        <x:v>VOICE</x:v>
      </x:c>
      <x:c r="C652" s="10" t="str">
        <x:v>VOICE:S2-07</x:v>
      </x:c>
      <x:c r="D652" s="10" t="str">
        <x:v>VOICE:S2-07:goal</x:v>
      </x:c>
      <x:c r="E652" s="11" t="n">
        <x:v>9.450000000000001</x:v>
      </x:c>
      <x:c r="F652" s="11" t="n">
        <x:v>17.450000000000003</x:v>
      </x:c>
      <x:c r="G652" s="11" t="n">
        <x:f>F652-E652</x:f>
        <x:v>8.000000000000002</x:v>
      </x:c>
      <x:c r="H652" s="10" t="n">
        <x:v>1</x:v>
      </x:c>
      <x:c r="I652" s="10" t="str">
        <x:v>completed_as_adopted</x:v>
      </x:c>
      <x:c r="J652" s="10" t="str">
        <x:v>VOICE:B-R2/S2-07/scored/01249</x:v>
      </x:c>
      <x:c r="K652" s="10" t="str">
        <x:v>VOICE:S2-07:input</x:v>
      </x:c>
      <x:c r="L652" s="10" t="str">
        <x:v>VOICE:B-R2/S2-07/scored/01249</x:v>
      </x:c>
    </x:row>
    <x:row r="653" ht="52" customHeight="1">
      <x:c r="A653" s="10" t="str">
        <x:v>V-R3</x:v>
      </x:c>
      <x:c r="B653" s="10" t="str">
        <x:v>VOICE</x:v>
      </x:c>
      <x:c r="C653" s="10" t="str">
        <x:v>VOICE:S2-07</x:v>
      </x:c>
      <x:c r="D653" s="10" t="str">
        <x:v>VOICE:S2-07:goal</x:v>
      </x:c>
      <x:c r="E653" s="11" t="n">
        <x:v>9.51</x:v>
      </x:c>
      <x:c r="F653" s="11" t="n">
        <x:v>17.51</x:v>
      </x:c>
      <x:c r="G653" s="11" t="n">
        <x:f>F653-E653</x:f>
        <x:v>8.000000000000002</x:v>
      </x:c>
      <x:c r="H653" s="10" t="n">
        <x:v>1</x:v>
      </x:c>
      <x:c r="I653" s="10" t="str">
        <x:v>completed_as_adopted</x:v>
      </x:c>
      <x:c r="J653" s="10" t="str">
        <x:v>VOICE:B-R3/S2-07/scored/01264</x:v>
      </x:c>
      <x:c r="K653" s="10" t="str">
        <x:v>VOICE:S2-07:input</x:v>
      </x:c>
      <x:c r="L653" s="10" t="str">
        <x:v>VOICE:B-R3/S2-07/scored/01264</x:v>
      </x:c>
    </x:row>
    <x:row r="654" ht="52" customHeight="1">
      <x:c r="A654" s="10" t="str">
        <x:v>V-A</x:v>
      </x:c>
      <x:c r="B654" s="10" t="str">
        <x:v>VOICE</x:v>
      </x:c>
      <x:c r="C654" s="10" t="str">
        <x:v>VOICE:S2-08</x:v>
      </x:c>
      <x:c r="D654" s="10" t="str">
        <x:v>VOICE:S2-08:goal</x:v>
      </x:c>
      <x:c r="E654" s="11" t="n">
        <x:v>6.3166666666666655</x:v>
      </x:c>
      <x:c r="F654" s="11" t="n">
        <x:v>14.316666666666666</x:v>
      </x:c>
      <x:c r="G654" s="11" t="n">
        <x:f>F654-E654</x:f>
        <x:v>8</x:v>
      </x:c>
      <x:c r="H654" s="10" t="n">
        <x:v>1</x:v>
      </x:c>
      <x:c r="I654" s="10" t="str">
        <x:v>completed_as_adopted</x:v>
      </x:c>
      <x:c r="J654" s="10" t="str">
        <x:v>VOICE:A/S2-08/scored/01275</x:v>
      </x:c>
      <x:c r="K654" s="10" t="str">
        <x:v>VOICE:S2-08:input</x:v>
      </x:c>
      <x:c r="L654" s="10" t="str">
        <x:v>VOICE:A/S2-08/scored/01275</x:v>
      </x:c>
    </x:row>
    <x:row r="655" ht="52" customHeight="1">
      <x:c r="A655" s="10" t="str">
        <x:v>V-R1</x:v>
      </x:c>
      <x:c r="B655" s="10" t="str">
        <x:v>VOICE</x:v>
      </x:c>
      <x:c r="C655" s="10" t="str">
        <x:v>VOICE:S2-08</x:v>
      </x:c>
      <x:c r="D655" s="10" t="str">
        <x:v>VOICE:S2-08:goal</x:v>
      </x:c>
      <x:c r="E655" s="11" t="n">
        <x:v>9.450000000000001</x:v>
      </x:c>
      <x:c r="F655" s="11" t="n">
        <x:v>17.450000000000003</x:v>
      </x:c>
      <x:c r="G655" s="11" t="n">
        <x:f>F655-E655</x:f>
        <x:v>8.000000000000002</x:v>
      </x:c>
      <x:c r="H655" s="10" t="n">
        <x:v>1</x:v>
      </x:c>
      <x:c r="I655" s="10" t="str">
        <x:v>completed_as_adopted</x:v>
      </x:c>
      <x:c r="J655" s="10" t="str">
        <x:v>VOICE:B-R1/S2-08/scored/01290</x:v>
      </x:c>
      <x:c r="K655" s="10" t="str">
        <x:v>VOICE:S2-08:input</x:v>
      </x:c>
      <x:c r="L655" s="10" t="str">
        <x:v>VOICE:B-R1/S2-08/scored/01290</x:v>
      </x:c>
    </x:row>
    <x:row r="656" ht="52" customHeight="1">
      <x:c r="A656" s="10" t="str">
        <x:v>V-R2</x:v>
      </x:c>
      <x:c r="B656" s="10" t="str">
        <x:v>VOICE</x:v>
      </x:c>
      <x:c r="C656" s="10" t="str">
        <x:v>VOICE:S2-08</x:v>
      </x:c>
      <x:c r="D656" s="10" t="str">
        <x:v>VOICE:S2-08:goal</x:v>
      </x:c>
      <x:c r="E656" s="11" t="n">
        <x:v>9.450000000000001</x:v>
      </x:c>
      <x:c r="F656" s="11" t="n">
        <x:v>17.450000000000003</x:v>
      </x:c>
      <x:c r="G656" s="11" t="n">
        <x:f>F656-E656</x:f>
        <x:v>8.000000000000002</x:v>
      </x:c>
      <x:c r="H656" s="10" t="n">
        <x:v>1</x:v>
      </x:c>
      <x:c r="I656" s="10" t="str">
        <x:v>completed_as_adopted</x:v>
      </x:c>
      <x:c r="J656" s="10" t="str">
        <x:v>VOICE:B-R2/S2-08/scored/01304</x:v>
      </x:c>
      <x:c r="K656" s="10" t="str">
        <x:v>VOICE:S2-08:input</x:v>
      </x:c>
      <x:c r="L656" s="10" t="str">
        <x:v>VOICE:B-R2/S2-08/scored/01304</x:v>
      </x:c>
    </x:row>
    <x:row r="657" ht="52" customHeight="1">
      <x:c r="A657" s="10" t="str">
        <x:v>V-R3</x:v>
      </x:c>
      <x:c r="B657" s="10" t="str">
        <x:v>VOICE</x:v>
      </x:c>
      <x:c r="C657" s="10" t="str">
        <x:v>VOICE:S2-08</x:v>
      </x:c>
      <x:c r="D657" s="10" t="str">
        <x:v>VOICE:S2-08:goal</x:v>
      </x:c>
      <x:c r="E657" s="11" t="n">
        <x:v>9.51</x:v>
      </x:c>
      <x:c r="F657" s="11" t="n">
        <x:v>17.51</x:v>
      </x:c>
      <x:c r="G657" s="11" t="n">
        <x:f>F657-E657</x:f>
        <x:v>8.000000000000002</x:v>
      </x:c>
      <x:c r="H657" s="10" t="n">
        <x:v>1</x:v>
      </x:c>
      <x:c r="I657" s="10" t="str">
        <x:v>completed_as_adopted</x:v>
      </x:c>
      <x:c r="J657" s="10" t="str">
        <x:v>VOICE:B-R3/S2-08/scored/01319</x:v>
      </x:c>
      <x:c r="K657" s="10" t="str">
        <x:v>VOICE:S2-08:input</x:v>
      </x:c>
      <x:c r="L657" s="10" t="str">
        <x:v>VOICE:B-R3/S2-08/scored/01319</x:v>
      </x:c>
    </x:row>
    <x:row r="658" ht="52" customHeight="1">
      <x:c r="A658" s="10" t="str">
        <x:v>V-A</x:v>
      </x:c>
      <x:c r="B658" s="10" t="str">
        <x:v>VOICE</x:v>
      </x:c>
      <x:c r="C658" s="10" t="str">
        <x:v>VOICE:S2-09</x:v>
      </x:c>
      <x:c r="D658" s="10" t="str">
        <x:v>VOICE:S2-09:goal</x:v>
      </x:c>
      <x:c r="E658" s="11" t="n">
        <x:v>6.3166666666666655</x:v>
      </x:c>
      <x:c r="F658" s="11" t="n">
        <x:v>14.316666666666666</x:v>
      </x:c>
      <x:c r="G658" s="11" t="n">
        <x:f>F658-E658</x:f>
        <x:v>8</x:v>
      </x:c>
      <x:c r="H658" s="10" t="n">
        <x:v>1</x:v>
      </x:c>
      <x:c r="I658" s="10" t="str">
        <x:v>completed_as_adopted</x:v>
      </x:c>
      <x:c r="J658" s="10" t="str">
        <x:v>VOICE:A/S2-09/scored/01330</x:v>
      </x:c>
      <x:c r="K658" s="10" t="str">
        <x:v>VOICE:S2-09:input</x:v>
      </x:c>
      <x:c r="L658" s="10" t="str">
        <x:v>VOICE:A/S2-09/scored/01330</x:v>
      </x:c>
    </x:row>
    <x:row r="659" ht="52" customHeight="1">
      <x:c r="A659" s="10" t="str">
        <x:v>V-R1</x:v>
      </x:c>
      <x:c r="B659" s="10" t="str">
        <x:v>VOICE</x:v>
      </x:c>
      <x:c r="C659" s="10" t="str">
        <x:v>VOICE:S2-09</x:v>
      </x:c>
      <x:c r="D659" s="10" t="str">
        <x:v>VOICE:S2-09:goal</x:v>
      </x:c>
      <x:c r="E659" s="11" t="n">
        <x:v>9.450000000000001</x:v>
      </x:c>
      <x:c r="F659" s="11" t="n">
        <x:v>17.450000000000003</x:v>
      </x:c>
      <x:c r="G659" s="11" t="n">
        <x:f>F659-E659</x:f>
        <x:v>8.000000000000002</x:v>
      </x:c>
      <x:c r="H659" s="10" t="n">
        <x:v>1</x:v>
      </x:c>
      <x:c r="I659" s="10" t="str">
        <x:v>completed_as_adopted</x:v>
      </x:c>
      <x:c r="J659" s="10" t="str">
        <x:v>VOICE:B-R1/S2-09/scored/01345</x:v>
      </x:c>
      <x:c r="K659" s="10" t="str">
        <x:v>VOICE:S2-09:input</x:v>
      </x:c>
      <x:c r="L659" s="10" t="str">
        <x:v>VOICE:B-R1/S2-09/scored/01345</x:v>
      </x:c>
    </x:row>
    <x:row r="660" ht="52" customHeight="1">
      <x:c r="A660" s="10" t="str">
        <x:v>V-R2</x:v>
      </x:c>
      <x:c r="B660" s="10" t="str">
        <x:v>VOICE</x:v>
      </x:c>
      <x:c r="C660" s="10" t="str">
        <x:v>VOICE:S2-09</x:v>
      </x:c>
      <x:c r="D660" s="10" t="str">
        <x:v>VOICE:S2-09:goal</x:v>
      </x:c>
      <x:c r="E660" s="11" t="n">
        <x:v>9.450000000000001</x:v>
      </x:c>
      <x:c r="F660" s="11" t="n">
        <x:v>17.450000000000003</x:v>
      </x:c>
      <x:c r="G660" s="11" t="n">
        <x:f>F660-E660</x:f>
        <x:v>8.000000000000002</x:v>
      </x:c>
      <x:c r="H660" s="10" t="n">
        <x:v>1</x:v>
      </x:c>
      <x:c r="I660" s="10" t="str">
        <x:v>completed_as_adopted</x:v>
      </x:c>
      <x:c r="J660" s="10" t="str">
        <x:v>VOICE:B-R2/S2-09/scored/01359</x:v>
      </x:c>
      <x:c r="K660" s="10" t="str">
        <x:v>VOICE:S2-09:input</x:v>
      </x:c>
      <x:c r="L660" s="10" t="str">
        <x:v>VOICE:B-R2/S2-09/scored/01359</x:v>
      </x:c>
    </x:row>
    <x:row r="661" ht="52" customHeight="1">
      <x:c r="A661" s="10" t="str">
        <x:v>V-R3</x:v>
      </x:c>
      <x:c r="B661" s="10" t="str">
        <x:v>VOICE</x:v>
      </x:c>
      <x:c r="C661" s="10" t="str">
        <x:v>VOICE:S2-09</x:v>
      </x:c>
      <x:c r="D661" s="10" t="str">
        <x:v>VOICE:S2-09:goal</x:v>
      </x:c>
      <x:c r="E661" s="11" t="n">
        <x:v>9.51</x:v>
      </x:c>
      <x:c r="F661" s="11" t="n">
        <x:v>17.51</x:v>
      </x:c>
      <x:c r="G661" s="11" t="n">
        <x:f>F661-E661</x:f>
        <x:v>8.000000000000002</x:v>
      </x:c>
      <x:c r="H661" s="10" t="n">
        <x:v>1</x:v>
      </x:c>
      <x:c r="I661" s="10" t="str">
        <x:v>completed_as_adopted</x:v>
      </x:c>
      <x:c r="J661" s="10" t="str">
        <x:v>VOICE:B-R3/S2-09/scored/01374</x:v>
      </x:c>
      <x:c r="K661" s="10" t="str">
        <x:v>VOICE:S2-09:input</x:v>
      </x:c>
      <x:c r="L661" s="10" t="str">
        <x:v>VOICE:B-R3/S2-09/scored/01374</x:v>
      </x:c>
    </x:row>
    <x:row r="662" ht="52" customHeight="1">
      <x:c r="A662" s="10" t="str">
        <x:v>V-A</x:v>
      </x:c>
      <x:c r="B662" s="10" t="str">
        <x:v>VOICE</x:v>
      </x:c>
      <x:c r="C662" s="10" t="str">
        <x:v>VOICE:S2-10</x:v>
      </x:c>
      <x:c r="D662" s="10" t="str">
        <x:v>VOICE:S2-10:goal</x:v>
      </x:c>
      <x:c r="E662" s="11" t="n">
        <x:v>6.3166666666666655</x:v>
      </x:c>
      <x:c r="F662" s="11" t="n">
        <x:v>14.316666666666666</x:v>
      </x:c>
      <x:c r="G662" s="11" t="n">
        <x:f>F662-E662</x:f>
        <x:v>8</x:v>
      </x:c>
      <x:c r="H662" s="10" t="n">
        <x:v>0</x:v>
      </x:c>
      <x:c r="I662" s="10" t="str">
        <x:v>completed_as_adopted</x:v>
      </x:c>
      <x:c r="J662" s="10" t="str">
        <x:v>VOICE:A/S2-10/scored/01385</x:v>
      </x:c>
      <x:c r="K662" s="10" t="str">
        <x:v>VOICE:S2-10:input</x:v>
      </x:c>
      <x:c r="L662" s="10" t="str">
        <x:v>VOICE:A/S2-10/scored/01385</x:v>
      </x:c>
    </x:row>
    <x:row r="663" ht="52" customHeight="1">
      <x:c r="A663" s="10" t="str">
        <x:v>V-R1</x:v>
      </x:c>
      <x:c r="B663" s="10" t="str">
        <x:v>VOICE</x:v>
      </x:c>
      <x:c r="C663" s="10" t="str">
        <x:v>VOICE:S2-10</x:v>
      </x:c>
      <x:c r="D663" s="10" t="str">
        <x:v>VOICE:S2-10:goal</x:v>
      </x:c>
      <x:c r="E663" s="11" t="n">
        <x:v>9.450000000000001</x:v>
      </x:c>
      <x:c r="F663" s="11" t="n">
        <x:v>17.450000000000003</x:v>
      </x:c>
      <x:c r="G663" s="11" t="n">
        <x:f>F663-E663</x:f>
        <x:v>8.000000000000002</x:v>
      </x:c>
      <x:c r="H663" s="10" t="n">
        <x:v>0</x:v>
      </x:c>
      <x:c r="I663" s="10" t="str">
        <x:v>completed_as_adopted</x:v>
      </x:c>
      <x:c r="J663" s="10" t="str">
        <x:v>VOICE:B-R1/S2-10/scored/01400</x:v>
      </x:c>
      <x:c r="K663" s="10" t="str">
        <x:v>VOICE:S2-10:input</x:v>
      </x:c>
      <x:c r="L663" s="10" t="str">
        <x:v>VOICE:B-R1/S2-10/scored/01400</x:v>
      </x:c>
    </x:row>
    <x:row r="664" ht="52" customHeight="1">
      <x:c r="A664" s="10" t="str">
        <x:v>V-R2</x:v>
      </x:c>
      <x:c r="B664" s="10" t="str">
        <x:v>VOICE</x:v>
      </x:c>
      <x:c r="C664" s="10" t="str">
        <x:v>VOICE:S2-10</x:v>
      </x:c>
      <x:c r="D664" s="10" t="str">
        <x:v>VOICE:S2-10:goal</x:v>
      </x:c>
      <x:c r="E664" s="11" t="n">
        <x:v>9.450000000000001</x:v>
      </x:c>
      <x:c r="F664" s="11" t="n">
        <x:v>17.450000000000003</x:v>
      </x:c>
      <x:c r="G664" s="11" t="n">
        <x:f>F664-E664</x:f>
        <x:v>8.000000000000002</x:v>
      </x:c>
      <x:c r="H664" s="10" t="n">
        <x:v>0</x:v>
      </x:c>
      <x:c r="I664" s="10" t="str">
        <x:v>completed_as_adopted</x:v>
      </x:c>
      <x:c r="J664" s="10" t="str">
        <x:v>VOICE:B-R2/S2-10/scored/01414</x:v>
      </x:c>
      <x:c r="K664" s="10" t="str">
        <x:v>VOICE:S2-10:input</x:v>
      </x:c>
      <x:c r="L664" s="10" t="str">
        <x:v>VOICE:B-R2/S2-10/scored/01414</x:v>
      </x:c>
    </x:row>
    <x:row r="665" ht="52" customHeight="1">
      <x:c r="A665" s="10" t="str">
        <x:v>V-R3</x:v>
      </x:c>
      <x:c r="B665" s="10" t="str">
        <x:v>VOICE</x:v>
      </x:c>
      <x:c r="C665" s="10" t="str">
        <x:v>VOICE:S2-10</x:v>
      </x:c>
      <x:c r="D665" s="10" t="str">
        <x:v>VOICE:S2-10:goal</x:v>
      </x:c>
      <x:c r="E665" s="11" t="n">
        <x:v>9.51</x:v>
      </x:c>
      <x:c r="F665" s="11" t="n">
        <x:v>17.51</x:v>
      </x:c>
      <x:c r="G665" s="11" t="n">
        <x:f>F665-E665</x:f>
        <x:v>8.000000000000002</x:v>
      </x:c>
      <x:c r="H665" s="10" t="n">
        <x:v>0</x:v>
      </x:c>
      <x:c r="I665" s="10" t="str">
        <x:v>completed_as_adopted</x:v>
      </x:c>
      <x:c r="J665" s="10" t="str">
        <x:v>VOICE:B-R3/S2-10/scored/01429</x:v>
      </x:c>
      <x:c r="K665" s="10" t="str">
        <x:v>VOICE:S2-10:input</x:v>
      </x:c>
      <x:c r="L665" s="10" t="str">
        <x:v>VOICE:B-R3/S2-10/scored/01429</x:v>
      </x:c>
    </x:row>
    <x:row r="666" ht="52" customHeight="1">
      <x:c r="A666" s="10" t="str">
        <x:v>V-A</x:v>
      </x:c>
      <x:c r="B666" s="10" t="str">
        <x:v>VOICE</x:v>
      </x:c>
      <x:c r="C666" s="10" t="str">
        <x:v>VOICE:S2-11</x:v>
      </x:c>
      <x:c r="D666" s="10" t="str">
        <x:v>VOICE:S2-11:goal</x:v>
      </x:c>
      <x:c r="E666" s="11" t="n">
        <x:v>6.3166666666666655</x:v>
      </x:c>
      <x:c r="F666" s="11" t="n">
        <x:v>14.316666666666666</x:v>
      </x:c>
      <x:c r="G666" s="11" t="n">
        <x:f>F666-E666</x:f>
        <x:v>8</x:v>
      </x:c>
      <x:c r="H666" s="10" t="n">
        <x:v>1</x:v>
      </x:c>
      <x:c r="I666" s="10" t="str">
        <x:v>completed_as_adopted</x:v>
      </x:c>
      <x:c r="J666" s="10" t="str">
        <x:v>VOICE:A/S2-11/scored/01440</x:v>
      </x:c>
      <x:c r="K666" s="10" t="str">
        <x:v>VOICE:S2-11:input</x:v>
      </x:c>
      <x:c r="L666" s="10" t="str">
        <x:v>VOICE:A/S2-11/scored/01440</x:v>
      </x:c>
    </x:row>
    <x:row r="667" ht="52" customHeight="1">
      <x:c r="A667" s="10" t="str">
        <x:v>V-R1</x:v>
      </x:c>
      <x:c r="B667" s="10" t="str">
        <x:v>VOICE</x:v>
      </x:c>
      <x:c r="C667" s="10" t="str">
        <x:v>VOICE:S2-11</x:v>
      </x:c>
      <x:c r="D667" s="10" t="str">
        <x:v>VOICE:S2-11:goal</x:v>
      </x:c>
      <x:c r="E667" s="11" t="n">
        <x:v>9.450000000000001</x:v>
      </x:c>
      <x:c r="F667" s="11" t="n">
        <x:v>17.450000000000003</x:v>
      </x:c>
      <x:c r="G667" s="11" t="n">
        <x:f>F667-E667</x:f>
        <x:v>8.000000000000002</x:v>
      </x:c>
      <x:c r="H667" s="10" t="n">
        <x:v>1</x:v>
      </x:c>
      <x:c r="I667" s="10" t="str">
        <x:v>completed_as_adopted</x:v>
      </x:c>
      <x:c r="J667" s="10" t="str">
        <x:v>VOICE:B-R1/S2-11/scored/01455</x:v>
      </x:c>
      <x:c r="K667" s="10" t="str">
        <x:v>VOICE:S2-11:input</x:v>
      </x:c>
      <x:c r="L667" s="10" t="str">
        <x:v>VOICE:B-R1/S2-11/scored/01455</x:v>
      </x:c>
    </x:row>
    <x:row r="668" ht="52" customHeight="1">
      <x:c r="A668" s="10" t="str">
        <x:v>V-R2</x:v>
      </x:c>
      <x:c r="B668" s="10" t="str">
        <x:v>VOICE</x:v>
      </x:c>
      <x:c r="C668" s="10" t="str">
        <x:v>VOICE:S2-11</x:v>
      </x:c>
      <x:c r="D668" s="10" t="str">
        <x:v>VOICE:S2-11:goal</x:v>
      </x:c>
      <x:c r="E668" s="11" t="n">
        <x:v>9.450000000000001</x:v>
      </x:c>
      <x:c r="F668" s="11" t="n">
        <x:v>17.450000000000003</x:v>
      </x:c>
      <x:c r="G668" s="11" t="n">
        <x:f>F668-E668</x:f>
        <x:v>8.000000000000002</x:v>
      </x:c>
      <x:c r="H668" s="10" t="n">
        <x:v>1</x:v>
      </x:c>
      <x:c r="I668" s="10" t="str">
        <x:v>completed_as_adopted</x:v>
      </x:c>
      <x:c r="J668" s="10" t="str">
        <x:v>VOICE:B-R2/S2-11/scored/01469</x:v>
      </x:c>
      <x:c r="K668" s="10" t="str">
        <x:v>VOICE:S2-11:input</x:v>
      </x:c>
      <x:c r="L668" s="10" t="str">
        <x:v>VOICE:B-R2/S2-11/scored/01469</x:v>
      </x:c>
    </x:row>
    <x:row r="669" ht="52" customHeight="1">
      <x:c r="A669" s="10" t="str">
        <x:v>V-R3</x:v>
      </x:c>
      <x:c r="B669" s="10" t="str">
        <x:v>VOICE</x:v>
      </x:c>
      <x:c r="C669" s="10" t="str">
        <x:v>VOICE:S2-11</x:v>
      </x:c>
      <x:c r="D669" s="10" t="str">
        <x:v>VOICE:S2-11:goal</x:v>
      </x:c>
      <x:c r="E669" s="11" t="n">
        <x:v>9.51</x:v>
      </x:c>
      <x:c r="F669" s="11" t="n">
        <x:v>17.51</x:v>
      </x:c>
      <x:c r="G669" s="11" t="n">
        <x:f>F669-E669</x:f>
        <x:v>8.000000000000002</x:v>
      </x:c>
      <x:c r="H669" s="10" t="n">
        <x:v>1</x:v>
      </x:c>
      <x:c r="I669" s="10" t="str">
        <x:v>completed_as_adopted</x:v>
      </x:c>
      <x:c r="J669" s="10" t="str">
        <x:v>VOICE:B-R3/S2-11/scored/01484</x:v>
      </x:c>
      <x:c r="K669" s="10" t="str">
        <x:v>VOICE:S2-11:input</x:v>
      </x:c>
      <x:c r="L669" s="10" t="str">
        <x:v>VOICE:B-R3/S2-11/scored/01484</x:v>
      </x:c>
    </x:row>
    <x:row r="670" ht="52" customHeight="1">
      <x:c r="A670" s="10" t="str">
        <x:v>V-A</x:v>
      </x:c>
      <x:c r="B670" s="10" t="str">
        <x:v>VOICE</x:v>
      </x:c>
      <x:c r="C670" s="10" t="str">
        <x:v>VOICE:S2-12</x:v>
      </x:c>
      <x:c r="D670" s="10" t="str">
        <x:v>VOICE:S2-12:goal</x:v>
      </x:c>
      <x:c r="E670" s="11" t="n">
        <x:v>6.3166666666666655</x:v>
      </x:c>
      <x:c r="F670" s="11" t="n">
        <x:v>14.316666666666666</x:v>
      </x:c>
      <x:c r="G670" s="11" t="n">
        <x:f>F670-E670</x:f>
        <x:v>8</x:v>
      </x:c>
      <x:c r="H670" s="10" t="n">
        <x:v>1</x:v>
      </x:c>
      <x:c r="I670" s="10" t="str">
        <x:v>completed_as_adopted</x:v>
      </x:c>
      <x:c r="J670" s="10" t="str">
        <x:v>VOICE:A/S2-12/scored/01495</x:v>
      </x:c>
      <x:c r="K670" s="10" t="str">
        <x:v>VOICE:S2-12:input</x:v>
      </x:c>
      <x:c r="L670" s="10" t="str">
        <x:v>VOICE:A/S2-12/scored/01495</x:v>
      </x:c>
    </x:row>
    <x:row r="671" ht="52" customHeight="1">
      <x:c r="A671" s="10" t="str">
        <x:v>V-R1</x:v>
      </x:c>
      <x:c r="B671" s="10" t="str">
        <x:v>VOICE</x:v>
      </x:c>
      <x:c r="C671" s="10" t="str">
        <x:v>VOICE:S2-12</x:v>
      </x:c>
      <x:c r="D671" s="10" t="str">
        <x:v>VOICE:S2-12:goal</x:v>
      </x:c>
      <x:c r="E671" s="11" t="n">
        <x:v>9.450000000000001</x:v>
      </x:c>
      <x:c r="F671" s="11" t="n">
        <x:v>17.450000000000003</x:v>
      </x:c>
      <x:c r="G671" s="11" t="n">
        <x:f>F671-E671</x:f>
        <x:v>8.000000000000002</x:v>
      </x:c>
      <x:c r="H671" s="10" t="n">
        <x:v>1</x:v>
      </x:c>
      <x:c r="I671" s="10" t="str">
        <x:v>completed_as_adopted</x:v>
      </x:c>
      <x:c r="J671" s="10" t="str">
        <x:v>VOICE:B-R1/S2-12/scored/01510</x:v>
      </x:c>
      <x:c r="K671" s="10" t="str">
        <x:v>VOICE:S2-12:input</x:v>
      </x:c>
      <x:c r="L671" s="10" t="str">
        <x:v>VOICE:B-R1/S2-12/scored/01510</x:v>
      </x:c>
    </x:row>
    <x:row r="672" ht="52" customHeight="1">
      <x:c r="A672" s="10" t="str">
        <x:v>V-R2</x:v>
      </x:c>
      <x:c r="B672" s="10" t="str">
        <x:v>VOICE</x:v>
      </x:c>
      <x:c r="C672" s="10" t="str">
        <x:v>VOICE:S2-12</x:v>
      </x:c>
      <x:c r="D672" s="10" t="str">
        <x:v>VOICE:S2-12:goal</x:v>
      </x:c>
      <x:c r="E672" s="11" t="n">
        <x:v>9.450000000000001</x:v>
      </x:c>
      <x:c r="F672" s="11" t="n">
        <x:v>17.450000000000003</x:v>
      </x:c>
      <x:c r="G672" s="11" t="n">
        <x:f>F672-E672</x:f>
        <x:v>8.000000000000002</x:v>
      </x:c>
      <x:c r="H672" s="10" t="n">
        <x:v>1</x:v>
      </x:c>
      <x:c r="I672" s="10" t="str">
        <x:v>completed_as_adopted</x:v>
      </x:c>
      <x:c r="J672" s="10" t="str">
        <x:v>VOICE:B-R2/S2-12/scored/01524</x:v>
      </x:c>
      <x:c r="K672" s="10" t="str">
        <x:v>VOICE:S2-12:input</x:v>
      </x:c>
      <x:c r="L672" s="10" t="str">
        <x:v>VOICE:B-R2/S2-12/scored/01524</x:v>
      </x:c>
    </x:row>
    <x:row r="673" ht="52" customHeight="1">
      <x:c r="A673" s="10" t="str">
        <x:v>V-R3</x:v>
      </x:c>
      <x:c r="B673" s="10" t="str">
        <x:v>VOICE</x:v>
      </x:c>
      <x:c r="C673" s="10" t="str">
        <x:v>VOICE:S2-12</x:v>
      </x:c>
      <x:c r="D673" s="10" t="str">
        <x:v>VOICE:S2-12:goal</x:v>
      </x:c>
      <x:c r="E673" s="11" t="n">
        <x:v>9.51</x:v>
      </x:c>
      <x:c r="F673" s="11" t="n">
        <x:v>17.51</x:v>
      </x:c>
      <x:c r="G673" s="11" t="n">
        <x:f>F673-E673</x:f>
        <x:v>8.000000000000002</x:v>
      </x:c>
      <x:c r="H673" s="10" t="n">
        <x:v>1</x:v>
      </x:c>
      <x:c r="I673" s="10" t="str">
        <x:v>completed_as_adopted</x:v>
      </x:c>
      <x:c r="J673" s="10" t="str">
        <x:v>VOICE:B-R3/S2-12/scored/01539</x:v>
      </x:c>
      <x:c r="K673" s="10" t="str">
        <x:v>VOICE:S2-12:input</x:v>
      </x:c>
      <x:c r="L673" s="10" t="str">
        <x:v>VOICE:B-R3/S2-12/scored/01539</x:v>
      </x:c>
    </x:row>
    <x:row r="674" ht="52" customHeight="1">
      <x:c r="A674" s="10" t="str">
        <x:v>V-A</x:v>
      </x:c>
      <x:c r="B674" s="10" t="str">
        <x:v>VOICE</x:v>
      </x:c>
      <x:c r="C674" s="10" t="str">
        <x:v>VOICE:S2-13</x:v>
      </x:c>
      <x:c r="D674" s="10" t="str">
        <x:v>VOICE:S2-13:goal</x:v>
      </x:c>
      <x:c r="E674" s="11" t="n">
        <x:v>6.3166666666666655</x:v>
      </x:c>
      <x:c r="F674" s="11" t="n">
        <x:v>14.316666666666666</x:v>
      </x:c>
      <x:c r="G674" s="11" t="n">
        <x:f>F674-E674</x:f>
        <x:v>8</x:v>
      </x:c>
      <x:c r="H674" s="10" t="n">
        <x:v>1</x:v>
      </x:c>
      <x:c r="I674" s="10" t="str">
        <x:v>completed_as_adopted</x:v>
      </x:c>
      <x:c r="J674" s="10" t="str">
        <x:v>VOICE:A/S2-13/scored/01550</x:v>
      </x:c>
      <x:c r="K674" s="10" t="str">
        <x:v>VOICE:S2-13:input</x:v>
      </x:c>
      <x:c r="L674" s="10" t="str">
        <x:v>VOICE:A/S2-13/scored/01550</x:v>
      </x:c>
    </x:row>
    <x:row r="675" ht="52" customHeight="1">
      <x:c r="A675" s="10" t="str">
        <x:v>V-R1</x:v>
      </x:c>
      <x:c r="B675" s="10" t="str">
        <x:v>VOICE</x:v>
      </x:c>
      <x:c r="C675" s="10" t="str">
        <x:v>VOICE:S2-13</x:v>
      </x:c>
      <x:c r="D675" s="10" t="str">
        <x:v>VOICE:S2-13:goal</x:v>
      </x:c>
      <x:c r="E675" s="11" t="n">
        <x:v>9.450000000000001</x:v>
      </x:c>
      <x:c r="F675" s="11" t="n">
        <x:v>17.450000000000003</x:v>
      </x:c>
      <x:c r="G675" s="11" t="n">
        <x:f>F675-E675</x:f>
        <x:v>8.000000000000002</x:v>
      </x:c>
      <x:c r="H675" s="10" t="n">
        <x:v>1</x:v>
      </x:c>
      <x:c r="I675" s="10" t="str">
        <x:v>completed_as_adopted</x:v>
      </x:c>
      <x:c r="J675" s="10" t="str">
        <x:v>VOICE:B-R1/S2-13/scored/01565</x:v>
      </x:c>
      <x:c r="K675" s="10" t="str">
        <x:v>VOICE:S2-13:input</x:v>
      </x:c>
      <x:c r="L675" s="10" t="str">
        <x:v>VOICE:B-R1/S2-13/scored/01565</x:v>
      </x:c>
    </x:row>
    <x:row r="676" ht="52" customHeight="1">
      <x:c r="A676" s="10" t="str">
        <x:v>V-R2</x:v>
      </x:c>
      <x:c r="B676" s="10" t="str">
        <x:v>VOICE</x:v>
      </x:c>
      <x:c r="C676" s="10" t="str">
        <x:v>VOICE:S2-13</x:v>
      </x:c>
      <x:c r="D676" s="10" t="str">
        <x:v>VOICE:S2-13:goal</x:v>
      </x:c>
      <x:c r="E676" s="11" t="n">
        <x:v>9.450000000000001</x:v>
      </x:c>
      <x:c r="F676" s="11" t="n">
        <x:v>17.450000000000003</x:v>
      </x:c>
      <x:c r="G676" s="11" t="n">
        <x:f>F676-E676</x:f>
        <x:v>8.000000000000002</x:v>
      </x:c>
      <x:c r="H676" s="10" t="n">
        <x:v>1</x:v>
      </x:c>
      <x:c r="I676" s="10" t="str">
        <x:v>completed_as_adopted</x:v>
      </x:c>
      <x:c r="J676" s="10" t="str">
        <x:v>VOICE:B-R2/S2-13/scored/01579</x:v>
      </x:c>
      <x:c r="K676" s="10" t="str">
        <x:v>VOICE:S2-13:input</x:v>
      </x:c>
      <x:c r="L676" s="10" t="str">
        <x:v>VOICE:B-R2/S2-13/scored/01579</x:v>
      </x:c>
    </x:row>
    <x:row r="677" ht="52" customHeight="1">
      <x:c r="A677" s="10" t="str">
        <x:v>V-R3</x:v>
      </x:c>
      <x:c r="B677" s="10" t="str">
        <x:v>VOICE</x:v>
      </x:c>
      <x:c r="C677" s="10" t="str">
        <x:v>VOICE:S2-13</x:v>
      </x:c>
      <x:c r="D677" s="10" t="str">
        <x:v>VOICE:S2-13:goal</x:v>
      </x:c>
      <x:c r="E677" s="11" t="n">
        <x:v>9.51</x:v>
      </x:c>
      <x:c r="F677" s="11" t="n">
        <x:v>17.51</x:v>
      </x:c>
      <x:c r="G677" s="11" t="n">
        <x:f>F677-E677</x:f>
        <x:v>8.000000000000002</x:v>
      </x:c>
      <x:c r="H677" s="10" t="n">
        <x:v>1</x:v>
      </x:c>
      <x:c r="I677" s="10" t="str">
        <x:v>completed_as_adopted</x:v>
      </x:c>
      <x:c r="J677" s="10" t="str">
        <x:v>VOICE:B-R3/S2-13/scored/01594</x:v>
      </x:c>
      <x:c r="K677" s="10" t="str">
        <x:v>VOICE:S2-13:input</x:v>
      </x:c>
      <x:c r="L677" s="10" t="str">
        <x:v>VOICE:B-R3/S2-13/scored/01594</x:v>
      </x:c>
    </x:row>
    <x:row r="678" ht="52" customHeight="1">
      <x:c r="A678" s="10" t="str">
        <x:v>V-A</x:v>
      </x:c>
      <x:c r="B678" s="10" t="str">
        <x:v>VOICE</x:v>
      </x:c>
      <x:c r="C678" s="10" t="str">
        <x:v>VOICE:S2-14</x:v>
      </x:c>
      <x:c r="D678" s="10" t="str">
        <x:v>VOICE:S2-14:goal</x:v>
      </x:c>
      <x:c r="E678" s="11" t="n">
        <x:v>6.3166666666666655</x:v>
      </x:c>
      <x:c r="F678" s="11" t="n">
        <x:v>14.316666666666666</x:v>
      </x:c>
      <x:c r="G678" s="11" t="n">
        <x:f>F678-E678</x:f>
        <x:v>8</x:v>
      </x:c>
      <x:c r="H678" s="10" t="n">
        <x:v>1</x:v>
      </x:c>
      <x:c r="I678" s="10" t="str">
        <x:v>completed_as_adopted</x:v>
      </x:c>
      <x:c r="J678" s="10" t="str">
        <x:v>VOICE:A/S2-14/scored/01605</x:v>
      </x:c>
      <x:c r="K678" s="10" t="str">
        <x:v>VOICE:S2-14:input</x:v>
      </x:c>
      <x:c r="L678" s="10" t="str">
        <x:v>VOICE:A/S2-14/scored/01605</x:v>
      </x:c>
    </x:row>
    <x:row r="679" ht="52" customHeight="1">
      <x:c r="A679" s="10" t="str">
        <x:v>V-R1</x:v>
      </x:c>
      <x:c r="B679" s="10" t="str">
        <x:v>VOICE</x:v>
      </x:c>
      <x:c r="C679" s="10" t="str">
        <x:v>VOICE:S2-14</x:v>
      </x:c>
      <x:c r="D679" s="10" t="str">
        <x:v>VOICE:S2-14:goal</x:v>
      </x:c>
      <x:c r="E679" s="11" t="n">
        <x:v>9.450000000000001</x:v>
      </x:c>
      <x:c r="F679" s="11" t="n">
        <x:v>17.450000000000003</x:v>
      </x:c>
      <x:c r="G679" s="11" t="n">
        <x:f>F679-E679</x:f>
        <x:v>8.000000000000002</x:v>
      </x:c>
      <x:c r="H679" s="10" t="n">
        <x:v>1</x:v>
      </x:c>
      <x:c r="I679" s="10" t="str">
        <x:v>completed_as_adopted</x:v>
      </x:c>
      <x:c r="J679" s="10" t="str">
        <x:v>VOICE:B-R1/S2-14/scored/01620</x:v>
      </x:c>
      <x:c r="K679" s="10" t="str">
        <x:v>VOICE:S2-14:input</x:v>
      </x:c>
      <x:c r="L679" s="10" t="str">
        <x:v>VOICE:B-R1/S2-14/scored/01620</x:v>
      </x:c>
    </x:row>
    <x:row r="680" ht="52" customHeight="1">
      <x:c r="A680" s="10" t="str">
        <x:v>V-R2</x:v>
      </x:c>
      <x:c r="B680" s="10" t="str">
        <x:v>VOICE</x:v>
      </x:c>
      <x:c r="C680" s="10" t="str">
        <x:v>VOICE:S2-14</x:v>
      </x:c>
      <x:c r="D680" s="10" t="str">
        <x:v>VOICE:S2-14:goal</x:v>
      </x:c>
      <x:c r="E680" s="11" t="n">
        <x:v>9.450000000000001</x:v>
      </x:c>
      <x:c r="F680" s="11" t="n">
        <x:v>17.450000000000003</x:v>
      </x:c>
      <x:c r="G680" s="11" t="n">
        <x:f>F680-E680</x:f>
        <x:v>8.000000000000002</x:v>
      </x:c>
      <x:c r="H680" s="10" t="n">
        <x:v>1</x:v>
      </x:c>
      <x:c r="I680" s="10" t="str">
        <x:v>completed_as_adopted</x:v>
      </x:c>
      <x:c r="J680" s="10" t="str">
        <x:v>VOICE:B-R2/S2-14/scored/01634</x:v>
      </x:c>
      <x:c r="K680" s="10" t="str">
        <x:v>VOICE:S2-14:input</x:v>
      </x:c>
      <x:c r="L680" s="10" t="str">
        <x:v>VOICE:B-R2/S2-14/scored/01634</x:v>
      </x:c>
    </x:row>
    <x:row r="681" ht="52" customHeight="1">
      <x:c r="A681" s="10" t="str">
        <x:v>V-R3</x:v>
      </x:c>
      <x:c r="B681" s="10" t="str">
        <x:v>VOICE</x:v>
      </x:c>
      <x:c r="C681" s="10" t="str">
        <x:v>VOICE:S2-14</x:v>
      </x:c>
      <x:c r="D681" s="10" t="str">
        <x:v>VOICE:S2-14:goal</x:v>
      </x:c>
      <x:c r="E681" s="11" t="n">
        <x:v>9.51</x:v>
      </x:c>
      <x:c r="F681" s="11" t="n">
        <x:v>17.51</x:v>
      </x:c>
      <x:c r="G681" s="11" t="n">
        <x:f>F681-E681</x:f>
        <x:v>8.000000000000002</x:v>
      </x:c>
      <x:c r="H681" s="10" t="n">
        <x:v>1</x:v>
      </x:c>
      <x:c r="I681" s="10" t="str">
        <x:v>completed_as_adopted</x:v>
      </x:c>
      <x:c r="J681" s="10" t="str">
        <x:v>VOICE:B-R3/S2-14/scored/01649</x:v>
      </x:c>
      <x:c r="K681" s="10" t="str">
        <x:v>VOICE:S2-14:input</x:v>
      </x:c>
      <x:c r="L681" s="10" t="str">
        <x:v>VOICE:B-R3/S2-14/scored/01649</x:v>
      </x:c>
    </x:row>
    <x:row r="682" ht="52" customHeight="1">
      <x:c r="A682" s="10" t="str">
        <x:v>V-A</x:v>
      </x:c>
      <x:c r="B682" s="10" t="str">
        <x:v>VOICE</x:v>
      </x:c>
      <x:c r="C682" s="10" t="str">
        <x:v>VOICE:S2-15</x:v>
      </x:c>
      <x:c r="D682" s="10" t="str">
        <x:v>VOICE:S2-15:goal</x:v>
      </x:c>
      <x:c r="E682" s="11" t="n">
        <x:v>6.3166666666666655</x:v>
      </x:c>
      <x:c r="F682" s="11" t="n">
        <x:v>14.316666666666666</x:v>
      </x:c>
      <x:c r="G682" s="11" t="n">
        <x:f>F682-E682</x:f>
        <x:v>8</x:v>
      </x:c>
      <x:c r="H682" s="10" t="n">
        <x:v>1</x:v>
      </x:c>
      <x:c r="I682" s="10" t="str">
        <x:v>completed_as_adopted</x:v>
      </x:c>
      <x:c r="J682" s="10" t="str">
        <x:v>VOICE:A/S2-15/scored/01660</x:v>
      </x:c>
      <x:c r="K682" s="10" t="str">
        <x:v>VOICE:S2-15:input</x:v>
      </x:c>
      <x:c r="L682" s="10" t="str">
        <x:v>VOICE:A/S2-15/scored/01660</x:v>
      </x:c>
    </x:row>
    <x:row r="683" ht="52" customHeight="1">
      <x:c r="A683" s="10" t="str">
        <x:v>V-R1</x:v>
      </x:c>
      <x:c r="B683" s="10" t="str">
        <x:v>VOICE</x:v>
      </x:c>
      <x:c r="C683" s="10" t="str">
        <x:v>VOICE:S2-15</x:v>
      </x:c>
      <x:c r="D683" s="10" t="str">
        <x:v>VOICE:S2-15:goal</x:v>
      </x:c>
      <x:c r="E683" s="11" t="n">
        <x:v>9.450000000000001</x:v>
      </x:c>
      <x:c r="F683" s="11" t="n">
        <x:v>17.450000000000003</x:v>
      </x:c>
      <x:c r="G683" s="11" t="n">
        <x:f>F683-E683</x:f>
        <x:v>8.000000000000002</x:v>
      </x:c>
      <x:c r="H683" s="10" t="n">
        <x:v>1</x:v>
      </x:c>
      <x:c r="I683" s="10" t="str">
        <x:v>completed_as_adopted</x:v>
      </x:c>
      <x:c r="J683" s="10" t="str">
        <x:v>VOICE:B-R1/S2-15/scored/01675</x:v>
      </x:c>
      <x:c r="K683" s="10" t="str">
        <x:v>VOICE:S2-15:input</x:v>
      </x:c>
      <x:c r="L683" s="10" t="str">
        <x:v>VOICE:B-R1/S2-15/scored/01675</x:v>
      </x:c>
    </x:row>
    <x:row r="684" ht="52" customHeight="1">
      <x:c r="A684" s="10" t="str">
        <x:v>V-R2</x:v>
      </x:c>
      <x:c r="B684" s="10" t="str">
        <x:v>VOICE</x:v>
      </x:c>
      <x:c r="C684" s="10" t="str">
        <x:v>VOICE:S2-15</x:v>
      </x:c>
      <x:c r="D684" s="10" t="str">
        <x:v>VOICE:S2-15:goal</x:v>
      </x:c>
      <x:c r="E684" s="11" t="n">
        <x:v>9.450000000000001</x:v>
      </x:c>
      <x:c r="F684" s="11" t="n">
        <x:v>17.450000000000003</x:v>
      </x:c>
      <x:c r="G684" s="11" t="n">
        <x:f>F684-E684</x:f>
        <x:v>8.000000000000002</x:v>
      </x:c>
      <x:c r="H684" s="10" t="n">
        <x:v>1</x:v>
      </x:c>
      <x:c r="I684" s="10" t="str">
        <x:v>completed_as_adopted</x:v>
      </x:c>
      <x:c r="J684" s="10" t="str">
        <x:v>VOICE:B-R2/S2-15/scored/01689</x:v>
      </x:c>
      <x:c r="K684" s="10" t="str">
        <x:v>VOICE:S2-15:input</x:v>
      </x:c>
      <x:c r="L684" s="10" t="str">
        <x:v>VOICE:B-R2/S2-15/scored/01689</x:v>
      </x:c>
    </x:row>
    <x:row r="685" ht="52" customHeight="1">
      <x:c r="A685" s="10" t="str">
        <x:v>V-R3</x:v>
      </x:c>
      <x:c r="B685" s="10" t="str">
        <x:v>VOICE</x:v>
      </x:c>
      <x:c r="C685" s="10" t="str">
        <x:v>VOICE:S2-15</x:v>
      </x:c>
      <x:c r="D685" s="10" t="str">
        <x:v>VOICE:S2-15:goal</x:v>
      </x:c>
      <x:c r="E685" s="11" t="n">
        <x:v>9.51</x:v>
      </x:c>
      <x:c r="F685" s="11" t="n">
        <x:v>17.51</x:v>
      </x:c>
      <x:c r="G685" s="11" t="n">
        <x:f>F685-E685</x:f>
        <x:v>8.000000000000002</x:v>
      </x:c>
      <x:c r="H685" s="10" t="n">
        <x:v>1</x:v>
      </x:c>
      <x:c r="I685" s="10" t="str">
        <x:v>completed_as_adopted</x:v>
      </x:c>
      <x:c r="J685" s="10" t="str">
        <x:v>VOICE:B-R3/S2-15/scored/01704</x:v>
      </x:c>
      <x:c r="K685" s="10" t="str">
        <x:v>VOICE:S2-15:input</x:v>
      </x:c>
      <x:c r="L685" s="10" t="str">
        <x:v>VOICE:B-R3/S2-15/scored/01704</x:v>
      </x:c>
    </x:row>
    <x:row r="686" ht="52" customHeight="1">
      <x:c r="A686" s="10" t="str">
        <x:v>V-A</x:v>
      </x:c>
      <x:c r="B686" s="10" t="str">
        <x:v>VOICE</x:v>
      </x:c>
      <x:c r="C686" s="10" t="str">
        <x:v>VOICE:S2-16</x:v>
      </x:c>
      <x:c r="D686" s="10" t="str">
        <x:v>VOICE:S2-16:goal</x:v>
      </x:c>
      <x:c r="E686" s="11" t="n">
        <x:v>6.3166666666666655</x:v>
      </x:c>
      <x:c r="F686" s="11" t="n">
        <x:v>14.316666666666666</x:v>
      </x:c>
      <x:c r="G686" s="11" t="n">
        <x:f>F686-E686</x:f>
        <x:v>8</x:v>
      </x:c>
      <x:c r="H686" s="10" t="n">
        <x:v>1</x:v>
      </x:c>
      <x:c r="I686" s="10" t="str">
        <x:v>completed_as_adopted</x:v>
      </x:c>
      <x:c r="J686" s="10" t="str">
        <x:v>VOICE:A/S2-16/scored/01715</x:v>
      </x:c>
      <x:c r="K686" s="10" t="str">
        <x:v>VOICE:S2-16:input</x:v>
      </x:c>
      <x:c r="L686" s="10" t="str">
        <x:v>VOICE:A/S2-16/scored/01715</x:v>
      </x:c>
    </x:row>
    <x:row r="687" ht="52" customHeight="1">
      <x:c r="A687" s="10" t="str">
        <x:v>V-R1</x:v>
      </x:c>
      <x:c r="B687" s="10" t="str">
        <x:v>VOICE</x:v>
      </x:c>
      <x:c r="C687" s="10" t="str">
        <x:v>VOICE:S2-16</x:v>
      </x:c>
      <x:c r="D687" s="10" t="str">
        <x:v>VOICE:S2-16:goal</x:v>
      </x:c>
      <x:c r="E687" s="11" t="n">
        <x:v>9.450000000000001</x:v>
      </x:c>
      <x:c r="F687" s="11" t="n">
        <x:v>17.450000000000003</x:v>
      </x:c>
      <x:c r="G687" s="11" t="n">
        <x:f>F687-E687</x:f>
        <x:v>8.000000000000002</x:v>
      </x:c>
      <x:c r="H687" s="10" t="n">
        <x:v>1</x:v>
      </x:c>
      <x:c r="I687" s="10" t="str">
        <x:v>completed_as_adopted</x:v>
      </x:c>
      <x:c r="J687" s="10" t="str">
        <x:v>VOICE:B-R1/S2-16/scored/01730</x:v>
      </x:c>
      <x:c r="K687" s="10" t="str">
        <x:v>VOICE:S2-16:input</x:v>
      </x:c>
      <x:c r="L687" s="10" t="str">
        <x:v>VOICE:B-R1/S2-16/scored/01730</x:v>
      </x:c>
    </x:row>
    <x:row r="688" ht="52" customHeight="1">
      <x:c r="A688" s="10" t="str">
        <x:v>V-R2</x:v>
      </x:c>
      <x:c r="B688" s="10" t="str">
        <x:v>VOICE</x:v>
      </x:c>
      <x:c r="C688" s="10" t="str">
        <x:v>VOICE:S2-16</x:v>
      </x:c>
      <x:c r="D688" s="10" t="str">
        <x:v>VOICE:S2-16:goal</x:v>
      </x:c>
      <x:c r="E688" s="11" t="n">
        <x:v>9.450000000000001</x:v>
      </x:c>
      <x:c r="F688" s="11" t="n">
        <x:v>17.450000000000003</x:v>
      </x:c>
      <x:c r="G688" s="11" t="n">
        <x:f>F688-E688</x:f>
        <x:v>8.000000000000002</x:v>
      </x:c>
      <x:c r="H688" s="10" t="n">
        <x:v>1</x:v>
      </x:c>
      <x:c r="I688" s="10" t="str">
        <x:v>completed_as_adopted</x:v>
      </x:c>
      <x:c r="J688" s="10" t="str">
        <x:v>VOICE:B-R2/S2-16/scored/01744</x:v>
      </x:c>
      <x:c r="K688" s="10" t="str">
        <x:v>VOICE:S2-16:input</x:v>
      </x:c>
      <x:c r="L688" s="10" t="str">
        <x:v>VOICE:B-R2/S2-16/scored/01744</x:v>
      </x:c>
    </x:row>
    <x:row r="689" ht="52" customHeight="1">
      <x:c r="A689" s="10" t="str">
        <x:v>V-R3</x:v>
      </x:c>
      <x:c r="B689" s="10" t="str">
        <x:v>VOICE</x:v>
      </x:c>
      <x:c r="C689" s="10" t="str">
        <x:v>VOICE:S2-16</x:v>
      </x:c>
      <x:c r="D689" s="10" t="str">
        <x:v>VOICE:S2-16:goal</x:v>
      </x:c>
      <x:c r="E689" s="11" t="n">
        <x:v>9.51</x:v>
      </x:c>
      <x:c r="F689" s="11" t="n">
        <x:v>17.51</x:v>
      </x:c>
      <x:c r="G689" s="11" t="n">
        <x:f>F689-E689</x:f>
        <x:v>8.000000000000002</x:v>
      </x:c>
      <x:c r="H689" s="10" t="n">
        <x:v>1</x:v>
      </x:c>
      <x:c r="I689" s="10" t="str">
        <x:v>completed_as_adopted</x:v>
      </x:c>
      <x:c r="J689" s="10" t="str">
        <x:v>VOICE:B-R3/S2-16/scored/01759</x:v>
      </x:c>
      <x:c r="K689" s="10" t="str">
        <x:v>VOICE:S2-16:input</x:v>
      </x:c>
      <x:c r="L689" s="10" t="str">
        <x:v>VOICE:B-R3/S2-16/scored/01759</x:v>
      </x:c>
    </x:row>
    <x:row r="690" ht="52" customHeight="1">
      <x:c r="A690" s="10" t="str">
        <x:v>V-A</x:v>
      </x:c>
      <x:c r="B690" s="10" t="str">
        <x:v>VOICE</x:v>
      </x:c>
      <x:c r="C690" s="10" t="str">
        <x:v>VOICE:S2-17</x:v>
      </x:c>
      <x:c r="D690" s="10" t="str">
        <x:v>VOICE:S2-17:goal</x:v>
      </x:c>
      <x:c r="E690" s="11" t="n">
        <x:v>6.3166666666666655</x:v>
      </x:c>
      <x:c r="F690" s="11" t="n">
        <x:v>14.316666666666666</x:v>
      </x:c>
      <x:c r="G690" s="11" t="n">
        <x:f>F690-E690</x:f>
        <x:v>8</x:v>
      </x:c>
      <x:c r="H690" s="10" t="n">
        <x:v>1</x:v>
      </x:c>
      <x:c r="I690" s="10" t="str">
        <x:v>completed_as_adopted</x:v>
      </x:c>
      <x:c r="J690" s="10" t="str">
        <x:v>VOICE:A/S2-17/scored/01770</x:v>
      </x:c>
      <x:c r="K690" s="10" t="str">
        <x:v>VOICE:S2-17:input</x:v>
      </x:c>
      <x:c r="L690" s="10" t="str">
        <x:v>VOICE:A/S2-17/scored/01770</x:v>
      </x:c>
    </x:row>
    <x:row r="691" ht="52" customHeight="1">
      <x:c r="A691" s="10" t="str">
        <x:v>V-R1</x:v>
      </x:c>
      <x:c r="B691" s="10" t="str">
        <x:v>VOICE</x:v>
      </x:c>
      <x:c r="C691" s="10" t="str">
        <x:v>VOICE:S2-17</x:v>
      </x:c>
      <x:c r="D691" s="10" t="str">
        <x:v>VOICE:S2-17:goal</x:v>
      </x:c>
      <x:c r="E691" s="11" t="n">
        <x:v>9.450000000000001</x:v>
      </x:c>
      <x:c r="F691" s="11" t="n">
        <x:v>17.450000000000003</x:v>
      </x:c>
      <x:c r="G691" s="11" t="n">
        <x:f>F691-E691</x:f>
        <x:v>8.000000000000002</x:v>
      </x:c>
      <x:c r="H691" s="10" t="n">
        <x:v>1</x:v>
      </x:c>
      <x:c r="I691" s="10" t="str">
        <x:v>completed_as_adopted</x:v>
      </x:c>
      <x:c r="J691" s="10" t="str">
        <x:v>VOICE:B-R1/S2-17/scored/01785</x:v>
      </x:c>
      <x:c r="K691" s="10" t="str">
        <x:v>VOICE:S2-17:input</x:v>
      </x:c>
      <x:c r="L691" s="10" t="str">
        <x:v>VOICE:B-R1/S2-17/scored/01785</x:v>
      </x:c>
    </x:row>
    <x:row r="692" ht="52" customHeight="1">
      <x:c r="A692" s="10" t="str">
        <x:v>V-R2</x:v>
      </x:c>
      <x:c r="B692" s="10" t="str">
        <x:v>VOICE</x:v>
      </x:c>
      <x:c r="C692" s="10" t="str">
        <x:v>VOICE:S2-17</x:v>
      </x:c>
      <x:c r="D692" s="10" t="str">
        <x:v>VOICE:S2-17:goal</x:v>
      </x:c>
      <x:c r="E692" s="11" t="n">
        <x:v>9.450000000000001</x:v>
      </x:c>
      <x:c r="F692" s="11" t="n">
        <x:v>17.450000000000003</x:v>
      </x:c>
      <x:c r="G692" s="11" t="n">
        <x:f>F692-E692</x:f>
        <x:v>8.000000000000002</x:v>
      </x:c>
      <x:c r="H692" s="10" t="n">
        <x:v>1</x:v>
      </x:c>
      <x:c r="I692" s="10" t="str">
        <x:v>completed_as_adopted</x:v>
      </x:c>
      <x:c r="J692" s="10" t="str">
        <x:v>VOICE:B-R2/S2-17/scored/01799</x:v>
      </x:c>
      <x:c r="K692" s="10" t="str">
        <x:v>VOICE:S2-17:input</x:v>
      </x:c>
      <x:c r="L692" s="10" t="str">
        <x:v>VOICE:B-R2/S2-17/scored/01799</x:v>
      </x:c>
    </x:row>
    <x:row r="693" ht="52" customHeight="1">
      <x:c r="A693" s="10" t="str">
        <x:v>V-R3</x:v>
      </x:c>
      <x:c r="B693" s="10" t="str">
        <x:v>VOICE</x:v>
      </x:c>
      <x:c r="C693" s="10" t="str">
        <x:v>VOICE:S2-17</x:v>
      </x:c>
      <x:c r="D693" s="10" t="str">
        <x:v>VOICE:S2-17:goal</x:v>
      </x:c>
      <x:c r="E693" s="11" t="n">
        <x:v>9.51</x:v>
      </x:c>
      <x:c r="F693" s="11" t="n">
        <x:v>17.51</x:v>
      </x:c>
      <x:c r="G693" s="11" t="n">
        <x:f>F693-E693</x:f>
        <x:v>8.000000000000002</x:v>
      </x:c>
      <x:c r="H693" s="10" t="n">
        <x:v>1</x:v>
      </x:c>
      <x:c r="I693" s="10" t="str">
        <x:v>completed_as_adopted</x:v>
      </x:c>
      <x:c r="J693" s="10" t="str">
        <x:v>VOICE:B-R3/S2-17/scored/01814</x:v>
      </x:c>
      <x:c r="K693" s="10" t="str">
        <x:v>VOICE:S2-17:input</x:v>
      </x:c>
      <x:c r="L693" s="10" t="str">
        <x:v>VOICE:B-R3/S2-17/scored/01814</x:v>
      </x:c>
    </x:row>
    <x:row r="694" ht="52" customHeight="1">
      <x:c r="A694" s="10" t="str">
        <x:v>V-A</x:v>
      </x:c>
      <x:c r="B694" s="10" t="str">
        <x:v>VOICE</x:v>
      </x:c>
      <x:c r="C694" s="10" t="str">
        <x:v>VOICE:S2-18</x:v>
      </x:c>
      <x:c r="D694" s="10" t="str">
        <x:v>VOICE:S2-18:goal</x:v>
      </x:c>
      <x:c r="E694" s="11" t="n">
        <x:v>6.3166666666666655</x:v>
      </x:c>
      <x:c r="F694" s="11" t="n">
        <x:v>14.316666666666666</x:v>
      </x:c>
      <x:c r="G694" s="11" t="n">
        <x:f>F694-E694</x:f>
        <x:v>8</x:v>
      </x:c>
      <x:c r="H694" s="10" t="n">
        <x:v>1</x:v>
      </x:c>
      <x:c r="I694" s="10" t="str">
        <x:v>completed_as_adopted</x:v>
      </x:c>
      <x:c r="J694" s="10" t="str">
        <x:v>VOICE:A/S2-18/scored/01825</x:v>
      </x:c>
      <x:c r="K694" s="10" t="str">
        <x:v>VOICE:S2-18:input</x:v>
      </x:c>
      <x:c r="L694" s="10" t="str">
        <x:v>VOICE:A/S2-18/scored/01825</x:v>
      </x:c>
    </x:row>
    <x:row r="695" ht="52" customHeight="1">
      <x:c r="A695" s="10" t="str">
        <x:v>V-R1</x:v>
      </x:c>
      <x:c r="B695" s="10" t="str">
        <x:v>VOICE</x:v>
      </x:c>
      <x:c r="C695" s="10" t="str">
        <x:v>VOICE:S2-18</x:v>
      </x:c>
      <x:c r="D695" s="10" t="str">
        <x:v>VOICE:S2-18:goal</x:v>
      </x:c>
      <x:c r="E695" s="11" t="n">
        <x:v>9.450000000000001</x:v>
      </x:c>
      <x:c r="F695" s="11" t="n">
        <x:v>17.450000000000003</x:v>
      </x:c>
      <x:c r="G695" s="11" t="n">
        <x:f>F695-E695</x:f>
        <x:v>8.000000000000002</x:v>
      </x:c>
      <x:c r="H695" s="10" t="n">
        <x:v>1</x:v>
      </x:c>
      <x:c r="I695" s="10" t="str">
        <x:v>completed_as_adopted</x:v>
      </x:c>
      <x:c r="J695" s="10" t="str">
        <x:v>VOICE:B-R1/S2-18/scored/01840</x:v>
      </x:c>
      <x:c r="K695" s="10" t="str">
        <x:v>VOICE:S2-18:input</x:v>
      </x:c>
      <x:c r="L695" s="10" t="str">
        <x:v>VOICE:B-R1/S2-18/scored/01840</x:v>
      </x:c>
    </x:row>
    <x:row r="696" ht="52" customHeight="1">
      <x:c r="A696" s="10" t="str">
        <x:v>V-R2</x:v>
      </x:c>
      <x:c r="B696" s="10" t="str">
        <x:v>VOICE</x:v>
      </x:c>
      <x:c r="C696" s="10" t="str">
        <x:v>VOICE:S2-18</x:v>
      </x:c>
      <x:c r="D696" s="10" t="str">
        <x:v>VOICE:S2-18:goal</x:v>
      </x:c>
      <x:c r="E696" s="11" t="n">
        <x:v>9.450000000000001</x:v>
      </x:c>
      <x:c r="F696" s="11" t="n">
        <x:v>17.450000000000003</x:v>
      </x:c>
      <x:c r="G696" s="11" t="n">
        <x:f>F696-E696</x:f>
        <x:v>8.000000000000002</x:v>
      </x:c>
      <x:c r="H696" s="10" t="n">
        <x:v>1</x:v>
      </x:c>
      <x:c r="I696" s="10" t="str">
        <x:v>completed_as_adopted</x:v>
      </x:c>
      <x:c r="J696" s="10" t="str">
        <x:v>VOICE:B-R2/S2-18/scored/01854</x:v>
      </x:c>
      <x:c r="K696" s="10" t="str">
        <x:v>VOICE:S2-18:input</x:v>
      </x:c>
      <x:c r="L696" s="10" t="str">
        <x:v>VOICE:B-R2/S2-18/scored/01854</x:v>
      </x:c>
    </x:row>
    <x:row r="697" ht="52" customHeight="1">
      <x:c r="A697" s="10" t="str">
        <x:v>V-R3</x:v>
      </x:c>
      <x:c r="B697" s="10" t="str">
        <x:v>VOICE</x:v>
      </x:c>
      <x:c r="C697" s="10" t="str">
        <x:v>VOICE:S2-18</x:v>
      </x:c>
      <x:c r="D697" s="10" t="str">
        <x:v>VOICE:S2-18:goal</x:v>
      </x:c>
      <x:c r="E697" s="11" t="n">
        <x:v>9.51</x:v>
      </x:c>
      <x:c r="F697" s="11" t="n">
        <x:v>17.51</x:v>
      </x:c>
      <x:c r="G697" s="11" t="n">
        <x:f>F697-E697</x:f>
        <x:v>8.000000000000002</x:v>
      </x:c>
      <x:c r="H697" s="10" t="n">
        <x:v>1</x:v>
      </x:c>
      <x:c r="I697" s="10" t="str">
        <x:v>completed_as_adopted</x:v>
      </x:c>
      <x:c r="J697" s="10" t="str">
        <x:v>VOICE:B-R3/S2-18/scored/01869</x:v>
      </x:c>
      <x:c r="K697" s="10" t="str">
        <x:v>VOICE:S2-18:input</x:v>
      </x:c>
      <x:c r="L697" s="10" t="str">
        <x:v>VOICE:B-R3/S2-18/scored/01869</x:v>
      </x:c>
    </x:row>
    <x:row r="698" ht="52" customHeight="1">
      <x:c r="A698" s="10" t="str">
        <x:v>V-A</x:v>
      </x:c>
      <x:c r="B698" s="10" t="str">
        <x:v>VOICE</x:v>
      </x:c>
      <x:c r="C698" s="10" t="str">
        <x:v>VOICE:S2-19</x:v>
      </x:c>
      <x:c r="D698" s="10" t="str">
        <x:v>VOICE:S2-19:goal</x:v>
      </x:c>
      <x:c r="E698" s="11" t="n">
        <x:v>6.3166666666666655</x:v>
      </x:c>
      <x:c r="F698" s="11" t="n">
        <x:v>14.316666666666666</x:v>
      </x:c>
      <x:c r="G698" s="11" t="n">
        <x:f>F698-E698</x:f>
        <x:v>8</x:v>
      </x:c>
      <x:c r="H698" s="10" t="n">
        <x:v>1</x:v>
      </x:c>
      <x:c r="I698" s="10" t="str">
        <x:v>completed_as_adopted</x:v>
      </x:c>
      <x:c r="J698" s="10" t="str">
        <x:v>VOICE:A/S2-19/scored/01880</x:v>
      </x:c>
      <x:c r="K698" s="10" t="str">
        <x:v>VOICE:S2-19:input</x:v>
      </x:c>
      <x:c r="L698" s="10" t="str">
        <x:v>VOICE:A/S2-19/scored/01880</x:v>
      </x:c>
    </x:row>
    <x:row r="699" ht="52" customHeight="1">
      <x:c r="A699" s="10" t="str">
        <x:v>V-R1</x:v>
      </x:c>
      <x:c r="B699" s="10" t="str">
        <x:v>VOICE</x:v>
      </x:c>
      <x:c r="C699" s="10" t="str">
        <x:v>VOICE:S2-19</x:v>
      </x:c>
      <x:c r="D699" s="10" t="str">
        <x:v>VOICE:S2-19:goal</x:v>
      </x:c>
      <x:c r="E699" s="11" t="n">
        <x:v>9.450000000000001</x:v>
      </x:c>
      <x:c r="F699" s="11" t="n">
        <x:v>17.450000000000003</x:v>
      </x:c>
      <x:c r="G699" s="11" t="n">
        <x:f>F699-E699</x:f>
        <x:v>8.000000000000002</x:v>
      </x:c>
      <x:c r="H699" s="10" t="n">
        <x:v>1</x:v>
      </x:c>
      <x:c r="I699" s="10" t="str">
        <x:v>completed_as_adopted</x:v>
      </x:c>
      <x:c r="J699" s="10" t="str">
        <x:v>VOICE:B-R1/S2-19/scored/01895</x:v>
      </x:c>
      <x:c r="K699" s="10" t="str">
        <x:v>VOICE:S2-19:input</x:v>
      </x:c>
      <x:c r="L699" s="10" t="str">
        <x:v>VOICE:B-R1/S2-19/scored/01895</x:v>
      </x:c>
    </x:row>
    <x:row r="700" ht="52" customHeight="1">
      <x:c r="A700" s="10" t="str">
        <x:v>V-R2</x:v>
      </x:c>
      <x:c r="B700" s="10" t="str">
        <x:v>VOICE</x:v>
      </x:c>
      <x:c r="C700" s="10" t="str">
        <x:v>VOICE:S2-19</x:v>
      </x:c>
      <x:c r="D700" s="10" t="str">
        <x:v>VOICE:S2-19:goal</x:v>
      </x:c>
      <x:c r="E700" s="11" t="n">
        <x:v>9.450000000000001</x:v>
      </x:c>
      <x:c r="F700" s="11" t="n">
        <x:v>17.450000000000003</x:v>
      </x:c>
      <x:c r="G700" s="11" t="n">
        <x:f>F700-E700</x:f>
        <x:v>8.000000000000002</x:v>
      </x:c>
      <x:c r="H700" s="10" t="n">
        <x:v>1</x:v>
      </x:c>
      <x:c r="I700" s="10" t="str">
        <x:v>completed_as_adopted</x:v>
      </x:c>
      <x:c r="J700" s="10" t="str">
        <x:v>VOICE:B-R2/S2-19/scored/01909</x:v>
      </x:c>
      <x:c r="K700" s="10" t="str">
        <x:v>VOICE:S2-19:input</x:v>
      </x:c>
      <x:c r="L700" s="10" t="str">
        <x:v>VOICE:B-R2/S2-19/scored/01909</x:v>
      </x:c>
    </x:row>
    <x:row r="701" ht="52" customHeight="1">
      <x:c r="A701" s="10" t="str">
        <x:v>V-R3</x:v>
      </x:c>
      <x:c r="B701" s="10" t="str">
        <x:v>VOICE</x:v>
      </x:c>
      <x:c r="C701" s="10" t="str">
        <x:v>VOICE:S2-19</x:v>
      </x:c>
      <x:c r="D701" s="10" t="str">
        <x:v>VOICE:S2-19:goal</x:v>
      </x:c>
      <x:c r="E701" s="11" t="n">
        <x:v>9.51</x:v>
      </x:c>
      <x:c r="F701" s="11" t="n">
        <x:v>17.51</x:v>
      </x:c>
      <x:c r="G701" s="11" t="n">
        <x:f>F701-E701</x:f>
        <x:v>8.000000000000002</x:v>
      </x:c>
      <x:c r="H701" s="10" t="n">
        <x:v>1</x:v>
      </x:c>
      <x:c r="I701" s="10" t="str">
        <x:v>completed_as_adopted</x:v>
      </x:c>
      <x:c r="J701" s="10" t="str">
        <x:v>VOICE:B-R3/S2-19/scored/01924</x:v>
      </x:c>
      <x:c r="K701" s="10" t="str">
        <x:v>VOICE:S2-19:input</x:v>
      </x:c>
      <x:c r="L701" s="10" t="str">
        <x:v>VOICE:B-R3/S2-19/scored/01924</x:v>
      </x:c>
    </x:row>
    <x:row r="702" ht="52" customHeight="1">
      <x:c r="A702" s="10" t="str">
        <x:v>V-A</x:v>
      </x:c>
      <x:c r="B702" s="10" t="str">
        <x:v>VOICE</x:v>
      </x:c>
      <x:c r="C702" s="10" t="str">
        <x:v>VOICE:S2-20</x:v>
      </x:c>
      <x:c r="D702" s="10" t="str">
        <x:v>VOICE:S2-20:goal</x:v>
      </x:c>
      <x:c r="E702" s="11" t="n">
        <x:v>6.3166666666666655</x:v>
      </x:c>
      <x:c r="F702" s="11" t="n">
        <x:v>14.316666666666666</x:v>
      </x:c>
      <x:c r="G702" s="11" t="n">
        <x:f>F702-E702</x:f>
        <x:v>8</x:v>
      </x:c>
      <x:c r="H702" s="10" t="n">
        <x:v>1</x:v>
      </x:c>
      <x:c r="I702" s="10" t="str">
        <x:v>completed_as_adopted</x:v>
      </x:c>
      <x:c r="J702" s="10" t="str">
        <x:v>VOICE:A/S2-20/scored/01935</x:v>
      </x:c>
      <x:c r="K702" s="10" t="str">
        <x:v>VOICE:S2-20:input</x:v>
      </x:c>
      <x:c r="L702" s="10" t="str">
        <x:v>VOICE:A/S2-20/scored/01935</x:v>
      </x:c>
    </x:row>
    <x:row r="703" ht="52" customHeight="1">
      <x:c r="A703" s="10" t="str">
        <x:v>V-R1</x:v>
      </x:c>
      <x:c r="B703" s="10" t="str">
        <x:v>VOICE</x:v>
      </x:c>
      <x:c r="C703" s="10" t="str">
        <x:v>VOICE:S2-20</x:v>
      </x:c>
      <x:c r="D703" s="10" t="str">
        <x:v>VOICE:S2-20:goal</x:v>
      </x:c>
      <x:c r="E703" s="11" t="n">
        <x:v>9.450000000000001</x:v>
      </x:c>
      <x:c r="F703" s="11" t="n">
        <x:v>17.450000000000003</x:v>
      </x:c>
      <x:c r="G703" s="11" t="n">
        <x:f>F703-E703</x:f>
        <x:v>8.000000000000002</x:v>
      </x:c>
      <x:c r="H703" s="10" t="n">
        <x:v>1</x:v>
      </x:c>
      <x:c r="I703" s="10" t="str">
        <x:v>completed_as_adopted</x:v>
      </x:c>
      <x:c r="J703" s="10" t="str">
        <x:v>VOICE:B-R1/S2-20/scored/01950</x:v>
      </x:c>
      <x:c r="K703" s="10" t="str">
        <x:v>VOICE:S2-20:input</x:v>
      </x:c>
      <x:c r="L703" s="10" t="str">
        <x:v>VOICE:B-R1/S2-20/scored/01950</x:v>
      </x:c>
    </x:row>
    <x:row r="704" ht="52" customHeight="1">
      <x:c r="A704" s="10" t="str">
        <x:v>V-R2</x:v>
      </x:c>
      <x:c r="B704" s="10" t="str">
        <x:v>VOICE</x:v>
      </x:c>
      <x:c r="C704" s="10" t="str">
        <x:v>VOICE:S2-20</x:v>
      </x:c>
      <x:c r="D704" s="10" t="str">
        <x:v>VOICE:S2-20:goal</x:v>
      </x:c>
      <x:c r="E704" s="11" t="n">
        <x:v>9.450000000000001</x:v>
      </x:c>
      <x:c r="F704" s="11" t="n">
        <x:v>17.450000000000003</x:v>
      </x:c>
      <x:c r="G704" s="11" t="n">
        <x:f>F704-E704</x:f>
        <x:v>8.000000000000002</x:v>
      </x:c>
      <x:c r="H704" s="10" t="n">
        <x:v>1</x:v>
      </x:c>
      <x:c r="I704" s="10" t="str">
        <x:v>completed_as_adopted</x:v>
      </x:c>
      <x:c r="J704" s="10" t="str">
        <x:v>VOICE:B-R2/S2-20/scored/01964</x:v>
      </x:c>
      <x:c r="K704" s="10" t="str">
        <x:v>VOICE:S2-20:input</x:v>
      </x:c>
      <x:c r="L704" s="10" t="str">
        <x:v>VOICE:B-R2/S2-20/scored/01964</x:v>
      </x:c>
    </x:row>
    <x:row r="705" ht="52" customHeight="1">
      <x:c r="A705" s="10" t="str">
        <x:v>V-R3</x:v>
      </x:c>
      <x:c r="B705" s="10" t="str">
        <x:v>VOICE</x:v>
      </x:c>
      <x:c r="C705" s="10" t="str">
        <x:v>VOICE:S2-20</x:v>
      </x:c>
      <x:c r="D705" s="10" t="str">
        <x:v>VOICE:S2-20:goal</x:v>
      </x:c>
      <x:c r="E705" s="11" t="n">
        <x:v>9.51</x:v>
      </x:c>
      <x:c r="F705" s="11" t="n">
        <x:v>17.51</x:v>
      </x:c>
      <x:c r="G705" s="11" t="n">
        <x:f>F705-E705</x:f>
        <x:v>8.000000000000002</x:v>
      </x:c>
      <x:c r="H705" s="10" t="n">
        <x:v>1</x:v>
      </x:c>
      <x:c r="I705" s="10" t="str">
        <x:v>completed_as_adopted</x:v>
      </x:c>
      <x:c r="J705" s="10" t="str">
        <x:v>VOICE:B-R3/S2-20/scored/01979</x:v>
      </x:c>
      <x:c r="K705" s="10" t="str">
        <x:v>VOICE:S2-20:input</x:v>
      </x:c>
      <x:c r="L705" s="10" t="str">
        <x:v>VOICE:B-R3/S2-20/scored/01979</x:v>
      </x:c>
    </x:row>
    <x:row r="706" ht="52" customHeight="1">
      <x:c r="A706" s="10" t="str">
        <x:v>V-A</x:v>
      </x:c>
      <x:c r="B706" s="10" t="str">
        <x:v>VOICE</x:v>
      </x:c>
      <x:c r="C706" s="10" t="str">
        <x:v>VOICE:S3-01</x:v>
      </x:c>
      <x:c r="D706" s="10" t="str">
        <x:v>VOICE:S3-01:goal</x:v>
      </x:c>
      <x:c r="E706" s="11" t="n">
        <x:v>8.016666666666667</x:v>
      </x:c>
      <x:c r="F706" s="11" t="n">
        <x:v>16.01666666666667</x:v>
      </x:c>
      <x:c r="G706" s="11" t="n">
        <x:f>F706-E706</x:f>
        <x:v>8.000000000000002</x:v>
      </x:c>
      <x:c r="H706" s="10" t="n">
        <x:v>0</x:v>
      </x:c>
      <x:c r="I706" s="10" t="str">
        <x:v>completed_as_adopted</x:v>
      </x:c>
      <x:c r="J706" s="10" t="str">
        <x:v>VOICE:A/S3-01/scored/02003</x:v>
      </x:c>
      <x:c r="K706" s="10" t="str">
        <x:v>VOICE:S3-01:input</x:v>
      </x:c>
      <x:c r="L706" s="10" t="str">
        <x:v>VOICE:A/S3-01/scored/02003</x:v>
      </x:c>
    </x:row>
    <x:row r="707" ht="52" customHeight="1">
      <x:c r="A707" s="10" t="str">
        <x:v>V-R1</x:v>
      </x:c>
      <x:c r="B707" s="10" t="str">
        <x:v>VOICE</x:v>
      </x:c>
      <x:c r="C707" s="10" t="str">
        <x:v>VOICE:S3-01</x:v>
      </x:c>
      <x:c r="D707" s="10" t="str">
        <x:v>VOICE:S3-01:goal</x:v>
      </x:c>
      <x:c r="E707" s="11" t="n">
        <x:v>13.216666666666667</x:v>
      </x:c>
      <x:c r="F707" s="11" t="n">
        <x:v>21.216666666666672</x:v>
      </x:c>
      <x:c r="G707" s="11" t="n">
        <x:f>F707-E707</x:f>
        <x:v>8.000000000000005</x:v>
      </x:c>
      <x:c r="H707" s="10" t="n">
        <x:v>1</x:v>
      </x:c>
      <x:c r="I707" s="10" t="str">
        <x:v>completed_as_adopted</x:v>
      </x:c>
      <x:c r="J707" s="10" t="str">
        <x:v>VOICE:B-R1/S3-01/scored/02038</x:v>
      </x:c>
      <x:c r="K707" s="10" t="str">
        <x:v>VOICE:S3-01:input</x:v>
      </x:c>
      <x:c r="L707" s="10" t="str">
        <x:v>VOICE:B-R1/S3-01/scored/02038</x:v>
      </x:c>
    </x:row>
    <x:row r="708" ht="52" customHeight="1">
      <x:c r="A708" s="10" t="str">
        <x:v>V-R2</x:v>
      </x:c>
      <x:c r="B708" s="10" t="str">
        <x:v>VOICE</x:v>
      </x:c>
      <x:c r="C708" s="10" t="str">
        <x:v>VOICE:S3-01</x:v>
      </x:c>
      <x:c r="D708" s="10" t="str">
        <x:v>VOICE:S3-01:goal</x:v>
      </x:c>
      <x:c r="E708" s="11" t="n">
        <x:v>11.316666666666668</x:v>
      </x:c>
      <x:c r="F708" s="11" t="n">
        <x:v>19.316666666666674</x:v>
      </x:c>
      <x:c r="G708" s="11" t="n">
        <x:f>F708-E708</x:f>
        <x:v>8.000000000000005</x:v>
      </x:c>
      <x:c r="H708" s="10" t="n">
        <x:v>1</x:v>
      </x:c>
      <x:c r="I708" s="10" t="str">
        <x:v>completed_as_adopted</x:v>
      </x:c>
      <x:c r="J708" s="10" t="str">
        <x:v>VOICE:B-R2/S3-01/scored/02067</x:v>
      </x:c>
      <x:c r="K708" s="10" t="str">
        <x:v>VOICE:S3-01:input</x:v>
      </x:c>
      <x:c r="L708" s="10" t="str">
        <x:v>VOICE:B-R2/S3-01/scored/02067</x:v>
      </x:c>
    </x:row>
    <x:row r="709" ht="52" customHeight="1">
      <x:c r="A709" s="10" t="str">
        <x:v>V-R3</x:v>
      </x:c>
      <x:c r="B709" s="10" t="str">
        <x:v>VOICE</x:v>
      </x:c>
      <x:c r="C709" s="10" t="str">
        <x:v>VOICE:S3-01</x:v>
      </x:c>
      <x:c r="D709" s="10" t="str">
        <x:v>VOICE:S3-01:goal</x:v>
      </x:c>
      <x:c r="E709" s="11" t="n">
        <x:v>11.376666666666667</x:v>
      </x:c>
      <x:c r="F709" s="11" t="n">
        <x:v>19.37666666666667</x:v>
      </x:c>
      <x:c r="G709" s="11" t="n">
        <x:f>F709-E709</x:f>
        <x:v>8.000000000000002</x:v>
      </x:c>
      <x:c r="H709" s="10" t="n">
        <x:v>1</x:v>
      </x:c>
      <x:c r="I709" s="10" t="str">
        <x:v>completed_as_adopted</x:v>
      </x:c>
      <x:c r="J709" s="10" t="str">
        <x:v>VOICE:B-R3/S3-01/scored/02098</x:v>
      </x:c>
      <x:c r="K709" s="10" t="str">
        <x:v>VOICE:S3-01:input</x:v>
      </x:c>
      <x:c r="L709" s="10" t="str">
        <x:v>VOICE:B-R3/S3-01/scored/02098</x:v>
      </x:c>
    </x:row>
    <x:row r="710" ht="52" customHeight="1">
      <x:c r="A710" s="10" t="str">
        <x:v>V-A</x:v>
      </x:c>
      <x:c r="B710" s="10" t="str">
        <x:v>VOICE</x:v>
      </x:c>
      <x:c r="C710" s="10" t="str">
        <x:v>VOICE:S3-02</x:v>
      </x:c>
      <x:c r="D710" s="10" t="str">
        <x:v>VOICE:S3-02:goal</x:v>
      </x:c>
      <x:c r="E710" s="11" t="n">
        <x:v>8.016666666666667</x:v>
      </x:c>
      <x:c r="F710" s="11" t="n">
        <x:v>16.01666666666667</x:v>
      </x:c>
      <x:c r="G710" s="11" t="n">
        <x:f>F710-E710</x:f>
        <x:v>8.000000000000002</x:v>
      </x:c>
      <x:c r="H710" s="10" t="n">
        <x:v>0</x:v>
      </x:c>
      <x:c r="I710" s="10" t="str">
        <x:v>completed_as_adopted</x:v>
      </x:c>
      <x:c r="J710" s="10" t="str">
        <x:v>VOICE:A/S3-02/scored/02122</x:v>
      </x:c>
      <x:c r="K710" s="10" t="str">
        <x:v>VOICE:S3-02:input</x:v>
      </x:c>
      <x:c r="L710" s="10" t="str">
        <x:v>VOICE:A/S3-02/scored/02122</x:v>
      </x:c>
    </x:row>
    <x:row r="711" ht="52" customHeight="1">
      <x:c r="A711" s="10" t="str">
        <x:v>V-R1</x:v>
      </x:c>
      <x:c r="B711" s="10" t="str">
        <x:v>VOICE</x:v>
      </x:c>
      <x:c r="C711" s="10" t="str">
        <x:v>VOICE:S3-02</x:v>
      </x:c>
      <x:c r="D711" s="10" t="str">
        <x:v>VOICE:S3-02:goal</x:v>
      </x:c>
      <x:c r="E711" s="11" t="n">
        <x:v>13.216666666666667</x:v>
      </x:c>
      <x:c r="F711" s="11" t="n">
        <x:v>21.216666666666672</x:v>
      </x:c>
      <x:c r="G711" s="11" t="n">
        <x:f>F711-E711</x:f>
        <x:v>8.000000000000005</x:v>
      </x:c>
      <x:c r="H711" s="10" t="n">
        <x:v>1</x:v>
      </x:c>
      <x:c r="I711" s="10" t="str">
        <x:v>completed_as_adopted</x:v>
      </x:c>
      <x:c r="J711" s="10" t="str">
        <x:v>VOICE:B-R1/S3-02/scored/02157</x:v>
      </x:c>
      <x:c r="K711" s="10" t="str">
        <x:v>VOICE:S3-02:input</x:v>
      </x:c>
      <x:c r="L711" s="10" t="str">
        <x:v>VOICE:B-R1/S3-02/scored/02157</x:v>
      </x:c>
    </x:row>
    <x:row r="712" ht="52" customHeight="1">
      <x:c r="A712" s="10" t="str">
        <x:v>V-R2</x:v>
      </x:c>
      <x:c r="B712" s="10" t="str">
        <x:v>VOICE</x:v>
      </x:c>
      <x:c r="C712" s="10" t="str">
        <x:v>VOICE:S3-02</x:v>
      </x:c>
      <x:c r="D712" s="10" t="str">
        <x:v>VOICE:S3-02:goal</x:v>
      </x:c>
      <x:c r="E712" s="11" t="n">
        <x:v>11.316666666666668</x:v>
      </x:c>
      <x:c r="F712" s="11" t="n">
        <x:v>19.316666666666674</x:v>
      </x:c>
      <x:c r="G712" s="11" t="n">
        <x:f>F712-E712</x:f>
        <x:v>8.000000000000005</x:v>
      </x:c>
      <x:c r="H712" s="10" t="n">
        <x:v>1</x:v>
      </x:c>
      <x:c r="I712" s="10" t="str">
        <x:v>completed_as_adopted</x:v>
      </x:c>
      <x:c r="J712" s="10" t="str">
        <x:v>VOICE:B-R2/S3-02/scored/02186</x:v>
      </x:c>
      <x:c r="K712" s="10" t="str">
        <x:v>VOICE:S3-02:input</x:v>
      </x:c>
      <x:c r="L712" s="10" t="str">
        <x:v>VOICE:B-R2/S3-02/scored/02186</x:v>
      </x:c>
    </x:row>
    <x:row r="713" ht="52" customHeight="1">
      <x:c r="A713" s="10" t="str">
        <x:v>V-R3</x:v>
      </x:c>
      <x:c r="B713" s="10" t="str">
        <x:v>VOICE</x:v>
      </x:c>
      <x:c r="C713" s="10" t="str">
        <x:v>VOICE:S3-02</x:v>
      </x:c>
      <x:c r="D713" s="10" t="str">
        <x:v>VOICE:S3-02:goal</x:v>
      </x:c>
      <x:c r="E713" s="11" t="n">
        <x:v>11.376666666666667</x:v>
      </x:c>
      <x:c r="F713" s="11" t="n">
        <x:v>19.37666666666667</x:v>
      </x:c>
      <x:c r="G713" s="11" t="n">
        <x:f>F713-E713</x:f>
        <x:v>8.000000000000002</x:v>
      </x:c>
      <x:c r="H713" s="10" t="n">
        <x:v>1</x:v>
      </x:c>
      <x:c r="I713" s="10" t="str">
        <x:v>completed_as_adopted</x:v>
      </x:c>
      <x:c r="J713" s="10" t="str">
        <x:v>VOICE:B-R3/S3-02/scored/02217</x:v>
      </x:c>
      <x:c r="K713" s="10" t="str">
        <x:v>VOICE:S3-02:input</x:v>
      </x:c>
      <x:c r="L713" s="10" t="str">
        <x:v>VOICE:B-R3/S3-02/scored/02217</x:v>
      </x:c>
    </x:row>
    <x:row r="714" ht="52" customHeight="1">
      <x:c r="A714" s="10" t="str">
        <x:v>V-A</x:v>
      </x:c>
      <x:c r="B714" s="10" t="str">
        <x:v>VOICE</x:v>
      </x:c>
      <x:c r="C714" s="10" t="str">
        <x:v>VOICE:S3-03</x:v>
      </x:c>
      <x:c r="D714" s="10" t="str">
        <x:v>VOICE:S3-03:goal</x:v>
      </x:c>
      <x:c r="E714" s="11" t="n">
        <x:v>8.016666666666667</x:v>
      </x:c>
      <x:c r="F714" s="11" t="n">
        <x:v>16.01666666666667</x:v>
      </x:c>
      <x:c r="G714" s="11" t="n">
        <x:f>F714-E714</x:f>
        <x:v>8.000000000000002</x:v>
      </x:c>
      <x:c r="H714" s="10" t="n">
        <x:v>0</x:v>
      </x:c>
      <x:c r="I714" s="10" t="str">
        <x:v>completed_as_adopted</x:v>
      </x:c>
      <x:c r="J714" s="10" t="str">
        <x:v>VOICE:A/S3-03/scored/02241</x:v>
      </x:c>
      <x:c r="K714" s="10" t="str">
        <x:v>VOICE:S3-03:input</x:v>
      </x:c>
      <x:c r="L714" s="10" t="str">
        <x:v>VOICE:A/S3-03/scored/02241</x:v>
      </x:c>
    </x:row>
    <x:row r="715" ht="52" customHeight="1">
      <x:c r="A715" s="10" t="str">
        <x:v>V-R1</x:v>
      </x:c>
      <x:c r="B715" s="10" t="str">
        <x:v>VOICE</x:v>
      </x:c>
      <x:c r="C715" s="10" t="str">
        <x:v>VOICE:S3-03</x:v>
      </x:c>
      <x:c r="D715" s="10" t="str">
        <x:v>VOICE:S3-03:goal</x:v>
      </x:c>
      <x:c r="E715" s="11" t="n">
        <x:v>13.216666666666667</x:v>
      </x:c>
      <x:c r="F715" s="11" t="n">
        <x:v>21.216666666666672</x:v>
      </x:c>
      <x:c r="G715" s="11" t="n">
        <x:f>F715-E715</x:f>
        <x:v>8.000000000000005</x:v>
      </x:c>
      <x:c r="H715" s="10" t="n">
        <x:v>0</x:v>
      </x:c>
      <x:c r="I715" s="10" t="str">
        <x:v>completed_as_adopted</x:v>
      </x:c>
      <x:c r="J715" s="10" t="str">
        <x:v>VOICE:B-R1/S3-03/scored/02276</x:v>
      </x:c>
      <x:c r="K715" s="10" t="str">
        <x:v>VOICE:S3-03:input</x:v>
      </x:c>
      <x:c r="L715" s="10" t="str">
        <x:v>VOICE:B-R1/S3-03/scored/02276</x:v>
      </x:c>
    </x:row>
    <x:row r="716" ht="52" customHeight="1">
      <x:c r="A716" s="10" t="str">
        <x:v>V-R2</x:v>
      </x:c>
      <x:c r="B716" s="10" t="str">
        <x:v>VOICE</x:v>
      </x:c>
      <x:c r="C716" s="10" t="str">
        <x:v>VOICE:S3-03</x:v>
      </x:c>
      <x:c r="D716" s="10" t="str">
        <x:v>VOICE:S3-03:goal</x:v>
      </x:c>
      <x:c r="E716" s="11" t="n">
        <x:v>11.316666666666668</x:v>
      </x:c>
      <x:c r="F716" s="11" t="n">
        <x:v>19.316666666666674</x:v>
      </x:c>
      <x:c r="G716" s="11" t="n">
        <x:f>F716-E716</x:f>
        <x:v>8.000000000000005</x:v>
      </x:c>
      <x:c r="H716" s="10" t="n">
        <x:v>0</x:v>
      </x:c>
      <x:c r="I716" s="10" t="str">
        <x:v>completed_as_adopted</x:v>
      </x:c>
      <x:c r="J716" s="10" t="str">
        <x:v>VOICE:B-R2/S3-03/scored/02305</x:v>
      </x:c>
      <x:c r="K716" s="10" t="str">
        <x:v>VOICE:S3-03:input</x:v>
      </x:c>
      <x:c r="L716" s="10" t="str">
        <x:v>VOICE:B-R2/S3-03/scored/02305</x:v>
      </x:c>
    </x:row>
    <x:row r="717" ht="52" customHeight="1">
      <x:c r="A717" s="10" t="str">
        <x:v>V-R3</x:v>
      </x:c>
      <x:c r="B717" s="10" t="str">
        <x:v>VOICE</x:v>
      </x:c>
      <x:c r="C717" s="10" t="str">
        <x:v>VOICE:S3-03</x:v>
      </x:c>
      <x:c r="D717" s="10" t="str">
        <x:v>VOICE:S3-03:goal</x:v>
      </x:c>
      <x:c r="E717" s="11" t="n">
        <x:v>11.376666666666667</x:v>
      </x:c>
      <x:c r="F717" s="11" t="n">
        <x:v>19.37666666666667</x:v>
      </x:c>
      <x:c r="G717" s="11" t="n">
        <x:f>F717-E717</x:f>
        <x:v>8.000000000000002</x:v>
      </x:c>
      <x:c r="H717" s="10" t="n">
        <x:v>0</x:v>
      </x:c>
      <x:c r="I717" s="10" t="str">
        <x:v>completed_as_adopted</x:v>
      </x:c>
      <x:c r="J717" s="10" t="str">
        <x:v>VOICE:B-R3/S3-03/scored/02336</x:v>
      </x:c>
      <x:c r="K717" s="10" t="str">
        <x:v>VOICE:S3-03:input</x:v>
      </x:c>
      <x:c r="L717" s="10" t="str">
        <x:v>VOICE:B-R3/S3-03/scored/02336</x:v>
      </x:c>
    </x:row>
    <x:row r="718" ht="52" customHeight="1">
      <x:c r="A718" s="10" t="str">
        <x:v>V-A</x:v>
      </x:c>
      <x:c r="B718" s="10" t="str">
        <x:v>VOICE</x:v>
      </x:c>
      <x:c r="C718" s="10" t="str">
        <x:v>VOICE:S3-04</x:v>
      </x:c>
      <x:c r="D718" s="10" t="str">
        <x:v>VOICE:S3-04:goal</x:v>
      </x:c>
      <x:c r="E718" s="11" t="n">
        <x:v>8.016666666666667</x:v>
      </x:c>
      <x:c r="F718" s="11" t="n">
        <x:v>16.01666666666667</x:v>
      </x:c>
      <x:c r="G718" s="11" t="n">
        <x:f>F718-E718</x:f>
        <x:v>8.000000000000002</x:v>
      </x:c>
      <x:c r="H718" s="10" t="n">
        <x:v>0</x:v>
      </x:c>
      <x:c r="I718" s="10" t="str">
        <x:v>completed_as_adopted</x:v>
      </x:c>
      <x:c r="J718" s="10" t="str">
        <x:v>VOICE:A/S3-04/scored/02360</x:v>
      </x:c>
      <x:c r="K718" s="10" t="str">
        <x:v>VOICE:S3-04:input</x:v>
      </x:c>
      <x:c r="L718" s="10" t="str">
        <x:v>VOICE:A/S3-04/scored/02360</x:v>
      </x:c>
    </x:row>
    <x:row r="719" ht="52" customHeight="1">
      <x:c r="A719" s="10" t="str">
        <x:v>V-R1</x:v>
      </x:c>
      <x:c r="B719" s="10" t="str">
        <x:v>VOICE</x:v>
      </x:c>
      <x:c r="C719" s="10" t="str">
        <x:v>VOICE:S3-04</x:v>
      </x:c>
      <x:c r="D719" s="10" t="str">
        <x:v>VOICE:S3-04:goal</x:v>
      </x:c>
      <x:c r="E719" s="11" t="n">
        <x:v>13.216666666666667</x:v>
      </x:c>
      <x:c r="F719" s="11" t="n">
        <x:v>21.216666666666672</x:v>
      </x:c>
      <x:c r="G719" s="11" t="n">
        <x:f>F719-E719</x:f>
        <x:v>8.000000000000005</x:v>
      </x:c>
      <x:c r="H719" s="10" t="n">
        <x:v>0</x:v>
      </x:c>
      <x:c r="I719" s="10" t="str">
        <x:v>completed_as_adopted</x:v>
      </x:c>
      <x:c r="J719" s="10" t="str">
        <x:v>VOICE:B-R1/S3-04/scored/02395</x:v>
      </x:c>
      <x:c r="K719" s="10" t="str">
        <x:v>VOICE:S3-04:input</x:v>
      </x:c>
      <x:c r="L719" s="10" t="str">
        <x:v>VOICE:B-R1/S3-04/scored/02395</x:v>
      </x:c>
    </x:row>
    <x:row r="720" ht="52" customHeight="1">
      <x:c r="A720" s="10" t="str">
        <x:v>V-R2</x:v>
      </x:c>
      <x:c r="B720" s="10" t="str">
        <x:v>VOICE</x:v>
      </x:c>
      <x:c r="C720" s="10" t="str">
        <x:v>VOICE:S3-04</x:v>
      </x:c>
      <x:c r="D720" s="10" t="str">
        <x:v>VOICE:S3-04:goal</x:v>
      </x:c>
      <x:c r="E720" s="11" t="n">
        <x:v>11.316666666666668</x:v>
      </x:c>
      <x:c r="F720" s="11" t="n">
        <x:v>19.316666666666674</x:v>
      </x:c>
      <x:c r="G720" s="11" t="n">
        <x:f>F720-E720</x:f>
        <x:v>8.000000000000005</x:v>
      </x:c>
      <x:c r="H720" s="10" t="n">
        <x:v>0</x:v>
      </x:c>
      <x:c r="I720" s="10" t="str">
        <x:v>completed_as_adopted</x:v>
      </x:c>
      <x:c r="J720" s="10" t="str">
        <x:v>VOICE:B-R2/S3-04/scored/02424</x:v>
      </x:c>
      <x:c r="K720" s="10" t="str">
        <x:v>VOICE:S3-04:input</x:v>
      </x:c>
      <x:c r="L720" s="10" t="str">
        <x:v>VOICE:B-R2/S3-04/scored/02424</x:v>
      </x:c>
    </x:row>
    <x:row r="721" ht="52" customHeight="1">
      <x:c r="A721" s="10" t="str">
        <x:v>V-R3</x:v>
      </x:c>
      <x:c r="B721" s="10" t="str">
        <x:v>VOICE</x:v>
      </x:c>
      <x:c r="C721" s="10" t="str">
        <x:v>VOICE:S3-04</x:v>
      </x:c>
      <x:c r="D721" s="10" t="str">
        <x:v>VOICE:S3-04:goal</x:v>
      </x:c>
      <x:c r="E721" s="11" t="n">
        <x:v>11.376666666666667</x:v>
      </x:c>
      <x:c r="F721" s="11" t="n">
        <x:v>19.37666666666667</x:v>
      </x:c>
      <x:c r="G721" s="11" t="n">
        <x:f>F721-E721</x:f>
        <x:v>8.000000000000002</x:v>
      </x:c>
      <x:c r="H721" s="10" t="n">
        <x:v>0</x:v>
      </x:c>
      <x:c r="I721" s="10" t="str">
        <x:v>completed_as_adopted</x:v>
      </x:c>
      <x:c r="J721" s="10" t="str">
        <x:v>VOICE:B-R3/S3-04/scored/02455</x:v>
      </x:c>
      <x:c r="K721" s="10" t="str">
        <x:v>VOICE:S3-04:input</x:v>
      </x:c>
      <x:c r="L721" s="10" t="str">
        <x:v>VOICE:B-R3/S3-04/scored/02455</x:v>
      </x:c>
    </x:row>
    <x:row r="722" ht="52" customHeight="1">
      <x:c r="A722" s="10" t="str">
        <x:v>V-A</x:v>
      </x:c>
      <x:c r="B722" s="10" t="str">
        <x:v>VOICE</x:v>
      </x:c>
      <x:c r="C722" s="10" t="str">
        <x:v>VOICE:S3-05</x:v>
      </x:c>
      <x:c r="D722" s="10" t="str">
        <x:v>VOICE:S3-05:goal</x:v>
      </x:c>
      <x:c r="E722" s="11" t="n">
        <x:v>8.016666666666667</x:v>
      </x:c>
      <x:c r="F722" s="11" t="n">
        <x:v>16.01666666666667</x:v>
      </x:c>
      <x:c r="G722" s="11" t="n">
        <x:f>F722-E722</x:f>
        <x:v>8.000000000000002</x:v>
      </x:c>
      <x:c r="H722" s="10" t="n">
        <x:v>1</x:v>
      </x:c>
      <x:c r="I722" s="10" t="str">
        <x:v>completed_as_adopted</x:v>
      </x:c>
      <x:c r="J722" s="10" t="str">
        <x:v>VOICE:A/S3-05/scored/02479</x:v>
      </x:c>
      <x:c r="K722" s="10" t="str">
        <x:v>VOICE:S3-05:input</x:v>
      </x:c>
      <x:c r="L722" s="10" t="str">
        <x:v>VOICE:A/S3-05/scored/02479</x:v>
      </x:c>
    </x:row>
    <x:row r="723" ht="52" customHeight="1">
      <x:c r="A723" s="10" t="str">
        <x:v>V-R1</x:v>
      </x:c>
      <x:c r="B723" s="10" t="str">
        <x:v>VOICE</x:v>
      </x:c>
      <x:c r="C723" s="10" t="str">
        <x:v>VOICE:S3-05</x:v>
      </x:c>
      <x:c r="D723" s="10" t="str">
        <x:v>VOICE:S3-05:goal</x:v>
      </x:c>
      <x:c r="E723" s="11" t="n">
        <x:v>13.216666666666667</x:v>
      </x:c>
      <x:c r="F723" s="11" t="n">
        <x:v>21.216666666666672</x:v>
      </x:c>
      <x:c r="G723" s="11" t="n">
        <x:f>F723-E723</x:f>
        <x:v>8.000000000000005</x:v>
      </x:c>
      <x:c r="H723" s="10" t="n">
        <x:v>1</x:v>
      </x:c>
      <x:c r="I723" s="10" t="str">
        <x:v>completed_as_adopted</x:v>
      </x:c>
      <x:c r="J723" s="10" t="str">
        <x:v>VOICE:B-R1/S3-05/scored/02514</x:v>
      </x:c>
      <x:c r="K723" s="10" t="str">
        <x:v>VOICE:S3-05:input</x:v>
      </x:c>
      <x:c r="L723" s="10" t="str">
        <x:v>VOICE:B-R1/S3-05/scored/02514</x:v>
      </x:c>
    </x:row>
    <x:row r="724" ht="52" customHeight="1">
      <x:c r="A724" s="10" t="str">
        <x:v>V-R2</x:v>
      </x:c>
      <x:c r="B724" s="10" t="str">
        <x:v>VOICE</x:v>
      </x:c>
      <x:c r="C724" s="10" t="str">
        <x:v>VOICE:S3-05</x:v>
      </x:c>
      <x:c r="D724" s="10" t="str">
        <x:v>VOICE:S3-05:goal</x:v>
      </x:c>
      <x:c r="E724" s="11" t="n">
        <x:v>11.316666666666668</x:v>
      </x:c>
      <x:c r="F724" s="11" t="n">
        <x:v>19.316666666666674</x:v>
      </x:c>
      <x:c r="G724" s="11" t="n">
        <x:f>F724-E724</x:f>
        <x:v>8.000000000000005</x:v>
      </x:c>
      <x:c r="H724" s="10" t="n">
        <x:v>1</x:v>
      </x:c>
      <x:c r="I724" s="10" t="str">
        <x:v>completed_as_adopted</x:v>
      </x:c>
      <x:c r="J724" s="10" t="str">
        <x:v>VOICE:B-R2/S3-05/scored/02543</x:v>
      </x:c>
      <x:c r="K724" s="10" t="str">
        <x:v>VOICE:S3-05:input</x:v>
      </x:c>
      <x:c r="L724" s="10" t="str">
        <x:v>VOICE:B-R2/S3-05/scored/02543</x:v>
      </x:c>
    </x:row>
    <x:row r="725" ht="52" customHeight="1">
      <x:c r="A725" s="10" t="str">
        <x:v>V-R3</x:v>
      </x:c>
      <x:c r="B725" s="10" t="str">
        <x:v>VOICE</x:v>
      </x:c>
      <x:c r="C725" s="10" t="str">
        <x:v>VOICE:S3-05</x:v>
      </x:c>
      <x:c r="D725" s="10" t="str">
        <x:v>VOICE:S3-05:goal</x:v>
      </x:c>
      <x:c r="E725" s="11" t="n">
        <x:v>11.376666666666667</x:v>
      </x:c>
      <x:c r="F725" s="11" t="n">
        <x:v>19.37666666666667</x:v>
      </x:c>
      <x:c r="G725" s="11" t="n">
        <x:f>F725-E725</x:f>
        <x:v>8.000000000000002</x:v>
      </x:c>
      <x:c r="H725" s="10" t="n">
        <x:v>1</x:v>
      </x:c>
      <x:c r="I725" s="10" t="str">
        <x:v>completed_as_adopted</x:v>
      </x:c>
      <x:c r="J725" s="10" t="str">
        <x:v>VOICE:B-R3/S3-05/scored/02574</x:v>
      </x:c>
      <x:c r="K725" s="10" t="str">
        <x:v>VOICE:S3-05:input</x:v>
      </x:c>
      <x:c r="L725" s="10" t="str">
        <x:v>VOICE:B-R3/S3-05/scored/02574</x:v>
      </x:c>
    </x:row>
    <x:row r="726" ht="52" customHeight="1">
      <x:c r="A726" s="10" t="str">
        <x:v>V-A</x:v>
      </x:c>
      <x:c r="B726" s="10" t="str">
        <x:v>VOICE</x:v>
      </x:c>
      <x:c r="C726" s="10" t="str">
        <x:v>VOICE:S3-06</x:v>
      </x:c>
      <x:c r="D726" s="10" t="str">
        <x:v>VOICE:S3-06:goal</x:v>
      </x:c>
      <x:c r="E726" s="11" t="n">
        <x:v>8.016666666666667</x:v>
      </x:c>
      <x:c r="F726" s="11" t="n">
        <x:v>16.01666666666667</x:v>
      </x:c>
      <x:c r="G726" s="11" t="n">
        <x:f>F726-E726</x:f>
        <x:v>8.000000000000002</x:v>
      </x:c>
      <x:c r="H726" s="10" t="n">
        <x:v>1</x:v>
      </x:c>
      <x:c r="I726" s="10" t="str">
        <x:v>completed_as_adopted</x:v>
      </x:c>
      <x:c r="J726" s="10" t="str">
        <x:v>VOICE:A/S3-06/scored/02598</x:v>
      </x:c>
      <x:c r="K726" s="10" t="str">
        <x:v>VOICE:S3-06:input</x:v>
      </x:c>
      <x:c r="L726" s="10" t="str">
        <x:v>VOICE:A/S3-06/scored/02598</x:v>
      </x:c>
    </x:row>
    <x:row r="727" ht="52" customHeight="1">
      <x:c r="A727" s="10" t="str">
        <x:v>V-R1</x:v>
      </x:c>
      <x:c r="B727" s="10" t="str">
        <x:v>VOICE</x:v>
      </x:c>
      <x:c r="C727" s="10" t="str">
        <x:v>VOICE:S3-06</x:v>
      </x:c>
      <x:c r="D727" s="10" t="str">
        <x:v>VOICE:S3-06:goal</x:v>
      </x:c>
      <x:c r="E727" s="11" t="n">
        <x:v>13.216666666666667</x:v>
      </x:c>
      <x:c r="F727" s="11" t="n">
        <x:v>21.216666666666672</x:v>
      </x:c>
      <x:c r="G727" s="11" t="n">
        <x:f>F727-E727</x:f>
        <x:v>8.000000000000005</x:v>
      </x:c>
      <x:c r="H727" s="10" t="n">
        <x:v>1</x:v>
      </x:c>
      <x:c r="I727" s="10" t="str">
        <x:v>completed_as_adopted</x:v>
      </x:c>
      <x:c r="J727" s="10" t="str">
        <x:v>VOICE:B-R1/S3-06/scored/02633</x:v>
      </x:c>
      <x:c r="K727" s="10" t="str">
        <x:v>VOICE:S3-06:input</x:v>
      </x:c>
      <x:c r="L727" s="10" t="str">
        <x:v>VOICE:B-R1/S3-06/scored/02633</x:v>
      </x:c>
    </x:row>
    <x:row r="728" ht="52" customHeight="1">
      <x:c r="A728" s="10" t="str">
        <x:v>V-R2</x:v>
      </x:c>
      <x:c r="B728" s="10" t="str">
        <x:v>VOICE</x:v>
      </x:c>
      <x:c r="C728" s="10" t="str">
        <x:v>VOICE:S3-06</x:v>
      </x:c>
      <x:c r="D728" s="10" t="str">
        <x:v>VOICE:S3-06:goal</x:v>
      </x:c>
      <x:c r="E728" s="11" t="n">
        <x:v>11.316666666666668</x:v>
      </x:c>
      <x:c r="F728" s="11" t="n">
        <x:v>19.316666666666674</x:v>
      </x:c>
      <x:c r="G728" s="11" t="n">
        <x:f>F728-E728</x:f>
        <x:v>8.000000000000005</x:v>
      </x:c>
      <x:c r="H728" s="10" t="n">
        <x:v>1</x:v>
      </x:c>
      <x:c r="I728" s="10" t="str">
        <x:v>completed_as_adopted</x:v>
      </x:c>
      <x:c r="J728" s="10" t="str">
        <x:v>VOICE:B-R2/S3-06/scored/02662</x:v>
      </x:c>
      <x:c r="K728" s="10" t="str">
        <x:v>VOICE:S3-06:input</x:v>
      </x:c>
      <x:c r="L728" s="10" t="str">
        <x:v>VOICE:B-R2/S3-06/scored/02662</x:v>
      </x:c>
    </x:row>
    <x:row r="729" ht="52" customHeight="1">
      <x:c r="A729" s="10" t="str">
        <x:v>V-R3</x:v>
      </x:c>
      <x:c r="B729" s="10" t="str">
        <x:v>VOICE</x:v>
      </x:c>
      <x:c r="C729" s="10" t="str">
        <x:v>VOICE:S3-06</x:v>
      </x:c>
      <x:c r="D729" s="10" t="str">
        <x:v>VOICE:S3-06:goal</x:v>
      </x:c>
      <x:c r="E729" s="11" t="n">
        <x:v>11.376666666666667</x:v>
      </x:c>
      <x:c r="F729" s="11" t="n">
        <x:v>19.37666666666667</x:v>
      </x:c>
      <x:c r="G729" s="11" t="n">
        <x:f>F729-E729</x:f>
        <x:v>8.000000000000002</x:v>
      </x:c>
      <x:c r="H729" s="10" t="n">
        <x:v>1</x:v>
      </x:c>
      <x:c r="I729" s="10" t="str">
        <x:v>completed_as_adopted</x:v>
      </x:c>
      <x:c r="J729" s="10" t="str">
        <x:v>VOICE:B-R3/S3-06/scored/02693</x:v>
      </x:c>
      <x:c r="K729" s="10" t="str">
        <x:v>VOICE:S3-06:input</x:v>
      </x:c>
      <x:c r="L729" s="10" t="str">
        <x:v>VOICE:B-R3/S3-06/scored/02693</x:v>
      </x:c>
    </x:row>
    <x:row r="730" ht="52" customHeight="1">
      <x:c r="A730" s="10" t="str">
        <x:v>V-A</x:v>
      </x:c>
      <x:c r="B730" s="10" t="str">
        <x:v>VOICE</x:v>
      </x:c>
      <x:c r="C730" s="10" t="str">
        <x:v>VOICE:S3-07</x:v>
      </x:c>
      <x:c r="D730" s="10" t="str">
        <x:v>VOICE:S3-07:goal</x:v>
      </x:c>
      <x:c r="E730" s="11" t="n">
        <x:v>8.016666666666667</x:v>
      </x:c>
      <x:c r="F730" s="11" t="n">
        <x:v>16.01666666666667</x:v>
      </x:c>
      <x:c r="G730" s="11" t="n">
        <x:f>F730-E730</x:f>
        <x:v>8.000000000000002</x:v>
      </x:c>
      <x:c r="H730" s="10" t="n">
        <x:v>1</x:v>
      </x:c>
      <x:c r="I730" s="10" t="str">
        <x:v>completed_as_adopted</x:v>
      </x:c>
      <x:c r="J730" s="10" t="str">
        <x:v>VOICE:A/S3-07/scored/02717</x:v>
      </x:c>
      <x:c r="K730" s="10" t="str">
        <x:v>VOICE:S3-07:input</x:v>
      </x:c>
      <x:c r="L730" s="10" t="str">
        <x:v>VOICE:A/S3-07/scored/02717</x:v>
      </x:c>
    </x:row>
    <x:row r="731" ht="52" customHeight="1">
      <x:c r="A731" s="10" t="str">
        <x:v>V-R1</x:v>
      </x:c>
      <x:c r="B731" s="10" t="str">
        <x:v>VOICE</x:v>
      </x:c>
      <x:c r="C731" s="10" t="str">
        <x:v>VOICE:S3-07</x:v>
      </x:c>
      <x:c r="D731" s="10" t="str">
        <x:v>VOICE:S3-07:goal</x:v>
      </x:c>
      <x:c r="E731" s="11" t="n">
        <x:v>13.216666666666667</x:v>
      </x:c>
      <x:c r="F731" s="11" t="n">
        <x:v>21.216666666666672</x:v>
      </x:c>
      <x:c r="G731" s="11" t="n">
        <x:f>F731-E731</x:f>
        <x:v>8.000000000000005</x:v>
      </x:c>
      <x:c r="H731" s="10" t="n">
        <x:v>1</x:v>
      </x:c>
      <x:c r="I731" s="10" t="str">
        <x:v>completed_as_adopted</x:v>
      </x:c>
      <x:c r="J731" s="10" t="str">
        <x:v>VOICE:B-R1/S3-07/scored/02752</x:v>
      </x:c>
      <x:c r="K731" s="10" t="str">
        <x:v>VOICE:S3-07:input</x:v>
      </x:c>
      <x:c r="L731" s="10" t="str">
        <x:v>VOICE:B-R1/S3-07/scored/02752</x:v>
      </x:c>
    </x:row>
    <x:row r="732" ht="52" customHeight="1">
      <x:c r="A732" s="10" t="str">
        <x:v>V-R2</x:v>
      </x:c>
      <x:c r="B732" s="10" t="str">
        <x:v>VOICE</x:v>
      </x:c>
      <x:c r="C732" s="10" t="str">
        <x:v>VOICE:S3-07</x:v>
      </x:c>
      <x:c r="D732" s="10" t="str">
        <x:v>VOICE:S3-07:goal</x:v>
      </x:c>
      <x:c r="E732" s="11" t="n">
        <x:v>11.316666666666668</x:v>
      </x:c>
      <x:c r="F732" s="11" t="n">
        <x:v>19.316666666666674</x:v>
      </x:c>
      <x:c r="G732" s="11" t="n">
        <x:f>F732-E732</x:f>
        <x:v>8.000000000000005</x:v>
      </x:c>
      <x:c r="H732" s="10" t="n">
        <x:v>1</x:v>
      </x:c>
      <x:c r="I732" s="10" t="str">
        <x:v>completed_as_adopted</x:v>
      </x:c>
      <x:c r="J732" s="10" t="str">
        <x:v>VOICE:B-R2/S3-07/scored/02781</x:v>
      </x:c>
      <x:c r="K732" s="10" t="str">
        <x:v>VOICE:S3-07:input</x:v>
      </x:c>
      <x:c r="L732" s="10" t="str">
        <x:v>VOICE:B-R2/S3-07/scored/02781</x:v>
      </x:c>
    </x:row>
    <x:row r="733" ht="52" customHeight="1">
      <x:c r="A733" s="10" t="str">
        <x:v>V-R3</x:v>
      </x:c>
      <x:c r="B733" s="10" t="str">
        <x:v>VOICE</x:v>
      </x:c>
      <x:c r="C733" s="10" t="str">
        <x:v>VOICE:S3-07</x:v>
      </x:c>
      <x:c r="D733" s="10" t="str">
        <x:v>VOICE:S3-07:goal</x:v>
      </x:c>
      <x:c r="E733" s="11" t="n">
        <x:v>11.376666666666667</x:v>
      </x:c>
      <x:c r="F733" s="11" t="n">
        <x:v>19.37666666666667</x:v>
      </x:c>
      <x:c r="G733" s="11" t="n">
        <x:f>F733-E733</x:f>
        <x:v>8.000000000000002</x:v>
      </x:c>
      <x:c r="H733" s="10" t="n">
        <x:v>1</x:v>
      </x:c>
      <x:c r="I733" s="10" t="str">
        <x:v>completed_as_adopted</x:v>
      </x:c>
      <x:c r="J733" s="10" t="str">
        <x:v>VOICE:B-R3/S3-07/scored/02812</x:v>
      </x:c>
      <x:c r="K733" s="10" t="str">
        <x:v>VOICE:S3-07:input</x:v>
      </x:c>
      <x:c r="L733" s="10" t="str">
        <x:v>VOICE:B-R3/S3-07/scored/02812</x:v>
      </x:c>
    </x:row>
    <x:row r="734" ht="52" customHeight="1">
      <x:c r="A734" s="10" t="str">
        <x:v>V-A</x:v>
      </x:c>
      <x:c r="B734" s="10" t="str">
        <x:v>VOICE</x:v>
      </x:c>
      <x:c r="C734" s="10" t="str">
        <x:v>VOICE:S3-08</x:v>
      </x:c>
      <x:c r="D734" s="10" t="str">
        <x:v>VOICE:S3-08:goal</x:v>
      </x:c>
      <x:c r="E734" s="11" t="n">
        <x:v>8.016666666666667</x:v>
      </x:c>
      <x:c r="F734" s="11" t="n">
        <x:v>16.01666666666667</x:v>
      </x:c>
      <x:c r="G734" s="11" t="n">
        <x:f>F734-E734</x:f>
        <x:v>8.000000000000002</x:v>
      </x:c>
      <x:c r="H734" s="10" t="n">
        <x:v>1</x:v>
      </x:c>
      <x:c r="I734" s="10" t="str">
        <x:v>completed_as_adopted</x:v>
      </x:c>
      <x:c r="J734" s="10" t="str">
        <x:v>VOICE:A/S3-08/scored/02836</x:v>
      </x:c>
      <x:c r="K734" s="10" t="str">
        <x:v>VOICE:S3-08:input</x:v>
      </x:c>
      <x:c r="L734" s="10" t="str">
        <x:v>VOICE:A/S3-08/scored/02836</x:v>
      </x:c>
    </x:row>
    <x:row r="735" ht="52" customHeight="1">
      <x:c r="A735" s="10" t="str">
        <x:v>V-R1</x:v>
      </x:c>
      <x:c r="B735" s="10" t="str">
        <x:v>VOICE</x:v>
      </x:c>
      <x:c r="C735" s="10" t="str">
        <x:v>VOICE:S3-08</x:v>
      </x:c>
      <x:c r="D735" s="10" t="str">
        <x:v>VOICE:S3-08:goal</x:v>
      </x:c>
      <x:c r="E735" s="11" t="n">
        <x:v>13.216666666666667</x:v>
      </x:c>
      <x:c r="F735" s="11" t="n">
        <x:v>21.216666666666672</x:v>
      </x:c>
      <x:c r="G735" s="11" t="n">
        <x:f>F735-E735</x:f>
        <x:v>8.000000000000005</x:v>
      </x:c>
      <x:c r="H735" s="10" t="n">
        <x:v>1</x:v>
      </x:c>
      <x:c r="I735" s="10" t="str">
        <x:v>completed_as_adopted</x:v>
      </x:c>
      <x:c r="J735" s="10" t="str">
        <x:v>VOICE:B-R1/S3-08/scored/02871</x:v>
      </x:c>
      <x:c r="K735" s="10" t="str">
        <x:v>VOICE:S3-08:input</x:v>
      </x:c>
      <x:c r="L735" s="10" t="str">
        <x:v>VOICE:B-R1/S3-08/scored/02871</x:v>
      </x:c>
    </x:row>
    <x:row r="736" ht="52" customHeight="1">
      <x:c r="A736" s="10" t="str">
        <x:v>V-R2</x:v>
      </x:c>
      <x:c r="B736" s="10" t="str">
        <x:v>VOICE</x:v>
      </x:c>
      <x:c r="C736" s="10" t="str">
        <x:v>VOICE:S3-08</x:v>
      </x:c>
      <x:c r="D736" s="10" t="str">
        <x:v>VOICE:S3-08:goal</x:v>
      </x:c>
      <x:c r="E736" s="11" t="n">
        <x:v>11.316666666666668</x:v>
      </x:c>
      <x:c r="F736" s="11" t="n">
        <x:v>19.316666666666674</x:v>
      </x:c>
      <x:c r="G736" s="11" t="n">
        <x:f>F736-E736</x:f>
        <x:v>8.000000000000005</x:v>
      </x:c>
      <x:c r="H736" s="10" t="n">
        <x:v>1</x:v>
      </x:c>
      <x:c r="I736" s="10" t="str">
        <x:v>completed_as_adopted</x:v>
      </x:c>
      <x:c r="J736" s="10" t="str">
        <x:v>VOICE:B-R2/S3-08/scored/02900</x:v>
      </x:c>
      <x:c r="K736" s="10" t="str">
        <x:v>VOICE:S3-08:input</x:v>
      </x:c>
      <x:c r="L736" s="10" t="str">
        <x:v>VOICE:B-R2/S3-08/scored/02900</x:v>
      </x:c>
    </x:row>
    <x:row r="737" ht="52" customHeight="1">
      <x:c r="A737" s="10" t="str">
        <x:v>V-R3</x:v>
      </x:c>
      <x:c r="B737" s="10" t="str">
        <x:v>VOICE</x:v>
      </x:c>
      <x:c r="C737" s="10" t="str">
        <x:v>VOICE:S3-08</x:v>
      </x:c>
      <x:c r="D737" s="10" t="str">
        <x:v>VOICE:S3-08:goal</x:v>
      </x:c>
      <x:c r="E737" s="11" t="n">
        <x:v>11.376666666666667</x:v>
      </x:c>
      <x:c r="F737" s="11" t="n">
        <x:v>19.37666666666667</x:v>
      </x:c>
      <x:c r="G737" s="11" t="n">
        <x:f>F737-E737</x:f>
        <x:v>8.000000000000002</x:v>
      </x:c>
      <x:c r="H737" s="10" t="n">
        <x:v>1</x:v>
      </x:c>
      <x:c r="I737" s="10" t="str">
        <x:v>completed_as_adopted</x:v>
      </x:c>
      <x:c r="J737" s="10" t="str">
        <x:v>VOICE:B-R3/S3-08/scored/02931</x:v>
      </x:c>
      <x:c r="K737" s="10" t="str">
        <x:v>VOICE:S3-08:input</x:v>
      </x:c>
      <x:c r="L737" s="10" t="str">
        <x:v>VOICE:B-R3/S3-08/scored/02931</x:v>
      </x:c>
    </x:row>
    <x:row r="738" ht="52" customHeight="1">
      <x:c r="A738" s="10" t="str">
        <x:v>V-A</x:v>
      </x:c>
      <x:c r="B738" s="10" t="str">
        <x:v>VOICE</x:v>
      </x:c>
      <x:c r="C738" s="10" t="str">
        <x:v>VOICE:S3-09</x:v>
      </x:c>
      <x:c r="D738" s="10" t="str">
        <x:v>VOICE:S3-09:goal</x:v>
      </x:c>
      <x:c r="E738" s="11" t="n">
        <x:v>8.016666666666667</x:v>
      </x:c>
      <x:c r="F738" s="11" t="n">
        <x:v>16.01666666666667</x:v>
      </x:c>
      <x:c r="G738" s="11" t="n">
        <x:f>F738-E738</x:f>
        <x:v>8.000000000000002</x:v>
      </x:c>
      <x:c r="H738" s="10" t="n">
        <x:v>1</x:v>
      </x:c>
      <x:c r="I738" s="10" t="str">
        <x:v>completed_as_adopted</x:v>
      </x:c>
      <x:c r="J738" s="10" t="str">
        <x:v>VOICE:A/S3-09/scored/02955</x:v>
      </x:c>
      <x:c r="K738" s="10" t="str">
        <x:v>VOICE:S3-09:input</x:v>
      </x:c>
      <x:c r="L738" s="10" t="str">
        <x:v>VOICE:A/S3-09/scored/02955</x:v>
      </x:c>
    </x:row>
    <x:row r="739" ht="52" customHeight="1">
      <x:c r="A739" s="10" t="str">
        <x:v>V-R1</x:v>
      </x:c>
      <x:c r="B739" s="10" t="str">
        <x:v>VOICE</x:v>
      </x:c>
      <x:c r="C739" s="10" t="str">
        <x:v>VOICE:S3-09</x:v>
      </x:c>
      <x:c r="D739" s="10" t="str">
        <x:v>VOICE:S3-09:goal</x:v>
      </x:c>
      <x:c r="E739" s="11" t="n">
        <x:v>13.216666666666667</x:v>
      </x:c>
      <x:c r="F739" s="11" t="n">
        <x:v>21.216666666666672</x:v>
      </x:c>
      <x:c r="G739" s="11" t="n">
        <x:f>F739-E739</x:f>
        <x:v>8.000000000000005</x:v>
      </x:c>
      <x:c r="H739" s="10" t="n">
        <x:v>1</x:v>
      </x:c>
      <x:c r="I739" s="10" t="str">
        <x:v>completed_as_adopted</x:v>
      </x:c>
      <x:c r="J739" s="10" t="str">
        <x:v>VOICE:B-R1/S3-09/scored/02990</x:v>
      </x:c>
      <x:c r="K739" s="10" t="str">
        <x:v>VOICE:S3-09:input</x:v>
      </x:c>
      <x:c r="L739" s="10" t="str">
        <x:v>VOICE:B-R1/S3-09/scored/02990</x:v>
      </x:c>
    </x:row>
    <x:row r="740" ht="52" customHeight="1">
      <x:c r="A740" s="10" t="str">
        <x:v>V-R2</x:v>
      </x:c>
      <x:c r="B740" s="10" t="str">
        <x:v>VOICE</x:v>
      </x:c>
      <x:c r="C740" s="10" t="str">
        <x:v>VOICE:S3-09</x:v>
      </x:c>
      <x:c r="D740" s="10" t="str">
        <x:v>VOICE:S3-09:goal</x:v>
      </x:c>
      <x:c r="E740" s="11" t="n">
        <x:v>11.316666666666668</x:v>
      </x:c>
      <x:c r="F740" s="11" t="n">
        <x:v>19.316666666666674</x:v>
      </x:c>
      <x:c r="G740" s="11" t="n">
        <x:f>F740-E740</x:f>
        <x:v>8.000000000000005</x:v>
      </x:c>
      <x:c r="H740" s="10" t="n">
        <x:v>1</x:v>
      </x:c>
      <x:c r="I740" s="10" t="str">
        <x:v>completed_as_adopted</x:v>
      </x:c>
      <x:c r="J740" s="10" t="str">
        <x:v>VOICE:B-R2/S3-09/scored/03019</x:v>
      </x:c>
      <x:c r="K740" s="10" t="str">
        <x:v>VOICE:S3-09:input</x:v>
      </x:c>
      <x:c r="L740" s="10" t="str">
        <x:v>VOICE:B-R2/S3-09/scored/03019</x:v>
      </x:c>
    </x:row>
    <x:row r="741" ht="52" customHeight="1">
      <x:c r="A741" s="10" t="str">
        <x:v>V-R3</x:v>
      </x:c>
      <x:c r="B741" s="10" t="str">
        <x:v>VOICE</x:v>
      </x:c>
      <x:c r="C741" s="10" t="str">
        <x:v>VOICE:S3-09</x:v>
      </x:c>
      <x:c r="D741" s="10" t="str">
        <x:v>VOICE:S3-09:goal</x:v>
      </x:c>
      <x:c r="E741" s="11" t="n">
        <x:v>11.376666666666667</x:v>
      </x:c>
      <x:c r="F741" s="11" t="n">
        <x:v>19.37666666666667</x:v>
      </x:c>
      <x:c r="G741" s="11" t="n">
        <x:f>F741-E741</x:f>
        <x:v>8.000000000000002</x:v>
      </x:c>
      <x:c r="H741" s="10" t="n">
        <x:v>1</x:v>
      </x:c>
      <x:c r="I741" s="10" t="str">
        <x:v>completed_as_adopted</x:v>
      </x:c>
      <x:c r="J741" s="10" t="str">
        <x:v>VOICE:B-R3/S3-09/scored/03050</x:v>
      </x:c>
      <x:c r="K741" s="10" t="str">
        <x:v>VOICE:S3-09:input</x:v>
      </x:c>
      <x:c r="L741" s="10" t="str">
        <x:v>VOICE:B-R3/S3-09/scored/03050</x:v>
      </x:c>
    </x:row>
    <x:row r="742" ht="52" customHeight="1">
      <x:c r="A742" s="10" t="str">
        <x:v>V-A</x:v>
      </x:c>
      <x:c r="B742" s="10" t="str">
        <x:v>VOICE</x:v>
      </x:c>
      <x:c r="C742" s="10" t="str">
        <x:v>VOICE:S3-10</x:v>
      </x:c>
      <x:c r="D742" s="10" t="str">
        <x:v>VOICE:S3-10:goal</x:v>
      </x:c>
      <x:c r="E742" s="11" t="n">
        <x:v>8.016666666666667</x:v>
      </x:c>
      <x:c r="F742" s="11" t="n">
        <x:v>16.01666666666667</x:v>
      </x:c>
      <x:c r="G742" s="11" t="n">
        <x:f>F742-E742</x:f>
        <x:v>8.000000000000002</x:v>
      </x:c>
      <x:c r="H742" s="10" t="n">
        <x:v>0</x:v>
      </x:c>
      <x:c r="I742" s="10" t="str">
        <x:v>completed_as_adopted</x:v>
      </x:c>
      <x:c r="J742" s="10" t="str">
        <x:v>VOICE:A/S3-10/scored/03074</x:v>
      </x:c>
      <x:c r="K742" s="10" t="str">
        <x:v>VOICE:S3-10:input</x:v>
      </x:c>
      <x:c r="L742" s="10" t="str">
        <x:v>VOICE:A/S3-10/scored/03074</x:v>
      </x:c>
    </x:row>
    <x:row r="743" ht="52" customHeight="1">
      <x:c r="A743" s="10" t="str">
        <x:v>V-R1</x:v>
      </x:c>
      <x:c r="B743" s="10" t="str">
        <x:v>VOICE</x:v>
      </x:c>
      <x:c r="C743" s="10" t="str">
        <x:v>VOICE:S3-10</x:v>
      </x:c>
      <x:c r="D743" s="10" t="str">
        <x:v>VOICE:S3-10:goal</x:v>
      </x:c>
      <x:c r="E743" s="11" t="n">
        <x:v>13.216666666666667</x:v>
      </x:c>
      <x:c r="F743" s="11" t="n">
        <x:v>21.216666666666672</x:v>
      </x:c>
      <x:c r="G743" s="11" t="n">
        <x:f>F743-E743</x:f>
        <x:v>8.000000000000005</x:v>
      </x:c>
      <x:c r="H743" s="10" t="n">
        <x:v>0</x:v>
      </x:c>
      <x:c r="I743" s="10" t="str">
        <x:v>completed_as_adopted</x:v>
      </x:c>
      <x:c r="J743" s="10" t="str">
        <x:v>VOICE:B-R1/S3-10/scored/03109</x:v>
      </x:c>
      <x:c r="K743" s="10" t="str">
        <x:v>VOICE:S3-10:input</x:v>
      </x:c>
      <x:c r="L743" s="10" t="str">
        <x:v>VOICE:B-R1/S3-10/scored/03109</x:v>
      </x:c>
    </x:row>
    <x:row r="744" ht="52" customHeight="1">
      <x:c r="A744" s="10" t="str">
        <x:v>V-R2</x:v>
      </x:c>
      <x:c r="B744" s="10" t="str">
        <x:v>VOICE</x:v>
      </x:c>
      <x:c r="C744" s="10" t="str">
        <x:v>VOICE:S3-10</x:v>
      </x:c>
      <x:c r="D744" s="10" t="str">
        <x:v>VOICE:S3-10:goal</x:v>
      </x:c>
      <x:c r="E744" s="11" t="n">
        <x:v>11.316666666666668</x:v>
      </x:c>
      <x:c r="F744" s="11" t="n">
        <x:v>19.316666666666674</x:v>
      </x:c>
      <x:c r="G744" s="11" t="n">
        <x:f>F744-E744</x:f>
        <x:v>8.000000000000005</x:v>
      </x:c>
      <x:c r="H744" s="10" t="n">
        <x:v>0</x:v>
      </x:c>
      <x:c r="I744" s="10" t="str">
        <x:v>completed_as_adopted</x:v>
      </x:c>
      <x:c r="J744" s="10" t="str">
        <x:v>VOICE:B-R2/S3-10/scored/03138</x:v>
      </x:c>
      <x:c r="K744" s="10" t="str">
        <x:v>VOICE:S3-10:input</x:v>
      </x:c>
      <x:c r="L744" s="10" t="str">
        <x:v>VOICE:B-R2/S3-10/scored/03138</x:v>
      </x:c>
    </x:row>
    <x:row r="745" ht="52" customHeight="1">
      <x:c r="A745" s="10" t="str">
        <x:v>V-R3</x:v>
      </x:c>
      <x:c r="B745" s="10" t="str">
        <x:v>VOICE</x:v>
      </x:c>
      <x:c r="C745" s="10" t="str">
        <x:v>VOICE:S3-10</x:v>
      </x:c>
      <x:c r="D745" s="10" t="str">
        <x:v>VOICE:S3-10:goal</x:v>
      </x:c>
      <x:c r="E745" s="11" t="n">
        <x:v>11.376666666666667</x:v>
      </x:c>
      <x:c r="F745" s="11" t="n">
        <x:v>19.37666666666667</x:v>
      </x:c>
      <x:c r="G745" s="11" t="n">
        <x:f>F745-E745</x:f>
        <x:v>8.000000000000002</x:v>
      </x:c>
      <x:c r="H745" s="10" t="n">
        <x:v>0</x:v>
      </x:c>
      <x:c r="I745" s="10" t="str">
        <x:v>completed_as_adopted</x:v>
      </x:c>
      <x:c r="J745" s="10" t="str">
        <x:v>VOICE:B-R3/S3-10/scored/03169</x:v>
      </x:c>
      <x:c r="K745" s="10" t="str">
        <x:v>VOICE:S3-10:input</x:v>
      </x:c>
      <x:c r="L745" s="10" t="str">
        <x:v>VOICE:B-R3/S3-10/scored/03169</x:v>
      </x:c>
    </x:row>
    <x:row r="746" ht="52" customHeight="1">
      <x:c r="A746" s="10" t="str">
        <x:v>V-A</x:v>
      </x:c>
      <x:c r="B746" s="10" t="str">
        <x:v>VOICE</x:v>
      </x:c>
      <x:c r="C746" s="10" t="str">
        <x:v>VOICE:S3-11</x:v>
      </x:c>
      <x:c r="D746" s="10" t="str">
        <x:v>VOICE:S3-11:goal</x:v>
      </x:c>
      <x:c r="E746" s="11" t="n">
        <x:v>8.016666666666667</x:v>
      </x:c>
      <x:c r="F746" s="11" t="n">
        <x:v>16.01666666666667</x:v>
      </x:c>
      <x:c r="G746" s="11" t="n">
        <x:f>F746-E746</x:f>
        <x:v>8.000000000000002</x:v>
      </x:c>
      <x:c r="H746" s="10" t="n">
        <x:v>1</x:v>
      </x:c>
      <x:c r="I746" s="10" t="str">
        <x:v>completed_as_adopted</x:v>
      </x:c>
      <x:c r="J746" s="10" t="str">
        <x:v>VOICE:A/S3-11/scored/03193</x:v>
      </x:c>
      <x:c r="K746" s="10" t="str">
        <x:v>VOICE:S3-11:input</x:v>
      </x:c>
      <x:c r="L746" s="10" t="str">
        <x:v>VOICE:A/S3-11/scored/03193</x:v>
      </x:c>
    </x:row>
    <x:row r="747" ht="52" customHeight="1">
      <x:c r="A747" s="10" t="str">
        <x:v>V-R1</x:v>
      </x:c>
      <x:c r="B747" s="10" t="str">
        <x:v>VOICE</x:v>
      </x:c>
      <x:c r="C747" s="10" t="str">
        <x:v>VOICE:S3-11</x:v>
      </x:c>
      <x:c r="D747" s="10" t="str">
        <x:v>VOICE:S3-11:goal</x:v>
      </x:c>
      <x:c r="E747" s="11" t="n">
        <x:v>13.216666666666667</x:v>
      </x:c>
      <x:c r="F747" s="11" t="n">
        <x:v>21.216666666666672</x:v>
      </x:c>
      <x:c r="G747" s="11" t="n">
        <x:f>F747-E747</x:f>
        <x:v>8.000000000000005</x:v>
      </x:c>
      <x:c r="H747" s="10" t="n">
        <x:v>1</x:v>
      </x:c>
      <x:c r="I747" s="10" t="str">
        <x:v>completed_as_adopted</x:v>
      </x:c>
      <x:c r="J747" s="10" t="str">
        <x:v>VOICE:B-R1/S3-11/scored/03228</x:v>
      </x:c>
      <x:c r="K747" s="10" t="str">
        <x:v>VOICE:S3-11:input</x:v>
      </x:c>
      <x:c r="L747" s="10" t="str">
        <x:v>VOICE:B-R1/S3-11/scored/03228</x:v>
      </x:c>
    </x:row>
    <x:row r="748" ht="52" customHeight="1">
      <x:c r="A748" s="10" t="str">
        <x:v>V-R2</x:v>
      </x:c>
      <x:c r="B748" s="10" t="str">
        <x:v>VOICE</x:v>
      </x:c>
      <x:c r="C748" s="10" t="str">
        <x:v>VOICE:S3-11</x:v>
      </x:c>
      <x:c r="D748" s="10" t="str">
        <x:v>VOICE:S3-11:goal</x:v>
      </x:c>
      <x:c r="E748" s="11" t="n">
        <x:v>11.316666666666668</x:v>
      </x:c>
      <x:c r="F748" s="11" t="n">
        <x:v>19.316666666666674</x:v>
      </x:c>
      <x:c r="G748" s="11" t="n">
        <x:f>F748-E748</x:f>
        <x:v>8.000000000000005</x:v>
      </x:c>
      <x:c r="H748" s="10" t="n">
        <x:v>1</x:v>
      </x:c>
      <x:c r="I748" s="10" t="str">
        <x:v>completed_as_adopted</x:v>
      </x:c>
      <x:c r="J748" s="10" t="str">
        <x:v>VOICE:B-R2/S3-11/scored/03257</x:v>
      </x:c>
      <x:c r="K748" s="10" t="str">
        <x:v>VOICE:S3-11:input</x:v>
      </x:c>
      <x:c r="L748" s="10" t="str">
        <x:v>VOICE:B-R2/S3-11/scored/03257</x:v>
      </x:c>
    </x:row>
    <x:row r="749" ht="52" customHeight="1">
      <x:c r="A749" s="10" t="str">
        <x:v>V-R3</x:v>
      </x:c>
      <x:c r="B749" s="10" t="str">
        <x:v>VOICE</x:v>
      </x:c>
      <x:c r="C749" s="10" t="str">
        <x:v>VOICE:S3-11</x:v>
      </x:c>
      <x:c r="D749" s="10" t="str">
        <x:v>VOICE:S3-11:goal</x:v>
      </x:c>
      <x:c r="E749" s="11" t="n">
        <x:v>11.376666666666667</x:v>
      </x:c>
      <x:c r="F749" s="11" t="n">
        <x:v>19.37666666666667</x:v>
      </x:c>
      <x:c r="G749" s="11" t="n">
        <x:f>F749-E749</x:f>
        <x:v>8.000000000000002</x:v>
      </x:c>
      <x:c r="H749" s="10" t="n">
        <x:v>1</x:v>
      </x:c>
      <x:c r="I749" s="10" t="str">
        <x:v>completed_as_adopted</x:v>
      </x:c>
      <x:c r="J749" s="10" t="str">
        <x:v>VOICE:B-R3/S3-11/scored/03288</x:v>
      </x:c>
      <x:c r="K749" s="10" t="str">
        <x:v>VOICE:S3-11:input</x:v>
      </x:c>
      <x:c r="L749" s="10" t="str">
        <x:v>VOICE:B-R3/S3-11/scored/03288</x:v>
      </x:c>
    </x:row>
    <x:row r="750" ht="52" customHeight="1">
      <x:c r="A750" s="10" t="str">
        <x:v>V-A</x:v>
      </x:c>
      <x:c r="B750" s="10" t="str">
        <x:v>VOICE</x:v>
      </x:c>
      <x:c r="C750" s="10" t="str">
        <x:v>VOICE:S3-12</x:v>
      </x:c>
      <x:c r="D750" s="10" t="str">
        <x:v>VOICE:S3-12:goal</x:v>
      </x:c>
      <x:c r="E750" s="11" t="n">
        <x:v>8.016666666666667</x:v>
      </x:c>
      <x:c r="F750" s="11" t="n">
        <x:v>16.01666666666667</x:v>
      </x:c>
      <x:c r="G750" s="11" t="n">
        <x:f>F750-E750</x:f>
        <x:v>8.000000000000002</x:v>
      </x:c>
      <x:c r="H750" s="10" t="n">
        <x:v>1</x:v>
      </x:c>
      <x:c r="I750" s="10" t="str">
        <x:v>completed_as_adopted</x:v>
      </x:c>
      <x:c r="J750" s="10" t="str">
        <x:v>VOICE:A/S3-12/scored/03312</x:v>
      </x:c>
      <x:c r="K750" s="10" t="str">
        <x:v>VOICE:S3-12:input</x:v>
      </x:c>
      <x:c r="L750" s="10" t="str">
        <x:v>VOICE:A/S3-12/scored/03312</x:v>
      </x:c>
    </x:row>
    <x:row r="751" ht="52" customHeight="1">
      <x:c r="A751" s="10" t="str">
        <x:v>V-R1</x:v>
      </x:c>
      <x:c r="B751" s="10" t="str">
        <x:v>VOICE</x:v>
      </x:c>
      <x:c r="C751" s="10" t="str">
        <x:v>VOICE:S3-12</x:v>
      </x:c>
      <x:c r="D751" s="10" t="str">
        <x:v>VOICE:S3-12:goal</x:v>
      </x:c>
      <x:c r="E751" s="11" t="n">
        <x:v>13.216666666666667</x:v>
      </x:c>
      <x:c r="F751" s="11" t="n">
        <x:v>21.216666666666672</x:v>
      </x:c>
      <x:c r="G751" s="11" t="n">
        <x:f>F751-E751</x:f>
        <x:v>8.000000000000005</x:v>
      </x:c>
      <x:c r="H751" s="10" t="n">
        <x:v>1</x:v>
      </x:c>
      <x:c r="I751" s="10" t="str">
        <x:v>completed_as_adopted</x:v>
      </x:c>
      <x:c r="J751" s="10" t="str">
        <x:v>VOICE:B-R1/S3-12/scored/03347</x:v>
      </x:c>
      <x:c r="K751" s="10" t="str">
        <x:v>VOICE:S3-12:input</x:v>
      </x:c>
      <x:c r="L751" s="10" t="str">
        <x:v>VOICE:B-R1/S3-12/scored/03347</x:v>
      </x:c>
    </x:row>
    <x:row r="752" ht="52" customHeight="1">
      <x:c r="A752" s="10" t="str">
        <x:v>V-R2</x:v>
      </x:c>
      <x:c r="B752" s="10" t="str">
        <x:v>VOICE</x:v>
      </x:c>
      <x:c r="C752" s="10" t="str">
        <x:v>VOICE:S3-12</x:v>
      </x:c>
      <x:c r="D752" s="10" t="str">
        <x:v>VOICE:S3-12:goal</x:v>
      </x:c>
      <x:c r="E752" s="11" t="n">
        <x:v>11.316666666666668</x:v>
      </x:c>
      <x:c r="F752" s="11" t="n">
        <x:v>19.316666666666674</x:v>
      </x:c>
      <x:c r="G752" s="11" t="n">
        <x:f>F752-E752</x:f>
        <x:v>8.000000000000005</x:v>
      </x:c>
      <x:c r="H752" s="10" t="n">
        <x:v>1</x:v>
      </x:c>
      <x:c r="I752" s="10" t="str">
        <x:v>completed_as_adopted</x:v>
      </x:c>
      <x:c r="J752" s="10" t="str">
        <x:v>VOICE:B-R2/S3-12/scored/03376</x:v>
      </x:c>
      <x:c r="K752" s="10" t="str">
        <x:v>VOICE:S3-12:input</x:v>
      </x:c>
      <x:c r="L752" s="10" t="str">
        <x:v>VOICE:B-R2/S3-12/scored/03376</x:v>
      </x:c>
    </x:row>
    <x:row r="753" ht="52" customHeight="1">
      <x:c r="A753" s="10" t="str">
        <x:v>V-R3</x:v>
      </x:c>
      <x:c r="B753" s="10" t="str">
        <x:v>VOICE</x:v>
      </x:c>
      <x:c r="C753" s="10" t="str">
        <x:v>VOICE:S3-12</x:v>
      </x:c>
      <x:c r="D753" s="10" t="str">
        <x:v>VOICE:S3-12:goal</x:v>
      </x:c>
      <x:c r="E753" s="11" t="n">
        <x:v>11.376666666666667</x:v>
      </x:c>
      <x:c r="F753" s="11" t="n">
        <x:v>19.37666666666667</x:v>
      </x:c>
      <x:c r="G753" s="11" t="n">
        <x:f>F753-E753</x:f>
        <x:v>8.000000000000002</x:v>
      </x:c>
      <x:c r="H753" s="10" t="n">
        <x:v>1</x:v>
      </x:c>
      <x:c r="I753" s="10" t="str">
        <x:v>completed_as_adopted</x:v>
      </x:c>
      <x:c r="J753" s="10" t="str">
        <x:v>VOICE:B-R3/S3-12/scored/03407</x:v>
      </x:c>
      <x:c r="K753" s="10" t="str">
        <x:v>VOICE:S3-12:input</x:v>
      </x:c>
      <x:c r="L753" s="10" t="str">
        <x:v>VOICE:B-R3/S3-12/scored/03407</x:v>
      </x:c>
    </x:row>
    <x:row r="754" ht="52" customHeight="1">
      <x:c r="A754" s="10" t="str">
        <x:v>V-A</x:v>
      </x:c>
      <x:c r="B754" s="10" t="str">
        <x:v>VOICE</x:v>
      </x:c>
      <x:c r="C754" s="10" t="str">
        <x:v>VOICE:S3-13</x:v>
      </x:c>
      <x:c r="D754" s="10" t="str">
        <x:v>VOICE:S3-13:goal</x:v>
      </x:c>
      <x:c r="E754" s="11" t="n">
        <x:v>8.016666666666667</x:v>
      </x:c>
      <x:c r="F754" s="11" t="n">
        <x:v>16.01666666666667</x:v>
      </x:c>
      <x:c r="G754" s="11" t="n">
        <x:f>F754-E754</x:f>
        <x:v>8.000000000000002</x:v>
      </x:c>
      <x:c r="H754" s="10" t="n">
        <x:v>1</x:v>
      </x:c>
      <x:c r="I754" s="10" t="str">
        <x:v>completed_as_adopted</x:v>
      </x:c>
      <x:c r="J754" s="10" t="str">
        <x:v>VOICE:A/S3-13/scored/03431</x:v>
      </x:c>
      <x:c r="K754" s="10" t="str">
        <x:v>VOICE:S3-13:input</x:v>
      </x:c>
      <x:c r="L754" s="10" t="str">
        <x:v>VOICE:A/S3-13/scored/03431</x:v>
      </x:c>
    </x:row>
    <x:row r="755" ht="52" customHeight="1">
      <x:c r="A755" s="10" t="str">
        <x:v>V-R1</x:v>
      </x:c>
      <x:c r="B755" s="10" t="str">
        <x:v>VOICE</x:v>
      </x:c>
      <x:c r="C755" s="10" t="str">
        <x:v>VOICE:S3-13</x:v>
      </x:c>
      <x:c r="D755" s="10" t="str">
        <x:v>VOICE:S3-13:goal</x:v>
      </x:c>
      <x:c r="E755" s="11" t="n">
        <x:v>13.216666666666667</x:v>
      </x:c>
      <x:c r="F755" s="11" t="n">
        <x:v>21.216666666666672</x:v>
      </x:c>
      <x:c r="G755" s="11" t="n">
        <x:f>F755-E755</x:f>
        <x:v>8.000000000000005</x:v>
      </x:c>
      <x:c r="H755" s="10" t="n">
        <x:v>1</x:v>
      </x:c>
      <x:c r="I755" s="10" t="str">
        <x:v>completed_as_adopted</x:v>
      </x:c>
      <x:c r="J755" s="10" t="str">
        <x:v>VOICE:B-R1/S3-13/scored/03466</x:v>
      </x:c>
      <x:c r="K755" s="10" t="str">
        <x:v>VOICE:S3-13:input</x:v>
      </x:c>
      <x:c r="L755" s="10" t="str">
        <x:v>VOICE:B-R1/S3-13/scored/03466</x:v>
      </x:c>
    </x:row>
    <x:row r="756" ht="52" customHeight="1">
      <x:c r="A756" s="10" t="str">
        <x:v>V-R2</x:v>
      </x:c>
      <x:c r="B756" s="10" t="str">
        <x:v>VOICE</x:v>
      </x:c>
      <x:c r="C756" s="10" t="str">
        <x:v>VOICE:S3-13</x:v>
      </x:c>
      <x:c r="D756" s="10" t="str">
        <x:v>VOICE:S3-13:goal</x:v>
      </x:c>
      <x:c r="E756" s="11" t="n">
        <x:v>11.316666666666668</x:v>
      </x:c>
      <x:c r="F756" s="11" t="n">
        <x:v>19.316666666666674</x:v>
      </x:c>
      <x:c r="G756" s="11" t="n">
        <x:f>F756-E756</x:f>
        <x:v>8.000000000000005</x:v>
      </x:c>
      <x:c r="H756" s="10" t="n">
        <x:v>1</x:v>
      </x:c>
      <x:c r="I756" s="10" t="str">
        <x:v>completed_as_adopted</x:v>
      </x:c>
      <x:c r="J756" s="10" t="str">
        <x:v>VOICE:B-R2/S3-13/scored/03495</x:v>
      </x:c>
      <x:c r="K756" s="10" t="str">
        <x:v>VOICE:S3-13:input</x:v>
      </x:c>
      <x:c r="L756" s="10" t="str">
        <x:v>VOICE:B-R2/S3-13/scored/03495</x:v>
      </x:c>
    </x:row>
    <x:row r="757" ht="52" customHeight="1">
      <x:c r="A757" s="10" t="str">
        <x:v>V-R3</x:v>
      </x:c>
      <x:c r="B757" s="10" t="str">
        <x:v>VOICE</x:v>
      </x:c>
      <x:c r="C757" s="10" t="str">
        <x:v>VOICE:S3-13</x:v>
      </x:c>
      <x:c r="D757" s="10" t="str">
        <x:v>VOICE:S3-13:goal</x:v>
      </x:c>
      <x:c r="E757" s="11" t="n">
        <x:v>11.376666666666667</x:v>
      </x:c>
      <x:c r="F757" s="11" t="n">
        <x:v>19.37666666666667</x:v>
      </x:c>
      <x:c r="G757" s="11" t="n">
        <x:f>F757-E757</x:f>
        <x:v>8.000000000000002</x:v>
      </x:c>
      <x:c r="H757" s="10" t="n">
        <x:v>1</x:v>
      </x:c>
      <x:c r="I757" s="10" t="str">
        <x:v>completed_as_adopted</x:v>
      </x:c>
      <x:c r="J757" s="10" t="str">
        <x:v>VOICE:B-R3/S3-13/scored/03526</x:v>
      </x:c>
      <x:c r="K757" s="10" t="str">
        <x:v>VOICE:S3-13:input</x:v>
      </x:c>
      <x:c r="L757" s="10" t="str">
        <x:v>VOICE:B-R3/S3-13/scored/03526</x:v>
      </x:c>
    </x:row>
    <x:row r="758" ht="52" customHeight="1">
      <x:c r="A758" s="10" t="str">
        <x:v>V-A</x:v>
      </x:c>
      <x:c r="B758" s="10" t="str">
        <x:v>VOICE</x:v>
      </x:c>
      <x:c r="C758" s="10" t="str">
        <x:v>VOICE:S3-14</x:v>
      </x:c>
      <x:c r="D758" s="10" t="str">
        <x:v>VOICE:S3-14:goal</x:v>
      </x:c>
      <x:c r="E758" s="11" t="n">
        <x:v>8.016666666666667</x:v>
      </x:c>
      <x:c r="F758" s="11" t="n">
        <x:v>16.01666666666667</x:v>
      </x:c>
      <x:c r="G758" s="11" t="n">
        <x:f>F758-E758</x:f>
        <x:v>8.000000000000002</x:v>
      </x:c>
      <x:c r="H758" s="10" t="n">
        <x:v>1</x:v>
      </x:c>
      <x:c r="I758" s="10" t="str">
        <x:v>completed_as_adopted</x:v>
      </x:c>
      <x:c r="J758" s="10" t="str">
        <x:v>VOICE:A/S3-14/scored/03550</x:v>
      </x:c>
      <x:c r="K758" s="10" t="str">
        <x:v>VOICE:S3-14:input</x:v>
      </x:c>
      <x:c r="L758" s="10" t="str">
        <x:v>VOICE:A/S3-14/scored/03550</x:v>
      </x:c>
    </x:row>
    <x:row r="759" ht="52" customHeight="1">
      <x:c r="A759" s="10" t="str">
        <x:v>V-R1</x:v>
      </x:c>
      <x:c r="B759" s="10" t="str">
        <x:v>VOICE</x:v>
      </x:c>
      <x:c r="C759" s="10" t="str">
        <x:v>VOICE:S3-14</x:v>
      </x:c>
      <x:c r="D759" s="10" t="str">
        <x:v>VOICE:S3-14:goal</x:v>
      </x:c>
      <x:c r="E759" s="11" t="n">
        <x:v>13.216666666666667</x:v>
      </x:c>
      <x:c r="F759" s="11" t="n">
        <x:v>21.216666666666672</x:v>
      </x:c>
      <x:c r="G759" s="11" t="n">
        <x:f>F759-E759</x:f>
        <x:v>8.000000000000005</x:v>
      </x:c>
      <x:c r="H759" s="10" t="n">
        <x:v>1</x:v>
      </x:c>
      <x:c r="I759" s="10" t="str">
        <x:v>completed_as_adopted</x:v>
      </x:c>
      <x:c r="J759" s="10" t="str">
        <x:v>VOICE:B-R1/S3-14/scored/03585</x:v>
      </x:c>
      <x:c r="K759" s="10" t="str">
        <x:v>VOICE:S3-14:input</x:v>
      </x:c>
      <x:c r="L759" s="10" t="str">
        <x:v>VOICE:B-R1/S3-14/scored/03585</x:v>
      </x:c>
    </x:row>
    <x:row r="760" ht="52" customHeight="1">
      <x:c r="A760" s="10" t="str">
        <x:v>V-R2</x:v>
      </x:c>
      <x:c r="B760" s="10" t="str">
        <x:v>VOICE</x:v>
      </x:c>
      <x:c r="C760" s="10" t="str">
        <x:v>VOICE:S3-14</x:v>
      </x:c>
      <x:c r="D760" s="10" t="str">
        <x:v>VOICE:S3-14:goal</x:v>
      </x:c>
      <x:c r="E760" s="11" t="n">
        <x:v>11.316666666666668</x:v>
      </x:c>
      <x:c r="F760" s="11" t="n">
        <x:v>19.316666666666674</x:v>
      </x:c>
      <x:c r="G760" s="11" t="n">
        <x:f>F760-E760</x:f>
        <x:v>8.000000000000005</x:v>
      </x:c>
      <x:c r="H760" s="10" t="n">
        <x:v>1</x:v>
      </x:c>
      <x:c r="I760" s="10" t="str">
        <x:v>completed_as_adopted</x:v>
      </x:c>
      <x:c r="J760" s="10" t="str">
        <x:v>VOICE:B-R2/S3-14/scored/03614</x:v>
      </x:c>
      <x:c r="K760" s="10" t="str">
        <x:v>VOICE:S3-14:input</x:v>
      </x:c>
      <x:c r="L760" s="10" t="str">
        <x:v>VOICE:B-R2/S3-14/scored/03614</x:v>
      </x:c>
    </x:row>
    <x:row r="761" ht="52" customHeight="1">
      <x:c r="A761" s="10" t="str">
        <x:v>V-R3</x:v>
      </x:c>
      <x:c r="B761" s="10" t="str">
        <x:v>VOICE</x:v>
      </x:c>
      <x:c r="C761" s="10" t="str">
        <x:v>VOICE:S3-14</x:v>
      </x:c>
      <x:c r="D761" s="10" t="str">
        <x:v>VOICE:S3-14:goal</x:v>
      </x:c>
      <x:c r="E761" s="11" t="n">
        <x:v>11.376666666666667</x:v>
      </x:c>
      <x:c r="F761" s="11" t="n">
        <x:v>19.37666666666667</x:v>
      </x:c>
      <x:c r="G761" s="11" t="n">
        <x:f>F761-E761</x:f>
        <x:v>8.000000000000002</x:v>
      </x:c>
      <x:c r="H761" s="10" t="n">
        <x:v>1</x:v>
      </x:c>
      <x:c r="I761" s="10" t="str">
        <x:v>completed_as_adopted</x:v>
      </x:c>
      <x:c r="J761" s="10" t="str">
        <x:v>VOICE:B-R3/S3-14/scored/03645</x:v>
      </x:c>
      <x:c r="K761" s="10" t="str">
        <x:v>VOICE:S3-14:input</x:v>
      </x:c>
      <x:c r="L761" s="10" t="str">
        <x:v>VOICE:B-R3/S3-14/scored/03645</x:v>
      </x:c>
    </x:row>
    <x:row r="762" ht="52" customHeight="1">
      <x:c r="A762" s="10" t="str">
        <x:v>V-A</x:v>
      </x:c>
      <x:c r="B762" s="10" t="str">
        <x:v>VOICE</x:v>
      </x:c>
      <x:c r="C762" s="10" t="str">
        <x:v>VOICE:S3-15</x:v>
      </x:c>
      <x:c r="D762" s="10" t="str">
        <x:v>VOICE:S3-15:goal</x:v>
      </x:c>
      <x:c r="E762" s="11" t="n">
        <x:v>8.016666666666667</x:v>
      </x:c>
      <x:c r="F762" s="11" t="n">
        <x:v>16.01666666666667</x:v>
      </x:c>
      <x:c r="G762" s="11" t="n">
        <x:f>F762-E762</x:f>
        <x:v>8.000000000000002</x:v>
      </x:c>
      <x:c r="H762" s="10" t="n">
        <x:v>1</x:v>
      </x:c>
      <x:c r="I762" s="10" t="str">
        <x:v>completed_as_adopted</x:v>
      </x:c>
      <x:c r="J762" s="10" t="str">
        <x:v>VOICE:A/S3-15/scored/03669</x:v>
      </x:c>
      <x:c r="K762" s="10" t="str">
        <x:v>VOICE:S3-15:input</x:v>
      </x:c>
      <x:c r="L762" s="10" t="str">
        <x:v>VOICE:A/S3-15/scored/03669</x:v>
      </x:c>
    </x:row>
    <x:row r="763" ht="52" customHeight="1">
      <x:c r="A763" s="10" t="str">
        <x:v>V-R1</x:v>
      </x:c>
      <x:c r="B763" s="10" t="str">
        <x:v>VOICE</x:v>
      </x:c>
      <x:c r="C763" s="10" t="str">
        <x:v>VOICE:S3-15</x:v>
      </x:c>
      <x:c r="D763" s="10" t="str">
        <x:v>VOICE:S3-15:goal</x:v>
      </x:c>
      <x:c r="E763" s="11" t="n">
        <x:v>13.216666666666667</x:v>
      </x:c>
      <x:c r="F763" s="11" t="n">
        <x:v>21.216666666666672</x:v>
      </x:c>
      <x:c r="G763" s="11" t="n">
        <x:f>F763-E763</x:f>
        <x:v>8.000000000000005</x:v>
      </x:c>
      <x:c r="H763" s="10" t="n">
        <x:v>1</x:v>
      </x:c>
      <x:c r="I763" s="10" t="str">
        <x:v>completed_as_adopted</x:v>
      </x:c>
      <x:c r="J763" s="10" t="str">
        <x:v>VOICE:B-R1/S3-15/scored/03704</x:v>
      </x:c>
      <x:c r="K763" s="10" t="str">
        <x:v>VOICE:S3-15:input</x:v>
      </x:c>
      <x:c r="L763" s="10" t="str">
        <x:v>VOICE:B-R1/S3-15/scored/03704</x:v>
      </x:c>
    </x:row>
    <x:row r="764" ht="52" customHeight="1">
      <x:c r="A764" s="10" t="str">
        <x:v>V-R2</x:v>
      </x:c>
      <x:c r="B764" s="10" t="str">
        <x:v>VOICE</x:v>
      </x:c>
      <x:c r="C764" s="10" t="str">
        <x:v>VOICE:S3-15</x:v>
      </x:c>
      <x:c r="D764" s="10" t="str">
        <x:v>VOICE:S3-15:goal</x:v>
      </x:c>
      <x:c r="E764" s="11" t="n">
        <x:v>11.316666666666668</x:v>
      </x:c>
      <x:c r="F764" s="11" t="n">
        <x:v>19.316666666666674</x:v>
      </x:c>
      <x:c r="G764" s="11" t="n">
        <x:f>F764-E764</x:f>
        <x:v>8.000000000000005</x:v>
      </x:c>
      <x:c r="H764" s="10" t="n">
        <x:v>1</x:v>
      </x:c>
      <x:c r="I764" s="10" t="str">
        <x:v>completed_as_adopted</x:v>
      </x:c>
      <x:c r="J764" s="10" t="str">
        <x:v>VOICE:B-R2/S3-15/scored/03733</x:v>
      </x:c>
      <x:c r="K764" s="10" t="str">
        <x:v>VOICE:S3-15:input</x:v>
      </x:c>
      <x:c r="L764" s="10" t="str">
        <x:v>VOICE:B-R2/S3-15/scored/03733</x:v>
      </x:c>
    </x:row>
    <x:row r="765" ht="52" customHeight="1">
      <x:c r="A765" s="10" t="str">
        <x:v>V-R3</x:v>
      </x:c>
      <x:c r="B765" s="10" t="str">
        <x:v>VOICE</x:v>
      </x:c>
      <x:c r="C765" s="10" t="str">
        <x:v>VOICE:S3-15</x:v>
      </x:c>
      <x:c r="D765" s="10" t="str">
        <x:v>VOICE:S3-15:goal</x:v>
      </x:c>
      <x:c r="E765" s="11" t="n">
        <x:v>11.376666666666667</x:v>
      </x:c>
      <x:c r="F765" s="11" t="n">
        <x:v>19.37666666666667</x:v>
      </x:c>
      <x:c r="G765" s="11" t="n">
        <x:f>F765-E765</x:f>
        <x:v>8.000000000000002</x:v>
      </x:c>
      <x:c r="H765" s="10" t="n">
        <x:v>1</x:v>
      </x:c>
      <x:c r="I765" s="10" t="str">
        <x:v>completed_as_adopted</x:v>
      </x:c>
      <x:c r="J765" s="10" t="str">
        <x:v>VOICE:B-R3/S3-15/scored/03764</x:v>
      </x:c>
      <x:c r="K765" s="10" t="str">
        <x:v>VOICE:S3-15:input</x:v>
      </x:c>
      <x:c r="L765" s="10" t="str">
        <x:v>VOICE:B-R3/S3-15/scored/03764</x:v>
      </x:c>
    </x:row>
    <x:row r="766" ht="52" customHeight="1">
      <x:c r="A766" s="10" t="str">
        <x:v>V-A</x:v>
      </x:c>
      <x:c r="B766" s="10" t="str">
        <x:v>VOICE</x:v>
      </x:c>
      <x:c r="C766" s="10" t="str">
        <x:v>VOICE:S3-16</x:v>
      </x:c>
      <x:c r="D766" s="10" t="str">
        <x:v>VOICE:S3-16:goal</x:v>
      </x:c>
      <x:c r="E766" s="11" t="n">
        <x:v>8.016666666666667</x:v>
      </x:c>
      <x:c r="F766" s="11" t="n">
        <x:v>16.01666666666667</x:v>
      </x:c>
      <x:c r="G766" s="11" t="n">
        <x:f>F766-E766</x:f>
        <x:v>8.000000000000002</x:v>
      </x:c>
      <x:c r="H766" s="10" t="n">
        <x:v>1</x:v>
      </x:c>
      <x:c r="I766" s="10" t="str">
        <x:v>completed_as_adopted</x:v>
      </x:c>
      <x:c r="J766" s="10" t="str">
        <x:v>VOICE:A/S3-16/scored/03788</x:v>
      </x:c>
      <x:c r="K766" s="10" t="str">
        <x:v>VOICE:S3-16:input</x:v>
      </x:c>
      <x:c r="L766" s="10" t="str">
        <x:v>VOICE:A/S3-16/scored/03788</x:v>
      </x:c>
    </x:row>
    <x:row r="767" ht="52" customHeight="1">
      <x:c r="A767" s="10" t="str">
        <x:v>V-R1</x:v>
      </x:c>
      <x:c r="B767" s="10" t="str">
        <x:v>VOICE</x:v>
      </x:c>
      <x:c r="C767" s="10" t="str">
        <x:v>VOICE:S3-16</x:v>
      </x:c>
      <x:c r="D767" s="10" t="str">
        <x:v>VOICE:S3-16:goal</x:v>
      </x:c>
      <x:c r="E767" s="11" t="n">
        <x:v>13.216666666666667</x:v>
      </x:c>
      <x:c r="F767" s="11" t="n">
        <x:v>21.216666666666672</x:v>
      </x:c>
      <x:c r="G767" s="11" t="n">
        <x:f>F767-E767</x:f>
        <x:v>8.000000000000005</x:v>
      </x:c>
      <x:c r="H767" s="10" t="n">
        <x:v>1</x:v>
      </x:c>
      <x:c r="I767" s="10" t="str">
        <x:v>completed_as_adopted</x:v>
      </x:c>
      <x:c r="J767" s="10" t="str">
        <x:v>VOICE:B-R1/S3-16/scored/03823</x:v>
      </x:c>
      <x:c r="K767" s="10" t="str">
        <x:v>VOICE:S3-16:input</x:v>
      </x:c>
      <x:c r="L767" s="10" t="str">
        <x:v>VOICE:B-R1/S3-16/scored/03823</x:v>
      </x:c>
    </x:row>
    <x:row r="768" ht="52" customHeight="1">
      <x:c r="A768" s="10" t="str">
        <x:v>V-R2</x:v>
      </x:c>
      <x:c r="B768" s="10" t="str">
        <x:v>VOICE</x:v>
      </x:c>
      <x:c r="C768" s="10" t="str">
        <x:v>VOICE:S3-16</x:v>
      </x:c>
      <x:c r="D768" s="10" t="str">
        <x:v>VOICE:S3-16:goal</x:v>
      </x:c>
      <x:c r="E768" s="11" t="n">
        <x:v>11.316666666666668</x:v>
      </x:c>
      <x:c r="F768" s="11" t="n">
        <x:v>19.316666666666674</x:v>
      </x:c>
      <x:c r="G768" s="11" t="n">
        <x:f>F768-E768</x:f>
        <x:v>8.000000000000005</x:v>
      </x:c>
      <x:c r="H768" s="10" t="n">
        <x:v>1</x:v>
      </x:c>
      <x:c r="I768" s="10" t="str">
        <x:v>completed_as_adopted</x:v>
      </x:c>
      <x:c r="J768" s="10" t="str">
        <x:v>VOICE:B-R2/S3-16/scored/03852</x:v>
      </x:c>
      <x:c r="K768" s="10" t="str">
        <x:v>VOICE:S3-16:input</x:v>
      </x:c>
      <x:c r="L768" s="10" t="str">
        <x:v>VOICE:B-R2/S3-16/scored/03852</x:v>
      </x:c>
    </x:row>
    <x:row r="769" ht="52" customHeight="1">
      <x:c r="A769" s="10" t="str">
        <x:v>V-R3</x:v>
      </x:c>
      <x:c r="B769" s="10" t="str">
        <x:v>VOICE</x:v>
      </x:c>
      <x:c r="C769" s="10" t="str">
        <x:v>VOICE:S3-16</x:v>
      </x:c>
      <x:c r="D769" s="10" t="str">
        <x:v>VOICE:S3-16:goal</x:v>
      </x:c>
      <x:c r="E769" s="11" t="n">
        <x:v>11.376666666666667</x:v>
      </x:c>
      <x:c r="F769" s="11" t="n">
        <x:v>19.37666666666667</x:v>
      </x:c>
      <x:c r="G769" s="11" t="n">
        <x:f>F769-E769</x:f>
        <x:v>8.000000000000002</x:v>
      </x:c>
      <x:c r="H769" s="10" t="n">
        <x:v>1</x:v>
      </x:c>
      <x:c r="I769" s="10" t="str">
        <x:v>completed_as_adopted</x:v>
      </x:c>
      <x:c r="J769" s="10" t="str">
        <x:v>VOICE:B-R3/S3-16/scored/03883</x:v>
      </x:c>
      <x:c r="K769" s="10" t="str">
        <x:v>VOICE:S3-16:input</x:v>
      </x:c>
      <x:c r="L769" s="10" t="str">
        <x:v>VOICE:B-R3/S3-16/scored/03883</x:v>
      </x:c>
    </x:row>
    <x:row r="770" ht="52" customHeight="1">
      <x:c r="A770" s="10" t="str">
        <x:v>V-A</x:v>
      </x:c>
      <x:c r="B770" s="10" t="str">
        <x:v>VOICE</x:v>
      </x:c>
      <x:c r="C770" s="10" t="str">
        <x:v>VOICE:S3-17</x:v>
      </x:c>
      <x:c r="D770" s="10" t="str">
        <x:v>VOICE:S3-17:goal</x:v>
      </x:c>
      <x:c r="E770" s="11" t="n">
        <x:v>8.016666666666667</x:v>
      </x:c>
      <x:c r="F770" s="11" t="n">
        <x:v>16.01666666666667</x:v>
      </x:c>
      <x:c r="G770" s="11" t="n">
        <x:f>F770-E770</x:f>
        <x:v>8.000000000000002</x:v>
      </x:c>
      <x:c r="H770" s="10" t="n">
        <x:v>1</x:v>
      </x:c>
      <x:c r="I770" s="10" t="str">
        <x:v>completed_as_adopted</x:v>
      </x:c>
      <x:c r="J770" s="10" t="str">
        <x:v>VOICE:A/S3-17/scored/03907</x:v>
      </x:c>
      <x:c r="K770" s="10" t="str">
        <x:v>VOICE:S3-17:input</x:v>
      </x:c>
      <x:c r="L770" s="10" t="str">
        <x:v>VOICE:A/S3-17/scored/03907</x:v>
      </x:c>
    </x:row>
    <x:row r="771" ht="52" customHeight="1">
      <x:c r="A771" s="10" t="str">
        <x:v>V-R1</x:v>
      </x:c>
      <x:c r="B771" s="10" t="str">
        <x:v>VOICE</x:v>
      </x:c>
      <x:c r="C771" s="10" t="str">
        <x:v>VOICE:S3-17</x:v>
      </x:c>
      <x:c r="D771" s="10" t="str">
        <x:v>VOICE:S3-17:goal</x:v>
      </x:c>
      <x:c r="E771" s="11" t="n">
        <x:v>13.216666666666667</x:v>
      </x:c>
      <x:c r="F771" s="11" t="n">
        <x:v>21.216666666666672</x:v>
      </x:c>
      <x:c r="G771" s="11" t="n">
        <x:f>F771-E771</x:f>
        <x:v>8.000000000000005</x:v>
      </x:c>
      <x:c r="H771" s="10" t="n">
        <x:v>1</x:v>
      </x:c>
      <x:c r="I771" s="10" t="str">
        <x:v>completed_as_adopted</x:v>
      </x:c>
      <x:c r="J771" s="10" t="str">
        <x:v>VOICE:B-R1/S3-17/scored/03942</x:v>
      </x:c>
      <x:c r="K771" s="10" t="str">
        <x:v>VOICE:S3-17:input</x:v>
      </x:c>
      <x:c r="L771" s="10" t="str">
        <x:v>VOICE:B-R1/S3-17/scored/03942</x:v>
      </x:c>
    </x:row>
    <x:row r="772" ht="52" customHeight="1">
      <x:c r="A772" s="10" t="str">
        <x:v>V-R2</x:v>
      </x:c>
      <x:c r="B772" s="10" t="str">
        <x:v>VOICE</x:v>
      </x:c>
      <x:c r="C772" s="10" t="str">
        <x:v>VOICE:S3-17</x:v>
      </x:c>
      <x:c r="D772" s="10" t="str">
        <x:v>VOICE:S3-17:goal</x:v>
      </x:c>
      <x:c r="E772" s="11" t="n">
        <x:v>11.316666666666668</x:v>
      </x:c>
      <x:c r="F772" s="11" t="n">
        <x:v>19.316666666666674</x:v>
      </x:c>
      <x:c r="G772" s="11" t="n">
        <x:f>F772-E772</x:f>
        <x:v>8.000000000000005</x:v>
      </x:c>
      <x:c r="H772" s="10" t="n">
        <x:v>1</x:v>
      </x:c>
      <x:c r="I772" s="10" t="str">
        <x:v>completed_as_adopted</x:v>
      </x:c>
      <x:c r="J772" s="10" t="str">
        <x:v>VOICE:B-R2/S3-17/scored/03971</x:v>
      </x:c>
      <x:c r="K772" s="10" t="str">
        <x:v>VOICE:S3-17:input</x:v>
      </x:c>
      <x:c r="L772" s="10" t="str">
        <x:v>VOICE:B-R2/S3-17/scored/03971</x:v>
      </x:c>
    </x:row>
    <x:row r="773" ht="52" customHeight="1">
      <x:c r="A773" s="10" t="str">
        <x:v>V-R3</x:v>
      </x:c>
      <x:c r="B773" s="10" t="str">
        <x:v>VOICE</x:v>
      </x:c>
      <x:c r="C773" s="10" t="str">
        <x:v>VOICE:S3-17</x:v>
      </x:c>
      <x:c r="D773" s="10" t="str">
        <x:v>VOICE:S3-17:goal</x:v>
      </x:c>
      <x:c r="E773" s="11" t="n">
        <x:v>11.376666666666667</x:v>
      </x:c>
      <x:c r="F773" s="11" t="n">
        <x:v>19.37666666666667</x:v>
      </x:c>
      <x:c r="G773" s="11" t="n">
        <x:f>F773-E773</x:f>
        <x:v>8.000000000000002</x:v>
      </x:c>
      <x:c r="H773" s="10" t="n">
        <x:v>1</x:v>
      </x:c>
      <x:c r="I773" s="10" t="str">
        <x:v>completed_as_adopted</x:v>
      </x:c>
      <x:c r="J773" s="10" t="str">
        <x:v>VOICE:B-R3/S3-17/scored/04002</x:v>
      </x:c>
      <x:c r="K773" s="10" t="str">
        <x:v>VOICE:S3-17:input</x:v>
      </x:c>
      <x:c r="L773" s="10" t="str">
        <x:v>VOICE:B-R3/S3-17/scored/04002</x:v>
      </x:c>
    </x:row>
    <x:row r="774" ht="52" customHeight="1">
      <x:c r="A774" s="10" t="str">
        <x:v>V-A</x:v>
      </x:c>
      <x:c r="B774" s="10" t="str">
        <x:v>VOICE</x:v>
      </x:c>
      <x:c r="C774" s="10" t="str">
        <x:v>VOICE:S3-18</x:v>
      </x:c>
      <x:c r="D774" s="10" t="str">
        <x:v>VOICE:S3-18:goal</x:v>
      </x:c>
      <x:c r="E774" s="11" t="n">
        <x:v>8.016666666666667</x:v>
      </x:c>
      <x:c r="F774" s="11" t="n">
        <x:v>16.01666666666667</x:v>
      </x:c>
      <x:c r="G774" s="11" t="n">
        <x:f>F774-E774</x:f>
        <x:v>8.000000000000002</x:v>
      </x:c>
      <x:c r="H774" s="10" t="n">
        <x:v>1</x:v>
      </x:c>
      <x:c r="I774" s="10" t="str">
        <x:v>completed_as_adopted</x:v>
      </x:c>
      <x:c r="J774" s="10" t="str">
        <x:v>VOICE:A/S3-18/scored/04026</x:v>
      </x:c>
      <x:c r="K774" s="10" t="str">
        <x:v>VOICE:S3-18:input</x:v>
      </x:c>
      <x:c r="L774" s="10" t="str">
        <x:v>VOICE:A/S3-18/scored/04026</x:v>
      </x:c>
    </x:row>
    <x:row r="775" ht="52" customHeight="1">
      <x:c r="A775" s="10" t="str">
        <x:v>V-R1</x:v>
      </x:c>
      <x:c r="B775" s="10" t="str">
        <x:v>VOICE</x:v>
      </x:c>
      <x:c r="C775" s="10" t="str">
        <x:v>VOICE:S3-18</x:v>
      </x:c>
      <x:c r="D775" s="10" t="str">
        <x:v>VOICE:S3-18:goal</x:v>
      </x:c>
      <x:c r="E775" s="11" t="n">
        <x:v>13.216666666666667</x:v>
      </x:c>
      <x:c r="F775" s="11" t="n">
        <x:v>21.216666666666672</x:v>
      </x:c>
      <x:c r="G775" s="11" t="n">
        <x:f>F775-E775</x:f>
        <x:v>8.000000000000005</x:v>
      </x:c>
      <x:c r="H775" s="10" t="n">
        <x:v>1</x:v>
      </x:c>
      <x:c r="I775" s="10" t="str">
        <x:v>completed_as_adopted</x:v>
      </x:c>
      <x:c r="J775" s="10" t="str">
        <x:v>VOICE:B-R1/S3-18/scored/04061</x:v>
      </x:c>
      <x:c r="K775" s="10" t="str">
        <x:v>VOICE:S3-18:input</x:v>
      </x:c>
      <x:c r="L775" s="10" t="str">
        <x:v>VOICE:B-R1/S3-18/scored/04061</x:v>
      </x:c>
    </x:row>
    <x:row r="776" ht="52" customHeight="1">
      <x:c r="A776" s="10" t="str">
        <x:v>V-R2</x:v>
      </x:c>
      <x:c r="B776" s="10" t="str">
        <x:v>VOICE</x:v>
      </x:c>
      <x:c r="C776" s="10" t="str">
        <x:v>VOICE:S3-18</x:v>
      </x:c>
      <x:c r="D776" s="10" t="str">
        <x:v>VOICE:S3-18:goal</x:v>
      </x:c>
      <x:c r="E776" s="11" t="n">
        <x:v>11.316666666666668</x:v>
      </x:c>
      <x:c r="F776" s="11" t="n">
        <x:v>19.316666666666674</x:v>
      </x:c>
      <x:c r="G776" s="11" t="n">
        <x:f>F776-E776</x:f>
        <x:v>8.000000000000005</x:v>
      </x:c>
      <x:c r="H776" s="10" t="n">
        <x:v>1</x:v>
      </x:c>
      <x:c r="I776" s="10" t="str">
        <x:v>completed_as_adopted</x:v>
      </x:c>
      <x:c r="J776" s="10" t="str">
        <x:v>VOICE:B-R2/S3-18/scored/04090</x:v>
      </x:c>
      <x:c r="K776" s="10" t="str">
        <x:v>VOICE:S3-18:input</x:v>
      </x:c>
      <x:c r="L776" s="10" t="str">
        <x:v>VOICE:B-R2/S3-18/scored/04090</x:v>
      </x:c>
    </x:row>
    <x:row r="777" ht="52" customHeight="1">
      <x:c r="A777" s="10" t="str">
        <x:v>V-R3</x:v>
      </x:c>
      <x:c r="B777" s="10" t="str">
        <x:v>VOICE</x:v>
      </x:c>
      <x:c r="C777" s="10" t="str">
        <x:v>VOICE:S3-18</x:v>
      </x:c>
      <x:c r="D777" s="10" t="str">
        <x:v>VOICE:S3-18:goal</x:v>
      </x:c>
      <x:c r="E777" s="11" t="n">
        <x:v>11.376666666666667</x:v>
      </x:c>
      <x:c r="F777" s="11" t="n">
        <x:v>19.37666666666667</x:v>
      </x:c>
      <x:c r="G777" s="11" t="n">
        <x:f>F777-E777</x:f>
        <x:v>8.000000000000002</x:v>
      </x:c>
      <x:c r="H777" s="10" t="n">
        <x:v>1</x:v>
      </x:c>
      <x:c r="I777" s="10" t="str">
        <x:v>completed_as_adopted</x:v>
      </x:c>
      <x:c r="J777" s="10" t="str">
        <x:v>VOICE:B-R3/S3-18/scored/04121</x:v>
      </x:c>
      <x:c r="K777" s="10" t="str">
        <x:v>VOICE:S3-18:input</x:v>
      </x:c>
      <x:c r="L777" s="10" t="str">
        <x:v>VOICE:B-R3/S3-18/scored/04121</x:v>
      </x:c>
    </x:row>
    <x:row r="778" ht="52" customHeight="1">
      <x:c r="A778" s="10" t="str">
        <x:v>V-A</x:v>
      </x:c>
      <x:c r="B778" s="10" t="str">
        <x:v>VOICE</x:v>
      </x:c>
      <x:c r="C778" s="10" t="str">
        <x:v>VOICE:S3-19</x:v>
      </x:c>
      <x:c r="D778" s="10" t="str">
        <x:v>VOICE:S3-19:goal</x:v>
      </x:c>
      <x:c r="E778" s="11" t="n">
        <x:v>8.016666666666667</x:v>
      </x:c>
      <x:c r="F778" s="11" t="n">
        <x:v>16.01666666666667</x:v>
      </x:c>
      <x:c r="G778" s="11" t="n">
        <x:f>F778-E778</x:f>
        <x:v>8.000000000000002</x:v>
      </x:c>
      <x:c r="H778" s="10" t="n">
        <x:v>1</x:v>
      </x:c>
      <x:c r="I778" s="10" t="str">
        <x:v>completed_as_adopted</x:v>
      </x:c>
      <x:c r="J778" s="10" t="str">
        <x:v>VOICE:A/S3-19/scored/04145</x:v>
      </x:c>
      <x:c r="K778" s="10" t="str">
        <x:v>VOICE:S3-19:input</x:v>
      </x:c>
      <x:c r="L778" s="10" t="str">
        <x:v>VOICE:A/S3-19/scored/04145</x:v>
      </x:c>
    </x:row>
    <x:row r="779" ht="52" customHeight="1">
      <x:c r="A779" s="10" t="str">
        <x:v>V-R1</x:v>
      </x:c>
      <x:c r="B779" s="10" t="str">
        <x:v>VOICE</x:v>
      </x:c>
      <x:c r="C779" s="10" t="str">
        <x:v>VOICE:S3-19</x:v>
      </x:c>
      <x:c r="D779" s="10" t="str">
        <x:v>VOICE:S3-19:goal</x:v>
      </x:c>
      <x:c r="E779" s="11" t="n">
        <x:v>13.216666666666667</x:v>
      </x:c>
      <x:c r="F779" s="11" t="n">
        <x:v>21.216666666666672</x:v>
      </x:c>
      <x:c r="G779" s="11" t="n">
        <x:f>F779-E779</x:f>
        <x:v>8.000000000000005</x:v>
      </x:c>
      <x:c r="H779" s="10" t="n">
        <x:v>1</x:v>
      </x:c>
      <x:c r="I779" s="10" t="str">
        <x:v>completed_as_adopted</x:v>
      </x:c>
      <x:c r="J779" s="10" t="str">
        <x:v>VOICE:B-R1/S3-19/scored/04180</x:v>
      </x:c>
      <x:c r="K779" s="10" t="str">
        <x:v>VOICE:S3-19:input</x:v>
      </x:c>
      <x:c r="L779" s="10" t="str">
        <x:v>VOICE:B-R1/S3-19/scored/04180</x:v>
      </x:c>
    </x:row>
    <x:row r="780" ht="52" customHeight="1">
      <x:c r="A780" s="10" t="str">
        <x:v>V-R2</x:v>
      </x:c>
      <x:c r="B780" s="10" t="str">
        <x:v>VOICE</x:v>
      </x:c>
      <x:c r="C780" s="10" t="str">
        <x:v>VOICE:S3-19</x:v>
      </x:c>
      <x:c r="D780" s="10" t="str">
        <x:v>VOICE:S3-19:goal</x:v>
      </x:c>
      <x:c r="E780" s="11" t="n">
        <x:v>11.316666666666668</x:v>
      </x:c>
      <x:c r="F780" s="11" t="n">
        <x:v>19.316666666666674</x:v>
      </x:c>
      <x:c r="G780" s="11" t="n">
        <x:f>F780-E780</x:f>
        <x:v>8.000000000000005</x:v>
      </x:c>
      <x:c r="H780" s="10" t="n">
        <x:v>1</x:v>
      </x:c>
      <x:c r="I780" s="10" t="str">
        <x:v>completed_as_adopted</x:v>
      </x:c>
      <x:c r="J780" s="10" t="str">
        <x:v>VOICE:B-R2/S3-19/scored/04209</x:v>
      </x:c>
      <x:c r="K780" s="10" t="str">
        <x:v>VOICE:S3-19:input</x:v>
      </x:c>
      <x:c r="L780" s="10" t="str">
        <x:v>VOICE:B-R2/S3-19/scored/04209</x:v>
      </x:c>
    </x:row>
    <x:row r="781" ht="52" customHeight="1">
      <x:c r="A781" s="10" t="str">
        <x:v>V-R3</x:v>
      </x:c>
      <x:c r="B781" s="10" t="str">
        <x:v>VOICE</x:v>
      </x:c>
      <x:c r="C781" s="10" t="str">
        <x:v>VOICE:S3-19</x:v>
      </x:c>
      <x:c r="D781" s="10" t="str">
        <x:v>VOICE:S3-19:goal</x:v>
      </x:c>
      <x:c r="E781" s="11" t="n">
        <x:v>11.376666666666667</x:v>
      </x:c>
      <x:c r="F781" s="11" t="n">
        <x:v>19.37666666666667</x:v>
      </x:c>
      <x:c r="G781" s="11" t="n">
        <x:f>F781-E781</x:f>
        <x:v>8.000000000000002</x:v>
      </x:c>
      <x:c r="H781" s="10" t="n">
        <x:v>1</x:v>
      </x:c>
      <x:c r="I781" s="10" t="str">
        <x:v>completed_as_adopted</x:v>
      </x:c>
      <x:c r="J781" s="10" t="str">
        <x:v>VOICE:B-R3/S3-19/scored/04240</x:v>
      </x:c>
      <x:c r="K781" s="10" t="str">
        <x:v>VOICE:S3-19:input</x:v>
      </x:c>
      <x:c r="L781" s="10" t="str">
        <x:v>VOICE:B-R3/S3-19/scored/04240</x:v>
      </x:c>
    </x:row>
    <x:row r="782" ht="52" customHeight="1">
      <x:c r="A782" s="10" t="str">
        <x:v>V-A</x:v>
      </x:c>
      <x:c r="B782" s="10" t="str">
        <x:v>VOICE</x:v>
      </x:c>
      <x:c r="C782" s="10" t="str">
        <x:v>VOICE:S3-20</x:v>
      </x:c>
      <x:c r="D782" s="10" t="str">
        <x:v>VOICE:S3-20:goal</x:v>
      </x:c>
      <x:c r="E782" s="11" t="n">
        <x:v>8.016666666666667</x:v>
      </x:c>
      <x:c r="F782" s="11" t="n">
        <x:v>16.01666666666667</x:v>
      </x:c>
      <x:c r="G782" s="11" t="n">
        <x:f>F782-E782</x:f>
        <x:v>8.000000000000002</x:v>
      </x:c>
      <x:c r="H782" s="10" t="n">
        <x:v>1</x:v>
      </x:c>
      <x:c r="I782" s="10" t="str">
        <x:v>completed_as_adopted</x:v>
      </x:c>
      <x:c r="J782" s="10" t="str">
        <x:v>VOICE:A/S3-20/scored/04264</x:v>
      </x:c>
      <x:c r="K782" s="10" t="str">
        <x:v>VOICE:S3-20:input</x:v>
      </x:c>
      <x:c r="L782" s="10" t="str">
        <x:v>VOICE:A/S3-20/scored/04264</x:v>
      </x:c>
    </x:row>
    <x:row r="783" ht="52" customHeight="1">
      <x:c r="A783" s="10" t="str">
        <x:v>V-R1</x:v>
      </x:c>
      <x:c r="B783" s="10" t="str">
        <x:v>VOICE</x:v>
      </x:c>
      <x:c r="C783" s="10" t="str">
        <x:v>VOICE:S3-20</x:v>
      </x:c>
      <x:c r="D783" s="10" t="str">
        <x:v>VOICE:S3-20:goal</x:v>
      </x:c>
      <x:c r="E783" s="11" t="n">
        <x:v>13.216666666666667</x:v>
      </x:c>
      <x:c r="F783" s="11" t="n">
        <x:v>21.216666666666672</x:v>
      </x:c>
      <x:c r="G783" s="11" t="n">
        <x:f>F783-E783</x:f>
        <x:v>8.000000000000005</x:v>
      </x:c>
      <x:c r="H783" s="10" t="n">
        <x:v>1</x:v>
      </x:c>
      <x:c r="I783" s="10" t="str">
        <x:v>completed_as_adopted</x:v>
      </x:c>
      <x:c r="J783" s="10" t="str">
        <x:v>VOICE:B-R1/S3-20/scored/04299</x:v>
      </x:c>
      <x:c r="K783" s="10" t="str">
        <x:v>VOICE:S3-20:input</x:v>
      </x:c>
      <x:c r="L783" s="10" t="str">
        <x:v>VOICE:B-R1/S3-20/scored/04299</x:v>
      </x:c>
    </x:row>
    <x:row r="784" ht="52" customHeight="1">
      <x:c r="A784" s="10" t="str">
        <x:v>V-R2</x:v>
      </x:c>
      <x:c r="B784" s="10" t="str">
        <x:v>VOICE</x:v>
      </x:c>
      <x:c r="C784" s="10" t="str">
        <x:v>VOICE:S3-20</x:v>
      </x:c>
      <x:c r="D784" s="10" t="str">
        <x:v>VOICE:S3-20:goal</x:v>
      </x:c>
      <x:c r="E784" s="11" t="n">
        <x:v>11.316666666666668</x:v>
      </x:c>
      <x:c r="F784" s="11" t="n">
        <x:v>19.316666666666674</x:v>
      </x:c>
      <x:c r="G784" s="11" t="n">
        <x:f>F784-E784</x:f>
        <x:v>8.000000000000005</x:v>
      </x:c>
      <x:c r="H784" s="10" t="n">
        <x:v>1</x:v>
      </x:c>
      <x:c r="I784" s="10" t="str">
        <x:v>completed_as_adopted</x:v>
      </x:c>
      <x:c r="J784" s="10" t="str">
        <x:v>VOICE:B-R2/S3-20/scored/04328</x:v>
      </x:c>
      <x:c r="K784" s="10" t="str">
        <x:v>VOICE:S3-20:input</x:v>
      </x:c>
      <x:c r="L784" s="10" t="str">
        <x:v>VOICE:B-R2/S3-20/scored/04328</x:v>
      </x:c>
    </x:row>
    <x:row r="785" ht="52" customHeight="1">
      <x:c r="A785" s="10" t="str">
        <x:v>V-R3</x:v>
      </x:c>
      <x:c r="B785" s="10" t="str">
        <x:v>VOICE</x:v>
      </x:c>
      <x:c r="C785" s="10" t="str">
        <x:v>VOICE:S3-20</x:v>
      </x:c>
      <x:c r="D785" s="10" t="str">
        <x:v>VOICE:S3-20:goal</x:v>
      </x:c>
      <x:c r="E785" s="11" t="n">
        <x:v>11.376666666666667</x:v>
      </x:c>
      <x:c r="F785" s="11" t="n">
        <x:v>19.37666666666667</x:v>
      </x:c>
      <x:c r="G785" s="11" t="n">
        <x:f>F785-E785</x:f>
        <x:v>8.000000000000002</x:v>
      </x:c>
      <x:c r="H785" s="10" t="n">
        <x:v>1</x:v>
      </x:c>
      <x:c r="I785" s="10" t="str">
        <x:v>completed_as_adopted</x:v>
      </x:c>
      <x:c r="J785" s="10" t="str">
        <x:v>VOICE:B-R3/S3-20/scored/04359</x:v>
      </x:c>
      <x:c r="K785" s="10" t="str">
        <x:v>VOICE:S3-20:input</x:v>
      </x:c>
      <x:c r="L785" s="10" t="str">
        <x:v>VOICE:B-R3/S3-20/scored/04359</x:v>
      </x:c>
    </x:row>
    <x:row r="786" ht="52" customHeight="1">
      <x:c r="A786" s="10" t="str">
        <x:v>V-A</x:v>
      </x:c>
      <x:c r="B786" s="10" t="str">
        <x:v>VOICE</x:v>
      </x:c>
      <x:c r="C786" s="10" t="str">
        <x:v>VOICE:S4-01</x:v>
      </x:c>
      <x:c r="D786" s="10" t="str">
        <x:v>VOICE:S4-01:goal</x:v>
      </x:c>
      <x:c r="E786" s="11" t="n">
        <x:v>5.916666666666666</x:v>
      </x:c>
      <x:c r="F786" s="11" t="n">
        <x:v>13.916666666666668</x:v>
      </x:c>
      <x:c r="G786" s="11" t="n">
        <x:f>F786-E786</x:f>
        <x:v>8.000000000000002</x:v>
      </x:c>
      <x:c r="H786" s="10" t="n">
        <x:v>0</x:v>
      </x:c>
      <x:c r="I786" s="10" t="str">
        <x:v>completed_as_adopted</x:v>
      </x:c>
      <x:c r="J786" s="10" t="str">
        <x:v>VOICE:A/S4-01/scored/04381</x:v>
      </x:c>
      <x:c r="K786" s="10" t="str">
        <x:v>VOICE:S4-01:input</x:v>
      </x:c>
      <x:c r="L786" s="10" t="str">
        <x:v>VOICE:A/S4-01/scored/04381</x:v>
      </x:c>
    </x:row>
    <x:row r="787" ht="52" customHeight="1">
      <x:c r="A787" s="10" t="str">
        <x:v>V-R1</x:v>
      </x:c>
      <x:c r="B787" s="10" t="str">
        <x:v>VOICE</x:v>
      </x:c>
      <x:c r="C787" s="10" t="str">
        <x:v>VOICE:S4-01</x:v>
      </x:c>
      <x:c r="D787" s="10" t="str">
        <x:v>VOICE:S4-01:goal</x:v>
      </x:c>
      <x:c r="E787" s="11" t="n">
        <x:v>8.183333333333334</x:v>
      </x:c>
      <x:c r="F787" s="11" t="n">
        <x:v>16.183333333333334</x:v>
      </x:c>
      <x:c r="G787" s="11" t="n">
        <x:f>F787-E787</x:f>
        <x:v>8</x:v>
      </x:c>
      <x:c r="H787" s="10" t="n">
        <x:v>1</x:v>
      </x:c>
      <x:c r="I787" s="10" t="str">
        <x:v>completed_as_adopted</x:v>
      </x:c>
      <x:c r="J787" s="10" t="str">
        <x:v>VOICE:B-R1/S4-01/scored/04410</x:v>
      </x:c>
      <x:c r="K787" s="10" t="str">
        <x:v>VOICE:S4-01:input</x:v>
      </x:c>
      <x:c r="L787" s="10" t="str">
        <x:v>VOICE:B-R1/S4-01/scored/04410</x:v>
      </x:c>
    </x:row>
    <x:row r="788" ht="52" customHeight="1">
      <x:c r="A788" s="10" t="str">
        <x:v>V-R2</x:v>
      </x:c>
      <x:c r="B788" s="10" t="str">
        <x:v>VOICE</x:v>
      </x:c>
      <x:c r="C788" s="10" t="str">
        <x:v>VOICE:S4-01</x:v>
      </x:c>
      <x:c r="D788" s="10" t="str">
        <x:v>VOICE:S4-01:goal</x:v>
      </x:c>
      <x:c r="E788" s="11" t="n">
        <x:v>7.083333333333333</x:v>
      </x:c>
      <x:c r="F788" s="11" t="n">
        <x:v>15.083333333333334</x:v>
      </x:c>
      <x:c r="G788" s="11" t="n">
        <x:f>F788-E788</x:f>
        <x:v>8</x:v>
      </x:c>
      <x:c r="H788" s="10" t="n">
        <x:v>1</x:v>
      </x:c>
      <x:c r="I788" s="10" t="str">
        <x:v>completed_as_adopted</x:v>
      </x:c>
      <x:c r="J788" s="10" t="str">
        <x:v>VOICE:B-R2/S4-01/scored/04436</x:v>
      </x:c>
      <x:c r="K788" s="10" t="str">
        <x:v>VOICE:S4-01:input</x:v>
      </x:c>
      <x:c r="L788" s="10" t="str">
        <x:v>VOICE:B-R2/S4-01/scored/04436</x:v>
      </x:c>
    </x:row>
    <x:row r="789" ht="52" customHeight="1">
      <x:c r="A789" s="10" t="str">
        <x:v>V-R3</x:v>
      </x:c>
      <x:c r="B789" s="10" t="str">
        <x:v>VOICE</x:v>
      </x:c>
      <x:c r="C789" s="10" t="str">
        <x:v>VOICE:S4-01</x:v>
      </x:c>
      <x:c r="D789" s="10" t="str">
        <x:v>VOICE:S4-01:goal</x:v>
      </x:c>
      <x:c r="E789" s="11" t="n">
        <x:v>7.1433333333333335</x:v>
      </x:c>
      <x:c r="F789" s="11" t="n">
        <x:v>15.143333333333334</x:v>
      </x:c>
      <x:c r="G789" s="11" t="n">
        <x:f>F789-E789</x:f>
        <x:v>8</x:v>
      </x:c>
      <x:c r="H789" s="10" t="n">
        <x:v>1</x:v>
      </x:c>
      <x:c r="I789" s="10" t="str">
        <x:v>completed_as_adopted</x:v>
      </x:c>
      <x:c r="J789" s="10" t="str">
        <x:v>VOICE:B-R3/S4-01/scored/04464</x:v>
      </x:c>
      <x:c r="K789" s="10" t="str">
        <x:v>VOICE:S4-01:input</x:v>
      </x:c>
      <x:c r="L789" s="10" t="str">
        <x:v>VOICE:B-R3/S4-01/scored/04464</x:v>
      </x:c>
    </x:row>
    <x:row r="790" ht="52" customHeight="1">
      <x:c r="A790" s="10" t="str">
        <x:v>V-A</x:v>
      </x:c>
      <x:c r="B790" s="10" t="str">
        <x:v>VOICE</x:v>
      </x:c>
      <x:c r="C790" s="10" t="str">
        <x:v>VOICE:S4-02</x:v>
      </x:c>
      <x:c r="D790" s="10" t="str">
        <x:v>VOICE:S4-02:goal</x:v>
      </x:c>
      <x:c r="E790" s="11" t="n">
        <x:v>5.916666666666666</x:v>
      </x:c>
      <x:c r="F790" s="11" t="n">
        <x:v>13.916666666666668</x:v>
      </x:c>
      <x:c r="G790" s="11" t="n">
        <x:f>F790-E790</x:f>
        <x:v>8.000000000000002</x:v>
      </x:c>
      <x:c r="H790" s="10" t="n">
        <x:v>0</x:v>
      </x:c>
      <x:c r="I790" s="10" t="str">
        <x:v>completed_as_adopted</x:v>
      </x:c>
      <x:c r="J790" s="10" t="str">
        <x:v>VOICE:A/S4-02/scored/04486</x:v>
      </x:c>
      <x:c r="K790" s="10" t="str">
        <x:v>VOICE:S4-02:input</x:v>
      </x:c>
      <x:c r="L790" s="10" t="str">
        <x:v>VOICE:A/S4-02/scored/04486</x:v>
      </x:c>
    </x:row>
    <x:row r="791" ht="52" customHeight="1">
      <x:c r="A791" s="10" t="str">
        <x:v>V-R1</x:v>
      </x:c>
      <x:c r="B791" s="10" t="str">
        <x:v>VOICE</x:v>
      </x:c>
      <x:c r="C791" s="10" t="str">
        <x:v>VOICE:S4-02</x:v>
      </x:c>
      <x:c r="D791" s="10" t="str">
        <x:v>VOICE:S4-02:goal</x:v>
      </x:c>
      <x:c r="E791" s="11" t="n">
        <x:v>8.183333333333334</x:v>
      </x:c>
      <x:c r="F791" s="11" t="n">
        <x:v>16.183333333333334</x:v>
      </x:c>
      <x:c r="G791" s="11" t="n">
        <x:f>F791-E791</x:f>
        <x:v>8</x:v>
      </x:c>
      <x:c r="H791" s="10" t="n">
        <x:v>0</x:v>
      </x:c>
      <x:c r="I791" s="10" t="str">
        <x:v>completed_as_adopted</x:v>
      </x:c>
      <x:c r="J791" s="10" t="str">
        <x:v>VOICE:B-R1/S4-02/scored/04515</x:v>
      </x:c>
      <x:c r="K791" s="10" t="str">
        <x:v>VOICE:S4-02:input</x:v>
      </x:c>
      <x:c r="L791" s="10" t="str">
        <x:v>VOICE:B-R1/S4-02/scored/04515</x:v>
      </x:c>
    </x:row>
    <x:row r="792" ht="52" customHeight="1">
      <x:c r="A792" s="10" t="str">
        <x:v>V-R2</x:v>
      </x:c>
      <x:c r="B792" s="10" t="str">
        <x:v>VOICE</x:v>
      </x:c>
      <x:c r="C792" s="10" t="str">
        <x:v>VOICE:S4-02</x:v>
      </x:c>
      <x:c r="D792" s="10" t="str">
        <x:v>VOICE:S4-02:goal</x:v>
      </x:c>
      <x:c r="E792" s="11" t="n">
        <x:v>7.083333333333333</x:v>
      </x:c>
      <x:c r="F792" s="11" t="n">
        <x:v>15.083333333333334</x:v>
      </x:c>
      <x:c r="G792" s="11" t="n">
        <x:f>F792-E792</x:f>
        <x:v>8</x:v>
      </x:c>
      <x:c r="H792" s="10" t="n">
        <x:v>0</x:v>
      </x:c>
      <x:c r="I792" s="10" t="str">
        <x:v>completed_as_adopted</x:v>
      </x:c>
      <x:c r="J792" s="10" t="str">
        <x:v>VOICE:B-R2/S4-02/scored/04541</x:v>
      </x:c>
      <x:c r="K792" s="10" t="str">
        <x:v>VOICE:S4-02:input</x:v>
      </x:c>
      <x:c r="L792" s="10" t="str">
        <x:v>VOICE:B-R2/S4-02/scored/04541</x:v>
      </x:c>
    </x:row>
    <x:row r="793" ht="52" customHeight="1">
      <x:c r="A793" s="10" t="str">
        <x:v>V-R3</x:v>
      </x:c>
      <x:c r="B793" s="10" t="str">
        <x:v>VOICE</x:v>
      </x:c>
      <x:c r="C793" s="10" t="str">
        <x:v>VOICE:S4-02</x:v>
      </x:c>
      <x:c r="D793" s="10" t="str">
        <x:v>VOICE:S4-02:goal</x:v>
      </x:c>
      <x:c r="E793" s="11" t="n">
        <x:v>7.1433333333333335</x:v>
      </x:c>
      <x:c r="F793" s="11" t="n">
        <x:v>15.143333333333334</x:v>
      </x:c>
      <x:c r="G793" s="11" t="n">
        <x:f>F793-E793</x:f>
        <x:v>8</x:v>
      </x:c>
      <x:c r="H793" s="10" t="n">
        <x:v>0</x:v>
      </x:c>
      <x:c r="I793" s="10" t="str">
        <x:v>completed_as_adopted</x:v>
      </x:c>
      <x:c r="J793" s="10" t="str">
        <x:v>VOICE:B-R3/S4-02/scored/04569</x:v>
      </x:c>
      <x:c r="K793" s="10" t="str">
        <x:v>VOICE:S4-02:input</x:v>
      </x:c>
      <x:c r="L793" s="10" t="str">
        <x:v>VOICE:B-R3/S4-02/scored/04569</x:v>
      </x:c>
    </x:row>
    <x:row r="794" ht="52" customHeight="1">
      <x:c r="A794" s="10" t="str">
        <x:v>V-A</x:v>
      </x:c>
      <x:c r="B794" s="10" t="str">
        <x:v>VOICE</x:v>
      </x:c>
      <x:c r="C794" s="10" t="str">
        <x:v>VOICE:S4-03</x:v>
      </x:c>
      <x:c r="D794" s="10" t="str">
        <x:v>VOICE:S4-03:goal</x:v>
      </x:c>
      <x:c r="E794" s="11" t="n">
        <x:v>5.916666666666666</x:v>
      </x:c>
      <x:c r="F794" s="11" t="n">
        <x:v>13.916666666666668</x:v>
      </x:c>
      <x:c r="G794" s="11" t="n">
        <x:f>F794-E794</x:f>
        <x:v>8.000000000000002</x:v>
      </x:c>
      <x:c r="H794" s="10" t="n">
        <x:v>1</x:v>
      </x:c>
      <x:c r="I794" s="10" t="str">
        <x:v>completed_as_adopted</x:v>
      </x:c>
      <x:c r="J794" s="10" t="str">
        <x:v>VOICE:A/S4-03/scored/04591</x:v>
      </x:c>
      <x:c r="K794" s="10" t="str">
        <x:v>VOICE:S4-03:input</x:v>
      </x:c>
      <x:c r="L794" s="10" t="str">
        <x:v>VOICE:A/S4-03/scored/04591</x:v>
      </x:c>
    </x:row>
    <x:row r="795" ht="52" customHeight="1">
      <x:c r="A795" s="10" t="str">
        <x:v>V-R1</x:v>
      </x:c>
      <x:c r="B795" s="10" t="str">
        <x:v>VOICE</x:v>
      </x:c>
      <x:c r="C795" s="10" t="str">
        <x:v>VOICE:S4-03</x:v>
      </x:c>
      <x:c r="D795" s="10" t="str">
        <x:v>VOICE:S4-03:goal</x:v>
      </x:c>
      <x:c r="E795" s="11" t="n">
        <x:v>8.183333333333334</x:v>
      </x:c>
      <x:c r="F795" s="11" t="n">
        <x:v>16.183333333333334</x:v>
      </x:c>
      <x:c r="G795" s="11" t="n">
        <x:f>F795-E795</x:f>
        <x:v>8</x:v>
      </x:c>
      <x:c r="H795" s="10" t="n">
        <x:v>1</x:v>
      </x:c>
      <x:c r="I795" s="10" t="str">
        <x:v>completed_as_adopted</x:v>
      </x:c>
      <x:c r="J795" s="10" t="str">
        <x:v>VOICE:B-R1/S4-03/scored/04620</x:v>
      </x:c>
      <x:c r="K795" s="10" t="str">
        <x:v>VOICE:S4-03:input</x:v>
      </x:c>
      <x:c r="L795" s="10" t="str">
        <x:v>VOICE:B-R1/S4-03/scored/04620</x:v>
      </x:c>
    </x:row>
    <x:row r="796" ht="52" customHeight="1">
      <x:c r="A796" s="10" t="str">
        <x:v>V-R2</x:v>
      </x:c>
      <x:c r="B796" s="10" t="str">
        <x:v>VOICE</x:v>
      </x:c>
      <x:c r="C796" s="10" t="str">
        <x:v>VOICE:S4-03</x:v>
      </x:c>
      <x:c r="D796" s="10" t="str">
        <x:v>VOICE:S4-03:goal</x:v>
      </x:c>
      <x:c r="E796" s="11" t="n">
        <x:v>7.083333333333333</x:v>
      </x:c>
      <x:c r="F796" s="11" t="n">
        <x:v>15.083333333333334</x:v>
      </x:c>
      <x:c r="G796" s="11" t="n">
        <x:f>F796-E796</x:f>
        <x:v>8</x:v>
      </x:c>
      <x:c r="H796" s="10" t="n">
        <x:v>1</x:v>
      </x:c>
      <x:c r="I796" s="10" t="str">
        <x:v>completed_as_adopted</x:v>
      </x:c>
      <x:c r="J796" s="10" t="str">
        <x:v>VOICE:B-R2/S4-03/scored/04646</x:v>
      </x:c>
      <x:c r="K796" s="10" t="str">
        <x:v>VOICE:S4-03:input</x:v>
      </x:c>
      <x:c r="L796" s="10" t="str">
        <x:v>VOICE:B-R2/S4-03/scored/04646</x:v>
      </x:c>
    </x:row>
    <x:row r="797" ht="52" customHeight="1">
      <x:c r="A797" s="10" t="str">
        <x:v>V-R3</x:v>
      </x:c>
      <x:c r="B797" s="10" t="str">
        <x:v>VOICE</x:v>
      </x:c>
      <x:c r="C797" s="10" t="str">
        <x:v>VOICE:S4-03</x:v>
      </x:c>
      <x:c r="D797" s="10" t="str">
        <x:v>VOICE:S4-03:goal</x:v>
      </x:c>
      <x:c r="E797" s="11" t="n">
        <x:v>7.1433333333333335</x:v>
      </x:c>
      <x:c r="F797" s="11" t="n">
        <x:v>15.143333333333334</x:v>
      </x:c>
      <x:c r="G797" s="11" t="n">
        <x:f>F797-E797</x:f>
        <x:v>8</x:v>
      </x:c>
      <x:c r="H797" s="10" t="n">
        <x:v>1</x:v>
      </x:c>
      <x:c r="I797" s="10" t="str">
        <x:v>completed_as_adopted</x:v>
      </x:c>
      <x:c r="J797" s="10" t="str">
        <x:v>VOICE:B-R3/S4-03/scored/04674</x:v>
      </x:c>
      <x:c r="K797" s="10" t="str">
        <x:v>VOICE:S4-03:input</x:v>
      </x:c>
      <x:c r="L797" s="10" t="str">
        <x:v>VOICE:B-R3/S4-03/scored/04674</x:v>
      </x:c>
    </x:row>
    <x:row r="798" ht="52" customHeight="1">
      <x:c r="A798" s="10" t="str">
        <x:v>V-A</x:v>
      </x:c>
      <x:c r="B798" s="10" t="str">
        <x:v>VOICE</x:v>
      </x:c>
      <x:c r="C798" s="10" t="str">
        <x:v>VOICE:S4-04</x:v>
      </x:c>
      <x:c r="D798" s="10" t="str">
        <x:v>VOICE:S4-04:goal</x:v>
      </x:c>
      <x:c r="E798" s="11" t="n">
        <x:v>5.916666666666666</x:v>
      </x:c>
      <x:c r="F798" s="11" t="n">
        <x:v>13.916666666666668</x:v>
      </x:c>
      <x:c r="G798" s="11" t="n">
        <x:f>F798-E798</x:f>
        <x:v>8.000000000000002</x:v>
      </x:c>
      <x:c r="H798" s="10" t="n">
        <x:v>1</x:v>
      </x:c>
      <x:c r="I798" s="10" t="str">
        <x:v>completed_as_adopted</x:v>
      </x:c>
      <x:c r="J798" s="10" t="str">
        <x:v>VOICE:A/S4-04/scored/04696</x:v>
      </x:c>
      <x:c r="K798" s="10" t="str">
        <x:v>VOICE:S4-04:input</x:v>
      </x:c>
      <x:c r="L798" s="10" t="str">
        <x:v>VOICE:A/S4-04/scored/04696</x:v>
      </x:c>
    </x:row>
    <x:row r="799" ht="52" customHeight="1">
      <x:c r="A799" s="10" t="str">
        <x:v>V-R1</x:v>
      </x:c>
      <x:c r="B799" s="10" t="str">
        <x:v>VOICE</x:v>
      </x:c>
      <x:c r="C799" s="10" t="str">
        <x:v>VOICE:S4-04</x:v>
      </x:c>
      <x:c r="D799" s="10" t="str">
        <x:v>VOICE:S4-04:goal</x:v>
      </x:c>
      <x:c r="E799" s="11" t="n">
        <x:v>8.183333333333334</x:v>
      </x:c>
      <x:c r="F799" s="11" t="n">
        <x:v>16.183333333333334</x:v>
      </x:c>
      <x:c r="G799" s="11" t="n">
        <x:f>F799-E799</x:f>
        <x:v>8</x:v>
      </x:c>
      <x:c r="H799" s="10" t="n">
        <x:v>1</x:v>
      </x:c>
      <x:c r="I799" s="10" t="str">
        <x:v>completed_as_adopted</x:v>
      </x:c>
      <x:c r="J799" s="10" t="str">
        <x:v>VOICE:B-R1/S4-04/scored/04725</x:v>
      </x:c>
      <x:c r="K799" s="10" t="str">
        <x:v>VOICE:S4-04:input</x:v>
      </x:c>
      <x:c r="L799" s="10" t="str">
        <x:v>VOICE:B-R1/S4-04/scored/04725</x:v>
      </x:c>
    </x:row>
    <x:row r="800" ht="52" customHeight="1">
      <x:c r="A800" s="10" t="str">
        <x:v>V-R2</x:v>
      </x:c>
      <x:c r="B800" s="10" t="str">
        <x:v>VOICE</x:v>
      </x:c>
      <x:c r="C800" s="10" t="str">
        <x:v>VOICE:S4-04</x:v>
      </x:c>
      <x:c r="D800" s="10" t="str">
        <x:v>VOICE:S4-04:goal</x:v>
      </x:c>
      <x:c r="E800" s="11" t="n">
        <x:v>7.083333333333333</x:v>
      </x:c>
      <x:c r="F800" s="11" t="n">
        <x:v>15.083333333333334</x:v>
      </x:c>
      <x:c r="G800" s="11" t="n">
        <x:f>F800-E800</x:f>
        <x:v>8</x:v>
      </x:c>
      <x:c r="H800" s="10" t="n">
        <x:v>1</x:v>
      </x:c>
      <x:c r="I800" s="10" t="str">
        <x:v>completed_as_adopted</x:v>
      </x:c>
      <x:c r="J800" s="10" t="str">
        <x:v>VOICE:B-R2/S4-04/scored/04751</x:v>
      </x:c>
      <x:c r="K800" s="10" t="str">
        <x:v>VOICE:S4-04:input</x:v>
      </x:c>
      <x:c r="L800" s="10" t="str">
        <x:v>VOICE:B-R2/S4-04/scored/04751</x:v>
      </x:c>
    </x:row>
    <x:row r="801" ht="52" customHeight="1">
      <x:c r="A801" s="10" t="str">
        <x:v>V-R3</x:v>
      </x:c>
      <x:c r="B801" s="10" t="str">
        <x:v>VOICE</x:v>
      </x:c>
      <x:c r="C801" s="10" t="str">
        <x:v>VOICE:S4-04</x:v>
      </x:c>
      <x:c r="D801" s="10" t="str">
        <x:v>VOICE:S4-04:goal</x:v>
      </x:c>
      <x:c r="E801" s="11" t="n">
        <x:v>7.1433333333333335</x:v>
      </x:c>
      <x:c r="F801" s="11" t="n">
        <x:v>15.143333333333334</x:v>
      </x:c>
      <x:c r="G801" s="11" t="n">
        <x:f>F801-E801</x:f>
        <x:v>8</x:v>
      </x:c>
      <x:c r="H801" s="10" t="n">
        <x:v>1</x:v>
      </x:c>
      <x:c r="I801" s="10" t="str">
        <x:v>completed_as_adopted</x:v>
      </x:c>
      <x:c r="J801" s="10" t="str">
        <x:v>VOICE:B-R3/S4-04/scored/04779</x:v>
      </x:c>
      <x:c r="K801" s="10" t="str">
        <x:v>VOICE:S4-04:input</x:v>
      </x:c>
      <x:c r="L801" s="10" t="str">
        <x:v>VOICE:B-R3/S4-04/scored/04779</x:v>
      </x:c>
    </x:row>
    <x:row r="802" ht="52" customHeight="1">
      <x:c r="A802" s="10" t="str">
        <x:v>V-A</x:v>
      </x:c>
      <x:c r="B802" s="10" t="str">
        <x:v>VOICE</x:v>
      </x:c>
      <x:c r="C802" s="10" t="str">
        <x:v>VOICE:S4-05</x:v>
      </x:c>
      <x:c r="D802" s="10" t="str">
        <x:v>VOICE:S4-05:goal</x:v>
      </x:c>
      <x:c r="E802" s="11" t="n">
        <x:v>5.916666666666666</x:v>
      </x:c>
      <x:c r="F802" s="11" t="n">
        <x:v>13.916666666666668</x:v>
      </x:c>
      <x:c r="G802" s="11" t="n">
        <x:f>F802-E802</x:f>
        <x:v>8.000000000000002</x:v>
      </x:c>
      <x:c r="H802" s="10" t="n">
        <x:v>1</x:v>
      </x:c>
      <x:c r="I802" s="10" t="str">
        <x:v>completed_as_adopted</x:v>
      </x:c>
      <x:c r="J802" s="10" t="str">
        <x:v>VOICE:A/S4-05/scored/04801</x:v>
      </x:c>
      <x:c r="K802" s="10" t="str">
        <x:v>VOICE:S4-05:input</x:v>
      </x:c>
      <x:c r="L802" s="10" t="str">
        <x:v>VOICE:A/S4-05/scored/04801</x:v>
      </x:c>
    </x:row>
    <x:row r="803" ht="52" customHeight="1">
      <x:c r="A803" s="10" t="str">
        <x:v>V-R1</x:v>
      </x:c>
      <x:c r="B803" s="10" t="str">
        <x:v>VOICE</x:v>
      </x:c>
      <x:c r="C803" s="10" t="str">
        <x:v>VOICE:S4-05</x:v>
      </x:c>
      <x:c r="D803" s="10" t="str">
        <x:v>VOICE:S4-05:goal</x:v>
      </x:c>
      <x:c r="E803" s="11" t="n">
        <x:v>8.183333333333334</x:v>
      </x:c>
      <x:c r="F803" s="11" t="n">
        <x:v>16.183333333333334</x:v>
      </x:c>
      <x:c r="G803" s="11" t="n">
        <x:f>F803-E803</x:f>
        <x:v>8</x:v>
      </x:c>
      <x:c r="H803" s="10" t="n">
        <x:v>1</x:v>
      </x:c>
      <x:c r="I803" s="10" t="str">
        <x:v>completed_as_adopted</x:v>
      </x:c>
      <x:c r="J803" s="10" t="str">
        <x:v>VOICE:B-R1/S4-05/scored/04830</x:v>
      </x:c>
      <x:c r="K803" s="10" t="str">
        <x:v>VOICE:S4-05:input</x:v>
      </x:c>
      <x:c r="L803" s="10" t="str">
        <x:v>VOICE:B-R1/S4-05/scored/04830</x:v>
      </x:c>
    </x:row>
    <x:row r="804" ht="52" customHeight="1">
      <x:c r="A804" s="10" t="str">
        <x:v>V-R2</x:v>
      </x:c>
      <x:c r="B804" s="10" t="str">
        <x:v>VOICE</x:v>
      </x:c>
      <x:c r="C804" s="10" t="str">
        <x:v>VOICE:S4-05</x:v>
      </x:c>
      <x:c r="D804" s="10" t="str">
        <x:v>VOICE:S4-05:goal</x:v>
      </x:c>
      <x:c r="E804" s="11" t="n">
        <x:v>7.083333333333333</x:v>
      </x:c>
      <x:c r="F804" s="11" t="n">
        <x:v>15.083333333333334</x:v>
      </x:c>
      <x:c r="G804" s="11" t="n">
        <x:f>F804-E804</x:f>
        <x:v>8</x:v>
      </x:c>
      <x:c r="H804" s="10" t="n">
        <x:v>1</x:v>
      </x:c>
      <x:c r="I804" s="10" t="str">
        <x:v>completed_as_adopted</x:v>
      </x:c>
      <x:c r="J804" s="10" t="str">
        <x:v>VOICE:B-R2/S4-05/scored/04856</x:v>
      </x:c>
      <x:c r="K804" s="10" t="str">
        <x:v>VOICE:S4-05:input</x:v>
      </x:c>
      <x:c r="L804" s="10" t="str">
        <x:v>VOICE:B-R2/S4-05/scored/04856</x:v>
      </x:c>
    </x:row>
    <x:row r="805" ht="52" customHeight="1">
      <x:c r="A805" s="10" t="str">
        <x:v>V-R3</x:v>
      </x:c>
      <x:c r="B805" s="10" t="str">
        <x:v>VOICE</x:v>
      </x:c>
      <x:c r="C805" s="10" t="str">
        <x:v>VOICE:S4-05</x:v>
      </x:c>
      <x:c r="D805" s="10" t="str">
        <x:v>VOICE:S4-05:goal</x:v>
      </x:c>
      <x:c r="E805" s="11" t="n">
        <x:v>7.1433333333333335</x:v>
      </x:c>
      <x:c r="F805" s="11" t="n">
        <x:v>15.143333333333334</x:v>
      </x:c>
      <x:c r="G805" s="11" t="n">
        <x:f>F805-E805</x:f>
        <x:v>8</x:v>
      </x:c>
      <x:c r="H805" s="10" t="n">
        <x:v>1</x:v>
      </x:c>
      <x:c r="I805" s="10" t="str">
        <x:v>completed_as_adopted</x:v>
      </x:c>
      <x:c r="J805" s="10" t="str">
        <x:v>VOICE:B-R3/S4-05/scored/04884</x:v>
      </x:c>
      <x:c r="K805" s="10" t="str">
        <x:v>VOICE:S4-05:input</x:v>
      </x:c>
      <x:c r="L805" s="10" t="str">
        <x:v>VOICE:B-R3/S4-05/scored/04884</x:v>
      </x:c>
    </x:row>
    <x:row r="806" ht="52" customHeight="1">
      <x:c r="A806" s="10" t="str">
        <x:v>V-A</x:v>
      </x:c>
      <x:c r="B806" s="10" t="str">
        <x:v>VOICE</x:v>
      </x:c>
      <x:c r="C806" s="10" t="str">
        <x:v>VOICE:S4-06</x:v>
      </x:c>
      <x:c r="D806" s="10" t="str">
        <x:v>VOICE:S4-06:goal</x:v>
      </x:c>
      <x:c r="E806" s="11" t="n">
        <x:v>5.916666666666666</x:v>
      </x:c>
      <x:c r="F806" s="11" t="n">
        <x:v>13.916666666666668</x:v>
      </x:c>
      <x:c r="G806" s="11" t="n">
        <x:f>F806-E806</x:f>
        <x:v>8.000000000000002</x:v>
      </x:c>
      <x:c r="H806" s="10" t="n">
        <x:v>1</x:v>
      </x:c>
      <x:c r="I806" s="10" t="str">
        <x:v>completed_as_adopted</x:v>
      </x:c>
      <x:c r="J806" s="10" t="str">
        <x:v>VOICE:A/S4-06/scored/04906</x:v>
      </x:c>
      <x:c r="K806" s="10" t="str">
        <x:v>VOICE:S4-06:input</x:v>
      </x:c>
      <x:c r="L806" s="10" t="str">
        <x:v>VOICE:A/S4-06/scored/04906</x:v>
      </x:c>
    </x:row>
    <x:row r="807" ht="52" customHeight="1">
      <x:c r="A807" s="10" t="str">
        <x:v>V-R1</x:v>
      </x:c>
      <x:c r="B807" s="10" t="str">
        <x:v>VOICE</x:v>
      </x:c>
      <x:c r="C807" s="10" t="str">
        <x:v>VOICE:S4-06</x:v>
      </x:c>
      <x:c r="D807" s="10" t="str">
        <x:v>VOICE:S4-06:goal</x:v>
      </x:c>
      <x:c r="E807" s="11" t="n">
        <x:v>8.183333333333334</x:v>
      </x:c>
      <x:c r="F807" s="11" t="n">
        <x:v>16.183333333333334</x:v>
      </x:c>
      <x:c r="G807" s="11" t="n">
        <x:f>F807-E807</x:f>
        <x:v>8</x:v>
      </x:c>
      <x:c r="H807" s="10" t="n">
        <x:v>1</x:v>
      </x:c>
      <x:c r="I807" s="10" t="str">
        <x:v>completed_as_adopted</x:v>
      </x:c>
      <x:c r="J807" s="10" t="str">
        <x:v>VOICE:B-R1/S4-06/scored/04935</x:v>
      </x:c>
      <x:c r="K807" s="10" t="str">
        <x:v>VOICE:S4-06:input</x:v>
      </x:c>
      <x:c r="L807" s="10" t="str">
        <x:v>VOICE:B-R1/S4-06/scored/04935</x:v>
      </x:c>
    </x:row>
    <x:row r="808" ht="52" customHeight="1">
      <x:c r="A808" s="10" t="str">
        <x:v>V-R2</x:v>
      </x:c>
      <x:c r="B808" s="10" t="str">
        <x:v>VOICE</x:v>
      </x:c>
      <x:c r="C808" s="10" t="str">
        <x:v>VOICE:S4-06</x:v>
      </x:c>
      <x:c r="D808" s="10" t="str">
        <x:v>VOICE:S4-06:goal</x:v>
      </x:c>
      <x:c r="E808" s="11" t="n">
        <x:v>7.083333333333333</x:v>
      </x:c>
      <x:c r="F808" s="11" t="n">
        <x:v>15.083333333333334</x:v>
      </x:c>
      <x:c r="G808" s="11" t="n">
        <x:f>F808-E808</x:f>
        <x:v>8</x:v>
      </x:c>
      <x:c r="H808" s="10" t="n">
        <x:v>1</x:v>
      </x:c>
      <x:c r="I808" s="10" t="str">
        <x:v>completed_as_adopted</x:v>
      </x:c>
      <x:c r="J808" s="10" t="str">
        <x:v>VOICE:B-R2/S4-06/scored/04961</x:v>
      </x:c>
      <x:c r="K808" s="10" t="str">
        <x:v>VOICE:S4-06:input</x:v>
      </x:c>
      <x:c r="L808" s="10" t="str">
        <x:v>VOICE:B-R2/S4-06/scored/04961</x:v>
      </x:c>
    </x:row>
    <x:row r="809" ht="52" customHeight="1">
      <x:c r="A809" s="10" t="str">
        <x:v>V-R3</x:v>
      </x:c>
      <x:c r="B809" s="10" t="str">
        <x:v>VOICE</x:v>
      </x:c>
      <x:c r="C809" s="10" t="str">
        <x:v>VOICE:S4-06</x:v>
      </x:c>
      <x:c r="D809" s="10" t="str">
        <x:v>VOICE:S4-06:goal</x:v>
      </x:c>
      <x:c r="E809" s="11" t="n">
        <x:v>7.1433333333333335</x:v>
      </x:c>
      <x:c r="F809" s="11" t="n">
        <x:v>15.143333333333334</x:v>
      </x:c>
      <x:c r="G809" s="11" t="n">
        <x:f>F809-E809</x:f>
        <x:v>8</x:v>
      </x:c>
      <x:c r="H809" s="10" t="n">
        <x:v>1</x:v>
      </x:c>
      <x:c r="I809" s="10" t="str">
        <x:v>completed_as_adopted</x:v>
      </x:c>
      <x:c r="J809" s="10" t="str">
        <x:v>VOICE:B-R3/S4-06/scored/04989</x:v>
      </x:c>
      <x:c r="K809" s="10" t="str">
        <x:v>VOICE:S4-06:input</x:v>
      </x:c>
      <x:c r="L809" s="10" t="str">
        <x:v>VOICE:B-R3/S4-06/scored/04989</x:v>
      </x:c>
    </x:row>
    <x:row r="810" ht="52" customHeight="1">
      <x:c r="A810" s="10" t="str">
        <x:v>V-A</x:v>
      </x:c>
      <x:c r="B810" s="10" t="str">
        <x:v>VOICE</x:v>
      </x:c>
      <x:c r="C810" s="10" t="str">
        <x:v>VOICE:S4-07</x:v>
      </x:c>
      <x:c r="D810" s="10" t="str">
        <x:v>VOICE:S4-07:goal</x:v>
      </x:c>
      <x:c r="E810" s="11" t="n">
        <x:v>5.916666666666666</x:v>
      </x:c>
      <x:c r="F810" s="11" t="n">
        <x:v>13.916666666666668</x:v>
      </x:c>
      <x:c r="G810" s="11" t="n">
        <x:f>F810-E810</x:f>
        <x:v>8.000000000000002</x:v>
      </x:c>
      <x:c r="H810" s="10" t="n">
        <x:v>1</x:v>
      </x:c>
      <x:c r="I810" s="10" t="str">
        <x:v>completed_as_adopted</x:v>
      </x:c>
      <x:c r="J810" s="10" t="str">
        <x:v>VOICE:A/S4-07/scored/05011</x:v>
      </x:c>
      <x:c r="K810" s="10" t="str">
        <x:v>VOICE:S4-07:input</x:v>
      </x:c>
      <x:c r="L810" s="10" t="str">
        <x:v>VOICE:A/S4-07/scored/05011</x:v>
      </x:c>
    </x:row>
    <x:row r="811" ht="52" customHeight="1">
      <x:c r="A811" s="10" t="str">
        <x:v>V-R1</x:v>
      </x:c>
      <x:c r="B811" s="10" t="str">
        <x:v>VOICE</x:v>
      </x:c>
      <x:c r="C811" s="10" t="str">
        <x:v>VOICE:S4-07</x:v>
      </x:c>
      <x:c r="D811" s="10" t="str">
        <x:v>VOICE:S4-07:goal</x:v>
      </x:c>
      <x:c r="E811" s="11" t="n">
        <x:v>8.183333333333334</x:v>
      </x:c>
      <x:c r="F811" s="11" t="n">
        <x:v>16.183333333333334</x:v>
      </x:c>
      <x:c r="G811" s="11" t="n">
        <x:f>F811-E811</x:f>
        <x:v>8</x:v>
      </x:c>
      <x:c r="H811" s="10" t="n">
        <x:v>1</x:v>
      </x:c>
      <x:c r="I811" s="10" t="str">
        <x:v>completed_as_adopted</x:v>
      </x:c>
      <x:c r="J811" s="10" t="str">
        <x:v>VOICE:B-R1/S4-07/scored/05040</x:v>
      </x:c>
      <x:c r="K811" s="10" t="str">
        <x:v>VOICE:S4-07:input</x:v>
      </x:c>
      <x:c r="L811" s="10" t="str">
        <x:v>VOICE:B-R1/S4-07/scored/05040</x:v>
      </x:c>
    </x:row>
    <x:row r="812" ht="52" customHeight="1">
      <x:c r="A812" s="10" t="str">
        <x:v>V-R2</x:v>
      </x:c>
      <x:c r="B812" s="10" t="str">
        <x:v>VOICE</x:v>
      </x:c>
      <x:c r="C812" s="10" t="str">
        <x:v>VOICE:S4-07</x:v>
      </x:c>
      <x:c r="D812" s="10" t="str">
        <x:v>VOICE:S4-07:goal</x:v>
      </x:c>
      <x:c r="E812" s="11" t="n">
        <x:v>7.083333333333333</x:v>
      </x:c>
      <x:c r="F812" s="11" t="n">
        <x:v>15.083333333333334</x:v>
      </x:c>
      <x:c r="G812" s="11" t="n">
        <x:f>F812-E812</x:f>
        <x:v>8</x:v>
      </x:c>
      <x:c r="H812" s="10" t="n">
        <x:v>1</x:v>
      </x:c>
      <x:c r="I812" s="10" t="str">
        <x:v>completed_as_adopted</x:v>
      </x:c>
      <x:c r="J812" s="10" t="str">
        <x:v>VOICE:B-R2/S4-07/scored/05066</x:v>
      </x:c>
      <x:c r="K812" s="10" t="str">
        <x:v>VOICE:S4-07:input</x:v>
      </x:c>
      <x:c r="L812" s="10" t="str">
        <x:v>VOICE:B-R2/S4-07/scored/05066</x:v>
      </x:c>
    </x:row>
    <x:row r="813" ht="52" customHeight="1">
      <x:c r="A813" s="10" t="str">
        <x:v>V-R3</x:v>
      </x:c>
      <x:c r="B813" s="10" t="str">
        <x:v>VOICE</x:v>
      </x:c>
      <x:c r="C813" s="10" t="str">
        <x:v>VOICE:S4-07</x:v>
      </x:c>
      <x:c r="D813" s="10" t="str">
        <x:v>VOICE:S4-07:goal</x:v>
      </x:c>
      <x:c r="E813" s="11" t="n">
        <x:v>7.1433333333333335</x:v>
      </x:c>
      <x:c r="F813" s="11" t="n">
        <x:v>15.143333333333334</x:v>
      </x:c>
      <x:c r="G813" s="11" t="n">
        <x:f>F813-E813</x:f>
        <x:v>8</x:v>
      </x:c>
      <x:c r="H813" s="10" t="n">
        <x:v>1</x:v>
      </x:c>
      <x:c r="I813" s="10" t="str">
        <x:v>completed_as_adopted</x:v>
      </x:c>
      <x:c r="J813" s="10" t="str">
        <x:v>VOICE:B-R3/S4-07/scored/05094</x:v>
      </x:c>
      <x:c r="K813" s="10" t="str">
        <x:v>VOICE:S4-07:input</x:v>
      </x:c>
      <x:c r="L813" s="10" t="str">
        <x:v>VOICE:B-R3/S4-07/scored/05094</x:v>
      </x:c>
    </x:row>
    <x:row r="814" ht="52" customHeight="1">
      <x:c r="A814" s="10" t="str">
        <x:v>V-A</x:v>
      </x:c>
      <x:c r="B814" s="10" t="str">
        <x:v>VOICE</x:v>
      </x:c>
      <x:c r="C814" s="10" t="str">
        <x:v>VOICE:S4-08</x:v>
      </x:c>
      <x:c r="D814" s="10" t="str">
        <x:v>VOICE:S4-08:goal</x:v>
      </x:c>
      <x:c r="E814" s="11" t="n">
        <x:v>5.916666666666666</x:v>
      </x:c>
      <x:c r="F814" s="11" t="n">
        <x:v>13.916666666666668</x:v>
      </x:c>
      <x:c r="G814" s="11" t="n">
        <x:f>F814-E814</x:f>
        <x:v>8.000000000000002</x:v>
      </x:c>
      <x:c r="H814" s="10" t="n">
        <x:v>1</x:v>
      </x:c>
      <x:c r="I814" s="10" t="str">
        <x:v>completed_as_adopted</x:v>
      </x:c>
      <x:c r="J814" s="10" t="str">
        <x:v>VOICE:A/S4-08/scored/05116</x:v>
      </x:c>
      <x:c r="K814" s="10" t="str">
        <x:v>VOICE:S4-08:input</x:v>
      </x:c>
      <x:c r="L814" s="10" t="str">
        <x:v>VOICE:A/S4-08/scored/05116</x:v>
      </x:c>
    </x:row>
    <x:row r="815" ht="52" customHeight="1">
      <x:c r="A815" s="10" t="str">
        <x:v>V-R1</x:v>
      </x:c>
      <x:c r="B815" s="10" t="str">
        <x:v>VOICE</x:v>
      </x:c>
      <x:c r="C815" s="10" t="str">
        <x:v>VOICE:S4-08</x:v>
      </x:c>
      <x:c r="D815" s="10" t="str">
        <x:v>VOICE:S4-08:goal</x:v>
      </x:c>
      <x:c r="E815" s="11" t="n">
        <x:v>8.183333333333334</x:v>
      </x:c>
      <x:c r="F815" s="11" t="n">
        <x:v>16.183333333333334</x:v>
      </x:c>
      <x:c r="G815" s="11" t="n">
        <x:f>F815-E815</x:f>
        <x:v>8</x:v>
      </x:c>
      <x:c r="H815" s="10" t="n">
        <x:v>1</x:v>
      </x:c>
      <x:c r="I815" s="10" t="str">
        <x:v>completed_as_adopted</x:v>
      </x:c>
      <x:c r="J815" s="10" t="str">
        <x:v>VOICE:B-R1/S4-08/scored/05145</x:v>
      </x:c>
      <x:c r="K815" s="10" t="str">
        <x:v>VOICE:S4-08:input</x:v>
      </x:c>
      <x:c r="L815" s="10" t="str">
        <x:v>VOICE:B-R1/S4-08/scored/05145</x:v>
      </x:c>
    </x:row>
    <x:row r="816" ht="52" customHeight="1">
      <x:c r="A816" s="10" t="str">
        <x:v>V-R2</x:v>
      </x:c>
      <x:c r="B816" s="10" t="str">
        <x:v>VOICE</x:v>
      </x:c>
      <x:c r="C816" s="10" t="str">
        <x:v>VOICE:S4-08</x:v>
      </x:c>
      <x:c r="D816" s="10" t="str">
        <x:v>VOICE:S4-08:goal</x:v>
      </x:c>
      <x:c r="E816" s="11" t="n">
        <x:v>7.083333333333333</x:v>
      </x:c>
      <x:c r="F816" s="11" t="n">
        <x:v>15.083333333333334</x:v>
      </x:c>
      <x:c r="G816" s="11" t="n">
        <x:f>F816-E816</x:f>
        <x:v>8</x:v>
      </x:c>
      <x:c r="H816" s="10" t="n">
        <x:v>1</x:v>
      </x:c>
      <x:c r="I816" s="10" t="str">
        <x:v>completed_as_adopted</x:v>
      </x:c>
      <x:c r="J816" s="10" t="str">
        <x:v>VOICE:B-R2/S4-08/scored/05171</x:v>
      </x:c>
      <x:c r="K816" s="10" t="str">
        <x:v>VOICE:S4-08:input</x:v>
      </x:c>
      <x:c r="L816" s="10" t="str">
        <x:v>VOICE:B-R2/S4-08/scored/05171</x:v>
      </x:c>
    </x:row>
    <x:row r="817" ht="52" customHeight="1">
      <x:c r="A817" s="10" t="str">
        <x:v>V-R3</x:v>
      </x:c>
      <x:c r="B817" s="10" t="str">
        <x:v>VOICE</x:v>
      </x:c>
      <x:c r="C817" s="10" t="str">
        <x:v>VOICE:S4-08</x:v>
      </x:c>
      <x:c r="D817" s="10" t="str">
        <x:v>VOICE:S4-08:goal</x:v>
      </x:c>
      <x:c r="E817" s="11" t="n">
        <x:v>7.1433333333333335</x:v>
      </x:c>
      <x:c r="F817" s="11" t="n">
        <x:v>15.143333333333334</x:v>
      </x:c>
      <x:c r="G817" s="11" t="n">
        <x:f>F817-E817</x:f>
        <x:v>8</x:v>
      </x:c>
      <x:c r="H817" s="10" t="n">
        <x:v>1</x:v>
      </x:c>
      <x:c r="I817" s="10" t="str">
        <x:v>completed_as_adopted</x:v>
      </x:c>
      <x:c r="J817" s="10" t="str">
        <x:v>VOICE:B-R3/S4-08/scored/05199</x:v>
      </x:c>
      <x:c r="K817" s="10" t="str">
        <x:v>VOICE:S4-08:input</x:v>
      </x:c>
      <x:c r="L817" s="10" t="str">
        <x:v>VOICE:B-R3/S4-08/scored/05199</x:v>
      </x:c>
    </x:row>
    <x:row r="818" ht="52" customHeight="1">
      <x:c r="A818" s="10" t="str">
        <x:v>V-A</x:v>
      </x:c>
      <x:c r="B818" s="10" t="str">
        <x:v>VOICE</x:v>
      </x:c>
      <x:c r="C818" s="10" t="str">
        <x:v>VOICE:S4-09</x:v>
      </x:c>
      <x:c r="D818" s="10" t="str">
        <x:v>VOICE:S4-09:goal</x:v>
      </x:c>
      <x:c r="E818" s="11" t="n">
        <x:v>5.916666666666666</x:v>
      </x:c>
      <x:c r="F818" s="11" t="n">
        <x:v>13.916666666666668</x:v>
      </x:c>
      <x:c r="G818" s="11" t="n">
        <x:f>F818-E818</x:f>
        <x:v>8.000000000000002</x:v>
      </x:c>
      <x:c r="H818" s="10" t="n">
        <x:v>1</x:v>
      </x:c>
      <x:c r="I818" s="10" t="str">
        <x:v>completed_as_adopted</x:v>
      </x:c>
      <x:c r="J818" s="10" t="str">
        <x:v>VOICE:A/S4-09/scored/05221</x:v>
      </x:c>
      <x:c r="K818" s="10" t="str">
        <x:v>VOICE:S4-09:input</x:v>
      </x:c>
      <x:c r="L818" s="10" t="str">
        <x:v>VOICE:A/S4-09/scored/05221</x:v>
      </x:c>
    </x:row>
    <x:row r="819" ht="52" customHeight="1">
      <x:c r="A819" s="10" t="str">
        <x:v>V-R1</x:v>
      </x:c>
      <x:c r="B819" s="10" t="str">
        <x:v>VOICE</x:v>
      </x:c>
      <x:c r="C819" s="10" t="str">
        <x:v>VOICE:S4-09</x:v>
      </x:c>
      <x:c r="D819" s="10" t="str">
        <x:v>VOICE:S4-09:goal</x:v>
      </x:c>
      <x:c r="E819" s="11" t="n">
        <x:v>8.183333333333334</x:v>
      </x:c>
      <x:c r="F819" s="11" t="n">
        <x:v>16.183333333333334</x:v>
      </x:c>
      <x:c r="G819" s="11" t="n">
        <x:f>F819-E819</x:f>
        <x:v>8</x:v>
      </x:c>
      <x:c r="H819" s="10" t="n">
        <x:v>1</x:v>
      </x:c>
      <x:c r="I819" s="10" t="str">
        <x:v>completed_as_adopted</x:v>
      </x:c>
      <x:c r="J819" s="10" t="str">
        <x:v>VOICE:B-R1/S4-09/scored/05250</x:v>
      </x:c>
      <x:c r="K819" s="10" t="str">
        <x:v>VOICE:S4-09:input</x:v>
      </x:c>
      <x:c r="L819" s="10" t="str">
        <x:v>VOICE:B-R1/S4-09/scored/05250</x:v>
      </x:c>
    </x:row>
    <x:row r="820" ht="52" customHeight="1">
      <x:c r="A820" s="10" t="str">
        <x:v>V-R2</x:v>
      </x:c>
      <x:c r="B820" s="10" t="str">
        <x:v>VOICE</x:v>
      </x:c>
      <x:c r="C820" s="10" t="str">
        <x:v>VOICE:S4-09</x:v>
      </x:c>
      <x:c r="D820" s="10" t="str">
        <x:v>VOICE:S4-09:goal</x:v>
      </x:c>
      <x:c r="E820" s="11" t="n">
        <x:v>7.083333333333333</x:v>
      </x:c>
      <x:c r="F820" s="11" t="n">
        <x:v>15.083333333333334</x:v>
      </x:c>
      <x:c r="G820" s="11" t="n">
        <x:f>F820-E820</x:f>
        <x:v>8</x:v>
      </x:c>
      <x:c r="H820" s="10" t="n">
        <x:v>1</x:v>
      </x:c>
      <x:c r="I820" s="10" t="str">
        <x:v>completed_as_adopted</x:v>
      </x:c>
      <x:c r="J820" s="10" t="str">
        <x:v>VOICE:B-R2/S4-09/scored/05276</x:v>
      </x:c>
      <x:c r="K820" s="10" t="str">
        <x:v>VOICE:S4-09:input</x:v>
      </x:c>
      <x:c r="L820" s="10" t="str">
        <x:v>VOICE:B-R2/S4-09/scored/05276</x:v>
      </x:c>
    </x:row>
    <x:row r="821" ht="52" customHeight="1">
      <x:c r="A821" s="10" t="str">
        <x:v>V-R3</x:v>
      </x:c>
      <x:c r="B821" s="10" t="str">
        <x:v>VOICE</x:v>
      </x:c>
      <x:c r="C821" s="10" t="str">
        <x:v>VOICE:S4-09</x:v>
      </x:c>
      <x:c r="D821" s="10" t="str">
        <x:v>VOICE:S4-09:goal</x:v>
      </x:c>
      <x:c r="E821" s="11" t="n">
        <x:v>7.1433333333333335</x:v>
      </x:c>
      <x:c r="F821" s="11" t="n">
        <x:v>15.143333333333334</x:v>
      </x:c>
      <x:c r="G821" s="11" t="n">
        <x:f>F821-E821</x:f>
        <x:v>8</x:v>
      </x:c>
      <x:c r="H821" s="10" t="n">
        <x:v>1</x:v>
      </x:c>
      <x:c r="I821" s="10" t="str">
        <x:v>completed_as_adopted</x:v>
      </x:c>
      <x:c r="J821" s="10" t="str">
        <x:v>VOICE:B-R3/S4-09/scored/05304</x:v>
      </x:c>
      <x:c r="K821" s="10" t="str">
        <x:v>VOICE:S4-09:input</x:v>
      </x:c>
      <x:c r="L821" s="10" t="str">
        <x:v>VOICE:B-R3/S4-09/scored/05304</x:v>
      </x:c>
    </x:row>
    <x:row r="822" ht="52" customHeight="1">
      <x:c r="A822" s="10" t="str">
        <x:v>V-A</x:v>
      </x:c>
      <x:c r="B822" s="10" t="str">
        <x:v>VOICE</x:v>
      </x:c>
      <x:c r="C822" s="10" t="str">
        <x:v>VOICE:S4-10</x:v>
      </x:c>
      <x:c r="D822" s="10" t="str">
        <x:v>VOICE:S4-10:goal</x:v>
      </x:c>
      <x:c r="E822" s="11" t="n">
        <x:v>5.916666666666666</x:v>
      </x:c>
      <x:c r="F822" s="11" t="n">
        <x:v>13.916666666666668</x:v>
      </x:c>
      <x:c r="G822" s="11" t="n">
        <x:f>F822-E822</x:f>
        <x:v>8.000000000000002</x:v>
      </x:c>
      <x:c r="H822" s="10" t="n">
        <x:v>0</x:v>
      </x:c>
      <x:c r="I822" s="10" t="str">
        <x:v>completed_as_adopted</x:v>
      </x:c>
      <x:c r="J822" s="10" t="str">
        <x:v>VOICE:A/S4-10/scored/05326</x:v>
      </x:c>
      <x:c r="K822" s="10" t="str">
        <x:v>VOICE:S4-10:input</x:v>
      </x:c>
      <x:c r="L822" s="10" t="str">
        <x:v>VOICE:A/S4-10/scored/05326</x:v>
      </x:c>
    </x:row>
    <x:row r="823" ht="52" customHeight="1">
      <x:c r="A823" s="10" t="str">
        <x:v>V-R1</x:v>
      </x:c>
      <x:c r="B823" s="10" t="str">
        <x:v>VOICE</x:v>
      </x:c>
      <x:c r="C823" s="10" t="str">
        <x:v>VOICE:S4-10</x:v>
      </x:c>
      <x:c r="D823" s="10" t="str">
        <x:v>VOICE:S4-10:goal</x:v>
      </x:c>
      <x:c r="E823" s="11" t="n">
        <x:v>8.183333333333334</x:v>
      </x:c>
      <x:c r="F823" s="11" t="n">
        <x:v>16.183333333333334</x:v>
      </x:c>
      <x:c r="G823" s="11" t="n">
        <x:f>F823-E823</x:f>
        <x:v>8</x:v>
      </x:c>
      <x:c r="H823" s="10" t="n">
        <x:v>0</x:v>
      </x:c>
      <x:c r="I823" s="10" t="str">
        <x:v>completed_as_adopted</x:v>
      </x:c>
      <x:c r="J823" s="10" t="str">
        <x:v>VOICE:B-R1/S4-10/scored/05355</x:v>
      </x:c>
      <x:c r="K823" s="10" t="str">
        <x:v>VOICE:S4-10:input</x:v>
      </x:c>
      <x:c r="L823" s="10" t="str">
        <x:v>VOICE:B-R1/S4-10/scored/05355</x:v>
      </x:c>
    </x:row>
    <x:row r="824" ht="52" customHeight="1">
      <x:c r="A824" s="10" t="str">
        <x:v>V-R2</x:v>
      </x:c>
      <x:c r="B824" s="10" t="str">
        <x:v>VOICE</x:v>
      </x:c>
      <x:c r="C824" s="10" t="str">
        <x:v>VOICE:S4-10</x:v>
      </x:c>
      <x:c r="D824" s="10" t="str">
        <x:v>VOICE:S4-10:goal</x:v>
      </x:c>
      <x:c r="E824" s="11" t="n">
        <x:v>7.083333333333333</x:v>
      </x:c>
      <x:c r="F824" s="11" t="n">
        <x:v>15.083333333333334</x:v>
      </x:c>
      <x:c r="G824" s="11" t="n">
        <x:f>F824-E824</x:f>
        <x:v>8</x:v>
      </x:c>
      <x:c r="H824" s="10" t="n">
        <x:v>0</x:v>
      </x:c>
      <x:c r="I824" s="10" t="str">
        <x:v>completed_as_adopted</x:v>
      </x:c>
      <x:c r="J824" s="10" t="str">
        <x:v>VOICE:B-R2/S4-10/scored/05381</x:v>
      </x:c>
      <x:c r="K824" s="10" t="str">
        <x:v>VOICE:S4-10:input</x:v>
      </x:c>
      <x:c r="L824" s="10" t="str">
        <x:v>VOICE:B-R2/S4-10/scored/05381</x:v>
      </x:c>
    </x:row>
    <x:row r="825" ht="52" customHeight="1">
      <x:c r="A825" s="10" t="str">
        <x:v>V-R3</x:v>
      </x:c>
      <x:c r="B825" s="10" t="str">
        <x:v>VOICE</x:v>
      </x:c>
      <x:c r="C825" s="10" t="str">
        <x:v>VOICE:S4-10</x:v>
      </x:c>
      <x:c r="D825" s="10" t="str">
        <x:v>VOICE:S4-10:goal</x:v>
      </x:c>
      <x:c r="E825" s="11" t="n">
        <x:v>7.1433333333333335</x:v>
      </x:c>
      <x:c r="F825" s="11" t="n">
        <x:v>15.143333333333334</x:v>
      </x:c>
      <x:c r="G825" s="11" t="n">
        <x:f>F825-E825</x:f>
        <x:v>8</x:v>
      </x:c>
      <x:c r="H825" s="10" t="n">
        <x:v>0</x:v>
      </x:c>
      <x:c r="I825" s="10" t="str">
        <x:v>completed_as_adopted</x:v>
      </x:c>
      <x:c r="J825" s="10" t="str">
        <x:v>VOICE:B-R3/S4-10/scored/05409</x:v>
      </x:c>
      <x:c r="K825" s="10" t="str">
        <x:v>VOICE:S4-10:input</x:v>
      </x:c>
      <x:c r="L825" s="10" t="str">
        <x:v>VOICE:B-R3/S4-10/scored/05409</x:v>
      </x:c>
    </x:row>
    <x:row r="826" ht="52" customHeight="1">
      <x:c r="A826" s="10" t="str">
        <x:v>V-A</x:v>
      </x:c>
      <x:c r="B826" s="10" t="str">
        <x:v>VOICE</x:v>
      </x:c>
      <x:c r="C826" s="10" t="str">
        <x:v>VOICE:S4-11</x:v>
      </x:c>
      <x:c r="D826" s="10" t="str">
        <x:v>VOICE:S4-11:goal</x:v>
      </x:c>
      <x:c r="E826" s="11" t="n">
        <x:v>5.916666666666666</x:v>
      </x:c>
      <x:c r="F826" s="11" t="n">
        <x:v>13.916666666666668</x:v>
      </x:c>
      <x:c r="G826" s="11" t="n">
        <x:f>F826-E826</x:f>
        <x:v>8.000000000000002</x:v>
      </x:c>
      <x:c r="H826" s="10" t="n">
        <x:v>1</x:v>
      </x:c>
      <x:c r="I826" s="10" t="str">
        <x:v>completed_as_adopted</x:v>
      </x:c>
      <x:c r="J826" s="10" t="str">
        <x:v>VOICE:A/S4-11/scored/05431</x:v>
      </x:c>
      <x:c r="K826" s="10" t="str">
        <x:v>VOICE:S4-11:input</x:v>
      </x:c>
      <x:c r="L826" s="10" t="str">
        <x:v>VOICE:A/S4-11/scored/05431</x:v>
      </x:c>
    </x:row>
    <x:row r="827" ht="52" customHeight="1">
      <x:c r="A827" s="10" t="str">
        <x:v>V-R1</x:v>
      </x:c>
      <x:c r="B827" s="10" t="str">
        <x:v>VOICE</x:v>
      </x:c>
      <x:c r="C827" s="10" t="str">
        <x:v>VOICE:S4-11</x:v>
      </x:c>
      <x:c r="D827" s="10" t="str">
        <x:v>VOICE:S4-11:goal</x:v>
      </x:c>
      <x:c r="E827" s="11" t="n">
        <x:v>8.183333333333334</x:v>
      </x:c>
      <x:c r="F827" s="11" t="n">
        <x:v>16.183333333333334</x:v>
      </x:c>
      <x:c r="G827" s="11" t="n">
        <x:f>F827-E827</x:f>
        <x:v>8</x:v>
      </x:c>
      <x:c r="H827" s="10" t="n">
        <x:v>1</x:v>
      </x:c>
      <x:c r="I827" s="10" t="str">
        <x:v>completed_as_adopted</x:v>
      </x:c>
      <x:c r="J827" s="10" t="str">
        <x:v>VOICE:B-R1/S4-11/scored/05460</x:v>
      </x:c>
      <x:c r="K827" s="10" t="str">
        <x:v>VOICE:S4-11:input</x:v>
      </x:c>
      <x:c r="L827" s="10" t="str">
        <x:v>VOICE:B-R1/S4-11/scored/05460</x:v>
      </x:c>
    </x:row>
    <x:row r="828" ht="52" customHeight="1">
      <x:c r="A828" s="10" t="str">
        <x:v>V-R2</x:v>
      </x:c>
      <x:c r="B828" s="10" t="str">
        <x:v>VOICE</x:v>
      </x:c>
      <x:c r="C828" s="10" t="str">
        <x:v>VOICE:S4-11</x:v>
      </x:c>
      <x:c r="D828" s="10" t="str">
        <x:v>VOICE:S4-11:goal</x:v>
      </x:c>
      <x:c r="E828" s="11" t="n">
        <x:v>7.083333333333333</x:v>
      </x:c>
      <x:c r="F828" s="11" t="n">
        <x:v>15.083333333333334</x:v>
      </x:c>
      <x:c r="G828" s="11" t="n">
        <x:f>F828-E828</x:f>
        <x:v>8</x:v>
      </x:c>
      <x:c r="H828" s="10" t="n">
        <x:v>1</x:v>
      </x:c>
      <x:c r="I828" s="10" t="str">
        <x:v>completed_as_adopted</x:v>
      </x:c>
      <x:c r="J828" s="10" t="str">
        <x:v>VOICE:B-R2/S4-11/scored/05486</x:v>
      </x:c>
      <x:c r="K828" s="10" t="str">
        <x:v>VOICE:S4-11:input</x:v>
      </x:c>
      <x:c r="L828" s="10" t="str">
        <x:v>VOICE:B-R2/S4-11/scored/05486</x:v>
      </x:c>
    </x:row>
    <x:row r="829" ht="52" customHeight="1">
      <x:c r="A829" s="10" t="str">
        <x:v>V-R3</x:v>
      </x:c>
      <x:c r="B829" s="10" t="str">
        <x:v>VOICE</x:v>
      </x:c>
      <x:c r="C829" s="10" t="str">
        <x:v>VOICE:S4-11</x:v>
      </x:c>
      <x:c r="D829" s="10" t="str">
        <x:v>VOICE:S4-11:goal</x:v>
      </x:c>
      <x:c r="E829" s="11" t="n">
        <x:v>7.1433333333333335</x:v>
      </x:c>
      <x:c r="F829" s="11" t="n">
        <x:v>15.143333333333334</x:v>
      </x:c>
      <x:c r="G829" s="11" t="n">
        <x:f>F829-E829</x:f>
        <x:v>8</x:v>
      </x:c>
      <x:c r="H829" s="10" t="n">
        <x:v>1</x:v>
      </x:c>
      <x:c r="I829" s="10" t="str">
        <x:v>completed_as_adopted</x:v>
      </x:c>
      <x:c r="J829" s="10" t="str">
        <x:v>VOICE:B-R3/S4-11/scored/05514</x:v>
      </x:c>
      <x:c r="K829" s="10" t="str">
        <x:v>VOICE:S4-11:input</x:v>
      </x:c>
      <x:c r="L829" s="10" t="str">
        <x:v>VOICE:B-R3/S4-11/scored/05514</x:v>
      </x:c>
    </x:row>
    <x:row r="830" ht="52" customHeight="1">
      <x:c r="A830" s="10" t="str">
        <x:v>V-A</x:v>
      </x:c>
      <x:c r="B830" s="10" t="str">
        <x:v>VOICE</x:v>
      </x:c>
      <x:c r="C830" s="10" t="str">
        <x:v>VOICE:S4-12</x:v>
      </x:c>
      <x:c r="D830" s="10" t="str">
        <x:v>VOICE:S4-12:goal</x:v>
      </x:c>
      <x:c r="E830" s="11" t="n">
        <x:v>5.916666666666666</x:v>
      </x:c>
      <x:c r="F830" s="11" t="n">
        <x:v>13.916666666666668</x:v>
      </x:c>
      <x:c r="G830" s="11" t="n">
        <x:f>F830-E830</x:f>
        <x:v>8.000000000000002</x:v>
      </x:c>
      <x:c r="H830" s="10" t="n">
        <x:v>1</x:v>
      </x:c>
      <x:c r="I830" s="10" t="str">
        <x:v>completed_as_adopted</x:v>
      </x:c>
      <x:c r="J830" s="10" t="str">
        <x:v>VOICE:A/S4-12/scored/05536</x:v>
      </x:c>
      <x:c r="K830" s="10" t="str">
        <x:v>VOICE:S4-12:input</x:v>
      </x:c>
      <x:c r="L830" s="10" t="str">
        <x:v>VOICE:A/S4-12/scored/05536</x:v>
      </x:c>
    </x:row>
    <x:row r="831" ht="52" customHeight="1">
      <x:c r="A831" s="10" t="str">
        <x:v>V-R1</x:v>
      </x:c>
      <x:c r="B831" s="10" t="str">
        <x:v>VOICE</x:v>
      </x:c>
      <x:c r="C831" s="10" t="str">
        <x:v>VOICE:S4-12</x:v>
      </x:c>
      <x:c r="D831" s="10" t="str">
        <x:v>VOICE:S4-12:goal</x:v>
      </x:c>
      <x:c r="E831" s="11" t="n">
        <x:v>8.183333333333334</x:v>
      </x:c>
      <x:c r="F831" s="11" t="n">
        <x:v>16.183333333333334</x:v>
      </x:c>
      <x:c r="G831" s="11" t="n">
        <x:f>F831-E831</x:f>
        <x:v>8</x:v>
      </x:c>
      <x:c r="H831" s="10" t="n">
        <x:v>1</x:v>
      </x:c>
      <x:c r="I831" s="10" t="str">
        <x:v>completed_as_adopted</x:v>
      </x:c>
      <x:c r="J831" s="10" t="str">
        <x:v>VOICE:B-R1/S4-12/scored/05565</x:v>
      </x:c>
      <x:c r="K831" s="10" t="str">
        <x:v>VOICE:S4-12:input</x:v>
      </x:c>
      <x:c r="L831" s="10" t="str">
        <x:v>VOICE:B-R1/S4-12/scored/05565</x:v>
      </x:c>
    </x:row>
    <x:row r="832" ht="52" customHeight="1">
      <x:c r="A832" s="10" t="str">
        <x:v>V-R2</x:v>
      </x:c>
      <x:c r="B832" s="10" t="str">
        <x:v>VOICE</x:v>
      </x:c>
      <x:c r="C832" s="10" t="str">
        <x:v>VOICE:S4-12</x:v>
      </x:c>
      <x:c r="D832" s="10" t="str">
        <x:v>VOICE:S4-12:goal</x:v>
      </x:c>
      <x:c r="E832" s="11" t="n">
        <x:v>7.083333333333333</x:v>
      </x:c>
      <x:c r="F832" s="11" t="n">
        <x:v>15.083333333333334</x:v>
      </x:c>
      <x:c r="G832" s="11" t="n">
        <x:f>F832-E832</x:f>
        <x:v>8</x:v>
      </x:c>
      <x:c r="H832" s="10" t="n">
        <x:v>1</x:v>
      </x:c>
      <x:c r="I832" s="10" t="str">
        <x:v>completed_as_adopted</x:v>
      </x:c>
      <x:c r="J832" s="10" t="str">
        <x:v>VOICE:B-R2/S4-12/scored/05591</x:v>
      </x:c>
      <x:c r="K832" s="10" t="str">
        <x:v>VOICE:S4-12:input</x:v>
      </x:c>
      <x:c r="L832" s="10" t="str">
        <x:v>VOICE:B-R2/S4-12/scored/05591</x:v>
      </x:c>
    </x:row>
    <x:row r="833" ht="52" customHeight="1">
      <x:c r="A833" s="10" t="str">
        <x:v>V-R3</x:v>
      </x:c>
      <x:c r="B833" s="10" t="str">
        <x:v>VOICE</x:v>
      </x:c>
      <x:c r="C833" s="10" t="str">
        <x:v>VOICE:S4-12</x:v>
      </x:c>
      <x:c r="D833" s="10" t="str">
        <x:v>VOICE:S4-12:goal</x:v>
      </x:c>
      <x:c r="E833" s="11" t="n">
        <x:v>7.1433333333333335</x:v>
      </x:c>
      <x:c r="F833" s="11" t="n">
        <x:v>15.143333333333334</x:v>
      </x:c>
      <x:c r="G833" s="11" t="n">
        <x:f>F833-E833</x:f>
        <x:v>8</x:v>
      </x:c>
      <x:c r="H833" s="10" t="n">
        <x:v>1</x:v>
      </x:c>
      <x:c r="I833" s="10" t="str">
        <x:v>completed_as_adopted</x:v>
      </x:c>
      <x:c r="J833" s="10" t="str">
        <x:v>VOICE:B-R3/S4-12/scored/05619</x:v>
      </x:c>
      <x:c r="K833" s="10" t="str">
        <x:v>VOICE:S4-12:input</x:v>
      </x:c>
      <x:c r="L833" s="10" t="str">
        <x:v>VOICE:B-R3/S4-12/scored/05619</x:v>
      </x:c>
    </x:row>
    <x:row r="834" ht="52" customHeight="1">
      <x:c r="A834" s="10" t="str">
        <x:v>V-A</x:v>
      </x:c>
      <x:c r="B834" s="10" t="str">
        <x:v>VOICE</x:v>
      </x:c>
      <x:c r="C834" s="10" t="str">
        <x:v>VOICE:S4-13</x:v>
      </x:c>
      <x:c r="D834" s="10" t="str">
        <x:v>VOICE:S4-13:goal</x:v>
      </x:c>
      <x:c r="E834" s="11" t="n">
        <x:v>5.916666666666666</x:v>
      </x:c>
      <x:c r="F834" s="11" t="n">
        <x:v>13.916666666666668</x:v>
      </x:c>
      <x:c r="G834" s="11" t="n">
        <x:f>F834-E834</x:f>
        <x:v>8.000000000000002</x:v>
      </x:c>
      <x:c r="H834" s="10" t="n">
        <x:v>1</x:v>
      </x:c>
      <x:c r="I834" s="10" t="str">
        <x:v>completed_as_adopted</x:v>
      </x:c>
      <x:c r="J834" s="10" t="str">
        <x:v>VOICE:A/S4-13/scored/05641</x:v>
      </x:c>
      <x:c r="K834" s="10" t="str">
        <x:v>VOICE:S4-13:input</x:v>
      </x:c>
      <x:c r="L834" s="10" t="str">
        <x:v>VOICE:A/S4-13/scored/05641</x:v>
      </x:c>
    </x:row>
    <x:row r="835" ht="52" customHeight="1">
      <x:c r="A835" s="10" t="str">
        <x:v>V-R1</x:v>
      </x:c>
      <x:c r="B835" s="10" t="str">
        <x:v>VOICE</x:v>
      </x:c>
      <x:c r="C835" s="10" t="str">
        <x:v>VOICE:S4-13</x:v>
      </x:c>
      <x:c r="D835" s="10" t="str">
        <x:v>VOICE:S4-13:goal</x:v>
      </x:c>
      <x:c r="E835" s="11" t="n">
        <x:v>8.183333333333334</x:v>
      </x:c>
      <x:c r="F835" s="11" t="n">
        <x:v>16.183333333333334</x:v>
      </x:c>
      <x:c r="G835" s="11" t="n">
        <x:f>F835-E835</x:f>
        <x:v>8</x:v>
      </x:c>
      <x:c r="H835" s="10" t="n">
        <x:v>1</x:v>
      </x:c>
      <x:c r="I835" s="10" t="str">
        <x:v>completed_as_adopted</x:v>
      </x:c>
      <x:c r="J835" s="10" t="str">
        <x:v>VOICE:B-R1/S4-13/scored/05670</x:v>
      </x:c>
      <x:c r="K835" s="10" t="str">
        <x:v>VOICE:S4-13:input</x:v>
      </x:c>
      <x:c r="L835" s="10" t="str">
        <x:v>VOICE:B-R1/S4-13/scored/05670</x:v>
      </x:c>
    </x:row>
    <x:row r="836" ht="52" customHeight="1">
      <x:c r="A836" s="10" t="str">
        <x:v>V-R2</x:v>
      </x:c>
      <x:c r="B836" s="10" t="str">
        <x:v>VOICE</x:v>
      </x:c>
      <x:c r="C836" s="10" t="str">
        <x:v>VOICE:S4-13</x:v>
      </x:c>
      <x:c r="D836" s="10" t="str">
        <x:v>VOICE:S4-13:goal</x:v>
      </x:c>
      <x:c r="E836" s="11" t="n">
        <x:v>7.083333333333333</x:v>
      </x:c>
      <x:c r="F836" s="11" t="n">
        <x:v>15.083333333333334</x:v>
      </x:c>
      <x:c r="G836" s="11" t="n">
        <x:f>F836-E836</x:f>
        <x:v>8</x:v>
      </x:c>
      <x:c r="H836" s="10" t="n">
        <x:v>1</x:v>
      </x:c>
      <x:c r="I836" s="10" t="str">
        <x:v>completed_as_adopted</x:v>
      </x:c>
      <x:c r="J836" s="10" t="str">
        <x:v>VOICE:B-R2/S4-13/scored/05696</x:v>
      </x:c>
      <x:c r="K836" s="10" t="str">
        <x:v>VOICE:S4-13:input</x:v>
      </x:c>
      <x:c r="L836" s="10" t="str">
        <x:v>VOICE:B-R2/S4-13/scored/05696</x:v>
      </x:c>
    </x:row>
    <x:row r="837" ht="52" customHeight="1">
      <x:c r="A837" s="10" t="str">
        <x:v>V-R3</x:v>
      </x:c>
      <x:c r="B837" s="10" t="str">
        <x:v>VOICE</x:v>
      </x:c>
      <x:c r="C837" s="10" t="str">
        <x:v>VOICE:S4-13</x:v>
      </x:c>
      <x:c r="D837" s="10" t="str">
        <x:v>VOICE:S4-13:goal</x:v>
      </x:c>
      <x:c r="E837" s="11" t="n">
        <x:v>7.1433333333333335</x:v>
      </x:c>
      <x:c r="F837" s="11" t="n">
        <x:v>15.143333333333334</x:v>
      </x:c>
      <x:c r="G837" s="11" t="n">
        <x:f>F837-E837</x:f>
        <x:v>8</x:v>
      </x:c>
      <x:c r="H837" s="10" t="n">
        <x:v>1</x:v>
      </x:c>
      <x:c r="I837" s="10" t="str">
        <x:v>completed_as_adopted</x:v>
      </x:c>
      <x:c r="J837" s="10" t="str">
        <x:v>VOICE:B-R3/S4-13/scored/05724</x:v>
      </x:c>
      <x:c r="K837" s="10" t="str">
        <x:v>VOICE:S4-13:input</x:v>
      </x:c>
      <x:c r="L837" s="10" t="str">
        <x:v>VOICE:B-R3/S4-13/scored/05724</x:v>
      </x:c>
    </x:row>
    <x:row r="838" ht="52" customHeight="1">
      <x:c r="A838" s="10" t="str">
        <x:v>V-A</x:v>
      </x:c>
      <x:c r="B838" s="10" t="str">
        <x:v>VOICE</x:v>
      </x:c>
      <x:c r="C838" s="10" t="str">
        <x:v>VOICE:S4-14</x:v>
      </x:c>
      <x:c r="D838" s="10" t="str">
        <x:v>VOICE:S4-14:goal</x:v>
      </x:c>
      <x:c r="E838" s="11" t="n">
        <x:v>5.916666666666666</x:v>
      </x:c>
      <x:c r="F838" s="11" t="n">
        <x:v>13.916666666666668</x:v>
      </x:c>
      <x:c r="G838" s="11" t="n">
        <x:f>F838-E838</x:f>
        <x:v>8.000000000000002</x:v>
      </x:c>
      <x:c r="H838" s="10" t="n">
        <x:v>1</x:v>
      </x:c>
      <x:c r="I838" s="10" t="str">
        <x:v>completed_as_adopted</x:v>
      </x:c>
      <x:c r="J838" s="10" t="str">
        <x:v>VOICE:A/S4-14/scored/05746</x:v>
      </x:c>
      <x:c r="K838" s="10" t="str">
        <x:v>VOICE:S4-14:input</x:v>
      </x:c>
      <x:c r="L838" s="10" t="str">
        <x:v>VOICE:A/S4-14/scored/05746</x:v>
      </x:c>
    </x:row>
    <x:row r="839" ht="52" customHeight="1">
      <x:c r="A839" s="10" t="str">
        <x:v>V-R1</x:v>
      </x:c>
      <x:c r="B839" s="10" t="str">
        <x:v>VOICE</x:v>
      </x:c>
      <x:c r="C839" s="10" t="str">
        <x:v>VOICE:S4-14</x:v>
      </x:c>
      <x:c r="D839" s="10" t="str">
        <x:v>VOICE:S4-14:goal</x:v>
      </x:c>
      <x:c r="E839" s="11" t="n">
        <x:v>8.183333333333334</x:v>
      </x:c>
      <x:c r="F839" s="11" t="n">
        <x:v>16.183333333333334</x:v>
      </x:c>
      <x:c r="G839" s="11" t="n">
        <x:f>F839-E839</x:f>
        <x:v>8</x:v>
      </x:c>
      <x:c r="H839" s="10" t="n">
        <x:v>1</x:v>
      </x:c>
      <x:c r="I839" s="10" t="str">
        <x:v>completed_as_adopted</x:v>
      </x:c>
      <x:c r="J839" s="10" t="str">
        <x:v>VOICE:B-R1/S4-14/scored/05775</x:v>
      </x:c>
      <x:c r="K839" s="10" t="str">
        <x:v>VOICE:S4-14:input</x:v>
      </x:c>
      <x:c r="L839" s="10" t="str">
        <x:v>VOICE:B-R1/S4-14/scored/05775</x:v>
      </x:c>
    </x:row>
    <x:row r="840" ht="52" customHeight="1">
      <x:c r="A840" s="10" t="str">
        <x:v>V-R2</x:v>
      </x:c>
      <x:c r="B840" s="10" t="str">
        <x:v>VOICE</x:v>
      </x:c>
      <x:c r="C840" s="10" t="str">
        <x:v>VOICE:S4-14</x:v>
      </x:c>
      <x:c r="D840" s="10" t="str">
        <x:v>VOICE:S4-14:goal</x:v>
      </x:c>
      <x:c r="E840" s="11" t="n">
        <x:v>7.083333333333333</x:v>
      </x:c>
      <x:c r="F840" s="11" t="n">
        <x:v>15.083333333333334</x:v>
      </x:c>
      <x:c r="G840" s="11" t="n">
        <x:f>F840-E840</x:f>
        <x:v>8</x:v>
      </x:c>
      <x:c r="H840" s="10" t="n">
        <x:v>1</x:v>
      </x:c>
      <x:c r="I840" s="10" t="str">
        <x:v>completed_as_adopted</x:v>
      </x:c>
      <x:c r="J840" s="10" t="str">
        <x:v>VOICE:B-R2/S4-14/scored/05801</x:v>
      </x:c>
      <x:c r="K840" s="10" t="str">
        <x:v>VOICE:S4-14:input</x:v>
      </x:c>
      <x:c r="L840" s="10" t="str">
        <x:v>VOICE:B-R2/S4-14/scored/05801</x:v>
      </x:c>
    </x:row>
    <x:row r="841" ht="52" customHeight="1">
      <x:c r="A841" s="10" t="str">
        <x:v>V-R3</x:v>
      </x:c>
      <x:c r="B841" s="10" t="str">
        <x:v>VOICE</x:v>
      </x:c>
      <x:c r="C841" s="10" t="str">
        <x:v>VOICE:S4-14</x:v>
      </x:c>
      <x:c r="D841" s="10" t="str">
        <x:v>VOICE:S4-14:goal</x:v>
      </x:c>
      <x:c r="E841" s="11" t="n">
        <x:v>7.1433333333333335</x:v>
      </x:c>
      <x:c r="F841" s="11" t="n">
        <x:v>15.143333333333334</x:v>
      </x:c>
      <x:c r="G841" s="11" t="n">
        <x:f>F841-E841</x:f>
        <x:v>8</x:v>
      </x:c>
      <x:c r="H841" s="10" t="n">
        <x:v>1</x:v>
      </x:c>
      <x:c r="I841" s="10" t="str">
        <x:v>completed_as_adopted</x:v>
      </x:c>
      <x:c r="J841" s="10" t="str">
        <x:v>VOICE:B-R3/S4-14/scored/05829</x:v>
      </x:c>
      <x:c r="K841" s="10" t="str">
        <x:v>VOICE:S4-14:input</x:v>
      </x:c>
      <x:c r="L841" s="10" t="str">
        <x:v>VOICE:B-R3/S4-14/scored/05829</x:v>
      </x:c>
    </x:row>
    <x:row r="842" ht="52" customHeight="1">
      <x:c r="A842" s="10" t="str">
        <x:v>V-A</x:v>
      </x:c>
      <x:c r="B842" s="10" t="str">
        <x:v>VOICE</x:v>
      </x:c>
      <x:c r="C842" s="10" t="str">
        <x:v>VOICE:S4-15</x:v>
      </x:c>
      <x:c r="D842" s="10" t="str">
        <x:v>VOICE:S4-15:goal</x:v>
      </x:c>
      <x:c r="E842" s="11" t="n">
        <x:v>5.916666666666666</x:v>
      </x:c>
      <x:c r="F842" s="11" t="n">
        <x:v>13.916666666666668</x:v>
      </x:c>
      <x:c r="G842" s="11" t="n">
        <x:f>F842-E842</x:f>
        <x:v>8.000000000000002</x:v>
      </x:c>
      <x:c r="H842" s="10" t="n">
        <x:v>1</x:v>
      </x:c>
      <x:c r="I842" s="10" t="str">
        <x:v>completed_as_adopted</x:v>
      </x:c>
      <x:c r="J842" s="10" t="str">
        <x:v>VOICE:A/S4-15/scored/05851</x:v>
      </x:c>
      <x:c r="K842" s="10" t="str">
        <x:v>VOICE:S4-15:input</x:v>
      </x:c>
      <x:c r="L842" s="10" t="str">
        <x:v>VOICE:A/S4-15/scored/05851</x:v>
      </x:c>
    </x:row>
    <x:row r="843" ht="52" customHeight="1">
      <x:c r="A843" s="10" t="str">
        <x:v>V-R1</x:v>
      </x:c>
      <x:c r="B843" s="10" t="str">
        <x:v>VOICE</x:v>
      </x:c>
      <x:c r="C843" s="10" t="str">
        <x:v>VOICE:S4-15</x:v>
      </x:c>
      <x:c r="D843" s="10" t="str">
        <x:v>VOICE:S4-15:goal</x:v>
      </x:c>
      <x:c r="E843" s="11" t="n">
        <x:v>8.183333333333334</x:v>
      </x:c>
      <x:c r="F843" s="11" t="n">
        <x:v>16.183333333333334</x:v>
      </x:c>
      <x:c r="G843" s="11" t="n">
        <x:f>F843-E843</x:f>
        <x:v>8</x:v>
      </x:c>
      <x:c r="H843" s="10" t="n">
        <x:v>1</x:v>
      </x:c>
      <x:c r="I843" s="10" t="str">
        <x:v>completed_as_adopted</x:v>
      </x:c>
      <x:c r="J843" s="10" t="str">
        <x:v>VOICE:B-R1/S4-15/scored/05880</x:v>
      </x:c>
      <x:c r="K843" s="10" t="str">
        <x:v>VOICE:S4-15:input</x:v>
      </x:c>
      <x:c r="L843" s="10" t="str">
        <x:v>VOICE:B-R1/S4-15/scored/05880</x:v>
      </x:c>
    </x:row>
    <x:row r="844" ht="52" customHeight="1">
      <x:c r="A844" s="10" t="str">
        <x:v>V-R2</x:v>
      </x:c>
      <x:c r="B844" s="10" t="str">
        <x:v>VOICE</x:v>
      </x:c>
      <x:c r="C844" s="10" t="str">
        <x:v>VOICE:S4-15</x:v>
      </x:c>
      <x:c r="D844" s="10" t="str">
        <x:v>VOICE:S4-15:goal</x:v>
      </x:c>
      <x:c r="E844" s="11" t="n">
        <x:v>7.083333333333333</x:v>
      </x:c>
      <x:c r="F844" s="11" t="n">
        <x:v>15.083333333333334</x:v>
      </x:c>
      <x:c r="G844" s="11" t="n">
        <x:f>F844-E844</x:f>
        <x:v>8</x:v>
      </x:c>
      <x:c r="H844" s="10" t="n">
        <x:v>1</x:v>
      </x:c>
      <x:c r="I844" s="10" t="str">
        <x:v>completed_as_adopted</x:v>
      </x:c>
      <x:c r="J844" s="10" t="str">
        <x:v>VOICE:B-R2/S4-15/scored/05906</x:v>
      </x:c>
      <x:c r="K844" s="10" t="str">
        <x:v>VOICE:S4-15:input</x:v>
      </x:c>
      <x:c r="L844" s="10" t="str">
        <x:v>VOICE:B-R2/S4-15/scored/05906</x:v>
      </x:c>
    </x:row>
    <x:row r="845" ht="52" customHeight="1">
      <x:c r="A845" s="10" t="str">
        <x:v>V-R3</x:v>
      </x:c>
      <x:c r="B845" s="10" t="str">
        <x:v>VOICE</x:v>
      </x:c>
      <x:c r="C845" s="10" t="str">
        <x:v>VOICE:S4-15</x:v>
      </x:c>
      <x:c r="D845" s="10" t="str">
        <x:v>VOICE:S4-15:goal</x:v>
      </x:c>
      <x:c r="E845" s="11" t="n">
        <x:v>7.1433333333333335</x:v>
      </x:c>
      <x:c r="F845" s="11" t="n">
        <x:v>15.143333333333334</x:v>
      </x:c>
      <x:c r="G845" s="11" t="n">
        <x:f>F845-E845</x:f>
        <x:v>8</x:v>
      </x:c>
      <x:c r="H845" s="10" t="n">
        <x:v>1</x:v>
      </x:c>
      <x:c r="I845" s="10" t="str">
        <x:v>completed_as_adopted</x:v>
      </x:c>
      <x:c r="J845" s="10" t="str">
        <x:v>VOICE:B-R3/S4-15/scored/05934</x:v>
      </x:c>
      <x:c r="K845" s="10" t="str">
        <x:v>VOICE:S4-15:input</x:v>
      </x:c>
      <x:c r="L845" s="10" t="str">
        <x:v>VOICE:B-R3/S4-15/scored/05934</x:v>
      </x:c>
    </x:row>
    <x:row r="846" ht="52" customHeight="1">
      <x:c r="A846" s="10" t="str">
        <x:v>V-A</x:v>
      </x:c>
      <x:c r="B846" s="10" t="str">
        <x:v>VOICE</x:v>
      </x:c>
      <x:c r="C846" s="10" t="str">
        <x:v>VOICE:S4-16</x:v>
      </x:c>
      <x:c r="D846" s="10" t="str">
        <x:v>VOICE:S4-16:goal</x:v>
      </x:c>
      <x:c r="E846" s="11" t="n">
        <x:v>5.916666666666666</x:v>
      </x:c>
      <x:c r="F846" s="11" t="n">
        <x:v>13.916666666666668</x:v>
      </x:c>
      <x:c r="G846" s="11" t="n">
        <x:f>F846-E846</x:f>
        <x:v>8.000000000000002</x:v>
      </x:c>
      <x:c r="H846" s="10" t="n">
        <x:v>1</x:v>
      </x:c>
      <x:c r="I846" s="10" t="str">
        <x:v>completed_as_adopted</x:v>
      </x:c>
      <x:c r="J846" s="10" t="str">
        <x:v>VOICE:A/S4-16/scored/05956</x:v>
      </x:c>
      <x:c r="K846" s="10" t="str">
        <x:v>VOICE:S4-16:input</x:v>
      </x:c>
      <x:c r="L846" s="10" t="str">
        <x:v>VOICE:A/S4-16/scored/05956</x:v>
      </x:c>
    </x:row>
    <x:row r="847" ht="52" customHeight="1">
      <x:c r="A847" s="10" t="str">
        <x:v>V-R1</x:v>
      </x:c>
      <x:c r="B847" s="10" t="str">
        <x:v>VOICE</x:v>
      </x:c>
      <x:c r="C847" s="10" t="str">
        <x:v>VOICE:S4-16</x:v>
      </x:c>
      <x:c r="D847" s="10" t="str">
        <x:v>VOICE:S4-16:goal</x:v>
      </x:c>
      <x:c r="E847" s="11" t="n">
        <x:v>8.183333333333334</x:v>
      </x:c>
      <x:c r="F847" s="11" t="n">
        <x:v>16.183333333333334</x:v>
      </x:c>
      <x:c r="G847" s="11" t="n">
        <x:f>F847-E847</x:f>
        <x:v>8</x:v>
      </x:c>
      <x:c r="H847" s="10" t="n">
        <x:v>1</x:v>
      </x:c>
      <x:c r="I847" s="10" t="str">
        <x:v>completed_as_adopted</x:v>
      </x:c>
      <x:c r="J847" s="10" t="str">
        <x:v>VOICE:B-R1/S4-16/scored/05985</x:v>
      </x:c>
      <x:c r="K847" s="10" t="str">
        <x:v>VOICE:S4-16:input</x:v>
      </x:c>
      <x:c r="L847" s="10" t="str">
        <x:v>VOICE:B-R1/S4-16/scored/05985</x:v>
      </x:c>
    </x:row>
    <x:row r="848" ht="52" customHeight="1">
      <x:c r="A848" s="10" t="str">
        <x:v>V-R2</x:v>
      </x:c>
      <x:c r="B848" s="10" t="str">
        <x:v>VOICE</x:v>
      </x:c>
      <x:c r="C848" s="10" t="str">
        <x:v>VOICE:S4-16</x:v>
      </x:c>
      <x:c r="D848" s="10" t="str">
        <x:v>VOICE:S4-16:goal</x:v>
      </x:c>
      <x:c r="E848" s="11" t="n">
        <x:v>7.083333333333333</x:v>
      </x:c>
      <x:c r="F848" s="11" t="n">
        <x:v>15.083333333333334</x:v>
      </x:c>
      <x:c r="G848" s="11" t="n">
        <x:f>F848-E848</x:f>
        <x:v>8</x:v>
      </x:c>
      <x:c r="H848" s="10" t="n">
        <x:v>1</x:v>
      </x:c>
      <x:c r="I848" s="10" t="str">
        <x:v>completed_as_adopted</x:v>
      </x:c>
      <x:c r="J848" s="10" t="str">
        <x:v>VOICE:B-R2/S4-16/scored/06011</x:v>
      </x:c>
      <x:c r="K848" s="10" t="str">
        <x:v>VOICE:S4-16:input</x:v>
      </x:c>
      <x:c r="L848" s="10" t="str">
        <x:v>VOICE:B-R2/S4-16/scored/06011</x:v>
      </x:c>
    </x:row>
    <x:row r="849" ht="52" customHeight="1">
      <x:c r="A849" s="10" t="str">
        <x:v>V-R3</x:v>
      </x:c>
      <x:c r="B849" s="10" t="str">
        <x:v>VOICE</x:v>
      </x:c>
      <x:c r="C849" s="10" t="str">
        <x:v>VOICE:S4-16</x:v>
      </x:c>
      <x:c r="D849" s="10" t="str">
        <x:v>VOICE:S4-16:goal</x:v>
      </x:c>
      <x:c r="E849" s="11" t="n">
        <x:v>7.1433333333333335</x:v>
      </x:c>
      <x:c r="F849" s="11" t="n">
        <x:v>15.143333333333334</x:v>
      </x:c>
      <x:c r="G849" s="11" t="n">
        <x:f>F849-E849</x:f>
        <x:v>8</x:v>
      </x:c>
      <x:c r="H849" s="10" t="n">
        <x:v>1</x:v>
      </x:c>
      <x:c r="I849" s="10" t="str">
        <x:v>completed_as_adopted</x:v>
      </x:c>
      <x:c r="J849" s="10" t="str">
        <x:v>VOICE:B-R3/S4-16/scored/06039</x:v>
      </x:c>
      <x:c r="K849" s="10" t="str">
        <x:v>VOICE:S4-16:input</x:v>
      </x:c>
      <x:c r="L849" s="10" t="str">
        <x:v>VOICE:B-R3/S4-16/scored/06039</x:v>
      </x:c>
    </x:row>
    <x:row r="850" ht="52" customHeight="1">
      <x:c r="A850" s="10" t="str">
        <x:v>V-A</x:v>
      </x:c>
      <x:c r="B850" s="10" t="str">
        <x:v>VOICE</x:v>
      </x:c>
      <x:c r="C850" s="10" t="str">
        <x:v>VOICE:S4-17</x:v>
      </x:c>
      <x:c r="D850" s="10" t="str">
        <x:v>VOICE:S4-17:goal</x:v>
      </x:c>
      <x:c r="E850" s="11" t="n">
        <x:v>5.916666666666666</x:v>
      </x:c>
      <x:c r="F850" s="11" t="n">
        <x:v>13.916666666666668</x:v>
      </x:c>
      <x:c r="G850" s="11" t="n">
        <x:f>F850-E850</x:f>
        <x:v>8.000000000000002</x:v>
      </x:c>
      <x:c r="H850" s="10" t="n">
        <x:v>1</x:v>
      </x:c>
      <x:c r="I850" s="10" t="str">
        <x:v>completed_as_adopted</x:v>
      </x:c>
      <x:c r="J850" s="10" t="str">
        <x:v>VOICE:A/S4-17/scored/06061</x:v>
      </x:c>
      <x:c r="K850" s="10" t="str">
        <x:v>VOICE:S4-17:input</x:v>
      </x:c>
      <x:c r="L850" s="10" t="str">
        <x:v>VOICE:A/S4-17/scored/06061</x:v>
      </x:c>
    </x:row>
    <x:row r="851" ht="52" customHeight="1">
      <x:c r="A851" s="10" t="str">
        <x:v>V-R1</x:v>
      </x:c>
      <x:c r="B851" s="10" t="str">
        <x:v>VOICE</x:v>
      </x:c>
      <x:c r="C851" s="10" t="str">
        <x:v>VOICE:S4-17</x:v>
      </x:c>
      <x:c r="D851" s="10" t="str">
        <x:v>VOICE:S4-17:goal</x:v>
      </x:c>
      <x:c r="E851" s="11" t="n">
        <x:v>8.183333333333334</x:v>
      </x:c>
      <x:c r="F851" s="11" t="n">
        <x:v>16.183333333333334</x:v>
      </x:c>
      <x:c r="G851" s="11" t="n">
        <x:f>F851-E851</x:f>
        <x:v>8</x:v>
      </x:c>
      <x:c r="H851" s="10" t="n">
        <x:v>1</x:v>
      </x:c>
      <x:c r="I851" s="10" t="str">
        <x:v>completed_as_adopted</x:v>
      </x:c>
      <x:c r="J851" s="10" t="str">
        <x:v>VOICE:B-R1/S4-17/scored/06090</x:v>
      </x:c>
      <x:c r="K851" s="10" t="str">
        <x:v>VOICE:S4-17:input</x:v>
      </x:c>
      <x:c r="L851" s="10" t="str">
        <x:v>VOICE:B-R1/S4-17/scored/06090</x:v>
      </x:c>
    </x:row>
    <x:row r="852" ht="52" customHeight="1">
      <x:c r="A852" s="10" t="str">
        <x:v>V-R2</x:v>
      </x:c>
      <x:c r="B852" s="10" t="str">
        <x:v>VOICE</x:v>
      </x:c>
      <x:c r="C852" s="10" t="str">
        <x:v>VOICE:S4-17</x:v>
      </x:c>
      <x:c r="D852" s="10" t="str">
        <x:v>VOICE:S4-17:goal</x:v>
      </x:c>
      <x:c r="E852" s="11" t="n">
        <x:v>7.083333333333333</x:v>
      </x:c>
      <x:c r="F852" s="11" t="n">
        <x:v>15.083333333333334</x:v>
      </x:c>
      <x:c r="G852" s="11" t="n">
        <x:f>F852-E852</x:f>
        <x:v>8</x:v>
      </x:c>
      <x:c r="H852" s="10" t="n">
        <x:v>1</x:v>
      </x:c>
      <x:c r="I852" s="10" t="str">
        <x:v>completed_as_adopted</x:v>
      </x:c>
      <x:c r="J852" s="10" t="str">
        <x:v>VOICE:B-R2/S4-17/scored/06116</x:v>
      </x:c>
      <x:c r="K852" s="10" t="str">
        <x:v>VOICE:S4-17:input</x:v>
      </x:c>
      <x:c r="L852" s="10" t="str">
        <x:v>VOICE:B-R2/S4-17/scored/06116</x:v>
      </x:c>
    </x:row>
    <x:row r="853" ht="52" customHeight="1">
      <x:c r="A853" s="10" t="str">
        <x:v>V-R3</x:v>
      </x:c>
      <x:c r="B853" s="10" t="str">
        <x:v>VOICE</x:v>
      </x:c>
      <x:c r="C853" s="10" t="str">
        <x:v>VOICE:S4-17</x:v>
      </x:c>
      <x:c r="D853" s="10" t="str">
        <x:v>VOICE:S4-17:goal</x:v>
      </x:c>
      <x:c r="E853" s="11" t="n">
        <x:v>7.1433333333333335</x:v>
      </x:c>
      <x:c r="F853" s="11" t="n">
        <x:v>15.143333333333334</x:v>
      </x:c>
      <x:c r="G853" s="11" t="n">
        <x:f>F853-E853</x:f>
        <x:v>8</x:v>
      </x:c>
      <x:c r="H853" s="10" t="n">
        <x:v>1</x:v>
      </x:c>
      <x:c r="I853" s="10" t="str">
        <x:v>completed_as_adopted</x:v>
      </x:c>
      <x:c r="J853" s="10" t="str">
        <x:v>VOICE:B-R3/S4-17/scored/06144</x:v>
      </x:c>
      <x:c r="K853" s="10" t="str">
        <x:v>VOICE:S4-17:input</x:v>
      </x:c>
      <x:c r="L853" s="10" t="str">
        <x:v>VOICE:B-R3/S4-17/scored/06144</x:v>
      </x:c>
    </x:row>
    <x:row r="854" ht="52" customHeight="1">
      <x:c r="A854" s="10" t="str">
        <x:v>V-A</x:v>
      </x:c>
      <x:c r="B854" s="10" t="str">
        <x:v>VOICE</x:v>
      </x:c>
      <x:c r="C854" s="10" t="str">
        <x:v>VOICE:S4-18</x:v>
      </x:c>
      <x:c r="D854" s="10" t="str">
        <x:v>VOICE:S4-18:goal</x:v>
      </x:c>
      <x:c r="E854" s="11" t="n">
        <x:v>5.916666666666666</x:v>
      </x:c>
      <x:c r="F854" s="11" t="n">
        <x:v>13.916666666666668</x:v>
      </x:c>
      <x:c r="G854" s="11" t="n">
        <x:f>F854-E854</x:f>
        <x:v>8.000000000000002</x:v>
      </x:c>
      <x:c r="H854" s="10" t="n">
        <x:v>1</x:v>
      </x:c>
      <x:c r="I854" s="10" t="str">
        <x:v>completed_as_adopted</x:v>
      </x:c>
      <x:c r="J854" s="10" t="str">
        <x:v>VOICE:A/S4-18/scored/06166</x:v>
      </x:c>
      <x:c r="K854" s="10" t="str">
        <x:v>VOICE:S4-18:input</x:v>
      </x:c>
      <x:c r="L854" s="10" t="str">
        <x:v>VOICE:A/S4-18/scored/06166</x:v>
      </x:c>
    </x:row>
    <x:row r="855" ht="52" customHeight="1">
      <x:c r="A855" s="10" t="str">
        <x:v>V-R1</x:v>
      </x:c>
      <x:c r="B855" s="10" t="str">
        <x:v>VOICE</x:v>
      </x:c>
      <x:c r="C855" s="10" t="str">
        <x:v>VOICE:S4-18</x:v>
      </x:c>
      <x:c r="D855" s="10" t="str">
        <x:v>VOICE:S4-18:goal</x:v>
      </x:c>
      <x:c r="E855" s="11" t="n">
        <x:v>8.183333333333334</x:v>
      </x:c>
      <x:c r="F855" s="11" t="n">
        <x:v>16.183333333333334</x:v>
      </x:c>
      <x:c r="G855" s="11" t="n">
        <x:f>F855-E855</x:f>
        <x:v>8</x:v>
      </x:c>
      <x:c r="H855" s="10" t="n">
        <x:v>1</x:v>
      </x:c>
      <x:c r="I855" s="10" t="str">
        <x:v>completed_as_adopted</x:v>
      </x:c>
      <x:c r="J855" s="10" t="str">
        <x:v>VOICE:B-R1/S4-18/scored/06195</x:v>
      </x:c>
      <x:c r="K855" s="10" t="str">
        <x:v>VOICE:S4-18:input</x:v>
      </x:c>
      <x:c r="L855" s="10" t="str">
        <x:v>VOICE:B-R1/S4-18/scored/06195</x:v>
      </x:c>
    </x:row>
    <x:row r="856" ht="52" customHeight="1">
      <x:c r="A856" s="10" t="str">
        <x:v>V-R2</x:v>
      </x:c>
      <x:c r="B856" s="10" t="str">
        <x:v>VOICE</x:v>
      </x:c>
      <x:c r="C856" s="10" t="str">
        <x:v>VOICE:S4-18</x:v>
      </x:c>
      <x:c r="D856" s="10" t="str">
        <x:v>VOICE:S4-18:goal</x:v>
      </x:c>
      <x:c r="E856" s="11" t="n">
        <x:v>7.083333333333333</x:v>
      </x:c>
      <x:c r="F856" s="11" t="n">
        <x:v>15.083333333333334</x:v>
      </x:c>
      <x:c r="G856" s="11" t="n">
        <x:f>F856-E856</x:f>
        <x:v>8</x:v>
      </x:c>
      <x:c r="H856" s="10" t="n">
        <x:v>1</x:v>
      </x:c>
      <x:c r="I856" s="10" t="str">
        <x:v>completed_as_adopted</x:v>
      </x:c>
      <x:c r="J856" s="10" t="str">
        <x:v>VOICE:B-R2/S4-18/scored/06221</x:v>
      </x:c>
      <x:c r="K856" s="10" t="str">
        <x:v>VOICE:S4-18:input</x:v>
      </x:c>
      <x:c r="L856" s="10" t="str">
        <x:v>VOICE:B-R2/S4-18/scored/06221</x:v>
      </x:c>
    </x:row>
    <x:row r="857" ht="52" customHeight="1">
      <x:c r="A857" s="10" t="str">
        <x:v>V-R3</x:v>
      </x:c>
      <x:c r="B857" s="10" t="str">
        <x:v>VOICE</x:v>
      </x:c>
      <x:c r="C857" s="10" t="str">
        <x:v>VOICE:S4-18</x:v>
      </x:c>
      <x:c r="D857" s="10" t="str">
        <x:v>VOICE:S4-18:goal</x:v>
      </x:c>
      <x:c r="E857" s="11" t="n">
        <x:v>7.1433333333333335</x:v>
      </x:c>
      <x:c r="F857" s="11" t="n">
        <x:v>15.143333333333334</x:v>
      </x:c>
      <x:c r="G857" s="11" t="n">
        <x:f>F857-E857</x:f>
        <x:v>8</x:v>
      </x:c>
      <x:c r="H857" s="10" t="n">
        <x:v>1</x:v>
      </x:c>
      <x:c r="I857" s="10" t="str">
        <x:v>completed_as_adopted</x:v>
      </x:c>
      <x:c r="J857" s="10" t="str">
        <x:v>VOICE:B-R3/S4-18/scored/06249</x:v>
      </x:c>
      <x:c r="K857" s="10" t="str">
        <x:v>VOICE:S4-18:input</x:v>
      </x:c>
      <x:c r="L857" s="10" t="str">
        <x:v>VOICE:B-R3/S4-18/scored/06249</x:v>
      </x:c>
    </x:row>
    <x:row r="858" ht="52" customHeight="1">
      <x:c r="A858" s="10" t="str">
        <x:v>V-A</x:v>
      </x:c>
      <x:c r="B858" s="10" t="str">
        <x:v>VOICE</x:v>
      </x:c>
      <x:c r="C858" s="10" t="str">
        <x:v>VOICE:S4-19</x:v>
      </x:c>
      <x:c r="D858" s="10" t="str">
        <x:v>VOICE:S4-19:goal</x:v>
      </x:c>
      <x:c r="E858" s="11" t="n">
        <x:v>5.916666666666666</x:v>
      </x:c>
      <x:c r="F858" s="11" t="n">
        <x:v>13.916666666666668</x:v>
      </x:c>
      <x:c r="G858" s="11" t="n">
        <x:f>F858-E858</x:f>
        <x:v>8.000000000000002</x:v>
      </x:c>
      <x:c r="H858" s="10" t="n">
        <x:v>1</x:v>
      </x:c>
      <x:c r="I858" s="10" t="str">
        <x:v>completed_as_adopted</x:v>
      </x:c>
      <x:c r="J858" s="10" t="str">
        <x:v>VOICE:A/S4-19/scored/06271</x:v>
      </x:c>
      <x:c r="K858" s="10" t="str">
        <x:v>VOICE:S4-19:input</x:v>
      </x:c>
      <x:c r="L858" s="10" t="str">
        <x:v>VOICE:A/S4-19/scored/06271</x:v>
      </x:c>
    </x:row>
    <x:row r="859" ht="52" customHeight="1">
      <x:c r="A859" s="10" t="str">
        <x:v>V-R1</x:v>
      </x:c>
      <x:c r="B859" s="10" t="str">
        <x:v>VOICE</x:v>
      </x:c>
      <x:c r="C859" s="10" t="str">
        <x:v>VOICE:S4-19</x:v>
      </x:c>
      <x:c r="D859" s="10" t="str">
        <x:v>VOICE:S4-19:goal</x:v>
      </x:c>
      <x:c r="E859" s="11" t="n">
        <x:v>8.183333333333334</x:v>
      </x:c>
      <x:c r="F859" s="11" t="n">
        <x:v>16.183333333333334</x:v>
      </x:c>
      <x:c r="G859" s="11" t="n">
        <x:f>F859-E859</x:f>
        <x:v>8</x:v>
      </x:c>
      <x:c r="H859" s="10" t="n">
        <x:v>1</x:v>
      </x:c>
      <x:c r="I859" s="10" t="str">
        <x:v>completed_as_adopted</x:v>
      </x:c>
      <x:c r="J859" s="10" t="str">
        <x:v>VOICE:B-R1/S4-19/scored/06300</x:v>
      </x:c>
      <x:c r="K859" s="10" t="str">
        <x:v>VOICE:S4-19:input</x:v>
      </x:c>
      <x:c r="L859" s="10" t="str">
        <x:v>VOICE:B-R1/S4-19/scored/06300</x:v>
      </x:c>
    </x:row>
    <x:row r="860" ht="52" customHeight="1">
      <x:c r="A860" s="10" t="str">
        <x:v>V-R2</x:v>
      </x:c>
      <x:c r="B860" s="10" t="str">
        <x:v>VOICE</x:v>
      </x:c>
      <x:c r="C860" s="10" t="str">
        <x:v>VOICE:S4-19</x:v>
      </x:c>
      <x:c r="D860" s="10" t="str">
        <x:v>VOICE:S4-19:goal</x:v>
      </x:c>
      <x:c r="E860" s="11" t="n">
        <x:v>7.083333333333333</x:v>
      </x:c>
      <x:c r="F860" s="11" t="n">
        <x:v>15.083333333333334</x:v>
      </x:c>
      <x:c r="G860" s="11" t="n">
        <x:f>F860-E860</x:f>
        <x:v>8</x:v>
      </x:c>
      <x:c r="H860" s="10" t="n">
        <x:v>1</x:v>
      </x:c>
      <x:c r="I860" s="10" t="str">
        <x:v>completed_as_adopted</x:v>
      </x:c>
      <x:c r="J860" s="10" t="str">
        <x:v>VOICE:B-R2/S4-19/scored/06326</x:v>
      </x:c>
      <x:c r="K860" s="10" t="str">
        <x:v>VOICE:S4-19:input</x:v>
      </x:c>
      <x:c r="L860" s="10" t="str">
        <x:v>VOICE:B-R2/S4-19/scored/06326</x:v>
      </x:c>
    </x:row>
    <x:row r="861" ht="52" customHeight="1">
      <x:c r="A861" s="10" t="str">
        <x:v>V-R3</x:v>
      </x:c>
      <x:c r="B861" s="10" t="str">
        <x:v>VOICE</x:v>
      </x:c>
      <x:c r="C861" s="10" t="str">
        <x:v>VOICE:S4-19</x:v>
      </x:c>
      <x:c r="D861" s="10" t="str">
        <x:v>VOICE:S4-19:goal</x:v>
      </x:c>
      <x:c r="E861" s="11" t="n">
        <x:v>7.1433333333333335</x:v>
      </x:c>
      <x:c r="F861" s="11" t="n">
        <x:v>15.143333333333334</x:v>
      </x:c>
      <x:c r="G861" s="11" t="n">
        <x:f>F861-E861</x:f>
        <x:v>8</x:v>
      </x:c>
      <x:c r="H861" s="10" t="n">
        <x:v>1</x:v>
      </x:c>
      <x:c r="I861" s="10" t="str">
        <x:v>completed_as_adopted</x:v>
      </x:c>
      <x:c r="J861" s="10" t="str">
        <x:v>VOICE:B-R3/S4-19/scored/06354</x:v>
      </x:c>
      <x:c r="K861" s="10" t="str">
        <x:v>VOICE:S4-19:input</x:v>
      </x:c>
      <x:c r="L861" s="10" t="str">
        <x:v>VOICE:B-R3/S4-19/scored/06354</x:v>
      </x:c>
    </x:row>
    <x:row r="862" ht="52" customHeight="1">
      <x:c r="A862" s="10" t="str">
        <x:v>V-A</x:v>
      </x:c>
      <x:c r="B862" s="10" t="str">
        <x:v>VOICE</x:v>
      </x:c>
      <x:c r="C862" s="10" t="str">
        <x:v>VOICE:S4-20</x:v>
      </x:c>
      <x:c r="D862" s="10" t="str">
        <x:v>VOICE:S4-20:goal</x:v>
      </x:c>
      <x:c r="E862" s="11" t="n">
        <x:v>5.916666666666666</x:v>
      </x:c>
      <x:c r="F862" s="11" t="n">
        <x:v>13.916666666666668</x:v>
      </x:c>
      <x:c r="G862" s="11" t="n">
        <x:f>F862-E862</x:f>
        <x:v>8.000000000000002</x:v>
      </x:c>
      <x:c r="H862" s="10" t="n">
        <x:v>1</x:v>
      </x:c>
      <x:c r="I862" s="10" t="str">
        <x:v>completed_as_adopted</x:v>
      </x:c>
      <x:c r="J862" s="10" t="str">
        <x:v>VOICE:A/S4-20/scored/06376</x:v>
      </x:c>
      <x:c r="K862" s="10" t="str">
        <x:v>VOICE:S4-20:input</x:v>
      </x:c>
      <x:c r="L862" s="10" t="str">
        <x:v>VOICE:A/S4-20/scored/06376</x:v>
      </x:c>
    </x:row>
    <x:row r="863" ht="52" customHeight="1">
      <x:c r="A863" s="10" t="str">
        <x:v>V-R1</x:v>
      </x:c>
      <x:c r="B863" s="10" t="str">
        <x:v>VOICE</x:v>
      </x:c>
      <x:c r="C863" s="10" t="str">
        <x:v>VOICE:S4-20</x:v>
      </x:c>
      <x:c r="D863" s="10" t="str">
        <x:v>VOICE:S4-20:goal</x:v>
      </x:c>
      <x:c r="E863" s="11" t="n">
        <x:v>8.183333333333334</x:v>
      </x:c>
      <x:c r="F863" s="11" t="n">
        <x:v>16.183333333333334</x:v>
      </x:c>
      <x:c r="G863" s="11" t="n">
        <x:f>F863-E863</x:f>
        <x:v>8</x:v>
      </x:c>
      <x:c r="H863" s="10" t="n">
        <x:v>1</x:v>
      </x:c>
      <x:c r="I863" s="10" t="str">
        <x:v>completed_as_adopted</x:v>
      </x:c>
      <x:c r="J863" s="10" t="str">
        <x:v>VOICE:B-R1/S4-20/scored/06405</x:v>
      </x:c>
      <x:c r="K863" s="10" t="str">
        <x:v>VOICE:S4-20:input</x:v>
      </x:c>
      <x:c r="L863" s="10" t="str">
        <x:v>VOICE:B-R1/S4-20/scored/06405</x:v>
      </x:c>
    </x:row>
    <x:row r="864" ht="52" customHeight="1">
      <x:c r="A864" s="10" t="str">
        <x:v>V-R2</x:v>
      </x:c>
      <x:c r="B864" s="10" t="str">
        <x:v>VOICE</x:v>
      </x:c>
      <x:c r="C864" s="10" t="str">
        <x:v>VOICE:S4-20</x:v>
      </x:c>
      <x:c r="D864" s="10" t="str">
        <x:v>VOICE:S4-20:goal</x:v>
      </x:c>
      <x:c r="E864" s="11" t="n">
        <x:v>7.083333333333333</x:v>
      </x:c>
      <x:c r="F864" s="11" t="n">
        <x:v>15.083333333333334</x:v>
      </x:c>
      <x:c r="G864" s="11" t="n">
        <x:f>F864-E864</x:f>
        <x:v>8</x:v>
      </x:c>
      <x:c r="H864" s="10" t="n">
        <x:v>1</x:v>
      </x:c>
      <x:c r="I864" s="10" t="str">
        <x:v>completed_as_adopted</x:v>
      </x:c>
      <x:c r="J864" s="10" t="str">
        <x:v>VOICE:B-R2/S4-20/scored/06431</x:v>
      </x:c>
      <x:c r="K864" s="10" t="str">
        <x:v>VOICE:S4-20:input</x:v>
      </x:c>
      <x:c r="L864" s="10" t="str">
        <x:v>VOICE:B-R2/S4-20/scored/06431</x:v>
      </x:c>
    </x:row>
    <x:row r="865" ht="52" customHeight="1">
      <x:c r="A865" s="10" t="str">
        <x:v>V-R3</x:v>
      </x:c>
      <x:c r="B865" s="10" t="str">
        <x:v>VOICE</x:v>
      </x:c>
      <x:c r="C865" s="10" t="str">
        <x:v>VOICE:S4-20</x:v>
      </x:c>
      <x:c r="D865" s="10" t="str">
        <x:v>VOICE:S4-20:goal</x:v>
      </x:c>
      <x:c r="E865" s="11" t="n">
        <x:v>7.1433333333333335</x:v>
      </x:c>
      <x:c r="F865" s="11" t="n">
        <x:v>15.143333333333334</x:v>
      </x:c>
      <x:c r="G865" s="11" t="n">
        <x:f>F865-E865</x:f>
        <x:v>8</x:v>
      </x:c>
      <x:c r="H865" s="10" t="n">
        <x:v>1</x:v>
      </x:c>
      <x:c r="I865" s="10" t="str">
        <x:v>completed_as_adopted</x:v>
      </x:c>
      <x:c r="J865" s="10" t="str">
        <x:v>VOICE:B-R3/S4-20/scored/06459</x:v>
      </x:c>
      <x:c r="K865" s="10" t="str">
        <x:v>VOICE:S4-20:input</x:v>
      </x:c>
      <x:c r="L865" s="10" t="str">
        <x:v>VOICE:B-R3/S4-20/scored/06459</x:v>
      </x:c>
    </x:row>
    <x:row r="866" ht="52" customHeight="1">
      <x:c r="A866" s="10" t="str">
        <x:v>V-A</x:v>
      </x:c>
      <x:c r="B866" s="10" t="str">
        <x:v>VOICE</x:v>
      </x:c>
      <x:c r="C866" s="10" t="str">
        <x:v>VOICE:S5-01</x:v>
      </x:c>
      <x:c r="D866" s="10" t="str">
        <x:v>VOICE:S5-01:goal</x:v>
      </x:c>
      <x:c r="E866" s="11" t="n">
        <x:v>5.35</x:v>
      </x:c>
      <x:c r="F866" s="11" t="n">
        <x:v>13.350000000000001</x:v>
      </x:c>
      <x:c r="G866" s="11" t="n">
        <x:f>F866-E866</x:f>
        <x:v>8.000000000000002</x:v>
      </x:c>
      <x:c r="H866" s="10" t="n">
        <x:v>0</x:v>
      </x:c>
      <x:c r="I866" s="10" t="str">
        <x:v>completed_as_adopted</x:v>
      </x:c>
      <x:c r="J866" s="10" t="str">
        <x:v>VOICE:A/S5-01/scored/06481</x:v>
      </x:c>
      <x:c r="K866" s="10" t="str">
        <x:v>VOICE:S5-01:input</x:v>
      </x:c>
      <x:c r="L866" s="10" t="str">
        <x:v>VOICE:A/S5-01/scored/06481</x:v>
      </x:c>
    </x:row>
    <x:row r="867" ht="52" customHeight="1">
      <x:c r="A867" s="10" t="str">
        <x:v>V-R1</x:v>
      </x:c>
      <x:c r="B867" s="10" t="str">
        <x:v>VOICE</x:v>
      </x:c>
      <x:c r="C867" s="10" t="str">
        <x:v>VOICE:S5-01</x:v>
      </x:c>
      <x:c r="D867" s="10" t="str">
        <x:v>VOICE:S5-01:goal</x:v>
      </x:c>
      <x:c r="E867" s="11" t="n">
        <x:v>5.1499999999999995</x:v>
      </x:c>
      <x:c r="F867" s="11" t="n">
        <x:v>13.15</x:v>
      </x:c>
      <x:c r="G867" s="11" t="n">
        <x:f>F867-E867</x:f>
        <x:v>8</x:v>
      </x:c>
      <x:c r="H867" s="10" t="n">
        <x:v>1</x:v>
      </x:c>
      <x:c r="I867" s="10" t="str">
        <x:v>completed_as_adopted</x:v>
      </x:c>
      <x:c r="J867" s="10" t="str">
        <x:v>VOICE:B-R1/S5-01/scored/06507</x:v>
      </x:c>
      <x:c r="K867" s="10" t="str">
        <x:v>VOICE:S5-01:input</x:v>
      </x:c>
      <x:c r="L867" s="10" t="str">
        <x:v>VOICE:B-R1/S5-01/scored/06507</x:v>
      </x:c>
    </x:row>
    <x:row r="868" ht="52" customHeight="1">
      <x:c r="A868" s="10" t="str">
        <x:v>V-R2</x:v>
      </x:c>
      <x:c r="B868" s="10" t="str">
        <x:v>VOICE</x:v>
      </x:c>
      <x:c r="C868" s="10" t="str">
        <x:v>VOICE:S5-01</x:v>
      </x:c>
      <x:c r="D868" s="10" t="str">
        <x:v>VOICE:S5-01:goal</x:v>
      </x:c>
      <x:c r="E868" s="11" t="n">
        <x:v>5.1499999999999995</x:v>
      </x:c>
      <x:c r="F868" s="11" t="n">
        <x:v>13.15</x:v>
      </x:c>
      <x:c r="G868" s="11" t="n">
        <x:f>F868-E868</x:f>
        <x:v>8</x:v>
      </x:c>
      <x:c r="H868" s="10" t="n">
        <x:v>1</x:v>
      </x:c>
      <x:c r="I868" s="10" t="str">
        <x:v>completed_as_adopted</x:v>
      </x:c>
      <x:c r="J868" s="10" t="str">
        <x:v>VOICE:B-R2/S5-01/scored/06532</x:v>
      </x:c>
      <x:c r="K868" s="10" t="str">
        <x:v>VOICE:S5-01:input</x:v>
      </x:c>
      <x:c r="L868" s="10" t="str">
        <x:v>VOICE:B-R2/S5-01/scored/06532</x:v>
      </x:c>
    </x:row>
    <x:row r="869" ht="52" customHeight="1">
      <x:c r="A869" s="10" t="str">
        <x:v>V-R3</x:v>
      </x:c>
      <x:c r="B869" s="10" t="str">
        <x:v>VOICE</x:v>
      </x:c>
      <x:c r="C869" s="10" t="str">
        <x:v>VOICE:S5-01</x:v>
      </x:c>
      <x:c r="D869" s="10" t="str">
        <x:v>VOICE:S5-01:goal</x:v>
      </x:c>
      <x:c r="E869" s="11" t="n">
        <x:v>5.1499999999999995</x:v>
      </x:c>
      <x:c r="F869" s="11" t="n">
        <x:v>13.15</x:v>
      </x:c>
      <x:c r="G869" s="11" t="n">
        <x:f>F869-E869</x:f>
        <x:v>8</x:v>
      </x:c>
      <x:c r="H869" s="10" t="n">
        <x:v>1</x:v>
      </x:c>
      <x:c r="I869" s="10" t="str">
        <x:v>completed_as_adopted</x:v>
      </x:c>
      <x:c r="J869" s="10" t="str">
        <x:v>VOICE:B-R3/S5-01/scored/06558</x:v>
      </x:c>
      <x:c r="K869" s="10" t="str">
        <x:v>VOICE:S5-01:input</x:v>
      </x:c>
      <x:c r="L869" s="10" t="str">
        <x:v>VOICE:B-R3/S5-01/scored/06558</x:v>
      </x:c>
    </x:row>
    <x:row r="870" ht="52" customHeight="1">
      <x:c r="A870" s="10" t="str">
        <x:v>V-A</x:v>
      </x:c>
      <x:c r="B870" s="10" t="str">
        <x:v>VOICE</x:v>
      </x:c>
      <x:c r="C870" s="10" t="str">
        <x:v>VOICE:S5-02</x:v>
      </x:c>
      <x:c r="D870" s="10" t="str">
        <x:v>VOICE:S5-02:goal</x:v>
      </x:c>
      <x:c r="E870" s="11" t="n">
        <x:v>5.35</x:v>
      </x:c>
      <x:c r="F870" s="11" t="n">
        <x:v>13.350000000000001</x:v>
      </x:c>
      <x:c r="G870" s="11" t="n">
        <x:f>F870-E870</x:f>
        <x:v>8.000000000000002</x:v>
      </x:c>
      <x:c r="H870" s="10" t="n">
        <x:v>0</x:v>
      </x:c>
      <x:c r="I870" s="10" t="str">
        <x:v>completed_as_adopted</x:v>
      </x:c>
      <x:c r="J870" s="10" t="str">
        <x:v>VOICE:A/S5-02/scored/06580</x:v>
      </x:c>
      <x:c r="K870" s="10" t="str">
        <x:v>VOICE:S5-02:input</x:v>
      </x:c>
      <x:c r="L870" s="10" t="str">
        <x:v>VOICE:A/S5-02/scored/06580</x:v>
      </x:c>
    </x:row>
    <x:row r="871" ht="52" customHeight="1">
      <x:c r="A871" s="10" t="str">
        <x:v>V-R1</x:v>
      </x:c>
      <x:c r="B871" s="10" t="str">
        <x:v>VOICE</x:v>
      </x:c>
      <x:c r="C871" s="10" t="str">
        <x:v>VOICE:S5-02</x:v>
      </x:c>
      <x:c r="D871" s="10" t="str">
        <x:v>VOICE:S5-02:goal</x:v>
      </x:c>
      <x:c r="E871" s="11" t="n">
        <x:v>5.1499999999999995</x:v>
      </x:c>
      <x:c r="F871" s="11" t="n">
        <x:v>13.15</x:v>
      </x:c>
      <x:c r="G871" s="11" t="n">
        <x:f>F871-E871</x:f>
        <x:v>8</x:v>
      </x:c>
      <x:c r="H871" s="10" t="n">
        <x:v>1</x:v>
      </x:c>
      <x:c r="I871" s="10" t="str">
        <x:v>completed_as_adopted</x:v>
      </x:c>
      <x:c r="J871" s="10" t="str">
        <x:v>VOICE:B-R1/S5-02/scored/06606</x:v>
      </x:c>
      <x:c r="K871" s="10" t="str">
        <x:v>VOICE:S5-02:input</x:v>
      </x:c>
      <x:c r="L871" s="10" t="str">
        <x:v>VOICE:B-R1/S5-02/scored/06606</x:v>
      </x:c>
    </x:row>
    <x:row r="872" ht="52" customHeight="1">
      <x:c r="A872" s="10" t="str">
        <x:v>V-R2</x:v>
      </x:c>
      <x:c r="B872" s="10" t="str">
        <x:v>VOICE</x:v>
      </x:c>
      <x:c r="C872" s="10" t="str">
        <x:v>VOICE:S5-02</x:v>
      </x:c>
      <x:c r="D872" s="10" t="str">
        <x:v>VOICE:S5-02:goal</x:v>
      </x:c>
      <x:c r="E872" s="11" t="n">
        <x:v>5.1499999999999995</x:v>
      </x:c>
      <x:c r="F872" s="11" t="n">
        <x:v>13.15</x:v>
      </x:c>
      <x:c r="G872" s="11" t="n">
        <x:f>F872-E872</x:f>
        <x:v>8</x:v>
      </x:c>
      <x:c r="H872" s="10" t="n">
        <x:v>1</x:v>
      </x:c>
      <x:c r="I872" s="10" t="str">
        <x:v>completed_as_adopted</x:v>
      </x:c>
      <x:c r="J872" s="10" t="str">
        <x:v>VOICE:B-R2/S5-02/scored/06631</x:v>
      </x:c>
      <x:c r="K872" s="10" t="str">
        <x:v>VOICE:S5-02:input</x:v>
      </x:c>
      <x:c r="L872" s="10" t="str">
        <x:v>VOICE:B-R2/S5-02/scored/06631</x:v>
      </x:c>
    </x:row>
    <x:row r="873" ht="52" customHeight="1">
      <x:c r="A873" s="10" t="str">
        <x:v>V-R3</x:v>
      </x:c>
      <x:c r="B873" s="10" t="str">
        <x:v>VOICE</x:v>
      </x:c>
      <x:c r="C873" s="10" t="str">
        <x:v>VOICE:S5-02</x:v>
      </x:c>
      <x:c r="D873" s="10" t="str">
        <x:v>VOICE:S5-02:goal</x:v>
      </x:c>
      <x:c r="E873" s="11" t="n">
        <x:v>5.1499999999999995</x:v>
      </x:c>
      <x:c r="F873" s="11" t="n">
        <x:v>13.15</x:v>
      </x:c>
      <x:c r="G873" s="11" t="n">
        <x:f>F873-E873</x:f>
        <x:v>8</x:v>
      </x:c>
      <x:c r="H873" s="10" t="n">
        <x:v>1</x:v>
      </x:c>
      <x:c r="I873" s="10" t="str">
        <x:v>completed_as_adopted</x:v>
      </x:c>
      <x:c r="J873" s="10" t="str">
        <x:v>VOICE:B-R3/S5-02/scored/06657</x:v>
      </x:c>
      <x:c r="K873" s="10" t="str">
        <x:v>VOICE:S5-02:input</x:v>
      </x:c>
      <x:c r="L873" s="10" t="str">
        <x:v>VOICE:B-R3/S5-02/scored/06657</x:v>
      </x:c>
    </x:row>
    <x:row r="874" ht="52" customHeight="1">
      <x:c r="A874" s="10" t="str">
        <x:v>V-A</x:v>
      </x:c>
      <x:c r="B874" s="10" t="str">
        <x:v>VOICE</x:v>
      </x:c>
      <x:c r="C874" s="10" t="str">
        <x:v>VOICE:S5-03</x:v>
      </x:c>
      <x:c r="D874" s="10" t="str">
        <x:v>VOICE:S5-03:goal</x:v>
      </x:c>
      <x:c r="E874" s="11" t="n">
        <x:v>5.35</x:v>
      </x:c>
      <x:c r="F874" s="11" t="n">
        <x:v>13.350000000000001</x:v>
      </x:c>
      <x:c r="G874" s="11" t="n">
        <x:f>F874-E874</x:f>
        <x:v>8.000000000000002</x:v>
      </x:c>
      <x:c r="H874" s="10" t="n">
        <x:v>0</x:v>
      </x:c>
      <x:c r="I874" s="10" t="str">
        <x:v>completed_as_adopted</x:v>
      </x:c>
      <x:c r="J874" s="10" t="str">
        <x:v>VOICE:A/S5-03/scored/06679</x:v>
      </x:c>
      <x:c r="K874" s="10" t="str">
        <x:v>VOICE:S5-03:input</x:v>
      </x:c>
      <x:c r="L874" s="10" t="str">
        <x:v>VOICE:A/S5-03/scored/06679</x:v>
      </x:c>
    </x:row>
    <x:row r="875" ht="52" customHeight="1">
      <x:c r="A875" s="10" t="str">
        <x:v>V-R1</x:v>
      </x:c>
      <x:c r="B875" s="10" t="str">
        <x:v>VOICE</x:v>
      </x:c>
      <x:c r="C875" s="10" t="str">
        <x:v>VOICE:S5-03</x:v>
      </x:c>
      <x:c r="D875" s="10" t="str">
        <x:v>VOICE:S5-03:goal</x:v>
      </x:c>
      <x:c r="E875" s="11" t="n">
        <x:v>5.1499999999999995</x:v>
      </x:c>
      <x:c r="F875" s="11" t="n">
        <x:v>13.15</x:v>
      </x:c>
      <x:c r="G875" s="11" t="n">
        <x:f>F875-E875</x:f>
        <x:v>8</x:v>
      </x:c>
      <x:c r="H875" s="10" t="n">
        <x:v>1</x:v>
      </x:c>
      <x:c r="I875" s="10" t="str">
        <x:v>completed_as_adopted</x:v>
      </x:c>
      <x:c r="J875" s="10" t="str">
        <x:v>VOICE:B-R1/S5-03/scored/06705</x:v>
      </x:c>
      <x:c r="K875" s="10" t="str">
        <x:v>VOICE:S5-03:input</x:v>
      </x:c>
      <x:c r="L875" s="10" t="str">
        <x:v>VOICE:B-R1/S5-03/scored/06705</x:v>
      </x:c>
    </x:row>
    <x:row r="876" ht="52" customHeight="1">
      <x:c r="A876" s="10" t="str">
        <x:v>V-R2</x:v>
      </x:c>
      <x:c r="B876" s="10" t="str">
        <x:v>VOICE</x:v>
      </x:c>
      <x:c r="C876" s="10" t="str">
        <x:v>VOICE:S5-03</x:v>
      </x:c>
      <x:c r="D876" s="10" t="str">
        <x:v>VOICE:S5-03:goal</x:v>
      </x:c>
      <x:c r="E876" s="11" t="n">
        <x:v>5.1499999999999995</x:v>
      </x:c>
      <x:c r="F876" s="11" t="n">
        <x:v>13.15</x:v>
      </x:c>
      <x:c r="G876" s="11" t="n">
        <x:f>F876-E876</x:f>
        <x:v>8</x:v>
      </x:c>
      <x:c r="H876" s="10" t="n">
        <x:v>1</x:v>
      </x:c>
      <x:c r="I876" s="10" t="str">
        <x:v>completed_as_adopted</x:v>
      </x:c>
      <x:c r="J876" s="10" t="str">
        <x:v>VOICE:B-R2/S5-03/scored/06730</x:v>
      </x:c>
      <x:c r="K876" s="10" t="str">
        <x:v>VOICE:S5-03:input</x:v>
      </x:c>
      <x:c r="L876" s="10" t="str">
        <x:v>VOICE:B-R2/S5-03/scored/06730</x:v>
      </x:c>
    </x:row>
    <x:row r="877" ht="52" customHeight="1">
      <x:c r="A877" s="10" t="str">
        <x:v>V-R3</x:v>
      </x:c>
      <x:c r="B877" s="10" t="str">
        <x:v>VOICE</x:v>
      </x:c>
      <x:c r="C877" s="10" t="str">
        <x:v>VOICE:S5-03</x:v>
      </x:c>
      <x:c r="D877" s="10" t="str">
        <x:v>VOICE:S5-03:goal</x:v>
      </x:c>
      <x:c r="E877" s="11" t="n">
        <x:v>5.1499999999999995</x:v>
      </x:c>
      <x:c r="F877" s="11" t="n">
        <x:v>13.15</x:v>
      </x:c>
      <x:c r="G877" s="11" t="n">
        <x:f>F877-E877</x:f>
        <x:v>8</x:v>
      </x:c>
      <x:c r="H877" s="10" t="n">
        <x:v>1</x:v>
      </x:c>
      <x:c r="I877" s="10" t="str">
        <x:v>completed_as_adopted</x:v>
      </x:c>
      <x:c r="J877" s="10" t="str">
        <x:v>VOICE:B-R3/S5-03/scored/06756</x:v>
      </x:c>
      <x:c r="K877" s="10" t="str">
        <x:v>VOICE:S5-03:input</x:v>
      </x:c>
      <x:c r="L877" s="10" t="str">
        <x:v>VOICE:B-R3/S5-03/scored/06756</x:v>
      </x:c>
    </x:row>
    <x:row r="878" ht="52" customHeight="1">
      <x:c r="A878" s="10" t="str">
        <x:v>V-A</x:v>
      </x:c>
      <x:c r="B878" s="10" t="str">
        <x:v>VOICE</x:v>
      </x:c>
      <x:c r="C878" s="10" t="str">
        <x:v>VOICE:S5-04</x:v>
      </x:c>
      <x:c r="D878" s="10" t="str">
        <x:v>VOICE:S5-04:goal</x:v>
      </x:c>
      <x:c r="E878" s="11" t="n">
        <x:v>5.35</x:v>
      </x:c>
      <x:c r="F878" s="11" t="n">
        <x:v>13.350000000000001</x:v>
      </x:c>
      <x:c r="G878" s="11" t="n">
        <x:f>F878-E878</x:f>
        <x:v>8.000000000000002</x:v>
      </x:c>
      <x:c r="H878" s="10" t="n">
        <x:v>1</x:v>
      </x:c>
      <x:c r="I878" s="10" t="str">
        <x:v>completed_as_adopted</x:v>
      </x:c>
      <x:c r="J878" s="10" t="str">
        <x:v>VOICE:A/S5-04/scored/06778</x:v>
      </x:c>
      <x:c r="K878" s="10" t="str">
        <x:v>VOICE:S5-04:input</x:v>
      </x:c>
      <x:c r="L878" s="10" t="str">
        <x:v>VOICE:A/S5-04/scored/06778</x:v>
      </x:c>
    </x:row>
    <x:row r="879" ht="52" customHeight="1">
      <x:c r="A879" s="10" t="str">
        <x:v>V-R1</x:v>
      </x:c>
      <x:c r="B879" s="10" t="str">
        <x:v>VOICE</x:v>
      </x:c>
      <x:c r="C879" s="10" t="str">
        <x:v>VOICE:S5-04</x:v>
      </x:c>
      <x:c r="D879" s="10" t="str">
        <x:v>VOICE:S5-04:goal</x:v>
      </x:c>
      <x:c r="E879" s="11" t="n">
        <x:v>5.1499999999999995</x:v>
      </x:c>
      <x:c r="F879" s="11" t="n">
        <x:v>13.15</x:v>
      </x:c>
      <x:c r="G879" s="11" t="n">
        <x:f>F879-E879</x:f>
        <x:v>8</x:v>
      </x:c>
      <x:c r="H879" s="10" t="n">
        <x:v>0</x:v>
      </x:c>
      <x:c r="I879" s="10" t="str">
        <x:v>completed_as_adopted</x:v>
      </x:c>
      <x:c r="J879" s="10" t="str">
        <x:v>VOICE:B-R1/S5-04/scored/06804</x:v>
      </x:c>
      <x:c r="K879" s="10" t="str">
        <x:v>VOICE:S5-04:input</x:v>
      </x:c>
      <x:c r="L879" s="10" t="str">
        <x:v>VOICE:B-R1/S5-04/scored/06804</x:v>
      </x:c>
    </x:row>
    <x:row r="880" ht="52" customHeight="1">
      <x:c r="A880" s="10" t="str">
        <x:v>V-R2</x:v>
      </x:c>
      <x:c r="B880" s="10" t="str">
        <x:v>VOICE</x:v>
      </x:c>
      <x:c r="C880" s="10" t="str">
        <x:v>VOICE:S5-04</x:v>
      </x:c>
      <x:c r="D880" s="10" t="str">
        <x:v>VOICE:S5-04:goal</x:v>
      </x:c>
      <x:c r="E880" s="11" t="n">
        <x:v>5.1499999999999995</x:v>
      </x:c>
      <x:c r="F880" s="11" t="n">
        <x:v>13.15</x:v>
      </x:c>
      <x:c r="G880" s="11" t="n">
        <x:f>F880-E880</x:f>
        <x:v>8</x:v>
      </x:c>
      <x:c r="H880" s="10" t="n">
        <x:v>0</x:v>
      </x:c>
      <x:c r="I880" s="10" t="str">
        <x:v>completed_as_adopted</x:v>
      </x:c>
      <x:c r="J880" s="10" t="str">
        <x:v>VOICE:B-R2/S5-04/scored/06829</x:v>
      </x:c>
      <x:c r="K880" s="10" t="str">
        <x:v>VOICE:S5-04:input</x:v>
      </x:c>
      <x:c r="L880" s="10" t="str">
        <x:v>VOICE:B-R2/S5-04/scored/06829</x:v>
      </x:c>
    </x:row>
    <x:row r="881" ht="52" customHeight="1">
      <x:c r="A881" s="10" t="str">
        <x:v>V-R3</x:v>
      </x:c>
      <x:c r="B881" s="10" t="str">
        <x:v>VOICE</x:v>
      </x:c>
      <x:c r="C881" s="10" t="str">
        <x:v>VOICE:S5-04</x:v>
      </x:c>
      <x:c r="D881" s="10" t="str">
        <x:v>VOICE:S5-04:goal</x:v>
      </x:c>
      <x:c r="E881" s="11" t="n">
        <x:v>5.1499999999999995</x:v>
      </x:c>
      <x:c r="F881" s="11" t="n">
        <x:v>13.15</x:v>
      </x:c>
      <x:c r="G881" s="11" t="n">
        <x:f>F881-E881</x:f>
        <x:v>8</x:v>
      </x:c>
      <x:c r="H881" s="10" t="n">
        <x:v>0</x:v>
      </x:c>
      <x:c r="I881" s="10" t="str">
        <x:v>completed_as_adopted</x:v>
      </x:c>
      <x:c r="J881" s="10" t="str">
        <x:v>VOICE:B-R3/S5-04/scored/06855</x:v>
      </x:c>
      <x:c r="K881" s="10" t="str">
        <x:v>VOICE:S5-04:input</x:v>
      </x:c>
      <x:c r="L881" s="10" t="str">
        <x:v>VOICE:B-R3/S5-04/scored/06855</x:v>
      </x:c>
    </x:row>
    <x:row r="882" ht="52" customHeight="1">
      <x:c r="A882" s="10" t="str">
        <x:v>V-A</x:v>
      </x:c>
      <x:c r="B882" s="10" t="str">
        <x:v>VOICE</x:v>
      </x:c>
      <x:c r="C882" s="10" t="str">
        <x:v>VOICE:S5-05</x:v>
      </x:c>
      <x:c r="D882" s="10" t="str">
        <x:v>VOICE:S5-05:goal</x:v>
      </x:c>
      <x:c r="E882" s="11" t="n">
        <x:v>5.35</x:v>
      </x:c>
      <x:c r="F882" s="11" t="n">
        <x:v>13.350000000000001</x:v>
      </x:c>
      <x:c r="G882" s="11" t="n">
        <x:f>F882-E882</x:f>
        <x:v>8.000000000000002</x:v>
      </x:c>
      <x:c r="H882" s="10" t="n">
        <x:v>1</x:v>
      </x:c>
      <x:c r="I882" s="10" t="str">
        <x:v>completed_as_adopted</x:v>
      </x:c>
      <x:c r="J882" s="10" t="str">
        <x:v>VOICE:A/S5-05/scored/06877</x:v>
      </x:c>
      <x:c r="K882" s="10" t="str">
        <x:v>VOICE:S5-05:input</x:v>
      </x:c>
      <x:c r="L882" s="10" t="str">
        <x:v>VOICE:A/S5-05/scored/06877</x:v>
      </x:c>
    </x:row>
    <x:row r="883" ht="52" customHeight="1">
      <x:c r="A883" s="10" t="str">
        <x:v>V-R1</x:v>
      </x:c>
      <x:c r="B883" s="10" t="str">
        <x:v>VOICE</x:v>
      </x:c>
      <x:c r="C883" s="10" t="str">
        <x:v>VOICE:S5-05</x:v>
      </x:c>
      <x:c r="D883" s="10" t="str">
        <x:v>VOICE:S5-05:goal</x:v>
      </x:c>
      <x:c r="E883" s="11" t="n">
        <x:v>5.1499999999999995</x:v>
      </x:c>
      <x:c r="F883" s="11" t="n">
        <x:v>13.15</x:v>
      </x:c>
      <x:c r="G883" s="11" t="n">
        <x:f>F883-E883</x:f>
        <x:v>8</x:v>
      </x:c>
      <x:c r="H883" s="10" t="n">
        <x:v>1</x:v>
      </x:c>
      <x:c r="I883" s="10" t="str">
        <x:v>completed_as_adopted</x:v>
      </x:c>
      <x:c r="J883" s="10" t="str">
        <x:v>VOICE:B-R1/S5-05/scored/06903</x:v>
      </x:c>
      <x:c r="K883" s="10" t="str">
        <x:v>VOICE:S5-05:input</x:v>
      </x:c>
      <x:c r="L883" s="10" t="str">
        <x:v>VOICE:B-R1/S5-05/scored/06903</x:v>
      </x:c>
    </x:row>
    <x:row r="884" ht="52" customHeight="1">
      <x:c r="A884" s="10" t="str">
        <x:v>V-R2</x:v>
      </x:c>
      <x:c r="B884" s="10" t="str">
        <x:v>VOICE</x:v>
      </x:c>
      <x:c r="C884" s="10" t="str">
        <x:v>VOICE:S5-05</x:v>
      </x:c>
      <x:c r="D884" s="10" t="str">
        <x:v>VOICE:S5-05:goal</x:v>
      </x:c>
      <x:c r="E884" s="11" t="n">
        <x:v>5.1499999999999995</x:v>
      </x:c>
      <x:c r="F884" s="11" t="n">
        <x:v>13.15</x:v>
      </x:c>
      <x:c r="G884" s="11" t="n">
        <x:f>F884-E884</x:f>
        <x:v>8</x:v>
      </x:c>
      <x:c r="H884" s="10" t="n">
        <x:v>1</x:v>
      </x:c>
      <x:c r="I884" s="10" t="str">
        <x:v>completed_as_adopted</x:v>
      </x:c>
      <x:c r="J884" s="10" t="str">
        <x:v>VOICE:B-R2/S5-05/scored/06928</x:v>
      </x:c>
      <x:c r="K884" s="10" t="str">
        <x:v>VOICE:S5-05:input</x:v>
      </x:c>
      <x:c r="L884" s="10" t="str">
        <x:v>VOICE:B-R2/S5-05/scored/06928</x:v>
      </x:c>
    </x:row>
    <x:row r="885" ht="52" customHeight="1">
      <x:c r="A885" s="10" t="str">
        <x:v>V-R3</x:v>
      </x:c>
      <x:c r="B885" s="10" t="str">
        <x:v>VOICE</x:v>
      </x:c>
      <x:c r="C885" s="10" t="str">
        <x:v>VOICE:S5-05</x:v>
      </x:c>
      <x:c r="D885" s="10" t="str">
        <x:v>VOICE:S5-05:goal</x:v>
      </x:c>
      <x:c r="E885" s="11" t="n">
        <x:v>5.1499999999999995</x:v>
      </x:c>
      <x:c r="F885" s="11" t="n">
        <x:v>13.15</x:v>
      </x:c>
      <x:c r="G885" s="11" t="n">
        <x:f>F885-E885</x:f>
        <x:v>8</x:v>
      </x:c>
      <x:c r="H885" s="10" t="n">
        <x:v>1</x:v>
      </x:c>
      <x:c r="I885" s="10" t="str">
        <x:v>completed_as_adopted</x:v>
      </x:c>
      <x:c r="J885" s="10" t="str">
        <x:v>VOICE:B-R3/S5-05/scored/06954</x:v>
      </x:c>
      <x:c r="K885" s="10" t="str">
        <x:v>VOICE:S5-05:input</x:v>
      </x:c>
      <x:c r="L885" s="10" t="str">
        <x:v>VOICE:B-R3/S5-05/scored/06954</x:v>
      </x:c>
    </x:row>
    <x:row r="886" ht="52" customHeight="1">
      <x:c r="A886" s="10" t="str">
        <x:v>V-A</x:v>
      </x:c>
      <x:c r="B886" s="10" t="str">
        <x:v>VOICE</x:v>
      </x:c>
      <x:c r="C886" s="10" t="str">
        <x:v>VOICE:S5-06</x:v>
      </x:c>
      <x:c r="D886" s="10" t="str">
        <x:v>VOICE:S5-06:goal</x:v>
      </x:c>
      <x:c r="E886" s="11" t="n">
        <x:v>5.35</x:v>
      </x:c>
      <x:c r="F886" s="11" t="n">
        <x:v>13.350000000000001</x:v>
      </x:c>
      <x:c r="G886" s="11" t="n">
        <x:f>F886-E886</x:f>
        <x:v>8.000000000000002</x:v>
      </x:c>
      <x:c r="H886" s="10" t="n">
        <x:v>1</x:v>
      </x:c>
      <x:c r="I886" s="10" t="str">
        <x:v>completed_as_adopted</x:v>
      </x:c>
      <x:c r="J886" s="10" t="str">
        <x:v>VOICE:A/S5-06/scored/06976</x:v>
      </x:c>
      <x:c r="K886" s="10" t="str">
        <x:v>VOICE:S5-06:input</x:v>
      </x:c>
      <x:c r="L886" s="10" t="str">
        <x:v>VOICE:A/S5-06/scored/06976</x:v>
      </x:c>
    </x:row>
    <x:row r="887" ht="52" customHeight="1">
      <x:c r="A887" s="10" t="str">
        <x:v>V-R1</x:v>
      </x:c>
      <x:c r="B887" s="10" t="str">
        <x:v>VOICE</x:v>
      </x:c>
      <x:c r="C887" s="10" t="str">
        <x:v>VOICE:S5-06</x:v>
      </x:c>
      <x:c r="D887" s="10" t="str">
        <x:v>VOICE:S5-06:goal</x:v>
      </x:c>
      <x:c r="E887" s="11" t="n">
        <x:v>5.1499999999999995</x:v>
      </x:c>
      <x:c r="F887" s="11" t="n">
        <x:v>13.15</x:v>
      </x:c>
      <x:c r="G887" s="11" t="n">
        <x:f>F887-E887</x:f>
        <x:v>8</x:v>
      </x:c>
      <x:c r="H887" s="10" t="n">
        <x:v>1</x:v>
      </x:c>
      <x:c r="I887" s="10" t="str">
        <x:v>completed_as_adopted</x:v>
      </x:c>
      <x:c r="J887" s="10" t="str">
        <x:v>VOICE:B-R1/S5-06/scored/07002</x:v>
      </x:c>
      <x:c r="K887" s="10" t="str">
        <x:v>VOICE:S5-06:input</x:v>
      </x:c>
      <x:c r="L887" s="10" t="str">
        <x:v>VOICE:B-R1/S5-06/scored/07002</x:v>
      </x:c>
    </x:row>
    <x:row r="888" ht="52" customHeight="1">
      <x:c r="A888" s="10" t="str">
        <x:v>V-R2</x:v>
      </x:c>
      <x:c r="B888" s="10" t="str">
        <x:v>VOICE</x:v>
      </x:c>
      <x:c r="C888" s="10" t="str">
        <x:v>VOICE:S5-06</x:v>
      </x:c>
      <x:c r="D888" s="10" t="str">
        <x:v>VOICE:S5-06:goal</x:v>
      </x:c>
      <x:c r="E888" s="11" t="n">
        <x:v>5.1499999999999995</x:v>
      </x:c>
      <x:c r="F888" s="11" t="n">
        <x:v>13.15</x:v>
      </x:c>
      <x:c r="G888" s="11" t="n">
        <x:f>F888-E888</x:f>
        <x:v>8</x:v>
      </x:c>
      <x:c r="H888" s="10" t="n">
        <x:v>1</x:v>
      </x:c>
      <x:c r="I888" s="10" t="str">
        <x:v>completed_as_adopted</x:v>
      </x:c>
      <x:c r="J888" s="10" t="str">
        <x:v>VOICE:B-R2/S5-06/scored/07027</x:v>
      </x:c>
      <x:c r="K888" s="10" t="str">
        <x:v>VOICE:S5-06:input</x:v>
      </x:c>
      <x:c r="L888" s="10" t="str">
        <x:v>VOICE:B-R2/S5-06/scored/07027</x:v>
      </x:c>
    </x:row>
    <x:row r="889" ht="52" customHeight="1">
      <x:c r="A889" s="10" t="str">
        <x:v>V-R3</x:v>
      </x:c>
      <x:c r="B889" s="10" t="str">
        <x:v>VOICE</x:v>
      </x:c>
      <x:c r="C889" s="10" t="str">
        <x:v>VOICE:S5-06</x:v>
      </x:c>
      <x:c r="D889" s="10" t="str">
        <x:v>VOICE:S5-06:goal</x:v>
      </x:c>
      <x:c r="E889" s="11" t="n">
        <x:v>5.1499999999999995</x:v>
      </x:c>
      <x:c r="F889" s="11" t="n">
        <x:v>13.15</x:v>
      </x:c>
      <x:c r="G889" s="11" t="n">
        <x:f>F889-E889</x:f>
        <x:v>8</x:v>
      </x:c>
      <x:c r="H889" s="10" t="n">
        <x:v>1</x:v>
      </x:c>
      <x:c r="I889" s="10" t="str">
        <x:v>completed_as_adopted</x:v>
      </x:c>
      <x:c r="J889" s="10" t="str">
        <x:v>VOICE:B-R3/S5-06/scored/07053</x:v>
      </x:c>
      <x:c r="K889" s="10" t="str">
        <x:v>VOICE:S5-06:input</x:v>
      </x:c>
      <x:c r="L889" s="10" t="str">
        <x:v>VOICE:B-R3/S5-06/scored/07053</x:v>
      </x:c>
    </x:row>
    <x:row r="890" ht="52" customHeight="1">
      <x:c r="A890" s="10" t="str">
        <x:v>V-A</x:v>
      </x:c>
      <x:c r="B890" s="10" t="str">
        <x:v>VOICE</x:v>
      </x:c>
      <x:c r="C890" s="10" t="str">
        <x:v>VOICE:S5-07</x:v>
      </x:c>
      <x:c r="D890" s="10" t="str">
        <x:v>VOICE:S5-07:goal</x:v>
      </x:c>
      <x:c r="E890" s="11" t="n">
        <x:v>5.35</x:v>
      </x:c>
      <x:c r="F890" s="11" t="n">
        <x:v>13.350000000000001</x:v>
      </x:c>
      <x:c r="G890" s="11" t="n">
        <x:f>F890-E890</x:f>
        <x:v>8.000000000000002</x:v>
      </x:c>
      <x:c r="H890" s="10" t="n">
        <x:v>1</x:v>
      </x:c>
      <x:c r="I890" s="10" t="str">
        <x:v>completed_as_adopted</x:v>
      </x:c>
      <x:c r="J890" s="10" t="str">
        <x:v>VOICE:A/S5-07/scored/07075</x:v>
      </x:c>
      <x:c r="K890" s="10" t="str">
        <x:v>VOICE:S5-07:input</x:v>
      </x:c>
      <x:c r="L890" s="10" t="str">
        <x:v>VOICE:A/S5-07/scored/07075</x:v>
      </x:c>
    </x:row>
    <x:row r="891" ht="52" customHeight="1">
      <x:c r="A891" s="10" t="str">
        <x:v>V-R1</x:v>
      </x:c>
      <x:c r="B891" s="10" t="str">
        <x:v>VOICE</x:v>
      </x:c>
      <x:c r="C891" s="10" t="str">
        <x:v>VOICE:S5-07</x:v>
      </x:c>
      <x:c r="D891" s="10" t="str">
        <x:v>VOICE:S5-07:goal</x:v>
      </x:c>
      <x:c r="E891" s="11" t="n">
        <x:v>5.1499999999999995</x:v>
      </x:c>
      <x:c r="F891" s="11" t="n">
        <x:v>13.15</x:v>
      </x:c>
      <x:c r="G891" s="11" t="n">
        <x:f>F891-E891</x:f>
        <x:v>8</x:v>
      </x:c>
      <x:c r="H891" s="10" t="n">
        <x:v>1</x:v>
      </x:c>
      <x:c r="I891" s="10" t="str">
        <x:v>completed_as_adopted</x:v>
      </x:c>
      <x:c r="J891" s="10" t="str">
        <x:v>VOICE:B-R1/S5-07/scored/07101</x:v>
      </x:c>
      <x:c r="K891" s="10" t="str">
        <x:v>VOICE:S5-07:input</x:v>
      </x:c>
      <x:c r="L891" s="10" t="str">
        <x:v>VOICE:B-R1/S5-07/scored/07101</x:v>
      </x:c>
    </x:row>
    <x:row r="892" ht="52" customHeight="1">
      <x:c r="A892" s="10" t="str">
        <x:v>V-R2</x:v>
      </x:c>
      <x:c r="B892" s="10" t="str">
        <x:v>VOICE</x:v>
      </x:c>
      <x:c r="C892" s="10" t="str">
        <x:v>VOICE:S5-07</x:v>
      </x:c>
      <x:c r="D892" s="10" t="str">
        <x:v>VOICE:S5-07:goal</x:v>
      </x:c>
      <x:c r="E892" s="11" t="n">
        <x:v>5.1499999999999995</x:v>
      </x:c>
      <x:c r="F892" s="11" t="n">
        <x:v>13.15</x:v>
      </x:c>
      <x:c r="G892" s="11" t="n">
        <x:f>F892-E892</x:f>
        <x:v>8</x:v>
      </x:c>
      <x:c r="H892" s="10" t="n">
        <x:v>1</x:v>
      </x:c>
      <x:c r="I892" s="10" t="str">
        <x:v>completed_as_adopted</x:v>
      </x:c>
      <x:c r="J892" s="10" t="str">
        <x:v>VOICE:B-R2/S5-07/scored/07126</x:v>
      </x:c>
      <x:c r="K892" s="10" t="str">
        <x:v>VOICE:S5-07:input</x:v>
      </x:c>
      <x:c r="L892" s="10" t="str">
        <x:v>VOICE:B-R2/S5-07/scored/07126</x:v>
      </x:c>
    </x:row>
    <x:row r="893" ht="52" customHeight="1">
      <x:c r="A893" s="10" t="str">
        <x:v>V-R3</x:v>
      </x:c>
      <x:c r="B893" s="10" t="str">
        <x:v>VOICE</x:v>
      </x:c>
      <x:c r="C893" s="10" t="str">
        <x:v>VOICE:S5-07</x:v>
      </x:c>
      <x:c r="D893" s="10" t="str">
        <x:v>VOICE:S5-07:goal</x:v>
      </x:c>
      <x:c r="E893" s="11" t="n">
        <x:v>5.1499999999999995</x:v>
      </x:c>
      <x:c r="F893" s="11" t="n">
        <x:v>13.15</x:v>
      </x:c>
      <x:c r="G893" s="11" t="n">
        <x:f>F893-E893</x:f>
        <x:v>8</x:v>
      </x:c>
      <x:c r="H893" s="10" t="n">
        <x:v>1</x:v>
      </x:c>
      <x:c r="I893" s="10" t="str">
        <x:v>completed_as_adopted</x:v>
      </x:c>
      <x:c r="J893" s="10" t="str">
        <x:v>VOICE:B-R3/S5-07/scored/07152</x:v>
      </x:c>
      <x:c r="K893" s="10" t="str">
        <x:v>VOICE:S5-07:input</x:v>
      </x:c>
      <x:c r="L893" s="10" t="str">
        <x:v>VOICE:B-R3/S5-07/scored/07152</x:v>
      </x:c>
    </x:row>
    <x:row r="894" ht="52" customHeight="1">
      <x:c r="A894" s="10" t="str">
        <x:v>V-A</x:v>
      </x:c>
      <x:c r="B894" s="10" t="str">
        <x:v>VOICE</x:v>
      </x:c>
      <x:c r="C894" s="10" t="str">
        <x:v>VOICE:S5-08</x:v>
      </x:c>
      <x:c r="D894" s="10" t="str">
        <x:v>VOICE:S5-08:goal</x:v>
      </x:c>
      <x:c r="E894" s="11" t="n">
        <x:v>5.35</x:v>
      </x:c>
      <x:c r="F894" s="11" t="n">
        <x:v>13.350000000000001</x:v>
      </x:c>
      <x:c r="G894" s="11" t="n">
        <x:f>F894-E894</x:f>
        <x:v>8.000000000000002</x:v>
      </x:c>
      <x:c r="H894" s="10" t="n">
        <x:v>1</x:v>
      </x:c>
      <x:c r="I894" s="10" t="str">
        <x:v>completed_as_adopted</x:v>
      </x:c>
      <x:c r="J894" s="10" t="str">
        <x:v>VOICE:A/S5-08/scored/07174</x:v>
      </x:c>
      <x:c r="K894" s="10" t="str">
        <x:v>VOICE:S5-08:input</x:v>
      </x:c>
      <x:c r="L894" s="10" t="str">
        <x:v>VOICE:A/S5-08/scored/07174</x:v>
      </x:c>
    </x:row>
    <x:row r="895" ht="52" customHeight="1">
      <x:c r="A895" s="10" t="str">
        <x:v>V-R1</x:v>
      </x:c>
      <x:c r="B895" s="10" t="str">
        <x:v>VOICE</x:v>
      </x:c>
      <x:c r="C895" s="10" t="str">
        <x:v>VOICE:S5-08</x:v>
      </x:c>
      <x:c r="D895" s="10" t="str">
        <x:v>VOICE:S5-08:goal</x:v>
      </x:c>
      <x:c r="E895" s="11" t="n">
        <x:v>5.1499999999999995</x:v>
      </x:c>
      <x:c r="F895" s="11" t="n">
        <x:v>13.15</x:v>
      </x:c>
      <x:c r="G895" s="11" t="n">
        <x:f>F895-E895</x:f>
        <x:v>8</x:v>
      </x:c>
      <x:c r="H895" s="10" t="n">
        <x:v>1</x:v>
      </x:c>
      <x:c r="I895" s="10" t="str">
        <x:v>completed_as_adopted</x:v>
      </x:c>
      <x:c r="J895" s="10" t="str">
        <x:v>VOICE:B-R1/S5-08/scored/07200</x:v>
      </x:c>
      <x:c r="K895" s="10" t="str">
        <x:v>VOICE:S5-08:input</x:v>
      </x:c>
      <x:c r="L895" s="10" t="str">
        <x:v>VOICE:B-R1/S5-08/scored/07200</x:v>
      </x:c>
    </x:row>
    <x:row r="896" ht="52" customHeight="1">
      <x:c r="A896" s="10" t="str">
        <x:v>V-R2</x:v>
      </x:c>
      <x:c r="B896" s="10" t="str">
        <x:v>VOICE</x:v>
      </x:c>
      <x:c r="C896" s="10" t="str">
        <x:v>VOICE:S5-08</x:v>
      </x:c>
      <x:c r="D896" s="10" t="str">
        <x:v>VOICE:S5-08:goal</x:v>
      </x:c>
      <x:c r="E896" s="11" t="n">
        <x:v>5.1499999999999995</x:v>
      </x:c>
      <x:c r="F896" s="11" t="n">
        <x:v>13.15</x:v>
      </x:c>
      <x:c r="G896" s="11" t="n">
        <x:f>F896-E896</x:f>
        <x:v>8</x:v>
      </x:c>
      <x:c r="H896" s="10" t="n">
        <x:v>1</x:v>
      </x:c>
      <x:c r="I896" s="10" t="str">
        <x:v>completed_as_adopted</x:v>
      </x:c>
      <x:c r="J896" s="10" t="str">
        <x:v>VOICE:B-R2/S5-08/scored/07225</x:v>
      </x:c>
      <x:c r="K896" s="10" t="str">
        <x:v>VOICE:S5-08:input</x:v>
      </x:c>
      <x:c r="L896" s="10" t="str">
        <x:v>VOICE:B-R2/S5-08/scored/07225</x:v>
      </x:c>
    </x:row>
    <x:row r="897" ht="52" customHeight="1">
      <x:c r="A897" s="10" t="str">
        <x:v>V-R3</x:v>
      </x:c>
      <x:c r="B897" s="10" t="str">
        <x:v>VOICE</x:v>
      </x:c>
      <x:c r="C897" s="10" t="str">
        <x:v>VOICE:S5-08</x:v>
      </x:c>
      <x:c r="D897" s="10" t="str">
        <x:v>VOICE:S5-08:goal</x:v>
      </x:c>
      <x:c r="E897" s="11" t="n">
        <x:v>5.1499999999999995</x:v>
      </x:c>
      <x:c r="F897" s="11" t="n">
        <x:v>13.15</x:v>
      </x:c>
      <x:c r="G897" s="11" t="n">
        <x:f>F897-E897</x:f>
        <x:v>8</x:v>
      </x:c>
      <x:c r="H897" s="10" t="n">
        <x:v>1</x:v>
      </x:c>
      <x:c r="I897" s="10" t="str">
        <x:v>completed_as_adopted</x:v>
      </x:c>
      <x:c r="J897" s="10" t="str">
        <x:v>VOICE:B-R3/S5-08/scored/07251</x:v>
      </x:c>
      <x:c r="K897" s="10" t="str">
        <x:v>VOICE:S5-08:input</x:v>
      </x:c>
      <x:c r="L897" s="10" t="str">
        <x:v>VOICE:B-R3/S5-08/scored/07251</x:v>
      </x:c>
    </x:row>
    <x:row r="898" ht="52" customHeight="1">
      <x:c r="A898" s="10" t="str">
        <x:v>V-A</x:v>
      </x:c>
      <x:c r="B898" s="10" t="str">
        <x:v>VOICE</x:v>
      </x:c>
      <x:c r="C898" s="10" t="str">
        <x:v>VOICE:S5-09</x:v>
      </x:c>
      <x:c r="D898" s="10" t="str">
        <x:v>VOICE:S5-09:goal</x:v>
      </x:c>
      <x:c r="E898" s="11" t="n">
        <x:v>5.35</x:v>
      </x:c>
      <x:c r="F898" s="11" t="n">
        <x:v>13.350000000000001</x:v>
      </x:c>
      <x:c r="G898" s="11" t="n">
        <x:f>F898-E898</x:f>
        <x:v>8.000000000000002</x:v>
      </x:c>
      <x:c r="H898" s="10" t="n">
        <x:v>1</x:v>
      </x:c>
      <x:c r="I898" s="10" t="str">
        <x:v>completed_as_adopted</x:v>
      </x:c>
      <x:c r="J898" s="10" t="str">
        <x:v>VOICE:A/S5-09/scored/07273</x:v>
      </x:c>
      <x:c r="K898" s="10" t="str">
        <x:v>VOICE:S5-09:input</x:v>
      </x:c>
      <x:c r="L898" s="10" t="str">
        <x:v>VOICE:A/S5-09/scored/07273</x:v>
      </x:c>
    </x:row>
    <x:row r="899" ht="52" customHeight="1">
      <x:c r="A899" s="10" t="str">
        <x:v>V-R1</x:v>
      </x:c>
      <x:c r="B899" s="10" t="str">
        <x:v>VOICE</x:v>
      </x:c>
      <x:c r="C899" s="10" t="str">
        <x:v>VOICE:S5-09</x:v>
      </x:c>
      <x:c r="D899" s="10" t="str">
        <x:v>VOICE:S5-09:goal</x:v>
      </x:c>
      <x:c r="E899" s="11" t="n">
        <x:v>5.1499999999999995</x:v>
      </x:c>
      <x:c r="F899" s="11" t="n">
        <x:v>13.15</x:v>
      </x:c>
      <x:c r="G899" s="11" t="n">
        <x:f>F899-E899</x:f>
        <x:v>8</x:v>
      </x:c>
      <x:c r="H899" s="10" t="n">
        <x:v>1</x:v>
      </x:c>
      <x:c r="I899" s="10" t="str">
        <x:v>completed_as_adopted</x:v>
      </x:c>
      <x:c r="J899" s="10" t="str">
        <x:v>VOICE:B-R1/S5-09/scored/07299</x:v>
      </x:c>
      <x:c r="K899" s="10" t="str">
        <x:v>VOICE:S5-09:input</x:v>
      </x:c>
      <x:c r="L899" s="10" t="str">
        <x:v>VOICE:B-R1/S5-09/scored/07299</x:v>
      </x:c>
    </x:row>
    <x:row r="900" ht="52" customHeight="1">
      <x:c r="A900" s="10" t="str">
        <x:v>V-R2</x:v>
      </x:c>
      <x:c r="B900" s="10" t="str">
        <x:v>VOICE</x:v>
      </x:c>
      <x:c r="C900" s="10" t="str">
        <x:v>VOICE:S5-09</x:v>
      </x:c>
      <x:c r="D900" s="10" t="str">
        <x:v>VOICE:S5-09:goal</x:v>
      </x:c>
      <x:c r="E900" s="11" t="n">
        <x:v>5.1499999999999995</x:v>
      </x:c>
      <x:c r="F900" s="11" t="n">
        <x:v>13.15</x:v>
      </x:c>
      <x:c r="G900" s="11" t="n">
        <x:f>F900-E900</x:f>
        <x:v>8</x:v>
      </x:c>
      <x:c r="H900" s="10" t="n">
        <x:v>1</x:v>
      </x:c>
      <x:c r="I900" s="10" t="str">
        <x:v>completed_as_adopted</x:v>
      </x:c>
      <x:c r="J900" s="10" t="str">
        <x:v>VOICE:B-R2/S5-09/scored/07324</x:v>
      </x:c>
      <x:c r="K900" s="10" t="str">
        <x:v>VOICE:S5-09:input</x:v>
      </x:c>
      <x:c r="L900" s="10" t="str">
        <x:v>VOICE:B-R2/S5-09/scored/07324</x:v>
      </x:c>
    </x:row>
    <x:row r="901" ht="52" customHeight="1">
      <x:c r="A901" s="10" t="str">
        <x:v>V-R3</x:v>
      </x:c>
      <x:c r="B901" s="10" t="str">
        <x:v>VOICE</x:v>
      </x:c>
      <x:c r="C901" s="10" t="str">
        <x:v>VOICE:S5-09</x:v>
      </x:c>
      <x:c r="D901" s="10" t="str">
        <x:v>VOICE:S5-09:goal</x:v>
      </x:c>
      <x:c r="E901" s="11" t="n">
        <x:v>5.1499999999999995</x:v>
      </x:c>
      <x:c r="F901" s="11" t="n">
        <x:v>13.15</x:v>
      </x:c>
      <x:c r="G901" s="11" t="n">
        <x:f>F901-E901</x:f>
        <x:v>8</x:v>
      </x:c>
      <x:c r="H901" s="10" t="n">
        <x:v>1</x:v>
      </x:c>
      <x:c r="I901" s="10" t="str">
        <x:v>completed_as_adopted</x:v>
      </x:c>
      <x:c r="J901" s="10" t="str">
        <x:v>VOICE:B-R3/S5-09/scored/07350</x:v>
      </x:c>
      <x:c r="K901" s="10" t="str">
        <x:v>VOICE:S5-09:input</x:v>
      </x:c>
      <x:c r="L901" s="10" t="str">
        <x:v>VOICE:B-R3/S5-09/scored/07350</x:v>
      </x:c>
    </x:row>
    <x:row r="902" ht="52" customHeight="1">
      <x:c r="A902" s="10" t="str">
        <x:v>V-A</x:v>
      </x:c>
      <x:c r="B902" s="10" t="str">
        <x:v>VOICE</x:v>
      </x:c>
      <x:c r="C902" s="10" t="str">
        <x:v>VOICE:S5-10</x:v>
      </x:c>
      <x:c r="D902" s="10" t="str">
        <x:v>VOICE:S5-10:goal</x:v>
      </x:c>
      <x:c r="E902" s="11" t="n">
        <x:v>5.35</x:v>
      </x:c>
      <x:c r="F902" s="11" t="n">
        <x:v>13.350000000000001</x:v>
      </x:c>
      <x:c r="G902" s="11" t="n">
        <x:f>F902-E902</x:f>
        <x:v>8.000000000000002</x:v>
      </x:c>
      <x:c r="H902" s="10" t="n">
        <x:v>0</x:v>
      </x:c>
      <x:c r="I902" s="10" t="str">
        <x:v>completed_as_adopted</x:v>
      </x:c>
      <x:c r="J902" s="10" t="str">
        <x:v>VOICE:A/S5-10/scored/07372</x:v>
      </x:c>
      <x:c r="K902" s="10" t="str">
        <x:v>VOICE:S5-10:input</x:v>
      </x:c>
      <x:c r="L902" s="10" t="str">
        <x:v>VOICE:A/S5-10/scored/07372</x:v>
      </x:c>
    </x:row>
    <x:row r="903" ht="52" customHeight="1">
      <x:c r="A903" s="10" t="str">
        <x:v>V-R1</x:v>
      </x:c>
      <x:c r="B903" s="10" t="str">
        <x:v>VOICE</x:v>
      </x:c>
      <x:c r="C903" s="10" t="str">
        <x:v>VOICE:S5-10</x:v>
      </x:c>
      <x:c r="D903" s="10" t="str">
        <x:v>VOICE:S5-10:goal</x:v>
      </x:c>
      <x:c r="E903" s="11" t="n">
        <x:v>5.1499999999999995</x:v>
      </x:c>
      <x:c r="F903" s="11" t="n">
        <x:v>13.15</x:v>
      </x:c>
      <x:c r="G903" s="11" t="n">
        <x:f>F903-E903</x:f>
        <x:v>8</x:v>
      </x:c>
      <x:c r="H903" s="10" t="n">
        <x:v>0</x:v>
      </x:c>
      <x:c r="I903" s="10" t="str">
        <x:v>completed_as_adopted</x:v>
      </x:c>
      <x:c r="J903" s="10" t="str">
        <x:v>VOICE:B-R1/S5-10/scored/07398</x:v>
      </x:c>
      <x:c r="K903" s="10" t="str">
        <x:v>VOICE:S5-10:input</x:v>
      </x:c>
      <x:c r="L903" s="10" t="str">
        <x:v>VOICE:B-R1/S5-10/scored/07398</x:v>
      </x:c>
    </x:row>
    <x:row r="904" ht="52" customHeight="1">
      <x:c r="A904" s="10" t="str">
        <x:v>V-R2</x:v>
      </x:c>
      <x:c r="B904" s="10" t="str">
        <x:v>VOICE</x:v>
      </x:c>
      <x:c r="C904" s="10" t="str">
        <x:v>VOICE:S5-10</x:v>
      </x:c>
      <x:c r="D904" s="10" t="str">
        <x:v>VOICE:S5-10:goal</x:v>
      </x:c>
      <x:c r="E904" s="11" t="n">
        <x:v>5.1499999999999995</x:v>
      </x:c>
      <x:c r="F904" s="11" t="n">
        <x:v>13.15</x:v>
      </x:c>
      <x:c r="G904" s="11" t="n">
        <x:f>F904-E904</x:f>
        <x:v>8</x:v>
      </x:c>
      <x:c r="H904" s="10" t="n">
        <x:v>0</x:v>
      </x:c>
      <x:c r="I904" s="10" t="str">
        <x:v>completed_as_adopted</x:v>
      </x:c>
      <x:c r="J904" s="10" t="str">
        <x:v>VOICE:B-R2/S5-10/scored/07423</x:v>
      </x:c>
      <x:c r="K904" s="10" t="str">
        <x:v>VOICE:S5-10:input</x:v>
      </x:c>
      <x:c r="L904" s="10" t="str">
        <x:v>VOICE:B-R2/S5-10/scored/07423</x:v>
      </x:c>
    </x:row>
    <x:row r="905" ht="52" customHeight="1">
      <x:c r="A905" s="10" t="str">
        <x:v>V-R3</x:v>
      </x:c>
      <x:c r="B905" s="10" t="str">
        <x:v>VOICE</x:v>
      </x:c>
      <x:c r="C905" s="10" t="str">
        <x:v>VOICE:S5-10</x:v>
      </x:c>
      <x:c r="D905" s="10" t="str">
        <x:v>VOICE:S5-10:goal</x:v>
      </x:c>
      <x:c r="E905" s="11" t="n">
        <x:v>5.1499999999999995</x:v>
      </x:c>
      <x:c r="F905" s="11" t="n">
        <x:v>13.15</x:v>
      </x:c>
      <x:c r="G905" s="11" t="n">
        <x:f>F905-E905</x:f>
        <x:v>8</x:v>
      </x:c>
      <x:c r="H905" s="10" t="n">
        <x:v>0</x:v>
      </x:c>
      <x:c r="I905" s="10" t="str">
        <x:v>completed_as_adopted</x:v>
      </x:c>
      <x:c r="J905" s="10" t="str">
        <x:v>VOICE:B-R3/S5-10/scored/07449</x:v>
      </x:c>
      <x:c r="K905" s="10" t="str">
        <x:v>VOICE:S5-10:input</x:v>
      </x:c>
      <x:c r="L905" s="10" t="str">
        <x:v>VOICE:B-R3/S5-10/scored/07449</x:v>
      </x:c>
    </x:row>
    <x:row r="906" ht="52" customHeight="1">
      <x:c r="A906" s="10" t="str">
        <x:v>V-A</x:v>
      </x:c>
      <x:c r="B906" s="10" t="str">
        <x:v>VOICE</x:v>
      </x:c>
      <x:c r="C906" s="10" t="str">
        <x:v>VOICE:S5-11</x:v>
      </x:c>
      <x:c r="D906" s="10" t="str">
        <x:v>VOICE:S5-11:goal</x:v>
      </x:c>
      <x:c r="E906" s="11" t="n">
        <x:v>5.35</x:v>
      </x:c>
      <x:c r="F906" s="11" t="n">
        <x:v>13.350000000000001</x:v>
      </x:c>
      <x:c r="G906" s="11" t="n">
        <x:f>F906-E906</x:f>
        <x:v>8.000000000000002</x:v>
      </x:c>
      <x:c r="H906" s="10" t="n">
        <x:v>1</x:v>
      </x:c>
      <x:c r="I906" s="10" t="str">
        <x:v>completed_as_adopted</x:v>
      </x:c>
      <x:c r="J906" s="10" t="str">
        <x:v>VOICE:A/S5-11/scored/07471</x:v>
      </x:c>
      <x:c r="K906" s="10" t="str">
        <x:v>VOICE:S5-11:input</x:v>
      </x:c>
      <x:c r="L906" s="10" t="str">
        <x:v>VOICE:A/S5-11/scored/07471</x:v>
      </x:c>
    </x:row>
    <x:row r="907" ht="52" customHeight="1">
      <x:c r="A907" s="10" t="str">
        <x:v>V-R1</x:v>
      </x:c>
      <x:c r="B907" s="10" t="str">
        <x:v>VOICE</x:v>
      </x:c>
      <x:c r="C907" s="10" t="str">
        <x:v>VOICE:S5-11</x:v>
      </x:c>
      <x:c r="D907" s="10" t="str">
        <x:v>VOICE:S5-11:goal</x:v>
      </x:c>
      <x:c r="E907" s="11" t="n">
        <x:v>5.1499999999999995</x:v>
      </x:c>
      <x:c r="F907" s="11" t="n">
        <x:v>13.15</x:v>
      </x:c>
      <x:c r="G907" s="11" t="n">
        <x:f>F907-E907</x:f>
        <x:v>8</x:v>
      </x:c>
      <x:c r="H907" s="10" t="n">
        <x:v>1</x:v>
      </x:c>
      <x:c r="I907" s="10" t="str">
        <x:v>completed_as_adopted</x:v>
      </x:c>
      <x:c r="J907" s="10" t="str">
        <x:v>VOICE:B-R1/S5-11/scored/07497</x:v>
      </x:c>
      <x:c r="K907" s="10" t="str">
        <x:v>VOICE:S5-11:input</x:v>
      </x:c>
      <x:c r="L907" s="10" t="str">
        <x:v>VOICE:B-R1/S5-11/scored/07497</x:v>
      </x:c>
    </x:row>
    <x:row r="908" ht="52" customHeight="1">
      <x:c r="A908" s="10" t="str">
        <x:v>V-R2</x:v>
      </x:c>
      <x:c r="B908" s="10" t="str">
        <x:v>VOICE</x:v>
      </x:c>
      <x:c r="C908" s="10" t="str">
        <x:v>VOICE:S5-11</x:v>
      </x:c>
      <x:c r="D908" s="10" t="str">
        <x:v>VOICE:S5-11:goal</x:v>
      </x:c>
      <x:c r="E908" s="11" t="n">
        <x:v>5.1499999999999995</x:v>
      </x:c>
      <x:c r="F908" s="11" t="n">
        <x:v>13.15</x:v>
      </x:c>
      <x:c r="G908" s="11" t="n">
        <x:f>F908-E908</x:f>
        <x:v>8</x:v>
      </x:c>
      <x:c r="H908" s="10" t="n">
        <x:v>1</x:v>
      </x:c>
      <x:c r="I908" s="10" t="str">
        <x:v>completed_as_adopted</x:v>
      </x:c>
      <x:c r="J908" s="10" t="str">
        <x:v>VOICE:B-R2/S5-11/scored/07522</x:v>
      </x:c>
      <x:c r="K908" s="10" t="str">
        <x:v>VOICE:S5-11:input</x:v>
      </x:c>
      <x:c r="L908" s="10" t="str">
        <x:v>VOICE:B-R2/S5-11/scored/07522</x:v>
      </x:c>
    </x:row>
    <x:row r="909" ht="52" customHeight="1">
      <x:c r="A909" s="10" t="str">
        <x:v>V-R3</x:v>
      </x:c>
      <x:c r="B909" s="10" t="str">
        <x:v>VOICE</x:v>
      </x:c>
      <x:c r="C909" s="10" t="str">
        <x:v>VOICE:S5-11</x:v>
      </x:c>
      <x:c r="D909" s="10" t="str">
        <x:v>VOICE:S5-11:goal</x:v>
      </x:c>
      <x:c r="E909" s="11" t="n">
        <x:v>5.1499999999999995</x:v>
      </x:c>
      <x:c r="F909" s="11" t="n">
        <x:v>13.15</x:v>
      </x:c>
      <x:c r="G909" s="11" t="n">
        <x:f>F909-E909</x:f>
        <x:v>8</x:v>
      </x:c>
      <x:c r="H909" s="10" t="n">
        <x:v>1</x:v>
      </x:c>
      <x:c r="I909" s="10" t="str">
        <x:v>completed_as_adopted</x:v>
      </x:c>
      <x:c r="J909" s="10" t="str">
        <x:v>VOICE:B-R3/S5-11/scored/07548</x:v>
      </x:c>
      <x:c r="K909" s="10" t="str">
        <x:v>VOICE:S5-11:input</x:v>
      </x:c>
      <x:c r="L909" s="10" t="str">
        <x:v>VOICE:B-R3/S5-11/scored/07548</x:v>
      </x:c>
    </x:row>
    <x:row r="910" ht="52" customHeight="1">
      <x:c r="A910" s="10" t="str">
        <x:v>V-A</x:v>
      </x:c>
      <x:c r="B910" s="10" t="str">
        <x:v>VOICE</x:v>
      </x:c>
      <x:c r="C910" s="10" t="str">
        <x:v>VOICE:S5-12</x:v>
      </x:c>
      <x:c r="D910" s="10" t="str">
        <x:v>VOICE:S5-12:goal</x:v>
      </x:c>
      <x:c r="E910" s="11" t="n">
        <x:v>5.35</x:v>
      </x:c>
      <x:c r="F910" s="11" t="n">
        <x:v>13.350000000000001</x:v>
      </x:c>
      <x:c r="G910" s="11" t="n">
        <x:f>F910-E910</x:f>
        <x:v>8.000000000000002</x:v>
      </x:c>
      <x:c r="H910" s="10" t="n">
        <x:v>1</x:v>
      </x:c>
      <x:c r="I910" s="10" t="str">
        <x:v>completed_as_adopted</x:v>
      </x:c>
      <x:c r="J910" s="10" t="str">
        <x:v>VOICE:A/S5-12/scored/07570</x:v>
      </x:c>
      <x:c r="K910" s="10" t="str">
        <x:v>VOICE:S5-12:input</x:v>
      </x:c>
      <x:c r="L910" s="10" t="str">
        <x:v>VOICE:A/S5-12/scored/07570</x:v>
      </x:c>
    </x:row>
    <x:row r="911" ht="52" customHeight="1">
      <x:c r="A911" s="10" t="str">
        <x:v>V-R1</x:v>
      </x:c>
      <x:c r="B911" s="10" t="str">
        <x:v>VOICE</x:v>
      </x:c>
      <x:c r="C911" s="10" t="str">
        <x:v>VOICE:S5-12</x:v>
      </x:c>
      <x:c r="D911" s="10" t="str">
        <x:v>VOICE:S5-12:goal</x:v>
      </x:c>
      <x:c r="E911" s="11" t="n">
        <x:v>5.1499999999999995</x:v>
      </x:c>
      <x:c r="F911" s="11" t="n">
        <x:v>13.15</x:v>
      </x:c>
      <x:c r="G911" s="11" t="n">
        <x:f>F911-E911</x:f>
        <x:v>8</x:v>
      </x:c>
      <x:c r="H911" s="10" t="n">
        <x:v>1</x:v>
      </x:c>
      <x:c r="I911" s="10" t="str">
        <x:v>completed_as_adopted</x:v>
      </x:c>
      <x:c r="J911" s="10" t="str">
        <x:v>VOICE:B-R1/S5-12/scored/07596</x:v>
      </x:c>
      <x:c r="K911" s="10" t="str">
        <x:v>VOICE:S5-12:input</x:v>
      </x:c>
      <x:c r="L911" s="10" t="str">
        <x:v>VOICE:B-R1/S5-12/scored/07596</x:v>
      </x:c>
    </x:row>
    <x:row r="912" ht="52" customHeight="1">
      <x:c r="A912" s="10" t="str">
        <x:v>V-R2</x:v>
      </x:c>
      <x:c r="B912" s="10" t="str">
        <x:v>VOICE</x:v>
      </x:c>
      <x:c r="C912" s="10" t="str">
        <x:v>VOICE:S5-12</x:v>
      </x:c>
      <x:c r="D912" s="10" t="str">
        <x:v>VOICE:S5-12:goal</x:v>
      </x:c>
      <x:c r="E912" s="11" t="n">
        <x:v>5.1499999999999995</x:v>
      </x:c>
      <x:c r="F912" s="11" t="n">
        <x:v>13.15</x:v>
      </x:c>
      <x:c r="G912" s="11" t="n">
        <x:f>F912-E912</x:f>
        <x:v>8</x:v>
      </x:c>
      <x:c r="H912" s="10" t="n">
        <x:v>1</x:v>
      </x:c>
      <x:c r="I912" s="10" t="str">
        <x:v>completed_as_adopted</x:v>
      </x:c>
      <x:c r="J912" s="10" t="str">
        <x:v>VOICE:B-R2/S5-12/scored/07621</x:v>
      </x:c>
      <x:c r="K912" s="10" t="str">
        <x:v>VOICE:S5-12:input</x:v>
      </x:c>
      <x:c r="L912" s="10" t="str">
        <x:v>VOICE:B-R2/S5-12/scored/07621</x:v>
      </x:c>
    </x:row>
    <x:row r="913" ht="52" customHeight="1">
      <x:c r="A913" s="10" t="str">
        <x:v>V-R3</x:v>
      </x:c>
      <x:c r="B913" s="10" t="str">
        <x:v>VOICE</x:v>
      </x:c>
      <x:c r="C913" s="10" t="str">
        <x:v>VOICE:S5-12</x:v>
      </x:c>
      <x:c r="D913" s="10" t="str">
        <x:v>VOICE:S5-12:goal</x:v>
      </x:c>
      <x:c r="E913" s="11" t="n">
        <x:v>5.1499999999999995</x:v>
      </x:c>
      <x:c r="F913" s="11" t="n">
        <x:v>13.15</x:v>
      </x:c>
      <x:c r="G913" s="11" t="n">
        <x:f>F913-E913</x:f>
        <x:v>8</x:v>
      </x:c>
      <x:c r="H913" s="10" t="n">
        <x:v>1</x:v>
      </x:c>
      <x:c r="I913" s="10" t="str">
        <x:v>completed_as_adopted</x:v>
      </x:c>
      <x:c r="J913" s="10" t="str">
        <x:v>VOICE:B-R3/S5-12/scored/07647</x:v>
      </x:c>
      <x:c r="K913" s="10" t="str">
        <x:v>VOICE:S5-12:input</x:v>
      </x:c>
      <x:c r="L913" s="10" t="str">
        <x:v>VOICE:B-R3/S5-12/scored/07647</x:v>
      </x:c>
    </x:row>
    <x:row r="914" ht="52" customHeight="1">
      <x:c r="A914" s="10" t="str">
        <x:v>V-A</x:v>
      </x:c>
      <x:c r="B914" s="10" t="str">
        <x:v>VOICE</x:v>
      </x:c>
      <x:c r="C914" s="10" t="str">
        <x:v>VOICE:S5-13</x:v>
      </x:c>
      <x:c r="D914" s="10" t="str">
        <x:v>VOICE:S5-13:goal</x:v>
      </x:c>
      <x:c r="E914" s="11" t="n">
        <x:v>5.35</x:v>
      </x:c>
      <x:c r="F914" s="11" t="n">
        <x:v>13.350000000000001</x:v>
      </x:c>
      <x:c r="G914" s="11" t="n">
        <x:f>F914-E914</x:f>
        <x:v>8.000000000000002</x:v>
      </x:c>
      <x:c r="H914" s="10" t="n">
        <x:v>1</x:v>
      </x:c>
      <x:c r="I914" s="10" t="str">
        <x:v>completed_as_adopted</x:v>
      </x:c>
      <x:c r="J914" s="10" t="str">
        <x:v>VOICE:A/S5-13/scored/07669</x:v>
      </x:c>
      <x:c r="K914" s="10" t="str">
        <x:v>VOICE:S5-13:input</x:v>
      </x:c>
      <x:c r="L914" s="10" t="str">
        <x:v>VOICE:A/S5-13/scored/07669</x:v>
      </x:c>
    </x:row>
    <x:row r="915" ht="52" customHeight="1">
      <x:c r="A915" s="10" t="str">
        <x:v>V-R1</x:v>
      </x:c>
      <x:c r="B915" s="10" t="str">
        <x:v>VOICE</x:v>
      </x:c>
      <x:c r="C915" s="10" t="str">
        <x:v>VOICE:S5-13</x:v>
      </x:c>
      <x:c r="D915" s="10" t="str">
        <x:v>VOICE:S5-13:goal</x:v>
      </x:c>
      <x:c r="E915" s="11" t="n">
        <x:v>5.1499999999999995</x:v>
      </x:c>
      <x:c r="F915" s="11" t="n">
        <x:v>13.15</x:v>
      </x:c>
      <x:c r="G915" s="11" t="n">
        <x:f>F915-E915</x:f>
        <x:v>8</x:v>
      </x:c>
      <x:c r="H915" s="10" t="n">
        <x:v>1</x:v>
      </x:c>
      <x:c r="I915" s="10" t="str">
        <x:v>completed_as_adopted</x:v>
      </x:c>
      <x:c r="J915" s="10" t="str">
        <x:v>VOICE:B-R1/S5-13/scored/07695</x:v>
      </x:c>
      <x:c r="K915" s="10" t="str">
        <x:v>VOICE:S5-13:input</x:v>
      </x:c>
      <x:c r="L915" s="10" t="str">
        <x:v>VOICE:B-R1/S5-13/scored/07695</x:v>
      </x:c>
    </x:row>
    <x:row r="916" ht="52" customHeight="1">
      <x:c r="A916" s="10" t="str">
        <x:v>V-R2</x:v>
      </x:c>
      <x:c r="B916" s="10" t="str">
        <x:v>VOICE</x:v>
      </x:c>
      <x:c r="C916" s="10" t="str">
        <x:v>VOICE:S5-13</x:v>
      </x:c>
      <x:c r="D916" s="10" t="str">
        <x:v>VOICE:S5-13:goal</x:v>
      </x:c>
      <x:c r="E916" s="11" t="n">
        <x:v>5.1499999999999995</x:v>
      </x:c>
      <x:c r="F916" s="11" t="n">
        <x:v>13.15</x:v>
      </x:c>
      <x:c r="G916" s="11" t="n">
        <x:f>F916-E916</x:f>
        <x:v>8</x:v>
      </x:c>
      <x:c r="H916" s="10" t="n">
        <x:v>1</x:v>
      </x:c>
      <x:c r="I916" s="10" t="str">
        <x:v>completed_as_adopted</x:v>
      </x:c>
      <x:c r="J916" s="10" t="str">
        <x:v>VOICE:B-R2/S5-13/scored/07720</x:v>
      </x:c>
      <x:c r="K916" s="10" t="str">
        <x:v>VOICE:S5-13:input</x:v>
      </x:c>
      <x:c r="L916" s="10" t="str">
        <x:v>VOICE:B-R2/S5-13/scored/07720</x:v>
      </x:c>
    </x:row>
    <x:row r="917" ht="52" customHeight="1">
      <x:c r="A917" s="10" t="str">
        <x:v>V-R3</x:v>
      </x:c>
      <x:c r="B917" s="10" t="str">
        <x:v>VOICE</x:v>
      </x:c>
      <x:c r="C917" s="10" t="str">
        <x:v>VOICE:S5-13</x:v>
      </x:c>
      <x:c r="D917" s="10" t="str">
        <x:v>VOICE:S5-13:goal</x:v>
      </x:c>
      <x:c r="E917" s="11" t="n">
        <x:v>5.1499999999999995</x:v>
      </x:c>
      <x:c r="F917" s="11" t="n">
        <x:v>13.15</x:v>
      </x:c>
      <x:c r="G917" s="11" t="n">
        <x:f>F917-E917</x:f>
        <x:v>8</x:v>
      </x:c>
      <x:c r="H917" s="10" t="n">
        <x:v>1</x:v>
      </x:c>
      <x:c r="I917" s="10" t="str">
        <x:v>completed_as_adopted</x:v>
      </x:c>
      <x:c r="J917" s="10" t="str">
        <x:v>VOICE:B-R3/S5-13/scored/07746</x:v>
      </x:c>
      <x:c r="K917" s="10" t="str">
        <x:v>VOICE:S5-13:input</x:v>
      </x:c>
      <x:c r="L917" s="10" t="str">
        <x:v>VOICE:B-R3/S5-13/scored/07746</x:v>
      </x:c>
    </x:row>
    <x:row r="918" ht="52" customHeight="1">
      <x:c r="A918" s="10" t="str">
        <x:v>V-A</x:v>
      </x:c>
      <x:c r="B918" s="10" t="str">
        <x:v>VOICE</x:v>
      </x:c>
      <x:c r="C918" s="10" t="str">
        <x:v>VOICE:S5-14</x:v>
      </x:c>
      <x:c r="D918" s="10" t="str">
        <x:v>VOICE:S5-14:goal</x:v>
      </x:c>
      <x:c r="E918" s="11" t="n">
        <x:v>5.35</x:v>
      </x:c>
      <x:c r="F918" s="11" t="n">
        <x:v>13.350000000000001</x:v>
      </x:c>
      <x:c r="G918" s="11" t="n">
        <x:f>F918-E918</x:f>
        <x:v>8.000000000000002</x:v>
      </x:c>
      <x:c r="H918" s="10" t="n">
        <x:v>1</x:v>
      </x:c>
      <x:c r="I918" s="10" t="str">
        <x:v>completed_as_adopted</x:v>
      </x:c>
      <x:c r="J918" s="10" t="str">
        <x:v>VOICE:A/S5-14/scored/07768</x:v>
      </x:c>
      <x:c r="K918" s="10" t="str">
        <x:v>VOICE:S5-14:input</x:v>
      </x:c>
      <x:c r="L918" s="10" t="str">
        <x:v>VOICE:A/S5-14/scored/07768</x:v>
      </x:c>
    </x:row>
    <x:row r="919" ht="52" customHeight="1">
      <x:c r="A919" s="10" t="str">
        <x:v>V-R1</x:v>
      </x:c>
      <x:c r="B919" s="10" t="str">
        <x:v>VOICE</x:v>
      </x:c>
      <x:c r="C919" s="10" t="str">
        <x:v>VOICE:S5-14</x:v>
      </x:c>
      <x:c r="D919" s="10" t="str">
        <x:v>VOICE:S5-14:goal</x:v>
      </x:c>
      <x:c r="E919" s="11" t="n">
        <x:v>5.1499999999999995</x:v>
      </x:c>
      <x:c r="F919" s="11" t="n">
        <x:v>13.15</x:v>
      </x:c>
      <x:c r="G919" s="11" t="n">
        <x:f>F919-E919</x:f>
        <x:v>8</x:v>
      </x:c>
      <x:c r="H919" s="10" t="n">
        <x:v>1</x:v>
      </x:c>
      <x:c r="I919" s="10" t="str">
        <x:v>completed_as_adopted</x:v>
      </x:c>
      <x:c r="J919" s="10" t="str">
        <x:v>VOICE:B-R1/S5-14/scored/07794</x:v>
      </x:c>
      <x:c r="K919" s="10" t="str">
        <x:v>VOICE:S5-14:input</x:v>
      </x:c>
      <x:c r="L919" s="10" t="str">
        <x:v>VOICE:B-R1/S5-14/scored/07794</x:v>
      </x:c>
    </x:row>
    <x:row r="920" ht="52" customHeight="1">
      <x:c r="A920" s="10" t="str">
        <x:v>V-R2</x:v>
      </x:c>
      <x:c r="B920" s="10" t="str">
        <x:v>VOICE</x:v>
      </x:c>
      <x:c r="C920" s="10" t="str">
        <x:v>VOICE:S5-14</x:v>
      </x:c>
      <x:c r="D920" s="10" t="str">
        <x:v>VOICE:S5-14:goal</x:v>
      </x:c>
      <x:c r="E920" s="11" t="n">
        <x:v>5.1499999999999995</x:v>
      </x:c>
      <x:c r="F920" s="11" t="n">
        <x:v>13.15</x:v>
      </x:c>
      <x:c r="G920" s="11" t="n">
        <x:f>F920-E920</x:f>
        <x:v>8</x:v>
      </x:c>
      <x:c r="H920" s="10" t="n">
        <x:v>1</x:v>
      </x:c>
      <x:c r="I920" s="10" t="str">
        <x:v>completed_as_adopted</x:v>
      </x:c>
      <x:c r="J920" s="10" t="str">
        <x:v>VOICE:B-R2/S5-14/scored/07819</x:v>
      </x:c>
      <x:c r="K920" s="10" t="str">
        <x:v>VOICE:S5-14:input</x:v>
      </x:c>
      <x:c r="L920" s="10" t="str">
        <x:v>VOICE:B-R2/S5-14/scored/07819</x:v>
      </x:c>
    </x:row>
    <x:row r="921" ht="52" customHeight="1">
      <x:c r="A921" s="10" t="str">
        <x:v>V-R3</x:v>
      </x:c>
      <x:c r="B921" s="10" t="str">
        <x:v>VOICE</x:v>
      </x:c>
      <x:c r="C921" s="10" t="str">
        <x:v>VOICE:S5-14</x:v>
      </x:c>
      <x:c r="D921" s="10" t="str">
        <x:v>VOICE:S5-14:goal</x:v>
      </x:c>
      <x:c r="E921" s="11" t="n">
        <x:v>5.1499999999999995</x:v>
      </x:c>
      <x:c r="F921" s="11" t="n">
        <x:v>13.15</x:v>
      </x:c>
      <x:c r="G921" s="11" t="n">
        <x:f>F921-E921</x:f>
        <x:v>8</x:v>
      </x:c>
      <x:c r="H921" s="10" t="n">
        <x:v>1</x:v>
      </x:c>
      <x:c r="I921" s="10" t="str">
        <x:v>completed_as_adopted</x:v>
      </x:c>
      <x:c r="J921" s="10" t="str">
        <x:v>VOICE:B-R3/S5-14/scored/07845</x:v>
      </x:c>
      <x:c r="K921" s="10" t="str">
        <x:v>VOICE:S5-14:input</x:v>
      </x:c>
      <x:c r="L921" s="10" t="str">
        <x:v>VOICE:B-R3/S5-14/scored/07845</x:v>
      </x:c>
    </x:row>
    <x:row r="922" ht="52" customHeight="1">
      <x:c r="A922" s="10" t="str">
        <x:v>V-A</x:v>
      </x:c>
      <x:c r="B922" s="10" t="str">
        <x:v>VOICE</x:v>
      </x:c>
      <x:c r="C922" s="10" t="str">
        <x:v>VOICE:S5-15</x:v>
      </x:c>
      <x:c r="D922" s="10" t="str">
        <x:v>VOICE:S5-15:goal</x:v>
      </x:c>
      <x:c r="E922" s="11" t="n">
        <x:v>5.35</x:v>
      </x:c>
      <x:c r="F922" s="11" t="n">
        <x:v>13.350000000000001</x:v>
      </x:c>
      <x:c r="G922" s="11" t="n">
        <x:f>F922-E922</x:f>
        <x:v>8.000000000000002</x:v>
      </x:c>
      <x:c r="H922" s="10" t="n">
        <x:v>1</x:v>
      </x:c>
      <x:c r="I922" s="10" t="str">
        <x:v>completed_as_adopted</x:v>
      </x:c>
      <x:c r="J922" s="10" t="str">
        <x:v>VOICE:A/S5-15/scored/07867</x:v>
      </x:c>
      <x:c r="K922" s="10" t="str">
        <x:v>VOICE:S5-15:input</x:v>
      </x:c>
      <x:c r="L922" s="10" t="str">
        <x:v>VOICE:A/S5-15/scored/07867</x:v>
      </x:c>
    </x:row>
    <x:row r="923" ht="52" customHeight="1">
      <x:c r="A923" s="10" t="str">
        <x:v>V-R1</x:v>
      </x:c>
      <x:c r="B923" s="10" t="str">
        <x:v>VOICE</x:v>
      </x:c>
      <x:c r="C923" s="10" t="str">
        <x:v>VOICE:S5-15</x:v>
      </x:c>
      <x:c r="D923" s="10" t="str">
        <x:v>VOICE:S5-15:goal</x:v>
      </x:c>
      <x:c r="E923" s="11" t="n">
        <x:v>5.1499999999999995</x:v>
      </x:c>
      <x:c r="F923" s="11" t="n">
        <x:v>13.15</x:v>
      </x:c>
      <x:c r="G923" s="11" t="n">
        <x:f>F923-E923</x:f>
        <x:v>8</x:v>
      </x:c>
      <x:c r="H923" s="10" t="n">
        <x:v>1</x:v>
      </x:c>
      <x:c r="I923" s="10" t="str">
        <x:v>completed_as_adopted</x:v>
      </x:c>
      <x:c r="J923" s="10" t="str">
        <x:v>VOICE:B-R1/S5-15/scored/07893</x:v>
      </x:c>
      <x:c r="K923" s="10" t="str">
        <x:v>VOICE:S5-15:input</x:v>
      </x:c>
      <x:c r="L923" s="10" t="str">
        <x:v>VOICE:B-R1/S5-15/scored/07893</x:v>
      </x:c>
    </x:row>
    <x:row r="924" ht="52" customHeight="1">
      <x:c r="A924" s="10" t="str">
        <x:v>V-R2</x:v>
      </x:c>
      <x:c r="B924" s="10" t="str">
        <x:v>VOICE</x:v>
      </x:c>
      <x:c r="C924" s="10" t="str">
        <x:v>VOICE:S5-15</x:v>
      </x:c>
      <x:c r="D924" s="10" t="str">
        <x:v>VOICE:S5-15:goal</x:v>
      </x:c>
      <x:c r="E924" s="11" t="n">
        <x:v>5.1499999999999995</x:v>
      </x:c>
      <x:c r="F924" s="11" t="n">
        <x:v>13.15</x:v>
      </x:c>
      <x:c r="G924" s="11" t="n">
        <x:f>F924-E924</x:f>
        <x:v>8</x:v>
      </x:c>
      <x:c r="H924" s="10" t="n">
        <x:v>1</x:v>
      </x:c>
      <x:c r="I924" s="10" t="str">
        <x:v>completed_as_adopted</x:v>
      </x:c>
      <x:c r="J924" s="10" t="str">
        <x:v>VOICE:B-R2/S5-15/scored/07918</x:v>
      </x:c>
      <x:c r="K924" s="10" t="str">
        <x:v>VOICE:S5-15:input</x:v>
      </x:c>
      <x:c r="L924" s="10" t="str">
        <x:v>VOICE:B-R2/S5-15/scored/07918</x:v>
      </x:c>
    </x:row>
    <x:row r="925" ht="52" customHeight="1">
      <x:c r="A925" s="10" t="str">
        <x:v>V-R3</x:v>
      </x:c>
      <x:c r="B925" s="10" t="str">
        <x:v>VOICE</x:v>
      </x:c>
      <x:c r="C925" s="10" t="str">
        <x:v>VOICE:S5-15</x:v>
      </x:c>
      <x:c r="D925" s="10" t="str">
        <x:v>VOICE:S5-15:goal</x:v>
      </x:c>
      <x:c r="E925" s="11" t="n">
        <x:v>5.1499999999999995</x:v>
      </x:c>
      <x:c r="F925" s="11" t="n">
        <x:v>13.15</x:v>
      </x:c>
      <x:c r="G925" s="11" t="n">
        <x:f>F925-E925</x:f>
        <x:v>8</x:v>
      </x:c>
      <x:c r="H925" s="10" t="n">
        <x:v>1</x:v>
      </x:c>
      <x:c r="I925" s="10" t="str">
        <x:v>completed_as_adopted</x:v>
      </x:c>
      <x:c r="J925" s="10" t="str">
        <x:v>VOICE:B-R3/S5-15/scored/07944</x:v>
      </x:c>
      <x:c r="K925" s="10" t="str">
        <x:v>VOICE:S5-15:input</x:v>
      </x:c>
      <x:c r="L925" s="10" t="str">
        <x:v>VOICE:B-R3/S5-15/scored/07944</x:v>
      </x:c>
    </x:row>
    <x:row r="926" ht="52" customHeight="1">
      <x:c r="A926" s="10" t="str">
        <x:v>V-A</x:v>
      </x:c>
      <x:c r="B926" s="10" t="str">
        <x:v>VOICE</x:v>
      </x:c>
      <x:c r="C926" s="10" t="str">
        <x:v>VOICE:S5-16</x:v>
      </x:c>
      <x:c r="D926" s="10" t="str">
        <x:v>VOICE:S5-16:goal</x:v>
      </x:c>
      <x:c r="E926" s="11" t="n">
        <x:v>5.35</x:v>
      </x:c>
      <x:c r="F926" s="11" t="n">
        <x:v>13.350000000000001</x:v>
      </x:c>
      <x:c r="G926" s="11" t="n">
        <x:f>F926-E926</x:f>
        <x:v>8.000000000000002</x:v>
      </x:c>
      <x:c r="H926" s="10" t="n">
        <x:v>1</x:v>
      </x:c>
      <x:c r="I926" s="10" t="str">
        <x:v>completed_as_adopted</x:v>
      </x:c>
      <x:c r="J926" s="10" t="str">
        <x:v>VOICE:A/S5-16/scored/07966</x:v>
      </x:c>
      <x:c r="K926" s="10" t="str">
        <x:v>VOICE:S5-16:input</x:v>
      </x:c>
      <x:c r="L926" s="10" t="str">
        <x:v>VOICE:A/S5-16/scored/07966</x:v>
      </x:c>
    </x:row>
    <x:row r="927" ht="52" customHeight="1">
      <x:c r="A927" s="10" t="str">
        <x:v>V-R1</x:v>
      </x:c>
      <x:c r="B927" s="10" t="str">
        <x:v>VOICE</x:v>
      </x:c>
      <x:c r="C927" s="10" t="str">
        <x:v>VOICE:S5-16</x:v>
      </x:c>
      <x:c r="D927" s="10" t="str">
        <x:v>VOICE:S5-16:goal</x:v>
      </x:c>
      <x:c r="E927" s="11" t="n">
        <x:v>5.1499999999999995</x:v>
      </x:c>
      <x:c r="F927" s="11" t="n">
        <x:v>13.15</x:v>
      </x:c>
      <x:c r="G927" s="11" t="n">
        <x:f>F927-E927</x:f>
        <x:v>8</x:v>
      </x:c>
      <x:c r="H927" s="10" t="n">
        <x:v>1</x:v>
      </x:c>
      <x:c r="I927" s="10" t="str">
        <x:v>completed_as_adopted</x:v>
      </x:c>
      <x:c r="J927" s="10" t="str">
        <x:v>VOICE:B-R1/S5-16/scored/07992</x:v>
      </x:c>
      <x:c r="K927" s="10" t="str">
        <x:v>VOICE:S5-16:input</x:v>
      </x:c>
      <x:c r="L927" s="10" t="str">
        <x:v>VOICE:B-R1/S5-16/scored/07992</x:v>
      </x:c>
    </x:row>
    <x:row r="928" ht="52" customHeight="1">
      <x:c r="A928" s="10" t="str">
        <x:v>V-R2</x:v>
      </x:c>
      <x:c r="B928" s="10" t="str">
        <x:v>VOICE</x:v>
      </x:c>
      <x:c r="C928" s="10" t="str">
        <x:v>VOICE:S5-16</x:v>
      </x:c>
      <x:c r="D928" s="10" t="str">
        <x:v>VOICE:S5-16:goal</x:v>
      </x:c>
      <x:c r="E928" s="11" t="n">
        <x:v>5.1499999999999995</x:v>
      </x:c>
      <x:c r="F928" s="11" t="n">
        <x:v>13.15</x:v>
      </x:c>
      <x:c r="G928" s="11" t="n">
        <x:f>F928-E928</x:f>
        <x:v>8</x:v>
      </x:c>
      <x:c r="H928" s="10" t="n">
        <x:v>1</x:v>
      </x:c>
      <x:c r="I928" s="10" t="str">
        <x:v>completed_as_adopted</x:v>
      </x:c>
      <x:c r="J928" s="10" t="str">
        <x:v>VOICE:B-R2/S5-16/scored/08017</x:v>
      </x:c>
      <x:c r="K928" s="10" t="str">
        <x:v>VOICE:S5-16:input</x:v>
      </x:c>
      <x:c r="L928" s="10" t="str">
        <x:v>VOICE:B-R2/S5-16/scored/08017</x:v>
      </x:c>
    </x:row>
    <x:row r="929" ht="52" customHeight="1">
      <x:c r="A929" s="10" t="str">
        <x:v>V-R3</x:v>
      </x:c>
      <x:c r="B929" s="10" t="str">
        <x:v>VOICE</x:v>
      </x:c>
      <x:c r="C929" s="10" t="str">
        <x:v>VOICE:S5-16</x:v>
      </x:c>
      <x:c r="D929" s="10" t="str">
        <x:v>VOICE:S5-16:goal</x:v>
      </x:c>
      <x:c r="E929" s="11" t="n">
        <x:v>5.1499999999999995</x:v>
      </x:c>
      <x:c r="F929" s="11" t="n">
        <x:v>13.15</x:v>
      </x:c>
      <x:c r="G929" s="11" t="n">
        <x:f>F929-E929</x:f>
        <x:v>8</x:v>
      </x:c>
      <x:c r="H929" s="10" t="n">
        <x:v>1</x:v>
      </x:c>
      <x:c r="I929" s="10" t="str">
        <x:v>completed_as_adopted</x:v>
      </x:c>
      <x:c r="J929" s="10" t="str">
        <x:v>VOICE:B-R3/S5-16/scored/08043</x:v>
      </x:c>
      <x:c r="K929" s="10" t="str">
        <x:v>VOICE:S5-16:input</x:v>
      </x:c>
      <x:c r="L929" s="10" t="str">
        <x:v>VOICE:B-R3/S5-16/scored/08043</x:v>
      </x:c>
    </x:row>
    <x:row r="930" ht="52" customHeight="1">
      <x:c r="A930" s="10" t="str">
        <x:v>V-A</x:v>
      </x:c>
      <x:c r="B930" s="10" t="str">
        <x:v>VOICE</x:v>
      </x:c>
      <x:c r="C930" s="10" t="str">
        <x:v>VOICE:S5-17</x:v>
      </x:c>
      <x:c r="D930" s="10" t="str">
        <x:v>VOICE:S5-17:goal</x:v>
      </x:c>
      <x:c r="E930" s="11" t="n">
        <x:v>5.35</x:v>
      </x:c>
      <x:c r="F930" s="11" t="n">
        <x:v>13.350000000000001</x:v>
      </x:c>
      <x:c r="G930" s="11" t="n">
        <x:f>F930-E930</x:f>
        <x:v>8.000000000000002</x:v>
      </x:c>
      <x:c r="H930" s="10" t="n">
        <x:v>1</x:v>
      </x:c>
      <x:c r="I930" s="10" t="str">
        <x:v>completed_as_adopted</x:v>
      </x:c>
      <x:c r="J930" s="10" t="str">
        <x:v>VOICE:A/S5-17/scored/08065</x:v>
      </x:c>
      <x:c r="K930" s="10" t="str">
        <x:v>VOICE:S5-17:input</x:v>
      </x:c>
      <x:c r="L930" s="10" t="str">
        <x:v>VOICE:A/S5-17/scored/08065</x:v>
      </x:c>
    </x:row>
    <x:row r="931" ht="52" customHeight="1">
      <x:c r="A931" s="10" t="str">
        <x:v>V-R1</x:v>
      </x:c>
      <x:c r="B931" s="10" t="str">
        <x:v>VOICE</x:v>
      </x:c>
      <x:c r="C931" s="10" t="str">
        <x:v>VOICE:S5-17</x:v>
      </x:c>
      <x:c r="D931" s="10" t="str">
        <x:v>VOICE:S5-17:goal</x:v>
      </x:c>
      <x:c r="E931" s="11" t="n">
        <x:v>5.1499999999999995</x:v>
      </x:c>
      <x:c r="F931" s="11" t="n">
        <x:v>13.15</x:v>
      </x:c>
      <x:c r="G931" s="11" t="n">
        <x:f>F931-E931</x:f>
        <x:v>8</x:v>
      </x:c>
      <x:c r="H931" s="10" t="n">
        <x:v>1</x:v>
      </x:c>
      <x:c r="I931" s="10" t="str">
        <x:v>completed_as_adopted</x:v>
      </x:c>
      <x:c r="J931" s="10" t="str">
        <x:v>VOICE:B-R1/S5-17/scored/08091</x:v>
      </x:c>
      <x:c r="K931" s="10" t="str">
        <x:v>VOICE:S5-17:input</x:v>
      </x:c>
      <x:c r="L931" s="10" t="str">
        <x:v>VOICE:B-R1/S5-17/scored/08091</x:v>
      </x:c>
    </x:row>
    <x:row r="932" ht="52" customHeight="1">
      <x:c r="A932" s="10" t="str">
        <x:v>V-R2</x:v>
      </x:c>
      <x:c r="B932" s="10" t="str">
        <x:v>VOICE</x:v>
      </x:c>
      <x:c r="C932" s="10" t="str">
        <x:v>VOICE:S5-17</x:v>
      </x:c>
      <x:c r="D932" s="10" t="str">
        <x:v>VOICE:S5-17:goal</x:v>
      </x:c>
      <x:c r="E932" s="11" t="n">
        <x:v>5.1499999999999995</x:v>
      </x:c>
      <x:c r="F932" s="11" t="n">
        <x:v>13.15</x:v>
      </x:c>
      <x:c r="G932" s="11" t="n">
        <x:f>F932-E932</x:f>
        <x:v>8</x:v>
      </x:c>
      <x:c r="H932" s="10" t="n">
        <x:v>1</x:v>
      </x:c>
      <x:c r="I932" s="10" t="str">
        <x:v>completed_as_adopted</x:v>
      </x:c>
      <x:c r="J932" s="10" t="str">
        <x:v>VOICE:B-R2/S5-17/scored/08116</x:v>
      </x:c>
      <x:c r="K932" s="10" t="str">
        <x:v>VOICE:S5-17:input</x:v>
      </x:c>
      <x:c r="L932" s="10" t="str">
        <x:v>VOICE:B-R2/S5-17/scored/08116</x:v>
      </x:c>
    </x:row>
    <x:row r="933" ht="52" customHeight="1">
      <x:c r="A933" s="10" t="str">
        <x:v>V-R3</x:v>
      </x:c>
      <x:c r="B933" s="10" t="str">
        <x:v>VOICE</x:v>
      </x:c>
      <x:c r="C933" s="10" t="str">
        <x:v>VOICE:S5-17</x:v>
      </x:c>
      <x:c r="D933" s="10" t="str">
        <x:v>VOICE:S5-17:goal</x:v>
      </x:c>
      <x:c r="E933" s="11" t="n">
        <x:v>5.1499999999999995</x:v>
      </x:c>
      <x:c r="F933" s="11" t="n">
        <x:v>13.15</x:v>
      </x:c>
      <x:c r="G933" s="11" t="n">
        <x:f>F933-E933</x:f>
        <x:v>8</x:v>
      </x:c>
      <x:c r="H933" s="10" t="n">
        <x:v>1</x:v>
      </x:c>
      <x:c r="I933" s="10" t="str">
        <x:v>completed_as_adopted</x:v>
      </x:c>
      <x:c r="J933" s="10" t="str">
        <x:v>VOICE:B-R3/S5-17/scored/08142</x:v>
      </x:c>
      <x:c r="K933" s="10" t="str">
        <x:v>VOICE:S5-17:input</x:v>
      </x:c>
      <x:c r="L933" s="10" t="str">
        <x:v>VOICE:B-R3/S5-17/scored/08142</x:v>
      </x:c>
    </x:row>
    <x:row r="934" ht="52" customHeight="1">
      <x:c r="A934" s="10" t="str">
        <x:v>V-A</x:v>
      </x:c>
      <x:c r="B934" s="10" t="str">
        <x:v>VOICE</x:v>
      </x:c>
      <x:c r="C934" s="10" t="str">
        <x:v>VOICE:S5-18</x:v>
      </x:c>
      <x:c r="D934" s="10" t="str">
        <x:v>VOICE:S5-18:goal</x:v>
      </x:c>
      <x:c r="E934" s="11" t="n">
        <x:v>5.35</x:v>
      </x:c>
      <x:c r="F934" s="11" t="n">
        <x:v>13.350000000000001</x:v>
      </x:c>
      <x:c r="G934" s="11" t="n">
        <x:f>F934-E934</x:f>
        <x:v>8.000000000000002</x:v>
      </x:c>
      <x:c r="H934" s="10" t="n">
        <x:v>1</x:v>
      </x:c>
      <x:c r="I934" s="10" t="str">
        <x:v>completed_as_adopted</x:v>
      </x:c>
      <x:c r="J934" s="10" t="str">
        <x:v>VOICE:A/S5-18/scored/08164</x:v>
      </x:c>
      <x:c r="K934" s="10" t="str">
        <x:v>VOICE:S5-18:input</x:v>
      </x:c>
      <x:c r="L934" s="10" t="str">
        <x:v>VOICE:A/S5-18/scored/08164</x:v>
      </x:c>
    </x:row>
    <x:row r="935" ht="52" customHeight="1">
      <x:c r="A935" s="10" t="str">
        <x:v>V-R1</x:v>
      </x:c>
      <x:c r="B935" s="10" t="str">
        <x:v>VOICE</x:v>
      </x:c>
      <x:c r="C935" s="10" t="str">
        <x:v>VOICE:S5-18</x:v>
      </x:c>
      <x:c r="D935" s="10" t="str">
        <x:v>VOICE:S5-18:goal</x:v>
      </x:c>
      <x:c r="E935" s="11" t="n">
        <x:v>5.1499999999999995</x:v>
      </x:c>
      <x:c r="F935" s="11" t="n">
        <x:v>13.15</x:v>
      </x:c>
      <x:c r="G935" s="11" t="n">
        <x:f>F935-E935</x:f>
        <x:v>8</x:v>
      </x:c>
      <x:c r="H935" s="10" t="n">
        <x:v>1</x:v>
      </x:c>
      <x:c r="I935" s="10" t="str">
        <x:v>completed_as_adopted</x:v>
      </x:c>
      <x:c r="J935" s="10" t="str">
        <x:v>VOICE:B-R1/S5-18/scored/08190</x:v>
      </x:c>
      <x:c r="K935" s="10" t="str">
        <x:v>VOICE:S5-18:input</x:v>
      </x:c>
      <x:c r="L935" s="10" t="str">
        <x:v>VOICE:B-R1/S5-18/scored/08190</x:v>
      </x:c>
    </x:row>
    <x:row r="936" ht="52" customHeight="1">
      <x:c r="A936" s="10" t="str">
        <x:v>V-R2</x:v>
      </x:c>
      <x:c r="B936" s="10" t="str">
        <x:v>VOICE</x:v>
      </x:c>
      <x:c r="C936" s="10" t="str">
        <x:v>VOICE:S5-18</x:v>
      </x:c>
      <x:c r="D936" s="10" t="str">
        <x:v>VOICE:S5-18:goal</x:v>
      </x:c>
      <x:c r="E936" s="11" t="n">
        <x:v>5.1499999999999995</x:v>
      </x:c>
      <x:c r="F936" s="11" t="n">
        <x:v>13.15</x:v>
      </x:c>
      <x:c r="G936" s="11" t="n">
        <x:f>F936-E936</x:f>
        <x:v>8</x:v>
      </x:c>
      <x:c r="H936" s="10" t="n">
        <x:v>1</x:v>
      </x:c>
      <x:c r="I936" s="10" t="str">
        <x:v>completed_as_adopted</x:v>
      </x:c>
      <x:c r="J936" s="10" t="str">
        <x:v>VOICE:B-R2/S5-18/scored/08215</x:v>
      </x:c>
      <x:c r="K936" s="10" t="str">
        <x:v>VOICE:S5-18:input</x:v>
      </x:c>
      <x:c r="L936" s="10" t="str">
        <x:v>VOICE:B-R2/S5-18/scored/08215</x:v>
      </x:c>
    </x:row>
    <x:row r="937" ht="52" customHeight="1">
      <x:c r="A937" s="10" t="str">
        <x:v>V-R3</x:v>
      </x:c>
      <x:c r="B937" s="10" t="str">
        <x:v>VOICE</x:v>
      </x:c>
      <x:c r="C937" s="10" t="str">
        <x:v>VOICE:S5-18</x:v>
      </x:c>
      <x:c r="D937" s="10" t="str">
        <x:v>VOICE:S5-18:goal</x:v>
      </x:c>
      <x:c r="E937" s="11" t="n">
        <x:v>5.1499999999999995</x:v>
      </x:c>
      <x:c r="F937" s="11" t="n">
        <x:v>13.15</x:v>
      </x:c>
      <x:c r="G937" s="11" t="n">
        <x:f>F937-E937</x:f>
        <x:v>8</x:v>
      </x:c>
      <x:c r="H937" s="10" t="n">
        <x:v>1</x:v>
      </x:c>
      <x:c r="I937" s="10" t="str">
        <x:v>completed_as_adopted</x:v>
      </x:c>
      <x:c r="J937" s="10" t="str">
        <x:v>VOICE:B-R3/S5-18/scored/08241</x:v>
      </x:c>
      <x:c r="K937" s="10" t="str">
        <x:v>VOICE:S5-18:input</x:v>
      </x:c>
      <x:c r="L937" s="10" t="str">
        <x:v>VOICE:B-R3/S5-18/scored/08241</x:v>
      </x:c>
    </x:row>
    <x:row r="938" ht="52" customHeight="1">
      <x:c r="A938" s="10" t="str">
        <x:v>V-A</x:v>
      </x:c>
      <x:c r="B938" s="10" t="str">
        <x:v>VOICE</x:v>
      </x:c>
      <x:c r="C938" s="10" t="str">
        <x:v>VOICE:S5-19</x:v>
      </x:c>
      <x:c r="D938" s="10" t="str">
        <x:v>VOICE:S5-19:goal</x:v>
      </x:c>
      <x:c r="E938" s="11" t="n">
        <x:v>5.35</x:v>
      </x:c>
      <x:c r="F938" s="11" t="n">
        <x:v>13.350000000000001</x:v>
      </x:c>
      <x:c r="G938" s="11" t="n">
        <x:f>F938-E938</x:f>
        <x:v>8.000000000000002</x:v>
      </x:c>
      <x:c r="H938" s="10" t="n">
        <x:v>1</x:v>
      </x:c>
      <x:c r="I938" s="10" t="str">
        <x:v>completed_as_adopted</x:v>
      </x:c>
      <x:c r="J938" s="10" t="str">
        <x:v>VOICE:A/S5-19/scored/08263</x:v>
      </x:c>
      <x:c r="K938" s="10" t="str">
        <x:v>VOICE:S5-19:input</x:v>
      </x:c>
      <x:c r="L938" s="10" t="str">
        <x:v>VOICE:A/S5-19/scored/08263</x:v>
      </x:c>
    </x:row>
    <x:row r="939" ht="52" customHeight="1">
      <x:c r="A939" s="10" t="str">
        <x:v>V-R1</x:v>
      </x:c>
      <x:c r="B939" s="10" t="str">
        <x:v>VOICE</x:v>
      </x:c>
      <x:c r="C939" s="10" t="str">
        <x:v>VOICE:S5-19</x:v>
      </x:c>
      <x:c r="D939" s="10" t="str">
        <x:v>VOICE:S5-19:goal</x:v>
      </x:c>
      <x:c r="E939" s="11" t="n">
        <x:v>5.1499999999999995</x:v>
      </x:c>
      <x:c r="F939" s="11" t="n">
        <x:v>13.15</x:v>
      </x:c>
      <x:c r="G939" s="11" t="n">
        <x:f>F939-E939</x:f>
        <x:v>8</x:v>
      </x:c>
      <x:c r="H939" s="10" t="n">
        <x:v>1</x:v>
      </x:c>
      <x:c r="I939" s="10" t="str">
        <x:v>completed_as_adopted</x:v>
      </x:c>
      <x:c r="J939" s="10" t="str">
        <x:v>VOICE:B-R1/S5-19/scored/08289</x:v>
      </x:c>
      <x:c r="K939" s="10" t="str">
        <x:v>VOICE:S5-19:input</x:v>
      </x:c>
      <x:c r="L939" s="10" t="str">
        <x:v>VOICE:B-R1/S5-19/scored/08289</x:v>
      </x:c>
    </x:row>
    <x:row r="940" ht="52" customHeight="1">
      <x:c r="A940" s="10" t="str">
        <x:v>V-R2</x:v>
      </x:c>
      <x:c r="B940" s="10" t="str">
        <x:v>VOICE</x:v>
      </x:c>
      <x:c r="C940" s="10" t="str">
        <x:v>VOICE:S5-19</x:v>
      </x:c>
      <x:c r="D940" s="10" t="str">
        <x:v>VOICE:S5-19:goal</x:v>
      </x:c>
      <x:c r="E940" s="11" t="n">
        <x:v>5.1499999999999995</x:v>
      </x:c>
      <x:c r="F940" s="11" t="n">
        <x:v>13.15</x:v>
      </x:c>
      <x:c r="G940" s="11" t="n">
        <x:f>F940-E940</x:f>
        <x:v>8</x:v>
      </x:c>
      <x:c r="H940" s="10" t="n">
        <x:v>1</x:v>
      </x:c>
      <x:c r="I940" s="10" t="str">
        <x:v>completed_as_adopted</x:v>
      </x:c>
      <x:c r="J940" s="10" t="str">
        <x:v>VOICE:B-R2/S5-19/scored/08314</x:v>
      </x:c>
      <x:c r="K940" s="10" t="str">
        <x:v>VOICE:S5-19:input</x:v>
      </x:c>
      <x:c r="L940" s="10" t="str">
        <x:v>VOICE:B-R2/S5-19/scored/08314</x:v>
      </x:c>
    </x:row>
    <x:row r="941" ht="52" customHeight="1">
      <x:c r="A941" s="10" t="str">
        <x:v>V-R3</x:v>
      </x:c>
      <x:c r="B941" s="10" t="str">
        <x:v>VOICE</x:v>
      </x:c>
      <x:c r="C941" s="10" t="str">
        <x:v>VOICE:S5-19</x:v>
      </x:c>
      <x:c r="D941" s="10" t="str">
        <x:v>VOICE:S5-19:goal</x:v>
      </x:c>
      <x:c r="E941" s="11" t="n">
        <x:v>5.1499999999999995</x:v>
      </x:c>
      <x:c r="F941" s="11" t="n">
        <x:v>13.15</x:v>
      </x:c>
      <x:c r="G941" s="11" t="n">
        <x:f>F941-E941</x:f>
        <x:v>8</x:v>
      </x:c>
      <x:c r="H941" s="10" t="n">
        <x:v>1</x:v>
      </x:c>
      <x:c r="I941" s="10" t="str">
        <x:v>completed_as_adopted</x:v>
      </x:c>
      <x:c r="J941" s="10" t="str">
        <x:v>VOICE:B-R3/S5-19/scored/08340</x:v>
      </x:c>
      <x:c r="K941" s="10" t="str">
        <x:v>VOICE:S5-19:input</x:v>
      </x:c>
      <x:c r="L941" s="10" t="str">
        <x:v>VOICE:B-R3/S5-19/scored/08340</x:v>
      </x:c>
    </x:row>
    <x:row r="942" ht="52" customHeight="1">
      <x:c r="A942" s="10" t="str">
        <x:v>V-A</x:v>
      </x:c>
      <x:c r="B942" s="10" t="str">
        <x:v>VOICE</x:v>
      </x:c>
      <x:c r="C942" s="10" t="str">
        <x:v>VOICE:S5-20</x:v>
      </x:c>
      <x:c r="D942" s="10" t="str">
        <x:v>VOICE:S5-20:goal</x:v>
      </x:c>
      <x:c r="E942" s="11" t="n">
        <x:v>5.35</x:v>
      </x:c>
      <x:c r="F942" s="11" t="n">
        <x:v>13.350000000000001</x:v>
      </x:c>
      <x:c r="G942" s="11" t="n">
        <x:f>F942-E942</x:f>
        <x:v>8.000000000000002</x:v>
      </x:c>
      <x:c r="H942" s="10" t="n">
        <x:v>1</x:v>
      </x:c>
      <x:c r="I942" s="10" t="str">
        <x:v>completed_as_adopted</x:v>
      </x:c>
      <x:c r="J942" s="10" t="str">
        <x:v>VOICE:A/S5-20/scored/08362</x:v>
      </x:c>
      <x:c r="K942" s="10" t="str">
        <x:v>VOICE:S5-20:input</x:v>
      </x:c>
      <x:c r="L942" s="10" t="str">
        <x:v>VOICE:A/S5-20/scored/08362</x:v>
      </x:c>
    </x:row>
    <x:row r="943" ht="52" customHeight="1">
      <x:c r="A943" s="10" t="str">
        <x:v>V-R1</x:v>
      </x:c>
      <x:c r="B943" s="10" t="str">
        <x:v>VOICE</x:v>
      </x:c>
      <x:c r="C943" s="10" t="str">
        <x:v>VOICE:S5-20</x:v>
      </x:c>
      <x:c r="D943" s="10" t="str">
        <x:v>VOICE:S5-20:goal</x:v>
      </x:c>
      <x:c r="E943" s="11" t="n">
        <x:v>5.1499999999999995</x:v>
      </x:c>
      <x:c r="F943" s="11" t="n">
        <x:v>13.15</x:v>
      </x:c>
      <x:c r="G943" s="11" t="n">
        <x:f>F943-E943</x:f>
        <x:v>8</x:v>
      </x:c>
      <x:c r="H943" s="10" t="n">
        <x:v>1</x:v>
      </x:c>
      <x:c r="I943" s="10" t="str">
        <x:v>completed_as_adopted</x:v>
      </x:c>
      <x:c r="J943" s="10" t="str">
        <x:v>VOICE:B-R1/S5-20/scored/08388</x:v>
      </x:c>
      <x:c r="K943" s="10" t="str">
        <x:v>VOICE:S5-20:input</x:v>
      </x:c>
      <x:c r="L943" s="10" t="str">
        <x:v>VOICE:B-R1/S5-20/scored/08388</x:v>
      </x:c>
    </x:row>
    <x:row r="944" ht="52" customHeight="1">
      <x:c r="A944" s="10" t="str">
        <x:v>V-R2</x:v>
      </x:c>
      <x:c r="B944" s="10" t="str">
        <x:v>VOICE</x:v>
      </x:c>
      <x:c r="C944" s="10" t="str">
        <x:v>VOICE:S5-20</x:v>
      </x:c>
      <x:c r="D944" s="10" t="str">
        <x:v>VOICE:S5-20:goal</x:v>
      </x:c>
      <x:c r="E944" s="11" t="n">
        <x:v>5.1499999999999995</x:v>
      </x:c>
      <x:c r="F944" s="11" t="n">
        <x:v>13.15</x:v>
      </x:c>
      <x:c r="G944" s="11" t="n">
        <x:f>F944-E944</x:f>
        <x:v>8</x:v>
      </x:c>
      <x:c r="H944" s="10" t="n">
        <x:v>1</x:v>
      </x:c>
      <x:c r="I944" s="10" t="str">
        <x:v>completed_as_adopted</x:v>
      </x:c>
      <x:c r="J944" s="10" t="str">
        <x:v>VOICE:B-R2/S5-20/scored/08413</x:v>
      </x:c>
      <x:c r="K944" s="10" t="str">
        <x:v>VOICE:S5-20:input</x:v>
      </x:c>
      <x:c r="L944" s="10" t="str">
        <x:v>VOICE:B-R2/S5-20/scored/08413</x:v>
      </x:c>
    </x:row>
    <x:row r="945" ht="52" customHeight="1">
      <x:c r="A945" s="10" t="str">
        <x:v>V-R3</x:v>
      </x:c>
      <x:c r="B945" s="10" t="str">
        <x:v>VOICE</x:v>
      </x:c>
      <x:c r="C945" s="10" t="str">
        <x:v>VOICE:S5-20</x:v>
      </x:c>
      <x:c r="D945" s="10" t="str">
        <x:v>VOICE:S5-20:goal</x:v>
      </x:c>
      <x:c r="E945" s="11" t="n">
        <x:v>5.1499999999999995</x:v>
      </x:c>
      <x:c r="F945" s="11" t="n">
        <x:v>13.15</x:v>
      </x:c>
      <x:c r="G945" s="11" t="n">
        <x:f>F945-E945</x:f>
        <x:v>8</x:v>
      </x:c>
      <x:c r="H945" s="10" t="n">
        <x:v>1</x:v>
      </x:c>
      <x:c r="I945" s="10" t="str">
        <x:v>completed_as_adopted</x:v>
      </x:c>
      <x:c r="J945" s="10" t="str">
        <x:v>VOICE:B-R3/S5-20/scored/08439</x:v>
      </x:c>
      <x:c r="K945" s="10" t="str">
        <x:v>VOICE:S5-20:input</x:v>
      </x:c>
      <x:c r="L945" s="10" t="str">
        <x:v>VOICE:B-R3/S5-20/scored/08439</x:v>
      </x:c>
    </x:row>
    <x:row r="946" ht="52" customHeight="1">
      <x:c r="A946" s="10" t="str">
        <x:v>V-A</x:v>
      </x:c>
      <x:c r="B946" s="10" t="str">
        <x:v>VOICE</x:v>
      </x:c>
      <x:c r="C946" s="10" t="str">
        <x:v>VOICE:S6-01</x:v>
      </x:c>
      <x:c r="D946" s="10" t="str">
        <x:v>VOICE:S6-01:goal</x:v>
      </x:c>
      <x:c r="E946" s="11" t="n">
        <x:v>5.4833333333333325</x:v>
      </x:c>
      <x:c r="F946" s="11" t="n">
        <x:v>13.483333333333334</x:v>
      </x:c>
      <x:c r="G946" s="11" t="n">
        <x:f>F946-E946</x:f>
        <x:v>8.000000000000002</x:v>
      </x:c>
      <x:c r="H946" s="10" t="n">
        <x:v>0</x:v>
      </x:c>
      <x:c r="I946" s="10" t="str">
        <x:v>completed_as_adopted</x:v>
      </x:c>
      <x:c r="J946" s="10" t="str">
        <x:v>VOICE:A/S6-01/scored/08450</x:v>
      </x:c>
      <x:c r="K946" s="10" t="str">
        <x:v>VOICE:S6-01:input</x:v>
      </x:c>
      <x:c r="L946" s="10" t="str">
        <x:v>VOICE:A/S6-01/scored/08450</x:v>
      </x:c>
    </x:row>
    <x:row r="947" ht="52" customHeight="1">
      <x:c r="A947" s="10" t="str">
        <x:v>V-R1</x:v>
      </x:c>
      <x:c r="B947" s="10" t="str">
        <x:v>VOICE</x:v>
      </x:c>
      <x:c r="C947" s="10" t="str">
        <x:v>VOICE:S6-01</x:v>
      </x:c>
      <x:c r="D947" s="10" t="str">
        <x:v>VOICE:S6-01:goal</x:v>
      </x:c>
      <x:c r="E947" s="11" t="n">
        <x:v>8.983333333333334</x:v>
      </x:c>
      <x:c r="F947" s="11" t="n">
        <x:v>16.983333333333334</x:v>
      </x:c>
      <x:c r="G947" s="11" t="n">
        <x:f>F947-E947</x:f>
        <x:v>8</x:v>
      </x:c>
      <x:c r="H947" s="10" t="n">
        <x:v>1</x:v>
      </x:c>
      <x:c r="I947" s="10" t="str">
        <x:v>completed_as_adopted</x:v>
      </x:c>
      <x:c r="J947" s="10" t="str">
        <x:v>VOICE:B-R1/S6-01/scored/08465</x:v>
      </x:c>
      <x:c r="K947" s="10" t="str">
        <x:v>VOICE:S6-01:input</x:v>
      </x:c>
      <x:c r="L947" s="10" t="str">
        <x:v>VOICE:B-R1/S6-01/scored/08465</x:v>
      </x:c>
    </x:row>
    <x:row r="948" ht="52" customHeight="1">
      <x:c r="A948" s="10" t="str">
        <x:v>V-R2</x:v>
      </x:c>
      <x:c r="B948" s="10" t="str">
        <x:v>VOICE</x:v>
      </x:c>
      <x:c r="C948" s="10" t="str">
        <x:v>VOICE:S6-01</x:v>
      </x:c>
      <x:c r="D948" s="10" t="str">
        <x:v>VOICE:S6-01:goal</x:v>
      </x:c>
      <x:c r="E948" s="11" t="n">
        <x:v>8.983333333333334</x:v>
      </x:c>
      <x:c r="F948" s="11" t="n">
        <x:v>16.983333333333334</x:v>
      </x:c>
      <x:c r="G948" s="11" t="n">
        <x:f>F948-E948</x:f>
        <x:v>8</x:v>
      </x:c>
      <x:c r="H948" s="10" t="n">
        <x:v>1</x:v>
      </x:c>
      <x:c r="I948" s="10" t="str">
        <x:v>completed_as_adopted</x:v>
      </x:c>
      <x:c r="J948" s="10" t="str">
        <x:v>VOICE:B-R2/S6-01/scored/08479</x:v>
      </x:c>
      <x:c r="K948" s="10" t="str">
        <x:v>VOICE:S6-01:input</x:v>
      </x:c>
      <x:c r="L948" s="10" t="str">
        <x:v>VOICE:B-R2/S6-01/scored/08479</x:v>
      </x:c>
    </x:row>
    <x:row r="949" ht="52" customHeight="1">
      <x:c r="A949" s="10" t="str">
        <x:v>V-R3</x:v>
      </x:c>
      <x:c r="B949" s="10" t="str">
        <x:v>VOICE</x:v>
      </x:c>
      <x:c r="C949" s="10" t="str">
        <x:v>VOICE:S6-01</x:v>
      </x:c>
      <x:c r="D949" s="10" t="str">
        <x:v>VOICE:S6-01:goal</x:v>
      </x:c>
      <x:c r="E949" s="11" t="n">
        <x:v>9.043333333333333</x:v>
      </x:c>
      <x:c r="F949" s="11" t="n">
        <x:v>17.043333333333333</x:v>
      </x:c>
      <x:c r="G949" s="11" t="n">
        <x:f>F949-E949</x:f>
        <x:v>8</x:v>
      </x:c>
      <x:c r="H949" s="10" t="n">
        <x:v>1</x:v>
      </x:c>
      <x:c r="I949" s="10" t="str">
        <x:v>completed_as_adopted</x:v>
      </x:c>
      <x:c r="J949" s="10" t="str">
        <x:v>VOICE:B-R3/S6-01/scored/08494</x:v>
      </x:c>
      <x:c r="K949" s="10" t="str">
        <x:v>VOICE:S6-01:input</x:v>
      </x:c>
      <x:c r="L949" s="10" t="str">
        <x:v>VOICE:B-R3/S6-01/scored/08494</x:v>
      </x:c>
    </x:row>
    <x:row r="950" ht="52" customHeight="1">
      <x:c r="A950" s="10" t="str">
        <x:v>V-A</x:v>
      </x:c>
      <x:c r="B950" s="10" t="str">
        <x:v>VOICE</x:v>
      </x:c>
      <x:c r="C950" s="10" t="str">
        <x:v>VOICE:S6-02</x:v>
      </x:c>
      <x:c r="D950" s="10" t="str">
        <x:v>VOICE:S6-02:goal</x:v>
      </x:c>
      <x:c r="E950" s="11" t="n">
        <x:v>5.4833333333333325</x:v>
      </x:c>
      <x:c r="F950" s="11" t="n">
        <x:v>13.483333333333334</x:v>
      </x:c>
      <x:c r="G950" s="11" t="n">
        <x:f>F950-E950</x:f>
        <x:v>8.000000000000002</x:v>
      </x:c>
      <x:c r="H950" s="10" t="n">
        <x:v>1</x:v>
      </x:c>
      <x:c r="I950" s="10" t="str">
        <x:v>completed_as_adopted</x:v>
      </x:c>
      <x:c r="J950" s="10" t="str">
        <x:v>VOICE:A/S6-02/scored/08505</x:v>
      </x:c>
      <x:c r="K950" s="10" t="str">
        <x:v>VOICE:S6-02:input</x:v>
      </x:c>
      <x:c r="L950" s="10" t="str">
        <x:v>VOICE:A/S6-02/scored/08505</x:v>
      </x:c>
    </x:row>
    <x:row r="951" ht="52" customHeight="1">
      <x:c r="A951" s="10" t="str">
        <x:v>V-R1</x:v>
      </x:c>
      <x:c r="B951" s="10" t="str">
        <x:v>VOICE</x:v>
      </x:c>
      <x:c r="C951" s="10" t="str">
        <x:v>VOICE:S6-02</x:v>
      </x:c>
      <x:c r="D951" s="10" t="str">
        <x:v>VOICE:S6-02:goal</x:v>
      </x:c>
      <x:c r="E951" s="11" t="n">
        <x:v>8.983333333333334</x:v>
      </x:c>
      <x:c r="F951" s="11" t="n">
        <x:v>16.983333333333334</x:v>
      </x:c>
      <x:c r="G951" s="11" t="n">
        <x:f>F951-E951</x:f>
        <x:v>8</x:v>
      </x:c>
      <x:c r="H951" s="10" t="n">
        <x:v>1</x:v>
      </x:c>
      <x:c r="I951" s="10" t="str">
        <x:v>completed_as_adopted</x:v>
      </x:c>
      <x:c r="J951" s="10" t="str">
        <x:v>VOICE:B-R1/S6-02/scored/08520</x:v>
      </x:c>
      <x:c r="K951" s="10" t="str">
        <x:v>VOICE:S6-02:input</x:v>
      </x:c>
      <x:c r="L951" s="10" t="str">
        <x:v>VOICE:B-R1/S6-02/scored/08520</x:v>
      </x:c>
    </x:row>
    <x:row r="952" ht="52" customHeight="1">
      <x:c r="A952" s="10" t="str">
        <x:v>V-R2</x:v>
      </x:c>
      <x:c r="B952" s="10" t="str">
        <x:v>VOICE</x:v>
      </x:c>
      <x:c r="C952" s="10" t="str">
        <x:v>VOICE:S6-02</x:v>
      </x:c>
      <x:c r="D952" s="10" t="str">
        <x:v>VOICE:S6-02:goal</x:v>
      </x:c>
      <x:c r="E952" s="11" t="n">
        <x:v>8.983333333333334</x:v>
      </x:c>
      <x:c r="F952" s="11" t="n">
        <x:v>16.983333333333334</x:v>
      </x:c>
      <x:c r="G952" s="11" t="n">
        <x:f>F952-E952</x:f>
        <x:v>8</x:v>
      </x:c>
      <x:c r="H952" s="10" t="n">
        <x:v>1</x:v>
      </x:c>
      <x:c r="I952" s="10" t="str">
        <x:v>completed_as_adopted</x:v>
      </x:c>
      <x:c r="J952" s="10" t="str">
        <x:v>VOICE:B-R2/S6-02/scored/08534</x:v>
      </x:c>
      <x:c r="K952" s="10" t="str">
        <x:v>VOICE:S6-02:input</x:v>
      </x:c>
      <x:c r="L952" s="10" t="str">
        <x:v>VOICE:B-R2/S6-02/scored/08534</x:v>
      </x:c>
    </x:row>
    <x:row r="953" ht="52" customHeight="1">
      <x:c r="A953" s="10" t="str">
        <x:v>V-R3</x:v>
      </x:c>
      <x:c r="B953" s="10" t="str">
        <x:v>VOICE</x:v>
      </x:c>
      <x:c r="C953" s="10" t="str">
        <x:v>VOICE:S6-02</x:v>
      </x:c>
      <x:c r="D953" s="10" t="str">
        <x:v>VOICE:S6-02:goal</x:v>
      </x:c>
      <x:c r="E953" s="11" t="n">
        <x:v>9.043333333333333</x:v>
      </x:c>
      <x:c r="F953" s="11" t="n">
        <x:v>17.043333333333333</x:v>
      </x:c>
      <x:c r="G953" s="11" t="n">
        <x:f>F953-E953</x:f>
        <x:v>8</x:v>
      </x:c>
      <x:c r="H953" s="10" t="n">
        <x:v>1</x:v>
      </x:c>
      <x:c r="I953" s="10" t="str">
        <x:v>completed_as_adopted</x:v>
      </x:c>
      <x:c r="J953" s="10" t="str">
        <x:v>VOICE:B-R3/S6-02/scored/08549</x:v>
      </x:c>
      <x:c r="K953" s="10" t="str">
        <x:v>VOICE:S6-02:input</x:v>
      </x:c>
      <x:c r="L953" s="10" t="str">
        <x:v>VOICE:B-R3/S6-02/scored/08549</x:v>
      </x:c>
    </x:row>
    <x:row r="954" ht="52" customHeight="1">
      <x:c r="A954" s="10" t="str">
        <x:v>V-A</x:v>
      </x:c>
      <x:c r="B954" s="10" t="str">
        <x:v>VOICE</x:v>
      </x:c>
      <x:c r="C954" s="10" t="str">
        <x:v>VOICE:S6-03</x:v>
      </x:c>
      <x:c r="D954" s="10" t="str">
        <x:v>VOICE:S6-03:goal</x:v>
      </x:c>
      <x:c r="E954" s="11" t="n">
        <x:v>5.4833333333333325</x:v>
      </x:c>
      <x:c r="F954" s="11" t="n">
        <x:v>13.483333333333334</x:v>
      </x:c>
      <x:c r="G954" s="11" t="n">
        <x:f>F954-E954</x:f>
        <x:v>8.000000000000002</x:v>
      </x:c>
      <x:c r="H954" s="10" t="n">
        <x:v>1</x:v>
      </x:c>
      <x:c r="I954" s="10" t="str">
        <x:v>completed_as_adopted</x:v>
      </x:c>
      <x:c r="J954" s="10" t="str">
        <x:v>VOICE:A/S6-03/scored/08560</x:v>
      </x:c>
      <x:c r="K954" s="10" t="str">
        <x:v>VOICE:S6-03:input</x:v>
      </x:c>
      <x:c r="L954" s="10" t="str">
        <x:v>VOICE:A/S6-03/scored/08560</x:v>
      </x:c>
    </x:row>
    <x:row r="955" ht="52" customHeight="1">
      <x:c r="A955" s="10" t="str">
        <x:v>V-R1</x:v>
      </x:c>
      <x:c r="B955" s="10" t="str">
        <x:v>VOICE</x:v>
      </x:c>
      <x:c r="C955" s="10" t="str">
        <x:v>VOICE:S6-03</x:v>
      </x:c>
      <x:c r="D955" s="10" t="str">
        <x:v>VOICE:S6-03:goal</x:v>
      </x:c>
      <x:c r="E955" s="11" t="n">
        <x:v>8.983333333333334</x:v>
      </x:c>
      <x:c r="F955" s="11" t="n">
        <x:v>16.983333333333334</x:v>
      </x:c>
      <x:c r="G955" s="11" t="n">
        <x:f>F955-E955</x:f>
        <x:v>8</x:v>
      </x:c>
      <x:c r="H955" s="10" t="n">
        <x:v>1</x:v>
      </x:c>
      <x:c r="I955" s="10" t="str">
        <x:v>completed_as_adopted</x:v>
      </x:c>
      <x:c r="J955" s="10" t="str">
        <x:v>VOICE:B-R1/S6-03/scored/08575</x:v>
      </x:c>
      <x:c r="K955" s="10" t="str">
        <x:v>VOICE:S6-03:input</x:v>
      </x:c>
      <x:c r="L955" s="10" t="str">
        <x:v>VOICE:B-R1/S6-03/scored/08575</x:v>
      </x:c>
    </x:row>
    <x:row r="956" ht="52" customHeight="1">
      <x:c r="A956" s="10" t="str">
        <x:v>V-R2</x:v>
      </x:c>
      <x:c r="B956" s="10" t="str">
        <x:v>VOICE</x:v>
      </x:c>
      <x:c r="C956" s="10" t="str">
        <x:v>VOICE:S6-03</x:v>
      </x:c>
      <x:c r="D956" s="10" t="str">
        <x:v>VOICE:S6-03:goal</x:v>
      </x:c>
      <x:c r="E956" s="11" t="n">
        <x:v>8.983333333333334</x:v>
      </x:c>
      <x:c r="F956" s="11" t="n">
        <x:v>16.983333333333334</x:v>
      </x:c>
      <x:c r="G956" s="11" t="n">
        <x:f>F956-E956</x:f>
        <x:v>8</x:v>
      </x:c>
      <x:c r="H956" s="10" t="n">
        <x:v>1</x:v>
      </x:c>
      <x:c r="I956" s="10" t="str">
        <x:v>completed_as_adopted</x:v>
      </x:c>
      <x:c r="J956" s="10" t="str">
        <x:v>VOICE:B-R2/S6-03/scored/08589</x:v>
      </x:c>
      <x:c r="K956" s="10" t="str">
        <x:v>VOICE:S6-03:input</x:v>
      </x:c>
      <x:c r="L956" s="10" t="str">
        <x:v>VOICE:B-R2/S6-03/scored/08589</x:v>
      </x:c>
    </x:row>
    <x:row r="957" ht="52" customHeight="1">
      <x:c r="A957" s="10" t="str">
        <x:v>V-R3</x:v>
      </x:c>
      <x:c r="B957" s="10" t="str">
        <x:v>VOICE</x:v>
      </x:c>
      <x:c r="C957" s="10" t="str">
        <x:v>VOICE:S6-03</x:v>
      </x:c>
      <x:c r="D957" s="10" t="str">
        <x:v>VOICE:S6-03:goal</x:v>
      </x:c>
      <x:c r="E957" s="11" t="n">
        <x:v>9.043333333333333</x:v>
      </x:c>
      <x:c r="F957" s="11" t="n">
        <x:v>17.043333333333333</x:v>
      </x:c>
      <x:c r="G957" s="11" t="n">
        <x:f>F957-E957</x:f>
        <x:v>8</x:v>
      </x:c>
      <x:c r="H957" s="10" t="n">
        <x:v>1</x:v>
      </x:c>
      <x:c r="I957" s="10" t="str">
        <x:v>completed_as_adopted</x:v>
      </x:c>
      <x:c r="J957" s="10" t="str">
        <x:v>VOICE:B-R3/S6-03/scored/08604</x:v>
      </x:c>
      <x:c r="K957" s="10" t="str">
        <x:v>VOICE:S6-03:input</x:v>
      </x:c>
      <x:c r="L957" s="10" t="str">
        <x:v>VOICE:B-R3/S6-03/scored/08604</x:v>
      </x:c>
    </x:row>
    <x:row r="958" ht="52" customHeight="1">
      <x:c r="A958" s="10" t="str">
        <x:v>V-A</x:v>
      </x:c>
      <x:c r="B958" s="10" t="str">
        <x:v>VOICE</x:v>
      </x:c>
      <x:c r="C958" s="10" t="str">
        <x:v>VOICE:S6-04</x:v>
      </x:c>
      <x:c r="D958" s="10" t="str">
        <x:v>VOICE:S6-04:goal</x:v>
      </x:c>
      <x:c r="E958" s="11" t="n">
        <x:v>5.4833333333333325</x:v>
      </x:c>
      <x:c r="F958" s="11" t="n">
        <x:v>13.483333333333334</x:v>
      </x:c>
      <x:c r="G958" s="11" t="n">
        <x:f>F958-E958</x:f>
        <x:v>8.000000000000002</x:v>
      </x:c>
      <x:c r="H958" s="10" t="n">
        <x:v>1</x:v>
      </x:c>
      <x:c r="I958" s="10" t="str">
        <x:v>completed_as_adopted</x:v>
      </x:c>
      <x:c r="J958" s="10" t="str">
        <x:v>VOICE:A/S6-04/scored/08615</x:v>
      </x:c>
      <x:c r="K958" s="10" t="str">
        <x:v>VOICE:S6-04:input</x:v>
      </x:c>
      <x:c r="L958" s="10" t="str">
        <x:v>VOICE:A/S6-04/scored/08615</x:v>
      </x:c>
    </x:row>
    <x:row r="959" ht="52" customHeight="1">
      <x:c r="A959" s="10" t="str">
        <x:v>V-R1</x:v>
      </x:c>
      <x:c r="B959" s="10" t="str">
        <x:v>VOICE</x:v>
      </x:c>
      <x:c r="C959" s="10" t="str">
        <x:v>VOICE:S6-04</x:v>
      </x:c>
      <x:c r="D959" s="10" t="str">
        <x:v>VOICE:S6-04:goal</x:v>
      </x:c>
      <x:c r="E959" s="11" t="n">
        <x:v>8.983333333333334</x:v>
      </x:c>
      <x:c r="F959" s="11" t="n">
        <x:v>16.983333333333334</x:v>
      </x:c>
      <x:c r="G959" s="11" t="n">
        <x:f>F959-E959</x:f>
        <x:v>8</x:v>
      </x:c>
      <x:c r="H959" s="10" t="n">
        <x:v>1</x:v>
      </x:c>
      <x:c r="I959" s="10" t="str">
        <x:v>completed_as_adopted</x:v>
      </x:c>
      <x:c r="J959" s="10" t="str">
        <x:v>VOICE:B-R1/S6-04/scored/08630</x:v>
      </x:c>
      <x:c r="K959" s="10" t="str">
        <x:v>VOICE:S6-04:input</x:v>
      </x:c>
      <x:c r="L959" s="10" t="str">
        <x:v>VOICE:B-R1/S6-04/scored/08630</x:v>
      </x:c>
    </x:row>
    <x:row r="960" ht="52" customHeight="1">
      <x:c r="A960" s="10" t="str">
        <x:v>V-R2</x:v>
      </x:c>
      <x:c r="B960" s="10" t="str">
        <x:v>VOICE</x:v>
      </x:c>
      <x:c r="C960" s="10" t="str">
        <x:v>VOICE:S6-04</x:v>
      </x:c>
      <x:c r="D960" s="10" t="str">
        <x:v>VOICE:S6-04:goal</x:v>
      </x:c>
      <x:c r="E960" s="11" t="n">
        <x:v>8.983333333333334</x:v>
      </x:c>
      <x:c r="F960" s="11" t="n">
        <x:v>16.983333333333334</x:v>
      </x:c>
      <x:c r="G960" s="11" t="n">
        <x:f>F960-E960</x:f>
        <x:v>8</x:v>
      </x:c>
      <x:c r="H960" s="10" t="n">
        <x:v>1</x:v>
      </x:c>
      <x:c r="I960" s="10" t="str">
        <x:v>completed_as_adopted</x:v>
      </x:c>
      <x:c r="J960" s="10" t="str">
        <x:v>VOICE:B-R2/S6-04/scored/08644</x:v>
      </x:c>
      <x:c r="K960" s="10" t="str">
        <x:v>VOICE:S6-04:input</x:v>
      </x:c>
      <x:c r="L960" s="10" t="str">
        <x:v>VOICE:B-R2/S6-04/scored/08644</x:v>
      </x:c>
    </x:row>
    <x:row r="961" ht="52" customHeight="1">
      <x:c r="A961" s="10" t="str">
        <x:v>V-R3</x:v>
      </x:c>
      <x:c r="B961" s="10" t="str">
        <x:v>VOICE</x:v>
      </x:c>
      <x:c r="C961" s="10" t="str">
        <x:v>VOICE:S6-04</x:v>
      </x:c>
      <x:c r="D961" s="10" t="str">
        <x:v>VOICE:S6-04:goal</x:v>
      </x:c>
      <x:c r="E961" s="11" t="n">
        <x:v>9.043333333333333</x:v>
      </x:c>
      <x:c r="F961" s="11" t="n">
        <x:v>17.043333333333333</x:v>
      </x:c>
      <x:c r="G961" s="11" t="n">
        <x:f>F961-E961</x:f>
        <x:v>8</x:v>
      </x:c>
      <x:c r="H961" s="10" t="n">
        <x:v>1</x:v>
      </x:c>
      <x:c r="I961" s="10" t="str">
        <x:v>completed_as_adopted</x:v>
      </x:c>
      <x:c r="J961" s="10" t="str">
        <x:v>VOICE:B-R3/S6-04/scored/08659</x:v>
      </x:c>
      <x:c r="K961" s="10" t="str">
        <x:v>VOICE:S6-04:input</x:v>
      </x:c>
      <x:c r="L961" s="10" t="str">
        <x:v>VOICE:B-R3/S6-04/scored/08659</x:v>
      </x:c>
    </x:row>
    <x:row r="962" ht="52" customHeight="1">
      <x:c r="A962" s="10" t="str">
        <x:v>V-A</x:v>
      </x:c>
      <x:c r="B962" s="10" t="str">
        <x:v>VOICE</x:v>
      </x:c>
      <x:c r="C962" s="10" t="str">
        <x:v>VOICE:S6-05</x:v>
      </x:c>
      <x:c r="D962" s="10" t="str">
        <x:v>VOICE:S6-05:goal</x:v>
      </x:c>
      <x:c r="E962" s="11" t="n">
        <x:v>5.4833333333333325</x:v>
      </x:c>
      <x:c r="F962" s="11" t="n">
        <x:v>13.483333333333334</x:v>
      </x:c>
      <x:c r="G962" s="11" t="n">
        <x:f>F962-E962</x:f>
        <x:v>8.000000000000002</x:v>
      </x:c>
      <x:c r="H962" s="10" t="n">
        <x:v>1</x:v>
      </x:c>
      <x:c r="I962" s="10" t="str">
        <x:v>completed_as_adopted</x:v>
      </x:c>
      <x:c r="J962" s="10" t="str">
        <x:v>VOICE:A/S6-05/scored/08670</x:v>
      </x:c>
      <x:c r="K962" s="10" t="str">
        <x:v>VOICE:S6-05:input</x:v>
      </x:c>
      <x:c r="L962" s="10" t="str">
        <x:v>VOICE:A/S6-05/scored/08670</x:v>
      </x:c>
    </x:row>
    <x:row r="963" ht="52" customHeight="1">
      <x:c r="A963" s="10" t="str">
        <x:v>V-R1</x:v>
      </x:c>
      <x:c r="B963" s="10" t="str">
        <x:v>VOICE</x:v>
      </x:c>
      <x:c r="C963" s="10" t="str">
        <x:v>VOICE:S6-05</x:v>
      </x:c>
      <x:c r="D963" s="10" t="str">
        <x:v>VOICE:S6-05:goal</x:v>
      </x:c>
      <x:c r="E963" s="11" t="n">
        <x:v>8.983333333333334</x:v>
      </x:c>
      <x:c r="F963" s="11" t="n">
        <x:v>16.983333333333334</x:v>
      </x:c>
      <x:c r="G963" s="11" t="n">
        <x:f>F963-E963</x:f>
        <x:v>8</x:v>
      </x:c>
      <x:c r="H963" s="10" t="n">
        <x:v>1</x:v>
      </x:c>
      <x:c r="I963" s="10" t="str">
        <x:v>completed_as_adopted</x:v>
      </x:c>
      <x:c r="J963" s="10" t="str">
        <x:v>VOICE:B-R1/S6-05/scored/08685</x:v>
      </x:c>
      <x:c r="K963" s="10" t="str">
        <x:v>VOICE:S6-05:input</x:v>
      </x:c>
      <x:c r="L963" s="10" t="str">
        <x:v>VOICE:B-R1/S6-05/scored/08685</x:v>
      </x:c>
    </x:row>
    <x:row r="964" ht="52" customHeight="1">
      <x:c r="A964" s="10" t="str">
        <x:v>V-R2</x:v>
      </x:c>
      <x:c r="B964" s="10" t="str">
        <x:v>VOICE</x:v>
      </x:c>
      <x:c r="C964" s="10" t="str">
        <x:v>VOICE:S6-05</x:v>
      </x:c>
      <x:c r="D964" s="10" t="str">
        <x:v>VOICE:S6-05:goal</x:v>
      </x:c>
      <x:c r="E964" s="11" t="n">
        <x:v>8.983333333333334</x:v>
      </x:c>
      <x:c r="F964" s="11" t="n">
        <x:v>16.983333333333334</x:v>
      </x:c>
      <x:c r="G964" s="11" t="n">
        <x:f>F964-E964</x:f>
        <x:v>8</x:v>
      </x:c>
      <x:c r="H964" s="10" t="n">
        <x:v>1</x:v>
      </x:c>
      <x:c r="I964" s="10" t="str">
        <x:v>completed_as_adopted</x:v>
      </x:c>
      <x:c r="J964" s="10" t="str">
        <x:v>VOICE:B-R2/S6-05/scored/08699</x:v>
      </x:c>
      <x:c r="K964" s="10" t="str">
        <x:v>VOICE:S6-05:input</x:v>
      </x:c>
      <x:c r="L964" s="10" t="str">
        <x:v>VOICE:B-R2/S6-05/scored/08699</x:v>
      </x:c>
    </x:row>
    <x:row r="965" ht="52" customHeight="1">
      <x:c r="A965" s="10" t="str">
        <x:v>V-R3</x:v>
      </x:c>
      <x:c r="B965" s="10" t="str">
        <x:v>VOICE</x:v>
      </x:c>
      <x:c r="C965" s="10" t="str">
        <x:v>VOICE:S6-05</x:v>
      </x:c>
      <x:c r="D965" s="10" t="str">
        <x:v>VOICE:S6-05:goal</x:v>
      </x:c>
      <x:c r="E965" s="11" t="n">
        <x:v>9.043333333333333</x:v>
      </x:c>
      <x:c r="F965" s="11" t="n">
        <x:v>17.043333333333333</x:v>
      </x:c>
      <x:c r="G965" s="11" t="n">
        <x:f>F965-E965</x:f>
        <x:v>8</x:v>
      </x:c>
      <x:c r="H965" s="10" t="n">
        <x:v>1</x:v>
      </x:c>
      <x:c r="I965" s="10" t="str">
        <x:v>completed_as_adopted</x:v>
      </x:c>
      <x:c r="J965" s="10" t="str">
        <x:v>VOICE:B-R3/S6-05/scored/08714</x:v>
      </x:c>
      <x:c r="K965" s="10" t="str">
        <x:v>VOICE:S6-05:input</x:v>
      </x:c>
      <x:c r="L965" s="10" t="str">
        <x:v>VOICE:B-R3/S6-05/scored/08714</x:v>
      </x:c>
    </x:row>
    <x:row r="966" ht="52" customHeight="1">
      <x:c r="A966" s="10" t="str">
        <x:v>V-A</x:v>
      </x:c>
      <x:c r="B966" s="10" t="str">
        <x:v>VOICE</x:v>
      </x:c>
      <x:c r="C966" s="10" t="str">
        <x:v>VOICE:S6-06</x:v>
      </x:c>
      <x:c r="D966" s="10" t="str">
        <x:v>VOICE:S6-06:goal</x:v>
      </x:c>
      <x:c r="E966" s="11" t="n">
        <x:v>5.4833333333333325</x:v>
      </x:c>
      <x:c r="F966" s="11" t="n">
        <x:v>13.483333333333334</x:v>
      </x:c>
      <x:c r="G966" s="11" t="n">
        <x:f>F966-E966</x:f>
        <x:v>8.000000000000002</x:v>
      </x:c>
      <x:c r="H966" s="10" t="n">
        <x:v>1</x:v>
      </x:c>
      <x:c r="I966" s="10" t="str">
        <x:v>completed_as_adopted</x:v>
      </x:c>
      <x:c r="J966" s="10" t="str">
        <x:v>VOICE:A/S6-06/scored/08725</x:v>
      </x:c>
      <x:c r="K966" s="10" t="str">
        <x:v>VOICE:S6-06:input</x:v>
      </x:c>
      <x:c r="L966" s="10" t="str">
        <x:v>VOICE:A/S6-06/scored/08725</x:v>
      </x:c>
    </x:row>
    <x:row r="967" ht="52" customHeight="1">
      <x:c r="A967" s="10" t="str">
        <x:v>V-R1</x:v>
      </x:c>
      <x:c r="B967" s="10" t="str">
        <x:v>VOICE</x:v>
      </x:c>
      <x:c r="C967" s="10" t="str">
        <x:v>VOICE:S6-06</x:v>
      </x:c>
      <x:c r="D967" s="10" t="str">
        <x:v>VOICE:S6-06:goal</x:v>
      </x:c>
      <x:c r="E967" s="11" t="n">
        <x:v>8.983333333333334</x:v>
      </x:c>
      <x:c r="F967" s="11" t="n">
        <x:v>16.983333333333334</x:v>
      </x:c>
      <x:c r="G967" s="11" t="n">
        <x:f>F967-E967</x:f>
        <x:v>8</x:v>
      </x:c>
      <x:c r="H967" s="10" t="n">
        <x:v>1</x:v>
      </x:c>
      <x:c r="I967" s="10" t="str">
        <x:v>completed_as_adopted</x:v>
      </x:c>
      <x:c r="J967" s="10" t="str">
        <x:v>VOICE:B-R1/S6-06/scored/08740</x:v>
      </x:c>
      <x:c r="K967" s="10" t="str">
        <x:v>VOICE:S6-06:input</x:v>
      </x:c>
      <x:c r="L967" s="10" t="str">
        <x:v>VOICE:B-R1/S6-06/scored/08740</x:v>
      </x:c>
    </x:row>
    <x:row r="968" ht="52" customHeight="1">
      <x:c r="A968" s="10" t="str">
        <x:v>V-R2</x:v>
      </x:c>
      <x:c r="B968" s="10" t="str">
        <x:v>VOICE</x:v>
      </x:c>
      <x:c r="C968" s="10" t="str">
        <x:v>VOICE:S6-06</x:v>
      </x:c>
      <x:c r="D968" s="10" t="str">
        <x:v>VOICE:S6-06:goal</x:v>
      </x:c>
      <x:c r="E968" s="11" t="n">
        <x:v>8.983333333333334</x:v>
      </x:c>
      <x:c r="F968" s="11" t="n">
        <x:v>16.983333333333334</x:v>
      </x:c>
      <x:c r="G968" s="11" t="n">
        <x:f>F968-E968</x:f>
        <x:v>8</x:v>
      </x:c>
      <x:c r="H968" s="10" t="n">
        <x:v>1</x:v>
      </x:c>
      <x:c r="I968" s="10" t="str">
        <x:v>completed_as_adopted</x:v>
      </x:c>
      <x:c r="J968" s="10" t="str">
        <x:v>VOICE:B-R2/S6-06/scored/08754</x:v>
      </x:c>
      <x:c r="K968" s="10" t="str">
        <x:v>VOICE:S6-06:input</x:v>
      </x:c>
      <x:c r="L968" s="10" t="str">
        <x:v>VOICE:B-R2/S6-06/scored/08754</x:v>
      </x:c>
    </x:row>
    <x:row r="969" ht="52" customHeight="1">
      <x:c r="A969" s="10" t="str">
        <x:v>V-R3</x:v>
      </x:c>
      <x:c r="B969" s="10" t="str">
        <x:v>VOICE</x:v>
      </x:c>
      <x:c r="C969" s="10" t="str">
        <x:v>VOICE:S6-06</x:v>
      </x:c>
      <x:c r="D969" s="10" t="str">
        <x:v>VOICE:S6-06:goal</x:v>
      </x:c>
      <x:c r="E969" s="11" t="n">
        <x:v>9.043333333333333</x:v>
      </x:c>
      <x:c r="F969" s="11" t="n">
        <x:v>17.043333333333333</x:v>
      </x:c>
      <x:c r="G969" s="11" t="n">
        <x:f>F969-E969</x:f>
        <x:v>8</x:v>
      </x:c>
      <x:c r="H969" s="10" t="n">
        <x:v>1</x:v>
      </x:c>
      <x:c r="I969" s="10" t="str">
        <x:v>completed_as_adopted</x:v>
      </x:c>
      <x:c r="J969" s="10" t="str">
        <x:v>VOICE:B-R3/S6-06/scored/08769</x:v>
      </x:c>
      <x:c r="K969" s="10" t="str">
        <x:v>VOICE:S6-06:input</x:v>
      </x:c>
      <x:c r="L969" s="10" t="str">
        <x:v>VOICE:B-R3/S6-06/scored/08769</x:v>
      </x:c>
    </x:row>
    <x:row r="970" ht="52" customHeight="1">
      <x:c r="A970" s="10" t="str">
        <x:v>V-A</x:v>
      </x:c>
      <x:c r="B970" s="10" t="str">
        <x:v>VOICE</x:v>
      </x:c>
      <x:c r="C970" s="10" t="str">
        <x:v>VOICE:S6-07</x:v>
      </x:c>
      <x:c r="D970" s="10" t="str">
        <x:v>VOICE:S6-07:goal</x:v>
      </x:c>
      <x:c r="E970" s="11" t="n">
        <x:v>5.4833333333333325</x:v>
      </x:c>
      <x:c r="F970" s="11" t="n">
        <x:v>13.483333333333334</x:v>
      </x:c>
      <x:c r="G970" s="11" t="n">
        <x:f>F970-E970</x:f>
        <x:v>8.000000000000002</x:v>
      </x:c>
      <x:c r="H970" s="10" t="n">
        <x:v>1</x:v>
      </x:c>
      <x:c r="I970" s="10" t="str">
        <x:v>completed_as_adopted</x:v>
      </x:c>
      <x:c r="J970" s="10" t="str">
        <x:v>VOICE:A/S6-07/scored/08780</x:v>
      </x:c>
      <x:c r="K970" s="10" t="str">
        <x:v>VOICE:S6-07:input</x:v>
      </x:c>
      <x:c r="L970" s="10" t="str">
        <x:v>VOICE:A/S6-07/scored/08780</x:v>
      </x:c>
    </x:row>
    <x:row r="971" ht="52" customHeight="1">
      <x:c r="A971" s="10" t="str">
        <x:v>V-R1</x:v>
      </x:c>
      <x:c r="B971" s="10" t="str">
        <x:v>VOICE</x:v>
      </x:c>
      <x:c r="C971" s="10" t="str">
        <x:v>VOICE:S6-07</x:v>
      </x:c>
      <x:c r="D971" s="10" t="str">
        <x:v>VOICE:S6-07:goal</x:v>
      </x:c>
      <x:c r="E971" s="11" t="n">
        <x:v>8.983333333333334</x:v>
      </x:c>
      <x:c r="F971" s="11" t="n">
        <x:v>16.983333333333334</x:v>
      </x:c>
      <x:c r="G971" s="11" t="n">
        <x:f>F971-E971</x:f>
        <x:v>8</x:v>
      </x:c>
      <x:c r="H971" s="10" t="n">
        <x:v>1</x:v>
      </x:c>
      <x:c r="I971" s="10" t="str">
        <x:v>completed_as_adopted</x:v>
      </x:c>
      <x:c r="J971" s="10" t="str">
        <x:v>VOICE:B-R1/S6-07/scored/08795</x:v>
      </x:c>
      <x:c r="K971" s="10" t="str">
        <x:v>VOICE:S6-07:input</x:v>
      </x:c>
      <x:c r="L971" s="10" t="str">
        <x:v>VOICE:B-R1/S6-07/scored/08795</x:v>
      </x:c>
    </x:row>
    <x:row r="972" ht="52" customHeight="1">
      <x:c r="A972" s="10" t="str">
        <x:v>V-R2</x:v>
      </x:c>
      <x:c r="B972" s="10" t="str">
        <x:v>VOICE</x:v>
      </x:c>
      <x:c r="C972" s="10" t="str">
        <x:v>VOICE:S6-07</x:v>
      </x:c>
      <x:c r="D972" s="10" t="str">
        <x:v>VOICE:S6-07:goal</x:v>
      </x:c>
      <x:c r="E972" s="11" t="n">
        <x:v>8.983333333333334</x:v>
      </x:c>
      <x:c r="F972" s="11" t="n">
        <x:v>16.983333333333334</x:v>
      </x:c>
      <x:c r="G972" s="11" t="n">
        <x:f>F972-E972</x:f>
        <x:v>8</x:v>
      </x:c>
      <x:c r="H972" s="10" t="n">
        <x:v>1</x:v>
      </x:c>
      <x:c r="I972" s="10" t="str">
        <x:v>completed_as_adopted</x:v>
      </x:c>
      <x:c r="J972" s="10" t="str">
        <x:v>VOICE:B-R2/S6-07/scored/08809</x:v>
      </x:c>
      <x:c r="K972" s="10" t="str">
        <x:v>VOICE:S6-07:input</x:v>
      </x:c>
      <x:c r="L972" s="10" t="str">
        <x:v>VOICE:B-R2/S6-07/scored/08809</x:v>
      </x:c>
    </x:row>
    <x:row r="973" ht="52" customHeight="1">
      <x:c r="A973" s="10" t="str">
        <x:v>V-R3</x:v>
      </x:c>
      <x:c r="B973" s="10" t="str">
        <x:v>VOICE</x:v>
      </x:c>
      <x:c r="C973" s="10" t="str">
        <x:v>VOICE:S6-07</x:v>
      </x:c>
      <x:c r="D973" s="10" t="str">
        <x:v>VOICE:S6-07:goal</x:v>
      </x:c>
      <x:c r="E973" s="11" t="n">
        <x:v>9.043333333333333</x:v>
      </x:c>
      <x:c r="F973" s="11" t="n">
        <x:v>17.043333333333333</x:v>
      </x:c>
      <x:c r="G973" s="11" t="n">
        <x:f>F973-E973</x:f>
        <x:v>8</x:v>
      </x:c>
      <x:c r="H973" s="10" t="n">
        <x:v>1</x:v>
      </x:c>
      <x:c r="I973" s="10" t="str">
        <x:v>completed_as_adopted</x:v>
      </x:c>
      <x:c r="J973" s="10" t="str">
        <x:v>VOICE:B-R3/S6-07/scored/08824</x:v>
      </x:c>
      <x:c r="K973" s="10" t="str">
        <x:v>VOICE:S6-07:input</x:v>
      </x:c>
      <x:c r="L973" s="10" t="str">
        <x:v>VOICE:B-R3/S6-07/scored/08824</x:v>
      </x:c>
    </x:row>
    <x:row r="974" ht="52" customHeight="1">
      <x:c r="A974" s="10" t="str">
        <x:v>V-A</x:v>
      </x:c>
      <x:c r="B974" s="10" t="str">
        <x:v>VOICE</x:v>
      </x:c>
      <x:c r="C974" s="10" t="str">
        <x:v>VOICE:S6-08</x:v>
      </x:c>
      <x:c r="D974" s="10" t="str">
        <x:v>VOICE:S6-08:goal</x:v>
      </x:c>
      <x:c r="E974" s="11" t="n">
        <x:v>5.4833333333333325</x:v>
      </x:c>
      <x:c r="F974" s="11" t="n">
        <x:v>13.483333333333334</x:v>
      </x:c>
      <x:c r="G974" s="11" t="n">
        <x:f>F974-E974</x:f>
        <x:v>8.000000000000002</x:v>
      </x:c>
      <x:c r="H974" s="10" t="n">
        <x:v>1</x:v>
      </x:c>
      <x:c r="I974" s="10" t="str">
        <x:v>completed_as_adopted</x:v>
      </x:c>
      <x:c r="J974" s="10" t="str">
        <x:v>VOICE:A/S6-08/scored/08835</x:v>
      </x:c>
      <x:c r="K974" s="10" t="str">
        <x:v>VOICE:S6-08:input</x:v>
      </x:c>
      <x:c r="L974" s="10" t="str">
        <x:v>VOICE:A/S6-08/scored/08835</x:v>
      </x:c>
    </x:row>
    <x:row r="975" ht="52" customHeight="1">
      <x:c r="A975" s="10" t="str">
        <x:v>V-R1</x:v>
      </x:c>
      <x:c r="B975" s="10" t="str">
        <x:v>VOICE</x:v>
      </x:c>
      <x:c r="C975" s="10" t="str">
        <x:v>VOICE:S6-08</x:v>
      </x:c>
      <x:c r="D975" s="10" t="str">
        <x:v>VOICE:S6-08:goal</x:v>
      </x:c>
      <x:c r="E975" s="11" t="n">
        <x:v>8.983333333333334</x:v>
      </x:c>
      <x:c r="F975" s="11" t="n">
        <x:v>16.983333333333334</x:v>
      </x:c>
      <x:c r="G975" s="11" t="n">
        <x:f>F975-E975</x:f>
        <x:v>8</x:v>
      </x:c>
      <x:c r="H975" s="10" t="n">
        <x:v>1</x:v>
      </x:c>
      <x:c r="I975" s="10" t="str">
        <x:v>completed_as_adopted</x:v>
      </x:c>
      <x:c r="J975" s="10" t="str">
        <x:v>VOICE:B-R1/S6-08/scored/08850</x:v>
      </x:c>
      <x:c r="K975" s="10" t="str">
        <x:v>VOICE:S6-08:input</x:v>
      </x:c>
      <x:c r="L975" s="10" t="str">
        <x:v>VOICE:B-R1/S6-08/scored/08850</x:v>
      </x:c>
    </x:row>
    <x:row r="976" ht="52" customHeight="1">
      <x:c r="A976" s="10" t="str">
        <x:v>V-R2</x:v>
      </x:c>
      <x:c r="B976" s="10" t="str">
        <x:v>VOICE</x:v>
      </x:c>
      <x:c r="C976" s="10" t="str">
        <x:v>VOICE:S6-08</x:v>
      </x:c>
      <x:c r="D976" s="10" t="str">
        <x:v>VOICE:S6-08:goal</x:v>
      </x:c>
      <x:c r="E976" s="11" t="n">
        <x:v>8.983333333333334</x:v>
      </x:c>
      <x:c r="F976" s="11" t="n">
        <x:v>16.983333333333334</x:v>
      </x:c>
      <x:c r="G976" s="11" t="n">
        <x:f>F976-E976</x:f>
        <x:v>8</x:v>
      </x:c>
      <x:c r="H976" s="10" t="n">
        <x:v>1</x:v>
      </x:c>
      <x:c r="I976" s="10" t="str">
        <x:v>completed_as_adopted</x:v>
      </x:c>
      <x:c r="J976" s="10" t="str">
        <x:v>VOICE:B-R2/S6-08/scored/08864</x:v>
      </x:c>
      <x:c r="K976" s="10" t="str">
        <x:v>VOICE:S6-08:input</x:v>
      </x:c>
      <x:c r="L976" s="10" t="str">
        <x:v>VOICE:B-R2/S6-08/scored/08864</x:v>
      </x:c>
    </x:row>
    <x:row r="977" ht="52" customHeight="1">
      <x:c r="A977" s="10" t="str">
        <x:v>V-R3</x:v>
      </x:c>
      <x:c r="B977" s="10" t="str">
        <x:v>VOICE</x:v>
      </x:c>
      <x:c r="C977" s="10" t="str">
        <x:v>VOICE:S6-08</x:v>
      </x:c>
      <x:c r="D977" s="10" t="str">
        <x:v>VOICE:S6-08:goal</x:v>
      </x:c>
      <x:c r="E977" s="11" t="n">
        <x:v>9.043333333333333</x:v>
      </x:c>
      <x:c r="F977" s="11" t="n">
        <x:v>17.043333333333333</x:v>
      </x:c>
      <x:c r="G977" s="11" t="n">
        <x:f>F977-E977</x:f>
        <x:v>8</x:v>
      </x:c>
      <x:c r="H977" s="10" t="n">
        <x:v>1</x:v>
      </x:c>
      <x:c r="I977" s="10" t="str">
        <x:v>completed_as_adopted</x:v>
      </x:c>
      <x:c r="J977" s="10" t="str">
        <x:v>VOICE:B-R3/S6-08/scored/08879</x:v>
      </x:c>
      <x:c r="K977" s="10" t="str">
        <x:v>VOICE:S6-08:input</x:v>
      </x:c>
      <x:c r="L977" s="10" t="str">
        <x:v>VOICE:B-R3/S6-08/scored/08879</x:v>
      </x:c>
    </x:row>
    <x:row r="978" ht="52" customHeight="1">
      <x:c r="A978" s="10" t="str">
        <x:v>V-A</x:v>
      </x:c>
      <x:c r="B978" s="10" t="str">
        <x:v>VOICE</x:v>
      </x:c>
      <x:c r="C978" s="10" t="str">
        <x:v>VOICE:S6-09</x:v>
      </x:c>
      <x:c r="D978" s="10" t="str">
        <x:v>VOICE:S6-09:goal</x:v>
      </x:c>
      <x:c r="E978" s="11" t="n">
        <x:v>5.4833333333333325</x:v>
      </x:c>
      <x:c r="F978" s="11" t="n">
        <x:v>13.483333333333334</x:v>
      </x:c>
      <x:c r="G978" s="11" t="n">
        <x:f>F978-E978</x:f>
        <x:v>8.000000000000002</x:v>
      </x:c>
      <x:c r="H978" s="10" t="n">
        <x:v>1</x:v>
      </x:c>
      <x:c r="I978" s="10" t="str">
        <x:v>completed_as_adopted</x:v>
      </x:c>
      <x:c r="J978" s="10" t="str">
        <x:v>VOICE:A/S6-09/scored/08890</x:v>
      </x:c>
      <x:c r="K978" s="10" t="str">
        <x:v>VOICE:S6-09:input</x:v>
      </x:c>
      <x:c r="L978" s="10" t="str">
        <x:v>VOICE:A/S6-09/scored/08890</x:v>
      </x:c>
    </x:row>
    <x:row r="979" ht="52" customHeight="1">
      <x:c r="A979" s="10" t="str">
        <x:v>V-R1</x:v>
      </x:c>
      <x:c r="B979" s="10" t="str">
        <x:v>VOICE</x:v>
      </x:c>
      <x:c r="C979" s="10" t="str">
        <x:v>VOICE:S6-09</x:v>
      </x:c>
      <x:c r="D979" s="10" t="str">
        <x:v>VOICE:S6-09:goal</x:v>
      </x:c>
      <x:c r="E979" s="11" t="n">
        <x:v>8.983333333333334</x:v>
      </x:c>
      <x:c r="F979" s="11" t="n">
        <x:v>16.983333333333334</x:v>
      </x:c>
      <x:c r="G979" s="11" t="n">
        <x:f>F979-E979</x:f>
        <x:v>8</x:v>
      </x:c>
      <x:c r="H979" s="10" t="n">
        <x:v>1</x:v>
      </x:c>
      <x:c r="I979" s="10" t="str">
        <x:v>completed_as_adopted</x:v>
      </x:c>
      <x:c r="J979" s="10" t="str">
        <x:v>VOICE:B-R1/S6-09/scored/08905</x:v>
      </x:c>
      <x:c r="K979" s="10" t="str">
        <x:v>VOICE:S6-09:input</x:v>
      </x:c>
      <x:c r="L979" s="10" t="str">
        <x:v>VOICE:B-R1/S6-09/scored/08905</x:v>
      </x:c>
    </x:row>
    <x:row r="980" ht="52" customHeight="1">
      <x:c r="A980" s="10" t="str">
        <x:v>V-R2</x:v>
      </x:c>
      <x:c r="B980" s="10" t="str">
        <x:v>VOICE</x:v>
      </x:c>
      <x:c r="C980" s="10" t="str">
        <x:v>VOICE:S6-09</x:v>
      </x:c>
      <x:c r="D980" s="10" t="str">
        <x:v>VOICE:S6-09:goal</x:v>
      </x:c>
      <x:c r="E980" s="11" t="n">
        <x:v>8.983333333333334</x:v>
      </x:c>
      <x:c r="F980" s="11" t="n">
        <x:v>16.983333333333334</x:v>
      </x:c>
      <x:c r="G980" s="11" t="n">
        <x:f>F980-E980</x:f>
        <x:v>8</x:v>
      </x:c>
      <x:c r="H980" s="10" t="n">
        <x:v>1</x:v>
      </x:c>
      <x:c r="I980" s="10" t="str">
        <x:v>completed_as_adopted</x:v>
      </x:c>
      <x:c r="J980" s="10" t="str">
        <x:v>VOICE:B-R2/S6-09/scored/08919</x:v>
      </x:c>
      <x:c r="K980" s="10" t="str">
        <x:v>VOICE:S6-09:input</x:v>
      </x:c>
      <x:c r="L980" s="10" t="str">
        <x:v>VOICE:B-R2/S6-09/scored/08919</x:v>
      </x:c>
    </x:row>
    <x:row r="981" ht="52" customHeight="1">
      <x:c r="A981" s="10" t="str">
        <x:v>V-R3</x:v>
      </x:c>
      <x:c r="B981" s="10" t="str">
        <x:v>VOICE</x:v>
      </x:c>
      <x:c r="C981" s="10" t="str">
        <x:v>VOICE:S6-09</x:v>
      </x:c>
      <x:c r="D981" s="10" t="str">
        <x:v>VOICE:S6-09:goal</x:v>
      </x:c>
      <x:c r="E981" s="11" t="n">
        <x:v>9.043333333333333</x:v>
      </x:c>
      <x:c r="F981" s="11" t="n">
        <x:v>17.043333333333333</x:v>
      </x:c>
      <x:c r="G981" s="11" t="n">
        <x:f>F981-E981</x:f>
        <x:v>8</x:v>
      </x:c>
      <x:c r="H981" s="10" t="n">
        <x:v>1</x:v>
      </x:c>
      <x:c r="I981" s="10" t="str">
        <x:v>completed_as_adopted</x:v>
      </x:c>
      <x:c r="J981" s="10" t="str">
        <x:v>VOICE:B-R3/S6-09/scored/08934</x:v>
      </x:c>
      <x:c r="K981" s="10" t="str">
        <x:v>VOICE:S6-09:input</x:v>
      </x:c>
      <x:c r="L981" s="10" t="str">
        <x:v>VOICE:B-R3/S6-09/scored/08934</x:v>
      </x:c>
    </x:row>
    <x:row r="982" ht="52" customHeight="1">
      <x:c r="A982" s="10" t="str">
        <x:v>V-A</x:v>
      </x:c>
      <x:c r="B982" s="10" t="str">
        <x:v>VOICE</x:v>
      </x:c>
      <x:c r="C982" s="10" t="str">
        <x:v>VOICE:S6-10</x:v>
      </x:c>
      <x:c r="D982" s="10" t="str">
        <x:v>VOICE:S6-10:goal</x:v>
      </x:c>
      <x:c r="E982" s="11" t="n">
        <x:v>5.4833333333333325</x:v>
      </x:c>
      <x:c r="F982" s="11" t="n">
        <x:v>13.483333333333334</x:v>
      </x:c>
      <x:c r="G982" s="11" t="n">
        <x:f>F982-E982</x:f>
        <x:v>8.000000000000002</x:v>
      </x:c>
      <x:c r="H982" s="10" t="n">
        <x:v>1</x:v>
      </x:c>
      <x:c r="I982" s="10" t="str">
        <x:v>completed_as_adopted</x:v>
      </x:c>
      <x:c r="J982" s="10" t="str">
        <x:v>VOICE:A/S6-10/scored/08945</x:v>
      </x:c>
      <x:c r="K982" s="10" t="str">
        <x:v>VOICE:S6-10:input</x:v>
      </x:c>
      <x:c r="L982" s="10" t="str">
        <x:v>VOICE:A/S6-10/scored/08945</x:v>
      </x:c>
    </x:row>
    <x:row r="983" ht="52" customHeight="1">
      <x:c r="A983" s="10" t="str">
        <x:v>V-R1</x:v>
      </x:c>
      <x:c r="B983" s="10" t="str">
        <x:v>VOICE</x:v>
      </x:c>
      <x:c r="C983" s="10" t="str">
        <x:v>VOICE:S6-10</x:v>
      </x:c>
      <x:c r="D983" s="10" t="str">
        <x:v>VOICE:S6-10:goal</x:v>
      </x:c>
      <x:c r="E983" s="11" t="n">
        <x:v>8.983333333333334</x:v>
      </x:c>
      <x:c r="F983" s="11" t="n">
        <x:v>16.983333333333334</x:v>
      </x:c>
      <x:c r="G983" s="11" t="n">
        <x:f>F983-E983</x:f>
        <x:v>8</x:v>
      </x:c>
      <x:c r="H983" s="10" t="n">
        <x:v>1</x:v>
      </x:c>
      <x:c r="I983" s="10" t="str">
        <x:v>completed_as_adopted</x:v>
      </x:c>
      <x:c r="J983" s="10" t="str">
        <x:v>VOICE:B-R1/S6-10/scored/08960</x:v>
      </x:c>
      <x:c r="K983" s="10" t="str">
        <x:v>VOICE:S6-10:input</x:v>
      </x:c>
      <x:c r="L983" s="10" t="str">
        <x:v>VOICE:B-R1/S6-10/scored/08960</x:v>
      </x:c>
    </x:row>
    <x:row r="984" ht="52" customHeight="1">
      <x:c r="A984" s="10" t="str">
        <x:v>V-R2</x:v>
      </x:c>
      <x:c r="B984" s="10" t="str">
        <x:v>VOICE</x:v>
      </x:c>
      <x:c r="C984" s="10" t="str">
        <x:v>VOICE:S6-10</x:v>
      </x:c>
      <x:c r="D984" s="10" t="str">
        <x:v>VOICE:S6-10:goal</x:v>
      </x:c>
      <x:c r="E984" s="11" t="n">
        <x:v>8.983333333333334</x:v>
      </x:c>
      <x:c r="F984" s="11" t="n">
        <x:v>16.983333333333334</x:v>
      </x:c>
      <x:c r="G984" s="11" t="n">
        <x:f>F984-E984</x:f>
        <x:v>8</x:v>
      </x:c>
      <x:c r="H984" s="10" t="n">
        <x:v>1</x:v>
      </x:c>
      <x:c r="I984" s="10" t="str">
        <x:v>completed_as_adopted</x:v>
      </x:c>
      <x:c r="J984" s="10" t="str">
        <x:v>VOICE:B-R2/S6-10/scored/08974</x:v>
      </x:c>
      <x:c r="K984" s="10" t="str">
        <x:v>VOICE:S6-10:input</x:v>
      </x:c>
      <x:c r="L984" s="10" t="str">
        <x:v>VOICE:B-R2/S6-10/scored/08974</x:v>
      </x:c>
    </x:row>
    <x:row r="985" ht="52" customHeight="1">
      <x:c r="A985" s="10" t="str">
        <x:v>V-R3</x:v>
      </x:c>
      <x:c r="B985" s="10" t="str">
        <x:v>VOICE</x:v>
      </x:c>
      <x:c r="C985" s="10" t="str">
        <x:v>VOICE:S6-10</x:v>
      </x:c>
      <x:c r="D985" s="10" t="str">
        <x:v>VOICE:S6-10:goal</x:v>
      </x:c>
      <x:c r="E985" s="11" t="n">
        <x:v>9.043333333333333</x:v>
      </x:c>
      <x:c r="F985" s="11" t="n">
        <x:v>17.043333333333333</x:v>
      </x:c>
      <x:c r="G985" s="11" t="n">
        <x:f>F985-E985</x:f>
        <x:v>8</x:v>
      </x:c>
      <x:c r="H985" s="10" t="n">
        <x:v>1</x:v>
      </x:c>
      <x:c r="I985" s="10" t="str">
        <x:v>completed_as_adopted</x:v>
      </x:c>
      <x:c r="J985" s="10" t="str">
        <x:v>VOICE:B-R3/S6-10/scored/08989</x:v>
      </x:c>
      <x:c r="K985" s="10" t="str">
        <x:v>VOICE:S6-10:input</x:v>
      </x:c>
      <x:c r="L985" s="10" t="str">
        <x:v>VOICE:B-R3/S6-10/scored/08989</x:v>
      </x:c>
    </x:row>
    <x:row r="986" ht="52" customHeight="1">
      <x:c r="A986" s="10" t="str">
        <x:v>V-A</x:v>
      </x:c>
      <x:c r="B986" s="10" t="str">
        <x:v>VOICE</x:v>
      </x:c>
      <x:c r="C986" s="10" t="str">
        <x:v>VOICE:S6-11</x:v>
      </x:c>
      <x:c r="D986" s="10" t="str">
        <x:v>VOICE:S6-11:goal</x:v>
      </x:c>
      <x:c r="E986" s="11" t="n">
        <x:v>5.4833333333333325</x:v>
      </x:c>
      <x:c r="F986" s="11" t="n">
        <x:v>13.483333333333334</x:v>
      </x:c>
      <x:c r="G986" s="11" t="n">
        <x:f>F986-E986</x:f>
        <x:v>8.000000000000002</x:v>
      </x:c>
      <x:c r="H986" s="10" t="n">
        <x:v>1</x:v>
      </x:c>
      <x:c r="I986" s="10" t="str">
        <x:v>completed_as_adopted</x:v>
      </x:c>
      <x:c r="J986" s="10" t="str">
        <x:v>VOICE:A/S6-11/scored/09000</x:v>
      </x:c>
      <x:c r="K986" s="10" t="str">
        <x:v>VOICE:S6-11:input</x:v>
      </x:c>
      <x:c r="L986" s="10" t="str">
        <x:v>VOICE:A/S6-11/scored/09000</x:v>
      </x:c>
    </x:row>
    <x:row r="987" ht="52" customHeight="1">
      <x:c r="A987" s="10" t="str">
        <x:v>V-R1</x:v>
      </x:c>
      <x:c r="B987" s="10" t="str">
        <x:v>VOICE</x:v>
      </x:c>
      <x:c r="C987" s="10" t="str">
        <x:v>VOICE:S6-11</x:v>
      </x:c>
      <x:c r="D987" s="10" t="str">
        <x:v>VOICE:S6-11:goal</x:v>
      </x:c>
      <x:c r="E987" s="11" t="n">
        <x:v>8.983333333333334</x:v>
      </x:c>
      <x:c r="F987" s="11" t="n">
        <x:v>16.983333333333334</x:v>
      </x:c>
      <x:c r="G987" s="11" t="n">
        <x:f>F987-E987</x:f>
        <x:v>8</x:v>
      </x:c>
      <x:c r="H987" s="10" t="n">
        <x:v>1</x:v>
      </x:c>
      <x:c r="I987" s="10" t="str">
        <x:v>completed_as_adopted</x:v>
      </x:c>
      <x:c r="J987" s="10" t="str">
        <x:v>VOICE:B-R1/S6-11/scored/09015</x:v>
      </x:c>
      <x:c r="K987" s="10" t="str">
        <x:v>VOICE:S6-11:input</x:v>
      </x:c>
      <x:c r="L987" s="10" t="str">
        <x:v>VOICE:B-R1/S6-11/scored/09015</x:v>
      </x:c>
    </x:row>
    <x:row r="988" ht="52" customHeight="1">
      <x:c r="A988" s="10" t="str">
        <x:v>V-R2</x:v>
      </x:c>
      <x:c r="B988" s="10" t="str">
        <x:v>VOICE</x:v>
      </x:c>
      <x:c r="C988" s="10" t="str">
        <x:v>VOICE:S6-11</x:v>
      </x:c>
      <x:c r="D988" s="10" t="str">
        <x:v>VOICE:S6-11:goal</x:v>
      </x:c>
      <x:c r="E988" s="11" t="n">
        <x:v>8.983333333333334</x:v>
      </x:c>
      <x:c r="F988" s="11" t="n">
        <x:v>16.983333333333334</x:v>
      </x:c>
      <x:c r="G988" s="11" t="n">
        <x:f>F988-E988</x:f>
        <x:v>8</x:v>
      </x:c>
      <x:c r="H988" s="10" t="n">
        <x:v>1</x:v>
      </x:c>
      <x:c r="I988" s="10" t="str">
        <x:v>completed_as_adopted</x:v>
      </x:c>
      <x:c r="J988" s="10" t="str">
        <x:v>VOICE:B-R2/S6-11/scored/09029</x:v>
      </x:c>
      <x:c r="K988" s="10" t="str">
        <x:v>VOICE:S6-11:input</x:v>
      </x:c>
      <x:c r="L988" s="10" t="str">
        <x:v>VOICE:B-R2/S6-11/scored/09029</x:v>
      </x:c>
    </x:row>
    <x:row r="989" ht="52" customHeight="1">
      <x:c r="A989" s="10" t="str">
        <x:v>V-R3</x:v>
      </x:c>
      <x:c r="B989" s="10" t="str">
        <x:v>VOICE</x:v>
      </x:c>
      <x:c r="C989" s="10" t="str">
        <x:v>VOICE:S6-11</x:v>
      </x:c>
      <x:c r="D989" s="10" t="str">
        <x:v>VOICE:S6-11:goal</x:v>
      </x:c>
      <x:c r="E989" s="11" t="n">
        <x:v>9.043333333333333</x:v>
      </x:c>
      <x:c r="F989" s="11" t="n">
        <x:v>17.043333333333333</x:v>
      </x:c>
      <x:c r="G989" s="11" t="n">
        <x:f>F989-E989</x:f>
        <x:v>8</x:v>
      </x:c>
      <x:c r="H989" s="10" t="n">
        <x:v>1</x:v>
      </x:c>
      <x:c r="I989" s="10" t="str">
        <x:v>completed_as_adopted</x:v>
      </x:c>
      <x:c r="J989" s="10" t="str">
        <x:v>VOICE:B-R3/S6-11/scored/09044</x:v>
      </x:c>
      <x:c r="K989" s="10" t="str">
        <x:v>VOICE:S6-11:input</x:v>
      </x:c>
      <x:c r="L989" s="10" t="str">
        <x:v>VOICE:B-R3/S6-11/scored/09044</x:v>
      </x:c>
    </x:row>
    <x:row r="990" ht="52" customHeight="1">
      <x:c r="A990" s="10" t="str">
        <x:v>V-A</x:v>
      </x:c>
      <x:c r="B990" s="10" t="str">
        <x:v>VOICE</x:v>
      </x:c>
      <x:c r="C990" s="10" t="str">
        <x:v>VOICE:S6-12</x:v>
      </x:c>
      <x:c r="D990" s="10" t="str">
        <x:v>VOICE:S6-12:goal</x:v>
      </x:c>
      <x:c r="E990" s="11" t="n">
        <x:v>5.4833333333333325</x:v>
      </x:c>
      <x:c r="F990" s="11" t="n">
        <x:v>13.483333333333334</x:v>
      </x:c>
      <x:c r="G990" s="11" t="n">
        <x:f>F990-E990</x:f>
        <x:v>8.000000000000002</x:v>
      </x:c>
      <x:c r="H990" s="10" t="n">
        <x:v>1</x:v>
      </x:c>
      <x:c r="I990" s="10" t="str">
        <x:v>completed_as_adopted</x:v>
      </x:c>
      <x:c r="J990" s="10" t="str">
        <x:v>VOICE:A/S6-12/scored/09055</x:v>
      </x:c>
      <x:c r="K990" s="10" t="str">
        <x:v>VOICE:S6-12:input</x:v>
      </x:c>
      <x:c r="L990" s="10" t="str">
        <x:v>VOICE:A/S6-12/scored/09055</x:v>
      </x:c>
    </x:row>
    <x:row r="991" ht="52" customHeight="1">
      <x:c r="A991" s="10" t="str">
        <x:v>V-R1</x:v>
      </x:c>
      <x:c r="B991" s="10" t="str">
        <x:v>VOICE</x:v>
      </x:c>
      <x:c r="C991" s="10" t="str">
        <x:v>VOICE:S6-12</x:v>
      </x:c>
      <x:c r="D991" s="10" t="str">
        <x:v>VOICE:S6-12:goal</x:v>
      </x:c>
      <x:c r="E991" s="11" t="n">
        <x:v>8.983333333333334</x:v>
      </x:c>
      <x:c r="F991" s="11" t="n">
        <x:v>16.983333333333334</x:v>
      </x:c>
      <x:c r="G991" s="11" t="n">
        <x:f>F991-E991</x:f>
        <x:v>8</x:v>
      </x:c>
      <x:c r="H991" s="10" t="n">
        <x:v>1</x:v>
      </x:c>
      <x:c r="I991" s="10" t="str">
        <x:v>completed_as_adopted</x:v>
      </x:c>
      <x:c r="J991" s="10" t="str">
        <x:v>VOICE:B-R1/S6-12/scored/09070</x:v>
      </x:c>
      <x:c r="K991" s="10" t="str">
        <x:v>VOICE:S6-12:input</x:v>
      </x:c>
      <x:c r="L991" s="10" t="str">
        <x:v>VOICE:B-R1/S6-12/scored/09070</x:v>
      </x:c>
    </x:row>
    <x:row r="992" ht="52" customHeight="1">
      <x:c r="A992" s="10" t="str">
        <x:v>V-R2</x:v>
      </x:c>
      <x:c r="B992" s="10" t="str">
        <x:v>VOICE</x:v>
      </x:c>
      <x:c r="C992" s="10" t="str">
        <x:v>VOICE:S6-12</x:v>
      </x:c>
      <x:c r="D992" s="10" t="str">
        <x:v>VOICE:S6-12:goal</x:v>
      </x:c>
      <x:c r="E992" s="11" t="n">
        <x:v>8.983333333333334</x:v>
      </x:c>
      <x:c r="F992" s="11" t="n">
        <x:v>16.983333333333334</x:v>
      </x:c>
      <x:c r="G992" s="11" t="n">
        <x:f>F992-E992</x:f>
        <x:v>8</x:v>
      </x:c>
      <x:c r="H992" s="10" t="n">
        <x:v>1</x:v>
      </x:c>
      <x:c r="I992" s="10" t="str">
        <x:v>completed_as_adopted</x:v>
      </x:c>
      <x:c r="J992" s="10" t="str">
        <x:v>VOICE:B-R2/S6-12/scored/09084</x:v>
      </x:c>
      <x:c r="K992" s="10" t="str">
        <x:v>VOICE:S6-12:input</x:v>
      </x:c>
      <x:c r="L992" s="10" t="str">
        <x:v>VOICE:B-R2/S6-12/scored/09084</x:v>
      </x:c>
    </x:row>
    <x:row r="993" ht="52" customHeight="1">
      <x:c r="A993" s="10" t="str">
        <x:v>V-R3</x:v>
      </x:c>
      <x:c r="B993" s="10" t="str">
        <x:v>VOICE</x:v>
      </x:c>
      <x:c r="C993" s="10" t="str">
        <x:v>VOICE:S6-12</x:v>
      </x:c>
      <x:c r="D993" s="10" t="str">
        <x:v>VOICE:S6-12:goal</x:v>
      </x:c>
      <x:c r="E993" s="11" t="n">
        <x:v>9.043333333333333</x:v>
      </x:c>
      <x:c r="F993" s="11" t="n">
        <x:v>17.043333333333333</x:v>
      </x:c>
      <x:c r="G993" s="11" t="n">
        <x:f>F993-E993</x:f>
        <x:v>8</x:v>
      </x:c>
      <x:c r="H993" s="10" t="n">
        <x:v>1</x:v>
      </x:c>
      <x:c r="I993" s="10" t="str">
        <x:v>completed_as_adopted</x:v>
      </x:c>
      <x:c r="J993" s="10" t="str">
        <x:v>VOICE:B-R3/S6-12/scored/09099</x:v>
      </x:c>
      <x:c r="K993" s="10" t="str">
        <x:v>VOICE:S6-12:input</x:v>
      </x:c>
      <x:c r="L993" s="10" t="str">
        <x:v>VOICE:B-R3/S6-12/scored/09099</x:v>
      </x:c>
    </x:row>
    <x:row r="994" ht="52" customHeight="1">
      <x:c r="A994" s="10" t="str">
        <x:v>V-A</x:v>
      </x:c>
      <x:c r="B994" s="10" t="str">
        <x:v>VOICE</x:v>
      </x:c>
      <x:c r="C994" s="10" t="str">
        <x:v>VOICE:S6-13</x:v>
      </x:c>
      <x:c r="D994" s="10" t="str">
        <x:v>VOICE:S6-13:goal</x:v>
      </x:c>
      <x:c r="E994" s="11" t="n">
        <x:v>5.4833333333333325</x:v>
      </x:c>
      <x:c r="F994" s="11" t="n">
        <x:v>13.483333333333334</x:v>
      </x:c>
      <x:c r="G994" s="11" t="n">
        <x:f>F994-E994</x:f>
        <x:v>8.000000000000002</x:v>
      </x:c>
      <x:c r="H994" s="10" t="n">
        <x:v>1</x:v>
      </x:c>
      <x:c r="I994" s="10" t="str">
        <x:v>completed_as_adopted</x:v>
      </x:c>
      <x:c r="J994" s="10" t="str">
        <x:v>VOICE:A/S6-13/scored/09110</x:v>
      </x:c>
      <x:c r="K994" s="10" t="str">
        <x:v>VOICE:S6-13:input</x:v>
      </x:c>
      <x:c r="L994" s="10" t="str">
        <x:v>VOICE:A/S6-13/scored/09110</x:v>
      </x:c>
    </x:row>
    <x:row r="995" ht="52" customHeight="1">
      <x:c r="A995" s="10" t="str">
        <x:v>V-R1</x:v>
      </x:c>
      <x:c r="B995" s="10" t="str">
        <x:v>VOICE</x:v>
      </x:c>
      <x:c r="C995" s="10" t="str">
        <x:v>VOICE:S6-13</x:v>
      </x:c>
      <x:c r="D995" s="10" t="str">
        <x:v>VOICE:S6-13:goal</x:v>
      </x:c>
      <x:c r="E995" s="11" t="n">
        <x:v>8.983333333333334</x:v>
      </x:c>
      <x:c r="F995" s="11" t="n">
        <x:v>16.983333333333334</x:v>
      </x:c>
      <x:c r="G995" s="11" t="n">
        <x:f>F995-E995</x:f>
        <x:v>8</x:v>
      </x:c>
      <x:c r="H995" s="10" t="n">
        <x:v>1</x:v>
      </x:c>
      <x:c r="I995" s="10" t="str">
        <x:v>completed_as_adopted</x:v>
      </x:c>
      <x:c r="J995" s="10" t="str">
        <x:v>VOICE:B-R1/S6-13/scored/09125</x:v>
      </x:c>
      <x:c r="K995" s="10" t="str">
        <x:v>VOICE:S6-13:input</x:v>
      </x:c>
      <x:c r="L995" s="10" t="str">
        <x:v>VOICE:B-R1/S6-13/scored/09125</x:v>
      </x:c>
    </x:row>
    <x:row r="996" ht="52" customHeight="1">
      <x:c r="A996" s="10" t="str">
        <x:v>V-R2</x:v>
      </x:c>
      <x:c r="B996" s="10" t="str">
        <x:v>VOICE</x:v>
      </x:c>
      <x:c r="C996" s="10" t="str">
        <x:v>VOICE:S6-13</x:v>
      </x:c>
      <x:c r="D996" s="10" t="str">
        <x:v>VOICE:S6-13:goal</x:v>
      </x:c>
      <x:c r="E996" s="11" t="n">
        <x:v>8.983333333333334</x:v>
      </x:c>
      <x:c r="F996" s="11" t="n">
        <x:v>16.983333333333334</x:v>
      </x:c>
      <x:c r="G996" s="11" t="n">
        <x:f>F996-E996</x:f>
        <x:v>8</x:v>
      </x:c>
      <x:c r="H996" s="10" t="n">
        <x:v>1</x:v>
      </x:c>
      <x:c r="I996" s="10" t="str">
        <x:v>completed_as_adopted</x:v>
      </x:c>
      <x:c r="J996" s="10" t="str">
        <x:v>VOICE:B-R2/S6-13/scored/09139</x:v>
      </x:c>
      <x:c r="K996" s="10" t="str">
        <x:v>VOICE:S6-13:input</x:v>
      </x:c>
      <x:c r="L996" s="10" t="str">
        <x:v>VOICE:B-R2/S6-13/scored/09139</x:v>
      </x:c>
    </x:row>
    <x:row r="997" ht="52" customHeight="1">
      <x:c r="A997" s="10" t="str">
        <x:v>V-R3</x:v>
      </x:c>
      <x:c r="B997" s="10" t="str">
        <x:v>VOICE</x:v>
      </x:c>
      <x:c r="C997" s="10" t="str">
        <x:v>VOICE:S6-13</x:v>
      </x:c>
      <x:c r="D997" s="10" t="str">
        <x:v>VOICE:S6-13:goal</x:v>
      </x:c>
      <x:c r="E997" s="11" t="n">
        <x:v>9.043333333333333</x:v>
      </x:c>
      <x:c r="F997" s="11" t="n">
        <x:v>17.043333333333333</x:v>
      </x:c>
      <x:c r="G997" s="11" t="n">
        <x:f>F997-E997</x:f>
        <x:v>8</x:v>
      </x:c>
      <x:c r="H997" s="10" t="n">
        <x:v>1</x:v>
      </x:c>
      <x:c r="I997" s="10" t="str">
        <x:v>completed_as_adopted</x:v>
      </x:c>
      <x:c r="J997" s="10" t="str">
        <x:v>VOICE:B-R3/S6-13/scored/09154</x:v>
      </x:c>
      <x:c r="K997" s="10" t="str">
        <x:v>VOICE:S6-13:input</x:v>
      </x:c>
      <x:c r="L997" s="10" t="str">
        <x:v>VOICE:B-R3/S6-13/scored/09154</x:v>
      </x:c>
    </x:row>
    <x:row r="998" ht="52" customHeight="1">
      <x:c r="A998" s="10" t="str">
        <x:v>V-A</x:v>
      </x:c>
      <x:c r="B998" s="10" t="str">
        <x:v>VOICE</x:v>
      </x:c>
      <x:c r="C998" s="10" t="str">
        <x:v>VOICE:S6-14</x:v>
      </x:c>
      <x:c r="D998" s="10" t="str">
        <x:v>VOICE:S6-14:goal</x:v>
      </x:c>
      <x:c r="E998" s="11" t="n">
        <x:v>5.4833333333333325</x:v>
      </x:c>
      <x:c r="F998" s="11" t="n">
        <x:v>13.483333333333334</x:v>
      </x:c>
      <x:c r="G998" s="11" t="n">
        <x:f>F998-E998</x:f>
        <x:v>8.000000000000002</x:v>
      </x:c>
      <x:c r="H998" s="10" t="n">
        <x:v>1</x:v>
      </x:c>
      <x:c r="I998" s="10" t="str">
        <x:v>completed_as_adopted</x:v>
      </x:c>
      <x:c r="J998" s="10" t="str">
        <x:v>VOICE:A/S6-14/scored/09165</x:v>
      </x:c>
      <x:c r="K998" s="10" t="str">
        <x:v>VOICE:S6-14:input</x:v>
      </x:c>
      <x:c r="L998" s="10" t="str">
        <x:v>VOICE:A/S6-14/scored/09165</x:v>
      </x:c>
    </x:row>
    <x:row r="999" ht="52" customHeight="1">
      <x:c r="A999" s="10" t="str">
        <x:v>V-R1</x:v>
      </x:c>
      <x:c r="B999" s="10" t="str">
        <x:v>VOICE</x:v>
      </x:c>
      <x:c r="C999" s="10" t="str">
        <x:v>VOICE:S6-14</x:v>
      </x:c>
      <x:c r="D999" s="10" t="str">
        <x:v>VOICE:S6-14:goal</x:v>
      </x:c>
      <x:c r="E999" s="11" t="n">
        <x:v>8.983333333333334</x:v>
      </x:c>
      <x:c r="F999" s="11" t="n">
        <x:v>16.983333333333334</x:v>
      </x:c>
      <x:c r="G999" s="11" t="n">
        <x:f>F999-E999</x:f>
        <x:v>8</x:v>
      </x:c>
      <x:c r="H999" s="10" t="n">
        <x:v>1</x:v>
      </x:c>
      <x:c r="I999" s="10" t="str">
        <x:v>completed_as_adopted</x:v>
      </x:c>
      <x:c r="J999" s="10" t="str">
        <x:v>VOICE:B-R1/S6-14/scored/09180</x:v>
      </x:c>
      <x:c r="K999" s="10" t="str">
        <x:v>VOICE:S6-14:input</x:v>
      </x:c>
      <x:c r="L999" s="10" t="str">
        <x:v>VOICE:B-R1/S6-14/scored/09180</x:v>
      </x:c>
    </x:row>
    <x:row r="1000" ht="52" customHeight="1">
      <x:c r="A1000" s="10" t="str">
        <x:v>V-R2</x:v>
      </x:c>
      <x:c r="B1000" s="10" t="str">
        <x:v>VOICE</x:v>
      </x:c>
      <x:c r="C1000" s="10" t="str">
        <x:v>VOICE:S6-14</x:v>
      </x:c>
      <x:c r="D1000" s="10" t="str">
        <x:v>VOICE:S6-14:goal</x:v>
      </x:c>
      <x:c r="E1000" s="11" t="n">
        <x:v>8.983333333333334</x:v>
      </x:c>
      <x:c r="F1000" s="11" t="n">
        <x:v>16.983333333333334</x:v>
      </x:c>
      <x:c r="G1000" s="11" t="n">
        <x:f>F1000-E1000</x:f>
        <x:v>8</x:v>
      </x:c>
      <x:c r="H1000" s="10" t="n">
        <x:v>1</x:v>
      </x:c>
      <x:c r="I1000" s="10" t="str">
        <x:v>completed_as_adopted</x:v>
      </x:c>
      <x:c r="J1000" s="10" t="str">
        <x:v>VOICE:B-R2/S6-14/scored/09194</x:v>
      </x:c>
      <x:c r="K1000" s="10" t="str">
        <x:v>VOICE:S6-14:input</x:v>
      </x:c>
      <x:c r="L1000" s="10" t="str">
        <x:v>VOICE:B-R2/S6-14/scored/09194</x:v>
      </x:c>
    </x:row>
    <x:row r="1001" ht="52" customHeight="1">
      <x:c r="A1001" s="10" t="str">
        <x:v>V-R3</x:v>
      </x:c>
      <x:c r="B1001" s="10" t="str">
        <x:v>VOICE</x:v>
      </x:c>
      <x:c r="C1001" s="10" t="str">
        <x:v>VOICE:S6-14</x:v>
      </x:c>
      <x:c r="D1001" s="10" t="str">
        <x:v>VOICE:S6-14:goal</x:v>
      </x:c>
      <x:c r="E1001" s="11" t="n">
        <x:v>9.043333333333333</x:v>
      </x:c>
      <x:c r="F1001" s="11" t="n">
        <x:v>17.043333333333333</x:v>
      </x:c>
      <x:c r="G1001" s="11" t="n">
        <x:f>F1001-E1001</x:f>
        <x:v>8</x:v>
      </x:c>
      <x:c r="H1001" s="10" t="n">
        <x:v>1</x:v>
      </x:c>
      <x:c r="I1001" s="10" t="str">
        <x:v>completed_as_adopted</x:v>
      </x:c>
      <x:c r="J1001" s="10" t="str">
        <x:v>VOICE:B-R3/S6-14/scored/09209</x:v>
      </x:c>
      <x:c r="K1001" s="10" t="str">
        <x:v>VOICE:S6-14:input</x:v>
      </x:c>
      <x:c r="L1001" s="10" t="str">
        <x:v>VOICE:B-R3/S6-14/scored/09209</x:v>
      </x:c>
    </x:row>
    <x:row r="1002" ht="52" customHeight="1">
      <x:c r="A1002" s="10" t="str">
        <x:v>V-A</x:v>
      </x:c>
      <x:c r="B1002" s="10" t="str">
        <x:v>VOICE</x:v>
      </x:c>
      <x:c r="C1002" s="10" t="str">
        <x:v>VOICE:S6-15</x:v>
      </x:c>
      <x:c r="D1002" s="10" t="str">
        <x:v>VOICE:S6-15:goal</x:v>
      </x:c>
      <x:c r="E1002" s="11" t="n">
        <x:v>5.4833333333333325</x:v>
      </x:c>
      <x:c r="F1002" s="11" t="n">
        <x:v>13.483333333333334</x:v>
      </x:c>
      <x:c r="G1002" s="11" t="n">
        <x:f>F1002-E1002</x:f>
        <x:v>8.000000000000002</x:v>
      </x:c>
      <x:c r="H1002" s="10" t="n">
        <x:v>1</x:v>
      </x:c>
      <x:c r="I1002" s="10" t="str">
        <x:v>completed_as_adopted</x:v>
      </x:c>
      <x:c r="J1002" s="10" t="str">
        <x:v>VOICE:A/S6-15/scored/09220</x:v>
      </x:c>
      <x:c r="K1002" s="10" t="str">
        <x:v>VOICE:S6-15:input</x:v>
      </x:c>
      <x:c r="L1002" s="10" t="str">
        <x:v>VOICE:A/S6-15/scored/09220</x:v>
      </x:c>
    </x:row>
    <x:row r="1003" ht="52" customHeight="1">
      <x:c r="A1003" s="10" t="str">
        <x:v>V-R1</x:v>
      </x:c>
      <x:c r="B1003" s="10" t="str">
        <x:v>VOICE</x:v>
      </x:c>
      <x:c r="C1003" s="10" t="str">
        <x:v>VOICE:S6-15</x:v>
      </x:c>
      <x:c r="D1003" s="10" t="str">
        <x:v>VOICE:S6-15:goal</x:v>
      </x:c>
      <x:c r="E1003" s="11" t="n">
        <x:v>8.983333333333334</x:v>
      </x:c>
      <x:c r="F1003" s="11" t="n">
        <x:v>16.983333333333334</x:v>
      </x:c>
      <x:c r="G1003" s="11" t="n">
        <x:f>F1003-E1003</x:f>
        <x:v>8</x:v>
      </x:c>
      <x:c r="H1003" s="10" t="n">
        <x:v>1</x:v>
      </x:c>
      <x:c r="I1003" s="10" t="str">
        <x:v>completed_as_adopted</x:v>
      </x:c>
      <x:c r="J1003" s="10" t="str">
        <x:v>VOICE:B-R1/S6-15/scored/09235</x:v>
      </x:c>
      <x:c r="K1003" s="10" t="str">
        <x:v>VOICE:S6-15:input</x:v>
      </x:c>
      <x:c r="L1003" s="10" t="str">
        <x:v>VOICE:B-R1/S6-15/scored/09235</x:v>
      </x:c>
    </x:row>
    <x:row r="1004" ht="52" customHeight="1">
      <x:c r="A1004" s="10" t="str">
        <x:v>V-R2</x:v>
      </x:c>
      <x:c r="B1004" s="10" t="str">
        <x:v>VOICE</x:v>
      </x:c>
      <x:c r="C1004" s="10" t="str">
        <x:v>VOICE:S6-15</x:v>
      </x:c>
      <x:c r="D1004" s="10" t="str">
        <x:v>VOICE:S6-15:goal</x:v>
      </x:c>
      <x:c r="E1004" s="11" t="n">
        <x:v>8.983333333333334</x:v>
      </x:c>
      <x:c r="F1004" s="11" t="n">
        <x:v>16.983333333333334</x:v>
      </x:c>
      <x:c r="G1004" s="11" t="n">
        <x:f>F1004-E1004</x:f>
        <x:v>8</x:v>
      </x:c>
      <x:c r="H1004" s="10" t="n">
        <x:v>1</x:v>
      </x:c>
      <x:c r="I1004" s="10" t="str">
        <x:v>completed_as_adopted</x:v>
      </x:c>
      <x:c r="J1004" s="10" t="str">
        <x:v>VOICE:B-R2/S6-15/scored/09249</x:v>
      </x:c>
      <x:c r="K1004" s="10" t="str">
        <x:v>VOICE:S6-15:input</x:v>
      </x:c>
      <x:c r="L1004" s="10" t="str">
        <x:v>VOICE:B-R2/S6-15/scored/09249</x:v>
      </x:c>
    </x:row>
    <x:row r="1005" ht="52" customHeight="1">
      <x:c r="A1005" s="10" t="str">
        <x:v>V-R3</x:v>
      </x:c>
      <x:c r="B1005" s="10" t="str">
        <x:v>VOICE</x:v>
      </x:c>
      <x:c r="C1005" s="10" t="str">
        <x:v>VOICE:S6-15</x:v>
      </x:c>
      <x:c r="D1005" s="10" t="str">
        <x:v>VOICE:S6-15:goal</x:v>
      </x:c>
      <x:c r="E1005" s="11" t="n">
        <x:v>9.043333333333333</x:v>
      </x:c>
      <x:c r="F1005" s="11" t="n">
        <x:v>17.043333333333333</x:v>
      </x:c>
      <x:c r="G1005" s="11" t="n">
        <x:f>F1005-E1005</x:f>
        <x:v>8</x:v>
      </x:c>
      <x:c r="H1005" s="10" t="n">
        <x:v>1</x:v>
      </x:c>
      <x:c r="I1005" s="10" t="str">
        <x:v>completed_as_adopted</x:v>
      </x:c>
      <x:c r="J1005" s="10" t="str">
        <x:v>VOICE:B-R3/S6-15/scored/09264</x:v>
      </x:c>
      <x:c r="K1005" s="10" t="str">
        <x:v>VOICE:S6-15:input</x:v>
      </x:c>
      <x:c r="L1005" s="10" t="str">
        <x:v>VOICE:B-R3/S6-15/scored/09264</x:v>
      </x:c>
    </x:row>
    <x:row r="1006" ht="52" customHeight="1">
      <x:c r="A1006" s="10" t="str">
        <x:v>V-A</x:v>
      </x:c>
      <x:c r="B1006" s="10" t="str">
        <x:v>VOICE</x:v>
      </x:c>
      <x:c r="C1006" s="10" t="str">
        <x:v>VOICE:S6-16</x:v>
      </x:c>
      <x:c r="D1006" s="10" t="str">
        <x:v>VOICE:S6-16:goal</x:v>
      </x:c>
      <x:c r="E1006" s="11" t="n">
        <x:v>5.4833333333333325</x:v>
      </x:c>
      <x:c r="F1006" s="11" t="n">
        <x:v>13.483333333333334</x:v>
      </x:c>
      <x:c r="G1006" s="11" t="n">
        <x:f>F1006-E1006</x:f>
        <x:v>8.000000000000002</x:v>
      </x:c>
      <x:c r="H1006" s="10" t="n">
        <x:v>1</x:v>
      </x:c>
      <x:c r="I1006" s="10" t="str">
        <x:v>completed_as_adopted</x:v>
      </x:c>
      <x:c r="J1006" s="10" t="str">
        <x:v>VOICE:A/S6-16/scored/09275</x:v>
      </x:c>
      <x:c r="K1006" s="10" t="str">
        <x:v>VOICE:S6-16:input</x:v>
      </x:c>
      <x:c r="L1006" s="10" t="str">
        <x:v>VOICE:A/S6-16/scored/09275</x:v>
      </x:c>
    </x:row>
    <x:row r="1007" ht="52" customHeight="1">
      <x:c r="A1007" s="10" t="str">
        <x:v>V-R1</x:v>
      </x:c>
      <x:c r="B1007" s="10" t="str">
        <x:v>VOICE</x:v>
      </x:c>
      <x:c r="C1007" s="10" t="str">
        <x:v>VOICE:S6-16</x:v>
      </x:c>
      <x:c r="D1007" s="10" t="str">
        <x:v>VOICE:S6-16:goal</x:v>
      </x:c>
      <x:c r="E1007" s="11" t="n">
        <x:v>8.983333333333334</x:v>
      </x:c>
      <x:c r="F1007" s="11" t="n">
        <x:v>16.983333333333334</x:v>
      </x:c>
      <x:c r="G1007" s="11" t="n">
        <x:f>F1007-E1007</x:f>
        <x:v>8</x:v>
      </x:c>
      <x:c r="H1007" s="10" t="n">
        <x:v>1</x:v>
      </x:c>
      <x:c r="I1007" s="10" t="str">
        <x:v>completed_as_adopted</x:v>
      </x:c>
      <x:c r="J1007" s="10" t="str">
        <x:v>VOICE:B-R1/S6-16/scored/09290</x:v>
      </x:c>
      <x:c r="K1007" s="10" t="str">
        <x:v>VOICE:S6-16:input</x:v>
      </x:c>
      <x:c r="L1007" s="10" t="str">
        <x:v>VOICE:B-R1/S6-16/scored/09290</x:v>
      </x:c>
    </x:row>
    <x:row r="1008" ht="52" customHeight="1">
      <x:c r="A1008" s="10" t="str">
        <x:v>V-R2</x:v>
      </x:c>
      <x:c r="B1008" s="10" t="str">
        <x:v>VOICE</x:v>
      </x:c>
      <x:c r="C1008" s="10" t="str">
        <x:v>VOICE:S6-16</x:v>
      </x:c>
      <x:c r="D1008" s="10" t="str">
        <x:v>VOICE:S6-16:goal</x:v>
      </x:c>
      <x:c r="E1008" s="11" t="n">
        <x:v>8.983333333333334</x:v>
      </x:c>
      <x:c r="F1008" s="11" t="n">
        <x:v>16.983333333333334</x:v>
      </x:c>
      <x:c r="G1008" s="11" t="n">
        <x:f>F1008-E1008</x:f>
        <x:v>8</x:v>
      </x:c>
      <x:c r="H1008" s="10" t="n">
        <x:v>1</x:v>
      </x:c>
      <x:c r="I1008" s="10" t="str">
        <x:v>completed_as_adopted</x:v>
      </x:c>
      <x:c r="J1008" s="10" t="str">
        <x:v>VOICE:B-R2/S6-16/scored/09304</x:v>
      </x:c>
      <x:c r="K1008" s="10" t="str">
        <x:v>VOICE:S6-16:input</x:v>
      </x:c>
      <x:c r="L1008" s="10" t="str">
        <x:v>VOICE:B-R2/S6-16/scored/09304</x:v>
      </x:c>
    </x:row>
    <x:row r="1009" ht="52" customHeight="1">
      <x:c r="A1009" s="10" t="str">
        <x:v>V-R3</x:v>
      </x:c>
      <x:c r="B1009" s="10" t="str">
        <x:v>VOICE</x:v>
      </x:c>
      <x:c r="C1009" s="10" t="str">
        <x:v>VOICE:S6-16</x:v>
      </x:c>
      <x:c r="D1009" s="10" t="str">
        <x:v>VOICE:S6-16:goal</x:v>
      </x:c>
      <x:c r="E1009" s="11" t="n">
        <x:v>9.043333333333333</x:v>
      </x:c>
      <x:c r="F1009" s="11" t="n">
        <x:v>17.043333333333333</x:v>
      </x:c>
      <x:c r="G1009" s="11" t="n">
        <x:f>F1009-E1009</x:f>
        <x:v>8</x:v>
      </x:c>
      <x:c r="H1009" s="10" t="n">
        <x:v>1</x:v>
      </x:c>
      <x:c r="I1009" s="10" t="str">
        <x:v>completed_as_adopted</x:v>
      </x:c>
      <x:c r="J1009" s="10" t="str">
        <x:v>VOICE:B-R3/S6-16/scored/09319</x:v>
      </x:c>
      <x:c r="K1009" s="10" t="str">
        <x:v>VOICE:S6-16:input</x:v>
      </x:c>
      <x:c r="L1009" s="10" t="str">
        <x:v>VOICE:B-R3/S6-16/scored/09319</x:v>
      </x:c>
    </x:row>
    <x:row r="1010" ht="52" customHeight="1">
      <x:c r="A1010" s="10" t="str">
        <x:v>V-A</x:v>
      </x:c>
      <x:c r="B1010" s="10" t="str">
        <x:v>VOICE</x:v>
      </x:c>
      <x:c r="C1010" s="10" t="str">
        <x:v>VOICE:S6-17</x:v>
      </x:c>
      <x:c r="D1010" s="10" t="str">
        <x:v>VOICE:S6-17:goal</x:v>
      </x:c>
      <x:c r="E1010" s="11" t="n">
        <x:v>5.4833333333333325</x:v>
      </x:c>
      <x:c r="F1010" s="11" t="n">
        <x:v>13.483333333333334</x:v>
      </x:c>
      <x:c r="G1010" s="11" t="n">
        <x:f>F1010-E1010</x:f>
        <x:v>8.000000000000002</x:v>
      </x:c>
      <x:c r="H1010" s="10" t="n">
        <x:v>1</x:v>
      </x:c>
      <x:c r="I1010" s="10" t="str">
        <x:v>completed_as_adopted</x:v>
      </x:c>
      <x:c r="J1010" s="10" t="str">
        <x:v>VOICE:A/S6-17/scored/09330</x:v>
      </x:c>
      <x:c r="K1010" s="10" t="str">
        <x:v>VOICE:S6-17:input</x:v>
      </x:c>
      <x:c r="L1010" s="10" t="str">
        <x:v>VOICE:A/S6-17/scored/09330</x:v>
      </x:c>
    </x:row>
    <x:row r="1011" ht="52" customHeight="1">
      <x:c r="A1011" s="10" t="str">
        <x:v>V-R1</x:v>
      </x:c>
      <x:c r="B1011" s="10" t="str">
        <x:v>VOICE</x:v>
      </x:c>
      <x:c r="C1011" s="10" t="str">
        <x:v>VOICE:S6-17</x:v>
      </x:c>
      <x:c r="D1011" s="10" t="str">
        <x:v>VOICE:S6-17:goal</x:v>
      </x:c>
      <x:c r="E1011" s="11" t="n">
        <x:v>8.983333333333334</x:v>
      </x:c>
      <x:c r="F1011" s="11" t="n">
        <x:v>16.983333333333334</x:v>
      </x:c>
      <x:c r="G1011" s="11" t="n">
        <x:f>F1011-E1011</x:f>
        <x:v>8</x:v>
      </x:c>
      <x:c r="H1011" s="10" t="n">
        <x:v>1</x:v>
      </x:c>
      <x:c r="I1011" s="10" t="str">
        <x:v>completed_as_adopted</x:v>
      </x:c>
      <x:c r="J1011" s="10" t="str">
        <x:v>VOICE:B-R1/S6-17/scored/09345</x:v>
      </x:c>
      <x:c r="K1011" s="10" t="str">
        <x:v>VOICE:S6-17:input</x:v>
      </x:c>
      <x:c r="L1011" s="10" t="str">
        <x:v>VOICE:B-R1/S6-17/scored/09345</x:v>
      </x:c>
    </x:row>
    <x:row r="1012" ht="52" customHeight="1">
      <x:c r="A1012" s="10" t="str">
        <x:v>V-R2</x:v>
      </x:c>
      <x:c r="B1012" s="10" t="str">
        <x:v>VOICE</x:v>
      </x:c>
      <x:c r="C1012" s="10" t="str">
        <x:v>VOICE:S6-17</x:v>
      </x:c>
      <x:c r="D1012" s="10" t="str">
        <x:v>VOICE:S6-17:goal</x:v>
      </x:c>
      <x:c r="E1012" s="11" t="n">
        <x:v>8.983333333333334</x:v>
      </x:c>
      <x:c r="F1012" s="11" t="n">
        <x:v>16.983333333333334</x:v>
      </x:c>
      <x:c r="G1012" s="11" t="n">
        <x:f>F1012-E1012</x:f>
        <x:v>8</x:v>
      </x:c>
      <x:c r="H1012" s="10" t="n">
        <x:v>1</x:v>
      </x:c>
      <x:c r="I1012" s="10" t="str">
        <x:v>completed_as_adopted</x:v>
      </x:c>
      <x:c r="J1012" s="10" t="str">
        <x:v>VOICE:B-R2/S6-17/scored/09359</x:v>
      </x:c>
      <x:c r="K1012" s="10" t="str">
        <x:v>VOICE:S6-17:input</x:v>
      </x:c>
      <x:c r="L1012" s="10" t="str">
        <x:v>VOICE:B-R2/S6-17/scored/09359</x:v>
      </x:c>
    </x:row>
    <x:row r="1013" ht="52" customHeight="1">
      <x:c r="A1013" s="10" t="str">
        <x:v>V-R3</x:v>
      </x:c>
      <x:c r="B1013" s="10" t="str">
        <x:v>VOICE</x:v>
      </x:c>
      <x:c r="C1013" s="10" t="str">
        <x:v>VOICE:S6-17</x:v>
      </x:c>
      <x:c r="D1013" s="10" t="str">
        <x:v>VOICE:S6-17:goal</x:v>
      </x:c>
      <x:c r="E1013" s="11" t="n">
        <x:v>9.043333333333333</x:v>
      </x:c>
      <x:c r="F1013" s="11" t="n">
        <x:v>17.043333333333333</x:v>
      </x:c>
      <x:c r="G1013" s="11" t="n">
        <x:f>F1013-E1013</x:f>
        <x:v>8</x:v>
      </x:c>
      <x:c r="H1013" s="10" t="n">
        <x:v>1</x:v>
      </x:c>
      <x:c r="I1013" s="10" t="str">
        <x:v>completed_as_adopted</x:v>
      </x:c>
      <x:c r="J1013" s="10" t="str">
        <x:v>VOICE:B-R3/S6-17/scored/09374</x:v>
      </x:c>
      <x:c r="K1013" s="10" t="str">
        <x:v>VOICE:S6-17:input</x:v>
      </x:c>
      <x:c r="L1013" s="10" t="str">
        <x:v>VOICE:B-R3/S6-17/scored/09374</x:v>
      </x:c>
    </x:row>
    <x:row r="1014" ht="52" customHeight="1">
      <x:c r="A1014" s="10" t="str">
        <x:v>V-A</x:v>
      </x:c>
      <x:c r="B1014" s="10" t="str">
        <x:v>VOICE</x:v>
      </x:c>
      <x:c r="C1014" s="10" t="str">
        <x:v>VOICE:S6-18</x:v>
      </x:c>
      <x:c r="D1014" s="10" t="str">
        <x:v>VOICE:S6-18:goal</x:v>
      </x:c>
      <x:c r="E1014" s="11" t="n">
        <x:v>5.4833333333333325</x:v>
      </x:c>
      <x:c r="F1014" s="11" t="n">
        <x:v>13.483333333333334</x:v>
      </x:c>
      <x:c r="G1014" s="11" t="n">
        <x:f>F1014-E1014</x:f>
        <x:v>8.000000000000002</x:v>
      </x:c>
      <x:c r="H1014" s="10" t="n">
        <x:v>1</x:v>
      </x:c>
      <x:c r="I1014" s="10" t="str">
        <x:v>completed_as_adopted</x:v>
      </x:c>
      <x:c r="J1014" s="10" t="str">
        <x:v>VOICE:A/S6-18/scored/09385</x:v>
      </x:c>
      <x:c r="K1014" s="10" t="str">
        <x:v>VOICE:S6-18:input</x:v>
      </x:c>
      <x:c r="L1014" s="10" t="str">
        <x:v>VOICE:A/S6-18/scored/09385</x:v>
      </x:c>
    </x:row>
    <x:row r="1015" ht="52" customHeight="1">
      <x:c r="A1015" s="10" t="str">
        <x:v>V-R1</x:v>
      </x:c>
      <x:c r="B1015" s="10" t="str">
        <x:v>VOICE</x:v>
      </x:c>
      <x:c r="C1015" s="10" t="str">
        <x:v>VOICE:S6-18</x:v>
      </x:c>
      <x:c r="D1015" s="10" t="str">
        <x:v>VOICE:S6-18:goal</x:v>
      </x:c>
      <x:c r="E1015" s="11" t="n">
        <x:v>8.983333333333334</x:v>
      </x:c>
      <x:c r="F1015" s="11" t="n">
        <x:v>16.983333333333334</x:v>
      </x:c>
      <x:c r="G1015" s="11" t="n">
        <x:f>F1015-E1015</x:f>
        <x:v>8</x:v>
      </x:c>
      <x:c r="H1015" s="10" t="n">
        <x:v>1</x:v>
      </x:c>
      <x:c r="I1015" s="10" t="str">
        <x:v>completed_as_adopted</x:v>
      </x:c>
      <x:c r="J1015" s="10" t="str">
        <x:v>VOICE:B-R1/S6-18/scored/09400</x:v>
      </x:c>
      <x:c r="K1015" s="10" t="str">
        <x:v>VOICE:S6-18:input</x:v>
      </x:c>
      <x:c r="L1015" s="10" t="str">
        <x:v>VOICE:B-R1/S6-18/scored/09400</x:v>
      </x:c>
    </x:row>
    <x:row r="1016" ht="52" customHeight="1">
      <x:c r="A1016" s="10" t="str">
        <x:v>V-R2</x:v>
      </x:c>
      <x:c r="B1016" s="10" t="str">
        <x:v>VOICE</x:v>
      </x:c>
      <x:c r="C1016" s="10" t="str">
        <x:v>VOICE:S6-18</x:v>
      </x:c>
      <x:c r="D1016" s="10" t="str">
        <x:v>VOICE:S6-18:goal</x:v>
      </x:c>
      <x:c r="E1016" s="11" t="n">
        <x:v>8.983333333333334</x:v>
      </x:c>
      <x:c r="F1016" s="11" t="n">
        <x:v>16.983333333333334</x:v>
      </x:c>
      <x:c r="G1016" s="11" t="n">
        <x:f>F1016-E1016</x:f>
        <x:v>8</x:v>
      </x:c>
      <x:c r="H1016" s="10" t="n">
        <x:v>1</x:v>
      </x:c>
      <x:c r="I1016" s="10" t="str">
        <x:v>completed_as_adopted</x:v>
      </x:c>
      <x:c r="J1016" s="10" t="str">
        <x:v>VOICE:B-R2/S6-18/scored/09414</x:v>
      </x:c>
      <x:c r="K1016" s="10" t="str">
        <x:v>VOICE:S6-18:input</x:v>
      </x:c>
      <x:c r="L1016" s="10" t="str">
        <x:v>VOICE:B-R2/S6-18/scored/09414</x:v>
      </x:c>
    </x:row>
    <x:row r="1017" ht="52" customHeight="1">
      <x:c r="A1017" s="10" t="str">
        <x:v>V-R3</x:v>
      </x:c>
      <x:c r="B1017" s="10" t="str">
        <x:v>VOICE</x:v>
      </x:c>
      <x:c r="C1017" s="10" t="str">
        <x:v>VOICE:S6-18</x:v>
      </x:c>
      <x:c r="D1017" s="10" t="str">
        <x:v>VOICE:S6-18:goal</x:v>
      </x:c>
      <x:c r="E1017" s="11" t="n">
        <x:v>9.043333333333333</x:v>
      </x:c>
      <x:c r="F1017" s="11" t="n">
        <x:v>17.043333333333333</x:v>
      </x:c>
      <x:c r="G1017" s="11" t="n">
        <x:f>F1017-E1017</x:f>
        <x:v>8</x:v>
      </x:c>
      <x:c r="H1017" s="10" t="n">
        <x:v>1</x:v>
      </x:c>
      <x:c r="I1017" s="10" t="str">
        <x:v>completed_as_adopted</x:v>
      </x:c>
      <x:c r="J1017" s="10" t="str">
        <x:v>VOICE:B-R3/S6-18/scored/09429</x:v>
      </x:c>
      <x:c r="K1017" s="10" t="str">
        <x:v>VOICE:S6-18:input</x:v>
      </x:c>
      <x:c r="L1017" s="10" t="str">
        <x:v>VOICE:B-R3/S6-18/scored/09429</x:v>
      </x:c>
    </x:row>
    <x:row r="1018" ht="52" customHeight="1">
      <x:c r="A1018" s="10" t="str">
        <x:v>V-A</x:v>
      </x:c>
      <x:c r="B1018" s="10" t="str">
        <x:v>VOICE</x:v>
      </x:c>
      <x:c r="C1018" s="10" t="str">
        <x:v>VOICE:S6-19</x:v>
      </x:c>
      <x:c r="D1018" s="10" t="str">
        <x:v>VOICE:S6-19:goal</x:v>
      </x:c>
      <x:c r="E1018" s="11" t="n">
        <x:v>5.4833333333333325</x:v>
      </x:c>
      <x:c r="F1018" s="11" t="n">
        <x:v>13.483333333333334</x:v>
      </x:c>
      <x:c r="G1018" s="11" t="n">
        <x:f>F1018-E1018</x:f>
        <x:v>8.000000000000002</x:v>
      </x:c>
      <x:c r="H1018" s="10" t="n">
        <x:v>1</x:v>
      </x:c>
      <x:c r="I1018" s="10" t="str">
        <x:v>completed_as_adopted</x:v>
      </x:c>
      <x:c r="J1018" s="10" t="str">
        <x:v>VOICE:A/S6-19/scored/09440</x:v>
      </x:c>
      <x:c r="K1018" s="10" t="str">
        <x:v>VOICE:S6-19:input</x:v>
      </x:c>
      <x:c r="L1018" s="10" t="str">
        <x:v>VOICE:A/S6-19/scored/09440</x:v>
      </x:c>
    </x:row>
    <x:row r="1019" ht="52" customHeight="1">
      <x:c r="A1019" s="10" t="str">
        <x:v>V-R1</x:v>
      </x:c>
      <x:c r="B1019" s="10" t="str">
        <x:v>VOICE</x:v>
      </x:c>
      <x:c r="C1019" s="10" t="str">
        <x:v>VOICE:S6-19</x:v>
      </x:c>
      <x:c r="D1019" s="10" t="str">
        <x:v>VOICE:S6-19:goal</x:v>
      </x:c>
      <x:c r="E1019" s="11" t="n">
        <x:v>8.983333333333334</x:v>
      </x:c>
      <x:c r="F1019" s="11" t="n">
        <x:v>16.983333333333334</x:v>
      </x:c>
      <x:c r="G1019" s="11" t="n">
        <x:f>F1019-E1019</x:f>
        <x:v>8</x:v>
      </x:c>
      <x:c r="H1019" s="10" t="n">
        <x:v>1</x:v>
      </x:c>
      <x:c r="I1019" s="10" t="str">
        <x:v>completed_as_adopted</x:v>
      </x:c>
      <x:c r="J1019" s="10" t="str">
        <x:v>VOICE:B-R1/S6-19/scored/09455</x:v>
      </x:c>
      <x:c r="K1019" s="10" t="str">
        <x:v>VOICE:S6-19:input</x:v>
      </x:c>
      <x:c r="L1019" s="10" t="str">
        <x:v>VOICE:B-R1/S6-19/scored/09455</x:v>
      </x:c>
    </x:row>
    <x:row r="1020" ht="52" customHeight="1">
      <x:c r="A1020" s="10" t="str">
        <x:v>V-R2</x:v>
      </x:c>
      <x:c r="B1020" s="10" t="str">
        <x:v>VOICE</x:v>
      </x:c>
      <x:c r="C1020" s="10" t="str">
        <x:v>VOICE:S6-19</x:v>
      </x:c>
      <x:c r="D1020" s="10" t="str">
        <x:v>VOICE:S6-19:goal</x:v>
      </x:c>
      <x:c r="E1020" s="11" t="n">
        <x:v>8.983333333333334</x:v>
      </x:c>
      <x:c r="F1020" s="11" t="n">
        <x:v>16.983333333333334</x:v>
      </x:c>
      <x:c r="G1020" s="11" t="n">
        <x:f>F1020-E1020</x:f>
        <x:v>8</x:v>
      </x:c>
      <x:c r="H1020" s="10" t="n">
        <x:v>1</x:v>
      </x:c>
      <x:c r="I1020" s="10" t="str">
        <x:v>completed_as_adopted</x:v>
      </x:c>
      <x:c r="J1020" s="10" t="str">
        <x:v>VOICE:B-R2/S6-19/scored/09469</x:v>
      </x:c>
      <x:c r="K1020" s="10" t="str">
        <x:v>VOICE:S6-19:input</x:v>
      </x:c>
      <x:c r="L1020" s="10" t="str">
        <x:v>VOICE:B-R2/S6-19/scored/09469</x:v>
      </x:c>
    </x:row>
    <x:row r="1021" ht="52" customHeight="1">
      <x:c r="A1021" s="10" t="str">
        <x:v>V-R3</x:v>
      </x:c>
      <x:c r="B1021" s="10" t="str">
        <x:v>VOICE</x:v>
      </x:c>
      <x:c r="C1021" s="10" t="str">
        <x:v>VOICE:S6-19</x:v>
      </x:c>
      <x:c r="D1021" s="10" t="str">
        <x:v>VOICE:S6-19:goal</x:v>
      </x:c>
      <x:c r="E1021" s="11" t="n">
        <x:v>9.043333333333333</x:v>
      </x:c>
      <x:c r="F1021" s="11" t="n">
        <x:v>17.043333333333333</x:v>
      </x:c>
      <x:c r="G1021" s="11" t="n">
        <x:f>F1021-E1021</x:f>
        <x:v>8</x:v>
      </x:c>
      <x:c r="H1021" s="10" t="n">
        <x:v>1</x:v>
      </x:c>
      <x:c r="I1021" s="10" t="str">
        <x:v>completed_as_adopted</x:v>
      </x:c>
      <x:c r="J1021" s="10" t="str">
        <x:v>VOICE:B-R3/S6-19/scored/09484</x:v>
      </x:c>
      <x:c r="K1021" s="10" t="str">
        <x:v>VOICE:S6-19:input</x:v>
      </x:c>
      <x:c r="L1021" s="10" t="str">
        <x:v>VOICE:B-R3/S6-19/scored/09484</x:v>
      </x:c>
    </x:row>
    <x:row r="1022" ht="52" customHeight="1">
      <x:c r="A1022" s="10" t="str">
        <x:v>V-A</x:v>
      </x:c>
      <x:c r="B1022" s="10" t="str">
        <x:v>VOICE</x:v>
      </x:c>
      <x:c r="C1022" s="10" t="str">
        <x:v>VOICE:S6-20</x:v>
      </x:c>
      <x:c r="D1022" s="10" t="str">
        <x:v>VOICE:S6-20:goal</x:v>
      </x:c>
      <x:c r="E1022" s="11" t="n">
        <x:v>5.4833333333333325</x:v>
      </x:c>
      <x:c r="F1022" s="11" t="n">
        <x:v>13.483333333333334</x:v>
      </x:c>
      <x:c r="G1022" s="11" t="n">
        <x:f>F1022-E1022</x:f>
        <x:v>8.000000000000002</x:v>
      </x:c>
      <x:c r="H1022" s="10" t="n">
        <x:v>1</x:v>
      </x:c>
      <x:c r="I1022" s="10" t="str">
        <x:v>completed_as_adopted</x:v>
      </x:c>
      <x:c r="J1022" s="10" t="str">
        <x:v>VOICE:A/S6-20/scored/09495</x:v>
      </x:c>
      <x:c r="K1022" s="10" t="str">
        <x:v>VOICE:S6-20:input</x:v>
      </x:c>
      <x:c r="L1022" s="10" t="str">
        <x:v>VOICE:A/S6-20/scored/09495</x:v>
      </x:c>
    </x:row>
    <x:row r="1023" ht="52" customHeight="1">
      <x:c r="A1023" s="10" t="str">
        <x:v>V-R1</x:v>
      </x:c>
      <x:c r="B1023" s="10" t="str">
        <x:v>VOICE</x:v>
      </x:c>
      <x:c r="C1023" s="10" t="str">
        <x:v>VOICE:S6-20</x:v>
      </x:c>
      <x:c r="D1023" s="10" t="str">
        <x:v>VOICE:S6-20:goal</x:v>
      </x:c>
      <x:c r="E1023" s="11" t="n">
        <x:v>8.983333333333334</x:v>
      </x:c>
      <x:c r="F1023" s="11" t="n">
        <x:v>16.983333333333334</x:v>
      </x:c>
      <x:c r="G1023" s="11" t="n">
        <x:f>F1023-E1023</x:f>
        <x:v>8</x:v>
      </x:c>
      <x:c r="H1023" s="10" t="n">
        <x:v>1</x:v>
      </x:c>
      <x:c r="I1023" s="10" t="str">
        <x:v>completed_as_adopted</x:v>
      </x:c>
      <x:c r="J1023" s="10" t="str">
        <x:v>VOICE:B-R1/S6-20/scored/09510</x:v>
      </x:c>
      <x:c r="K1023" s="10" t="str">
        <x:v>VOICE:S6-20:input</x:v>
      </x:c>
      <x:c r="L1023" s="10" t="str">
        <x:v>VOICE:B-R1/S6-20/scored/09510</x:v>
      </x:c>
    </x:row>
    <x:row r="1024" ht="52" customHeight="1">
      <x:c r="A1024" s="10" t="str">
        <x:v>V-R2</x:v>
      </x:c>
      <x:c r="B1024" s="10" t="str">
        <x:v>VOICE</x:v>
      </x:c>
      <x:c r="C1024" s="10" t="str">
        <x:v>VOICE:S6-20</x:v>
      </x:c>
      <x:c r="D1024" s="10" t="str">
        <x:v>VOICE:S6-20:goal</x:v>
      </x:c>
      <x:c r="E1024" s="11" t="n">
        <x:v>8.983333333333334</x:v>
      </x:c>
      <x:c r="F1024" s="11" t="n">
        <x:v>16.983333333333334</x:v>
      </x:c>
      <x:c r="G1024" s="11" t="n">
        <x:f>F1024-E1024</x:f>
        <x:v>8</x:v>
      </x:c>
      <x:c r="H1024" s="10" t="n">
        <x:v>1</x:v>
      </x:c>
      <x:c r="I1024" s="10" t="str">
        <x:v>completed_as_adopted</x:v>
      </x:c>
      <x:c r="J1024" s="10" t="str">
        <x:v>VOICE:B-R2/S6-20/scored/09524</x:v>
      </x:c>
      <x:c r="K1024" s="10" t="str">
        <x:v>VOICE:S6-20:input</x:v>
      </x:c>
      <x:c r="L1024" s="10" t="str">
        <x:v>VOICE:B-R2/S6-20/scored/09524</x:v>
      </x:c>
    </x:row>
    <x:row r="1025" ht="52" customHeight="1">
      <x:c r="A1025" s="10" t="str">
        <x:v>V-R3</x:v>
      </x:c>
      <x:c r="B1025" s="10" t="str">
        <x:v>VOICE</x:v>
      </x:c>
      <x:c r="C1025" s="10" t="str">
        <x:v>VOICE:S6-20</x:v>
      </x:c>
      <x:c r="D1025" s="10" t="str">
        <x:v>VOICE:S6-20:goal</x:v>
      </x:c>
      <x:c r="E1025" s="11" t="n">
        <x:v>9.043333333333333</x:v>
      </x:c>
      <x:c r="F1025" s="11" t="n">
        <x:v>17.043333333333333</x:v>
      </x:c>
      <x:c r="G1025" s="11" t="n">
        <x:f>F1025-E1025</x:f>
        <x:v>8</x:v>
      </x:c>
      <x:c r="H1025" s="10" t="n">
        <x:v>1</x:v>
      </x:c>
      <x:c r="I1025" s="10" t="str">
        <x:v>completed_as_adopted</x:v>
      </x:c>
      <x:c r="J1025" s="10" t="str">
        <x:v>VOICE:B-R3/S6-20/scored/09539</x:v>
      </x:c>
      <x:c r="K1025" s="10" t="str">
        <x:v>VOICE:S6-20:input</x:v>
      </x:c>
      <x:c r="L1025" s="10" t="str">
        <x:v>VOICE:B-R3/S6-20/scored/09539</x:v>
      </x:c>
    </x:row>
    <x:row r="1026" ht="52" customHeight="1">
      <x:c r="A1026" s="10" t="str">
        <x:v>D-A</x:v>
      </x:c>
      <x:c r="B1026" s="10" t="str">
        <x:v>DELIVERY</x:v>
      </x:c>
      <x:c r="C1026" s="10" t="str">
        <x:v>DELIVERY:S01-01</x:v>
      </x:c>
      <x:c r="D1026" s="10" t="str">
        <x:v>DELIVERY:S01-01:delivery_request</x:v>
      </x:c>
      <x:c r="E1026" s="11" t="n">
        <x:v>1.9595</x:v>
      </x:c>
      <x:c r="F1026" s="11" t="n">
        <x:v>4.258999999</x:v>
      </x:c>
      <x:c r="G1026" s="11" t="n">
        <x:f>F1026-E1026</x:f>
        <x:v>2.299499999</x:v>
      </x:c>
      <x:c r="H1026" s="10" t="n">
        <x:v>1</x:v>
      </x:c>
      <x:c r="I1026" s="10" t="str">
        <x:v>AUTHORED_TERMINAL</x:v>
      </x:c>
      <x:c r="J1026" s="10" t="str">
        <x:v>DELIVERY:S01-01:A:status_tail</x:v>
      </x:c>
      <x:c r="K1026" s="10" t="str">
        <x:v>DELIVERY:S01-01:input</x:v>
      </x:c>
      <x:c r="L1026" s="10" t="str">
        <x:v>DELIVERY:S01-01:A:status_tail, DELIVERY:S01-01:A:display_status, DELIVERY:S01-01:A:status_played</x:v>
      </x:c>
    </x:row>
    <x:row r="1027" ht="52" customHeight="1">
      <x:c r="A1027" s="10" t="str">
        <x:v>D-B</x:v>
      </x:c>
      <x:c r="B1027" s="10" t="str">
        <x:v>DELIVERY</x:v>
      </x:c>
      <x:c r="C1027" s="10" t="str">
        <x:v>DELIVERY:S01-01</x:v>
      </x:c>
      <x:c r="D1027" s="10" t="str">
        <x:v>DELIVERY:S01-01:delivery_request</x:v>
      </x:c>
      <x:c r="E1027" s="11" t="n">
        <x:v>1.9595</x:v>
      </x:c>
      <x:c r="F1027" s="11" t="n">
        <x:v>4.258999999</x:v>
      </x:c>
      <x:c r="G1027" s="11" t="n">
        <x:f>F1027-E1027</x:f>
        <x:v>2.299499999</x:v>
      </x:c>
      <x:c r="H1027" s="10" t="n">
        <x:v>1</x:v>
      </x:c>
      <x:c r="I1027" s="10" t="str">
        <x:v>AUTHORED_TERMINAL</x:v>
      </x:c>
      <x:c r="J1027" s="10" t="str">
        <x:v>DELIVERY:S01-01:B:status_tail</x:v>
      </x:c>
      <x:c r="K1027" s="10" t="str">
        <x:v>DELIVERY:S01-01:input</x:v>
      </x:c>
      <x:c r="L1027" s="10" t="str">
        <x:v>DELIVERY:S01-01:B:status_tail, DELIVERY:S01-01:B:display_status, DELIVERY:S01-01:B:status_played</x:v>
      </x:c>
    </x:row>
    <x:row r="1028" ht="52" customHeight="1">
      <x:c r="A1028" s="10" t="str">
        <x:v>D-A</x:v>
      </x:c>
      <x:c r="B1028" s="10" t="str">
        <x:v>DELIVERY</x:v>
      </x:c>
      <x:c r="C1028" s="10" t="str">
        <x:v>DELIVERY:S01-02</x:v>
      </x:c>
      <x:c r="D1028" s="10" t="str">
        <x:v>DELIVERY:S01-02:delivery_request</x:v>
      </x:c>
      <x:c r="E1028" s="11" t="n">
        <x:v>1.990833334</x:v>
      </x:c>
      <x:c r="F1028" s="11" t="n">
        <x:v>4.299333333</x:v>
      </x:c>
      <x:c r="G1028" s="11" t="n">
        <x:f>F1028-E1028</x:f>
        <x:v>2.308499999</x:v>
      </x:c>
      <x:c r="H1028" s="10" t="n">
        <x:v>1</x:v>
      </x:c>
      <x:c r="I1028" s="10" t="str">
        <x:v>AUTHORED_TERMINAL</x:v>
      </x:c>
      <x:c r="J1028" s="10" t="str">
        <x:v>DELIVERY:S01-02:A:status_tail</x:v>
      </x:c>
      <x:c r="K1028" s="10" t="str">
        <x:v>DELIVERY:S01-02:input</x:v>
      </x:c>
      <x:c r="L1028" s="10" t="str">
        <x:v>DELIVERY:S01-02:A:status_tail, DELIVERY:S01-02:A:display_status, DELIVERY:S01-02:A:status_played</x:v>
      </x:c>
    </x:row>
    <x:row r="1029" ht="52" customHeight="1">
      <x:c r="A1029" s="10" t="str">
        <x:v>D-B</x:v>
      </x:c>
      <x:c r="B1029" s="10" t="str">
        <x:v>DELIVERY</x:v>
      </x:c>
      <x:c r="C1029" s="10" t="str">
        <x:v>DELIVERY:S01-02</x:v>
      </x:c>
      <x:c r="D1029" s="10" t="str">
        <x:v>DELIVERY:S01-02:delivery_request</x:v>
      </x:c>
      <x:c r="E1029" s="11" t="n">
        <x:v>1.990833334</x:v>
      </x:c>
      <x:c r="F1029" s="11" t="n">
        <x:v>4.299333333</x:v>
      </x:c>
      <x:c r="G1029" s="11" t="n">
        <x:f>F1029-E1029</x:f>
        <x:v>2.308499999</x:v>
      </x:c>
      <x:c r="H1029" s="10" t="n">
        <x:v>1</x:v>
      </x:c>
      <x:c r="I1029" s="10" t="str">
        <x:v>AUTHORED_TERMINAL</x:v>
      </x:c>
      <x:c r="J1029" s="10" t="str">
        <x:v>DELIVERY:S01-02:B:status_tail</x:v>
      </x:c>
      <x:c r="K1029" s="10" t="str">
        <x:v>DELIVERY:S01-02:input</x:v>
      </x:c>
      <x:c r="L1029" s="10" t="str">
        <x:v>DELIVERY:S01-02:B:status_tail, DELIVERY:S01-02:B:display_status, DELIVERY:S01-02:B:status_played</x:v>
      </x:c>
    </x:row>
    <x:row r="1030" ht="52" customHeight="1">
      <x:c r="A1030" s="10" t="str">
        <x:v>D-A</x:v>
      </x:c>
      <x:c r="B1030" s="10" t="str">
        <x:v>DELIVERY</x:v>
      </x:c>
      <x:c r="C1030" s="10" t="str">
        <x:v>DELIVERY:S01-03</x:v>
      </x:c>
      <x:c r="D1030" s="10" t="str">
        <x:v>DELIVERY:S01-03:delivery_request</x:v>
      </x:c>
      <x:c r="E1030" s="11" t="n">
        <x:v>1.947166667</x:v>
      </x:c>
      <x:c r="F1030" s="11" t="n">
        <x:v>4.264666666</x:v>
      </x:c>
      <x:c r="G1030" s="11" t="n">
        <x:f>F1030-E1030</x:f>
        <x:v>2.317499999</x:v>
      </x:c>
      <x:c r="H1030" s="10" t="n">
        <x:v>1</x:v>
      </x:c>
      <x:c r="I1030" s="10" t="str">
        <x:v>AUTHORED_TERMINAL</x:v>
      </x:c>
      <x:c r="J1030" s="10" t="str">
        <x:v>DELIVERY:S01-03:A:status_tail</x:v>
      </x:c>
      <x:c r="K1030" s="10" t="str">
        <x:v>DELIVERY:S01-03:input</x:v>
      </x:c>
      <x:c r="L1030" s="10" t="str">
        <x:v>DELIVERY:S01-03:A:status_tail, DELIVERY:S01-03:A:display_status, DELIVERY:S01-03:A:status_played</x:v>
      </x:c>
    </x:row>
    <x:row r="1031" ht="52" customHeight="1">
      <x:c r="A1031" s="10" t="str">
        <x:v>D-B</x:v>
      </x:c>
      <x:c r="B1031" s="10" t="str">
        <x:v>DELIVERY</x:v>
      </x:c>
      <x:c r="C1031" s="10" t="str">
        <x:v>DELIVERY:S01-03</x:v>
      </x:c>
      <x:c r="D1031" s="10" t="str">
        <x:v>DELIVERY:S01-03:delivery_request</x:v>
      </x:c>
      <x:c r="E1031" s="11" t="n">
        <x:v>1.947166667</x:v>
      </x:c>
      <x:c r="F1031" s="11" t="n">
        <x:v>4.264666666</x:v>
      </x:c>
      <x:c r="G1031" s="11" t="n">
        <x:f>F1031-E1031</x:f>
        <x:v>2.317499999</x:v>
      </x:c>
      <x:c r="H1031" s="10" t="n">
        <x:v>1</x:v>
      </x:c>
      <x:c r="I1031" s="10" t="str">
        <x:v>AUTHORED_TERMINAL</x:v>
      </x:c>
      <x:c r="J1031" s="10" t="str">
        <x:v>DELIVERY:S01-03:B:status_tail</x:v>
      </x:c>
      <x:c r="K1031" s="10" t="str">
        <x:v>DELIVERY:S01-03:input</x:v>
      </x:c>
      <x:c r="L1031" s="10" t="str">
        <x:v>DELIVERY:S01-03:B:status_tail, DELIVERY:S01-03:B:display_status, DELIVERY:S01-03:B:status_played</x:v>
      </x:c>
    </x:row>
    <x:row r="1032" ht="52" customHeight="1">
      <x:c r="A1032" s="10" t="str">
        <x:v>D-A</x:v>
      </x:c>
      <x:c r="B1032" s="10" t="str">
        <x:v>DELIVERY</x:v>
      </x:c>
      <x:c r="C1032" s="10" t="str">
        <x:v>DELIVERY:S01-04</x:v>
      </x:c>
      <x:c r="D1032" s="10" t="str">
        <x:v>DELIVERY:S01-04:delivery_request</x:v>
      </x:c>
      <x:c r="E1032" s="11" t="n">
        <x:v>1.9785</x:v>
      </x:c>
      <x:c r="F1032" s="11" t="n">
        <x:v>4.304999999</x:v>
      </x:c>
      <x:c r="G1032" s="11" t="n">
        <x:f>F1032-E1032</x:f>
        <x:v>2.3264999989999997</x:v>
      </x:c>
      <x:c r="H1032" s="10" t="n">
        <x:v>1</x:v>
      </x:c>
      <x:c r="I1032" s="10" t="str">
        <x:v>AUTHORED_TERMINAL</x:v>
      </x:c>
      <x:c r="J1032" s="10" t="str">
        <x:v>DELIVERY:S01-04:A:status_tail</x:v>
      </x:c>
      <x:c r="K1032" s="10" t="str">
        <x:v>DELIVERY:S01-04:input</x:v>
      </x:c>
      <x:c r="L1032" s="10" t="str">
        <x:v>DELIVERY:S01-04:A:status_tail, DELIVERY:S01-04:A:display_status, DELIVERY:S01-04:A:status_played</x:v>
      </x:c>
    </x:row>
    <x:row r="1033" ht="52" customHeight="1">
      <x:c r="A1033" s="10" t="str">
        <x:v>D-B</x:v>
      </x:c>
      <x:c r="B1033" s="10" t="str">
        <x:v>DELIVERY</x:v>
      </x:c>
      <x:c r="C1033" s="10" t="str">
        <x:v>DELIVERY:S01-04</x:v>
      </x:c>
      <x:c r="D1033" s="10" t="str">
        <x:v>DELIVERY:S01-04:delivery_request</x:v>
      </x:c>
      <x:c r="E1033" s="11" t="n">
        <x:v>1.9785</x:v>
      </x:c>
      <x:c r="F1033" s="11" t="n">
        <x:v>4.304999999</x:v>
      </x:c>
      <x:c r="G1033" s="11" t="n">
        <x:f>F1033-E1033</x:f>
        <x:v>2.3264999989999997</x:v>
      </x:c>
      <x:c r="H1033" s="10" t="n">
        <x:v>1</x:v>
      </x:c>
      <x:c r="I1033" s="10" t="str">
        <x:v>AUTHORED_TERMINAL</x:v>
      </x:c>
      <x:c r="J1033" s="10" t="str">
        <x:v>DELIVERY:S01-04:B:status_tail</x:v>
      </x:c>
      <x:c r="K1033" s="10" t="str">
        <x:v>DELIVERY:S01-04:input</x:v>
      </x:c>
      <x:c r="L1033" s="10" t="str">
        <x:v>DELIVERY:S01-04:B:status_tail, DELIVERY:S01-04:B:display_status, DELIVERY:S01-04:B:status_played</x:v>
      </x:c>
    </x:row>
    <x:row r="1034" ht="52" customHeight="1">
      <x:c r="A1034" s="10" t="str">
        <x:v>D-A</x:v>
      </x:c>
      <x:c r="B1034" s="10" t="str">
        <x:v>DELIVERY</x:v>
      </x:c>
      <x:c r="C1034" s="10" t="str">
        <x:v>DELIVERY:S01-05</x:v>
      </x:c>
      <x:c r="D1034" s="10" t="str">
        <x:v>DELIVERY:S01-05:delivery_request</x:v>
      </x:c>
      <x:c r="E1034" s="11" t="n">
        <x:v>2.009833334</x:v>
      </x:c>
      <x:c r="F1034" s="11" t="n">
        <x:v>4.345333333</x:v>
      </x:c>
      <x:c r="G1034" s="11" t="n">
        <x:f>F1034-E1034</x:f>
        <x:v>2.335499999</x:v>
      </x:c>
      <x:c r="H1034" s="10" t="n">
        <x:v>1</x:v>
      </x:c>
      <x:c r="I1034" s="10" t="str">
        <x:v>AUTHORED_TERMINAL</x:v>
      </x:c>
      <x:c r="J1034" s="10" t="str">
        <x:v>DELIVERY:S01-05:A:status_tail</x:v>
      </x:c>
      <x:c r="K1034" s="10" t="str">
        <x:v>DELIVERY:S01-05:input</x:v>
      </x:c>
      <x:c r="L1034" s="10" t="str">
        <x:v>DELIVERY:S01-05:A:status_tail, DELIVERY:S01-05:A:display_status, DELIVERY:S01-05:A:status_played</x:v>
      </x:c>
    </x:row>
    <x:row r="1035" ht="52" customHeight="1">
      <x:c r="A1035" s="10" t="str">
        <x:v>D-B</x:v>
      </x:c>
      <x:c r="B1035" s="10" t="str">
        <x:v>DELIVERY</x:v>
      </x:c>
      <x:c r="C1035" s="10" t="str">
        <x:v>DELIVERY:S01-05</x:v>
      </x:c>
      <x:c r="D1035" s="10" t="str">
        <x:v>DELIVERY:S01-05:delivery_request</x:v>
      </x:c>
      <x:c r="E1035" s="11" t="n">
        <x:v>2.009833334</x:v>
      </x:c>
      <x:c r="F1035" s="11" t="n">
        <x:v>4.345333333</x:v>
      </x:c>
      <x:c r="G1035" s="11" t="n">
        <x:f>F1035-E1035</x:f>
        <x:v>2.335499999</x:v>
      </x:c>
      <x:c r="H1035" s="10" t="n">
        <x:v>1</x:v>
      </x:c>
      <x:c r="I1035" s="10" t="str">
        <x:v>AUTHORED_TERMINAL</x:v>
      </x:c>
      <x:c r="J1035" s="10" t="str">
        <x:v>DELIVERY:S01-05:B:status_tail</x:v>
      </x:c>
      <x:c r="K1035" s="10" t="str">
        <x:v>DELIVERY:S01-05:input</x:v>
      </x:c>
      <x:c r="L1035" s="10" t="str">
        <x:v>DELIVERY:S01-05:B:status_tail, DELIVERY:S01-05:B:display_status, DELIVERY:S01-05:B:status_played</x:v>
      </x:c>
    </x:row>
    <x:row r="1036" ht="52" customHeight="1">
      <x:c r="A1036" s="10" t="str">
        <x:v>D-A</x:v>
      </x:c>
      <x:c r="B1036" s="10" t="str">
        <x:v>DELIVERY</x:v>
      </x:c>
      <x:c r="C1036" s="10" t="str">
        <x:v>DELIVERY:S01-06</x:v>
      </x:c>
      <x:c r="D1036" s="10" t="str">
        <x:v>DELIVERY:S01-06:delivery_request</x:v>
      </x:c>
      <x:c r="E1036" s="11" t="n">
        <x:v>1.9661666670000002</x:v>
      </x:c>
      <x:c r="F1036" s="11" t="n">
        <x:v>4.310666666</x:v>
      </x:c>
      <x:c r="G1036" s="11" t="n">
        <x:f>F1036-E1036</x:f>
        <x:v>2.344499999</x:v>
      </x:c>
      <x:c r="H1036" s="10" t="n">
        <x:v>1</x:v>
      </x:c>
      <x:c r="I1036" s="10" t="str">
        <x:v>AUTHORED_TERMINAL</x:v>
      </x:c>
      <x:c r="J1036" s="10" t="str">
        <x:v>DELIVERY:S01-06:A:status_tail</x:v>
      </x:c>
      <x:c r="K1036" s="10" t="str">
        <x:v>DELIVERY:S01-06:input</x:v>
      </x:c>
      <x:c r="L1036" s="10" t="str">
        <x:v>DELIVERY:S01-06:A:status_tail, DELIVERY:S01-06:A:display_status, DELIVERY:S01-06:A:status_played</x:v>
      </x:c>
    </x:row>
    <x:row r="1037" ht="52" customHeight="1">
      <x:c r="A1037" s="10" t="str">
        <x:v>D-B</x:v>
      </x:c>
      <x:c r="B1037" s="10" t="str">
        <x:v>DELIVERY</x:v>
      </x:c>
      <x:c r="C1037" s="10" t="str">
        <x:v>DELIVERY:S01-06</x:v>
      </x:c>
      <x:c r="D1037" s="10" t="str">
        <x:v>DELIVERY:S01-06:delivery_request</x:v>
      </x:c>
      <x:c r="E1037" s="11" t="n">
        <x:v>1.9661666670000002</x:v>
      </x:c>
      <x:c r="F1037" s="11" t="n">
        <x:v>4.310666666</x:v>
      </x:c>
      <x:c r="G1037" s="11" t="n">
        <x:f>F1037-E1037</x:f>
        <x:v>2.344499999</x:v>
      </x:c>
      <x:c r="H1037" s="10" t="n">
        <x:v>1</x:v>
      </x:c>
      <x:c r="I1037" s="10" t="str">
        <x:v>AUTHORED_TERMINAL</x:v>
      </x:c>
      <x:c r="J1037" s="10" t="str">
        <x:v>DELIVERY:S01-06:B:status_tail</x:v>
      </x:c>
      <x:c r="K1037" s="10" t="str">
        <x:v>DELIVERY:S01-06:input</x:v>
      </x:c>
      <x:c r="L1037" s="10" t="str">
        <x:v>DELIVERY:S01-06:B:status_tail, DELIVERY:S01-06:B:display_status, DELIVERY:S01-06:B:status_played</x:v>
      </x:c>
    </x:row>
    <x:row r="1038" ht="52" customHeight="1">
      <x:c r="A1038" s="10" t="str">
        <x:v>D-A</x:v>
      </x:c>
      <x:c r="B1038" s="10" t="str">
        <x:v>DELIVERY</x:v>
      </x:c>
      <x:c r="C1038" s="10" t="str">
        <x:v>DELIVERY:S01-07</x:v>
      </x:c>
      <x:c r="D1038" s="10" t="str">
        <x:v>DELIVERY:S01-07:delivery_request</x:v>
      </x:c>
      <x:c r="E1038" s="11" t="n">
        <x:v>1.9975</x:v>
      </x:c>
      <x:c r="F1038" s="11" t="n">
        <x:v>4.350999999</x:v>
      </x:c>
      <x:c r="G1038" s="11" t="n">
        <x:f>F1038-E1038</x:f>
        <x:v>2.353499999</x:v>
      </x:c>
      <x:c r="H1038" s="10" t="n">
        <x:v>1</x:v>
      </x:c>
      <x:c r="I1038" s="10" t="str">
        <x:v>AUTHORED_TERMINAL</x:v>
      </x:c>
      <x:c r="J1038" s="10" t="str">
        <x:v>DELIVERY:S01-07:A:status_tail</x:v>
      </x:c>
      <x:c r="K1038" s="10" t="str">
        <x:v>DELIVERY:S01-07:input</x:v>
      </x:c>
      <x:c r="L1038" s="10" t="str">
        <x:v>DELIVERY:S01-07:A:status_tail, DELIVERY:S01-07:A:display_status, DELIVERY:S01-07:A:status_played</x:v>
      </x:c>
    </x:row>
    <x:row r="1039" ht="52" customHeight="1">
      <x:c r="A1039" s="10" t="str">
        <x:v>D-B</x:v>
      </x:c>
      <x:c r="B1039" s="10" t="str">
        <x:v>DELIVERY</x:v>
      </x:c>
      <x:c r="C1039" s="10" t="str">
        <x:v>DELIVERY:S01-07</x:v>
      </x:c>
      <x:c r="D1039" s="10" t="str">
        <x:v>DELIVERY:S01-07:delivery_request</x:v>
      </x:c>
      <x:c r="E1039" s="11" t="n">
        <x:v>1.9975</x:v>
      </x:c>
      <x:c r="F1039" s="11" t="n">
        <x:v>4.350999999</x:v>
      </x:c>
      <x:c r="G1039" s="11" t="n">
        <x:f>F1039-E1039</x:f>
        <x:v>2.353499999</x:v>
      </x:c>
      <x:c r="H1039" s="10" t="n">
        <x:v>1</x:v>
      </x:c>
      <x:c r="I1039" s="10" t="str">
        <x:v>AUTHORED_TERMINAL</x:v>
      </x:c>
      <x:c r="J1039" s="10" t="str">
        <x:v>DELIVERY:S01-07:B:status_tail</x:v>
      </x:c>
      <x:c r="K1039" s="10" t="str">
        <x:v>DELIVERY:S01-07:input</x:v>
      </x:c>
      <x:c r="L1039" s="10" t="str">
        <x:v>DELIVERY:S01-07:B:status_tail, DELIVERY:S01-07:B:display_status, DELIVERY:S01-07:B:status_played</x:v>
      </x:c>
    </x:row>
    <x:row r="1040" ht="52" customHeight="1">
      <x:c r="A1040" s="10" t="str">
        <x:v>D-A</x:v>
      </x:c>
      <x:c r="B1040" s="10" t="str">
        <x:v>DELIVERY</x:v>
      </x:c>
      <x:c r="C1040" s="10" t="str">
        <x:v>DELIVERY:S01-08</x:v>
      </x:c>
      <x:c r="D1040" s="10" t="str">
        <x:v>DELIVERY:S01-08:delivery_request</x:v>
      </x:c>
      <x:c r="E1040" s="11" t="n">
        <x:v>2.0288333340000007</x:v>
      </x:c>
      <x:c r="F1040" s="11" t="n">
        <x:v>4.391333333</x:v>
      </x:c>
      <x:c r="G1040" s="11" t="n">
        <x:f>F1040-E1040</x:f>
        <x:v>2.3624999989999997</x:v>
      </x:c>
      <x:c r="H1040" s="10" t="n">
        <x:v>1</x:v>
      </x:c>
      <x:c r="I1040" s="10" t="str">
        <x:v>AUTHORED_TERMINAL</x:v>
      </x:c>
      <x:c r="J1040" s="10" t="str">
        <x:v>DELIVERY:S01-08:A:status_tail</x:v>
      </x:c>
      <x:c r="K1040" s="10" t="str">
        <x:v>DELIVERY:S01-08:input</x:v>
      </x:c>
      <x:c r="L1040" s="10" t="str">
        <x:v>DELIVERY:S01-08:A:status_tail, DELIVERY:S01-08:A:display_status, DELIVERY:S01-08:A:status_played</x:v>
      </x:c>
    </x:row>
    <x:row r="1041" ht="52" customHeight="1">
      <x:c r="A1041" s="10" t="str">
        <x:v>D-B</x:v>
      </x:c>
      <x:c r="B1041" s="10" t="str">
        <x:v>DELIVERY</x:v>
      </x:c>
      <x:c r="C1041" s="10" t="str">
        <x:v>DELIVERY:S01-08</x:v>
      </x:c>
      <x:c r="D1041" s="10" t="str">
        <x:v>DELIVERY:S01-08:delivery_request</x:v>
      </x:c>
      <x:c r="E1041" s="11" t="n">
        <x:v>2.0288333340000007</x:v>
      </x:c>
      <x:c r="F1041" s="11" t="n">
        <x:v>4.391333333</x:v>
      </x:c>
      <x:c r="G1041" s="11" t="n">
        <x:f>F1041-E1041</x:f>
        <x:v>2.3624999989999997</x:v>
      </x:c>
      <x:c r="H1041" s="10" t="n">
        <x:v>1</x:v>
      </x:c>
      <x:c r="I1041" s="10" t="str">
        <x:v>AUTHORED_TERMINAL</x:v>
      </x:c>
      <x:c r="J1041" s="10" t="str">
        <x:v>DELIVERY:S01-08:B:status_tail</x:v>
      </x:c>
      <x:c r="K1041" s="10" t="str">
        <x:v>DELIVERY:S01-08:input</x:v>
      </x:c>
      <x:c r="L1041" s="10" t="str">
        <x:v>DELIVERY:S01-08:B:status_tail, DELIVERY:S01-08:B:display_status, DELIVERY:S01-08:B:status_played</x:v>
      </x:c>
    </x:row>
    <x:row r="1042" ht="52" customHeight="1">
      <x:c r="A1042" s="10" t="str">
        <x:v>D-A</x:v>
      </x:c>
      <x:c r="B1042" s="10" t="str">
        <x:v>DELIVERY</x:v>
      </x:c>
      <x:c r="C1042" s="10" t="str">
        <x:v>DELIVERY:S01-09</x:v>
      </x:c>
      <x:c r="D1042" s="10" t="str">
        <x:v>DELIVERY:S01-09:delivery_request</x:v>
      </x:c>
      <x:c r="E1042" s="11" t="n">
        <x:v>1.985166667</x:v>
      </x:c>
      <x:c r="F1042" s="11" t="n">
        <x:v>4.356666666</x:v>
      </x:c>
      <x:c r="G1042" s="11" t="n">
        <x:f>F1042-E1042</x:f>
        <x:v>2.3714999989999996</x:v>
      </x:c>
      <x:c r="H1042" s="10" t="n">
        <x:v>1</x:v>
      </x:c>
      <x:c r="I1042" s="10" t="str">
        <x:v>AUTHORED_TERMINAL</x:v>
      </x:c>
      <x:c r="J1042" s="10" t="str">
        <x:v>DELIVERY:S01-09:A:status_tail</x:v>
      </x:c>
      <x:c r="K1042" s="10" t="str">
        <x:v>DELIVERY:S01-09:input</x:v>
      </x:c>
      <x:c r="L1042" s="10" t="str">
        <x:v>DELIVERY:S01-09:A:status_tail, DELIVERY:S01-09:A:display_status, DELIVERY:S01-09:A:status_played</x:v>
      </x:c>
    </x:row>
    <x:row r="1043" ht="52" customHeight="1">
      <x:c r="A1043" s="10" t="str">
        <x:v>D-B</x:v>
      </x:c>
      <x:c r="B1043" s="10" t="str">
        <x:v>DELIVERY</x:v>
      </x:c>
      <x:c r="C1043" s="10" t="str">
        <x:v>DELIVERY:S01-09</x:v>
      </x:c>
      <x:c r="D1043" s="10" t="str">
        <x:v>DELIVERY:S01-09:delivery_request</x:v>
      </x:c>
      <x:c r="E1043" s="11" t="n">
        <x:v>1.985166667</x:v>
      </x:c>
      <x:c r="F1043" s="11" t="n">
        <x:v>4.356666666</x:v>
      </x:c>
      <x:c r="G1043" s="11" t="n">
        <x:f>F1043-E1043</x:f>
        <x:v>2.3714999989999996</x:v>
      </x:c>
      <x:c r="H1043" s="10" t="n">
        <x:v>1</x:v>
      </x:c>
      <x:c r="I1043" s="10" t="str">
        <x:v>AUTHORED_TERMINAL</x:v>
      </x:c>
      <x:c r="J1043" s="10" t="str">
        <x:v>DELIVERY:S01-09:B:status_tail</x:v>
      </x:c>
      <x:c r="K1043" s="10" t="str">
        <x:v>DELIVERY:S01-09:input</x:v>
      </x:c>
      <x:c r="L1043" s="10" t="str">
        <x:v>DELIVERY:S01-09:B:status_tail, DELIVERY:S01-09:B:display_status, DELIVERY:S01-09:B:status_played</x:v>
      </x:c>
    </x:row>
    <x:row r="1044" ht="52" customHeight="1">
      <x:c r="A1044" s="10" t="str">
        <x:v>D-A</x:v>
      </x:c>
      <x:c r="B1044" s="10" t="str">
        <x:v>DELIVERY</x:v>
      </x:c>
      <x:c r="C1044" s="10" t="str">
        <x:v>DELIVERY:S01-10</x:v>
      </x:c>
      <x:c r="D1044" s="10" t="str">
        <x:v>DELIVERY:S01-10:delivery_request</x:v>
      </x:c>
      <x:c r="E1044" s="11" t="n">
        <x:v>2.0165</x:v>
      </x:c>
      <x:c r="F1044" s="11" t="n">
        <x:v>4.396999999</x:v>
      </x:c>
      <x:c r="G1044" s="11" t="n">
        <x:f>F1044-E1044</x:f>
        <x:v>2.380499999</x:v>
      </x:c>
      <x:c r="H1044" s="10" t="n">
        <x:v>1</x:v>
      </x:c>
      <x:c r="I1044" s="10" t="str">
        <x:v>AUTHORED_TERMINAL</x:v>
      </x:c>
      <x:c r="J1044" s="10" t="str">
        <x:v>DELIVERY:S01-10:A:status_tail</x:v>
      </x:c>
      <x:c r="K1044" s="10" t="str">
        <x:v>DELIVERY:S01-10:input</x:v>
      </x:c>
      <x:c r="L1044" s="10" t="str">
        <x:v>DELIVERY:S01-10:A:status_tail, DELIVERY:S01-10:A:display_status, DELIVERY:S01-10:A:status_played</x:v>
      </x:c>
    </x:row>
    <x:row r="1045" ht="52" customHeight="1">
      <x:c r="A1045" s="10" t="str">
        <x:v>D-B</x:v>
      </x:c>
      <x:c r="B1045" s="10" t="str">
        <x:v>DELIVERY</x:v>
      </x:c>
      <x:c r="C1045" s="10" t="str">
        <x:v>DELIVERY:S01-10</x:v>
      </x:c>
      <x:c r="D1045" s="10" t="str">
        <x:v>DELIVERY:S01-10:delivery_request</x:v>
      </x:c>
      <x:c r="E1045" s="11" t="n">
        <x:v>2.0165</x:v>
      </x:c>
      <x:c r="F1045" s="11" t="n">
        <x:v>4.396999999</x:v>
      </x:c>
      <x:c r="G1045" s="11" t="n">
        <x:f>F1045-E1045</x:f>
        <x:v>2.380499999</x:v>
      </x:c>
      <x:c r="H1045" s="10" t="n">
        <x:v>1</x:v>
      </x:c>
      <x:c r="I1045" s="10" t="str">
        <x:v>AUTHORED_TERMINAL</x:v>
      </x:c>
      <x:c r="J1045" s="10" t="str">
        <x:v>DELIVERY:S01-10:B:status_tail</x:v>
      </x:c>
      <x:c r="K1045" s="10" t="str">
        <x:v>DELIVERY:S01-10:input</x:v>
      </x:c>
      <x:c r="L1045" s="10" t="str">
        <x:v>DELIVERY:S01-10:B:status_tail, DELIVERY:S01-10:B:display_status, DELIVERY:S01-10:B:status_played</x:v>
      </x:c>
    </x:row>
    <x:row r="1046" ht="52" customHeight="1">
      <x:c r="A1046" s="10" t="str">
        <x:v>D-A</x:v>
      </x:c>
      <x:c r="B1046" s="10" t="str">
        <x:v>DELIVERY</x:v>
      </x:c>
      <x:c r="C1046" s="10" t="str">
        <x:v>DELIVERY:S02-01</x:v>
      </x:c>
      <x:c r="D1046" s="10" t="str">
        <x:v>DELIVERY:S02-01:delivery_request</x:v>
      </x:c>
      <x:c r="E1046" s="11" t="n">
        <x:v>0.908333333</x:v>
      </x:c>
      <x:c r="F1046" s="11" t="n">
        <x:v>3.654333333</x:v>
      </x:c>
      <x:c r="G1046" s="11" t="n">
        <x:f>F1046-E1046</x:f>
        <x:v>2.746</x:v>
      </x:c>
      <x:c r="H1046" s="10" t="n">
        <x:v>1</x:v>
      </x:c>
      <x:c r="I1046" s="10" t="str">
        <x:v>AUTHORED_TERMINAL</x:v>
      </x:c>
      <x:c r="J1046" s="10" t="str">
        <x:v>DELIVERY:S02-01:A:evaluation_first_display</x:v>
      </x:c>
      <x:c r="K1046" s="10" t="str">
        <x:v>DELIVERY:S02-01:input</x:v>
      </x:c>
      <x:c r="L1046" s="10" t="str">
        <x:v>DELIVERY:S02-01:A:question_tail, DELIVERY:S02-01:A:evaluation_first_display, DELIVERY:S02-01:A:question_played</x:v>
      </x:c>
    </x:row>
    <x:row r="1047" ht="52" customHeight="1">
      <x:c r="A1047" s="10" t="str">
        <x:v>D-B</x:v>
      </x:c>
      <x:c r="B1047" s="10" t="str">
        <x:v>DELIVERY</x:v>
      </x:c>
      <x:c r="C1047" s="10" t="str">
        <x:v>DELIVERY:S02-01</x:v>
      </x:c>
      <x:c r="D1047" s="10" t="str">
        <x:v>DELIVERY:S02-01:delivery_request</x:v>
      </x:c>
      <x:c r="E1047" s="11" t="n">
        <x:v>1.905833333</x:v>
      </x:c>
      <x:c r="F1047" s="11" t="n">
        <x:v>4.055333333</x:v>
      </x:c>
      <x:c r="G1047" s="11" t="n">
        <x:f>F1047-E1047</x:f>
        <x:v>2.1495</x:v>
      </x:c>
      <x:c r="H1047" s="10" t="n">
        <x:v>1</x:v>
      </x:c>
      <x:c r="I1047" s="10" t="str">
        <x:v>AUTHORED_TERMINAL</x:v>
      </x:c>
      <x:c r="J1047" s="10" t="str">
        <x:v>DELIVERY:S02-01:B:question_tail</x:v>
      </x:c>
      <x:c r="K1047" s="10" t="str">
        <x:v>DELIVERY:S02-01:input</x:v>
      </x:c>
      <x:c r="L1047" s="10" t="str">
        <x:v>DELIVERY:S02-01:B:question_tail, DELIVERY:S02-01:B:evaluation_first_display, DELIVERY:S02-01:B:question_played</x:v>
      </x:c>
    </x:row>
    <x:row r="1048" ht="52" customHeight="1">
      <x:c r="A1048" s="10" t="str">
        <x:v>D-A</x:v>
      </x:c>
      <x:c r="B1048" s="10" t="str">
        <x:v>DELIVERY</x:v>
      </x:c>
      <x:c r="C1048" s="10" t="str">
        <x:v>DELIVERY:S02-02</x:v>
      </x:c>
      <x:c r="D1048" s="10" t="str">
        <x:v>DELIVERY:S02-02:delivery_request</x:v>
      </x:c>
      <x:c r="E1048" s="11" t="n">
        <x:v>0.936666667</x:v>
      </x:c>
      <x:c r="F1048" s="11" t="n">
        <x:v>3.694666667</x:v>
      </x:c>
      <x:c r="G1048" s="11" t="n">
        <x:f>F1048-E1048</x:f>
        <x:v>2.758</x:v>
      </x:c>
      <x:c r="H1048" s="10" t="n">
        <x:v>1</x:v>
      </x:c>
      <x:c r="I1048" s="10" t="str">
        <x:v>AUTHORED_TERMINAL</x:v>
      </x:c>
      <x:c r="J1048" s="10" t="str">
        <x:v>DELIVERY:S02-02:A:evaluation_first_display</x:v>
      </x:c>
      <x:c r="K1048" s="10" t="str">
        <x:v>DELIVERY:S02-02:input</x:v>
      </x:c>
      <x:c r="L1048" s="10" t="str">
        <x:v>DELIVERY:S02-02:A:question_tail, DELIVERY:S02-02:A:evaluation_first_display, DELIVERY:S02-02:A:question_played</x:v>
      </x:c>
    </x:row>
    <x:row r="1049" ht="52" customHeight="1">
      <x:c r="A1049" s="10" t="str">
        <x:v>D-B</x:v>
      </x:c>
      <x:c r="B1049" s="10" t="str">
        <x:v>DELIVERY</x:v>
      </x:c>
      <x:c r="C1049" s="10" t="str">
        <x:v>DELIVERY:S02-02</x:v>
      </x:c>
      <x:c r="D1049" s="10" t="str">
        <x:v>DELIVERY:S02-02:delivery_request</x:v>
      </x:c>
      <x:c r="E1049" s="11" t="n">
        <x:v>1.937166667</x:v>
      </x:c>
      <x:c r="F1049" s="11" t="n">
        <x:v>4.095666667</x:v>
      </x:c>
      <x:c r="G1049" s="11" t="n">
        <x:f>F1049-E1049</x:f>
        <x:v>2.1584999999999996</x:v>
      </x:c>
      <x:c r="H1049" s="10" t="n">
        <x:v>1</x:v>
      </x:c>
      <x:c r="I1049" s="10" t="str">
        <x:v>AUTHORED_TERMINAL</x:v>
      </x:c>
      <x:c r="J1049" s="10" t="str">
        <x:v>DELIVERY:S02-02:B:question_tail</x:v>
      </x:c>
      <x:c r="K1049" s="10" t="str">
        <x:v>DELIVERY:S02-02:input</x:v>
      </x:c>
      <x:c r="L1049" s="10" t="str">
        <x:v>DELIVERY:S02-02:B:question_tail, DELIVERY:S02-02:B:evaluation_first_display, DELIVERY:S02-02:B:question_played</x:v>
      </x:c>
    </x:row>
    <x:row r="1050" ht="52" customHeight="1">
      <x:c r="A1050" s="10" t="str">
        <x:v>D-A</x:v>
      </x:c>
      <x:c r="B1050" s="10" t="str">
        <x:v>DELIVERY</x:v>
      </x:c>
      <x:c r="C1050" s="10" t="str">
        <x:v>DELIVERY:S02-03</x:v>
      </x:c>
      <x:c r="D1050" s="10" t="str">
        <x:v>DELIVERY:S02-03:delivery_request</x:v>
      </x:c>
      <x:c r="E1050" s="11" t="n">
        <x:v>0.89</x:v>
      </x:c>
      <x:c r="F1050" s="11" t="n">
        <x:v>3.66</x:v>
      </x:c>
      <x:c r="G1050" s="11" t="n">
        <x:f>F1050-E1050</x:f>
        <x:v>2.77</x:v>
      </x:c>
      <x:c r="H1050" s="10" t="n">
        <x:v>1</x:v>
      </x:c>
      <x:c r="I1050" s="10" t="str">
        <x:v>AUTHORED_TERMINAL</x:v>
      </x:c>
      <x:c r="J1050" s="10" t="str">
        <x:v>DELIVERY:S02-03:A:evaluation_first_display</x:v>
      </x:c>
      <x:c r="K1050" s="10" t="str">
        <x:v>DELIVERY:S02-03:input</x:v>
      </x:c>
      <x:c r="L1050" s="10" t="str">
        <x:v>DELIVERY:S02-03:A:question_tail, DELIVERY:S02-03:A:evaluation_first_display, DELIVERY:S02-03:A:question_played</x:v>
      </x:c>
    </x:row>
    <x:row r="1051" ht="52" customHeight="1">
      <x:c r="A1051" s="10" t="str">
        <x:v>D-B</x:v>
      </x:c>
      <x:c r="B1051" s="10" t="str">
        <x:v>DELIVERY</x:v>
      </x:c>
      <x:c r="C1051" s="10" t="str">
        <x:v>DELIVERY:S02-03</x:v>
      </x:c>
      <x:c r="D1051" s="10" t="str">
        <x:v>DELIVERY:S02-03:delivery_request</x:v>
      </x:c>
      <x:c r="E1051" s="11" t="n">
        <x:v>1.8935</x:v>
      </x:c>
      <x:c r="F1051" s="11" t="n">
        <x:v>4.061</x:v>
      </x:c>
      <x:c r="G1051" s="11" t="n">
        <x:f>F1051-E1051</x:f>
        <x:v>2.1675</x:v>
      </x:c>
      <x:c r="H1051" s="10" t="n">
        <x:v>1</x:v>
      </x:c>
      <x:c r="I1051" s="10" t="str">
        <x:v>AUTHORED_TERMINAL</x:v>
      </x:c>
      <x:c r="J1051" s="10" t="str">
        <x:v>DELIVERY:S02-03:B:question_tail</x:v>
      </x:c>
      <x:c r="K1051" s="10" t="str">
        <x:v>DELIVERY:S02-03:input</x:v>
      </x:c>
      <x:c r="L1051" s="10" t="str">
        <x:v>DELIVERY:S02-03:B:question_tail, DELIVERY:S02-03:B:evaluation_first_display, DELIVERY:S02-03:B:question_played</x:v>
      </x:c>
    </x:row>
    <x:row r="1052" ht="52" customHeight="1">
      <x:c r="A1052" s="10" t="str">
        <x:v>D-A</x:v>
      </x:c>
      <x:c r="B1052" s="10" t="str">
        <x:v>DELIVERY</x:v>
      </x:c>
      <x:c r="C1052" s="10" t="str">
        <x:v>DELIVERY:S02-04</x:v>
      </x:c>
      <x:c r="D1052" s="10" t="str">
        <x:v>DELIVERY:S02-04:delivery_request</x:v>
      </x:c>
      <x:c r="E1052" s="11" t="n">
        <x:v>0.918333333</x:v>
      </x:c>
      <x:c r="F1052" s="11" t="n">
        <x:v>3.700333333</x:v>
      </x:c>
      <x:c r="G1052" s="11" t="n">
        <x:f>F1052-E1052</x:f>
        <x:v>2.782</x:v>
      </x:c>
      <x:c r="H1052" s="10" t="n">
        <x:v>1</x:v>
      </x:c>
      <x:c r="I1052" s="10" t="str">
        <x:v>AUTHORED_TERMINAL</x:v>
      </x:c>
      <x:c r="J1052" s="10" t="str">
        <x:v>DELIVERY:S02-04:A:evaluation_first_display</x:v>
      </x:c>
      <x:c r="K1052" s="10" t="str">
        <x:v>DELIVERY:S02-04:input</x:v>
      </x:c>
      <x:c r="L1052" s="10" t="str">
        <x:v>DELIVERY:S02-04:A:question_tail, DELIVERY:S02-04:A:evaluation_first_display, DELIVERY:S02-04:A:question_played</x:v>
      </x:c>
    </x:row>
    <x:row r="1053" ht="52" customHeight="1">
      <x:c r="A1053" s="10" t="str">
        <x:v>D-B</x:v>
      </x:c>
      <x:c r="B1053" s="10" t="str">
        <x:v>DELIVERY</x:v>
      </x:c>
      <x:c r="C1053" s="10" t="str">
        <x:v>DELIVERY:S02-04</x:v>
      </x:c>
      <x:c r="D1053" s="10" t="str">
        <x:v>DELIVERY:S02-04:delivery_request</x:v>
      </x:c>
      <x:c r="E1053" s="11" t="n">
        <x:v>1.924833333</x:v>
      </x:c>
      <x:c r="F1053" s="11" t="n">
        <x:v>4.101333333</x:v>
      </x:c>
      <x:c r="G1053" s="11" t="n">
        <x:f>F1053-E1053</x:f>
        <x:v>2.1765000000000003</x:v>
      </x:c>
      <x:c r="H1053" s="10" t="n">
        <x:v>1</x:v>
      </x:c>
      <x:c r="I1053" s="10" t="str">
        <x:v>AUTHORED_TERMINAL</x:v>
      </x:c>
      <x:c r="J1053" s="10" t="str">
        <x:v>DELIVERY:S02-04:B:question_tail</x:v>
      </x:c>
      <x:c r="K1053" s="10" t="str">
        <x:v>DELIVERY:S02-04:input</x:v>
      </x:c>
      <x:c r="L1053" s="10" t="str">
        <x:v>DELIVERY:S02-04:B:question_tail, DELIVERY:S02-04:B:evaluation_first_display, DELIVERY:S02-04:B:question_played</x:v>
      </x:c>
    </x:row>
    <x:row r="1054" ht="52" customHeight="1">
      <x:c r="A1054" s="10" t="str">
        <x:v>D-A</x:v>
      </x:c>
      <x:c r="B1054" s="10" t="str">
        <x:v>DELIVERY</x:v>
      </x:c>
      <x:c r="C1054" s="10" t="str">
        <x:v>DELIVERY:S02-05</x:v>
      </x:c>
      <x:c r="D1054" s="10" t="str">
        <x:v>DELIVERY:S02-05:delivery_request</x:v>
      </x:c>
      <x:c r="E1054" s="11" t="n">
        <x:v>0.9466666670000001</x:v>
      </x:c>
      <x:c r="F1054" s="11" t="n">
        <x:v>3.740666667</x:v>
      </x:c>
      <x:c r="G1054" s="11" t="n">
        <x:f>F1054-E1054</x:f>
        <x:v>2.794</x:v>
      </x:c>
      <x:c r="H1054" s="10" t="n">
        <x:v>1</x:v>
      </x:c>
      <x:c r="I1054" s="10" t="str">
        <x:v>AUTHORED_TERMINAL</x:v>
      </x:c>
      <x:c r="J1054" s="10" t="str">
        <x:v>DELIVERY:S02-05:A:evaluation_first_display</x:v>
      </x:c>
      <x:c r="K1054" s="10" t="str">
        <x:v>DELIVERY:S02-05:input</x:v>
      </x:c>
      <x:c r="L1054" s="10" t="str">
        <x:v>DELIVERY:S02-05:A:question_tail, DELIVERY:S02-05:A:evaluation_first_display, DELIVERY:S02-05:A:question_played</x:v>
      </x:c>
    </x:row>
    <x:row r="1055" ht="52" customHeight="1">
      <x:c r="A1055" s="10" t="str">
        <x:v>D-B</x:v>
      </x:c>
      <x:c r="B1055" s="10" t="str">
        <x:v>DELIVERY</x:v>
      </x:c>
      <x:c r="C1055" s="10" t="str">
        <x:v>DELIVERY:S02-05</x:v>
      </x:c>
      <x:c r="D1055" s="10" t="str">
        <x:v>DELIVERY:S02-05:delivery_request</x:v>
      </x:c>
      <x:c r="E1055" s="11" t="n">
        <x:v>1.956166667</x:v>
      </x:c>
      <x:c r="F1055" s="11" t="n">
        <x:v>4.141666667</x:v>
      </x:c>
      <x:c r="G1055" s="11" t="n">
        <x:f>F1055-E1055</x:f>
        <x:v>2.1855</x:v>
      </x:c>
      <x:c r="H1055" s="10" t="n">
        <x:v>1</x:v>
      </x:c>
      <x:c r="I1055" s="10" t="str">
        <x:v>AUTHORED_TERMINAL</x:v>
      </x:c>
      <x:c r="J1055" s="10" t="str">
        <x:v>DELIVERY:S02-05:B:question_tail</x:v>
      </x:c>
      <x:c r="K1055" s="10" t="str">
        <x:v>DELIVERY:S02-05:input</x:v>
      </x:c>
      <x:c r="L1055" s="10" t="str">
        <x:v>DELIVERY:S02-05:B:question_tail, DELIVERY:S02-05:B:evaluation_first_display, DELIVERY:S02-05:B:question_played</x:v>
      </x:c>
    </x:row>
    <x:row r="1056" ht="52" customHeight="1">
      <x:c r="A1056" s="10" t="str">
        <x:v>D-A</x:v>
      </x:c>
      <x:c r="B1056" s="10" t="str">
        <x:v>DELIVERY</x:v>
      </x:c>
      <x:c r="C1056" s="10" t="str">
        <x:v>DELIVERY:S02-06</x:v>
      </x:c>
      <x:c r="D1056" s="10" t="str">
        <x:v>DELIVERY:S02-06:delivery_request</x:v>
      </x:c>
      <x:c r="E1056" s="11" t="n">
        <x:v>0.9000000000000001</x:v>
      </x:c>
      <x:c r="F1056" s="11" t="n">
        <x:v>3.706</x:v>
      </x:c>
      <x:c r="G1056" s="11" t="n">
        <x:f>F1056-E1056</x:f>
        <x:v>2.806</x:v>
      </x:c>
      <x:c r="H1056" s="10" t="n">
        <x:v>1</x:v>
      </x:c>
      <x:c r="I1056" s="10" t="str">
        <x:v>AUTHORED_TERMINAL</x:v>
      </x:c>
      <x:c r="J1056" s="10" t="str">
        <x:v>DELIVERY:S02-06:A:evaluation_first_display</x:v>
      </x:c>
      <x:c r="K1056" s="10" t="str">
        <x:v>DELIVERY:S02-06:input</x:v>
      </x:c>
      <x:c r="L1056" s="10" t="str">
        <x:v>DELIVERY:S02-06:A:question_tail, DELIVERY:S02-06:A:evaluation_first_display, DELIVERY:S02-06:A:question_played</x:v>
      </x:c>
    </x:row>
    <x:row r="1057" ht="52" customHeight="1">
      <x:c r="A1057" s="10" t="str">
        <x:v>D-B</x:v>
      </x:c>
      <x:c r="B1057" s="10" t="str">
        <x:v>DELIVERY</x:v>
      </x:c>
      <x:c r="C1057" s="10" t="str">
        <x:v>DELIVERY:S02-06</x:v>
      </x:c>
      <x:c r="D1057" s="10" t="str">
        <x:v>DELIVERY:S02-06:delivery_request</x:v>
      </x:c>
      <x:c r="E1057" s="11" t="n">
        <x:v>1.9125000000000003</x:v>
      </x:c>
      <x:c r="F1057" s="11" t="n">
        <x:v>4.107</x:v>
      </x:c>
      <x:c r="G1057" s="11" t="n">
        <x:f>F1057-E1057</x:f>
        <x:v>2.1944999999999997</x:v>
      </x:c>
      <x:c r="H1057" s="10" t="n">
        <x:v>1</x:v>
      </x:c>
      <x:c r="I1057" s="10" t="str">
        <x:v>AUTHORED_TERMINAL</x:v>
      </x:c>
      <x:c r="J1057" s="10" t="str">
        <x:v>DELIVERY:S02-06:B:question_tail</x:v>
      </x:c>
      <x:c r="K1057" s="10" t="str">
        <x:v>DELIVERY:S02-06:input</x:v>
      </x:c>
      <x:c r="L1057" s="10" t="str">
        <x:v>DELIVERY:S02-06:B:question_tail, DELIVERY:S02-06:B:evaluation_first_display, DELIVERY:S02-06:B:question_played</x:v>
      </x:c>
    </x:row>
    <x:row r="1058" ht="52" customHeight="1">
      <x:c r="A1058" s="10" t="str">
        <x:v>D-A</x:v>
      </x:c>
      <x:c r="B1058" s="10" t="str">
        <x:v>DELIVERY</x:v>
      </x:c>
      <x:c r="C1058" s="10" t="str">
        <x:v>DELIVERY:S02-07</x:v>
      </x:c>
      <x:c r="D1058" s="10" t="str">
        <x:v>DELIVERY:S02-07:delivery_request</x:v>
      </x:c>
      <x:c r="E1058" s="11" t="n">
        <x:v>0.928333333</x:v>
      </x:c>
      <x:c r="F1058" s="11" t="n">
        <x:v>3.746333333</x:v>
      </x:c>
      <x:c r="G1058" s="11" t="n">
        <x:f>F1058-E1058</x:f>
        <x:v>2.818</x:v>
      </x:c>
      <x:c r="H1058" s="10" t="n">
        <x:v>1</x:v>
      </x:c>
      <x:c r="I1058" s="10" t="str">
        <x:v>AUTHORED_TERMINAL</x:v>
      </x:c>
      <x:c r="J1058" s="10" t="str">
        <x:v>DELIVERY:S02-07:A:evaluation_first_display</x:v>
      </x:c>
      <x:c r="K1058" s="10" t="str">
        <x:v>DELIVERY:S02-07:input</x:v>
      </x:c>
      <x:c r="L1058" s="10" t="str">
        <x:v>DELIVERY:S02-07:A:question_tail, DELIVERY:S02-07:A:evaluation_first_display, DELIVERY:S02-07:A:question_played</x:v>
      </x:c>
    </x:row>
    <x:row r="1059" ht="52" customHeight="1">
      <x:c r="A1059" s="10" t="str">
        <x:v>D-B</x:v>
      </x:c>
      <x:c r="B1059" s="10" t="str">
        <x:v>DELIVERY</x:v>
      </x:c>
      <x:c r="C1059" s="10" t="str">
        <x:v>DELIVERY:S02-07</x:v>
      </x:c>
      <x:c r="D1059" s="10" t="str">
        <x:v>DELIVERY:S02-07:delivery_request</x:v>
      </x:c>
      <x:c r="E1059" s="11" t="n">
        <x:v>1.943833333</x:v>
      </x:c>
      <x:c r="F1059" s="11" t="n">
        <x:v>4.147333333</x:v>
      </x:c>
      <x:c r="G1059" s="11" t="n">
        <x:f>F1059-E1059</x:f>
        <x:v>2.2035</x:v>
      </x:c>
      <x:c r="H1059" s="10" t="n">
        <x:v>1</x:v>
      </x:c>
      <x:c r="I1059" s="10" t="str">
        <x:v>AUTHORED_TERMINAL</x:v>
      </x:c>
      <x:c r="J1059" s="10" t="str">
        <x:v>DELIVERY:S02-07:B:question_tail</x:v>
      </x:c>
      <x:c r="K1059" s="10" t="str">
        <x:v>DELIVERY:S02-07:input</x:v>
      </x:c>
      <x:c r="L1059" s="10" t="str">
        <x:v>DELIVERY:S02-07:B:question_tail, DELIVERY:S02-07:B:evaluation_first_display, DELIVERY:S02-07:B:question_played</x:v>
      </x:c>
    </x:row>
    <x:row r="1060" ht="52" customHeight="1">
      <x:c r="A1060" s="10" t="str">
        <x:v>D-A</x:v>
      </x:c>
      <x:c r="B1060" s="10" t="str">
        <x:v>DELIVERY</x:v>
      </x:c>
      <x:c r="C1060" s="10" t="str">
        <x:v>DELIVERY:S02-08</x:v>
      </x:c>
      <x:c r="D1060" s="10" t="str">
        <x:v>DELIVERY:S02-08:delivery_request</x:v>
      </x:c>
      <x:c r="E1060" s="11" t="n">
        <x:v>0.9566666670000001</x:v>
      </x:c>
      <x:c r="F1060" s="11" t="n">
        <x:v>3.786666667</x:v>
      </x:c>
      <x:c r="G1060" s="11" t="n">
        <x:f>F1060-E1060</x:f>
        <x:v>2.83</x:v>
      </x:c>
      <x:c r="H1060" s="10" t="n">
        <x:v>1</x:v>
      </x:c>
      <x:c r="I1060" s="10" t="str">
        <x:v>AUTHORED_TERMINAL</x:v>
      </x:c>
      <x:c r="J1060" s="10" t="str">
        <x:v>DELIVERY:S02-08:A:evaluation_first_display</x:v>
      </x:c>
      <x:c r="K1060" s="10" t="str">
        <x:v>DELIVERY:S02-08:input</x:v>
      </x:c>
      <x:c r="L1060" s="10" t="str">
        <x:v>DELIVERY:S02-08:A:question_tail, DELIVERY:S02-08:A:evaluation_first_display, DELIVERY:S02-08:A:question_played</x:v>
      </x:c>
    </x:row>
    <x:row r="1061" ht="52" customHeight="1">
      <x:c r="A1061" s="10" t="str">
        <x:v>D-B</x:v>
      </x:c>
      <x:c r="B1061" s="10" t="str">
        <x:v>DELIVERY</x:v>
      </x:c>
      <x:c r="C1061" s="10" t="str">
        <x:v>DELIVERY:S02-08</x:v>
      </x:c>
      <x:c r="D1061" s="10" t="str">
        <x:v>DELIVERY:S02-08:delivery_request</x:v>
      </x:c>
      <x:c r="E1061" s="11" t="n">
        <x:v>1.9751666670000003</x:v>
      </x:c>
      <x:c r="F1061" s="11" t="n">
        <x:v>4.187666667</x:v>
      </x:c>
      <x:c r="G1061" s="11" t="n">
        <x:f>F1061-E1061</x:f>
        <x:v>2.2125</x:v>
      </x:c>
      <x:c r="H1061" s="10" t="n">
        <x:v>1</x:v>
      </x:c>
      <x:c r="I1061" s="10" t="str">
        <x:v>AUTHORED_TERMINAL</x:v>
      </x:c>
      <x:c r="J1061" s="10" t="str">
        <x:v>DELIVERY:S02-08:B:question_tail</x:v>
      </x:c>
      <x:c r="K1061" s="10" t="str">
        <x:v>DELIVERY:S02-08:input</x:v>
      </x:c>
      <x:c r="L1061" s="10" t="str">
        <x:v>DELIVERY:S02-08:B:question_tail, DELIVERY:S02-08:B:evaluation_first_display, DELIVERY:S02-08:B:question_played</x:v>
      </x:c>
    </x:row>
    <x:row r="1062" ht="52" customHeight="1">
      <x:c r="A1062" s="10" t="str">
        <x:v>D-A</x:v>
      </x:c>
      <x:c r="B1062" s="10" t="str">
        <x:v>DELIVERY</x:v>
      </x:c>
      <x:c r="C1062" s="10" t="str">
        <x:v>DELIVERY:S02-09</x:v>
      </x:c>
      <x:c r="D1062" s="10" t="str">
        <x:v>DELIVERY:S02-09:delivery_request</x:v>
      </x:c>
      <x:c r="E1062" s="11" t="n">
        <x:v>0.9100000000000001</x:v>
      </x:c>
      <x:c r="F1062" s="11" t="n">
        <x:v>3.752</x:v>
      </x:c>
      <x:c r="G1062" s="11" t="n">
        <x:f>F1062-E1062</x:f>
        <x:v>2.8419999999999996</x:v>
      </x:c>
      <x:c r="H1062" s="10" t="n">
        <x:v>1</x:v>
      </x:c>
      <x:c r="I1062" s="10" t="str">
        <x:v>AUTHORED_TERMINAL</x:v>
      </x:c>
      <x:c r="J1062" s="10" t="str">
        <x:v>DELIVERY:S02-09:A:evaluation_first_display</x:v>
      </x:c>
      <x:c r="K1062" s="10" t="str">
        <x:v>DELIVERY:S02-09:input</x:v>
      </x:c>
      <x:c r="L1062" s="10" t="str">
        <x:v>DELIVERY:S02-09:A:question_tail, DELIVERY:S02-09:A:evaluation_first_display, DELIVERY:S02-09:A:question_played</x:v>
      </x:c>
    </x:row>
    <x:row r="1063" ht="52" customHeight="1">
      <x:c r="A1063" s="10" t="str">
        <x:v>D-B</x:v>
      </x:c>
      <x:c r="B1063" s="10" t="str">
        <x:v>DELIVERY</x:v>
      </x:c>
      <x:c r="C1063" s="10" t="str">
        <x:v>DELIVERY:S02-09</x:v>
      </x:c>
      <x:c r="D1063" s="10" t="str">
        <x:v>DELIVERY:S02-09:delivery_request</x:v>
      </x:c>
      <x:c r="E1063" s="11" t="n">
        <x:v>1.9315</x:v>
      </x:c>
      <x:c r="F1063" s="11" t="n">
        <x:v>4.153</x:v>
      </x:c>
      <x:c r="G1063" s="11" t="n">
        <x:f>F1063-E1063</x:f>
        <x:v>2.2215</x:v>
      </x:c>
      <x:c r="H1063" s="10" t="n">
        <x:v>1</x:v>
      </x:c>
      <x:c r="I1063" s="10" t="str">
        <x:v>AUTHORED_TERMINAL</x:v>
      </x:c>
      <x:c r="J1063" s="10" t="str">
        <x:v>DELIVERY:S02-09:B:question_tail</x:v>
      </x:c>
      <x:c r="K1063" s="10" t="str">
        <x:v>DELIVERY:S02-09:input</x:v>
      </x:c>
      <x:c r="L1063" s="10" t="str">
        <x:v>DELIVERY:S02-09:B:question_tail, DELIVERY:S02-09:B:evaluation_first_display, DELIVERY:S02-09:B:question_played</x:v>
      </x:c>
    </x:row>
    <x:row r="1064" ht="52" customHeight="1">
      <x:c r="A1064" s="10" t="str">
        <x:v>D-A</x:v>
      </x:c>
      <x:c r="B1064" s="10" t="str">
        <x:v>DELIVERY</x:v>
      </x:c>
      <x:c r="C1064" s="10" t="str">
        <x:v>DELIVERY:S02-10</x:v>
      </x:c>
      <x:c r="D1064" s="10" t="str">
        <x:v>DELIVERY:S02-10:delivery_request</x:v>
      </x:c>
      <x:c r="E1064" s="11" t="n">
        <x:v>0.938333333</x:v>
      </x:c>
      <x:c r="F1064" s="11" t="n">
        <x:v>3.792333333</x:v>
      </x:c>
      <x:c r="G1064" s="11" t="n">
        <x:f>F1064-E1064</x:f>
        <x:v>2.854</x:v>
      </x:c>
      <x:c r="H1064" s="10" t="n">
        <x:v>1</x:v>
      </x:c>
      <x:c r="I1064" s="10" t="str">
        <x:v>AUTHORED_TERMINAL</x:v>
      </x:c>
      <x:c r="J1064" s="10" t="str">
        <x:v>DELIVERY:S02-10:A:evaluation_first_display</x:v>
      </x:c>
      <x:c r="K1064" s="10" t="str">
        <x:v>DELIVERY:S02-10:input</x:v>
      </x:c>
      <x:c r="L1064" s="10" t="str">
        <x:v>DELIVERY:S02-10:A:question_tail, DELIVERY:S02-10:A:evaluation_first_display, DELIVERY:S02-10:A:question_played</x:v>
      </x:c>
    </x:row>
    <x:row r="1065" ht="52" customHeight="1">
      <x:c r="A1065" s="10" t="str">
        <x:v>D-B</x:v>
      </x:c>
      <x:c r="B1065" s="10" t="str">
        <x:v>DELIVERY</x:v>
      </x:c>
      <x:c r="C1065" s="10" t="str">
        <x:v>DELIVERY:S02-10</x:v>
      </x:c>
      <x:c r="D1065" s="10" t="str">
        <x:v>DELIVERY:S02-10:delivery_request</x:v>
      </x:c>
      <x:c r="E1065" s="11" t="n">
        <x:v>1.962833333</x:v>
      </x:c>
      <x:c r="F1065" s="11" t="n">
        <x:v>4.193333333</x:v>
      </x:c>
      <x:c r="G1065" s="11" t="n">
        <x:f>F1065-E1065</x:f>
        <x:v>2.2305</x:v>
      </x:c>
      <x:c r="H1065" s="10" t="n">
        <x:v>1</x:v>
      </x:c>
      <x:c r="I1065" s="10" t="str">
        <x:v>AUTHORED_TERMINAL</x:v>
      </x:c>
      <x:c r="J1065" s="10" t="str">
        <x:v>DELIVERY:S02-10:B:question_tail</x:v>
      </x:c>
      <x:c r="K1065" s="10" t="str">
        <x:v>DELIVERY:S02-10:input</x:v>
      </x:c>
      <x:c r="L1065" s="10" t="str">
        <x:v>DELIVERY:S02-10:B:question_tail, DELIVERY:S02-10:B:evaluation_first_display, DELIVERY:S02-10:B:question_played</x:v>
      </x:c>
    </x:row>
    <x:row r="1066" ht="52" customHeight="1">
      <x:c r="A1066" s="10" t="str">
        <x:v>D-A</x:v>
      </x:c>
      <x:c r="B1066" s="10" t="str">
        <x:v>DELIVERY</x:v>
      </x:c>
      <x:c r="C1066" s="10" t="str">
        <x:v>DELIVERY:S03-01</x:v>
      </x:c>
      <x:c r="D1066" s="10" t="str">
        <x:v>DELIVERY:S03-01:report_original</x:v>
      </x:c>
      <x:c r="E1066" s="11" t="n">
        <x:v>3.873833333</x:v>
      </x:c>
      <x:c r="F1066" s="11" t="n">
        <x:v>17.783333333</x:v>
      </x:c>
      <x:c r="G1066" s="11" t="n">
        <x:f>F1066-E1066</x:f>
        <x:v>13.909500000000001</x:v>
      </x:c>
      <x:c r="H1066" s="10" t="n">
        <x:v>1</x:v>
      </x:c>
      <x:c r="I1066" s="10" t="str">
        <x:v>AUTHORED_TERMINAL</x:v>
      </x:c>
      <x:c r="J1066" s="10" t="str">
        <x:v>DELIVERY:S03-01:A:report_v2_tail</x:v>
      </x:c>
      <x:c r="K1066" s="10" t="str">
        <x:v>DELIVERY:S03-01:input</x:v>
      </x:c>
      <x:c r="L1066" s="10" t="str">
        <x:v>DELIVERY:S03-01:A:report_v2_tail, DELIVERY:S03-01:A:display_report_v2, DELIVERY:S03-01:A:report_v2_played</x:v>
      </x:c>
    </x:row>
    <x:row r="1067" ht="52" customHeight="1">
      <x:c r="A1067" s="10" t="str">
        <x:v>D-A</x:v>
      </x:c>
      <x:c r="B1067" s="10" t="str">
        <x:v>DELIVERY</x:v>
      </x:c>
      <x:c r="C1067" s="10" t="str">
        <x:v>DELIVERY:S03-01</x:v>
      </x:c>
      <x:c r="D1067" s="10" t="str">
        <x:v>DELIVERY:S03-01:read_question</x:v>
      </x:c>
      <x:c r="E1067" s="11" t="n">
        <x:v>0.908333333</x:v>
      </x:c>
      <x:c r="F1067" s="11" t="n">
        <x:v>3.654333333</x:v>
      </x:c>
      <x:c r="G1067" s="11" t="n">
        <x:f>F1067-E1067</x:f>
        <x:v>2.746</x:v>
      </x:c>
      <x:c r="H1067" s="10" t="n">
        <x:v>1</x:v>
      </x:c>
      <x:c r="I1067" s="10" t="str">
        <x:v>AUTHORED_TERMINAL</x:v>
      </x:c>
      <x:c r="J1067" s="10" t="str">
        <x:v>DELIVERY:S03-01:A:evaluation_first_display</x:v>
      </x:c>
      <x:c r="K1067" s="10" t="str">
        <x:v>DELIVERY:S03-01:input</x:v>
      </x:c>
      <x:c r="L1067" s="10" t="str">
        <x:v>DELIVERY:S03-01:A:question_tail, DELIVERY:S03-01:A:evaluation_first_display, DELIVERY:S03-01:A:question_played</x:v>
      </x:c>
    </x:row>
    <x:row r="1068" ht="52" customHeight="1">
      <x:c r="A1068" s="10" t="str">
        <x:v>D-B</x:v>
      </x:c>
      <x:c r="B1068" s="10" t="str">
        <x:v>DELIVERY</x:v>
      </x:c>
      <x:c r="C1068" s="10" t="str">
        <x:v>DELIVERY:S03-01</x:v>
      </x:c>
      <x:c r="D1068" s="10" t="str">
        <x:v>DELIVERY:S03-01:report_original</x:v>
      </x:c>
      <x:c r="E1068" s="11" t="n">
        <x:v>4.194833332999999</x:v>
      </x:c>
      <x:c r="F1068" s="11" t="n">
        <x:v>18.450333333</x:v>
      </x:c>
      <x:c r="G1068" s="11" t="n">
        <x:f>F1068-E1068</x:f>
        <x:v>14.255500000000001</x:v>
      </x:c>
      <x:c r="H1068" s="10" t="n">
        <x:v>1</x:v>
      </x:c>
      <x:c r="I1068" s="10" t="str">
        <x:v>AUTHORED_TERMINAL</x:v>
      </x:c>
      <x:c r="J1068" s="10" t="str">
        <x:v>DELIVERY:S03-01:B:report_v2_tail</x:v>
      </x:c>
      <x:c r="K1068" s="10" t="str">
        <x:v>DELIVERY:S03-01:input</x:v>
      </x:c>
      <x:c r="L1068" s="10" t="str">
        <x:v>DELIVERY:S03-01:B:report_v2_tail, DELIVERY:S03-01:B:display_report_v2, DELIVERY:S03-01:B:report_v2_played</x:v>
      </x:c>
    </x:row>
    <x:row r="1069" ht="52" customHeight="1">
      <x:c r="A1069" s="10" t="str">
        <x:v>D-B</x:v>
      </x:c>
      <x:c r="B1069" s="10" t="str">
        <x:v>DELIVERY</x:v>
      </x:c>
      <x:c r="C1069" s="10" t="str">
        <x:v>DELIVERY:S03-01</x:v>
      </x:c>
      <x:c r="D1069" s="10" t="str">
        <x:v>DELIVERY:S03-01:read_question</x:v>
      </x:c>
      <x:c r="E1069" s="11" t="n">
        <x:v>1.905833333</x:v>
      </x:c>
      <x:c r="F1069" s="11" t="n">
        <x:v>4.055333333</x:v>
      </x:c>
      <x:c r="G1069" s="11" t="n">
        <x:f>F1069-E1069</x:f>
        <x:v>2.1495</x:v>
      </x:c>
      <x:c r="H1069" s="10" t="n">
        <x:v>1</x:v>
      </x:c>
      <x:c r="I1069" s="10" t="str">
        <x:v>AUTHORED_TERMINAL</x:v>
      </x:c>
      <x:c r="J1069" s="10" t="str">
        <x:v>DELIVERY:S03-01:B:question_tail</x:v>
      </x:c>
      <x:c r="K1069" s="10" t="str">
        <x:v>DELIVERY:S03-01:input</x:v>
      </x:c>
      <x:c r="L1069" s="10" t="str">
        <x:v>DELIVERY:S03-01:B:question_tail, DELIVERY:S03-01:B:evaluation_first_display, DELIVERY:S03-01:B:question_played</x:v>
      </x:c>
    </x:row>
    <x:row r="1070" ht="52" customHeight="1">
      <x:c r="A1070" s="10" t="str">
        <x:v>D-A</x:v>
      </x:c>
      <x:c r="B1070" s="10" t="str">
        <x:v>DELIVERY</x:v>
      </x:c>
      <x:c r="C1070" s="10" t="str">
        <x:v>DELIVERY:S03-02</x:v>
      </x:c>
      <x:c r="D1070" s="10" t="str">
        <x:v>DELIVERY:S03-02:report_original</x:v>
      </x:c>
      <x:c r="E1070" s="11" t="n">
        <x:v>3.905166667</x:v>
      </x:c>
      <x:c r="F1070" s="11" t="n">
        <x:v>17.823666666999998</x:v>
      </x:c>
      <x:c r="G1070" s="11" t="n">
        <x:f>F1070-E1070</x:f>
        <x:v>13.918499999999998</x:v>
      </x:c>
      <x:c r="H1070" s="10" t="n">
        <x:v>1</x:v>
      </x:c>
      <x:c r="I1070" s="10" t="str">
        <x:v>AUTHORED_TERMINAL</x:v>
      </x:c>
      <x:c r="J1070" s="10" t="str">
        <x:v>DELIVERY:S03-02:A:report_v2_tail</x:v>
      </x:c>
      <x:c r="K1070" s="10" t="str">
        <x:v>DELIVERY:S03-02:input</x:v>
      </x:c>
      <x:c r="L1070" s="10" t="str">
        <x:v>DELIVERY:S03-02:A:report_v2_tail, DELIVERY:S03-02:A:display_report_v2, DELIVERY:S03-02:A:report_v2_played</x:v>
      </x:c>
    </x:row>
    <x:row r="1071" ht="52" customHeight="1">
      <x:c r="A1071" s="10" t="str">
        <x:v>D-A</x:v>
      </x:c>
      <x:c r="B1071" s="10" t="str">
        <x:v>DELIVERY</x:v>
      </x:c>
      <x:c r="C1071" s="10" t="str">
        <x:v>DELIVERY:S03-02</x:v>
      </x:c>
      <x:c r="D1071" s="10" t="str">
        <x:v>DELIVERY:S03-02:read_question</x:v>
      </x:c>
      <x:c r="E1071" s="11" t="n">
        <x:v>0.936666667</x:v>
      </x:c>
      <x:c r="F1071" s="11" t="n">
        <x:v>3.694666667</x:v>
      </x:c>
      <x:c r="G1071" s="11" t="n">
        <x:f>F1071-E1071</x:f>
        <x:v>2.758</x:v>
      </x:c>
      <x:c r="H1071" s="10" t="n">
        <x:v>1</x:v>
      </x:c>
      <x:c r="I1071" s="10" t="str">
        <x:v>AUTHORED_TERMINAL</x:v>
      </x:c>
      <x:c r="J1071" s="10" t="str">
        <x:v>DELIVERY:S03-02:A:evaluation_first_display</x:v>
      </x:c>
      <x:c r="K1071" s="10" t="str">
        <x:v>DELIVERY:S03-02:input</x:v>
      </x:c>
      <x:c r="L1071" s="10" t="str">
        <x:v>DELIVERY:S03-02:A:question_tail, DELIVERY:S03-02:A:evaluation_first_display, DELIVERY:S03-02:A:question_played</x:v>
      </x:c>
    </x:row>
    <x:row r="1072" ht="52" customHeight="1">
      <x:c r="A1072" s="10" t="str">
        <x:v>D-B</x:v>
      </x:c>
      <x:c r="B1072" s="10" t="str">
        <x:v>DELIVERY</x:v>
      </x:c>
      <x:c r="C1072" s="10" t="str">
        <x:v>DELIVERY:S03-02</x:v>
      </x:c>
      <x:c r="D1072" s="10" t="str">
        <x:v>DELIVERY:S03-02:report_original</x:v>
      </x:c>
      <x:c r="E1072" s="11" t="n">
        <x:v>4.226166667</x:v>
      </x:c>
      <x:c r="F1072" s="11" t="n">
        <x:v>18.502666667</x:v>
      </x:c>
      <x:c r="G1072" s="11" t="n">
        <x:f>F1072-E1072</x:f>
        <x:v>14.276499999999999</x:v>
      </x:c>
      <x:c r="H1072" s="10" t="n">
        <x:v>1</x:v>
      </x:c>
      <x:c r="I1072" s="10" t="str">
        <x:v>AUTHORED_TERMINAL</x:v>
      </x:c>
      <x:c r="J1072" s="10" t="str">
        <x:v>DELIVERY:S03-02:B:report_v2_tail</x:v>
      </x:c>
      <x:c r="K1072" s="10" t="str">
        <x:v>DELIVERY:S03-02:input</x:v>
      </x:c>
      <x:c r="L1072" s="10" t="str">
        <x:v>DELIVERY:S03-02:B:report_v2_tail, DELIVERY:S03-02:B:display_report_v2, DELIVERY:S03-02:B:report_v2_played</x:v>
      </x:c>
    </x:row>
    <x:row r="1073" ht="52" customHeight="1">
      <x:c r="A1073" s="10" t="str">
        <x:v>D-B</x:v>
      </x:c>
      <x:c r="B1073" s="10" t="str">
        <x:v>DELIVERY</x:v>
      </x:c>
      <x:c r="C1073" s="10" t="str">
        <x:v>DELIVERY:S03-02</x:v>
      </x:c>
      <x:c r="D1073" s="10" t="str">
        <x:v>DELIVERY:S03-02:read_question</x:v>
      </x:c>
      <x:c r="E1073" s="11" t="n">
        <x:v>1.937166667</x:v>
      </x:c>
      <x:c r="F1073" s="11" t="n">
        <x:v>4.095666667</x:v>
      </x:c>
      <x:c r="G1073" s="11" t="n">
        <x:f>F1073-E1073</x:f>
        <x:v>2.1584999999999996</x:v>
      </x:c>
      <x:c r="H1073" s="10" t="n">
        <x:v>1</x:v>
      </x:c>
      <x:c r="I1073" s="10" t="str">
        <x:v>AUTHORED_TERMINAL</x:v>
      </x:c>
      <x:c r="J1073" s="10" t="str">
        <x:v>DELIVERY:S03-02:B:question_tail</x:v>
      </x:c>
      <x:c r="K1073" s="10" t="str">
        <x:v>DELIVERY:S03-02:input</x:v>
      </x:c>
      <x:c r="L1073" s="10" t="str">
        <x:v>DELIVERY:S03-02:B:question_tail, DELIVERY:S03-02:B:evaluation_first_display, DELIVERY:S03-02:B:question_played</x:v>
      </x:c>
    </x:row>
    <x:row r="1074" ht="52" customHeight="1">
      <x:c r="A1074" s="10" t="str">
        <x:v>D-A</x:v>
      </x:c>
      <x:c r="B1074" s="10" t="str">
        <x:v>DELIVERY</x:v>
      </x:c>
      <x:c r="C1074" s="10" t="str">
        <x:v>DELIVERY:S03-03</x:v>
      </x:c>
      <x:c r="D1074" s="10" t="str">
        <x:v>DELIVERY:S03-03:report_original</x:v>
      </x:c>
      <x:c r="E1074" s="11" t="n">
        <x:v>3.8614999999999995</x:v>
      </x:c>
      <x:c r="F1074" s="11" t="n">
        <x:v>17.789</x:v>
      </x:c>
      <x:c r="G1074" s="11" t="n">
        <x:f>F1074-E1074</x:f>
        <x:v>13.927500000000002</x:v>
      </x:c>
      <x:c r="H1074" s="10" t="n">
        <x:v>1</x:v>
      </x:c>
      <x:c r="I1074" s="10" t="str">
        <x:v>AUTHORED_TERMINAL</x:v>
      </x:c>
      <x:c r="J1074" s="10" t="str">
        <x:v>DELIVERY:S03-03:A:report_v2_tail</x:v>
      </x:c>
      <x:c r="K1074" s="10" t="str">
        <x:v>DELIVERY:S03-03:input</x:v>
      </x:c>
      <x:c r="L1074" s="10" t="str">
        <x:v>DELIVERY:S03-03:A:report_v2_tail, DELIVERY:S03-03:A:display_report_v2, DELIVERY:S03-03:A:report_v2_played</x:v>
      </x:c>
    </x:row>
    <x:row r="1075" ht="52" customHeight="1">
      <x:c r="A1075" s="10" t="str">
        <x:v>D-A</x:v>
      </x:c>
      <x:c r="B1075" s="10" t="str">
        <x:v>DELIVERY</x:v>
      </x:c>
      <x:c r="C1075" s="10" t="str">
        <x:v>DELIVERY:S03-03</x:v>
      </x:c>
      <x:c r="D1075" s="10" t="str">
        <x:v>DELIVERY:S03-03:read_question</x:v>
      </x:c>
      <x:c r="E1075" s="11" t="n">
        <x:v>0.89</x:v>
      </x:c>
      <x:c r="F1075" s="11" t="n">
        <x:v>3.66</x:v>
      </x:c>
      <x:c r="G1075" s="11" t="n">
        <x:f>F1075-E1075</x:f>
        <x:v>2.77</x:v>
      </x:c>
      <x:c r="H1075" s="10" t="n">
        <x:v>1</x:v>
      </x:c>
      <x:c r="I1075" s="10" t="str">
        <x:v>AUTHORED_TERMINAL</x:v>
      </x:c>
      <x:c r="J1075" s="10" t="str">
        <x:v>DELIVERY:S03-03:A:evaluation_first_display</x:v>
      </x:c>
      <x:c r="K1075" s="10" t="str">
        <x:v>DELIVERY:S03-03:input</x:v>
      </x:c>
      <x:c r="L1075" s="10" t="str">
        <x:v>DELIVERY:S03-03:A:question_tail, DELIVERY:S03-03:A:evaluation_first_display, DELIVERY:S03-03:A:question_played</x:v>
      </x:c>
    </x:row>
    <x:row r="1076" ht="52" customHeight="1">
      <x:c r="A1076" s="10" t="str">
        <x:v>D-B</x:v>
      </x:c>
      <x:c r="B1076" s="10" t="str">
        <x:v>DELIVERY</x:v>
      </x:c>
      <x:c r="C1076" s="10" t="str">
        <x:v>DELIVERY:S03-03</x:v>
      </x:c>
      <x:c r="D1076" s="10" t="str">
        <x:v>DELIVERY:S03-03:report_original</x:v>
      </x:c>
      <x:c r="E1076" s="11" t="n">
        <x:v>4.182499999999999</x:v>
      </x:c>
      <x:c r="F1076" s="11" t="n">
        <x:v>18.48</x:v>
      </x:c>
      <x:c r="G1076" s="11" t="n">
        <x:f>F1076-E1076</x:f>
        <x:v>14.297500000000001</x:v>
      </x:c>
      <x:c r="H1076" s="10" t="n">
        <x:v>1</x:v>
      </x:c>
      <x:c r="I1076" s="10" t="str">
        <x:v>AUTHORED_TERMINAL</x:v>
      </x:c>
      <x:c r="J1076" s="10" t="str">
        <x:v>DELIVERY:S03-03:B:report_v2_tail</x:v>
      </x:c>
      <x:c r="K1076" s="10" t="str">
        <x:v>DELIVERY:S03-03:input</x:v>
      </x:c>
      <x:c r="L1076" s="10" t="str">
        <x:v>DELIVERY:S03-03:B:report_v2_tail, DELIVERY:S03-03:B:display_report_v2, DELIVERY:S03-03:B:report_v2_played</x:v>
      </x:c>
    </x:row>
    <x:row r="1077" ht="52" customHeight="1">
      <x:c r="A1077" s="10" t="str">
        <x:v>D-B</x:v>
      </x:c>
      <x:c r="B1077" s="10" t="str">
        <x:v>DELIVERY</x:v>
      </x:c>
      <x:c r="C1077" s="10" t="str">
        <x:v>DELIVERY:S03-03</x:v>
      </x:c>
      <x:c r="D1077" s="10" t="str">
        <x:v>DELIVERY:S03-03:read_question</x:v>
      </x:c>
      <x:c r="E1077" s="11" t="n">
        <x:v>1.8935</x:v>
      </x:c>
      <x:c r="F1077" s="11" t="n">
        <x:v>4.061</x:v>
      </x:c>
      <x:c r="G1077" s="11" t="n">
        <x:f>F1077-E1077</x:f>
        <x:v>2.1675</x:v>
      </x:c>
      <x:c r="H1077" s="10" t="n">
        <x:v>1</x:v>
      </x:c>
      <x:c r="I1077" s="10" t="str">
        <x:v>AUTHORED_TERMINAL</x:v>
      </x:c>
      <x:c r="J1077" s="10" t="str">
        <x:v>DELIVERY:S03-03:B:question_tail</x:v>
      </x:c>
      <x:c r="K1077" s="10" t="str">
        <x:v>DELIVERY:S03-03:input</x:v>
      </x:c>
      <x:c r="L1077" s="10" t="str">
        <x:v>DELIVERY:S03-03:B:question_tail, DELIVERY:S03-03:B:evaluation_first_display, DELIVERY:S03-03:B:question_played</x:v>
      </x:c>
    </x:row>
    <x:row r="1078" ht="52" customHeight="1">
      <x:c r="A1078" s="10" t="str">
        <x:v>D-A</x:v>
      </x:c>
      <x:c r="B1078" s="10" t="str">
        <x:v>DELIVERY</x:v>
      </x:c>
      <x:c r="C1078" s="10" t="str">
        <x:v>DELIVERY:S03-04</x:v>
      </x:c>
      <x:c r="D1078" s="10" t="str">
        <x:v>DELIVERY:S03-04:report_original</x:v>
      </x:c>
      <x:c r="E1078" s="11" t="n">
        <x:v>3.8928333329999996</x:v>
      </x:c>
      <x:c r="F1078" s="11" t="n">
        <x:v>17.829333333</x:v>
      </x:c>
      <x:c r="G1078" s="11" t="n">
        <x:f>F1078-E1078</x:f>
        <x:v>13.936500000000002</x:v>
      </x:c>
      <x:c r="H1078" s="10" t="n">
        <x:v>1</x:v>
      </x:c>
      <x:c r="I1078" s="10" t="str">
        <x:v>AUTHORED_TERMINAL</x:v>
      </x:c>
      <x:c r="J1078" s="10" t="str">
        <x:v>DELIVERY:S03-04:A:report_v2_tail</x:v>
      </x:c>
      <x:c r="K1078" s="10" t="str">
        <x:v>DELIVERY:S03-04:input</x:v>
      </x:c>
      <x:c r="L1078" s="10" t="str">
        <x:v>DELIVERY:S03-04:A:report_v2_tail, DELIVERY:S03-04:A:display_report_v2, DELIVERY:S03-04:A:report_v2_played</x:v>
      </x:c>
    </x:row>
    <x:row r="1079" ht="52" customHeight="1">
      <x:c r="A1079" s="10" t="str">
        <x:v>D-A</x:v>
      </x:c>
      <x:c r="B1079" s="10" t="str">
        <x:v>DELIVERY</x:v>
      </x:c>
      <x:c r="C1079" s="10" t="str">
        <x:v>DELIVERY:S03-04</x:v>
      </x:c>
      <x:c r="D1079" s="10" t="str">
        <x:v>DELIVERY:S03-04:read_question</x:v>
      </x:c>
      <x:c r="E1079" s="11" t="n">
        <x:v>0.918333333</x:v>
      </x:c>
      <x:c r="F1079" s="11" t="n">
        <x:v>3.700333333</x:v>
      </x:c>
      <x:c r="G1079" s="11" t="n">
        <x:f>F1079-E1079</x:f>
        <x:v>2.782</x:v>
      </x:c>
      <x:c r="H1079" s="10" t="n">
        <x:v>1</x:v>
      </x:c>
      <x:c r="I1079" s="10" t="str">
        <x:v>AUTHORED_TERMINAL</x:v>
      </x:c>
      <x:c r="J1079" s="10" t="str">
        <x:v>DELIVERY:S03-04:A:evaluation_first_display</x:v>
      </x:c>
      <x:c r="K1079" s="10" t="str">
        <x:v>DELIVERY:S03-04:input</x:v>
      </x:c>
      <x:c r="L1079" s="10" t="str">
        <x:v>DELIVERY:S03-04:A:question_tail, DELIVERY:S03-04:A:evaluation_first_display, DELIVERY:S03-04:A:question_played</x:v>
      </x:c>
    </x:row>
    <x:row r="1080" ht="52" customHeight="1">
      <x:c r="A1080" s="10" t="str">
        <x:v>D-B</x:v>
      </x:c>
      <x:c r="B1080" s="10" t="str">
        <x:v>DELIVERY</x:v>
      </x:c>
      <x:c r="C1080" s="10" t="str">
        <x:v>DELIVERY:S03-04</x:v>
      </x:c>
      <x:c r="D1080" s="10" t="str">
        <x:v>DELIVERY:S03-04:report_original</x:v>
      </x:c>
      <x:c r="E1080" s="11" t="n">
        <x:v>4.213833333</x:v>
      </x:c>
      <x:c r="F1080" s="11" t="n">
        <x:v>18.532333333</x:v>
      </x:c>
      <x:c r="G1080" s="11" t="n">
        <x:f>F1080-E1080</x:f>
        <x:v>14.3185</x:v>
      </x:c>
      <x:c r="H1080" s="10" t="n">
        <x:v>1</x:v>
      </x:c>
      <x:c r="I1080" s="10" t="str">
        <x:v>AUTHORED_TERMINAL</x:v>
      </x:c>
      <x:c r="J1080" s="10" t="str">
        <x:v>DELIVERY:S03-04:B:report_v2_tail</x:v>
      </x:c>
      <x:c r="K1080" s="10" t="str">
        <x:v>DELIVERY:S03-04:input</x:v>
      </x:c>
      <x:c r="L1080" s="10" t="str">
        <x:v>DELIVERY:S03-04:B:report_v2_tail, DELIVERY:S03-04:B:display_report_v2, DELIVERY:S03-04:B:report_v2_played</x:v>
      </x:c>
    </x:row>
    <x:row r="1081" ht="52" customHeight="1">
      <x:c r="A1081" s="10" t="str">
        <x:v>D-B</x:v>
      </x:c>
      <x:c r="B1081" s="10" t="str">
        <x:v>DELIVERY</x:v>
      </x:c>
      <x:c r="C1081" s="10" t="str">
        <x:v>DELIVERY:S03-04</x:v>
      </x:c>
      <x:c r="D1081" s="10" t="str">
        <x:v>DELIVERY:S03-04:read_question</x:v>
      </x:c>
      <x:c r="E1081" s="11" t="n">
        <x:v>1.924833333</x:v>
      </x:c>
      <x:c r="F1081" s="11" t="n">
        <x:v>4.101333333</x:v>
      </x:c>
      <x:c r="G1081" s="11" t="n">
        <x:f>F1081-E1081</x:f>
        <x:v>2.1765000000000003</x:v>
      </x:c>
      <x:c r="H1081" s="10" t="n">
        <x:v>1</x:v>
      </x:c>
      <x:c r="I1081" s="10" t="str">
        <x:v>AUTHORED_TERMINAL</x:v>
      </x:c>
      <x:c r="J1081" s="10" t="str">
        <x:v>DELIVERY:S03-04:B:question_tail</x:v>
      </x:c>
      <x:c r="K1081" s="10" t="str">
        <x:v>DELIVERY:S03-04:input</x:v>
      </x:c>
      <x:c r="L1081" s="10" t="str">
        <x:v>DELIVERY:S03-04:B:question_tail, DELIVERY:S03-04:B:evaluation_first_display, DELIVERY:S03-04:B:question_played</x:v>
      </x:c>
    </x:row>
    <x:row r="1082" ht="52" customHeight="1">
      <x:c r="A1082" s="10" t="str">
        <x:v>D-A</x:v>
      </x:c>
      <x:c r="B1082" s="10" t="str">
        <x:v>DELIVERY</x:v>
      </x:c>
      <x:c r="C1082" s="10" t="str">
        <x:v>DELIVERY:S03-05</x:v>
      </x:c>
      <x:c r="D1082" s="10" t="str">
        <x:v>DELIVERY:S03-05:report_original</x:v>
      </x:c>
      <x:c r="E1082" s="11" t="n">
        <x:v>3.9241666669999997</x:v>
      </x:c>
      <x:c r="F1082" s="11" t="n">
        <x:v>17.869666667</x:v>
      </x:c>
      <x:c r="G1082" s="11" t="n">
        <x:f>F1082-E1082</x:f>
        <x:v>13.945500000000001</x:v>
      </x:c>
      <x:c r="H1082" s="10" t="n">
        <x:v>1</x:v>
      </x:c>
      <x:c r="I1082" s="10" t="str">
        <x:v>AUTHORED_TERMINAL</x:v>
      </x:c>
      <x:c r="J1082" s="10" t="str">
        <x:v>DELIVERY:S03-05:A:report_v2_tail</x:v>
      </x:c>
      <x:c r="K1082" s="10" t="str">
        <x:v>DELIVERY:S03-05:input</x:v>
      </x:c>
      <x:c r="L1082" s="10" t="str">
        <x:v>DELIVERY:S03-05:A:report_v2_tail, DELIVERY:S03-05:A:display_report_v2, DELIVERY:S03-05:A:report_v2_played</x:v>
      </x:c>
    </x:row>
    <x:row r="1083" ht="52" customHeight="1">
      <x:c r="A1083" s="10" t="str">
        <x:v>D-A</x:v>
      </x:c>
      <x:c r="B1083" s="10" t="str">
        <x:v>DELIVERY</x:v>
      </x:c>
      <x:c r="C1083" s="10" t="str">
        <x:v>DELIVERY:S03-05</x:v>
      </x:c>
      <x:c r="D1083" s="10" t="str">
        <x:v>DELIVERY:S03-05:read_question</x:v>
      </x:c>
      <x:c r="E1083" s="11" t="n">
        <x:v>0.9466666670000001</x:v>
      </x:c>
      <x:c r="F1083" s="11" t="n">
        <x:v>3.740666667</x:v>
      </x:c>
      <x:c r="G1083" s="11" t="n">
        <x:f>F1083-E1083</x:f>
        <x:v>2.794</x:v>
      </x:c>
      <x:c r="H1083" s="10" t="n">
        <x:v>1</x:v>
      </x:c>
      <x:c r="I1083" s="10" t="str">
        <x:v>AUTHORED_TERMINAL</x:v>
      </x:c>
      <x:c r="J1083" s="10" t="str">
        <x:v>DELIVERY:S03-05:A:evaluation_first_display</x:v>
      </x:c>
      <x:c r="K1083" s="10" t="str">
        <x:v>DELIVERY:S03-05:input</x:v>
      </x:c>
      <x:c r="L1083" s="10" t="str">
        <x:v>DELIVERY:S03-05:A:question_tail, DELIVERY:S03-05:A:evaluation_first_display, DELIVERY:S03-05:A:question_played</x:v>
      </x:c>
    </x:row>
    <x:row r="1084" ht="52" customHeight="1">
      <x:c r="A1084" s="10" t="str">
        <x:v>D-B</x:v>
      </x:c>
      <x:c r="B1084" s="10" t="str">
        <x:v>DELIVERY</x:v>
      </x:c>
      <x:c r="C1084" s="10" t="str">
        <x:v>DELIVERY:S03-05</x:v>
      </x:c>
      <x:c r="D1084" s="10" t="str">
        <x:v>DELIVERY:S03-05:report_original</x:v>
      </x:c>
      <x:c r="E1084" s="11" t="n">
        <x:v>4.2451666669999994</x:v>
      </x:c>
      <x:c r="F1084" s="11" t="n">
        <x:v>18.584666667</x:v>
      </x:c>
      <x:c r="G1084" s="11" t="n">
        <x:f>F1084-E1084</x:f>
        <x:v>14.339500000000001</x:v>
      </x:c>
      <x:c r="H1084" s="10" t="n">
        <x:v>1</x:v>
      </x:c>
      <x:c r="I1084" s="10" t="str">
        <x:v>AUTHORED_TERMINAL</x:v>
      </x:c>
      <x:c r="J1084" s="10" t="str">
        <x:v>DELIVERY:S03-05:B:report_v2_tail</x:v>
      </x:c>
      <x:c r="K1084" s="10" t="str">
        <x:v>DELIVERY:S03-05:input</x:v>
      </x:c>
      <x:c r="L1084" s="10" t="str">
        <x:v>DELIVERY:S03-05:B:report_v2_tail, DELIVERY:S03-05:B:display_report_v2, DELIVERY:S03-05:B:report_v2_played</x:v>
      </x:c>
    </x:row>
    <x:row r="1085" ht="52" customHeight="1">
      <x:c r="A1085" s="10" t="str">
        <x:v>D-B</x:v>
      </x:c>
      <x:c r="B1085" s="10" t="str">
        <x:v>DELIVERY</x:v>
      </x:c>
      <x:c r="C1085" s="10" t="str">
        <x:v>DELIVERY:S03-05</x:v>
      </x:c>
      <x:c r="D1085" s="10" t="str">
        <x:v>DELIVERY:S03-05:read_question</x:v>
      </x:c>
      <x:c r="E1085" s="11" t="n">
        <x:v>1.956166667</x:v>
      </x:c>
      <x:c r="F1085" s="11" t="n">
        <x:v>4.141666667</x:v>
      </x:c>
      <x:c r="G1085" s="11" t="n">
        <x:f>F1085-E1085</x:f>
        <x:v>2.1855</x:v>
      </x:c>
      <x:c r="H1085" s="10" t="n">
        <x:v>1</x:v>
      </x:c>
      <x:c r="I1085" s="10" t="str">
        <x:v>AUTHORED_TERMINAL</x:v>
      </x:c>
      <x:c r="J1085" s="10" t="str">
        <x:v>DELIVERY:S03-05:B:question_tail</x:v>
      </x:c>
      <x:c r="K1085" s="10" t="str">
        <x:v>DELIVERY:S03-05:input</x:v>
      </x:c>
      <x:c r="L1085" s="10" t="str">
        <x:v>DELIVERY:S03-05:B:question_tail, DELIVERY:S03-05:B:evaluation_first_display, DELIVERY:S03-05:B:question_played</x:v>
      </x:c>
    </x:row>
    <x:row r="1086" ht="52" customHeight="1">
      <x:c r="A1086" s="10" t="str">
        <x:v>D-A</x:v>
      </x:c>
      <x:c r="B1086" s="10" t="str">
        <x:v>DELIVERY</x:v>
      </x:c>
      <x:c r="C1086" s="10" t="str">
        <x:v>DELIVERY:S03-06</x:v>
      </x:c>
      <x:c r="D1086" s="10" t="str">
        <x:v>DELIVERY:S03-06:report_original</x:v>
      </x:c>
      <x:c r="E1086" s="11" t="n">
        <x:v>3.8805</x:v>
      </x:c>
      <x:c r="F1086" s="11" t="n">
        <x:v>17.835</x:v>
      </x:c>
      <x:c r="G1086" s="11" t="n">
        <x:f>F1086-E1086</x:f>
        <x:v>13.954500000000001</x:v>
      </x:c>
      <x:c r="H1086" s="10" t="n">
        <x:v>1</x:v>
      </x:c>
      <x:c r="I1086" s="10" t="str">
        <x:v>AUTHORED_TERMINAL</x:v>
      </x:c>
      <x:c r="J1086" s="10" t="str">
        <x:v>DELIVERY:S03-06:A:report_v2_tail</x:v>
      </x:c>
      <x:c r="K1086" s="10" t="str">
        <x:v>DELIVERY:S03-06:input</x:v>
      </x:c>
      <x:c r="L1086" s="10" t="str">
        <x:v>DELIVERY:S03-06:A:report_v2_tail, DELIVERY:S03-06:A:display_report_v2, DELIVERY:S03-06:A:report_v2_played</x:v>
      </x:c>
    </x:row>
    <x:row r="1087" ht="52" customHeight="1">
      <x:c r="A1087" s="10" t="str">
        <x:v>D-A</x:v>
      </x:c>
      <x:c r="B1087" s="10" t="str">
        <x:v>DELIVERY</x:v>
      </x:c>
      <x:c r="C1087" s="10" t="str">
        <x:v>DELIVERY:S03-06</x:v>
      </x:c>
      <x:c r="D1087" s="10" t="str">
        <x:v>DELIVERY:S03-06:read_question</x:v>
      </x:c>
      <x:c r="E1087" s="11" t="n">
        <x:v>0.9000000000000001</x:v>
      </x:c>
      <x:c r="F1087" s="11" t="n">
        <x:v>3.706</x:v>
      </x:c>
      <x:c r="G1087" s="11" t="n">
        <x:f>F1087-E1087</x:f>
        <x:v>2.806</x:v>
      </x:c>
      <x:c r="H1087" s="10" t="n">
        <x:v>1</x:v>
      </x:c>
      <x:c r="I1087" s="10" t="str">
        <x:v>AUTHORED_TERMINAL</x:v>
      </x:c>
      <x:c r="J1087" s="10" t="str">
        <x:v>DELIVERY:S03-06:A:evaluation_first_display</x:v>
      </x:c>
      <x:c r="K1087" s="10" t="str">
        <x:v>DELIVERY:S03-06:input</x:v>
      </x:c>
      <x:c r="L1087" s="10" t="str">
        <x:v>DELIVERY:S03-06:A:question_tail, DELIVERY:S03-06:A:evaluation_first_display, DELIVERY:S03-06:A:question_played</x:v>
      </x:c>
    </x:row>
    <x:row r="1088" ht="52" customHeight="1">
      <x:c r="A1088" s="10" t="str">
        <x:v>D-B</x:v>
      </x:c>
      <x:c r="B1088" s="10" t="str">
        <x:v>DELIVERY</x:v>
      </x:c>
      <x:c r="C1088" s="10" t="str">
        <x:v>DELIVERY:S03-06</x:v>
      </x:c>
      <x:c r="D1088" s="10" t="str">
        <x:v>DELIVERY:S03-06:report_original</x:v>
      </x:c>
      <x:c r="E1088" s="11" t="n">
        <x:v>4.201499999999999</x:v>
      </x:c>
      <x:c r="F1088" s="11" t="n">
        <x:v>18.561999999999998</x:v>
      </x:c>
      <x:c r="G1088" s="11" t="n">
        <x:f>F1088-E1088</x:f>
        <x:v>14.360499999999998</x:v>
      </x:c>
      <x:c r="H1088" s="10" t="n">
        <x:v>1</x:v>
      </x:c>
      <x:c r="I1088" s="10" t="str">
        <x:v>AUTHORED_TERMINAL</x:v>
      </x:c>
      <x:c r="J1088" s="10" t="str">
        <x:v>DELIVERY:S03-06:B:report_v2_tail</x:v>
      </x:c>
      <x:c r="K1088" s="10" t="str">
        <x:v>DELIVERY:S03-06:input</x:v>
      </x:c>
      <x:c r="L1088" s="10" t="str">
        <x:v>DELIVERY:S03-06:B:report_v2_tail, DELIVERY:S03-06:B:display_report_v2, DELIVERY:S03-06:B:report_v2_played</x:v>
      </x:c>
    </x:row>
    <x:row r="1089" ht="52" customHeight="1">
      <x:c r="A1089" s="10" t="str">
        <x:v>D-B</x:v>
      </x:c>
      <x:c r="B1089" s="10" t="str">
        <x:v>DELIVERY</x:v>
      </x:c>
      <x:c r="C1089" s="10" t="str">
        <x:v>DELIVERY:S03-06</x:v>
      </x:c>
      <x:c r="D1089" s="10" t="str">
        <x:v>DELIVERY:S03-06:read_question</x:v>
      </x:c>
      <x:c r="E1089" s="11" t="n">
        <x:v>1.9125000000000003</x:v>
      </x:c>
      <x:c r="F1089" s="11" t="n">
        <x:v>4.107</x:v>
      </x:c>
      <x:c r="G1089" s="11" t="n">
        <x:f>F1089-E1089</x:f>
        <x:v>2.1944999999999997</x:v>
      </x:c>
      <x:c r="H1089" s="10" t="n">
        <x:v>1</x:v>
      </x:c>
      <x:c r="I1089" s="10" t="str">
        <x:v>AUTHORED_TERMINAL</x:v>
      </x:c>
      <x:c r="J1089" s="10" t="str">
        <x:v>DELIVERY:S03-06:B:question_tail</x:v>
      </x:c>
      <x:c r="K1089" s="10" t="str">
        <x:v>DELIVERY:S03-06:input</x:v>
      </x:c>
      <x:c r="L1089" s="10" t="str">
        <x:v>DELIVERY:S03-06:B:question_tail, DELIVERY:S03-06:B:evaluation_first_display, DELIVERY:S03-06:B:question_played</x:v>
      </x:c>
    </x:row>
    <x:row r="1090" ht="52" customHeight="1">
      <x:c r="A1090" s="10" t="str">
        <x:v>D-A</x:v>
      </x:c>
      <x:c r="B1090" s="10" t="str">
        <x:v>DELIVERY</x:v>
      </x:c>
      <x:c r="C1090" s="10" t="str">
        <x:v>DELIVERY:S03-07</x:v>
      </x:c>
      <x:c r="D1090" s="10" t="str">
        <x:v>DELIVERY:S03-07:report_original</x:v>
      </x:c>
      <x:c r="E1090" s="11" t="n">
        <x:v>3.911833333</x:v>
      </x:c>
      <x:c r="F1090" s="11" t="n">
        <x:v>17.875333333</x:v>
      </x:c>
      <x:c r="G1090" s="11" t="n">
        <x:f>F1090-E1090</x:f>
        <x:v>13.9635</x:v>
      </x:c>
      <x:c r="H1090" s="10" t="n">
        <x:v>1</x:v>
      </x:c>
      <x:c r="I1090" s="10" t="str">
        <x:v>AUTHORED_TERMINAL</x:v>
      </x:c>
      <x:c r="J1090" s="10" t="str">
        <x:v>DELIVERY:S03-07:A:report_v2_tail</x:v>
      </x:c>
      <x:c r="K1090" s="10" t="str">
        <x:v>DELIVERY:S03-07:input</x:v>
      </x:c>
      <x:c r="L1090" s="10" t="str">
        <x:v>DELIVERY:S03-07:A:report_v2_tail, DELIVERY:S03-07:A:display_report_v2, DELIVERY:S03-07:A:report_v2_played</x:v>
      </x:c>
    </x:row>
    <x:row r="1091" ht="52" customHeight="1">
      <x:c r="A1091" s="10" t="str">
        <x:v>D-A</x:v>
      </x:c>
      <x:c r="B1091" s="10" t="str">
        <x:v>DELIVERY</x:v>
      </x:c>
      <x:c r="C1091" s="10" t="str">
        <x:v>DELIVERY:S03-07</x:v>
      </x:c>
      <x:c r="D1091" s="10" t="str">
        <x:v>DELIVERY:S03-07:read_question</x:v>
      </x:c>
      <x:c r="E1091" s="11" t="n">
        <x:v>0.928333333</x:v>
      </x:c>
      <x:c r="F1091" s="11" t="n">
        <x:v>3.746333333</x:v>
      </x:c>
      <x:c r="G1091" s="11" t="n">
        <x:f>F1091-E1091</x:f>
        <x:v>2.818</x:v>
      </x:c>
      <x:c r="H1091" s="10" t="n">
        <x:v>1</x:v>
      </x:c>
      <x:c r="I1091" s="10" t="str">
        <x:v>AUTHORED_TERMINAL</x:v>
      </x:c>
      <x:c r="J1091" s="10" t="str">
        <x:v>DELIVERY:S03-07:A:evaluation_first_display</x:v>
      </x:c>
      <x:c r="K1091" s="10" t="str">
        <x:v>DELIVERY:S03-07:input</x:v>
      </x:c>
      <x:c r="L1091" s="10" t="str">
        <x:v>DELIVERY:S03-07:A:question_tail, DELIVERY:S03-07:A:evaluation_first_display, DELIVERY:S03-07:A:question_played</x:v>
      </x:c>
    </x:row>
    <x:row r="1092" ht="52" customHeight="1">
      <x:c r="A1092" s="10" t="str">
        <x:v>D-B</x:v>
      </x:c>
      <x:c r="B1092" s="10" t="str">
        <x:v>DELIVERY</x:v>
      </x:c>
      <x:c r="C1092" s="10" t="str">
        <x:v>DELIVERY:S03-07</x:v>
      </x:c>
      <x:c r="D1092" s="10" t="str">
        <x:v>DELIVERY:S03-07:report_original</x:v>
      </x:c>
      <x:c r="E1092" s="11" t="n">
        <x:v>4.232833333</x:v>
      </x:c>
      <x:c r="F1092" s="11" t="n">
        <x:v>18.614333332999998</x:v>
      </x:c>
      <x:c r="G1092" s="11" t="n">
        <x:f>F1092-E1092</x:f>
        <x:v>14.381499999999997</x:v>
      </x:c>
      <x:c r="H1092" s="10" t="n">
        <x:v>1</x:v>
      </x:c>
      <x:c r="I1092" s="10" t="str">
        <x:v>AUTHORED_TERMINAL</x:v>
      </x:c>
      <x:c r="J1092" s="10" t="str">
        <x:v>DELIVERY:S03-07:B:report_v2_tail</x:v>
      </x:c>
      <x:c r="K1092" s="10" t="str">
        <x:v>DELIVERY:S03-07:input</x:v>
      </x:c>
      <x:c r="L1092" s="10" t="str">
        <x:v>DELIVERY:S03-07:B:report_v2_tail, DELIVERY:S03-07:B:display_report_v2, DELIVERY:S03-07:B:report_v2_played</x:v>
      </x:c>
    </x:row>
    <x:row r="1093" ht="52" customHeight="1">
      <x:c r="A1093" s="10" t="str">
        <x:v>D-B</x:v>
      </x:c>
      <x:c r="B1093" s="10" t="str">
        <x:v>DELIVERY</x:v>
      </x:c>
      <x:c r="C1093" s="10" t="str">
        <x:v>DELIVERY:S03-07</x:v>
      </x:c>
      <x:c r="D1093" s="10" t="str">
        <x:v>DELIVERY:S03-07:read_question</x:v>
      </x:c>
      <x:c r="E1093" s="11" t="n">
        <x:v>1.943833333</x:v>
      </x:c>
      <x:c r="F1093" s="11" t="n">
        <x:v>4.147333333</x:v>
      </x:c>
      <x:c r="G1093" s="11" t="n">
        <x:f>F1093-E1093</x:f>
        <x:v>2.2035</x:v>
      </x:c>
      <x:c r="H1093" s="10" t="n">
        <x:v>1</x:v>
      </x:c>
      <x:c r="I1093" s="10" t="str">
        <x:v>AUTHORED_TERMINAL</x:v>
      </x:c>
      <x:c r="J1093" s="10" t="str">
        <x:v>DELIVERY:S03-07:B:question_tail</x:v>
      </x:c>
      <x:c r="K1093" s="10" t="str">
        <x:v>DELIVERY:S03-07:input</x:v>
      </x:c>
      <x:c r="L1093" s="10" t="str">
        <x:v>DELIVERY:S03-07:B:question_tail, DELIVERY:S03-07:B:evaluation_first_display, DELIVERY:S03-07:B:question_played</x:v>
      </x:c>
    </x:row>
    <x:row r="1094" ht="52" customHeight="1">
      <x:c r="A1094" s="10" t="str">
        <x:v>D-A</x:v>
      </x:c>
      <x:c r="B1094" s="10" t="str">
        <x:v>DELIVERY</x:v>
      </x:c>
      <x:c r="C1094" s="10" t="str">
        <x:v>DELIVERY:S03-08</x:v>
      </x:c>
      <x:c r="D1094" s="10" t="str">
        <x:v>DELIVERY:S03-08:report_original</x:v>
      </x:c>
      <x:c r="E1094" s="11" t="n">
        <x:v>3.9431666670000003</x:v>
      </x:c>
      <x:c r="F1094" s="11" t="n">
        <x:v>17.915666667</x:v>
      </x:c>
      <x:c r="G1094" s="11" t="n">
        <x:f>F1094-E1094</x:f>
        <x:v>13.9725</x:v>
      </x:c>
      <x:c r="H1094" s="10" t="n">
        <x:v>1</x:v>
      </x:c>
      <x:c r="I1094" s="10" t="str">
        <x:v>AUTHORED_TERMINAL</x:v>
      </x:c>
      <x:c r="J1094" s="10" t="str">
        <x:v>DELIVERY:S03-08:A:report_v2_tail</x:v>
      </x:c>
      <x:c r="K1094" s="10" t="str">
        <x:v>DELIVERY:S03-08:input</x:v>
      </x:c>
      <x:c r="L1094" s="10" t="str">
        <x:v>DELIVERY:S03-08:A:report_v2_tail, DELIVERY:S03-08:A:display_report_v2, DELIVERY:S03-08:A:report_v2_played</x:v>
      </x:c>
    </x:row>
    <x:row r="1095" ht="52" customHeight="1">
      <x:c r="A1095" s="10" t="str">
        <x:v>D-A</x:v>
      </x:c>
      <x:c r="B1095" s="10" t="str">
        <x:v>DELIVERY</x:v>
      </x:c>
      <x:c r="C1095" s="10" t="str">
        <x:v>DELIVERY:S03-08</x:v>
      </x:c>
      <x:c r="D1095" s="10" t="str">
        <x:v>DELIVERY:S03-08:read_question</x:v>
      </x:c>
      <x:c r="E1095" s="11" t="n">
        <x:v>0.9566666670000001</x:v>
      </x:c>
      <x:c r="F1095" s="11" t="n">
        <x:v>3.786666667</x:v>
      </x:c>
      <x:c r="G1095" s="11" t="n">
        <x:f>F1095-E1095</x:f>
        <x:v>2.83</x:v>
      </x:c>
      <x:c r="H1095" s="10" t="n">
        <x:v>1</x:v>
      </x:c>
      <x:c r="I1095" s="10" t="str">
        <x:v>AUTHORED_TERMINAL</x:v>
      </x:c>
      <x:c r="J1095" s="10" t="str">
        <x:v>DELIVERY:S03-08:A:evaluation_first_display</x:v>
      </x:c>
      <x:c r="K1095" s="10" t="str">
        <x:v>DELIVERY:S03-08:input</x:v>
      </x:c>
      <x:c r="L1095" s="10" t="str">
        <x:v>DELIVERY:S03-08:A:question_tail, DELIVERY:S03-08:A:evaluation_first_display, DELIVERY:S03-08:A:question_played</x:v>
      </x:c>
    </x:row>
    <x:row r="1096" ht="52" customHeight="1">
      <x:c r="A1096" s="10" t="str">
        <x:v>D-B</x:v>
      </x:c>
      <x:c r="B1096" s="10" t="str">
        <x:v>DELIVERY</x:v>
      </x:c>
      <x:c r="C1096" s="10" t="str">
        <x:v>DELIVERY:S03-08</x:v>
      </x:c>
      <x:c r="D1096" s="10" t="str">
        <x:v>DELIVERY:S03-08:report_original</x:v>
      </x:c>
      <x:c r="E1096" s="11" t="n">
        <x:v>4.264166667</x:v>
      </x:c>
      <x:c r="F1096" s="11" t="n">
        <x:v>18.666666667</x:v>
      </x:c>
      <x:c r="G1096" s="11" t="n">
        <x:f>F1096-E1096</x:f>
        <x:v>14.402500000000002</x:v>
      </x:c>
      <x:c r="H1096" s="10" t="n">
        <x:v>1</x:v>
      </x:c>
      <x:c r="I1096" s="10" t="str">
        <x:v>AUTHORED_TERMINAL</x:v>
      </x:c>
      <x:c r="J1096" s="10" t="str">
        <x:v>DELIVERY:S03-08:B:report_v2_tail</x:v>
      </x:c>
      <x:c r="K1096" s="10" t="str">
        <x:v>DELIVERY:S03-08:input</x:v>
      </x:c>
      <x:c r="L1096" s="10" t="str">
        <x:v>DELIVERY:S03-08:B:report_v2_tail, DELIVERY:S03-08:B:display_report_v2, DELIVERY:S03-08:B:report_v2_played</x:v>
      </x:c>
    </x:row>
    <x:row r="1097" ht="52" customHeight="1">
      <x:c r="A1097" s="10" t="str">
        <x:v>D-B</x:v>
      </x:c>
      <x:c r="B1097" s="10" t="str">
        <x:v>DELIVERY</x:v>
      </x:c>
      <x:c r="C1097" s="10" t="str">
        <x:v>DELIVERY:S03-08</x:v>
      </x:c>
      <x:c r="D1097" s="10" t="str">
        <x:v>DELIVERY:S03-08:read_question</x:v>
      </x:c>
      <x:c r="E1097" s="11" t="n">
        <x:v>1.9751666670000003</x:v>
      </x:c>
      <x:c r="F1097" s="11" t="n">
        <x:v>4.187666667</x:v>
      </x:c>
      <x:c r="G1097" s="11" t="n">
        <x:f>F1097-E1097</x:f>
        <x:v>2.2125</x:v>
      </x:c>
      <x:c r="H1097" s="10" t="n">
        <x:v>1</x:v>
      </x:c>
      <x:c r="I1097" s="10" t="str">
        <x:v>AUTHORED_TERMINAL</x:v>
      </x:c>
      <x:c r="J1097" s="10" t="str">
        <x:v>DELIVERY:S03-08:B:question_tail</x:v>
      </x:c>
      <x:c r="K1097" s="10" t="str">
        <x:v>DELIVERY:S03-08:input</x:v>
      </x:c>
      <x:c r="L1097" s="10" t="str">
        <x:v>DELIVERY:S03-08:B:question_tail, DELIVERY:S03-08:B:evaluation_first_display, DELIVERY:S03-08:B:question_played</x:v>
      </x:c>
    </x:row>
    <x:row r="1098" ht="52" customHeight="1">
      <x:c r="A1098" s="10" t="str">
        <x:v>D-A</x:v>
      </x:c>
      <x:c r="B1098" s="10" t="str">
        <x:v>DELIVERY</x:v>
      </x:c>
      <x:c r="C1098" s="10" t="str">
        <x:v>DELIVERY:S03-09</x:v>
      </x:c>
      <x:c r="D1098" s="10" t="str">
        <x:v>DELIVERY:S03-09:report_original</x:v>
      </x:c>
      <x:c r="E1098" s="11" t="n">
        <x:v>3.8994999999999997</x:v>
      </x:c>
      <x:c r="F1098" s="11" t="n">
        <x:v>17.881</x:v>
      </x:c>
      <x:c r="G1098" s="11" t="n">
        <x:f>F1098-E1098</x:f>
        <x:v>13.9815</x:v>
      </x:c>
      <x:c r="H1098" s="10" t="n">
        <x:v>1</x:v>
      </x:c>
      <x:c r="I1098" s="10" t="str">
        <x:v>AUTHORED_TERMINAL</x:v>
      </x:c>
      <x:c r="J1098" s="10" t="str">
        <x:v>DELIVERY:S03-09:A:report_v2_tail</x:v>
      </x:c>
      <x:c r="K1098" s="10" t="str">
        <x:v>DELIVERY:S03-09:input</x:v>
      </x:c>
      <x:c r="L1098" s="10" t="str">
        <x:v>DELIVERY:S03-09:A:report_v2_tail, DELIVERY:S03-09:A:display_report_v2, DELIVERY:S03-09:A:report_v2_played</x:v>
      </x:c>
    </x:row>
    <x:row r="1099" ht="52" customHeight="1">
      <x:c r="A1099" s="10" t="str">
        <x:v>D-A</x:v>
      </x:c>
      <x:c r="B1099" s="10" t="str">
        <x:v>DELIVERY</x:v>
      </x:c>
      <x:c r="C1099" s="10" t="str">
        <x:v>DELIVERY:S03-09</x:v>
      </x:c>
      <x:c r="D1099" s="10" t="str">
        <x:v>DELIVERY:S03-09:read_question</x:v>
      </x:c>
      <x:c r="E1099" s="11" t="n">
        <x:v>0.9100000000000001</x:v>
      </x:c>
      <x:c r="F1099" s="11" t="n">
        <x:v>3.752</x:v>
      </x:c>
      <x:c r="G1099" s="11" t="n">
        <x:f>F1099-E1099</x:f>
        <x:v>2.8419999999999996</x:v>
      </x:c>
      <x:c r="H1099" s="10" t="n">
        <x:v>1</x:v>
      </x:c>
      <x:c r="I1099" s="10" t="str">
        <x:v>AUTHORED_TERMINAL</x:v>
      </x:c>
      <x:c r="J1099" s="10" t="str">
        <x:v>DELIVERY:S03-09:A:evaluation_first_display</x:v>
      </x:c>
      <x:c r="K1099" s="10" t="str">
        <x:v>DELIVERY:S03-09:input</x:v>
      </x:c>
      <x:c r="L1099" s="10" t="str">
        <x:v>DELIVERY:S03-09:A:question_tail, DELIVERY:S03-09:A:evaluation_first_display, DELIVERY:S03-09:A:question_played</x:v>
      </x:c>
    </x:row>
    <x:row r="1100" ht="52" customHeight="1">
      <x:c r="A1100" s="10" t="str">
        <x:v>D-B</x:v>
      </x:c>
      <x:c r="B1100" s="10" t="str">
        <x:v>DELIVERY</x:v>
      </x:c>
      <x:c r="C1100" s="10" t="str">
        <x:v>DELIVERY:S03-09</x:v>
      </x:c>
      <x:c r="D1100" s="10" t="str">
        <x:v>DELIVERY:S03-09:report_original</x:v>
      </x:c>
      <x:c r="E1100" s="11" t="n">
        <x:v>4.2205</x:v>
      </x:c>
      <x:c r="F1100" s="11" t="n">
        <x:v>18.644</x:v>
      </x:c>
      <x:c r="G1100" s="11" t="n">
        <x:f>F1100-E1100</x:f>
        <x:v>14.423499999999997</x:v>
      </x:c>
      <x:c r="H1100" s="10" t="n">
        <x:v>1</x:v>
      </x:c>
      <x:c r="I1100" s="10" t="str">
        <x:v>AUTHORED_TERMINAL</x:v>
      </x:c>
      <x:c r="J1100" s="10" t="str">
        <x:v>DELIVERY:S03-09:B:report_v2_tail</x:v>
      </x:c>
      <x:c r="K1100" s="10" t="str">
        <x:v>DELIVERY:S03-09:input</x:v>
      </x:c>
      <x:c r="L1100" s="10" t="str">
        <x:v>DELIVERY:S03-09:B:report_v2_tail, DELIVERY:S03-09:B:display_report_v2, DELIVERY:S03-09:B:report_v2_played</x:v>
      </x:c>
    </x:row>
    <x:row r="1101" ht="52" customHeight="1">
      <x:c r="A1101" s="10" t="str">
        <x:v>D-B</x:v>
      </x:c>
      <x:c r="B1101" s="10" t="str">
        <x:v>DELIVERY</x:v>
      </x:c>
      <x:c r="C1101" s="10" t="str">
        <x:v>DELIVERY:S03-09</x:v>
      </x:c>
      <x:c r="D1101" s="10" t="str">
        <x:v>DELIVERY:S03-09:read_question</x:v>
      </x:c>
      <x:c r="E1101" s="11" t="n">
        <x:v>1.9315</x:v>
      </x:c>
      <x:c r="F1101" s="11" t="n">
        <x:v>4.153</x:v>
      </x:c>
      <x:c r="G1101" s="11" t="n">
        <x:f>F1101-E1101</x:f>
        <x:v>2.2215</x:v>
      </x:c>
      <x:c r="H1101" s="10" t="n">
        <x:v>1</x:v>
      </x:c>
      <x:c r="I1101" s="10" t="str">
        <x:v>AUTHORED_TERMINAL</x:v>
      </x:c>
      <x:c r="J1101" s="10" t="str">
        <x:v>DELIVERY:S03-09:B:question_tail</x:v>
      </x:c>
      <x:c r="K1101" s="10" t="str">
        <x:v>DELIVERY:S03-09:input</x:v>
      </x:c>
      <x:c r="L1101" s="10" t="str">
        <x:v>DELIVERY:S03-09:B:question_tail, DELIVERY:S03-09:B:evaluation_first_display, DELIVERY:S03-09:B:question_played</x:v>
      </x:c>
    </x:row>
    <x:row r="1102" ht="52" customHeight="1">
      <x:c r="A1102" s="10" t="str">
        <x:v>D-A</x:v>
      </x:c>
      <x:c r="B1102" s="10" t="str">
        <x:v>DELIVERY</x:v>
      </x:c>
      <x:c r="C1102" s="10" t="str">
        <x:v>DELIVERY:S03-10</x:v>
      </x:c>
      <x:c r="D1102" s="10" t="str">
        <x:v>DELIVERY:S03-10:report_original</x:v>
      </x:c>
      <x:c r="E1102" s="11" t="n">
        <x:v>3.930833333</x:v>
      </x:c>
      <x:c r="F1102" s="11" t="n">
        <x:v>17.921333333</x:v>
      </x:c>
      <x:c r="G1102" s="11" t="n">
        <x:f>F1102-E1102</x:f>
        <x:v>13.9905</x:v>
      </x:c>
      <x:c r="H1102" s="10" t="n">
        <x:v>1</x:v>
      </x:c>
      <x:c r="I1102" s="10" t="str">
        <x:v>AUTHORED_TERMINAL</x:v>
      </x:c>
      <x:c r="J1102" s="10" t="str">
        <x:v>DELIVERY:S03-10:A:report_v2_tail</x:v>
      </x:c>
      <x:c r="K1102" s="10" t="str">
        <x:v>DELIVERY:S03-10:input</x:v>
      </x:c>
      <x:c r="L1102" s="10" t="str">
        <x:v>DELIVERY:S03-10:A:report_v2_tail, DELIVERY:S03-10:A:display_report_v2, DELIVERY:S03-10:A:report_v2_played</x:v>
      </x:c>
    </x:row>
    <x:row r="1103" ht="52" customHeight="1">
      <x:c r="A1103" s="10" t="str">
        <x:v>D-A</x:v>
      </x:c>
      <x:c r="B1103" s="10" t="str">
        <x:v>DELIVERY</x:v>
      </x:c>
      <x:c r="C1103" s="10" t="str">
        <x:v>DELIVERY:S03-10</x:v>
      </x:c>
      <x:c r="D1103" s="10" t="str">
        <x:v>DELIVERY:S03-10:read_question</x:v>
      </x:c>
      <x:c r="E1103" s="11" t="n">
        <x:v>0.938333333</x:v>
      </x:c>
      <x:c r="F1103" s="11" t="n">
        <x:v>3.792333333</x:v>
      </x:c>
      <x:c r="G1103" s="11" t="n">
        <x:f>F1103-E1103</x:f>
        <x:v>2.854</x:v>
      </x:c>
      <x:c r="H1103" s="10" t="n">
        <x:v>1</x:v>
      </x:c>
      <x:c r="I1103" s="10" t="str">
        <x:v>AUTHORED_TERMINAL</x:v>
      </x:c>
      <x:c r="J1103" s="10" t="str">
        <x:v>DELIVERY:S03-10:A:evaluation_first_display</x:v>
      </x:c>
      <x:c r="K1103" s="10" t="str">
        <x:v>DELIVERY:S03-10:input</x:v>
      </x:c>
      <x:c r="L1103" s="10" t="str">
        <x:v>DELIVERY:S03-10:A:question_tail, DELIVERY:S03-10:A:evaluation_first_display, DELIVERY:S03-10:A:question_played</x:v>
      </x:c>
    </x:row>
    <x:row r="1104" ht="52" customHeight="1">
      <x:c r="A1104" s="10" t="str">
        <x:v>D-B</x:v>
      </x:c>
      <x:c r="B1104" s="10" t="str">
        <x:v>DELIVERY</x:v>
      </x:c>
      <x:c r="C1104" s="10" t="str">
        <x:v>DELIVERY:S03-10</x:v>
      </x:c>
      <x:c r="D1104" s="10" t="str">
        <x:v>DELIVERY:S03-10:report_original</x:v>
      </x:c>
      <x:c r="E1104" s="11" t="n">
        <x:v>4.2518333329999995</x:v>
      </x:c>
      <x:c r="F1104" s="11" t="n">
        <x:v>18.696333333</x:v>
      </x:c>
      <x:c r="G1104" s="11" t="n">
        <x:f>F1104-E1104</x:f>
        <x:v>14.444499999999998</x:v>
      </x:c>
      <x:c r="H1104" s="10" t="n">
        <x:v>1</x:v>
      </x:c>
      <x:c r="I1104" s="10" t="str">
        <x:v>AUTHORED_TERMINAL</x:v>
      </x:c>
      <x:c r="J1104" s="10" t="str">
        <x:v>DELIVERY:S03-10:B:report_v2_tail</x:v>
      </x:c>
      <x:c r="K1104" s="10" t="str">
        <x:v>DELIVERY:S03-10:input</x:v>
      </x:c>
      <x:c r="L1104" s="10" t="str">
        <x:v>DELIVERY:S03-10:B:report_v2_tail, DELIVERY:S03-10:B:display_report_v2, DELIVERY:S03-10:B:report_v2_played</x:v>
      </x:c>
    </x:row>
    <x:row r="1105" ht="52" customHeight="1">
      <x:c r="A1105" s="10" t="str">
        <x:v>D-B</x:v>
      </x:c>
      <x:c r="B1105" s="10" t="str">
        <x:v>DELIVERY</x:v>
      </x:c>
      <x:c r="C1105" s="10" t="str">
        <x:v>DELIVERY:S03-10</x:v>
      </x:c>
      <x:c r="D1105" s="10" t="str">
        <x:v>DELIVERY:S03-10:read_question</x:v>
      </x:c>
      <x:c r="E1105" s="11" t="n">
        <x:v>1.962833333</x:v>
      </x:c>
      <x:c r="F1105" s="11" t="n">
        <x:v>4.193333333</x:v>
      </x:c>
      <x:c r="G1105" s="11" t="n">
        <x:f>F1105-E1105</x:f>
        <x:v>2.2305</x:v>
      </x:c>
      <x:c r="H1105" s="10" t="n">
        <x:v>1</x:v>
      </x:c>
      <x:c r="I1105" s="10" t="str">
        <x:v>AUTHORED_TERMINAL</x:v>
      </x:c>
      <x:c r="J1105" s="10" t="str">
        <x:v>DELIVERY:S03-10:B:question_tail</x:v>
      </x:c>
      <x:c r="K1105" s="10" t="str">
        <x:v>DELIVERY:S03-10:input</x:v>
      </x:c>
      <x:c r="L1105" s="10" t="str">
        <x:v>DELIVERY:S03-10:B:question_tail, DELIVERY:S03-10:B:evaluation_first_display, DELIVERY:S03-10:B:question_played</x:v>
      </x:c>
    </x:row>
    <x:row r="1106" ht="52" customHeight="1">
      <x:c r="A1106" s="10" t="str">
        <x:v>D-A</x:v>
      </x:c>
      <x:c r="B1106" s="10" t="str">
        <x:v>DELIVERY</x:v>
      </x:c>
      <x:c r="C1106" s="10" t="str">
        <x:v>DELIVERY:S04-01</x:v>
      </x:c>
      <x:c r="D1106" s="10" t="str">
        <x:v>DELIVERY:S04-01:delivery_request</x:v>
      </x:c>
      <x:c r="E1106" s="11" t="n">
        <x:v>2.112166666</x:v>
      </x:c>
      <x:c r="F1106" s="11" t="n">
        <x:v>4.861666666</x:v>
      </x:c>
      <x:c r="G1106" s="11" t="n">
        <x:f>F1106-E1106</x:f>
        <x:v>2.7495</x:v>
      </x:c>
      <x:c r="H1106" s="10" t="n">
        <x:v>1</x:v>
      </x:c>
      <x:c r="I1106" s="10" t="str">
        <x:v>AUTHORED_TERMINAL</x:v>
      </x:c>
      <x:c r="J1106" s="10" t="str">
        <x:v>DELIVERY:S04-01:A:withdraw_ack_tail</x:v>
      </x:c>
      <x:c r="K1106" s="10" t="str">
        <x:v>DELIVERY:S04-01:input</x:v>
      </x:c>
      <x:c r="L1106" s="10" t="str">
        <x:v>DELIVERY:S04-01:A:withdraw_ack_tail, DELIVERY:S04-01:A:evaluation_first_display, DELIVERY:S04-01:A:withdraw_ack_played</x:v>
      </x:c>
    </x:row>
    <x:row r="1107" ht="52" customHeight="1">
      <x:c r="A1107" s="10" t="str">
        <x:v>D-B</x:v>
      </x:c>
      <x:c r="B1107" s="10" t="str">
        <x:v>DELIVERY</x:v>
      </x:c>
      <x:c r="C1107" s="10" t="str">
        <x:v>DELIVERY:S04-01</x:v>
      </x:c>
      <x:c r="D1107" s="10" t="str">
        <x:v>DELIVERY:S04-01:delivery_request</x:v>
      </x:c>
      <x:c r="E1107" s="11" t="n">
        <x:v>2.112166666</x:v>
      </x:c>
      <x:c r="F1107" s="11" t="n">
        <x:v>4.861666666</x:v>
      </x:c>
      <x:c r="G1107" s="11" t="n">
        <x:f>F1107-E1107</x:f>
        <x:v>2.7495</x:v>
      </x:c>
      <x:c r="H1107" s="10" t="n">
        <x:v>1</x:v>
      </x:c>
      <x:c r="I1107" s="10" t="str">
        <x:v>AUTHORED_TERMINAL</x:v>
      </x:c>
      <x:c r="J1107" s="10" t="str">
        <x:v>DELIVERY:S04-01:B:withdraw_ack_tail</x:v>
      </x:c>
      <x:c r="K1107" s="10" t="str">
        <x:v>DELIVERY:S04-01:input</x:v>
      </x:c>
      <x:c r="L1107" s="10" t="str">
        <x:v>DELIVERY:S04-01:B:withdraw_ack_tail, DELIVERY:S04-01:B:evaluation_first_display, DELIVERY:S04-01:B:withdraw_ack_played</x:v>
      </x:c>
    </x:row>
    <x:row r="1108" ht="52" customHeight="1">
      <x:c r="A1108" s="10" t="str">
        <x:v>D-A</x:v>
      </x:c>
      <x:c r="B1108" s="10" t="str">
        <x:v>DELIVERY</x:v>
      </x:c>
      <x:c r="C1108" s="10" t="str">
        <x:v>DELIVERY:S04-02</x:v>
      </x:c>
      <x:c r="D1108" s="10" t="str">
        <x:v>DELIVERY:S04-02:delivery_request</x:v>
      </x:c>
      <x:c r="E1108" s="11" t="n">
        <x:v>2.1435</x:v>
      </x:c>
      <x:c r="F1108" s="11" t="n">
        <x:v>4.902</x:v>
      </x:c>
      <x:c r="G1108" s="11" t="n">
        <x:f>F1108-E1108</x:f>
        <x:v>2.7585</x:v>
      </x:c>
      <x:c r="H1108" s="10" t="n">
        <x:v>1</x:v>
      </x:c>
      <x:c r="I1108" s="10" t="str">
        <x:v>AUTHORED_TERMINAL</x:v>
      </x:c>
      <x:c r="J1108" s="10" t="str">
        <x:v>DELIVERY:S04-02:A:withdraw_ack_tail</x:v>
      </x:c>
      <x:c r="K1108" s="10" t="str">
        <x:v>DELIVERY:S04-02:input</x:v>
      </x:c>
      <x:c r="L1108" s="10" t="str">
        <x:v>DELIVERY:S04-02:A:withdraw_ack_tail, DELIVERY:S04-02:A:evaluation_first_display, DELIVERY:S04-02:A:withdraw_ack_played</x:v>
      </x:c>
    </x:row>
    <x:row r="1109" ht="52" customHeight="1">
      <x:c r="A1109" s="10" t="str">
        <x:v>D-B</x:v>
      </x:c>
      <x:c r="B1109" s="10" t="str">
        <x:v>DELIVERY</x:v>
      </x:c>
      <x:c r="C1109" s="10" t="str">
        <x:v>DELIVERY:S04-02</x:v>
      </x:c>
      <x:c r="D1109" s="10" t="str">
        <x:v>DELIVERY:S04-02:delivery_request</x:v>
      </x:c>
      <x:c r="E1109" s="11" t="n">
        <x:v>2.1435</x:v>
      </x:c>
      <x:c r="F1109" s="11" t="n">
        <x:v>4.902</x:v>
      </x:c>
      <x:c r="G1109" s="11" t="n">
        <x:f>F1109-E1109</x:f>
        <x:v>2.7585</x:v>
      </x:c>
      <x:c r="H1109" s="10" t="n">
        <x:v>1</x:v>
      </x:c>
      <x:c r="I1109" s="10" t="str">
        <x:v>AUTHORED_TERMINAL</x:v>
      </x:c>
      <x:c r="J1109" s="10" t="str">
        <x:v>DELIVERY:S04-02:B:withdraw_ack_tail</x:v>
      </x:c>
      <x:c r="K1109" s="10" t="str">
        <x:v>DELIVERY:S04-02:input</x:v>
      </x:c>
      <x:c r="L1109" s="10" t="str">
        <x:v>DELIVERY:S04-02:B:withdraw_ack_tail, DELIVERY:S04-02:B:evaluation_first_display, DELIVERY:S04-02:B:withdraw_ack_played</x:v>
      </x:c>
    </x:row>
    <x:row r="1110" ht="52" customHeight="1">
      <x:c r="A1110" s="10" t="str">
        <x:v>D-A</x:v>
      </x:c>
      <x:c r="B1110" s="10" t="str">
        <x:v>DELIVERY</x:v>
      </x:c>
      <x:c r="C1110" s="10" t="str">
        <x:v>DELIVERY:S04-03</x:v>
      </x:c>
      <x:c r="D1110" s="10" t="str">
        <x:v>DELIVERY:S04-03:delivery_request</x:v>
      </x:c>
      <x:c r="E1110" s="11" t="n">
        <x:v>2.099833333</x:v>
      </x:c>
      <x:c r="F1110" s="11" t="n">
        <x:v>4.867333333</x:v>
      </x:c>
      <x:c r="G1110" s="11" t="n">
        <x:f>F1110-E1110</x:f>
        <x:v>2.7675000000000005</x:v>
      </x:c>
      <x:c r="H1110" s="10" t="n">
        <x:v>1</x:v>
      </x:c>
      <x:c r="I1110" s="10" t="str">
        <x:v>AUTHORED_TERMINAL</x:v>
      </x:c>
      <x:c r="J1110" s="10" t="str">
        <x:v>DELIVERY:S04-03:A:withdraw_ack_tail</x:v>
      </x:c>
      <x:c r="K1110" s="10" t="str">
        <x:v>DELIVERY:S04-03:input</x:v>
      </x:c>
      <x:c r="L1110" s="10" t="str">
        <x:v>DELIVERY:S04-03:A:withdraw_ack_tail, DELIVERY:S04-03:A:evaluation_first_display, DELIVERY:S04-03:A:withdraw_ack_played</x:v>
      </x:c>
    </x:row>
    <x:row r="1111" ht="52" customHeight="1">
      <x:c r="A1111" s="10" t="str">
        <x:v>D-B</x:v>
      </x:c>
      <x:c r="B1111" s="10" t="str">
        <x:v>DELIVERY</x:v>
      </x:c>
      <x:c r="C1111" s="10" t="str">
        <x:v>DELIVERY:S04-03</x:v>
      </x:c>
      <x:c r="D1111" s="10" t="str">
        <x:v>DELIVERY:S04-03:delivery_request</x:v>
      </x:c>
      <x:c r="E1111" s="11" t="n">
        <x:v>2.099833333</x:v>
      </x:c>
      <x:c r="F1111" s="11" t="n">
        <x:v>4.867333333</x:v>
      </x:c>
      <x:c r="G1111" s="11" t="n">
        <x:f>F1111-E1111</x:f>
        <x:v>2.7675000000000005</x:v>
      </x:c>
      <x:c r="H1111" s="10" t="n">
        <x:v>1</x:v>
      </x:c>
      <x:c r="I1111" s="10" t="str">
        <x:v>AUTHORED_TERMINAL</x:v>
      </x:c>
      <x:c r="J1111" s="10" t="str">
        <x:v>DELIVERY:S04-03:B:withdraw_ack_tail</x:v>
      </x:c>
      <x:c r="K1111" s="10" t="str">
        <x:v>DELIVERY:S04-03:input</x:v>
      </x:c>
      <x:c r="L1111" s="10" t="str">
        <x:v>DELIVERY:S04-03:B:withdraw_ack_tail, DELIVERY:S04-03:B:evaluation_first_display, DELIVERY:S04-03:B:withdraw_ack_played</x:v>
      </x:c>
    </x:row>
    <x:row r="1112" ht="52" customHeight="1">
      <x:c r="A1112" s="10" t="str">
        <x:v>D-A</x:v>
      </x:c>
      <x:c r="B1112" s="10" t="str">
        <x:v>DELIVERY</x:v>
      </x:c>
      <x:c r="C1112" s="10" t="str">
        <x:v>DELIVERY:S04-04</x:v>
      </x:c>
      <x:c r="D1112" s="10" t="str">
        <x:v>DELIVERY:S04-04:delivery_request</x:v>
      </x:c>
      <x:c r="E1112" s="11" t="n">
        <x:v>2.131166666</x:v>
      </x:c>
      <x:c r="F1112" s="11" t="n">
        <x:v>4.907666666</x:v>
      </x:c>
      <x:c r="G1112" s="11" t="n">
        <x:f>F1112-E1112</x:f>
        <x:v>2.7765</x:v>
      </x:c>
      <x:c r="H1112" s="10" t="n">
        <x:v>1</x:v>
      </x:c>
      <x:c r="I1112" s="10" t="str">
        <x:v>AUTHORED_TERMINAL</x:v>
      </x:c>
      <x:c r="J1112" s="10" t="str">
        <x:v>DELIVERY:S04-04:A:withdraw_ack_tail</x:v>
      </x:c>
      <x:c r="K1112" s="10" t="str">
        <x:v>DELIVERY:S04-04:input</x:v>
      </x:c>
      <x:c r="L1112" s="10" t="str">
        <x:v>DELIVERY:S04-04:A:withdraw_ack_tail, DELIVERY:S04-04:A:evaluation_first_display, DELIVERY:S04-04:A:withdraw_ack_played</x:v>
      </x:c>
    </x:row>
    <x:row r="1113" ht="52" customHeight="1">
      <x:c r="A1113" s="10" t="str">
        <x:v>D-B</x:v>
      </x:c>
      <x:c r="B1113" s="10" t="str">
        <x:v>DELIVERY</x:v>
      </x:c>
      <x:c r="C1113" s="10" t="str">
        <x:v>DELIVERY:S04-04</x:v>
      </x:c>
      <x:c r="D1113" s="10" t="str">
        <x:v>DELIVERY:S04-04:delivery_request</x:v>
      </x:c>
      <x:c r="E1113" s="11" t="n">
        <x:v>2.131166666</x:v>
      </x:c>
      <x:c r="F1113" s="11" t="n">
        <x:v>4.907666666</x:v>
      </x:c>
      <x:c r="G1113" s="11" t="n">
        <x:f>F1113-E1113</x:f>
        <x:v>2.7765</x:v>
      </x:c>
      <x:c r="H1113" s="10" t="n">
        <x:v>1</x:v>
      </x:c>
      <x:c r="I1113" s="10" t="str">
        <x:v>AUTHORED_TERMINAL</x:v>
      </x:c>
      <x:c r="J1113" s="10" t="str">
        <x:v>DELIVERY:S04-04:B:withdraw_ack_tail</x:v>
      </x:c>
      <x:c r="K1113" s="10" t="str">
        <x:v>DELIVERY:S04-04:input</x:v>
      </x:c>
      <x:c r="L1113" s="10" t="str">
        <x:v>DELIVERY:S04-04:B:withdraw_ack_tail, DELIVERY:S04-04:B:evaluation_first_display, DELIVERY:S04-04:B:withdraw_ack_played</x:v>
      </x:c>
    </x:row>
    <x:row r="1114" ht="52" customHeight="1">
      <x:c r="A1114" s="10" t="str">
        <x:v>D-A</x:v>
      </x:c>
      <x:c r="B1114" s="10" t="str">
        <x:v>DELIVERY</x:v>
      </x:c>
      <x:c r="C1114" s="10" t="str">
        <x:v>DELIVERY:S04-05</x:v>
      </x:c>
      <x:c r="D1114" s="10" t="str">
        <x:v>DELIVERY:S04-05:delivery_request</x:v>
      </x:c>
      <x:c r="E1114" s="11" t="n">
        <x:v>2.1625</x:v>
      </x:c>
      <x:c r="F1114" s="11" t="n">
        <x:v>4.948</x:v>
      </x:c>
      <x:c r="G1114" s="11" t="n">
        <x:f>F1114-E1114</x:f>
        <x:v>2.7855000000000003</x:v>
      </x:c>
      <x:c r="H1114" s="10" t="n">
        <x:v>1</x:v>
      </x:c>
      <x:c r="I1114" s="10" t="str">
        <x:v>AUTHORED_TERMINAL</x:v>
      </x:c>
      <x:c r="J1114" s="10" t="str">
        <x:v>DELIVERY:S04-05:A:withdraw_ack_tail</x:v>
      </x:c>
      <x:c r="K1114" s="10" t="str">
        <x:v>DELIVERY:S04-05:input</x:v>
      </x:c>
      <x:c r="L1114" s="10" t="str">
        <x:v>DELIVERY:S04-05:A:withdraw_ack_tail, DELIVERY:S04-05:A:evaluation_first_display, DELIVERY:S04-05:A:withdraw_ack_played</x:v>
      </x:c>
    </x:row>
    <x:row r="1115" ht="52" customHeight="1">
      <x:c r="A1115" s="10" t="str">
        <x:v>D-B</x:v>
      </x:c>
      <x:c r="B1115" s="10" t="str">
        <x:v>DELIVERY</x:v>
      </x:c>
      <x:c r="C1115" s="10" t="str">
        <x:v>DELIVERY:S04-05</x:v>
      </x:c>
      <x:c r="D1115" s="10" t="str">
        <x:v>DELIVERY:S04-05:delivery_request</x:v>
      </x:c>
      <x:c r="E1115" s="11" t="n">
        <x:v>2.1625</x:v>
      </x:c>
      <x:c r="F1115" s="11" t="n">
        <x:v>4.948</x:v>
      </x:c>
      <x:c r="G1115" s="11" t="n">
        <x:f>F1115-E1115</x:f>
        <x:v>2.7855000000000003</x:v>
      </x:c>
      <x:c r="H1115" s="10" t="n">
        <x:v>1</x:v>
      </x:c>
      <x:c r="I1115" s="10" t="str">
        <x:v>AUTHORED_TERMINAL</x:v>
      </x:c>
      <x:c r="J1115" s="10" t="str">
        <x:v>DELIVERY:S04-05:B:withdraw_ack_tail</x:v>
      </x:c>
      <x:c r="K1115" s="10" t="str">
        <x:v>DELIVERY:S04-05:input</x:v>
      </x:c>
      <x:c r="L1115" s="10" t="str">
        <x:v>DELIVERY:S04-05:B:withdraw_ack_tail, DELIVERY:S04-05:B:evaluation_first_display, DELIVERY:S04-05:B:withdraw_ack_played</x:v>
      </x:c>
    </x:row>
    <x:row r="1116" ht="52" customHeight="1">
      <x:c r="A1116" s="10" t="str">
        <x:v>D-A</x:v>
      </x:c>
      <x:c r="B1116" s="10" t="str">
        <x:v>DELIVERY</x:v>
      </x:c>
      <x:c r="C1116" s="10" t="str">
        <x:v>DELIVERY:S04-06</x:v>
      </x:c>
      <x:c r="D1116" s="10" t="str">
        <x:v>DELIVERY:S04-06:delivery_request</x:v>
      </x:c>
      <x:c r="E1116" s="11" t="n">
        <x:v>2.1188333330000004</x:v>
      </x:c>
      <x:c r="F1116" s="11" t="n">
        <x:v>4.913333333</x:v>
      </x:c>
      <x:c r="G1116" s="11" t="n">
        <x:f>F1116-E1116</x:f>
        <x:v>2.7944999999999993</x:v>
      </x:c>
      <x:c r="H1116" s="10" t="n">
        <x:v>1</x:v>
      </x:c>
      <x:c r="I1116" s="10" t="str">
        <x:v>AUTHORED_TERMINAL</x:v>
      </x:c>
      <x:c r="J1116" s="10" t="str">
        <x:v>DELIVERY:S04-06:A:withdraw_ack_tail</x:v>
      </x:c>
      <x:c r="K1116" s="10" t="str">
        <x:v>DELIVERY:S04-06:input</x:v>
      </x:c>
      <x:c r="L1116" s="10" t="str">
        <x:v>DELIVERY:S04-06:A:withdraw_ack_tail, DELIVERY:S04-06:A:evaluation_first_display, DELIVERY:S04-06:A:withdraw_ack_played</x:v>
      </x:c>
    </x:row>
    <x:row r="1117" ht="52" customHeight="1">
      <x:c r="A1117" s="10" t="str">
        <x:v>D-B</x:v>
      </x:c>
      <x:c r="B1117" s="10" t="str">
        <x:v>DELIVERY</x:v>
      </x:c>
      <x:c r="C1117" s="10" t="str">
        <x:v>DELIVERY:S04-06</x:v>
      </x:c>
      <x:c r="D1117" s="10" t="str">
        <x:v>DELIVERY:S04-06:delivery_request</x:v>
      </x:c>
      <x:c r="E1117" s="11" t="n">
        <x:v>2.1188333330000004</x:v>
      </x:c>
      <x:c r="F1117" s="11" t="n">
        <x:v>4.913333333</x:v>
      </x:c>
      <x:c r="G1117" s="11" t="n">
        <x:f>F1117-E1117</x:f>
        <x:v>2.7944999999999993</x:v>
      </x:c>
      <x:c r="H1117" s="10" t="n">
        <x:v>1</x:v>
      </x:c>
      <x:c r="I1117" s="10" t="str">
        <x:v>AUTHORED_TERMINAL</x:v>
      </x:c>
      <x:c r="J1117" s="10" t="str">
        <x:v>DELIVERY:S04-06:B:withdraw_ack_tail</x:v>
      </x:c>
      <x:c r="K1117" s="10" t="str">
        <x:v>DELIVERY:S04-06:input</x:v>
      </x:c>
      <x:c r="L1117" s="10" t="str">
        <x:v>DELIVERY:S04-06:B:withdraw_ack_tail, DELIVERY:S04-06:B:evaluation_first_display, DELIVERY:S04-06:B:withdraw_ack_played</x:v>
      </x:c>
    </x:row>
    <x:row r="1118" ht="52" customHeight="1">
      <x:c r="A1118" s="10" t="str">
        <x:v>D-A</x:v>
      </x:c>
      <x:c r="B1118" s="10" t="str">
        <x:v>DELIVERY</x:v>
      </x:c>
      <x:c r="C1118" s="10" t="str">
        <x:v>DELIVERY:S04-07</x:v>
      </x:c>
      <x:c r="D1118" s="10" t="str">
        <x:v>DELIVERY:S04-07:delivery_request</x:v>
      </x:c>
      <x:c r="E1118" s="11" t="n">
        <x:v>2.150166666</x:v>
      </x:c>
      <x:c r="F1118" s="11" t="n">
        <x:v>4.953666666</x:v>
      </x:c>
      <x:c r="G1118" s="11" t="n">
        <x:f>F1118-E1118</x:f>
        <x:v>2.8035</x:v>
      </x:c>
      <x:c r="H1118" s="10" t="n">
        <x:v>1</x:v>
      </x:c>
      <x:c r="I1118" s="10" t="str">
        <x:v>AUTHORED_TERMINAL</x:v>
      </x:c>
      <x:c r="J1118" s="10" t="str">
        <x:v>DELIVERY:S04-07:A:withdraw_ack_tail</x:v>
      </x:c>
      <x:c r="K1118" s="10" t="str">
        <x:v>DELIVERY:S04-07:input</x:v>
      </x:c>
      <x:c r="L1118" s="10" t="str">
        <x:v>DELIVERY:S04-07:A:withdraw_ack_tail, DELIVERY:S04-07:A:evaluation_first_display, DELIVERY:S04-07:A:withdraw_ack_played</x:v>
      </x:c>
    </x:row>
    <x:row r="1119" ht="52" customHeight="1">
      <x:c r="A1119" s="10" t="str">
        <x:v>D-B</x:v>
      </x:c>
      <x:c r="B1119" s="10" t="str">
        <x:v>DELIVERY</x:v>
      </x:c>
      <x:c r="C1119" s="10" t="str">
        <x:v>DELIVERY:S04-07</x:v>
      </x:c>
      <x:c r="D1119" s="10" t="str">
        <x:v>DELIVERY:S04-07:delivery_request</x:v>
      </x:c>
      <x:c r="E1119" s="11" t="n">
        <x:v>2.150166666</x:v>
      </x:c>
      <x:c r="F1119" s="11" t="n">
        <x:v>4.953666666</x:v>
      </x:c>
      <x:c r="G1119" s="11" t="n">
        <x:f>F1119-E1119</x:f>
        <x:v>2.8035</x:v>
      </x:c>
      <x:c r="H1119" s="10" t="n">
        <x:v>1</x:v>
      </x:c>
      <x:c r="I1119" s="10" t="str">
        <x:v>AUTHORED_TERMINAL</x:v>
      </x:c>
      <x:c r="J1119" s="10" t="str">
        <x:v>DELIVERY:S04-07:B:withdraw_ack_tail</x:v>
      </x:c>
      <x:c r="K1119" s="10" t="str">
        <x:v>DELIVERY:S04-07:input</x:v>
      </x:c>
      <x:c r="L1119" s="10" t="str">
        <x:v>DELIVERY:S04-07:B:withdraw_ack_tail, DELIVERY:S04-07:B:evaluation_first_display, DELIVERY:S04-07:B:withdraw_ack_played</x:v>
      </x:c>
    </x:row>
    <x:row r="1120" ht="52" customHeight="1">
      <x:c r="A1120" s="10" t="str">
        <x:v>D-A</x:v>
      </x:c>
      <x:c r="B1120" s="10" t="str">
        <x:v>DELIVERY</x:v>
      </x:c>
      <x:c r="C1120" s="10" t="str">
        <x:v>DELIVERY:S04-08</x:v>
      </x:c>
      <x:c r="D1120" s="10" t="str">
        <x:v>DELIVERY:S04-08:delivery_request</x:v>
      </x:c>
      <x:c r="E1120" s="11" t="n">
        <x:v>2.1815000000000007</x:v>
      </x:c>
      <x:c r="F1120" s="11" t="n">
        <x:v>4.994</x:v>
      </x:c>
      <x:c r="G1120" s="11" t="n">
        <x:f>F1120-E1120</x:f>
        <x:v>2.812499999999999</x:v>
      </x:c>
      <x:c r="H1120" s="10" t="n">
        <x:v>1</x:v>
      </x:c>
      <x:c r="I1120" s="10" t="str">
        <x:v>AUTHORED_TERMINAL</x:v>
      </x:c>
      <x:c r="J1120" s="10" t="str">
        <x:v>DELIVERY:S04-08:A:withdraw_ack_tail</x:v>
      </x:c>
      <x:c r="K1120" s="10" t="str">
        <x:v>DELIVERY:S04-08:input</x:v>
      </x:c>
      <x:c r="L1120" s="10" t="str">
        <x:v>DELIVERY:S04-08:A:withdraw_ack_tail, DELIVERY:S04-08:A:evaluation_first_display, DELIVERY:S04-08:A:withdraw_ack_played</x:v>
      </x:c>
    </x:row>
    <x:row r="1121" ht="52" customHeight="1">
      <x:c r="A1121" s="10" t="str">
        <x:v>D-B</x:v>
      </x:c>
      <x:c r="B1121" s="10" t="str">
        <x:v>DELIVERY</x:v>
      </x:c>
      <x:c r="C1121" s="10" t="str">
        <x:v>DELIVERY:S04-08</x:v>
      </x:c>
      <x:c r="D1121" s="10" t="str">
        <x:v>DELIVERY:S04-08:delivery_request</x:v>
      </x:c>
      <x:c r="E1121" s="11" t="n">
        <x:v>2.1815000000000007</x:v>
      </x:c>
      <x:c r="F1121" s="11" t="n">
        <x:v>4.994</x:v>
      </x:c>
      <x:c r="G1121" s="11" t="n">
        <x:f>F1121-E1121</x:f>
        <x:v>2.812499999999999</x:v>
      </x:c>
      <x:c r="H1121" s="10" t="n">
        <x:v>1</x:v>
      </x:c>
      <x:c r="I1121" s="10" t="str">
        <x:v>AUTHORED_TERMINAL</x:v>
      </x:c>
      <x:c r="J1121" s="10" t="str">
        <x:v>DELIVERY:S04-08:B:withdraw_ack_tail</x:v>
      </x:c>
      <x:c r="K1121" s="10" t="str">
        <x:v>DELIVERY:S04-08:input</x:v>
      </x:c>
      <x:c r="L1121" s="10" t="str">
        <x:v>DELIVERY:S04-08:B:withdraw_ack_tail, DELIVERY:S04-08:B:evaluation_first_display, DELIVERY:S04-08:B:withdraw_ack_played</x:v>
      </x:c>
    </x:row>
    <x:row r="1122" ht="52" customHeight="1">
      <x:c r="A1122" s="10" t="str">
        <x:v>D-A</x:v>
      </x:c>
      <x:c r="B1122" s="10" t="str">
        <x:v>DELIVERY</x:v>
      </x:c>
      <x:c r="C1122" s="10" t="str">
        <x:v>DELIVERY:S04-09</x:v>
      </x:c>
      <x:c r="D1122" s="10" t="str">
        <x:v>DELIVERY:S04-09:delivery_request</x:v>
      </x:c>
      <x:c r="E1122" s="11" t="n">
        <x:v>2.137833333</x:v>
      </x:c>
      <x:c r="F1122" s="11" t="n">
        <x:v>4.959333333</x:v>
      </x:c>
      <x:c r="G1122" s="11" t="n">
        <x:f>F1122-E1122</x:f>
        <x:v>2.8215</x:v>
      </x:c>
      <x:c r="H1122" s="10" t="n">
        <x:v>1</x:v>
      </x:c>
      <x:c r="I1122" s="10" t="str">
        <x:v>AUTHORED_TERMINAL</x:v>
      </x:c>
      <x:c r="J1122" s="10" t="str">
        <x:v>DELIVERY:S04-09:A:withdraw_ack_tail</x:v>
      </x:c>
      <x:c r="K1122" s="10" t="str">
        <x:v>DELIVERY:S04-09:input</x:v>
      </x:c>
      <x:c r="L1122" s="10" t="str">
        <x:v>DELIVERY:S04-09:A:withdraw_ack_tail, DELIVERY:S04-09:A:evaluation_first_display, DELIVERY:S04-09:A:withdraw_ack_played</x:v>
      </x:c>
    </x:row>
    <x:row r="1123" ht="52" customHeight="1">
      <x:c r="A1123" s="10" t="str">
        <x:v>D-B</x:v>
      </x:c>
      <x:c r="B1123" s="10" t="str">
        <x:v>DELIVERY</x:v>
      </x:c>
      <x:c r="C1123" s="10" t="str">
        <x:v>DELIVERY:S04-09</x:v>
      </x:c>
      <x:c r="D1123" s="10" t="str">
        <x:v>DELIVERY:S04-09:delivery_request</x:v>
      </x:c>
      <x:c r="E1123" s="11" t="n">
        <x:v>2.137833333</x:v>
      </x:c>
      <x:c r="F1123" s="11" t="n">
        <x:v>4.959333333</x:v>
      </x:c>
      <x:c r="G1123" s="11" t="n">
        <x:f>F1123-E1123</x:f>
        <x:v>2.8215</x:v>
      </x:c>
      <x:c r="H1123" s="10" t="n">
        <x:v>1</x:v>
      </x:c>
      <x:c r="I1123" s="10" t="str">
        <x:v>AUTHORED_TERMINAL</x:v>
      </x:c>
      <x:c r="J1123" s="10" t="str">
        <x:v>DELIVERY:S04-09:B:withdraw_ack_tail</x:v>
      </x:c>
      <x:c r="K1123" s="10" t="str">
        <x:v>DELIVERY:S04-09:input</x:v>
      </x:c>
      <x:c r="L1123" s="10" t="str">
        <x:v>DELIVERY:S04-09:B:withdraw_ack_tail, DELIVERY:S04-09:B:evaluation_first_display, DELIVERY:S04-09:B:withdraw_ack_played</x:v>
      </x:c>
    </x:row>
    <x:row r="1124" ht="52" customHeight="1">
      <x:c r="A1124" s="10" t="str">
        <x:v>D-A</x:v>
      </x:c>
      <x:c r="B1124" s="10" t="str">
        <x:v>DELIVERY</x:v>
      </x:c>
      <x:c r="C1124" s="10" t="str">
        <x:v>DELIVERY:S04-10</x:v>
      </x:c>
      <x:c r="D1124" s="10" t="str">
        <x:v>DELIVERY:S04-10:delivery_request</x:v>
      </x:c>
      <x:c r="E1124" s="11" t="n">
        <x:v>2.169166666</x:v>
      </x:c>
      <x:c r="F1124" s="11" t="n">
        <x:v>4.999666666</x:v>
      </x:c>
      <x:c r="G1124" s="11" t="n">
        <x:f>F1124-E1124</x:f>
        <x:v>2.8305000000000002</x:v>
      </x:c>
      <x:c r="H1124" s="10" t="n">
        <x:v>1</x:v>
      </x:c>
      <x:c r="I1124" s="10" t="str">
        <x:v>AUTHORED_TERMINAL</x:v>
      </x:c>
      <x:c r="J1124" s="10" t="str">
        <x:v>DELIVERY:S04-10:A:withdraw_ack_tail</x:v>
      </x:c>
      <x:c r="K1124" s="10" t="str">
        <x:v>DELIVERY:S04-10:input</x:v>
      </x:c>
      <x:c r="L1124" s="10" t="str">
        <x:v>DELIVERY:S04-10:A:withdraw_ack_tail, DELIVERY:S04-10:A:evaluation_first_display, DELIVERY:S04-10:A:withdraw_ack_played</x:v>
      </x:c>
    </x:row>
    <x:row r="1125" ht="52" customHeight="1">
      <x:c r="A1125" s="10" t="str">
        <x:v>D-B</x:v>
      </x:c>
      <x:c r="B1125" s="10" t="str">
        <x:v>DELIVERY</x:v>
      </x:c>
      <x:c r="C1125" s="10" t="str">
        <x:v>DELIVERY:S04-10</x:v>
      </x:c>
      <x:c r="D1125" s="10" t="str">
        <x:v>DELIVERY:S04-10:delivery_request</x:v>
      </x:c>
      <x:c r="E1125" s="11" t="n">
        <x:v>2.169166666</x:v>
      </x:c>
      <x:c r="F1125" s="11" t="n">
        <x:v>4.999666666</x:v>
      </x:c>
      <x:c r="G1125" s="11" t="n">
        <x:f>F1125-E1125</x:f>
        <x:v>2.8305000000000002</x:v>
      </x:c>
      <x:c r="H1125" s="10" t="n">
        <x:v>1</x:v>
      </x:c>
      <x:c r="I1125" s="10" t="str">
        <x:v>AUTHORED_TERMINAL</x:v>
      </x:c>
      <x:c r="J1125" s="10" t="str">
        <x:v>DELIVERY:S04-10:B:withdraw_ack_tail</x:v>
      </x:c>
      <x:c r="K1125" s="10" t="str">
        <x:v>DELIVERY:S04-10:input</x:v>
      </x:c>
      <x:c r="L1125" s="10" t="str">
        <x:v>DELIVERY:S04-10:B:withdraw_ack_tail, DELIVERY:S04-10:B:evaluation_first_display, DELIVERY:S04-10:B:withdraw_ack_played</x:v>
      </x:c>
    </x:row>
    <x:row r="1126" ht="52" customHeight="1">
      <x:c r="A1126" s="10" t="str">
        <x:v>D-A</x:v>
      </x:c>
      <x:c r="B1126" s="10" t="str">
        <x:v>DELIVERY</x:v>
      </x:c>
      <x:c r="C1126" s="10" t="str">
        <x:v>DELIVERY:S05-01</x:v>
      </x:c>
      <x:c r="D1126" s="10" t="str">
        <x:v>DELIVERY:S05-01:delivery_request</x:v>
      </x:c>
      <x:c r="E1126" s="11" t="n">
        <x:v>4.611833333</x:v>
      </x:c>
      <x:c r="F1126" s="11" t="n">
        <x:v>38.875666666</x:v>
      </x:c>
      <x:c r="G1126" s="11" t="n">
        <x:f>F1126-E1126</x:f>
        <x:v>34.263833333</x:v>
      </x:c>
      <x:c r="H1126" s="10" t="n">
        <x:v>1</x:v>
      </x:c>
      <x:c r="I1126" s="10" t="str">
        <x:v>AUTHORED_TERMINAL</x:v>
      </x:c>
      <x:c r="J1126" s="10" t="str">
        <x:v>DELIVERY:S05-01:A:long_report_tail</x:v>
      </x:c>
      <x:c r="K1126" s="10" t="str">
        <x:v>DELIVERY:S05-01:input</x:v>
      </x:c>
      <x:c r="L1126" s="10" t="str">
        <x:v>DELIVERY:S05-01:A:long_report_tail, DELIVERY:S05-01:A:question_tail, DELIVERY:S05-01:A:evaluation_first_display, DELIVERY:S05-01:A:resume_report_played</x:v>
      </x:c>
    </x:row>
    <x:row r="1127" ht="52" customHeight="1">
      <x:c r="A1127" s="10" t="str">
        <x:v>D-B</x:v>
      </x:c>
      <x:c r="B1127" s="10" t="str">
        <x:v>DELIVERY</x:v>
      </x:c>
      <x:c r="C1127" s="10" t="str">
        <x:v>DELIVERY:S05-01</x:v>
      </x:c>
      <x:c r="D1127" s="10" t="str">
        <x:v>DELIVERY:S05-01:delivery_request</x:v>
      </x:c>
      <x:c r="E1127" s="11" t="n">
        <x:v>5.418166665999999</x:v>
      </x:c>
      <x:c r="F1127" s="11" t="n">
        <x:v>39.316666666</x:v>
      </x:c>
      <x:c r="G1127" s="11" t="n">
        <x:f>F1127-E1127</x:f>
        <x:v>33.898500000000006</x:v>
      </x:c>
      <x:c r="H1127" s="10" t="n">
        <x:v>1</x:v>
      </x:c>
      <x:c r="I1127" s="10" t="str">
        <x:v>AUTHORED_TERMINAL</x:v>
      </x:c>
      <x:c r="J1127" s="10" t="str">
        <x:v>DELIVERY:S05-01:B:resume_suffix_tail</x:v>
      </x:c>
      <x:c r="K1127" s="10" t="str">
        <x:v>DELIVERY:S05-01:input</x:v>
      </x:c>
      <x:c r="L1127" s="10" t="str">
        <x:v>DELIVERY:S05-01:B:resume_suffix_tail, DELIVERY:S05-01:B:question_tail, DELIVERY:S05-01:B:evaluation_first_display, DELIVERY:S05-01:B:resume_suffix_played</x:v>
      </x:c>
    </x:row>
    <x:row r="1128" ht="52" customHeight="1">
      <x:c r="A1128" s="10" t="str">
        <x:v>D-A</x:v>
      </x:c>
      <x:c r="B1128" s="10" t="str">
        <x:v>DELIVERY</x:v>
      </x:c>
      <x:c r="C1128" s="10" t="str">
        <x:v>DELIVERY:S05-02</x:v>
      </x:c>
      <x:c r="D1128" s="10" t="str">
        <x:v>DELIVERY:S05-02:delivery_request</x:v>
      </x:c>
      <x:c r="E1128" s="11" t="n">
        <x:v>4.614833333</x:v>
      </x:c>
      <x:c r="F1128" s="11" t="n">
        <x:v>38.928</x:v>
      </x:c>
      <x:c r="G1128" s="11" t="n">
        <x:f>F1128-E1128</x:f>
        <x:v>34.313166667</x:v>
      </x:c>
      <x:c r="H1128" s="10" t="n">
        <x:v>1</x:v>
      </x:c>
      <x:c r="I1128" s="10" t="str">
        <x:v>AUTHORED_TERMINAL</x:v>
      </x:c>
      <x:c r="J1128" s="10" t="str">
        <x:v>DELIVERY:S05-02:A:long_report_tail</x:v>
      </x:c>
      <x:c r="K1128" s="10" t="str">
        <x:v>DELIVERY:S05-02:input</x:v>
      </x:c>
      <x:c r="L1128" s="10" t="str">
        <x:v>DELIVERY:S05-02:A:long_report_tail, DELIVERY:S05-02:A:question_tail, DELIVERY:S05-02:A:evaluation_first_display, DELIVERY:S05-02:A:resume_report_played</x:v>
      </x:c>
    </x:row>
    <x:row r="1129" ht="52" customHeight="1">
      <x:c r="A1129" s="10" t="str">
        <x:v>D-B</x:v>
      </x:c>
      <x:c r="B1129" s="10" t="str">
        <x:v>DELIVERY</x:v>
      </x:c>
      <x:c r="C1129" s="10" t="str">
        <x:v>DELIVERY:S05-02</x:v>
      </x:c>
      <x:c r="D1129" s="10" t="str">
        <x:v>DELIVERY:S05-02:delivery_request</x:v>
      </x:c>
      <x:c r="E1129" s="11" t="n">
        <x:v>5.421166666</x:v>
      </x:c>
      <x:c r="F1129" s="11" t="n">
        <x:v>39.369</x:v>
      </x:c>
      <x:c r="G1129" s="11" t="n">
        <x:f>F1129-E1129</x:f>
        <x:v>33.947833334</x:v>
      </x:c>
      <x:c r="H1129" s="10" t="n">
        <x:v>1</x:v>
      </x:c>
      <x:c r="I1129" s="10" t="str">
        <x:v>AUTHORED_TERMINAL</x:v>
      </x:c>
      <x:c r="J1129" s="10" t="str">
        <x:v>DELIVERY:S05-02:B:resume_suffix_tail</x:v>
      </x:c>
      <x:c r="K1129" s="10" t="str">
        <x:v>DELIVERY:S05-02:input</x:v>
      </x:c>
      <x:c r="L1129" s="10" t="str">
        <x:v>DELIVERY:S05-02:B:resume_suffix_tail, DELIVERY:S05-02:B:question_tail, DELIVERY:S05-02:B:evaluation_first_display, DELIVERY:S05-02:B:resume_suffix_played</x:v>
      </x:c>
    </x:row>
    <x:row r="1130" ht="52" customHeight="1">
      <x:c r="A1130" s="10" t="str">
        <x:v>D-A</x:v>
      </x:c>
      <x:c r="B1130" s="10" t="str">
        <x:v>DELIVERY</x:v>
      </x:c>
      <x:c r="C1130" s="10" t="str">
        <x:v>DELIVERY:S05-03</x:v>
      </x:c>
      <x:c r="D1130" s="10" t="str">
        <x:v>DELIVERY:S05-03:delivery_request</x:v>
      </x:c>
      <x:c r="E1130" s="11" t="n">
        <x:v>4.617833333</x:v>
      </x:c>
      <x:c r="F1130" s="11" t="n">
        <x:v>38.905333333</x:v>
      </x:c>
      <x:c r="G1130" s="11" t="n">
        <x:f>F1130-E1130</x:f>
        <x:v>34.2875</x:v>
      </x:c>
      <x:c r="H1130" s="10" t="n">
        <x:v>1</x:v>
      </x:c>
      <x:c r="I1130" s="10" t="str">
        <x:v>AUTHORED_TERMINAL</x:v>
      </x:c>
      <x:c r="J1130" s="10" t="str">
        <x:v>DELIVERY:S05-03:A:long_report_tail</x:v>
      </x:c>
      <x:c r="K1130" s="10" t="str">
        <x:v>DELIVERY:S05-03:input</x:v>
      </x:c>
      <x:c r="L1130" s="10" t="str">
        <x:v>DELIVERY:S05-03:A:long_report_tail, DELIVERY:S05-03:A:question_tail, DELIVERY:S05-03:A:evaluation_first_display, DELIVERY:S05-03:A:resume_report_played</x:v>
      </x:c>
    </x:row>
    <x:row r="1131" ht="52" customHeight="1">
      <x:c r="A1131" s="10" t="str">
        <x:v>D-B</x:v>
      </x:c>
      <x:c r="B1131" s="10" t="str">
        <x:v>DELIVERY</x:v>
      </x:c>
      <x:c r="C1131" s="10" t="str">
        <x:v>DELIVERY:S05-03</x:v>
      </x:c>
      <x:c r="D1131" s="10" t="str">
        <x:v>DELIVERY:S05-03:delivery_request</x:v>
      </x:c>
      <x:c r="E1131" s="11" t="n">
        <x:v>5.424166666</x:v>
      </x:c>
      <x:c r="F1131" s="11" t="n">
        <x:v>39.346333333</x:v>
      </x:c>
      <x:c r="G1131" s="11" t="n">
        <x:f>F1131-E1131</x:f>
        <x:v>33.922166667</x:v>
      </x:c>
      <x:c r="H1131" s="10" t="n">
        <x:v>1</x:v>
      </x:c>
      <x:c r="I1131" s="10" t="str">
        <x:v>AUTHORED_TERMINAL</x:v>
      </x:c>
      <x:c r="J1131" s="10" t="str">
        <x:v>DELIVERY:S05-03:B:resume_suffix_tail</x:v>
      </x:c>
      <x:c r="K1131" s="10" t="str">
        <x:v>DELIVERY:S05-03:input</x:v>
      </x:c>
      <x:c r="L1131" s="10" t="str">
        <x:v>DELIVERY:S05-03:B:resume_suffix_tail, DELIVERY:S05-03:B:question_tail, DELIVERY:S05-03:B:evaluation_first_display, DELIVERY:S05-03:B:resume_suffix_played</x:v>
      </x:c>
    </x:row>
    <x:row r="1132" ht="52" customHeight="1">
      <x:c r="A1132" s="10" t="str">
        <x:v>D-A</x:v>
      </x:c>
      <x:c r="B1132" s="10" t="str">
        <x:v>DELIVERY</x:v>
      </x:c>
      <x:c r="C1132" s="10" t="str">
        <x:v>DELIVERY:S05-04</x:v>
      </x:c>
      <x:c r="D1132" s="10" t="str">
        <x:v>DELIVERY:S05-04:delivery_request</x:v>
      </x:c>
      <x:c r="E1132" s="11" t="n">
        <x:v>4.620833333</x:v>
      </x:c>
      <x:c r="F1132" s="11" t="n">
        <x:v>38.957666666</x:v>
      </x:c>
      <x:c r="G1132" s="11" t="n">
        <x:f>F1132-E1132</x:f>
        <x:v>34.336833333</x:v>
      </x:c>
      <x:c r="H1132" s="10" t="n">
        <x:v>1</x:v>
      </x:c>
      <x:c r="I1132" s="10" t="str">
        <x:v>AUTHORED_TERMINAL</x:v>
      </x:c>
      <x:c r="J1132" s="10" t="str">
        <x:v>DELIVERY:S05-04:A:long_report_tail</x:v>
      </x:c>
      <x:c r="K1132" s="10" t="str">
        <x:v>DELIVERY:S05-04:input</x:v>
      </x:c>
      <x:c r="L1132" s="10" t="str">
        <x:v>DELIVERY:S05-04:A:long_report_tail, DELIVERY:S05-04:A:question_tail, DELIVERY:S05-04:A:evaluation_first_display, DELIVERY:S05-04:A:resume_report_played</x:v>
      </x:c>
    </x:row>
    <x:row r="1133" ht="52" customHeight="1">
      <x:c r="A1133" s="10" t="str">
        <x:v>D-B</x:v>
      </x:c>
      <x:c r="B1133" s="10" t="str">
        <x:v>DELIVERY</x:v>
      </x:c>
      <x:c r="C1133" s="10" t="str">
        <x:v>DELIVERY:S05-04</x:v>
      </x:c>
      <x:c r="D1133" s="10" t="str">
        <x:v>DELIVERY:S05-04:delivery_request</x:v>
      </x:c>
      <x:c r="E1133" s="11" t="n">
        <x:v>5.427166666</x:v>
      </x:c>
      <x:c r="F1133" s="11" t="n">
        <x:v>39.398666666</x:v>
      </x:c>
      <x:c r="G1133" s="11" t="n">
        <x:f>F1133-E1133</x:f>
        <x:v>33.9715</x:v>
      </x:c>
      <x:c r="H1133" s="10" t="n">
        <x:v>1</x:v>
      </x:c>
      <x:c r="I1133" s="10" t="str">
        <x:v>AUTHORED_TERMINAL</x:v>
      </x:c>
      <x:c r="J1133" s="10" t="str">
        <x:v>DELIVERY:S05-04:B:resume_suffix_tail</x:v>
      </x:c>
      <x:c r="K1133" s="10" t="str">
        <x:v>DELIVERY:S05-04:input</x:v>
      </x:c>
      <x:c r="L1133" s="10" t="str">
        <x:v>DELIVERY:S05-04:B:resume_suffix_tail, DELIVERY:S05-04:B:question_tail, DELIVERY:S05-04:B:evaluation_first_display, DELIVERY:S05-04:B:resume_suffix_played</x:v>
      </x:c>
    </x:row>
    <x:row r="1134" ht="52" customHeight="1">
      <x:c r="A1134" s="10" t="str">
        <x:v>D-A</x:v>
      </x:c>
      <x:c r="B1134" s="10" t="str">
        <x:v>DELIVERY</x:v>
      </x:c>
      <x:c r="C1134" s="10" t="str">
        <x:v>DELIVERY:S05-05</x:v>
      </x:c>
      <x:c r="D1134" s="10" t="str">
        <x:v>DELIVERY:S05-05:delivery_request</x:v>
      </x:c>
      <x:c r="E1134" s="11" t="n">
        <x:v>4.623833333</x:v>
      </x:c>
      <x:c r="F1134" s="11" t="n">
        <x:v>39.01</x:v>
      </x:c>
      <x:c r="G1134" s="11" t="n">
        <x:f>F1134-E1134</x:f>
        <x:v>34.386166667</x:v>
      </x:c>
      <x:c r="H1134" s="10" t="n">
        <x:v>1</x:v>
      </x:c>
      <x:c r="I1134" s="10" t="str">
        <x:v>AUTHORED_TERMINAL</x:v>
      </x:c>
      <x:c r="J1134" s="10" t="str">
        <x:v>DELIVERY:S05-05:A:long_report_tail</x:v>
      </x:c>
      <x:c r="K1134" s="10" t="str">
        <x:v>DELIVERY:S05-05:input</x:v>
      </x:c>
      <x:c r="L1134" s="10" t="str">
        <x:v>DELIVERY:S05-05:A:long_report_tail, DELIVERY:S05-05:A:question_tail, DELIVERY:S05-05:A:evaluation_first_display, DELIVERY:S05-05:A:resume_report_played</x:v>
      </x:c>
    </x:row>
    <x:row r="1135" ht="52" customHeight="1">
      <x:c r="A1135" s="10" t="str">
        <x:v>D-B</x:v>
      </x:c>
      <x:c r="B1135" s="10" t="str">
        <x:v>DELIVERY</x:v>
      </x:c>
      <x:c r="C1135" s="10" t="str">
        <x:v>DELIVERY:S05-05</x:v>
      </x:c>
      <x:c r="D1135" s="10" t="str">
        <x:v>DELIVERY:S05-05:delivery_request</x:v>
      </x:c>
      <x:c r="E1135" s="11" t="n">
        <x:v>5.430166666</x:v>
      </x:c>
      <x:c r="F1135" s="11" t="n">
        <x:v>39.451</x:v>
      </x:c>
      <x:c r="G1135" s="11" t="n">
        <x:f>F1135-E1135</x:f>
        <x:v>34.020833334</x:v>
      </x:c>
      <x:c r="H1135" s="10" t="n">
        <x:v>1</x:v>
      </x:c>
      <x:c r="I1135" s="10" t="str">
        <x:v>AUTHORED_TERMINAL</x:v>
      </x:c>
      <x:c r="J1135" s="10" t="str">
        <x:v>DELIVERY:S05-05:B:resume_suffix_tail</x:v>
      </x:c>
      <x:c r="K1135" s="10" t="str">
        <x:v>DELIVERY:S05-05:input</x:v>
      </x:c>
      <x:c r="L1135" s="10" t="str">
        <x:v>DELIVERY:S05-05:B:resume_suffix_tail, DELIVERY:S05-05:B:question_tail, DELIVERY:S05-05:B:evaluation_first_display, DELIVERY:S05-05:B:resume_suffix_played</x:v>
      </x:c>
    </x:row>
    <x:row r="1136" ht="52" customHeight="1">
      <x:c r="A1136" s="10" t="str">
        <x:v>D-A</x:v>
      </x:c>
      <x:c r="B1136" s="10" t="str">
        <x:v>DELIVERY</x:v>
      </x:c>
      <x:c r="C1136" s="10" t="str">
        <x:v>DELIVERY:S05-06</x:v>
      </x:c>
      <x:c r="D1136" s="10" t="str">
        <x:v>DELIVERY:S05-06:delivery_request</x:v>
      </x:c>
      <x:c r="E1136" s="11" t="n">
        <x:v>4.626833333</x:v>
      </x:c>
      <x:c r="F1136" s="11" t="n">
        <x:v>38.987333333</x:v>
      </x:c>
      <x:c r="G1136" s="11" t="n">
        <x:f>F1136-E1136</x:f>
        <x:v>34.3605</x:v>
      </x:c>
      <x:c r="H1136" s="10" t="n">
        <x:v>1</x:v>
      </x:c>
      <x:c r="I1136" s="10" t="str">
        <x:v>AUTHORED_TERMINAL</x:v>
      </x:c>
      <x:c r="J1136" s="10" t="str">
        <x:v>DELIVERY:S05-06:A:long_report_tail</x:v>
      </x:c>
      <x:c r="K1136" s="10" t="str">
        <x:v>DELIVERY:S05-06:input</x:v>
      </x:c>
      <x:c r="L1136" s="10" t="str">
        <x:v>DELIVERY:S05-06:A:long_report_tail, DELIVERY:S05-06:A:question_tail, DELIVERY:S05-06:A:evaluation_first_display, DELIVERY:S05-06:A:resume_report_played</x:v>
      </x:c>
    </x:row>
    <x:row r="1137" ht="52" customHeight="1">
      <x:c r="A1137" s="10" t="str">
        <x:v>D-B</x:v>
      </x:c>
      <x:c r="B1137" s="10" t="str">
        <x:v>DELIVERY</x:v>
      </x:c>
      <x:c r="C1137" s="10" t="str">
        <x:v>DELIVERY:S05-06</x:v>
      </x:c>
      <x:c r="D1137" s="10" t="str">
        <x:v>DELIVERY:S05-06:delivery_request</x:v>
      </x:c>
      <x:c r="E1137" s="11" t="n">
        <x:v>5.433166665999999</x:v>
      </x:c>
      <x:c r="F1137" s="11" t="n">
        <x:v>39.428333333</x:v>
      </x:c>
      <x:c r="G1137" s="11" t="n">
        <x:f>F1137-E1137</x:f>
        <x:v>33.995166667</x:v>
      </x:c>
      <x:c r="H1137" s="10" t="n">
        <x:v>1</x:v>
      </x:c>
      <x:c r="I1137" s="10" t="str">
        <x:v>AUTHORED_TERMINAL</x:v>
      </x:c>
      <x:c r="J1137" s="10" t="str">
        <x:v>DELIVERY:S05-06:B:resume_suffix_tail</x:v>
      </x:c>
      <x:c r="K1137" s="10" t="str">
        <x:v>DELIVERY:S05-06:input</x:v>
      </x:c>
      <x:c r="L1137" s="10" t="str">
        <x:v>DELIVERY:S05-06:B:resume_suffix_tail, DELIVERY:S05-06:B:question_tail, DELIVERY:S05-06:B:evaluation_first_display, DELIVERY:S05-06:B:resume_suffix_played</x:v>
      </x:c>
    </x:row>
    <x:row r="1138" ht="52" customHeight="1">
      <x:c r="A1138" s="10" t="str">
        <x:v>D-A</x:v>
      </x:c>
      <x:c r="B1138" s="10" t="str">
        <x:v>DELIVERY</x:v>
      </x:c>
      <x:c r="C1138" s="10" t="str">
        <x:v>DELIVERY:S05-07</x:v>
      </x:c>
      <x:c r="D1138" s="10" t="str">
        <x:v>DELIVERY:S05-07:delivery_request</x:v>
      </x:c>
      <x:c r="E1138" s="11" t="n">
        <x:v>4.629833333</x:v>
      </x:c>
      <x:c r="F1138" s="11" t="n">
        <x:v>39.039666666</x:v>
      </x:c>
      <x:c r="G1138" s="11" t="n">
        <x:f>F1138-E1138</x:f>
        <x:v>34.409833333</x:v>
      </x:c>
      <x:c r="H1138" s="10" t="n">
        <x:v>1</x:v>
      </x:c>
      <x:c r="I1138" s="10" t="str">
        <x:v>AUTHORED_TERMINAL</x:v>
      </x:c>
      <x:c r="J1138" s="10" t="str">
        <x:v>DELIVERY:S05-07:A:long_report_tail</x:v>
      </x:c>
      <x:c r="K1138" s="10" t="str">
        <x:v>DELIVERY:S05-07:input</x:v>
      </x:c>
      <x:c r="L1138" s="10" t="str">
        <x:v>DELIVERY:S05-07:A:long_report_tail, DELIVERY:S05-07:A:question_tail, DELIVERY:S05-07:A:evaluation_first_display, DELIVERY:S05-07:A:resume_report_played</x:v>
      </x:c>
    </x:row>
    <x:row r="1139" ht="52" customHeight="1">
      <x:c r="A1139" s="10" t="str">
        <x:v>D-B</x:v>
      </x:c>
      <x:c r="B1139" s="10" t="str">
        <x:v>DELIVERY</x:v>
      </x:c>
      <x:c r="C1139" s="10" t="str">
        <x:v>DELIVERY:S05-07</x:v>
      </x:c>
      <x:c r="D1139" s="10" t="str">
        <x:v>DELIVERY:S05-07:delivery_request</x:v>
      </x:c>
      <x:c r="E1139" s="11" t="n">
        <x:v>5.436166666</x:v>
      </x:c>
      <x:c r="F1139" s="11" t="n">
        <x:v>39.480666666</x:v>
      </x:c>
      <x:c r="G1139" s="11" t="n">
        <x:f>F1139-E1139</x:f>
        <x:v>34.0445</x:v>
      </x:c>
      <x:c r="H1139" s="10" t="n">
        <x:v>1</x:v>
      </x:c>
      <x:c r="I1139" s="10" t="str">
        <x:v>AUTHORED_TERMINAL</x:v>
      </x:c>
      <x:c r="J1139" s="10" t="str">
        <x:v>DELIVERY:S05-07:B:resume_suffix_tail</x:v>
      </x:c>
      <x:c r="K1139" s="10" t="str">
        <x:v>DELIVERY:S05-07:input</x:v>
      </x:c>
      <x:c r="L1139" s="10" t="str">
        <x:v>DELIVERY:S05-07:B:resume_suffix_tail, DELIVERY:S05-07:B:question_tail, DELIVERY:S05-07:B:evaluation_first_display, DELIVERY:S05-07:B:resume_suffix_played</x:v>
      </x:c>
    </x:row>
    <x:row r="1140" ht="52" customHeight="1">
      <x:c r="A1140" s="10" t="str">
        <x:v>D-A</x:v>
      </x:c>
      <x:c r="B1140" s="10" t="str">
        <x:v>DELIVERY</x:v>
      </x:c>
      <x:c r="C1140" s="10" t="str">
        <x:v>DELIVERY:S05-08</x:v>
      </x:c>
      <x:c r="D1140" s="10" t="str">
        <x:v>DELIVERY:S05-08:delivery_request</x:v>
      </x:c>
      <x:c r="E1140" s="11" t="n">
        <x:v>4.632833333</x:v>
      </x:c>
      <x:c r="F1140" s="11" t="n">
        <x:v>39.092</x:v>
      </x:c>
      <x:c r="G1140" s="11" t="n">
        <x:f>F1140-E1140</x:f>
        <x:v>34.459166667</x:v>
      </x:c>
      <x:c r="H1140" s="10" t="n">
        <x:v>1</x:v>
      </x:c>
      <x:c r="I1140" s="10" t="str">
        <x:v>AUTHORED_TERMINAL</x:v>
      </x:c>
      <x:c r="J1140" s="10" t="str">
        <x:v>DELIVERY:S05-08:A:long_report_tail</x:v>
      </x:c>
      <x:c r="K1140" s="10" t="str">
        <x:v>DELIVERY:S05-08:input</x:v>
      </x:c>
      <x:c r="L1140" s="10" t="str">
        <x:v>DELIVERY:S05-08:A:long_report_tail, DELIVERY:S05-08:A:question_tail, DELIVERY:S05-08:A:evaluation_first_display, DELIVERY:S05-08:A:resume_report_played</x:v>
      </x:c>
    </x:row>
    <x:row r="1141" ht="52" customHeight="1">
      <x:c r="A1141" s="10" t="str">
        <x:v>D-B</x:v>
      </x:c>
      <x:c r="B1141" s="10" t="str">
        <x:v>DELIVERY</x:v>
      </x:c>
      <x:c r="C1141" s="10" t="str">
        <x:v>DELIVERY:S05-08</x:v>
      </x:c>
      <x:c r="D1141" s="10" t="str">
        <x:v>DELIVERY:S05-08:delivery_request</x:v>
      </x:c>
      <x:c r="E1141" s="11" t="n">
        <x:v>5.439166666</x:v>
      </x:c>
      <x:c r="F1141" s="11" t="n">
        <x:v>39.533</x:v>
      </x:c>
      <x:c r="G1141" s="11" t="n">
        <x:f>F1141-E1141</x:f>
        <x:v>34.093833334</x:v>
      </x:c>
      <x:c r="H1141" s="10" t="n">
        <x:v>1</x:v>
      </x:c>
      <x:c r="I1141" s="10" t="str">
        <x:v>AUTHORED_TERMINAL</x:v>
      </x:c>
      <x:c r="J1141" s="10" t="str">
        <x:v>DELIVERY:S05-08:B:resume_suffix_tail</x:v>
      </x:c>
      <x:c r="K1141" s="10" t="str">
        <x:v>DELIVERY:S05-08:input</x:v>
      </x:c>
      <x:c r="L1141" s="10" t="str">
        <x:v>DELIVERY:S05-08:B:resume_suffix_tail, DELIVERY:S05-08:B:question_tail, DELIVERY:S05-08:B:evaluation_first_display, DELIVERY:S05-08:B:resume_suffix_played</x:v>
      </x:c>
    </x:row>
    <x:row r="1142" ht="52" customHeight="1">
      <x:c r="A1142" s="10" t="str">
        <x:v>D-A</x:v>
      </x:c>
      <x:c r="B1142" s="10" t="str">
        <x:v>DELIVERY</x:v>
      </x:c>
      <x:c r="C1142" s="10" t="str">
        <x:v>DELIVERY:S05-09</x:v>
      </x:c>
      <x:c r="D1142" s="10" t="str">
        <x:v>DELIVERY:S05-09:delivery_request</x:v>
      </x:c>
      <x:c r="E1142" s="11" t="n">
        <x:v>4.635833333</x:v>
      </x:c>
      <x:c r="F1142" s="11" t="n">
        <x:v>39.069333333</x:v>
      </x:c>
      <x:c r="G1142" s="11" t="n">
        <x:f>F1142-E1142</x:f>
        <x:v>34.4335</x:v>
      </x:c>
      <x:c r="H1142" s="10" t="n">
        <x:v>1</x:v>
      </x:c>
      <x:c r="I1142" s="10" t="str">
        <x:v>AUTHORED_TERMINAL</x:v>
      </x:c>
      <x:c r="J1142" s="10" t="str">
        <x:v>DELIVERY:S05-09:A:long_report_tail</x:v>
      </x:c>
      <x:c r="K1142" s="10" t="str">
        <x:v>DELIVERY:S05-09:input</x:v>
      </x:c>
      <x:c r="L1142" s="10" t="str">
        <x:v>DELIVERY:S05-09:A:long_report_tail, DELIVERY:S05-09:A:question_tail, DELIVERY:S05-09:A:evaluation_first_display, DELIVERY:S05-09:A:resume_report_played</x:v>
      </x:c>
    </x:row>
    <x:row r="1143" ht="52" customHeight="1">
      <x:c r="A1143" s="10" t="str">
        <x:v>D-B</x:v>
      </x:c>
      <x:c r="B1143" s="10" t="str">
        <x:v>DELIVERY</x:v>
      </x:c>
      <x:c r="C1143" s="10" t="str">
        <x:v>DELIVERY:S05-09</x:v>
      </x:c>
      <x:c r="D1143" s="10" t="str">
        <x:v>DELIVERY:S05-09:delivery_request</x:v>
      </x:c>
      <x:c r="E1143" s="11" t="n">
        <x:v>5.442166666000001</x:v>
      </x:c>
      <x:c r="F1143" s="11" t="n">
        <x:v>39.510333333</x:v>
      </x:c>
      <x:c r="G1143" s="11" t="n">
        <x:f>F1143-E1143</x:f>
        <x:v>34.068166667</x:v>
      </x:c>
      <x:c r="H1143" s="10" t="n">
        <x:v>1</x:v>
      </x:c>
      <x:c r="I1143" s="10" t="str">
        <x:v>AUTHORED_TERMINAL</x:v>
      </x:c>
      <x:c r="J1143" s="10" t="str">
        <x:v>DELIVERY:S05-09:B:resume_suffix_tail</x:v>
      </x:c>
      <x:c r="K1143" s="10" t="str">
        <x:v>DELIVERY:S05-09:input</x:v>
      </x:c>
      <x:c r="L1143" s="10" t="str">
        <x:v>DELIVERY:S05-09:B:resume_suffix_tail, DELIVERY:S05-09:B:question_tail, DELIVERY:S05-09:B:evaluation_first_display, DELIVERY:S05-09:B:resume_suffix_played</x:v>
      </x:c>
    </x:row>
    <x:row r="1144" ht="52" customHeight="1">
      <x:c r="A1144" s="10" t="str">
        <x:v>D-A</x:v>
      </x:c>
      <x:c r="B1144" s="10" t="str">
        <x:v>DELIVERY</x:v>
      </x:c>
      <x:c r="C1144" s="10" t="str">
        <x:v>DELIVERY:S05-10</x:v>
      </x:c>
      <x:c r="D1144" s="10" t="str">
        <x:v>DELIVERY:S05-10:delivery_request</x:v>
      </x:c>
      <x:c r="E1144" s="11" t="n">
        <x:v>4.638833333</x:v>
      </x:c>
      <x:c r="F1144" s="11" t="n">
        <x:v>39.121666666</x:v>
      </x:c>
      <x:c r="G1144" s="11" t="n">
        <x:f>F1144-E1144</x:f>
        <x:v>34.482833333</x:v>
      </x:c>
      <x:c r="H1144" s="10" t="n">
        <x:v>1</x:v>
      </x:c>
      <x:c r="I1144" s="10" t="str">
        <x:v>AUTHORED_TERMINAL</x:v>
      </x:c>
      <x:c r="J1144" s="10" t="str">
        <x:v>DELIVERY:S05-10:A:long_report_tail</x:v>
      </x:c>
      <x:c r="K1144" s="10" t="str">
        <x:v>DELIVERY:S05-10:input</x:v>
      </x:c>
      <x:c r="L1144" s="10" t="str">
        <x:v>DELIVERY:S05-10:A:long_report_tail, DELIVERY:S05-10:A:question_tail, DELIVERY:S05-10:A:evaluation_first_display, DELIVERY:S05-10:A:resume_report_played</x:v>
      </x:c>
    </x:row>
    <x:row r="1145" ht="52" customHeight="1">
      <x:c r="A1145" s="10" t="str">
        <x:v>D-B</x:v>
      </x:c>
      <x:c r="B1145" s="10" t="str">
        <x:v>DELIVERY</x:v>
      </x:c>
      <x:c r="C1145" s="10" t="str">
        <x:v>DELIVERY:S05-10</x:v>
      </x:c>
      <x:c r="D1145" s="10" t="str">
        <x:v>DELIVERY:S05-10:delivery_request</x:v>
      </x:c>
      <x:c r="E1145" s="11" t="n">
        <x:v>5.4451666659999995</x:v>
      </x:c>
      <x:c r="F1145" s="11" t="n">
        <x:v>39.562666666</x:v>
      </x:c>
      <x:c r="G1145" s="11" t="n">
        <x:f>F1145-E1145</x:f>
        <x:v>34.1175</x:v>
      </x:c>
      <x:c r="H1145" s="10" t="n">
        <x:v>1</x:v>
      </x:c>
      <x:c r="I1145" s="10" t="str">
        <x:v>AUTHORED_TERMINAL</x:v>
      </x:c>
      <x:c r="J1145" s="10" t="str">
        <x:v>DELIVERY:S05-10:B:resume_suffix_tail</x:v>
      </x:c>
      <x:c r="K1145" s="10" t="str">
        <x:v>DELIVERY:S05-10:input</x:v>
      </x:c>
      <x:c r="L1145" s="10" t="str">
        <x:v>DELIVERY:S05-10:B:resume_suffix_tail, DELIVERY:S05-10:B:question_tail, DELIVERY:S05-10:B:evaluation_first_display, DELIVERY:S05-10:B:resume_suffix_played</x:v>
      </x:c>
    </x:row>
    <x:row r="1146" ht="52" customHeight="1">
      <x:c r="A1146" s="10" t="str">
        <x:v>D-A</x:v>
      </x:c>
      <x:c r="B1146" s="10" t="str">
        <x:v>DELIVERY</x:v>
      </x:c>
      <x:c r="C1146" s="10" t="str">
        <x:v>DELIVERY:S06-01</x:v>
      </x:c>
      <x:c r="D1146" s="10" t="str">
        <x:v>DELIVERY:S06-01:delivery_request</x:v>
      </x:c>
      <x:c r="E1146" s="11" t="n">
        <x:v>0.908333333</x:v>
      </x:c>
      <x:c r="F1146" s="11" t="n">
        <x:v>8.154333332</x:v>
      </x:c>
      <x:c r="G1146" s="11" t="n">
        <x:f>F1146-E1146</x:f>
        <x:v>7.245999999</x:v>
      </x:c>
      <x:c r="H1146" s="10" t="n">
        <x:v>1</x:v>
      </x:c>
      <x:c r="I1146" s="10" t="str">
        <x:v>AUTHORED_TERMINAL</x:v>
      </x:c>
      <x:c r="J1146" s="10" t="str">
        <x:v>DELIVERY:S06-01:A:evaluation_first_display</x:v>
      </x:c>
      <x:c r="K1146" s="10" t="str">
        <x:v>DELIVERY:S06-01:input</x:v>
      </x:c>
      <x:c r="L1146" s="10" t="str">
        <x:v>DELIVERY:S06-01:A:explanation_tail, DELIVERY:S06-01:A:evaluation_first_display, DELIVERY:S06-01:A:continue_part2</x:v>
      </x:c>
    </x:row>
    <x:row r="1147" ht="52" customHeight="1">
      <x:c r="A1147" s="10" t="str">
        <x:v>D-B</x:v>
      </x:c>
      <x:c r="B1147" s="10" t="str">
        <x:v>DELIVERY</x:v>
      </x:c>
      <x:c r="C1147" s="10" t="str">
        <x:v>DELIVERY:S06-01</x:v>
      </x:c>
      <x:c r="D1147" s="10" t="str">
        <x:v>DELIVERY:S06-01:delivery_request</x:v>
      </x:c>
      <x:c r="E1147" s="11" t="n">
        <x:v>0.908333333</x:v>
      </x:c>
      <x:c r="F1147" s="11" t="n">
        <x:v>8.154333332</x:v>
      </x:c>
      <x:c r="G1147" s="11" t="n">
        <x:f>F1147-E1147</x:f>
        <x:v>7.245999999</x:v>
      </x:c>
      <x:c r="H1147" s="10" t="n">
        <x:v>1</x:v>
      </x:c>
      <x:c r="I1147" s="10" t="str">
        <x:v>AUTHORED_TERMINAL</x:v>
      </x:c>
      <x:c r="J1147" s="10" t="str">
        <x:v>DELIVERY:S06-01:B:evaluation_first_display</x:v>
      </x:c>
      <x:c r="K1147" s="10" t="str">
        <x:v>DELIVERY:S06-01:input</x:v>
      </x:c>
      <x:c r="L1147" s="10" t="str">
        <x:v>DELIVERY:S06-01:B:explanation_tail, DELIVERY:S06-01:B:evaluation_first_display, DELIVERY:S06-01:B:continue_part2</x:v>
      </x:c>
    </x:row>
    <x:row r="1148" ht="52" customHeight="1">
      <x:c r="A1148" s="10" t="str">
        <x:v>D-A</x:v>
      </x:c>
      <x:c r="B1148" s="10" t="str">
        <x:v>DELIVERY</x:v>
      </x:c>
      <x:c r="C1148" s="10" t="str">
        <x:v>DELIVERY:S06-02</x:v>
      </x:c>
      <x:c r="D1148" s="10" t="str">
        <x:v>DELIVERY:S06-02:delivery_request</x:v>
      </x:c>
      <x:c r="E1148" s="11" t="n">
        <x:v>0.936666667</x:v>
      </x:c>
      <x:c r="F1148" s="11" t="n">
        <x:v>8.194666666</x:v>
      </x:c>
      <x:c r="G1148" s="11" t="n">
        <x:f>F1148-E1148</x:f>
        <x:v>7.257999999</x:v>
      </x:c>
      <x:c r="H1148" s="10" t="n">
        <x:v>1</x:v>
      </x:c>
      <x:c r="I1148" s="10" t="str">
        <x:v>AUTHORED_TERMINAL</x:v>
      </x:c>
      <x:c r="J1148" s="10" t="str">
        <x:v>DELIVERY:S06-02:A:evaluation_first_display</x:v>
      </x:c>
      <x:c r="K1148" s="10" t="str">
        <x:v>DELIVERY:S06-02:input</x:v>
      </x:c>
      <x:c r="L1148" s="10" t="str">
        <x:v>DELIVERY:S06-02:A:explanation_tail, DELIVERY:S06-02:A:evaluation_first_display, DELIVERY:S06-02:A:continue_part2</x:v>
      </x:c>
    </x:row>
    <x:row r="1149" ht="52" customHeight="1">
      <x:c r="A1149" s="10" t="str">
        <x:v>D-B</x:v>
      </x:c>
      <x:c r="B1149" s="10" t="str">
        <x:v>DELIVERY</x:v>
      </x:c>
      <x:c r="C1149" s="10" t="str">
        <x:v>DELIVERY:S06-02</x:v>
      </x:c>
      <x:c r="D1149" s="10" t="str">
        <x:v>DELIVERY:S06-02:delivery_request</x:v>
      </x:c>
      <x:c r="E1149" s="11" t="n">
        <x:v>0.936666667</x:v>
      </x:c>
      <x:c r="F1149" s="11" t="n">
        <x:v>8.194666666</x:v>
      </x:c>
      <x:c r="G1149" s="11" t="n">
        <x:f>F1149-E1149</x:f>
        <x:v>7.257999999</x:v>
      </x:c>
      <x:c r="H1149" s="10" t="n">
        <x:v>1</x:v>
      </x:c>
      <x:c r="I1149" s="10" t="str">
        <x:v>AUTHORED_TERMINAL</x:v>
      </x:c>
      <x:c r="J1149" s="10" t="str">
        <x:v>DELIVERY:S06-02:B:evaluation_first_display</x:v>
      </x:c>
      <x:c r="K1149" s="10" t="str">
        <x:v>DELIVERY:S06-02:input</x:v>
      </x:c>
      <x:c r="L1149" s="10" t="str">
        <x:v>DELIVERY:S06-02:B:explanation_tail, DELIVERY:S06-02:B:evaluation_first_display, DELIVERY:S06-02:B:continue_part2</x:v>
      </x:c>
    </x:row>
    <x:row r="1150" ht="52" customHeight="1">
      <x:c r="A1150" s="10" t="str">
        <x:v>D-A</x:v>
      </x:c>
      <x:c r="B1150" s="10" t="str">
        <x:v>DELIVERY</x:v>
      </x:c>
      <x:c r="C1150" s="10" t="str">
        <x:v>DELIVERY:S06-03</x:v>
      </x:c>
      <x:c r="D1150" s="10" t="str">
        <x:v>DELIVERY:S06-03:delivery_request</x:v>
      </x:c>
      <x:c r="E1150" s="11" t="n">
        <x:v>0.89</x:v>
      </x:c>
      <x:c r="F1150" s="11" t="n">
        <x:v>8.159999999</x:v>
      </x:c>
      <x:c r="G1150" s="11" t="n">
        <x:f>F1150-E1150</x:f>
        <x:v>7.269999999</x:v>
      </x:c>
      <x:c r="H1150" s="10" t="n">
        <x:v>1</x:v>
      </x:c>
      <x:c r="I1150" s="10" t="str">
        <x:v>AUTHORED_TERMINAL</x:v>
      </x:c>
      <x:c r="J1150" s="10" t="str">
        <x:v>DELIVERY:S06-03:A:evaluation_first_display</x:v>
      </x:c>
      <x:c r="K1150" s="10" t="str">
        <x:v>DELIVERY:S06-03:input</x:v>
      </x:c>
      <x:c r="L1150" s="10" t="str">
        <x:v>DELIVERY:S06-03:A:explanation_tail, DELIVERY:S06-03:A:evaluation_first_display, DELIVERY:S06-03:A:continue_part2</x:v>
      </x:c>
    </x:row>
    <x:row r="1151" ht="52" customHeight="1">
      <x:c r="A1151" s="10" t="str">
        <x:v>D-B</x:v>
      </x:c>
      <x:c r="B1151" s="10" t="str">
        <x:v>DELIVERY</x:v>
      </x:c>
      <x:c r="C1151" s="10" t="str">
        <x:v>DELIVERY:S06-03</x:v>
      </x:c>
      <x:c r="D1151" s="10" t="str">
        <x:v>DELIVERY:S06-03:delivery_request</x:v>
      </x:c>
      <x:c r="E1151" s="11" t="n">
        <x:v>0.89</x:v>
      </x:c>
      <x:c r="F1151" s="11" t="n">
        <x:v>8.159999999</x:v>
      </x:c>
      <x:c r="G1151" s="11" t="n">
        <x:f>F1151-E1151</x:f>
        <x:v>7.269999999</x:v>
      </x:c>
      <x:c r="H1151" s="10" t="n">
        <x:v>1</x:v>
      </x:c>
      <x:c r="I1151" s="10" t="str">
        <x:v>AUTHORED_TERMINAL</x:v>
      </x:c>
      <x:c r="J1151" s="10" t="str">
        <x:v>DELIVERY:S06-03:B:evaluation_first_display</x:v>
      </x:c>
      <x:c r="K1151" s="10" t="str">
        <x:v>DELIVERY:S06-03:input</x:v>
      </x:c>
      <x:c r="L1151" s="10" t="str">
        <x:v>DELIVERY:S06-03:B:explanation_tail, DELIVERY:S06-03:B:evaluation_first_display, DELIVERY:S06-03:B:continue_part2</x:v>
      </x:c>
    </x:row>
    <x:row r="1152" ht="52" customHeight="1">
      <x:c r="A1152" s="10" t="str">
        <x:v>D-A</x:v>
      </x:c>
      <x:c r="B1152" s="10" t="str">
        <x:v>DELIVERY</x:v>
      </x:c>
      <x:c r="C1152" s="10" t="str">
        <x:v>DELIVERY:S06-04</x:v>
      </x:c>
      <x:c r="D1152" s="10" t="str">
        <x:v>DELIVERY:S06-04:delivery_request</x:v>
      </x:c>
      <x:c r="E1152" s="11" t="n">
        <x:v>0.918333333</x:v>
      </x:c>
      <x:c r="F1152" s="11" t="n">
        <x:v>8.200333332</x:v>
      </x:c>
      <x:c r="G1152" s="11" t="n">
        <x:f>F1152-E1152</x:f>
        <x:v>7.281999999</x:v>
      </x:c>
      <x:c r="H1152" s="10" t="n">
        <x:v>1</x:v>
      </x:c>
      <x:c r="I1152" s="10" t="str">
        <x:v>AUTHORED_TERMINAL</x:v>
      </x:c>
      <x:c r="J1152" s="10" t="str">
        <x:v>DELIVERY:S06-04:A:evaluation_first_display</x:v>
      </x:c>
      <x:c r="K1152" s="10" t="str">
        <x:v>DELIVERY:S06-04:input</x:v>
      </x:c>
      <x:c r="L1152" s="10" t="str">
        <x:v>DELIVERY:S06-04:A:explanation_tail, DELIVERY:S06-04:A:evaluation_first_display, DELIVERY:S06-04:A:continue_part2</x:v>
      </x:c>
    </x:row>
    <x:row r="1153" ht="52" customHeight="1">
      <x:c r="A1153" s="10" t="str">
        <x:v>D-B</x:v>
      </x:c>
      <x:c r="B1153" s="10" t="str">
        <x:v>DELIVERY</x:v>
      </x:c>
      <x:c r="C1153" s="10" t="str">
        <x:v>DELIVERY:S06-04</x:v>
      </x:c>
      <x:c r="D1153" s="10" t="str">
        <x:v>DELIVERY:S06-04:delivery_request</x:v>
      </x:c>
      <x:c r="E1153" s="11" t="n">
        <x:v>0.918333333</x:v>
      </x:c>
      <x:c r="F1153" s="11" t="n">
        <x:v>8.200333332</x:v>
      </x:c>
      <x:c r="G1153" s="11" t="n">
        <x:f>F1153-E1153</x:f>
        <x:v>7.281999999</x:v>
      </x:c>
      <x:c r="H1153" s="10" t="n">
        <x:v>1</x:v>
      </x:c>
      <x:c r="I1153" s="10" t="str">
        <x:v>AUTHORED_TERMINAL</x:v>
      </x:c>
      <x:c r="J1153" s="10" t="str">
        <x:v>DELIVERY:S06-04:B:evaluation_first_display</x:v>
      </x:c>
      <x:c r="K1153" s="10" t="str">
        <x:v>DELIVERY:S06-04:input</x:v>
      </x:c>
      <x:c r="L1153" s="10" t="str">
        <x:v>DELIVERY:S06-04:B:explanation_tail, DELIVERY:S06-04:B:evaluation_first_display, DELIVERY:S06-04:B:continue_part2</x:v>
      </x:c>
    </x:row>
    <x:row r="1154" ht="52" customHeight="1">
      <x:c r="A1154" s="10" t="str">
        <x:v>D-A</x:v>
      </x:c>
      <x:c r="B1154" s="10" t="str">
        <x:v>DELIVERY</x:v>
      </x:c>
      <x:c r="C1154" s="10" t="str">
        <x:v>DELIVERY:S06-05</x:v>
      </x:c>
      <x:c r="D1154" s="10" t="str">
        <x:v>DELIVERY:S06-05:delivery_request</x:v>
      </x:c>
      <x:c r="E1154" s="11" t="n">
        <x:v>0.9466666670000001</x:v>
      </x:c>
      <x:c r="F1154" s="11" t="n">
        <x:v>8.240666666</x:v>
      </x:c>
      <x:c r="G1154" s="11" t="n">
        <x:f>F1154-E1154</x:f>
        <x:v>7.293999998999999</x:v>
      </x:c>
      <x:c r="H1154" s="10" t="n">
        <x:v>1</x:v>
      </x:c>
      <x:c r="I1154" s="10" t="str">
        <x:v>AUTHORED_TERMINAL</x:v>
      </x:c>
      <x:c r="J1154" s="10" t="str">
        <x:v>DELIVERY:S06-05:A:evaluation_first_display</x:v>
      </x:c>
      <x:c r="K1154" s="10" t="str">
        <x:v>DELIVERY:S06-05:input</x:v>
      </x:c>
      <x:c r="L1154" s="10" t="str">
        <x:v>DELIVERY:S06-05:A:explanation_tail, DELIVERY:S06-05:A:evaluation_first_display, DELIVERY:S06-05:A:continue_part2</x:v>
      </x:c>
    </x:row>
    <x:row r="1155" ht="52" customHeight="1">
      <x:c r="A1155" s="10" t="str">
        <x:v>D-B</x:v>
      </x:c>
      <x:c r="B1155" s="10" t="str">
        <x:v>DELIVERY</x:v>
      </x:c>
      <x:c r="C1155" s="10" t="str">
        <x:v>DELIVERY:S06-05</x:v>
      </x:c>
      <x:c r="D1155" s="10" t="str">
        <x:v>DELIVERY:S06-05:delivery_request</x:v>
      </x:c>
      <x:c r="E1155" s="11" t="n">
        <x:v>0.9466666670000001</x:v>
      </x:c>
      <x:c r="F1155" s="11" t="n">
        <x:v>8.240666666</x:v>
      </x:c>
      <x:c r="G1155" s="11" t="n">
        <x:f>F1155-E1155</x:f>
        <x:v>7.293999998999999</x:v>
      </x:c>
      <x:c r="H1155" s="10" t="n">
        <x:v>1</x:v>
      </x:c>
      <x:c r="I1155" s="10" t="str">
        <x:v>AUTHORED_TERMINAL</x:v>
      </x:c>
      <x:c r="J1155" s="10" t="str">
        <x:v>DELIVERY:S06-05:B:evaluation_first_display</x:v>
      </x:c>
      <x:c r="K1155" s="10" t="str">
        <x:v>DELIVERY:S06-05:input</x:v>
      </x:c>
      <x:c r="L1155" s="10" t="str">
        <x:v>DELIVERY:S06-05:B:explanation_tail, DELIVERY:S06-05:B:evaluation_first_display, DELIVERY:S06-05:B:continue_part2</x:v>
      </x:c>
    </x:row>
    <x:row r="1156" ht="52" customHeight="1">
      <x:c r="A1156" s="10" t="str">
        <x:v>D-A</x:v>
      </x:c>
      <x:c r="B1156" s="10" t="str">
        <x:v>DELIVERY</x:v>
      </x:c>
      <x:c r="C1156" s="10" t="str">
        <x:v>DELIVERY:S06-06</x:v>
      </x:c>
      <x:c r="D1156" s="10" t="str">
        <x:v>DELIVERY:S06-06:delivery_request</x:v>
      </x:c>
      <x:c r="E1156" s="11" t="n">
        <x:v>0.9000000000000001</x:v>
      </x:c>
      <x:c r="F1156" s="11" t="n">
        <x:v>8.205999999</x:v>
      </x:c>
      <x:c r="G1156" s="11" t="n">
        <x:f>F1156-E1156</x:f>
        <x:v>7.305999998999999</x:v>
      </x:c>
      <x:c r="H1156" s="10" t="n">
        <x:v>1</x:v>
      </x:c>
      <x:c r="I1156" s="10" t="str">
        <x:v>AUTHORED_TERMINAL</x:v>
      </x:c>
      <x:c r="J1156" s="10" t="str">
        <x:v>DELIVERY:S06-06:A:evaluation_first_display</x:v>
      </x:c>
      <x:c r="K1156" s="10" t="str">
        <x:v>DELIVERY:S06-06:input</x:v>
      </x:c>
      <x:c r="L1156" s="10" t="str">
        <x:v>DELIVERY:S06-06:A:explanation_tail, DELIVERY:S06-06:A:evaluation_first_display, DELIVERY:S06-06:A:continue_part2</x:v>
      </x:c>
    </x:row>
    <x:row r="1157" ht="52" customHeight="1">
      <x:c r="A1157" s="10" t="str">
        <x:v>D-B</x:v>
      </x:c>
      <x:c r="B1157" s="10" t="str">
        <x:v>DELIVERY</x:v>
      </x:c>
      <x:c r="C1157" s="10" t="str">
        <x:v>DELIVERY:S06-06</x:v>
      </x:c>
      <x:c r="D1157" s="10" t="str">
        <x:v>DELIVERY:S06-06:delivery_request</x:v>
      </x:c>
      <x:c r="E1157" s="11" t="n">
        <x:v>0.9000000000000001</x:v>
      </x:c>
      <x:c r="F1157" s="11" t="n">
        <x:v>8.205999999</x:v>
      </x:c>
      <x:c r="G1157" s="11" t="n">
        <x:f>F1157-E1157</x:f>
        <x:v>7.305999998999999</x:v>
      </x:c>
      <x:c r="H1157" s="10" t="n">
        <x:v>1</x:v>
      </x:c>
      <x:c r="I1157" s="10" t="str">
        <x:v>AUTHORED_TERMINAL</x:v>
      </x:c>
      <x:c r="J1157" s="10" t="str">
        <x:v>DELIVERY:S06-06:B:evaluation_first_display</x:v>
      </x:c>
      <x:c r="K1157" s="10" t="str">
        <x:v>DELIVERY:S06-06:input</x:v>
      </x:c>
      <x:c r="L1157" s="10" t="str">
        <x:v>DELIVERY:S06-06:B:explanation_tail, DELIVERY:S06-06:B:evaluation_first_display, DELIVERY:S06-06:B:continue_part2</x:v>
      </x:c>
    </x:row>
    <x:row r="1158" ht="52" customHeight="1">
      <x:c r="A1158" s="10" t="str">
        <x:v>D-A</x:v>
      </x:c>
      <x:c r="B1158" s="10" t="str">
        <x:v>DELIVERY</x:v>
      </x:c>
      <x:c r="C1158" s="10" t="str">
        <x:v>DELIVERY:S06-07</x:v>
      </x:c>
      <x:c r="D1158" s="10" t="str">
        <x:v>DELIVERY:S06-07:delivery_request</x:v>
      </x:c>
      <x:c r="E1158" s="11" t="n">
        <x:v>0.928333333</x:v>
      </x:c>
      <x:c r="F1158" s="11" t="n">
        <x:v>8.246333332</x:v>
      </x:c>
      <x:c r="G1158" s="11" t="n">
        <x:f>F1158-E1158</x:f>
        <x:v>7.317999999</x:v>
      </x:c>
      <x:c r="H1158" s="10" t="n">
        <x:v>1</x:v>
      </x:c>
      <x:c r="I1158" s="10" t="str">
        <x:v>AUTHORED_TERMINAL</x:v>
      </x:c>
      <x:c r="J1158" s="10" t="str">
        <x:v>DELIVERY:S06-07:A:evaluation_first_display</x:v>
      </x:c>
      <x:c r="K1158" s="10" t="str">
        <x:v>DELIVERY:S06-07:input</x:v>
      </x:c>
      <x:c r="L1158" s="10" t="str">
        <x:v>DELIVERY:S06-07:A:explanation_tail, DELIVERY:S06-07:A:evaluation_first_display, DELIVERY:S06-07:A:continue_part2</x:v>
      </x:c>
    </x:row>
    <x:row r="1159" ht="52" customHeight="1">
      <x:c r="A1159" s="10" t="str">
        <x:v>D-B</x:v>
      </x:c>
      <x:c r="B1159" s="10" t="str">
        <x:v>DELIVERY</x:v>
      </x:c>
      <x:c r="C1159" s="10" t="str">
        <x:v>DELIVERY:S06-07</x:v>
      </x:c>
      <x:c r="D1159" s="10" t="str">
        <x:v>DELIVERY:S06-07:delivery_request</x:v>
      </x:c>
      <x:c r="E1159" s="11" t="n">
        <x:v>0.928333333</x:v>
      </x:c>
      <x:c r="F1159" s="11" t="n">
        <x:v>8.246333332</x:v>
      </x:c>
      <x:c r="G1159" s="11" t="n">
        <x:f>F1159-E1159</x:f>
        <x:v>7.317999999</x:v>
      </x:c>
      <x:c r="H1159" s="10" t="n">
        <x:v>1</x:v>
      </x:c>
      <x:c r="I1159" s="10" t="str">
        <x:v>AUTHORED_TERMINAL</x:v>
      </x:c>
      <x:c r="J1159" s="10" t="str">
        <x:v>DELIVERY:S06-07:B:evaluation_first_display</x:v>
      </x:c>
      <x:c r="K1159" s="10" t="str">
        <x:v>DELIVERY:S06-07:input</x:v>
      </x:c>
      <x:c r="L1159" s="10" t="str">
        <x:v>DELIVERY:S06-07:B:explanation_tail, DELIVERY:S06-07:B:evaluation_first_display, DELIVERY:S06-07:B:continue_part2</x:v>
      </x:c>
    </x:row>
    <x:row r="1160" ht="52" customHeight="1">
      <x:c r="A1160" s="10" t="str">
        <x:v>D-A</x:v>
      </x:c>
      <x:c r="B1160" s="10" t="str">
        <x:v>DELIVERY</x:v>
      </x:c>
      <x:c r="C1160" s="10" t="str">
        <x:v>DELIVERY:S06-08</x:v>
      </x:c>
      <x:c r="D1160" s="10" t="str">
        <x:v>DELIVERY:S06-08:delivery_request</x:v>
      </x:c>
      <x:c r="E1160" s="11" t="n">
        <x:v>0.9566666670000001</x:v>
      </x:c>
      <x:c r="F1160" s="11" t="n">
        <x:v>8.286666666</x:v>
      </x:c>
      <x:c r="G1160" s="11" t="n">
        <x:f>F1160-E1160</x:f>
        <x:v>7.329999999</x:v>
      </x:c>
      <x:c r="H1160" s="10" t="n">
        <x:v>1</x:v>
      </x:c>
      <x:c r="I1160" s="10" t="str">
        <x:v>AUTHORED_TERMINAL</x:v>
      </x:c>
      <x:c r="J1160" s="10" t="str">
        <x:v>DELIVERY:S06-08:A:evaluation_first_display</x:v>
      </x:c>
      <x:c r="K1160" s="10" t="str">
        <x:v>DELIVERY:S06-08:input</x:v>
      </x:c>
      <x:c r="L1160" s="10" t="str">
        <x:v>DELIVERY:S06-08:A:explanation_tail, DELIVERY:S06-08:A:evaluation_first_display, DELIVERY:S06-08:A:continue_part2</x:v>
      </x:c>
    </x:row>
    <x:row r="1161" ht="52" customHeight="1">
      <x:c r="A1161" s="10" t="str">
        <x:v>D-B</x:v>
      </x:c>
      <x:c r="B1161" s="10" t="str">
        <x:v>DELIVERY</x:v>
      </x:c>
      <x:c r="C1161" s="10" t="str">
        <x:v>DELIVERY:S06-08</x:v>
      </x:c>
      <x:c r="D1161" s="10" t="str">
        <x:v>DELIVERY:S06-08:delivery_request</x:v>
      </x:c>
      <x:c r="E1161" s="11" t="n">
        <x:v>0.9566666670000001</x:v>
      </x:c>
      <x:c r="F1161" s="11" t="n">
        <x:v>8.286666666</x:v>
      </x:c>
      <x:c r="G1161" s="11" t="n">
        <x:f>F1161-E1161</x:f>
        <x:v>7.329999999</x:v>
      </x:c>
      <x:c r="H1161" s="10" t="n">
        <x:v>1</x:v>
      </x:c>
      <x:c r="I1161" s="10" t="str">
        <x:v>AUTHORED_TERMINAL</x:v>
      </x:c>
      <x:c r="J1161" s="10" t="str">
        <x:v>DELIVERY:S06-08:B:evaluation_first_display</x:v>
      </x:c>
      <x:c r="K1161" s="10" t="str">
        <x:v>DELIVERY:S06-08:input</x:v>
      </x:c>
      <x:c r="L1161" s="10" t="str">
        <x:v>DELIVERY:S06-08:B:explanation_tail, DELIVERY:S06-08:B:evaluation_first_display, DELIVERY:S06-08:B:continue_part2</x:v>
      </x:c>
    </x:row>
    <x:row r="1162" ht="52" customHeight="1">
      <x:c r="A1162" s="10" t="str">
        <x:v>D-A</x:v>
      </x:c>
      <x:c r="B1162" s="10" t="str">
        <x:v>DELIVERY</x:v>
      </x:c>
      <x:c r="C1162" s="10" t="str">
        <x:v>DELIVERY:S06-09</x:v>
      </x:c>
      <x:c r="D1162" s="10" t="str">
        <x:v>DELIVERY:S06-09:delivery_request</x:v>
      </x:c>
      <x:c r="E1162" s="11" t="n">
        <x:v>0.9100000000000001</x:v>
      </x:c>
      <x:c r="F1162" s="11" t="n">
        <x:v>8.251999999</x:v>
      </x:c>
      <x:c r="G1162" s="11" t="n">
        <x:f>F1162-E1162</x:f>
        <x:v>7.341999999</x:v>
      </x:c>
      <x:c r="H1162" s="10" t="n">
        <x:v>1</x:v>
      </x:c>
      <x:c r="I1162" s="10" t="str">
        <x:v>AUTHORED_TERMINAL</x:v>
      </x:c>
      <x:c r="J1162" s="10" t="str">
        <x:v>DELIVERY:S06-09:A:evaluation_first_display</x:v>
      </x:c>
      <x:c r="K1162" s="10" t="str">
        <x:v>DELIVERY:S06-09:input</x:v>
      </x:c>
      <x:c r="L1162" s="10" t="str">
        <x:v>DELIVERY:S06-09:A:explanation_tail, DELIVERY:S06-09:A:evaluation_first_display, DELIVERY:S06-09:A:continue_part2</x:v>
      </x:c>
    </x:row>
    <x:row r="1163" ht="52" customHeight="1">
      <x:c r="A1163" s="10" t="str">
        <x:v>D-B</x:v>
      </x:c>
      <x:c r="B1163" s="10" t="str">
        <x:v>DELIVERY</x:v>
      </x:c>
      <x:c r="C1163" s="10" t="str">
        <x:v>DELIVERY:S06-09</x:v>
      </x:c>
      <x:c r="D1163" s="10" t="str">
        <x:v>DELIVERY:S06-09:delivery_request</x:v>
      </x:c>
      <x:c r="E1163" s="11" t="n">
        <x:v>0.9100000000000001</x:v>
      </x:c>
      <x:c r="F1163" s="11" t="n">
        <x:v>8.251999999</x:v>
      </x:c>
      <x:c r="G1163" s="11" t="n">
        <x:f>F1163-E1163</x:f>
        <x:v>7.341999999</x:v>
      </x:c>
      <x:c r="H1163" s="10" t="n">
        <x:v>1</x:v>
      </x:c>
      <x:c r="I1163" s="10" t="str">
        <x:v>AUTHORED_TERMINAL</x:v>
      </x:c>
      <x:c r="J1163" s="10" t="str">
        <x:v>DELIVERY:S06-09:B:evaluation_first_display</x:v>
      </x:c>
      <x:c r="K1163" s="10" t="str">
        <x:v>DELIVERY:S06-09:input</x:v>
      </x:c>
      <x:c r="L1163" s="10" t="str">
        <x:v>DELIVERY:S06-09:B:explanation_tail, DELIVERY:S06-09:B:evaluation_first_display, DELIVERY:S06-09:B:continue_part2</x:v>
      </x:c>
    </x:row>
    <x:row r="1164" ht="52" customHeight="1">
      <x:c r="A1164" s="10" t="str">
        <x:v>D-A</x:v>
      </x:c>
      <x:c r="B1164" s="10" t="str">
        <x:v>DELIVERY</x:v>
      </x:c>
      <x:c r="C1164" s="10" t="str">
        <x:v>DELIVERY:S06-10</x:v>
      </x:c>
      <x:c r="D1164" s="10" t="str">
        <x:v>DELIVERY:S06-10:delivery_request</x:v>
      </x:c>
      <x:c r="E1164" s="11" t="n">
        <x:v>0.938333333</x:v>
      </x:c>
      <x:c r="F1164" s="11" t="n">
        <x:v>8.292333332</x:v>
      </x:c>
      <x:c r="G1164" s="11" t="n">
        <x:f>F1164-E1164</x:f>
        <x:v>7.353999999</x:v>
      </x:c>
      <x:c r="H1164" s="10" t="n">
        <x:v>1</x:v>
      </x:c>
      <x:c r="I1164" s="10" t="str">
        <x:v>AUTHORED_TERMINAL</x:v>
      </x:c>
      <x:c r="J1164" s="10" t="str">
        <x:v>DELIVERY:S06-10:A:evaluation_first_display</x:v>
      </x:c>
      <x:c r="K1164" s="10" t="str">
        <x:v>DELIVERY:S06-10:input</x:v>
      </x:c>
      <x:c r="L1164" s="10" t="str">
        <x:v>DELIVERY:S06-10:A:explanation_tail, DELIVERY:S06-10:A:evaluation_first_display, DELIVERY:S06-10:A:continue_part2</x:v>
      </x:c>
    </x:row>
    <x:row r="1165" ht="52" customHeight="1">
      <x:c r="A1165" s="10" t="str">
        <x:v>D-B</x:v>
      </x:c>
      <x:c r="B1165" s="10" t="str">
        <x:v>DELIVERY</x:v>
      </x:c>
      <x:c r="C1165" s="10" t="str">
        <x:v>DELIVERY:S06-10</x:v>
      </x:c>
      <x:c r="D1165" s="10" t="str">
        <x:v>DELIVERY:S06-10:delivery_request</x:v>
      </x:c>
      <x:c r="E1165" s="11" t="n">
        <x:v>0.938333333</x:v>
      </x:c>
      <x:c r="F1165" s="11" t="n">
        <x:v>8.292333332</x:v>
      </x:c>
      <x:c r="G1165" s="11" t="n">
        <x:f>F1165-E1165</x:f>
        <x:v>7.353999999</x:v>
      </x:c>
      <x:c r="H1165" s="10" t="n">
        <x:v>1</x:v>
      </x:c>
      <x:c r="I1165" s="10" t="str">
        <x:v>AUTHORED_TERMINAL</x:v>
      </x:c>
      <x:c r="J1165" s="10" t="str">
        <x:v>DELIVERY:S06-10:B:evaluation_first_display</x:v>
      </x:c>
      <x:c r="K1165" s="10" t="str">
        <x:v>DELIVERY:S06-10:input</x:v>
      </x:c>
      <x:c r="L1165" s="10" t="str">
        <x:v>DELIVERY:S06-10:B:explanation_tail, DELIVERY:S06-10:B:evaluation_first_display, DELIVERY:S06-10:B:continue_part2</x:v>
      </x:c>
    </x:row>
    <x:row r="1166" ht="52" customHeight="1">
      <x:c r="A1166" s="10" t="str">
        <x:v>D-A</x:v>
      </x:c>
      <x:c r="B1166" s="10" t="str">
        <x:v>DELIVERY</x:v>
      </x:c>
      <x:c r="C1166" s="10" t="str">
        <x:v>DELIVERY:S07-01</x:v>
      </x:c>
      <x:c r="D1166" s="10" t="str">
        <x:v>DELIVERY:S07-01:delivery_request</x:v>
      </x:c>
      <x:c r="E1166" s="11" t="n">
        <x:v>1.1965</x:v>
      </x:c>
      <x:c r="F1166" s="11" t="n">
        <x:v>14.826333333</x:v>
      </x:c>
      <x:c r="G1166" s="11" t="n">
        <x:f>F1166-E1166</x:f>
        <x:v>13.629833332999999</x:v>
      </x:c>
      <x:c r="H1166" s="10" t="n">
        <x:v>1</x:v>
      </x:c>
      <x:c r="I1166" s="10" t="str">
        <x:v>AUTHORED_TERMINAL</x:v>
      </x:c>
      <x:c r="J1166" s="10" t="str">
        <x:v>DELIVERY:S07-01:A:report_tail</x:v>
      </x:c>
      <x:c r="K1166" s="10" t="str">
        <x:v>DELIVERY:S07-01:input</x:v>
      </x:c>
      <x:c r="L1166" s="10" t="str">
        <x:v>DELIVERY:S07-01:A:calendar_tail, DELIVERY:S07-01:A:display_calendar, DELIVERY:S07-01:A:burst0_played, DELIVERY:S07-01:A:mail_tail, DELIVERY:S07-01:A:display_mail, DELIVERY:S07-01:A:burst1_played, DELIVERY:S07-01:A:report_tail, DELIVERY:S07-01:A:display_report, DELIVERY:S07-01:A:burst2_played, DELIVERY:S07-01:A:evaluation_first_display</x:v>
      </x:c>
    </x:row>
    <x:row r="1167" ht="52" customHeight="1">
      <x:c r="A1167" s="10" t="str">
        <x:v>D-B</x:v>
      </x:c>
      <x:c r="B1167" s="10" t="str">
        <x:v>DELIVERY</x:v>
      </x:c>
      <x:c r="C1167" s="10" t="str">
        <x:v>DELIVERY:S07-01</x:v>
      </x:c>
      <x:c r="D1167" s="10" t="str">
        <x:v>DELIVERY:S07-01:delivery_request</x:v>
      </x:c>
      <x:c r="E1167" s="11" t="n">
        <x:v>3.8531666659999986</x:v>
      </x:c>
      <x:c r="F1167" s="11" t="n">
        <x:v>16.044666666</x:v>
      </x:c>
      <x:c r="G1167" s="11" t="n">
        <x:f>F1167-E1167</x:f>
        <x:v>12.191500000000003</x:v>
      </x:c>
      <x:c r="H1167" s="10" t="n">
        <x:v>1</x:v>
      </x:c>
      <x:c r="I1167" s="10" t="str">
        <x:v>AUTHORED_TERMINAL</x:v>
      </x:c>
      <x:c r="J1167" s="10" t="str">
        <x:v>DELIVERY:S07-01:B:report_tail</x:v>
      </x:c>
      <x:c r="K1167" s="10" t="str">
        <x:v>DELIVERY:S07-01:input</x:v>
      </x:c>
      <x:c r="L1167" s="10" t="str">
        <x:v>DELIVERY:S07-01:B:calendar_tail, DELIVERY:S07-01:B:display_calendar, DELIVERY:S07-01:B:burst0_played, DELIVERY:S07-01:B:mail_tail, DELIVERY:S07-01:B:display_mail, DELIVERY:S07-01:B:burst1_played, DELIVERY:S07-01:B:report_tail, DELIVERY:S07-01:B:display_report, DELIVERY:S07-01:B:burst2_played, DELIVERY:S07-01:B:evaluation_first_display</x:v>
      </x:c>
    </x:row>
    <x:row r="1168" ht="52" customHeight="1">
      <x:c r="A1168" s="10" t="str">
        <x:v>D-A</x:v>
      </x:c>
      <x:c r="B1168" s="10" t="str">
        <x:v>DELIVERY</x:v>
      </x:c>
      <x:c r="C1168" s="10" t="str">
        <x:v>DELIVERY:S07-02</x:v>
      </x:c>
      <x:c r="D1168" s="10" t="str">
        <x:v>DELIVERY:S07-02:delivery_request</x:v>
      </x:c>
      <x:c r="E1168" s="11" t="n">
        <x:v>1.1995</x:v>
      </x:c>
      <x:c r="F1168" s="11" t="n">
        <x:v>14.890666667</x:v>
      </x:c>
      <x:c r="G1168" s="11" t="n">
        <x:f>F1168-E1168</x:f>
        <x:v>13.691166667</x:v>
      </x:c>
      <x:c r="H1168" s="10" t="n">
        <x:v>1</x:v>
      </x:c>
      <x:c r="I1168" s="10" t="str">
        <x:v>AUTHORED_TERMINAL</x:v>
      </x:c>
      <x:c r="J1168" s="10" t="str">
        <x:v>DELIVERY:S07-02:A:report_tail</x:v>
      </x:c>
      <x:c r="K1168" s="10" t="str">
        <x:v>DELIVERY:S07-02:input</x:v>
      </x:c>
      <x:c r="L1168" s="10" t="str">
        <x:v>DELIVERY:S07-02:A:calendar_tail, DELIVERY:S07-02:A:display_calendar, DELIVERY:S07-02:A:burst0_played, DELIVERY:S07-02:A:mail_tail, DELIVERY:S07-02:A:display_mail, DELIVERY:S07-02:A:burst1_played, DELIVERY:S07-02:A:report_tail, DELIVERY:S07-02:A:display_report, DELIVERY:S07-02:A:burst2_played, DELIVERY:S07-02:A:evaluation_first_display</x:v>
      </x:c>
    </x:row>
    <x:row r="1169" ht="52" customHeight="1">
      <x:c r="A1169" s="10" t="str">
        <x:v>D-B</x:v>
      </x:c>
      <x:c r="B1169" s="10" t="str">
        <x:v>DELIVERY</x:v>
      </x:c>
      <x:c r="C1169" s="10" t="str">
        <x:v>DELIVERY:S07-02</x:v>
      </x:c>
      <x:c r="D1169" s="10" t="str">
        <x:v>DELIVERY:S07-02:delivery_request</x:v>
      </x:c>
      <x:c r="E1169" s="11" t="n">
        <x:v>3.8844999999999996</x:v>
      </x:c>
      <x:c r="F1169" s="11" t="n">
        <x:v>16.109</x:v>
      </x:c>
      <x:c r="G1169" s="11" t="n">
        <x:f>F1169-E1169</x:f>
        <x:v>12.224500000000003</x:v>
      </x:c>
      <x:c r="H1169" s="10" t="n">
        <x:v>1</x:v>
      </x:c>
      <x:c r="I1169" s="10" t="str">
        <x:v>AUTHORED_TERMINAL</x:v>
      </x:c>
      <x:c r="J1169" s="10" t="str">
        <x:v>DELIVERY:S07-02:B:report_tail</x:v>
      </x:c>
      <x:c r="K1169" s="10" t="str">
        <x:v>DELIVERY:S07-02:input</x:v>
      </x:c>
      <x:c r="L1169" s="10" t="str">
        <x:v>DELIVERY:S07-02:B:calendar_tail, DELIVERY:S07-02:B:display_calendar, DELIVERY:S07-02:B:burst0_played, DELIVERY:S07-02:B:mail_tail, DELIVERY:S07-02:B:display_mail, DELIVERY:S07-02:B:burst1_played, DELIVERY:S07-02:B:report_tail, DELIVERY:S07-02:B:display_report, DELIVERY:S07-02:B:burst2_played, DELIVERY:S07-02:B:evaluation_first_display</x:v>
      </x:c>
    </x:row>
    <x:row r="1170" ht="52" customHeight="1">
      <x:c r="A1170" s="10" t="str">
        <x:v>D-A</x:v>
      </x:c>
      <x:c r="B1170" s="10" t="str">
        <x:v>DELIVERY</x:v>
      </x:c>
      <x:c r="C1170" s="10" t="str">
        <x:v>DELIVERY:S07-03</x:v>
      </x:c>
      <x:c r="D1170" s="10" t="str">
        <x:v>DELIVERY:S07-03:delivery_request</x:v>
      </x:c>
      <x:c r="E1170" s="11" t="n">
        <x:v>1.2025</x:v>
      </x:c>
      <x:c r="F1170" s="11" t="n">
        <x:v>14.88</x:v>
      </x:c>
      <x:c r="G1170" s="11" t="n">
        <x:f>F1170-E1170</x:f>
        <x:v>13.6775</x:v>
      </x:c>
      <x:c r="H1170" s="10" t="n">
        <x:v>1</x:v>
      </x:c>
      <x:c r="I1170" s="10" t="str">
        <x:v>AUTHORED_TERMINAL</x:v>
      </x:c>
      <x:c r="J1170" s="10" t="str">
        <x:v>DELIVERY:S07-03:A:report_tail</x:v>
      </x:c>
      <x:c r="K1170" s="10" t="str">
        <x:v>DELIVERY:S07-03:input</x:v>
      </x:c>
      <x:c r="L1170" s="10" t="str">
        <x:v>DELIVERY:S07-03:A:calendar_tail, DELIVERY:S07-03:A:display_calendar, DELIVERY:S07-03:A:burst0_played, DELIVERY:S07-03:A:mail_tail, DELIVERY:S07-03:A:display_mail, DELIVERY:S07-03:A:burst1_played, DELIVERY:S07-03:A:report_tail, DELIVERY:S07-03:A:display_report, DELIVERY:S07-03:A:burst2_played, DELIVERY:S07-03:A:evaluation_first_display</x:v>
      </x:c>
    </x:row>
    <x:row r="1171" ht="52" customHeight="1">
      <x:c r="A1171" s="10" t="str">
        <x:v>D-B</x:v>
      </x:c>
      <x:c r="B1171" s="10" t="str">
        <x:v>DELIVERY</x:v>
      </x:c>
      <x:c r="C1171" s="10" t="str">
        <x:v>DELIVERY:S07-03</x:v>
      </x:c>
      <x:c r="D1171" s="10" t="str">
        <x:v>DELIVERY:S07-03:delivery_request</x:v>
      </x:c>
      <x:c r="E1171" s="11" t="n">
        <x:v>3.840833333000001</x:v>
      </x:c>
      <x:c r="F1171" s="11" t="n">
        <x:v>16.098333333</x:v>
      </x:c>
      <x:c r="G1171" s="11" t="n">
        <x:f>F1171-E1171</x:f>
        <x:v>12.257499999999999</x:v>
      </x:c>
      <x:c r="H1171" s="10" t="n">
        <x:v>1</x:v>
      </x:c>
      <x:c r="I1171" s="10" t="str">
        <x:v>AUTHORED_TERMINAL</x:v>
      </x:c>
      <x:c r="J1171" s="10" t="str">
        <x:v>DELIVERY:S07-03:B:report_tail</x:v>
      </x:c>
      <x:c r="K1171" s="10" t="str">
        <x:v>DELIVERY:S07-03:input</x:v>
      </x:c>
      <x:c r="L1171" s="10" t="str">
        <x:v>DELIVERY:S07-03:B:calendar_tail, DELIVERY:S07-03:B:display_calendar, DELIVERY:S07-03:B:burst0_played, DELIVERY:S07-03:B:mail_tail, DELIVERY:S07-03:B:display_mail, DELIVERY:S07-03:B:burst1_played, DELIVERY:S07-03:B:report_tail, DELIVERY:S07-03:B:display_report, DELIVERY:S07-03:B:burst2_played, DELIVERY:S07-03:B:evaluation_first_display</x:v>
      </x:c>
    </x:row>
    <x:row r="1172" ht="52" customHeight="1">
      <x:c r="A1172" s="10" t="str">
        <x:v>D-A</x:v>
      </x:c>
      <x:c r="B1172" s="10" t="str">
        <x:v>DELIVERY</x:v>
      </x:c>
      <x:c r="C1172" s="10" t="str">
        <x:v>DELIVERY:S07-04</x:v>
      </x:c>
      <x:c r="D1172" s="10" t="str">
        <x:v>DELIVERY:S07-04:delivery_request</x:v>
      </x:c>
      <x:c r="E1172" s="11" t="n">
        <x:v>1.2055</x:v>
      </x:c>
      <x:c r="F1172" s="11" t="n">
        <x:v>14.944333333</x:v>
      </x:c>
      <x:c r="G1172" s="11" t="n">
        <x:f>F1172-E1172</x:f>
        <x:v>13.738833332999999</x:v>
      </x:c>
      <x:c r="H1172" s="10" t="n">
        <x:v>1</x:v>
      </x:c>
      <x:c r="I1172" s="10" t="str">
        <x:v>AUTHORED_TERMINAL</x:v>
      </x:c>
      <x:c r="J1172" s="10" t="str">
        <x:v>DELIVERY:S07-04:A:report_tail</x:v>
      </x:c>
      <x:c r="K1172" s="10" t="str">
        <x:v>DELIVERY:S07-04:input</x:v>
      </x:c>
      <x:c r="L1172" s="10" t="str">
        <x:v>DELIVERY:S07-04:A:calendar_tail, DELIVERY:S07-04:A:display_calendar, DELIVERY:S07-04:A:burst0_played, DELIVERY:S07-04:A:mail_tail, DELIVERY:S07-04:A:display_mail, DELIVERY:S07-04:A:burst1_played, DELIVERY:S07-04:A:report_tail, DELIVERY:S07-04:A:display_report, DELIVERY:S07-04:A:burst2_played, DELIVERY:S07-04:A:evaluation_first_display</x:v>
      </x:c>
    </x:row>
    <x:row r="1173" ht="52" customHeight="1">
      <x:c r="A1173" s="10" t="str">
        <x:v>D-B</x:v>
      </x:c>
      <x:c r="B1173" s="10" t="str">
        <x:v>DELIVERY</x:v>
      </x:c>
      <x:c r="C1173" s="10" t="str">
        <x:v>DELIVERY:S07-04</x:v>
      </x:c>
      <x:c r="D1173" s="10" t="str">
        <x:v>DELIVERY:S07-04:delivery_request</x:v>
      </x:c>
      <x:c r="E1173" s="11" t="n">
        <x:v>3.872166666000001</x:v>
      </x:c>
      <x:c r="F1173" s="11" t="n">
        <x:v>16.162666666</x:v>
      </x:c>
      <x:c r="G1173" s="11" t="n">
        <x:f>F1173-E1173</x:f>
        <x:v>12.290499999999998</x:v>
      </x:c>
      <x:c r="H1173" s="10" t="n">
        <x:v>1</x:v>
      </x:c>
      <x:c r="I1173" s="10" t="str">
        <x:v>AUTHORED_TERMINAL</x:v>
      </x:c>
      <x:c r="J1173" s="10" t="str">
        <x:v>DELIVERY:S07-04:B:report_tail</x:v>
      </x:c>
      <x:c r="K1173" s="10" t="str">
        <x:v>DELIVERY:S07-04:input</x:v>
      </x:c>
      <x:c r="L1173" s="10" t="str">
        <x:v>DELIVERY:S07-04:B:calendar_tail, DELIVERY:S07-04:B:display_calendar, DELIVERY:S07-04:B:burst0_played, DELIVERY:S07-04:B:mail_tail, DELIVERY:S07-04:B:display_mail, DELIVERY:S07-04:B:burst1_played, DELIVERY:S07-04:B:report_tail, DELIVERY:S07-04:B:display_report, DELIVERY:S07-04:B:burst2_played, DELIVERY:S07-04:B:evaluation_first_display</x:v>
      </x:c>
    </x:row>
    <x:row r="1174" ht="52" customHeight="1">
      <x:c r="A1174" s="10" t="str">
        <x:v>D-A</x:v>
      </x:c>
      <x:c r="B1174" s="10" t="str">
        <x:v>DELIVERY</x:v>
      </x:c>
      <x:c r="C1174" s="10" t="str">
        <x:v>DELIVERY:S07-05</x:v>
      </x:c>
      <x:c r="D1174" s="10" t="str">
        <x:v>DELIVERY:S07-05:delivery_request</x:v>
      </x:c>
      <x:c r="E1174" s="11" t="n">
        <x:v>1.2085</x:v>
      </x:c>
      <x:c r="F1174" s="11" t="n">
        <x:v>15.008666667</x:v>
      </x:c>
      <x:c r="G1174" s="11" t="n">
        <x:f>F1174-E1174</x:f>
        <x:v>13.800166667</x:v>
      </x:c>
      <x:c r="H1174" s="10" t="n">
        <x:v>1</x:v>
      </x:c>
      <x:c r="I1174" s="10" t="str">
        <x:v>AUTHORED_TERMINAL</x:v>
      </x:c>
      <x:c r="J1174" s="10" t="str">
        <x:v>DELIVERY:S07-05:A:report_tail</x:v>
      </x:c>
      <x:c r="K1174" s="10" t="str">
        <x:v>DELIVERY:S07-05:input</x:v>
      </x:c>
      <x:c r="L1174" s="10" t="str">
        <x:v>DELIVERY:S07-05:A:calendar_tail, DELIVERY:S07-05:A:display_calendar, DELIVERY:S07-05:A:burst0_played, DELIVERY:S07-05:A:mail_tail, DELIVERY:S07-05:A:display_mail, DELIVERY:S07-05:A:burst1_played, DELIVERY:S07-05:A:report_tail, DELIVERY:S07-05:A:display_report, DELIVERY:S07-05:A:burst2_played, DELIVERY:S07-05:A:evaluation_first_display</x:v>
      </x:c>
    </x:row>
    <x:row r="1175" ht="52" customHeight="1">
      <x:c r="A1175" s="10" t="str">
        <x:v>D-B</x:v>
      </x:c>
      <x:c r="B1175" s="10" t="str">
        <x:v>DELIVERY</x:v>
      </x:c>
      <x:c r="C1175" s="10" t="str">
        <x:v>DELIVERY:S07-05</x:v>
      </x:c>
      <x:c r="D1175" s="10" t="str">
        <x:v>DELIVERY:S07-05:delivery_request</x:v>
      </x:c>
      <x:c r="E1175" s="11" t="n">
        <x:v>3.903500000000001</x:v>
      </x:c>
      <x:c r="F1175" s="11" t="n">
        <x:v>16.227</x:v>
      </x:c>
      <x:c r="G1175" s="11" t="n">
        <x:f>F1175-E1175</x:f>
        <x:v>12.3235</x:v>
      </x:c>
      <x:c r="H1175" s="10" t="n">
        <x:v>1</x:v>
      </x:c>
      <x:c r="I1175" s="10" t="str">
        <x:v>AUTHORED_TERMINAL</x:v>
      </x:c>
      <x:c r="J1175" s="10" t="str">
        <x:v>DELIVERY:S07-05:B:report_tail</x:v>
      </x:c>
      <x:c r="K1175" s="10" t="str">
        <x:v>DELIVERY:S07-05:input</x:v>
      </x:c>
      <x:c r="L1175" s="10" t="str">
        <x:v>DELIVERY:S07-05:B:calendar_tail, DELIVERY:S07-05:B:display_calendar, DELIVERY:S07-05:B:burst0_played, DELIVERY:S07-05:B:mail_tail, DELIVERY:S07-05:B:display_mail, DELIVERY:S07-05:B:burst1_played, DELIVERY:S07-05:B:report_tail, DELIVERY:S07-05:B:display_report, DELIVERY:S07-05:B:burst2_played, DELIVERY:S07-05:B:evaluation_first_display</x:v>
      </x:c>
    </x:row>
    <x:row r="1176" ht="52" customHeight="1">
      <x:c r="A1176" s="10" t="str">
        <x:v>D-A</x:v>
      </x:c>
      <x:c r="B1176" s="10" t="str">
        <x:v>DELIVERY</x:v>
      </x:c>
      <x:c r="C1176" s="10" t="str">
        <x:v>DELIVERY:S07-06</x:v>
      </x:c>
      <x:c r="D1176" s="10" t="str">
        <x:v>DELIVERY:S07-06:delivery_request</x:v>
      </x:c>
      <x:c r="E1176" s="11" t="n">
        <x:v>1.2115</x:v>
      </x:c>
      <x:c r="F1176" s="11" t="n">
        <x:v>14.998</x:v>
      </x:c>
      <x:c r="G1176" s="11" t="n">
        <x:f>F1176-E1176</x:f>
        <x:v>13.7865</x:v>
      </x:c>
      <x:c r="H1176" s="10" t="n">
        <x:v>1</x:v>
      </x:c>
      <x:c r="I1176" s="10" t="str">
        <x:v>AUTHORED_TERMINAL</x:v>
      </x:c>
      <x:c r="J1176" s="10" t="str">
        <x:v>DELIVERY:S07-06:A:report_tail</x:v>
      </x:c>
      <x:c r="K1176" s="10" t="str">
        <x:v>DELIVERY:S07-06:input</x:v>
      </x:c>
      <x:c r="L1176" s="10" t="str">
        <x:v>DELIVERY:S07-06:A:calendar_tail, DELIVERY:S07-06:A:display_calendar, DELIVERY:S07-06:A:burst0_played, DELIVERY:S07-06:A:mail_tail, DELIVERY:S07-06:A:display_mail, DELIVERY:S07-06:A:burst1_played, DELIVERY:S07-06:A:report_tail, DELIVERY:S07-06:A:display_report, DELIVERY:S07-06:A:burst2_played, DELIVERY:S07-06:A:evaluation_first_display</x:v>
      </x:c>
    </x:row>
    <x:row r="1177" ht="52" customHeight="1">
      <x:c r="A1177" s="10" t="str">
        <x:v>D-B</x:v>
      </x:c>
      <x:c r="B1177" s="10" t="str">
        <x:v>DELIVERY</x:v>
      </x:c>
      <x:c r="C1177" s="10" t="str">
        <x:v>DELIVERY:S07-06</x:v>
      </x:c>
      <x:c r="D1177" s="10" t="str">
        <x:v>DELIVERY:S07-06:delivery_request</x:v>
      </x:c>
      <x:c r="E1177" s="11" t="n">
        <x:v>3.859833332999999</x:v>
      </x:c>
      <x:c r="F1177" s="11" t="n">
        <x:v>16.216333333</x:v>
      </x:c>
      <x:c r="G1177" s="11" t="n">
        <x:f>F1177-E1177</x:f>
        <x:v>12.356500000000002</x:v>
      </x:c>
      <x:c r="H1177" s="10" t="n">
        <x:v>1</x:v>
      </x:c>
      <x:c r="I1177" s="10" t="str">
        <x:v>AUTHORED_TERMINAL</x:v>
      </x:c>
      <x:c r="J1177" s="10" t="str">
        <x:v>DELIVERY:S07-06:B:report_tail</x:v>
      </x:c>
      <x:c r="K1177" s="10" t="str">
        <x:v>DELIVERY:S07-06:input</x:v>
      </x:c>
      <x:c r="L1177" s="10" t="str">
        <x:v>DELIVERY:S07-06:B:calendar_tail, DELIVERY:S07-06:B:display_calendar, DELIVERY:S07-06:B:burst0_played, DELIVERY:S07-06:B:mail_tail, DELIVERY:S07-06:B:display_mail, DELIVERY:S07-06:B:burst1_played, DELIVERY:S07-06:B:report_tail, DELIVERY:S07-06:B:display_report, DELIVERY:S07-06:B:burst2_played, DELIVERY:S07-06:B:evaluation_first_display</x:v>
      </x:c>
    </x:row>
    <x:row r="1178" ht="52" customHeight="1">
      <x:c r="A1178" s="10" t="str">
        <x:v>D-A</x:v>
      </x:c>
      <x:c r="B1178" s="10" t="str">
        <x:v>DELIVERY</x:v>
      </x:c>
      <x:c r="C1178" s="10" t="str">
        <x:v>DELIVERY:S07-07</x:v>
      </x:c>
      <x:c r="D1178" s="10" t="str">
        <x:v>DELIVERY:S07-07:delivery_request</x:v>
      </x:c>
      <x:c r="E1178" s="11" t="n">
        <x:v>1.2145</x:v>
      </x:c>
      <x:c r="F1178" s="11" t="n">
        <x:v>15.062333333</x:v>
      </x:c>
      <x:c r="G1178" s="11" t="n">
        <x:f>F1178-E1178</x:f>
        <x:v>13.847833333</x:v>
      </x:c>
      <x:c r="H1178" s="10" t="n">
        <x:v>1</x:v>
      </x:c>
      <x:c r="I1178" s="10" t="str">
        <x:v>AUTHORED_TERMINAL</x:v>
      </x:c>
      <x:c r="J1178" s="10" t="str">
        <x:v>DELIVERY:S07-07:A:report_tail</x:v>
      </x:c>
      <x:c r="K1178" s="10" t="str">
        <x:v>DELIVERY:S07-07:input</x:v>
      </x:c>
      <x:c r="L1178" s="10" t="str">
        <x:v>DELIVERY:S07-07:A:calendar_tail, DELIVERY:S07-07:A:display_calendar, DELIVERY:S07-07:A:burst0_played, DELIVERY:S07-07:A:mail_tail, DELIVERY:S07-07:A:display_mail, DELIVERY:S07-07:A:burst1_played, DELIVERY:S07-07:A:report_tail, DELIVERY:S07-07:A:display_report, DELIVERY:S07-07:A:burst2_played, DELIVERY:S07-07:A:evaluation_first_display</x:v>
      </x:c>
    </x:row>
    <x:row r="1179" ht="52" customHeight="1">
      <x:c r="A1179" s="10" t="str">
        <x:v>D-B</x:v>
      </x:c>
      <x:c r="B1179" s="10" t="str">
        <x:v>DELIVERY</x:v>
      </x:c>
      <x:c r="C1179" s="10" t="str">
        <x:v>DELIVERY:S07-07</x:v>
      </x:c>
      <x:c r="D1179" s="10" t="str">
        <x:v>DELIVERY:S07-07:delivery_request</x:v>
      </x:c>
      <x:c r="E1179" s="11" t="n">
        <x:v>3.891166666</x:v>
      </x:c>
      <x:c r="F1179" s="11" t="n">
        <x:v>16.280666666</x:v>
      </x:c>
      <x:c r="G1179" s="11" t="n">
        <x:f>F1179-E1179</x:f>
        <x:v>12.389499999999998</x:v>
      </x:c>
      <x:c r="H1179" s="10" t="n">
        <x:v>1</x:v>
      </x:c>
      <x:c r="I1179" s="10" t="str">
        <x:v>AUTHORED_TERMINAL</x:v>
      </x:c>
      <x:c r="J1179" s="10" t="str">
        <x:v>DELIVERY:S07-07:B:report_tail</x:v>
      </x:c>
      <x:c r="K1179" s="10" t="str">
        <x:v>DELIVERY:S07-07:input</x:v>
      </x:c>
      <x:c r="L1179" s="10" t="str">
        <x:v>DELIVERY:S07-07:B:calendar_tail, DELIVERY:S07-07:B:display_calendar, DELIVERY:S07-07:B:burst0_played, DELIVERY:S07-07:B:mail_tail, DELIVERY:S07-07:B:display_mail, DELIVERY:S07-07:B:burst1_played, DELIVERY:S07-07:B:report_tail, DELIVERY:S07-07:B:display_report, DELIVERY:S07-07:B:burst2_played, DELIVERY:S07-07:B:evaluation_first_display</x:v>
      </x:c>
    </x:row>
    <x:row r="1180" ht="52" customHeight="1">
      <x:c r="A1180" s="10" t="str">
        <x:v>D-A</x:v>
      </x:c>
      <x:c r="B1180" s="10" t="str">
        <x:v>DELIVERY</x:v>
      </x:c>
      <x:c r="C1180" s="10" t="str">
        <x:v>DELIVERY:S07-08</x:v>
      </x:c>
      <x:c r="D1180" s="10" t="str">
        <x:v>DELIVERY:S07-08:delivery_request</x:v>
      </x:c>
      <x:c r="E1180" s="11" t="n">
        <x:v>1.2175</x:v>
      </x:c>
      <x:c r="F1180" s="11" t="n">
        <x:v>15.126666667</x:v>
      </x:c>
      <x:c r="G1180" s="11" t="n">
        <x:f>F1180-E1180</x:f>
        <x:v>13.909166667000001</x:v>
      </x:c>
      <x:c r="H1180" s="10" t="n">
        <x:v>1</x:v>
      </x:c>
      <x:c r="I1180" s="10" t="str">
        <x:v>AUTHORED_TERMINAL</x:v>
      </x:c>
      <x:c r="J1180" s="10" t="str">
        <x:v>DELIVERY:S07-08:A:report_tail</x:v>
      </x:c>
      <x:c r="K1180" s="10" t="str">
        <x:v>DELIVERY:S07-08:input</x:v>
      </x:c>
      <x:c r="L1180" s="10" t="str">
        <x:v>DELIVERY:S07-08:A:calendar_tail, DELIVERY:S07-08:A:display_calendar, DELIVERY:S07-08:A:burst0_played, DELIVERY:S07-08:A:mail_tail, DELIVERY:S07-08:A:display_mail, DELIVERY:S07-08:A:burst1_played, DELIVERY:S07-08:A:report_tail, DELIVERY:S07-08:A:display_report, DELIVERY:S07-08:A:burst2_played, DELIVERY:S07-08:A:evaluation_first_display</x:v>
      </x:c>
    </x:row>
    <x:row r="1181" ht="52" customHeight="1">
      <x:c r="A1181" s="10" t="str">
        <x:v>D-B</x:v>
      </x:c>
      <x:c r="B1181" s="10" t="str">
        <x:v>DELIVERY</x:v>
      </x:c>
      <x:c r="C1181" s="10" t="str">
        <x:v>DELIVERY:S07-08</x:v>
      </x:c>
      <x:c r="D1181" s="10" t="str">
        <x:v>DELIVERY:S07-08:delivery_request</x:v>
      </x:c>
      <x:c r="E1181" s="11" t="n">
        <x:v>3.9224999999999994</x:v>
      </x:c>
      <x:c r="F1181" s="11" t="n">
        <x:v>16.345</x:v>
      </x:c>
      <x:c r="G1181" s="11" t="n">
        <x:f>F1181-E1181</x:f>
        <x:v>12.4225</x:v>
      </x:c>
      <x:c r="H1181" s="10" t="n">
        <x:v>1</x:v>
      </x:c>
      <x:c r="I1181" s="10" t="str">
        <x:v>AUTHORED_TERMINAL</x:v>
      </x:c>
      <x:c r="J1181" s="10" t="str">
        <x:v>DELIVERY:S07-08:B:report_tail</x:v>
      </x:c>
      <x:c r="K1181" s="10" t="str">
        <x:v>DELIVERY:S07-08:input</x:v>
      </x:c>
      <x:c r="L1181" s="10" t="str">
        <x:v>DELIVERY:S07-08:B:calendar_tail, DELIVERY:S07-08:B:display_calendar, DELIVERY:S07-08:B:burst0_played, DELIVERY:S07-08:B:mail_tail, DELIVERY:S07-08:B:display_mail, DELIVERY:S07-08:B:burst1_played, DELIVERY:S07-08:B:report_tail, DELIVERY:S07-08:B:display_report, DELIVERY:S07-08:B:burst2_played, DELIVERY:S07-08:B:evaluation_first_display</x:v>
      </x:c>
    </x:row>
    <x:row r="1182" ht="52" customHeight="1">
      <x:c r="A1182" s="10" t="str">
        <x:v>D-A</x:v>
      </x:c>
      <x:c r="B1182" s="10" t="str">
        <x:v>DELIVERY</x:v>
      </x:c>
      <x:c r="C1182" s="10" t="str">
        <x:v>DELIVERY:S07-09</x:v>
      </x:c>
      <x:c r="D1182" s="10" t="str">
        <x:v>DELIVERY:S07-09:delivery_request</x:v>
      </x:c>
      <x:c r="E1182" s="11" t="n">
        <x:v>1.2205</x:v>
      </x:c>
      <x:c r="F1182" s="11" t="n">
        <x:v>15.116</x:v>
      </x:c>
      <x:c r="G1182" s="11" t="n">
        <x:f>F1182-E1182</x:f>
        <x:v>13.8955</x:v>
      </x:c>
      <x:c r="H1182" s="10" t="n">
        <x:v>1</x:v>
      </x:c>
      <x:c r="I1182" s="10" t="str">
        <x:v>AUTHORED_TERMINAL</x:v>
      </x:c>
      <x:c r="J1182" s="10" t="str">
        <x:v>DELIVERY:S07-09:A:report_tail</x:v>
      </x:c>
      <x:c r="K1182" s="10" t="str">
        <x:v>DELIVERY:S07-09:input</x:v>
      </x:c>
      <x:c r="L1182" s="10" t="str">
        <x:v>DELIVERY:S07-09:A:calendar_tail, DELIVERY:S07-09:A:display_calendar, DELIVERY:S07-09:A:burst0_played, DELIVERY:S07-09:A:mail_tail, DELIVERY:S07-09:A:display_mail, DELIVERY:S07-09:A:burst1_played, DELIVERY:S07-09:A:report_tail, DELIVERY:S07-09:A:display_report, DELIVERY:S07-09:A:burst2_played, DELIVERY:S07-09:A:evaluation_first_display</x:v>
      </x:c>
    </x:row>
    <x:row r="1183" ht="52" customHeight="1">
      <x:c r="A1183" s="10" t="str">
        <x:v>D-B</x:v>
      </x:c>
      <x:c r="B1183" s="10" t="str">
        <x:v>DELIVERY</x:v>
      </x:c>
      <x:c r="C1183" s="10" t="str">
        <x:v>DELIVERY:S07-09</x:v>
      </x:c>
      <x:c r="D1183" s="10" t="str">
        <x:v>DELIVERY:S07-09:delivery_request</x:v>
      </x:c>
      <x:c r="E1183" s="11" t="n">
        <x:v>3.8788333330000024</x:v>
      </x:c>
      <x:c r="F1183" s="11" t="n">
        <x:v>16.334333333</x:v>
      </x:c>
      <x:c r="G1183" s="11" t="n">
        <x:f>F1183-E1183</x:f>
        <x:v>12.455499999999997</x:v>
      </x:c>
      <x:c r="H1183" s="10" t="n">
        <x:v>1</x:v>
      </x:c>
      <x:c r="I1183" s="10" t="str">
        <x:v>AUTHORED_TERMINAL</x:v>
      </x:c>
      <x:c r="J1183" s="10" t="str">
        <x:v>DELIVERY:S07-09:B:report_tail</x:v>
      </x:c>
      <x:c r="K1183" s="10" t="str">
        <x:v>DELIVERY:S07-09:input</x:v>
      </x:c>
      <x:c r="L1183" s="10" t="str">
        <x:v>DELIVERY:S07-09:B:calendar_tail, DELIVERY:S07-09:B:display_calendar, DELIVERY:S07-09:B:burst0_played, DELIVERY:S07-09:B:mail_tail, DELIVERY:S07-09:B:display_mail, DELIVERY:S07-09:B:burst1_played, DELIVERY:S07-09:B:report_tail, DELIVERY:S07-09:B:display_report, DELIVERY:S07-09:B:burst2_played, DELIVERY:S07-09:B:evaluation_first_display</x:v>
      </x:c>
    </x:row>
    <x:row r="1184" ht="52" customHeight="1">
      <x:c r="A1184" s="10" t="str">
        <x:v>D-A</x:v>
      </x:c>
      <x:c r="B1184" s="10" t="str">
        <x:v>DELIVERY</x:v>
      </x:c>
      <x:c r="C1184" s="10" t="str">
        <x:v>DELIVERY:S07-10</x:v>
      </x:c>
      <x:c r="D1184" s="10" t="str">
        <x:v>DELIVERY:S07-10:delivery_request</x:v>
      </x:c>
      <x:c r="E1184" s="11" t="n">
        <x:v>1.2235</x:v>
      </x:c>
      <x:c r="F1184" s="11" t="n">
        <x:v>15.180333333</x:v>
      </x:c>
      <x:c r="G1184" s="11" t="n">
        <x:f>F1184-E1184</x:f>
        <x:v>13.956833333</x:v>
      </x:c>
      <x:c r="H1184" s="10" t="n">
        <x:v>1</x:v>
      </x:c>
      <x:c r="I1184" s="10" t="str">
        <x:v>AUTHORED_TERMINAL</x:v>
      </x:c>
      <x:c r="J1184" s="10" t="str">
        <x:v>DELIVERY:S07-10:A:report_tail</x:v>
      </x:c>
      <x:c r="K1184" s="10" t="str">
        <x:v>DELIVERY:S07-10:input</x:v>
      </x:c>
      <x:c r="L1184" s="10" t="str">
        <x:v>DELIVERY:S07-10:A:calendar_tail, DELIVERY:S07-10:A:display_calendar, DELIVERY:S07-10:A:burst0_played, DELIVERY:S07-10:A:mail_tail, DELIVERY:S07-10:A:display_mail, DELIVERY:S07-10:A:burst1_played, DELIVERY:S07-10:A:report_tail, DELIVERY:S07-10:A:display_report, DELIVERY:S07-10:A:burst2_played, DELIVERY:S07-10:A:evaluation_first_display</x:v>
      </x:c>
    </x:row>
    <x:row r="1185" ht="52" customHeight="1">
      <x:c r="A1185" s="10" t="str">
        <x:v>D-B</x:v>
      </x:c>
      <x:c r="B1185" s="10" t="str">
        <x:v>DELIVERY</x:v>
      </x:c>
      <x:c r="C1185" s="10" t="str">
        <x:v>DELIVERY:S07-10</x:v>
      </x:c>
      <x:c r="D1185" s="10" t="str">
        <x:v>DELIVERY:S07-10:delivery_request</x:v>
      </x:c>
      <x:c r="E1185" s="11" t="n">
        <x:v>3.9101666659999994</x:v>
      </x:c>
      <x:c r="F1185" s="11" t="n">
        <x:v>16.398666666</x:v>
      </x:c>
      <x:c r="G1185" s="11" t="n">
        <x:f>F1185-E1185</x:f>
        <x:v>12.488500000000002</x:v>
      </x:c>
      <x:c r="H1185" s="10" t="n">
        <x:v>1</x:v>
      </x:c>
      <x:c r="I1185" s="10" t="str">
        <x:v>AUTHORED_TERMINAL</x:v>
      </x:c>
      <x:c r="J1185" s="10" t="str">
        <x:v>DELIVERY:S07-10:B:report_tail</x:v>
      </x:c>
      <x:c r="K1185" s="10" t="str">
        <x:v>DELIVERY:S07-10:input</x:v>
      </x:c>
      <x:c r="L1185" s="10" t="str">
        <x:v>DELIVERY:S07-10:B:calendar_tail, DELIVERY:S07-10:B:display_calendar, DELIVERY:S07-10:B:burst0_played, DELIVERY:S07-10:B:mail_tail, DELIVERY:S07-10:B:display_mail, DELIVERY:S07-10:B:burst1_played, DELIVERY:S07-10:B:report_tail, DELIVERY:S07-10:B:display_report, DELIVERY:S07-10:B:burst2_played, DELIVERY:S07-10:B:evaluation_first_display</x:v>
      </x:c>
    </x:row>
    <x:row r="1186" ht="52" customHeight="1">
      <x:c r="A1186" s="10" t="str">
        <x:v>D-A</x:v>
      </x:c>
      <x:c r="B1186" s="10" t="str">
        <x:v>DELIVERY</x:v>
      </x:c>
      <x:c r="C1186" s="10" t="str">
        <x:v>DELIVERY:S08-01</x:v>
      </x:c>
      <x:c r="D1186" s="10" t="str">
        <x:v>DELIVERY:S08-01:delivery_request</x:v>
      </x:c>
      <x:c r="E1186" s="11" t="n">
        <x:v>1.0375</x:v>
      </x:c>
      <x:c r="F1186" s="11" t="n">
        <x:v>4.005333333</x:v>
      </x:c>
      <x:c r="G1186" s="11" t="n">
        <x:f>F1186-E1186</x:f>
        <x:v>2.967833333</x:v>
      </x:c>
      <x:c r="H1186" s="10" t="n">
        <x:v>1</x:v>
      </x:c>
      <x:c r="I1186" s="10" t="str">
        <x:v>AUTHORED_TERMINAL</x:v>
      </x:c>
      <x:c r="J1186" s="10" t="str">
        <x:v>DELIVERY:S08-01:A:question_tail</x:v>
      </x:c>
      <x:c r="K1186" s="10" t="str">
        <x:v>DELIVERY:S08-01:input</x:v>
      </x:c>
      <x:c r="L1186" s="10" t="str">
        <x:v>DELIVERY:S08-01:A:question_tail, DELIVERY:S08-01:A:evaluation_first_display, DELIVERY:S08-01:A:question_played</x:v>
      </x:c>
    </x:row>
    <x:row r="1187" ht="52" customHeight="1">
      <x:c r="A1187" s="10" t="str">
        <x:v>D-B</x:v>
      </x:c>
      <x:c r="B1187" s="10" t="str">
        <x:v>DELIVERY</x:v>
      </x:c>
      <x:c r="C1187" s="10" t="str">
        <x:v>DELIVERY:S08-01</x:v>
      </x:c>
      <x:c r="D1187" s="10" t="str">
        <x:v>DELIVERY:S08-01:delivery_request</x:v>
      </x:c>
      <x:c r="E1187" s="11" t="n">
        <x:v>1.905833333</x:v>
      </x:c>
      <x:c r="F1187" s="11" t="n">
        <x:v>4.055333333</x:v>
      </x:c>
      <x:c r="G1187" s="11" t="n">
        <x:f>F1187-E1187</x:f>
        <x:v>2.1495</x:v>
      </x:c>
      <x:c r="H1187" s="10" t="n">
        <x:v>1</x:v>
      </x:c>
      <x:c r="I1187" s="10" t="str">
        <x:v>AUTHORED_TERMINAL</x:v>
      </x:c>
      <x:c r="J1187" s="10" t="str">
        <x:v>DELIVERY:S08-01:B:question_tail</x:v>
      </x:c>
      <x:c r="K1187" s="10" t="str">
        <x:v>DELIVERY:S08-01:input</x:v>
      </x:c>
      <x:c r="L1187" s="10" t="str">
        <x:v>DELIVERY:S08-01:B:question_tail, DELIVERY:S08-01:B:evaluation_first_display, DELIVERY:S08-01:B:question_played</x:v>
      </x:c>
    </x:row>
    <x:row r="1188" ht="52" customHeight="1">
      <x:c r="A1188" s="10" t="str">
        <x:v>D-A</x:v>
      </x:c>
      <x:c r="B1188" s="10" t="str">
        <x:v>DELIVERY</x:v>
      </x:c>
      <x:c r="C1188" s="10" t="str">
        <x:v>DELIVERY:S08-02</x:v>
      </x:c>
      <x:c r="D1188" s="10" t="str">
        <x:v>DELIVERY:S08-02:delivery_request</x:v>
      </x:c>
      <x:c r="E1188" s="11" t="n">
        <x:v>1.0405</x:v>
      </x:c>
      <x:c r="F1188" s="11" t="n">
        <x:v>4.045666667</x:v>
      </x:c>
      <x:c r="G1188" s="11" t="n">
        <x:f>F1188-E1188</x:f>
        <x:v>3.005166667</x:v>
      </x:c>
      <x:c r="H1188" s="10" t="n">
        <x:v>1</x:v>
      </x:c>
      <x:c r="I1188" s="10" t="str">
        <x:v>AUTHORED_TERMINAL</x:v>
      </x:c>
      <x:c r="J1188" s="10" t="str">
        <x:v>DELIVERY:S08-02:A:question_tail</x:v>
      </x:c>
      <x:c r="K1188" s="10" t="str">
        <x:v>DELIVERY:S08-02:input</x:v>
      </x:c>
      <x:c r="L1188" s="10" t="str">
        <x:v>DELIVERY:S08-02:A:question_tail, DELIVERY:S08-02:A:evaluation_first_display, DELIVERY:S08-02:A:question_played</x:v>
      </x:c>
    </x:row>
    <x:row r="1189" ht="52" customHeight="1">
      <x:c r="A1189" s="10" t="str">
        <x:v>D-B</x:v>
      </x:c>
      <x:c r="B1189" s="10" t="str">
        <x:v>DELIVERY</x:v>
      </x:c>
      <x:c r="C1189" s="10" t="str">
        <x:v>DELIVERY:S08-02</x:v>
      </x:c>
      <x:c r="D1189" s="10" t="str">
        <x:v>DELIVERY:S08-02:delivery_request</x:v>
      </x:c>
      <x:c r="E1189" s="11" t="n">
        <x:v>1.937166667</x:v>
      </x:c>
      <x:c r="F1189" s="11" t="n">
        <x:v>4.095666667</x:v>
      </x:c>
      <x:c r="G1189" s="11" t="n">
        <x:f>F1189-E1189</x:f>
        <x:v>2.1584999999999996</x:v>
      </x:c>
      <x:c r="H1189" s="10" t="n">
        <x:v>1</x:v>
      </x:c>
      <x:c r="I1189" s="10" t="str">
        <x:v>AUTHORED_TERMINAL</x:v>
      </x:c>
      <x:c r="J1189" s="10" t="str">
        <x:v>DELIVERY:S08-02:B:question_tail</x:v>
      </x:c>
      <x:c r="K1189" s="10" t="str">
        <x:v>DELIVERY:S08-02:input</x:v>
      </x:c>
      <x:c r="L1189" s="10" t="str">
        <x:v>DELIVERY:S08-02:B:question_tail, DELIVERY:S08-02:B:evaluation_first_display, DELIVERY:S08-02:B:question_played</x:v>
      </x:c>
    </x:row>
    <x:row r="1190" ht="52" customHeight="1">
      <x:c r="A1190" s="10" t="str">
        <x:v>D-A</x:v>
      </x:c>
      <x:c r="B1190" s="10" t="str">
        <x:v>DELIVERY</x:v>
      </x:c>
      <x:c r="C1190" s="10" t="str">
        <x:v>DELIVERY:S08-03</x:v>
      </x:c>
      <x:c r="D1190" s="10" t="str">
        <x:v>DELIVERY:S08-03:delivery_request</x:v>
      </x:c>
      <x:c r="E1190" s="11" t="n">
        <x:v>1.0434999999999999</x:v>
      </x:c>
      <x:c r="F1190" s="11" t="n">
        <x:v>4.011</x:v>
      </x:c>
      <x:c r="G1190" s="11" t="n">
        <x:f>F1190-E1190</x:f>
        <x:v>2.9675000000000002</x:v>
      </x:c>
      <x:c r="H1190" s="10" t="n">
        <x:v>1</x:v>
      </x:c>
      <x:c r="I1190" s="10" t="str">
        <x:v>AUTHORED_TERMINAL</x:v>
      </x:c>
      <x:c r="J1190" s="10" t="str">
        <x:v>DELIVERY:S08-03:A:question_tail</x:v>
      </x:c>
      <x:c r="K1190" s="10" t="str">
        <x:v>DELIVERY:S08-03:input</x:v>
      </x:c>
      <x:c r="L1190" s="10" t="str">
        <x:v>DELIVERY:S08-03:A:question_tail, DELIVERY:S08-03:A:evaluation_first_display, DELIVERY:S08-03:A:question_played</x:v>
      </x:c>
    </x:row>
    <x:row r="1191" ht="52" customHeight="1">
      <x:c r="A1191" s="10" t="str">
        <x:v>D-B</x:v>
      </x:c>
      <x:c r="B1191" s="10" t="str">
        <x:v>DELIVERY</x:v>
      </x:c>
      <x:c r="C1191" s="10" t="str">
        <x:v>DELIVERY:S08-03</x:v>
      </x:c>
      <x:c r="D1191" s="10" t="str">
        <x:v>DELIVERY:S08-03:delivery_request</x:v>
      </x:c>
      <x:c r="E1191" s="11" t="n">
        <x:v>1.8935</x:v>
      </x:c>
      <x:c r="F1191" s="11" t="n">
        <x:v>4.061</x:v>
      </x:c>
      <x:c r="G1191" s="11" t="n">
        <x:f>F1191-E1191</x:f>
        <x:v>2.1675</x:v>
      </x:c>
      <x:c r="H1191" s="10" t="n">
        <x:v>1</x:v>
      </x:c>
      <x:c r="I1191" s="10" t="str">
        <x:v>AUTHORED_TERMINAL</x:v>
      </x:c>
      <x:c r="J1191" s="10" t="str">
        <x:v>DELIVERY:S08-03:B:question_tail</x:v>
      </x:c>
      <x:c r="K1191" s="10" t="str">
        <x:v>DELIVERY:S08-03:input</x:v>
      </x:c>
      <x:c r="L1191" s="10" t="str">
        <x:v>DELIVERY:S08-03:B:question_tail, DELIVERY:S08-03:B:evaluation_first_display, DELIVERY:S08-03:B:question_played</x:v>
      </x:c>
    </x:row>
    <x:row r="1192" ht="52" customHeight="1">
      <x:c r="A1192" s="10" t="str">
        <x:v>D-A</x:v>
      </x:c>
      <x:c r="B1192" s="10" t="str">
        <x:v>DELIVERY</x:v>
      </x:c>
      <x:c r="C1192" s="10" t="str">
        <x:v>DELIVERY:S08-04</x:v>
      </x:c>
      <x:c r="D1192" s="10" t="str">
        <x:v>DELIVERY:S08-04:delivery_request</x:v>
      </x:c>
      <x:c r="E1192" s="11" t="n">
        <x:v>1.0465</x:v>
      </x:c>
      <x:c r="F1192" s="11" t="n">
        <x:v>4.051333333</x:v>
      </x:c>
      <x:c r="G1192" s="11" t="n">
        <x:f>F1192-E1192</x:f>
        <x:v>3.0048333329999997</x:v>
      </x:c>
      <x:c r="H1192" s="10" t="n">
        <x:v>1</x:v>
      </x:c>
      <x:c r="I1192" s="10" t="str">
        <x:v>AUTHORED_TERMINAL</x:v>
      </x:c>
      <x:c r="J1192" s="10" t="str">
        <x:v>DELIVERY:S08-04:A:question_tail</x:v>
      </x:c>
      <x:c r="K1192" s="10" t="str">
        <x:v>DELIVERY:S08-04:input</x:v>
      </x:c>
      <x:c r="L1192" s="10" t="str">
        <x:v>DELIVERY:S08-04:A:question_tail, DELIVERY:S08-04:A:evaluation_first_display, DELIVERY:S08-04:A:question_played</x:v>
      </x:c>
    </x:row>
    <x:row r="1193" ht="52" customHeight="1">
      <x:c r="A1193" s="10" t="str">
        <x:v>D-B</x:v>
      </x:c>
      <x:c r="B1193" s="10" t="str">
        <x:v>DELIVERY</x:v>
      </x:c>
      <x:c r="C1193" s="10" t="str">
        <x:v>DELIVERY:S08-04</x:v>
      </x:c>
      <x:c r="D1193" s="10" t="str">
        <x:v>DELIVERY:S08-04:delivery_request</x:v>
      </x:c>
      <x:c r="E1193" s="11" t="n">
        <x:v>1.924833333</x:v>
      </x:c>
      <x:c r="F1193" s="11" t="n">
        <x:v>4.101333333</x:v>
      </x:c>
      <x:c r="G1193" s="11" t="n">
        <x:f>F1193-E1193</x:f>
        <x:v>2.1765000000000003</x:v>
      </x:c>
      <x:c r="H1193" s="10" t="n">
        <x:v>1</x:v>
      </x:c>
      <x:c r="I1193" s="10" t="str">
        <x:v>AUTHORED_TERMINAL</x:v>
      </x:c>
      <x:c r="J1193" s="10" t="str">
        <x:v>DELIVERY:S08-04:B:question_tail</x:v>
      </x:c>
      <x:c r="K1193" s="10" t="str">
        <x:v>DELIVERY:S08-04:input</x:v>
      </x:c>
      <x:c r="L1193" s="10" t="str">
        <x:v>DELIVERY:S08-04:B:question_tail, DELIVERY:S08-04:B:evaluation_first_display, DELIVERY:S08-04:B:question_played</x:v>
      </x:c>
    </x:row>
    <x:row r="1194" ht="52" customHeight="1">
      <x:c r="A1194" s="10" t="str">
        <x:v>D-A</x:v>
      </x:c>
      <x:c r="B1194" s="10" t="str">
        <x:v>DELIVERY</x:v>
      </x:c>
      <x:c r="C1194" s="10" t="str">
        <x:v>DELIVERY:S08-05</x:v>
      </x:c>
      <x:c r="D1194" s="10" t="str">
        <x:v>DELIVERY:S08-05:delivery_request</x:v>
      </x:c>
      <x:c r="E1194" s="11" t="n">
        <x:v>1.0494999999999999</x:v>
      </x:c>
      <x:c r="F1194" s="11" t="n">
        <x:v>4.091666667</x:v>
      </x:c>
      <x:c r="G1194" s="11" t="n">
        <x:f>F1194-E1194</x:f>
        <x:v>3.042166667</x:v>
      </x:c>
      <x:c r="H1194" s="10" t="n">
        <x:v>1</x:v>
      </x:c>
      <x:c r="I1194" s="10" t="str">
        <x:v>AUTHORED_TERMINAL</x:v>
      </x:c>
      <x:c r="J1194" s="10" t="str">
        <x:v>DELIVERY:S08-05:A:question_tail</x:v>
      </x:c>
      <x:c r="K1194" s="10" t="str">
        <x:v>DELIVERY:S08-05:input</x:v>
      </x:c>
      <x:c r="L1194" s="10" t="str">
        <x:v>DELIVERY:S08-05:A:question_tail, DELIVERY:S08-05:A:evaluation_first_display, DELIVERY:S08-05:A:question_played</x:v>
      </x:c>
    </x:row>
    <x:row r="1195" ht="52" customHeight="1">
      <x:c r="A1195" s="10" t="str">
        <x:v>D-B</x:v>
      </x:c>
      <x:c r="B1195" s="10" t="str">
        <x:v>DELIVERY</x:v>
      </x:c>
      <x:c r="C1195" s="10" t="str">
        <x:v>DELIVERY:S08-05</x:v>
      </x:c>
      <x:c r="D1195" s="10" t="str">
        <x:v>DELIVERY:S08-05:delivery_request</x:v>
      </x:c>
      <x:c r="E1195" s="11" t="n">
        <x:v>1.956166667</x:v>
      </x:c>
      <x:c r="F1195" s="11" t="n">
        <x:v>4.141666667</x:v>
      </x:c>
      <x:c r="G1195" s="11" t="n">
        <x:f>F1195-E1195</x:f>
        <x:v>2.1855</x:v>
      </x:c>
      <x:c r="H1195" s="10" t="n">
        <x:v>1</x:v>
      </x:c>
      <x:c r="I1195" s="10" t="str">
        <x:v>AUTHORED_TERMINAL</x:v>
      </x:c>
      <x:c r="J1195" s="10" t="str">
        <x:v>DELIVERY:S08-05:B:question_tail</x:v>
      </x:c>
      <x:c r="K1195" s="10" t="str">
        <x:v>DELIVERY:S08-05:input</x:v>
      </x:c>
      <x:c r="L1195" s="10" t="str">
        <x:v>DELIVERY:S08-05:B:question_tail, DELIVERY:S08-05:B:evaluation_first_display, DELIVERY:S08-05:B:question_played</x:v>
      </x:c>
    </x:row>
    <x:row r="1196" ht="52" customHeight="1">
      <x:c r="A1196" s="10" t="str">
        <x:v>D-A</x:v>
      </x:c>
      <x:c r="B1196" s="10" t="str">
        <x:v>DELIVERY</x:v>
      </x:c>
      <x:c r="C1196" s="10" t="str">
        <x:v>DELIVERY:S08-06</x:v>
      </x:c>
      <x:c r="D1196" s="10" t="str">
        <x:v>DELIVERY:S08-06:delivery_request</x:v>
      </x:c>
      <x:c r="E1196" s="11" t="n">
        <x:v>1.0525</x:v>
      </x:c>
      <x:c r="F1196" s="11" t="n">
        <x:v>4.057</x:v>
      </x:c>
      <x:c r="G1196" s="11" t="n">
        <x:f>F1196-E1196</x:f>
        <x:v>3.0045</x:v>
      </x:c>
      <x:c r="H1196" s="10" t="n">
        <x:v>1</x:v>
      </x:c>
      <x:c r="I1196" s="10" t="str">
        <x:v>AUTHORED_TERMINAL</x:v>
      </x:c>
      <x:c r="J1196" s="10" t="str">
        <x:v>DELIVERY:S08-06:A:question_tail</x:v>
      </x:c>
      <x:c r="K1196" s="10" t="str">
        <x:v>DELIVERY:S08-06:input</x:v>
      </x:c>
      <x:c r="L1196" s="10" t="str">
        <x:v>DELIVERY:S08-06:A:question_tail, DELIVERY:S08-06:A:evaluation_first_display, DELIVERY:S08-06:A:question_played</x:v>
      </x:c>
    </x:row>
    <x:row r="1197" ht="52" customHeight="1">
      <x:c r="A1197" s="10" t="str">
        <x:v>D-B</x:v>
      </x:c>
      <x:c r="B1197" s="10" t="str">
        <x:v>DELIVERY</x:v>
      </x:c>
      <x:c r="C1197" s="10" t="str">
        <x:v>DELIVERY:S08-06</x:v>
      </x:c>
      <x:c r="D1197" s="10" t="str">
        <x:v>DELIVERY:S08-06:delivery_request</x:v>
      </x:c>
      <x:c r="E1197" s="11" t="n">
        <x:v>1.9125000000000003</x:v>
      </x:c>
      <x:c r="F1197" s="11" t="n">
        <x:v>4.107</x:v>
      </x:c>
      <x:c r="G1197" s="11" t="n">
        <x:f>F1197-E1197</x:f>
        <x:v>2.1944999999999997</x:v>
      </x:c>
      <x:c r="H1197" s="10" t="n">
        <x:v>1</x:v>
      </x:c>
      <x:c r="I1197" s="10" t="str">
        <x:v>AUTHORED_TERMINAL</x:v>
      </x:c>
      <x:c r="J1197" s="10" t="str">
        <x:v>DELIVERY:S08-06:B:question_tail</x:v>
      </x:c>
      <x:c r="K1197" s="10" t="str">
        <x:v>DELIVERY:S08-06:input</x:v>
      </x:c>
      <x:c r="L1197" s="10" t="str">
        <x:v>DELIVERY:S08-06:B:question_tail, DELIVERY:S08-06:B:evaluation_first_display, DELIVERY:S08-06:B:question_played</x:v>
      </x:c>
    </x:row>
    <x:row r="1198" ht="52" customHeight="1">
      <x:c r="A1198" s="10" t="str">
        <x:v>D-A</x:v>
      </x:c>
      <x:c r="B1198" s="10" t="str">
        <x:v>DELIVERY</x:v>
      </x:c>
      <x:c r="C1198" s="10" t="str">
        <x:v>DELIVERY:S08-07</x:v>
      </x:c>
      <x:c r="D1198" s="10" t="str">
        <x:v>DELIVERY:S08-07:delivery_request</x:v>
      </x:c>
      <x:c r="E1198" s="11" t="n">
        <x:v>1.0554999999999999</x:v>
      </x:c>
      <x:c r="F1198" s="11" t="n">
        <x:v>4.097333333</x:v>
      </x:c>
      <x:c r="G1198" s="11" t="n">
        <x:f>F1198-E1198</x:f>
        <x:v>3.041833333</x:v>
      </x:c>
      <x:c r="H1198" s="10" t="n">
        <x:v>1</x:v>
      </x:c>
      <x:c r="I1198" s="10" t="str">
        <x:v>AUTHORED_TERMINAL</x:v>
      </x:c>
      <x:c r="J1198" s="10" t="str">
        <x:v>DELIVERY:S08-07:A:question_tail</x:v>
      </x:c>
      <x:c r="K1198" s="10" t="str">
        <x:v>DELIVERY:S08-07:input</x:v>
      </x:c>
      <x:c r="L1198" s="10" t="str">
        <x:v>DELIVERY:S08-07:A:question_tail, DELIVERY:S08-07:A:evaluation_first_display, DELIVERY:S08-07:A:question_played</x:v>
      </x:c>
    </x:row>
    <x:row r="1199" ht="52" customHeight="1">
      <x:c r="A1199" s="10" t="str">
        <x:v>D-B</x:v>
      </x:c>
      <x:c r="B1199" s="10" t="str">
        <x:v>DELIVERY</x:v>
      </x:c>
      <x:c r="C1199" s="10" t="str">
        <x:v>DELIVERY:S08-07</x:v>
      </x:c>
      <x:c r="D1199" s="10" t="str">
        <x:v>DELIVERY:S08-07:delivery_request</x:v>
      </x:c>
      <x:c r="E1199" s="11" t="n">
        <x:v>1.943833333</x:v>
      </x:c>
      <x:c r="F1199" s="11" t="n">
        <x:v>4.147333333</x:v>
      </x:c>
      <x:c r="G1199" s="11" t="n">
        <x:f>F1199-E1199</x:f>
        <x:v>2.2035</x:v>
      </x:c>
      <x:c r="H1199" s="10" t="n">
        <x:v>1</x:v>
      </x:c>
      <x:c r="I1199" s="10" t="str">
        <x:v>AUTHORED_TERMINAL</x:v>
      </x:c>
      <x:c r="J1199" s="10" t="str">
        <x:v>DELIVERY:S08-07:B:question_tail</x:v>
      </x:c>
      <x:c r="K1199" s="10" t="str">
        <x:v>DELIVERY:S08-07:input</x:v>
      </x:c>
      <x:c r="L1199" s="10" t="str">
        <x:v>DELIVERY:S08-07:B:question_tail, DELIVERY:S08-07:B:evaluation_first_display, DELIVERY:S08-07:B:question_played</x:v>
      </x:c>
    </x:row>
    <x:row r="1200" ht="52" customHeight="1">
      <x:c r="A1200" s="10" t="str">
        <x:v>D-A</x:v>
      </x:c>
      <x:c r="B1200" s="10" t="str">
        <x:v>DELIVERY</x:v>
      </x:c>
      <x:c r="C1200" s="10" t="str">
        <x:v>DELIVERY:S08-08</x:v>
      </x:c>
      <x:c r="D1200" s="10" t="str">
        <x:v>DELIVERY:S08-08:delivery_request</x:v>
      </x:c>
      <x:c r="E1200" s="11" t="n">
        <x:v>1.0585</x:v>
      </x:c>
      <x:c r="F1200" s="11" t="n">
        <x:v>4.137666667</x:v>
      </x:c>
      <x:c r="G1200" s="11" t="n">
        <x:f>F1200-E1200</x:f>
        <x:v>3.0791666670000004</x:v>
      </x:c>
      <x:c r="H1200" s="10" t="n">
        <x:v>1</x:v>
      </x:c>
      <x:c r="I1200" s="10" t="str">
        <x:v>AUTHORED_TERMINAL</x:v>
      </x:c>
      <x:c r="J1200" s="10" t="str">
        <x:v>DELIVERY:S08-08:A:question_tail</x:v>
      </x:c>
      <x:c r="K1200" s="10" t="str">
        <x:v>DELIVERY:S08-08:input</x:v>
      </x:c>
      <x:c r="L1200" s="10" t="str">
        <x:v>DELIVERY:S08-08:A:question_tail, DELIVERY:S08-08:A:evaluation_first_display, DELIVERY:S08-08:A:question_played</x:v>
      </x:c>
    </x:row>
    <x:row r="1201" ht="52" customHeight="1">
      <x:c r="A1201" s="10" t="str">
        <x:v>D-B</x:v>
      </x:c>
      <x:c r="B1201" s="10" t="str">
        <x:v>DELIVERY</x:v>
      </x:c>
      <x:c r="C1201" s="10" t="str">
        <x:v>DELIVERY:S08-08</x:v>
      </x:c>
      <x:c r="D1201" s="10" t="str">
        <x:v>DELIVERY:S08-08:delivery_request</x:v>
      </x:c>
      <x:c r="E1201" s="11" t="n">
        <x:v>1.9751666670000003</x:v>
      </x:c>
      <x:c r="F1201" s="11" t="n">
        <x:v>4.187666667</x:v>
      </x:c>
      <x:c r="G1201" s="11" t="n">
        <x:f>F1201-E1201</x:f>
        <x:v>2.2125</x:v>
      </x:c>
      <x:c r="H1201" s="10" t="n">
        <x:v>1</x:v>
      </x:c>
      <x:c r="I1201" s="10" t="str">
        <x:v>AUTHORED_TERMINAL</x:v>
      </x:c>
      <x:c r="J1201" s="10" t="str">
        <x:v>DELIVERY:S08-08:B:question_tail</x:v>
      </x:c>
      <x:c r="K1201" s="10" t="str">
        <x:v>DELIVERY:S08-08:input</x:v>
      </x:c>
      <x:c r="L1201" s="10" t="str">
        <x:v>DELIVERY:S08-08:B:question_tail, DELIVERY:S08-08:B:evaluation_first_display, DELIVERY:S08-08:B:question_played</x:v>
      </x:c>
    </x:row>
    <x:row r="1202" ht="52" customHeight="1">
      <x:c r="A1202" s="10" t="str">
        <x:v>D-A</x:v>
      </x:c>
      <x:c r="B1202" s="10" t="str">
        <x:v>DELIVERY</x:v>
      </x:c>
      <x:c r="C1202" s="10" t="str">
        <x:v>DELIVERY:S08-09</x:v>
      </x:c>
      <x:c r="D1202" s="10" t="str">
        <x:v>DELIVERY:S08-09:delivery_request</x:v>
      </x:c>
      <x:c r="E1202" s="11" t="n">
        <x:v>1.0615</x:v>
      </x:c>
      <x:c r="F1202" s="11" t="n">
        <x:v>4.103</x:v>
      </x:c>
      <x:c r="G1202" s="11" t="n">
        <x:f>F1202-E1202</x:f>
        <x:v>3.0414999999999996</x:v>
      </x:c>
      <x:c r="H1202" s="10" t="n">
        <x:v>1</x:v>
      </x:c>
      <x:c r="I1202" s="10" t="str">
        <x:v>AUTHORED_TERMINAL</x:v>
      </x:c>
      <x:c r="J1202" s="10" t="str">
        <x:v>DELIVERY:S08-09:A:question_tail</x:v>
      </x:c>
      <x:c r="K1202" s="10" t="str">
        <x:v>DELIVERY:S08-09:input</x:v>
      </x:c>
      <x:c r="L1202" s="10" t="str">
        <x:v>DELIVERY:S08-09:A:question_tail, DELIVERY:S08-09:A:evaluation_first_display, DELIVERY:S08-09:A:question_played</x:v>
      </x:c>
    </x:row>
    <x:row r="1203" ht="52" customHeight="1">
      <x:c r="A1203" s="10" t="str">
        <x:v>D-B</x:v>
      </x:c>
      <x:c r="B1203" s="10" t="str">
        <x:v>DELIVERY</x:v>
      </x:c>
      <x:c r="C1203" s="10" t="str">
        <x:v>DELIVERY:S08-09</x:v>
      </x:c>
      <x:c r="D1203" s="10" t="str">
        <x:v>DELIVERY:S08-09:delivery_request</x:v>
      </x:c>
      <x:c r="E1203" s="11" t="n">
        <x:v>1.9315</x:v>
      </x:c>
      <x:c r="F1203" s="11" t="n">
        <x:v>4.153</x:v>
      </x:c>
      <x:c r="G1203" s="11" t="n">
        <x:f>F1203-E1203</x:f>
        <x:v>2.2215</x:v>
      </x:c>
      <x:c r="H1203" s="10" t="n">
        <x:v>1</x:v>
      </x:c>
      <x:c r="I1203" s="10" t="str">
        <x:v>AUTHORED_TERMINAL</x:v>
      </x:c>
      <x:c r="J1203" s="10" t="str">
        <x:v>DELIVERY:S08-09:B:question_tail</x:v>
      </x:c>
      <x:c r="K1203" s="10" t="str">
        <x:v>DELIVERY:S08-09:input</x:v>
      </x:c>
      <x:c r="L1203" s="10" t="str">
        <x:v>DELIVERY:S08-09:B:question_tail, DELIVERY:S08-09:B:evaluation_first_display, DELIVERY:S08-09:B:question_played</x:v>
      </x:c>
    </x:row>
    <x:row r="1204" ht="52" customHeight="1">
      <x:c r="A1204" s="10" t="str">
        <x:v>D-A</x:v>
      </x:c>
      <x:c r="B1204" s="10" t="str">
        <x:v>DELIVERY</x:v>
      </x:c>
      <x:c r="C1204" s="10" t="str">
        <x:v>DELIVERY:S08-10</x:v>
      </x:c>
      <x:c r="D1204" s="10" t="str">
        <x:v>DELIVERY:S08-10:delivery_request</x:v>
      </x:c>
      <x:c r="E1204" s="11" t="n">
        <x:v>1.0645</x:v>
      </x:c>
      <x:c r="F1204" s="11" t="n">
        <x:v>4.143333333</x:v>
      </x:c>
      <x:c r="G1204" s="11" t="n">
        <x:f>F1204-E1204</x:f>
        <x:v>3.0788333330000004</x:v>
      </x:c>
      <x:c r="H1204" s="10" t="n">
        <x:v>1</x:v>
      </x:c>
      <x:c r="I1204" s="10" t="str">
        <x:v>AUTHORED_TERMINAL</x:v>
      </x:c>
      <x:c r="J1204" s="10" t="str">
        <x:v>DELIVERY:S08-10:A:question_tail</x:v>
      </x:c>
      <x:c r="K1204" s="10" t="str">
        <x:v>DELIVERY:S08-10:input</x:v>
      </x:c>
      <x:c r="L1204" s="10" t="str">
        <x:v>DELIVERY:S08-10:A:question_tail, DELIVERY:S08-10:A:evaluation_first_display, DELIVERY:S08-10:A:question_played</x:v>
      </x:c>
    </x:row>
    <x:row r="1205" ht="52" customHeight="1">
      <x:c r="A1205" s="10" t="str">
        <x:v>D-B</x:v>
      </x:c>
      <x:c r="B1205" s="10" t="str">
        <x:v>DELIVERY</x:v>
      </x:c>
      <x:c r="C1205" s="10" t="str">
        <x:v>DELIVERY:S08-10</x:v>
      </x:c>
      <x:c r="D1205" s="10" t="str">
        <x:v>DELIVERY:S08-10:delivery_request</x:v>
      </x:c>
      <x:c r="E1205" s="11" t="n">
        <x:v>1.962833333</x:v>
      </x:c>
      <x:c r="F1205" s="11" t="n">
        <x:v>4.193333333</x:v>
      </x:c>
      <x:c r="G1205" s="11" t="n">
        <x:f>F1205-E1205</x:f>
        <x:v>2.2305</x:v>
      </x:c>
      <x:c r="H1205" s="10" t="n">
        <x:v>1</x:v>
      </x:c>
      <x:c r="I1205" s="10" t="str">
        <x:v>AUTHORED_TERMINAL</x:v>
      </x:c>
      <x:c r="J1205" s="10" t="str">
        <x:v>DELIVERY:S08-10:B:question_tail</x:v>
      </x:c>
      <x:c r="K1205" s="10" t="str">
        <x:v>DELIVERY:S08-10:input</x:v>
      </x:c>
      <x:c r="L1205" s="10" t="str">
        <x:v>DELIVERY:S08-10:B:question_tail, DELIVERY:S08-10:B:evaluation_first_display, DELIVERY:S08-10:B:question_played</x:v>
      </x:c>
    </x:row>
  </x:sheetData>
  <x:pageMargins left="0.7" right="0.7" top="0.75" bottom="0.75" header="0.3" footer="0.3"/>
  <x:tableParts count="1">
    <x:tablePart xmlns:r="http://schemas.openxmlformats.org/officeDocument/2006/relationships" r:id="R568d2e8d63a4443e"/>
  </x:tableParts>
</x:worksheet>
</file>

<file path=xl/worksheets/sheet7.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0.5600004196167" hidden="0" customWidth="1"/>
    <x:col min="2" max="2" width="8.329999923706055" hidden="0" customWidth="1"/>
    <x:col min="3" max="3" width="13.890000343322754" hidden="0" customWidth="1"/>
    <x:col min="4" max="4" width="11.670000076293945" hidden="0" customWidth="1"/>
    <x:col min="5" max="5" width="20" hidden="0" customWidth="1"/>
    <x:col min="6" max="6" width="14.4399995803833" hidden="0" customWidth="1"/>
    <x:col min="7" max="7" width="14.4399995803833" hidden="0" customWidth="1"/>
    <x:col min="8" max="8" width="14.4399995803833" hidden="0" customWidth="1"/>
    <x:col min="9" max="9" width="11.109999656677246" hidden="0" customWidth="1"/>
    <x:col min="10" max="10" width="35" hidden="0" customWidth="1"/>
  </x:cols>
  <x:sheetData>
    <x:row r="1">
      <x:c r="A1" s="1"/>
      <x:c r="B1" s="1"/>
      <x:c r="C1" s="1"/>
      <x:c r="D1" s="1"/>
      <x:c r="E1" s="1"/>
      <x:c r="F1" s="1"/>
      <x:c r="G1" s="1"/>
      <x:c r="H1" s="1"/>
      <x:c r="I1" s="1"/>
      <x:c r="J1" s="1"/>
    </x:row>
    <x:row r="2">
      <x:c r="A2" s="2" t="str">
        <x:v>같은 비용 bucket의 사용량과 단가</x:v>
      </x:c>
      <x:c r="B2" s="1"/>
      <x:c r="C2" s="1"/>
      <x:c r="D2" s="1"/>
      <x:c r="E2" s="1"/>
      <x:c r="F2" s="1"/>
      <x:c r="G2" s="1"/>
      <x:c r="H2" s="1"/>
      <x:c r="I2" s="1"/>
      <x:c r="J2" s="1"/>
    </x:row>
    <x:row r="3">
      <x:c r="A3" s="3" t="str">
        <x:v>같은 구성, 구간, 역할, bucket, 단가만 합쳤다. 단가와 사용량을 바꾸면 요약 비용도 바뀐다.</x:v>
      </x:c>
      <x:c r="B3" s="1"/>
      <x:c r="C3" s="1"/>
      <x:c r="D3" s="1"/>
      <x:c r="E3" s="1"/>
      <x:c r="F3" s="1"/>
      <x:c r="G3" s="1"/>
      <x:c r="H3" s="1"/>
      <x:c r="I3" s="1"/>
      <x:c r="J3" s="1"/>
    </x:row>
    <x:row r="4">
      <x:c r="A4" s="1"/>
      <x:c r="B4" s="1"/>
      <x:c r="C4" s="1"/>
      <x:c r="D4" s="1"/>
      <x:c r="E4" s="1"/>
      <x:c r="F4" s="1"/>
      <x:c r="G4" s="1"/>
      <x:c r="H4" s="1"/>
      <x:c r="I4" s="1"/>
      <x:c r="J4" s="1"/>
    </x:row>
    <x:row r="5" ht="35" customHeight="1">
      <x:c r="A5" s="8" t="str">
        <x:v>구성</x:v>
      </x:c>
      <x:c r="B5" s="8" t="str">
        <x:v>층</x:v>
      </x:c>
      <x:c r="C5" s="8" t="str">
        <x:v>구간</x:v>
      </x:c>
      <x:c r="D5" s="8" t="str">
        <x:v>역할</x:v>
      </x:c>
      <x:c r="E5" s="8" t="str">
        <x:v>bucket</x:v>
      </x:c>
      <x:c r="F5" s="8" t="str">
        <x:v>합계 사용량</x:v>
      </x:c>
      <x:c r="G5" s="8" t="str">
        <x:v>USD/단위</x:v>
      </x:c>
      <x:c r="H5" s="8" t="str">
        <x:v>비용 USD</x:v>
      </x:c>
      <x:c r="I5" s="8" t="str">
        <x:v>원장 행 수</x:v>
      </x:c>
      <x:c r="J5" s="8" t="str">
        <x:v>원본 위치</x:v>
      </x:c>
    </x:row>
    <x:row r="6" ht="36" customHeight="1">
      <x:c r="A6" s="10" t="str">
        <x:v>T-BASE</x:v>
      </x:c>
      <x:c r="B6" s="10" t="str">
        <x:v>TEXT</x:v>
      </x:c>
      <x:c r="C6" s="10" t="str">
        <x:v>scored</x:v>
      </x:c>
      <x:c r="D6" s="10" t="str">
        <x:v>VIA</x:v>
      </x:c>
      <x:c r="E6" s="10" t="str">
        <x:v>text_input</x:v>
      </x:c>
      <x:c r="F6" s="13" t="n">
        <x:v>755645</x:v>
      </x:c>
      <x:c r="G6" s="14" t="n">
        <x:v>0.000001</x:v>
      </x:c>
      <x:c r="H6" s="12" t="n">
        <x:f>F6*G6</x:f>
        <x:v>0.755645</x:v>
      </x:c>
      <x:c r="I6" s="10" t="n">
        <x:v>430</x:v>
      </x:c>
      <x:c r="J6" s="10" t="str">
        <x:v>normalized-data.json#/usage</x:v>
      </x:c>
    </x:row>
    <x:row r="7" ht="36" customHeight="1">
      <x:c r="A7" s="10" t="str">
        <x:v>T-BASE</x:v>
      </x:c>
      <x:c r="B7" s="10" t="str">
        <x:v>TEXT</x:v>
      </x:c>
      <x:c r="C7" s="10" t="str">
        <x:v>scored</x:v>
      </x:c>
      <x:c r="D7" s="10" t="str">
        <x:v>VIA</x:v>
      </x:c>
      <x:c r="E7" s="10" t="str">
        <x:v>text_output</x:v>
      </x:c>
      <x:c r="F7" s="13" t="n">
        <x:v>43989</x:v>
      </x:c>
      <x:c r="G7" s="14" t="n">
        <x:v>0.000004</x:v>
      </x:c>
      <x:c r="H7" s="12" t="n">
        <x:f>F7*G7</x:f>
        <x:v>0.175956</x:v>
      </x:c>
      <x:c r="I7" s="10" t="n">
        <x:v>430</x:v>
      </x:c>
      <x:c r="J7" s="10" t="str">
        <x:v>normalized-data.json#/usage</x:v>
      </x:c>
    </x:row>
    <x:row r="8" ht="36" customHeight="1">
      <x:c r="A8" s="10" t="str">
        <x:v>T-BASE</x:v>
      </x:c>
      <x:c r="B8" s="10" t="str">
        <x:v>TEXT</x:v>
      </x:c>
      <x:c r="C8" s="10" t="str">
        <x:v>scored</x:v>
      </x:c>
      <x:c r="D8" s="10" t="str">
        <x:v>RECEIVER</x:v>
      </x:c>
      <x:c r="E8" s="10" t="str">
        <x:v>text_input</x:v>
      </x:c>
      <x:c r="F8" s="13" t="n">
        <x:v>211750</x:v>
      </x:c>
      <x:c r="G8" s="14" t="n">
        <x:v>0.000001</x:v>
      </x:c>
      <x:c r="H8" s="12" t="n">
        <x:f>F8*G8</x:f>
        <x:v>0.21175</x:v>
      </x:c>
      <x:c r="I8" s="10" t="n">
        <x:v>140</x:v>
      </x:c>
      <x:c r="J8" s="10" t="str">
        <x:v>normalized-data.json#/usage</x:v>
      </x:c>
    </x:row>
    <x:row r="9" ht="36" customHeight="1">
      <x:c r="A9" s="10" t="str">
        <x:v>T-BASE</x:v>
      </x:c>
      <x:c r="B9" s="10" t="str">
        <x:v>TEXT</x:v>
      </x:c>
      <x:c r="C9" s="10" t="str">
        <x:v>scored</x:v>
      </x:c>
      <x:c r="D9" s="10" t="str">
        <x:v>RECEIVER</x:v>
      </x:c>
      <x:c r="E9" s="10" t="str">
        <x:v>text_output</x:v>
      </x:c>
      <x:c r="F9" s="13" t="n">
        <x:v>52920</x:v>
      </x:c>
      <x:c r="G9" s="14" t="n">
        <x:v>0.000004</x:v>
      </x:c>
      <x:c r="H9" s="12" t="n">
        <x:f>F9*G9</x:f>
        <x:v>0.21167999999999998</x:v>
      </x:c>
      <x:c r="I9" s="10" t="n">
        <x:v>140</x:v>
      </x:c>
      <x:c r="J9" s="10" t="str">
        <x:v>normalized-data.json#/usage</x:v>
      </x:c>
    </x:row>
    <x:row r="10" ht="36" customHeight="1">
      <x:c r="A10" s="10" t="str">
        <x:v>T-BASE</x:v>
      </x:c>
      <x:c r="B10" s="10" t="str">
        <x:v>TEXT</x:v>
      </x:c>
      <x:c r="C10" s="10" t="str">
        <x:v>scored</x:v>
      </x:c>
      <x:c r="D10" s="10" t="str">
        <x:v>VIA</x:v>
      </x:c>
      <x:c r="E10" s="10" t="str">
        <x:v>audio_output_seconds</x:v>
      </x:c>
      <x:c r="F10" s="13" t="n">
        <x:v>760</x:v>
      </x:c>
      <x:c r="G10" s="14" t="n">
        <x:v>0.002</x:v>
      </x:c>
      <x:c r="H10" s="12" t="n">
        <x:f>F10*G10</x:f>
        <x:v>1.52</x:v>
      </x:c>
      <x:c r="I10" s="10" t="n">
        <x:v>200</x:v>
      </x:c>
      <x:c r="J10" s="10" t="str">
        <x:v>normalized-data.json#/usage</x:v>
      </x:c>
    </x:row>
    <x:row r="11" ht="36" customHeight="1">
      <x:c r="A11" s="10" t="str">
        <x:v>T-EXEC</x:v>
      </x:c>
      <x:c r="B11" s="10" t="str">
        <x:v>TEXT</x:v>
      </x:c>
      <x:c r="C11" s="10" t="str">
        <x:v>scored</x:v>
      </x:c>
      <x:c r="D11" s="10" t="str">
        <x:v>VIA</x:v>
      </x:c>
      <x:c r="E11" s="10" t="str">
        <x:v>text_input</x:v>
      </x:c>
      <x:c r="F11" s="13" t="n">
        <x:v>849880</x:v>
      </x:c>
      <x:c r="G11" s="14" t="n">
        <x:v>0.000001</x:v>
      </x:c>
      <x:c r="H11" s="12" t="n">
        <x:f>F11*G11</x:f>
        <x:v>0.84988</x:v>
      </x:c>
      <x:c r="I11" s="10" t="n">
        <x:v>620</x:v>
      </x:c>
      <x:c r="J11" s="10" t="str">
        <x:v>normalized-data.json#/usage</x:v>
      </x:c>
    </x:row>
    <x:row r="12" ht="36" customHeight="1">
      <x:c r="A12" s="10" t="str">
        <x:v>T-EXEC</x:v>
      </x:c>
      <x:c r="B12" s="10" t="str">
        <x:v>TEXT</x:v>
      </x:c>
      <x:c r="C12" s="10" t="str">
        <x:v>scored</x:v>
      </x:c>
      <x:c r="D12" s="10" t="str">
        <x:v>VIA</x:v>
      </x:c>
      <x:c r="E12" s="10" t="str">
        <x:v>text_output</x:v>
      </x:c>
      <x:c r="F12" s="13" t="n">
        <x:v>50908</x:v>
      </x:c>
      <x:c r="G12" s="14" t="n">
        <x:v>0.000004</x:v>
      </x:c>
      <x:c r="H12" s="12" t="n">
        <x:f>F12*G12</x:f>
        <x:v>0.20363199999999998</x:v>
      </x:c>
      <x:c r="I12" s="10" t="n">
        <x:v>620</x:v>
      </x:c>
      <x:c r="J12" s="10" t="str">
        <x:v>normalized-data.json#/usage</x:v>
      </x:c>
    </x:row>
    <x:row r="13" ht="36" customHeight="1">
      <x:c r="A13" s="10" t="str">
        <x:v>T-EXEC</x:v>
      </x:c>
      <x:c r="B13" s="10" t="str">
        <x:v>TEXT</x:v>
      </x:c>
      <x:c r="C13" s="10" t="str">
        <x:v>scored</x:v>
      </x:c>
      <x:c r="D13" s="10" t="str">
        <x:v>RECEIVER</x:v>
      </x:c>
      <x:c r="E13" s="10" t="str">
        <x:v>text_input</x:v>
      </x:c>
      <x:c r="F13" s="13" t="n">
        <x:v>211750</x:v>
      </x:c>
      <x:c r="G13" s="14" t="n">
        <x:v>0.000001</x:v>
      </x:c>
      <x:c r="H13" s="12" t="n">
        <x:f>F13*G13</x:f>
        <x:v>0.21175</x:v>
      </x:c>
      <x:c r="I13" s="10" t="n">
        <x:v>140</x:v>
      </x:c>
      <x:c r="J13" s="10" t="str">
        <x:v>normalized-data.json#/usage</x:v>
      </x:c>
    </x:row>
    <x:row r="14" ht="36" customHeight="1">
      <x:c r="A14" s="10" t="str">
        <x:v>T-EXEC</x:v>
      </x:c>
      <x:c r="B14" s="10" t="str">
        <x:v>TEXT</x:v>
      </x:c>
      <x:c r="C14" s="10" t="str">
        <x:v>scored</x:v>
      </x:c>
      <x:c r="D14" s="10" t="str">
        <x:v>RECEIVER</x:v>
      </x:c>
      <x:c r="E14" s="10" t="str">
        <x:v>text_output</x:v>
      </x:c>
      <x:c r="F14" s="13" t="n">
        <x:v>52920</x:v>
      </x:c>
      <x:c r="G14" s="14" t="n">
        <x:v>0.000004</x:v>
      </x:c>
      <x:c r="H14" s="12" t="n">
        <x:f>F14*G14</x:f>
        <x:v>0.21167999999999998</x:v>
      </x:c>
      <x:c r="I14" s="10" t="n">
        <x:v>140</x:v>
      </x:c>
      <x:c r="J14" s="10" t="str">
        <x:v>normalized-data.json#/usage</x:v>
      </x:c>
    </x:row>
    <x:row r="15" ht="36" customHeight="1">
      <x:c r="A15" s="10" t="str">
        <x:v>T-EXEC</x:v>
      </x:c>
      <x:c r="B15" s="10" t="str">
        <x:v>TEXT</x:v>
      </x:c>
      <x:c r="C15" s="10" t="str">
        <x:v>scored</x:v>
      </x:c>
      <x:c r="D15" s="10" t="str">
        <x:v>VIA</x:v>
      </x:c>
      <x:c r="E15" s="10" t="str">
        <x:v>audio_output_seconds</x:v>
      </x:c>
      <x:c r="F15" s="13" t="n">
        <x:v>760</x:v>
      </x:c>
      <x:c r="G15" s="14" t="n">
        <x:v>0.002</x:v>
      </x:c>
      <x:c r="H15" s="12" t="n">
        <x:f>F15*G15</x:f>
        <x:v>1.52</x:v>
      </x:c>
      <x:c r="I15" s="10" t="n">
        <x:v>200</x:v>
      </x:c>
      <x:c r="J15" s="10" t="str">
        <x:v>normalized-data.json#/usage</x:v>
      </x:c>
    </x:row>
    <x:row r="16" ht="36" customHeight="1">
      <x:c r="A16" s="10" t="str">
        <x:v>T-REL</x:v>
      </x:c>
      <x:c r="B16" s="10" t="str">
        <x:v>TEXT</x:v>
      </x:c>
      <x:c r="C16" s="10" t="str">
        <x:v>preparation</x:v>
      </x:c>
      <x:c r="D16" s="10" t="str">
        <x:v>VIA</x:v>
      </x:c>
      <x:c r="E16" s="10" t="str">
        <x:v>text_input</x:v>
      </x:c>
      <x:c r="F16" s="13" t="n">
        <x:v>862200</x:v>
      </x:c>
      <x:c r="G16" s="14" t="n">
        <x:v>0.000001</x:v>
      </x:c>
      <x:c r="H16" s="12" t="n">
        <x:f>F16*G16</x:f>
        <x:v>0.8622</x:v>
      </x:c>
      <x:c r="I16" s="10" t="n">
        <x:v>240</x:v>
      </x:c>
      <x:c r="J16" s="10" t="str">
        <x:v>normalized-data.json#/usage</x:v>
      </x:c>
    </x:row>
    <x:row r="17" ht="36" customHeight="1">
      <x:c r="A17" s="10" t="str">
        <x:v>T-REL</x:v>
      </x:c>
      <x:c r="B17" s="10" t="str">
        <x:v>TEXT</x:v>
      </x:c>
      <x:c r="C17" s="10" t="str">
        <x:v>preparation</x:v>
      </x:c>
      <x:c r="D17" s="10" t="str">
        <x:v>VIA</x:v>
      </x:c>
      <x:c r="E17" s="10" t="str">
        <x:v>text_output</x:v>
      </x:c>
      <x:c r="F17" s="13" t="n">
        <x:v>55920</x:v>
      </x:c>
      <x:c r="G17" s="14" t="n">
        <x:v>0.000004</x:v>
      </x:c>
      <x:c r="H17" s="12" t="n">
        <x:f>F17*G17</x:f>
        <x:v>0.22368</x:v>
      </x:c>
      <x:c r="I17" s="10" t="n">
        <x:v>240</x:v>
      </x:c>
      <x:c r="J17" s="10" t="str">
        <x:v>normalized-data.json#/usage</x:v>
      </x:c>
    </x:row>
    <x:row r="18" ht="36" customHeight="1">
      <x:c r="A18" s="10" t="str">
        <x:v>T-REL</x:v>
      </x:c>
      <x:c r="B18" s="10" t="str">
        <x:v>TEXT</x:v>
      </x:c>
      <x:c r="C18" s="10" t="str">
        <x:v>scored</x:v>
      </x:c>
      <x:c r="D18" s="10" t="str">
        <x:v>VIA</x:v>
      </x:c>
      <x:c r="E18" s="10" t="str">
        <x:v>text_input</x:v>
      </x:c>
      <x:c r="F18" s="13" t="n">
        <x:v>526135</x:v>
      </x:c>
      <x:c r="G18" s="14" t="n">
        <x:v>0.000001</x:v>
      </x:c>
      <x:c r="H18" s="12" t="n">
        <x:f>F18*G18</x:f>
        <x:v>0.526135</x:v>
      </x:c>
      <x:c r="I18" s="10" t="n">
        <x:v>430</x:v>
      </x:c>
      <x:c r="J18" s="10" t="str">
        <x:v>normalized-data.json#/usage</x:v>
      </x:c>
    </x:row>
    <x:row r="19" ht="36" customHeight="1">
      <x:c r="A19" s="10" t="str">
        <x:v>T-REL</x:v>
      </x:c>
      <x:c r="B19" s="10" t="str">
        <x:v>TEXT</x:v>
      </x:c>
      <x:c r="C19" s="10" t="str">
        <x:v>scored</x:v>
      </x:c>
      <x:c r="D19" s="10" t="str">
        <x:v>VIA</x:v>
      </x:c>
      <x:c r="E19" s="10" t="str">
        <x:v>text_output</x:v>
      </x:c>
      <x:c r="F19" s="13" t="n">
        <x:v>40569</x:v>
      </x:c>
      <x:c r="G19" s="14" t="n">
        <x:v>0.000004</x:v>
      </x:c>
      <x:c r="H19" s="12" t="n">
        <x:f>F19*G19</x:f>
        <x:v>0.162276</x:v>
      </x:c>
      <x:c r="I19" s="10" t="n">
        <x:v>430</x:v>
      </x:c>
      <x:c r="J19" s="10" t="str">
        <x:v>normalized-data.json#/usage</x:v>
      </x:c>
    </x:row>
    <x:row r="20" ht="36" customHeight="1">
      <x:c r="A20" s="10" t="str">
        <x:v>T-REL</x:v>
      </x:c>
      <x:c r="B20" s="10" t="str">
        <x:v>TEXT</x:v>
      </x:c>
      <x:c r="C20" s="10" t="str">
        <x:v>scored</x:v>
      </x:c>
      <x:c r="D20" s="10" t="str">
        <x:v>RECEIVER</x:v>
      </x:c>
      <x:c r="E20" s="10" t="str">
        <x:v>text_input</x:v>
      </x:c>
      <x:c r="F20" s="13" t="n">
        <x:v>211750</x:v>
      </x:c>
      <x:c r="G20" s="14" t="n">
        <x:v>0.000001</x:v>
      </x:c>
      <x:c r="H20" s="12" t="n">
        <x:f>F20*G20</x:f>
        <x:v>0.21175</x:v>
      </x:c>
      <x:c r="I20" s="10" t="n">
        <x:v>140</x:v>
      </x:c>
      <x:c r="J20" s="10" t="str">
        <x:v>normalized-data.json#/usage</x:v>
      </x:c>
    </x:row>
    <x:row r="21" ht="36" customHeight="1">
      <x:c r="A21" s="10" t="str">
        <x:v>T-REL</x:v>
      </x:c>
      <x:c r="B21" s="10" t="str">
        <x:v>TEXT</x:v>
      </x:c>
      <x:c r="C21" s="10" t="str">
        <x:v>scored</x:v>
      </x:c>
      <x:c r="D21" s="10" t="str">
        <x:v>RECEIVER</x:v>
      </x:c>
      <x:c r="E21" s="10" t="str">
        <x:v>text_output</x:v>
      </x:c>
      <x:c r="F21" s="13" t="n">
        <x:v>52920</x:v>
      </x:c>
      <x:c r="G21" s="14" t="n">
        <x:v>0.000004</x:v>
      </x:c>
      <x:c r="H21" s="12" t="n">
        <x:f>F21*G21</x:f>
        <x:v>0.21167999999999998</x:v>
      </x:c>
      <x:c r="I21" s="10" t="n">
        <x:v>140</x:v>
      </x:c>
      <x:c r="J21" s="10" t="str">
        <x:v>normalized-data.json#/usage</x:v>
      </x:c>
    </x:row>
    <x:row r="22" ht="36" customHeight="1">
      <x:c r="A22" s="10" t="str">
        <x:v>T-REL</x:v>
      </x:c>
      <x:c r="B22" s="10" t="str">
        <x:v>TEXT</x:v>
      </x:c>
      <x:c r="C22" s="10" t="str">
        <x:v>scored</x:v>
      </x:c>
      <x:c r="D22" s="10" t="str">
        <x:v>VIA</x:v>
      </x:c>
      <x:c r="E22" s="10" t="str">
        <x:v>audio_output_seconds</x:v>
      </x:c>
      <x:c r="F22" s="13" t="n">
        <x:v>760</x:v>
      </x:c>
      <x:c r="G22" s="14" t="n">
        <x:v>0.002</x:v>
      </x:c>
      <x:c r="H22" s="12" t="n">
        <x:f>F22*G22</x:f>
        <x:v>1.52</x:v>
      </x:c>
      <x:c r="I22" s="10" t="n">
        <x:v>200</x:v>
      </x:c>
      <x:c r="J22" s="10" t="str">
        <x:v>normalized-data.json#/usage</x:v>
      </x:c>
    </x:row>
    <x:row r="23" ht="36" customHeight="1">
      <x:c r="A23" s="10" t="str">
        <x:v>T-REL</x:v>
      </x:c>
      <x:c r="B23" s="10" t="str">
        <x:v>TEXT</x:v>
      </x:c>
      <x:c r="C23" s="10" t="str">
        <x:v>maintenance</x:v>
      </x:c>
      <x:c r="D23" s="10" t="str">
        <x:v>VIA</x:v>
      </x:c>
      <x:c r="E23" s="10" t="str">
        <x:v>text_input</x:v>
      </x:c>
      <x:c r="F23" s="13" t="n">
        <x:v>48700</x:v>
      </x:c>
      <x:c r="G23" s="14" t="n">
        <x:v>0.000001</x:v>
      </x:c>
      <x:c r="H23" s="12" t="n">
        <x:f>F23*G23</x:f>
        <x:v>0.0487</x:v>
      </x:c>
      <x:c r="I23" s="10" t="n">
        <x:v>20</x:v>
      </x:c>
      <x:c r="J23" s="10" t="str">
        <x:v>normalized-data.json#/usage</x:v>
      </x:c>
    </x:row>
    <x:row r="24" ht="36" customHeight="1">
      <x:c r="A24" s="10" t="str">
        <x:v>T-REL</x:v>
      </x:c>
      <x:c r="B24" s="10" t="str">
        <x:v>TEXT</x:v>
      </x:c>
      <x:c r="C24" s="10" t="str">
        <x:v>maintenance</x:v>
      </x:c>
      <x:c r="D24" s="10" t="str">
        <x:v>VIA</x:v>
      </x:c>
      <x:c r="E24" s="10" t="str">
        <x:v>text_output</x:v>
      </x:c>
      <x:c r="F24" s="13" t="n">
        <x:v>3200</x:v>
      </x:c>
      <x:c r="G24" s="14" t="n">
        <x:v>0.000004</x:v>
      </x:c>
      <x:c r="H24" s="12" t="n">
        <x:f>F24*G24</x:f>
        <x:v>0.012799999999999999</x:v>
      </x:c>
      <x:c r="I24" s="10" t="n">
        <x:v>20</x:v>
      </x:c>
      <x:c r="J24" s="10" t="str">
        <x:v>normalized-data.json#/usage</x:v>
      </x:c>
    </x:row>
    <x:row r="25" ht="36" customHeight="1">
      <x:c r="A25" s="10" t="str">
        <x:v>V-A</x:v>
      </x:c>
      <x:c r="B25" s="10" t="str">
        <x:v>VOICE</x:v>
      </x:c>
      <x:c r="C25" s="10" t="str">
        <x:v>scored</x:v>
      </x:c>
      <x:c r="D25" s="10" t="str">
        <x:v>VIA</x:v>
      </x:c>
      <x:c r="E25" s="10" t="str">
        <x:v>audio_input_seconds</x:v>
      </x:c>
      <x:c r="F25" s="13" t="n">
        <x:v>720</x:v>
      </x:c>
      <x:c r="G25" s="14" t="n">
        <x:v>0.001</x:v>
      </x:c>
      <x:c r="H25" s="12" t="n">
        <x:f>F25*G25</x:f>
        <x:v>0.72</x:v>
      </x:c>
      <x:c r="I25" s="10" t="n">
        <x:v>120</x:v>
      </x:c>
      <x:c r="J25" s="10" t="str">
        <x:v>normalized-data.json#/usage</x:v>
      </x:c>
    </x:row>
    <x:row r="26" ht="36" customHeight="1">
      <x:c r="A26" s="10" t="str">
        <x:v>V-A</x:v>
      </x:c>
      <x:c r="B26" s="10" t="str">
        <x:v>VOICE</x:v>
      </x:c>
      <x:c r="C26" s="10" t="str">
        <x:v>scored</x:v>
      </x:c>
      <x:c r="D26" s="10" t="str">
        <x:v>VIA</x:v>
      </x:c>
      <x:c r="E26" s="10" t="str">
        <x:v>text_input</x:v>
      </x:c>
      <x:c r="F26" s="13" t="n">
        <x:v>376000</x:v>
      </x:c>
      <x:c r="G26" s="14" t="n">
        <x:v>0.000001</x:v>
      </x:c>
      <x:c r="H26" s="12" t="n">
        <x:f>F26*G26</x:f>
        <x:v>0.376</x:v>
      </x:c>
      <x:c r="I26" s="10" t="n">
        <x:v>380</x:v>
      </x:c>
      <x:c r="J26" s="10" t="str">
        <x:v>normalized-data.json#/usage</x:v>
      </x:c>
    </x:row>
    <x:row r="27" ht="36" customHeight="1">
      <x:c r="A27" s="10" t="str">
        <x:v>V-A</x:v>
      </x:c>
      <x:c r="B27" s="10" t="str">
        <x:v>VOICE</x:v>
      </x:c>
      <x:c r="C27" s="10" t="str">
        <x:v>scored</x:v>
      </x:c>
      <x:c r="D27" s="10" t="str">
        <x:v>VIA</x:v>
      </x:c>
      <x:c r="E27" s="10" t="str">
        <x:v>image_equivalent_input</x:v>
      </x:c>
      <x:c r="F27" s="13" t="n">
        <x:v>428000</x:v>
      </x:c>
      <x:c r="G27" s="14" t="n">
        <x:v>0.000001</x:v>
      </x:c>
      <x:c r="H27" s="12" t="n">
        <x:f>F27*G27</x:f>
        <x:v>0.428</x:v>
      </x:c>
      <x:c r="I27" s="10" t="n">
        <x:v>380</x:v>
      </x:c>
      <x:c r="J27" s="10" t="str">
        <x:v>normalized-data.json#/usage</x:v>
      </x:c>
    </x:row>
    <x:row r="28" ht="36" customHeight="1">
      <x:c r="A28" s="10" t="str">
        <x:v>V-A</x:v>
      </x:c>
      <x:c r="B28" s="10" t="str">
        <x:v>VOICE</x:v>
      </x:c>
      <x:c r="C28" s="10" t="str">
        <x:v>scored</x:v>
      </x:c>
      <x:c r="D28" s="10" t="str">
        <x:v>VIA</x:v>
      </x:c>
      <x:c r="E28" s="10" t="str">
        <x:v>text_output</x:v>
      </x:c>
      <x:c r="F28" s="13" t="n">
        <x:v>29920</x:v>
      </x:c>
      <x:c r="G28" s="14" t="n">
        <x:v>0.000004</x:v>
      </x:c>
      <x:c r="H28" s="12" t="n">
        <x:f>F28*G28</x:f>
        <x:v>0.11968</x:v>
      </x:c>
      <x:c r="I28" s="10" t="n">
        <x:v>380</x:v>
      </x:c>
      <x:c r="J28" s="10" t="str">
        <x:v>normalized-data.json#/usage</x:v>
      </x:c>
    </x:row>
    <x:row r="29" ht="36" customHeight="1">
      <x:c r="A29" s="10" t="str">
        <x:v>V-A</x:v>
      </x:c>
      <x:c r="B29" s="10" t="str">
        <x:v>VOICE</x:v>
      </x:c>
      <x:c r="C29" s="10" t="str">
        <x:v>scored</x:v>
      </x:c>
      <x:c r="D29" s="10" t="str">
        <x:v>RECEIVER</x:v>
      </x:c>
      <x:c r="E29" s="10" t="str">
        <x:v>agent_text_input</x:v>
      </x:c>
      <x:c r="F29" s="13" t="n">
        <x:v>120000</x:v>
      </x:c>
      <x:c r="G29" s="14" t="n">
        <x:v>0.000001</x:v>
      </x:c>
      <x:c r="H29" s="12" t="n">
        <x:f>F29*G29</x:f>
        <x:v>0.12</x:v>
      </x:c>
      <x:c r="I29" s="10" t="n">
        <x:v>120</x:v>
      </x:c>
      <x:c r="J29" s="10" t="str">
        <x:v>normalized-data.json#/usage</x:v>
      </x:c>
    </x:row>
    <x:row r="30" ht="36" customHeight="1">
      <x:c r="A30" s="10" t="str">
        <x:v>V-A</x:v>
      </x:c>
      <x:c r="B30" s="10" t="str">
        <x:v>VOICE</x:v>
      </x:c>
      <x:c r="C30" s="10" t="str">
        <x:v>scored</x:v>
      </x:c>
      <x:c r="D30" s="10" t="str">
        <x:v>RECEIVER</x:v>
      </x:c>
      <x:c r="E30" s="10" t="str">
        <x:v>agent_text_output</x:v>
      </x:c>
      <x:c r="F30" s="13" t="n">
        <x:v>24000</x:v>
      </x:c>
      <x:c r="G30" s="14" t="n">
        <x:v>0.000004</x:v>
      </x:c>
      <x:c r="H30" s="12" t="n">
        <x:f>F30*G30</x:f>
        <x:v>0.096</x:v>
      </x:c>
      <x:c r="I30" s="10" t="n">
        <x:v>120</x:v>
      </x:c>
      <x:c r="J30" s="10" t="str">
        <x:v>normalized-data.json#/usage</x:v>
      </x:c>
    </x:row>
    <x:row r="31" ht="36" customHeight="1">
      <x:c r="A31" s="10" t="str">
        <x:v>V-A</x:v>
      </x:c>
      <x:c r="B31" s="10" t="str">
        <x:v>VOICE</x:v>
      </x:c>
      <x:c r="C31" s="10" t="str">
        <x:v>scored</x:v>
      </x:c>
      <x:c r="D31" s="10" t="str">
        <x:v>VIA</x:v>
      </x:c>
      <x:c r="E31" s="10" t="str">
        <x:v>audio_generation_seconds</x:v>
      </x:c>
      <x:c r="F31" s="13" t="n">
        <x:v>480</x:v>
      </x:c>
      <x:c r="G31" s="14" t="n">
        <x:v>0.002</x:v>
      </x:c>
      <x:c r="H31" s="12" t="n">
        <x:f>F31*G31</x:f>
        <x:v>0.96</x:v>
      </x:c>
      <x:c r="I31" s="10" t="n">
        <x:v>120</x:v>
      </x:c>
      <x:c r="J31" s="10" t="str">
        <x:v>normalized-data.json#/usage</x:v>
      </x:c>
    </x:row>
    <x:row r="32" ht="36" customHeight="1">
      <x:c r="A32" s="10" t="str">
        <x:v>V-R1</x:v>
      </x:c>
      <x:c r="B32" s="10" t="str">
        <x:v>VOICE</x:v>
      </x:c>
      <x:c r="C32" s="10" t="str">
        <x:v>scored</x:v>
      </x:c>
      <x:c r="D32" s="10" t="str">
        <x:v>VIA</x:v>
      </x:c>
      <x:c r="E32" s="10" t="str">
        <x:v>audio_input_seconds</x:v>
      </x:c>
      <x:c r="F32" s="13" t="n">
        <x:v>720</x:v>
      </x:c>
      <x:c r="G32" s="14" t="n">
        <x:v>0.001</x:v>
      </x:c>
      <x:c r="H32" s="12" t="n">
        <x:f>F32*G32</x:f>
        <x:v>0.72</x:v>
      </x:c>
      <x:c r="I32" s="10" t="n">
        <x:v>120</x:v>
      </x:c>
      <x:c r="J32" s="10" t="str">
        <x:v>normalized-data.json#/usage</x:v>
      </x:c>
    </x:row>
    <x:row r="33" ht="36" customHeight="1">
      <x:c r="A33" s="10" t="str">
        <x:v>V-R1</x:v>
      </x:c>
      <x:c r="B33" s="10" t="str">
        <x:v>VOICE</x:v>
      </x:c>
      <x:c r="C33" s="10" t="str">
        <x:v>scored</x:v>
      </x:c>
      <x:c r="D33" s="10" t="str">
        <x:v>VIA</x:v>
      </x:c>
      <x:c r="E33" s="10" t="str">
        <x:v>text_input</x:v>
      </x:c>
      <x:c r="F33" s="13" t="n">
        <x:v>344000</x:v>
      </x:c>
      <x:c r="G33" s="14" t="n">
        <x:v>0.000001</x:v>
      </x:c>
      <x:c r="H33" s="12" t="n">
        <x:f>F33*G33</x:f>
        <x:v>0.344</x:v>
      </x:c>
      <x:c r="I33" s="10" t="n">
        <x:v>360</x:v>
      </x:c>
      <x:c r="J33" s="10" t="str">
        <x:v>normalized-data.json#/usage</x:v>
      </x:c>
    </x:row>
    <x:row r="34" ht="36" customHeight="1">
      <x:c r="A34" s="10" t="str">
        <x:v>V-R1</x:v>
      </x:c>
      <x:c r="B34" s="10" t="str">
        <x:v>VOICE</x:v>
      </x:c>
      <x:c r="C34" s="10" t="str">
        <x:v>scored</x:v>
      </x:c>
      <x:c r="D34" s="10" t="str">
        <x:v>VIA</x:v>
      </x:c>
      <x:c r="E34" s="10" t="str">
        <x:v>image_equivalent_input</x:v>
      </x:c>
      <x:c r="F34" s="13" t="n">
        <x:v>112000</x:v>
      </x:c>
      <x:c r="G34" s="14" t="n">
        <x:v>0.000001</x:v>
      </x:c>
      <x:c r="H34" s="12" t="n">
        <x:f>F34*G34</x:f>
        <x:v>0.11199999999999999</x:v>
      </x:c>
      <x:c r="I34" s="10" t="n">
        <x:v>360</x:v>
      </x:c>
      <x:c r="J34" s="10" t="str">
        <x:v>normalized-data.json#/usage</x:v>
      </x:c>
    </x:row>
    <x:row r="35" ht="36" customHeight="1">
      <x:c r="A35" s="10" t="str">
        <x:v>V-R1</x:v>
      </x:c>
      <x:c r="B35" s="10" t="str">
        <x:v>VOICE</x:v>
      </x:c>
      <x:c r="C35" s="10" t="str">
        <x:v>scored</x:v>
      </x:c>
      <x:c r="D35" s="10" t="str">
        <x:v>VIA</x:v>
      </x:c>
      <x:c r="E35" s="10" t="str">
        <x:v>text_output</x:v>
      </x:c>
      <x:c r="F35" s="13" t="n">
        <x:v>28320</x:v>
      </x:c>
      <x:c r="G35" s="14" t="n">
        <x:v>0.000004</x:v>
      </x:c>
      <x:c r="H35" s="12" t="n">
        <x:f>F35*G35</x:f>
        <x:v>0.11327999999999999</x:v>
      </x:c>
      <x:c r="I35" s="10" t="n">
        <x:v>360</x:v>
      </x:c>
      <x:c r="J35" s="10" t="str">
        <x:v>normalized-data.json#/usage</x:v>
      </x:c>
    </x:row>
    <x:row r="36" ht="36" customHeight="1">
      <x:c r="A36" s="10" t="str">
        <x:v>V-R1</x:v>
      </x:c>
      <x:c r="B36" s="10" t="str">
        <x:v>VOICE</x:v>
      </x:c>
      <x:c r="C36" s="10" t="str">
        <x:v>scored</x:v>
      </x:c>
      <x:c r="D36" s="10" t="str">
        <x:v>RECEIVER</x:v>
      </x:c>
      <x:c r="E36" s="10" t="str">
        <x:v>agent_text_input</x:v>
      </x:c>
      <x:c r="F36" s="13" t="n">
        <x:v>120000</x:v>
      </x:c>
      <x:c r="G36" s="14" t="n">
        <x:v>0.000001</x:v>
      </x:c>
      <x:c r="H36" s="12" t="n">
        <x:f>F36*G36</x:f>
        <x:v>0.12</x:v>
      </x:c>
      <x:c r="I36" s="10" t="n">
        <x:v>120</x:v>
      </x:c>
      <x:c r="J36" s="10" t="str">
        <x:v>normalized-data.json#/usage</x:v>
      </x:c>
    </x:row>
    <x:row r="37" ht="36" customHeight="1">
      <x:c r="A37" s="10" t="str">
        <x:v>V-R1</x:v>
      </x:c>
      <x:c r="B37" s="10" t="str">
        <x:v>VOICE</x:v>
      </x:c>
      <x:c r="C37" s="10" t="str">
        <x:v>scored</x:v>
      </x:c>
      <x:c r="D37" s="10" t="str">
        <x:v>RECEIVER</x:v>
      </x:c>
      <x:c r="E37" s="10" t="str">
        <x:v>agent_text_output</x:v>
      </x:c>
      <x:c r="F37" s="13" t="n">
        <x:v>24000</x:v>
      </x:c>
      <x:c r="G37" s="14" t="n">
        <x:v>0.000004</x:v>
      </x:c>
      <x:c r="H37" s="12" t="n">
        <x:f>F37*G37</x:f>
        <x:v>0.096</x:v>
      </x:c>
      <x:c r="I37" s="10" t="n">
        <x:v>120</x:v>
      </x:c>
      <x:c r="J37" s="10" t="str">
        <x:v>normalized-data.json#/usage</x:v>
      </x:c>
    </x:row>
    <x:row r="38" ht="36" customHeight="1">
      <x:c r="A38" s="10" t="str">
        <x:v>V-R1</x:v>
      </x:c>
      <x:c r="B38" s="10" t="str">
        <x:v>VOICE</x:v>
      </x:c>
      <x:c r="C38" s="10" t="str">
        <x:v>scored</x:v>
      </x:c>
      <x:c r="D38" s="10" t="str">
        <x:v>VIA</x:v>
      </x:c>
      <x:c r="E38" s="10" t="str">
        <x:v>audio_generation_seconds</x:v>
      </x:c>
      <x:c r="F38" s="13" t="n">
        <x:v>480</x:v>
      </x:c>
      <x:c r="G38" s="14" t="n">
        <x:v>0.002</x:v>
      </x:c>
      <x:c r="H38" s="12" t="n">
        <x:f>F38*G38</x:f>
        <x:v>0.96</x:v>
      </x:c>
      <x:c r="I38" s="10" t="n">
        <x:v>120</x:v>
      </x:c>
      <x:c r="J38" s="10" t="str">
        <x:v>normalized-data.json#/usage</x:v>
      </x:c>
    </x:row>
    <x:row r="39" ht="36" customHeight="1">
      <x:c r="A39" s="10" t="str">
        <x:v>V-R2</x:v>
      </x:c>
      <x:c r="B39" s="10" t="str">
        <x:v>VOICE</x:v>
      </x:c>
      <x:c r="C39" s="10" t="str">
        <x:v>scored</x:v>
      </x:c>
      <x:c r="D39" s="10" t="str">
        <x:v>VIA</x:v>
      </x:c>
      <x:c r="E39" s="10" t="str">
        <x:v>audio_input_seconds</x:v>
      </x:c>
      <x:c r="F39" s="13" t="n">
        <x:v>720</x:v>
      </x:c>
      <x:c r="G39" s="14" t="n">
        <x:v>0.001</x:v>
      </x:c>
      <x:c r="H39" s="12" t="n">
        <x:f>F39*G39</x:f>
        <x:v>0.72</x:v>
      </x:c>
      <x:c r="I39" s="10" t="n">
        <x:v>120</x:v>
      </x:c>
      <x:c r="J39" s="10" t="str">
        <x:v>normalized-data.json#/usage</x:v>
      </x:c>
    </x:row>
    <x:row r="40" ht="36" customHeight="1">
      <x:c r="A40" s="10" t="str">
        <x:v>V-R2</x:v>
      </x:c>
      <x:c r="B40" s="10" t="str">
        <x:v>VOICE</x:v>
      </x:c>
      <x:c r="C40" s="10" t="str">
        <x:v>scored</x:v>
      </x:c>
      <x:c r="D40" s="10" t="str">
        <x:v>VIA</x:v>
      </x:c>
      <x:c r="E40" s="10" t="str">
        <x:v>text_input</x:v>
      </x:c>
      <x:c r="F40" s="13" t="n">
        <x:v>344000</x:v>
      </x:c>
      <x:c r="G40" s="14" t="n">
        <x:v>0.000001</x:v>
      </x:c>
      <x:c r="H40" s="12" t="n">
        <x:f>F40*G40</x:f>
        <x:v>0.344</x:v>
      </x:c>
      <x:c r="I40" s="10" t="n">
        <x:v>360</x:v>
      </x:c>
      <x:c r="J40" s="10" t="str">
        <x:v>normalized-data.json#/usage</x:v>
      </x:c>
    </x:row>
    <x:row r="41" ht="36" customHeight="1">
      <x:c r="A41" s="10" t="str">
        <x:v>V-R2</x:v>
      </x:c>
      <x:c r="B41" s="10" t="str">
        <x:v>VOICE</x:v>
      </x:c>
      <x:c r="C41" s="10" t="str">
        <x:v>scored</x:v>
      </x:c>
      <x:c r="D41" s="10" t="str">
        <x:v>VIA</x:v>
      </x:c>
      <x:c r="E41" s="10" t="str">
        <x:v>image_equivalent_input</x:v>
      </x:c>
      <x:c r="F41" s="13" t="n">
        <x:v>112000</x:v>
      </x:c>
      <x:c r="G41" s="14" t="n">
        <x:v>0.000001</x:v>
      </x:c>
      <x:c r="H41" s="12" t="n">
        <x:f>F41*G41</x:f>
        <x:v>0.11199999999999999</x:v>
      </x:c>
      <x:c r="I41" s="10" t="n">
        <x:v>360</x:v>
      </x:c>
      <x:c r="J41" s="10" t="str">
        <x:v>normalized-data.json#/usage</x:v>
      </x:c>
    </x:row>
    <x:row r="42" ht="36" customHeight="1">
      <x:c r="A42" s="10" t="str">
        <x:v>V-R2</x:v>
      </x:c>
      <x:c r="B42" s="10" t="str">
        <x:v>VOICE</x:v>
      </x:c>
      <x:c r="C42" s="10" t="str">
        <x:v>scored</x:v>
      </x:c>
      <x:c r="D42" s="10" t="str">
        <x:v>VIA</x:v>
      </x:c>
      <x:c r="E42" s="10" t="str">
        <x:v>text_output</x:v>
      </x:c>
      <x:c r="F42" s="13" t="n">
        <x:v>28320</x:v>
      </x:c>
      <x:c r="G42" s="14" t="n">
        <x:v>0.000004</x:v>
      </x:c>
      <x:c r="H42" s="12" t="n">
        <x:f>F42*G42</x:f>
        <x:v>0.11327999999999999</x:v>
      </x:c>
      <x:c r="I42" s="10" t="n">
        <x:v>360</x:v>
      </x:c>
      <x:c r="J42" s="10" t="str">
        <x:v>normalized-data.json#/usage</x:v>
      </x:c>
    </x:row>
    <x:row r="43" ht="36" customHeight="1">
      <x:c r="A43" s="10" t="str">
        <x:v>V-R2</x:v>
      </x:c>
      <x:c r="B43" s="10" t="str">
        <x:v>VOICE</x:v>
      </x:c>
      <x:c r="C43" s="10" t="str">
        <x:v>scored</x:v>
      </x:c>
      <x:c r="D43" s="10" t="str">
        <x:v>RECEIVER</x:v>
      </x:c>
      <x:c r="E43" s="10" t="str">
        <x:v>agent_text_input</x:v>
      </x:c>
      <x:c r="F43" s="13" t="n">
        <x:v>120000</x:v>
      </x:c>
      <x:c r="G43" s="14" t="n">
        <x:v>0.000001</x:v>
      </x:c>
      <x:c r="H43" s="12" t="n">
        <x:f>F43*G43</x:f>
        <x:v>0.12</x:v>
      </x:c>
      <x:c r="I43" s="10" t="n">
        <x:v>120</x:v>
      </x:c>
      <x:c r="J43" s="10" t="str">
        <x:v>normalized-data.json#/usage</x:v>
      </x:c>
    </x:row>
    <x:row r="44" ht="36" customHeight="1">
      <x:c r="A44" s="10" t="str">
        <x:v>V-R2</x:v>
      </x:c>
      <x:c r="B44" s="10" t="str">
        <x:v>VOICE</x:v>
      </x:c>
      <x:c r="C44" s="10" t="str">
        <x:v>scored</x:v>
      </x:c>
      <x:c r="D44" s="10" t="str">
        <x:v>RECEIVER</x:v>
      </x:c>
      <x:c r="E44" s="10" t="str">
        <x:v>agent_text_output</x:v>
      </x:c>
      <x:c r="F44" s="13" t="n">
        <x:v>24000</x:v>
      </x:c>
      <x:c r="G44" s="14" t="n">
        <x:v>0.000004</x:v>
      </x:c>
      <x:c r="H44" s="12" t="n">
        <x:f>F44*G44</x:f>
        <x:v>0.096</x:v>
      </x:c>
      <x:c r="I44" s="10" t="n">
        <x:v>120</x:v>
      </x:c>
      <x:c r="J44" s="10" t="str">
        <x:v>normalized-data.json#/usage</x:v>
      </x:c>
    </x:row>
    <x:row r="45" ht="36" customHeight="1">
      <x:c r="A45" s="10" t="str">
        <x:v>V-R2</x:v>
      </x:c>
      <x:c r="B45" s="10" t="str">
        <x:v>VOICE</x:v>
      </x:c>
      <x:c r="C45" s="10" t="str">
        <x:v>scored</x:v>
      </x:c>
      <x:c r="D45" s="10" t="str">
        <x:v>VIA</x:v>
      </x:c>
      <x:c r="E45" s="10" t="str">
        <x:v>audio_generation_seconds</x:v>
      </x:c>
      <x:c r="F45" s="13" t="n">
        <x:v>480</x:v>
      </x:c>
      <x:c r="G45" s="14" t="n">
        <x:v>0.002</x:v>
      </x:c>
      <x:c r="H45" s="12" t="n">
        <x:f>F45*G45</x:f>
        <x:v>0.96</x:v>
      </x:c>
      <x:c r="I45" s="10" t="n">
        <x:v>120</x:v>
      </x:c>
      <x:c r="J45" s="10" t="str">
        <x:v>normalized-data.json#/usage</x:v>
      </x:c>
    </x:row>
    <x:row r="46" ht="36" customHeight="1">
      <x:c r="A46" s="10" t="str">
        <x:v>V-R3</x:v>
      </x:c>
      <x:c r="B46" s="10" t="str">
        <x:v>VOICE</x:v>
      </x:c>
      <x:c r="C46" s="10" t="str">
        <x:v>scored</x:v>
      </x:c>
      <x:c r="D46" s="10" t="str">
        <x:v>VIA</x:v>
      </x:c>
      <x:c r="E46" s="10" t="str">
        <x:v>audio_input_seconds</x:v>
      </x:c>
      <x:c r="F46" s="13" t="n">
        <x:v>720</x:v>
      </x:c>
      <x:c r="G46" s="14" t="n">
        <x:v>0.001</x:v>
      </x:c>
      <x:c r="H46" s="12" t="n">
        <x:f>F46*G46</x:f>
        <x:v>0.72</x:v>
      </x:c>
      <x:c r="I46" s="10" t="n">
        <x:v>120</x:v>
      </x:c>
      <x:c r="J46" s="10" t="str">
        <x:v>normalized-data.json#/usage</x:v>
      </x:c>
    </x:row>
    <x:row r="47" ht="36" customHeight="1">
      <x:c r="A47" s="10" t="str">
        <x:v>V-R3</x:v>
      </x:c>
      <x:c r="B47" s="10" t="str">
        <x:v>VOICE</x:v>
      </x:c>
      <x:c r="C47" s="10" t="str">
        <x:v>scored</x:v>
      </x:c>
      <x:c r="D47" s="10" t="str">
        <x:v>VIA</x:v>
      </x:c>
      <x:c r="E47" s="10" t="str">
        <x:v>text_input</x:v>
      </x:c>
      <x:c r="F47" s="13" t="n">
        <x:v>344000</x:v>
      </x:c>
      <x:c r="G47" s="14" t="n">
        <x:v>0.000001</x:v>
      </x:c>
      <x:c r="H47" s="12" t="n">
        <x:f>F47*G47</x:f>
        <x:v>0.344</x:v>
      </x:c>
      <x:c r="I47" s="10" t="n">
        <x:v>360</x:v>
      </x:c>
      <x:c r="J47" s="10" t="str">
        <x:v>normalized-data.json#/usage</x:v>
      </x:c>
    </x:row>
    <x:row r="48" ht="36" customHeight="1">
      <x:c r="A48" s="10" t="str">
        <x:v>V-R3</x:v>
      </x:c>
      <x:c r="B48" s="10" t="str">
        <x:v>VOICE</x:v>
      </x:c>
      <x:c r="C48" s="10" t="str">
        <x:v>scored</x:v>
      </x:c>
      <x:c r="D48" s="10" t="str">
        <x:v>VIA</x:v>
      </x:c>
      <x:c r="E48" s="10" t="str">
        <x:v>image_equivalent_input</x:v>
      </x:c>
      <x:c r="F48" s="13" t="n">
        <x:v>112000</x:v>
      </x:c>
      <x:c r="G48" s="14" t="n">
        <x:v>0.000001</x:v>
      </x:c>
      <x:c r="H48" s="12" t="n">
        <x:f>F48*G48</x:f>
        <x:v>0.11199999999999999</x:v>
      </x:c>
      <x:c r="I48" s="10" t="n">
        <x:v>360</x:v>
      </x:c>
      <x:c r="J48" s="10" t="str">
        <x:v>normalized-data.json#/usage</x:v>
      </x:c>
    </x:row>
    <x:row r="49" ht="36" customHeight="1">
      <x:c r="A49" s="10" t="str">
        <x:v>V-R3</x:v>
      </x:c>
      <x:c r="B49" s="10" t="str">
        <x:v>VOICE</x:v>
      </x:c>
      <x:c r="C49" s="10" t="str">
        <x:v>scored</x:v>
      </x:c>
      <x:c r="D49" s="10" t="str">
        <x:v>VIA</x:v>
      </x:c>
      <x:c r="E49" s="10" t="str">
        <x:v>text_output</x:v>
      </x:c>
      <x:c r="F49" s="13" t="n">
        <x:v>28320</x:v>
      </x:c>
      <x:c r="G49" s="14" t="n">
        <x:v>0.000004</x:v>
      </x:c>
      <x:c r="H49" s="12" t="n">
        <x:f>F49*G49</x:f>
        <x:v>0.11327999999999999</x:v>
      </x:c>
      <x:c r="I49" s="10" t="n">
        <x:v>360</x:v>
      </x:c>
      <x:c r="J49" s="10" t="str">
        <x:v>normalized-data.json#/usage</x:v>
      </x:c>
    </x:row>
    <x:row r="50" ht="36" customHeight="1">
      <x:c r="A50" s="10" t="str">
        <x:v>V-R3</x:v>
      </x:c>
      <x:c r="B50" s="10" t="str">
        <x:v>VOICE</x:v>
      </x:c>
      <x:c r="C50" s="10" t="str">
        <x:v>scored</x:v>
      </x:c>
      <x:c r="D50" s="10" t="str">
        <x:v>RECEIVER</x:v>
      </x:c>
      <x:c r="E50" s="10" t="str">
        <x:v>agent_text_input</x:v>
      </x:c>
      <x:c r="F50" s="13" t="n">
        <x:v>120000</x:v>
      </x:c>
      <x:c r="G50" s="14" t="n">
        <x:v>0.000001</x:v>
      </x:c>
      <x:c r="H50" s="12" t="n">
        <x:f>F50*G50</x:f>
        <x:v>0.12</x:v>
      </x:c>
      <x:c r="I50" s="10" t="n">
        <x:v>120</x:v>
      </x:c>
      <x:c r="J50" s="10" t="str">
        <x:v>normalized-data.json#/usage</x:v>
      </x:c>
    </x:row>
    <x:row r="51" ht="36" customHeight="1">
      <x:c r="A51" s="10" t="str">
        <x:v>V-R3</x:v>
      </x:c>
      <x:c r="B51" s="10" t="str">
        <x:v>VOICE</x:v>
      </x:c>
      <x:c r="C51" s="10" t="str">
        <x:v>scored</x:v>
      </x:c>
      <x:c r="D51" s="10" t="str">
        <x:v>RECEIVER</x:v>
      </x:c>
      <x:c r="E51" s="10" t="str">
        <x:v>agent_text_output</x:v>
      </x:c>
      <x:c r="F51" s="13" t="n">
        <x:v>24000</x:v>
      </x:c>
      <x:c r="G51" s="14" t="n">
        <x:v>0.000004</x:v>
      </x:c>
      <x:c r="H51" s="12" t="n">
        <x:f>F51*G51</x:f>
        <x:v>0.096</x:v>
      </x:c>
      <x:c r="I51" s="10" t="n">
        <x:v>120</x:v>
      </x:c>
      <x:c r="J51" s="10" t="str">
        <x:v>normalized-data.json#/usage</x:v>
      </x:c>
    </x:row>
    <x:row r="52" ht="36" customHeight="1">
      <x:c r="A52" s="10" t="str">
        <x:v>V-R3</x:v>
      </x:c>
      <x:c r="B52" s="10" t="str">
        <x:v>VOICE</x:v>
      </x:c>
      <x:c r="C52" s="10" t="str">
        <x:v>scored</x:v>
      </x:c>
      <x:c r="D52" s="10" t="str">
        <x:v>VIA</x:v>
      </x:c>
      <x:c r="E52" s="10" t="str">
        <x:v>audio_generation_seconds</x:v>
      </x:c>
      <x:c r="F52" s="13" t="n">
        <x:v>480</x:v>
      </x:c>
      <x:c r="G52" s="14" t="n">
        <x:v>0.002</x:v>
      </x:c>
      <x:c r="H52" s="12" t="n">
        <x:f>F52*G52</x:f>
        <x:v>0.96</x:v>
      </x:c>
      <x:c r="I52" s="10" t="n">
        <x:v>120</x:v>
      </x:c>
      <x:c r="J52" s="10" t="str">
        <x:v>normalized-data.json#/usage</x:v>
      </x:c>
    </x:row>
    <x:row r="53" ht="36" customHeight="1">
      <x:c r="A53" s="10" t="str">
        <x:v>V-A</x:v>
      </x:c>
      <x:c r="B53" s="10" t="str">
        <x:v>VOICE</x:v>
      </x:c>
      <x:c r="C53" s="10" t="str">
        <x:v>preparation</x:v>
      </x:c>
      <x:c r="D53" s="10" t="str">
        <x:v>VIA</x:v>
      </x:c>
      <x:c r="E53" s="10" t="str">
        <x:v>audio_input_seconds</x:v>
      </x:c>
      <x:c r="F53" s="13" t="n">
        <x:v>360</x:v>
      </x:c>
      <x:c r="G53" s="14" t="n">
        <x:v>0.001</x:v>
      </x:c>
      <x:c r="H53" s="12" t="n">
        <x:f>F53*G53</x:f>
        <x:v>0.36</x:v>
      </x:c>
      <x:c r="I53" s="10" t="n">
        <x:v>60</x:v>
      </x:c>
      <x:c r="J53" s="10" t="str">
        <x:v>normalized-data.json#/usage</x:v>
      </x:c>
    </x:row>
    <x:row r="54" ht="36" customHeight="1">
      <x:c r="A54" s="10" t="str">
        <x:v>V-A</x:v>
      </x:c>
      <x:c r="B54" s="10" t="str">
        <x:v>VOICE</x:v>
      </x:c>
      <x:c r="C54" s="10" t="str">
        <x:v>preparation</x:v>
      </x:c>
      <x:c r="D54" s="10" t="str">
        <x:v>VIA</x:v>
      </x:c>
      <x:c r="E54" s="10" t="str">
        <x:v>text_input</x:v>
      </x:c>
      <x:c r="F54" s="13" t="n">
        <x:v>186000</x:v>
      </x:c>
      <x:c r="G54" s="14" t="n">
        <x:v>0.000001</x:v>
      </x:c>
      <x:c r="H54" s="12" t="n">
        <x:f>F54*G54</x:f>
        <x:v>0.186</x:v>
      </x:c>
      <x:c r="I54" s="10" t="n">
        <x:v>180</x:v>
      </x:c>
      <x:c r="J54" s="10" t="str">
        <x:v>normalized-data.json#/usage</x:v>
      </x:c>
    </x:row>
    <x:row r="55" ht="36" customHeight="1">
      <x:c r="A55" s="10" t="str">
        <x:v>V-A</x:v>
      </x:c>
      <x:c r="B55" s="10" t="str">
        <x:v>VOICE</x:v>
      </x:c>
      <x:c r="C55" s="10" t="str">
        <x:v>preparation</x:v>
      </x:c>
      <x:c r="D55" s="10" t="str">
        <x:v>VIA</x:v>
      </x:c>
      <x:c r="E55" s="10" t="str">
        <x:v>image_equivalent_input</x:v>
      </x:c>
      <x:c r="F55" s="13" t="n">
        <x:v>216000</x:v>
      </x:c>
      <x:c r="G55" s="14" t="n">
        <x:v>0.000001</x:v>
      </x:c>
      <x:c r="H55" s="12" t="n">
        <x:f>F55*G55</x:f>
        <x:v>0.216</x:v>
      </x:c>
      <x:c r="I55" s="10" t="n">
        <x:v>180</x:v>
      </x:c>
      <x:c r="J55" s="10" t="str">
        <x:v>normalized-data.json#/usage</x:v>
      </x:c>
    </x:row>
    <x:row r="56" ht="36" customHeight="1">
      <x:c r="A56" s="10" t="str">
        <x:v>V-A</x:v>
      </x:c>
      <x:c r="B56" s="10" t="str">
        <x:v>VOICE</x:v>
      </x:c>
      <x:c r="C56" s="10" t="str">
        <x:v>preparation</x:v>
      </x:c>
      <x:c r="D56" s="10" t="str">
        <x:v>VIA</x:v>
      </x:c>
      <x:c r="E56" s="10" t="str">
        <x:v>text_output</x:v>
      </x:c>
      <x:c r="F56" s="13" t="n">
        <x:v>14880</x:v>
      </x:c>
      <x:c r="G56" s="14" t="n">
        <x:v>0.000004</x:v>
      </x:c>
      <x:c r="H56" s="12" t="n">
        <x:f>F56*G56</x:f>
        <x:v>0.059519999999999997</x:v>
      </x:c>
      <x:c r="I56" s="10" t="n">
        <x:v>180</x:v>
      </x:c>
      <x:c r="J56" s="10" t="str">
        <x:v>normalized-data.json#/usage</x:v>
      </x:c>
    </x:row>
    <x:row r="57" ht="36" customHeight="1">
      <x:c r="A57" s="10" t="str">
        <x:v>V-A</x:v>
      </x:c>
      <x:c r="B57" s="10" t="str">
        <x:v>VOICE</x:v>
      </x:c>
      <x:c r="C57" s="10" t="str">
        <x:v>preparation</x:v>
      </x:c>
      <x:c r="D57" s="10" t="str">
        <x:v>RECEIVER</x:v>
      </x:c>
      <x:c r="E57" s="10" t="str">
        <x:v>agent_text_input</x:v>
      </x:c>
      <x:c r="F57" s="13" t="n">
        <x:v>60000</x:v>
      </x:c>
      <x:c r="G57" s="14" t="n">
        <x:v>0.000001</x:v>
      </x:c>
      <x:c r="H57" s="12" t="n">
        <x:f>F57*G57</x:f>
        <x:v>0.06</x:v>
      </x:c>
      <x:c r="I57" s="10" t="n">
        <x:v>60</x:v>
      </x:c>
      <x:c r="J57" s="10" t="str">
        <x:v>normalized-data.json#/usage</x:v>
      </x:c>
    </x:row>
    <x:row r="58" ht="36" customHeight="1">
      <x:c r="A58" s="10" t="str">
        <x:v>V-A</x:v>
      </x:c>
      <x:c r="B58" s="10" t="str">
        <x:v>VOICE</x:v>
      </x:c>
      <x:c r="C58" s="10" t="str">
        <x:v>preparation</x:v>
      </x:c>
      <x:c r="D58" s="10" t="str">
        <x:v>RECEIVER</x:v>
      </x:c>
      <x:c r="E58" s="10" t="str">
        <x:v>agent_text_output</x:v>
      </x:c>
      <x:c r="F58" s="13" t="n">
        <x:v>12000</x:v>
      </x:c>
      <x:c r="G58" s="14" t="n">
        <x:v>0.000004</x:v>
      </x:c>
      <x:c r="H58" s="12" t="n">
        <x:f>F58*G58</x:f>
        <x:v>0.048</x:v>
      </x:c>
      <x:c r="I58" s="10" t="n">
        <x:v>60</x:v>
      </x:c>
      <x:c r="J58" s="10" t="str">
        <x:v>normalized-data.json#/usage</x:v>
      </x:c>
    </x:row>
    <x:row r="59" ht="36" customHeight="1">
      <x:c r="A59" s="10" t="str">
        <x:v>V-A</x:v>
      </x:c>
      <x:c r="B59" s="10" t="str">
        <x:v>VOICE</x:v>
      </x:c>
      <x:c r="C59" s="10" t="str">
        <x:v>preparation</x:v>
      </x:c>
      <x:c r="D59" s="10" t="str">
        <x:v>VIA</x:v>
      </x:c>
      <x:c r="E59" s="10" t="str">
        <x:v>audio_generation_seconds</x:v>
      </x:c>
      <x:c r="F59" s="13" t="n">
        <x:v>240</x:v>
      </x:c>
      <x:c r="G59" s="14" t="n">
        <x:v>0.002</x:v>
      </x:c>
      <x:c r="H59" s="12" t="n">
        <x:f>F59*G59</x:f>
        <x:v>0.48</x:v>
      </x:c>
      <x:c r="I59" s="10" t="n">
        <x:v>60</x:v>
      </x:c>
      <x:c r="J59" s="10" t="str">
        <x:v>normalized-data.json#/usage</x:v>
      </x:c>
    </x:row>
    <x:row r="60" ht="36" customHeight="1">
      <x:c r="A60" s="10" t="str">
        <x:v>V-R1</x:v>
      </x:c>
      <x:c r="B60" s="10" t="str">
        <x:v>VOICE</x:v>
      </x:c>
      <x:c r="C60" s="10" t="str">
        <x:v>preparation</x:v>
      </x:c>
      <x:c r="D60" s="10" t="str">
        <x:v>VIA</x:v>
      </x:c>
      <x:c r="E60" s="10" t="str">
        <x:v>audio_input_seconds</x:v>
      </x:c>
      <x:c r="F60" s="13" t="n">
        <x:v>360</x:v>
      </x:c>
      <x:c r="G60" s="14" t="n">
        <x:v>0.001</x:v>
      </x:c>
      <x:c r="H60" s="12" t="n">
        <x:f>F60*G60</x:f>
        <x:v>0.36</x:v>
      </x:c>
      <x:c r="I60" s="10" t="n">
        <x:v>60</x:v>
      </x:c>
      <x:c r="J60" s="10" t="str">
        <x:v>normalized-data.json#/usage</x:v>
      </x:c>
    </x:row>
    <x:row r="61" ht="36" customHeight="1">
      <x:c r="A61" s="10" t="str">
        <x:v>V-R1</x:v>
      </x:c>
      <x:c r="B61" s="10" t="str">
        <x:v>VOICE</x:v>
      </x:c>
      <x:c r="C61" s="10" t="str">
        <x:v>preparation</x:v>
      </x:c>
      <x:c r="D61" s="10" t="str">
        <x:v>VIA</x:v>
      </x:c>
      <x:c r="E61" s="10" t="str">
        <x:v>text_input</x:v>
      </x:c>
      <x:c r="F61" s="13" t="n">
        <x:v>186000</x:v>
      </x:c>
      <x:c r="G61" s="14" t="n">
        <x:v>0.000001</x:v>
      </x:c>
      <x:c r="H61" s="12" t="n">
        <x:f>F61*G61</x:f>
        <x:v>0.186</x:v>
      </x:c>
      <x:c r="I61" s="10" t="n">
        <x:v>180</x:v>
      </x:c>
      <x:c r="J61" s="10" t="str">
        <x:v>normalized-data.json#/usage</x:v>
      </x:c>
    </x:row>
    <x:row r="62" ht="36" customHeight="1">
      <x:c r="A62" s="10" t="str">
        <x:v>V-R1</x:v>
      </x:c>
      <x:c r="B62" s="10" t="str">
        <x:v>VOICE</x:v>
      </x:c>
      <x:c r="C62" s="10" t="str">
        <x:v>preparation</x:v>
      </x:c>
      <x:c r="D62" s="10" t="str">
        <x:v>VIA</x:v>
      </x:c>
      <x:c r="E62" s="10" t="str">
        <x:v>image_equivalent_input</x:v>
      </x:c>
      <x:c r="F62" s="13" t="n">
        <x:v>84000</x:v>
      </x:c>
      <x:c r="G62" s="14" t="n">
        <x:v>0.000001</x:v>
      </x:c>
      <x:c r="H62" s="12" t="n">
        <x:f>F62*G62</x:f>
        <x:v>0.08399999999999999</x:v>
      </x:c>
      <x:c r="I62" s="10" t="n">
        <x:v>180</x:v>
      </x:c>
      <x:c r="J62" s="10" t="str">
        <x:v>normalized-data.json#/usage</x:v>
      </x:c>
    </x:row>
    <x:row r="63" ht="36" customHeight="1">
      <x:c r="A63" s="10" t="str">
        <x:v>V-R1</x:v>
      </x:c>
      <x:c r="B63" s="10" t="str">
        <x:v>VOICE</x:v>
      </x:c>
      <x:c r="C63" s="10" t="str">
        <x:v>preparation</x:v>
      </x:c>
      <x:c r="D63" s="10" t="str">
        <x:v>VIA</x:v>
      </x:c>
      <x:c r="E63" s="10" t="str">
        <x:v>text_output</x:v>
      </x:c>
      <x:c r="F63" s="13" t="n">
        <x:v>14880</x:v>
      </x:c>
      <x:c r="G63" s="14" t="n">
        <x:v>0.000004</x:v>
      </x:c>
      <x:c r="H63" s="12" t="n">
        <x:f>F63*G63</x:f>
        <x:v>0.059519999999999997</x:v>
      </x:c>
      <x:c r="I63" s="10" t="n">
        <x:v>180</x:v>
      </x:c>
      <x:c r="J63" s="10" t="str">
        <x:v>normalized-data.json#/usage</x:v>
      </x:c>
    </x:row>
    <x:row r="64" ht="36" customHeight="1">
      <x:c r="A64" s="10" t="str">
        <x:v>V-R1</x:v>
      </x:c>
      <x:c r="B64" s="10" t="str">
        <x:v>VOICE</x:v>
      </x:c>
      <x:c r="C64" s="10" t="str">
        <x:v>preparation</x:v>
      </x:c>
      <x:c r="D64" s="10" t="str">
        <x:v>RECEIVER</x:v>
      </x:c>
      <x:c r="E64" s="10" t="str">
        <x:v>agent_text_input</x:v>
      </x:c>
      <x:c r="F64" s="13" t="n">
        <x:v>60000</x:v>
      </x:c>
      <x:c r="G64" s="14" t="n">
        <x:v>0.000001</x:v>
      </x:c>
      <x:c r="H64" s="12" t="n">
        <x:f>F64*G64</x:f>
        <x:v>0.06</x:v>
      </x:c>
      <x:c r="I64" s="10" t="n">
        <x:v>60</x:v>
      </x:c>
      <x:c r="J64" s="10" t="str">
        <x:v>normalized-data.json#/usage</x:v>
      </x:c>
    </x:row>
    <x:row r="65" ht="36" customHeight="1">
      <x:c r="A65" s="10" t="str">
        <x:v>V-R1</x:v>
      </x:c>
      <x:c r="B65" s="10" t="str">
        <x:v>VOICE</x:v>
      </x:c>
      <x:c r="C65" s="10" t="str">
        <x:v>preparation</x:v>
      </x:c>
      <x:c r="D65" s="10" t="str">
        <x:v>RECEIVER</x:v>
      </x:c>
      <x:c r="E65" s="10" t="str">
        <x:v>agent_text_output</x:v>
      </x:c>
      <x:c r="F65" s="13" t="n">
        <x:v>12000</x:v>
      </x:c>
      <x:c r="G65" s="14" t="n">
        <x:v>0.000004</x:v>
      </x:c>
      <x:c r="H65" s="12" t="n">
        <x:f>F65*G65</x:f>
        <x:v>0.048</x:v>
      </x:c>
      <x:c r="I65" s="10" t="n">
        <x:v>60</x:v>
      </x:c>
      <x:c r="J65" s="10" t="str">
        <x:v>normalized-data.json#/usage</x:v>
      </x:c>
    </x:row>
    <x:row r="66" ht="36" customHeight="1">
      <x:c r="A66" s="10" t="str">
        <x:v>V-R1</x:v>
      </x:c>
      <x:c r="B66" s="10" t="str">
        <x:v>VOICE</x:v>
      </x:c>
      <x:c r="C66" s="10" t="str">
        <x:v>preparation</x:v>
      </x:c>
      <x:c r="D66" s="10" t="str">
        <x:v>VIA</x:v>
      </x:c>
      <x:c r="E66" s="10" t="str">
        <x:v>audio_generation_seconds</x:v>
      </x:c>
      <x:c r="F66" s="13" t="n">
        <x:v>240</x:v>
      </x:c>
      <x:c r="G66" s="14" t="n">
        <x:v>0.002</x:v>
      </x:c>
      <x:c r="H66" s="12" t="n">
        <x:f>F66*G66</x:f>
        <x:v>0.48</x:v>
      </x:c>
      <x:c r="I66" s="10" t="n">
        <x:v>60</x:v>
      </x:c>
      <x:c r="J66" s="10" t="str">
        <x:v>normalized-data.json#/usage</x:v>
      </x:c>
    </x:row>
    <x:row r="67" ht="36" customHeight="1">
      <x:c r="A67" s="10" t="str">
        <x:v>V-R2</x:v>
      </x:c>
      <x:c r="B67" s="10" t="str">
        <x:v>VOICE</x:v>
      </x:c>
      <x:c r="C67" s="10" t="str">
        <x:v>preparation</x:v>
      </x:c>
      <x:c r="D67" s="10" t="str">
        <x:v>VIA</x:v>
      </x:c>
      <x:c r="E67" s="10" t="str">
        <x:v>audio_input_seconds</x:v>
      </x:c>
      <x:c r="F67" s="13" t="n">
        <x:v>360</x:v>
      </x:c>
      <x:c r="G67" s="14" t="n">
        <x:v>0.001</x:v>
      </x:c>
      <x:c r="H67" s="12" t="n">
        <x:f>F67*G67</x:f>
        <x:v>0.36</x:v>
      </x:c>
      <x:c r="I67" s="10" t="n">
        <x:v>60</x:v>
      </x:c>
      <x:c r="J67" s="10" t="str">
        <x:v>normalized-data.json#/usage</x:v>
      </x:c>
    </x:row>
    <x:row r="68" ht="36" customHeight="1">
      <x:c r="A68" s="10" t="str">
        <x:v>V-R2</x:v>
      </x:c>
      <x:c r="B68" s="10" t="str">
        <x:v>VOICE</x:v>
      </x:c>
      <x:c r="C68" s="10" t="str">
        <x:v>preparation</x:v>
      </x:c>
      <x:c r="D68" s="10" t="str">
        <x:v>VIA</x:v>
      </x:c>
      <x:c r="E68" s="10" t="str">
        <x:v>text_input</x:v>
      </x:c>
      <x:c r="F68" s="13" t="n">
        <x:v>186000</x:v>
      </x:c>
      <x:c r="G68" s="14" t="n">
        <x:v>0.000001</x:v>
      </x:c>
      <x:c r="H68" s="12" t="n">
        <x:f>F68*G68</x:f>
        <x:v>0.186</x:v>
      </x:c>
      <x:c r="I68" s="10" t="n">
        <x:v>180</x:v>
      </x:c>
      <x:c r="J68" s="10" t="str">
        <x:v>normalized-data.json#/usage</x:v>
      </x:c>
    </x:row>
    <x:row r="69" ht="36" customHeight="1">
      <x:c r="A69" s="10" t="str">
        <x:v>V-R2</x:v>
      </x:c>
      <x:c r="B69" s="10" t="str">
        <x:v>VOICE</x:v>
      </x:c>
      <x:c r="C69" s="10" t="str">
        <x:v>preparation</x:v>
      </x:c>
      <x:c r="D69" s="10" t="str">
        <x:v>VIA</x:v>
      </x:c>
      <x:c r="E69" s="10" t="str">
        <x:v>image_equivalent_input</x:v>
      </x:c>
      <x:c r="F69" s="13" t="n">
        <x:v>84000</x:v>
      </x:c>
      <x:c r="G69" s="14" t="n">
        <x:v>0.000001</x:v>
      </x:c>
      <x:c r="H69" s="12" t="n">
        <x:f>F69*G69</x:f>
        <x:v>0.08399999999999999</x:v>
      </x:c>
      <x:c r="I69" s="10" t="n">
        <x:v>180</x:v>
      </x:c>
      <x:c r="J69" s="10" t="str">
        <x:v>normalized-data.json#/usage</x:v>
      </x:c>
    </x:row>
    <x:row r="70" ht="36" customHeight="1">
      <x:c r="A70" s="10" t="str">
        <x:v>V-R2</x:v>
      </x:c>
      <x:c r="B70" s="10" t="str">
        <x:v>VOICE</x:v>
      </x:c>
      <x:c r="C70" s="10" t="str">
        <x:v>preparation</x:v>
      </x:c>
      <x:c r="D70" s="10" t="str">
        <x:v>VIA</x:v>
      </x:c>
      <x:c r="E70" s="10" t="str">
        <x:v>text_output</x:v>
      </x:c>
      <x:c r="F70" s="13" t="n">
        <x:v>14880</x:v>
      </x:c>
      <x:c r="G70" s="14" t="n">
        <x:v>0.000004</x:v>
      </x:c>
      <x:c r="H70" s="12" t="n">
        <x:f>F70*G70</x:f>
        <x:v>0.059519999999999997</x:v>
      </x:c>
      <x:c r="I70" s="10" t="n">
        <x:v>180</x:v>
      </x:c>
      <x:c r="J70" s="10" t="str">
        <x:v>normalized-data.json#/usage</x:v>
      </x:c>
    </x:row>
    <x:row r="71" ht="36" customHeight="1">
      <x:c r="A71" s="10" t="str">
        <x:v>V-R2</x:v>
      </x:c>
      <x:c r="B71" s="10" t="str">
        <x:v>VOICE</x:v>
      </x:c>
      <x:c r="C71" s="10" t="str">
        <x:v>preparation</x:v>
      </x:c>
      <x:c r="D71" s="10" t="str">
        <x:v>RECEIVER</x:v>
      </x:c>
      <x:c r="E71" s="10" t="str">
        <x:v>agent_text_input</x:v>
      </x:c>
      <x:c r="F71" s="13" t="n">
        <x:v>60000</x:v>
      </x:c>
      <x:c r="G71" s="14" t="n">
        <x:v>0.000001</x:v>
      </x:c>
      <x:c r="H71" s="12" t="n">
        <x:f>F71*G71</x:f>
        <x:v>0.06</x:v>
      </x:c>
      <x:c r="I71" s="10" t="n">
        <x:v>60</x:v>
      </x:c>
      <x:c r="J71" s="10" t="str">
        <x:v>normalized-data.json#/usage</x:v>
      </x:c>
    </x:row>
    <x:row r="72" ht="36" customHeight="1">
      <x:c r="A72" s="10" t="str">
        <x:v>V-R2</x:v>
      </x:c>
      <x:c r="B72" s="10" t="str">
        <x:v>VOICE</x:v>
      </x:c>
      <x:c r="C72" s="10" t="str">
        <x:v>preparation</x:v>
      </x:c>
      <x:c r="D72" s="10" t="str">
        <x:v>RECEIVER</x:v>
      </x:c>
      <x:c r="E72" s="10" t="str">
        <x:v>agent_text_output</x:v>
      </x:c>
      <x:c r="F72" s="13" t="n">
        <x:v>12000</x:v>
      </x:c>
      <x:c r="G72" s="14" t="n">
        <x:v>0.000004</x:v>
      </x:c>
      <x:c r="H72" s="12" t="n">
        <x:f>F72*G72</x:f>
        <x:v>0.048</x:v>
      </x:c>
      <x:c r="I72" s="10" t="n">
        <x:v>60</x:v>
      </x:c>
      <x:c r="J72" s="10" t="str">
        <x:v>normalized-data.json#/usage</x:v>
      </x:c>
    </x:row>
    <x:row r="73" ht="36" customHeight="1">
      <x:c r="A73" s="10" t="str">
        <x:v>V-R2</x:v>
      </x:c>
      <x:c r="B73" s="10" t="str">
        <x:v>VOICE</x:v>
      </x:c>
      <x:c r="C73" s="10" t="str">
        <x:v>preparation</x:v>
      </x:c>
      <x:c r="D73" s="10" t="str">
        <x:v>VIA</x:v>
      </x:c>
      <x:c r="E73" s="10" t="str">
        <x:v>audio_generation_seconds</x:v>
      </x:c>
      <x:c r="F73" s="13" t="n">
        <x:v>240</x:v>
      </x:c>
      <x:c r="G73" s="14" t="n">
        <x:v>0.002</x:v>
      </x:c>
      <x:c r="H73" s="12" t="n">
        <x:f>F73*G73</x:f>
        <x:v>0.48</x:v>
      </x:c>
      <x:c r="I73" s="10" t="n">
        <x:v>60</x:v>
      </x:c>
      <x:c r="J73" s="10" t="str">
        <x:v>normalized-data.json#/usage</x:v>
      </x:c>
    </x:row>
    <x:row r="74" ht="36" customHeight="1">
      <x:c r="A74" s="10" t="str">
        <x:v>V-R3</x:v>
      </x:c>
      <x:c r="B74" s="10" t="str">
        <x:v>VOICE</x:v>
      </x:c>
      <x:c r="C74" s="10" t="str">
        <x:v>preparation</x:v>
      </x:c>
      <x:c r="D74" s="10" t="str">
        <x:v>VIA</x:v>
      </x:c>
      <x:c r="E74" s="10" t="str">
        <x:v>audio_input_seconds</x:v>
      </x:c>
      <x:c r="F74" s="13" t="n">
        <x:v>360</x:v>
      </x:c>
      <x:c r="G74" s="14" t="n">
        <x:v>0.001</x:v>
      </x:c>
      <x:c r="H74" s="12" t="n">
        <x:f>F74*G74</x:f>
        <x:v>0.36</x:v>
      </x:c>
      <x:c r="I74" s="10" t="n">
        <x:v>60</x:v>
      </x:c>
      <x:c r="J74" s="10" t="str">
        <x:v>normalized-data.json#/usage</x:v>
      </x:c>
    </x:row>
    <x:row r="75" ht="36" customHeight="1">
      <x:c r="A75" s="10" t="str">
        <x:v>V-R3</x:v>
      </x:c>
      <x:c r="B75" s="10" t="str">
        <x:v>VOICE</x:v>
      </x:c>
      <x:c r="C75" s="10" t="str">
        <x:v>preparation</x:v>
      </x:c>
      <x:c r="D75" s="10" t="str">
        <x:v>VIA</x:v>
      </x:c>
      <x:c r="E75" s="10" t="str">
        <x:v>text_input</x:v>
      </x:c>
      <x:c r="F75" s="13" t="n">
        <x:v>186000</x:v>
      </x:c>
      <x:c r="G75" s="14" t="n">
        <x:v>0.000001</x:v>
      </x:c>
      <x:c r="H75" s="12" t="n">
        <x:f>F75*G75</x:f>
        <x:v>0.186</x:v>
      </x:c>
      <x:c r="I75" s="10" t="n">
        <x:v>180</x:v>
      </x:c>
      <x:c r="J75" s="10" t="str">
        <x:v>normalized-data.json#/usage</x:v>
      </x:c>
    </x:row>
    <x:row r="76" ht="36" customHeight="1">
      <x:c r="A76" s="10" t="str">
        <x:v>V-R3</x:v>
      </x:c>
      <x:c r="B76" s="10" t="str">
        <x:v>VOICE</x:v>
      </x:c>
      <x:c r="C76" s="10" t="str">
        <x:v>preparation</x:v>
      </x:c>
      <x:c r="D76" s="10" t="str">
        <x:v>VIA</x:v>
      </x:c>
      <x:c r="E76" s="10" t="str">
        <x:v>image_equivalent_input</x:v>
      </x:c>
      <x:c r="F76" s="13" t="n">
        <x:v>84000</x:v>
      </x:c>
      <x:c r="G76" s="14" t="n">
        <x:v>0.000001</x:v>
      </x:c>
      <x:c r="H76" s="12" t="n">
        <x:f>F76*G76</x:f>
        <x:v>0.08399999999999999</x:v>
      </x:c>
      <x:c r="I76" s="10" t="n">
        <x:v>180</x:v>
      </x:c>
      <x:c r="J76" s="10" t="str">
        <x:v>normalized-data.json#/usage</x:v>
      </x:c>
    </x:row>
    <x:row r="77" ht="36" customHeight="1">
      <x:c r="A77" s="10" t="str">
        <x:v>V-R3</x:v>
      </x:c>
      <x:c r="B77" s="10" t="str">
        <x:v>VOICE</x:v>
      </x:c>
      <x:c r="C77" s="10" t="str">
        <x:v>preparation</x:v>
      </x:c>
      <x:c r="D77" s="10" t="str">
        <x:v>VIA</x:v>
      </x:c>
      <x:c r="E77" s="10" t="str">
        <x:v>text_output</x:v>
      </x:c>
      <x:c r="F77" s="13" t="n">
        <x:v>14880</x:v>
      </x:c>
      <x:c r="G77" s="14" t="n">
        <x:v>0.000004</x:v>
      </x:c>
      <x:c r="H77" s="12" t="n">
        <x:f>F77*G77</x:f>
        <x:v>0.059519999999999997</x:v>
      </x:c>
      <x:c r="I77" s="10" t="n">
        <x:v>180</x:v>
      </x:c>
      <x:c r="J77" s="10" t="str">
        <x:v>normalized-data.json#/usage</x:v>
      </x:c>
    </x:row>
    <x:row r="78" ht="36" customHeight="1">
      <x:c r="A78" s="10" t="str">
        <x:v>V-R3</x:v>
      </x:c>
      <x:c r="B78" s="10" t="str">
        <x:v>VOICE</x:v>
      </x:c>
      <x:c r="C78" s="10" t="str">
        <x:v>preparation</x:v>
      </x:c>
      <x:c r="D78" s="10" t="str">
        <x:v>RECEIVER</x:v>
      </x:c>
      <x:c r="E78" s="10" t="str">
        <x:v>agent_text_input</x:v>
      </x:c>
      <x:c r="F78" s="13" t="n">
        <x:v>60000</x:v>
      </x:c>
      <x:c r="G78" s="14" t="n">
        <x:v>0.000001</x:v>
      </x:c>
      <x:c r="H78" s="12" t="n">
        <x:f>F78*G78</x:f>
        <x:v>0.06</x:v>
      </x:c>
      <x:c r="I78" s="10" t="n">
        <x:v>60</x:v>
      </x:c>
      <x:c r="J78" s="10" t="str">
        <x:v>normalized-data.json#/usage</x:v>
      </x:c>
    </x:row>
    <x:row r="79" ht="36" customHeight="1">
      <x:c r="A79" s="10" t="str">
        <x:v>V-R3</x:v>
      </x:c>
      <x:c r="B79" s="10" t="str">
        <x:v>VOICE</x:v>
      </x:c>
      <x:c r="C79" s="10" t="str">
        <x:v>preparation</x:v>
      </x:c>
      <x:c r="D79" s="10" t="str">
        <x:v>RECEIVER</x:v>
      </x:c>
      <x:c r="E79" s="10" t="str">
        <x:v>agent_text_output</x:v>
      </x:c>
      <x:c r="F79" s="13" t="n">
        <x:v>12000</x:v>
      </x:c>
      <x:c r="G79" s="14" t="n">
        <x:v>0.000004</x:v>
      </x:c>
      <x:c r="H79" s="12" t="n">
        <x:f>F79*G79</x:f>
        <x:v>0.048</x:v>
      </x:c>
      <x:c r="I79" s="10" t="n">
        <x:v>60</x:v>
      </x:c>
      <x:c r="J79" s="10" t="str">
        <x:v>normalized-data.json#/usage</x:v>
      </x:c>
    </x:row>
    <x:row r="80" ht="36" customHeight="1">
      <x:c r="A80" s="10" t="str">
        <x:v>V-R3</x:v>
      </x:c>
      <x:c r="B80" s="10" t="str">
        <x:v>VOICE</x:v>
      </x:c>
      <x:c r="C80" s="10" t="str">
        <x:v>preparation</x:v>
      </x:c>
      <x:c r="D80" s="10" t="str">
        <x:v>VIA</x:v>
      </x:c>
      <x:c r="E80" s="10" t="str">
        <x:v>audio_generation_seconds</x:v>
      </x:c>
      <x:c r="F80" s="13" t="n">
        <x:v>240</x:v>
      </x:c>
      <x:c r="G80" s="14" t="n">
        <x:v>0.002</x:v>
      </x:c>
      <x:c r="H80" s="12" t="n">
        <x:f>F80*G80</x:f>
        <x:v>0.48</x:v>
      </x:c>
      <x:c r="I80" s="10" t="n">
        <x:v>60</x:v>
      </x:c>
      <x:c r="J80" s="10" t="str">
        <x:v>normalized-data.json#/usage</x:v>
      </x:c>
    </x:row>
    <x:row r="81" ht="36" customHeight="1">
      <x:c r="A81" s="10" t="str">
        <x:v>D-A</x:v>
      </x:c>
      <x:c r="B81" s="10" t="str">
        <x:v>DELIVERY</x:v>
      </x:c>
      <x:c r="C81" s="10" t="str">
        <x:v>preparation</x:v>
      </x:c>
      <x:c r="D81" s="10" t="str">
        <x:v>VIA</x:v>
      </x:c>
      <x:c r="E81" s="10" t="str">
        <x:v>text_input</x:v>
      </x:c>
      <x:c r="F81" s="13" t="n">
        <x:v>67340</x:v>
      </x:c>
      <x:c r="G81" s="14" t="n">
        <x:v>0.000001</x:v>
      </x:c>
      <x:c r="H81" s="12" t="n">
        <x:f>F81*G81</x:f>
        <x:v>0.06734</x:v>
      </x:c>
      <x:c r="I81" s="10" t="n">
        <x:v>180</x:v>
      </x:c>
      <x:c r="J81" s="10" t="str">
        <x:v>normalized-data.json#/usage</x:v>
      </x:c>
    </x:row>
    <x:row r="82" ht="36" customHeight="1">
      <x:c r="A82" s="10" t="str">
        <x:v>D-A</x:v>
      </x:c>
      <x:c r="B82" s="10" t="str">
        <x:v>DELIVERY</x:v>
      </x:c>
      <x:c r="C82" s="10" t="str">
        <x:v>preparation</x:v>
      </x:c>
      <x:c r="D82" s="10" t="str">
        <x:v>VIA</x:v>
      </x:c>
      <x:c r="E82" s="10" t="str">
        <x:v>text_output</x:v>
      </x:c>
      <x:c r="F82" s="13" t="n">
        <x:v>1280</x:v>
      </x:c>
      <x:c r="G82" s="14" t="n">
        <x:v>0.000004</x:v>
      </x:c>
      <x:c r="H82" s="12" t="n">
        <x:f>F82*G82</x:f>
        <x:v>0.0051199999999999996</x:v>
      </x:c>
      <x:c r="I82" s="10" t="n">
        <x:v>80</x:v>
      </x:c>
      <x:c r="J82" s="10" t="str">
        <x:v>normalized-data.json#/usage</x:v>
      </x:c>
    </x:row>
    <x:row r="83" ht="36" customHeight="1">
      <x:c r="A83" s="10" t="str">
        <x:v>D-A</x:v>
      </x:c>
      <x:c r="B83" s="10" t="str">
        <x:v>DELIVERY</x:v>
      </x:c>
      <x:c r="C83" s="10" t="str">
        <x:v>preparation</x:v>
      </x:c>
      <x:c r="D83" s="10" t="str">
        <x:v>VIA</x:v>
      </x:c>
      <x:c r="E83" s="10" t="str">
        <x:v>audio_input_seconds</x:v>
      </x:c>
      <x:c r="F83" s="13" t="n">
        <x:v>160</x:v>
      </x:c>
      <x:c r="G83" s="14" t="n">
        <x:v>0.001</x:v>
      </x:c>
      <x:c r="H83" s="12" t="n">
        <x:f>F83*G83</x:f>
        <x:v>0.16</x:v>
      </x:c>
      <x:c r="I83" s="10" t="n">
        <x:v>80</x:v>
      </x:c>
      <x:c r="J83" s="10" t="str">
        <x:v>normalized-data.json#/usage</x:v>
      </x:c>
    </x:row>
    <x:row r="84" ht="36" customHeight="1">
      <x:c r="A84" s="10" t="str">
        <x:v>D-A</x:v>
      </x:c>
      <x:c r="B84" s="10" t="str">
        <x:v>DELIVERY</x:v>
      </x:c>
      <x:c r="C84" s="10" t="str">
        <x:v>scored</x:v>
      </x:c>
      <x:c r="D84" s="10" t="str">
        <x:v>VIA</x:v>
      </x:c>
      <x:c r="E84" s="10" t="str">
        <x:v>text_input</x:v>
      </x:c>
      <x:c r="F84" s="13" t="n">
        <x:v>62920</x:v>
      </x:c>
      <x:c r="G84" s="14" t="n">
        <x:v>0.000001</x:v>
      </x:c>
      <x:c r="H84" s="12" t="n">
        <x:f>F84*G84</x:f>
        <x:v>0.06292</x:v>
      </x:c>
      <x:c r="I84" s="10" t="n">
        <x:v>120</x:v>
      </x:c>
      <x:c r="J84" s="10" t="str">
        <x:v>normalized-data.json#/usage</x:v>
      </x:c>
    </x:row>
    <x:row r="85" ht="36" customHeight="1">
      <x:c r="A85" s="10" t="str">
        <x:v>D-A</x:v>
      </x:c>
      <x:c r="B85" s="10" t="str">
        <x:v>DELIVERY</x:v>
      </x:c>
      <x:c r="C85" s="10" t="str">
        <x:v>scored</x:v>
      </x:c>
      <x:c r="D85" s="10" t="str">
        <x:v>VIA</x:v>
      </x:c>
      <x:c r="E85" s="10" t="str">
        <x:v>text_output</x:v>
      </x:c>
      <x:c r="F85" s="13" t="n">
        <x:v>1440</x:v>
      </x:c>
      <x:c r="G85" s="14" t="n">
        <x:v>0.000004</x:v>
      </x:c>
      <x:c r="H85" s="12" t="n">
        <x:f>F85*G85</x:f>
        <x:v>0.0057599999999999995</x:v>
      </x:c>
      <x:c r="I85" s="10" t="n">
        <x:v>80</x:v>
      </x:c>
      <x:c r="J85" s="10" t="str">
        <x:v>normalized-data.json#/usage</x:v>
      </x:c>
    </x:row>
    <x:row r="86" ht="36" customHeight="1">
      <x:c r="A86" s="10" t="str">
        <x:v>D-A</x:v>
      </x:c>
      <x:c r="B86" s="10" t="str">
        <x:v>DELIVERY</x:v>
      </x:c>
      <x:c r="C86" s="10" t="str">
        <x:v>scored</x:v>
      </x:c>
      <x:c r="D86" s="10" t="str">
        <x:v>VIA</x:v>
      </x:c>
      <x:c r="E86" s="10" t="str">
        <x:v>audio_input_seconds</x:v>
      </x:c>
      <x:c r="F86" s="13" t="n">
        <x:v>242.99999999999994</x:v>
      </x:c>
      <x:c r="G86" s="14" t="n">
        <x:v>0.001</x:v>
      </x:c>
      <x:c r="H86" s="12" t="n">
        <x:f>F86*G86</x:f>
        <x:v>0.24299999999999994</x:v>
      </x:c>
      <x:c r="I86" s="10" t="n">
        <x:v>80</x:v>
      </x:c>
      <x:c r="J86" s="10" t="str">
        <x:v>normalized-data.json#/usage</x:v>
      </x:c>
    </x:row>
    <x:row r="87" ht="36" customHeight="1">
      <x:c r="A87" s="10" t="str">
        <x:v>D-A</x:v>
      </x:c>
      <x:c r="B87" s="10" t="str">
        <x:v>DELIVERY</x:v>
      </x:c>
      <x:c r="C87" s="10" t="str">
        <x:v>scored</x:v>
      </x:c>
      <x:c r="D87" s="10" t="str">
        <x:v>VIA</x:v>
      </x:c>
      <x:c r="E87" s="10" t="str">
        <x:v>audio_output_seconds</x:v>
      </x:c>
      <x:c r="F87" s="13" t="n">
        <x:v>173.99999999000008</x:v>
      </x:c>
      <x:c r="G87" s="14" t="n">
        <x:v>0.002</x:v>
      </x:c>
      <x:c r="H87" s="12" t="n">
        <x:f>F87*G87</x:f>
        <x:v>0.34799999998000014</x:v>
      </x:c>
      <x:c r="I87" s="10" t="n">
        <x:v>40</x:v>
      </x:c>
      <x:c r="J87" s="10" t="str">
        <x:v>normalized-data.json#/usage</x:v>
      </x:c>
    </x:row>
    <x:row r="88" ht="36" customHeight="1">
      <x:c r="A88" s="10" t="str">
        <x:v>D-B</x:v>
      </x:c>
      <x:c r="B88" s="10" t="str">
        <x:v>DELIVERY</x:v>
      </x:c>
      <x:c r="C88" s="10" t="str">
        <x:v>preparation</x:v>
      </x:c>
      <x:c r="D88" s="10" t="str">
        <x:v>VIA</x:v>
      </x:c>
      <x:c r="E88" s="10" t="str">
        <x:v>text_input</x:v>
      </x:c>
      <x:c r="F88" s="13" t="n">
        <x:v>55260</x:v>
      </x:c>
      <x:c r="G88" s="14" t="n">
        <x:v>0.000001</x:v>
      </x:c>
      <x:c r="H88" s="12" t="n">
        <x:f>F88*G88</x:f>
        <x:v>0.05526</x:v>
      </x:c>
      <x:c r="I88" s="10" t="n">
        <x:v>100</x:v>
      </x:c>
      <x:c r="J88" s="10" t="str">
        <x:v>normalized-data.json#/usage</x:v>
      </x:c>
    </x:row>
    <x:row r="89" ht="36" customHeight="1">
      <x:c r="A89" s="10" t="str">
        <x:v>D-B</x:v>
      </x:c>
      <x:c r="B89" s="10" t="str">
        <x:v>DELIVERY</x:v>
      </x:c>
      <x:c r="C89" s="10" t="str">
        <x:v>preparation</x:v>
      </x:c>
      <x:c r="D89" s="10" t="str">
        <x:v>VIA</x:v>
      </x:c>
      <x:c r="E89" s="10" t="str">
        <x:v>text_output</x:v>
      </x:c>
      <x:c r="F89" s="13" t="n">
        <x:v>1280</x:v>
      </x:c>
      <x:c r="G89" s="14" t="n">
        <x:v>0.000004</x:v>
      </x:c>
      <x:c r="H89" s="12" t="n">
        <x:f>F89*G89</x:f>
        <x:v>0.0051199999999999996</x:v>
      </x:c>
      <x:c r="I89" s="10" t="n">
        <x:v>80</x:v>
      </x:c>
      <x:c r="J89" s="10" t="str">
        <x:v>normalized-data.json#/usage</x:v>
      </x:c>
    </x:row>
    <x:row r="90" ht="36" customHeight="1">
      <x:c r="A90" s="10" t="str">
        <x:v>D-B</x:v>
      </x:c>
      <x:c r="B90" s="10" t="str">
        <x:v>DELIVERY</x:v>
      </x:c>
      <x:c r="C90" s="10" t="str">
        <x:v>preparation</x:v>
      </x:c>
      <x:c r="D90" s="10" t="str">
        <x:v>VIA</x:v>
      </x:c>
      <x:c r="E90" s="10" t="str">
        <x:v>audio_input_seconds</x:v>
      </x:c>
      <x:c r="F90" s="13" t="n">
        <x:v>160</x:v>
      </x:c>
      <x:c r="G90" s="14" t="n">
        <x:v>0.001</x:v>
      </x:c>
      <x:c r="H90" s="12" t="n">
        <x:f>F90*G90</x:f>
        <x:v>0.16</x:v>
      </x:c>
      <x:c r="I90" s="10" t="n">
        <x:v>80</x:v>
      </x:c>
      <x:c r="J90" s="10" t="str">
        <x:v>normalized-data.json#/usage</x:v>
      </x:c>
    </x:row>
    <x:row r="91" ht="36" customHeight="1">
      <x:c r="A91" s="10" t="str">
        <x:v>D-B</x:v>
      </x:c>
      <x:c r="B91" s="10" t="str">
        <x:v>DELIVERY</x:v>
      </x:c>
      <x:c r="C91" s="10" t="str">
        <x:v>scored</x:v>
      </x:c>
      <x:c r="D91" s="10" t="str">
        <x:v>VIA</x:v>
      </x:c>
      <x:c r="E91" s="10" t="str">
        <x:v>text_input</x:v>
      </x:c>
      <x:c r="F91" s="13" t="n">
        <x:v>79520</x:v>
      </x:c>
      <x:c r="G91" s="14" t="n">
        <x:v>0.000001</x:v>
      </x:c>
      <x:c r="H91" s="12" t="n">
        <x:f>F91*G91</x:f>
        <x:v>0.07952</x:v>
      </x:c>
      <x:c r="I91" s="10" t="n">
        <x:v>190</x:v>
      </x:c>
      <x:c r="J91" s="10" t="str">
        <x:v>normalized-data.json#/usage</x:v>
      </x:c>
    </x:row>
    <x:row r="92" ht="36" customHeight="1">
      <x:c r="A92" s="10" t="str">
        <x:v>D-B</x:v>
      </x:c>
      <x:c r="B92" s="10" t="str">
        <x:v>DELIVERY</x:v>
      </x:c>
      <x:c r="C92" s="10" t="str">
        <x:v>scored</x:v>
      </x:c>
      <x:c r="D92" s="10" t="str">
        <x:v>VIA</x:v>
      </x:c>
      <x:c r="E92" s="10" t="str">
        <x:v>text_output</x:v>
      </x:c>
      <x:c r="F92" s="13" t="n">
        <x:v>1440</x:v>
      </x:c>
      <x:c r="G92" s="14" t="n">
        <x:v>0.000004</x:v>
      </x:c>
      <x:c r="H92" s="12" t="n">
        <x:f>F92*G92</x:f>
        <x:v>0.0057599999999999995</x:v>
      </x:c>
      <x:c r="I92" s="10" t="n">
        <x:v>80</x:v>
      </x:c>
      <x:c r="J92" s="10" t="str">
        <x:v>normalized-data.json#/usage</x:v>
      </x:c>
    </x:row>
    <x:row r="93" ht="36" customHeight="1">
      <x:c r="A93" s="10" t="str">
        <x:v>D-B</x:v>
      </x:c>
      <x:c r="B93" s="10" t="str">
        <x:v>DELIVERY</x:v>
      </x:c>
      <x:c r="C93" s="10" t="str">
        <x:v>scored</x:v>
      </x:c>
      <x:c r="D93" s="10" t="str">
        <x:v>VIA</x:v>
      </x:c>
      <x:c r="E93" s="10" t="str">
        <x:v>audio_input_seconds</x:v>
      </x:c>
      <x:c r="F93" s="13" t="n">
        <x:v>242.99999999999994</x:v>
      </x:c>
      <x:c r="G93" s="14" t="n">
        <x:v>0.001</x:v>
      </x:c>
      <x:c r="H93" s="12" t="n">
        <x:f>F93*G93</x:f>
        <x:v>0.24299999999999994</x:v>
      </x:c>
      <x:c r="I93" s="10" t="n">
        <x:v>80</x:v>
      </x:c>
      <x:c r="J93" s="10" t="str">
        <x:v>normalized-data.json#/usage</x:v>
      </x:c>
    </x:row>
    <x:row r="94" ht="36" customHeight="1">
      <x:c r="A94" s="10" t="str">
        <x:v>D-B</x:v>
      </x:c>
      <x:c r="B94" s="10" t="str">
        <x:v>DELIVERY</x:v>
      </x:c>
      <x:c r="C94" s="10" t="str">
        <x:v>scored</x:v>
      </x:c>
      <x:c r="D94" s="10" t="str">
        <x:v>VIA</x:v>
      </x:c>
      <x:c r="E94" s="10" t="str">
        <x:v>audio_output_seconds</x:v>
      </x:c>
      <x:c r="F94" s="13" t="n">
        <x:v>543.679999978</x:v>
      </x:c>
      <x:c r="G94" s="14" t="n">
        <x:v>0.002</x:v>
      </x:c>
      <x:c r="H94" s="12" t="n">
        <x:f>F94*G94</x:f>
        <x:v>1.087359999956</x:v>
      </x:c>
      <x:c r="I94" s="10" t="n">
        <x:v>110</x:v>
      </x:c>
      <x:c r="J94" s="10" t="str">
        <x:v>normalized-data.json#/usage</x:v>
      </x:c>
    </x:row>
    <x:row r="95" ht="36" customHeight="1">
      <x:c r="A95" s="10" t="str">
        <x:v>D-A</x:v>
      </x:c>
      <x:c r="B95" s="10" t="str">
        <x:v>DELIVERY</x:v>
      </x:c>
      <x:c r="C95" s="10" t="str">
        <x:v>preparation</x:v>
      </x:c>
      <x:c r="D95" s="10" t="str">
        <x:v>VIA</x:v>
      </x:c>
      <x:c r="E95" s="10" t="str">
        <x:v>audio_output_seconds</x:v>
      </x:c>
      <x:c r="F95" s="13" t="n">
        <x:v>793.8666666539998</x:v>
      </x:c>
      <x:c r="G95" s="14" t="n">
        <x:v>0.002</x:v>
      </x:c>
      <x:c r="H95" s="12" t="n">
        <x:f>F95*G95</x:f>
        <x:v>1.5877333333079997</x:v>
      </x:c>
      <x:c r="I95" s="10" t="n">
        <x:v>100</x:v>
      </x:c>
      <x:c r="J95" s="10" t="str">
        <x:v>normalized-data.json#/usage</x:v>
      </x:c>
    </x:row>
    <x:row r="96" ht="36" customHeight="1">
      <x:c r="A96" s="10" t="str">
        <x:v>D-B</x:v>
      </x:c>
      <x:c r="B96" s="10" t="str">
        <x:v>DELIVERY</x:v>
      </x:c>
      <x:c r="C96" s="10" t="str">
        <x:v>preparation</x:v>
      </x:c>
      <x:c r="D96" s="10" t="str">
        <x:v>VIA</x:v>
      </x:c>
      <x:c r="E96" s="10" t="str">
        <x:v>audio_output_seconds</x:v>
      </x:c>
      <x:c r="F96" s="13" t="n">
        <x:v>294.320000002</x:v>
      </x:c>
      <x:c r="G96" s="14" t="n">
        <x:v>0.002</x:v>
      </x:c>
      <x:c r="H96" s="12" t="n">
        <x:f>F96*G96</x:f>
        <x:v>0.588640000004</x:v>
      </x:c>
      <x:c r="I96" s="10" t="n">
        <x:v>20</x:v>
      </x:c>
      <x:c r="J96" s="10" t="str">
        <x:v>normalized-data.json#/usage</x:v>
      </x:c>
    </x:row>
  </x:sheetData>
  <x:pageMargins left="0.7" right="0.7" top="0.75" bottom="0.75" header="0.3" footer="0.3"/>
  <x:tableParts count="1">
    <x:tablePart xmlns:r="http://schemas.openxmlformats.org/officeDocument/2006/relationships" r:id="R917954f44a1544d5"/>
  </x:tableParts>
</x:worksheet>
</file>

<file path=xl/worksheets/sheet8.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0.5600004196167" hidden="0" customWidth="1"/>
    <x:col min="2" max="2" width="8.329999923706055" hidden="0" customWidth="1"/>
    <x:col min="3" max="3" width="21.110000610351562" hidden="0" customWidth="1"/>
    <x:col min="4" max="4" width="16.670000076293945" hidden="0" customWidth="1"/>
    <x:col min="5" max="5" width="11.109999656677246" hidden="0" customWidth="1"/>
    <x:col min="6" max="6" width="15" hidden="0" customWidth="1"/>
    <x:col min="7" max="7" width="12.220000267028809" hidden="0" customWidth="1"/>
    <x:col min="8" max="8" width="12.220000267028809" hidden="0" customWidth="1"/>
    <x:col min="9" max="9" width="12.220000267028809" hidden="0" customWidth="1"/>
    <x:col min="10" max="10" width="12.220000267028809" hidden="0" customWidth="1"/>
    <x:col min="11" max="11" width="12.220000267028809" hidden="0" customWidth="1"/>
    <x:col min="12" max="12" width="12.220000267028809" hidden="0" customWidth="1"/>
    <x:col min="13" max="13" width="12.220000267028809" hidden="0" customWidth="1"/>
    <x:col min="14" max="14" width="12.220000267028809" hidden="0" customWidth="1"/>
    <x:col min="15" max="15" width="12.220000267028809" hidden="0" customWidth="1"/>
    <x:col min="16" max="16" width="12.220000267028809" hidden="0" customWidth="1"/>
    <x:col min="17" max="17" width="12.220000267028809" hidden="0" customWidth="1"/>
    <x:col min="18" max="18" width="12.220000267028809" hidden="0" customWidth="1"/>
    <x:col min="19" max="19" width="12.220000267028809" hidden="0" customWidth="1"/>
    <x:col min="20" max="20" width="12.220000267028809" hidden="0" customWidth="1"/>
    <x:col min="21" max="21" width="12.220000267028809" hidden="0" customWidth="1"/>
    <x:col min="22" max="22" width="12.220000267028809" hidden="0" customWidth="1"/>
    <x:col min="23" max="23" width="12.220000267028809" hidden="0" customWidth="1"/>
    <x:col min="24" max="24" width="12.220000267028809" hidden="0" customWidth="1"/>
    <x:col min="25" max="25" width="12.220000267028809" hidden="0" customWidth="1"/>
    <x:col min="26" max="26" width="12.220000267028809" hidden="0" customWidth="1"/>
    <x:col min="27" max="27" width="12.220000267028809" hidden="0" customWidth="1"/>
    <x:col min="28" max="28" width="13.890000343322754" hidden="0" customWidth="1"/>
  </x:cols>
  <x:sheetData>
    <x:row r="1">
      <x:c r="A1" s="1"/>
      <x:c r="B1" s="1"/>
      <x:c r="C1" s="1"/>
      <x:c r="D1" s="1"/>
      <x:c r="E1" s="1"/>
      <x:c r="F1" s="1"/>
      <x:c r="G1" s="1"/>
      <x:c r="H1" s="1"/>
      <x:c r="I1" s="1"/>
      <x:c r="J1" s="1"/>
      <x:c r="K1" s="1"/>
      <x:c r="L1" s="1"/>
      <x:c r="M1" s="1"/>
      <x:c r="N1" s="1"/>
      <x:c r="O1" s="1"/>
      <x:c r="P1" s="1"/>
      <x:c r="Q1" s="1"/>
      <x:c r="R1" s="1"/>
      <x:c r="S1" s="1"/>
      <x:c r="T1" s="1"/>
      <x:c r="U1" s="1"/>
      <x:c r="V1" s="1"/>
      <x:c r="W1" s="1"/>
      <x:c r="X1" s="1"/>
      <x:c r="Y1" s="1"/>
      <x:c r="Z1" s="1"/>
      <x:c r="AA1" s="1"/>
      <x:c r="AB1" s="1"/>
    </x:row>
    <x:row r="2">
      <x:c r="A2" s="2" t="str">
        <x:v>사례별 최대 동시 RAM 상태</x:v>
      </x:c>
      <x:c r="B2" s="1"/>
      <x:c r="C2" s="1"/>
      <x:c r="D2" s="1"/>
      <x:c r="E2" s="1"/>
      <x:c r="F2" s="1"/>
      <x:c r="G2" s="1"/>
      <x:c r="H2" s="1"/>
      <x:c r="I2" s="1"/>
      <x:c r="J2" s="1"/>
      <x:c r="K2" s="1"/>
      <x:c r="L2" s="1"/>
      <x:c r="M2" s="1"/>
      <x:c r="N2" s="1"/>
      <x:c r="O2" s="1"/>
      <x:c r="P2" s="1"/>
      <x:c r="Q2" s="1"/>
      <x:c r="R2" s="1"/>
      <x:c r="S2" s="1"/>
      <x:c r="T2" s="1"/>
      <x:c r="U2" s="1"/>
      <x:c r="V2" s="1"/>
      <x:c r="W2" s="1"/>
      <x:c r="X2" s="1"/>
      <x:c r="Y2" s="1"/>
      <x:c r="Z2" s="1"/>
      <x:c r="AA2" s="1"/>
      <x:c r="AB2" s="1"/>
    </x:row>
    <x:row r="3">
      <x:c r="A3" s="3" t="str">
        <x:v>각 사례와 구성의 실제로 작성된 동일 시점 peak 상태다. TEXT 238MB, VOICE와 DELIVERY 각 560MB 기반이지만 서로 다른 profile이다.</x:v>
      </x:c>
      <x:c r="B3" s="1"/>
      <x:c r="C3" s="1"/>
      <x:c r="D3" s="1"/>
      <x:c r="E3" s="1"/>
      <x:c r="F3" s="1"/>
      <x:c r="G3" s="1"/>
      <x:c r="H3" s="1"/>
      <x:c r="I3" s="1"/>
      <x:c r="J3" s="1"/>
      <x:c r="K3" s="1"/>
      <x:c r="L3" s="1"/>
      <x:c r="M3" s="1"/>
      <x:c r="N3" s="1"/>
      <x:c r="O3" s="1"/>
      <x:c r="P3" s="1"/>
      <x:c r="Q3" s="1"/>
      <x:c r="R3" s="1"/>
      <x:c r="S3" s="1"/>
      <x:c r="T3" s="1"/>
      <x:c r="U3" s="1"/>
      <x:c r="V3" s="1"/>
      <x:c r="W3" s="1"/>
      <x:c r="X3" s="1"/>
      <x:c r="Y3" s="1"/>
      <x:c r="Z3" s="1"/>
      <x:c r="AA3" s="1"/>
      <x:c r="AB3" s="1"/>
    </x:row>
    <x:row r="4">
      <x:c r="A4" s="1"/>
      <x:c r="B4" s="1"/>
      <x:c r="C4" s="1"/>
      <x:c r="D4" s="1"/>
      <x:c r="E4" s="1"/>
      <x:c r="F4" s="1"/>
      <x:c r="G4" s="1"/>
      <x:c r="H4" s="1"/>
      <x:c r="I4" s="1"/>
      <x:c r="J4" s="1"/>
      <x:c r="K4" s="1"/>
      <x:c r="L4" s="1"/>
      <x:c r="M4" s="1"/>
      <x:c r="N4" s="1"/>
      <x:c r="O4" s="1"/>
      <x:c r="P4" s="1"/>
      <x:c r="Q4" s="1"/>
      <x:c r="R4" s="1"/>
      <x:c r="S4" s="1"/>
      <x:c r="T4" s="1"/>
      <x:c r="U4" s="1"/>
      <x:c r="V4" s="1"/>
      <x:c r="W4" s="1"/>
      <x:c r="X4" s="1"/>
      <x:c r="Y4" s="1"/>
      <x:c r="Z4" s="1"/>
      <x:c r="AA4" s="1"/>
      <x:c r="AB4" s="1"/>
    </x:row>
    <x:row r="5" ht="35" customHeight="1">
      <x:c r="A5" s="8" t="str">
        <x:v>구성</x:v>
      </x:c>
      <x:c r="B5" s="8" t="str">
        <x:v>층</x:v>
      </x:c>
      <x:c r="C5" s="8" t="str">
        <x:v>사례</x:v>
      </x:c>
      <x:c r="D5" s="8" t="str">
        <x:v>상태 ID</x:v>
      </x:c>
      <x:c r="E5" s="8" t="str">
        <x:v>가상 t</x:v>
      </x:c>
      <x:c r="F5" s="8" t="str">
        <x:v>구간</x:v>
      </x:c>
      <x:c r="G5" s="8" t="str">
        <x:v>core_mb</x:v>
      </x:c>
      <x:c r="H5" s="8" t="str">
        <x:v>state_mb</x:v>
      </x:c>
      <x:c r="I5" s="8" t="str">
        <x:v>model_buffers_mb</x:v>
      </x:c>
      <x:c r="J5" s="8" t="str">
        <x:v>read_mb</x:v>
      </x:c>
      <x:c r="K5" s="8" t="str">
        <x:v>relation_mb</x:v>
      </x:c>
      <x:c r="L5" s="8" t="str">
        <x:v>producer_mb</x:v>
      </x:c>
      <x:c r="M5" s="8" t="str">
        <x:v>core_ui</x:v>
      </x:c>
      <x:c r="N5" s="8" t="str">
        <x:v>local_asr_audio</x:v>
      </x:c>
      <x:c r="O5" s="8" t="str">
        <x:v>compressed_source_ring</x:v>
      </x:c>
      <x:c r="P5" s="8" t="str">
        <x:v>common_request_history</x:v>
      </x:c>
      <x:c r="Q5" s="8" t="str">
        <x:v>input_or_ipc</x:v>
      </x:c>
      <x:c r="R5" s="8" t="str">
        <x:v>runtime_shared</x:v>
      </x:c>
      <x:c r="S5" s="8" t="str">
        <x:v>runtime_private</x:v>
      </x:c>
      <x:c r="T5" s="8" t="str">
        <x:v>ui_model</x:v>
      </x:c>
      <x:c r="U5" s="8" t="str">
        <x:v>sam_model</x:v>
      </x:c>
      <x:c r="V5" s="8" t="str">
        <x:v>retained_episode</x:v>
      </x:c>
      <x:c r="W5" s="8" t="str">
        <x:v>load_temporary</x:v>
      </x:c>
      <x:c r="X5" s="8" t="str">
        <x:v>workspace</x:v>
      </x:c>
      <x:c r="Y5" s="8" t="str">
        <x:v>base_mb</x:v>
      </x:c>
      <x:c r="Z5" s="8" t="str">
        <x:v>audio_mb</x:v>
      </x:c>
      <x:c r="AA5" s="8" t="str">
        <x:v>metadata_mb</x:v>
      </x:c>
      <x:c r="AB5" s="8" t="str">
        <x:v>동시 합계 MB</x:v>
      </x:c>
    </x:row>
    <x:row r="6" ht="36" customHeight="1">
      <x:c r="A6" s="10" t="str">
        <x:v>T-BASE</x:v>
      </x:c>
      <x:c r="B6" s="10" t="str">
        <x:v>TEXT</x:v>
      </x:c>
      <x:c r="C6" s="10" t="str">
        <x:v>TEXT:SYN-F01-01</x:v>
      </x:c>
      <x:c r="D6" s="10" t="str">
        <x:v>TEXT:M2</x:v>
      </x:c>
      <x:c r="E6" s="15" t="n">
        <x:v>0.16</x:v>
      </x:c>
      <x:c r="F6" s="15" t="str">
        <x:v>요청</x:v>
      </x:c>
      <x:c r="G6" s="15" t="n">
        <x:v>238</x:v>
      </x:c>
      <x:c r="H6" s="15" t="n">
        <x:v>11</x:v>
      </x:c>
      <x:c r="I6" s="15" t="n">
        <x:v>19.2</x:v>
      </x:c>
      <x:c r="J6" s="15" t="n">
        <x:v>0</x:v>
      </x:c>
      <x:c r="K6" s="15" t="n">
        <x:v>0</x:v>
      </x:c>
      <x:c r="L6" s="15" t="n">
        <x:v>0</x:v>
      </x:c>
      <x:c r="M6" s="15" t="n">
        <x:v>0</x:v>
      </x:c>
      <x:c r="N6" s="15" t="n">
        <x:v>0</x:v>
      </x:c>
      <x:c r="O6" s="15" t="n">
        <x:v>0</x:v>
      </x:c>
      <x:c r="P6" s="15" t="n">
        <x:v>0</x:v>
      </x:c>
      <x:c r="Q6" s="15" t="n">
        <x:v>0</x:v>
      </x:c>
      <x:c r="R6" s="15" t="n">
        <x:v>0</x:v>
      </x:c>
      <x:c r="S6" s="15" t="n">
        <x:v>0</x:v>
      </x:c>
      <x:c r="T6" s="15" t="n">
        <x:v>0</x:v>
      </x:c>
      <x:c r="U6" s="15" t="n">
        <x:v>0</x:v>
      </x:c>
      <x:c r="V6" s="15" t="n">
        <x:v>0</x:v>
      </x:c>
      <x:c r="W6" s="15" t="n">
        <x:v>0</x:v>
      </x:c>
      <x:c r="X6" s="15" t="n">
        <x:v>0</x:v>
      </x:c>
      <x:c r="Y6" s="15" t="n">
        <x:v>0</x:v>
      </x:c>
      <x:c r="Z6" s="15" t="n">
        <x:v>0</x:v>
      </x:c>
      <x:c r="AA6" s="15" t="n">
        <x:v>0</x:v>
      </x:c>
      <x:c r="AB6" s="15" t="n">
        <x:f>SUM(G6:AA6)</x:f>
        <x:v>268.2</x:v>
      </x:c>
    </x:row>
    <x:row r="7" ht="36" customHeight="1">
      <x:c r="A7" s="10" t="str">
        <x:v>T-EXEC</x:v>
      </x:c>
      <x:c r="B7" s="10" t="str">
        <x:v>TEXT</x:v>
      </x:c>
      <x:c r="C7" s="10" t="str">
        <x:v>TEXT:SYN-F01-01</x:v>
      </x:c>
      <x:c r="D7" s="10" t="str">
        <x:v>TEXT:M23</x:v>
      </x:c>
      <x:c r="E7" s="15" t="n">
        <x:v>0.16</x:v>
      </x:c>
      <x:c r="F7" s="15" t="str">
        <x:v>요청</x:v>
      </x:c>
      <x:c r="G7" s="15" t="n">
        <x:v>238</x:v>
      </x:c>
      <x:c r="H7" s="15" t="n">
        <x:v>11</x:v>
      </x:c>
      <x:c r="I7" s="15" t="n">
        <x:v>19.2</x:v>
      </x:c>
      <x:c r="J7" s="15" t="n">
        <x:v>0</x:v>
      </x:c>
      <x:c r="K7" s="15" t="n">
        <x:v>0</x:v>
      </x:c>
      <x:c r="L7" s="15" t="n">
        <x:v>0</x:v>
      </x:c>
      <x:c r="M7" s="15" t="n">
        <x:v>0</x:v>
      </x:c>
      <x:c r="N7" s="15" t="n">
        <x:v>0</x:v>
      </x:c>
      <x:c r="O7" s="15" t="n">
        <x:v>0</x:v>
      </x:c>
      <x:c r="P7" s="15" t="n">
        <x:v>0</x:v>
      </x:c>
      <x:c r="Q7" s="15" t="n">
        <x:v>0</x:v>
      </x:c>
      <x:c r="R7" s="15" t="n">
        <x:v>0</x:v>
      </x:c>
      <x:c r="S7" s="15" t="n">
        <x:v>0</x:v>
      </x:c>
      <x:c r="T7" s="15" t="n">
        <x:v>0</x:v>
      </x:c>
      <x:c r="U7" s="15" t="n">
        <x:v>0</x:v>
      </x:c>
      <x:c r="V7" s="15" t="n">
        <x:v>0</x:v>
      </x:c>
      <x:c r="W7" s="15" t="n">
        <x:v>0</x:v>
      </x:c>
      <x:c r="X7" s="15" t="n">
        <x:v>0</x:v>
      </x:c>
      <x:c r="Y7" s="15" t="n">
        <x:v>0</x:v>
      </x:c>
      <x:c r="Z7" s="15" t="n">
        <x:v>0</x:v>
      </x:c>
      <x:c r="AA7" s="15" t="n">
        <x:v>0</x:v>
      </x:c>
      <x:c r="AB7" s="15" t="n">
        <x:f>SUM(G7:AA7)</x:f>
        <x:v>268.2</x:v>
      </x:c>
    </x:row>
    <x:row r="8" ht="36" customHeight="1">
      <x:c r="A8" s="10" t="str">
        <x:v>T-REL</x:v>
      </x:c>
      <x:c r="B8" s="10" t="str">
        <x:v>TEXT</x:v>
      </x:c>
      <x:c r="C8" s="10" t="str">
        <x:v>TEXT:SYN-F01-01</x:v>
      </x:c>
      <x:c r="D8" s="10" t="str">
        <x:v>TEXT:M43</x:v>
      </x:c>
      <x:c r="E8" s="15" t="n">
        <x:v>-8</x:v>
      </x:c>
      <x:c r="F8" s="15" t="str">
        <x:v>사전 생산</x:v>
      </x:c>
      <x:c r="G8" s="15" t="n">
        <x:v>238</x:v>
      </x:c>
      <x:c r="H8" s="15" t="n">
        <x:v>0</x:v>
      </x:c>
      <x:c r="I8" s="15" t="n">
        <x:v>31.8</x:v>
      </x:c>
      <x:c r="J8" s="15" t="n">
        <x:v>0</x:v>
      </x:c>
      <x:c r="K8" s="15" t="n">
        <x:v>38</x:v>
      </x:c>
      <x:c r="L8" s="15" t="n">
        <x:v>19</x:v>
      </x:c>
      <x:c r="M8" s="15" t="n">
        <x:v>0</x:v>
      </x:c>
      <x:c r="N8" s="15" t="n">
        <x:v>0</x:v>
      </x:c>
      <x:c r="O8" s="15" t="n">
        <x:v>0</x:v>
      </x:c>
      <x:c r="P8" s="15" t="n">
        <x:v>0</x:v>
      </x:c>
      <x:c r="Q8" s="15" t="n">
        <x:v>0</x:v>
      </x:c>
      <x:c r="R8" s="15" t="n">
        <x:v>0</x:v>
      </x:c>
      <x:c r="S8" s="15" t="n">
        <x:v>0</x:v>
      </x:c>
      <x:c r="T8" s="15" t="n">
        <x:v>0</x:v>
      </x:c>
      <x:c r="U8" s="15" t="n">
        <x:v>0</x:v>
      </x:c>
      <x:c r="V8" s="15" t="n">
        <x:v>0</x:v>
      </x:c>
      <x:c r="W8" s="15" t="n">
        <x:v>0</x:v>
      </x:c>
      <x:c r="X8" s="15" t="n">
        <x:v>0</x:v>
      </x:c>
      <x:c r="Y8" s="15" t="n">
        <x:v>0</x:v>
      </x:c>
      <x:c r="Z8" s="15" t="n">
        <x:v>0</x:v>
      </x:c>
      <x:c r="AA8" s="15" t="n">
        <x:v>0</x:v>
      </x:c>
      <x:c r="AB8" s="15" t="n">
        <x:f>SUM(G8:AA8)</x:f>
        <x:v>326.8</x:v>
      </x:c>
    </x:row>
    <x:row r="9" ht="36" customHeight="1">
      <x:c r="A9" s="10" t="str">
        <x:v>T-BASE</x:v>
      </x:c>
      <x:c r="B9" s="10" t="str">
        <x:v>TEXT</x:v>
      </x:c>
      <x:c r="C9" s="10" t="str">
        <x:v>TEXT:SYN-F01-02</x:v>
      </x:c>
      <x:c r="D9" s="10" t="str">
        <x:v>TEXT:M69</x:v>
      </x:c>
      <x:c r="E9" s="15" t="n">
        <x:v>0.16</x:v>
      </x:c>
      <x:c r="F9" s="15" t="str">
        <x:v>요청</x:v>
      </x:c>
      <x:c r="G9" s="15" t="n">
        <x:v>238</x:v>
      </x:c>
      <x:c r="H9" s="15" t="n">
        <x:v>11</x:v>
      </x:c>
      <x:c r="I9" s="15" t="n">
        <x:v>19.292</x:v>
      </x:c>
      <x:c r="J9" s="15" t="n">
        <x:v>0</x:v>
      </x:c>
      <x:c r="K9" s="15" t="n">
        <x:v>0</x:v>
      </x:c>
      <x:c r="L9" s="15" t="n">
        <x:v>0</x:v>
      </x:c>
      <x:c r="M9" s="15" t="n">
        <x:v>0</x:v>
      </x:c>
      <x:c r="N9" s="15" t="n">
        <x:v>0</x:v>
      </x:c>
      <x:c r="O9" s="15" t="n">
        <x:v>0</x:v>
      </x:c>
      <x:c r="P9" s="15" t="n">
        <x:v>0</x:v>
      </x:c>
      <x:c r="Q9" s="15" t="n">
        <x:v>0</x:v>
      </x:c>
      <x:c r="R9" s="15" t="n">
        <x:v>0</x:v>
      </x:c>
      <x:c r="S9" s="15" t="n">
        <x:v>0</x:v>
      </x:c>
      <x:c r="T9" s="15" t="n">
        <x:v>0</x:v>
      </x:c>
      <x:c r="U9" s="15" t="n">
        <x:v>0</x:v>
      </x:c>
      <x:c r="V9" s="15" t="n">
        <x:v>0</x:v>
      </x:c>
      <x:c r="W9" s="15" t="n">
        <x:v>0</x:v>
      </x:c>
      <x:c r="X9" s="15" t="n">
        <x:v>0</x:v>
      </x:c>
      <x:c r="Y9" s="15" t="n">
        <x:v>0</x:v>
      </x:c>
      <x:c r="Z9" s="15" t="n">
        <x:v>0</x:v>
      </x:c>
      <x:c r="AA9" s="15" t="n">
        <x:v>0</x:v>
      </x:c>
      <x:c r="AB9" s="15" t="n">
        <x:f>SUM(G9:AA9)</x:f>
        <x:v>268.29200000000003</x:v>
      </x:c>
    </x:row>
    <x:row r="10" ht="36" customHeight="1">
      <x:c r="A10" s="10" t="str">
        <x:v>T-EXEC</x:v>
      </x:c>
      <x:c r="B10" s="10" t="str">
        <x:v>TEXT</x:v>
      </x:c>
      <x:c r="C10" s="10" t="str">
        <x:v>TEXT:SYN-F01-02</x:v>
      </x:c>
      <x:c r="D10" s="10" t="str">
        <x:v>TEXT:M90</x:v>
      </x:c>
      <x:c r="E10" s="15" t="n">
        <x:v>0.16</x:v>
      </x:c>
      <x:c r="F10" s="15" t="str">
        <x:v>요청</x:v>
      </x:c>
      <x:c r="G10" s="15" t="n">
        <x:v>238</x:v>
      </x:c>
      <x:c r="H10" s="15" t="n">
        <x:v>11</x:v>
      </x:c>
      <x:c r="I10" s="15" t="n">
        <x:v>19.292</x:v>
      </x:c>
      <x:c r="J10" s="15" t="n">
        <x:v>0</x:v>
      </x:c>
      <x:c r="K10" s="15" t="n">
        <x:v>0</x:v>
      </x:c>
      <x:c r="L10" s="15" t="n">
        <x:v>0</x:v>
      </x:c>
      <x:c r="M10" s="15" t="n">
        <x:v>0</x:v>
      </x:c>
      <x:c r="N10" s="15" t="n">
        <x:v>0</x:v>
      </x:c>
      <x:c r="O10" s="15" t="n">
        <x:v>0</x:v>
      </x:c>
      <x:c r="P10" s="15" t="n">
        <x:v>0</x:v>
      </x:c>
      <x:c r="Q10" s="15" t="n">
        <x:v>0</x:v>
      </x:c>
      <x:c r="R10" s="15" t="n">
        <x:v>0</x:v>
      </x:c>
      <x:c r="S10" s="15" t="n">
        <x:v>0</x:v>
      </x:c>
      <x:c r="T10" s="15" t="n">
        <x:v>0</x:v>
      </x:c>
      <x:c r="U10" s="15" t="n">
        <x:v>0</x:v>
      </x:c>
      <x:c r="V10" s="15" t="n">
        <x:v>0</x:v>
      </x:c>
      <x:c r="W10" s="15" t="n">
        <x:v>0</x:v>
      </x:c>
      <x:c r="X10" s="15" t="n">
        <x:v>0</x:v>
      </x:c>
      <x:c r="Y10" s="15" t="n">
        <x:v>0</x:v>
      </x:c>
      <x:c r="Z10" s="15" t="n">
        <x:v>0</x:v>
      </x:c>
      <x:c r="AA10" s="15" t="n">
        <x:v>0</x:v>
      </x:c>
      <x:c r="AB10" s="15" t="n">
        <x:f>SUM(G10:AA10)</x:f>
        <x:v>268.29200000000003</x:v>
      </x:c>
    </x:row>
    <x:row r="11" ht="36" customHeight="1">
      <x:c r="A11" s="10" t="str">
        <x:v>T-REL</x:v>
      </x:c>
      <x:c r="B11" s="10" t="str">
        <x:v>TEXT</x:v>
      </x:c>
      <x:c r="C11" s="10" t="str">
        <x:v>TEXT:SYN-F01-02</x:v>
      </x:c>
      <x:c r="D11" s="10" t="str">
        <x:v>TEXT:M110</x:v>
      </x:c>
      <x:c r="E11" s="15" t="n">
        <x:v>-8</x:v>
      </x:c>
      <x:c r="F11" s="15" t="str">
        <x:v>사전 생산</x:v>
      </x:c>
      <x:c r="G11" s="15" t="n">
        <x:v>238</x:v>
      </x:c>
      <x:c r="H11" s="15" t="n">
        <x:v>0</x:v>
      </x:c>
      <x:c r="I11" s="15" t="n">
        <x:v>32.12</x:v>
      </x:c>
      <x:c r="J11" s="15" t="n">
        <x:v>0</x:v>
      </x:c>
      <x:c r="K11" s="15" t="n">
        <x:v>38</x:v>
      </x:c>
      <x:c r="L11" s="15" t="n">
        <x:v>19</x:v>
      </x:c>
      <x:c r="M11" s="15" t="n">
        <x:v>0</x:v>
      </x:c>
      <x:c r="N11" s="15" t="n">
        <x:v>0</x:v>
      </x:c>
      <x:c r="O11" s="15" t="n">
        <x:v>0</x:v>
      </x:c>
      <x:c r="P11" s="15" t="n">
        <x:v>0</x:v>
      </x:c>
      <x:c r="Q11" s="15" t="n">
        <x:v>0</x:v>
      </x:c>
      <x:c r="R11" s="15" t="n">
        <x:v>0</x:v>
      </x:c>
      <x:c r="S11" s="15" t="n">
        <x:v>0</x:v>
      </x:c>
      <x:c r="T11" s="15" t="n">
        <x:v>0</x:v>
      </x:c>
      <x:c r="U11" s="15" t="n">
        <x:v>0</x:v>
      </x:c>
      <x:c r="V11" s="15" t="n">
        <x:v>0</x:v>
      </x:c>
      <x:c r="W11" s="15" t="n">
        <x:v>0</x:v>
      </x:c>
      <x:c r="X11" s="15" t="n">
        <x:v>0</x:v>
      </x:c>
      <x:c r="Y11" s="15" t="n">
        <x:v>0</x:v>
      </x:c>
      <x:c r="Z11" s="15" t="n">
        <x:v>0</x:v>
      </x:c>
      <x:c r="AA11" s="15" t="n">
        <x:v>0</x:v>
      </x:c>
      <x:c r="AB11" s="15" t="n">
        <x:f>SUM(G11:AA11)</x:f>
        <x:v>327.12</x:v>
      </x:c>
    </x:row>
    <x:row r="12" ht="36" customHeight="1">
      <x:c r="A12" s="10" t="str">
        <x:v>T-BASE</x:v>
      </x:c>
      <x:c r="B12" s="10" t="str">
        <x:v>TEXT</x:v>
      </x:c>
      <x:c r="C12" s="10" t="str">
        <x:v>TEXT:SYN-F01-03</x:v>
      </x:c>
      <x:c r="D12" s="10" t="str">
        <x:v>TEXT:M136</x:v>
      </x:c>
      <x:c r="E12" s="15" t="n">
        <x:v>0.16</x:v>
      </x:c>
      <x:c r="F12" s="15" t="str">
        <x:v>요청</x:v>
      </x:c>
      <x:c r="G12" s="15" t="n">
        <x:v>238</x:v>
      </x:c>
      <x:c r="H12" s="15" t="n">
        <x:v>11</x:v>
      </x:c>
      <x:c r="I12" s="15" t="n">
        <x:v>19.384</x:v>
      </x:c>
      <x:c r="J12" s="15" t="n">
        <x:v>0</x:v>
      </x:c>
      <x:c r="K12" s="15" t="n">
        <x:v>0</x:v>
      </x:c>
      <x:c r="L12" s="15" t="n">
        <x:v>0</x:v>
      </x:c>
      <x:c r="M12" s="15" t="n">
        <x:v>0</x:v>
      </x:c>
      <x:c r="N12" s="15" t="n">
        <x:v>0</x:v>
      </x:c>
      <x:c r="O12" s="15" t="n">
        <x:v>0</x:v>
      </x:c>
      <x:c r="P12" s="15" t="n">
        <x:v>0</x:v>
      </x:c>
      <x:c r="Q12" s="15" t="n">
        <x:v>0</x:v>
      </x:c>
      <x:c r="R12" s="15" t="n">
        <x:v>0</x:v>
      </x:c>
      <x:c r="S12" s="15" t="n">
        <x:v>0</x:v>
      </x:c>
      <x:c r="T12" s="15" t="n">
        <x:v>0</x:v>
      </x:c>
      <x:c r="U12" s="15" t="n">
        <x:v>0</x:v>
      </x:c>
      <x:c r="V12" s="15" t="n">
        <x:v>0</x:v>
      </x:c>
      <x:c r="W12" s="15" t="n">
        <x:v>0</x:v>
      </x:c>
      <x:c r="X12" s="15" t="n">
        <x:v>0</x:v>
      </x:c>
      <x:c r="Y12" s="15" t="n">
        <x:v>0</x:v>
      </x:c>
      <x:c r="Z12" s="15" t="n">
        <x:v>0</x:v>
      </x:c>
      <x:c r="AA12" s="15" t="n">
        <x:v>0</x:v>
      </x:c>
      <x:c r="AB12" s="15" t="n">
        <x:f>SUM(G12:AA12)</x:f>
        <x:v>268.384</x:v>
      </x:c>
    </x:row>
    <x:row r="13" ht="36" customHeight="1">
      <x:c r="A13" s="10" t="str">
        <x:v>T-EXEC</x:v>
      </x:c>
      <x:c r="B13" s="10" t="str">
        <x:v>TEXT</x:v>
      </x:c>
      <x:c r="C13" s="10" t="str">
        <x:v>TEXT:SYN-F01-03</x:v>
      </x:c>
      <x:c r="D13" s="10" t="str">
        <x:v>TEXT:M157</x:v>
      </x:c>
      <x:c r="E13" s="15" t="n">
        <x:v>0.16</x:v>
      </x:c>
      <x:c r="F13" s="15" t="str">
        <x:v>요청</x:v>
      </x:c>
      <x:c r="G13" s="15" t="n">
        <x:v>238</x:v>
      </x:c>
      <x:c r="H13" s="15" t="n">
        <x:v>11</x:v>
      </x:c>
      <x:c r="I13" s="15" t="n">
        <x:v>19.384</x:v>
      </x:c>
      <x:c r="J13" s="15" t="n">
        <x:v>0</x:v>
      </x:c>
      <x:c r="K13" s="15" t="n">
        <x:v>0</x:v>
      </x:c>
      <x:c r="L13" s="15" t="n">
        <x:v>0</x:v>
      </x:c>
      <x:c r="M13" s="15" t="n">
        <x:v>0</x:v>
      </x:c>
      <x:c r="N13" s="15" t="n">
        <x:v>0</x:v>
      </x:c>
      <x:c r="O13" s="15" t="n">
        <x:v>0</x:v>
      </x:c>
      <x:c r="P13" s="15" t="n">
        <x:v>0</x:v>
      </x:c>
      <x:c r="Q13" s="15" t="n">
        <x:v>0</x:v>
      </x:c>
      <x:c r="R13" s="15" t="n">
        <x:v>0</x:v>
      </x:c>
      <x:c r="S13" s="15" t="n">
        <x:v>0</x:v>
      </x:c>
      <x:c r="T13" s="15" t="n">
        <x:v>0</x:v>
      </x:c>
      <x:c r="U13" s="15" t="n">
        <x:v>0</x:v>
      </x:c>
      <x:c r="V13" s="15" t="n">
        <x:v>0</x:v>
      </x:c>
      <x:c r="W13" s="15" t="n">
        <x:v>0</x:v>
      </x:c>
      <x:c r="X13" s="15" t="n">
        <x:v>0</x:v>
      </x:c>
      <x:c r="Y13" s="15" t="n">
        <x:v>0</x:v>
      </x:c>
      <x:c r="Z13" s="15" t="n">
        <x:v>0</x:v>
      </x:c>
      <x:c r="AA13" s="15" t="n">
        <x:v>0</x:v>
      </x:c>
      <x:c r="AB13" s="15" t="n">
        <x:f>SUM(G13:AA13)</x:f>
        <x:v>268.384</x:v>
      </x:c>
    </x:row>
    <x:row r="14" ht="36" customHeight="1">
      <x:c r="A14" s="10" t="str">
        <x:v>T-REL</x:v>
      </x:c>
      <x:c r="B14" s="10" t="str">
        <x:v>TEXT</x:v>
      </x:c>
      <x:c r="C14" s="10" t="str">
        <x:v>TEXT:SYN-F01-03</x:v>
      </x:c>
      <x:c r="D14" s="10" t="str">
        <x:v>TEXT:M177</x:v>
      </x:c>
      <x:c r="E14" s="15" t="n">
        <x:v>-8</x:v>
      </x:c>
      <x:c r="F14" s="15" t="str">
        <x:v>사전 생산</x:v>
      </x:c>
      <x:c r="G14" s="15" t="n">
        <x:v>238</x:v>
      </x:c>
      <x:c r="H14" s="15" t="n">
        <x:v>0</x:v>
      </x:c>
      <x:c r="I14" s="15" t="n">
        <x:v>32.44</x:v>
      </x:c>
      <x:c r="J14" s="15" t="n">
        <x:v>0</x:v>
      </x:c>
      <x:c r="K14" s="15" t="n">
        <x:v>38</x:v>
      </x:c>
      <x:c r="L14" s="15" t="n">
        <x:v>19</x:v>
      </x:c>
      <x:c r="M14" s="15" t="n">
        <x:v>0</x:v>
      </x:c>
      <x:c r="N14" s="15" t="n">
        <x:v>0</x:v>
      </x:c>
      <x:c r="O14" s="15" t="n">
        <x:v>0</x:v>
      </x:c>
      <x:c r="P14" s="15" t="n">
        <x:v>0</x:v>
      </x:c>
      <x:c r="Q14" s="15" t="n">
        <x:v>0</x:v>
      </x:c>
      <x:c r="R14" s="15" t="n">
        <x:v>0</x:v>
      </x:c>
      <x:c r="S14" s="15" t="n">
        <x:v>0</x:v>
      </x:c>
      <x:c r="T14" s="15" t="n">
        <x:v>0</x:v>
      </x:c>
      <x:c r="U14" s="15" t="n">
        <x:v>0</x:v>
      </x:c>
      <x:c r="V14" s="15" t="n">
        <x:v>0</x:v>
      </x:c>
      <x:c r="W14" s="15" t="n">
        <x:v>0</x:v>
      </x:c>
      <x:c r="X14" s="15" t="n">
        <x:v>0</x:v>
      </x:c>
      <x:c r="Y14" s="15" t="n">
        <x:v>0</x:v>
      </x:c>
      <x:c r="Z14" s="15" t="n">
        <x:v>0</x:v>
      </x:c>
      <x:c r="AA14" s="15" t="n">
        <x:v>0</x:v>
      </x:c>
      <x:c r="AB14" s="15" t="n">
        <x:f>SUM(G14:AA14)</x:f>
        <x:v>327.44</x:v>
      </x:c>
    </x:row>
    <x:row r="15" ht="36" customHeight="1">
      <x:c r="A15" s="10" t="str">
        <x:v>T-BASE</x:v>
      </x:c>
      <x:c r="B15" s="10" t="str">
        <x:v>TEXT</x:v>
      </x:c>
      <x:c r="C15" s="10" t="str">
        <x:v>TEXT:SYN-F01-04</x:v>
      </x:c>
      <x:c r="D15" s="10" t="str">
        <x:v>TEXT:M203</x:v>
      </x:c>
      <x:c r="E15" s="15" t="n">
        <x:v>0.16</x:v>
      </x:c>
      <x:c r="F15" s="15" t="str">
        <x:v>요청</x:v>
      </x:c>
      <x:c r="G15" s="15" t="n">
        <x:v>238</x:v>
      </x:c>
      <x:c r="H15" s="15" t="n">
        <x:v>11</x:v>
      </x:c>
      <x:c r="I15" s="15" t="n">
        <x:v>19.476</x:v>
      </x:c>
      <x:c r="J15" s="15" t="n">
        <x:v>0</x:v>
      </x:c>
      <x:c r="K15" s="15" t="n">
        <x:v>0</x:v>
      </x:c>
      <x:c r="L15" s="15" t="n">
        <x:v>0</x:v>
      </x:c>
      <x:c r="M15" s="15" t="n">
        <x:v>0</x:v>
      </x:c>
      <x:c r="N15" s="15" t="n">
        <x:v>0</x:v>
      </x:c>
      <x:c r="O15" s="15" t="n">
        <x:v>0</x:v>
      </x:c>
      <x:c r="P15" s="15" t="n">
        <x:v>0</x:v>
      </x:c>
      <x:c r="Q15" s="15" t="n">
        <x:v>0</x:v>
      </x:c>
      <x:c r="R15" s="15" t="n">
        <x:v>0</x:v>
      </x:c>
      <x:c r="S15" s="15" t="n">
        <x:v>0</x:v>
      </x:c>
      <x:c r="T15" s="15" t="n">
        <x:v>0</x:v>
      </x:c>
      <x:c r="U15" s="15" t="n">
        <x:v>0</x:v>
      </x:c>
      <x:c r="V15" s="15" t="n">
        <x:v>0</x:v>
      </x:c>
      <x:c r="W15" s="15" t="n">
        <x:v>0</x:v>
      </x:c>
      <x:c r="X15" s="15" t="n">
        <x:v>0</x:v>
      </x:c>
      <x:c r="Y15" s="15" t="n">
        <x:v>0</x:v>
      </x:c>
      <x:c r="Z15" s="15" t="n">
        <x:v>0</x:v>
      </x:c>
      <x:c r="AA15" s="15" t="n">
        <x:v>0</x:v>
      </x:c>
      <x:c r="AB15" s="15" t="n">
        <x:f>SUM(G15:AA15)</x:f>
        <x:v>268.476</x:v>
      </x:c>
    </x:row>
    <x:row r="16" ht="36" customHeight="1">
      <x:c r="A16" s="10" t="str">
        <x:v>T-EXEC</x:v>
      </x:c>
      <x:c r="B16" s="10" t="str">
        <x:v>TEXT</x:v>
      </x:c>
      <x:c r="C16" s="10" t="str">
        <x:v>TEXT:SYN-F01-04</x:v>
      </x:c>
      <x:c r="D16" s="10" t="str">
        <x:v>TEXT:M224</x:v>
      </x:c>
      <x:c r="E16" s="15" t="n">
        <x:v>0.16</x:v>
      </x:c>
      <x:c r="F16" s="15" t="str">
        <x:v>요청</x:v>
      </x:c>
      <x:c r="G16" s="15" t="n">
        <x:v>238</x:v>
      </x:c>
      <x:c r="H16" s="15" t="n">
        <x:v>11</x:v>
      </x:c>
      <x:c r="I16" s="15" t="n">
        <x:v>19.476</x:v>
      </x:c>
      <x:c r="J16" s="15" t="n">
        <x:v>0</x:v>
      </x:c>
      <x:c r="K16" s="15" t="n">
        <x:v>0</x:v>
      </x:c>
      <x:c r="L16" s="15" t="n">
        <x:v>0</x:v>
      </x:c>
      <x:c r="M16" s="15" t="n">
        <x:v>0</x:v>
      </x:c>
      <x:c r="N16" s="15" t="n">
        <x:v>0</x:v>
      </x:c>
      <x:c r="O16" s="15" t="n">
        <x:v>0</x:v>
      </x:c>
      <x:c r="P16" s="15" t="n">
        <x:v>0</x:v>
      </x:c>
      <x:c r="Q16" s="15" t="n">
        <x:v>0</x:v>
      </x:c>
      <x:c r="R16" s="15" t="n">
        <x:v>0</x:v>
      </x:c>
      <x:c r="S16" s="15" t="n">
        <x:v>0</x:v>
      </x:c>
      <x:c r="T16" s="15" t="n">
        <x:v>0</x:v>
      </x:c>
      <x:c r="U16" s="15" t="n">
        <x:v>0</x:v>
      </x:c>
      <x:c r="V16" s="15" t="n">
        <x:v>0</x:v>
      </x:c>
      <x:c r="W16" s="15" t="n">
        <x:v>0</x:v>
      </x:c>
      <x:c r="X16" s="15" t="n">
        <x:v>0</x:v>
      </x:c>
      <x:c r="Y16" s="15" t="n">
        <x:v>0</x:v>
      </x:c>
      <x:c r="Z16" s="15" t="n">
        <x:v>0</x:v>
      </x:c>
      <x:c r="AA16" s="15" t="n">
        <x:v>0</x:v>
      </x:c>
      <x:c r="AB16" s="15" t="n">
        <x:f>SUM(G16:AA16)</x:f>
        <x:v>268.476</x:v>
      </x:c>
    </x:row>
    <x:row r="17" ht="36" customHeight="1">
      <x:c r="A17" s="10" t="str">
        <x:v>T-REL</x:v>
      </x:c>
      <x:c r="B17" s="10" t="str">
        <x:v>TEXT</x:v>
      </x:c>
      <x:c r="C17" s="10" t="str">
        <x:v>TEXT:SYN-F01-04</x:v>
      </x:c>
      <x:c r="D17" s="10" t="str">
        <x:v>TEXT:M244</x:v>
      </x:c>
      <x:c r="E17" s="15" t="n">
        <x:v>-8</x:v>
      </x:c>
      <x:c r="F17" s="15" t="str">
        <x:v>사전 생산</x:v>
      </x:c>
      <x:c r="G17" s="15" t="n">
        <x:v>238</x:v>
      </x:c>
      <x:c r="H17" s="15" t="n">
        <x:v>0</x:v>
      </x:c>
      <x:c r="I17" s="15" t="n">
        <x:v>32.76</x:v>
      </x:c>
      <x:c r="J17" s="15" t="n">
        <x:v>0</x:v>
      </x:c>
      <x:c r="K17" s="15" t="n">
        <x:v>38</x:v>
      </x:c>
      <x:c r="L17" s="15" t="n">
        <x:v>19</x:v>
      </x:c>
      <x:c r="M17" s="15" t="n">
        <x:v>0</x:v>
      </x:c>
      <x:c r="N17" s="15" t="n">
        <x:v>0</x:v>
      </x:c>
      <x:c r="O17" s="15" t="n">
        <x:v>0</x:v>
      </x:c>
      <x:c r="P17" s="15" t="n">
        <x:v>0</x:v>
      </x:c>
      <x:c r="Q17" s="15" t="n">
        <x:v>0</x:v>
      </x:c>
      <x:c r="R17" s="15" t="n">
        <x:v>0</x:v>
      </x:c>
      <x:c r="S17" s="15" t="n">
        <x:v>0</x:v>
      </x:c>
      <x:c r="T17" s="15" t="n">
        <x:v>0</x:v>
      </x:c>
      <x:c r="U17" s="15" t="n">
        <x:v>0</x:v>
      </x:c>
      <x:c r="V17" s="15" t="n">
        <x:v>0</x:v>
      </x:c>
      <x:c r="W17" s="15" t="n">
        <x:v>0</x:v>
      </x:c>
      <x:c r="X17" s="15" t="n">
        <x:v>0</x:v>
      </x:c>
      <x:c r="Y17" s="15" t="n">
        <x:v>0</x:v>
      </x:c>
      <x:c r="Z17" s="15" t="n">
        <x:v>0</x:v>
      </x:c>
      <x:c r="AA17" s="15" t="n">
        <x:v>0</x:v>
      </x:c>
      <x:c r="AB17" s="15" t="n">
        <x:f>SUM(G17:AA17)</x:f>
        <x:v>327.76</x:v>
      </x:c>
    </x:row>
    <x:row r="18" ht="36" customHeight="1">
      <x:c r="A18" s="10" t="str">
        <x:v>T-BASE</x:v>
      </x:c>
      <x:c r="B18" s="10" t="str">
        <x:v>TEXT</x:v>
      </x:c>
      <x:c r="C18" s="10" t="str">
        <x:v>TEXT:SYN-F01-05</x:v>
      </x:c>
      <x:c r="D18" s="10" t="str">
        <x:v>TEXT:M270</x:v>
      </x:c>
      <x:c r="E18" s="15" t="n">
        <x:v>0.16</x:v>
      </x:c>
      <x:c r="F18" s="15" t="str">
        <x:v>요청</x:v>
      </x:c>
      <x:c r="G18" s="15" t="n">
        <x:v>238</x:v>
      </x:c>
      <x:c r="H18" s="15" t="n">
        <x:v>11</x:v>
      </x:c>
      <x:c r="I18" s="15" t="n">
        <x:v>19.568</x:v>
      </x:c>
      <x:c r="J18" s="15" t="n">
        <x:v>0</x:v>
      </x:c>
      <x:c r="K18" s="15" t="n">
        <x:v>0</x:v>
      </x:c>
      <x:c r="L18" s="15" t="n">
        <x:v>0</x:v>
      </x:c>
      <x:c r="M18" s="15" t="n">
        <x:v>0</x:v>
      </x:c>
      <x:c r="N18" s="15" t="n">
        <x:v>0</x:v>
      </x:c>
      <x:c r="O18" s="15" t="n">
        <x:v>0</x:v>
      </x:c>
      <x:c r="P18" s="15" t="n">
        <x:v>0</x:v>
      </x:c>
      <x:c r="Q18" s="15" t="n">
        <x:v>0</x:v>
      </x:c>
      <x:c r="R18" s="15" t="n">
        <x:v>0</x:v>
      </x:c>
      <x:c r="S18" s="15" t="n">
        <x:v>0</x:v>
      </x:c>
      <x:c r="T18" s="15" t="n">
        <x:v>0</x:v>
      </x:c>
      <x:c r="U18" s="15" t="n">
        <x:v>0</x:v>
      </x:c>
      <x:c r="V18" s="15" t="n">
        <x:v>0</x:v>
      </x:c>
      <x:c r="W18" s="15" t="n">
        <x:v>0</x:v>
      </x:c>
      <x:c r="X18" s="15" t="n">
        <x:v>0</x:v>
      </x:c>
      <x:c r="Y18" s="15" t="n">
        <x:v>0</x:v>
      </x:c>
      <x:c r="Z18" s="15" t="n">
        <x:v>0</x:v>
      </x:c>
      <x:c r="AA18" s="15" t="n">
        <x:v>0</x:v>
      </x:c>
      <x:c r="AB18" s="15" t="n">
        <x:f>SUM(G18:AA18)</x:f>
        <x:v>268.568</x:v>
      </x:c>
    </x:row>
    <x:row r="19" ht="36" customHeight="1">
      <x:c r="A19" s="10" t="str">
        <x:v>T-EXEC</x:v>
      </x:c>
      <x:c r="B19" s="10" t="str">
        <x:v>TEXT</x:v>
      </x:c>
      <x:c r="C19" s="10" t="str">
        <x:v>TEXT:SYN-F01-05</x:v>
      </x:c>
      <x:c r="D19" s="10" t="str">
        <x:v>TEXT:M291</x:v>
      </x:c>
      <x:c r="E19" s="15" t="n">
        <x:v>0.16</x:v>
      </x:c>
      <x:c r="F19" s="15" t="str">
        <x:v>요청</x:v>
      </x:c>
      <x:c r="G19" s="15" t="n">
        <x:v>238</x:v>
      </x:c>
      <x:c r="H19" s="15" t="n">
        <x:v>11</x:v>
      </x:c>
      <x:c r="I19" s="15" t="n">
        <x:v>19.568</x:v>
      </x:c>
      <x:c r="J19" s="15" t="n">
        <x:v>0</x:v>
      </x:c>
      <x:c r="K19" s="15" t="n">
        <x:v>0</x:v>
      </x:c>
      <x:c r="L19" s="15" t="n">
        <x:v>0</x:v>
      </x:c>
      <x:c r="M19" s="15" t="n">
        <x:v>0</x:v>
      </x:c>
      <x:c r="N19" s="15" t="n">
        <x:v>0</x:v>
      </x:c>
      <x:c r="O19" s="15" t="n">
        <x:v>0</x:v>
      </x:c>
      <x:c r="P19" s="15" t="n">
        <x:v>0</x:v>
      </x:c>
      <x:c r="Q19" s="15" t="n">
        <x:v>0</x:v>
      </x:c>
      <x:c r="R19" s="15" t="n">
        <x:v>0</x:v>
      </x:c>
      <x:c r="S19" s="15" t="n">
        <x:v>0</x:v>
      </x:c>
      <x:c r="T19" s="15" t="n">
        <x:v>0</x:v>
      </x:c>
      <x:c r="U19" s="15" t="n">
        <x:v>0</x:v>
      </x:c>
      <x:c r="V19" s="15" t="n">
        <x:v>0</x:v>
      </x:c>
      <x:c r="W19" s="15" t="n">
        <x:v>0</x:v>
      </x:c>
      <x:c r="X19" s="15" t="n">
        <x:v>0</x:v>
      </x:c>
      <x:c r="Y19" s="15" t="n">
        <x:v>0</x:v>
      </x:c>
      <x:c r="Z19" s="15" t="n">
        <x:v>0</x:v>
      </x:c>
      <x:c r="AA19" s="15" t="n">
        <x:v>0</x:v>
      </x:c>
      <x:c r="AB19" s="15" t="n">
        <x:f>SUM(G19:AA19)</x:f>
        <x:v>268.568</x:v>
      </x:c>
    </x:row>
    <x:row r="20" ht="36" customHeight="1">
      <x:c r="A20" s="10" t="str">
        <x:v>T-REL</x:v>
      </x:c>
      <x:c r="B20" s="10" t="str">
        <x:v>TEXT</x:v>
      </x:c>
      <x:c r="C20" s="10" t="str">
        <x:v>TEXT:SYN-F01-05</x:v>
      </x:c>
      <x:c r="D20" s="10" t="str">
        <x:v>TEXT:M311</x:v>
      </x:c>
      <x:c r="E20" s="15" t="n">
        <x:v>-8</x:v>
      </x:c>
      <x:c r="F20" s="15" t="str">
        <x:v>사전 생산</x:v>
      </x:c>
      <x:c r="G20" s="15" t="n">
        <x:v>238</x:v>
      </x:c>
      <x:c r="H20" s="15" t="n">
        <x:v>0</x:v>
      </x:c>
      <x:c r="I20" s="15" t="n">
        <x:v>33.08</x:v>
      </x:c>
      <x:c r="J20" s="15" t="n">
        <x:v>0</x:v>
      </x:c>
      <x:c r="K20" s="15" t="n">
        <x:v>38</x:v>
      </x:c>
      <x:c r="L20" s="15" t="n">
        <x:v>19</x:v>
      </x:c>
      <x:c r="M20" s="15" t="n">
        <x:v>0</x:v>
      </x:c>
      <x:c r="N20" s="15" t="n">
        <x:v>0</x:v>
      </x:c>
      <x:c r="O20" s="15" t="n">
        <x:v>0</x:v>
      </x:c>
      <x:c r="P20" s="15" t="n">
        <x:v>0</x:v>
      </x:c>
      <x:c r="Q20" s="15" t="n">
        <x:v>0</x:v>
      </x:c>
      <x:c r="R20" s="15" t="n">
        <x:v>0</x:v>
      </x:c>
      <x:c r="S20" s="15" t="n">
        <x:v>0</x:v>
      </x:c>
      <x:c r="T20" s="15" t="n">
        <x:v>0</x:v>
      </x:c>
      <x:c r="U20" s="15" t="n">
        <x:v>0</x:v>
      </x:c>
      <x:c r="V20" s="15" t="n">
        <x:v>0</x:v>
      </x:c>
      <x:c r="W20" s="15" t="n">
        <x:v>0</x:v>
      </x:c>
      <x:c r="X20" s="15" t="n">
        <x:v>0</x:v>
      </x:c>
      <x:c r="Y20" s="15" t="n">
        <x:v>0</x:v>
      </x:c>
      <x:c r="Z20" s="15" t="n">
        <x:v>0</x:v>
      </x:c>
      <x:c r="AA20" s="15" t="n">
        <x:v>0</x:v>
      </x:c>
      <x:c r="AB20" s="15" t="n">
        <x:f>SUM(G20:AA20)</x:f>
        <x:v>328.08</x:v>
      </x:c>
    </x:row>
    <x:row r="21" ht="36" customHeight="1">
      <x:c r="A21" s="10" t="str">
        <x:v>T-BASE</x:v>
      </x:c>
      <x:c r="B21" s="10" t="str">
        <x:v>TEXT</x:v>
      </x:c>
      <x:c r="C21" s="10" t="str">
        <x:v>TEXT:SYN-F01-06</x:v>
      </x:c>
      <x:c r="D21" s="10" t="str">
        <x:v>TEXT:M337</x:v>
      </x:c>
      <x:c r="E21" s="15" t="n">
        <x:v>0.16</x:v>
      </x:c>
      <x:c r="F21" s="15" t="str">
        <x:v>요청</x:v>
      </x:c>
      <x:c r="G21" s="15" t="n">
        <x:v>238</x:v>
      </x:c>
      <x:c r="H21" s="15" t="n">
        <x:v>11</x:v>
      </x:c>
      <x:c r="I21" s="15" t="n">
        <x:v>19.66</x:v>
      </x:c>
      <x:c r="J21" s="15" t="n">
        <x:v>0</x:v>
      </x:c>
      <x:c r="K21" s="15" t="n">
        <x:v>0</x:v>
      </x:c>
      <x:c r="L21" s="15" t="n">
        <x:v>0</x:v>
      </x:c>
      <x:c r="M21" s="15" t="n">
        <x:v>0</x:v>
      </x:c>
      <x:c r="N21" s="15" t="n">
        <x:v>0</x:v>
      </x:c>
      <x:c r="O21" s="15" t="n">
        <x:v>0</x:v>
      </x:c>
      <x:c r="P21" s="15" t="n">
        <x:v>0</x:v>
      </x:c>
      <x:c r="Q21" s="15" t="n">
        <x:v>0</x:v>
      </x:c>
      <x:c r="R21" s="15" t="n">
        <x:v>0</x:v>
      </x:c>
      <x:c r="S21" s="15" t="n">
        <x:v>0</x:v>
      </x:c>
      <x:c r="T21" s="15" t="n">
        <x:v>0</x:v>
      </x:c>
      <x:c r="U21" s="15" t="n">
        <x:v>0</x:v>
      </x:c>
      <x:c r="V21" s="15" t="n">
        <x:v>0</x:v>
      </x:c>
      <x:c r="W21" s="15" t="n">
        <x:v>0</x:v>
      </x:c>
      <x:c r="X21" s="15" t="n">
        <x:v>0</x:v>
      </x:c>
      <x:c r="Y21" s="15" t="n">
        <x:v>0</x:v>
      </x:c>
      <x:c r="Z21" s="15" t="n">
        <x:v>0</x:v>
      </x:c>
      <x:c r="AA21" s="15" t="n">
        <x:v>0</x:v>
      </x:c>
      <x:c r="AB21" s="15" t="n">
        <x:f>SUM(G21:AA21)</x:f>
        <x:v>268.66</x:v>
      </x:c>
    </x:row>
    <x:row r="22" ht="36" customHeight="1">
      <x:c r="A22" s="10" t="str">
        <x:v>T-EXEC</x:v>
      </x:c>
      <x:c r="B22" s="10" t="str">
        <x:v>TEXT</x:v>
      </x:c>
      <x:c r="C22" s="10" t="str">
        <x:v>TEXT:SYN-F01-06</x:v>
      </x:c>
      <x:c r="D22" s="10" t="str">
        <x:v>TEXT:M358</x:v>
      </x:c>
      <x:c r="E22" s="15" t="n">
        <x:v>0.16</x:v>
      </x:c>
      <x:c r="F22" s="15" t="str">
        <x:v>요청</x:v>
      </x:c>
      <x:c r="G22" s="15" t="n">
        <x:v>238</x:v>
      </x:c>
      <x:c r="H22" s="15" t="n">
        <x:v>11</x:v>
      </x:c>
      <x:c r="I22" s="15" t="n">
        <x:v>19.66</x:v>
      </x:c>
      <x:c r="J22" s="15" t="n">
        <x:v>0</x:v>
      </x:c>
      <x:c r="K22" s="15" t="n">
        <x:v>0</x:v>
      </x:c>
      <x:c r="L22" s="15" t="n">
        <x:v>0</x:v>
      </x:c>
      <x:c r="M22" s="15" t="n">
        <x:v>0</x:v>
      </x:c>
      <x:c r="N22" s="15" t="n">
        <x:v>0</x:v>
      </x:c>
      <x:c r="O22" s="15" t="n">
        <x:v>0</x:v>
      </x:c>
      <x:c r="P22" s="15" t="n">
        <x:v>0</x:v>
      </x:c>
      <x:c r="Q22" s="15" t="n">
        <x:v>0</x:v>
      </x:c>
      <x:c r="R22" s="15" t="n">
        <x:v>0</x:v>
      </x:c>
      <x:c r="S22" s="15" t="n">
        <x:v>0</x:v>
      </x:c>
      <x:c r="T22" s="15" t="n">
        <x:v>0</x:v>
      </x:c>
      <x:c r="U22" s="15" t="n">
        <x:v>0</x:v>
      </x:c>
      <x:c r="V22" s="15" t="n">
        <x:v>0</x:v>
      </x:c>
      <x:c r="W22" s="15" t="n">
        <x:v>0</x:v>
      </x:c>
      <x:c r="X22" s="15" t="n">
        <x:v>0</x:v>
      </x:c>
      <x:c r="Y22" s="15" t="n">
        <x:v>0</x:v>
      </x:c>
      <x:c r="Z22" s="15" t="n">
        <x:v>0</x:v>
      </x:c>
      <x:c r="AA22" s="15" t="n">
        <x:v>0</x:v>
      </x:c>
      <x:c r="AB22" s="15" t="n">
        <x:f>SUM(G22:AA22)</x:f>
        <x:v>268.66</x:v>
      </x:c>
    </x:row>
    <x:row r="23" ht="36" customHeight="1">
      <x:c r="A23" s="10" t="str">
        <x:v>T-REL</x:v>
      </x:c>
      <x:c r="B23" s="10" t="str">
        <x:v>TEXT</x:v>
      </x:c>
      <x:c r="C23" s="10" t="str">
        <x:v>TEXT:SYN-F01-06</x:v>
      </x:c>
      <x:c r="D23" s="10" t="str">
        <x:v>TEXT:M378</x:v>
      </x:c>
      <x:c r="E23" s="15" t="n">
        <x:v>-8</x:v>
      </x:c>
      <x:c r="F23" s="15" t="str">
        <x:v>사전 생산</x:v>
      </x:c>
      <x:c r="G23" s="15" t="n">
        <x:v>238</x:v>
      </x:c>
      <x:c r="H23" s="15" t="n">
        <x:v>0</x:v>
      </x:c>
      <x:c r="I23" s="15" t="n">
        <x:v>33.4</x:v>
      </x:c>
      <x:c r="J23" s="15" t="n">
        <x:v>0</x:v>
      </x:c>
      <x:c r="K23" s="15" t="n">
        <x:v>38</x:v>
      </x:c>
      <x:c r="L23" s="15" t="n">
        <x:v>19</x:v>
      </x:c>
      <x:c r="M23" s="15" t="n">
        <x:v>0</x:v>
      </x:c>
      <x:c r="N23" s="15" t="n">
        <x:v>0</x:v>
      </x:c>
      <x:c r="O23" s="15" t="n">
        <x:v>0</x:v>
      </x:c>
      <x:c r="P23" s="15" t="n">
        <x:v>0</x:v>
      </x:c>
      <x:c r="Q23" s="15" t="n">
        <x:v>0</x:v>
      </x:c>
      <x:c r="R23" s="15" t="n">
        <x:v>0</x:v>
      </x:c>
      <x:c r="S23" s="15" t="n">
        <x:v>0</x:v>
      </x:c>
      <x:c r="T23" s="15" t="n">
        <x:v>0</x:v>
      </x:c>
      <x:c r="U23" s="15" t="n">
        <x:v>0</x:v>
      </x:c>
      <x:c r="V23" s="15" t="n">
        <x:v>0</x:v>
      </x:c>
      <x:c r="W23" s="15" t="n">
        <x:v>0</x:v>
      </x:c>
      <x:c r="X23" s="15" t="n">
        <x:v>0</x:v>
      </x:c>
      <x:c r="Y23" s="15" t="n">
        <x:v>0</x:v>
      </x:c>
      <x:c r="Z23" s="15" t="n">
        <x:v>0</x:v>
      </x:c>
      <x:c r="AA23" s="15" t="n">
        <x:v>0</x:v>
      </x:c>
      <x:c r="AB23" s="15" t="n">
        <x:f>SUM(G23:AA23)</x:f>
        <x:v>328.4</x:v>
      </x:c>
    </x:row>
    <x:row r="24" ht="36" customHeight="1">
      <x:c r="A24" s="10" t="str">
        <x:v>T-BASE</x:v>
      </x:c>
      <x:c r="B24" s="10" t="str">
        <x:v>TEXT</x:v>
      </x:c>
      <x:c r="C24" s="10" t="str">
        <x:v>TEXT:SYN-F01-07</x:v>
      </x:c>
      <x:c r="D24" s="10" t="str">
        <x:v>TEXT:M404</x:v>
      </x:c>
      <x:c r="E24" s="15" t="n">
        <x:v>0.16</x:v>
      </x:c>
      <x:c r="F24" s="15" t="str">
        <x:v>요청</x:v>
      </x:c>
      <x:c r="G24" s="15" t="n">
        <x:v>238</x:v>
      </x:c>
      <x:c r="H24" s="15" t="n">
        <x:v>11</x:v>
      </x:c>
      <x:c r="I24" s="15" t="n">
        <x:v>19.752</x:v>
      </x:c>
      <x:c r="J24" s="15" t="n">
        <x:v>0</x:v>
      </x:c>
      <x:c r="K24" s="15" t="n">
        <x:v>0</x:v>
      </x:c>
      <x:c r="L24" s="15" t="n">
        <x:v>0</x:v>
      </x:c>
      <x:c r="M24" s="15" t="n">
        <x:v>0</x:v>
      </x:c>
      <x:c r="N24" s="15" t="n">
        <x:v>0</x:v>
      </x:c>
      <x:c r="O24" s="15" t="n">
        <x:v>0</x:v>
      </x:c>
      <x:c r="P24" s="15" t="n">
        <x:v>0</x:v>
      </x:c>
      <x:c r="Q24" s="15" t="n">
        <x:v>0</x:v>
      </x:c>
      <x:c r="R24" s="15" t="n">
        <x:v>0</x:v>
      </x:c>
      <x:c r="S24" s="15" t="n">
        <x:v>0</x:v>
      </x:c>
      <x:c r="T24" s="15" t="n">
        <x:v>0</x:v>
      </x:c>
      <x:c r="U24" s="15" t="n">
        <x:v>0</x:v>
      </x:c>
      <x:c r="V24" s="15" t="n">
        <x:v>0</x:v>
      </x:c>
      <x:c r="W24" s="15" t="n">
        <x:v>0</x:v>
      </x:c>
      <x:c r="X24" s="15" t="n">
        <x:v>0</x:v>
      </x:c>
      <x:c r="Y24" s="15" t="n">
        <x:v>0</x:v>
      </x:c>
      <x:c r="Z24" s="15" t="n">
        <x:v>0</x:v>
      </x:c>
      <x:c r="AA24" s="15" t="n">
        <x:v>0</x:v>
      </x:c>
      <x:c r="AB24" s="15" t="n">
        <x:f>SUM(G24:AA24)</x:f>
        <x:v>268.752</x:v>
      </x:c>
    </x:row>
    <x:row r="25" ht="36" customHeight="1">
      <x:c r="A25" s="10" t="str">
        <x:v>T-EXEC</x:v>
      </x:c>
      <x:c r="B25" s="10" t="str">
        <x:v>TEXT</x:v>
      </x:c>
      <x:c r="C25" s="10" t="str">
        <x:v>TEXT:SYN-F01-07</x:v>
      </x:c>
      <x:c r="D25" s="10" t="str">
        <x:v>TEXT:M425</x:v>
      </x:c>
      <x:c r="E25" s="15" t="n">
        <x:v>0.16</x:v>
      </x:c>
      <x:c r="F25" s="15" t="str">
        <x:v>요청</x:v>
      </x:c>
      <x:c r="G25" s="15" t="n">
        <x:v>238</x:v>
      </x:c>
      <x:c r="H25" s="15" t="n">
        <x:v>11</x:v>
      </x:c>
      <x:c r="I25" s="15" t="n">
        <x:v>19.752</x:v>
      </x:c>
      <x:c r="J25" s="15" t="n">
        <x:v>0</x:v>
      </x:c>
      <x:c r="K25" s="15" t="n">
        <x:v>0</x:v>
      </x:c>
      <x:c r="L25" s="15" t="n">
        <x:v>0</x:v>
      </x:c>
      <x:c r="M25" s="15" t="n">
        <x:v>0</x:v>
      </x:c>
      <x:c r="N25" s="15" t="n">
        <x:v>0</x:v>
      </x:c>
      <x:c r="O25" s="15" t="n">
        <x:v>0</x:v>
      </x:c>
      <x:c r="P25" s="15" t="n">
        <x:v>0</x:v>
      </x:c>
      <x:c r="Q25" s="15" t="n">
        <x:v>0</x:v>
      </x:c>
      <x:c r="R25" s="15" t="n">
        <x:v>0</x:v>
      </x:c>
      <x:c r="S25" s="15" t="n">
        <x:v>0</x:v>
      </x:c>
      <x:c r="T25" s="15" t="n">
        <x:v>0</x:v>
      </x:c>
      <x:c r="U25" s="15" t="n">
        <x:v>0</x:v>
      </x:c>
      <x:c r="V25" s="15" t="n">
        <x:v>0</x:v>
      </x:c>
      <x:c r="W25" s="15" t="n">
        <x:v>0</x:v>
      </x:c>
      <x:c r="X25" s="15" t="n">
        <x:v>0</x:v>
      </x:c>
      <x:c r="Y25" s="15" t="n">
        <x:v>0</x:v>
      </x:c>
      <x:c r="Z25" s="15" t="n">
        <x:v>0</x:v>
      </x:c>
      <x:c r="AA25" s="15" t="n">
        <x:v>0</x:v>
      </x:c>
      <x:c r="AB25" s="15" t="n">
        <x:f>SUM(G25:AA25)</x:f>
        <x:v>268.752</x:v>
      </x:c>
    </x:row>
    <x:row r="26" ht="36" customHeight="1">
      <x:c r="A26" s="10" t="str">
        <x:v>T-REL</x:v>
      </x:c>
      <x:c r="B26" s="10" t="str">
        <x:v>TEXT</x:v>
      </x:c>
      <x:c r="C26" s="10" t="str">
        <x:v>TEXT:SYN-F01-07</x:v>
      </x:c>
      <x:c r="D26" s="10" t="str">
        <x:v>TEXT:M445</x:v>
      </x:c>
      <x:c r="E26" s="15" t="n">
        <x:v>-8</x:v>
      </x:c>
      <x:c r="F26" s="15" t="str">
        <x:v>사전 생산</x:v>
      </x:c>
      <x:c r="G26" s="15" t="n">
        <x:v>238</x:v>
      </x:c>
      <x:c r="H26" s="15" t="n">
        <x:v>0</x:v>
      </x:c>
      <x:c r="I26" s="15" t="n">
        <x:v>33.72</x:v>
      </x:c>
      <x:c r="J26" s="15" t="n">
        <x:v>0</x:v>
      </x:c>
      <x:c r="K26" s="15" t="n">
        <x:v>38</x:v>
      </x:c>
      <x:c r="L26" s="15" t="n">
        <x:v>19</x:v>
      </x:c>
      <x:c r="M26" s="15" t="n">
        <x:v>0</x:v>
      </x:c>
      <x:c r="N26" s="15" t="n">
        <x:v>0</x:v>
      </x:c>
      <x:c r="O26" s="15" t="n">
        <x:v>0</x:v>
      </x:c>
      <x:c r="P26" s="15" t="n">
        <x:v>0</x:v>
      </x:c>
      <x:c r="Q26" s="15" t="n">
        <x:v>0</x:v>
      </x:c>
      <x:c r="R26" s="15" t="n">
        <x:v>0</x:v>
      </x:c>
      <x:c r="S26" s="15" t="n">
        <x:v>0</x:v>
      </x:c>
      <x:c r="T26" s="15" t="n">
        <x:v>0</x:v>
      </x:c>
      <x:c r="U26" s="15" t="n">
        <x:v>0</x:v>
      </x:c>
      <x:c r="V26" s="15" t="n">
        <x:v>0</x:v>
      </x:c>
      <x:c r="W26" s="15" t="n">
        <x:v>0</x:v>
      </x:c>
      <x:c r="X26" s="15" t="n">
        <x:v>0</x:v>
      </x:c>
      <x:c r="Y26" s="15" t="n">
        <x:v>0</x:v>
      </x:c>
      <x:c r="Z26" s="15" t="n">
        <x:v>0</x:v>
      </x:c>
      <x:c r="AA26" s="15" t="n">
        <x:v>0</x:v>
      </x:c>
      <x:c r="AB26" s="15" t="n">
        <x:f>SUM(G26:AA26)</x:f>
        <x:v>328.72</x:v>
      </x:c>
    </x:row>
    <x:row r="27" ht="36" customHeight="1">
      <x:c r="A27" s="10" t="str">
        <x:v>T-BASE</x:v>
      </x:c>
      <x:c r="B27" s="10" t="str">
        <x:v>TEXT</x:v>
      </x:c>
      <x:c r="C27" s="10" t="str">
        <x:v>TEXT:SYN-F01-08</x:v>
      </x:c>
      <x:c r="D27" s="10" t="str">
        <x:v>TEXT:M471</x:v>
      </x:c>
      <x:c r="E27" s="15" t="n">
        <x:v>0.16</x:v>
      </x:c>
      <x:c r="F27" s="15" t="str">
        <x:v>요청</x:v>
      </x:c>
      <x:c r="G27" s="15" t="n">
        <x:v>238</x:v>
      </x:c>
      <x:c r="H27" s="15" t="n">
        <x:v>11</x:v>
      </x:c>
      <x:c r="I27" s="15" t="n">
        <x:v>19.844</x:v>
      </x:c>
      <x:c r="J27" s="15" t="n">
        <x:v>0</x:v>
      </x:c>
      <x:c r="K27" s="15" t="n">
        <x:v>0</x:v>
      </x:c>
      <x:c r="L27" s="15" t="n">
        <x:v>0</x:v>
      </x:c>
      <x:c r="M27" s="15" t="n">
        <x:v>0</x:v>
      </x:c>
      <x:c r="N27" s="15" t="n">
        <x:v>0</x:v>
      </x:c>
      <x:c r="O27" s="15" t="n">
        <x:v>0</x:v>
      </x:c>
      <x:c r="P27" s="15" t="n">
        <x:v>0</x:v>
      </x:c>
      <x:c r="Q27" s="15" t="n">
        <x:v>0</x:v>
      </x:c>
      <x:c r="R27" s="15" t="n">
        <x:v>0</x:v>
      </x:c>
      <x:c r="S27" s="15" t="n">
        <x:v>0</x:v>
      </x:c>
      <x:c r="T27" s="15" t="n">
        <x:v>0</x:v>
      </x:c>
      <x:c r="U27" s="15" t="n">
        <x:v>0</x:v>
      </x:c>
      <x:c r="V27" s="15" t="n">
        <x:v>0</x:v>
      </x:c>
      <x:c r="W27" s="15" t="n">
        <x:v>0</x:v>
      </x:c>
      <x:c r="X27" s="15" t="n">
        <x:v>0</x:v>
      </x:c>
      <x:c r="Y27" s="15" t="n">
        <x:v>0</x:v>
      </x:c>
      <x:c r="Z27" s="15" t="n">
        <x:v>0</x:v>
      </x:c>
      <x:c r="AA27" s="15" t="n">
        <x:v>0</x:v>
      </x:c>
      <x:c r="AB27" s="15" t="n">
        <x:f>SUM(G27:AA27)</x:f>
        <x:v>268.844</x:v>
      </x:c>
    </x:row>
    <x:row r="28" ht="36" customHeight="1">
      <x:c r="A28" s="10" t="str">
        <x:v>T-EXEC</x:v>
      </x:c>
      <x:c r="B28" s="10" t="str">
        <x:v>TEXT</x:v>
      </x:c>
      <x:c r="C28" s="10" t="str">
        <x:v>TEXT:SYN-F01-08</x:v>
      </x:c>
      <x:c r="D28" s="10" t="str">
        <x:v>TEXT:M492</x:v>
      </x:c>
      <x:c r="E28" s="15" t="n">
        <x:v>0.16</x:v>
      </x:c>
      <x:c r="F28" s="15" t="str">
        <x:v>요청</x:v>
      </x:c>
      <x:c r="G28" s="15" t="n">
        <x:v>238</x:v>
      </x:c>
      <x:c r="H28" s="15" t="n">
        <x:v>11</x:v>
      </x:c>
      <x:c r="I28" s="15" t="n">
        <x:v>19.844</x:v>
      </x:c>
      <x:c r="J28" s="15" t="n">
        <x:v>0</x:v>
      </x:c>
      <x:c r="K28" s="15" t="n">
        <x:v>0</x:v>
      </x:c>
      <x:c r="L28" s="15" t="n">
        <x:v>0</x:v>
      </x:c>
      <x:c r="M28" s="15" t="n">
        <x:v>0</x:v>
      </x:c>
      <x:c r="N28" s="15" t="n">
        <x:v>0</x:v>
      </x:c>
      <x:c r="O28" s="15" t="n">
        <x:v>0</x:v>
      </x:c>
      <x:c r="P28" s="15" t="n">
        <x:v>0</x:v>
      </x:c>
      <x:c r="Q28" s="15" t="n">
        <x:v>0</x:v>
      </x:c>
      <x:c r="R28" s="15" t="n">
        <x:v>0</x:v>
      </x:c>
      <x:c r="S28" s="15" t="n">
        <x:v>0</x:v>
      </x:c>
      <x:c r="T28" s="15" t="n">
        <x:v>0</x:v>
      </x:c>
      <x:c r="U28" s="15" t="n">
        <x:v>0</x:v>
      </x:c>
      <x:c r="V28" s="15" t="n">
        <x:v>0</x:v>
      </x:c>
      <x:c r="W28" s="15" t="n">
        <x:v>0</x:v>
      </x:c>
      <x:c r="X28" s="15" t="n">
        <x:v>0</x:v>
      </x:c>
      <x:c r="Y28" s="15" t="n">
        <x:v>0</x:v>
      </x:c>
      <x:c r="Z28" s="15" t="n">
        <x:v>0</x:v>
      </x:c>
      <x:c r="AA28" s="15" t="n">
        <x:v>0</x:v>
      </x:c>
      <x:c r="AB28" s="15" t="n">
        <x:f>SUM(G28:AA28)</x:f>
        <x:v>268.844</x:v>
      </x:c>
    </x:row>
    <x:row r="29" ht="36" customHeight="1">
      <x:c r="A29" s="10" t="str">
        <x:v>T-REL</x:v>
      </x:c>
      <x:c r="B29" s="10" t="str">
        <x:v>TEXT</x:v>
      </x:c>
      <x:c r="C29" s="10" t="str">
        <x:v>TEXT:SYN-F01-08</x:v>
      </x:c>
      <x:c r="D29" s="10" t="str">
        <x:v>TEXT:M512</x:v>
      </x:c>
      <x:c r="E29" s="15" t="n">
        <x:v>-8</x:v>
      </x:c>
      <x:c r="F29" s="15" t="str">
        <x:v>사전 생산</x:v>
      </x:c>
      <x:c r="G29" s="15" t="n">
        <x:v>238</x:v>
      </x:c>
      <x:c r="H29" s="15" t="n">
        <x:v>0</x:v>
      </x:c>
      <x:c r="I29" s="15" t="n">
        <x:v>34.04</x:v>
      </x:c>
      <x:c r="J29" s="15" t="n">
        <x:v>0</x:v>
      </x:c>
      <x:c r="K29" s="15" t="n">
        <x:v>38</x:v>
      </x:c>
      <x:c r="L29" s="15" t="n">
        <x:v>19</x:v>
      </x:c>
      <x:c r="M29" s="15" t="n">
        <x:v>0</x:v>
      </x:c>
      <x:c r="N29" s="15" t="n">
        <x:v>0</x:v>
      </x:c>
      <x:c r="O29" s="15" t="n">
        <x:v>0</x:v>
      </x:c>
      <x:c r="P29" s="15" t="n">
        <x:v>0</x:v>
      </x:c>
      <x:c r="Q29" s="15" t="n">
        <x:v>0</x:v>
      </x:c>
      <x:c r="R29" s="15" t="n">
        <x:v>0</x:v>
      </x:c>
      <x:c r="S29" s="15" t="n">
        <x:v>0</x:v>
      </x:c>
      <x:c r="T29" s="15" t="n">
        <x:v>0</x:v>
      </x:c>
      <x:c r="U29" s="15" t="n">
        <x:v>0</x:v>
      </x:c>
      <x:c r="V29" s="15" t="n">
        <x:v>0</x:v>
      </x:c>
      <x:c r="W29" s="15" t="n">
        <x:v>0</x:v>
      </x:c>
      <x:c r="X29" s="15" t="n">
        <x:v>0</x:v>
      </x:c>
      <x:c r="Y29" s="15" t="n">
        <x:v>0</x:v>
      </x:c>
      <x:c r="Z29" s="15" t="n">
        <x:v>0</x:v>
      </x:c>
      <x:c r="AA29" s="15" t="n">
        <x:v>0</x:v>
      </x:c>
      <x:c r="AB29" s="15" t="n">
        <x:f>SUM(G29:AA29)</x:f>
        <x:v>329.04</x:v>
      </x:c>
    </x:row>
    <x:row r="30" ht="36" customHeight="1">
      <x:c r="A30" s="10" t="str">
        <x:v>T-BASE</x:v>
      </x:c>
      <x:c r="B30" s="10" t="str">
        <x:v>TEXT</x:v>
      </x:c>
      <x:c r="C30" s="10" t="str">
        <x:v>TEXT:SYN-F01-09</x:v>
      </x:c>
      <x:c r="D30" s="10" t="str">
        <x:v>TEXT:M538</x:v>
      </x:c>
      <x:c r="E30" s="15" t="n">
        <x:v>0.16</x:v>
      </x:c>
      <x:c r="F30" s="15" t="str">
        <x:v>요청</x:v>
      </x:c>
      <x:c r="G30" s="15" t="n">
        <x:v>238</x:v>
      </x:c>
      <x:c r="H30" s="15" t="n">
        <x:v>11</x:v>
      </x:c>
      <x:c r="I30" s="15" t="n">
        <x:v>19.936</x:v>
      </x:c>
      <x:c r="J30" s="15" t="n">
        <x:v>0</x:v>
      </x:c>
      <x:c r="K30" s="15" t="n">
        <x:v>0</x:v>
      </x:c>
      <x:c r="L30" s="15" t="n">
        <x:v>0</x:v>
      </x:c>
      <x:c r="M30" s="15" t="n">
        <x:v>0</x:v>
      </x:c>
      <x:c r="N30" s="15" t="n">
        <x:v>0</x:v>
      </x:c>
      <x:c r="O30" s="15" t="n">
        <x:v>0</x:v>
      </x:c>
      <x:c r="P30" s="15" t="n">
        <x:v>0</x:v>
      </x:c>
      <x:c r="Q30" s="15" t="n">
        <x:v>0</x:v>
      </x:c>
      <x:c r="R30" s="15" t="n">
        <x:v>0</x:v>
      </x:c>
      <x:c r="S30" s="15" t="n">
        <x:v>0</x:v>
      </x:c>
      <x:c r="T30" s="15" t="n">
        <x:v>0</x:v>
      </x:c>
      <x:c r="U30" s="15" t="n">
        <x:v>0</x:v>
      </x:c>
      <x:c r="V30" s="15" t="n">
        <x:v>0</x:v>
      </x:c>
      <x:c r="W30" s="15" t="n">
        <x:v>0</x:v>
      </x:c>
      <x:c r="X30" s="15" t="n">
        <x:v>0</x:v>
      </x:c>
      <x:c r="Y30" s="15" t="n">
        <x:v>0</x:v>
      </x:c>
      <x:c r="Z30" s="15" t="n">
        <x:v>0</x:v>
      </x:c>
      <x:c r="AA30" s="15" t="n">
        <x:v>0</x:v>
      </x:c>
      <x:c r="AB30" s="15" t="n">
        <x:f>SUM(G30:AA30)</x:f>
        <x:v>268.936</x:v>
      </x:c>
    </x:row>
    <x:row r="31" ht="36" customHeight="1">
      <x:c r="A31" s="10" t="str">
        <x:v>T-EXEC</x:v>
      </x:c>
      <x:c r="B31" s="10" t="str">
        <x:v>TEXT</x:v>
      </x:c>
      <x:c r="C31" s="10" t="str">
        <x:v>TEXT:SYN-F01-09</x:v>
      </x:c>
      <x:c r="D31" s="10" t="str">
        <x:v>TEXT:M559</x:v>
      </x:c>
      <x:c r="E31" s="15" t="n">
        <x:v>0.16</x:v>
      </x:c>
      <x:c r="F31" s="15" t="str">
        <x:v>요청</x:v>
      </x:c>
      <x:c r="G31" s="15" t="n">
        <x:v>238</x:v>
      </x:c>
      <x:c r="H31" s="15" t="n">
        <x:v>11</x:v>
      </x:c>
      <x:c r="I31" s="15" t="n">
        <x:v>19.936</x:v>
      </x:c>
      <x:c r="J31" s="15" t="n">
        <x:v>0</x:v>
      </x:c>
      <x:c r="K31" s="15" t="n">
        <x:v>0</x:v>
      </x:c>
      <x:c r="L31" s="15" t="n">
        <x:v>0</x:v>
      </x:c>
      <x:c r="M31" s="15" t="n">
        <x:v>0</x:v>
      </x:c>
      <x:c r="N31" s="15" t="n">
        <x:v>0</x:v>
      </x:c>
      <x:c r="O31" s="15" t="n">
        <x:v>0</x:v>
      </x:c>
      <x:c r="P31" s="15" t="n">
        <x:v>0</x:v>
      </x:c>
      <x:c r="Q31" s="15" t="n">
        <x:v>0</x:v>
      </x:c>
      <x:c r="R31" s="15" t="n">
        <x:v>0</x:v>
      </x:c>
      <x:c r="S31" s="15" t="n">
        <x:v>0</x:v>
      </x:c>
      <x:c r="T31" s="15" t="n">
        <x:v>0</x:v>
      </x:c>
      <x:c r="U31" s="15" t="n">
        <x:v>0</x:v>
      </x:c>
      <x:c r="V31" s="15" t="n">
        <x:v>0</x:v>
      </x:c>
      <x:c r="W31" s="15" t="n">
        <x:v>0</x:v>
      </x:c>
      <x:c r="X31" s="15" t="n">
        <x:v>0</x:v>
      </x:c>
      <x:c r="Y31" s="15" t="n">
        <x:v>0</x:v>
      </x:c>
      <x:c r="Z31" s="15" t="n">
        <x:v>0</x:v>
      </x:c>
      <x:c r="AA31" s="15" t="n">
        <x:v>0</x:v>
      </x:c>
      <x:c r="AB31" s="15" t="n">
        <x:f>SUM(G31:AA31)</x:f>
        <x:v>268.936</x:v>
      </x:c>
    </x:row>
    <x:row r="32" ht="36" customHeight="1">
      <x:c r="A32" s="10" t="str">
        <x:v>T-REL</x:v>
      </x:c>
      <x:c r="B32" s="10" t="str">
        <x:v>TEXT</x:v>
      </x:c>
      <x:c r="C32" s="10" t="str">
        <x:v>TEXT:SYN-F01-09</x:v>
      </x:c>
      <x:c r="D32" s="10" t="str">
        <x:v>TEXT:M579</x:v>
      </x:c>
      <x:c r="E32" s="15" t="n">
        <x:v>-8</x:v>
      </x:c>
      <x:c r="F32" s="15" t="str">
        <x:v>사전 생산</x:v>
      </x:c>
      <x:c r="G32" s="15" t="n">
        <x:v>238</x:v>
      </x:c>
      <x:c r="H32" s="15" t="n">
        <x:v>0</x:v>
      </x:c>
      <x:c r="I32" s="15" t="n">
        <x:v>34.36</x:v>
      </x:c>
      <x:c r="J32" s="15" t="n">
        <x:v>0</x:v>
      </x:c>
      <x:c r="K32" s="15" t="n">
        <x:v>38</x:v>
      </x:c>
      <x:c r="L32" s="15" t="n">
        <x:v>19</x:v>
      </x:c>
      <x:c r="M32" s="15" t="n">
        <x:v>0</x:v>
      </x:c>
      <x:c r="N32" s="15" t="n">
        <x:v>0</x:v>
      </x:c>
      <x:c r="O32" s="15" t="n">
        <x:v>0</x:v>
      </x:c>
      <x:c r="P32" s="15" t="n">
        <x:v>0</x:v>
      </x:c>
      <x:c r="Q32" s="15" t="n">
        <x:v>0</x:v>
      </x:c>
      <x:c r="R32" s="15" t="n">
        <x:v>0</x:v>
      </x:c>
      <x:c r="S32" s="15" t="n">
        <x:v>0</x:v>
      </x:c>
      <x:c r="T32" s="15" t="n">
        <x:v>0</x:v>
      </x:c>
      <x:c r="U32" s="15" t="n">
        <x:v>0</x:v>
      </x:c>
      <x:c r="V32" s="15" t="n">
        <x:v>0</x:v>
      </x:c>
      <x:c r="W32" s="15" t="n">
        <x:v>0</x:v>
      </x:c>
      <x:c r="X32" s="15" t="n">
        <x:v>0</x:v>
      </x:c>
      <x:c r="Y32" s="15" t="n">
        <x:v>0</x:v>
      </x:c>
      <x:c r="Z32" s="15" t="n">
        <x:v>0</x:v>
      </x:c>
      <x:c r="AA32" s="15" t="n">
        <x:v>0</x:v>
      </x:c>
      <x:c r="AB32" s="15" t="n">
        <x:f>SUM(G32:AA32)</x:f>
        <x:v>329.36</x:v>
      </x:c>
    </x:row>
    <x:row r="33" ht="36" customHeight="1">
      <x:c r="A33" s="10" t="str">
        <x:v>T-BASE</x:v>
      </x:c>
      <x:c r="B33" s="10" t="str">
        <x:v>TEXT</x:v>
      </x:c>
      <x:c r="C33" s="10" t="str">
        <x:v>TEXT:SYN-F01-10</x:v>
      </x:c>
      <x:c r="D33" s="10" t="str">
        <x:v>TEXT:M605</x:v>
      </x:c>
      <x:c r="E33" s="15" t="n">
        <x:v>0.16</x:v>
      </x:c>
      <x:c r="F33" s="15" t="str">
        <x:v>요청</x:v>
      </x:c>
      <x:c r="G33" s="15" t="n">
        <x:v>238</x:v>
      </x:c>
      <x:c r="H33" s="15" t="n">
        <x:v>11</x:v>
      </x:c>
      <x:c r="I33" s="15" t="n">
        <x:v>20.028</x:v>
      </x:c>
      <x:c r="J33" s="15" t="n">
        <x:v>0</x:v>
      </x:c>
      <x:c r="K33" s="15" t="n">
        <x:v>0</x:v>
      </x:c>
      <x:c r="L33" s="15" t="n">
        <x:v>0</x:v>
      </x:c>
      <x:c r="M33" s="15" t="n">
        <x:v>0</x:v>
      </x:c>
      <x:c r="N33" s="15" t="n">
        <x:v>0</x:v>
      </x:c>
      <x:c r="O33" s="15" t="n">
        <x:v>0</x:v>
      </x:c>
      <x:c r="P33" s="15" t="n">
        <x:v>0</x:v>
      </x:c>
      <x:c r="Q33" s="15" t="n">
        <x:v>0</x:v>
      </x:c>
      <x:c r="R33" s="15" t="n">
        <x:v>0</x:v>
      </x:c>
      <x:c r="S33" s="15" t="n">
        <x:v>0</x:v>
      </x:c>
      <x:c r="T33" s="15" t="n">
        <x:v>0</x:v>
      </x:c>
      <x:c r="U33" s="15" t="n">
        <x:v>0</x:v>
      </x:c>
      <x:c r="V33" s="15" t="n">
        <x:v>0</x:v>
      </x:c>
      <x:c r="W33" s="15" t="n">
        <x:v>0</x:v>
      </x:c>
      <x:c r="X33" s="15" t="n">
        <x:v>0</x:v>
      </x:c>
      <x:c r="Y33" s="15" t="n">
        <x:v>0</x:v>
      </x:c>
      <x:c r="Z33" s="15" t="n">
        <x:v>0</x:v>
      </x:c>
      <x:c r="AA33" s="15" t="n">
        <x:v>0</x:v>
      </x:c>
      <x:c r="AB33" s="15" t="n">
        <x:f>SUM(G33:AA33)</x:f>
        <x:v>269.028</x:v>
      </x:c>
    </x:row>
    <x:row r="34" ht="36" customHeight="1">
      <x:c r="A34" s="10" t="str">
        <x:v>T-EXEC</x:v>
      </x:c>
      <x:c r="B34" s="10" t="str">
        <x:v>TEXT</x:v>
      </x:c>
      <x:c r="C34" s="10" t="str">
        <x:v>TEXT:SYN-F01-10</x:v>
      </x:c>
      <x:c r="D34" s="10" t="str">
        <x:v>TEXT:M626</x:v>
      </x:c>
      <x:c r="E34" s="15" t="n">
        <x:v>0.16</x:v>
      </x:c>
      <x:c r="F34" s="15" t="str">
        <x:v>요청</x:v>
      </x:c>
      <x:c r="G34" s="15" t="n">
        <x:v>238</x:v>
      </x:c>
      <x:c r="H34" s="15" t="n">
        <x:v>11</x:v>
      </x:c>
      <x:c r="I34" s="15" t="n">
        <x:v>20.028</x:v>
      </x:c>
      <x:c r="J34" s="15" t="n">
        <x:v>0</x:v>
      </x:c>
      <x:c r="K34" s="15" t="n">
        <x:v>0</x:v>
      </x:c>
      <x:c r="L34" s="15" t="n">
        <x:v>0</x:v>
      </x:c>
      <x:c r="M34" s="15" t="n">
        <x:v>0</x:v>
      </x:c>
      <x:c r="N34" s="15" t="n">
        <x:v>0</x:v>
      </x:c>
      <x:c r="O34" s="15" t="n">
        <x:v>0</x:v>
      </x:c>
      <x:c r="P34" s="15" t="n">
        <x:v>0</x:v>
      </x:c>
      <x:c r="Q34" s="15" t="n">
        <x:v>0</x:v>
      </x:c>
      <x:c r="R34" s="15" t="n">
        <x:v>0</x:v>
      </x:c>
      <x:c r="S34" s="15" t="n">
        <x:v>0</x:v>
      </x:c>
      <x:c r="T34" s="15" t="n">
        <x:v>0</x:v>
      </x:c>
      <x:c r="U34" s="15" t="n">
        <x:v>0</x:v>
      </x:c>
      <x:c r="V34" s="15" t="n">
        <x:v>0</x:v>
      </x:c>
      <x:c r="W34" s="15" t="n">
        <x:v>0</x:v>
      </x:c>
      <x:c r="X34" s="15" t="n">
        <x:v>0</x:v>
      </x:c>
      <x:c r="Y34" s="15" t="n">
        <x:v>0</x:v>
      </x:c>
      <x:c r="Z34" s="15" t="n">
        <x:v>0</x:v>
      </x:c>
      <x:c r="AA34" s="15" t="n">
        <x:v>0</x:v>
      </x:c>
      <x:c r="AB34" s="15" t="n">
        <x:f>SUM(G34:AA34)</x:f>
        <x:v>269.028</x:v>
      </x:c>
    </x:row>
    <x:row r="35" ht="36" customHeight="1">
      <x:c r="A35" s="10" t="str">
        <x:v>T-REL</x:v>
      </x:c>
      <x:c r="B35" s="10" t="str">
        <x:v>TEXT</x:v>
      </x:c>
      <x:c r="C35" s="10" t="str">
        <x:v>TEXT:SYN-F01-10</x:v>
      </x:c>
      <x:c r="D35" s="10" t="str">
        <x:v>TEXT:M646</x:v>
      </x:c>
      <x:c r="E35" s="15" t="n">
        <x:v>-8</x:v>
      </x:c>
      <x:c r="F35" s="15" t="str">
        <x:v>사전 생산</x:v>
      </x:c>
      <x:c r="G35" s="15" t="n">
        <x:v>238</x:v>
      </x:c>
      <x:c r="H35" s="15" t="n">
        <x:v>0</x:v>
      </x:c>
      <x:c r="I35" s="15" t="n">
        <x:v>34.68</x:v>
      </x:c>
      <x:c r="J35" s="15" t="n">
        <x:v>0</x:v>
      </x:c>
      <x:c r="K35" s="15" t="n">
        <x:v>38</x:v>
      </x:c>
      <x:c r="L35" s="15" t="n">
        <x:v>19</x:v>
      </x:c>
      <x:c r="M35" s="15" t="n">
        <x:v>0</x:v>
      </x:c>
      <x:c r="N35" s="15" t="n">
        <x:v>0</x:v>
      </x:c>
      <x:c r="O35" s="15" t="n">
        <x:v>0</x:v>
      </x:c>
      <x:c r="P35" s="15" t="n">
        <x:v>0</x:v>
      </x:c>
      <x:c r="Q35" s="15" t="n">
        <x:v>0</x:v>
      </x:c>
      <x:c r="R35" s="15" t="n">
        <x:v>0</x:v>
      </x:c>
      <x:c r="S35" s="15" t="n">
        <x:v>0</x:v>
      </x:c>
      <x:c r="T35" s="15" t="n">
        <x:v>0</x:v>
      </x:c>
      <x:c r="U35" s="15" t="n">
        <x:v>0</x:v>
      </x:c>
      <x:c r="V35" s="15" t="n">
        <x:v>0</x:v>
      </x:c>
      <x:c r="W35" s="15" t="n">
        <x:v>0</x:v>
      </x:c>
      <x:c r="X35" s="15" t="n">
        <x:v>0</x:v>
      </x:c>
      <x:c r="Y35" s="15" t="n">
        <x:v>0</x:v>
      </x:c>
      <x:c r="Z35" s="15" t="n">
        <x:v>0</x:v>
      </x:c>
      <x:c r="AA35" s="15" t="n">
        <x:v>0</x:v>
      </x:c>
      <x:c r="AB35" s="15" t="n">
        <x:f>SUM(G35:AA35)</x:f>
        <x:v>329.68</x:v>
      </x:c>
    </x:row>
    <x:row r="36" ht="36" customHeight="1">
      <x:c r="A36" s="10" t="str">
        <x:v>T-BASE</x:v>
      </x:c>
      <x:c r="B36" s="10" t="str">
        <x:v>TEXT</x:v>
      </x:c>
      <x:c r="C36" s="10" t="str">
        <x:v>TEXT:SYN-F02-01</x:v>
      </x:c>
      <x:c r="D36" s="10" t="str">
        <x:v>TEXT:M672</x:v>
      </x:c>
      <x:c r="E36" s="15" t="n">
        <x:v>0.34</x:v>
      </x:c>
      <x:c r="F36" s="15" t="str">
        <x:v>요청</x:v>
      </x:c>
      <x:c r="G36" s="15" t="n">
        <x:v>238</x:v>
      </x:c>
      <x:c r="H36" s="15" t="n">
        <x:v>11</x:v>
      </x:c>
      <x:c r="I36" s="15" t="n">
        <x:v>27.84</x:v>
      </x:c>
      <x:c r="J36" s="15" t="n">
        <x:v>0</x:v>
      </x:c>
      <x:c r="K36" s="15" t="n">
        <x:v>0</x:v>
      </x:c>
      <x:c r="L36" s="15" t="n">
        <x:v>0</x:v>
      </x:c>
      <x:c r="M36" s="15" t="n">
        <x:v>0</x:v>
      </x:c>
      <x:c r="N36" s="15" t="n">
        <x:v>0</x:v>
      </x:c>
      <x:c r="O36" s="15" t="n">
        <x:v>0</x:v>
      </x:c>
      <x:c r="P36" s="15" t="n">
        <x:v>0</x:v>
      </x:c>
      <x:c r="Q36" s="15" t="n">
        <x:v>0</x:v>
      </x:c>
      <x:c r="R36" s="15" t="n">
        <x:v>0</x:v>
      </x:c>
      <x:c r="S36" s="15" t="n">
        <x:v>0</x:v>
      </x:c>
      <x:c r="T36" s="15" t="n">
        <x:v>0</x:v>
      </x:c>
      <x:c r="U36" s="15" t="n">
        <x:v>0</x:v>
      </x:c>
      <x:c r="V36" s="15" t="n">
        <x:v>0</x:v>
      </x:c>
      <x:c r="W36" s="15" t="n">
        <x:v>0</x:v>
      </x:c>
      <x:c r="X36" s="15" t="n">
        <x:v>0</x:v>
      </x:c>
      <x:c r="Y36" s="15" t="n">
        <x:v>0</x:v>
      </x:c>
      <x:c r="Z36" s="15" t="n">
        <x:v>0</x:v>
      </x:c>
      <x:c r="AA36" s="15" t="n">
        <x:v>0</x:v>
      </x:c>
      <x:c r="AB36" s="15" t="n">
        <x:f>SUM(G36:AA36)</x:f>
        <x:v>276.84</x:v>
      </x:c>
    </x:row>
    <x:row r="37" ht="36" customHeight="1">
      <x:c r="A37" s="10" t="str">
        <x:v>T-EXEC</x:v>
      </x:c>
      <x:c r="B37" s="10" t="str">
        <x:v>TEXT</x:v>
      </x:c>
      <x:c r="C37" s="10" t="str">
        <x:v>TEXT:SYN-F02-01</x:v>
      </x:c>
      <x:c r="D37" s="10" t="str">
        <x:v>TEXT:M698</x:v>
      </x:c>
      <x:c r="E37" s="15" t="n">
        <x:v>4.052143</x:v>
      </x:c>
      <x:c r="F37" s="15" t="str">
        <x:v>요청</x:v>
      </x:c>
      <x:c r="G37" s="15" t="n">
        <x:v>238</x:v>
      </x:c>
      <x:c r="H37" s="15" t="n">
        <x:v>22</x:v>
      </x:c>
      <x:c r="I37" s="15" t="n">
        <x:v>43.72</x:v>
      </x:c>
      <x:c r="J37" s="15" t="n">
        <x:v>0</x:v>
      </x:c>
      <x:c r="K37" s="15" t="n">
        <x:v>0</x:v>
      </x:c>
      <x:c r="L37" s="15" t="n">
        <x:v>0</x:v>
      </x:c>
      <x:c r="M37" s="15" t="n">
        <x:v>0</x:v>
      </x:c>
      <x:c r="N37" s="15" t="n">
        <x:v>0</x:v>
      </x:c>
      <x:c r="O37" s="15" t="n">
        <x:v>0</x:v>
      </x:c>
      <x:c r="P37" s="15" t="n">
        <x:v>0</x:v>
      </x:c>
      <x:c r="Q37" s="15" t="n">
        <x:v>0</x:v>
      </x:c>
      <x:c r="R37" s="15" t="n">
        <x:v>0</x:v>
      </x:c>
      <x:c r="S37" s="15" t="n">
        <x:v>0</x:v>
      </x:c>
      <x:c r="T37" s="15" t="n">
        <x:v>0</x:v>
      </x:c>
      <x:c r="U37" s="15" t="n">
        <x:v>0</x:v>
      </x:c>
      <x:c r="V37" s="15" t="n">
        <x:v>0</x:v>
      </x:c>
      <x:c r="W37" s="15" t="n">
        <x:v>0</x:v>
      </x:c>
      <x:c r="X37" s="15" t="n">
        <x:v>0</x:v>
      </x:c>
      <x:c r="Y37" s="15" t="n">
        <x:v>0</x:v>
      </x:c>
      <x:c r="Z37" s="15" t="n">
        <x:v>0</x:v>
      </x:c>
      <x:c r="AA37" s="15" t="n">
        <x:v>0</x:v>
      </x:c>
      <x:c r="AB37" s="15" t="n">
        <x:f>SUM(G37:AA37)</x:f>
        <x:v>303.72</x:v>
      </x:c>
    </x:row>
    <x:row r="38" ht="36" customHeight="1">
      <x:c r="A38" s="10" t="str">
        <x:v>T-REL</x:v>
      </x:c>
      <x:c r="B38" s="10" t="str">
        <x:v>TEXT</x:v>
      </x:c>
      <x:c r="C38" s="10" t="str">
        <x:v>TEXT:SYN-F02-01</x:v>
      </x:c>
      <x:c r="D38" s="10" t="str">
        <x:v>TEXT:M710</x:v>
      </x:c>
      <x:c r="E38" s="15" t="n">
        <x:v>-8</x:v>
      </x:c>
      <x:c r="F38" s="15" t="str">
        <x:v>사전 생산</x:v>
      </x:c>
      <x:c r="G38" s="15" t="n">
        <x:v>238</x:v>
      </x:c>
      <x:c r="H38" s="15" t="n">
        <x:v>0</x:v>
      </x:c>
      <x:c r="I38" s="15" t="n">
        <x:v>31.8</x:v>
      </x:c>
      <x:c r="J38" s="15" t="n">
        <x:v>0</x:v>
      </x:c>
      <x:c r="K38" s="15" t="n">
        <x:v>38</x:v>
      </x:c>
      <x:c r="L38" s="15" t="n">
        <x:v>19</x:v>
      </x:c>
      <x:c r="M38" s="15" t="n">
        <x:v>0</x:v>
      </x:c>
      <x:c r="N38" s="15" t="n">
        <x:v>0</x:v>
      </x:c>
      <x:c r="O38" s="15" t="n">
        <x:v>0</x:v>
      </x:c>
      <x:c r="P38" s="15" t="n">
        <x:v>0</x:v>
      </x:c>
      <x:c r="Q38" s="15" t="n">
        <x:v>0</x:v>
      </x:c>
      <x:c r="R38" s="15" t="n">
        <x:v>0</x:v>
      </x:c>
      <x:c r="S38" s="15" t="n">
        <x:v>0</x:v>
      </x:c>
      <x:c r="T38" s="15" t="n">
        <x:v>0</x:v>
      </x:c>
      <x:c r="U38" s="15" t="n">
        <x:v>0</x:v>
      </x:c>
      <x:c r="V38" s="15" t="n">
        <x:v>0</x:v>
      </x:c>
      <x:c r="W38" s="15" t="n">
        <x:v>0</x:v>
      </x:c>
      <x:c r="X38" s="15" t="n">
        <x:v>0</x:v>
      </x:c>
      <x:c r="Y38" s="15" t="n">
        <x:v>0</x:v>
      </x:c>
      <x:c r="Z38" s="15" t="n">
        <x:v>0</x:v>
      </x:c>
      <x:c r="AA38" s="15" t="n">
        <x:v>0</x:v>
      </x:c>
      <x:c r="AB38" s="15" t="n">
        <x:f>SUM(G38:AA38)</x:f>
        <x:v>326.8</x:v>
      </x:c>
    </x:row>
    <x:row r="39" ht="36" customHeight="1">
      <x:c r="A39" s="10" t="str">
        <x:v>T-BASE</x:v>
      </x:c>
      <x:c r="B39" s="10" t="str">
        <x:v>TEXT</x:v>
      </x:c>
      <x:c r="C39" s="10" t="str">
        <x:v>TEXT:SYN-F02-02</x:v>
      </x:c>
      <x:c r="D39" s="10" t="str">
        <x:v>TEXT:M734</x:v>
      </x:c>
      <x:c r="E39" s="15" t="n">
        <x:v>0.365</x:v>
      </x:c>
      <x:c r="F39" s="15" t="str">
        <x:v>요청</x:v>
      </x:c>
      <x:c r="G39" s="15" t="n">
        <x:v>238</x:v>
      </x:c>
      <x:c r="H39" s="15" t="n">
        <x:v>11</x:v>
      </x:c>
      <x:c r="I39" s="15" t="n">
        <x:v>27.932</x:v>
      </x:c>
      <x:c r="J39" s="15" t="n">
        <x:v>0</x:v>
      </x:c>
      <x:c r="K39" s="15" t="n">
        <x:v>0</x:v>
      </x:c>
      <x:c r="L39" s="15" t="n">
        <x:v>0</x:v>
      </x:c>
      <x:c r="M39" s="15" t="n">
        <x:v>0</x:v>
      </x:c>
      <x:c r="N39" s="15" t="n">
        <x:v>0</x:v>
      </x:c>
      <x:c r="O39" s="15" t="n">
        <x:v>0</x:v>
      </x:c>
      <x:c r="P39" s="15" t="n">
        <x:v>0</x:v>
      </x:c>
      <x:c r="Q39" s="15" t="n">
        <x:v>0</x:v>
      </x:c>
      <x:c r="R39" s="15" t="n">
        <x:v>0</x:v>
      </x:c>
      <x:c r="S39" s="15" t="n">
        <x:v>0</x:v>
      </x:c>
      <x:c r="T39" s="15" t="n">
        <x:v>0</x:v>
      </x:c>
      <x:c r="U39" s="15" t="n">
        <x:v>0</x:v>
      </x:c>
      <x:c r="V39" s="15" t="n">
        <x:v>0</x:v>
      </x:c>
      <x:c r="W39" s="15" t="n">
        <x:v>0</x:v>
      </x:c>
      <x:c r="X39" s="15" t="n">
        <x:v>0</x:v>
      </x:c>
      <x:c r="Y39" s="15" t="n">
        <x:v>0</x:v>
      </x:c>
      <x:c r="Z39" s="15" t="n">
        <x:v>0</x:v>
      </x:c>
      <x:c r="AA39" s="15" t="n">
        <x:v>0</x:v>
      </x:c>
      <x:c r="AB39" s="15" t="n">
        <x:f>SUM(G39:AA39)</x:f>
        <x:v>276.932</x:v>
      </x:c>
    </x:row>
    <x:row r="40" ht="36" customHeight="1">
      <x:c r="A40" s="10" t="str">
        <x:v>T-EXEC</x:v>
      </x:c>
      <x:c r="B40" s="10" t="str">
        <x:v>TEXT</x:v>
      </x:c>
      <x:c r="C40" s="10" t="str">
        <x:v>TEXT:SYN-F02-02</x:v>
      </x:c>
      <x:c r="D40" s="10" t="str">
        <x:v>TEXT:M760</x:v>
      </x:c>
      <x:c r="E40" s="15" t="n">
        <x:v>4.134964</x:v>
      </x:c>
      <x:c r="F40" s="15" t="str">
        <x:v>요청</x:v>
      </x:c>
      <x:c r="G40" s="15" t="n">
        <x:v>238</x:v>
      </x:c>
      <x:c r="H40" s="15" t="n">
        <x:v>22</x:v>
      </x:c>
      <x:c r="I40" s="15" t="n">
        <x:v>43.888</x:v>
      </x:c>
      <x:c r="J40" s="15" t="n">
        <x:v>0</x:v>
      </x:c>
      <x:c r="K40" s="15" t="n">
        <x:v>0</x:v>
      </x:c>
      <x:c r="L40" s="15" t="n">
        <x:v>0</x:v>
      </x:c>
      <x:c r="M40" s="15" t="n">
        <x:v>0</x:v>
      </x:c>
      <x:c r="N40" s="15" t="n">
        <x:v>0</x:v>
      </x:c>
      <x:c r="O40" s="15" t="n">
        <x:v>0</x:v>
      </x:c>
      <x:c r="P40" s="15" t="n">
        <x:v>0</x:v>
      </x:c>
      <x:c r="Q40" s="15" t="n">
        <x:v>0</x:v>
      </x:c>
      <x:c r="R40" s="15" t="n">
        <x:v>0</x:v>
      </x:c>
      <x:c r="S40" s="15" t="n">
        <x:v>0</x:v>
      </x:c>
      <x:c r="T40" s="15" t="n">
        <x:v>0</x:v>
      </x:c>
      <x:c r="U40" s="15" t="n">
        <x:v>0</x:v>
      </x:c>
      <x:c r="V40" s="15" t="n">
        <x:v>0</x:v>
      </x:c>
      <x:c r="W40" s="15" t="n">
        <x:v>0</x:v>
      </x:c>
      <x:c r="X40" s="15" t="n">
        <x:v>0</x:v>
      </x:c>
      <x:c r="Y40" s="15" t="n">
        <x:v>0</x:v>
      </x:c>
      <x:c r="Z40" s="15" t="n">
        <x:v>0</x:v>
      </x:c>
      <x:c r="AA40" s="15" t="n">
        <x:v>0</x:v>
      </x:c>
      <x:c r="AB40" s="15" t="n">
        <x:f>SUM(G40:AA40)</x:f>
        <x:v>303.888</x:v>
      </x:c>
    </x:row>
    <x:row r="41" ht="36" customHeight="1">
      <x:c r="A41" s="10" t="str">
        <x:v>T-REL</x:v>
      </x:c>
      <x:c r="B41" s="10" t="str">
        <x:v>TEXT</x:v>
      </x:c>
      <x:c r="C41" s="10" t="str">
        <x:v>TEXT:SYN-F02-02</x:v>
      </x:c>
      <x:c r="D41" s="10" t="str">
        <x:v>TEXT:M772</x:v>
      </x:c>
      <x:c r="E41" s="15" t="n">
        <x:v>-8</x:v>
      </x:c>
      <x:c r="F41" s="15" t="str">
        <x:v>사전 생산</x:v>
      </x:c>
      <x:c r="G41" s="15" t="n">
        <x:v>238</x:v>
      </x:c>
      <x:c r="H41" s="15" t="n">
        <x:v>0</x:v>
      </x:c>
      <x:c r="I41" s="15" t="n">
        <x:v>32.12</x:v>
      </x:c>
      <x:c r="J41" s="15" t="n">
        <x:v>0</x:v>
      </x:c>
      <x:c r="K41" s="15" t="n">
        <x:v>38</x:v>
      </x:c>
      <x:c r="L41" s="15" t="n">
        <x:v>19</x:v>
      </x:c>
      <x:c r="M41" s="15" t="n">
        <x:v>0</x:v>
      </x:c>
      <x:c r="N41" s="15" t="n">
        <x:v>0</x:v>
      </x:c>
      <x:c r="O41" s="15" t="n">
        <x:v>0</x:v>
      </x:c>
      <x:c r="P41" s="15" t="n">
        <x:v>0</x:v>
      </x:c>
      <x:c r="Q41" s="15" t="n">
        <x:v>0</x:v>
      </x:c>
      <x:c r="R41" s="15" t="n">
        <x:v>0</x:v>
      </x:c>
      <x:c r="S41" s="15" t="n">
        <x:v>0</x:v>
      </x:c>
      <x:c r="T41" s="15" t="n">
        <x:v>0</x:v>
      </x:c>
      <x:c r="U41" s="15" t="n">
        <x:v>0</x:v>
      </x:c>
      <x:c r="V41" s="15" t="n">
        <x:v>0</x:v>
      </x:c>
      <x:c r="W41" s="15" t="n">
        <x:v>0</x:v>
      </x:c>
      <x:c r="X41" s="15" t="n">
        <x:v>0</x:v>
      </x:c>
      <x:c r="Y41" s="15" t="n">
        <x:v>0</x:v>
      </x:c>
      <x:c r="Z41" s="15" t="n">
        <x:v>0</x:v>
      </x:c>
      <x:c r="AA41" s="15" t="n">
        <x:v>0</x:v>
      </x:c>
      <x:c r="AB41" s="15" t="n">
        <x:f>SUM(G41:AA41)</x:f>
        <x:v>327.12</x:v>
      </x:c>
    </x:row>
    <x:row r="42" ht="36" customHeight="1">
      <x:c r="A42" s="10" t="str">
        <x:v>T-BASE</x:v>
      </x:c>
      <x:c r="B42" s="10" t="str">
        <x:v>TEXT</x:v>
      </x:c>
      <x:c r="C42" s="10" t="str">
        <x:v>TEXT:SYN-F02-03</x:v>
      </x:c>
      <x:c r="D42" s="10" t="str">
        <x:v>TEXT:M796</x:v>
      </x:c>
      <x:c r="E42" s="15" t="n">
        <x:v>0.39</x:v>
      </x:c>
      <x:c r="F42" s="15" t="str">
        <x:v>요청</x:v>
      </x:c>
      <x:c r="G42" s="15" t="n">
        <x:v>238</x:v>
      </x:c>
      <x:c r="H42" s="15" t="n">
        <x:v>11</x:v>
      </x:c>
      <x:c r="I42" s="15" t="n">
        <x:v>28.024</x:v>
      </x:c>
      <x:c r="J42" s="15" t="n">
        <x:v>0</x:v>
      </x:c>
      <x:c r="K42" s="15" t="n">
        <x:v>0</x:v>
      </x:c>
      <x:c r="L42" s="15" t="n">
        <x:v>0</x:v>
      </x:c>
      <x:c r="M42" s="15" t="n">
        <x:v>0</x:v>
      </x:c>
      <x:c r="N42" s="15" t="n">
        <x:v>0</x:v>
      </x:c>
      <x:c r="O42" s="15" t="n">
        <x:v>0</x:v>
      </x:c>
      <x:c r="P42" s="15" t="n">
        <x:v>0</x:v>
      </x:c>
      <x:c r="Q42" s="15" t="n">
        <x:v>0</x:v>
      </x:c>
      <x:c r="R42" s="15" t="n">
        <x:v>0</x:v>
      </x:c>
      <x:c r="S42" s="15" t="n">
        <x:v>0</x:v>
      </x:c>
      <x:c r="T42" s="15" t="n">
        <x:v>0</x:v>
      </x:c>
      <x:c r="U42" s="15" t="n">
        <x:v>0</x:v>
      </x:c>
      <x:c r="V42" s="15" t="n">
        <x:v>0</x:v>
      </x:c>
      <x:c r="W42" s="15" t="n">
        <x:v>0</x:v>
      </x:c>
      <x:c r="X42" s="15" t="n">
        <x:v>0</x:v>
      </x:c>
      <x:c r="Y42" s="15" t="n">
        <x:v>0</x:v>
      </x:c>
      <x:c r="Z42" s="15" t="n">
        <x:v>0</x:v>
      </x:c>
      <x:c r="AA42" s="15" t="n">
        <x:v>0</x:v>
      </x:c>
      <x:c r="AB42" s="15" t="n">
        <x:f>SUM(G42:AA42)</x:f>
        <x:v>277.024</x:v>
      </x:c>
    </x:row>
    <x:row r="43" ht="36" customHeight="1">
      <x:c r="A43" s="10" t="str">
        <x:v>T-EXEC</x:v>
      </x:c>
      <x:c r="B43" s="10" t="str">
        <x:v>TEXT</x:v>
      </x:c>
      <x:c r="C43" s="10" t="str">
        <x:v>TEXT:SYN-F02-03</x:v>
      </x:c>
      <x:c r="D43" s="10" t="str">
        <x:v>TEXT:M822</x:v>
      </x:c>
      <x:c r="E43" s="15" t="n">
        <x:v>4.217786</x:v>
      </x:c>
      <x:c r="F43" s="15" t="str">
        <x:v>요청</x:v>
      </x:c>
      <x:c r="G43" s="15" t="n">
        <x:v>238</x:v>
      </x:c>
      <x:c r="H43" s="15" t="n">
        <x:v>22</x:v>
      </x:c>
      <x:c r="I43" s="15" t="n">
        <x:v>44.056</x:v>
      </x:c>
      <x:c r="J43" s="15" t="n">
        <x:v>0</x:v>
      </x:c>
      <x:c r="K43" s="15" t="n">
        <x:v>0</x:v>
      </x:c>
      <x:c r="L43" s="15" t="n">
        <x:v>0</x:v>
      </x:c>
      <x:c r="M43" s="15" t="n">
        <x:v>0</x:v>
      </x:c>
      <x:c r="N43" s="15" t="n">
        <x:v>0</x:v>
      </x:c>
      <x:c r="O43" s="15" t="n">
        <x:v>0</x:v>
      </x:c>
      <x:c r="P43" s="15" t="n">
        <x:v>0</x:v>
      </x:c>
      <x:c r="Q43" s="15" t="n">
        <x:v>0</x:v>
      </x:c>
      <x:c r="R43" s="15" t="n">
        <x:v>0</x:v>
      </x:c>
      <x:c r="S43" s="15" t="n">
        <x:v>0</x:v>
      </x:c>
      <x:c r="T43" s="15" t="n">
        <x:v>0</x:v>
      </x:c>
      <x:c r="U43" s="15" t="n">
        <x:v>0</x:v>
      </x:c>
      <x:c r="V43" s="15" t="n">
        <x:v>0</x:v>
      </x:c>
      <x:c r="W43" s="15" t="n">
        <x:v>0</x:v>
      </x:c>
      <x:c r="X43" s="15" t="n">
        <x:v>0</x:v>
      </x:c>
      <x:c r="Y43" s="15" t="n">
        <x:v>0</x:v>
      </x:c>
      <x:c r="Z43" s="15" t="n">
        <x:v>0</x:v>
      </x:c>
      <x:c r="AA43" s="15" t="n">
        <x:v>0</x:v>
      </x:c>
      <x:c r="AB43" s="15" t="n">
        <x:f>SUM(G43:AA43)</x:f>
        <x:v>304.056</x:v>
      </x:c>
    </x:row>
    <x:row r="44" ht="36" customHeight="1">
      <x:c r="A44" s="10" t="str">
        <x:v>T-REL</x:v>
      </x:c>
      <x:c r="B44" s="10" t="str">
        <x:v>TEXT</x:v>
      </x:c>
      <x:c r="C44" s="10" t="str">
        <x:v>TEXT:SYN-F02-03</x:v>
      </x:c>
      <x:c r="D44" s="10" t="str">
        <x:v>TEXT:M834</x:v>
      </x:c>
      <x:c r="E44" s="15" t="n">
        <x:v>-8</x:v>
      </x:c>
      <x:c r="F44" s="15" t="str">
        <x:v>사전 생산</x:v>
      </x:c>
      <x:c r="G44" s="15" t="n">
        <x:v>238</x:v>
      </x:c>
      <x:c r="H44" s="15" t="n">
        <x:v>0</x:v>
      </x:c>
      <x:c r="I44" s="15" t="n">
        <x:v>32.44</x:v>
      </x:c>
      <x:c r="J44" s="15" t="n">
        <x:v>0</x:v>
      </x:c>
      <x:c r="K44" s="15" t="n">
        <x:v>38</x:v>
      </x:c>
      <x:c r="L44" s="15" t="n">
        <x:v>19</x:v>
      </x:c>
      <x:c r="M44" s="15" t="n">
        <x:v>0</x:v>
      </x:c>
      <x:c r="N44" s="15" t="n">
        <x:v>0</x:v>
      </x:c>
      <x:c r="O44" s="15" t="n">
        <x:v>0</x:v>
      </x:c>
      <x:c r="P44" s="15" t="n">
        <x:v>0</x:v>
      </x:c>
      <x:c r="Q44" s="15" t="n">
        <x:v>0</x:v>
      </x:c>
      <x:c r="R44" s="15" t="n">
        <x:v>0</x:v>
      </x:c>
      <x:c r="S44" s="15" t="n">
        <x:v>0</x:v>
      </x:c>
      <x:c r="T44" s="15" t="n">
        <x:v>0</x:v>
      </x:c>
      <x:c r="U44" s="15" t="n">
        <x:v>0</x:v>
      </x:c>
      <x:c r="V44" s="15" t="n">
        <x:v>0</x:v>
      </x:c>
      <x:c r="W44" s="15" t="n">
        <x:v>0</x:v>
      </x:c>
      <x:c r="X44" s="15" t="n">
        <x:v>0</x:v>
      </x:c>
      <x:c r="Y44" s="15" t="n">
        <x:v>0</x:v>
      </x:c>
      <x:c r="Z44" s="15" t="n">
        <x:v>0</x:v>
      </x:c>
      <x:c r="AA44" s="15" t="n">
        <x:v>0</x:v>
      </x:c>
      <x:c r="AB44" s="15" t="n">
        <x:f>SUM(G44:AA44)</x:f>
        <x:v>327.44</x:v>
      </x:c>
    </x:row>
    <x:row r="45" ht="36" customHeight="1">
      <x:c r="A45" s="10" t="str">
        <x:v>T-BASE</x:v>
      </x:c>
      <x:c r="B45" s="10" t="str">
        <x:v>TEXT</x:v>
      </x:c>
      <x:c r="C45" s="10" t="str">
        <x:v>TEXT:SYN-F02-04</x:v>
      </x:c>
      <x:c r="D45" s="10" t="str">
        <x:v>TEXT:M858</x:v>
      </x:c>
      <x:c r="E45" s="15" t="n">
        <x:v>0.34</x:v>
      </x:c>
      <x:c r="F45" s="15" t="str">
        <x:v>요청</x:v>
      </x:c>
      <x:c r="G45" s="15" t="n">
        <x:v>238</x:v>
      </x:c>
      <x:c r="H45" s="15" t="n">
        <x:v>11</x:v>
      </x:c>
      <x:c r="I45" s="15" t="n">
        <x:v>28.116</x:v>
      </x:c>
      <x:c r="J45" s="15" t="n">
        <x:v>0</x:v>
      </x:c>
      <x:c r="K45" s="15" t="n">
        <x:v>0</x:v>
      </x:c>
      <x:c r="L45" s="15" t="n">
        <x:v>0</x:v>
      </x:c>
      <x:c r="M45" s="15" t="n">
        <x:v>0</x:v>
      </x:c>
      <x:c r="N45" s="15" t="n">
        <x:v>0</x:v>
      </x:c>
      <x:c r="O45" s="15" t="n">
        <x:v>0</x:v>
      </x:c>
      <x:c r="P45" s="15" t="n">
        <x:v>0</x:v>
      </x:c>
      <x:c r="Q45" s="15" t="n">
        <x:v>0</x:v>
      </x:c>
      <x:c r="R45" s="15" t="n">
        <x:v>0</x:v>
      </x:c>
      <x:c r="S45" s="15" t="n">
        <x:v>0</x:v>
      </x:c>
      <x:c r="T45" s="15" t="n">
        <x:v>0</x:v>
      </x:c>
      <x:c r="U45" s="15" t="n">
        <x:v>0</x:v>
      </x:c>
      <x:c r="V45" s="15" t="n">
        <x:v>0</x:v>
      </x:c>
      <x:c r="W45" s="15" t="n">
        <x:v>0</x:v>
      </x:c>
      <x:c r="X45" s="15" t="n">
        <x:v>0</x:v>
      </x:c>
      <x:c r="Y45" s="15" t="n">
        <x:v>0</x:v>
      </x:c>
      <x:c r="Z45" s="15" t="n">
        <x:v>0</x:v>
      </x:c>
      <x:c r="AA45" s="15" t="n">
        <x:v>0</x:v>
      </x:c>
      <x:c r="AB45" s="15" t="n">
        <x:f>SUM(G45:AA45)</x:f>
        <x:v>277.116</x:v>
      </x:c>
    </x:row>
    <x:row r="46" ht="36" customHeight="1">
      <x:c r="A46" s="10" t="str">
        <x:v>T-EXEC</x:v>
      </x:c>
      <x:c r="B46" s="10" t="str">
        <x:v>TEXT</x:v>
      </x:c>
      <x:c r="C46" s="10" t="str">
        <x:v>TEXT:SYN-F02-04</x:v>
      </x:c>
      <x:c r="D46" s="10" t="str">
        <x:v>TEXT:M884</x:v>
      </x:c>
      <x:c r="E46" s="15" t="n">
        <x:v>4.225607</x:v>
      </x:c>
      <x:c r="F46" s="15" t="str">
        <x:v>요청</x:v>
      </x:c>
      <x:c r="G46" s="15" t="n">
        <x:v>238</x:v>
      </x:c>
      <x:c r="H46" s="15" t="n">
        <x:v>22</x:v>
      </x:c>
      <x:c r="I46" s="15" t="n">
        <x:v>44.224</x:v>
      </x:c>
      <x:c r="J46" s="15" t="n">
        <x:v>0</x:v>
      </x:c>
      <x:c r="K46" s="15" t="n">
        <x:v>0</x:v>
      </x:c>
      <x:c r="L46" s="15" t="n">
        <x:v>0</x:v>
      </x:c>
      <x:c r="M46" s="15" t="n">
        <x:v>0</x:v>
      </x:c>
      <x:c r="N46" s="15" t="n">
        <x:v>0</x:v>
      </x:c>
      <x:c r="O46" s="15" t="n">
        <x:v>0</x:v>
      </x:c>
      <x:c r="P46" s="15" t="n">
        <x:v>0</x:v>
      </x:c>
      <x:c r="Q46" s="15" t="n">
        <x:v>0</x:v>
      </x:c>
      <x:c r="R46" s="15" t="n">
        <x:v>0</x:v>
      </x:c>
      <x:c r="S46" s="15" t="n">
        <x:v>0</x:v>
      </x:c>
      <x:c r="T46" s="15" t="n">
        <x:v>0</x:v>
      </x:c>
      <x:c r="U46" s="15" t="n">
        <x:v>0</x:v>
      </x:c>
      <x:c r="V46" s="15" t="n">
        <x:v>0</x:v>
      </x:c>
      <x:c r="W46" s="15" t="n">
        <x:v>0</x:v>
      </x:c>
      <x:c r="X46" s="15" t="n">
        <x:v>0</x:v>
      </x:c>
      <x:c r="Y46" s="15" t="n">
        <x:v>0</x:v>
      </x:c>
      <x:c r="Z46" s="15" t="n">
        <x:v>0</x:v>
      </x:c>
      <x:c r="AA46" s="15" t="n">
        <x:v>0</x:v>
      </x:c>
      <x:c r="AB46" s="15" t="n">
        <x:f>SUM(G46:AA46)</x:f>
        <x:v>304.224</x:v>
      </x:c>
    </x:row>
    <x:row r="47" ht="36" customHeight="1">
      <x:c r="A47" s="10" t="str">
        <x:v>T-REL</x:v>
      </x:c>
      <x:c r="B47" s="10" t="str">
        <x:v>TEXT</x:v>
      </x:c>
      <x:c r="C47" s="10" t="str">
        <x:v>TEXT:SYN-F02-04</x:v>
      </x:c>
      <x:c r="D47" s="10" t="str">
        <x:v>TEXT:M896</x:v>
      </x:c>
      <x:c r="E47" s="15" t="n">
        <x:v>-8</x:v>
      </x:c>
      <x:c r="F47" s="15" t="str">
        <x:v>사전 생산</x:v>
      </x:c>
      <x:c r="G47" s="15" t="n">
        <x:v>238</x:v>
      </x:c>
      <x:c r="H47" s="15" t="n">
        <x:v>0</x:v>
      </x:c>
      <x:c r="I47" s="15" t="n">
        <x:v>32.76</x:v>
      </x:c>
      <x:c r="J47" s="15" t="n">
        <x:v>0</x:v>
      </x:c>
      <x:c r="K47" s="15" t="n">
        <x:v>38</x:v>
      </x:c>
      <x:c r="L47" s="15" t="n">
        <x:v>19</x:v>
      </x:c>
      <x:c r="M47" s="15" t="n">
        <x:v>0</x:v>
      </x:c>
      <x:c r="N47" s="15" t="n">
        <x:v>0</x:v>
      </x:c>
      <x:c r="O47" s="15" t="n">
        <x:v>0</x:v>
      </x:c>
      <x:c r="P47" s="15" t="n">
        <x:v>0</x:v>
      </x:c>
      <x:c r="Q47" s="15" t="n">
        <x:v>0</x:v>
      </x:c>
      <x:c r="R47" s="15" t="n">
        <x:v>0</x:v>
      </x:c>
      <x:c r="S47" s="15" t="n">
        <x:v>0</x:v>
      </x:c>
      <x:c r="T47" s="15" t="n">
        <x:v>0</x:v>
      </x:c>
      <x:c r="U47" s="15" t="n">
        <x:v>0</x:v>
      </x:c>
      <x:c r="V47" s="15" t="n">
        <x:v>0</x:v>
      </x:c>
      <x:c r="W47" s="15" t="n">
        <x:v>0</x:v>
      </x:c>
      <x:c r="X47" s="15" t="n">
        <x:v>0</x:v>
      </x:c>
      <x:c r="Y47" s="15" t="n">
        <x:v>0</x:v>
      </x:c>
      <x:c r="Z47" s="15" t="n">
        <x:v>0</x:v>
      </x:c>
      <x:c r="AA47" s="15" t="n">
        <x:v>0</x:v>
      </x:c>
      <x:c r="AB47" s="15" t="n">
        <x:f>SUM(G47:AA47)</x:f>
        <x:v>327.76</x:v>
      </x:c>
    </x:row>
    <x:row r="48" ht="36" customHeight="1">
      <x:c r="A48" s="10" t="str">
        <x:v>T-BASE</x:v>
      </x:c>
      <x:c r="B48" s="10" t="str">
        <x:v>TEXT</x:v>
      </x:c>
      <x:c r="C48" s="10" t="str">
        <x:v>TEXT:SYN-F02-05</x:v>
      </x:c>
      <x:c r="D48" s="10" t="str">
        <x:v>TEXT:M920</x:v>
      </x:c>
      <x:c r="E48" s="15" t="n">
        <x:v>0.365</x:v>
      </x:c>
      <x:c r="F48" s="15" t="str">
        <x:v>요청</x:v>
      </x:c>
      <x:c r="G48" s="15" t="n">
        <x:v>238</x:v>
      </x:c>
      <x:c r="H48" s="15" t="n">
        <x:v>11</x:v>
      </x:c>
      <x:c r="I48" s="15" t="n">
        <x:v>28.208</x:v>
      </x:c>
      <x:c r="J48" s="15" t="n">
        <x:v>0</x:v>
      </x:c>
      <x:c r="K48" s="15" t="n">
        <x:v>0</x:v>
      </x:c>
      <x:c r="L48" s="15" t="n">
        <x:v>0</x:v>
      </x:c>
      <x:c r="M48" s="15" t="n">
        <x:v>0</x:v>
      </x:c>
      <x:c r="N48" s="15" t="n">
        <x:v>0</x:v>
      </x:c>
      <x:c r="O48" s="15" t="n">
        <x:v>0</x:v>
      </x:c>
      <x:c r="P48" s="15" t="n">
        <x:v>0</x:v>
      </x:c>
      <x:c r="Q48" s="15" t="n">
        <x:v>0</x:v>
      </x:c>
      <x:c r="R48" s="15" t="n">
        <x:v>0</x:v>
      </x:c>
      <x:c r="S48" s="15" t="n">
        <x:v>0</x:v>
      </x:c>
      <x:c r="T48" s="15" t="n">
        <x:v>0</x:v>
      </x:c>
      <x:c r="U48" s="15" t="n">
        <x:v>0</x:v>
      </x:c>
      <x:c r="V48" s="15" t="n">
        <x:v>0</x:v>
      </x:c>
      <x:c r="W48" s="15" t="n">
        <x:v>0</x:v>
      </x:c>
      <x:c r="X48" s="15" t="n">
        <x:v>0</x:v>
      </x:c>
      <x:c r="Y48" s="15" t="n">
        <x:v>0</x:v>
      </x:c>
      <x:c r="Z48" s="15" t="n">
        <x:v>0</x:v>
      </x:c>
      <x:c r="AA48" s="15" t="n">
        <x:v>0</x:v>
      </x:c>
      <x:c r="AB48" s="15" t="n">
        <x:f>SUM(G48:AA48)</x:f>
        <x:v>277.20799999999997</x:v>
      </x:c>
    </x:row>
    <x:row r="49" ht="36" customHeight="1">
      <x:c r="A49" s="10" t="str">
        <x:v>T-EXEC</x:v>
      </x:c>
      <x:c r="B49" s="10" t="str">
        <x:v>TEXT</x:v>
      </x:c>
      <x:c r="C49" s="10" t="str">
        <x:v>TEXT:SYN-F02-05</x:v>
      </x:c>
      <x:c r="D49" s="10" t="str">
        <x:v>TEXT:M946</x:v>
      </x:c>
      <x:c r="E49" s="15" t="n">
        <x:v>4.283429</x:v>
      </x:c>
      <x:c r="F49" s="15" t="str">
        <x:v>요청</x:v>
      </x:c>
      <x:c r="G49" s="15" t="n">
        <x:v>238</x:v>
      </x:c>
      <x:c r="H49" s="15" t="n">
        <x:v>22</x:v>
      </x:c>
      <x:c r="I49" s="15" t="n">
        <x:v>44.392</x:v>
      </x:c>
      <x:c r="J49" s="15" t="n">
        <x:v>0</x:v>
      </x:c>
      <x:c r="K49" s="15" t="n">
        <x:v>0</x:v>
      </x:c>
      <x:c r="L49" s="15" t="n">
        <x:v>0</x:v>
      </x:c>
      <x:c r="M49" s="15" t="n">
        <x:v>0</x:v>
      </x:c>
      <x:c r="N49" s="15" t="n">
        <x:v>0</x:v>
      </x:c>
      <x:c r="O49" s="15" t="n">
        <x:v>0</x:v>
      </x:c>
      <x:c r="P49" s="15" t="n">
        <x:v>0</x:v>
      </x:c>
      <x:c r="Q49" s="15" t="n">
        <x:v>0</x:v>
      </x:c>
      <x:c r="R49" s="15" t="n">
        <x:v>0</x:v>
      </x:c>
      <x:c r="S49" s="15" t="n">
        <x:v>0</x:v>
      </x:c>
      <x:c r="T49" s="15" t="n">
        <x:v>0</x:v>
      </x:c>
      <x:c r="U49" s="15" t="n">
        <x:v>0</x:v>
      </x:c>
      <x:c r="V49" s="15" t="n">
        <x:v>0</x:v>
      </x:c>
      <x:c r="W49" s="15" t="n">
        <x:v>0</x:v>
      </x:c>
      <x:c r="X49" s="15" t="n">
        <x:v>0</x:v>
      </x:c>
      <x:c r="Y49" s="15" t="n">
        <x:v>0</x:v>
      </x:c>
      <x:c r="Z49" s="15" t="n">
        <x:v>0</x:v>
      </x:c>
      <x:c r="AA49" s="15" t="n">
        <x:v>0</x:v>
      </x:c>
      <x:c r="AB49" s="15" t="n">
        <x:f>SUM(G49:AA49)</x:f>
        <x:v>304.392</x:v>
      </x:c>
    </x:row>
    <x:row r="50" ht="36" customHeight="1">
      <x:c r="A50" s="10" t="str">
        <x:v>T-REL</x:v>
      </x:c>
      <x:c r="B50" s="10" t="str">
        <x:v>TEXT</x:v>
      </x:c>
      <x:c r="C50" s="10" t="str">
        <x:v>TEXT:SYN-F02-05</x:v>
      </x:c>
      <x:c r="D50" s="10" t="str">
        <x:v>TEXT:M958</x:v>
      </x:c>
      <x:c r="E50" s="15" t="n">
        <x:v>-8</x:v>
      </x:c>
      <x:c r="F50" s="15" t="str">
        <x:v>사전 생산</x:v>
      </x:c>
      <x:c r="G50" s="15" t="n">
        <x:v>238</x:v>
      </x:c>
      <x:c r="H50" s="15" t="n">
        <x:v>0</x:v>
      </x:c>
      <x:c r="I50" s="15" t="n">
        <x:v>33.08</x:v>
      </x:c>
      <x:c r="J50" s="15" t="n">
        <x:v>0</x:v>
      </x:c>
      <x:c r="K50" s="15" t="n">
        <x:v>38</x:v>
      </x:c>
      <x:c r="L50" s="15" t="n">
        <x:v>19</x:v>
      </x:c>
      <x:c r="M50" s="15" t="n">
        <x:v>0</x:v>
      </x:c>
      <x:c r="N50" s="15" t="n">
        <x:v>0</x:v>
      </x:c>
      <x:c r="O50" s="15" t="n">
        <x:v>0</x:v>
      </x:c>
      <x:c r="P50" s="15" t="n">
        <x:v>0</x:v>
      </x:c>
      <x:c r="Q50" s="15" t="n">
        <x:v>0</x:v>
      </x:c>
      <x:c r="R50" s="15" t="n">
        <x:v>0</x:v>
      </x:c>
      <x:c r="S50" s="15" t="n">
        <x:v>0</x:v>
      </x:c>
      <x:c r="T50" s="15" t="n">
        <x:v>0</x:v>
      </x:c>
      <x:c r="U50" s="15" t="n">
        <x:v>0</x:v>
      </x:c>
      <x:c r="V50" s="15" t="n">
        <x:v>0</x:v>
      </x:c>
      <x:c r="W50" s="15" t="n">
        <x:v>0</x:v>
      </x:c>
      <x:c r="X50" s="15" t="n">
        <x:v>0</x:v>
      </x:c>
      <x:c r="Y50" s="15" t="n">
        <x:v>0</x:v>
      </x:c>
      <x:c r="Z50" s="15" t="n">
        <x:v>0</x:v>
      </x:c>
      <x:c r="AA50" s="15" t="n">
        <x:v>0</x:v>
      </x:c>
      <x:c r="AB50" s="15" t="n">
        <x:f>SUM(G50:AA50)</x:f>
        <x:v>328.08</x:v>
      </x:c>
    </x:row>
    <x:row r="51" ht="36" customHeight="1">
      <x:c r="A51" s="10" t="str">
        <x:v>T-BASE</x:v>
      </x:c>
      <x:c r="B51" s="10" t="str">
        <x:v>TEXT</x:v>
      </x:c>
      <x:c r="C51" s="10" t="str">
        <x:v>TEXT:SYN-F02-06</x:v>
      </x:c>
      <x:c r="D51" s="10" t="str">
        <x:v>TEXT:M982</x:v>
      </x:c>
      <x:c r="E51" s="15" t="n">
        <x:v>0.39</x:v>
      </x:c>
      <x:c r="F51" s="15" t="str">
        <x:v>요청</x:v>
      </x:c>
      <x:c r="G51" s="15" t="n">
        <x:v>238</x:v>
      </x:c>
      <x:c r="H51" s="15" t="n">
        <x:v>11</x:v>
      </x:c>
      <x:c r="I51" s="15" t="n">
        <x:v>28.3</x:v>
      </x:c>
      <x:c r="J51" s="15" t="n">
        <x:v>0</x:v>
      </x:c>
      <x:c r="K51" s="15" t="n">
        <x:v>0</x:v>
      </x:c>
      <x:c r="L51" s="15" t="n">
        <x:v>0</x:v>
      </x:c>
      <x:c r="M51" s="15" t="n">
        <x:v>0</x:v>
      </x:c>
      <x:c r="N51" s="15" t="n">
        <x:v>0</x:v>
      </x:c>
      <x:c r="O51" s="15" t="n">
        <x:v>0</x:v>
      </x:c>
      <x:c r="P51" s="15" t="n">
        <x:v>0</x:v>
      </x:c>
      <x:c r="Q51" s="15" t="n">
        <x:v>0</x:v>
      </x:c>
      <x:c r="R51" s="15" t="n">
        <x:v>0</x:v>
      </x:c>
      <x:c r="S51" s="15" t="n">
        <x:v>0</x:v>
      </x:c>
      <x:c r="T51" s="15" t="n">
        <x:v>0</x:v>
      </x:c>
      <x:c r="U51" s="15" t="n">
        <x:v>0</x:v>
      </x:c>
      <x:c r="V51" s="15" t="n">
        <x:v>0</x:v>
      </x:c>
      <x:c r="W51" s="15" t="n">
        <x:v>0</x:v>
      </x:c>
      <x:c r="X51" s="15" t="n">
        <x:v>0</x:v>
      </x:c>
      <x:c r="Y51" s="15" t="n">
        <x:v>0</x:v>
      </x:c>
      <x:c r="Z51" s="15" t="n">
        <x:v>0</x:v>
      </x:c>
      <x:c r="AA51" s="15" t="n">
        <x:v>0</x:v>
      </x:c>
      <x:c r="AB51" s="15" t="n">
        <x:f>SUM(G51:AA51)</x:f>
        <x:v>277.3</x:v>
      </x:c>
    </x:row>
    <x:row r="52" ht="36" customHeight="1">
      <x:c r="A52" s="10" t="str">
        <x:v>T-EXEC</x:v>
      </x:c>
      <x:c r="B52" s="10" t="str">
        <x:v>TEXT</x:v>
      </x:c>
      <x:c r="C52" s="10" t="str">
        <x:v>TEXT:SYN-F02-06</x:v>
      </x:c>
      <x:c r="D52" s="10" t="str">
        <x:v>TEXT:M1008</x:v>
      </x:c>
      <x:c r="E52" s="15" t="n">
        <x:v>4.36625</x:v>
      </x:c>
      <x:c r="F52" s="15" t="str">
        <x:v>요청</x:v>
      </x:c>
      <x:c r="G52" s="15" t="n">
        <x:v>238</x:v>
      </x:c>
      <x:c r="H52" s="15" t="n">
        <x:v>22</x:v>
      </x:c>
      <x:c r="I52" s="15" t="n">
        <x:v>44.56</x:v>
      </x:c>
      <x:c r="J52" s="15" t="n">
        <x:v>0</x:v>
      </x:c>
      <x:c r="K52" s="15" t="n">
        <x:v>0</x:v>
      </x:c>
      <x:c r="L52" s="15" t="n">
        <x:v>0</x:v>
      </x:c>
      <x:c r="M52" s="15" t="n">
        <x:v>0</x:v>
      </x:c>
      <x:c r="N52" s="15" t="n">
        <x:v>0</x:v>
      </x:c>
      <x:c r="O52" s="15" t="n">
        <x:v>0</x:v>
      </x:c>
      <x:c r="P52" s="15" t="n">
        <x:v>0</x:v>
      </x:c>
      <x:c r="Q52" s="15" t="n">
        <x:v>0</x:v>
      </x:c>
      <x:c r="R52" s="15" t="n">
        <x:v>0</x:v>
      </x:c>
      <x:c r="S52" s="15" t="n">
        <x:v>0</x:v>
      </x:c>
      <x:c r="T52" s="15" t="n">
        <x:v>0</x:v>
      </x:c>
      <x:c r="U52" s="15" t="n">
        <x:v>0</x:v>
      </x:c>
      <x:c r="V52" s="15" t="n">
        <x:v>0</x:v>
      </x:c>
      <x:c r="W52" s="15" t="n">
        <x:v>0</x:v>
      </x:c>
      <x:c r="X52" s="15" t="n">
        <x:v>0</x:v>
      </x:c>
      <x:c r="Y52" s="15" t="n">
        <x:v>0</x:v>
      </x:c>
      <x:c r="Z52" s="15" t="n">
        <x:v>0</x:v>
      </x:c>
      <x:c r="AA52" s="15" t="n">
        <x:v>0</x:v>
      </x:c>
      <x:c r="AB52" s="15" t="n">
        <x:f>SUM(G52:AA52)</x:f>
        <x:v>304.56</x:v>
      </x:c>
    </x:row>
    <x:row r="53" ht="36" customHeight="1">
      <x:c r="A53" s="10" t="str">
        <x:v>T-REL</x:v>
      </x:c>
      <x:c r="B53" s="10" t="str">
        <x:v>TEXT</x:v>
      </x:c>
      <x:c r="C53" s="10" t="str">
        <x:v>TEXT:SYN-F02-06</x:v>
      </x:c>
      <x:c r="D53" s="10" t="str">
        <x:v>TEXT:M1020</x:v>
      </x:c>
      <x:c r="E53" s="15" t="n">
        <x:v>-8</x:v>
      </x:c>
      <x:c r="F53" s="15" t="str">
        <x:v>사전 생산</x:v>
      </x:c>
      <x:c r="G53" s="15" t="n">
        <x:v>238</x:v>
      </x:c>
      <x:c r="H53" s="15" t="n">
        <x:v>0</x:v>
      </x:c>
      <x:c r="I53" s="15" t="n">
        <x:v>33.4</x:v>
      </x:c>
      <x:c r="J53" s="15" t="n">
        <x:v>0</x:v>
      </x:c>
      <x:c r="K53" s="15" t="n">
        <x:v>38</x:v>
      </x:c>
      <x:c r="L53" s="15" t="n">
        <x:v>19</x:v>
      </x:c>
      <x:c r="M53" s="15" t="n">
        <x:v>0</x:v>
      </x:c>
      <x:c r="N53" s="15" t="n">
        <x:v>0</x:v>
      </x:c>
      <x:c r="O53" s="15" t="n">
        <x:v>0</x:v>
      </x:c>
      <x:c r="P53" s="15" t="n">
        <x:v>0</x:v>
      </x:c>
      <x:c r="Q53" s="15" t="n">
        <x:v>0</x:v>
      </x:c>
      <x:c r="R53" s="15" t="n">
        <x:v>0</x:v>
      </x:c>
      <x:c r="S53" s="15" t="n">
        <x:v>0</x:v>
      </x:c>
      <x:c r="T53" s="15" t="n">
        <x:v>0</x:v>
      </x:c>
      <x:c r="U53" s="15" t="n">
        <x:v>0</x:v>
      </x:c>
      <x:c r="V53" s="15" t="n">
        <x:v>0</x:v>
      </x:c>
      <x:c r="W53" s="15" t="n">
        <x:v>0</x:v>
      </x:c>
      <x:c r="X53" s="15" t="n">
        <x:v>0</x:v>
      </x:c>
      <x:c r="Y53" s="15" t="n">
        <x:v>0</x:v>
      </x:c>
      <x:c r="Z53" s="15" t="n">
        <x:v>0</x:v>
      </x:c>
      <x:c r="AA53" s="15" t="n">
        <x:v>0</x:v>
      </x:c>
      <x:c r="AB53" s="15" t="n">
        <x:f>SUM(G53:AA53)</x:f>
        <x:v>328.4</x:v>
      </x:c>
    </x:row>
    <x:row r="54" ht="36" customHeight="1">
      <x:c r="A54" s="10" t="str">
        <x:v>T-BASE</x:v>
      </x:c>
      <x:c r="B54" s="10" t="str">
        <x:v>TEXT</x:v>
      </x:c>
      <x:c r="C54" s="10" t="str">
        <x:v>TEXT:SYN-F02-07</x:v>
      </x:c>
      <x:c r="D54" s="10" t="str">
        <x:v>TEXT:M1044</x:v>
      </x:c>
      <x:c r="E54" s="15" t="n">
        <x:v>0.34</x:v>
      </x:c>
      <x:c r="F54" s="15" t="str">
        <x:v>요청</x:v>
      </x:c>
      <x:c r="G54" s="15" t="n">
        <x:v>238</x:v>
      </x:c>
      <x:c r="H54" s="15" t="n">
        <x:v>11</x:v>
      </x:c>
      <x:c r="I54" s="15" t="n">
        <x:v>28.392</x:v>
      </x:c>
      <x:c r="J54" s="15" t="n">
        <x:v>0</x:v>
      </x:c>
      <x:c r="K54" s="15" t="n">
        <x:v>0</x:v>
      </x:c>
      <x:c r="L54" s="15" t="n">
        <x:v>0</x:v>
      </x:c>
      <x:c r="M54" s="15" t="n">
        <x:v>0</x:v>
      </x:c>
      <x:c r="N54" s="15" t="n">
        <x:v>0</x:v>
      </x:c>
      <x:c r="O54" s="15" t="n">
        <x:v>0</x:v>
      </x:c>
      <x:c r="P54" s="15" t="n">
        <x:v>0</x:v>
      </x:c>
      <x:c r="Q54" s="15" t="n">
        <x:v>0</x:v>
      </x:c>
      <x:c r="R54" s="15" t="n">
        <x:v>0</x:v>
      </x:c>
      <x:c r="S54" s="15" t="n">
        <x:v>0</x:v>
      </x:c>
      <x:c r="T54" s="15" t="n">
        <x:v>0</x:v>
      </x:c>
      <x:c r="U54" s="15" t="n">
        <x:v>0</x:v>
      </x:c>
      <x:c r="V54" s="15" t="n">
        <x:v>0</x:v>
      </x:c>
      <x:c r="W54" s="15" t="n">
        <x:v>0</x:v>
      </x:c>
      <x:c r="X54" s="15" t="n">
        <x:v>0</x:v>
      </x:c>
      <x:c r="Y54" s="15" t="n">
        <x:v>0</x:v>
      </x:c>
      <x:c r="Z54" s="15" t="n">
        <x:v>0</x:v>
      </x:c>
      <x:c r="AA54" s="15" t="n">
        <x:v>0</x:v>
      </x:c>
      <x:c r="AB54" s="15" t="n">
        <x:f>SUM(G54:AA54)</x:f>
        <x:v>277.392</x:v>
      </x:c>
    </x:row>
    <x:row r="55" ht="36" customHeight="1">
      <x:c r="A55" s="10" t="str">
        <x:v>T-EXEC</x:v>
      </x:c>
      <x:c r="B55" s="10" t="str">
        <x:v>TEXT</x:v>
      </x:c>
      <x:c r="C55" s="10" t="str">
        <x:v>TEXT:SYN-F02-07</x:v>
      </x:c>
      <x:c r="D55" s="10" t="str">
        <x:v>TEXT:M1070</x:v>
      </x:c>
      <x:c r="E55" s="15" t="n">
        <x:v>4.374071</x:v>
      </x:c>
      <x:c r="F55" s="15" t="str">
        <x:v>요청</x:v>
      </x:c>
      <x:c r="G55" s="15" t="n">
        <x:v>238</x:v>
      </x:c>
      <x:c r="H55" s="15" t="n">
        <x:v>22</x:v>
      </x:c>
      <x:c r="I55" s="15" t="n">
        <x:v>44.728</x:v>
      </x:c>
      <x:c r="J55" s="15" t="n">
        <x:v>0</x:v>
      </x:c>
      <x:c r="K55" s="15" t="n">
        <x:v>0</x:v>
      </x:c>
      <x:c r="L55" s="15" t="n">
        <x:v>0</x:v>
      </x:c>
      <x:c r="M55" s="15" t="n">
        <x:v>0</x:v>
      </x:c>
      <x:c r="N55" s="15" t="n">
        <x:v>0</x:v>
      </x:c>
      <x:c r="O55" s="15" t="n">
        <x:v>0</x:v>
      </x:c>
      <x:c r="P55" s="15" t="n">
        <x:v>0</x:v>
      </x:c>
      <x:c r="Q55" s="15" t="n">
        <x:v>0</x:v>
      </x:c>
      <x:c r="R55" s="15" t="n">
        <x:v>0</x:v>
      </x:c>
      <x:c r="S55" s="15" t="n">
        <x:v>0</x:v>
      </x:c>
      <x:c r="T55" s="15" t="n">
        <x:v>0</x:v>
      </x:c>
      <x:c r="U55" s="15" t="n">
        <x:v>0</x:v>
      </x:c>
      <x:c r="V55" s="15" t="n">
        <x:v>0</x:v>
      </x:c>
      <x:c r="W55" s="15" t="n">
        <x:v>0</x:v>
      </x:c>
      <x:c r="X55" s="15" t="n">
        <x:v>0</x:v>
      </x:c>
      <x:c r="Y55" s="15" t="n">
        <x:v>0</x:v>
      </x:c>
      <x:c r="Z55" s="15" t="n">
        <x:v>0</x:v>
      </x:c>
      <x:c r="AA55" s="15" t="n">
        <x:v>0</x:v>
      </x:c>
      <x:c r="AB55" s="15" t="n">
        <x:f>SUM(G55:AA55)</x:f>
        <x:v>304.728</x:v>
      </x:c>
    </x:row>
    <x:row r="56" ht="36" customHeight="1">
      <x:c r="A56" s="10" t="str">
        <x:v>T-REL</x:v>
      </x:c>
      <x:c r="B56" s="10" t="str">
        <x:v>TEXT</x:v>
      </x:c>
      <x:c r="C56" s="10" t="str">
        <x:v>TEXT:SYN-F02-07</x:v>
      </x:c>
      <x:c r="D56" s="10" t="str">
        <x:v>TEXT:M1082</x:v>
      </x:c>
      <x:c r="E56" s="15" t="n">
        <x:v>-8</x:v>
      </x:c>
      <x:c r="F56" s="15" t="str">
        <x:v>사전 생산</x:v>
      </x:c>
      <x:c r="G56" s="15" t="n">
        <x:v>238</x:v>
      </x:c>
      <x:c r="H56" s="15" t="n">
        <x:v>0</x:v>
      </x:c>
      <x:c r="I56" s="15" t="n">
        <x:v>33.72</x:v>
      </x:c>
      <x:c r="J56" s="15" t="n">
        <x:v>0</x:v>
      </x:c>
      <x:c r="K56" s="15" t="n">
        <x:v>38</x:v>
      </x:c>
      <x:c r="L56" s="15" t="n">
        <x:v>19</x:v>
      </x:c>
      <x:c r="M56" s="15" t="n">
        <x:v>0</x:v>
      </x:c>
      <x:c r="N56" s="15" t="n">
        <x:v>0</x:v>
      </x:c>
      <x:c r="O56" s="15" t="n">
        <x:v>0</x:v>
      </x:c>
      <x:c r="P56" s="15" t="n">
        <x:v>0</x:v>
      </x:c>
      <x:c r="Q56" s="15" t="n">
        <x:v>0</x:v>
      </x:c>
      <x:c r="R56" s="15" t="n">
        <x:v>0</x:v>
      </x:c>
      <x:c r="S56" s="15" t="n">
        <x:v>0</x:v>
      </x:c>
      <x:c r="T56" s="15" t="n">
        <x:v>0</x:v>
      </x:c>
      <x:c r="U56" s="15" t="n">
        <x:v>0</x:v>
      </x:c>
      <x:c r="V56" s="15" t="n">
        <x:v>0</x:v>
      </x:c>
      <x:c r="W56" s="15" t="n">
        <x:v>0</x:v>
      </x:c>
      <x:c r="X56" s="15" t="n">
        <x:v>0</x:v>
      </x:c>
      <x:c r="Y56" s="15" t="n">
        <x:v>0</x:v>
      </x:c>
      <x:c r="Z56" s="15" t="n">
        <x:v>0</x:v>
      </x:c>
      <x:c r="AA56" s="15" t="n">
        <x:v>0</x:v>
      </x:c>
      <x:c r="AB56" s="15" t="n">
        <x:f>SUM(G56:AA56)</x:f>
        <x:v>328.72</x:v>
      </x:c>
    </x:row>
    <x:row r="57" ht="36" customHeight="1">
      <x:c r="A57" s="10" t="str">
        <x:v>T-BASE</x:v>
      </x:c>
      <x:c r="B57" s="10" t="str">
        <x:v>TEXT</x:v>
      </x:c>
      <x:c r="C57" s="10" t="str">
        <x:v>TEXT:SYN-F02-08</x:v>
      </x:c>
      <x:c r="D57" s="10" t="str">
        <x:v>TEXT:M1106</x:v>
      </x:c>
      <x:c r="E57" s="15" t="n">
        <x:v>0.365</x:v>
      </x:c>
      <x:c r="F57" s="15" t="str">
        <x:v>요청</x:v>
      </x:c>
      <x:c r="G57" s="15" t="n">
        <x:v>238</x:v>
      </x:c>
      <x:c r="H57" s="15" t="n">
        <x:v>11</x:v>
      </x:c>
      <x:c r="I57" s="15" t="n">
        <x:v>28.484</x:v>
      </x:c>
      <x:c r="J57" s="15" t="n">
        <x:v>0</x:v>
      </x:c>
      <x:c r="K57" s="15" t="n">
        <x:v>0</x:v>
      </x:c>
      <x:c r="L57" s="15" t="n">
        <x:v>0</x:v>
      </x:c>
      <x:c r="M57" s="15" t="n">
        <x:v>0</x:v>
      </x:c>
      <x:c r="N57" s="15" t="n">
        <x:v>0</x:v>
      </x:c>
      <x:c r="O57" s="15" t="n">
        <x:v>0</x:v>
      </x:c>
      <x:c r="P57" s="15" t="n">
        <x:v>0</x:v>
      </x:c>
      <x:c r="Q57" s="15" t="n">
        <x:v>0</x:v>
      </x:c>
      <x:c r="R57" s="15" t="n">
        <x:v>0</x:v>
      </x:c>
      <x:c r="S57" s="15" t="n">
        <x:v>0</x:v>
      </x:c>
      <x:c r="T57" s="15" t="n">
        <x:v>0</x:v>
      </x:c>
      <x:c r="U57" s="15" t="n">
        <x:v>0</x:v>
      </x:c>
      <x:c r="V57" s="15" t="n">
        <x:v>0</x:v>
      </x:c>
      <x:c r="W57" s="15" t="n">
        <x:v>0</x:v>
      </x:c>
      <x:c r="X57" s="15" t="n">
        <x:v>0</x:v>
      </x:c>
      <x:c r="Y57" s="15" t="n">
        <x:v>0</x:v>
      </x:c>
      <x:c r="Z57" s="15" t="n">
        <x:v>0</x:v>
      </x:c>
      <x:c r="AA57" s="15" t="n">
        <x:v>0</x:v>
      </x:c>
      <x:c r="AB57" s="15" t="n">
        <x:f>SUM(G57:AA57)</x:f>
        <x:v>277.484</x:v>
      </x:c>
    </x:row>
    <x:row r="58" ht="36" customHeight="1">
      <x:c r="A58" s="10" t="str">
        <x:v>T-EXEC</x:v>
      </x:c>
      <x:c r="B58" s="10" t="str">
        <x:v>TEXT</x:v>
      </x:c>
      <x:c r="C58" s="10" t="str">
        <x:v>TEXT:SYN-F02-08</x:v>
      </x:c>
      <x:c r="D58" s="10" t="str">
        <x:v>TEXT:M1132</x:v>
      </x:c>
      <x:c r="E58" s="15" t="n">
        <x:v>4.456893</x:v>
      </x:c>
      <x:c r="F58" s="15" t="str">
        <x:v>요청</x:v>
      </x:c>
      <x:c r="G58" s="15" t="n">
        <x:v>238</x:v>
      </x:c>
      <x:c r="H58" s="15" t="n">
        <x:v>22</x:v>
      </x:c>
      <x:c r="I58" s="15" t="n">
        <x:v>44.896</x:v>
      </x:c>
      <x:c r="J58" s="15" t="n">
        <x:v>0</x:v>
      </x:c>
      <x:c r="K58" s="15" t="n">
        <x:v>0</x:v>
      </x:c>
      <x:c r="L58" s="15" t="n">
        <x:v>0</x:v>
      </x:c>
      <x:c r="M58" s="15" t="n">
        <x:v>0</x:v>
      </x:c>
      <x:c r="N58" s="15" t="n">
        <x:v>0</x:v>
      </x:c>
      <x:c r="O58" s="15" t="n">
        <x:v>0</x:v>
      </x:c>
      <x:c r="P58" s="15" t="n">
        <x:v>0</x:v>
      </x:c>
      <x:c r="Q58" s="15" t="n">
        <x:v>0</x:v>
      </x:c>
      <x:c r="R58" s="15" t="n">
        <x:v>0</x:v>
      </x:c>
      <x:c r="S58" s="15" t="n">
        <x:v>0</x:v>
      </x:c>
      <x:c r="T58" s="15" t="n">
        <x:v>0</x:v>
      </x:c>
      <x:c r="U58" s="15" t="n">
        <x:v>0</x:v>
      </x:c>
      <x:c r="V58" s="15" t="n">
        <x:v>0</x:v>
      </x:c>
      <x:c r="W58" s="15" t="n">
        <x:v>0</x:v>
      </x:c>
      <x:c r="X58" s="15" t="n">
        <x:v>0</x:v>
      </x:c>
      <x:c r="Y58" s="15" t="n">
        <x:v>0</x:v>
      </x:c>
      <x:c r="Z58" s="15" t="n">
        <x:v>0</x:v>
      </x:c>
      <x:c r="AA58" s="15" t="n">
        <x:v>0</x:v>
      </x:c>
      <x:c r="AB58" s="15" t="n">
        <x:f>SUM(G58:AA58)</x:f>
        <x:v>304.896</x:v>
      </x:c>
    </x:row>
    <x:row r="59" ht="36" customHeight="1">
      <x:c r="A59" s="10" t="str">
        <x:v>T-REL</x:v>
      </x:c>
      <x:c r="B59" s="10" t="str">
        <x:v>TEXT</x:v>
      </x:c>
      <x:c r="C59" s="10" t="str">
        <x:v>TEXT:SYN-F02-08</x:v>
      </x:c>
      <x:c r="D59" s="10" t="str">
        <x:v>TEXT:M1144</x:v>
      </x:c>
      <x:c r="E59" s="15" t="n">
        <x:v>-8</x:v>
      </x:c>
      <x:c r="F59" s="15" t="str">
        <x:v>사전 생산</x:v>
      </x:c>
      <x:c r="G59" s="15" t="n">
        <x:v>238</x:v>
      </x:c>
      <x:c r="H59" s="15" t="n">
        <x:v>0</x:v>
      </x:c>
      <x:c r="I59" s="15" t="n">
        <x:v>34.04</x:v>
      </x:c>
      <x:c r="J59" s="15" t="n">
        <x:v>0</x:v>
      </x:c>
      <x:c r="K59" s="15" t="n">
        <x:v>38</x:v>
      </x:c>
      <x:c r="L59" s="15" t="n">
        <x:v>19</x:v>
      </x:c>
      <x:c r="M59" s="15" t="n">
        <x:v>0</x:v>
      </x:c>
      <x:c r="N59" s="15" t="n">
        <x:v>0</x:v>
      </x:c>
      <x:c r="O59" s="15" t="n">
        <x:v>0</x:v>
      </x:c>
      <x:c r="P59" s="15" t="n">
        <x:v>0</x:v>
      </x:c>
      <x:c r="Q59" s="15" t="n">
        <x:v>0</x:v>
      </x:c>
      <x:c r="R59" s="15" t="n">
        <x:v>0</x:v>
      </x:c>
      <x:c r="S59" s="15" t="n">
        <x:v>0</x:v>
      </x:c>
      <x:c r="T59" s="15" t="n">
        <x:v>0</x:v>
      </x:c>
      <x:c r="U59" s="15" t="n">
        <x:v>0</x:v>
      </x:c>
      <x:c r="V59" s="15" t="n">
        <x:v>0</x:v>
      </x:c>
      <x:c r="W59" s="15" t="n">
        <x:v>0</x:v>
      </x:c>
      <x:c r="X59" s="15" t="n">
        <x:v>0</x:v>
      </x:c>
      <x:c r="Y59" s="15" t="n">
        <x:v>0</x:v>
      </x:c>
      <x:c r="Z59" s="15" t="n">
        <x:v>0</x:v>
      </x:c>
      <x:c r="AA59" s="15" t="n">
        <x:v>0</x:v>
      </x:c>
      <x:c r="AB59" s="15" t="n">
        <x:f>SUM(G59:AA59)</x:f>
        <x:v>329.04</x:v>
      </x:c>
    </x:row>
    <x:row r="60" ht="36" customHeight="1">
      <x:c r="A60" s="10" t="str">
        <x:v>T-BASE</x:v>
      </x:c>
      <x:c r="B60" s="10" t="str">
        <x:v>TEXT</x:v>
      </x:c>
      <x:c r="C60" s="10" t="str">
        <x:v>TEXT:SYN-F02-09</x:v>
      </x:c>
      <x:c r="D60" s="10" t="str">
        <x:v>TEXT:M1168</x:v>
      </x:c>
      <x:c r="E60" s="15" t="n">
        <x:v>0.39</x:v>
      </x:c>
      <x:c r="F60" s="15" t="str">
        <x:v>요청</x:v>
      </x:c>
      <x:c r="G60" s="15" t="n">
        <x:v>238</x:v>
      </x:c>
      <x:c r="H60" s="15" t="n">
        <x:v>11</x:v>
      </x:c>
      <x:c r="I60" s="15" t="n">
        <x:v>28.576</x:v>
      </x:c>
      <x:c r="J60" s="15" t="n">
        <x:v>0</x:v>
      </x:c>
      <x:c r="K60" s="15" t="n">
        <x:v>0</x:v>
      </x:c>
      <x:c r="L60" s="15" t="n">
        <x:v>0</x:v>
      </x:c>
      <x:c r="M60" s="15" t="n">
        <x:v>0</x:v>
      </x:c>
      <x:c r="N60" s="15" t="n">
        <x:v>0</x:v>
      </x:c>
      <x:c r="O60" s="15" t="n">
        <x:v>0</x:v>
      </x:c>
      <x:c r="P60" s="15" t="n">
        <x:v>0</x:v>
      </x:c>
      <x:c r="Q60" s="15" t="n">
        <x:v>0</x:v>
      </x:c>
      <x:c r="R60" s="15" t="n">
        <x:v>0</x:v>
      </x:c>
      <x:c r="S60" s="15" t="n">
        <x:v>0</x:v>
      </x:c>
      <x:c r="T60" s="15" t="n">
        <x:v>0</x:v>
      </x:c>
      <x:c r="U60" s="15" t="n">
        <x:v>0</x:v>
      </x:c>
      <x:c r="V60" s="15" t="n">
        <x:v>0</x:v>
      </x:c>
      <x:c r="W60" s="15" t="n">
        <x:v>0</x:v>
      </x:c>
      <x:c r="X60" s="15" t="n">
        <x:v>0</x:v>
      </x:c>
      <x:c r="Y60" s="15" t="n">
        <x:v>0</x:v>
      </x:c>
      <x:c r="Z60" s="15" t="n">
        <x:v>0</x:v>
      </x:c>
      <x:c r="AA60" s="15" t="n">
        <x:v>0</x:v>
      </x:c>
      <x:c r="AB60" s="15" t="n">
        <x:f>SUM(G60:AA60)</x:f>
        <x:v>277.576</x:v>
      </x:c>
    </x:row>
    <x:row r="61" ht="36" customHeight="1">
      <x:c r="A61" s="10" t="str">
        <x:v>T-EXEC</x:v>
      </x:c>
      <x:c r="B61" s="10" t="str">
        <x:v>TEXT</x:v>
      </x:c>
      <x:c r="C61" s="10" t="str">
        <x:v>TEXT:SYN-F02-09</x:v>
      </x:c>
      <x:c r="D61" s="10" t="str">
        <x:v>TEXT:M1194</x:v>
      </x:c>
      <x:c r="E61" s="15" t="n">
        <x:v>4.514714</x:v>
      </x:c>
      <x:c r="F61" s="15" t="str">
        <x:v>요청</x:v>
      </x:c>
      <x:c r="G61" s="15" t="n">
        <x:v>238</x:v>
      </x:c>
      <x:c r="H61" s="15" t="n">
        <x:v>22</x:v>
      </x:c>
      <x:c r="I61" s="15" t="n">
        <x:v>45.064</x:v>
      </x:c>
      <x:c r="J61" s="15" t="n">
        <x:v>0</x:v>
      </x:c>
      <x:c r="K61" s="15" t="n">
        <x:v>0</x:v>
      </x:c>
      <x:c r="L61" s="15" t="n">
        <x:v>0</x:v>
      </x:c>
      <x:c r="M61" s="15" t="n">
        <x:v>0</x:v>
      </x:c>
      <x:c r="N61" s="15" t="n">
        <x:v>0</x:v>
      </x:c>
      <x:c r="O61" s="15" t="n">
        <x:v>0</x:v>
      </x:c>
      <x:c r="P61" s="15" t="n">
        <x:v>0</x:v>
      </x:c>
      <x:c r="Q61" s="15" t="n">
        <x:v>0</x:v>
      </x:c>
      <x:c r="R61" s="15" t="n">
        <x:v>0</x:v>
      </x:c>
      <x:c r="S61" s="15" t="n">
        <x:v>0</x:v>
      </x:c>
      <x:c r="T61" s="15" t="n">
        <x:v>0</x:v>
      </x:c>
      <x:c r="U61" s="15" t="n">
        <x:v>0</x:v>
      </x:c>
      <x:c r="V61" s="15" t="n">
        <x:v>0</x:v>
      </x:c>
      <x:c r="W61" s="15" t="n">
        <x:v>0</x:v>
      </x:c>
      <x:c r="X61" s="15" t="n">
        <x:v>0</x:v>
      </x:c>
      <x:c r="Y61" s="15" t="n">
        <x:v>0</x:v>
      </x:c>
      <x:c r="Z61" s="15" t="n">
        <x:v>0</x:v>
      </x:c>
      <x:c r="AA61" s="15" t="n">
        <x:v>0</x:v>
      </x:c>
      <x:c r="AB61" s="15" t="n">
        <x:f>SUM(G61:AA61)</x:f>
        <x:v>305.064</x:v>
      </x:c>
    </x:row>
    <x:row r="62" ht="36" customHeight="1">
      <x:c r="A62" s="10" t="str">
        <x:v>T-REL</x:v>
      </x:c>
      <x:c r="B62" s="10" t="str">
        <x:v>TEXT</x:v>
      </x:c>
      <x:c r="C62" s="10" t="str">
        <x:v>TEXT:SYN-F02-09</x:v>
      </x:c>
      <x:c r="D62" s="10" t="str">
        <x:v>TEXT:M1206</x:v>
      </x:c>
      <x:c r="E62" s="15" t="n">
        <x:v>-8</x:v>
      </x:c>
      <x:c r="F62" s="15" t="str">
        <x:v>사전 생산</x:v>
      </x:c>
      <x:c r="G62" s="15" t="n">
        <x:v>238</x:v>
      </x:c>
      <x:c r="H62" s="15" t="n">
        <x:v>0</x:v>
      </x:c>
      <x:c r="I62" s="15" t="n">
        <x:v>34.36</x:v>
      </x:c>
      <x:c r="J62" s="15" t="n">
        <x:v>0</x:v>
      </x:c>
      <x:c r="K62" s="15" t="n">
        <x:v>38</x:v>
      </x:c>
      <x:c r="L62" s="15" t="n">
        <x:v>19</x:v>
      </x:c>
      <x:c r="M62" s="15" t="n">
        <x:v>0</x:v>
      </x:c>
      <x:c r="N62" s="15" t="n">
        <x:v>0</x:v>
      </x:c>
      <x:c r="O62" s="15" t="n">
        <x:v>0</x:v>
      </x:c>
      <x:c r="P62" s="15" t="n">
        <x:v>0</x:v>
      </x:c>
      <x:c r="Q62" s="15" t="n">
        <x:v>0</x:v>
      </x:c>
      <x:c r="R62" s="15" t="n">
        <x:v>0</x:v>
      </x:c>
      <x:c r="S62" s="15" t="n">
        <x:v>0</x:v>
      </x:c>
      <x:c r="T62" s="15" t="n">
        <x:v>0</x:v>
      </x:c>
      <x:c r="U62" s="15" t="n">
        <x:v>0</x:v>
      </x:c>
      <x:c r="V62" s="15" t="n">
        <x:v>0</x:v>
      </x:c>
      <x:c r="W62" s="15" t="n">
        <x:v>0</x:v>
      </x:c>
      <x:c r="X62" s="15" t="n">
        <x:v>0</x:v>
      </x:c>
      <x:c r="Y62" s="15" t="n">
        <x:v>0</x:v>
      </x:c>
      <x:c r="Z62" s="15" t="n">
        <x:v>0</x:v>
      </x:c>
      <x:c r="AA62" s="15" t="n">
        <x:v>0</x:v>
      </x:c>
      <x:c r="AB62" s="15" t="n">
        <x:f>SUM(G62:AA62)</x:f>
        <x:v>329.36</x:v>
      </x:c>
    </x:row>
    <x:row r="63" ht="36" customHeight="1">
      <x:c r="A63" s="10" t="str">
        <x:v>T-BASE</x:v>
      </x:c>
      <x:c r="B63" s="10" t="str">
        <x:v>TEXT</x:v>
      </x:c>
      <x:c r="C63" s="10" t="str">
        <x:v>TEXT:SYN-F02-10</x:v>
      </x:c>
      <x:c r="D63" s="10" t="str">
        <x:v>TEXT:M1230</x:v>
      </x:c>
      <x:c r="E63" s="15" t="n">
        <x:v>0.34</x:v>
      </x:c>
      <x:c r="F63" s="15" t="str">
        <x:v>요청</x:v>
      </x:c>
      <x:c r="G63" s="15" t="n">
        <x:v>238</x:v>
      </x:c>
      <x:c r="H63" s="15" t="n">
        <x:v>11</x:v>
      </x:c>
      <x:c r="I63" s="15" t="n">
        <x:v>28.668</x:v>
      </x:c>
      <x:c r="J63" s="15" t="n">
        <x:v>0</x:v>
      </x:c>
      <x:c r="K63" s="15" t="n">
        <x:v>0</x:v>
      </x:c>
      <x:c r="L63" s="15" t="n">
        <x:v>0</x:v>
      </x:c>
      <x:c r="M63" s="15" t="n">
        <x:v>0</x:v>
      </x:c>
      <x:c r="N63" s="15" t="n">
        <x:v>0</x:v>
      </x:c>
      <x:c r="O63" s="15" t="n">
        <x:v>0</x:v>
      </x:c>
      <x:c r="P63" s="15" t="n">
        <x:v>0</x:v>
      </x:c>
      <x:c r="Q63" s="15" t="n">
        <x:v>0</x:v>
      </x:c>
      <x:c r="R63" s="15" t="n">
        <x:v>0</x:v>
      </x:c>
      <x:c r="S63" s="15" t="n">
        <x:v>0</x:v>
      </x:c>
      <x:c r="T63" s="15" t="n">
        <x:v>0</x:v>
      </x:c>
      <x:c r="U63" s="15" t="n">
        <x:v>0</x:v>
      </x:c>
      <x:c r="V63" s="15" t="n">
        <x:v>0</x:v>
      </x:c>
      <x:c r="W63" s="15" t="n">
        <x:v>0</x:v>
      </x:c>
      <x:c r="X63" s="15" t="n">
        <x:v>0</x:v>
      </x:c>
      <x:c r="Y63" s="15" t="n">
        <x:v>0</x:v>
      </x:c>
      <x:c r="Z63" s="15" t="n">
        <x:v>0</x:v>
      </x:c>
      <x:c r="AA63" s="15" t="n">
        <x:v>0</x:v>
      </x:c>
      <x:c r="AB63" s="15" t="n">
        <x:f>SUM(G63:AA63)</x:f>
        <x:v>277.668</x:v>
      </x:c>
    </x:row>
    <x:row r="64" ht="36" customHeight="1">
      <x:c r="A64" s="10" t="str">
        <x:v>T-EXEC</x:v>
      </x:c>
      <x:c r="B64" s="10" t="str">
        <x:v>TEXT</x:v>
      </x:c>
      <x:c r="C64" s="10" t="str">
        <x:v>TEXT:SYN-F02-10</x:v>
      </x:c>
      <x:c r="D64" s="10" t="str">
        <x:v>TEXT:M1256</x:v>
      </x:c>
      <x:c r="E64" s="15" t="n">
        <x:v>4.522536</x:v>
      </x:c>
      <x:c r="F64" s="15" t="str">
        <x:v>요청</x:v>
      </x:c>
      <x:c r="G64" s="15" t="n">
        <x:v>238</x:v>
      </x:c>
      <x:c r="H64" s="15" t="n">
        <x:v>22</x:v>
      </x:c>
      <x:c r="I64" s="15" t="n">
        <x:v>45.232</x:v>
      </x:c>
      <x:c r="J64" s="15" t="n">
        <x:v>0</x:v>
      </x:c>
      <x:c r="K64" s="15" t="n">
        <x:v>0</x:v>
      </x:c>
      <x:c r="L64" s="15" t="n">
        <x:v>0</x:v>
      </x:c>
      <x:c r="M64" s="15" t="n">
        <x:v>0</x:v>
      </x:c>
      <x:c r="N64" s="15" t="n">
        <x:v>0</x:v>
      </x:c>
      <x:c r="O64" s="15" t="n">
        <x:v>0</x:v>
      </x:c>
      <x:c r="P64" s="15" t="n">
        <x:v>0</x:v>
      </x:c>
      <x:c r="Q64" s="15" t="n">
        <x:v>0</x:v>
      </x:c>
      <x:c r="R64" s="15" t="n">
        <x:v>0</x:v>
      </x:c>
      <x:c r="S64" s="15" t="n">
        <x:v>0</x:v>
      </x:c>
      <x:c r="T64" s="15" t="n">
        <x:v>0</x:v>
      </x:c>
      <x:c r="U64" s="15" t="n">
        <x:v>0</x:v>
      </x:c>
      <x:c r="V64" s="15" t="n">
        <x:v>0</x:v>
      </x:c>
      <x:c r="W64" s="15" t="n">
        <x:v>0</x:v>
      </x:c>
      <x:c r="X64" s="15" t="n">
        <x:v>0</x:v>
      </x:c>
      <x:c r="Y64" s="15" t="n">
        <x:v>0</x:v>
      </x:c>
      <x:c r="Z64" s="15" t="n">
        <x:v>0</x:v>
      </x:c>
      <x:c r="AA64" s="15" t="n">
        <x:v>0</x:v>
      </x:c>
      <x:c r="AB64" s="15" t="n">
        <x:f>SUM(G64:AA64)</x:f>
        <x:v>305.23199999999997</x:v>
      </x:c>
    </x:row>
    <x:row r="65" ht="36" customHeight="1">
      <x:c r="A65" s="10" t="str">
        <x:v>T-REL</x:v>
      </x:c>
      <x:c r="B65" s="10" t="str">
        <x:v>TEXT</x:v>
      </x:c>
      <x:c r="C65" s="10" t="str">
        <x:v>TEXT:SYN-F02-10</x:v>
      </x:c>
      <x:c r="D65" s="10" t="str">
        <x:v>TEXT:M1268</x:v>
      </x:c>
      <x:c r="E65" s="15" t="n">
        <x:v>-8</x:v>
      </x:c>
      <x:c r="F65" s="15" t="str">
        <x:v>사전 생산</x:v>
      </x:c>
      <x:c r="G65" s="15" t="n">
        <x:v>238</x:v>
      </x:c>
      <x:c r="H65" s="15" t="n">
        <x:v>0</x:v>
      </x:c>
      <x:c r="I65" s="15" t="n">
        <x:v>34.68</x:v>
      </x:c>
      <x:c r="J65" s="15" t="n">
        <x:v>0</x:v>
      </x:c>
      <x:c r="K65" s="15" t="n">
        <x:v>38</x:v>
      </x:c>
      <x:c r="L65" s="15" t="n">
        <x:v>19</x:v>
      </x:c>
      <x:c r="M65" s="15" t="n">
        <x:v>0</x:v>
      </x:c>
      <x:c r="N65" s="15" t="n">
        <x:v>0</x:v>
      </x:c>
      <x:c r="O65" s="15" t="n">
        <x:v>0</x:v>
      </x:c>
      <x:c r="P65" s="15" t="n">
        <x:v>0</x:v>
      </x:c>
      <x:c r="Q65" s="15" t="n">
        <x:v>0</x:v>
      </x:c>
      <x:c r="R65" s="15" t="n">
        <x:v>0</x:v>
      </x:c>
      <x:c r="S65" s="15" t="n">
        <x:v>0</x:v>
      </x:c>
      <x:c r="T65" s="15" t="n">
        <x:v>0</x:v>
      </x:c>
      <x:c r="U65" s="15" t="n">
        <x:v>0</x:v>
      </x:c>
      <x:c r="V65" s="15" t="n">
        <x:v>0</x:v>
      </x:c>
      <x:c r="W65" s="15" t="n">
        <x:v>0</x:v>
      </x:c>
      <x:c r="X65" s="15" t="n">
        <x:v>0</x:v>
      </x:c>
      <x:c r="Y65" s="15" t="n">
        <x:v>0</x:v>
      </x:c>
      <x:c r="Z65" s="15" t="n">
        <x:v>0</x:v>
      </x:c>
      <x:c r="AA65" s="15" t="n">
        <x:v>0</x:v>
      </x:c>
      <x:c r="AB65" s="15" t="n">
        <x:f>SUM(G65:AA65)</x:f>
        <x:v>329.68</x:v>
      </x:c>
    </x:row>
    <x:row r="66" ht="36" customHeight="1">
      <x:c r="A66" s="10" t="str">
        <x:v>T-BASE</x:v>
      </x:c>
      <x:c r="B66" s="10" t="str">
        <x:v>TEXT</x:v>
      </x:c>
      <x:c r="C66" s="10" t="str">
        <x:v>TEXT:SYN-F03-01</x:v>
      </x:c>
      <x:c r="D66" s="10" t="str">
        <x:v>TEXT:M1292</x:v>
      </x:c>
      <x:c r="E66" s="15" t="n">
        <x:v>0.34</x:v>
      </x:c>
      <x:c r="F66" s="15" t="str">
        <x:v>요청</x:v>
      </x:c>
      <x:c r="G66" s="15" t="n">
        <x:v>238</x:v>
      </x:c>
      <x:c r="H66" s="15" t="n">
        <x:v>11</x:v>
      </x:c>
      <x:c r="I66" s="15" t="n">
        <x:v>28.96</x:v>
      </x:c>
      <x:c r="J66" s="15" t="n">
        <x:v>0</x:v>
      </x:c>
      <x:c r="K66" s="15" t="n">
        <x:v>0</x:v>
      </x:c>
      <x:c r="L66" s="15" t="n">
        <x:v>0</x:v>
      </x:c>
      <x:c r="M66" s="15" t="n">
        <x:v>0</x:v>
      </x:c>
      <x:c r="N66" s="15" t="n">
        <x:v>0</x:v>
      </x:c>
      <x:c r="O66" s="15" t="n">
        <x:v>0</x:v>
      </x:c>
      <x:c r="P66" s="15" t="n">
        <x:v>0</x:v>
      </x:c>
      <x:c r="Q66" s="15" t="n">
        <x:v>0</x:v>
      </x:c>
      <x:c r="R66" s="15" t="n">
        <x:v>0</x:v>
      </x:c>
      <x:c r="S66" s="15" t="n">
        <x:v>0</x:v>
      </x:c>
      <x:c r="T66" s="15" t="n">
        <x:v>0</x:v>
      </x:c>
      <x:c r="U66" s="15" t="n">
        <x:v>0</x:v>
      </x:c>
      <x:c r="V66" s="15" t="n">
        <x:v>0</x:v>
      </x:c>
      <x:c r="W66" s="15" t="n">
        <x:v>0</x:v>
      </x:c>
      <x:c r="X66" s="15" t="n">
        <x:v>0</x:v>
      </x:c>
      <x:c r="Y66" s="15" t="n">
        <x:v>0</x:v>
      </x:c>
      <x:c r="Z66" s="15" t="n">
        <x:v>0</x:v>
      </x:c>
      <x:c r="AA66" s="15" t="n">
        <x:v>0</x:v>
      </x:c>
      <x:c r="AB66" s="15" t="n">
        <x:f>SUM(G66:AA66)</x:f>
        <x:v>277.96</x:v>
      </x:c>
    </x:row>
    <x:row r="67" ht="36" customHeight="1">
      <x:c r="A67" s="10" t="str">
        <x:v>T-EXEC</x:v>
      </x:c>
      <x:c r="B67" s="10" t="str">
        <x:v>TEXT</x:v>
      </x:c>
      <x:c r="C67" s="10" t="str">
        <x:v>TEXT:SYN-F03-01</x:v>
      </x:c>
      <x:c r="D67" s="10" t="str">
        <x:v>TEXT:M1318</x:v>
      </x:c>
      <x:c r="E67" s="15" t="n">
        <x:v>4.132143</x:v>
      </x:c>
      <x:c r="F67" s="15" t="str">
        <x:v>요청</x:v>
      </x:c>
      <x:c r="G67" s="15" t="n">
        <x:v>238</x:v>
      </x:c>
      <x:c r="H67" s="15" t="n">
        <x:v>22</x:v>
      </x:c>
      <x:c r="I67" s="15" t="n">
        <x:v>44.568</x:v>
      </x:c>
      <x:c r="J67" s="15" t="n">
        <x:v>0</x:v>
      </x:c>
      <x:c r="K67" s="15" t="n">
        <x:v>0</x:v>
      </x:c>
      <x:c r="L67" s="15" t="n">
        <x:v>0</x:v>
      </x:c>
      <x:c r="M67" s="15" t="n">
        <x:v>0</x:v>
      </x:c>
      <x:c r="N67" s="15" t="n">
        <x:v>0</x:v>
      </x:c>
      <x:c r="O67" s="15" t="n">
        <x:v>0</x:v>
      </x:c>
      <x:c r="P67" s="15" t="n">
        <x:v>0</x:v>
      </x:c>
      <x:c r="Q67" s="15" t="n">
        <x:v>0</x:v>
      </x:c>
      <x:c r="R67" s="15" t="n">
        <x:v>0</x:v>
      </x:c>
      <x:c r="S67" s="15" t="n">
        <x:v>0</x:v>
      </x:c>
      <x:c r="T67" s="15" t="n">
        <x:v>0</x:v>
      </x:c>
      <x:c r="U67" s="15" t="n">
        <x:v>0</x:v>
      </x:c>
      <x:c r="V67" s="15" t="n">
        <x:v>0</x:v>
      </x:c>
      <x:c r="W67" s="15" t="n">
        <x:v>0</x:v>
      </x:c>
      <x:c r="X67" s="15" t="n">
        <x:v>0</x:v>
      </x:c>
      <x:c r="Y67" s="15" t="n">
        <x:v>0</x:v>
      </x:c>
      <x:c r="Z67" s="15" t="n">
        <x:v>0</x:v>
      </x:c>
      <x:c r="AA67" s="15" t="n">
        <x:v>0</x:v>
      </x:c>
      <x:c r="AB67" s="15" t="n">
        <x:f>SUM(G67:AA67)</x:f>
        <x:v>304.568</x:v>
      </x:c>
    </x:row>
    <x:row r="68" ht="36" customHeight="1">
      <x:c r="A68" s="10" t="str">
        <x:v>T-REL</x:v>
      </x:c>
      <x:c r="B68" s="10" t="str">
        <x:v>TEXT</x:v>
      </x:c>
      <x:c r="C68" s="10" t="str">
        <x:v>TEXT:SYN-F03-01</x:v>
      </x:c>
      <x:c r="D68" s="10" t="str">
        <x:v>TEXT:M1330</x:v>
      </x:c>
      <x:c r="E68" s="15" t="n">
        <x:v>-8</x:v>
      </x:c>
      <x:c r="F68" s="15" t="str">
        <x:v>사전 생산</x:v>
      </x:c>
      <x:c r="G68" s="15" t="n">
        <x:v>238</x:v>
      </x:c>
      <x:c r="H68" s="15" t="n">
        <x:v>0</x:v>
      </x:c>
      <x:c r="I68" s="15" t="n">
        <x:v>31.8</x:v>
      </x:c>
      <x:c r="J68" s="15" t="n">
        <x:v>0</x:v>
      </x:c>
      <x:c r="K68" s="15" t="n">
        <x:v>38</x:v>
      </x:c>
      <x:c r="L68" s="15" t="n">
        <x:v>19</x:v>
      </x:c>
      <x:c r="M68" s="15" t="n">
        <x:v>0</x:v>
      </x:c>
      <x:c r="N68" s="15" t="n">
        <x:v>0</x:v>
      </x:c>
      <x:c r="O68" s="15" t="n">
        <x:v>0</x:v>
      </x:c>
      <x:c r="P68" s="15" t="n">
        <x:v>0</x:v>
      </x:c>
      <x:c r="Q68" s="15" t="n">
        <x:v>0</x:v>
      </x:c>
      <x:c r="R68" s="15" t="n">
        <x:v>0</x:v>
      </x:c>
      <x:c r="S68" s="15" t="n">
        <x:v>0</x:v>
      </x:c>
      <x:c r="T68" s="15" t="n">
        <x:v>0</x:v>
      </x:c>
      <x:c r="U68" s="15" t="n">
        <x:v>0</x:v>
      </x:c>
      <x:c r="V68" s="15" t="n">
        <x:v>0</x:v>
      </x:c>
      <x:c r="W68" s="15" t="n">
        <x:v>0</x:v>
      </x:c>
      <x:c r="X68" s="15" t="n">
        <x:v>0</x:v>
      </x:c>
      <x:c r="Y68" s="15" t="n">
        <x:v>0</x:v>
      </x:c>
      <x:c r="Z68" s="15" t="n">
        <x:v>0</x:v>
      </x:c>
      <x:c r="AA68" s="15" t="n">
        <x:v>0</x:v>
      </x:c>
      <x:c r="AB68" s="15" t="n">
        <x:f>SUM(G68:AA68)</x:f>
        <x:v>326.8</x:v>
      </x:c>
    </x:row>
    <x:row r="69" ht="36" customHeight="1">
      <x:c r="A69" s="10" t="str">
        <x:v>T-BASE</x:v>
      </x:c>
      <x:c r="B69" s="10" t="str">
        <x:v>TEXT</x:v>
      </x:c>
      <x:c r="C69" s="10" t="str">
        <x:v>TEXT:SYN-F03-02</x:v>
      </x:c>
      <x:c r="D69" s="10" t="str">
        <x:v>TEXT:M1354</x:v>
      </x:c>
      <x:c r="E69" s="15" t="n">
        <x:v>0.365</x:v>
      </x:c>
      <x:c r="F69" s="15" t="str">
        <x:v>요청</x:v>
      </x:c>
      <x:c r="G69" s="15" t="n">
        <x:v>238</x:v>
      </x:c>
      <x:c r="H69" s="15" t="n">
        <x:v>11</x:v>
      </x:c>
      <x:c r="I69" s="15" t="n">
        <x:v>29.052</x:v>
      </x:c>
      <x:c r="J69" s="15" t="n">
        <x:v>0</x:v>
      </x:c>
      <x:c r="K69" s="15" t="n">
        <x:v>0</x:v>
      </x:c>
      <x:c r="L69" s="15" t="n">
        <x:v>0</x:v>
      </x:c>
      <x:c r="M69" s="15" t="n">
        <x:v>0</x:v>
      </x:c>
      <x:c r="N69" s="15" t="n">
        <x:v>0</x:v>
      </x:c>
      <x:c r="O69" s="15" t="n">
        <x:v>0</x:v>
      </x:c>
      <x:c r="P69" s="15" t="n">
        <x:v>0</x:v>
      </x:c>
      <x:c r="Q69" s="15" t="n">
        <x:v>0</x:v>
      </x:c>
      <x:c r="R69" s="15" t="n">
        <x:v>0</x:v>
      </x:c>
      <x:c r="S69" s="15" t="n">
        <x:v>0</x:v>
      </x:c>
      <x:c r="T69" s="15" t="n">
        <x:v>0</x:v>
      </x:c>
      <x:c r="U69" s="15" t="n">
        <x:v>0</x:v>
      </x:c>
      <x:c r="V69" s="15" t="n">
        <x:v>0</x:v>
      </x:c>
      <x:c r="W69" s="15" t="n">
        <x:v>0</x:v>
      </x:c>
      <x:c r="X69" s="15" t="n">
        <x:v>0</x:v>
      </x:c>
      <x:c r="Y69" s="15" t="n">
        <x:v>0</x:v>
      </x:c>
      <x:c r="Z69" s="15" t="n">
        <x:v>0</x:v>
      </x:c>
      <x:c r="AA69" s="15" t="n">
        <x:v>0</x:v>
      </x:c>
      <x:c r="AB69" s="15" t="n">
        <x:f>SUM(G69:AA69)</x:f>
        <x:v>278.052</x:v>
      </x:c>
    </x:row>
    <x:row r="70" ht="36" customHeight="1">
      <x:c r="A70" s="10" t="str">
        <x:v>T-EXEC</x:v>
      </x:c>
      <x:c r="B70" s="10" t="str">
        <x:v>TEXT</x:v>
      </x:c>
      <x:c r="C70" s="10" t="str">
        <x:v>TEXT:SYN-F03-02</x:v>
      </x:c>
      <x:c r="D70" s="10" t="str">
        <x:v>TEXT:M1380</x:v>
      </x:c>
      <x:c r="E70" s="15" t="n">
        <x:v>4.214964</x:v>
      </x:c>
      <x:c r="F70" s="15" t="str">
        <x:v>요청</x:v>
      </x:c>
      <x:c r="G70" s="15" t="n">
        <x:v>238</x:v>
      </x:c>
      <x:c r="H70" s="15" t="n">
        <x:v>22</x:v>
      </x:c>
      <x:c r="I70" s="15" t="n">
        <x:v>44.736</x:v>
      </x:c>
      <x:c r="J70" s="15" t="n">
        <x:v>0</x:v>
      </x:c>
      <x:c r="K70" s="15" t="n">
        <x:v>0</x:v>
      </x:c>
      <x:c r="L70" s="15" t="n">
        <x:v>0</x:v>
      </x:c>
      <x:c r="M70" s="15" t="n">
        <x:v>0</x:v>
      </x:c>
      <x:c r="N70" s="15" t="n">
        <x:v>0</x:v>
      </x:c>
      <x:c r="O70" s="15" t="n">
        <x:v>0</x:v>
      </x:c>
      <x:c r="P70" s="15" t="n">
        <x:v>0</x:v>
      </x:c>
      <x:c r="Q70" s="15" t="n">
        <x:v>0</x:v>
      </x:c>
      <x:c r="R70" s="15" t="n">
        <x:v>0</x:v>
      </x:c>
      <x:c r="S70" s="15" t="n">
        <x:v>0</x:v>
      </x:c>
      <x:c r="T70" s="15" t="n">
        <x:v>0</x:v>
      </x:c>
      <x:c r="U70" s="15" t="n">
        <x:v>0</x:v>
      </x:c>
      <x:c r="V70" s="15" t="n">
        <x:v>0</x:v>
      </x:c>
      <x:c r="W70" s="15" t="n">
        <x:v>0</x:v>
      </x:c>
      <x:c r="X70" s="15" t="n">
        <x:v>0</x:v>
      </x:c>
      <x:c r="Y70" s="15" t="n">
        <x:v>0</x:v>
      </x:c>
      <x:c r="Z70" s="15" t="n">
        <x:v>0</x:v>
      </x:c>
      <x:c r="AA70" s="15" t="n">
        <x:v>0</x:v>
      </x:c>
      <x:c r="AB70" s="15" t="n">
        <x:f>SUM(G70:AA70)</x:f>
        <x:v>304.736</x:v>
      </x:c>
    </x:row>
    <x:row r="71" ht="36" customHeight="1">
      <x:c r="A71" s="10" t="str">
        <x:v>T-REL</x:v>
      </x:c>
      <x:c r="B71" s="10" t="str">
        <x:v>TEXT</x:v>
      </x:c>
      <x:c r="C71" s="10" t="str">
        <x:v>TEXT:SYN-F03-02</x:v>
      </x:c>
      <x:c r="D71" s="10" t="str">
        <x:v>TEXT:M1392</x:v>
      </x:c>
      <x:c r="E71" s="15" t="n">
        <x:v>-8</x:v>
      </x:c>
      <x:c r="F71" s="15" t="str">
        <x:v>사전 생산</x:v>
      </x:c>
      <x:c r="G71" s="15" t="n">
        <x:v>238</x:v>
      </x:c>
      <x:c r="H71" s="15" t="n">
        <x:v>0</x:v>
      </x:c>
      <x:c r="I71" s="15" t="n">
        <x:v>32.12</x:v>
      </x:c>
      <x:c r="J71" s="15" t="n">
        <x:v>0</x:v>
      </x:c>
      <x:c r="K71" s="15" t="n">
        <x:v>38</x:v>
      </x:c>
      <x:c r="L71" s="15" t="n">
        <x:v>19</x:v>
      </x:c>
      <x:c r="M71" s="15" t="n">
        <x:v>0</x:v>
      </x:c>
      <x:c r="N71" s="15" t="n">
        <x:v>0</x:v>
      </x:c>
      <x:c r="O71" s="15" t="n">
        <x:v>0</x:v>
      </x:c>
      <x:c r="P71" s="15" t="n">
        <x:v>0</x:v>
      </x:c>
      <x:c r="Q71" s="15" t="n">
        <x:v>0</x:v>
      </x:c>
      <x:c r="R71" s="15" t="n">
        <x:v>0</x:v>
      </x:c>
      <x:c r="S71" s="15" t="n">
        <x:v>0</x:v>
      </x:c>
      <x:c r="T71" s="15" t="n">
        <x:v>0</x:v>
      </x:c>
      <x:c r="U71" s="15" t="n">
        <x:v>0</x:v>
      </x:c>
      <x:c r="V71" s="15" t="n">
        <x:v>0</x:v>
      </x:c>
      <x:c r="W71" s="15" t="n">
        <x:v>0</x:v>
      </x:c>
      <x:c r="X71" s="15" t="n">
        <x:v>0</x:v>
      </x:c>
      <x:c r="Y71" s="15" t="n">
        <x:v>0</x:v>
      </x:c>
      <x:c r="Z71" s="15" t="n">
        <x:v>0</x:v>
      </x:c>
      <x:c r="AA71" s="15" t="n">
        <x:v>0</x:v>
      </x:c>
      <x:c r="AB71" s="15" t="n">
        <x:f>SUM(G71:AA71)</x:f>
        <x:v>327.12</x:v>
      </x:c>
    </x:row>
    <x:row r="72" ht="36" customHeight="1">
      <x:c r="A72" s="10" t="str">
        <x:v>T-BASE</x:v>
      </x:c>
      <x:c r="B72" s="10" t="str">
        <x:v>TEXT</x:v>
      </x:c>
      <x:c r="C72" s="10" t="str">
        <x:v>TEXT:SYN-F03-03</x:v>
      </x:c>
      <x:c r="D72" s="10" t="str">
        <x:v>TEXT:M1416</x:v>
      </x:c>
      <x:c r="E72" s="15" t="n">
        <x:v>0.39</x:v>
      </x:c>
      <x:c r="F72" s="15" t="str">
        <x:v>요청</x:v>
      </x:c>
      <x:c r="G72" s="15" t="n">
        <x:v>238</x:v>
      </x:c>
      <x:c r="H72" s="15" t="n">
        <x:v>11</x:v>
      </x:c>
      <x:c r="I72" s="15" t="n">
        <x:v>29.144</x:v>
      </x:c>
      <x:c r="J72" s="15" t="n">
        <x:v>0</x:v>
      </x:c>
      <x:c r="K72" s="15" t="n">
        <x:v>0</x:v>
      </x:c>
      <x:c r="L72" s="15" t="n">
        <x:v>0</x:v>
      </x:c>
      <x:c r="M72" s="15" t="n">
        <x:v>0</x:v>
      </x:c>
      <x:c r="N72" s="15" t="n">
        <x:v>0</x:v>
      </x:c>
      <x:c r="O72" s="15" t="n">
        <x:v>0</x:v>
      </x:c>
      <x:c r="P72" s="15" t="n">
        <x:v>0</x:v>
      </x:c>
      <x:c r="Q72" s="15" t="n">
        <x:v>0</x:v>
      </x:c>
      <x:c r="R72" s="15" t="n">
        <x:v>0</x:v>
      </x:c>
      <x:c r="S72" s="15" t="n">
        <x:v>0</x:v>
      </x:c>
      <x:c r="T72" s="15" t="n">
        <x:v>0</x:v>
      </x:c>
      <x:c r="U72" s="15" t="n">
        <x:v>0</x:v>
      </x:c>
      <x:c r="V72" s="15" t="n">
        <x:v>0</x:v>
      </x:c>
      <x:c r="W72" s="15" t="n">
        <x:v>0</x:v>
      </x:c>
      <x:c r="X72" s="15" t="n">
        <x:v>0</x:v>
      </x:c>
      <x:c r="Y72" s="15" t="n">
        <x:v>0</x:v>
      </x:c>
      <x:c r="Z72" s="15" t="n">
        <x:v>0</x:v>
      </x:c>
      <x:c r="AA72" s="15" t="n">
        <x:v>0</x:v>
      </x:c>
      <x:c r="AB72" s="15" t="n">
        <x:f>SUM(G72:AA72)</x:f>
        <x:v>278.144</x:v>
      </x:c>
    </x:row>
    <x:row r="73" ht="36" customHeight="1">
      <x:c r="A73" s="10" t="str">
        <x:v>T-EXEC</x:v>
      </x:c>
      <x:c r="B73" s="10" t="str">
        <x:v>TEXT</x:v>
      </x:c>
      <x:c r="C73" s="10" t="str">
        <x:v>TEXT:SYN-F03-03</x:v>
      </x:c>
      <x:c r="D73" s="10" t="str">
        <x:v>TEXT:M1442</x:v>
      </x:c>
      <x:c r="E73" s="15" t="n">
        <x:v>4.297786</x:v>
      </x:c>
      <x:c r="F73" s="15" t="str">
        <x:v>요청</x:v>
      </x:c>
      <x:c r="G73" s="15" t="n">
        <x:v>238</x:v>
      </x:c>
      <x:c r="H73" s="15" t="n">
        <x:v>22</x:v>
      </x:c>
      <x:c r="I73" s="15" t="n">
        <x:v>44.904</x:v>
      </x:c>
      <x:c r="J73" s="15" t="n">
        <x:v>0</x:v>
      </x:c>
      <x:c r="K73" s="15" t="n">
        <x:v>0</x:v>
      </x:c>
      <x:c r="L73" s="15" t="n">
        <x:v>0</x:v>
      </x:c>
      <x:c r="M73" s="15" t="n">
        <x:v>0</x:v>
      </x:c>
      <x:c r="N73" s="15" t="n">
        <x:v>0</x:v>
      </x:c>
      <x:c r="O73" s="15" t="n">
        <x:v>0</x:v>
      </x:c>
      <x:c r="P73" s="15" t="n">
        <x:v>0</x:v>
      </x:c>
      <x:c r="Q73" s="15" t="n">
        <x:v>0</x:v>
      </x:c>
      <x:c r="R73" s="15" t="n">
        <x:v>0</x:v>
      </x:c>
      <x:c r="S73" s="15" t="n">
        <x:v>0</x:v>
      </x:c>
      <x:c r="T73" s="15" t="n">
        <x:v>0</x:v>
      </x:c>
      <x:c r="U73" s="15" t="n">
        <x:v>0</x:v>
      </x:c>
      <x:c r="V73" s="15" t="n">
        <x:v>0</x:v>
      </x:c>
      <x:c r="W73" s="15" t="n">
        <x:v>0</x:v>
      </x:c>
      <x:c r="X73" s="15" t="n">
        <x:v>0</x:v>
      </x:c>
      <x:c r="Y73" s="15" t="n">
        <x:v>0</x:v>
      </x:c>
      <x:c r="Z73" s="15" t="n">
        <x:v>0</x:v>
      </x:c>
      <x:c r="AA73" s="15" t="n">
        <x:v>0</x:v>
      </x:c>
      <x:c r="AB73" s="15" t="n">
        <x:f>SUM(G73:AA73)</x:f>
        <x:v>304.904</x:v>
      </x:c>
    </x:row>
    <x:row r="74" ht="36" customHeight="1">
      <x:c r="A74" s="10" t="str">
        <x:v>T-REL</x:v>
      </x:c>
      <x:c r="B74" s="10" t="str">
        <x:v>TEXT</x:v>
      </x:c>
      <x:c r="C74" s="10" t="str">
        <x:v>TEXT:SYN-F03-03</x:v>
      </x:c>
      <x:c r="D74" s="10" t="str">
        <x:v>TEXT:M1454</x:v>
      </x:c>
      <x:c r="E74" s="15" t="n">
        <x:v>-8</x:v>
      </x:c>
      <x:c r="F74" s="15" t="str">
        <x:v>사전 생산</x:v>
      </x:c>
      <x:c r="G74" s="15" t="n">
        <x:v>238</x:v>
      </x:c>
      <x:c r="H74" s="15" t="n">
        <x:v>0</x:v>
      </x:c>
      <x:c r="I74" s="15" t="n">
        <x:v>32.44</x:v>
      </x:c>
      <x:c r="J74" s="15" t="n">
        <x:v>0</x:v>
      </x:c>
      <x:c r="K74" s="15" t="n">
        <x:v>38</x:v>
      </x:c>
      <x:c r="L74" s="15" t="n">
        <x:v>19</x:v>
      </x:c>
      <x:c r="M74" s="15" t="n">
        <x:v>0</x:v>
      </x:c>
      <x:c r="N74" s="15" t="n">
        <x:v>0</x:v>
      </x:c>
      <x:c r="O74" s="15" t="n">
        <x:v>0</x:v>
      </x:c>
      <x:c r="P74" s="15" t="n">
        <x:v>0</x:v>
      </x:c>
      <x:c r="Q74" s="15" t="n">
        <x:v>0</x:v>
      </x:c>
      <x:c r="R74" s="15" t="n">
        <x:v>0</x:v>
      </x:c>
      <x:c r="S74" s="15" t="n">
        <x:v>0</x:v>
      </x:c>
      <x:c r="T74" s="15" t="n">
        <x:v>0</x:v>
      </x:c>
      <x:c r="U74" s="15" t="n">
        <x:v>0</x:v>
      </x:c>
      <x:c r="V74" s="15" t="n">
        <x:v>0</x:v>
      </x:c>
      <x:c r="W74" s="15" t="n">
        <x:v>0</x:v>
      </x:c>
      <x:c r="X74" s="15" t="n">
        <x:v>0</x:v>
      </x:c>
      <x:c r="Y74" s="15" t="n">
        <x:v>0</x:v>
      </x:c>
      <x:c r="Z74" s="15" t="n">
        <x:v>0</x:v>
      </x:c>
      <x:c r="AA74" s="15" t="n">
        <x:v>0</x:v>
      </x:c>
      <x:c r="AB74" s="15" t="n">
        <x:f>SUM(G74:AA74)</x:f>
        <x:v>327.44</x:v>
      </x:c>
    </x:row>
    <x:row r="75" ht="36" customHeight="1">
      <x:c r="A75" s="10" t="str">
        <x:v>T-BASE</x:v>
      </x:c>
      <x:c r="B75" s="10" t="str">
        <x:v>TEXT</x:v>
      </x:c>
      <x:c r="C75" s="10" t="str">
        <x:v>TEXT:SYN-F03-04</x:v>
      </x:c>
      <x:c r="D75" s="10" t="str">
        <x:v>TEXT:M1478</x:v>
      </x:c>
      <x:c r="E75" s="15" t="n">
        <x:v>0.34</x:v>
      </x:c>
      <x:c r="F75" s="15" t="str">
        <x:v>요청</x:v>
      </x:c>
      <x:c r="G75" s="15" t="n">
        <x:v>238</x:v>
      </x:c>
      <x:c r="H75" s="15" t="n">
        <x:v>11</x:v>
      </x:c>
      <x:c r="I75" s="15" t="n">
        <x:v>29.236</x:v>
      </x:c>
      <x:c r="J75" s="15" t="n">
        <x:v>0</x:v>
      </x:c>
      <x:c r="K75" s="15" t="n">
        <x:v>0</x:v>
      </x:c>
      <x:c r="L75" s="15" t="n">
        <x:v>0</x:v>
      </x:c>
      <x:c r="M75" s="15" t="n">
        <x:v>0</x:v>
      </x:c>
      <x:c r="N75" s="15" t="n">
        <x:v>0</x:v>
      </x:c>
      <x:c r="O75" s="15" t="n">
        <x:v>0</x:v>
      </x:c>
      <x:c r="P75" s="15" t="n">
        <x:v>0</x:v>
      </x:c>
      <x:c r="Q75" s="15" t="n">
        <x:v>0</x:v>
      </x:c>
      <x:c r="R75" s="15" t="n">
        <x:v>0</x:v>
      </x:c>
      <x:c r="S75" s="15" t="n">
        <x:v>0</x:v>
      </x:c>
      <x:c r="T75" s="15" t="n">
        <x:v>0</x:v>
      </x:c>
      <x:c r="U75" s="15" t="n">
        <x:v>0</x:v>
      </x:c>
      <x:c r="V75" s="15" t="n">
        <x:v>0</x:v>
      </x:c>
      <x:c r="W75" s="15" t="n">
        <x:v>0</x:v>
      </x:c>
      <x:c r="X75" s="15" t="n">
        <x:v>0</x:v>
      </x:c>
      <x:c r="Y75" s="15" t="n">
        <x:v>0</x:v>
      </x:c>
      <x:c r="Z75" s="15" t="n">
        <x:v>0</x:v>
      </x:c>
      <x:c r="AA75" s="15" t="n">
        <x:v>0</x:v>
      </x:c>
      <x:c r="AB75" s="15" t="n">
        <x:f>SUM(G75:AA75)</x:f>
        <x:v>278.236</x:v>
      </x:c>
    </x:row>
    <x:row r="76" ht="36" customHeight="1">
      <x:c r="A76" s="10" t="str">
        <x:v>T-EXEC</x:v>
      </x:c>
      <x:c r="B76" s="10" t="str">
        <x:v>TEXT</x:v>
      </x:c>
      <x:c r="C76" s="10" t="str">
        <x:v>TEXT:SYN-F03-04</x:v>
      </x:c>
      <x:c r="D76" s="10" t="str">
        <x:v>TEXT:M1504</x:v>
      </x:c>
      <x:c r="E76" s="15" t="n">
        <x:v>4.305607</x:v>
      </x:c>
      <x:c r="F76" s="15" t="str">
        <x:v>요청</x:v>
      </x:c>
      <x:c r="G76" s="15" t="n">
        <x:v>238</x:v>
      </x:c>
      <x:c r="H76" s="15" t="n">
        <x:v>22</x:v>
      </x:c>
      <x:c r="I76" s="15" t="n">
        <x:v>45.072</x:v>
      </x:c>
      <x:c r="J76" s="15" t="n">
        <x:v>0</x:v>
      </x:c>
      <x:c r="K76" s="15" t="n">
        <x:v>0</x:v>
      </x:c>
      <x:c r="L76" s="15" t="n">
        <x:v>0</x:v>
      </x:c>
      <x:c r="M76" s="15" t="n">
        <x:v>0</x:v>
      </x:c>
      <x:c r="N76" s="15" t="n">
        <x:v>0</x:v>
      </x:c>
      <x:c r="O76" s="15" t="n">
        <x:v>0</x:v>
      </x:c>
      <x:c r="P76" s="15" t="n">
        <x:v>0</x:v>
      </x:c>
      <x:c r="Q76" s="15" t="n">
        <x:v>0</x:v>
      </x:c>
      <x:c r="R76" s="15" t="n">
        <x:v>0</x:v>
      </x:c>
      <x:c r="S76" s="15" t="n">
        <x:v>0</x:v>
      </x:c>
      <x:c r="T76" s="15" t="n">
        <x:v>0</x:v>
      </x:c>
      <x:c r="U76" s="15" t="n">
        <x:v>0</x:v>
      </x:c>
      <x:c r="V76" s="15" t="n">
        <x:v>0</x:v>
      </x:c>
      <x:c r="W76" s="15" t="n">
        <x:v>0</x:v>
      </x:c>
      <x:c r="X76" s="15" t="n">
        <x:v>0</x:v>
      </x:c>
      <x:c r="Y76" s="15" t="n">
        <x:v>0</x:v>
      </x:c>
      <x:c r="Z76" s="15" t="n">
        <x:v>0</x:v>
      </x:c>
      <x:c r="AA76" s="15" t="n">
        <x:v>0</x:v>
      </x:c>
      <x:c r="AB76" s="15" t="n">
        <x:f>SUM(G76:AA76)</x:f>
        <x:v>305.072</x:v>
      </x:c>
    </x:row>
    <x:row r="77" ht="36" customHeight="1">
      <x:c r="A77" s="10" t="str">
        <x:v>T-REL</x:v>
      </x:c>
      <x:c r="B77" s="10" t="str">
        <x:v>TEXT</x:v>
      </x:c>
      <x:c r="C77" s="10" t="str">
        <x:v>TEXT:SYN-F03-04</x:v>
      </x:c>
      <x:c r="D77" s="10" t="str">
        <x:v>TEXT:M1516</x:v>
      </x:c>
      <x:c r="E77" s="15" t="n">
        <x:v>-8</x:v>
      </x:c>
      <x:c r="F77" s="15" t="str">
        <x:v>사전 생산</x:v>
      </x:c>
      <x:c r="G77" s="15" t="n">
        <x:v>238</x:v>
      </x:c>
      <x:c r="H77" s="15" t="n">
        <x:v>0</x:v>
      </x:c>
      <x:c r="I77" s="15" t="n">
        <x:v>32.76</x:v>
      </x:c>
      <x:c r="J77" s="15" t="n">
        <x:v>0</x:v>
      </x:c>
      <x:c r="K77" s="15" t="n">
        <x:v>38</x:v>
      </x:c>
      <x:c r="L77" s="15" t="n">
        <x:v>19</x:v>
      </x:c>
      <x:c r="M77" s="15" t="n">
        <x:v>0</x:v>
      </x:c>
      <x:c r="N77" s="15" t="n">
        <x:v>0</x:v>
      </x:c>
      <x:c r="O77" s="15" t="n">
        <x:v>0</x:v>
      </x:c>
      <x:c r="P77" s="15" t="n">
        <x:v>0</x:v>
      </x:c>
      <x:c r="Q77" s="15" t="n">
        <x:v>0</x:v>
      </x:c>
      <x:c r="R77" s="15" t="n">
        <x:v>0</x:v>
      </x:c>
      <x:c r="S77" s="15" t="n">
        <x:v>0</x:v>
      </x:c>
      <x:c r="T77" s="15" t="n">
        <x:v>0</x:v>
      </x:c>
      <x:c r="U77" s="15" t="n">
        <x:v>0</x:v>
      </x:c>
      <x:c r="V77" s="15" t="n">
        <x:v>0</x:v>
      </x:c>
      <x:c r="W77" s="15" t="n">
        <x:v>0</x:v>
      </x:c>
      <x:c r="X77" s="15" t="n">
        <x:v>0</x:v>
      </x:c>
      <x:c r="Y77" s="15" t="n">
        <x:v>0</x:v>
      </x:c>
      <x:c r="Z77" s="15" t="n">
        <x:v>0</x:v>
      </x:c>
      <x:c r="AA77" s="15" t="n">
        <x:v>0</x:v>
      </x:c>
      <x:c r="AB77" s="15" t="n">
        <x:f>SUM(G77:AA77)</x:f>
        <x:v>327.76</x:v>
      </x:c>
    </x:row>
    <x:row r="78" ht="36" customHeight="1">
      <x:c r="A78" s="10" t="str">
        <x:v>T-BASE</x:v>
      </x:c>
      <x:c r="B78" s="10" t="str">
        <x:v>TEXT</x:v>
      </x:c>
      <x:c r="C78" s="10" t="str">
        <x:v>TEXT:SYN-F03-05</x:v>
      </x:c>
      <x:c r="D78" s="10" t="str">
        <x:v>TEXT:M1540</x:v>
      </x:c>
      <x:c r="E78" s="15" t="n">
        <x:v>0.365</x:v>
      </x:c>
      <x:c r="F78" s="15" t="str">
        <x:v>요청</x:v>
      </x:c>
      <x:c r="G78" s="15" t="n">
        <x:v>238</x:v>
      </x:c>
      <x:c r="H78" s="15" t="n">
        <x:v>11</x:v>
      </x:c>
      <x:c r="I78" s="15" t="n">
        <x:v>29.328</x:v>
      </x:c>
      <x:c r="J78" s="15" t="n">
        <x:v>0</x:v>
      </x:c>
      <x:c r="K78" s="15" t="n">
        <x:v>0</x:v>
      </x:c>
      <x:c r="L78" s="15" t="n">
        <x:v>0</x:v>
      </x:c>
      <x:c r="M78" s="15" t="n">
        <x:v>0</x:v>
      </x:c>
      <x:c r="N78" s="15" t="n">
        <x:v>0</x:v>
      </x:c>
      <x:c r="O78" s="15" t="n">
        <x:v>0</x:v>
      </x:c>
      <x:c r="P78" s="15" t="n">
        <x:v>0</x:v>
      </x:c>
      <x:c r="Q78" s="15" t="n">
        <x:v>0</x:v>
      </x:c>
      <x:c r="R78" s="15" t="n">
        <x:v>0</x:v>
      </x:c>
      <x:c r="S78" s="15" t="n">
        <x:v>0</x:v>
      </x:c>
      <x:c r="T78" s="15" t="n">
        <x:v>0</x:v>
      </x:c>
      <x:c r="U78" s="15" t="n">
        <x:v>0</x:v>
      </x:c>
      <x:c r="V78" s="15" t="n">
        <x:v>0</x:v>
      </x:c>
      <x:c r="W78" s="15" t="n">
        <x:v>0</x:v>
      </x:c>
      <x:c r="X78" s="15" t="n">
        <x:v>0</x:v>
      </x:c>
      <x:c r="Y78" s="15" t="n">
        <x:v>0</x:v>
      </x:c>
      <x:c r="Z78" s="15" t="n">
        <x:v>0</x:v>
      </x:c>
      <x:c r="AA78" s="15" t="n">
        <x:v>0</x:v>
      </x:c>
      <x:c r="AB78" s="15" t="n">
        <x:f>SUM(G78:AA78)</x:f>
        <x:v>278.328</x:v>
      </x:c>
    </x:row>
    <x:row r="79" ht="36" customHeight="1">
      <x:c r="A79" s="10" t="str">
        <x:v>T-EXEC</x:v>
      </x:c>
      <x:c r="B79" s="10" t="str">
        <x:v>TEXT</x:v>
      </x:c>
      <x:c r="C79" s="10" t="str">
        <x:v>TEXT:SYN-F03-05</x:v>
      </x:c>
      <x:c r="D79" s="10" t="str">
        <x:v>TEXT:M1566</x:v>
      </x:c>
      <x:c r="E79" s="15" t="n">
        <x:v>4.363429</x:v>
      </x:c>
      <x:c r="F79" s="15" t="str">
        <x:v>요청</x:v>
      </x:c>
      <x:c r="G79" s="15" t="n">
        <x:v>238</x:v>
      </x:c>
      <x:c r="H79" s="15" t="n">
        <x:v>22</x:v>
      </x:c>
      <x:c r="I79" s="15" t="n">
        <x:v>45.24</x:v>
      </x:c>
      <x:c r="J79" s="15" t="n">
        <x:v>0</x:v>
      </x:c>
      <x:c r="K79" s="15" t="n">
        <x:v>0</x:v>
      </x:c>
      <x:c r="L79" s="15" t="n">
        <x:v>0</x:v>
      </x:c>
      <x:c r="M79" s="15" t="n">
        <x:v>0</x:v>
      </x:c>
      <x:c r="N79" s="15" t="n">
        <x:v>0</x:v>
      </x:c>
      <x:c r="O79" s="15" t="n">
        <x:v>0</x:v>
      </x:c>
      <x:c r="P79" s="15" t="n">
        <x:v>0</x:v>
      </x:c>
      <x:c r="Q79" s="15" t="n">
        <x:v>0</x:v>
      </x:c>
      <x:c r="R79" s="15" t="n">
        <x:v>0</x:v>
      </x:c>
      <x:c r="S79" s="15" t="n">
        <x:v>0</x:v>
      </x:c>
      <x:c r="T79" s="15" t="n">
        <x:v>0</x:v>
      </x:c>
      <x:c r="U79" s="15" t="n">
        <x:v>0</x:v>
      </x:c>
      <x:c r="V79" s="15" t="n">
        <x:v>0</x:v>
      </x:c>
      <x:c r="W79" s="15" t="n">
        <x:v>0</x:v>
      </x:c>
      <x:c r="X79" s="15" t="n">
        <x:v>0</x:v>
      </x:c>
      <x:c r="Y79" s="15" t="n">
        <x:v>0</x:v>
      </x:c>
      <x:c r="Z79" s="15" t="n">
        <x:v>0</x:v>
      </x:c>
      <x:c r="AA79" s="15" t="n">
        <x:v>0</x:v>
      </x:c>
      <x:c r="AB79" s="15" t="n">
        <x:f>SUM(G79:AA79)</x:f>
        <x:v>305.24</x:v>
      </x:c>
    </x:row>
    <x:row r="80" ht="36" customHeight="1">
      <x:c r="A80" s="10" t="str">
        <x:v>T-REL</x:v>
      </x:c>
      <x:c r="B80" s="10" t="str">
        <x:v>TEXT</x:v>
      </x:c>
      <x:c r="C80" s="10" t="str">
        <x:v>TEXT:SYN-F03-05</x:v>
      </x:c>
      <x:c r="D80" s="10" t="str">
        <x:v>TEXT:M1578</x:v>
      </x:c>
      <x:c r="E80" s="15" t="n">
        <x:v>-8</x:v>
      </x:c>
      <x:c r="F80" s="15" t="str">
        <x:v>사전 생산</x:v>
      </x:c>
      <x:c r="G80" s="15" t="n">
        <x:v>238</x:v>
      </x:c>
      <x:c r="H80" s="15" t="n">
        <x:v>0</x:v>
      </x:c>
      <x:c r="I80" s="15" t="n">
        <x:v>33.08</x:v>
      </x:c>
      <x:c r="J80" s="15" t="n">
        <x:v>0</x:v>
      </x:c>
      <x:c r="K80" s="15" t="n">
        <x:v>38</x:v>
      </x:c>
      <x:c r="L80" s="15" t="n">
        <x:v>19</x:v>
      </x:c>
      <x:c r="M80" s="15" t="n">
        <x:v>0</x:v>
      </x:c>
      <x:c r="N80" s="15" t="n">
        <x:v>0</x:v>
      </x:c>
      <x:c r="O80" s="15" t="n">
        <x:v>0</x:v>
      </x:c>
      <x:c r="P80" s="15" t="n">
        <x:v>0</x:v>
      </x:c>
      <x:c r="Q80" s="15" t="n">
        <x:v>0</x:v>
      </x:c>
      <x:c r="R80" s="15" t="n">
        <x:v>0</x:v>
      </x:c>
      <x:c r="S80" s="15" t="n">
        <x:v>0</x:v>
      </x:c>
      <x:c r="T80" s="15" t="n">
        <x:v>0</x:v>
      </x:c>
      <x:c r="U80" s="15" t="n">
        <x:v>0</x:v>
      </x:c>
      <x:c r="V80" s="15" t="n">
        <x:v>0</x:v>
      </x:c>
      <x:c r="W80" s="15" t="n">
        <x:v>0</x:v>
      </x:c>
      <x:c r="X80" s="15" t="n">
        <x:v>0</x:v>
      </x:c>
      <x:c r="Y80" s="15" t="n">
        <x:v>0</x:v>
      </x:c>
      <x:c r="Z80" s="15" t="n">
        <x:v>0</x:v>
      </x:c>
      <x:c r="AA80" s="15" t="n">
        <x:v>0</x:v>
      </x:c>
      <x:c r="AB80" s="15" t="n">
        <x:f>SUM(G80:AA80)</x:f>
        <x:v>328.08</x:v>
      </x:c>
    </x:row>
    <x:row r="81" ht="36" customHeight="1">
      <x:c r="A81" s="10" t="str">
        <x:v>T-BASE</x:v>
      </x:c>
      <x:c r="B81" s="10" t="str">
        <x:v>TEXT</x:v>
      </x:c>
      <x:c r="C81" s="10" t="str">
        <x:v>TEXT:SYN-F03-06</x:v>
      </x:c>
      <x:c r="D81" s="10" t="str">
        <x:v>TEXT:M1602</x:v>
      </x:c>
      <x:c r="E81" s="15" t="n">
        <x:v>0.39</x:v>
      </x:c>
      <x:c r="F81" s="15" t="str">
        <x:v>요청</x:v>
      </x:c>
      <x:c r="G81" s="15" t="n">
        <x:v>238</x:v>
      </x:c>
      <x:c r="H81" s="15" t="n">
        <x:v>11</x:v>
      </x:c>
      <x:c r="I81" s="15" t="n">
        <x:v>29.42</x:v>
      </x:c>
      <x:c r="J81" s="15" t="n">
        <x:v>0</x:v>
      </x:c>
      <x:c r="K81" s="15" t="n">
        <x:v>0</x:v>
      </x:c>
      <x:c r="L81" s="15" t="n">
        <x:v>0</x:v>
      </x:c>
      <x:c r="M81" s="15" t="n">
        <x:v>0</x:v>
      </x:c>
      <x:c r="N81" s="15" t="n">
        <x:v>0</x:v>
      </x:c>
      <x:c r="O81" s="15" t="n">
        <x:v>0</x:v>
      </x:c>
      <x:c r="P81" s="15" t="n">
        <x:v>0</x:v>
      </x:c>
      <x:c r="Q81" s="15" t="n">
        <x:v>0</x:v>
      </x:c>
      <x:c r="R81" s="15" t="n">
        <x:v>0</x:v>
      </x:c>
      <x:c r="S81" s="15" t="n">
        <x:v>0</x:v>
      </x:c>
      <x:c r="T81" s="15" t="n">
        <x:v>0</x:v>
      </x:c>
      <x:c r="U81" s="15" t="n">
        <x:v>0</x:v>
      </x:c>
      <x:c r="V81" s="15" t="n">
        <x:v>0</x:v>
      </x:c>
      <x:c r="W81" s="15" t="n">
        <x:v>0</x:v>
      </x:c>
      <x:c r="X81" s="15" t="n">
        <x:v>0</x:v>
      </x:c>
      <x:c r="Y81" s="15" t="n">
        <x:v>0</x:v>
      </x:c>
      <x:c r="Z81" s="15" t="n">
        <x:v>0</x:v>
      </x:c>
      <x:c r="AA81" s="15" t="n">
        <x:v>0</x:v>
      </x:c>
      <x:c r="AB81" s="15" t="n">
        <x:f>SUM(G81:AA81)</x:f>
        <x:v>278.42</x:v>
      </x:c>
    </x:row>
    <x:row r="82" ht="36" customHeight="1">
      <x:c r="A82" s="10" t="str">
        <x:v>T-EXEC</x:v>
      </x:c>
      <x:c r="B82" s="10" t="str">
        <x:v>TEXT</x:v>
      </x:c>
      <x:c r="C82" s="10" t="str">
        <x:v>TEXT:SYN-F03-06</x:v>
      </x:c>
      <x:c r="D82" s="10" t="str">
        <x:v>TEXT:M1628</x:v>
      </x:c>
      <x:c r="E82" s="15" t="n">
        <x:v>4.44625</x:v>
      </x:c>
      <x:c r="F82" s="15" t="str">
        <x:v>요청</x:v>
      </x:c>
      <x:c r="G82" s="15" t="n">
        <x:v>238</x:v>
      </x:c>
      <x:c r="H82" s="15" t="n">
        <x:v>22</x:v>
      </x:c>
      <x:c r="I82" s="15" t="n">
        <x:v>45.408</x:v>
      </x:c>
      <x:c r="J82" s="15" t="n">
        <x:v>0</x:v>
      </x:c>
      <x:c r="K82" s="15" t="n">
        <x:v>0</x:v>
      </x:c>
      <x:c r="L82" s="15" t="n">
        <x:v>0</x:v>
      </x:c>
      <x:c r="M82" s="15" t="n">
        <x:v>0</x:v>
      </x:c>
      <x:c r="N82" s="15" t="n">
        <x:v>0</x:v>
      </x:c>
      <x:c r="O82" s="15" t="n">
        <x:v>0</x:v>
      </x:c>
      <x:c r="P82" s="15" t="n">
        <x:v>0</x:v>
      </x:c>
      <x:c r="Q82" s="15" t="n">
        <x:v>0</x:v>
      </x:c>
      <x:c r="R82" s="15" t="n">
        <x:v>0</x:v>
      </x:c>
      <x:c r="S82" s="15" t="n">
        <x:v>0</x:v>
      </x:c>
      <x:c r="T82" s="15" t="n">
        <x:v>0</x:v>
      </x:c>
      <x:c r="U82" s="15" t="n">
        <x:v>0</x:v>
      </x:c>
      <x:c r="V82" s="15" t="n">
        <x:v>0</x:v>
      </x:c>
      <x:c r="W82" s="15" t="n">
        <x:v>0</x:v>
      </x:c>
      <x:c r="X82" s="15" t="n">
        <x:v>0</x:v>
      </x:c>
      <x:c r="Y82" s="15" t="n">
        <x:v>0</x:v>
      </x:c>
      <x:c r="Z82" s="15" t="n">
        <x:v>0</x:v>
      </x:c>
      <x:c r="AA82" s="15" t="n">
        <x:v>0</x:v>
      </x:c>
      <x:c r="AB82" s="15" t="n">
        <x:f>SUM(G82:AA82)</x:f>
        <x:v>305.408</x:v>
      </x:c>
    </x:row>
    <x:row r="83" ht="36" customHeight="1">
      <x:c r="A83" s="10" t="str">
        <x:v>T-REL</x:v>
      </x:c>
      <x:c r="B83" s="10" t="str">
        <x:v>TEXT</x:v>
      </x:c>
      <x:c r="C83" s="10" t="str">
        <x:v>TEXT:SYN-F03-06</x:v>
      </x:c>
      <x:c r="D83" s="10" t="str">
        <x:v>TEXT:M1640</x:v>
      </x:c>
      <x:c r="E83" s="15" t="n">
        <x:v>-8</x:v>
      </x:c>
      <x:c r="F83" s="15" t="str">
        <x:v>사전 생산</x:v>
      </x:c>
      <x:c r="G83" s="15" t="n">
        <x:v>238</x:v>
      </x:c>
      <x:c r="H83" s="15" t="n">
        <x:v>0</x:v>
      </x:c>
      <x:c r="I83" s="15" t="n">
        <x:v>33.4</x:v>
      </x:c>
      <x:c r="J83" s="15" t="n">
        <x:v>0</x:v>
      </x:c>
      <x:c r="K83" s="15" t="n">
        <x:v>38</x:v>
      </x:c>
      <x:c r="L83" s="15" t="n">
        <x:v>19</x:v>
      </x:c>
      <x:c r="M83" s="15" t="n">
        <x:v>0</x:v>
      </x:c>
      <x:c r="N83" s="15" t="n">
        <x:v>0</x:v>
      </x:c>
      <x:c r="O83" s="15" t="n">
        <x:v>0</x:v>
      </x:c>
      <x:c r="P83" s="15" t="n">
        <x:v>0</x:v>
      </x:c>
      <x:c r="Q83" s="15" t="n">
        <x:v>0</x:v>
      </x:c>
      <x:c r="R83" s="15" t="n">
        <x:v>0</x:v>
      </x:c>
      <x:c r="S83" s="15" t="n">
        <x:v>0</x:v>
      </x:c>
      <x:c r="T83" s="15" t="n">
        <x:v>0</x:v>
      </x:c>
      <x:c r="U83" s="15" t="n">
        <x:v>0</x:v>
      </x:c>
      <x:c r="V83" s="15" t="n">
        <x:v>0</x:v>
      </x:c>
      <x:c r="W83" s="15" t="n">
        <x:v>0</x:v>
      </x:c>
      <x:c r="X83" s="15" t="n">
        <x:v>0</x:v>
      </x:c>
      <x:c r="Y83" s="15" t="n">
        <x:v>0</x:v>
      </x:c>
      <x:c r="Z83" s="15" t="n">
        <x:v>0</x:v>
      </x:c>
      <x:c r="AA83" s="15" t="n">
        <x:v>0</x:v>
      </x:c>
      <x:c r="AB83" s="15" t="n">
        <x:f>SUM(G83:AA83)</x:f>
        <x:v>328.4</x:v>
      </x:c>
    </x:row>
    <x:row r="84" ht="36" customHeight="1">
      <x:c r="A84" s="10" t="str">
        <x:v>T-BASE</x:v>
      </x:c>
      <x:c r="B84" s="10" t="str">
        <x:v>TEXT</x:v>
      </x:c>
      <x:c r="C84" s="10" t="str">
        <x:v>TEXT:SYN-F03-07</x:v>
      </x:c>
      <x:c r="D84" s="10" t="str">
        <x:v>TEXT:M1664</x:v>
      </x:c>
      <x:c r="E84" s="15" t="n">
        <x:v>0.34</x:v>
      </x:c>
      <x:c r="F84" s="15" t="str">
        <x:v>요청</x:v>
      </x:c>
      <x:c r="G84" s="15" t="n">
        <x:v>238</x:v>
      </x:c>
      <x:c r="H84" s="15" t="n">
        <x:v>11</x:v>
      </x:c>
      <x:c r="I84" s="15" t="n">
        <x:v>29.512</x:v>
      </x:c>
      <x:c r="J84" s="15" t="n">
        <x:v>0</x:v>
      </x:c>
      <x:c r="K84" s="15" t="n">
        <x:v>0</x:v>
      </x:c>
      <x:c r="L84" s="15" t="n">
        <x:v>0</x:v>
      </x:c>
      <x:c r="M84" s="15" t="n">
        <x:v>0</x:v>
      </x:c>
      <x:c r="N84" s="15" t="n">
        <x:v>0</x:v>
      </x:c>
      <x:c r="O84" s="15" t="n">
        <x:v>0</x:v>
      </x:c>
      <x:c r="P84" s="15" t="n">
        <x:v>0</x:v>
      </x:c>
      <x:c r="Q84" s="15" t="n">
        <x:v>0</x:v>
      </x:c>
      <x:c r="R84" s="15" t="n">
        <x:v>0</x:v>
      </x:c>
      <x:c r="S84" s="15" t="n">
        <x:v>0</x:v>
      </x:c>
      <x:c r="T84" s="15" t="n">
        <x:v>0</x:v>
      </x:c>
      <x:c r="U84" s="15" t="n">
        <x:v>0</x:v>
      </x:c>
      <x:c r="V84" s="15" t="n">
        <x:v>0</x:v>
      </x:c>
      <x:c r="W84" s="15" t="n">
        <x:v>0</x:v>
      </x:c>
      <x:c r="X84" s="15" t="n">
        <x:v>0</x:v>
      </x:c>
      <x:c r="Y84" s="15" t="n">
        <x:v>0</x:v>
      </x:c>
      <x:c r="Z84" s="15" t="n">
        <x:v>0</x:v>
      </x:c>
      <x:c r="AA84" s="15" t="n">
        <x:v>0</x:v>
      </x:c>
      <x:c r="AB84" s="15" t="n">
        <x:f>SUM(G84:AA84)</x:f>
        <x:v>278.512</x:v>
      </x:c>
    </x:row>
    <x:row r="85" ht="36" customHeight="1">
      <x:c r="A85" s="10" t="str">
        <x:v>T-EXEC</x:v>
      </x:c>
      <x:c r="B85" s="10" t="str">
        <x:v>TEXT</x:v>
      </x:c>
      <x:c r="C85" s="10" t="str">
        <x:v>TEXT:SYN-F03-07</x:v>
      </x:c>
      <x:c r="D85" s="10" t="str">
        <x:v>TEXT:M1690</x:v>
      </x:c>
      <x:c r="E85" s="15" t="n">
        <x:v>4.454071</x:v>
      </x:c>
      <x:c r="F85" s="15" t="str">
        <x:v>요청</x:v>
      </x:c>
      <x:c r="G85" s="15" t="n">
        <x:v>238</x:v>
      </x:c>
      <x:c r="H85" s="15" t="n">
        <x:v>22</x:v>
      </x:c>
      <x:c r="I85" s="15" t="n">
        <x:v>45.576</x:v>
      </x:c>
      <x:c r="J85" s="15" t="n">
        <x:v>0</x:v>
      </x:c>
      <x:c r="K85" s="15" t="n">
        <x:v>0</x:v>
      </x:c>
      <x:c r="L85" s="15" t="n">
        <x:v>0</x:v>
      </x:c>
      <x:c r="M85" s="15" t="n">
        <x:v>0</x:v>
      </x:c>
      <x:c r="N85" s="15" t="n">
        <x:v>0</x:v>
      </x:c>
      <x:c r="O85" s="15" t="n">
        <x:v>0</x:v>
      </x:c>
      <x:c r="P85" s="15" t="n">
        <x:v>0</x:v>
      </x:c>
      <x:c r="Q85" s="15" t="n">
        <x:v>0</x:v>
      </x:c>
      <x:c r="R85" s="15" t="n">
        <x:v>0</x:v>
      </x:c>
      <x:c r="S85" s="15" t="n">
        <x:v>0</x:v>
      </x:c>
      <x:c r="T85" s="15" t="n">
        <x:v>0</x:v>
      </x:c>
      <x:c r="U85" s="15" t="n">
        <x:v>0</x:v>
      </x:c>
      <x:c r="V85" s="15" t="n">
        <x:v>0</x:v>
      </x:c>
      <x:c r="W85" s="15" t="n">
        <x:v>0</x:v>
      </x:c>
      <x:c r="X85" s="15" t="n">
        <x:v>0</x:v>
      </x:c>
      <x:c r="Y85" s="15" t="n">
        <x:v>0</x:v>
      </x:c>
      <x:c r="Z85" s="15" t="n">
        <x:v>0</x:v>
      </x:c>
      <x:c r="AA85" s="15" t="n">
        <x:v>0</x:v>
      </x:c>
      <x:c r="AB85" s="15" t="n">
        <x:f>SUM(G85:AA85)</x:f>
        <x:v>305.576</x:v>
      </x:c>
    </x:row>
    <x:row r="86" ht="36" customHeight="1">
      <x:c r="A86" s="10" t="str">
        <x:v>T-REL</x:v>
      </x:c>
      <x:c r="B86" s="10" t="str">
        <x:v>TEXT</x:v>
      </x:c>
      <x:c r="C86" s="10" t="str">
        <x:v>TEXT:SYN-F03-07</x:v>
      </x:c>
      <x:c r="D86" s="10" t="str">
        <x:v>TEXT:M1702</x:v>
      </x:c>
      <x:c r="E86" s="15" t="n">
        <x:v>-8</x:v>
      </x:c>
      <x:c r="F86" s="15" t="str">
        <x:v>사전 생산</x:v>
      </x:c>
      <x:c r="G86" s="15" t="n">
        <x:v>238</x:v>
      </x:c>
      <x:c r="H86" s="15" t="n">
        <x:v>0</x:v>
      </x:c>
      <x:c r="I86" s="15" t="n">
        <x:v>33.72</x:v>
      </x:c>
      <x:c r="J86" s="15" t="n">
        <x:v>0</x:v>
      </x:c>
      <x:c r="K86" s="15" t="n">
        <x:v>38</x:v>
      </x:c>
      <x:c r="L86" s="15" t="n">
        <x:v>19</x:v>
      </x:c>
      <x:c r="M86" s="15" t="n">
        <x:v>0</x:v>
      </x:c>
      <x:c r="N86" s="15" t="n">
        <x:v>0</x:v>
      </x:c>
      <x:c r="O86" s="15" t="n">
        <x:v>0</x:v>
      </x:c>
      <x:c r="P86" s="15" t="n">
        <x:v>0</x:v>
      </x:c>
      <x:c r="Q86" s="15" t="n">
        <x:v>0</x:v>
      </x:c>
      <x:c r="R86" s="15" t="n">
        <x:v>0</x:v>
      </x:c>
      <x:c r="S86" s="15" t="n">
        <x:v>0</x:v>
      </x:c>
      <x:c r="T86" s="15" t="n">
        <x:v>0</x:v>
      </x:c>
      <x:c r="U86" s="15" t="n">
        <x:v>0</x:v>
      </x:c>
      <x:c r="V86" s="15" t="n">
        <x:v>0</x:v>
      </x:c>
      <x:c r="W86" s="15" t="n">
        <x:v>0</x:v>
      </x:c>
      <x:c r="X86" s="15" t="n">
        <x:v>0</x:v>
      </x:c>
      <x:c r="Y86" s="15" t="n">
        <x:v>0</x:v>
      </x:c>
      <x:c r="Z86" s="15" t="n">
        <x:v>0</x:v>
      </x:c>
      <x:c r="AA86" s="15" t="n">
        <x:v>0</x:v>
      </x:c>
      <x:c r="AB86" s="15" t="n">
        <x:f>SUM(G86:AA86)</x:f>
        <x:v>328.72</x:v>
      </x:c>
    </x:row>
    <x:row r="87" ht="36" customHeight="1">
      <x:c r="A87" s="10" t="str">
        <x:v>T-BASE</x:v>
      </x:c>
      <x:c r="B87" s="10" t="str">
        <x:v>TEXT</x:v>
      </x:c>
      <x:c r="C87" s="10" t="str">
        <x:v>TEXT:SYN-F03-08</x:v>
      </x:c>
      <x:c r="D87" s="10" t="str">
        <x:v>TEXT:M1726</x:v>
      </x:c>
      <x:c r="E87" s="15" t="n">
        <x:v>0.365</x:v>
      </x:c>
      <x:c r="F87" s="15" t="str">
        <x:v>요청</x:v>
      </x:c>
      <x:c r="G87" s="15" t="n">
        <x:v>238</x:v>
      </x:c>
      <x:c r="H87" s="15" t="n">
        <x:v>11</x:v>
      </x:c>
      <x:c r="I87" s="15" t="n">
        <x:v>29.604</x:v>
      </x:c>
      <x:c r="J87" s="15" t="n">
        <x:v>0</x:v>
      </x:c>
      <x:c r="K87" s="15" t="n">
        <x:v>0</x:v>
      </x:c>
      <x:c r="L87" s="15" t="n">
        <x:v>0</x:v>
      </x:c>
      <x:c r="M87" s="15" t="n">
        <x:v>0</x:v>
      </x:c>
      <x:c r="N87" s="15" t="n">
        <x:v>0</x:v>
      </x:c>
      <x:c r="O87" s="15" t="n">
        <x:v>0</x:v>
      </x:c>
      <x:c r="P87" s="15" t="n">
        <x:v>0</x:v>
      </x:c>
      <x:c r="Q87" s="15" t="n">
        <x:v>0</x:v>
      </x:c>
      <x:c r="R87" s="15" t="n">
        <x:v>0</x:v>
      </x:c>
      <x:c r="S87" s="15" t="n">
        <x:v>0</x:v>
      </x:c>
      <x:c r="T87" s="15" t="n">
        <x:v>0</x:v>
      </x:c>
      <x:c r="U87" s="15" t="n">
        <x:v>0</x:v>
      </x:c>
      <x:c r="V87" s="15" t="n">
        <x:v>0</x:v>
      </x:c>
      <x:c r="W87" s="15" t="n">
        <x:v>0</x:v>
      </x:c>
      <x:c r="X87" s="15" t="n">
        <x:v>0</x:v>
      </x:c>
      <x:c r="Y87" s="15" t="n">
        <x:v>0</x:v>
      </x:c>
      <x:c r="Z87" s="15" t="n">
        <x:v>0</x:v>
      </x:c>
      <x:c r="AA87" s="15" t="n">
        <x:v>0</x:v>
      </x:c>
      <x:c r="AB87" s="15" t="n">
        <x:f>SUM(G87:AA87)</x:f>
        <x:v>278.604</x:v>
      </x:c>
    </x:row>
    <x:row r="88" ht="36" customHeight="1">
      <x:c r="A88" s="10" t="str">
        <x:v>T-EXEC</x:v>
      </x:c>
      <x:c r="B88" s="10" t="str">
        <x:v>TEXT</x:v>
      </x:c>
      <x:c r="C88" s="10" t="str">
        <x:v>TEXT:SYN-F03-08</x:v>
      </x:c>
      <x:c r="D88" s="10" t="str">
        <x:v>TEXT:M1752</x:v>
      </x:c>
      <x:c r="E88" s="15" t="n">
        <x:v>4.536893</x:v>
      </x:c>
      <x:c r="F88" s="15" t="str">
        <x:v>요청</x:v>
      </x:c>
      <x:c r="G88" s="15" t="n">
        <x:v>238</x:v>
      </x:c>
      <x:c r="H88" s="15" t="n">
        <x:v>22</x:v>
      </x:c>
      <x:c r="I88" s="15" t="n">
        <x:v>45.744</x:v>
      </x:c>
      <x:c r="J88" s="15" t="n">
        <x:v>0</x:v>
      </x:c>
      <x:c r="K88" s="15" t="n">
        <x:v>0</x:v>
      </x:c>
      <x:c r="L88" s="15" t="n">
        <x:v>0</x:v>
      </x:c>
      <x:c r="M88" s="15" t="n">
        <x:v>0</x:v>
      </x:c>
      <x:c r="N88" s="15" t="n">
        <x:v>0</x:v>
      </x:c>
      <x:c r="O88" s="15" t="n">
        <x:v>0</x:v>
      </x:c>
      <x:c r="P88" s="15" t="n">
        <x:v>0</x:v>
      </x:c>
      <x:c r="Q88" s="15" t="n">
        <x:v>0</x:v>
      </x:c>
      <x:c r="R88" s="15" t="n">
        <x:v>0</x:v>
      </x:c>
      <x:c r="S88" s="15" t="n">
        <x:v>0</x:v>
      </x:c>
      <x:c r="T88" s="15" t="n">
        <x:v>0</x:v>
      </x:c>
      <x:c r="U88" s="15" t="n">
        <x:v>0</x:v>
      </x:c>
      <x:c r="V88" s="15" t="n">
        <x:v>0</x:v>
      </x:c>
      <x:c r="W88" s="15" t="n">
        <x:v>0</x:v>
      </x:c>
      <x:c r="X88" s="15" t="n">
        <x:v>0</x:v>
      </x:c>
      <x:c r="Y88" s="15" t="n">
        <x:v>0</x:v>
      </x:c>
      <x:c r="Z88" s="15" t="n">
        <x:v>0</x:v>
      </x:c>
      <x:c r="AA88" s="15" t="n">
        <x:v>0</x:v>
      </x:c>
      <x:c r="AB88" s="15" t="n">
        <x:f>SUM(G88:AA88)</x:f>
        <x:v>305.744</x:v>
      </x:c>
    </x:row>
    <x:row r="89" ht="36" customHeight="1">
      <x:c r="A89" s="10" t="str">
        <x:v>T-REL</x:v>
      </x:c>
      <x:c r="B89" s="10" t="str">
        <x:v>TEXT</x:v>
      </x:c>
      <x:c r="C89" s="10" t="str">
        <x:v>TEXT:SYN-F03-08</x:v>
      </x:c>
      <x:c r="D89" s="10" t="str">
        <x:v>TEXT:M1764</x:v>
      </x:c>
      <x:c r="E89" s="15" t="n">
        <x:v>-8</x:v>
      </x:c>
      <x:c r="F89" s="15" t="str">
        <x:v>사전 생산</x:v>
      </x:c>
      <x:c r="G89" s="15" t="n">
        <x:v>238</x:v>
      </x:c>
      <x:c r="H89" s="15" t="n">
        <x:v>0</x:v>
      </x:c>
      <x:c r="I89" s="15" t="n">
        <x:v>34.04</x:v>
      </x:c>
      <x:c r="J89" s="15" t="n">
        <x:v>0</x:v>
      </x:c>
      <x:c r="K89" s="15" t="n">
        <x:v>38</x:v>
      </x:c>
      <x:c r="L89" s="15" t="n">
        <x:v>19</x:v>
      </x:c>
      <x:c r="M89" s="15" t="n">
        <x:v>0</x:v>
      </x:c>
      <x:c r="N89" s="15" t="n">
        <x:v>0</x:v>
      </x:c>
      <x:c r="O89" s="15" t="n">
        <x:v>0</x:v>
      </x:c>
      <x:c r="P89" s="15" t="n">
        <x:v>0</x:v>
      </x:c>
      <x:c r="Q89" s="15" t="n">
        <x:v>0</x:v>
      </x:c>
      <x:c r="R89" s="15" t="n">
        <x:v>0</x:v>
      </x:c>
      <x:c r="S89" s="15" t="n">
        <x:v>0</x:v>
      </x:c>
      <x:c r="T89" s="15" t="n">
        <x:v>0</x:v>
      </x:c>
      <x:c r="U89" s="15" t="n">
        <x:v>0</x:v>
      </x:c>
      <x:c r="V89" s="15" t="n">
        <x:v>0</x:v>
      </x:c>
      <x:c r="W89" s="15" t="n">
        <x:v>0</x:v>
      </x:c>
      <x:c r="X89" s="15" t="n">
        <x:v>0</x:v>
      </x:c>
      <x:c r="Y89" s="15" t="n">
        <x:v>0</x:v>
      </x:c>
      <x:c r="Z89" s="15" t="n">
        <x:v>0</x:v>
      </x:c>
      <x:c r="AA89" s="15" t="n">
        <x:v>0</x:v>
      </x:c>
      <x:c r="AB89" s="15" t="n">
        <x:f>SUM(G89:AA89)</x:f>
        <x:v>329.04</x:v>
      </x:c>
    </x:row>
    <x:row r="90" ht="36" customHeight="1">
      <x:c r="A90" s="10" t="str">
        <x:v>T-BASE</x:v>
      </x:c>
      <x:c r="B90" s="10" t="str">
        <x:v>TEXT</x:v>
      </x:c>
      <x:c r="C90" s="10" t="str">
        <x:v>TEXT:SYN-F03-09</x:v>
      </x:c>
      <x:c r="D90" s="10" t="str">
        <x:v>TEXT:M1788</x:v>
      </x:c>
      <x:c r="E90" s="15" t="n">
        <x:v>0.39</x:v>
      </x:c>
      <x:c r="F90" s="15" t="str">
        <x:v>요청</x:v>
      </x:c>
      <x:c r="G90" s="15" t="n">
        <x:v>238</x:v>
      </x:c>
      <x:c r="H90" s="15" t="n">
        <x:v>11</x:v>
      </x:c>
      <x:c r="I90" s="15" t="n">
        <x:v>29.696</x:v>
      </x:c>
      <x:c r="J90" s="15" t="n">
        <x:v>0</x:v>
      </x:c>
      <x:c r="K90" s="15" t="n">
        <x:v>0</x:v>
      </x:c>
      <x:c r="L90" s="15" t="n">
        <x:v>0</x:v>
      </x:c>
      <x:c r="M90" s="15" t="n">
        <x:v>0</x:v>
      </x:c>
      <x:c r="N90" s="15" t="n">
        <x:v>0</x:v>
      </x:c>
      <x:c r="O90" s="15" t="n">
        <x:v>0</x:v>
      </x:c>
      <x:c r="P90" s="15" t="n">
        <x:v>0</x:v>
      </x:c>
      <x:c r="Q90" s="15" t="n">
        <x:v>0</x:v>
      </x:c>
      <x:c r="R90" s="15" t="n">
        <x:v>0</x:v>
      </x:c>
      <x:c r="S90" s="15" t="n">
        <x:v>0</x:v>
      </x:c>
      <x:c r="T90" s="15" t="n">
        <x:v>0</x:v>
      </x:c>
      <x:c r="U90" s="15" t="n">
        <x:v>0</x:v>
      </x:c>
      <x:c r="V90" s="15" t="n">
        <x:v>0</x:v>
      </x:c>
      <x:c r="W90" s="15" t="n">
        <x:v>0</x:v>
      </x:c>
      <x:c r="X90" s="15" t="n">
        <x:v>0</x:v>
      </x:c>
      <x:c r="Y90" s="15" t="n">
        <x:v>0</x:v>
      </x:c>
      <x:c r="Z90" s="15" t="n">
        <x:v>0</x:v>
      </x:c>
      <x:c r="AA90" s="15" t="n">
        <x:v>0</x:v>
      </x:c>
      <x:c r="AB90" s="15" t="n">
        <x:f>SUM(G90:AA90)</x:f>
        <x:v>278.696</x:v>
      </x:c>
    </x:row>
    <x:row r="91" ht="36" customHeight="1">
      <x:c r="A91" s="10" t="str">
        <x:v>T-EXEC</x:v>
      </x:c>
      <x:c r="B91" s="10" t="str">
        <x:v>TEXT</x:v>
      </x:c>
      <x:c r="C91" s="10" t="str">
        <x:v>TEXT:SYN-F03-09</x:v>
      </x:c>
      <x:c r="D91" s="10" t="str">
        <x:v>TEXT:M1814</x:v>
      </x:c>
      <x:c r="E91" s="15" t="n">
        <x:v>4.594714</x:v>
      </x:c>
      <x:c r="F91" s="15" t="str">
        <x:v>요청</x:v>
      </x:c>
      <x:c r="G91" s="15" t="n">
        <x:v>238</x:v>
      </x:c>
      <x:c r="H91" s="15" t="n">
        <x:v>22</x:v>
      </x:c>
      <x:c r="I91" s="15" t="n">
        <x:v>45.912</x:v>
      </x:c>
      <x:c r="J91" s="15" t="n">
        <x:v>0</x:v>
      </x:c>
      <x:c r="K91" s="15" t="n">
        <x:v>0</x:v>
      </x:c>
      <x:c r="L91" s="15" t="n">
        <x:v>0</x:v>
      </x:c>
      <x:c r="M91" s="15" t="n">
        <x:v>0</x:v>
      </x:c>
      <x:c r="N91" s="15" t="n">
        <x:v>0</x:v>
      </x:c>
      <x:c r="O91" s="15" t="n">
        <x:v>0</x:v>
      </x:c>
      <x:c r="P91" s="15" t="n">
        <x:v>0</x:v>
      </x:c>
      <x:c r="Q91" s="15" t="n">
        <x:v>0</x:v>
      </x:c>
      <x:c r="R91" s="15" t="n">
        <x:v>0</x:v>
      </x:c>
      <x:c r="S91" s="15" t="n">
        <x:v>0</x:v>
      </x:c>
      <x:c r="T91" s="15" t="n">
        <x:v>0</x:v>
      </x:c>
      <x:c r="U91" s="15" t="n">
        <x:v>0</x:v>
      </x:c>
      <x:c r="V91" s="15" t="n">
        <x:v>0</x:v>
      </x:c>
      <x:c r="W91" s="15" t="n">
        <x:v>0</x:v>
      </x:c>
      <x:c r="X91" s="15" t="n">
        <x:v>0</x:v>
      </x:c>
      <x:c r="Y91" s="15" t="n">
        <x:v>0</x:v>
      </x:c>
      <x:c r="Z91" s="15" t="n">
        <x:v>0</x:v>
      </x:c>
      <x:c r="AA91" s="15" t="n">
        <x:v>0</x:v>
      </x:c>
      <x:c r="AB91" s="15" t="n">
        <x:f>SUM(G91:AA91)</x:f>
        <x:v>305.912</x:v>
      </x:c>
    </x:row>
    <x:row r="92" ht="36" customHeight="1">
      <x:c r="A92" s="10" t="str">
        <x:v>T-REL</x:v>
      </x:c>
      <x:c r="B92" s="10" t="str">
        <x:v>TEXT</x:v>
      </x:c>
      <x:c r="C92" s="10" t="str">
        <x:v>TEXT:SYN-F03-09</x:v>
      </x:c>
      <x:c r="D92" s="10" t="str">
        <x:v>TEXT:M1826</x:v>
      </x:c>
      <x:c r="E92" s="15" t="n">
        <x:v>-8</x:v>
      </x:c>
      <x:c r="F92" s="15" t="str">
        <x:v>사전 생산</x:v>
      </x:c>
      <x:c r="G92" s="15" t="n">
        <x:v>238</x:v>
      </x:c>
      <x:c r="H92" s="15" t="n">
        <x:v>0</x:v>
      </x:c>
      <x:c r="I92" s="15" t="n">
        <x:v>34.36</x:v>
      </x:c>
      <x:c r="J92" s="15" t="n">
        <x:v>0</x:v>
      </x:c>
      <x:c r="K92" s="15" t="n">
        <x:v>38</x:v>
      </x:c>
      <x:c r="L92" s="15" t="n">
        <x:v>19</x:v>
      </x:c>
      <x:c r="M92" s="15" t="n">
        <x:v>0</x:v>
      </x:c>
      <x:c r="N92" s="15" t="n">
        <x:v>0</x:v>
      </x:c>
      <x:c r="O92" s="15" t="n">
        <x:v>0</x:v>
      </x:c>
      <x:c r="P92" s="15" t="n">
        <x:v>0</x:v>
      </x:c>
      <x:c r="Q92" s="15" t="n">
        <x:v>0</x:v>
      </x:c>
      <x:c r="R92" s="15" t="n">
        <x:v>0</x:v>
      </x:c>
      <x:c r="S92" s="15" t="n">
        <x:v>0</x:v>
      </x:c>
      <x:c r="T92" s="15" t="n">
        <x:v>0</x:v>
      </x:c>
      <x:c r="U92" s="15" t="n">
        <x:v>0</x:v>
      </x:c>
      <x:c r="V92" s="15" t="n">
        <x:v>0</x:v>
      </x:c>
      <x:c r="W92" s="15" t="n">
        <x:v>0</x:v>
      </x:c>
      <x:c r="X92" s="15" t="n">
        <x:v>0</x:v>
      </x:c>
      <x:c r="Y92" s="15" t="n">
        <x:v>0</x:v>
      </x:c>
      <x:c r="Z92" s="15" t="n">
        <x:v>0</x:v>
      </x:c>
      <x:c r="AA92" s="15" t="n">
        <x:v>0</x:v>
      </x:c>
      <x:c r="AB92" s="15" t="n">
        <x:f>SUM(G92:AA92)</x:f>
        <x:v>329.36</x:v>
      </x:c>
    </x:row>
    <x:row r="93" ht="36" customHeight="1">
      <x:c r="A93" s="10" t="str">
        <x:v>T-BASE</x:v>
      </x:c>
      <x:c r="B93" s="10" t="str">
        <x:v>TEXT</x:v>
      </x:c>
      <x:c r="C93" s="10" t="str">
        <x:v>TEXT:SYN-F03-10</x:v>
      </x:c>
      <x:c r="D93" s="10" t="str">
        <x:v>TEXT:M1850</x:v>
      </x:c>
      <x:c r="E93" s="15" t="n">
        <x:v>0.34</x:v>
      </x:c>
      <x:c r="F93" s="15" t="str">
        <x:v>요청</x:v>
      </x:c>
      <x:c r="G93" s="15" t="n">
        <x:v>238</x:v>
      </x:c>
      <x:c r="H93" s="15" t="n">
        <x:v>11</x:v>
      </x:c>
      <x:c r="I93" s="15" t="n">
        <x:v>29.788</x:v>
      </x:c>
      <x:c r="J93" s="15" t="n">
        <x:v>0</x:v>
      </x:c>
      <x:c r="K93" s="15" t="n">
        <x:v>0</x:v>
      </x:c>
      <x:c r="L93" s="15" t="n">
        <x:v>0</x:v>
      </x:c>
      <x:c r="M93" s="15" t="n">
        <x:v>0</x:v>
      </x:c>
      <x:c r="N93" s="15" t="n">
        <x:v>0</x:v>
      </x:c>
      <x:c r="O93" s="15" t="n">
        <x:v>0</x:v>
      </x:c>
      <x:c r="P93" s="15" t="n">
        <x:v>0</x:v>
      </x:c>
      <x:c r="Q93" s="15" t="n">
        <x:v>0</x:v>
      </x:c>
      <x:c r="R93" s="15" t="n">
        <x:v>0</x:v>
      </x:c>
      <x:c r="S93" s="15" t="n">
        <x:v>0</x:v>
      </x:c>
      <x:c r="T93" s="15" t="n">
        <x:v>0</x:v>
      </x:c>
      <x:c r="U93" s="15" t="n">
        <x:v>0</x:v>
      </x:c>
      <x:c r="V93" s="15" t="n">
        <x:v>0</x:v>
      </x:c>
      <x:c r="W93" s="15" t="n">
        <x:v>0</x:v>
      </x:c>
      <x:c r="X93" s="15" t="n">
        <x:v>0</x:v>
      </x:c>
      <x:c r="Y93" s="15" t="n">
        <x:v>0</x:v>
      </x:c>
      <x:c r="Z93" s="15" t="n">
        <x:v>0</x:v>
      </x:c>
      <x:c r="AA93" s="15" t="n">
        <x:v>0</x:v>
      </x:c>
      <x:c r="AB93" s="15" t="n">
        <x:f>SUM(G93:AA93)</x:f>
        <x:v>278.788</x:v>
      </x:c>
    </x:row>
    <x:row r="94" ht="36" customHeight="1">
      <x:c r="A94" s="10" t="str">
        <x:v>T-EXEC</x:v>
      </x:c>
      <x:c r="B94" s="10" t="str">
        <x:v>TEXT</x:v>
      </x:c>
      <x:c r="C94" s="10" t="str">
        <x:v>TEXT:SYN-F03-10</x:v>
      </x:c>
      <x:c r="D94" s="10" t="str">
        <x:v>TEXT:M1876</x:v>
      </x:c>
      <x:c r="E94" s="15" t="n">
        <x:v>4.602536</x:v>
      </x:c>
      <x:c r="F94" s="15" t="str">
        <x:v>요청</x:v>
      </x:c>
      <x:c r="G94" s="15" t="n">
        <x:v>238</x:v>
      </x:c>
      <x:c r="H94" s="15" t="n">
        <x:v>22</x:v>
      </x:c>
      <x:c r="I94" s="15" t="n">
        <x:v>46.08</x:v>
      </x:c>
      <x:c r="J94" s="15" t="n">
        <x:v>0</x:v>
      </x:c>
      <x:c r="K94" s="15" t="n">
        <x:v>0</x:v>
      </x:c>
      <x:c r="L94" s="15" t="n">
        <x:v>0</x:v>
      </x:c>
      <x:c r="M94" s="15" t="n">
        <x:v>0</x:v>
      </x:c>
      <x:c r="N94" s="15" t="n">
        <x:v>0</x:v>
      </x:c>
      <x:c r="O94" s="15" t="n">
        <x:v>0</x:v>
      </x:c>
      <x:c r="P94" s="15" t="n">
        <x:v>0</x:v>
      </x:c>
      <x:c r="Q94" s="15" t="n">
        <x:v>0</x:v>
      </x:c>
      <x:c r="R94" s="15" t="n">
        <x:v>0</x:v>
      </x:c>
      <x:c r="S94" s="15" t="n">
        <x:v>0</x:v>
      </x:c>
      <x:c r="T94" s="15" t="n">
        <x:v>0</x:v>
      </x:c>
      <x:c r="U94" s="15" t="n">
        <x:v>0</x:v>
      </x:c>
      <x:c r="V94" s="15" t="n">
        <x:v>0</x:v>
      </x:c>
      <x:c r="W94" s="15" t="n">
        <x:v>0</x:v>
      </x:c>
      <x:c r="X94" s="15" t="n">
        <x:v>0</x:v>
      </x:c>
      <x:c r="Y94" s="15" t="n">
        <x:v>0</x:v>
      </x:c>
      <x:c r="Z94" s="15" t="n">
        <x:v>0</x:v>
      </x:c>
      <x:c r="AA94" s="15" t="n">
        <x:v>0</x:v>
      </x:c>
      <x:c r="AB94" s="15" t="n">
        <x:f>SUM(G94:AA94)</x:f>
        <x:v>306.08</x:v>
      </x:c>
    </x:row>
    <x:row r="95" ht="36" customHeight="1">
      <x:c r="A95" s="10" t="str">
        <x:v>T-REL</x:v>
      </x:c>
      <x:c r="B95" s="10" t="str">
        <x:v>TEXT</x:v>
      </x:c>
      <x:c r="C95" s="10" t="str">
        <x:v>TEXT:SYN-F03-10</x:v>
      </x:c>
      <x:c r="D95" s="10" t="str">
        <x:v>TEXT:M1888</x:v>
      </x:c>
      <x:c r="E95" s="15" t="n">
        <x:v>-8</x:v>
      </x:c>
      <x:c r="F95" s="15" t="str">
        <x:v>사전 생산</x:v>
      </x:c>
      <x:c r="G95" s="15" t="n">
        <x:v>238</x:v>
      </x:c>
      <x:c r="H95" s="15" t="n">
        <x:v>0</x:v>
      </x:c>
      <x:c r="I95" s="15" t="n">
        <x:v>34.68</x:v>
      </x:c>
      <x:c r="J95" s="15" t="n">
        <x:v>0</x:v>
      </x:c>
      <x:c r="K95" s="15" t="n">
        <x:v>38</x:v>
      </x:c>
      <x:c r="L95" s="15" t="n">
        <x:v>19</x:v>
      </x:c>
      <x:c r="M95" s="15" t="n">
        <x:v>0</x:v>
      </x:c>
      <x:c r="N95" s="15" t="n">
        <x:v>0</x:v>
      </x:c>
      <x:c r="O95" s="15" t="n">
        <x:v>0</x:v>
      </x:c>
      <x:c r="P95" s="15" t="n">
        <x:v>0</x:v>
      </x:c>
      <x:c r="Q95" s="15" t="n">
        <x:v>0</x:v>
      </x:c>
      <x:c r="R95" s="15" t="n">
        <x:v>0</x:v>
      </x:c>
      <x:c r="S95" s="15" t="n">
        <x:v>0</x:v>
      </x:c>
      <x:c r="T95" s="15" t="n">
        <x:v>0</x:v>
      </x:c>
      <x:c r="U95" s="15" t="n">
        <x:v>0</x:v>
      </x:c>
      <x:c r="V95" s="15" t="n">
        <x:v>0</x:v>
      </x:c>
      <x:c r="W95" s="15" t="n">
        <x:v>0</x:v>
      </x:c>
      <x:c r="X95" s="15" t="n">
        <x:v>0</x:v>
      </x:c>
      <x:c r="Y95" s="15" t="n">
        <x:v>0</x:v>
      </x:c>
      <x:c r="Z95" s="15" t="n">
        <x:v>0</x:v>
      </x:c>
      <x:c r="AA95" s="15" t="n">
        <x:v>0</x:v>
      </x:c>
      <x:c r="AB95" s="15" t="n">
        <x:f>SUM(G95:AA95)</x:f>
        <x:v>329.68</x:v>
      </x:c>
    </x:row>
    <x:row r="96" ht="36" customHeight="1">
      <x:c r="A96" s="10" t="str">
        <x:v>T-BASE</x:v>
      </x:c>
      <x:c r="B96" s="10" t="str">
        <x:v>TEXT</x:v>
      </x:c>
      <x:c r="C96" s="10" t="str">
        <x:v>TEXT:SYN-F04-01</x:v>
      </x:c>
      <x:c r="D96" s="10" t="str">
        <x:v>TEXT:M1912</x:v>
      </x:c>
      <x:c r="E96" s="15" t="n">
        <x:v>0.34</x:v>
      </x:c>
      <x:c r="F96" s="15" t="str">
        <x:v>요청</x:v>
      </x:c>
      <x:c r="G96" s="15" t="n">
        <x:v>238</x:v>
      </x:c>
      <x:c r="H96" s="15" t="n">
        <x:v>11</x:v>
      </x:c>
      <x:c r="I96" s="15" t="n">
        <x:v>25.6</x:v>
      </x:c>
      <x:c r="J96" s="15" t="n">
        <x:v>0</x:v>
      </x:c>
      <x:c r="K96" s="15" t="n">
        <x:v>0</x:v>
      </x:c>
      <x:c r="L96" s="15" t="n">
        <x:v>0</x:v>
      </x:c>
      <x:c r="M96" s="15" t="n">
        <x:v>0</x:v>
      </x:c>
      <x:c r="N96" s="15" t="n">
        <x:v>0</x:v>
      </x:c>
      <x:c r="O96" s="15" t="n">
        <x:v>0</x:v>
      </x:c>
      <x:c r="P96" s="15" t="n">
        <x:v>0</x:v>
      </x:c>
      <x:c r="Q96" s="15" t="n">
        <x:v>0</x:v>
      </x:c>
      <x:c r="R96" s="15" t="n">
        <x:v>0</x:v>
      </x:c>
      <x:c r="S96" s="15" t="n">
        <x:v>0</x:v>
      </x:c>
      <x:c r="T96" s="15" t="n">
        <x:v>0</x:v>
      </x:c>
      <x:c r="U96" s="15" t="n">
        <x:v>0</x:v>
      </x:c>
      <x:c r="V96" s="15" t="n">
        <x:v>0</x:v>
      </x:c>
      <x:c r="W96" s="15" t="n">
        <x:v>0</x:v>
      </x:c>
      <x:c r="X96" s="15" t="n">
        <x:v>0</x:v>
      </x:c>
      <x:c r="Y96" s="15" t="n">
        <x:v>0</x:v>
      </x:c>
      <x:c r="Z96" s="15" t="n">
        <x:v>0</x:v>
      </x:c>
      <x:c r="AA96" s="15" t="n">
        <x:v>0</x:v>
      </x:c>
      <x:c r="AB96" s="15" t="n">
        <x:f>SUM(G96:AA96)</x:f>
        <x:v>274.6</x:v>
      </x:c>
    </x:row>
    <x:row r="97" ht="36" customHeight="1">
      <x:c r="A97" s="10" t="str">
        <x:v>T-EXEC</x:v>
      </x:c>
      <x:c r="B97" s="10" t="str">
        <x:v>TEXT</x:v>
      </x:c>
      <x:c r="C97" s="10" t="str">
        <x:v>TEXT:SYN-F04-01</x:v>
      </x:c>
      <x:c r="D97" s="10" t="str">
        <x:v>TEXT:M1931</x:v>
      </x:c>
      <x:c r="E97" s="15" t="n">
        <x:v>0.34</x:v>
      </x:c>
      <x:c r="F97" s="15" t="str">
        <x:v>요청</x:v>
      </x:c>
      <x:c r="G97" s="15" t="n">
        <x:v>238</x:v>
      </x:c>
      <x:c r="H97" s="15" t="n">
        <x:v>11</x:v>
      </x:c>
      <x:c r="I97" s="15" t="n">
        <x:v>25.6</x:v>
      </x:c>
      <x:c r="J97" s="15" t="n">
        <x:v>0</x:v>
      </x:c>
      <x:c r="K97" s="15" t="n">
        <x:v>0</x:v>
      </x:c>
      <x:c r="L97" s="15" t="n">
        <x:v>0</x:v>
      </x:c>
      <x:c r="M97" s="15" t="n">
        <x:v>0</x:v>
      </x:c>
      <x:c r="N97" s="15" t="n">
        <x:v>0</x:v>
      </x:c>
      <x:c r="O97" s="15" t="n">
        <x:v>0</x:v>
      </x:c>
      <x:c r="P97" s="15" t="n">
        <x:v>0</x:v>
      </x:c>
      <x:c r="Q97" s="15" t="n">
        <x:v>0</x:v>
      </x:c>
      <x:c r="R97" s="15" t="n">
        <x:v>0</x:v>
      </x:c>
      <x:c r="S97" s="15" t="n">
        <x:v>0</x:v>
      </x:c>
      <x:c r="T97" s="15" t="n">
        <x:v>0</x:v>
      </x:c>
      <x:c r="U97" s="15" t="n">
        <x:v>0</x:v>
      </x:c>
      <x:c r="V97" s="15" t="n">
        <x:v>0</x:v>
      </x:c>
      <x:c r="W97" s="15" t="n">
        <x:v>0</x:v>
      </x:c>
      <x:c r="X97" s="15" t="n">
        <x:v>0</x:v>
      </x:c>
      <x:c r="Y97" s="15" t="n">
        <x:v>0</x:v>
      </x:c>
      <x:c r="Z97" s="15" t="n">
        <x:v>0</x:v>
      </x:c>
      <x:c r="AA97" s="15" t="n">
        <x:v>0</x:v>
      </x:c>
      <x:c r="AB97" s="15" t="n">
        <x:f>SUM(G97:AA97)</x:f>
        <x:v>274.6</x:v>
      </x:c>
    </x:row>
    <x:row r="98" ht="36" customHeight="1">
      <x:c r="A98" s="10" t="str">
        <x:v>T-REL</x:v>
      </x:c>
      <x:c r="B98" s="10" t="str">
        <x:v>TEXT</x:v>
      </x:c>
      <x:c r="C98" s="10" t="str">
        <x:v>TEXT:SYN-F04-01</x:v>
      </x:c>
      <x:c r="D98" s="10" t="str">
        <x:v>TEXT:M1949</x:v>
      </x:c>
      <x:c r="E98" s="15" t="n">
        <x:v>-8</x:v>
      </x:c>
      <x:c r="F98" s="15" t="str">
        <x:v>사전 생산</x:v>
      </x:c>
      <x:c r="G98" s="15" t="n">
        <x:v>238</x:v>
      </x:c>
      <x:c r="H98" s="15" t="n">
        <x:v>0</x:v>
      </x:c>
      <x:c r="I98" s="15" t="n">
        <x:v>31.8</x:v>
      </x:c>
      <x:c r="J98" s="15" t="n">
        <x:v>0</x:v>
      </x:c>
      <x:c r="K98" s="15" t="n">
        <x:v>38</x:v>
      </x:c>
      <x:c r="L98" s="15" t="n">
        <x:v>19</x:v>
      </x:c>
      <x:c r="M98" s="15" t="n">
        <x:v>0</x:v>
      </x:c>
      <x:c r="N98" s="15" t="n">
        <x:v>0</x:v>
      </x:c>
      <x:c r="O98" s="15" t="n">
        <x:v>0</x:v>
      </x:c>
      <x:c r="P98" s="15" t="n">
        <x:v>0</x:v>
      </x:c>
      <x:c r="Q98" s="15" t="n">
        <x:v>0</x:v>
      </x:c>
      <x:c r="R98" s="15" t="n">
        <x:v>0</x:v>
      </x:c>
      <x:c r="S98" s="15" t="n">
        <x:v>0</x:v>
      </x:c>
      <x:c r="T98" s="15" t="n">
        <x:v>0</x:v>
      </x:c>
      <x:c r="U98" s="15" t="n">
        <x:v>0</x:v>
      </x:c>
      <x:c r="V98" s="15" t="n">
        <x:v>0</x:v>
      </x:c>
      <x:c r="W98" s="15" t="n">
        <x:v>0</x:v>
      </x:c>
      <x:c r="X98" s="15" t="n">
        <x:v>0</x:v>
      </x:c>
      <x:c r="Y98" s="15" t="n">
        <x:v>0</x:v>
      </x:c>
      <x:c r="Z98" s="15" t="n">
        <x:v>0</x:v>
      </x:c>
      <x:c r="AA98" s="15" t="n">
        <x:v>0</x:v>
      </x:c>
      <x:c r="AB98" s="15" t="n">
        <x:f>SUM(G98:AA98)</x:f>
        <x:v>326.8</x:v>
      </x:c>
    </x:row>
    <x:row r="99" ht="36" customHeight="1">
      <x:c r="A99" s="10" t="str">
        <x:v>T-BASE</x:v>
      </x:c>
      <x:c r="B99" s="10" t="str">
        <x:v>TEXT</x:v>
      </x:c>
      <x:c r="C99" s="10" t="str">
        <x:v>TEXT:SYN-F04-02</x:v>
      </x:c>
      <x:c r="D99" s="10" t="str">
        <x:v>TEXT:M1973</x:v>
      </x:c>
      <x:c r="E99" s="15" t="n">
        <x:v>0.365</x:v>
      </x:c>
      <x:c r="F99" s="15" t="str">
        <x:v>요청</x:v>
      </x:c>
      <x:c r="G99" s="15" t="n">
        <x:v>238</x:v>
      </x:c>
      <x:c r="H99" s="15" t="n">
        <x:v>11</x:v>
      </x:c>
      <x:c r="I99" s="15" t="n">
        <x:v>25.692</x:v>
      </x:c>
      <x:c r="J99" s="15" t="n">
        <x:v>0</x:v>
      </x:c>
      <x:c r="K99" s="15" t="n">
        <x:v>0</x:v>
      </x:c>
      <x:c r="L99" s="15" t="n">
        <x:v>0</x:v>
      </x:c>
      <x:c r="M99" s="15" t="n">
        <x:v>0</x:v>
      </x:c>
      <x:c r="N99" s="15" t="n">
        <x:v>0</x:v>
      </x:c>
      <x:c r="O99" s="15" t="n">
        <x:v>0</x:v>
      </x:c>
      <x:c r="P99" s="15" t="n">
        <x:v>0</x:v>
      </x:c>
      <x:c r="Q99" s="15" t="n">
        <x:v>0</x:v>
      </x:c>
      <x:c r="R99" s="15" t="n">
        <x:v>0</x:v>
      </x:c>
      <x:c r="S99" s="15" t="n">
        <x:v>0</x:v>
      </x:c>
      <x:c r="T99" s="15" t="n">
        <x:v>0</x:v>
      </x:c>
      <x:c r="U99" s="15" t="n">
        <x:v>0</x:v>
      </x:c>
      <x:c r="V99" s="15" t="n">
        <x:v>0</x:v>
      </x:c>
      <x:c r="W99" s="15" t="n">
        <x:v>0</x:v>
      </x:c>
      <x:c r="X99" s="15" t="n">
        <x:v>0</x:v>
      </x:c>
      <x:c r="Y99" s="15" t="n">
        <x:v>0</x:v>
      </x:c>
      <x:c r="Z99" s="15" t="n">
        <x:v>0</x:v>
      </x:c>
      <x:c r="AA99" s="15" t="n">
        <x:v>0</x:v>
      </x:c>
      <x:c r="AB99" s="15" t="n">
        <x:f>SUM(G99:AA99)</x:f>
        <x:v>274.692</x:v>
      </x:c>
    </x:row>
    <x:row r="100" ht="36" customHeight="1">
      <x:c r="A100" s="10" t="str">
        <x:v>T-EXEC</x:v>
      </x:c>
      <x:c r="B100" s="10" t="str">
        <x:v>TEXT</x:v>
      </x:c>
      <x:c r="C100" s="10" t="str">
        <x:v>TEXT:SYN-F04-02</x:v>
      </x:c>
      <x:c r="D100" s="10" t="str">
        <x:v>TEXT:M1992</x:v>
      </x:c>
      <x:c r="E100" s="15" t="n">
        <x:v>0.365</x:v>
      </x:c>
      <x:c r="F100" s="15" t="str">
        <x:v>요청</x:v>
      </x:c>
      <x:c r="G100" s="15" t="n">
        <x:v>238</x:v>
      </x:c>
      <x:c r="H100" s="15" t="n">
        <x:v>11</x:v>
      </x:c>
      <x:c r="I100" s="15" t="n">
        <x:v>25.692</x:v>
      </x:c>
      <x:c r="J100" s="15" t="n">
        <x:v>0</x:v>
      </x:c>
      <x:c r="K100" s="15" t="n">
        <x:v>0</x:v>
      </x:c>
      <x:c r="L100" s="15" t="n">
        <x:v>0</x:v>
      </x:c>
      <x:c r="M100" s="15" t="n">
        <x:v>0</x:v>
      </x:c>
      <x:c r="N100" s="15" t="n">
        <x:v>0</x:v>
      </x:c>
      <x:c r="O100" s="15" t="n">
        <x:v>0</x:v>
      </x:c>
      <x:c r="P100" s="15" t="n">
        <x:v>0</x:v>
      </x:c>
      <x:c r="Q100" s="15" t="n">
        <x:v>0</x:v>
      </x:c>
      <x:c r="R100" s="15" t="n">
        <x:v>0</x:v>
      </x:c>
      <x:c r="S100" s="15" t="n">
        <x:v>0</x:v>
      </x:c>
      <x:c r="T100" s="15" t="n">
        <x:v>0</x:v>
      </x:c>
      <x:c r="U100" s="15" t="n">
        <x:v>0</x:v>
      </x:c>
      <x:c r="V100" s="15" t="n">
        <x:v>0</x:v>
      </x:c>
      <x:c r="W100" s="15" t="n">
        <x:v>0</x:v>
      </x:c>
      <x:c r="X100" s="15" t="n">
        <x:v>0</x:v>
      </x:c>
      <x:c r="Y100" s="15" t="n">
        <x:v>0</x:v>
      </x:c>
      <x:c r="Z100" s="15" t="n">
        <x:v>0</x:v>
      </x:c>
      <x:c r="AA100" s="15" t="n">
        <x:v>0</x:v>
      </x:c>
      <x:c r="AB100" s="15" t="n">
        <x:f>SUM(G100:AA100)</x:f>
        <x:v>274.692</x:v>
      </x:c>
    </x:row>
    <x:row r="101" ht="36" customHeight="1">
      <x:c r="A101" s="10" t="str">
        <x:v>T-REL</x:v>
      </x:c>
      <x:c r="B101" s="10" t="str">
        <x:v>TEXT</x:v>
      </x:c>
      <x:c r="C101" s="10" t="str">
        <x:v>TEXT:SYN-F04-02</x:v>
      </x:c>
      <x:c r="D101" s="10" t="str">
        <x:v>TEXT:M2010</x:v>
      </x:c>
      <x:c r="E101" s="15" t="n">
        <x:v>-8</x:v>
      </x:c>
      <x:c r="F101" s="15" t="str">
        <x:v>사전 생산</x:v>
      </x:c>
      <x:c r="G101" s="15" t="n">
        <x:v>238</x:v>
      </x:c>
      <x:c r="H101" s="15" t="n">
        <x:v>0</x:v>
      </x:c>
      <x:c r="I101" s="15" t="n">
        <x:v>32.12</x:v>
      </x:c>
      <x:c r="J101" s="15" t="n">
        <x:v>0</x:v>
      </x:c>
      <x:c r="K101" s="15" t="n">
        <x:v>38</x:v>
      </x:c>
      <x:c r="L101" s="15" t="n">
        <x:v>19</x:v>
      </x:c>
      <x:c r="M101" s="15" t="n">
        <x:v>0</x:v>
      </x:c>
      <x:c r="N101" s="15" t="n">
        <x:v>0</x:v>
      </x:c>
      <x:c r="O101" s="15" t="n">
        <x:v>0</x:v>
      </x:c>
      <x:c r="P101" s="15" t="n">
        <x:v>0</x:v>
      </x:c>
      <x:c r="Q101" s="15" t="n">
        <x:v>0</x:v>
      </x:c>
      <x:c r="R101" s="15" t="n">
        <x:v>0</x:v>
      </x:c>
      <x:c r="S101" s="15" t="n">
        <x:v>0</x:v>
      </x:c>
      <x:c r="T101" s="15" t="n">
        <x:v>0</x:v>
      </x:c>
      <x:c r="U101" s="15" t="n">
        <x:v>0</x:v>
      </x:c>
      <x:c r="V101" s="15" t="n">
        <x:v>0</x:v>
      </x:c>
      <x:c r="W101" s="15" t="n">
        <x:v>0</x:v>
      </x:c>
      <x:c r="X101" s="15" t="n">
        <x:v>0</x:v>
      </x:c>
      <x:c r="Y101" s="15" t="n">
        <x:v>0</x:v>
      </x:c>
      <x:c r="Z101" s="15" t="n">
        <x:v>0</x:v>
      </x:c>
      <x:c r="AA101" s="15" t="n">
        <x:v>0</x:v>
      </x:c>
      <x:c r="AB101" s="15" t="n">
        <x:f>SUM(G101:AA101)</x:f>
        <x:v>327.12</x:v>
      </x:c>
    </x:row>
    <x:row r="102" ht="36" customHeight="1">
      <x:c r="A102" s="10" t="str">
        <x:v>T-BASE</x:v>
      </x:c>
      <x:c r="B102" s="10" t="str">
        <x:v>TEXT</x:v>
      </x:c>
      <x:c r="C102" s="10" t="str">
        <x:v>TEXT:SYN-F04-03</x:v>
      </x:c>
      <x:c r="D102" s="10" t="str">
        <x:v>TEXT:M2034</x:v>
      </x:c>
      <x:c r="E102" s="15" t="n">
        <x:v>0.39</x:v>
      </x:c>
      <x:c r="F102" s="15" t="str">
        <x:v>요청</x:v>
      </x:c>
      <x:c r="G102" s="15" t="n">
        <x:v>238</x:v>
      </x:c>
      <x:c r="H102" s="15" t="n">
        <x:v>11</x:v>
      </x:c>
      <x:c r="I102" s="15" t="n">
        <x:v>25.784</x:v>
      </x:c>
      <x:c r="J102" s="15" t="n">
        <x:v>0</x:v>
      </x:c>
      <x:c r="K102" s="15" t="n">
        <x:v>0</x:v>
      </x:c>
      <x:c r="L102" s="15" t="n">
        <x:v>0</x:v>
      </x:c>
      <x:c r="M102" s="15" t="n">
        <x:v>0</x:v>
      </x:c>
      <x:c r="N102" s="15" t="n">
        <x:v>0</x:v>
      </x:c>
      <x:c r="O102" s="15" t="n">
        <x:v>0</x:v>
      </x:c>
      <x:c r="P102" s="15" t="n">
        <x:v>0</x:v>
      </x:c>
      <x:c r="Q102" s="15" t="n">
        <x:v>0</x:v>
      </x:c>
      <x:c r="R102" s="15" t="n">
        <x:v>0</x:v>
      </x:c>
      <x:c r="S102" s="15" t="n">
        <x:v>0</x:v>
      </x:c>
      <x:c r="T102" s="15" t="n">
        <x:v>0</x:v>
      </x:c>
      <x:c r="U102" s="15" t="n">
        <x:v>0</x:v>
      </x:c>
      <x:c r="V102" s="15" t="n">
        <x:v>0</x:v>
      </x:c>
      <x:c r="W102" s="15" t="n">
        <x:v>0</x:v>
      </x:c>
      <x:c r="X102" s="15" t="n">
        <x:v>0</x:v>
      </x:c>
      <x:c r="Y102" s="15" t="n">
        <x:v>0</x:v>
      </x:c>
      <x:c r="Z102" s="15" t="n">
        <x:v>0</x:v>
      </x:c>
      <x:c r="AA102" s="15" t="n">
        <x:v>0</x:v>
      </x:c>
      <x:c r="AB102" s="15" t="n">
        <x:f>SUM(G102:AA102)</x:f>
        <x:v>274.784</x:v>
      </x:c>
    </x:row>
    <x:row r="103" ht="36" customHeight="1">
      <x:c r="A103" s="10" t="str">
        <x:v>T-EXEC</x:v>
      </x:c>
      <x:c r="B103" s="10" t="str">
        <x:v>TEXT</x:v>
      </x:c>
      <x:c r="C103" s="10" t="str">
        <x:v>TEXT:SYN-F04-03</x:v>
      </x:c>
      <x:c r="D103" s="10" t="str">
        <x:v>TEXT:M2053</x:v>
      </x:c>
      <x:c r="E103" s="15" t="n">
        <x:v>0.39</x:v>
      </x:c>
      <x:c r="F103" s="15" t="str">
        <x:v>요청</x:v>
      </x:c>
      <x:c r="G103" s="15" t="n">
        <x:v>238</x:v>
      </x:c>
      <x:c r="H103" s="15" t="n">
        <x:v>11</x:v>
      </x:c>
      <x:c r="I103" s="15" t="n">
        <x:v>25.784</x:v>
      </x:c>
      <x:c r="J103" s="15" t="n">
        <x:v>0</x:v>
      </x:c>
      <x:c r="K103" s="15" t="n">
        <x:v>0</x:v>
      </x:c>
      <x:c r="L103" s="15" t="n">
        <x:v>0</x:v>
      </x:c>
      <x:c r="M103" s="15" t="n">
        <x:v>0</x:v>
      </x:c>
      <x:c r="N103" s="15" t="n">
        <x:v>0</x:v>
      </x:c>
      <x:c r="O103" s="15" t="n">
        <x:v>0</x:v>
      </x:c>
      <x:c r="P103" s="15" t="n">
        <x:v>0</x:v>
      </x:c>
      <x:c r="Q103" s="15" t="n">
        <x:v>0</x:v>
      </x:c>
      <x:c r="R103" s="15" t="n">
        <x:v>0</x:v>
      </x:c>
      <x:c r="S103" s="15" t="n">
        <x:v>0</x:v>
      </x:c>
      <x:c r="T103" s="15" t="n">
        <x:v>0</x:v>
      </x:c>
      <x:c r="U103" s="15" t="n">
        <x:v>0</x:v>
      </x:c>
      <x:c r="V103" s="15" t="n">
        <x:v>0</x:v>
      </x:c>
      <x:c r="W103" s="15" t="n">
        <x:v>0</x:v>
      </x:c>
      <x:c r="X103" s="15" t="n">
        <x:v>0</x:v>
      </x:c>
      <x:c r="Y103" s="15" t="n">
        <x:v>0</x:v>
      </x:c>
      <x:c r="Z103" s="15" t="n">
        <x:v>0</x:v>
      </x:c>
      <x:c r="AA103" s="15" t="n">
        <x:v>0</x:v>
      </x:c>
      <x:c r="AB103" s="15" t="n">
        <x:f>SUM(G103:AA103)</x:f>
        <x:v>274.784</x:v>
      </x:c>
    </x:row>
    <x:row r="104" ht="36" customHeight="1">
      <x:c r="A104" s="10" t="str">
        <x:v>T-REL</x:v>
      </x:c>
      <x:c r="B104" s="10" t="str">
        <x:v>TEXT</x:v>
      </x:c>
      <x:c r="C104" s="10" t="str">
        <x:v>TEXT:SYN-F04-03</x:v>
      </x:c>
      <x:c r="D104" s="10" t="str">
        <x:v>TEXT:M2071</x:v>
      </x:c>
      <x:c r="E104" s="15" t="n">
        <x:v>-8</x:v>
      </x:c>
      <x:c r="F104" s="15" t="str">
        <x:v>사전 생산</x:v>
      </x:c>
      <x:c r="G104" s="15" t="n">
        <x:v>238</x:v>
      </x:c>
      <x:c r="H104" s="15" t="n">
        <x:v>0</x:v>
      </x:c>
      <x:c r="I104" s="15" t="n">
        <x:v>32.44</x:v>
      </x:c>
      <x:c r="J104" s="15" t="n">
        <x:v>0</x:v>
      </x:c>
      <x:c r="K104" s="15" t="n">
        <x:v>38</x:v>
      </x:c>
      <x:c r="L104" s="15" t="n">
        <x:v>19</x:v>
      </x:c>
      <x:c r="M104" s="15" t="n">
        <x:v>0</x:v>
      </x:c>
      <x:c r="N104" s="15" t="n">
        <x:v>0</x:v>
      </x:c>
      <x:c r="O104" s="15" t="n">
        <x:v>0</x:v>
      </x:c>
      <x:c r="P104" s="15" t="n">
        <x:v>0</x:v>
      </x:c>
      <x:c r="Q104" s="15" t="n">
        <x:v>0</x:v>
      </x:c>
      <x:c r="R104" s="15" t="n">
        <x:v>0</x:v>
      </x:c>
      <x:c r="S104" s="15" t="n">
        <x:v>0</x:v>
      </x:c>
      <x:c r="T104" s="15" t="n">
        <x:v>0</x:v>
      </x:c>
      <x:c r="U104" s="15" t="n">
        <x:v>0</x:v>
      </x:c>
      <x:c r="V104" s="15" t="n">
        <x:v>0</x:v>
      </x:c>
      <x:c r="W104" s="15" t="n">
        <x:v>0</x:v>
      </x:c>
      <x:c r="X104" s="15" t="n">
        <x:v>0</x:v>
      </x:c>
      <x:c r="Y104" s="15" t="n">
        <x:v>0</x:v>
      </x:c>
      <x:c r="Z104" s="15" t="n">
        <x:v>0</x:v>
      </x:c>
      <x:c r="AA104" s="15" t="n">
        <x:v>0</x:v>
      </x:c>
      <x:c r="AB104" s="15" t="n">
        <x:f>SUM(G104:AA104)</x:f>
        <x:v>327.44</x:v>
      </x:c>
    </x:row>
    <x:row r="105" ht="36" customHeight="1">
      <x:c r="A105" s="10" t="str">
        <x:v>T-BASE</x:v>
      </x:c>
      <x:c r="B105" s="10" t="str">
        <x:v>TEXT</x:v>
      </x:c>
      <x:c r="C105" s="10" t="str">
        <x:v>TEXT:SYN-F04-04</x:v>
      </x:c>
      <x:c r="D105" s="10" t="str">
        <x:v>TEXT:M2095</x:v>
      </x:c>
      <x:c r="E105" s="15" t="n">
        <x:v>0.34</x:v>
      </x:c>
      <x:c r="F105" s="15" t="str">
        <x:v>요청</x:v>
      </x:c>
      <x:c r="G105" s="15" t="n">
        <x:v>238</x:v>
      </x:c>
      <x:c r="H105" s="15" t="n">
        <x:v>11</x:v>
      </x:c>
      <x:c r="I105" s="15" t="n">
        <x:v>25.876</x:v>
      </x:c>
      <x:c r="J105" s="15" t="n">
        <x:v>0</x:v>
      </x:c>
      <x:c r="K105" s="15" t="n">
        <x:v>0</x:v>
      </x:c>
      <x:c r="L105" s="15" t="n">
        <x:v>0</x:v>
      </x:c>
      <x:c r="M105" s="15" t="n">
        <x:v>0</x:v>
      </x:c>
      <x:c r="N105" s="15" t="n">
        <x:v>0</x:v>
      </x:c>
      <x:c r="O105" s="15" t="n">
        <x:v>0</x:v>
      </x:c>
      <x:c r="P105" s="15" t="n">
        <x:v>0</x:v>
      </x:c>
      <x:c r="Q105" s="15" t="n">
        <x:v>0</x:v>
      </x:c>
      <x:c r="R105" s="15" t="n">
        <x:v>0</x:v>
      </x:c>
      <x:c r="S105" s="15" t="n">
        <x:v>0</x:v>
      </x:c>
      <x:c r="T105" s="15" t="n">
        <x:v>0</x:v>
      </x:c>
      <x:c r="U105" s="15" t="n">
        <x:v>0</x:v>
      </x:c>
      <x:c r="V105" s="15" t="n">
        <x:v>0</x:v>
      </x:c>
      <x:c r="W105" s="15" t="n">
        <x:v>0</x:v>
      </x:c>
      <x:c r="X105" s="15" t="n">
        <x:v>0</x:v>
      </x:c>
      <x:c r="Y105" s="15" t="n">
        <x:v>0</x:v>
      </x:c>
      <x:c r="Z105" s="15" t="n">
        <x:v>0</x:v>
      </x:c>
      <x:c r="AA105" s="15" t="n">
        <x:v>0</x:v>
      </x:c>
      <x:c r="AB105" s="15" t="n">
        <x:f>SUM(G105:AA105)</x:f>
        <x:v>274.876</x:v>
      </x:c>
    </x:row>
    <x:row r="106" ht="36" customHeight="1">
      <x:c r="A106" s="10" t="str">
        <x:v>T-EXEC</x:v>
      </x:c>
      <x:c r="B106" s="10" t="str">
        <x:v>TEXT</x:v>
      </x:c>
      <x:c r="C106" s="10" t="str">
        <x:v>TEXT:SYN-F04-04</x:v>
      </x:c>
      <x:c r="D106" s="10" t="str">
        <x:v>TEXT:M2114</x:v>
      </x:c>
      <x:c r="E106" s="15" t="n">
        <x:v>0.34</x:v>
      </x:c>
      <x:c r="F106" s="15" t="str">
        <x:v>요청</x:v>
      </x:c>
      <x:c r="G106" s="15" t="n">
        <x:v>238</x:v>
      </x:c>
      <x:c r="H106" s="15" t="n">
        <x:v>11</x:v>
      </x:c>
      <x:c r="I106" s="15" t="n">
        <x:v>25.876</x:v>
      </x:c>
      <x:c r="J106" s="15" t="n">
        <x:v>0</x:v>
      </x:c>
      <x:c r="K106" s="15" t="n">
        <x:v>0</x:v>
      </x:c>
      <x:c r="L106" s="15" t="n">
        <x:v>0</x:v>
      </x:c>
      <x:c r="M106" s="15" t="n">
        <x:v>0</x:v>
      </x:c>
      <x:c r="N106" s="15" t="n">
        <x:v>0</x:v>
      </x:c>
      <x:c r="O106" s="15" t="n">
        <x:v>0</x:v>
      </x:c>
      <x:c r="P106" s="15" t="n">
        <x:v>0</x:v>
      </x:c>
      <x:c r="Q106" s="15" t="n">
        <x:v>0</x:v>
      </x:c>
      <x:c r="R106" s="15" t="n">
        <x:v>0</x:v>
      </x:c>
      <x:c r="S106" s="15" t="n">
        <x:v>0</x:v>
      </x:c>
      <x:c r="T106" s="15" t="n">
        <x:v>0</x:v>
      </x:c>
      <x:c r="U106" s="15" t="n">
        <x:v>0</x:v>
      </x:c>
      <x:c r="V106" s="15" t="n">
        <x:v>0</x:v>
      </x:c>
      <x:c r="W106" s="15" t="n">
        <x:v>0</x:v>
      </x:c>
      <x:c r="X106" s="15" t="n">
        <x:v>0</x:v>
      </x:c>
      <x:c r="Y106" s="15" t="n">
        <x:v>0</x:v>
      </x:c>
      <x:c r="Z106" s="15" t="n">
        <x:v>0</x:v>
      </x:c>
      <x:c r="AA106" s="15" t="n">
        <x:v>0</x:v>
      </x:c>
      <x:c r="AB106" s="15" t="n">
        <x:f>SUM(G106:AA106)</x:f>
        <x:v>274.876</x:v>
      </x:c>
    </x:row>
    <x:row r="107" ht="36" customHeight="1">
      <x:c r="A107" s="10" t="str">
        <x:v>T-REL</x:v>
      </x:c>
      <x:c r="B107" s="10" t="str">
        <x:v>TEXT</x:v>
      </x:c>
      <x:c r="C107" s="10" t="str">
        <x:v>TEXT:SYN-F04-04</x:v>
      </x:c>
      <x:c r="D107" s="10" t="str">
        <x:v>TEXT:M2132</x:v>
      </x:c>
      <x:c r="E107" s="15" t="n">
        <x:v>-8</x:v>
      </x:c>
      <x:c r="F107" s="15" t="str">
        <x:v>사전 생산</x:v>
      </x:c>
      <x:c r="G107" s="15" t="n">
        <x:v>238</x:v>
      </x:c>
      <x:c r="H107" s="15" t="n">
        <x:v>0</x:v>
      </x:c>
      <x:c r="I107" s="15" t="n">
        <x:v>32.76</x:v>
      </x:c>
      <x:c r="J107" s="15" t="n">
        <x:v>0</x:v>
      </x:c>
      <x:c r="K107" s="15" t="n">
        <x:v>38</x:v>
      </x:c>
      <x:c r="L107" s="15" t="n">
        <x:v>19</x:v>
      </x:c>
      <x:c r="M107" s="15" t="n">
        <x:v>0</x:v>
      </x:c>
      <x:c r="N107" s="15" t="n">
        <x:v>0</x:v>
      </x:c>
      <x:c r="O107" s="15" t="n">
        <x:v>0</x:v>
      </x:c>
      <x:c r="P107" s="15" t="n">
        <x:v>0</x:v>
      </x:c>
      <x:c r="Q107" s="15" t="n">
        <x:v>0</x:v>
      </x:c>
      <x:c r="R107" s="15" t="n">
        <x:v>0</x:v>
      </x:c>
      <x:c r="S107" s="15" t="n">
        <x:v>0</x:v>
      </x:c>
      <x:c r="T107" s="15" t="n">
        <x:v>0</x:v>
      </x:c>
      <x:c r="U107" s="15" t="n">
        <x:v>0</x:v>
      </x:c>
      <x:c r="V107" s="15" t="n">
        <x:v>0</x:v>
      </x:c>
      <x:c r="W107" s="15" t="n">
        <x:v>0</x:v>
      </x:c>
      <x:c r="X107" s="15" t="n">
        <x:v>0</x:v>
      </x:c>
      <x:c r="Y107" s="15" t="n">
        <x:v>0</x:v>
      </x:c>
      <x:c r="Z107" s="15" t="n">
        <x:v>0</x:v>
      </x:c>
      <x:c r="AA107" s="15" t="n">
        <x:v>0</x:v>
      </x:c>
      <x:c r="AB107" s="15" t="n">
        <x:f>SUM(G107:AA107)</x:f>
        <x:v>327.76</x:v>
      </x:c>
    </x:row>
    <x:row r="108" ht="36" customHeight="1">
      <x:c r="A108" s="10" t="str">
        <x:v>T-BASE</x:v>
      </x:c>
      <x:c r="B108" s="10" t="str">
        <x:v>TEXT</x:v>
      </x:c>
      <x:c r="C108" s="10" t="str">
        <x:v>TEXT:SYN-F04-05</x:v>
      </x:c>
      <x:c r="D108" s="10" t="str">
        <x:v>TEXT:M2156</x:v>
      </x:c>
      <x:c r="E108" s="15" t="n">
        <x:v>0.365</x:v>
      </x:c>
      <x:c r="F108" s="15" t="str">
        <x:v>요청</x:v>
      </x:c>
      <x:c r="G108" s="15" t="n">
        <x:v>238</x:v>
      </x:c>
      <x:c r="H108" s="15" t="n">
        <x:v>11</x:v>
      </x:c>
      <x:c r="I108" s="15" t="n">
        <x:v>25.968</x:v>
      </x:c>
      <x:c r="J108" s="15" t="n">
        <x:v>0</x:v>
      </x:c>
      <x:c r="K108" s="15" t="n">
        <x:v>0</x:v>
      </x:c>
      <x:c r="L108" s="15" t="n">
        <x:v>0</x:v>
      </x:c>
      <x:c r="M108" s="15" t="n">
        <x:v>0</x:v>
      </x:c>
      <x:c r="N108" s="15" t="n">
        <x:v>0</x:v>
      </x:c>
      <x:c r="O108" s="15" t="n">
        <x:v>0</x:v>
      </x:c>
      <x:c r="P108" s="15" t="n">
        <x:v>0</x:v>
      </x:c>
      <x:c r="Q108" s="15" t="n">
        <x:v>0</x:v>
      </x:c>
      <x:c r="R108" s="15" t="n">
        <x:v>0</x:v>
      </x:c>
      <x:c r="S108" s="15" t="n">
        <x:v>0</x:v>
      </x:c>
      <x:c r="T108" s="15" t="n">
        <x:v>0</x:v>
      </x:c>
      <x:c r="U108" s="15" t="n">
        <x:v>0</x:v>
      </x:c>
      <x:c r="V108" s="15" t="n">
        <x:v>0</x:v>
      </x:c>
      <x:c r="W108" s="15" t="n">
        <x:v>0</x:v>
      </x:c>
      <x:c r="X108" s="15" t="n">
        <x:v>0</x:v>
      </x:c>
      <x:c r="Y108" s="15" t="n">
        <x:v>0</x:v>
      </x:c>
      <x:c r="Z108" s="15" t="n">
        <x:v>0</x:v>
      </x:c>
      <x:c r="AA108" s="15" t="n">
        <x:v>0</x:v>
      </x:c>
      <x:c r="AB108" s="15" t="n">
        <x:f>SUM(G108:AA108)</x:f>
        <x:v>274.968</x:v>
      </x:c>
    </x:row>
    <x:row r="109" ht="36" customHeight="1">
      <x:c r="A109" s="10" t="str">
        <x:v>T-EXEC</x:v>
      </x:c>
      <x:c r="B109" s="10" t="str">
        <x:v>TEXT</x:v>
      </x:c>
      <x:c r="C109" s="10" t="str">
        <x:v>TEXT:SYN-F04-05</x:v>
      </x:c>
      <x:c r="D109" s="10" t="str">
        <x:v>TEXT:M2175</x:v>
      </x:c>
      <x:c r="E109" s="15" t="n">
        <x:v>0.365</x:v>
      </x:c>
      <x:c r="F109" s="15" t="str">
        <x:v>요청</x:v>
      </x:c>
      <x:c r="G109" s="15" t="n">
        <x:v>238</x:v>
      </x:c>
      <x:c r="H109" s="15" t="n">
        <x:v>11</x:v>
      </x:c>
      <x:c r="I109" s="15" t="n">
        <x:v>25.968</x:v>
      </x:c>
      <x:c r="J109" s="15" t="n">
        <x:v>0</x:v>
      </x:c>
      <x:c r="K109" s="15" t="n">
        <x:v>0</x:v>
      </x:c>
      <x:c r="L109" s="15" t="n">
        <x:v>0</x:v>
      </x:c>
      <x:c r="M109" s="15" t="n">
        <x:v>0</x:v>
      </x:c>
      <x:c r="N109" s="15" t="n">
        <x:v>0</x:v>
      </x:c>
      <x:c r="O109" s="15" t="n">
        <x:v>0</x:v>
      </x:c>
      <x:c r="P109" s="15" t="n">
        <x:v>0</x:v>
      </x:c>
      <x:c r="Q109" s="15" t="n">
        <x:v>0</x:v>
      </x:c>
      <x:c r="R109" s="15" t="n">
        <x:v>0</x:v>
      </x:c>
      <x:c r="S109" s="15" t="n">
        <x:v>0</x:v>
      </x:c>
      <x:c r="T109" s="15" t="n">
        <x:v>0</x:v>
      </x:c>
      <x:c r="U109" s="15" t="n">
        <x:v>0</x:v>
      </x:c>
      <x:c r="V109" s="15" t="n">
        <x:v>0</x:v>
      </x:c>
      <x:c r="W109" s="15" t="n">
        <x:v>0</x:v>
      </x:c>
      <x:c r="X109" s="15" t="n">
        <x:v>0</x:v>
      </x:c>
      <x:c r="Y109" s="15" t="n">
        <x:v>0</x:v>
      </x:c>
      <x:c r="Z109" s="15" t="n">
        <x:v>0</x:v>
      </x:c>
      <x:c r="AA109" s="15" t="n">
        <x:v>0</x:v>
      </x:c>
      <x:c r="AB109" s="15" t="n">
        <x:f>SUM(G109:AA109)</x:f>
        <x:v>274.968</x:v>
      </x:c>
    </x:row>
    <x:row r="110" ht="36" customHeight="1">
      <x:c r="A110" s="10" t="str">
        <x:v>T-REL</x:v>
      </x:c>
      <x:c r="B110" s="10" t="str">
        <x:v>TEXT</x:v>
      </x:c>
      <x:c r="C110" s="10" t="str">
        <x:v>TEXT:SYN-F04-05</x:v>
      </x:c>
      <x:c r="D110" s="10" t="str">
        <x:v>TEXT:M2193</x:v>
      </x:c>
      <x:c r="E110" s="15" t="n">
        <x:v>-8</x:v>
      </x:c>
      <x:c r="F110" s="15" t="str">
        <x:v>사전 생산</x:v>
      </x:c>
      <x:c r="G110" s="15" t="n">
        <x:v>238</x:v>
      </x:c>
      <x:c r="H110" s="15" t="n">
        <x:v>0</x:v>
      </x:c>
      <x:c r="I110" s="15" t="n">
        <x:v>33.08</x:v>
      </x:c>
      <x:c r="J110" s="15" t="n">
        <x:v>0</x:v>
      </x:c>
      <x:c r="K110" s="15" t="n">
        <x:v>38</x:v>
      </x:c>
      <x:c r="L110" s="15" t="n">
        <x:v>19</x:v>
      </x:c>
      <x:c r="M110" s="15" t="n">
        <x:v>0</x:v>
      </x:c>
      <x:c r="N110" s="15" t="n">
        <x:v>0</x:v>
      </x:c>
      <x:c r="O110" s="15" t="n">
        <x:v>0</x:v>
      </x:c>
      <x:c r="P110" s="15" t="n">
        <x:v>0</x:v>
      </x:c>
      <x:c r="Q110" s="15" t="n">
        <x:v>0</x:v>
      </x:c>
      <x:c r="R110" s="15" t="n">
        <x:v>0</x:v>
      </x:c>
      <x:c r="S110" s="15" t="n">
        <x:v>0</x:v>
      </x:c>
      <x:c r="T110" s="15" t="n">
        <x:v>0</x:v>
      </x:c>
      <x:c r="U110" s="15" t="n">
        <x:v>0</x:v>
      </x:c>
      <x:c r="V110" s="15" t="n">
        <x:v>0</x:v>
      </x:c>
      <x:c r="W110" s="15" t="n">
        <x:v>0</x:v>
      </x:c>
      <x:c r="X110" s="15" t="n">
        <x:v>0</x:v>
      </x:c>
      <x:c r="Y110" s="15" t="n">
        <x:v>0</x:v>
      </x:c>
      <x:c r="Z110" s="15" t="n">
        <x:v>0</x:v>
      </x:c>
      <x:c r="AA110" s="15" t="n">
        <x:v>0</x:v>
      </x:c>
      <x:c r="AB110" s="15" t="n">
        <x:f>SUM(G110:AA110)</x:f>
        <x:v>328.08</x:v>
      </x:c>
    </x:row>
    <x:row r="111" ht="36" customHeight="1">
      <x:c r="A111" s="10" t="str">
        <x:v>T-BASE</x:v>
      </x:c>
      <x:c r="B111" s="10" t="str">
        <x:v>TEXT</x:v>
      </x:c>
      <x:c r="C111" s="10" t="str">
        <x:v>TEXT:SYN-F04-06</x:v>
      </x:c>
      <x:c r="D111" s="10" t="str">
        <x:v>TEXT:M2217</x:v>
      </x:c>
      <x:c r="E111" s="15" t="n">
        <x:v>0.39</x:v>
      </x:c>
      <x:c r="F111" s="15" t="str">
        <x:v>요청</x:v>
      </x:c>
      <x:c r="G111" s="15" t="n">
        <x:v>238</x:v>
      </x:c>
      <x:c r="H111" s="15" t="n">
        <x:v>11</x:v>
      </x:c>
      <x:c r="I111" s="15" t="n">
        <x:v>26.06</x:v>
      </x:c>
      <x:c r="J111" s="15" t="n">
        <x:v>0</x:v>
      </x:c>
      <x:c r="K111" s="15" t="n">
        <x:v>0</x:v>
      </x:c>
      <x:c r="L111" s="15" t="n">
        <x:v>0</x:v>
      </x:c>
      <x:c r="M111" s="15" t="n">
        <x:v>0</x:v>
      </x:c>
      <x:c r="N111" s="15" t="n">
        <x:v>0</x:v>
      </x:c>
      <x:c r="O111" s="15" t="n">
        <x:v>0</x:v>
      </x:c>
      <x:c r="P111" s="15" t="n">
        <x:v>0</x:v>
      </x:c>
      <x:c r="Q111" s="15" t="n">
        <x:v>0</x:v>
      </x:c>
      <x:c r="R111" s="15" t="n">
        <x:v>0</x:v>
      </x:c>
      <x:c r="S111" s="15" t="n">
        <x:v>0</x:v>
      </x:c>
      <x:c r="T111" s="15" t="n">
        <x:v>0</x:v>
      </x:c>
      <x:c r="U111" s="15" t="n">
        <x:v>0</x:v>
      </x:c>
      <x:c r="V111" s="15" t="n">
        <x:v>0</x:v>
      </x:c>
      <x:c r="W111" s="15" t="n">
        <x:v>0</x:v>
      </x:c>
      <x:c r="X111" s="15" t="n">
        <x:v>0</x:v>
      </x:c>
      <x:c r="Y111" s="15" t="n">
        <x:v>0</x:v>
      </x:c>
      <x:c r="Z111" s="15" t="n">
        <x:v>0</x:v>
      </x:c>
      <x:c r="AA111" s="15" t="n">
        <x:v>0</x:v>
      </x:c>
      <x:c r="AB111" s="15" t="n">
        <x:f>SUM(G111:AA111)</x:f>
        <x:v>275.06</x:v>
      </x:c>
    </x:row>
    <x:row r="112" ht="36" customHeight="1">
      <x:c r="A112" s="10" t="str">
        <x:v>T-EXEC</x:v>
      </x:c>
      <x:c r="B112" s="10" t="str">
        <x:v>TEXT</x:v>
      </x:c>
      <x:c r="C112" s="10" t="str">
        <x:v>TEXT:SYN-F04-06</x:v>
      </x:c>
      <x:c r="D112" s="10" t="str">
        <x:v>TEXT:M2236</x:v>
      </x:c>
      <x:c r="E112" s="15" t="n">
        <x:v>0.39</x:v>
      </x:c>
      <x:c r="F112" s="15" t="str">
        <x:v>요청</x:v>
      </x:c>
      <x:c r="G112" s="15" t="n">
        <x:v>238</x:v>
      </x:c>
      <x:c r="H112" s="15" t="n">
        <x:v>11</x:v>
      </x:c>
      <x:c r="I112" s="15" t="n">
        <x:v>26.06</x:v>
      </x:c>
      <x:c r="J112" s="15" t="n">
        <x:v>0</x:v>
      </x:c>
      <x:c r="K112" s="15" t="n">
        <x:v>0</x:v>
      </x:c>
      <x:c r="L112" s="15" t="n">
        <x:v>0</x:v>
      </x:c>
      <x:c r="M112" s="15" t="n">
        <x:v>0</x:v>
      </x:c>
      <x:c r="N112" s="15" t="n">
        <x:v>0</x:v>
      </x:c>
      <x:c r="O112" s="15" t="n">
        <x:v>0</x:v>
      </x:c>
      <x:c r="P112" s="15" t="n">
        <x:v>0</x:v>
      </x:c>
      <x:c r="Q112" s="15" t="n">
        <x:v>0</x:v>
      </x:c>
      <x:c r="R112" s="15" t="n">
        <x:v>0</x:v>
      </x:c>
      <x:c r="S112" s="15" t="n">
        <x:v>0</x:v>
      </x:c>
      <x:c r="T112" s="15" t="n">
        <x:v>0</x:v>
      </x:c>
      <x:c r="U112" s="15" t="n">
        <x:v>0</x:v>
      </x:c>
      <x:c r="V112" s="15" t="n">
        <x:v>0</x:v>
      </x:c>
      <x:c r="W112" s="15" t="n">
        <x:v>0</x:v>
      </x:c>
      <x:c r="X112" s="15" t="n">
        <x:v>0</x:v>
      </x:c>
      <x:c r="Y112" s="15" t="n">
        <x:v>0</x:v>
      </x:c>
      <x:c r="Z112" s="15" t="n">
        <x:v>0</x:v>
      </x:c>
      <x:c r="AA112" s="15" t="n">
        <x:v>0</x:v>
      </x:c>
      <x:c r="AB112" s="15" t="n">
        <x:f>SUM(G112:AA112)</x:f>
        <x:v>275.06</x:v>
      </x:c>
    </x:row>
    <x:row r="113" ht="36" customHeight="1">
      <x:c r="A113" s="10" t="str">
        <x:v>T-REL</x:v>
      </x:c>
      <x:c r="B113" s="10" t="str">
        <x:v>TEXT</x:v>
      </x:c>
      <x:c r="C113" s="10" t="str">
        <x:v>TEXT:SYN-F04-06</x:v>
      </x:c>
      <x:c r="D113" s="10" t="str">
        <x:v>TEXT:M2254</x:v>
      </x:c>
      <x:c r="E113" s="15" t="n">
        <x:v>-8</x:v>
      </x:c>
      <x:c r="F113" s="15" t="str">
        <x:v>사전 생산</x:v>
      </x:c>
      <x:c r="G113" s="15" t="n">
        <x:v>238</x:v>
      </x:c>
      <x:c r="H113" s="15" t="n">
        <x:v>0</x:v>
      </x:c>
      <x:c r="I113" s="15" t="n">
        <x:v>33.4</x:v>
      </x:c>
      <x:c r="J113" s="15" t="n">
        <x:v>0</x:v>
      </x:c>
      <x:c r="K113" s="15" t="n">
        <x:v>38</x:v>
      </x:c>
      <x:c r="L113" s="15" t="n">
        <x:v>19</x:v>
      </x:c>
      <x:c r="M113" s="15" t="n">
        <x:v>0</x:v>
      </x:c>
      <x:c r="N113" s="15" t="n">
        <x:v>0</x:v>
      </x:c>
      <x:c r="O113" s="15" t="n">
        <x:v>0</x:v>
      </x:c>
      <x:c r="P113" s="15" t="n">
        <x:v>0</x:v>
      </x:c>
      <x:c r="Q113" s="15" t="n">
        <x:v>0</x:v>
      </x:c>
      <x:c r="R113" s="15" t="n">
        <x:v>0</x:v>
      </x:c>
      <x:c r="S113" s="15" t="n">
        <x:v>0</x:v>
      </x:c>
      <x:c r="T113" s="15" t="n">
        <x:v>0</x:v>
      </x:c>
      <x:c r="U113" s="15" t="n">
        <x:v>0</x:v>
      </x:c>
      <x:c r="V113" s="15" t="n">
        <x:v>0</x:v>
      </x:c>
      <x:c r="W113" s="15" t="n">
        <x:v>0</x:v>
      </x:c>
      <x:c r="X113" s="15" t="n">
        <x:v>0</x:v>
      </x:c>
      <x:c r="Y113" s="15" t="n">
        <x:v>0</x:v>
      </x:c>
      <x:c r="Z113" s="15" t="n">
        <x:v>0</x:v>
      </x:c>
      <x:c r="AA113" s="15" t="n">
        <x:v>0</x:v>
      </x:c>
      <x:c r="AB113" s="15" t="n">
        <x:f>SUM(G113:AA113)</x:f>
        <x:v>328.4</x:v>
      </x:c>
    </x:row>
    <x:row r="114" ht="36" customHeight="1">
      <x:c r="A114" s="10" t="str">
        <x:v>T-BASE</x:v>
      </x:c>
      <x:c r="B114" s="10" t="str">
        <x:v>TEXT</x:v>
      </x:c>
      <x:c r="C114" s="10" t="str">
        <x:v>TEXT:SYN-F04-07</x:v>
      </x:c>
      <x:c r="D114" s="10" t="str">
        <x:v>TEXT:M2278</x:v>
      </x:c>
      <x:c r="E114" s="15" t="n">
        <x:v>0.34</x:v>
      </x:c>
      <x:c r="F114" s="15" t="str">
        <x:v>요청</x:v>
      </x:c>
      <x:c r="G114" s="15" t="n">
        <x:v>238</x:v>
      </x:c>
      <x:c r="H114" s="15" t="n">
        <x:v>11</x:v>
      </x:c>
      <x:c r="I114" s="15" t="n">
        <x:v>26.152</x:v>
      </x:c>
      <x:c r="J114" s="15" t="n">
        <x:v>0</x:v>
      </x:c>
      <x:c r="K114" s="15" t="n">
        <x:v>0</x:v>
      </x:c>
      <x:c r="L114" s="15" t="n">
        <x:v>0</x:v>
      </x:c>
      <x:c r="M114" s="15" t="n">
        <x:v>0</x:v>
      </x:c>
      <x:c r="N114" s="15" t="n">
        <x:v>0</x:v>
      </x:c>
      <x:c r="O114" s="15" t="n">
        <x:v>0</x:v>
      </x:c>
      <x:c r="P114" s="15" t="n">
        <x:v>0</x:v>
      </x:c>
      <x:c r="Q114" s="15" t="n">
        <x:v>0</x:v>
      </x:c>
      <x:c r="R114" s="15" t="n">
        <x:v>0</x:v>
      </x:c>
      <x:c r="S114" s="15" t="n">
        <x:v>0</x:v>
      </x:c>
      <x:c r="T114" s="15" t="n">
        <x:v>0</x:v>
      </x:c>
      <x:c r="U114" s="15" t="n">
        <x:v>0</x:v>
      </x:c>
      <x:c r="V114" s="15" t="n">
        <x:v>0</x:v>
      </x:c>
      <x:c r="W114" s="15" t="n">
        <x:v>0</x:v>
      </x:c>
      <x:c r="X114" s="15" t="n">
        <x:v>0</x:v>
      </x:c>
      <x:c r="Y114" s="15" t="n">
        <x:v>0</x:v>
      </x:c>
      <x:c r="Z114" s="15" t="n">
        <x:v>0</x:v>
      </x:c>
      <x:c r="AA114" s="15" t="n">
        <x:v>0</x:v>
      </x:c>
      <x:c r="AB114" s="15" t="n">
        <x:f>SUM(G114:AA114)</x:f>
        <x:v>275.152</x:v>
      </x:c>
    </x:row>
    <x:row r="115" ht="36" customHeight="1">
      <x:c r="A115" s="10" t="str">
        <x:v>T-EXEC</x:v>
      </x:c>
      <x:c r="B115" s="10" t="str">
        <x:v>TEXT</x:v>
      </x:c>
      <x:c r="C115" s="10" t="str">
        <x:v>TEXT:SYN-F04-07</x:v>
      </x:c>
      <x:c r="D115" s="10" t="str">
        <x:v>TEXT:M2297</x:v>
      </x:c>
      <x:c r="E115" s="15" t="n">
        <x:v>0.34</x:v>
      </x:c>
      <x:c r="F115" s="15" t="str">
        <x:v>요청</x:v>
      </x:c>
      <x:c r="G115" s="15" t="n">
        <x:v>238</x:v>
      </x:c>
      <x:c r="H115" s="15" t="n">
        <x:v>11</x:v>
      </x:c>
      <x:c r="I115" s="15" t="n">
        <x:v>26.152</x:v>
      </x:c>
      <x:c r="J115" s="15" t="n">
        <x:v>0</x:v>
      </x:c>
      <x:c r="K115" s="15" t="n">
        <x:v>0</x:v>
      </x:c>
      <x:c r="L115" s="15" t="n">
        <x:v>0</x:v>
      </x:c>
      <x:c r="M115" s="15" t="n">
        <x:v>0</x:v>
      </x:c>
      <x:c r="N115" s="15" t="n">
        <x:v>0</x:v>
      </x:c>
      <x:c r="O115" s="15" t="n">
        <x:v>0</x:v>
      </x:c>
      <x:c r="P115" s="15" t="n">
        <x:v>0</x:v>
      </x:c>
      <x:c r="Q115" s="15" t="n">
        <x:v>0</x:v>
      </x:c>
      <x:c r="R115" s="15" t="n">
        <x:v>0</x:v>
      </x:c>
      <x:c r="S115" s="15" t="n">
        <x:v>0</x:v>
      </x:c>
      <x:c r="T115" s="15" t="n">
        <x:v>0</x:v>
      </x:c>
      <x:c r="U115" s="15" t="n">
        <x:v>0</x:v>
      </x:c>
      <x:c r="V115" s="15" t="n">
        <x:v>0</x:v>
      </x:c>
      <x:c r="W115" s="15" t="n">
        <x:v>0</x:v>
      </x:c>
      <x:c r="X115" s="15" t="n">
        <x:v>0</x:v>
      </x:c>
      <x:c r="Y115" s="15" t="n">
        <x:v>0</x:v>
      </x:c>
      <x:c r="Z115" s="15" t="n">
        <x:v>0</x:v>
      </x:c>
      <x:c r="AA115" s="15" t="n">
        <x:v>0</x:v>
      </x:c>
      <x:c r="AB115" s="15" t="n">
        <x:f>SUM(G115:AA115)</x:f>
        <x:v>275.152</x:v>
      </x:c>
    </x:row>
    <x:row r="116" ht="36" customHeight="1">
      <x:c r="A116" s="10" t="str">
        <x:v>T-REL</x:v>
      </x:c>
      <x:c r="B116" s="10" t="str">
        <x:v>TEXT</x:v>
      </x:c>
      <x:c r="C116" s="10" t="str">
        <x:v>TEXT:SYN-F04-07</x:v>
      </x:c>
      <x:c r="D116" s="10" t="str">
        <x:v>TEXT:M2315</x:v>
      </x:c>
      <x:c r="E116" s="15" t="n">
        <x:v>-8</x:v>
      </x:c>
      <x:c r="F116" s="15" t="str">
        <x:v>사전 생산</x:v>
      </x:c>
      <x:c r="G116" s="15" t="n">
        <x:v>238</x:v>
      </x:c>
      <x:c r="H116" s="15" t="n">
        <x:v>0</x:v>
      </x:c>
      <x:c r="I116" s="15" t="n">
        <x:v>33.72</x:v>
      </x:c>
      <x:c r="J116" s="15" t="n">
        <x:v>0</x:v>
      </x:c>
      <x:c r="K116" s="15" t="n">
        <x:v>38</x:v>
      </x:c>
      <x:c r="L116" s="15" t="n">
        <x:v>19</x:v>
      </x:c>
      <x:c r="M116" s="15" t="n">
        <x:v>0</x:v>
      </x:c>
      <x:c r="N116" s="15" t="n">
        <x:v>0</x:v>
      </x:c>
      <x:c r="O116" s="15" t="n">
        <x:v>0</x:v>
      </x:c>
      <x:c r="P116" s="15" t="n">
        <x:v>0</x:v>
      </x:c>
      <x:c r="Q116" s="15" t="n">
        <x:v>0</x:v>
      </x:c>
      <x:c r="R116" s="15" t="n">
        <x:v>0</x:v>
      </x:c>
      <x:c r="S116" s="15" t="n">
        <x:v>0</x:v>
      </x:c>
      <x:c r="T116" s="15" t="n">
        <x:v>0</x:v>
      </x:c>
      <x:c r="U116" s="15" t="n">
        <x:v>0</x:v>
      </x:c>
      <x:c r="V116" s="15" t="n">
        <x:v>0</x:v>
      </x:c>
      <x:c r="W116" s="15" t="n">
        <x:v>0</x:v>
      </x:c>
      <x:c r="X116" s="15" t="n">
        <x:v>0</x:v>
      </x:c>
      <x:c r="Y116" s="15" t="n">
        <x:v>0</x:v>
      </x:c>
      <x:c r="Z116" s="15" t="n">
        <x:v>0</x:v>
      </x:c>
      <x:c r="AA116" s="15" t="n">
        <x:v>0</x:v>
      </x:c>
      <x:c r="AB116" s="15" t="n">
        <x:f>SUM(G116:AA116)</x:f>
        <x:v>328.72</x:v>
      </x:c>
    </x:row>
    <x:row r="117" ht="36" customHeight="1">
      <x:c r="A117" s="10" t="str">
        <x:v>T-BASE</x:v>
      </x:c>
      <x:c r="B117" s="10" t="str">
        <x:v>TEXT</x:v>
      </x:c>
      <x:c r="C117" s="10" t="str">
        <x:v>TEXT:SYN-F04-08</x:v>
      </x:c>
      <x:c r="D117" s="10" t="str">
        <x:v>TEXT:M2339</x:v>
      </x:c>
      <x:c r="E117" s="15" t="n">
        <x:v>0.365</x:v>
      </x:c>
      <x:c r="F117" s="15" t="str">
        <x:v>요청</x:v>
      </x:c>
      <x:c r="G117" s="15" t="n">
        <x:v>238</x:v>
      </x:c>
      <x:c r="H117" s="15" t="n">
        <x:v>11</x:v>
      </x:c>
      <x:c r="I117" s="15" t="n">
        <x:v>26.244</x:v>
      </x:c>
      <x:c r="J117" s="15" t="n">
        <x:v>0</x:v>
      </x:c>
      <x:c r="K117" s="15" t="n">
        <x:v>0</x:v>
      </x:c>
      <x:c r="L117" s="15" t="n">
        <x:v>0</x:v>
      </x:c>
      <x:c r="M117" s="15" t="n">
        <x:v>0</x:v>
      </x:c>
      <x:c r="N117" s="15" t="n">
        <x:v>0</x:v>
      </x:c>
      <x:c r="O117" s="15" t="n">
        <x:v>0</x:v>
      </x:c>
      <x:c r="P117" s="15" t="n">
        <x:v>0</x:v>
      </x:c>
      <x:c r="Q117" s="15" t="n">
        <x:v>0</x:v>
      </x:c>
      <x:c r="R117" s="15" t="n">
        <x:v>0</x:v>
      </x:c>
      <x:c r="S117" s="15" t="n">
        <x:v>0</x:v>
      </x:c>
      <x:c r="T117" s="15" t="n">
        <x:v>0</x:v>
      </x:c>
      <x:c r="U117" s="15" t="n">
        <x:v>0</x:v>
      </x:c>
      <x:c r="V117" s="15" t="n">
        <x:v>0</x:v>
      </x:c>
      <x:c r="W117" s="15" t="n">
        <x:v>0</x:v>
      </x:c>
      <x:c r="X117" s="15" t="n">
        <x:v>0</x:v>
      </x:c>
      <x:c r="Y117" s="15" t="n">
        <x:v>0</x:v>
      </x:c>
      <x:c r="Z117" s="15" t="n">
        <x:v>0</x:v>
      </x:c>
      <x:c r="AA117" s="15" t="n">
        <x:v>0</x:v>
      </x:c>
      <x:c r="AB117" s="15" t="n">
        <x:f>SUM(G117:AA117)</x:f>
        <x:v>275.244</x:v>
      </x:c>
    </x:row>
    <x:row r="118" ht="36" customHeight="1">
      <x:c r="A118" s="10" t="str">
        <x:v>T-EXEC</x:v>
      </x:c>
      <x:c r="B118" s="10" t="str">
        <x:v>TEXT</x:v>
      </x:c>
      <x:c r="C118" s="10" t="str">
        <x:v>TEXT:SYN-F04-08</x:v>
      </x:c>
      <x:c r="D118" s="10" t="str">
        <x:v>TEXT:M2358</x:v>
      </x:c>
      <x:c r="E118" s="15" t="n">
        <x:v>0.365</x:v>
      </x:c>
      <x:c r="F118" s="15" t="str">
        <x:v>요청</x:v>
      </x:c>
      <x:c r="G118" s="15" t="n">
        <x:v>238</x:v>
      </x:c>
      <x:c r="H118" s="15" t="n">
        <x:v>11</x:v>
      </x:c>
      <x:c r="I118" s="15" t="n">
        <x:v>26.244</x:v>
      </x:c>
      <x:c r="J118" s="15" t="n">
        <x:v>0</x:v>
      </x:c>
      <x:c r="K118" s="15" t="n">
        <x:v>0</x:v>
      </x:c>
      <x:c r="L118" s="15" t="n">
        <x:v>0</x:v>
      </x:c>
      <x:c r="M118" s="15" t="n">
        <x:v>0</x:v>
      </x:c>
      <x:c r="N118" s="15" t="n">
        <x:v>0</x:v>
      </x:c>
      <x:c r="O118" s="15" t="n">
        <x:v>0</x:v>
      </x:c>
      <x:c r="P118" s="15" t="n">
        <x:v>0</x:v>
      </x:c>
      <x:c r="Q118" s="15" t="n">
        <x:v>0</x:v>
      </x:c>
      <x:c r="R118" s="15" t="n">
        <x:v>0</x:v>
      </x:c>
      <x:c r="S118" s="15" t="n">
        <x:v>0</x:v>
      </x:c>
      <x:c r="T118" s="15" t="n">
        <x:v>0</x:v>
      </x:c>
      <x:c r="U118" s="15" t="n">
        <x:v>0</x:v>
      </x:c>
      <x:c r="V118" s="15" t="n">
        <x:v>0</x:v>
      </x:c>
      <x:c r="W118" s="15" t="n">
        <x:v>0</x:v>
      </x:c>
      <x:c r="X118" s="15" t="n">
        <x:v>0</x:v>
      </x:c>
      <x:c r="Y118" s="15" t="n">
        <x:v>0</x:v>
      </x:c>
      <x:c r="Z118" s="15" t="n">
        <x:v>0</x:v>
      </x:c>
      <x:c r="AA118" s="15" t="n">
        <x:v>0</x:v>
      </x:c>
      <x:c r="AB118" s="15" t="n">
        <x:f>SUM(G118:AA118)</x:f>
        <x:v>275.244</x:v>
      </x:c>
    </x:row>
    <x:row r="119" ht="36" customHeight="1">
      <x:c r="A119" s="10" t="str">
        <x:v>T-REL</x:v>
      </x:c>
      <x:c r="B119" s="10" t="str">
        <x:v>TEXT</x:v>
      </x:c>
      <x:c r="C119" s="10" t="str">
        <x:v>TEXT:SYN-F04-08</x:v>
      </x:c>
      <x:c r="D119" s="10" t="str">
        <x:v>TEXT:M2376</x:v>
      </x:c>
      <x:c r="E119" s="15" t="n">
        <x:v>-8</x:v>
      </x:c>
      <x:c r="F119" s="15" t="str">
        <x:v>사전 생산</x:v>
      </x:c>
      <x:c r="G119" s="15" t="n">
        <x:v>238</x:v>
      </x:c>
      <x:c r="H119" s="15" t="n">
        <x:v>0</x:v>
      </x:c>
      <x:c r="I119" s="15" t="n">
        <x:v>34.04</x:v>
      </x:c>
      <x:c r="J119" s="15" t="n">
        <x:v>0</x:v>
      </x:c>
      <x:c r="K119" s="15" t="n">
        <x:v>38</x:v>
      </x:c>
      <x:c r="L119" s="15" t="n">
        <x:v>19</x:v>
      </x:c>
      <x:c r="M119" s="15" t="n">
        <x:v>0</x:v>
      </x:c>
      <x:c r="N119" s="15" t="n">
        <x:v>0</x:v>
      </x:c>
      <x:c r="O119" s="15" t="n">
        <x:v>0</x:v>
      </x:c>
      <x:c r="P119" s="15" t="n">
        <x:v>0</x:v>
      </x:c>
      <x:c r="Q119" s="15" t="n">
        <x:v>0</x:v>
      </x:c>
      <x:c r="R119" s="15" t="n">
        <x:v>0</x:v>
      </x:c>
      <x:c r="S119" s="15" t="n">
        <x:v>0</x:v>
      </x:c>
      <x:c r="T119" s="15" t="n">
        <x:v>0</x:v>
      </x:c>
      <x:c r="U119" s="15" t="n">
        <x:v>0</x:v>
      </x:c>
      <x:c r="V119" s="15" t="n">
        <x:v>0</x:v>
      </x:c>
      <x:c r="W119" s="15" t="n">
        <x:v>0</x:v>
      </x:c>
      <x:c r="X119" s="15" t="n">
        <x:v>0</x:v>
      </x:c>
      <x:c r="Y119" s="15" t="n">
        <x:v>0</x:v>
      </x:c>
      <x:c r="Z119" s="15" t="n">
        <x:v>0</x:v>
      </x:c>
      <x:c r="AA119" s="15" t="n">
        <x:v>0</x:v>
      </x:c>
      <x:c r="AB119" s="15" t="n">
        <x:f>SUM(G119:AA119)</x:f>
        <x:v>329.04</x:v>
      </x:c>
    </x:row>
    <x:row r="120" ht="36" customHeight="1">
      <x:c r="A120" s="10" t="str">
        <x:v>T-BASE</x:v>
      </x:c>
      <x:c r="B120" s="10" t="str">
        <x:v>TEXT</x:v>
      </x:c>
      <x:c r="C120" s="10" t="str">
        <x:v>TEXT:SYN-F04-09</x:v>
      </x:c>
      <x:c r="D120" s="10" t="str">
        <x:v>TEXT:M2400</x:v>
      </x:c>
      <x:c r="E120" s="15" t="n">
        <x:v>0.39</x:v>
      </x:c>
      <x:c r="F120" s="15" t="str">
        <x:v>요청</x:v>
      </x:c>
      <x:c r="G120" s="15" t="n">
        <x:v>238</x:v>
      </x:c>
      <x:c r="H120" s="15" t="n">
        <x:v>11</x:v>
      </x:c>
      <x:c r="I120" s="15" t="n">
        <x:v>26.336</x:v>
      </x:c>
      <x:c r="J120" s="15" t="n">
        <x:v>0</x:v>
      </x:c>
      <x:c r="K120" s="15" t="n">
        <x:v>0</x:v>
      </x:c>
      <x:c r="L120" s="15" t="n">
        <x:v>0</x:v>
      </x:c>
      <x:c r="M120" s="15" t="n">
        <x:v>0</x:v>
      </x:c>
      <x:c r="N120" s="15" t="n">
        <x:v>0</x:v>
      </x:c>
      <x:c r="O120" s="15" t="n">
        <x:v>0</x:v>
      </x:c>
      <x:c r="P120" s="15" t="n">
        <x:v>0</x:v>
      </x:c>
      <x:c r="Q120" s="15" t="n">
        <x:v>0</x:v>
      </x:c>
      <x:c r="R120" s="15" t="n">
        <x:v>0</x:v>
      </x:c>
      <x:c r="S120" s="15" t="n">
        <x:v>0</x:v>
      </x:c>
      <x:c r="T120" s="15" t="n">
        <x:v>0</x:v>
      </x:c>
      <x:c r="U120" s="15" t="n">
        <x:v>0</x:v>
      </x:c>
      <x:c r="V120" s="15" t="n">
        <x:v>0</x:v>
      </x:c>
      <x:c r="W120" s="15" t="n">
        <x:v>0</x:v>
      </x:c>
      <x:c r="X120" s="15" t="n">
        <x:v>0</x:v>
      </x:c>
      <x:c r="Y120" s="15" t="n">
        <x:v>0</x:v>
      </x:c>
      <x:c r="Z120" s="15" t="n">
        <x:v>0</x:v>
      </x:c>
      <x:c r="AA120" s="15" t="n">
        <x:v>0</x:v>
      </x:c>
      <x:c r="AB120" s="15" t="n">
        <x:f>SUM(G120:AA120)</x:f>
        <x:v>275.336</x:v>
      </x:c>
    </x:row>
    <x:row r="121" ht="36" customHeight="1">
      <x:c r="A121" s="10" t="str">
        <x:v>T-EXEC</x:v>
      </x:c>
      <x:c r="B121" s="10" t="str">
        <x:v>TEXT</x:v>
      </x:c>
      <x:c r="C121" s="10" t="str">
        <x:v>TEXT:SYN-F04-09</x:v>
      </x:c>
      <x:c r="D121" s="10" t="str">
        <x:v>TEXT:M2419</x:v>
      </x:c>
      <x:c r="E121" s="15" t="n">
        <x:v>0.39</x:v>
      </x:c>
      <x:c r="F121" s="15" t="str">
        <x:v>요청</x:v>
      </x:c>
      <x:c r="G121" s="15" t="n">
        <x:v>238</x:v>
      </x:c>
      <x:c r="H121" s="15" t="n">
        <x:v>11</x:v>
      </x:c>
      <x:c r="I121" s="15" t="n">
        <x:v>26.336</x:v>
      </x:c>
      <x:c r="J121" s="15" t="n">
        <x:v>0</x:v>
      </x:c>
      <x:c r="K121" s="15" t="n">
        <x:v>0</x:v>
      </x:c>
      <x:c r="L121" s="15" t="n">
        <x:v>0</x:v>
      </x:c>
      <x:c r="M121" s="15" t="n">
        <x:v>0</x:v>
      </x:c>
      <x:c r="N121" s="15" t="n">
        <x:v>0</x:v>
      </x:c>
      <x:c r="O121" s="15" t="n">
        <x:v>0</x:v>
      </x:c>
      <x:c r="P121" s="15" t="n">
        <x:v>0</x:v>
      </x:c>
      <x:c r="Q121" s="15" t="n">
        <x:v>0</x:v>
      </x:c>
      <x:c r="R121" s="15" t="n">
        <x:v>0</x:v>
      </x:c>
      <x:c r="S121" s="15" t="n">
        <x:v>0</x:v>
      </x:c>
      <x:c r="T121" s="15" t="n">
        <x:v>0</x:v>
      </x:c>
      <x:c r="U121" s="15" t="n">
        <x:v>0</x:v>
      </x:c>
      <x:c r="V121" s="15" t="n">
        <x:v>0</x:v>
      </x:c>
      <x:c r="W121" s="15" t="n">
        <x:v>0</x:v>
      </x:c>
      <x:c r="X121" s="15" t="n">
        <x:v>0</x:v>
      </x:c>
      <x:c r="Y121" s="15" t="n">
        <x:v>0</x:v>
      </x:c>
      <x:c r="Z121" s="15" t="n">
        <x:v>0</x:v>
      </x:c>
      <x:c r="AA121" s="15" t="n">
        <x:v>0</x:v>
      </x:c>
      <x:c r="AB121" s="15" t="n">
        <x:f>SUM(G121:AA121)</x:f>
        <x:v>275.336</x:v>
      </x:c>
    </x:row>
    <x:row r="122" ht="36" customHeight="1">
      <x:c r="A122" s="10" t="str">
        <x:v>T-REL</x:v>
      </x:c>
      <x:c r="B122" s="10" t="str">
        <x:v>TEXT</x:v>
      </x:c>
      <x:c r="C122" s="10" t="str">
        <x:v>TEXT:SYN-F04-09</x:v>
      </x:c>
      <x:c r="D122" s="10" t="str">
        <x:v>TEXT:M2437</x:v>
      </x:c>
      <x:c r="E122" s="15" t="n">
        <x:v>-8</x:v>
      </x:c>
      <x:c r="F122" s="15" t="str">
        <x:v>사전 생산</x:v>
      </x:c>
      <x:c r="G122" s="15" t="n">
        <x:v>238</x:v>
      </x:c>
      <x:c r="H122" s="15" t="n">
        <x:v>0</x:v>
      </x:c>
      <x:c r="I122" s="15" t="n">
        <x:v>34.36</x:v>
      </x:c>
      <x:c r="J122" s="15" t="n">
        <x:v>0</x:v>
      </x:c>
      <x:c r="K122" s="15" t="n">
        <x:v>38</x:v>
      </x:c>
      <x:c r="L122" s="15" t="n">
        <x:v>19</x:v>
      </x:c>
      <x:c r="M122" s="15" t="n">
        <x:v>0</x:v>
      </x:c>
      <x:c r="N122" s="15" t="n">
        <x:v>0</x:v>
      </x:c>
      <x:c r="O122" s="15" t="n">
        <x:v>0</x:v>
      </x:c>
      <x:c r="P122" s="15" t="n">
        <x:v>0</x:v>
      </x:c>
      <x:c r="Q122" s="15" t="n">
        <x:v>0</x:v>
      </x:c>
      <x:c r="R122" s="15" t="n">
        <x:v>0</x:v>
      </x:c>
      <x:c r="S122" s="15" t="n">
        <x:v>0</x:v>
      </x:c>
      <x:c r="T122" s="15" t="n">
        <x:v>0</x:v>
      </x:c>
      <x:c r="U122" s="15" t="n">
        <x:v>0</x:v>
      </x:c>
      <x:c r="V122" s="15" t="n">
        <x:v>0</x:v>
      </x:c>
      <x:c r="W122" s="15" t="n">
        <x:v>0</x:v>
      </x:c>
      <x:c r="X122" s="15" t="n">
        <x:v>0</x:v>
      </x:c>
      <x:c r="Y122" s="15" t="n">
        <x:v>0</x:v>
      </x:c>
      <x:c r="Z122" s="15" t="n">
        <x:v>0</x:v>
      </x:c>
      <x:c r="AA122" s="15" t="n">
        <x:v>0</x:v>
      </x:c>
      <x:c r="AB122" s="15" t="n">
        <x:f>SUM(G122:AA122)</x:f>
        <x:v>329.36</x:v>
      </x:c>
    </x:row>
    <x:row r="123" ht="36" customHeight="1">
      <x:c r="A123" s="10" t="str">
        <x:v>T-BASE</x:v>
      </x:c>
      <x:c r="B123" s="10" t="str">
        <x:v>TEXT</x:v>
      </x:c>
      <x:c r="C123" s="10" t="str">
        <x:v>TEXT:SYN-F04-10</x:v>
      </x:c>
      <x:c r="D123" s="10" t="str">
        <x:v>TEXT:M2461</x:v>
      </x:c>
      <x:c r="E123" s="15" t="n">
        <x:v>0.34</x:v>
      </x:c>
      <x:c r="F123" s="15" t="str">
        <x:v>요청</x:v>
      </x:c>
      <x:c r="G123" s="15" t="n">
        <x:v>238</x:v>
      </x:c>
      <x:c r="H123" s="15" t="n">
        <x:v>11</x:v>
      </x:c>
      <x:c r="I123" s="15" t="n">
        <x:v>26.428</x:v>
      </x:c>
      <x:c r="J123" s="15" t="n">
        <x:v>0</x:v>
      </x:c>
      <x:c r="K123" s="15" t="n">
        <x:v>0</x:v>
      </x:c>
      <x:c r="L123" s="15" t="n">
        <x:v>0</x:v>
      </x:c>
      <x:c r="M123" s="15" t="n">
        <x:v>0</x:v>
      </x:c>
      <x:c r="N123" s="15" t="n">
        <x:v>0</x:v>
      </x:c>
      <x:c r="O123" s="15" t="n">
        <x:v>0</x:v>
      </x:c>
      <x:c r="P123" s="15" t="n">
        <x:v>0</x:v>
      </x:c>
      <x:c r="Q123" s="15" t="n">
        <x:v>0</x:v>
      </x:c>
      <x:c r="R123" s="15" t="n">
        <x:v>0</x:v>
      </x:c>
      <x:c r="S123" s="15" t="n">
        <x:v>0</x:v>
      </x:c>
      <x:c r="T123" s="15" t="n">
        <x:v>0</x:v>
      </x:c>
      <x:c r="U123" s="15" t="n">
        <x:v>0</x:v>
      </x:c>
      <x:c r="V123" s="15" t="n">
        <x:v>0</x:v>
      </x:c>
      <x:c r="W123" s="15" t="n">
        <x:v>0</x:v>
      </x:c>
      <x:c r="X123" s="15" t="n">
        <x:v>0</x:v>
      </x:c>
      <x:c r="Y123" s="15" t="n">
        <x:v>0</x:v>
      </x:c>
      <x:c r="Z123" s="15" t="n">
        <x:v>0</x:v>
      </x:c>
      <x:c r="AA123" s="15" t="n">
        <x:v>0</x:v>
      </x:c>
      <x:c r="AB123" s="15" t="n">
        <x:f>SUM(G123:AA123)</x:f>
        <x:v>275.428</x:v>
      </x:c>
    </x:row>
    <x:row r="124" ht="36" customHeight="1">
      <x:c r="A124" s="10" t="str">
        <x:v>T-EXEC</x:v>
      </x:c>
      <x:c r="B124" s="10" t="str">
        <x:v>TEXT</x:v>
      </x:c>
      <x:c r="C124" s="10" t="str">
        <x:v>TEXT:SYN-F04-10</x:v>
      </x:c>
      <x:c r="D124" s="10" t="str">
        <x:v>TEXT:M2480</x:v>
      </x:c>
      <x:c r="E124" s="15" t="n">
        <x:v>0.34</x:v>
      </x:c>
      <x:c r="F124" s="15" t="str">
        <x:v>요청</x:v>
      </x:c>
      <x:c r="G124" s="15" t="n">
        <x:v>238</x:v>
      </x:c>
      <x:c r="H124" s="15" t="n">
        <x:v>11</x:v>
      </x:c>
      <x:c r="I124" s="15" t="n">
        <x:v>26.428</x:v>
      </x:c>
      <x:c r="J124" s="15" t="n">
        <x:v>0</x:v>
      </x:c>
      <x:c r="K124" s="15" t="n">
        <x:v>0</x:v>
      </x:c>
      <x:c r="L124" s="15" t="n">
        <x:v>0</x:v>
      </x:c>
      <x:c r="M124" s="15" t="n">
        <x:v>0</x:v>
      </x:c>
      <x:c r="N124" s="15" t="n">
        <x:v>0</x:v>
      </x:c>
      <x:c r="O124" s="15" t="n">
        <x:v>0</x:v>
      </x:c>
      <x:c r="P124" s="15" t="n">
        <x:v>0</x:v>
      </x:c>
      <x:c r="Q124" s="15" t="n">
        <x:v>0</x:v>
      </x:c>
      <x:c r="R124" s="15" t="n">
        <x:v>0</x:v>
      </x:c>
      <x:c r="S124" s="15" t="n">
        <x:v>0</x:v>
      </x:c>
      <x:c r="T124" s="15" t="n">
        <x:v>0</x:v>
      </x:c>
      <x:c r="U124" s="15" t="n">
        <x:v>0</x:v>
      </x:c>
      <x:c r="V124" s="15" t="n">
        <x:v>0</x:v>
      </x:c>
      <x:c r="W124" s="15" t="n">
        <x:v>0</x:v>
      </x:c>
      <x:c r="X124" s="15" t="n">
        <x:v>0</x:v>
      </x:c>
      <x:c r="Y124" s="15" t="n">
        <x:v>0</x:v>
      </x:c>
      <x:c r="Z124" s="15" t="n">
        <x:v>0</x:v>
      </x:c>
      <x:c r="AA124" s="15" t="n">
        <x:v>0</x:v>
      </x:c>
      <x:c r="AB124" s="15" t="n">
        <x:f>SUM(G124:AA124)</x:f>
        <x:v>275.428</x:v>
      </x:c>
    </x:row>
    <x:row r="125" ht="36" customHeight="1">
      <x:c r="A125" s="10" t="str">
        <x:v>T-REL</x:v>
      </x:c>
      <x:c r="B125" s="10" t="str">
        <x:v>TEXT</x:v>
      </x:c>
      <x:c r="C125" s="10" t="str">
        <x:v>TEXT:SYN-F04-10</x:v>
      </x:c>
      <x:c r="D125" s="10" t="str">
        <x:v>TEXT:M2498</x:v>
      </x:c>
      <x:c r="E125" s="15" t="n">
        <x:v>-8</x:v>
      </x:c>
      <x:c r="F125" s="15" t="str">
        <x:v>사전 생산</x:v>
      </x:c>
      <x:c r="G125" s="15" t="n">
        <x:v>238</x:v>
      </x:c>
      <x:c r="H125" s="15" t="n">
        <x:v>0</x:v>
      </x:c>
      <x:c r="I125" s="15" t="n">
        <x:v>34.68</x:v>
      </x:c>
      <x:c r="J125" s="15" t="n">
        <x:v>0</x:v>
      </x:c>
      <x:c r="K125" s="15" t="n">
        <x:v>38</x:v>
      </x:c>
      <x:c r="L125" s="15" t="n">
        <x:v>19</x:v>
      </x:c>
      <x:c r="M125" s="15" t="n">
        <x:v>0</x:v>
      </x:c>
      <x:c r="N125" s="15" t="n">
        <x:v>0</x:v>
      </x:c>
      <x:c r="O125" s="15" t="n">
        <x:v>0</x:v>
      </x:c>
      <x:c r="P125" s="15" t="n">
        <x:v>0</x:v>
      </x:c>
      <x:c r="Q125" s="15" t="n">
        <x:v>0</x:v>
      </x:c>
      <x:c r="R125" s="15" t="n">
        <x:v>0</x:v>
      </x:c>
      <x:c r="S125" s="15" t="n">
        <x:v>0</x:v>
      </x:c>
      <x:c r="T125" s="15" t="n">
        <x:v>0</x:v>
      </x:c>
      <x:c r="U125" s="15" t="n">
        <x:v>0</x:v>
      </x:c>
      <x:c r="V125" s="15" t="n">
        <x:v>0</x:v>
      </x:c>
      <x:c r="W125" s="15" t="n">
        <x:v>0</x:v>
      </x:c>
      <x:c r="X125" s="15" t="n">
        <x:v>0</x:v>
      </x:c>
      <x:c r="Y125" s="15" t="n">
        <x:v>0</x:v>
      </x:c>
      <x:c r="Z125" s="15" t="n">
        <x:v>0</x:v>
      </x:c>
      <x:c r="AA125" s="15" t="n">
        <x:v>0</x:v>
      </x:c>
      <x:c r="AB125" s="15" t="n">
        <x:f>SUM(G125:AA125)</x:f>
        <x:v>329.68</x:v>
      </x:c>
    </x:row>
    <x:row r="126" ht="36" customHeight="1">
      <x:c r="A126" s="10" t="str">
        <x:v>T-BASE</x:v>
      </x:c>
      <x:c r="B126" s="10" t="str">
        <x:v>TEXT</x:v>
      </x:c>
      <x:c r="C126" s="10" t="str">
        <x:v>TEXT:SYN-F05-01</x:v>
      </x:c>
      <x:c r="D126" s="10" t="str">
        <x:v>TEXT:M2522</x:v>
      </x:c>
      <x:c r="E126" s="15" t="n">
        <x:v>0.34</x:v>
      </x:c>
      <x:c r="F126" s="15" t="str">
        <x:v>요청</x:v>
      </x:c>
      <x:c r="G126" s="15" t="n">
        <x:v>238</x:v>
      </x:c>
      <x:c r="H126" s="15" t="n">
        <x:v>11</x:v>
      </x:c>
      <x:c r="I126" s="15" t="n">
        <x:v>26.72</x:v>
      </x:c>
      <x:c r="J126" s="15" t="n">
        <x:v>0</x:v>
      </x:c>
      <x:c r="K126" s="15" t="n">
        <x:v>0</x:v>
      </x:c>
      <x:c r="L126" s="15" t="n">
        <x:v>0</x:v>
      </x:c>
      <x:c r="M126" s="15" t="n">
        <x:v>0</x:v>
      </x:c>
      <x:c r="N126" s="15" t="n">
        <x:v>0</x:v>
      </x:c>
      <x:c r="O126" s="15" t="n">
        <x:v>0</x:v>
      </x:c>
      <x:c r="P126" s="15" t="n">
        <x:v>0</x:v>
      </x:c>
      <x:c r="Q126" s="15" t="n">
        <x:v>0</x:v>
      </x:c>
      <x:c r="R126" s="15" t="n">
        <x:v>0</x:v>
      </x:c>
      <x:c r="S126" s="15" t="n">
        <x:v>0</x:v>
      </x:c>
      <x:c r="T126" s="15" t="n">
        <x:v>0</x:v>
      </x:c>
      <x:c r="U126" s="15" t="n">
        <x:v>0</x:v>
      </x:c>
      <x:c r="V126" s="15" t="n">
        <x:v>0</x:v>
      </x:c>
      <x:c r="W126" s="15" t="n">
        <x:v>0</x:v>
      </x:c>
      <x:c r="X126" s="15" t="n">
        <x:v>0</x:v>
      </x:c>
      <x:c r="Y126" s="15" t="n">
        <x:v>0</x:v>
      </x:c>
      <x:c r="Z126" s="15" t="n">
        <x:v>0</x:v>
      </x:c>
      <x:c r="AA126" s="15" t="n">
        <x:v>0</x:v>
      </x:c>
      <x:c r="AB126" s="15" t="n">
        <x:f>SUM(G126:AA126)</x:f>
        <x:v>275.72</x:v>
      </x:c>
    </x:row>
    <x:row r="127" ht="36" customHeight="1">
      <x:c r="A127" s="10" t="str">
        <x:v>T-EXEC</x:v>
      </x:c>
      <x:c r="B127" s="10" t="str">
        <x:v>TEXT</x:v>
      </x:c>
      <x:c r="C127" s="10" t="str">
        <x:v>TEXT:SYN-F05-01</x:v>
      </x:c>
      <x:c r="D127" s="10" t="str">
        <x:v>TEXT:M2544</x:v>
      </x:c>
      <x:c r="E127" s="15" t="n">
        <x:v>3.267143</x:v>
      </x:c>
      <x:c r="F127" s="15" t="str">
        <x:v>요청</x:v>
      </x:c>
      <x:c r="G127" s="15" t="n">
        <x:v>238</x:v>
      </x:c>
      <x:c r="H127" s="15" t="n">
        <x:v>22</x:v>
      </x:c>
      <x:c r="I127" s="15" t="n">
        <x:v>24.748</x:v>
      </x:c>
      <x:c r="J127" s="15" t="n">
        <x:v>7</x:v>
      </x:c>
      <x:c r="K127" s="15" t="n">
        <x:v>0</x:v>
      </x:c>
      <x:c r="L127" s="15" t="n">
        <x:v>0</x:v>
      </x:c>
      <x:c r="M127" s="15" t="n">
        <x:v>0</x:v>
      </x:c>
      <x:c r="N127" s="15" t="n">
        <x:v>0</x:v>
      </x:c>
      <x:c r="O127" s="15" t="n">
        <x:v>0</x:v>
      </x:c>
      <x:c r="P127" s="15" t="n">
        <x:v>0</x:v>
      </x:c>
      <x:c r="Q127" s="15" t="n">
        <x:v>0</x:v>
      </x:c>
      <x:c r="R127" s="15" t="n">
        <x:v>0</x:v>
      </x:c>
      <x:c r="S127" s="15" t="n">
        <x:v>0</x:v>
      </x:c>
      <x:c r="T127" s="15" t="n">
        <x:v>0</x:v>
      </x:c>
      <x:c r="U127" s="15" t="n">
        <x:v>0</x:v>
      </x:c>
      <x:c r="V127" s="15" t="n">
        <x:v>0</x:v>
      </x:c>
      <x:c r="W127" s="15" t="n">
        <x:v>0</x:v>
      </x:c>
      <x:c r="X127" s="15" t="n">
        <x:v>0</x:v>
      </x:c>
      <x:c r="Y127" s="15" t="n">
        <x:v>0</x:v>
      </x:c>
      <x:c r="Z127" s="15" t="n">
        <x:v>0</x:v>
      </x:c>
      <x:c r="AA127" s="15" t="n">
        <x:v>0</x:v>
      </x:c>
      <x:c r="AB127" s="15" t="n">
        <x:f>SUM(G127:AA127)</x:f>
        <x:v>291.748</x:v>
      </x:c>
    </x:row>
    <x:row r="128" ht="36" customHeight="1">
      <x:c r="A128" s="10" t="str">
        <x:v>T-REL</x:v>
      </x:c>
      <x:c r="B128" s="10" t="str">
        <x:v>TEXT</x:v>
      </x:c>
      <x:c r="C128" s="10" t="str">
        <x:v>TEXT:SYN-F05-01</x:v>
      </x:c>
      <x:c r="D128" s="10" t="str">
        <x:v>TEXT:M2554</x:v>
      </x:c>
      <x:c r="E128" s="15" t="n">
        <x:v>-8</x:v>
      </x:c>
      <x:c r="F128" s="15" t="str">
        <x:v>사전 생산</x:v>
      </x:c>
      <x:c r="G128" s="15" t="n">
        <x:v>238</x:v>
      </x:c>
      <x:c r="H128" s="15" t="n">
        <x:v>0</x:v>
      </x:c>
      <x:c r="I128" s="15" t="n">
        <x:v>31.8</x:v>
      </x:c>
      <x:c r="J128" s="15" t="n">
        <x:v>0</x:v>
      </x:c>
      <x:c r="K128" s="15" t="n">
        <x:v>38</x:v>
      </x:c>
      <x:c r="L128" s="15" t="n">
        <x:v>19</x:v>
      </x:c>
      <x:c r="M128" s="15" t="n">
        <x:v>0</x:v>
      </x:c>
      <x:c r="N128" s="15" t="n">
        <x:v>0</x:v>
      </x:c>
      <x:c r="O128" s="15" t="n">
        <x:v>0</x:v>
      </x:c>
      <x:c r="P128" s="15" t="n">
        <x:v>0</x:v>
      </x:c>
      <x:c r="Q128" s="15" t="n">
        <x:v>0</x:v>
      </x:c>
      <x:c r="R128" s="15" t="n">
        <x:v>0</x:v>
      </x:c>
      <x:c r="S128" s="15" t="n">
        <x:v>0</x:v>
      </x:c>
      <x:c r="T128" s="15" t="n">
        <x:v>0</x:v>
      </x:c>
      <x:c r="U128" s="15" t="n">
        <x:v>0</x:v>
      </x:c>
      <x:c r="V128" s="15" t="n">
        <x:v>0</x:v>
      </x:c>
      <x:c r="W128" s="15" t="n">
        <x:v>0</x:v>
      </x:c>
      <x:c r="X128" s="15" t="n">
        <x:v>0</x:v>
      </x:c>
      <x:c r="Y128" s="15" t="n">
        <x:v>0</x:v>
      </x:c>
      <x:c r="Z128" s="15" t="n">
        <x:v>0</x:v>
      </x:c>
      <x:c r="AA128" s="15" t="n">
        <x:v>0</x:v>
      </x:c>
      <x:c r="AB128" s="15" t="n">
        <x:f>SUM(G128:AA128)</x:f>
        <x:v>326.8</x:v>
      </x:c>
    </x:row>
    <x:row r="129" ht="36" customHeight="1">
      <x:c r="A129" s="10" t="str">
        <x:v>T-BASE</x:v>
      </x:c>
      <x:c r="B129" s="10" t="str">
        <x:v>TEXT</x:v>
      </x:c>
      <x:c r="C129" s="10" t="str">
        <x:v>TEXT:SYN-F05-02</x:v>
      </x:c>
      <x:c r="D129" s="10" t="str">
        <x:v>TEXT:M2576</x:v>
      </x:c>
      <x:c r="E129" s="15" t="n">
        <x:v>0.365</x:v>
      </x:c>
      <x:c r="F129" s="15" t="str">
        <x:v>요청</x:v>
      </x:c>
      <x:c r="G129" s="15" t="n">
        <x:v>238</x:v>
      </x:c>
      <x:c r="H129" s="15" t="n">
        <x:v>11</x:v>
      </x:c>
      <x:c r="I129" s="15" t="n">
        <x:v>26.812</x:v>
      </x:c>
      <x:c r="J129" s="15" t="n">
        <x:v>0</x:v>
      </x:c>
      <x:c r="K129" s="15" t="n">
        <x:v>0</x:v>
      </x:c>
      <x:c r="L129" s="15" t="n">
        <x:v>0</x:v>
      </x:c>
      <x:c r="M129" s="15" t="n">
        <x:v>0</x:v>
      </x:c>
      <x:c r="N129" s="15" t="n">
        <x:v>0</x:v>
      </x:c>
      <x:c r="O129" s="15" t="n">
        <x:v>0</x:v>
      </x:c>
      <x:c r="P129" s="15" t="n">
        <x:v>0</x:v>
      </x:c>
      <x:c r="Q129" s="15" t="n">
        <x:v>0</x:v>
      </x:c>
      <x:c r="R129" s="15" t="n">
        <x:v>0</x:v>
      </x:c>
      <x:c r="S129" s="15" t="n">
        <x:v>0</x:v>
      </x:c>
      <x:c r="T129" s="15" t="n">
        <x:v>0</x:v>
      </x:c>
      <x:c r="U129" s="15" t="n">
        <x:v>0</x:v>
      </x:c>
      <x:c r="V129" s="15" t="n">
        <x:v>0</x:v>
      </x:c>
      <x:c r="W129" s="15" t="n">
        <x:v>0</x:v>
      </x:c>
      <x:c r="X129" s="15" t="n">
        <x:v>0</x:v>
      </x:c>
      <x:c r="Y129" s="15" t="n">
        <x:v>0</x:v>
      </x:c>
      <x:c r="Z129" s="15" t="n">
        <x:v>0</x:v>
      </x:c>
      <x:c r="AA129" s="15" t="n">
        <x:v>0</x:v>
      </x:c>
      <x:c r="AB129" s="15" t="n">
        <x:f>SUM(G129:AA129)</x:f>
        <x:v>275.812</x:v>
      </x:c>
    </x:row>
    <x:row r="130" ht="36" customHeight="1">
      <x:c r="A130" s="10" t="str">
        <x:v>T-EXEC</x:v>
      </x:c>
      <x:c r="B130" s="10" t="str">
        <x:v>TEXT</x:v>
      </x:c>
      <x:c r="C130" s="10" t="str">
        <x:v>TEXT:SYN-F05-02</x:v>
      </x:c>
      <x:c r="D130" s="10" t="str">
        <x:v>TEXT:M2598</x:v>
      </x:c>
      <x:c r="E130" s="15" t="n">
        <x:v>3.339643</x:v>
      </x:c>
      <x:c r="F130" s="15" t="str">
        <x:v>요청</x:v>
      </x:c>
      <x:c r="G130" s="15" t="n">
        <x:v>238</x:v>
      </x:c>
      <x:c r="H130" s="15" t="n">
        <x:v>22</x:v>
      </x:c>
      <x:c r="I130" s="15" t="n">
        <x:v>24.84</x:v>
      </x:c>
      <x:c r="J130" s="15" t="n">
        <x:v>7</x:v>
      </x:c>
      <x:c r="K130" s="15" t="n">
        <x:v>0</x:v>
      </x:c>
      <x:c r="L130" s="15" t="n">
        <x:v>0</x:v>
      </x:c>
      <x:c r="M130" s="15" t="n">
        <x:v>0</x:v>
      </x:c>
      <x:c r="N130" s="15" t="n">
        <x:v>0</x:v>
      </x:c>
      <x:c r="O130" s="15" t="n">
        <x:v>0</x:v>
      </x:c>
      <x:c r="P130" s="15" t="n">
        <x:v>0</x:v>
      </x:c>
      <x:c r="Q130" s="15" t="n">
        <x:v>0</x:v>
      </x:c>
      <x:c r="R130" s="15" t="n">
        <x:v>0</x:v>
      </x:c>
      <x:c r="S130" s="15" t="n">
        <x:v>0</x:v>
      </x:c>
      <x:c r="T130" s="15" t="n">
        <x:v>0</x:v>
      </x:c>
      <x:c r="U130" s="15" t="n">
        <x:v>0</x:v>
      </x:c>
      <x:c r="V130" s="15" t="n">
        <x:v>0</x:v>
      </x:c>
      <x:c r="W130" s="15" t="n">
        <x:v>0</x:v>
      </x:c>
      <x:c r="X130" s="15" t="n">
        <x:v>0</x:v>
      </x:c>
      <x:c r="Y130" s="15" t="n">
        <x:v>0</x:v>
      </x:c>
      <x:c r="Z130" s="15" t="n">
        <x:v>0</x:v>
      </x:c>
      <x:c r="AA130" s="15" t="n">
        <x:v>0</x:v>
      </x:c>
      <x:c r="AB130" s="15" t="n">
        <x:f>SUM(G130:AA130)</x:f>
        <x:v>291.84</x:v>
      </x:c>
    </x:row>
    <x:row r="131" ht="36" customHeight="1">
      <x:c r="A131" s="10" t="str">
        <x:v>T-REL</x:v>
      </x:c>
      <x:c r="B131" s="10" t="str">
        <x:v>TEXT</x:v>
      </x:c>
      <x:c r="C131" s="10" t="str">
        <x:v>TEXT:SYN-F05-02</x:v>
      </x:c>
      <x:c r="D131" s="10" t="str">
        <x:v>TEXT:M2608</x:v>
      </x:c>
      <x:c r="E131" s="15" t="n">
        <x:v>-8</x:v>
      </x:c>
      <x:c r="F131" s="15" t="str">
        <x:v>사전 생산</x:v>
      </x:c>
      <x:c r="G131" s="15" t="n">
        <x:v>238</x:v>
      </x:c>
      <x:c r="H131" s="15" t="n">
        <x:v>0</x:v>
      </x:c>
      <x:c r="I131" s="15" t="n">
        <x:v>32.12</x:v>
      </x:c>
      <x:c r="J131" s="15" t="n">
        <x:v>0</x:v>
      </x:c>
      <x:c r="K131" s="15" t="n">
        <x:v>38</x:v>
      </x:c>
      <x:c r="L131" s="15" t="n">
        <x:v>19</x:v>
      </x:c>
      <x:c r="M131" s="15" t="n">
        <x:v>0</x:v>
      </x:c>
      <x:c r="N131" s="15" t="n">
        <x:v>0</x:v>
      </x:c>
      <x:c r="O131" s="15" t="n">
        <x:v>0</x:v>
      </x:c>
      <x:c r="P131" s="15" t="n">
        <x:v>0</x:v>
      </x:c>
      <x:c r="Q131" s="15" t="n">
        <x:v>0</x:v>
      </x:c>
      <x:c r="R131" s="15" t="n">
        <x:v>0</x:v>
      </x:c>
      <x:c r="S131" s="15" t="n">
        <x:v>0</x:v>
      </x:c>
      <x:c r="T131" s="15" t="n">
        <x:v>0</x:v>
      </x:c>
      <x:c r="U131" s="15" t="n">
        <x:v>0</x:v>
      </x:c>
      <x:c r="V131" s="15" t="n">
        <x:v>0</x:v>
      </x:c>
      <x:c r="W131" s="15" t="n">
        <x:v>0</x:v>
      </x:c>
      <x:c r="X131" s="15" t="n">
        <x:v>0</x:v>
      </x:c>
      <x:c r="Y131" s="15" t="n">
        <x:v>0</x:v>
      </x:c>
      <x:c r="Z131" s="15" t="n">
        <x:v>0</x:v>
      </x:c>
      <x:c r="AA131" s="15" t="n">
        <x:v>0</x:v>
      </x:c>
      <x:c r="AB131" s="15" t="n">
        <x:f>SUM(G131:AA131)</x:f>
        <x:v>327.12</x:v>
      </x:c>
    </x:row>
    <x:row r="132" ht="36" customHeight="1">
      <x:c r="A132" s="10" t="str">
        <x:v>T-BASE</x:v>
      </x:c>
      <x:c r="B132" s="10" t="str">
        <x:v>TEXT</x:v>
      </x:c>
      <x:c r="C132" s="10" t="str">
        <x:v>TEXT:SYN-F05-03</x:v>
      </x:c>
      <x:c r="D132" s="10" t="str">
        <x:v>TEXT:M2630</x:v>
      </x:c>
      <x:c r="E132" s="15" t="n">
        <x:v>0.39</x:v>
      </x:c>
      <x:c r="F132" s="15" t="str">
        <x:v>요청</x:v>
      </x:c>
      <x:c r="G132" s="15" t="n">
        <x:v>238</x:v>
      </x:c>
      <x:c r="H132" s="15" t="n">
        <x:v>11</x:v>
      </x:c>
      <x:c r="I132" s="15" t="n">
        <x:v>26.904</x:v>
      </x:c>
      <x:c r="J132" s="15" t="n">
        <x:v>0</x:v>
      </x:c>
      <x:c r="K132" s="15" t="n">
        <x:v>0</x:v>
      </x:c>
      <x:c r="L132" s="15" t="n">
        <x:v>0</x:v>
      </x:c>
      <x:c r="M132" s="15" t="n">
        <x:v>0</x:v>
      </x:c>
      <x:c r="N132" s="15" t="n">
        <x:v>0</x:v>
      </x:c>
      <x:c r="O132" s="15" t="n">
        <x:v>0</x:v>
      </x:c>
      <x:c r="P132" s="15" t="n">
        <x:v>0</x:v>
      </x:c>
      <x:c r="Q132" s="15" t="n">
        <x:v>0</x:v>
      </x:c>
      <x:c r="R132" s="15" t="n">
        <x:v>0</x:v>
      </x:c>
      <x:c r="S132" s="15" t="n">
        <x:v>0</x:v>
      </x:c>
      <x:c r="T132" s="15" t="n">
        <x:v>0</x:v>
      </x:c>
      <x:c r="U132" s="15" t="n">
        <x:v>0</x:v>
      </x:c>
      <x:c r="V132" s="15" t="n">
        <x:v>0</x:v>
      </x:c>
      <x:c r="W132" s="15" t="n">
        <x:v>0</x:v>
      </x:c>
      <x:c r="X132" s="15" t="n">
        <x:v>0</x:v>
      </x:c>
      <x:c r="Y132" s="15" t="n">
        <x:v>0</x:v>
      </x:c>
      <x:c r="Z132" s="15" t="n">
        <x:v>0</x:v>
      </x:c>
      <x:c r="AA132" s="15" t="n">
        <x:v>0</x:v>
      </x:c>
      <x:c r="AB132" s="15" t="n">
        <x:f>SUM(G132:AA132)</x:f>
        <x:v>275.904</x:v>
      </x:c>
    </x:row>
    <x:row r="133" ht="36" customHeight="1">
      <x:c r="A133" s="10" t="str">
        <x:v>T-EXEC</x:v>
      </x:c>
      <x:c r="B133" s="10" t="str">
        <x:v>TEXT</x:v>
      </x:c>
      <x:c r="C133" s="10" t="str">
        <x:v>TEXT:SYN-F05-03</x:v>
      </x:c>
      <x:c r="D133" s="10" t="str">
        <x:v>TEXT:M2652</x:v>
      </x:c>
      <x:c r="E133" s="15" t="n">
        <x:v>3.412143</x:v>
      </x:c>
      <x:c r="F133" s="15" t="str">
        <x:v>요청</x:v>
      </x:c>
      <x:c r="G133" s="15" t="n">
        <x:v>238</x:v>
      </x:c>
      <x:c r="H133" s="15" t="n">
        <x:v>22</x:v>
      </x:c>
      <x:c r="I133" s="15" t="n">
        <x:v>24.932</x:v>
      </x:c>
      <x:c r="J133" s="15" t="n">
        <x:v>7</x:v>
      </x:c>
      <x:c r="K133" s="15" t="n">
        <x:v>0</x:v>
      </x:c>
      <x:c r="L133" s="15" t="n">
        <x:v>0</x:v>
      </x:c>
      <x:c r="M133" s="15" t="n">
        <x:v>0</x:v>
      </x:c>
      <x:c r="N133" s="15" t="n">
        <x:v>0</x:v>
      </x:c>
      <x:c r="O133" s="15" t="n">
        <x:v>0</x:v>
      </x:c>
      <x:c r="P133" s="15" t="n">
        <x:v>0</x:v>
      </x:c>
      <x:c r="Q133" s="15" t="n">
        <x:v>0</x:v>
      </x:c>
      <x:c r="R133" s="15" t="n">
        <x:v>0</x:v>
      </x:c>
      <x:c r="S133" s="15" t="n">
        <x:v>0</x:v>
      </x:c>
      <x:c r="T133" s="15" t="n">
        <x:v>0</x:v>
      </x:c>
      <x:c r="U133" s="15" t="n">
        <x:v>0</x:v>
      </x:c>
      <x:c r="V133" s="15" t="n">
        <x:v>0</x:v>
      </x:c>
      <x:c r="W133" s="15" t="n">
        <x:v>0</x:v>
      </x:c>
      <x:c r="X133" s="15" t="n">
        <x:v>0</x:v>
      </x:c>
      <x:c r="Y133" s="15" t="n">
        <x:v>0</x:v>
      </x:c>
      <x:c r="Z133" s="15" t="n">
        <x:v>0</x:v>
      </x:c>
      <x:c r="AA133" s="15" t="n">
        <x:v>0</x:v>
      </x:c>
      <x:c r="AB133" s="15" t="n">
        <x:f>SUM(G133:AA133)</x:f>
        <x:v>291.932</x:v>
      </x:c>
    </x:row>
    <x:row r="134" ht="36" customHeight="1">
      <x:c r="A134" s="10" t="str">
        <x:v>T-REL</x:v>
      </x:c>
      <x:c r="B134" s="10" t="str">
        <x:v>TEXT</x:v>
      </x:c>
      <x:c r="C134" s="10" t="str">
        <x:v>TEXT:SYN-F05-03</x:v>
      </x:c>
      <x:c r="D134" s="10" t="str">
        <x:v>TEXT:M2662</x:v>
      </x:c>
      <x:c r="E134" s="15" t="n">
        <x:v>-8</x:v>
      </x:c>
      <x:c r="F134" s="15" t="str">
        <x:v>사전 생산</x:v>
      </x:c>
      <x:c r="G134" s="15" t="n">
        <x:v>238</x:v>
      </x:c>
      <x:c r="H134" s="15" t="n">
        <x:v>0</x:v>
      </x:c>
      <x:c r="I134" s="15" t="n">
        <x:v>32.44</x:v>
      </x:c>
      <x:c r="J134" s="15" t="n">
        <x:v>0</x:v>
      </x:c>
      <x:c r="K134" s="15" t="n">
        <x:v>38</x:v>
      </x:c>
      <x:c r="L134" s="15" t="n">
        <x:v>19</x:v>
      </x:c>
      <x:c r="M134" s="15" t="n">
        <x:v>0</x:v>
      </x:c>
      <x:c r="N134" s="15" t="n">
        <x:v>0</x:v>
      </x:c>
      <x:c r="O134" s="15" t="n">
        <x:v>0</x:v>
      </x:c>
      <x:c r="P134" s="15" t="n">
        <x:v>0</x:v>
      </x:c>
      <x:c r="Q134" s="15" t="n">
        <x:v>0</x:v>
      </x:c>
      <x:c r="R134" s="15" t="n">
        <x:v>0</x:v>
      </x:c>
      <x:c r="S134" s="15" t="n">
        <x:v>0</x:v>
      </x:c>
      <x:c r="T134" s="15" t="n">
        <x:v>0</x:v>
      </x:c>
      <x:c r="U134" s="15" t="n">
        <x:v>0</x:v>
      </x:c>
      <x:c r="V134" s="15" t="n">
        <x:v>0</x:v>
      </x:c>
      <x:c r="W134" s="15" t="n">
        <x:v>0</x:v>
      </x:c>
      <x:c r="X134" s="15" t="n">
        <x:v>0</x:v>
      </x:c>
      <x:c r="Y134" s="15" t="n">
        <x:v>0</x:v>
      </x:c>
      <x:c r="Z134" s="15" t="n">
        <x:v>0</x:v>
      </x:c>
      <x:c r="AA134" s="15" t="n">
        <x:v>0</x:v>
      </x:c>
      <x:c r="AB134" s="15" t="n">
        <x:f>SUM(G134:AA134)</x:f>
        <x:v>327.44</x:v>
      </x:c>
    </x:row>
    <x:row r="135" ht="36" customHeight="1">
      <x:c r="A135" s="10" t="str">
        <x:v>T-BASE</x:v>
      </x:c>
      <x:c r="B135" s="10" t="str">
        <x:v>TEXT</x:v>
      </x:c>
      <x:c r="C135" s="10" t="str">
        <x:v>TEXT:SYN-F05-04</x:v>
      </x:c>
      <x:c r="D135" s="10" t="str">
        <x:v>TEXT:M2684</x:v>
      </x:c>
      <x:c r="E135" s="15" t="n">
        <x:v>0.34</x:v>
      </x:c>
      <x:c r="F135" s="15" t="str">
        <x:v>요청</x:v>
      </x:c>
      <x:c r="G135" s="15" t="n">
        <x:v>238</x:v>
      </x:c>
      <x:c r="H135" s="15" t="n">
        <x:v>11</x:v>
      </x:c>
      <x:c r="I135" s="15" t="n">
        <x:v>26.996</x:v>
      </x:c>
      <x:c r="J135" s="15" t="n">
        <x:v>0</x:v>
      </x:c>
      <x:c r="K135" s="15" t="n">
        <x:v>0</x:v>
      </x:c>
      <x:c r="L135" s="15" t="n">
        <x:v>0</x:v>
      </x:c>
      <x:c r="M135" s="15" t="n">
        <x:v>0</x:v>
      </x:c>
      <x:c r="N135" s="15" t="n">
        <x:v>0</x:v>
      </x:c>
      <x:c r="O135" s="15" t="n">
        <x:v>0</x:v>
      </x:c>
      <x:c r="P135" s="15" t="n">
        <x:v>0</x:v>
      </x:c>
      <x:c r="Q135" s="15" t="n">
        <x:v>0</x:v>
      </x:c>
      <x:c r="R135" s="15" t="n">
        <x:v>0</x:v>
      </x:c>
      <x:c r="S135" s="15" t="n">
        <x:v>0</x:v>
      </x:c>
      <x:c r="T135" s="15" t="n">
        <x:v>0</x:v>
      </x:c>
      <x:c r="U135" s="15" t="n">
        <x:v>0</x:v>
      </x:c>
      <x:c r="V135" s="15" t="n">
        <x:v>0</x:v>
      </x:c>
      <x:c r="W135" s="15" t="n">
        <x:v>0</x:v>
      </x:c>
      <x:c r="X135" s="15" t="n">
        <x:v>0</x:v>
      </x:c>
      <x:c r="Y135" s="15" t="n">
        <x:v>0</x:v>
      </x:c>
      <x:c r="Z135" s="15" t="n">
        <x:v>0</x:v>
      </x:c>
      <x:c r="AA135" s="15" t="n">
        <x:v>0</x:v>
      </x:c>
      <x:c r="AB135" s="15" t="n">
        <x:f>SUM(G135:AA135)</x:f>
        <x:v>275.996</x:v>
      </x:c>
    </x:row>
    <x:row r="136" ht="36" customHeight="1">
      <x:c r="A136" s="10" t="str">
        <x:v>T-EXEC</x:v>
      </x:c>
      <x:c r="B136" s="10" t="str">
        <x:v>TEXT</x:v>
      </x:c>
      <x:c r="C136" s="10" t="str">
        <x:v>TEXT:SYN-F05-04</x:v>
      </x:c>
      <x:c r="D136" s="10" t="str">
        <x:v>TEXT:M2706</x:v>
      </x:c>
      <x:c r="E136" s="15" t="n">
        <x:v>3.315893</x:v>
      </x:c>
      <x:c r="F136" s="15" t="str">
        <x:v>요청</x:v>
      </x:c>
      <x:c r="G136" s="15" t="n">
        <x:v>238</x:v>
      </x:c>
      <x:c r="H136" s="15" t="n">
        <x:v>22</x:v>
      </x:c>
      <x:c r="I136" s="15" t="n">
        <x:v>25.024</x:v>
      </x:c>
      <x:c r="J136" s="15" t="n">
        <x:v>7</x:v>
      </x:c>
      <x:c r="K136" s="15" t="n">
        <x:v>0</x:v>
      </x:c>
      <x:c r="L136" s="15" t="n">
        <x:v>0</x:v>
      </x:c>
      <x:c r="M136" s="15" t="n">
        <x:v>0</x:v>
      </x:c>
      <x:c r="N136" s="15" t="n">
        <x:v>0</x:v>
      </x:c>
      <x:c r="O136" s="15" t="n">
        <x:v>0</x:v>
      </x:c>
      <x:c r="P136" s="15" t="n">
        <x:v>0</x:v>
      </x:c>
      <x:c r="Q136" s="15" t="n">
        <x:v>0</x:v>
      </x:c>
      <x:c r="R136" s="15" t="n">
        <x:v>0</x:v>
      </x:c>
      <x:c r="S136" s="15" t="n">
        <x:v>0</x:v>
      </x:c>
      <x:c r="T136" s="15" t="n">
        <x:v>0</x:v>
      </x:c>
      <x:c r="U136" s="15" t="n">
        <x:v>0</x:v>
      </x:c>
      <x:c r="V136" s="15" t="n">
        <x:v>0</x:v>
      </x:c>
      <x:c r="W136" s="15" t="n">
        <x:v>0</x:v>
      </x:c>
      <x:c r="X136" s="15" t="n">
        <x:v>0</x:v>
      </x:c>
      <x:c r="Y136" s="15" t="n">
        <x:v>0</x:v>
      </x:c>
      <x:c r="Z136" s="15" t="n">
        <x:v>0</x:v>
      </x:c>
      <x:c r="AA136" s="15" t="n">
        <x:v>0</x:v>
      </x:c>
      <x:c r="AB136" s="15" t="n">
        <x:f>SUM(G136:AA136)</x:f>
        <x:v>292.024</x:v>
      </x:c>
    </x:row>
    <x:row r="137" ht="36" customHeight="1">
      <x:c r="A137" s="10" t="str">
        <x:v>T-REL</x:v>
      </x:c>
      <x:c r="B137" s="10" t="str">
        <x:v>TEXT</x:v>
      </x:c>
      <x:c r="C137" s="10" t="str">
        <x:v>TEXT:SYN-F05-04</x:v>
      </x:c>
      <x:c r="D137" s="10" t="str">
        <x:v>TEXT:M2716</x:v>
      </x:c>
      <x:c r="E137" s="15" t="n">
        <x:v>-8</x:v>
      </x:c>
      <x:c r="F137" s="15" t="str">
        <x:v>사전 생산</x:v>
      </x:c>
      <x:c r="G137" s="15" t="n">
        <x:v>238</x:v>
      </x:c>
      <x:c r="H137" s="15" t="n">
        <x:v>0</x:v>
      </x:c>
      <x:c r="I137" s="15" t="n">
        <x:v>32.76</x:v>
      </x:c>
      <x:c r="J137" s="15" t="n">
        <x:v>0</x:v>
      </x:c>
      <x:c r="K137" s="15" t="n">
        <x:v>38</x:v>
      </x:c>
      <x:c r="L137" s="15" t="n">
        <x:v>19</x:v>
      </x:c>
      <x:c r="M137" s="15" t="n">
        <x:v>0</x:v>
      </x:c>
      <x:c r="N137" s="15" t="n">
        <x:v>0</x:v>
      </x:c>
      <x:c r="O137" s="15" t="n">
        <x:v>0</x:v>
      </x:c>
      <x:c r="P137" s="15" t="n">
        <x:v>0</x:v>
      </x:c>
      <x:c r="Q137" s="15" t="n">
        <x:v>0</x:v>
      </x:c>
      <x:c r="R137" s="15" t="n">
        <x:v>0</x:v>
      </x:c>
      <x:c r="S137" s="15" t="n">
        <x:v>0</x:v>
      </x:c>
      <x:c r="T137" s="15" t="n">
        <x:v>0</x:v>
      </x:c>
      <x:c r="U137" s="15" t="n">
        <x:v>0</x:v>
      </x:c>
      <x:c r="V137" s="15" t="n">
        <x:v>0</x:v>
      </x:c>
      <x:c r="W137" s="15" t="n">
        <x:v>0</x:v>
      </x:c>
      <x:c r="X137" s="15" t="n">
        <x:v>0</x:v>
      </x:c>
      <x:c r="Y137" s="15" t="n">
        <x:v>0</x:v>
      </x:c>
      <x:c r="Z137" s="15" t="n">
        <x:v>0</x:v>
      </x:c>
      <x:c r="AA137" s="15" t="n">
        <x:v>0</x:v>
      </x:c>
      <x:c r="AB137" s="15" t="n">
        <x:f>SUM(G137:AA137)</x:f>
        <x:v>327.76</x:v>
      </x:c>
    </x:row>
    <x:row r="138" ht="36" customHeight="1">
      <x:c r="A138" s="10" t="str">
        <x:v>T-BASE</x:v>
      </x:c>
      <x:c r="B138" s="10" t="str">
        <x:v>TEXT</x:v>
      </x:c>
      <x:c r="C138" s="10" t="str">
        <x:v>TEXT:SYN-F05-05</x:v>
      </x:c>
      <x:c r="D138" s="10" t="str">
        <x:v>TEXT:M2738</x:v>
      </x:c>
      <x:c r="E138" s="15" t="n">
        <x:v>0.365</x:v>
      </x:c>
      <x:c r="F138" s="15" t="str">
        <x:v>요청</x:v>
      </x:c>
      <x:c r="G138" s="15" t="n">
        <x:v>238</x:v>
      </x:c>
      <x:c r="H138" s="15" t="n">
        <x:v>11</x:v>
      </x:c>
      <x:c r="I138" s="15" t="n">
        <x:v>27.088</x:v>
      </x:c>
      <x:c r="J138" s="15" t="n">
        <x:v>0</x:v>
      </x:c>
      <x:c r="K138" s="15" t="n">
        <x:v>0</x:v>
      </x:c>
      <x:c r="L138" s="15" t="n">
        <x:v>0</x:v>
      </x:c>
      <x:c r="M138" s="15" t="n">
        <x:v>0</x:v>
      </x:c>
      <x:c r="N138" s="15" t="n">
        <x:v>0</x:v>
      </x:c>
      <x:c r="O138" s="15" t="n">
        <x:v>0</x:v>
      </x:c>
      <x:c r="P138" s="15" t="n">
        <x:v>0</x:v>
      </x:c>
      <x:c r="Q138" s="15" t="n">
        <x:v>0</x:v>
      </x:c>
      <x:c r="R138" s="15" t="n">
        <x:v>0</x:v>
      </x:c>
      <x:c r="S138" s="15" t="n">
        <x:v>0</x:v>
      </x:c>
      <x:c r="T138" s="15" t="n">
        <x:v>0</x:v>
      </x:c>
      <x:c r="U138" s="15" t="n">
        <x:v>0</x:v>
      </x:c>
      <x:c r="V138" s="15" t="n">
        <x:v>0</x:v>
      </x:c>
      <x:c r="W138" s="15" t="n">
        <x:v>0</x:v>
      </x:c>
      <x:c r="X138" s="15" t="n">
        <x:v>0</x:v>
      </x:c>
      <x:c r="Y138" s="15" t="n">
        <x:v>0</x:v>
      </x:c>
      <x:c r="Z138" s="15" t="n">
        <x:v>0</x:v>
      </x:c>
      <x:c r="AA138" s="15" t="n">
        <x:v>0</x:v>
      </x:c>
      <x:c r="AB138" s="15" t="n">
        <x:f>SUM(G138:AA138)</x:f>
        <x:v>276.088</x:v>
      </x:c>
    </x:row>
    <x:row r="139" ht="36" customHeight="1">
      <x:c r="A139" s="10" t="str">
        <x:v>T-EXEC</x:v>
      </x:c>
      <x:c r="B139" s="10" t="str">
        <x:v>TEXT</x:v>
      </x:c>
      <x:c r="C139" s="10" t="str">
        <x:v>TEXT:SYN-F05-05</x:v>
      </x:c>
      <x:c r="D139" s="10" t="str">
        <x:v>TEXT:M2760</x:v>
      </x:c>
      <x:c r="E139" s="15" t="n">
        <x:v>3.363393</x:v>
      </x:c>
      <x:c r="F139" s="15" t="str">
        <x:v>요청</x:v>
      </x:c>
      <x:c r="G139" s="15" t="n">
        <x:v>238</x:v>
      </x:c>
      <x:c r="H139" s="15" t="n">
        <x:v>22</x:v>
      </x:c>
      <x:c r="I139" s="15" t="n">
        <x:v>25.116</x:v>
      </x:c>
      <x:c r="J139" s="15" t="n">
        <x:v>7</x:v>
      </x:c>
      <x:c r="K139" s="15" t="n">
        <x:v>0</x:v>
      </x:c>
      <x:c r="L139" s="15" t="n">
        <x:v>0</x:v>
      </x:c>
      <x:c r="M139" s="15" t="n">
        <x:v>0</x:v>
      </x:c>
      <x:c r="N139" s="15" t="n">
        <x:v>0</x:v>
      </x:c>
      <x:c r="O139" s="15" t="n">
        <x:v>0</x:v>
      </x:c>
      <x:c r="P139" s="15" t="n">
        <x:v>0</x:v>
      </x:c>
      <x:c r="Q139" s="15" t="n">
        <x:v>0</x:v>
      </x:c>
      <x:c r="R139" s="15" t="n">
        <x:v>0</x:v>
      </x:c>
      <x:c r="S139" s="15" t="n">
        <x:v>0</x:v>
      </x:c>
      <x:c r="T139" s="15" t="n">
        <x:v>0</x:v>
      </x:c>
      <x:c r="U139" s="15" t="n">
        <x:v>0</x:v>
      </x:c>
      <x:c r="V139" s="15" t="n">
        <x:v>0</x:v>
      </x:c>
      <x:c r="W139" s="15" t="n">
        <x:v>0</x:v>
      </x:c>
      <x:c r="X139" s="15" t="n">
        <x:v>0</x:v>
      </x:c>
      <x:c r="Y139" s="15" t="n">
        <x:v>0</x:v>
      </x:c>
      <x:c r="Z139" s="15" t="n">
        <x:v>0</x:v>
      </x:c>
      <x:c r="AA139" s="15" t="n">
        <x:v>0</x:v>
      </x:c>
      <x:c r="AB139" s="15" t="n">
        <x:f>SUM(G139:AA139)</x:f>
        <x:v>292.116</x:v>
      </x:c>
    </x:row>
    <x:row r="140" ht="36" customHeight="1">
      <x:c r="A140" s="10" t="str">
        <x:v>T-REL</x:v>
      </x:c>
      <x:c r="B140" s="10" t="str">
        <x:v>TEXT</x:v>
      </x:c>
      <x:c r="C140" s="10" t="str">
        <x:v>TEXT:SYN-F05-05</x:v>
      </x:c>
      <x:c r="D140" s="10" t="str">
        <x:v>TEXT:M2770</x:v>
      </x:c>
      <x:c r="E140" s="15" t="n">
        <x:v>-8</x:v>
      </x:c>
      <x:c r="F140" s="15" t="str">
        <x:v>사전 생산</x:v>
      </x:c>
      <x:c r="G140" s="15" t="n">
        <x:v>238</x:v>
      </x:c>
      <x:c r="H140" s="15" t="n">
        <x:v>0</x:v>
      </x:c>
      <x:c r="I140" s="15" t="n">
        <x:v>33.08</x:v>
      </x:c>
      <x:c r="J140" s="15" t="n">
        <x:v>0</x:v>
      </x:c>
      <x:c r="K140" s="15" t="n">
        <x:v>38</x:v>
      </x:c>
      <x:c r="L140" s="15" t="n">
        <x:v>19</x:v>
      </x:c>
      <x:c r="M140" s="15" t="n">
        <x:v>0</x:v>
      </x:c>
      <x:c r="N140" s="15" t="n">
        <x:v>0</x:v>
      </x:c>
      <x:c r="O140" s="15" t="n">
        <x:v>0</x:v>
      </x:c>
      <x:c r="P140" s="15" t="n">
        <x:v>0</x:v>
      </x:c>
      <x:c r="Q140" s="15" t="n">
        <x:v>0</x:v>
      </x:c>
      <x:c r="R140" s="15" t="n">
        <x:v>0</x:v>
      </x:c>
      <x:c r="S140" s="15" t="n">
        <x:v>0</x:v>
      </x:c>
      <x:c r="T140" s="15" t="n">
        <x:v>0</x:v>
      </x:c>
      <x:c r="U140" s="15" t="n">
        <x:v>0</x:v>
      </x:c>
      <x:c r="V140" s="15" t="n">
        <x:v>0</x:v>
      </x:c>
      <x:c r="W140" s="15" t="n">
        <x:v>0</x:v>
      </x:c>
      <x:c r="X140" s="15" t="n">
        <x:v>0</x:v>
      </x:c>
      <x:c r="Y140" s="15" t="n">
        <x:v>0</x:v>
      </x:c>
      <x:c r="Z140" s="15" t="n">
        <x:v>0</x:v>
      </x:c>
      <x:c r="AA140" s="15" t="n">
        <x:v>0</x:v>
      </x:c>
      <x:c r="AB140" s="15" t="n">
        <x:f>SUM(G140:AA140)</x:f>
        <x:v>328.08</x:v>
      </x:c>
    </x:row>
    <x:row r="141" ht="36" customHeight="1">
      <x:c r="A141" s="10" t="str">
        <x:v>T-BASE</x:v>
      </x:c>
      <x:c r="B141" s="10" t="str">
        <x:v>TEXT</x:v>
      </x:c>
      <x:c r="C141" s="10" t="str">
        <x:v>TEXT:SYN-F05-06</x:v>
      </x:c>
      <x:c r="D141" s="10" t="str">
        <x:v>TEXT:M2792</x:v>
      </x:c>
      <x:c r="E141" s="15" t="n">
        <x:v>0.39</x:v>
      </x:c>
      <x:c r="F141" s="15" t="str">
        <x:v>요청</x:v>
      </x:c>
      <x:c r="G141" s="15" t="n">
        <x:v>238</x:v>
      </x:c>
      <x:c r="H141" s="15" t="n">
        <x:v>11</x:v>
      </x:c>
      <x:c r="I141" s="15" t="n">
        <x:v>27.18</x:v>
      </x:c>
      <x:c r="J141" s="15" t="n">
        <x:v>0</x:v>
      </x:c>
      <x:c r="K141" s="15" t="n">
        <x:v>0</x:v>
      </x:c>
      <x:c r="L141" s="15" t="n">
        <x:v>0</x:v>
      </x:c>
      <x:c r="M141" s="15" t="n">
        <x:v>0</x:v>
      </x:c>
      <x:c r="N141" s="15" t="n">
        <x:v>0</x:v>
      </x:c>
      <x:c r="O141" s="15" t="n">
        <x:v>0</x:v>
      </x:c>
      <x:c r="P141" s="15" t="n">
        <x:v>0</x:v>
      </x:c>
      <x:c r="Q141" s="15" t="n">
        <x:v>0</x:v>
      </x:c>
      <x:c r="R141" s="15" t="n">
        <x:v>0</x:v>
      </x:c>
      <x:c r="S141" s="15" t="n">
        <x:v>0</x:v>
      </x:c>
      <x:c r="T141" s="15" t="n">
        <x:v>0</x:v>
      </x:c>
      <x:c r="U141" s="15" t="n">
        <x:v>0</x:v>
      </x:c>
      <x:c r="V141" s="15" t="n">
        <x:v>0</x:v>
      </x:c>
      <x:c r="W141" s="15" t="n">
        <x:v>0</x:v>
      </x:c>
      <x:c r="X141" s="15" t="n">
        <x:v>0</x:v>
      </x:c>
      <x:c r="Y141" s="15" t="n">
        <x:v>0</x:v>
      </x:c>
      <x:c r="Z141" s="15" t="n">
        <x:v>0</x:v>
      </x:c>
      <x:c r="AA141" s="15" t="n">
        <x:v>0</x:v>
      </x:c>
      <x:c r="AB141" s="15" t="n">
        <x:f>SUM(G141:AA141)</x:f>
        <x:v>276.18</x:v>
      </x:c>
    </x:row>
    <x:row r="142" ht="36" customHeight="1">
      <x:c r="A142" s="10" t="str">
        <x:v>T-EXEC</x:v>
      </x:c>
      <x:c r="B142" s="10" t="str">
        <x:v>TEXT</x:v>
      </x:c>
      <x:c r="C142" s="10" t="str">
        <x:v>TEXT:SYN-F05-06</x:v>
      </x:c>
      <x:c r="D142" s="10" t="str">
        <x:v>TEXT:M2814</x:v>
      </x:c>
      <x:c r="E142" s="15" t="n">
        <x:v>3.435893</x:v>
      </x:c>
      <x:c r="F142" s="15" t="str">
        <x:v>요청</x:v>
      </x:c>
      <x:c r="G142" s="15" t="n">
        <x:v>238</x:v>
      </x:c>
      <x:c r="H142" s="15" t="n">
        <x:v>22</x:v>
      </x:c>
      <x:c r="I142" s="15" t="n">
        <x:v>25.208</x:v>
      </x:c>
      <x:c r="J142" s="15" t="n">
        <x:v>7</x:v>
      </x:c>
      <x:c r="K142" s="15" t="n">
        <x:v>0</x:v>
      </x:c>
      <x:c r="L142" s="15" t="n">
        <x:v>0</x:v>
      </x:c>
      <x:c r="M142" s="15" t="n">
        <x:v>0</x:v>
      </x:c>
      <x:c r="N142" s="15" t="n">
        <x:v>0</x:v>
      </x:c>
      <x:c r="O142" s="15" t="n">
        <x:v>0</x:v>
      </x:c>
      <x:c r="P142" s="15" t="n">
        <x:v>0</x:v>
      </x:c>
      <x:c r="Q142" s="15" t="n">
        <x:v>0</x:v>
      </x:c>
      <x:c r="R142" s="15" t="n">
        <x:v>0</x:v>
      </x:c>
      <x:c r="S142" s="15" t="n">
        <x:v>0</x:v>
      </x:c>
      <x:c r="T142" s="15" t="n">
        <x:v>0</x:v>
      </x:c>
      <x:c r="U142" s="15" t="n">
        <x:v>0</x:v>
      </x:c>
      <x:c r="V142" s="15" t="n">
        <x:v>0</x:v>
      </x:c>
      <x:c r="W142" s="15" t="n">
        <x:v>0</x:v>
      </x:c>
      <x:c r="X142" s="15" t="n">
        <x:v>0</x:v>
      </x:c>
      <x:c r="Y142" s="15" t="n">
        <x:v>0</x:v>
      </x:c>
      <x:c r="Z142" s="15" t="n">
        <x:v>0</x:v>
      </x:c>
      <x:c r="AA142" s="15" t="n">
        <x:v>0</x:v>
      </x:c>
      <x:c r="AB142" s="15" t="n">
        <x:f>SUM(G142:AA142)</x:f>
        <x:v>292.20799999999997</x:v>
      </x:c>
    </x:row>
    <x:row r="143" ht="36" customHeight="1">
      <x:c r="A143" s="10" t="str">
        <x:v>T-REL</x:v>
      </x:c>
      <x:c r="B143" s="10" t="str">
        <x:v>TEXT</x:v>
      </x:c>
      <x:c r="C143" s="10" t="str">
        <x:v>TEXT:SYN-F05-06</x:v>
      </x:c>
      <x:c r="D143" s="10" t="str">
        <x:v>TEXT:M2824</x:v>
      </x:c>
      <x:c r="E143" s="15" t="n">
        <x:v>-8</x:v>
      </x:c>
      <x:c r="F143" s="15" t="str">
        <x:v>사전 생산</x:v>
      </x:c>
      <x:c r="G143" s="15" t="n">
        <x:v>238</x:v>
      </x:c>
      <x:c r="H143" s="15" t="n">
        <x:v>0</x:v>
      </x:c>
      <x:c r="I143" s="15" t="n">
        <x:v>33.4</x:v>
      </x:c>
      <x:c r="J143" s="15" t="n">
        <x:v>0</x:v>
      </x:c>
      <x:c r="K143" s="15" t="n">
        <x:v>38</x:v>
      </x:c>
      <x:c r="L143" s="15" t="n">
        <x:v>19</x:v>
      </x:c>
      <x:c r="M143" s="15" t="n">
        <x:v>0</x:v>
      </x:c>
      <x:c r="N143" s="15" t="n">
        <x:v>0</x:v>
      </x:c>
      <x:c r="O143" s="15" t="n">
        <x:v>0</x:v>
      </x:c>
      <x:c r="P143" s="15" t="n">
        <x:v>0</x:v>
      </x:c>
      <x:c r="Q143" s="15" t="n">
        <x:v>0</x:v>
      </x:c>
      <x:c r="R143" s="15" t="n">
        <x:v>0</x:v>
      </x:c>
      <x:c r="S143" s="15" t="n">
        <x:v>0</x:v>
      </x:c>
      <x:c r="T143" s="15" t="n">
        <x:v>0</x:v>
      </x:c>
      <x:c r="U143" s="15" t="n">
        <x:v>0</x:v>
      </x:c>
      <x:c r="V143" s="15" t="n">
        <x:v>0</x:v>
      </x:c>
      <x:c r="W143" s="15" t="n">
        <x:v>0</x:v>
      </x:c>
      <x:c r="X143" s="15" t="n">
        <x:v>0</x:v>
      </x:c>
      <x:c r="Y143" s="15" t="n">
        <x:v>0</x:v>
      </x:c>
      <x:c r="Z143" s="15" t="n">
        <x:v>0</x:v>
      </x:c>
      <x:c r="AA143" s="15" t="n">
        <x:v>0</x:v>
      </x:c>
      <x:c r="AB143" s="15" t="n">
        <x:f>SUM(G143:AA143)</x:f>
        <x:v>328.4</x:v>
      </x:c>
    </x:row>
    <x:row r="144" ht="36" customHeight="1">
      <x:c r="A144" s="10" t="str">
        <x:v>T-BASE</x:v>
      </x:c>
      <x:c r="B144" s="10" t="str">
        <x:v>TEXT</x:v>
      </x:c>
      <x:c r="C144" s="10" t="str">
        <x:v>TEXT:SYN-F05-07</x:v>
      </x:c>
      <x:c r="D144" s="10" t="str">
        <x:v>TEXT:M2846</x:v>
      </x:c>
      <x:c r="E144" s="15" t="n">
        <x:v>0.34</x:v>
      </x:c>
      <x:c r="F144" s="15" t="str">
        <x:v>요청</x:v>
      </x:c>
      <x:c r="G144" s="15" t="n">
        <x:v>238</x:v>
      </x:c>
      <x:c r="H144" s="15" t="n">
        <x:v>11</x:v>
      </x:c>
      <x:c r="I144" s="15" t="n">
        <x:v>27.272</x:v>
      </x:c>
      <x:c r="J144" s="15" t="n">
        <x:v>0</x:v>
      </x:c>
      <x:c r="K144" s="15" t="n">
        <x:v>0</x:v>
      </x:c>
      <x:c r="L144" s="15" t="n">
        <x:v>0</x:v>
      </x:c>
      <x:c r="M144" s="15" t="n">
        <x:v>0</x:v>
      </x:c>
      <x:c r="N144" s="15" t="n">
        <x:v>0</x:v>
      </x:c>
      <x:c r="O144" s="15" t="n">
        <x:v>0</x:v>
      </x:c>
      <x:c r="P144" s="15" t="n">
        <x:v>0</x:v>
      </x:c>
      <x:c r="Q144" s="15" t="n">
        <x:v>0</x:v>
      </x:c>
      <x:c r="R144" s="15" t="n">
        <x:v>0</x:v>
      </x:c>
      <x:c r="S144" s="15" t="n">
        <x:v>0</x:v>
      </x:c>
      <x:c r="T144" s="15" t="n">
        <x:v>0</x:v>
      </x:c>
      <x:c r="U144" s="15" t="n">
        <x:v>0</x:v>
      </x:c>
      <x:c r="V144" s="15" t="n">
        <x:v>0</x:v>
      </x:c>
      <x:c r="W144" s="15" t="n">
        <x:v>0</x:v>
      </x:c>
      <x:c r="X144" s="15" t="n">
        <x:v>0</x:v>
      </x:c>
      <x:c r="Y144" s="15" t="n">
        <x:v>0</x:v>
      </x:c>
      <x:c r="Z144" s="15" t="n">
        <x:v>0</x:v>
      </x:c>
      <x:c r="AA144" s="15" t="n">
        <x:v>0</x:v>
      </x:c>
      <x:c r="AB144" s="15" t="n">
        <x:f>SUM(G144:AA144)</x:f>
        <x:v>276.272</x:v>
      </x:c>
    </x:row>
    <x:row r="145" ht="36" customHeight="1">
      <x:c r="A145" s="10" t="str">
        <x:v>T-EXEC</x:v>
      </x:c>
      <x:c r="B145" s="10" t="str">
        <x:v>TEXT</x:v>
      </x:c>
      <x:c r="C145" s="10" t="str">
        <x:v>TEXT:SYN-F05-07</x:v>
      </x:c>
      <x:c r="D145" s="10" t="str">
        <x:v>TEXT:M2868</x:v>
      </x:c>
      <x:c r="E145" s="15" t="n">
        <x:v>3.339642</x:v>
      </x:c>
      <x:c r="F145" s="15" t="str">
        <x:v>요청</x:v>
      </x:c>
      <x:c r="G145" s="15" t="n">
        <x:v>238</x:v>
      </x:c>
      <x:c r="H145" s="15" t="n">
        <x:v>22</x:v>
      </x:c>
      <x:c r="I145" s="15" t="n">
        <x:v>25.3</x:v>
      </x:c>
      <x:c r="J145" s="15" t="n">
        <x:v>7</x:v>
      </x:c>
      <x:c r="K145" s="15" t="n">
        <x:v>0</x:v>
      </x:c>
      <x:c r="L145" s="15" t="n">
        <x:v>0</x:v>
      </x:c>
      <x:c r="M145" s="15" t="n">
        <x:v>0</x:v>
      </x:c>
      <x:c r="N145" s="15" t="n">
        <x:v>0</x:v>
      </x:c>
      <x:c r="O145" s="15" t="n">
        <x:v>0</x:v>
      </x:c>
      <x:c r="P145" s="15" t="n">
        <x:v>0</x:v>
      </x:c>
      <x:c r="Q145" s="15" t="n">
        <x:v>0</x:v>
      </x:c>
      <x:c r="R145" s="15" t="n">
        <x:v>0</x:v>
      </x:c>
      <x:c r="S145" s="15" t="n">
        <x:v>0</x:v>
      </x:c>
      <x:c r="T145" s="15" t="n">
        <x:v>0</x:v>
      </x:c>
      <x:c r="U145" s="15" t="n">
        <x:v>0</x:v>
      </x:c>
      <x:c r="V145" s="15" t="n">
        <x:v>0</x:v>
      </x:c>
      <x:c r="W145" s="15" t="n">
        <x:v>0</x:v>
      </x:c>
      <x:c r="X145" s="15" t="n">
        <x:v>0</x:v>
      </x:c>
      <x:c r="Y145" s="15" t="n">
        <x:v>0</x:v>
      </x:c>
      <x:c r="Z145" s="15" t="n">
        <x:v>0</x:v>
      </x:c>
      <x:c r="AA145" s="15" t="n">
        <x:v>0</x:v>
      </x:c>
      <x:c r="AB145" s="15" t="n">
        <x:f>SUM(G145:AA145)</x:f>
        <x:v>292.3</x:v>
      </x:c>
    </x:row>
    <x:row r="146" ht="36" customHeight="1">
      <x:c r="A146" s="10" t="str">
        <x:v>T-REL</x:v>
      </x:c>
      <x:c r="B146" s="10" t="str">
        <x:v>TEXT</x:v>
      </x:c>
      <x:c r="C146" s="10" t="str">
        <x:v>TEXT:SYN-F05-07</x:v>
      </x:c>
      <x:c r="D146" s="10" t="str">
        <x:v>TEXT:M2878</x:v>
      </x:c>
      <x:c r="E146" s="15" t="n">
        <x:v>-8</x:v>
      </x:c>
      <x:c r="F146" s="15" t="str">
        <x:v>사전 생산</x:v>
      </x:c>
      <x:c r="G146" s="15" t="n">
        <x:v>238</x:v>
      </x:c>
      <x:c r="H146" s="15" t="n">
        <x:v>0</x:v>
      </x:c>
      <x:c r="I146" s="15" t="n">
        <x:v>33.72</x:v>
      </x:c>
      <x:c r="J146" s="15" t="n">
        <x:v>0</x:v>
      </x:c>
      <x:c r="K146" s="15" t="n">
        <x:v>38</x:v>
      </x:c>
      <x:c r="L146" s="15" t="n">
        <x:v>19</x:v>
      </x:c>
      <x:c r="M146" s="15" t="n">
        <x:v>0</x:v>
      </x:c>
      <x:c r="N146" s="15" t="n">
        <x:v>0</x:v>
      </x:c>
      <x:c r="O146" s="15" t="n">
        <x:v>0</x:v>
      </x:c>
      <x:c r="P146" s="15" t="n">
        <x:v>0</x:v>
      </x:c>
      <x:c r="Q146" s="15" t="n">
        <x:v>0</x:v>
      </x:c>
      <x:c r="R146" s="15" t="n">
        <x:v>0</x:v>
      </x:c>
      <x:c r="S146" s="15" t="n">
        <x:v>0</x:v>
      </x:c>
      <x:c r="T146" s="15" t="n">
        <x:v>0</x:v>
      </x:c>
      <x:c r="U146" s="15" t="n">
        <x:v>0</x:v>
      </x:c>
      <x:c r="V146" s="15" t="n">
        <x:v>0</x:v>
      </x:c>
      <x:c r="W146" s="15" t="n">
        <x:v>0</x:v>
      </x:c>
      <x:c r="X146" s="15" t="n">
        <x:v>0</x:v>
      </x:c>
      <x:c r="Y146" s="15" t="n">
        <x:v>0</x:v>
      </x:c>
      <x:c r="Z146" s="15" t="n">
        <x:v>0</x:v>
      </x:c>
      <x:c r="AA146" s="15" t="n">
        <x:v>0</x:v>
      </x:c>
      <x:c r="AB146" s="15" t="n">
        <x:f>SUM(G146:AA146)</x:f>
        <x:v>328.72</x:v>
      </x:c>
    </x:row>
    <x:row r="147" ht="36" customHeight="1">
      <x:c r="A147" s="10" t="str">
        <x:v>T-BASE</x:v>
      </x:c>
      <x:c r="B147" s="10" t="str">
        <x:v>TEXT</x:v>
      </x:c>
      <x:c r="C147" s="10" t="str">
        <x:v>TEXT:SYN-F05-08</x:v>
      </x:c>
      <x:c r="D147" s="10" t="str">
        <x:v>TEXT:M2900</x:v>
      </x:c>
      <x:c r="E147" s="15" t="n">
        <x:v>0.365</x:v>
      </x:c>
      <x:c r="F147" s="15" t="str">
        <x:v>요청</x:v>
      </x:c>
      <x:c r="G147" s="15" t="n">
        <x:v>238</x:v>
      </x:c>
      <x:c r="H147" s="15" t="n">
        <x:v>11</x:v>
      </x:c>
      <x:c r="I147" s="15" t="n">
        <x:v>27.364</x:v>
      </x:c>
      <x:c r="J147" s="15" t="n">
        <x:v>0</x:v>
      </x:c>
      <x:c r="K147" s="15" t="n">
        <x:v>0</x:v>
      </x:c>
      <x:c r="L147" s="15" t="n">
        <x:v>0</x:v>
      </x:c>
      <x:c r="M147" s="15" t="n">
        <x:v>0</x:v>
      </x:c>
      <x:c r="N147" s="15" t="n">
        <x:v>0</x:v>
      </x:c>
      <x:c r="O147" s="15" t="n">
        <x:v>0</x:v>
      </x:c>
      <x:c r="P147" s="15" t="n">
        <x:v>0</x:v>
      </x:c>
      <x:c r="Q147" s="15" t="n">
        <x:v>0</x:v>
      </x:c>
      <x:c r="R147" s="15" t="n">
        <x:v>0</x:v>
      </x:c>
      <x:c r="S147" s="15" t="n">
        <x:v>0</x:v>
      </x:c>
      <x:c r="T147" s="15" t="n">
        <x:v>0</x:v>
      </x:c>
      <x:c r="U147" s="15" t="n">
        <x:v>0</x:v>
      </x:c>
      <x:c r="V147" s="15" t="n">
        <x:v>0</x:v>
      </x:c>
      <x:c r="W147" s="15" t="n">
        <x:v>0</x:v>
      </x:c>
      <x:c r="X147" s="15" t="n">
        <x:v>0</x:v>
      </x:c>
      <x:c r="Y147" s="15" t="n">
        <x:v>0</x:v>
      </x:c>
      <x:c r="Z147" s="15" t="n">
        <x:v>0</x:v>
      </x:c>
      <x:c r="AA147" s="15" t="n">
        <x:v>0</x:v>
      </x:c>
      <x:c r="AB147" s="15" t="n">
        <x:f>SUM(G147:AA147)</x:f>
        <x:v>276.364</x:v>
      </x:c>
    </x:row>
    <x:row r="148" ht="36" customHeight="1">
      <x:c r="A148" s="10" t="str">
        <x:v>T-EXEC</x:v>
      </x:c>
      <x:c r="B148" s="10" t="str">
        <x:v>TEXT</x:v>
      </x:c>
      <x:c r="C148" s="10" t="str">
        <x:v>TEXT:SYN-F05-08</x:v>
      </x:c>
      <x:c r="D148" s="10" t="str">
        <x:v>TEXT:M2922</x:v>
      </x:c>
      <x:c r="E148" s="15" t="n">
        <x:v>3.412143</x:v>
      </x:c>
      <x:c r="F148" s="15" t="str">
        <x:v>요청</x:v>
      </x:c>
      <x:c r="G148" s="15" t="n">
        <x:v>238</x:v>
      </x:c>
      <x:c r="H148" s="15" t="n">
        <x:v>22</x:v>
      </x:c>
      <x:c r="I148" s="15" t="n">
        <x:v>25.392</x:v>
      </x:c>
      <x:c r="J148" s="15" t="n">
        <x:v>7</x:v>
      </x:c>
      <x:c r="K148" s="15" t="n">
        <x:v>0</x:v>
      </x:c>
      <x:c r="L148" s="15" t="n">
        <x:v>0</x:v>
      </x:c>
      <x:c r="M148" s="15" t="n">
        <x:v>0</x:v>
      </x:c>
      <x:c r="N148" s="15" t="n">
        <x:v>0</x:v>
      </x:c>
      <x:c r="O148" s="15" t="n">
        <x:v>0</x:v>
      </x:c>
      <x:c r="P148" s="15" t="n">
        <x:v>0</x:v>
      </x:c>
      <x:c r="Q148" s="15" t="n">
        <x:v>0</x:v>
      </x:c>
      <x:c r="R148" s="15" t="n">
        <x:v>0</x:v>
      </x:c>
      <x:c r="S148" s="15" t="n">
        <x:v>0</x:v>
      </x:c>
      <x:c r="T148" s="15" t="n">
        <x:v>0</x:v>
      </x:c>
      <x:c r="U148" s="15" t="n">
        <x:v>0</x:v>
      </x:c>
      <x:c r="V148" s="15" t="n">
        <x:v>0</x:v>
      </x:c>
      <x:c r="W148" s="15" t="n">
        <x:v>0</x:v>
      </x:c>
      <x:c r="X148" s="15" t="n">
        <x:v>0</x:v>
      </x:c>
      <x:c r="Y148" s="15" t="n">
        <x:v>0</x:v>
      </x:c>
      <x:c r="Z148" s="15" t="n">
        <x:v>0</x:v>
      </x:c>
      <x:c r="AA148" s="15" t="n">
        <x:v>0</x:v>
      </x:c>
      <x:c r="AB148" s="15" t="n">
        <x:f>SUM(G148:AA148)</x:f>
        <x:v>292.392</x:v>
      </x:c>
    </x:row>
    <x:row r="149" ht="36" customHeight="1">
      <x:c r="A149" s="10" t="str">
        <x:v>T-REL</x:v>
      </x:c>
      <x:c r="B149" s="10" t="str">
        <x:v>TEXT</x:v>
      </x:c>
      <x:c r="C149" s="10" t="str">
        <x:v>TEXT:SYN-F05-08</x:v>
      </x:c>
      <x:c r="D149" s="10" t="str">
        <x:v>TEXT:M2932</x:v>
      </x:c>
      <x:c r="E149" s="15" t="n">
        <x:v>-8</x:v>
      </x:c>
      <x:c r="F149" s="15" t="str">
        <x:v>사전 생산</x:v>
      </x:c>
      <x:c r="G149" s="15" t="n">
        <x:v>238</x:v>
      </x:c>
      <x:c r="H149" s="15" t="n">
        <x:v>0</x:v>
      </x:c>
      <x:c r="I149" s="15" t="n">
        <x:v>34.04</x:v>
      </x:c>
      <x:c r="J149" s="15" t="n">
        <x:v>0</x:v>
      </x:c>
      <x:c r="K149" s="15" t="n">
        <x:v>38</x:v>
      </x:c>
      <x:c r="L149" s="15" t="n">
        <x:v>19</x:v>
      </x:c>
      <x:c r="M149" s="15" t="n">
        <x:v>0</x:v>
      </x:c>
      <x:c r="N149" s="15" t="n">
        <x:v>0</x:v>
      </x:c>
      <x:c r="O149" s="15" t="n">
        <x:v>0</x:v>
      </x:c>
      <x:c r="P149" s="15" t="n">
        <x:v>0</x:v>
      </x:c>
      <x:c r="Q149" s="15" t="n">
        <x:v>0</x:v>
      </x:c>
      <x:c r="R149" s="15" t="n">
        <x:v>0</x:v>
      </x:c>
      <x:c r="S149" s="15" t="n">
        <x:v>0</x:v>
      </x:c>
      <x:c r="T149" s="15" t="n">
        <x:v>0</x:v>
      </x:c>
      <x:c r="U149" s="15" t="n">
        <x:v>0</x:v>
      </x:c>
      <x:c r="V149" s="15" t="n">
        <x:v>0</x:v>
      </x:c>
      <x:c r="W149" s="15" t="n">
        <x:v>0</x:v>
      </x:c>
      <x:c r="X149" s="15" t="n">
        <x:v>0</x:v>
      </x:c>
      <x:c r="Y149" s="15" t="n">
        <x:v>0</x:v>
      </x:c>
      <x:c r="Z149" s="15" t="n">
        <x:v>0</x:v>
      </x:c>
      <x:c r="AA149" s="15" t="n">
        <x:v>0</x:v>
      </x:c>
      <x:c r="AB149" s="15" t="n">
        <x:f>SUM(G149:AA149)</x:f>
        <x:v>329.04</x:v>
      </x:c>
    </x:row>
    <x:row r="150" ht="36" customHeight="1">
      <x:c r="A150" s="10" t="str">
        <x:v>T-BASE</x:v>
      </x:c>
      <x:c r="B150" s="10" t="str">
        <x:v>TEXT</x:v>
      </x:c>
      <x:c r="C150" s="10" t="str">
        <x:v>TEXT:SYN-F05-09</x:v>
      </x:c>
      <x:c r="D150" s="10" t="str">
        <x:v>TEXT:M2954</x:v>
      </x:c>
      <x:c r="E150" s="15" t="n">
        <x:v>0.39</x:v>
      </x:c>
      <x:c r="F150" s="15" t="str">
        <x:v>요청</x:v>
      </x:c>
      <x:c r="G150" s="15" t="n">
        <x:v>238</x:v>
      </x:c>
      <x:c r="H150" s="15" t="n">
        <x:v>11</x:v>
      </x:c>
      <x:c r="I150" s="15" t="n">
        <x:v>27.456</x:v>
      </x:c>
      <x:c r="J150" s="15" t="n">
        <x:v>0</x:v>
      </x:c>
      <x:c r="K150" s="15" t="n">
        <x:v>0</x:v>
      </x:c>
      <x:c r="L150" s="15" t="n">
        <x:v>0</x:v>
      </x:c>
      <x:c r="M150" s="15" t="n">
        <x:v>0</x:v>
      </x:c>
      <x:c r="N150" s="15" t="n">
        <x:v>0</x:v>
      </x:c>
      <x:c r="O150" s="15" t="n">
        <x:v>0</x:v>
      </x:c>
      <x:c r="P150" s="15" t="n">
        <x:v>0</x:v>
      </x:c>
      <x:c r="Q150" s="15" t="n">
        <x:v>0</x:v>
      </x:c>
      <x:c r="R150" s="15" t="n">
        <x:v>0</x:v>
      </x:c>
      <x:c r="S150" s="15" t="n">
        <x:v>0</x:v>
      </x:c>
      <x:c r="T150" s="15" t="n">
        <x:v>0</x:v>
      </x:c>
      <x:c r="U150" s="15" t="n">
        <x:v>0</x:v>
      </x:c>
      <x:c r="V150" s="15" t="n">
        <x:v>0</x:v>
      </x:c>
      <x:c r="W150" s="15" t="n">
        <x:v>0</x:v>
      </x:c>
      <x:c r="X150" s="15" t="n">
        <x:v>0</x:v>
      </x:c>
      <x:c r="Y150" s="15" t="n">
        <x:v>0</x:v>
      </x:c>
      <x:c r="Z150" s="15" t="n">
        <x:v>0</x:v>
      </x:c>
      <x:c r="AA150" s="15" t="n">
        <x:v>0</x:v>
      </x:c>
      <x:c r="AB150" s="15" t="n">
        <x:f>SUM(G150:AA150)</x:f>
        <x:v>276.456</x:v>
      </x:c>
    </x:row>
    <x:row r="151" ht="36" customHeight="1">
      <x:c r="A151" s="10" t="str">
        <x:v>T-EXEC</x:v>
      </x:c>
      <x:c r="B151" s="10" t="str">
        <x:v>TEXT</x:v>
      </x:c>
      <x:c r="C151" s="10" t="str">
        <x:v>TEXT:SYN-F05-09</x:v>
      </x:c>
      <x:c r="D151" s="10" t="str">
        <x:v>TEXT:M2976</x:v>
      </x:c>
      <x:c r="E151" s="15" t="n">
        <x:v>3.459643</x:v>
      </x:c>
      <x:c r="F151" s="15" t="str">
        <x:v>요청</x:v>
      </x:c>
      <x:c r="G151" s="15" t="n">
        <x:v>238</x:v>
      </x:c>
      <x:c r="H151" s="15" t="n">
        <x:v>22</x:v>
      </x:c>
      <x:c r="I151" s="15" t="n">
        <x:v>25.484</x:v>
      </x:c>
      <x:c r="J151" s="15" t="n">
        <x:v>7</x:v>
      </x:c>
      <x:c r="K151" s="15" t="n">
        <x:v>0</x:v>
      </x:c>
      <x:c r="L151" s="15" t="n">
        <x:v>0</x:v>
      </x:c>
      <x:c r="M151" s="15" t="n">
        <x:v>0</x:v>
      </x:c>
      <x:c r="N151" s="15" t="n">
        <x:v>0</x:v>
      </x:c>
      <x:c r="O151" s="15" t="n">
        <x:v>0</x:v>
      </x:c>
      <x:c r="P151" s="15" t="n">
        <x:v>0</x:v>
      </x:c>
      <x:c r="Q151" s="15" t="n">
        <x:v>0</x:v>
      </x:c>
      <x:c r="R151" s="15" t="n">
        <x:v>0</x:v>
      </x:c>
      <x:c r="S151" s="15" t="n">
        <x:v>0</x:v>
      </x:c>
      <x:c r="T151" s="15" t="n">
        <x:v>0</x:v>
      </x:c>
      <x:c r="U151" s="15" t="n">
        <x:v>0</x:v>
      </x:c>
      <x:c r="V151" s="15" t="n">
        <x:v>0</x:v>
      </x:c>
      <x:c r="W151" s="15" t="n">
        <x:v>0</x:v>
      </x:c>
      <x:c r="X151" s="15" t="n">
        <x:v>0</x:v>
      </x:c>
      <x:c r="Y151" s="15" t="n">
        <x:v>0</x:v>
      </x:c>
      <x:c r="Z151" s="15" t="n">
        <x:v>0</x:v>
      </x:c>
      <x:c r="AA151" s="15" t="n">
        <x:v>0</x:v>
      </x:c>
      <x:c r="AB151" s="15" t="n">
        <x:f>SUM(G151:AA151)</x:f>
        <x:v>292.484</x:v>
      </x:c>
    </x:row>
    <x:row r="152" ht="36" customHeight="1">
      <x:c r="A152" s="10" t="str">
        <x:v>T-REL</x:v>
      </x:c>
      <x:c r="B152" s="10" t="str">
        <x:v>TEXT</x:v>
      </x:c>
      <x:c r="C152" s="10" t="str">
        <x:v>TEXT:SYN-F05-09</x:v>
      </x:c>
      <x:c r="D152" s="10" t="str">
        <x:v>TEXT:M2986</x:v>
      </x:c>
      <x:c r="E152" s="15" t="n">
        <x:v>-8</x:v>
      </x:c>
      <x:c r="F152" s="15" t="str">
        <x:v>사전 생산</x:v>
      </x:c>
      <x:c r="G152" s="15" t="n">
        <x:v>238</x:v>
      </x:c>
      <x:c r="H152" s="15" t="n">
        <x:v>0</x:v>
      </x:c>
      <x:c r="I152" s="15" t="n">
        <x:v>34.36</x:v>
      </x:c>
      <x:c r="J152" s="15" t="n">
        <x:v>0</x:v>
      </x:c>
      <x:c r="K152" s="15" t="n">
        <x:v>38</x:v>
      </x:c>
      <x:c r="L152" s="15" t="n">
        <x:v>19</x:v>
      </x:c>
      <x:c r="M152" s="15" t="n">
        <x:v>0</x:v>
      </x:c>
      <x:c r="N152" s="15" t="n">
        <x:v>0</x:v>
      </x:c>
      <x:c r="O152" s="15" t="n">
        <x:v>0</x:v>
      </x:c>
      <x:c r="P152" s="15" t="n">
        <x:v>0</x:v>
      </x:c>
      <x:c r="Q152" s="15" t="n">
        <x:v>0</x:v>
      </x:c>
      <x:c r="R152" s="15" t="n">
        <x:v>0</x:v>
      </x:c>
      <x:c r="S152" s="15" t="n">
        <x:v>0</x:v>
      </x:c>
      <x:c r="T152" s="15" t="n">
        <x:v>0</x:v>
      </x:c>
      <x:c r="U152" s="15" t="n">
        <x:v>0</x:v>
      </x:c>
      <x:c r="V152" s="15" t="n">
        <x:v>0</x:v>
      </x:c>
      <x:c r="W152" s="15" t="n">
        <x:v>0</x:v>
      </x:c>
      <x:c r="X152" s="15" t="n">
        <x:v>0</x:v>
      </x:c>
      <x:c r="Y152" s="15" t="n">
        <x:v>0</x:v>
      </x:c>
      <x:c r="Z152" s="15" t="n">
        <x:v>0</x:v>
      </x:c>
      <x:c r="AA152" s="15" t="n">
        <x:v>0</x:v>
      </x:c>
      <x:c r="AB152" s="15" t="n">
        <x:f>SUM(G152:AA152)</x:f>
        <x:v>329.36</x:v>
      </x:c>
    </x:row>
    <x:row r="153" ht="36" customHeight="1">
      <x:c r="A153" s="10" t="str">
        <x:v>T-BASE</x:v>
      </x:c>
      <x:c r="B153" s="10" t="str">
        <x:v>TEXT</x:v>
      </x:c>
      <x:c r="C153" s="10" t="str">
        <x:v>TEXT:SYN-F05-10</x:v>
      </x:c>
      <x:c r="D153" s="10" t="str">
        <x:v>TEXT:M3008</x:v>
      </x:c>
      <x:c r="E153" s="15" t="n">
        <x:v>0.34</x:v>
      </x:c>
      <x:c r="F153" s="15" t="str">
        <x:v>요청</x:v>
      </x:c>
      <x:c r="G153" s="15" t="n">
        <x:v>238</x:v>
      </x:c>
      <x:c r="H153" s="15" t="n">
        <x:v>11</x:v>
      </x:c>
      <x:c r="I153" s="15" t="n">
        <x:v>27.548</x:v>
      </x:c>
      <x:c r="J153" s="15" t="n">
        <x:v>0</x:v>
      </x:c>
      <x:c r="K153" s="15" t="n">
        <x:v>0</x:v>
      </x:c>
      <x:c r="L153" s="15" t="n">
        <x:v>0</x:v>
      </x:c>
      <x:c r="M153" s="15" t="n">
        <x:v>0</x:v>
      </x:c>
      <x:c r="N153" s="15" t="n">
        <x:v>0</x:v>
      </x:c>
      <x:c r="O153" s="15" t="n">
        <x:v>0</x:v>
      </x:c>
      <x:c r="P153" s="15" t="n">
        <x:v>0</x:v>
      </x:c>
      <x:c r="Q153" s="15" t="n">
        <x:v>0</x:v>
      </x:c>
      <x:c r="R153" s="15" t="n">
        <x:v>0</x:v>
      </x:c>
      <x:c r="S153" s="15" t="n">
        <x:v>0</x:v>
      </x:c>
      <x:c r="T153" s="15" t="n">
        <x:v>0</x:v>
      </x:c>
      <x:c r="U153" s="15" t="n">
        <x:v>0</x:v>
      </x:c>
      <x:c r="V153" s="15" t="n">
        <x:v>0</x:v>
      </x:c>
      <x:c r="W153" s="15" t="n">
        <x:v>0</x:v>
      </x:c>
      <x:c r="X153" s="15" t="n">
        <x:v>0</x:v>
      </x:c>
      <x:c r="Y153" s="15" t="n">
        <x:v>0</x:v>
      </x:c>
      <x:c r="Z153" s="15" t="n">
        <x:v>0</x:v>
      </x:c>
      <x:c r="AA153" s="15" t="n">
        <x:v>0</x:v>
      </x:c>
      <x:c r="AB153" s="15" t="n">
        <x:f>SUM(G153:AA153)</x:f>
        <x:v>276.548</x:v>
      </x:c>
    </x:row>
    <x:row r="154" ht="36" customHeight="1">
      <x:c r="A154" s="10" t="str">
        <x:v>T-EXEC</x:v>
      </x:c>
      <x:c r="B154" s="10" t="str">
        <x:v>TEXT</x:v>
      </x:c>
      <x:c r="C154" s="10" t="str">
        <x:v>TEXT:SYN-F05-10</x:v>
      </x:c>
      <x:c r="D154" s="10" t="str">
        <x:v>TEXT:M3030</x:v>
      </x:c>
      <x:c r="E154" s="15" t="n">
        <x:v>3.363393</x:v>
      </x:c>
      <x:c r="F154" s="15" t="str">
        <x:v>요청</x:v>
      </x:c>
      <x:c r="G154" s="15" t="n">
        <x:v>238</x:v>
      </x:c>
      <x:c r="H154" s="15" t="n">
        <x:v>22</x:v>
      </x:c>
      <x:c r="I154" s="15" t="n">
        <x:v>25.576</x:v>
      </x:c>
      <x:c r="J154" s="15" t="n">
        <x:v>7</x:v>
      </x:c>
      <x:c r="K154" s="15" t="n">
        <x:v>0</x:v>
      </x:c>
      <x:c r="L154" s="15" t="n">
        <x:v>0</x:v>
      </x:c>
      <x:c r="M154" s="15" t="n">
        <x:v>0</x:v>
      </x:c>
      <x:c r="N154" s="15" t="n">
        <x:v>0</x:v>
      </x:c>
      <x:c r="O154" s="15" t="n">
        <x:v>0</x:v>
      </x:c>
      <x:c r="P154" s="15" t="n">
        <x:v>0</x:v>
      </x:c>
      <x:c r="Q154" s="15" t="n">
        <x:v>0</x:v>
      </x:c>
      <x:c r="R154" s="15" t="n">
        <x:v>0</x:v>
      </x:c>
      <x:c r="S154" s="15" t="n">
        <x:v>0</x:v>
      </x:c>
      <x:c r="T154" s="15" t="n">
        <x:v>0</x:v>
      </x:c>
      <x:c r="U154" s="15" t="n">
        <x:v>0</x:v>
      </x:c>
      <x:c r="V154" s="15" t="n">
        <x:v>0</x:v>
      </x:c>
      <x:c r="W154" s="15" t="n">
        <x:v>0</x:v>
      </x:c>
      <x:c r="X154" s="15" t="n">
        <x:v>0</x:v>
      </x:c>
      <x:c r="Y154" s="15" t="n">
        <x:v>0</x:v>
      </x:c>
      <x:c r="Z154" s="15" t="n">
        <x:v>0</x:v>
      </x:c>
      <x:c r="AA154" s="15" t="n">
        <x:v>0</x:v>
      </x:c>
      <x:c r="AB154" s="15" t="n">
        <x:f>SUM(G154:AA154)</x:f>
        <x:v>292.576</x:v>
      </x:c>
    </x:row>
    <x:row r="155" ht="36" customHeight="1">
      <x:c r="A155" s="10" t="str">
        <x:v>T-REL</x:v>
      </x:c>
      <x:c r="B155" s="10" t="str">
        <x:v>TEXT</x:v>
      </x:c>
      <x:c r="C155" s="10" t="str">
        <x:v>TEXT:SYN-F05-10</x:v>
      </x:c>
      <x:c r="D155" s="10" t="str">
        <x:v>TEXT:M3040</x:v>
      </x:c>
      <x:c r="E155" s="15" t="n">
        <x:v>-8</x:v>
      </x:c>
      <x:c r="F155" s="15" t="str">
        <x:v>사전 생산</x:v>
      </x:c>
      <x:c r="G155" s="15" t="n">
        <x:v>238</x:v>
      </x:c>
      <x:c r="H155" s="15" t="n">
        <x:v>0</x:v>
      </x:c>
      <x:c r="I155" s="15" t="n">
        <x:v>34.68</x:v>
      </x:c>
      <x:c r="J155" s="15" t="n">
        <x:v>0</x:v>
      </x:c>
      <x:c r="K155" s="15" t="n">
        <x:v>38</x:v>
      </x:c>
      <x:c r="L155" s="15" t="n">
        <x:v>19</x:v>
      </x:c>
      <x:c r="M155" s="15" t="n">
        <x:v>0</x:v>
      </x:c>
      <x:c r="N155" s="15" t="n">
        <x:v>0</x:v>
      </x:c>
      <x:c r="O155" s="15" t="n">
        <x:v>0</x:v>
      </x:c>
      <x:c r="P155" s="15" t="n">
        <x:v>0</x:v>
      </x:c>
      <x:c r="Q155" s="15" t="n">
        <x:v>0</x:v>
      </x:c>
      <x:c r="R155" s="15" t="n">
        <x:v>0</x:v>
      </x:c>
      <x:c r="S155" s="15" t="n">
        <x:v>0</x:v>
      </x:c>
      <x:c r="T155" s="15" t="n">
        <x:v>0</x:v>
      </x:c>
      <x:c r="U155" s="15" t="n">
        <x:v>0</x:v>
      </x:c>
      <x:c r="V155" s="15" t="n">
        <x:v>0</x:v>
      </x:c>
      <x:c r="W155" s="15" t="n">
        <x:v>0</x:v>
      </x:c>
      <x:c r="X155" s="15" t="n">
        <x:v>0</x:v>
      </x:c>
      <x:c r="Y155" s="15" t="n">
        <x:v>0</x:v>
      </x:c>
      <x:c r="Z155" s="15" t="n">
        <x:v>0</x:v>
      </x:c>
      <x:c r="AA155" s="15" t="n">
        <x:v>0</x:v>
      </x:c>
      <x:c r="AB155" s="15" t="n">
        <x:f>SUM(G155:AA155)</x:f>
        <x:v>329.68</x:v>
      </x:c>
    </x:row>
    <x:row r="156" ht="36" customHeight="1">
      <x:c r="A156" s="10" t="str">
        <x:v>T-BASE</x:v>
      </x:c>
      <x:c r="B156" s="10" t="str">
        <x:v>TEXT</x:v>
      </x:c>
      <x:c r="C156" s="10" t="str">
        <x:v>TEXT:SYN-F06-01</x:v>
      </x:c>
      <x:c r="D156" s="10" t="str">
        <x:v>TEXT:M3062</x:v>
      </x:c>
      <x:c r="E156" s="15" t="n">
        <x:v>0.34</x:v>
      </x:c>
      <x:c r="F156" s="15" t="str">
        <x:v>요청</x:v>
      </x:c>
      <x:c r="G156" s="15" t="n">
        <x:v>238</x:v>
      </x:c>
      <x:c r="H156" s="15" t="n">
        <x:v>11</x:v>
      </x:c>
      <x:c r="I156" s="15" t="n">
        <x:v>27.84</x:v>
      </x:c>
      <x:c r="J156" s="15" t="n">
        <x:v>0</x:v>
      </x:c>
      <x:c r="K156" s="15" t="n">
        <x:v>0</x:v>
      </x:c>
      <x:c r="L156" s="15" t="n">
        <x:v>0</x:v>
      </x:c>
      <x:c r="M156" s="15" t="n">
        <x:v>0</x:v>
      </x:c>
      <x:c r="N156" s="15" t="n">
        <x:v>0</x:v>
      </x:c>
      <x:c r="O156" s="15" t="n">
        <x:v>0</x:v>
      </x:c>
      <x:c r="P156" s="15" t="n">
        <x:v>0</x:v>
      </x:c>
      <x:c r="Q156" s="15" t="n">
        <x:v>0</x:v>
      </x:c>
      <x:c r="R156" s="15" t="n">
        <x:v>0</x:v>
      </x:c>
      <x:c r="S156" s="15" t="n">
        <x:v>0</x:v>
      </x:c>
      <x:c r="T156" s="15" t="n">
        <x:v>0</x:v>
      </x:c>
      <x:c r="U156" s="15" t="n">
        <x:v>0</x:v>
      </x:c>
      <x:c r="V156" s="15" t="n">
        <x:v>0</x:v>
      </x:c>
      <x:c r="W156" s="15" t="n">
        <x:v>0</x:v>
      </x:c>
      <x:c r="X156" s="15" t="n">
        <x:v>0</x:v>
      </x:c>
      <x:c r="Y156" s="15" t="n">
        <x:v>0</x:v>
      </x:c>
      <x:c r="Z156" s="15" t="n">
        <x:v>0</x:v>
      </x:c>
      <x:c r="AA156" s="15" t="n">
        <x:v>0</x:v>
      </x:c>
      <x:c r="AB156" s="15" t="n">
        <x:f>SUM(G156:AA156)</x:f>
        <x:v>276.84</x:v>
      </x:c>
    </x:row>
    <x:row r="157" ht="36" customHeight="1">
      <x:c r="A157" s="10" t="str">
        <x:v>T-EXEC</x:v>
      </x:c>
      <x:c r="B157" s="10" t="str">
        <x:v>TEXT</x:v>
      </x:c>
      <x:c r="C157" s="10" t="str">
        <x:v>TEXT:SYN-F06-01</x:v>
      </x:c>
      <x:c r="D157" s="10" t="str">
        <x:v>TEXT:M3084</x:v>
      </x:c>
      <x:c r="E157" s="15" t="n">
        <x:v>3.347143</x:v>
      </x:c>
      <x:c r="F157" s="15" t="str">
        <x:v>요청</x:v>
      </x:c>
      <x:c r="G157" s="15" t="n">
        <x:v>238</x:v>
      </x:c>
      <x:c r="H157" s="15" t="n">
        <x:v>22</x:v>
      </x:c>
      <x:c r="I157" s="15" t="n">
        <x:v>25.6</x:v>
      </x:c>
      <x:c r="J157" s="15" t="n">
        <x:v>7</x:v>
      </x:c>
      <x:c r="K157" s="15" t="n">
        <x:v>0</x:v>
      </x:c>
      <x:c r="L157" s="15" t="n">
        <x:v>0</x:v>
      </x:c>
      <x:c r="M157" s="15" t="n">
        <x:v>0</x:v>
      </x:c>
      <x:c r="N157" s="15" t="n">
        <x:v>0</x:v>
      </x:c>
      <x:c r="O157" s="15" t="n">
        <x:v>0</x:v>
      </x:c>
      <x:c r="P157" s="15" t="n">
        <x:v>0</x:v>
      </x:c>
      <x:c r="Q157" s="15" t="n">
        <x:v>0</x:v>
      </x:c>
      <x:c r="R157" s="15" t="n">
        <x:v>0</x:v>
      </x:c>
      <x:c r="S157" s="15" t="n">
        <x:v>0</x:v>
      </x:c>
      <x:c r="T157" s="15" t="n">
        <x:v>0</x:v>
      </x:c>
      <x:c r="U157" s="15" t="n">
        <x:v>0</x:v>
      </x:c>
      <x:c r="V157" s="15" t="n">
        <x:v>0</x:v>
      </x:c>
      <x:c r="W157" s="15" t="n">
        <x:v>0</x:v>
      </x:c>
      <x:c r="X157" s="15" t="n">
        <x:v>0</x:v>
      </x:c>
      <x:c r="Y157" s="15" t="n">
        <x:v>0</x:v>
      </x:c>
      <x:c r="Z157" s="15" t="n">
        <x:v>0</x:v>
      </x:c>
      <x:c r="AA157" s="15" t="n">
        <x:v>0</x:v>
      </x:c>
      <x:c r="AB157" s="15" t="n">
        <x:f>SUM(G157:AA157)</x:f>
        <x:v>292.6</x:v>
      </x:c>
    </x:row>
    <x:row r="158" ht="36" customHeight="1">
      <x:c r="A158" s="10" t="str">
        <x:v>T-REL</x:v>
      </x:c>
      <x:c r="B158" s="10" t="str">
        <x:v>TEXT</x:v>
      </x:c>
      <x:c r="C158" s="10" t="str">
        <x:v>TEXT:SYN-F06-01</x:v>
      </x:c>
      <x:c r="D158" s="10" t="str">
        <x:v>TEXT:M3094</x:v>
      </x:c>
      <x:c r="E158" s="15" t="n">
        <x:v>-8</x:v>
      </x:c>
      <x:c r="F158" s="15" t="str">
        <x:v>사전 생산</x:v>
      </x:c>
      <x:c r="G158" s="15" t="n">
        <x:v>238</x:v>
      </x:c>
      <x:c r="H158" s="15" t="n">
        <x:v>0</x:v>
      </x:c>
      <x:c r="I158" s="15" t="n">
        <x:v>31.8</x:v>
      </x:c>
      <x:c r="J158" s="15" t="n">
        <x:v>0</x:v>
      </x:c>
      <x:c r="K158" s="15" t="n">
        <x:v>38</x:v>
      </x:c>
      <x:c r="L158" s="15" t="n">
        <x:v>19</x:v>
      </x:c>
      <x:c r="M158" s="15" t="n">
        <x:v>0</x:v>
      </x:c>
      <x:c r="N158" s="15" t="n">
        <x:v>0</x:v>
      </x:c>
      <x:c r="O158" s="15" t="n">
        <x:v>0</x:v>
      </x:c>
      <x:c r="P158" s="15" t="n">
        <x:v>0</x:v>
      </x:c>
      <x:c r="Q158" s="15" t="n">
        <x:v>0</x:v>
      </x:c>
      <x:c r="R158" s="15" t="n">
        <x:v>0</x:v>
      </x:c>
      <x:c r="S158" s="15" t="n">
        <x:v>0</x:v>
      </x:c>
      <x:c r="T158" s="15" t="n">
        <x:v>0</x:v>
      </x:c>
      <x:c r="U158" s="15" t="n">
        <x:v>0</x:v>
      </x:c>
      <x:c r="V158" s="15" t="n">
        <x:v>0</x:v>
      </x:c>
      <x:c r="W158" s="15" t="n">
        <x:v>0</x:v>
      </x:c>
      <x:c r="X158" s="15" t="n">
        <x:v>0</x:v>
      </x:c>
      <x:c r="Y158" s="15" t="n">
        <x:v>0</x:v>
      </x:c>
      <x:c r="Z158" s="15" t="n">
        <x:v>0</x:v>
      </x:c>
      <x:c r="AA158" s="15" t="n">
        <x:v>0</x:v>
      </x:c>
      <x:c r="AB158" s="15" t="n">
        <x:f>SUM(G158:AA158)</x:f>
        <x:v>326.8</x:v>
      </x:c>
    </x:row>
    <x:row r="159" ht="36" customHeight="1">
      <x:c r="A159" s="10" t="str">
        <x:v>T-BASE</x:v>
      </x:c>
      <x:c r="B159" s="10" t="str">
        <x:v>TEXT</x:v>
      </x:c>
      <x:c r="C159" s="10" t="str">
        <x:v>TEXT:SYN-F06-02</x:v>
      </x:c>
      <x:c r="D159" s="10" t="str">
        <x:v>TEXT:M3115</x:v>
      </x:c>
      <x:c r="E159" s="15" t="n">
        <x:v>0.365</x:v>
      </x:c>
      <x:c r="F159" s="15" t="str">
        <x:v>요청</x:v>
      </x:c>
      <x:c r="G159" s="15" t="n">
        <x:v>238</x:v>
      </x:c>
      <x:c r="H159" s="15" t="n">
        <x:v>11</x:v>
      </x:c>
      <x:c r="I159" s="15" t="n">
        <x:v>27.932</x:v>
      </x:c>
      <x:c r="J159" s="15" t="n">
        <x:v>0</x:v>
      </x:c>
      <x:c r="K159" s="15" t="n">
        <x:v>0</x:v>
      </x:c>
      <x:c r="L159" s="15" t="n">
        <x:v>0</x:v>
      </x:c>
      <x:c r="M159" s="15" t="n">
        <x:v>0</x:v>
      </x:c>
      <x:c r="N159" s="15" t="n">
        <x:v>0</x:v>
      </x:c>
      <x:c r="O159" s="15" t="n">
        <x:v>0</x:v>
      </x:c>
      <x:c r="P159" s="15" t="n">
        <x:v>0</x:v>
      </x:c>
      <x:c r="Q159" s="15" t="n">
        <x:v>0</x:v>
      </x:c>
      <x:c r="R159" s="15" t="n">
        <x:v>0</x:v>
      </x:c>
      <x:c r="S159" s="15" t="n">
        <x:v>0</x:v>
      </x:c>
      <x:c r="T159" s="15" t="n">
        <x:v>0</x:v>
      </x:c>
      <x:c r="U159" s="15" t="n">
        <x:v>0</x:v>
      </x:c>
      <x:c r="V159" s="15" t="n">
        <x:v>0</x:v>
      </x:c>
      <x:c r="W159" s="15" t="n">
        <x:v>0</x:v>
      </x:c>
      <x:c r="X159" s="15" t="n">
        <x:v>0</x:v>
      </x:c>
      <x:c r="Y159" s="15" t="n">
        <x:v>0</x:v>
      </x:c>
      <x:c r="Z159" s="15" t="n">
        <x:v>0</x:v>
      </x:c>
      <x:c r="AA159" s="15" t="n">
        <x:v>0</x:v>
      </x:c>
      <x:c r="AB159" s="15" t="n">
        <x:f>SUM(G159:AA159)</x:f>
        <x:v>276.932</x:v>
      </x:c>
    </x:row>
    <x:row r="160" ht="36" customHeight="1">
      <x:c r="A160" s="10" t="str">
        <x:v>T-EXEC</x:v>
      </x:c>
      <x:c r="B160" s="10" t="str">
        <x:v>TEXT</x:v>
      </x:c>
      <x:c r="C160" s="10" t="str">
        <x:v>TEXT:SYN-F06-02</x:v>
      </x:c>
      <x:c r="D160" s="10" t="str">
        <x:v>TEXT:M3137</x:v>
      </x:c>
      <x:c r="E160" s="15" t="n">
        <x:v>3.419643</x:v>
      </x:c>
      <x:c r="F160" s="15" t="str">
        <x:v>요청</x:v>
      </x:c>
      <x:c r="G160" s="15" t="n">
        <x:v>238</x:v>
      </x:c>
      <x:c r="H160" s="15" t="n">
        <x:v>22</x:v>
      </x:c>
      <x:c r="I160" s="15" t="n">
        <x:v>25.692</x:v>
      </x:c>
      <x:c r="J160" s="15" t="n">
        <x:v>7</x:v>
      </x:c>
      <x:c r="K160" s="15" t="n">
        <x:v>0</x:v>
      </x:c>
      <x:c r="L160" s="15" t="n">
        <x:v>0</x:v>
      </x:c>
      <x:c r="M160" s="15" t="n">
        <x:v>0</x:v>
      </x:c>
      <x:c r="N160" s="15" t="n">
        <x:v>0</x:v>
      </x:c>
      <x:c r="O160" s="15" t="n">
        <x:v>0</x:v>
      </x:c>
      <x:c r="P160" s="15" t="n">
        <x:v>0</x:v>
      </x:c>
      <x:c r="Q160" s="15" t="n">
        <x:v>0</x:v>
      </x:c>
      <x:c r="R160" s="15" t="n">
        <x:v>0</x:v>
      </x:c>
      <x:c r="S160" s="15" t="n">
        <x:v>0</x:v>
      </x:c>
      <x:c r="T160" s="15" t="n">
        <x:v>0</x:v>
      </x:c>
      <x:c r="U160" s="15" t="n">
        <x:v>0</x:v>
      </x:c>
      <x:c r="V160" s="15" t="n">
        <x:v>0</x:v>
      </x:c>
      <x:c r="W160" s="15" t="n">
        <x:v>0</x:v>
      </x:c>
      <x:c r="X160" s="15" t="n">
        <x:v>0</x:v>
      </x:c>
      <x:c r="Y160" s="15" t="n">
        <x:v>0</x:v>
      </x:c>
      <x:c r="Z160" s="15" t="n">
        <x:v>0</x:v>
      </x:c>
      <x:c r="AA160" s="15" t="n">
        <x:v>0</x:v>
      </x:c>
      <x:c r="AB160" s="15" t="n">
        <x:f>SUM(G160:AA160)</x:f>
        <x:v>292.692</x:v>
      </x:c>
    </x:row>
    <x:row r="161" ht="36" customHeight="1">
      <x:c r="A161" s="10" t="str">
        <x:v>T-REL</x:v>
      </x:c>
      <x:c r="B161" s="10" t="str">
        <x:v>TEXT</x:v>
      </x:c>
      <x:c r="C161" s="10" t="str">
        <x:v>TEXT:SYN-F06-02</x:v>
      </x:c>
      <x:c r="D161" s="10" t="str">
        <x:v>TEXT:M3147</x:v>
      </x:c>
      <x:c r="E161" s="15" t="n">
        <x:v>-8</x:v>
      </x:c>
      <x:c r="F161" s="15" t="str">
        <x:v>사전 생산</x:v>
      </x:c>
      <x:c r="G161" s="15" t="n">
        <x:v>238</x:v>
      </x:c>
      <x:c r="H161" s="15" t="n">
        <x:v>0</x:v>
      </x:c>
      <x:c r="I161" s="15" t="n">
        <x:v>32.12</x:v>
      </x:c>
      <x:c r="J161" s="15" t="n">
        <x:v>0</x:v>
      </x:c>
      <x:c r="K161" s="15" t="n">
        <x:v>38</x:v>
      </x:c>
      <x:c r="L161" s="15" t="n">
        <x:v>19</x:v>
      </x:c>
      <x:c r="M161" s="15" t="n">
        <x:v>0</x:v>
      </x:c>
      <x:c r="N161" s="15" t="n">
        <x:v>0</x:v>
      </x:c>
      <x:c r="O161" s="15" t="n">
        <x:v>0</x:v>
      </x:c>
      <x:c r="P161" s="15" t="n">
        <x:v>0</x:v>
      </x:c>
      <x:c r="Q161" s="15" t="n">
        <x:v>0</x:v>
      </x:c>
      <x:c r="R161" s="15" t="n">
        <x:v>0</x:v>
      </x:c>
      <x:c r="S161" s="15" t="n">
        <x:v>0</x:v>
      </x:c>
      <x:c r="T161" s="15" t="n">
        <x:v>0</x:v>
      </x:c>
      <x:c r="U161" s="15" t="n">
        <x:v>0</x:v>
      </x:c>
      <x:c r="V161" s="15" t="n">
        <x:v>0</x:v>
      </x:c>
      <x:c r="W161" s="15" t="n">
        <x:v>0</x:v>
      </x:c>
      <x:c r="X161" s="15" t="n">
        <x:v>0</x:v>
      </x:c>
      <x:c r="Y161" s="15" t="n">
        <x:v>0</x:v>
      </x:c>
      <x:c r="Z161" s="15" t="n">
        <x:v>0</x:v>
      </x:c>
      <x:c r="AA161" s="15" t="n">
        <x:v>0</x:v>
      </x:c>
      <x:c r="AB161" s="15" t="n">
        <x:f>SUM(G161:AA161)</x:f>
        <x:v>327.12</x:v>
      </x:c>
    </x:row>
    <x:row r="162" ht="36" customHeight="1">
      <x:c r="A162" s="10" t="str">
        <x:v>T-BASE</x:v>
      </x:c>
      <x:c r="B162" s="10" t="str">
        <x:v>TEXT</x:v>
      </x:c>
      <x:c r="C162" s="10" t="str">
        <x:v>TEXT:SYN-F06-03</x:v>
      </x:c>
      <x:c r="D162" s="10" t="str">
        <x:v>TEXT:M3168</x:v>
      </x:c>
      <x:c r="E162" s="15" t="n">
        <x:v>0.39</x:v>
      </x:c>
      <x:c r="F162" s="15" t="str">
        <x:v>요청</x:v>
      </x:c>
      <x:c r="G162" s="15" t="n">
        <x:v>238</x:v>
      </x:c>
      <x:c r="H162" s="15" t="n">
        <x:v>11</x:v>
      </x:c>
      <x:c r="I162" s="15" t="n">
        <x:v>28.024</x:v>
      </x:c>
      <x:c r="J162" s="15" t="n">
        <x:v>0</x:v>
      </x:c>
      <x:c r="K162" s="15" t="n">
        <x:v>0</x:v>
      </x:c>
      <x:c r="L162" s="15" t="n">
        <x:v>0</x:v>
      </x:c>
      <x:c r="M162" s="15" t="n">
        <x:v>0</x:v>
      </x:c>
      <x:c r="N162" s="15" t="n">
        <x:v>0</x:v>
      </x:c>
      <x:c r="O162" s="15" t="n">
        <x:v>0</x:v>
      </x:c>
      <x:c r="P162" s="15" t="n">
        <x:v>0</x:v>
      </x:c>
      <x:c r="Q162" s="15" t="n">
        <x:v>0</x:v>
      </x:c>
      <x:c r="R162" s="15" t="n">
        <x:v>0</x:v>
      </x:c>
      <x:c r="S162" s="15" t="n">
        <x:v>0</x:v>
      </x:c>
      <x:c r="T162" s="15" t="n">
        <x:v>0</x:v>
      </x:c>
      <x:c r="U162" s="15" t="n">
        <x:v>0</x:v>
      </x:c>
      <x:c r="V162" s="15" t="n">
        <x:v>0</x:v>
      </x:c>
      <x:c r="W162" s="15" t="n">
        <x:v>0</x:v>
      </x:c>
      <x:c r="X162" s="15" t="n">
        <x:v>0</x:v>
      </x:c>
      <x:c r="Y162" s="15" t="n">
        <x:v>0</x:v>
      </x:c>
      <x:c r="Z162" s="15" t="n">
        <x:v>0</x:v>
      </x:c>
      <x:c r="AA162" s="15" t="n">
        <x:v>0</x:v>
      </x:c>
      <x:c r="AB162" s="15" t="n">
        <x:f>SUM(G162:AA162)</x:f>
        <x:v>277.024</x:v>
      </x:c>
    </x:row>
    <x:row r="163" ht="36" customHeight="1">
      <x:c r="A163" s="10" t="str">
        <x:v>T-EXEC</x:v>
      </x:c>
      <x:c r="B163" s="10" t="str">
        <x:v>TEXT</x:v>
      </x:c>
      <x:c r="C163" s="10" t="str">
        <x:v>TEXT:SYN-F06-03</x:v>
      </x:c>
      <x:c r="D163" s="10" t="str">
        <x:v>TEXT:M3190</x:v>
      </x:c>
      <x:c r="E163" s="15" t="n">
        <x:v>3.492143</x:v>
      </x:c>
      <x:c r="F163" s="15" t="str">
        <x:v>요청</x:v>
      </x:c>
      <x:c r="G163" s="15" t="n">
        <x:v>238</x:v>
      </x:c>
      <x:c r="H163" s="15" t="n">
        <x:v>22</x:v>
      </x:c>
      <x:c r="I163" s="15" t="n">
        <x:v>25.784</x:v>
      </x:c>
      <x:c r="J163" s="15" t="n">
        <x:v>7</x:v>
      </x:c>
      <x:c r="K163" s="15" t="n">
        <x:v>0</x:v>
      </x:c>
      <x:c r="L163" s="15" t="n">
        <x:v>0</x:v>
      </x:c>
      <x:c r="M163" s="15" t="n">
        <x:v>0</x:v>
      </x:c>
      <x:c r="N163" s="15" t="n">
        <x:v>0</x:v>
      </x:c>
      <x:c r="O163" s="15" t="n">
        <x:v>0</x:v>
      </x:c>
      <x:c r="P163" s="15" t="n">
        <x:v>0</x:v>
      </x:c>
      <x:c r="Q163" s="15" t="n">
        <x:v>0</x:v>
      </x:c>
      <x:c r="R163" s="15" t="n">
        <x:v>0</x:v>
      </x:c>
      <x:c r="S163" s="15" t="n">
        <x:v>0</x:v>
      </x:c>
      <x:c r="T163" s="15" t="n">
        <x:v>0</x:v>
      </x:c>
      <x:c r="U163" s="15" t="n">
        <x:v>0</x:v>
      </x:c>
      <x:c r="V163" s="15" t="n">
        <x:v>0</x:v>
      </x:c>
      <x:c r="W163" s="15" t="n">
        <x:v>0</x:v>
      </x:c>
      <x:c r="X163" s="15" t="n">
        <x:v>0</x:v>
      </x:c>
      <x:c r="Y163" s="15" t="n">
        <x:v>0</x:v>
      </x:c>
      <x:c r="Z163" s="15" t="n">
        <x:v>0</x:v>
      </x:c>
      <x:c r="AA163" s="15" t="n">
        <x:v>0</x:v>
      </x:c>
      <x:c r="AB163" s="15" t="n">
        <x:f>SUM(G163:AA163)</x:f>
        <x:v>292.784</x:v>
      </x:c>
    </x:row>
    <x:row r="164" ht="36" customHeight="1">
      <x:c r="A164" s="10" t="str">
        <x:v>T-REL</x:v>
      </x:c>
      <x:c r="B164" s="10" t="str">
        <x:v>TEXT</x:v>
      </x:c>
      <x:c r="C164" s="10" t="str">
        <x:v>TEXT:SYN-F06-03</x:v>
      </x:c>
      <x:c r="D164" s="10" t="str">
        <x:v>TEXT:M3200</x:v>
      </x:c>
      <x:c r="E164" s="15" t="n">
        <x:v>-8</x:v>
      </x:c>
      <x:c r="F164" s="15" t="str">
        <x:v>사전 생산</x:v>
      </x:c>
      <x:c r="G164" s="15" t="n">
        <x:v>238</x:v>
      </x:c>
      <x:c r="H164" s="15" t="n">
        <x:v>0</x:v>
      </x:c>
      <x:c r="I164" s="15" t="n">
        <x:v>32.44</x:v>
      </x:c>
      <x:c r="J164" s="15" t="n">
        <x:v>0</x:v>
      </x:c>
      <x:c r="K164" s="15" t="n">
        <x:v>38</x:v>
      </x:c>
      <x:c r="L164" s="15" t="n">
        <x:v>19</x:v>
      </x:c>
      <x:c r="M164" s="15" t="n">
        <x:v>0</x:v>
      </x:c>
      <x:c r="N164" s="15" t="n">
        <x:v>0</x:v>
      </x:c>
      <x:c r="O164" s="15" t="n">
        <x:v>0</x:v>
      </x:c>
      <x:c r="P164" s="15" t="n">
        <x:v>0</x:v>
      </x:c>
      <x:c r="Q164" s="15" t="n">
        <x:v>0</x:v>
      </x:c>
      <x:c r="R164" s="15" t="n">
        <x:v>0</x:v>
      </x:c>
      <x:c r="S164" s="15" t="n">
        <x:v>0</x:v>
      </x:c>
      <x:c r="T164" s="15" t="n">
        <x:v>0</x:v>
      </x:c>
      <x:c r="U164" s="15" t="n">
        <x:v>0</x:v>
      </x:c>
      <x:c r="V164" s="15" t="n">
        <x:v>0</x:v>
      </x:c>
      <x:c r="W164" s="15" t="n">
        <x:v>0</x:v>
      </x:c>
      <x:c r="X164" s="15" t="n">
        <x:v>0</x:v>
      </x:c>
      <x:c r="Y164" s="15" t="n">
        <x:v>0</x:v>
      </x:c>
      <x:c r="Z164" s="15" t="n">
        <x:v>0</x:v>
      </x:c>
      <x:c r="AA164" s="15" t="n">
        <x:v>0</x:v>
      </x:c>
      <x:c r="AB164" s="15" t="n">
        <x:f>SUM(G164:AA164)</x:f>
        <x:v>327.44</x:v>
      </x:c>
    </x:row>
    <x:row r="165" ht="36" customHeight="1">
      <x:c r="A165" s="10" t="str">
        <x:v>T-BASE</x:v>
      </x:c>
      <x:c r="B165" s="10" t="str">
        <x:v>TEXT</x:v>
      </x:c>
      <x:c r="C165" s="10" t="str">
        <x:v>TEXT:SYN-F06-04</x:v>
      </x:c>
      <x:c r="D165" s="10" t="str">
        <x:v>TEXT:M3221</x:v>
      </x:c>
      <x:c r="E165" s="15" t="n">
        <x:v>0.34</x:v>
      </x:c>
      <x:c r="F165" s="15" t="str">
        <x:v>요청</x:v>
      </x:c>
      <x:c r="G165" s="15" t="n">
        <x:v>238</x:v>
      </x:c>
      <x:c r="H165" s="15" t="n">
        <x:v>11</x:v>
      </x:c>
      <x:c r="I165" s="15" t="n">
        <x:v>28.116</x:v>
      </x:c>
      <x:c r="J165" s="15" t="n">
        <x:v>0</x:v>
      </x:c>
      <x:c r="K165" s="15" t="n">
        <x:v>0</x:v>
      </x:c>
      <x:c r="L165" s="15" t="n">
        <x:v>0</x:v>
      </x:c>
      <x:c r="M165" s="15" t="n">
        <x:v>0</x:v>
      </x:c>
      <x:c r="N165" s="15" t="n">
        <x:v>0</x:v>
      </x:c>
      <x:c r="O165" s="15" t="n">
        <x:v>0</x:v>
      </x:c>
      <x:c r="P165" s="15" t="n">
        <x:v>0</x:v>
      </x:c>
      <x:c r="Q165" s="15" t="n">
        <x:v>0</x:v>
      </x:c>
      <x:c r="R165" s="15" t="n">
        <x:v>0</x:v>
      </x:c>
      <x:c r="S165" s="15" t="n">
        <x:v>0</x:v>
      </x:c>
      <x:c r="T165" s="15" t="n">
        <x:v>0</x:v>
      </x:c>
      <x:c r="U165" s="15" t="n">
        <x:v>0</x:v>
      </x:c>
      <x:c r="V165" s="15" t="n">
        <x:v>0</x:v>
      </x:c>
      <x:c r="W165" s="15" t="n">
        <x:v>0</x:v>
      </x:c>
      <x:c r="X165" s="15" t="n">
        <x:v>0</x:v>
      </x:c>
      <x:c r="Y165" s="15" t="n">
        <x:v>0</x:v>
      </x:c>
      <x:c r="Z165" s="15" t="n">
        <x:v>0</x:v>
      </x:c>
      <x:c r="AA165" s="15" t="n">
        <x:v>0</x:v>
      </x:c>
      <x:c r="AB165" s="15" t="n">
        <x:f>SUM(G165:AA165)</x:f>
        <x:v>277.116</x:v>
      </x:c>
    </x:row>
    <x:row r="166" ht="36" customHeight="1">
      <x:c r="A166" s="10" t="str">
        <x:v>T-EXEC</x:v>
      </x:c>
      <x:c r="B166" s="10" t="str">
        <x:v>TEXT</x:v>
      </x:c>
      <x:c r="C166" s="10" t="str">
        <x:v>TEXT:SYN-F06-04</x:v>
      </x:c>
      <x:c r="D166" s="10" t="str">
        <x:v>TEXT:M3243</x:v>
      </x:c>
      <x:c r="E166" s="15" t="n">
        <x:v>3.395893</x:v>
      </x:c>
      <x:c r="F166" s="15" t="str">
        <x:v>요청</x:v>
      </x:c>
      <x:c r="G166" s="15" t="n">
        <x:v>238</x:v>
      </x:c>
      <x:c r="H166" s="15" t="n">
        <x:v>22</x:v>
      </x:c>
      <x:c r="I166" s="15" t="n">
        <x:v>25.876</x:v>
      </x:c>
      <x:c r="J166" s="15" t="n">
        <x:v>7</x:v>
      </x:c>
      <x:c r="K166" s="15" t="n">
        <x:v>0</x:v>
      </x:c>
      <x:c r="L166" s="15" t="n">
        <x:v>0</x:v>
      </x:c>
      <x:c r="M166" s="15" t="n">
        <x:v>0</x:v>
      </x:c>
      <x:c r="N166" s="15" t="n">
        <x:v>0</x:v>
      </x:c>
      <x:c r="O166" s="15" t="n">
        <x:v>0</x:v>
      </x:c>
      <x:c r="P166" s="15" t="n">
        <x:v>0</x:v>
      </x:c>
      <x:c r="Q166" s="15" t="n">
        <x:v>0</x:v>
      </x:c>
      <x:c r="R166" s="15" t="n">
        <x:v>0</x:v>
      </x:c>
      <x:c r="S166" s="15" t="n">
        <x:v>0</x:v>
      </x:c>
      <x:c r="T166" s="15" t="n">
        <x:v>0</x:v>
      </x:c>
      <x:c r="U166" s="15" t="n">
        <x:v>0</x:v>
      </x:c>
      <x:c r="V166" s="15" t="n">
        <x:v>0</x:v>
      </x:c>
      <x:c r="W166" s="15" t="n">
        <x:v>0</x:v>
      </x:c>
      <x:c r="X166" s="15" t="n">
        <x:v>0</x:v>
      </x:c>
      <x:c r="Y166" s="15" t="n">
        <x:v>0</x:v>
      </x:c>
      <x:c r="Z166" s="15" t="n">
        <x:v>0</x:v>
      </x:c>
      <x:c r="AA166" s="15" t="n">
        <x:v>0</x:v>
      </x:c>
      <x:c r="AB166" s="15" t="n">
        <x:f>SUM(G166:AA166)</x:f>
        <x:v>292.876</x:v>
      </x:c>
    </x:row>
    <x:row r="167" ht="36" customHeight="1">
      <x:c r="A167" s="10" t="str">
        <x:v>T-REL</x:v>
      </x:c>
      <x:c r="B167" s="10" t="str">
        <x:v>TEXT</x:v>
      </x:c>
      <x:c r="C167" s="10" t="str">
        <x:v>TEXT:SYN-F06-04</x:v>
      </x:c>
      <x:c r="D167" s="10" t="str">
        <x:v>TEXT:M3253</x:v>
      </x:c>
      <x:c r="E167" s="15" t="n">
        <x:v>-8</x:v>
      </x:c>
      <x:c r="F167" s="15" t="str">
        <x:v>사전 생산</x:v>
      </x:c>
      <x:c r="G167" s="15" t="n">
        <x:v>238</x:v>
      </x:c>
      <x:c r="H167" s="15" t="n">
        <x:v>0</x:v>
      </x:c>
      <x:c r="I167" s="15" t="n">
        <x:v>32.76</x:v>
      </x:c>
      <x:c r="J167" s="15" t="n">
        <x:v>0</x:v>
      </x:c>
      <x:c r="K167" s="15" t="n">
        <x:v>38</x:v>
      </x:c>
      <x:c r="L167" s="15" t="n">
        <x:v>19</x:v>
      </x:c>
      <x:c r="M167" s="15" t="n">
        <x:v>0</x:v>
      </x:c>
      <x:c r="N167" s="15" t="n">
        <x:v>0</x:v>
      </x:c>
      <x:c r="O167" s="15" t="n">
        <x:v>0</x:v>
      </x:c>
      <x:c r="P167" s="15" t="n">
        <x:v>0</x:v>
      </x:c>
      <x:c r="Q167" s="15" t="n">
        <x:v>0</x:v>
      </x:c>
      <x:c r="R167" s="15" t="n">
        <x:v>0</x:v>
      </x:c>
      <x:c r="S167" s="15" t="n">
        <x:v>0</x:v>
      </x:c>
      <x:c r="T167" s="15" t="n">
        <x:v>0</x:v>
      </x:c>
      <x:c r="U167" s="15" t="n">
        <x:v>0</x:v>
      </x:c>
      <x:c r="V167" s="15" t="n">
        <x:v>0</x:v>
      </x:c>
      <x:c r="W167" s="15" t="n">
        <x:v>0</x:v>
      </x:c>
      <x:c r="X167" s="15" t="n">
        <x:v>0</x:v>
      </x:c>
      <x:c r="Y167" s="15" t="n">
        <x:v>0</x:v>
      </x:c>
      <x:c r="Z167" s="15" t="n">
        <x:v>0</x:v>
      </x:c>
      <x:c r="AA167" s="15" t="n">
        <x:v>0</x:v>
      </x:c>
      <x:c r="AB167" s="15" t="n">
        <x:f>SUM(G167:AA167)</x:f>
        <x:v>327.76</x:v>
      </x:c>
    </x:row>
    <x:row r="168" ht="36" customHeight="1">
      <x:c r="A168" s="10" t="str">
        <x:v>T-BASE</x:v>
      </x:c>
      <x:c r="B168" s="10" t="str">
        <x:v>TEXT</x:v>
      </x:c>
      <x:c r="C168" s="10" t="str">
        <x:v>TEXT:SYN-F06-05</x:v>
      </x:c>
      <x:c r="D168" s="10" t="str">
        <x:v>TEXT:M3274</x:v>
      </x:c>
      <x:c r="E168" s="15" t="n">
        <x:v>0.365</x:v>
      </x:c>
      <x:c r="F168" s="15" t="str">
        <x:v>요청</x:v>
      </x:c>
      <x:c r="G168" s="15" t="n">
        <x:v>238</x:v>
      </x:c>
      <x:c r="H168" s="15" t="n">
        <x:v>11</x:v>
      </x:c>
      <x:c r="I168" s="15" t="n">
        <x:v>28.208</x:v>
      </x:c>
      <x:c r="J168" s="15" t="n">
        <x:v>0</x:v>
      </x:c>
      <x:c r="K168" s="15" t="n">
        <x:v>0</x:v>
      </x:c>
      <x:c r="L168" s="15" t="n">
        <x:v>0</x:v>
      </x:c>
      <x:c r="M168" s="15" t="n">
        <x:v>0</x:v>
      </x:c>
      <x:c r="N168" s="15" t="n">
        <x:v>0</x:v>
      </x:c>
      <x:c r="O168" s="15" t="n">
        <x:v>0</x:v>
      </x:c>
      <x:c r="P168" s="15" t="n">
        <x:v>0</x:v>
      </x:c>
      <x:c r="Q168" s="15" t="n">
        <x:v>0</x:v>
      </x:c>
      <x:c r="R168" s="15" t="n">
        <x:v>0</x:v>
      </x:c>
      <x:c r="S168" s="15" t="n">
        <x:v>0</x:v>
      </x:c>
      <x:c r="T168" s="15" t="n">
        <x:v>0</x:v>
      </x:c>
      <x:c r="U168" s="15" t="n">
        <x:v>0</x:v>
      </x:c>
      <x:c r="V168" s="15" t="n">
        <x:v>0</x:v>
      </x:c>
      <x:c r="W168" s="15" t="n">
        <x:v>0</x:v>
      </x:c>
      <x:c r="X168" s="15" t="n">
        <x:v>0</x:v>
      </x:c>
      <x:c r="Y168" s="15" t="n">
        <x:v>0</x:v>
      </x:c>
      <x:c r="Z168" s="15" t="n">
        <x:v>0</x:v>
      </x:c>
      <x:c r="AA168" s="15" t="n">
        <x:v>0</x:v>
      </x:c>
      <x:c r="AB168" s="15" t="n">
        <x:f>SUM(G168:AA168)</x:f>
        <x:v>277.20799999999997</x:v>
      </x:c>
    </x:row>
    <x:row r="169" ht="36" customHeight="1">
      <x:c r="A169" s="10" t="str">
        <x:v>T-EXEC</x:v>
      </x:c>
      <x:c r="B169" s="10" t="str">
        <x:v>TEXT</x:v>
      </x:c>
      <x:c r="C169" s="10" t="str">
        <x:v>TEXT:SYN-F06-05</x:v>
      </x:c>
      <x:c r="D169" s="10" t="str">
        <x:v>TEXT:M3296</x:v>
      </x:c>
      <x:c r="E169" s="15" t="n">
        <x:v>3.443393</x:v>
      </x:c>
      <x:c r="F169" s="15" t="str">
        <x:v>요청</x:v>
      </x:c>
      <x:c r="G169" s="15" t="n">
        <x:v>238</x:v>
      </x:c>
      <x:c r="H169" s="15" t="n">
        <x:v>22</x:v>
      </x:c>
      <x:c r="I169" s="15" t="n">
        <x:v>25.968</x:v>
      </x:c>
      <x:c r="J169" s="15" t="n">
        <x:v>7</x:v>
      </x:c>
      <x:c r="K169" s="15" t="n">
        <x:v>0</x:v>
      </x:c>
      <x:c r="L169" s="15" t="n">
        <x:v>0</x:v>
      </x:c>
      <x:c r="M169" s="15" t="n">
        <x:v>0</x:v>
      </x:c>
      <x:c r="N169" s="15" t="n">
        <x:v>0</x:v>
      </x:c>
      <x:c r="O169" s="15" t="n">
        <x:v>0</x:v>
      </x:c>
      <x:c r="P169" s="15" t="n">
        <x:v>0</x:v>
      </x:c>
      <x:c r="Q169" s="15" t="n">
        <x:v>0</x:v>
      </x:c>
      <x:c r="R169" s="15" t="n">
        <x:v>0</x:v>
      </x:c>
      <x:c r="S169" s="15" t="n">
        <x:v>0</x:v>
      </x:c>
      <x:c r="T169" s="15" t="n">
        <x:v>0</x:v>
      </x:c>
      <x:c r="U169" s="15" t="n">
        <x:v>0</x:v>
      </x:c>
      <x:c r="V169" s="15" t="n">
        <x:v>0</x:v>
      </x:c>
      <x:c r="W169" s="15" t="n">
        <x:v>0</x:v>
      </x:c>
      <x:c r="X169" s="15" t="n">
        <x:v>0</x:v>
      </x:c>
      <x:c r="Y169" s="15" t="n">
        <x:v>0</x:v>
      </x:c>
      <x:c r="Z169" s="15" t="n">
        <x:v>0</x:v>
      </x:c>
      <x:c r="AA169" s="15" t="n">
        <x:v>0</x:v>
      </x:c>
      <x:c r="AB169" s="15" t="n">
        <x:f>SUM(G169:AA169)</x:f>
        <x:v>292.968</x:v>
      </x:c>
    </x:row>
    <x:row r="170" ht="36" customHeight="1">
      <x:c r="A170" s="10" t="str">
        <x:v>T-REL</x:v>
      </x:c>
      <x:c r="B170" s="10" t="str">
        <x:v>TEXT</x:v>
      </x:c>
      <x:c r="C170" s="10" t="str">
        <x:v>TEXT:SYN-F06-05</x:v>
      </x:c>
      <x:c r="D170" s="10" t="str">
        <x:v>TEXT:M3306</x:v>
      </x:c>
      <x:c r="E170" s="15" t="n">
        <x:v>-8</x:v>
      </x:c>
      <x:c r="F170" s="15" t="str">
        <x:v>사전 생산</x:v>
      </x:c>
      <x:c r="G170" s="15" t="n">
        <x:v>238</x:v>
      </x:c>
      <x:c r="H170" s="15" t="n">
        <x:v>0</x:v>
      </x:c>
      <x:c r="I170" s="15" t="n">
        <x:v>33.08</x:v>
      </x:c>
      <x:c r="J170" s="15" t="n">
        <x:v>0</x:v>
      </x:c>
      <x:c r="K170" s="15" t="n">
        <x:v>38</x:v>
      </x:c>
      <x:c r="L170" s="15" t="n">
        <x:v>19</x:v>
      </x:c>
      <x:c r="M170" s="15" t="n">
        <x:v>0</x:v>
      </x:c>
      <x:c r="N170" s="15" t="n">
        <x:v>0</x:v>
      </x:c>
      <x:c r="O170" s="15" t="n">
        <x:v>0</x:v>
      </x:c>
      <x:c r="P170" s="15" t="n">
        <x:v>0</x:v>
      </x:c>
      <x:c r="Q170" s="15" t="n">
        <x:v>0</x:v>
      </x:c>
      <x:c r="R170" s="15" t="n">
        <x:v>0</x:v>
      </x:c>
      <x:c r="S170" s="15" t="n">
        <x:v>0</x:v>
      </x:c>
      <x:c r="T170" s="15" t="n">
        <x:v>0</x:v>
      </x:c>
      <x:c r="U170" s="15" t="n">
        <x:v>0</x:v>
      </x:c>
      <x:c r="V170" s="15" t="n">
        <x:v>0</x:v>
      </x:c>
      <x:c r="W170" s="15" t="n">
        <x:v>0</x:v>
      </x:c>
      <x:c r="X170" s="15" t="n">
        <x:v>0</x:v>
      </x:c>
      <x:c r="Y170" s="15" t="n">
        <x:v>0</x:v>
      </x:c>
      <x:c r="Z170" s="15" t="n">
        <x:v>0</x:v>
      </x:c>
      <x:c r="AA170" s="15" t="n">
        <x:v>0</x:v>
      </x:c>
      <x:c r="AB170" s="15" t="n">
        <x:f>SUM(G170:AA170)</x:f>
        <x:v>328.08</x:v>
      </x:c>
    </x:row>
    <x:row r="171" ht="36" customHeight="1">
      <x:c r="A171" s="10" t="str">
        <x:v>T-BASE</x:v>
      </x:c>
      <x:c r="B171" s="10" t="str">
        <x:v>TEXT</x:v>
      </x:c>
      <x:c r="C171" s="10" t="str">
        <x:v>TEXT:SYN-F06-06</x:v>
      </x:c>
      <x:c r="D171" s="10" t="str">
        <x:v>TEXT:M3327</x:v>
      </x:c>
      <x:c r="E171" s="15" t="n">
        <x:v>0.39</x:v>
      </x:c>
      <x:c r="F171" s="15" t="str">
        <x:v>요청</x:v>
      </x:c>
      <x:c r="G171" s="15" t="n">
        <x:v>238</x:v>
      </x:c>
      <x:c r="H171" s="15" t="n">
        <x:v>11</x:v>
      </x:c>
      <x:c r="I171" s="15" t="n">
        <x:v>28.3</x:v>
      </x:c>
      <x:c r="J171" s="15" t="n">
        <x:v>0</x:v>
      </x:c>
      <x:c r="K171" s="15" t="n">
        <x:v>0</x:v>
      </x:c>
      <x:c r="L171" s="15" t="n">
        <x:v>0</x:v>
      </x:c>
      <x:c r="M171" s="15" t="n">
        <x:v>0</x:v>
      </x:c>
      <x:c r="N171" s="15" t="n">
        <x:v>0</x:v>
      </x:c>
      <x:c r="O171" s="15" t="n">
        <x:v>0</x:v>
      </x:c>
      <x:c r="P171" s="15" t="n">
        <x:v>0</x:v>
      </x:c>
      <x:c r="Q171" s="15" t="n">
        <x:v>0</x:v>
      </x:c>
      <x:c r="R171" s="15" t="n">
        <x:v>0</x:v>
      </x:c>
      <x:c r="S171" s="15" t="n">
        <x:v>0</x:v>
      </x:c>
      <x:c r="T171" s="15" t="n">
        <x:v>0</x:v>
      </x:c>
      <x:c r="U171" s="15" t="n">
        <x:v>0</x:v>
      </x:c>
      <x:c r="V171" s="15" t="n">
        <x:v>0</x:v>
      </x:c>
      <x:c r="W171" s="15" t="n">
        <x:v>0</x:v>
      </x:c>
      <x:c r="X171" s="15" t="n">
        <x:v>0</x:v>
      </x:c>
      <x:c r="Y171" s="15" t="n">
        <x:v>0</x:v>
      </x:c>
      <x:c r="Z171" s="15" t="n">
        <x:v>0</x:v>
      </x:c>
      <x:c r="AA171" s="15" t="n">
        <x:v>0</x:v>
      </x:c>
      <x:c r="AB171" s="15" t="n">
        <x:f>SUM(G171:AA171)</x:f>
        <x:v>277.3</x:v>
      </x:c>
    </x:row>
    <x:row r="172" ht="36" customHeight="1">
      <x:c r="A172" s="10" t="str">
        <x:v>T-EXEC</x:v>
      </x:c>
      <x:c r="B172" s="10" t="str">
        <x:v>TEXT</x:v>
      </x:c>
      <x:c r="C172" s="10" t="str">
        <x:v>TEXT:SYN-F06-06</x:v>
      </x:c>
      <x:c r="D172" s="10" t="str">
        <x:v>TEXT:M3349</x:v>
      </x:c>
      <x:c r="E172" s="15" t="n">
        <x:v>3.515893</x:v>
      </x:c>
      <x:c r="F172" s="15" t="str">
        <x:v>요청</x:v>
      </x:c>
      <x:c r="G172" s="15" t="n">
        <x:v>238</x:v>
      </x:c>
      <x:c r="H172" s="15" t="n">
        <x:v>22</x:v>
      </x:c>
      <x:c r="I172" s="15" t="n">
        <x:v>26.06</x:v>
      </x:c>
      <x:c r="J172" s="15" t="n">
        <x:v>7</x:v>
      </x:c>
      <x:c r="K172" s="15" t="n">
        <x:v>0</x:v>
      </x:c>
      <x:c r="L172" s="15" t="n">
        <x:v>0</x:v>
      </x:c>
      <x:c r="M172" s="15" t="n">
        <x:v>0</x:v>
      </x:c>
      <x:c r="N172" s="15" t="n">
        <x:v>0</x:v>
      </x:c>
      <x:c r="O172" s="15" t="n">
        <x:v>0</x:v>
      </x:c>
      <x:c r="P172" s="15" t="n">
        <x:v>0</x:v>
      </x:c>
      <x:c r="Q172" s="15" t="n">
        <x:v>0</x:v>
      </x:c>
      <x:c r="R172" s="15" t="n">
        <x:v>0</x:v>
      </x:c>
      <x:c r="S172" s="15" t="n">
        <x:v>0</x:v>
      </x:c>
      <x:c r="T172" s="15" t="n">
        <x:v>0</x:v>
      </x:c>
      <x:c r="U172" s="15" t="n">
        <x:v>0</x:v>
      </x:c>
      <x:c r="V172" s="15" t="n">
        <x:v>0</x:v>
      </x:c>
      <x:c r="W172" s="15" t="n">
        <x:v>0</x:v>
      </x:c>
      <x:c r="X172" s="15" t="n">
        <x:v>0</x:v>
      </x:c>
      <x:c r="Y172" s="15" t="n">
        <x:v>0</x:v>
      </x:c>
      <x:c r="Z172" s="15" t="n">
        <x:v>0</x:v>
      </x:c>
      <x:c r="AA172" s="15" t="n">
        <x:v>0</x:v>
      </x:c>
      <x:c r="AB172" s="15" t="n">
        <x:f>SUM(G172:AA172)</x:f>
        <x:v>293.06</x:v>
      </x:c>
    </x:row>
    <x:row r="173" ht="36" customHeight="1">
      <x:c r="A173" s="10" t="str">
        <x:v>T-REL</x:v>
      </x:c>
      <x:c r="B173" s="10" t="str">
        <x:v>TEXT</x:v>
      </x:c>
      <x:c r="C173" s="10" t="str">
        <x:v>TEXT:SYN-F06-06</x:v>
      </x:c>
      <x:c r="D173" s="10" t="str">
        <x:v>TEXT:M3359</x:v>
      </x:c>
      <x:c r="E173" s="15" t="n">
        <x:v>-8</x:v>
      </x:c>
      <x:c r="F173" s="15" t="str">
        <x:v>사전 생산</x:v>
      </x:c>
      <x:c r="G173" s="15" t="n">
        <x:v>238</x:v>
      </x:c>
      <x:c r="H173" s="15" t="n">
        <x:v>0</x:v>
      </x:c>
      <x:c r="I173" s="15" t="n">
        <x:v>33.4</x:v>
      </x:c>
      <x:c r="J173" s="15" t="n">
        <x:v>0</x:v>
      </x:c>
      <x:c r="K173" s="15" t="n">
        <x:v>38</x:v>
      </x:c>
      <x:c r="L173" s="15" t="n">
        <x:v>19</x:v>
      </x:c>
      <x:c r="M173" s="15" t="n">
        <x:v>0</x:v>
      </x:c>
      <x:c r="N173" s="15" t="n">
        <x:v>0</x:v>
      </x:c>
      <x:c r="O173" s="15" t="n">
        <x:v>0</x:v>
      </x:c>
      <x:c r="P173" s="15" t="n">
        <x:v>0</x:v>
      </x:c>
      <x:c r="Q173" s="15" t="n">
        <x:v>0</x:v>
      </x:c>
      <x:c r="R173" s="15" t="n">
        <x:v>0</x:v>
      </x:c>
      <x:c r="S173" s="15" t="n">
        <x:v>0</x:v>
      </x:c>
      <x:c r="T173" s="15" t="n">
        <x:v>0</x:v>
      </x:c>
      <x:c r="U173" s="15" t="n">
        <x:v>0</x:v>
      </x:c>
      <x:c r="V173" s="15" t="n">
        <x:v>0</x:v>
      </x:c>
      <x:c r="W173" s="15" t="n">
        <x:v>0</x:v>
      </x:c>
      <x:c r="X173" s="15" t="n">
        <x:v>0</x:v>
      </x:c>
      <x:c r="Y173" s="15" t="n">
        <x:v>0</x:v>
      </x:c>
      <x:c r="Z173" s="15" t="n">
        <x:v>0</x:v>
      </x:c>
      <x:c r="AA173" s="15" t="n">
        <x:v>0</x:v>
      </x:c>
      <x:c r="AB173" s="15" t="n">
        <x:f>SUM(G173:AA173)</x:f>
        <x:v>328.4</x:v>
      </x:c>
    </x:row>
    <x:row r="174" ht="36" customHeight="1">
      <x:c r="A174" s="10" t="str">
        <x:v>T-BASE</x:v>
      </x:c>
      <x:c r="B174" s="10" t="str">
        <x:v>TEXT</x:v>
      </x:c>
      <x:c r="C174" s="10" t="str">
        <x:v>TEXT:SYN-F06-07</x:v>
      </x:c>
      <x:c r="D174" s="10" t="str">
        <x:v>TEXT:M3380</x:v>
      </x:c>
      <x:c r="E174" s="15" t="n">
        <x:v>0.34</x:v>
      </x:c>
      <x:c r="F174" s="15" t="str">
        <x:v>요청</x:v>
      </x:c>
      <x:c r="G174" s="15" t="n">
        <x:v>238</x:v>
      </x:c>
      <x:c r="H174" s="15" t="n">
        <x:v>11</x:v>
      </x:c>
      <x:c r="I174" s="15" t="n">
        <x:v>28.392</x:v>
      </x:c>
      <x:c r="J174" s="15" t="n">
        <x:v>0</x:v>
      </x:c>
      <x:c r="K174" s="15" t="n">
        <x:v>0</x:v>
      </x:c>
      <x:c r="L174" s="15" t="n">
        <x:v>0</x:v>
      </x:c>
      <x:c r="M174" s="15" t="n">
        <x:v>0</x:v>
      </x:c>
      <x:c r="N174" s="15" t="n">
        <x:v>0</x:v>
      </x:c>
      <x:c r="O174" s="15" t="n">
        <x:v>0</x:v>
      </x:c>
      <x:c r="P174" s="15" t="n">
        <x:v>0</x:v>
      </x:c>
      <x:c r="Q174" s="15" t="n">
        <x:v>0</x:v>
      </x:c>
      <x:c r="R174" s="15" t="n">
        <x:v>0</x:v>
      </x:c>
      <x:c r="S174" s="15" t="n">
        <x:v>0</x:v>
      </x:c>
      <x:c r="T174" s="15" t="n">
        <x:v>0</x:v>
      </x:c>
      <x:c r="U174" s="15" t="n">
        <x:v>0</x:v>
      </x:c>
      <x:c r="V174" s="15" t="n">
        <x:v>0</x:v>
      </x:c>
      <x:c r="W174" s="15" t="n">
        <x:v>0</x:v>
      </x:c>
      <x:c r="X174" s="15" t="n">
        <x:v>0</x:v>
      </x:c>
      <x:c r="Y174" s="15" t="n">
        <x:v>0</x:v>
      </x:c>
      <x:c r="Z174" s="15" t="n">
        <x:v>0</x:v>
      </x:c>
      <x:c r="AA174" s="15" t="n">
        <x:v>0</x:v>
      </x:c>
      <x:c r="AB174" s="15" t="n">
        <x:f>SUM(G174:AA174)</x:f>
        <x:v>277.392</x:v>
      </x:c>
    </x:row>
    <x:row r="175" ht="36" customHeight="1">
      <x:c r="A175" s="10" t="str">
        <x:v>T-EXEC</x:v>
      </x:c>
      <x:c r="B175" s="10" t="str">
        <x:v>TEXT</x:v>
      </x:c>
      <x:c r="C175" s="10" t="str">
        <x:v>TEXT:SYN-F06-07</x:v>
      </x:c>
      <x:c r="D175" s="10" t="str">
        <x:v>TEXT:M3402</x:v>
      </x:c>
      <x:c r="E175" s="15" t="n">
        <x:v>3.419642</x:v>
      </x:c>
      <x:c r="F175" s="15" t="str">
        <x:v>요청</x:v>
      </x:c>
      <x:c r="G175" s="15" t="n">
        <x:v>238</x:v>
      </x:c>
      <x:c r="H175" s="15" t="n">
        <x:v>22</x:v>
      </x:c>
      <x:c r="I175" s="15" t="n">
        <x:v>26.152</x:v>
      </x:c>
      <x:c r="J175" s="15" t="n">
        <x:v>7</x:v>
      </x:c>
      <x:c r="K175" s="15" t="n">
        <x:v>0</x:v>
      </x:c>
      <x:c r="L175" s="15" t="n">
        <x:v>0</x:v>
      </x:c>
      <x:c r="M175" s="15" t="n">
        <x:v>0</x:v>
      </x:c>
      <x:c r="N175" s="15" t="n">
        <x:v>0</x:v>
      </x:c>
      <x:c r="O175" s="15" t="n">
        <x:v>0</x:v>
      </x:c>
      <x:c r="P175" s="15" t="n">
        <x:v>0</x:v>
      </x:c>
      <x:c r="Q175" s="15" t="n">
        <x:v>0</x:v>
      </x:c>
      <x:c r="R175" s="15" t="n">
        <x:v>0</x:v>
      </x:c>
      <x:c r="S175" s="15" t="n">
        <x:v>0</x:v>
      </x:c>
      <x:c r="T175" s="15" t="n">
        <x:v>0</x:v>
      </x:c>
      <x:c r="U175" s="15" t="n">
        <x:v>0</x:v>
      </x:c>
      <x:c r="V175" s="15" t="n">
        <x:v>0</x:v>
      </x:c>
      <x:c r="W175" s="15" t="n">
        <x:v>0</x:v>
      </x:c>
      <x:c r="X175" s="15" t="n">
        <x:v>0</x:v>
      </x:c>
      <x:c r="Y175" s="15" t="n">
        <x:v>0</x:v>
      </x:c>
      <x:c r="Z175" s="15" t="n">
        <x:v>0</x:v>
      </x:c>
      <x:c r="AA175" s="15" t="n">
        <x:v>0</x:v>
      </x:c>
      <x:c r="AB175" s="15" t="n">
        <x:f>SUM(G175:AA175)</x:f>
        <x:v>293.152</x:v>
      </x:c>
    </x:row>
    <x:row r="176" ht="36" customHeight="1">
      <x:c r="A176" s="10" t="str">
        <x:v>T-REL</x:v>
      </x:c>
      <x:c r="B176" s="10" t="str">
        <x:v>TEXT</x:v>
      </x:c>
      <x:c r="C176" s="10" t="str">
        <x:v>TEXT:SYN-F06-07</x:v>
      </x:c>
      <x:c r="D176" s="10" t="str">
        <x:v>TEXT:M3412</x:v>
      </x:c>
      <x:c r="E176" s="15" t="n">
        <x:v>-8</x:v>
      </x:c>
      <x:c r="F176" s="15" t="str">
        <x:v>사전 생산</x:v>
      </x:c>
      <x:c r="G176" s="15" t="n">
        <x:v>238</x:v>
      </x:c>
      <x:c r="H176" s="15" t="n">
        <x:v>0</x:v>
      </x:c>
      <x:c r="I176" s="15" t="n">
        <x:v>33.72</x:v>
      </x:c>
      <x:c r="J176" s="15" t="n">
        <x:v>0</x:v>
      </x:c>
      <x:c r="K176" s="15" t="n">
        <x:v>38</x:v>
      </x:c>
      <x:c r="L176" s="15" t="n">
        <x:v>19</x:v>
      </x:c>
      <x:c r="M176" s="15" t="n">
        <x:v>0</x:v>
      </x:c>
      <x:c r="N176" s="15" t="n">
        <x:v>0</x:v>
      </x:c>
      <x:c r="O176" s="15" t="n">
        <x:v>0</x:v>
      </x:c>
      <x:c r="P176" s="15" t="n">
        <x:v>0</x:v>
      </x:c>
      <x:c r="Q176" s="15" t="n">
        <x:v>0</x:v>
      </x:c>
      <x:c r="R176" s="15" t="n">
        <x:v>0</x:v>
      </x:c>
      <x:c r="S176" s="15" t="n">
        <x:v>0</x:v>
      </x:c>
      <x:c r="T176" s="15" t="n">
        <x:v>0</x:v>
      </x:c>
      <x:c r="U176" s="15" t="n">
        <x:v>0</x:v>
      </x:c>
      <x:c r="V176" s="15" t="n">
        <x:v>0</x:v>
      </x:c>
      <x:c r="W176" s="15" t="n">
        <x:v>0</x:v>
      </x:c>
      <x:c r="X176" s="15" t="n">
        <x:v>0</x:v>
      </x:c>
      <x:c r="Y176" s="15" t="n">
        <x:v>0</x:v>
      </x:c>
      <x:c r="Z176" s="15" t="n">
        <x:v>0</x:v>
      </x:c>
      <x:c r="AA176" s="15" t="n">
        <x:v>0</x:v>
      </x:c>
      <x:c r="AB176" s="15" t="n">
        <x:f>SUM(G176:AA176)</x:f>
        <x:v>328.72</x:v>
      </x:c>
    </x:row>
    <x:row r="177" ht="36" customHeight="1">
      <x:c r="A177" s="10" t="str">
        <x:v>T-BASE</x:v>
      </x:c>
      <x:c r="B177" s="10" t="str">
        <x:v>TEXT</x:v>
      </x:c>
      <x:c r="C177" s="10" t="str">
        <x:v>TEXT:SYN-F06-08</x:v>
      </x:c>
      <x:c r="D177" s="10" t="str">
        <x:v>TEXT:M3433</x:v>
      </x:c>
      <x:c r="E177" s="15" t="n">
        <x:v>0.365</x:v>
      </x:c>
      <x:c r="F177" s="15" t="str">
        <x:v>요청</x:v>
      </x:c>
      <x:c r="G177" s="15" t="n">
        <x:v>238</x:v>
      </x:c>
      <x:c r="H177" s="15" t="n">
        <x:v>11</x:v>
      </x:c>
      <x:c r="I177" s="15" t="n">
        <x:v>28.484</x:v>
      </x:c>
      <x:c r="J177" s="15" t="n">
        <x:v>0</x:v>
      </x:c>
      <x:c r="K177" s="15" t="n">
        <x:v>0</x:v>
      </x:c>
      <x:c r="L177" s="15" t="n">
        <x:v>0</x:v>
      </x:c>
      <x:c r="M177" s="15" t="n">
        <x:v>0</x:v>
      </x:c>
      <x:c r="N177" s="15" t="n">
        <x:v>0</x:v>
      </x:c>
      <x:c r="O177" s="15" t="n">
        <x:v>0</x:v>
      </x:c>
      <x:c r="P177" s="15" t="n">
        <x:v>0</x:v>
      </x:c>
      <x:c r="Q177" s="15" t="n">
        <x:v>0</x:v>
      </x:c>
      <x:c r="R177" s="15" t="n">
        <x:v>0</x:v>
      </x:c>
      <x:c r="S177" s="15" t="n">
        <x:v>0</x:v>
      </x:c>
      <x:c r="T177" s="15" t="n">
        <x:v>0</x:v>
      </x:c>
      <x:c r="U177" s="15" t="n">
        <x:v>0</x:v>
      </x:c>
      <x:c r="V177" s="15" t="n">
        <x:v>0</x:v>
      </x:c>
      <x:c r="W177" s="15" t="n">
        <x:v>0</x:v>
      </x:c>
      <x:c r="X177" s="15" t="n">
        <x:v>0</x:v>
      </x:c>
      <x:c r="Y177" s="15" t="n">
        <x:v>0</x:v>
      </x:c>
      <x:c r="Z177" s="15" t="n">
        <x:v>0</x:v>
      </x:c>
      <x:c r="AA177" s="15" t="n">
        <x:v>0</x:v>
      </x:c>
      <x:c r="AB177" s="15" t="n">
        <x:f>SUM(G177:AA177)</x:f>
        <x:v>277.484</x:v>
      </x:c>
    </x:row>
    <x:row r="178" ht="36" customHeight="1">
      <x:c r="A178" s="10" t="str">
        <x:v>T-EXEC</x:v>
      </x:c>
      <x:c r="B178" s="10" t="str">
        <x:v>TEXT</x:v>
      </x:c>
      <x:c r="C178" s="10" t="str">
        <x:v>TEXT:SYN-F06-08</x:v>
      </x:c>
      <x:c r="D178" s="10" t="str">
        <x:v>TEXT:M3455</x:v>
      </x:c>
      <x:c r="E178" s="15" t="n">
        <x:v>3.492143</x:v>
      </x:c>
      <x:c r="F178" s="15" t="str">
        <x:v>요청</x:v>
      </x:c>
      <x:c r="G178" s="15" t="n">
        <x:v>238</x:v>
      </x:c>
      <x:c r="H178" s="15" t="n">
        <x:v>22</x:v>
      </x:c>
      <x:c r="I178" s="15" t="n">
        <x:v>26.244</x:v>
      </x:c>
      <x:c r="J178" s="15" t="n">
        <x:v>7</x:v>
      </x:c>
      <x:c r="K178" s="15" t="n">
        <x:v>0</x:v>
      </x:c>
      <x:c r="L178" s="15" t="n">
        <x:v>0</x:v>
      </x:c>
      <x:c r="M178" s="15" t="n">
        <x:v>0</x:v>
      </x:c>
      <x:c r="N178" s="15" t="n">
        <x:v>0</x:v>
      </x:c>
      <x:c r="O178" s="15" t="n">
        <x:v>0</x:v>
      </x:c>
      <x:c r="P178" s="15" t="n">
        <x:v>0</x:v>
      </x:c>
      <x:c r="Q178" s="15" t="n">
        <x:v>0</x:v>
      </x:c>
      <x:c r="R178" s="15" t="n">
        <x:v>0</x:v>
      </x:c>
      <x:c r="S178" s="15" t="n">
        <x:v>0</x:v>
      </x:c>
      <x:c r="T178" s="15" t="n">
        <x:v>0</x:v>
      </x:c>
      <x:c r="U178" s="15" t="n">
        <x:v>0</x:v>
      </x:c>
      <x:c r="V178" s="15" t="n">
        <x:v>0</x:v>
      </x:c>
      <x:c r="W178" s="15" t="n">
        <x:v>0</x:v>
      </x:c>
      <x:c r="X178" s="15" t="n">
        <x:v>0</x:v>
      </x:c>
      <x:c r="Y178" s="15" t="n">
        <x:v>0</x:v>
      </x:c>
      <x:c r="Z178" s="15" t="n">
        <x:v>0</x:v>
      </x:c>
      <x:c r="AA178" s="15" t="n">
        <x:v>0</x:v>
      </x:c>
      <x:c r="AB178" s="15" t="n">
        <x:f>SUM(G178:AA178)</x:f>
        <x:v>293.244</x:v>
      </x:c>
    </x:row>
    <x:row r="179" ht="36" customHeight="1">
      <x:c r="A179" s="10" t="str">
        <x:v>T-REL</x:v>
      </x:c>
      <x:c r="B179" s="10" t="str">
        <x:v>TEXT</x:v>
      </x:c>
      <x:c r="C179" s="10" t="str">
        <x:v>TEXT:SYN-F06-08</x:v>
      </x:c>
      <x:c r="D179" s="10" t="str">
        <x:v>TEXT:M3465</x:v>
      </x:c>
      <x:c r="E179" s="15" t="n">
        <x:v>-8</x:v>
      </x:c>
      <x:c r="F179" s="15" t="str">
        <x:v>사전 생산</x:v>
      </x:c>
      <x:c r="G179" s="15" t="n">
        <x:v>238</x:v>
      </x:c>
      <x:c r="H179" s="15" t="n">
        <x:v>0</x:v>
      </x:c>
      <x:c r="I179" s="15" t="n">
        <x:v>34.04</x:v>
      </x:c>
      <x:c r="J179" s="15" t="n">
        <x:v>0</x:v>
      </x:c>
      <x:c r="K179" s="15" t="n">
        <x:v>38</x:v>
      </x:c>
      <x:c r="L179" s="15" t="n">
        <x:v>19</x:v>
      </x:c>
      <x:c r="M179" s="15" t="n">
        <x:v>0</x:v>
      </x:c>
      <x:c r="N179" s="15" t="n">
        <x:v>0</x:v>
      </x:c>
      <x:c r="O179" s="15" t="n">
        <x:v>0</x:v>
      </x:c>
      <x:c r="P179" s="15" t="n">
        <x:v>0</x:v>
      </x:c>
      <x:c r="Q179" s="15" t="n">
        <x:v>0</x:v>
      </x:c>
      <x:c r="R179" s="15" t="n">
        <x:v>0</x:v>
      </x:c>
      <x:c r="S179" s="15" t="n">
        <x:v>0</x:v>
      </x:c>
      <x:c r="T179" s="15" t="n">
        <x:v>0</x:v>
      </x:c>
      <x:c r="U179" s="15" t="n">
        <x:v>0</x:v>
      </x:c>
      <x:c r="V179" s="15" t="n">
        <x:v>0</x:v>
      </x:c>
      <x:c r="W179" s="15" t="n">
        <x:v>0</x:v>
      </x:c>
      <x:c r="X179" s="15" t="n">
        <x:v>0</x:v>
      </x:c>
      <x:c r="Y179" s="15" t="n">
        <x:v>0</x:v>
      </x:c>
      <x:c r="Z179" s="15" t="n">
        <x:v>0</x:v>
      </x:c>
      <x:c r="AA179" s="15" t="n">
        <x:v>0</x:v>
      </x:c>
      <x:c r="AB179" s="15" t="n">
        <x:f>SUM(G179:AA179)</x:f>
        <x:v>329.04</x:v>
      </x:c>
    </x:row>
    <x:row r="180" ht="36" customHeight="1">
      <x:c r="A180" s="10" t="str">
        <x:v>T-BASE</x:v>
      </x:c>
      <x:c r="B180" s="10" t="str">
        <x:v>TEXT</x:v>
      </x:c>
      <x:c r="C180" s="10" t="str">
        <x:v>TEXT:SYN-F06-09</x:v>
      </x:c>
      <x:c r="D180" s="10" t="str">
        <x:v>TEXT:M3486</x:v>
      </x:c>
      <x:c r="E180" s="15" t="n">
        <x:v>0.39</x:v>
      </x:c>
      <x:c r="F180" s="15" t="str">
        <x:v>요청</x:v>
      </x:c>
      <x:c r="G180" s="15" t="n">
        <x:v>238</x:v>
      </x:c>
      <x:c r="H180" s="15" t="n">
        <x:v>11</x:v>
      </x:c>
      <x:c r="I180" s="15" t="n">
        <x:v>28.576</x:v>
      </x:c>
      <x:c r="J180" s="15" t="n">
        <x:v>0</x:v>
      </x:c>
      <x:c r="K180" s="15" t="n">
        <x:v>0</x:v>
      </x:c>
      <x:c r="L180" s="15" t="n">
        <x:v>0</x:v>
      </x:c>
      <x:c r="M180" s="15" t="n">
        <x:v>0</x:v>
      </x:c>
      <x:c r="N180" s="15" t="n">
        <x:v>0</x:v>
      </x:c>
      <x:c r="O180" s="15" t="n">
        <x:v>0</x:v>
      </x:c>
      <x:c r="P180" s="15" t="n">
        <x:v>0</x:v>
      </x:c>
      <x:c r="Q180" s="15" t="n">
        <x:v>0</x:v>
      </x:c>
      <x:c r="R180" s="15" t="n">
        <x:v>0</x:v>
      </x:c>
      <x:c r="S180" s="15" t="n">
        <x:v>0</x:v>
      </x:c>
      <x:c r="T180" s="15" t="n">
        <x:v>0</x:v>
      </x:c>
      <x:c r="U180" s="15" t="n">
        <x:v>0</x:v>
      </x:c>
      <x:c r="V180" s="15" t="n">
        <x:v>0</x:v>
      </x:c>
      <x:c r="W180" s="15" t="n">
        <x:v>0</x:v>
      </x:c>
      <x:c r="X180" s="15" t="n">
        <x:v>0</x:v>
      </x:c>
      <x:c r="Y180" s="15" t="n">
        <x:v>0</x:v>
      </x:c>
      <x:c r="Z180" s="15" t="n">
        <x:v>0</x:v>
      </x:c>
      <x:c r="AA180" s="15" t="n">
        <x:v>0</x:v>
      </x:c>
      <x:c r="AB180" s="15" t="n">
        <x:f>SUM(G180:AA180)</x:f>
        <x:v>277.576</x:v>
      </x:c>
    </x:row>
    <x:row r="181" ht="36" customHeight="1">
      <x:c r="A181" s="10" t="str">
        <x:v>T-EXEC</x:v>
      </x:c>
      <x:c r="B181" s="10" t="str">
        <x:v>TEXT</x:v>
      </x:c>
      <x:c r="C181" s="10" t="str">
        <x:v>TEXT:SYN-F06-09</x:v>
      </x:c>
      <x:c r="D181" s="10" t="str">
        <x:v>TEXT:M3508</x:v>
      </x:c>
      <x:c r="E181" s="15" t="n">
        <x:v>3.539643</x:v>
      </x:c>
      <x:c r="F181" s="15" t="str">
        <x:v>요청</x:v>
      </x:c>
      <x:c r="G181" s="15" t="n">
        <x:v>238</x:v>
      </x:c>
      <x:c r="H181" s="15" t="n">
        <x:v>22</x:v>
      </x:c>
      <x:c r="I181" s="15" t="n">
        <x:v>26.336</x:v>
      </x:c>
      <x:c r="J181" s="15" t="n">
        <x:v>7</x:v>
      </x:c>
      <x:c r="K181" s="15" t="n">
        <x:v>0</x:v>
      </x:c>
      <x:c r="L181" s="15" t="n">
        <x:v>0</x:v>
      </x:c>
      <x:c r="M181" s="15" t="n">
        <x:v>0</x:v>
      </x:c>
      <x:c r="N181" s="15" t="n">
        <x:v>0</x:v>
      </x:c>
      <x:c r="O181" s="15" t="n">
        <x:v>0</x:v>
      </x:c>
      <x:c r="P181" s="15" t="n">
        <x:v>0</x:v>
      </x:c>
      <x:c r="Q181" s="15" t="n">
        <x:v>0</x:v>
      </x:c>
      <x:c r="R181" s="15" t="n">
        <x:v>0</x:v>
      </x:c>
      <x:c r="S181" s="15" t="n">
        <x:v>0</x:v>
      </x:c>
      <x:c r="T181" s="15" t="n">
        <x:v>0</x:v>
      </x:c>
      <x:c r="U181" s="15" t="n">
        <x:v>0</x:v>
      </x:c>
      <x:c r="V181" s="15" t="n">
        <x:v>0</x:v>
      </x:c>
      <x:c r="W181" s="15" t="n">
        <x:v>0</x:v>
      </x:c>
      <x:c r="X181" s="15" t="n">
        <x:v>0</x:v>
      </x:c>
      <x:c r="Y181" s="15" t="n">
        <x:v>0</x:v>
      </x:c>
      <x:c r="Z181" s="15" t="n">
        <x:v>0</x:v>
      </x:c>
      <x:c r="AA181" s="15" t="n">
        <x:v>0</x:v>
      </x:c>
      <x:c r="AB181" s="15" t="n">
        <x:f>SUM(G181:AA181)</x:f>
        <x:v>293.336</x:v>
      </x:c>
    </x:row>
    <x:row r="182" ht="36" customHeight="1">
      <x:c r="A182" s="10" t="str">
        <x:v>T-REL</x:v>
      </x:c>
      <x:c r="B182" s="10" t="str">
        <x:v>TEXT</x:v>
      </x:c>
      <x:c r="C182" s="10" t="str">
        <x:v>TEXT:SYN-F06-09</x:v>
      </x:c>
      <x:c r="D182" s="10" t="str">
        <x:v>TEXT:M3518</x:v>
      </x:c>
      <x:c r="E182" s="15" t="n">
        <x:v>-8</x:v>
      </x:c>
      <x:c r="F182" s="15" t="str">
        <x:v>사전 생산</x:v>
      </x:c>
      <x:c r="G182" s="15" t="n">
        <x:v>238</x:v>
      </x:c>
      <x:c r="H182" s="15" t="n">
        <x:v>0</x:v>
      </x:c>
      <x:c r="I182" s="15" t="n">
        <x:v>34.36</x:v>
      </x:c>
      <x:c r="J182" s="15" t="n">
        <x:v>0</x:v>
      </x:c>
      <x:c r="K182" s="15" t="n">
        <x:v>38</x:v>
      </x:c>
      <x:c r="L182" s="15" t="n">
        <x:v>19</x:v>
      </x:c>
      <x:c r="M182" s="15" t="n">
        <x:v>0</x:v>
      </x:c>
      <x:c r="N182" s="15" t="n">
        <x:v>0</x:v>
      </x:c>
      <x:c r="O182" s="15" t="n">
        <x:v>0</x:v>
      </x:c>
      <x:c r="P182" s="15" t="n">
        <x:v>0</x:v>
      </x:c>
      <x:c r="Q182" s="15" t="n">
        <x:v>0</x:v>
      </x:c>
      <x:c r="R182" s="15" t="n">
        <x:v>0</x:v>
      </x:c>
      <x:c r="S182" s="15" t="n">
        <x:v>0</x:v>
      </x:c>
      <x:c r="T182" s="15" t="n">
        <x:v>0</x:v>
      </x:c>
      <x:c r="U182" s="15" t="n">
        <x:v>0</x:v>
      </x:c>
      <x:c r="V182" s="15" t="n">
        <x:v>0</x:v>
      </x:c>
      <x:c r="W182" s="15" t="n">
        <x:v>0</x:v>
      </x:c>
      <x:c r="X182" s="15" t="n">
        <x:v>0</x:v>
      </x:c>
      <x:c r="Y182" s="15" t="n">
        <x:v>0</x:v>
      </x:c>
      <x:c r="Z182" s="15" t="n">
        <x:v>0</x:v>
      </x:c>
      <x:c r="AA182" s="15" t="n">
        <x:v>0</x:v>
      </x:c>
      <x:c r="AB182" s="15" t="n">
        <x:f>SUM(G182:AA182)</x:f>
        <x:v>329.36</x:v>
      </x:c>
    </x:row>
    <x:row r="183" ht="36" customHeight="1">
      <x:c r="A183" s="10" t="str">
        <x:v>T-BASE</x:v>
      </x:c>
      <x:c r="B183" s="10" t="str">
        <x:v>TEXT</x:v>
      </x:c>
      <x:c r="C183" s="10" t="str">
        <x:v>TEXT:SYN-F06-10</x:v>
      </x:c>
      <x:c r="D183" s="10" t="str">
        <x:v>TEXT:M3539</x:v>
      </x:c>
      <x:c r="E183" s="15" t="n">
        <x:v>0.34</x:v>
      </x:c>
      <x:c r="F183" s="15" t="str">
        <x:v>요청</x:v>
      </x:c>
      <x:c r="G183" s="15" t="n">
        <x:v>238</x:v>
      </x:c>
      <x:c r="H183" s="15" t="n">
        <x:v>11</x:v>
      </x:c>
      <x:c r="I183" s="15" t="n">
        <x:v>28.668</x:v>
      </x:c>
      <x:c r="J183" s="15" t="n">
        <x:v>0</x:v>
      </x:c>
      <x:c r="K183" s="15" t="n">
        <x:v>0</x:v>
      </x:c>
      <x:c r="L183" s="15" t="n">
        <x:v>0</x:v>
      </x:c>
      <x:c r="M183" s="15" t="n">
        <x:v>0</x:v>
      </x:c>
      <x:c r="N183" s="15" t="n">
        <x:v>0</x:v>
      </x:c>
      <x:c r="O183" s="15" t="n">
        <x:v>0</x:v>
      </x:c>
      <x:c r="P183" s="15" t="n">
        <x:v>0</x:v>
      </x:c>
      <x:c r="Q183" s="15" t="n">
        <x:v>0</x:v>
      </x:c>
      <x:c r="R183" s="15" t="n">
        <x:v>0</x:v>
      </x:c>
      <x:c r="S183" s="15" t="n">
        <x:v>0</x:v>
      </x:c>
      <x:c r="T183" s="15" t="n">
        <x:v>0</x:v>
      </x:c>
      <x:c r="U183" s="15" t="n">
        <x:v>0</x:v>
      </x:c>
      <x:c r="V183" s="15" t="n">
        <x:v>0</x:v>
      </x:c>
      <x:c r="W183" s="15" t="n">
        <x:v>0</x:v>
      </x:c>
      <x:c r="X183" s="15" t="n">
        <x:v>0</x:v>
      </x:c>
      <x:c r="Y183" s="15" t="n">
        <x:v>0</x:v>
      </x:c>
      <x:c r="Z183" s="15" t="n">
        <x:v>0</x:v>
      </x:c>
      <x:c r="AA183" s="15" t="n">
        <x:v>0</x:v>
      </x:c>
      <x:c r="AB183" s="15" t="n">
        <x:f>SUM(G183:AA183)</x:f>
        <x:v>277.668</x:v>
      </x:c>
    </x:row>
    <x:row r="184" ht="36" customHeight="1">
      <x:c r="A184" s="10" t="str">
        <x:v>T-EXEC</x:v>
      </x:c>
      <x:c r="B184" s="10" t="str">
        <x:v>TEXT</x:v>
      </x:c>
      <x:c r="C184" s="10" t="str">
        <x:v>TEXT:SYN-F06-10</x:v>
      </x:c>
      <x:c r="D184" s="10" t="str">
        <x:v>TEXT:M3561</x:v>
      </x:c>
      <x:c r="E184" s="15" t="n">
        <x:v>3.443393</x:v>
      </x:c>
      <x:c r="F184" s="15" t="str">
        <x:v>요청</x:v>
      </x:c>
      <x:c r="G184" s="15" t="n">
        <x:v>238</x:v>
      </x:c>
      <x:c r="H184" s="15" t="n">
        <x:v>22</x:v>
      </x:c>
      <x:c r="I184" s="15" t="n">
        <x:v>26.428</x:v>
      </x:c>
      <x:c r="J184" s="15" t="n">
        <x:v>7</x:v>
      </x:c>
      <x:c r="K184" s="15" t="n">
        <x:v>0</x:v>
      </x:c>
      <x:c r="L184" s="15" t="n">
        <x:v>0</x:v>
      </x:c>
      <x:c r="M184" s="15" t="n">
        <x:v>0</x:v>
      </x:c>
      <x:c r="N184" s="15" t="n">
        <x:v>0</x:v>
      </x:c>
      <x:c r="O184" s="15" t="n">
        <x:v>0</x:v>
      </x:c>
      <x:c r="P184" s="15" t="n">
        <x:v>0</x:v>
      </x:c>
      <x:c r="Q184" s="15" t="n">
        <x:v>0</x:v>
      </x:c>
      <x:c r="R184" s="15" t="n">
        <x:v>0</x:v>
      </x:c>
      <x:c r="S184" s="15" t="n">
        <x:v>0</x:v>
      </x:c>
      <x:c r="T184" s="15" t="n">
        <x:v>0</x:v>
      </x:c>
      <x:c r="U184" s="15" t="n">
        <x:v>0</x:v>
      </x:c>
      <x:c r="V184" s="15" t="n">
        <x:v>0</x:v>
      </x:c>
      <x:c r="W184" s="15" t="n">
        <x:v>0</x:v>
      </x:c>
      <x:c r="X184" s="15" t="n">
        <x:v>0</x:v>
      </x:c>
      <x:c r="Y184" s="15" t="n">
        <x:v>0</x:v>
      </x:c>
      <x:c r="Z184" s="15" t="n">
        <x:v>0</x:v>
      </x:c>
      <x:c r="AA184" s="15" t="n">
        <x:v>0</x:v>
      </x:c>
      <x:c r="AB184" s="15" t="n">
        <x:f>SUM(G184:AA184)</x:f>
        <x:v>293.428</x:v>
      </x:c>
    </x:row>
    <x:row r="185" ht="36" customHeight="1">
      <x:c r="A185" s="10" t="str">
        <x:v>T-REL</x:v>
      </x:c>
      <x:c r="B185" s="10" t="str">
        <x:v>TEXT</x:v>
      </x:c>
      <x:c r="C185" s="10" t="str">
        <x:v>TEXT:SYN-F06-10</x:v>
      </x:c>
      <x:c r="D185" s="10" t="str">
        <x:v>TEXT:M3571</x:v>
      </x:c>
      <x:c r="E185" s="15" t="n">
        <x:v>-8</x:v>
      </x:c>
      <x:c r="F185" s="15" t="str">
        <x:v>사전 생산</x:v>
      </x:c>
      <x:c r="G185" s="15" t="n">
        <x:v>238</x:v>
      </x:c>
      <x:c r="H185" s="15" t="n">
        <x:v>0</x:v>
      </x:c>
      <x:c r="I185" s="15" t="n">
        <x:v>34.68</x:v>
      </x:c>
      <x:c r="J185" s="15" t="n">
        <x:v>0</x:v>
      </x:c>
      <x:c r="K185" s="15" t="n">
        <x:v>38</x:v>
      </x:c>
      <x:c r="L185" s="15" t="n">
        <x:v>19</x:v>
      </x:c>
      <x:c r="M185" s="15" t="n">
        <x:v>0</x:v>
      </x:c>
      <x:c r="N185" s="15" t="n">
        <x:v>0</x:v>
      </x:c>
      <x:c r="O185" s="15" t="n">
        <x:v>0</x:v>
      </x:c>
      <x:c r="P185" s="15" t="n">
        <x:v>0</x:v>
      </x:c>
      <x:c r="Q185" s="15" t="n">
        <x:v>0</x:v>
      </x:c>
      <x:c r="R185" s="15" t="n">
        <x:v>0</x:v>
      </x:c>
      <x:c r="S185" s="15" t="n">
        <x:v>0</x:v>
      </x:c>
      <x:c r="T185" s="15" t="n">
        <x:v>0</x:v>
      </x:c>
      <x:c r="U185" s="15" t="n">
        <x:v>0</x:v>
      </x:c>
      <x:c r="V185" s="15" t="n">
        <x:v>0</x:v>
      </x:c>
      <x:c r="W185" s="15" t="n">
        <x:v>0</x:v>
      </x:c>
      <x:c r="X185" s="15" t="n">
        <x:v>0</x:v>
      </x:c>
      <x:c r="Y185" s="15" t="n">
        <x:v>0</x:v>
      </x:c>
      <x:c r="Z185" s="15" t="n">
        <x:v>0</x:v>
      </x:c>
      <x:c r="AA185" s="15" t="n">
        <x:v>0</x:v>
      </x:c>
      <x:c r="AB185" s="15" t="n">
        <x:f>SUM(G185:AA185)</x:f>
        <x:v>329.68</x:v>
      </x:c>
    </x:row>
    <x:row r="186" ht="36" customHeight="1">
      <x:c r="A186" s="10" t="str">
        <x:v>T-BASE</x:v>
      </x:c>
      <x:c r="B186" s="10" t="str">
        <x:v>TEXT</x:v>
      </x:c>
      <x:c r="C186" s="10" t="str">
        <x:v>TEXT:SYN-F07-01</x:v>
      </x:c>
      <x:c r="D186" s="10" t="str">
        <x:v>TEXT:M3592</x:v>
      </x:c>
      <x:c r="E186" s="15" t="n">
        <x:v>0.34</x:v>
      </x:c>
      <x:c r="F186" s="15" t="str">
        <x:v>요청</x:v>
      </x:c>
      <x:c r="G186" s="15" t="n">
        <x:v>238</x:v>
      </x:c>
      <x:c r="H186" s="15" t="n">
        <x:v>11</x:v>
      </x:c>
      <x:c r="I186" s="15" t="n">
        <x:v>28.96</x:v>
      </x:c>
      <x:c r="J186" s="15" t="n">
        <x:v>0</x:v>
      </x:c>
      <x:c r="K186" s="15" t="n">
        <x:v>0</x:v>
      </x:c>
      <x:c r="L186" s="15" t="n">
        <x:v>0</x:v>
      </x:c>
      <x:c r="M186" s="15" t="n">
        <x:v>0</x:v>
      </x:c>
      <x:c r="N186" s="15" t="n">
        <x:v>0</x:v>
      </x:c>
      <x:c r="O186" s="15" t="n">
        <x:v>0</x:v>
      </x:c>
      <x:c r="P186" s="15" t="n">
        <x:v>0</x:v>
      </x:c>
      <x:c r="Q186" s="15" t="n">
        <x:v>0</x:v>
      </x:c>
      <x:c r="R186" s="15" t="n">
        <x:v>0</x:v>
      </x:c>
      <x:c r="S186" s="15" t="n">
        <x:v>0</x:v>
      </x:c>
      <x:c r="T186" s="15" t="n">
        <x:v>0</x:v>
      </x:c>
      <x:c r="U186" s="15" t="n">
        <x:v>0</x:v>
      </x:c>
      <x:c r="V186" s="15" t="n">
        <x:v>0</x:v>
      </x:c>
      <x:c r="W186" s="15" t="n">
        <x:v>0</x:v>
      </x:c>
      <x:c r="X186" s="15" t="n">
        <x:v>0</x:v>
      </x:c>
      <x:c r="Y186" s="15" t="n">
        <x:v>0</x:v>
      </x:c>
      <x:c r="Z186" s="15" t="n">
        <x:v>0</x:v>
      </x:c>
      <x:c r="AA186" s="15" t="n">
        <x:v>0</x:v>
      </x:c>
      <x:c r="AB186" s="15" t="n">
        <x:f>SUM(G186:AA186)</x:f>
        <x:v>277.96</x:v>
      </x:c>
    </x:row>
    <x:row r="187" ht="36" customHeight="1">
      <x:c r="A187" s="10" t="str">
        <x:v>T-EXEC</x:v>
      </x:c>
      <x:c r="B187" s="10" t="str">
        <x:v>TEXT</x:v>
      </x:c>
      <x:c r="C187" s="10" t="str">
        <x:v>TEXT:SYN-F07-01</x:v>
      </x:c>
      <x:c r="D187" s="10" t="str">
        <x:v>TEXT:M3613</x:v>
      </x:c>
      <x:c r="E187" s="15" t="n">
        <x:v>0.34</x:v>
      </x:c>
      <x:c r="F187" s="15" t="str">
        <x:v>요청</x:v>
      </x:c>
      <x:c r="G187" s="15" t="n">
        <x:v>238</x:v>
      </x:c>
      <x:c r="H187" s="15" t="n">
        <x:v>11</x:v>
      </x:c>
      <x:c r="I187" s="15" t="n">
        <x:v>28.96</x:v>
      </x:c>
      <x:c r="J187" s="15" t="n">
        <x:v>0</x:v>
      </x:c>
      <x:c r="K187" s="15" t="n">
        <x:v>0</x:v>
      </x:c>
      <x:c r="L187" s="15" t="n">
        <x:v>0</x:v>
      </x:c>
      <x:c r="M187" s="15" t="n">
        <x:v>0</x:v>
      </x:c>
      <x:c r="N187" s="15" t="n">
        <x:v>0</x:v>
      </x:c>
      <x:c r="O187" s="15" t="n">
        <x:v>0</x:v>
      </x:c>
      <x:c r="P187" s="15" t="n">
        <x:v>0</x:v>
      </x:c>
      <x:c r="Q187" s="15" t="n">
        <x:v>0</x:v>
      </x:c>
      <x:c r="R187" s="15" t="n">
        <x:v>0</x:v>
      </x:c>
      <x:c r="S187" s="15" t="n">
        <x:v>0</x:v>
      </x:c>
      <x:c r="T187" s="15" t="n">
        <x:v>0</x:v>
      </x:c>
      <x:c r="U187" s="15" t="n">
        <x:v>0</x:v>
      </x:c>
      <x:c r="V187" s="15" t="n">
        <x:v>0</x:v>
      </x:c>
      <x:c r="W187" s="15" t="n">
        <x:v>0</x:v>
      </x:c>
      <x:c r="X187" s="15" t="n">
        <x:v>0</x:v>
      </x:c>
      <x:c r="Y187" s="15" t="n">
        <x:v>0</x:v>
      </x:c>
      <x:c r="Z187" s="15" t="n">
        <x:v>0</x:v>
      </x:c>
      <x:c r="AA187" s="15" t="n">
        <x:v>0</x:v>
      </x:c>
      <x:c r="AB187" s="15" t="n">
        <x:f>SUM(G187:AA187)</x:f>
        <x:v>277.96</x:v>
      </x:c>
    </x:row>
    <x:row r="188" ht="36" customHeight="1">
      <x:c r="A188" s="10" t="str">
        <x:v>T-REL</x:v>
      </x:c>
      <x:c r="B188" s="10" t="str">
        <x:v>TEXT</x:v>
      </x:c>
      <x:c r="C188" s="10" t="str">
        <x:v>TEXT:SYN-F07-01</x:v>
      </x:c>
      <x:c r="D188" s="10" t="str">
        <x:v>TEXT:M3633</x:v>
      </x:c>
      <x:c r="E188" s="15" t="n">
        <x:v>-8</x:v>
      </x:c>
      <x:c r="F188" s="15" t="str">
        <x:v>사전 생산</x:v>
      </x:c>
      <x:c r="G188" s="15" t="n">
        <x:v>238</x:v>
      </x:c>
      <x:c r="H188" s="15" t="n">
        <x:v>0</x:v>
      </x:c>
      <x:c r="I188" s="15" t="n">
        <x:v>31.8</x:v>
      </x:c>
      <x:c r="J188" s="15" t="n">
        <x:v>0</x:v>
      </x:c>
      <x:c r="K188" s="15" t="n">
        <x:v>38</x:v>
      </x:c>
      <x:c r="L188" s="15" t="n">
        <x:v>19</x:v>
      </x:c>
      <x:c r="M188" s="15" t="n">
        <x:v>0</x:v>
      </x:c>
      <x:c r="N188" s="15" t="n">
        <x:v>0</x:v>
      </x:c>
      <x:c r="O188" s="15" t="n">
        <x:v>0</x:v>
      </x:c>
      <x:c r="P188" s="15" t="n">
        <x:v>0</x:v>
      </x:c>
      <x:c r="Q188" s="15" t="n">
        <x:v>0</x:v>
      </x:c>
      <x:c r="R188" s="15" t="n">
        <x:v>0</x:v>
      </x:c>
      <x:c r="S188" s="15" t="n">
        <x:v>0</x:v>
      </x:c>
      <x:c r="T188" s="15" t="n">
        <x:v>0</x:v>
      </x:c>
      <x:c r="U188" s="15" t="n">
        <x:v>0</x:v>
      </x:c>
      <x:c r="V188" s="15" t="n">
        <x:v>0</x:v>
      </x:c>
      <x:c r="W188" s="15" t="n">
        <x:v>0</x:v>
      </x:c>
      <x:c r="X188" s="15" t="n">
        <x:v>0</x:v>
      </x:c>
      <x:c r="Y188" s="15" t="n">
        <x:v>0</x:v>
      </x:c>
      <x:c r="Z188" s="15" t="n">
        <x:v>0</x:v>
      </x:c>
      <x:c r="AA188" s="15" t="n">
        <x:v>0</x:v>
      </x:c>
      <x:c r="AB188" s="15" t="n">
        <x:f>SUM(G188:AA188)</x:f>
        <x:v>326.8</x:v>
      </x:c>
    </x:row>
    <x:row r="189" ht="36" customHeight="1">
      <x:c r="A189" s="10" t="str">
        <x:v>T-BASE</x:v>
      </x:c>
      <x:c r="B189" s="10" t="str">
        <x:v>TEXT</x:v>
      </x:c>
      <x:c r="C189" s="10" t="str">
        <x:v>TEXT:SYN-F07-02</x:v>
      </x:c>
      <x:c r="D189" s="10" t="str">
        <x:v>TEXT:M3659</x:v>
      </x:c>
      <x:c r="E189" s="15" t="n">
        <x:v>0.365</x:v>
      </x:c>
      <x:c r="F189" s="15" t="str">
        <x:v>요청</x:v>
      </x:c>
      <x:c r="G189" s="15" t="n">
        <x:v>238</x:v>
      </x:c>
      <x:c r="H189" s="15" t="n">
        <x:v>11</x:v>
      </x:c>
      <x:c r="I189" s="15" t="n">
        <x:v>29.052</x:v>
      </x:c>
      <x:c r="J189" s="15" t="n">
        <x:v>0</x:v>
      </x:c>
      <x:c r="K189" s="15" t="n">
        <x:v>0</x:v>
      </x:c>
      <x:c r="L189" s="15" t="n">
        <x:v>0</x:v>
      </x:c>
      <x:c r="M189" s="15" t="n">
        <x:v>0</x:v>
      </x:c>
      <x:c r="N189" s="15" t="n">
        <x:v>0</x:v>
      </x:c>
      <x:c r="O189" s="15" t="n">
        <x:v>0</x:v>
      </x:c>
      <x:c r="P189" s="15" t="n">
        <x:v>0</x:v>
      </x:c>
      <x:c r="Q189" s="15" t="n">
        <x:v>0</x:v>
      </x:c>
      <x:c r="R189" s="15" t="n">
        <x:v>0</x:v>
      </x:c>
      <x:c r="S189" s="15" t="n">
        <x:v>0</x:v>
      </x:c>
      <x:c r="T189" s="15" t="n">
        <x:v>0</x:v>
      </x:c>
      <x:c r="U189" s="15" t="n">
        <x:v>0</x:v>
      </x:c>
      <x:c r="V189" s="15" t="n">
        <x:v>0</x:v>
      </x:c>
      <x:c r="W189" s="15" t="n">
        <x:v>0</x:v>
      </x:c>
      <x:c r="X189" s="15" t="n">
        <x:v>0</x:v>
      </x:c>
      <x:c r="Y189" s="15" t="n">
        <x:v>0</x:v>
      </x:c>
      <x:c r="Z189" s="15" t="n">
        <x:v>0</x:v>
      </x:c>
      <x:c r="AA189" s="15" t="n">
        <x:v>0</x:v>
      </x:c>
      <x:c r="AB189" s="15" t="n">
        <x:f>SUM(G189:AA189)</x:f>
        <x:v>278.052</x:v>
      </x:c>
    </x:row>
    <x:row r="190" ht="36" customHeight="1">
      <x:c r="A190" s="10" t="str">
        <x:v>T-EXEC</x:v>
      </x:c>
      <x:c r="B190" s="10" t="str">
        <x:v>TEXT</x:v>
      </x:c>
      <x:c r="C190" s="10" t="str">
        <x:v>TEXT:SYN-F07-02</x:v>
      </x:c>
      <x:c r="D190" s="10" t="str">
        <x:v>TEXT:M3680</x:v>
      </x:c>
      <x:c r="E190" s="15" t="n">
        <x:v>0.365</x:v>
      </x:c>
      <x:c r="F190" s="15" t="str">
        <x:v>요청</x:v>
      </x:c>
      <x:c r="G190" s="15" t="n">
        <x:v>238</x:v>
      </x:c>
      <x:c r="H190" s="15" t="n">
        <x:v>11</x:v>
      </x:c>
      <x:c r="I190" s="15" t="n">
        <x:v>29.052</x:v>
      </x:c>
      <x:c r="J190" s="15" t="n">
        <x:v>0</x:v>
      </x:c>
      <x:c r="K190" s="15" t="n">
        <x:v>0</x:v>
      </x:c>
      <x:c r="L190" s="15" t="n">
        <x:v>0</x:v>
      </x:c>
      <x:c r="M190" s="15" t="n">
        <x:v>0</x:v>
      </x:c>
      <x:c r="N190" s="15" t="n">
        <x:v>0</x:v>
      </x:c>
      <x:c r="O190" s="15" t="n">
        <x:v>0</x:v>
      </x:c>
      <x:c r="P190" s="15" t="n">
        <x:v>0</x:v>
      </x:c>
      <x:c r="Q190" s="15" t="n">
        <x:v>0</x:v>
      </x:c>
      <x:c r="R190" s="15" t="n">
        <x:v>0</x:v>
      </x:c>
      <x:c r="S190" s="15" t="n">
        <x:v>0</x:v>
      </x:c>
      <x:c r="T190" s="15" t="n">
        <x:v>0</x:v>
      </x:c>
      <x:c r="U190" s="15" t="n">
        <x:v>0</x:v>
      </x:c>
      <x:c r="V190" s="15" t="n">
        <x:v>0</x:v>
      </x:c>
      <x:c r="W190" s="15" t="n">
        <x:v>0</x:v>
      </x:c>
      <x:c r="X190" s="15" t="n">
        <x:v>0</x:v>
      </x:c>
      <x:c r="Y190" s="15" t="n">
        <x:v>0</x:v>
      </x:c>
      <x:c r="Z190" s="15" t="n">
        <x:v>0</x:v>
      </x:c>
      <x:c r="AA190" s="15" t="n">
        <x:v>0</x:v>
      </x:c>
      <x:c r="AB190" s="15" t="n">
        <x:f>SUM(G190:AA190)</x:f>
        <x:v>278.052</x:v>
      </x:c>
    </x:row>
    <x:row r="191" ht="36" customHeight="1">
      <x:c r="A191" s="10" t="str">
        <x:v>T-REL</x:v>
      </x:c>
      <x:c r="B191" s="10" t="str">
        <x:v>TEXT</x:v>
      </x:c>
      <x:c r="C191" s="10" t="str">
        <x:v>TEXT:SYN-F07-02</x:v>
      </x:c>
      <x:c r="D191" s="10" t="str">
        <x:v>TEXT:M3700</x:v>
      </x:c>
      <x:c r="E191" s="15" t="n">
        <x:v>-8</x:v>
      </x:c>
      <x:c r="F191" s="15" t="str">
        <x:v>사전 생산</x:v>
      </x:c>
      <x:c r="G191" s="15" t="n">
        <x:v>238</x:v>
      </x:c>
      <x:c r="H191" s="15" t="n">
        <x:v>0</x:v>
      </x:c>
      <x:c r="I191" s="15" t="n">
        <x:v>32.12</x:v>
      </x:c>
      <x:c r="J191" s="15" t="n">
        <x:v>0</x:v>
      </x:c>
      <x:c r="K191" s="15" t="n">
        <x:v>38</x:v>
      </x:c>
      <x:c r="L191" s="15" t="n">
        <x:v>19</x:v>
      </x:c>
      <x:c r="M191" s="15" t="n">
        <x:v>0</x:v>
      </x:c>
      <x:c r="N191" s="15" t="n">
        <x:v>0</x:v>
      </x:c>
      <x:c r="O191" s="15" t="n">
        <x:v>0</x:v>
      </x:c>
      <x:c r="P191" s="15" t="n">
        <x:v>0</x:v>
      </x:c>
      <x:c r="Q191" s="15" t="n">
        <x:v>0</x:v>
      </x:c>
      <x:c r="R191" s="15" t="n">
        <x:v>0</x:v>
      </x:c>
      <x:c r="S191" s="15" t="n">
        <x:v>0</x:v>
      </x:c>
      <x:c r="T191" s="15" t="n">
        <x:v>0</x:v>
      </x:c>
      <x:c r="U191" s="15" t="n">
        <x:v>0</x:v>
      </x:c>
      <x:c r="V191" s="15" t="n">
        <x:v>0</x:v>
      </x:c>
      <x:c r="W191" s="15" t="n">
        <x:v>0</x:v>
      </x:c>
      <x:c r="X191" s="15" t="n">
        <x:v>0</x:v>
      </x:c>
      <x:c r="Y191" s="15" t="n">
        <x:v>0</x:v>
      </x:c>
      <x:c r="Z191" s="15" t="n">
        <x:v>0</x:v>
      </x:c>
      <x:c r="AA191" s="15" t="n">
        <x:v>0</x:v>
      </x:c>
      <x:c r="AB191" s="15" t="n">
        <x:f>SUM(G191:AA191)</x:f>
        <x:v>327.12</x:v>
      </x:c>
    </x:row>
    <x:row r="192" ht="36" customHeight="1">
      <x:c r="A192" s="10" t="str">
        <x:v>T-BASE</x:v>
      </x:c>
      <x:c r="B192" s="10" t="str">
        <x:v>TEXT</x:v>
      </x:c>
      <x:c r="C192" s="10" t="str">
        <x:v>TEXT:SYN-F07-03</x:v>
      </x:c>
      <x:c r="D192" s="10" t="str">
        <x:v>TEXT:M3726</x:v>
      </x:c>
      <x:c r="E192" s="15" t="n">
        <x:v>0.39</x:v>
      </x:c>
      <x:c r="F192" s="15" t="str">
        <x:v>요청</x:v>
      </x:c>
      <x:c r="G192" s="15" t="n">
        <x:v>238</x:v>
      </x:c>
      <x:c r="H192" s="15" t="n">
        <x:v>11</x:v>
      </x:c>
      <x:c r="I192" s="15" t="n">
        <x:v>29.144</x:v>
      </x:c>
      <x:c r="J192" s="15" t="n">
        <x:v>0</x:v>
      </x:c>
      <x:c r="K192" s="15" t="n">
        <x:v>0</x:v>
      </x:c>
      <x:c r="L192" s="15" t="n">
        <x:v>0</x:v>
      </x:c>
      <x:c r="M192" s="15" t="n">
        <x:v>0</x:v>
      </x:c>
      <x:c r="N192" s="15" t="n">
        <x:v>0</x:v>
      </x:c>
      <x:c r="O192" s="15" t="n">
        <x:v>0</x:v>
      </x:c>
      <x:c r="P192" s="15" t="n">
        <x:v>0</x:v>
      </x:c>
      <x:c r="Q192" s="15" t="n">
        <x:v>0</x:v>
      </x:c>
      <x:c r="R192" s="15" t="n">
        <x:v>0</x:v>
      </x:c>
      <x:c r="S192" s="15" t="n">
        <x:v>0</x:v>
      </x:c>
      <x:c r="T192" s="15" t="n">
        <x:v>0</x:v>
      </x:c>
      <x:c r="U192" s="15" t="n">
        <x:v>0</x:v>
      </x:c>
      <x:c r="V192" s="15" t="n">
        <x:v>0</x:v>
      </x:c>
      <x:c r="W192" s="15" t="n">
        <x:v>0</x:v>
      </x:c>
      <x:c r="X192" s="15" t="n">
        <x:v>0</x:v>
      </x:c>
      <x:c r="Y192" s="15" t="n">
        <x:v>0</x:v>
      </x:c>
      <x:c r="Z192" s="15" t="n">
        <x:v>0</x:v>
      </x:c>
      <x:c r="AA192" s="15" t="n">
        <x:v>0</x:v>
      </x:c>
      <x:c r="AB192" s="15" t="n">
        <x:f>SUM(G192:AA192)</x:f>
        <x:v>278.144</x:v>
      </x:c>
    </x:row>
    <x:row r="193" ht="36" customHeight="1">
      <x:c r="A193" s="10" t="str">
        <x:v>T-EXEC</x:v>
      </x:c>
      <x:c r="B193" s="10" t="str">
        <x:v>TEXT</x:v>
      </x:c>
      <x:c r="C193" s="10" t="str">
        <x:v>TEXT:SYN-F07-03</x:v>
      </x:c>
      <x:c r="D193" s="10" t="str">
        <x:v>TEXT:M3747</x:v>
      </x:c>
      <x:c r="E193" s="15" t="n">
        <x:v>0.39</x:v>
      </x:c>
      <x:c r="F193" s="15" t="str">
        <x:v>요청</x:v>
      </x:c>
      <x:c r="G193" s="15" t="n">
        <x:v>238</x:v>
      </x:c>
      <x:c r="H193" s="15" t="n">
        <x:v>11</x:v>
      </x:c>
      <x:c r="I193" s="15" t="n">
        <x:v>29.144</x:v>
      </x:c>
      <x:c r="J193" s="15" t="n">
        <x:v>0</x:v>
      </x:c>
      <x:c r="K193" s="15" t="n">
        <x:v>0</x:v>
      </x:c>
      <x:c r="L193" s="15" t="n">
        <x:v>0</x:v>
      </x:c>
      <x:c r="M193" s="15" t="n">
        <x:v>0</x:v>
      </x:c>
      <x:c r="N193" s="15" t="n">
        <x:v>0</x:v>
      </x:c>
      <x:c r="O193" s="15" t="n">
        <x:v>0</x:v>
      </x:c>
      <x:c r="P193" s="15" t="n">
        <x:v>0</x:v>
      </x:c>
      <x:c r="Q193" s="15" t="n">
        <x:v>0</x:v>
      </x:c>
      <x:c r="R193" s="15" t="n">
        <x:v>0</x:v>
      </x:c>
      <x:c r="S193" s="15" t="n">
        <x:v>0</x:v>
      </x:c>
      <x:c r="T193" s="15" t="n">
        <x:v>0</x:v>
      </x:c>
      <x:c r="U193" s="15" t="n">
        <x:v>0</x:v>
      </x:c>
      <x:c r="V193" s="15" t="n">
        <x:v>0</x:v>
      </x:c>
      <x:c r="W193" s="15" t="n">
        <x:v>0</x:v>
      </x:c>
      <x:c r="X193" s="15" t="n">
        <x:v>0</x:v>
      </x:c>
      <x:c r="Y193" s="15" t="n">
        <x:v>0</x:v>
      </x:c>
      <x:c r="Z193" s="15" t="n">
        <x:v>0</x:v>
      </x:c>
      <x:c r="AA193" s="15" t="n">
        <x:v>0</x:v>
      </x:c>
      <x:c r="AB193" s="15" t="n">
        <x:f>SUM(G193:AA193)</x:f>
        <x:v>278.144</x:v>
      </x:c>
    </x:row>
    <x:row r="194" ht="36" customHeight="1">
      <x:c r="A194" s="10" t="str">
        <x:v>T-REL</x:v>
      </x:c>
      <x:c r="B194" s="10" t="str">
        <x:v>TEXT</x:v>
      </x:c>
      <x:c r="C194" s="10" t="str">
        <x:v>TEXT:SYN-F07-03</x:v>
      </x:c>
      <x:c r="D194" s="10" t="str">
        <x:v>TEXT:M3767</x:v>
      </x:c>
      <x:c r="E194" s="15" t="n">
        <x:v>-8</x:v>
      </x:c>
      <x:c r="F194" s="15" t="str">
        <x:v>사전 생산</x:v>
      </x:c>
      <x:c r="G194" s="15" t="n">
        <x:v>238</x:v>
      </x:c>
      <x:c r="H194" s="15" t="n">
        <x:v>0</x:v>
      </x:c>
      <x:c r="I194" s="15" t="n">
        <x:v>32.44</x:v>
      </x:c>
      <x:c r="J194" s="15" t="n">
        <x:v>0</x:v>
      </x:c>
      <x:c r="K194" s="15" t="n">
        <x:v>38</x:v>
      </x:c>
      <x:c r="L194" s="15" t="n">
        <x:v>19</x:v>
      </x:c>
      <x:c r="M194" s="15" t="n">
        <x:v>0</x:v>
      </x:c>
      <x:c r="N194" s="15" t="n">
        <x:v>0</x:v>
      </x:c>
      <x:c r="O194" s="15" t="n">
        <x:v>0</x:v>
      </x:c>
      <x:c r="P194" s="15" t="n">
        <x:v>0</x:v>
      </x:c>
      <x:c r="Q194" s="15" t="n">
        <x:v>0</x:v>
      </x:c>
      <x:c r="R194" s="15" t="n">
        <x:v>0</x:v>
      </x:c>
      <x:c r="S194" s="15" t="n">
        <x:v>0</x:v>
      </x:c>
      <x:c r="T194" s="15" t="n">
        <x:v>0</x:v>
      </x:c>
      <x:c r="U194" s="15" t="n">
        <x:v>0</x:v>
      </x:c>
      <x:c r="V194" s="15" t="n">
        <x:v>0</x:v>
      </x:c>
      <x:c r="W194" s="15" t="n">
        <x:v>0</x:v>
      </x:c>
      <x:c r="X194" s="15" t="n">
        <x:v>0</x:v>
      </x:c>
      <x:c r="Y194" s="15" t="n">
        <x:v>0</x:v>
      </x:c>
      <x:c r="Z194" s="15" t="n">
        <x:v>0</x:v>
      </x:c>
      <x:c r="AA194" s="15" t="n">
        <x:v>0</x:v>
      </x:c>
      <x:c r="AB194" s="15" t="n">
        <x:f>SUM(G194:AA194)</x:f>
        <x:v>327.44</x:v>
      </x:c>
    </x:row>
    <x:row r="195" ht="36" customHeight="1">
      <x:c r="A195" s="10" t="str">
        <x:v>T-BASE</x:v>
      </x:c>
      <x:c r="B195" s="10" t="str">
        <x:v>TEXT</x:v>
      </x:c>
      <x:c r="C195" s="10" t="str">
        <x:v>TEXT:SYN-F07-04</x:v>
      </x:c>
      <x:c r="D195" s="10" t="str">
        <x:v>TEXT:M3793</x:v>
      </x:c>
      <x:c r="E195" s="15" t="n">
        <x:v>0.34</x:v>
      </x:c>
      <x:c r="F195" s="15" t="str">
        <x:v>요청</x:v>
      </x:c>
      <x:c r="G195" s="15" t="n">
        <x:v>238</x:v>
      </x:c>
      <x:c r="H195" s="15" t="n">
        <x:v>11</x:v>
      </x:c>
      <x:c r="I195" s="15" t="n">
        <x:v>29.236</x:v>
      </x:c>
      <x:c r="J195" s="15" t="n">
        <x:v>0</x:v>
      </x:c>
      <x:c r="K195" s="15" t="n">
        <x:v>0</x:v>
      </x:c>
      <x:c r="L195" s="15" t="n">
        <x:v>0</x:v>
      </x:c>
      <x:c r="M195" s="15" t="n">
        <x:v>0</x:v>
      </x:c>
      <x:c r="N195" s="15" t="n">
        <x:v>0</x:v>
      </x:c>
      <x:c r="O195" s="15" t="n">
        <x:v>0</x:v>
      </x:c>
      <x:c r="P195" s="15" t="n">
        <x:v>0</x:v>
      </x:c>
      <x:c r="Q195" s="15" t="n">
        <x:v>0</x:v>
      </x:c>
      <x:c r="R195" s="15" t="n">
        <x:v>0</x:v>
      </x:c>
      <x:c r="S195" s="15" t="n">
        <x:v>0</x:v>
      </x:c>
      <x:c r="T195" s="15" t="n">
        <x:v>0</x:v>
      </x:c>
      <x:c r="U195" s="15" t="n">
        <x:v>0</x:v>
      </x:c>
      <x:c r="V195" s="15" t="n">
        <x:v>0</x:v>
      </x:c>
      <x:c r="W195" s="15" t="n">
        <x:v>0</x:v>
      </x:c>
      <x:c r="X195" s="15" t="n">
        <x:v>0</x:v>
      </x:c>
      <x:c r="Y195" s="15" t="n">
        <x:v>0</x:v>
      </x:c>
      <x:c r="Z195" s="15" t="n">
        <x:v>0</x:v>
      </x:c>
      <x:c r="AA195" s="15" t="n">
        <x:v>0</x:v>
      </x:c>
      <x:c r="AB195" s="15" t="n">
        <x:f>SUM(G195:AA195)</x:f>
        <x:v>278.236</x:v>
      </x:c>
    </x:row>
    <x:row r="196" ht="36" customHeight="1">
      <x:c r="A196" s="10" t="str">
        <x:v>T-EXEC</x:v>
      </x:c>
      <x:c r="B196" s="10" t="str">
        <x:v>TEXT</x:v>
      </x:c>
      <x:c r="C196" s="10" t="str">
        <x:v>TEXT:SYN-F07-04</x:v>
      </x:c>
      <x:c r="D196" s="10" t="str">
        <x:v>TEXT:M3814</x:v>
      </x:c>
      <x:c r="E196" s="15" t="n">
        <x:v>0.34</x:v>
      </x:c>
      <x:c r="F196" s="15" t="str">
        <x:v>요청</x:v>
      </x:c>
      <x:c r="G196" s="15" t="n">
        <x:v>238</x:v>
      </x:c>
      <x:c r="H196" s="15" t="n">
        <x:v>11</x:v>
      </x:c>
      <x:c r="I196" s="15" t="n">
        <x:v>29.236</x:v>
      </x:c>
      <x:c r="J196" s="15" t="n">
        <x:v>0</x:v>
      </x:c>
      <x:c r="K196" s="15" t="n">
        <x:v>0</x:v>
      </x:c>
      <x:c r="L196" s="15" t="n">
        <x:v>0</x:v>
      </x:c>
      <x:c r="M196" s="15" t="n">
        <x:v>0</x:v>
      </x:c>
      <x:c r="N196" s="15" t="n">
        <x:v>0</x:v>
      </x:c>
      <x:c r="O196" s="15" t="n">
        <x:v>0</x:v>
      </x:c>
      <x:c r="P196" s="15" t="n">
        <x:v>0</x:v>
      </x:c>
      <x:c r="Q196" s="15" t="n">
        <x:v>0</x:v>
      </x:c>
      <x:c r="R196" s="15" t="n">
        <x:v>0</x:v>
      </x:c>
      <x:c r="S196" s="15" t="n">
        <x:v>0</x:v>
      </x:c>
      <x:c r="T196" s="15" t="n">
        <x:v>0</x:v>
      </x:c>
      <x:c r="U196" s="15" t="n">
        <x:v>0</x:v>
      </x:c>
      <x:c r="V196" s="15" t="n">
        <x:v>0</x:v>
      </x:c>
      <x:c r="W196" s="15" t="n">
        <x:v>0</x:v>
      </x:c>
      <x:c r="X196" s="15" t="n">
        <x:v>0</x:v>
      </x:c>
      <x:c r="Y196" s="15" t="n">
        <x:v>0</x:v>
      </x:c>
      <x:c r="Z196" s="15" t="n">
        <x:v>0</x:v>
      </x:c>
      <x:c r="AA196" s="15" t="n">
        <x:v>0</x:v>
      </x:c>
      <x:c r="AB196" s="15" t="n">
        <x:f>SUM(G196:AA196)</x:f>
        <x:v>278.236</x:v>
      </x:c>
    </x:row>
    <x:row r="197" ht="36" customHeight="1">
      <x:c r="A197" s="10" t="str">
        <x:v>T-REL</x:v>
      </x:c>
      <x:c r="B197" s="10" t="str">
        <x:v>TEXT</x:v>
      </x:c>
      <x:c r="C197" s="10" t="str">
        <x:v>TEXT:SYN-F07-04</x:v>
      </x:c>
      <x:c r="D197" s="10" t="str">
        <x:v>TEXT:M3834</x:v>
      </x:c>
      <x:c r="E197" s="15" t="n">
        <x:v>-8</x:v>
      </x:c>
      <x:c r="F197" s="15" t="str">
        <x:v>사전 생산</x:v>
      </x:c>
      <x:c r="G197" s="15" t="n">
        <x:v>238</x:v>
      </x:c>
      <x:c r="H197" s="15" t="n">
        <x:v>0</x:v>
      </x:c>
      <x:c r="I197" s="15" t="n">
        <x:v>32.76</x:v>
      </x:c>
      <x:c r="J197" s="15" t="n">
        <x:v>0</x:v>
      </x:c>
      <x:c r="K197" s="15" t="n">
        <x:v>38</x:v>
      </x:c>
      <x:c r="L197" s="15" t="n">
        <x:v>19</x:v>
      </x:c>
      <x:c r="M197" s="15" t="n">
        <x:v>0</x:v>
      </x:c>
      <x:c r="N197" s="15" t="n">
        <x:v>0</x:v>
      </x:c>
      <x:c r="O197" s="15" t="n">
        <x:v>0</x:v>
      </x:c>
      <x:c r="P197" s="15" t="n">
        <x:v>0</x:v>
      </x:c>
      <x:c r="Q197" s="15" t="n">
        <x:v>0</x:v>
      </x:c>
      <x:c r="R197" s="15" t="n">
        <x:v>0</x:v>
      </x:c>
      <x:c r="S197" s="15" t="n">
        <x:v>0</x:v>
      </x:c>
      <x:c r="T197" s="15" t="n">
        <x:v>0</x:v>
      </x:c>
      <x:c r="U197" s="15" t="n">
        <x:v>0</x:v>
      </x:c>
      <x:c r="V197" s="15" t="n">
        <x:v>0</x:v>
      </x:c>
      <x:c r="W197" s="15" t="n">
        <x:v>0</x:v>
      </x:c>
      <x:c r="X197" s="15" t="n">
        <x:v>0</x:v>
      </x:c>
      <x:c r="Y197" s="15" t="n">
        <x:v>0</x:v>
      </x:c>
      <x:c r="Z197" s="15" t="n">
        <x:v>0</x:v>
      </x:c>
      <x:c r="AA197" s="15" t="n">
        <x:v>0</x:v>
      </x:c>
      <x:c r="AB197" s="15" t="n">
        <x:f>SUM(G197:AA197)</x:f>
        <x:v>327.76</x:v>
      </x:c>
    </x:row>
    <x:row r="198" ht="36" customHeight="1">
      <x:c r="A198" s="10" t="str">
        <x:v>T-BASE</x:v>
      </x:c>
      <x:c r="B198" s="10" t="str">
        <x:v>TEXT</x:v>
      </x:c>
      <x:c r="C198" s="10" t="str">
        <x:v>TEXT:SYN-F07-05</x:v>
      </x:c>
      <x:c r="D198" s="10" t="str">
        <x:v>TEXT:M3860</x:v>
      </x:c>
      <x:c r="E198" s="15" t="n">
        <x:v>0.365</x:v>
      </x:c>
      <x:c r="F198" s="15" t="str">
        <x:v>요청</x:v>
      </x:c>
      <x:c r="G198" s="15" t="n">
        <x:v>238</x:v>
      </x:c>
      <x:c r="H198" s="15" t="n">
        <x:v>11</x:v>
      </x:c>
      <x:c r="I198" s="15" t="n">
        <x:v>29.328</x:v>
      </x:c>
      <x:c r="J198" s="15" t="n">
        <x:v>0</x:v>
      </x:c>
      <x:c r="K198" s="15" t="n">
        <x:v>0</x:v>
      </x:c>
      <x:c r="L198" s="15" t="n">
        <x:v>0</x:v>
      </x:c>
      <x:c r="M198" s="15" t="n">
        <x:v>0</x:v>
      </x:c>
      <x:c r="N198" s="15" t="n">
        <x:v>0</x:v>
      </x:c>
      <x:c r="O198" s="15" t="n">
        <x:v>0</x:v>
      </x:c>
      <x:c r="P198" s="15" t="n">
        <x:v>0</x:v>
      </x:c>
      <x:c r="Q198" s="15" t="n">
        <x:v>0</x:v>
      </x:c>
      <x:c r="R198" s="15" t="n">
        <x:v>0</x:v>
      </x:c>
      <x:c r="S198" s="15" t="n">
        <x:v>0</x:v>
      </x:c>
      <x:c r="T198" s="15" t="n">
        <x:v>0</x:v>
      </x:c>
      <x:c r="U198" s="15" t="n">
        <x:v>0</x:v>
      </x:c>
      <x:c r="V198" s="15" t="n">
        <x:v>0</x:v>
      </x:c>
      <x:c r="W198" s="15" t="n">
        <x:v>0</x:v>
      </x:c>
      <x:c r="X198" s="15" t="n">
        <x:v>0</x:v>
      </x:c>
      <x:c r="Y198" s="15" t="n">
        <x:v>0</x:v>
      </x:c>
      <x:c r="Z198" s="15" t="n">
        <x:v>0</x:v>
      </x:c>
      <x:c r="AA198" s="15" t="n">
        <x:v>0</x:v>
      </x:c>
      <x:c r="AB198" s="15" t="n">
        <x:f>SUM(G198:AA198)</x:f>
        <x:v>278.328</x:v>
      </x:c>
    </x:row>
    <x:row r="199" ht="36" customHeight="1">
      <x:c r="A199" s="10" t="str">
        <x:v>T-EXEC</x:v>
      </x:c>
      <x:c r="B199" s="10" t="str">
        <x:v>TEXT</x:v>
      </x:c>
      <x:c r="C199" s="10" t="str">
        <x:v>TEXT:SYN-F07-05</x:v>
      </x:c>
      <x:c r="D199" s="10" t="str">
        <x:v>TEXT:M3881</x:v>
      </x:c>
      <x:c r="E199" s="15" t="n">
        <x:v>0.365</x:v>
      </x:c>
      <x:c r="F199" s="15" t="str">
        <x:v>요청</x:v>
      </x:c>
      <x:c r="G199" s="15" t="n">
        <x:v>238</x:v>
      </x:c>
      <x:c r="H199" s="15" t="n">
        <x:v>11</x:v>
      </x:c>
      <x:c r="I199" s="15" t="n">
        <x:v>29.328</x:v>
      </x:c>
      <x:c r="J199" s="15" t="n">
        <x:v>0</x:v>
      </x:c>
      <x:c r="K199" s="15" t="n">
        <x:v>0</x:v>
      </x:c>
      <x:c r="L199" s="15" t="n">
        <x:v>0</x:v>
      </x:c>
      <x:c r="M199" s="15" t="n">
        <x:v>0</x:v>
      </x:c>
      <x:c r="N199" s="15" t="n">
        <x:v>0</x:v>
      </x:c>
      <x:c r="O199" s="15" t="n">
        <x:v>0</x:v>
      </x:c>
      <x:c r="P199" s="15" t="n">
        <x:v>0</x:v>
      </x:c>
      <x:c r="Q199" s="15" t="n">
        <x:v>0</x:v>
      </x:c>
      <x:c r="R199" s="15" t="n">
        <x:v>0</x:v>
      </x:c>
      <x:c r="S199" s="15" t="n">
        <x:v>0</x:v>
      </x:c>
      <x:c r="T199" s="15" t="n">
        <x:v>0</x:v>
      </x:c>
      <x:c r="U199" s="15" t="n">
        <x:v>0</x:v>
      </x:c>
      <x:c r="V199" s="15" t="n">
        <x:v>0</x:v>
      </x:c>
      <x:c r="W199" s="15" t="n">
        <x:v>0</x:v>
      </x:c>
      <x:c r="X199" s="15" t="n">
        <x:v>0</x:v>
      </x:c>
      <x:c r="Y199" s="15" t="n">
        <x:v>0</x:v>
      </x:c>
      <x:c r="Z199" s="15" t="n">
        <x:v>0</x:v>
      </x:c>
      <x:c r="AA199" s="15" t="n">
        <x:v>0</x:v>
      </x:c>
      <x:c r="AB199" s="15" t="n">
        <x:f>SUM(G199:AA199)</x:f>
        <x:v>278.328</x:v>
      </x:c>
    </x:row>
    <x:row r="200" ht="36" customHeight="1">
      <x:c r="A200" s="10" t="str">
        <x:v>T-REL</x:v>
      </x:c>
      <x:c r="B200" s="10" t="str">
        <x:v>TEXT</x:v>
      </x:c>
      <x:c r="C200" s="10" t="str">
        <x:v>TEXT:SYN-F07-05</x:v>
      </x:c>
      <x:c r="D200" s="10" t="str">
        <x:v>TEXT:M3901</x:v>
      </x:c>
      <x:c r="E200" s="15" t="n">
        <x:v>-8</x:v>
      </x:c>
      <x:c r="F200" s="15" t="str">
        <x:v>사전 생산</x:v>
      </x:c>
      <x:c r="G200" s="15" t="n">
        <x:v>238</x:v>
      </x:c>
      <x:c r="H200" s="15" t="n">
        <x:v>0</x:v>
      </x:c>
      <x:c r="I200" s="15" t="n">
        <x:v>33.08</x:v>
      </x:c>
      <x:c r="J200" s="15" t="n">
        <x:v>0</x:v>
      </x:c>
      <x:c r="K200" s="15" t="n">
        <x:v>38</x:v>
      </x:c>
      <x:c r="L200" s="15" t="n">
        <x:v>19</x:v>
      </x:c>
      <x:c r="M200" s="15" t="n">
        <x:v>0</x:v>
      </x:c>
      <x:c r="N200" s="15" t="n">
        <x:v>0</x:v>
      </x:c>
      <x:c r="O200" s="15" t="n">
        <x:v>0</x:v>
      </x:c>
      <x:c r="P200" s="15" t="n">
        <x:v>0</x:v>
      </x:c>
      <x:c r="Q200" s="15" t="n">
        <x:v>0</x:v>
      </x:c>
      <x:c r="R200" s="15" t="n">
        <x:v>0</x:v>
      </x:c>
      <x:c r="S200" s="15" t="n">
        <x:v>0</x:v>
      </x:c>
      <x:c r="T200" s="15" t="n">
        <x:v>0</x:v>
      </x:c>
      <x:c r="U200" s="15" t="n">
        <x:v>0</x:v>
      </x:c>
      <x:c r="V200" s="15" t="n">
        <x:v>0</x:v>
      </x:c>
      <x:c r="W200" s="15" t="n">
        <x:v>0</x:v>
      </x:c>
      <x:c r="X200" s="15" t="n">
        <x:v>0</x:v>
      </x:c>
      <x:c r="Y200" s="15" t="n">
        <x:v>0</x:v>
      </x:c>
      <x:c r="Z200" s="15" t="n">
        <x:v>0</x:v>
      </x:c>
      <x:c r="AA200" s="15" t="n">
        <x:v>0</x:v>
      </x:c>
      <x:c r="AB200" s="15" t="n">
        <x:f>SUM(G200:AA200)</x:f>
        <x:v>328.08</x:v>
      </x:c>
    </x:row>
    <x:row r="201" ht="36" customHeight="1">
      <x:c r="A201" s="10" t="str">
        <x:v>T-BASE</x:v>
      </x:c>
      <x:c r="B201" s="10" t="str">
        <x:v>TEXT</x:v>
      </x:c>
      <x:c r="C201" s="10" t="str">
        <x:v>TEXT:SYN-F07-06</x:v>
      </x:c>
      <x:c r="D201" s="10" t="str">
        <x:v>TEXT:M3927</x:v>
      </x:c>
      <x:c r="E201" s="15" t="n">
        <x:v>0.39</x:v>
      </x:c>
      <x:c r="F201" s="15" t="str">
        <x:v>요청</x:v>
      </x:c>
      <x:c r="G201" s="15" t="n">
        <x:v>238</x:v>
      </x:c>
      <x:c r="H201" s="15" t="n">
        <x:v>11</x:v>
      </x:c>
      <x:c r="I201" s="15" t="n">
        <x:v>29.42</x:v>
      </x:c>
      <x:c r="J201" s="15" t="n">
        <x:v>0</x:v>
      </x:c>
      <x:c r="K201" s="15" t="n">
        <x:v>0</x:v>
      </x:c>
      <x:c r="L201" s="15" t="n">
        <x:v>0</x:v>
      </x:c>
      <x:c r="M201" s="15" t="n">
        <x:v>0</x:v>
      </x:c>
      <x:c r="N201" s="15" t="n">
        <x:v>0</x:v>
      </x:c>
      <x:c r="O201" s="15" t="n">
        <x:v>0</x:v>
      </x:c>
      <x:c r="P201" s="15" t="n">
        <x:v>0</x:v>
      </x:c>
      <x:c r="Q201" s="15" t="n">
        <x:v>0</x:v>
      </x:c>
      <x:c r="R201" s="15" t="n">
        <x:v>0</x:v>
      </x:c>
      <x:c r="S201" s="15" t="n">
        <x:v>0</x:v>
      </x:c>
      <x:c r="T201" s="15" t="n">
        <x:v>0</x:v>
      </x:c>
      <x:c r="U201" s="15" t="n">
        <x:v>0</x:v>
      </x:c>
      <x:c r="V201" s="15" t="n">
        <x:v>0</x:v>
      </x:c>
      <x:c r="W201" s="15" t="n">
        <x:v>0</x:v>
      </x:c>
      <x:c r="X201" s="15" t="n">
        <x:v>0</x:v>
      </x:c>
      <x:c r="Y201" s="15" t="n">
        <x:v>0</x:v>
      </x:c>
      <x:c r="Z201" s="15" t="n">
        <x:v>0</x:v>
      </x:c>
      <x:c r="AA201" s="15" t="n">
        <x:v>0</x:v>
      </x:c>
      <x:c r="AB201" s="15" t="n">
        <x:f>SUM(G201:AA201)</x:f>
        <x:v>278.42</x:v>
      </x:c>
    </x:row>
    <x:row r="202" ht="36" customHeight="1">
      <x:c r="A202" s="10" t="str">
        <x:v>T-EXEC</x:v>
      </x:c>
      <x:c r="B202" s="10" t="str">
        <x:v>TEXT</x:v>
      </x:c>
      <x:c r="C202" s="10" t="str">
        <x:v>TEXT:SYN-F07-06</x:v>
      </x:c>
      <x:c r="D202" s="10" t="str">
        <x:v>TEXT:M3948</x:v>
      </x:c>
      <x:c r="E202" s="15" t="n">
        <x:v>0.39</x:v>
      </x:c>
      <x:c r="F202" s="15" t="str">
        <x:v>요청</x:v>
      </x:c>
      <x:c r="G202" s="15" t="n">
        <x:v>238</x:v>
      </x:c>
      <x:c r="H202" s="15" t="n">
        <x:v>11</x:v>
      </x:c>
      <x:c r="I202" s="15" t="n">
        <x:v>29.42</x:v>
      </x:c>
      <x:c r="J202" s="15" t="n">
        <x:v>0</x:v>
      </x:c>
      <x:c r="K202" s="15" t="n">
        <x:v>0</x:v>
      </x:c>
      <x:c r="L202" s="15" t="n">
        <x:v>0</x:v>
      </x:c>
      <x:c r="M202" s="15" t="n">
        <x:v>0</x:v>
      </x:c>
      <x:c r="N202" s="15" t="n">
        <x:v>0</x:v>
      </x:c>
      <x:c r="O202" s="15" t="n">
        <x:v>0</x:v>
      </x:c>
      <x:c r="P202" s="15" t="n">
        <x:v>0</x:v>
      </x:c>
      <x:c r="Q202" s="15" t="n">
        <x:v>0</x:v>
      </x:c>
      <x:c r="R202" s="15" t="n">
        <x:v>0</x:v>
      </x:c>
      <x:c r="S202" s="15" t="n">
        <x:v>0</x:v>
      </x:c>
      <x:c r="T202" s="15" t="n">
        <x:v>0</x:v>
      </x:c>
      <x:c r="U202" s="15" t="n">
        <x:v>0</x:v>
      </x:c>
      <x:c r="V202" s="15" t="n">
        <x:v>0</x:v>
      </x:c>
      <x:c r="W202" s="15" t="n">
        <x:v>0</x:v>
      </x:c>
      <x:c r="X202" s="15" t="n">
        <x:v>0</x:v>
      </x:c>
      <x:c r="Y202" s="15" t="n">
        <x:v>0</x:v>
      </x:c>
      <x:c r="Z202" s="15" t="n">
        <x:v>0</x:v>
      </x:c>
      <x:c r="AA202" s="15" t="n">
        <x:v>0</x:v>
      </x:c>
      <x:c r="AB202" s="15" t="n">
        <x:f>SUM(G202:AA202)</x:f>
        <x:v>278.42</x:v>
      </x:c>
    </x:row>
    <x:row r="203" ht="36" customHeight="1">
      <x:c r="A203" s="10" t="str">
        <x:v>T-REL</x:v>
      </x:c>
      <x:c r="B203" s="10" t="str">
        <x:v>TEXT</x:v>
      </x:c>
      <x:c r="C203" s="10" t="str">
        <x:v>TEXT:SYN-F07-06</x:v>
      </x:c>
      <x:c r="D203" s="10" t="str">
        <x:v>TEXT:M3968</x:v>
      </x:c>
      <x:c r="E203" s="15" t="n">
        <x:v>-8</x:v>
      </x:c>
      <x:c r="F203" s="15" t="str">
        <x:v>사전 생산</x:v>
      </x:c>
      <x:c r="G203" s="15" t="n">
        <x:v>238</x:v>
      </x:c>
      <x:c r="H203" s="15" t="n">
        <x:v>0</x:v>
      </x:c>
      <x:c r="I203" s="15" t="n">
        <x:v>33.4</x:v>
      </x:c>
      <x:c r="J203" s="15" t="n">
        <x:v>0</x:v>
      </x:c>
      <x:c r="K203" s="15" t="n">
        <x:v>38</x:v>
      </x:c>
      <x:c r="L203" s="15" t="n">
        <x:v>19</x:v>
      </x:c>
      <x:c r="M203" s="15" t="n">
        <x:v>0</x:v>
      </x:c>
      <x:c r="N203" s="15" t="n">
        <x:v>0</x:v>
      </x:c>
      <x:c r="O203" s="15" t="n">
        <x:v>0</x:v>
      </x:c>
      <x:c r="P203" s="15" t="n">
        <x:v>0</x:v>
      </x:c>
      <x:c r="Q203" s="15" t="n">
        <x:v>0</x:v>
      </x:c>
      <x:c r="R203" s="15" t="n">
        <x:v>0</x:v>
      </x:c>
      <x:c r="S203" s="15" t="n">
        <x:v>0</x:v>
      </x:c>
      <x:c r="T203" s="15" t="n">
        <x:v>0</x:v>
      </x:c>
      <x:c r="U203" s="15" t="n">
        <x:v>0</x:v>
      </x:c>
      <x:c r="V203" s="15" t="n">
        <x:v>0</x:v>
      </x:c>
      <x:c r="W203" s="15" t="n">
        <x:v>0</x:v>
      </x:c>
      <x:c r="X203" s="15" t="n">
        <x:v>0</x:v>
      </x:c>
      <x:c r="Y203" s="15" t="n">
        <x:v>0</x:v>
      </x:c>
      <x:c r="Z203" s="15" t="n">
        <x:v>0</x:v>
      </x:c>
      <x:c r="AA203" s="15" t="n">
        <x:v>0</x:v>
      </x:c>
      <x:c r="AB203" s="15" t="n">
        <x:f>SUM(G203:AA203)</x:f>
        <x:v>328.4</x:v>
      </x:c>
    </x:row>
    <x:row r="204" ht="36" customHeight="1">
      <x:c r="A204" s="10" t="str">
        <x:v>T-BASE</x:v>
      </x:c>
      <x:c r="B204" s="10" t="str">
        <x:v>TEXT</x:v>
      </x:c>
      <x:c r="C204" s="10" t="str">
        <x:v>TEXT:SYN-F07-07</x:v>
      </x:c>
      <x:c r="D204" s="10" t="str">
        <x:v>TEXT:M3994</x:v>
      </x:c>
      <x:c r="E204" s="15" t="n">
        <x:v>0.34</x:v>
      </x:c>
      <x:c r="F204" s="15" t="str">
        <x:v>요청</x:v>
      </x:c>
      <x:c r="G204" s="15" t="n">
        <x:v>238</x:v>
      </x:c>
      <x:c r="H204" s="15" t="n">
        <x:v>11</x:v>
      </x:c>
      <x:c r="I204" s="15" t="n">
        <x:v>29.512</x:v>
      </x:c>
      <x:c r="J204" s="15" t="n">
        <x:v>0</x:v>
      </x:c>
      <x:c r="K204" s="15" t="n">
        <x:v>0</x:v>
      </x:c>
      <x:c r="L204" s="15" t="n">
        <x:v>0</x:v>
      </x:c>
      <x:c r="M204" s="15" t="n">
        <x:v>0</x:v>
      </x:c>
      <x:c r="N204" s="15" t="n">
        <x:v>0</x:v>
      </x:c>
      <x:c r="O204" s="15" t="n">
        <x:v>0</x:v>
      </x:c>
      <x:c r="P204" s="15" t="n">
        <x:v>0</x:v>
      </x:c>
      <x:c r="Q204" s="15" t="n">
        <x:v>0</x:v>
      </x:c>
      <x:c r="R204" s="15" t="n">
        <x:v>0</x:v>
      </x:c>
      <x:c r="S204" s="15" t="n">
        <x:v>0</x:v>
      </x:c>
      <x:c r="T204" s="15" t="n">
        <x:v>0</x:v>
      </x:c>
      <x:c r="U204" s="15" t="n">
        <x:v>0</x:v>
      </x:c>
      <x:c r="V204" s="15" t="n">
        <x:v>0</x:v>
      </x:c>
      <x:c r="W204" s="15" t="n">
        <x:v>0</x:v>
      </x:c>
      <x:c r="X204" s="15" t="n">
        <x:v>0</x:v>
      </x:c>
      <x:c r="Y204" s="15" t="n">
        <x:v>0</x:v>
      </x:c>
      <x:c r="Z204" s="15" t="n">
        <x:v>0</x:v>
      </x:c>
      <x:c r="AA204" s="15" t="n">
        <x:v>0</x:v>
      </x:c>
      <x:c r="AB204" s="15" t="n">
        <x:f>SUM(G204:AA204)</x:f>
        <x:v>278.512</x:v>
      </x:c>
    </x:row>
    <x:row r="205" ht="36" customHeight="1">
      <x:c r="A205" s="10" t="str">
        <x:v>T-EXEC</x:v>
      </x:c>
      <x:c r="B205" s="10" t="str">
        <x:v>TEXT</x:v>
      </x:c>
      <x:c r="C205" s="10" t="str">
        <x:v>TEXT:SYN-F07-07</x:v>
      </x:c>
      <x:c r="D205" s="10" t="str">
        <x:v>TEXT:M4015</x:v>
      </x:c>
      <x:c r="E205" s="15" t="n">
        <x:v>0.34</x:v>
      </x:c>
      <x:c r="F205" s="15" t="str">
        <x:v>요청</x:v>
      </x:c>
      <x:c r="G205" s="15" t="n">
        <x:v>238</x:v>
      </x:c>
      <x:c r="H205" s="15" t="n">
        <x:v>11</x:v>
      </x:c>
      <x:c r="I205" s="15" t="n">
        <x:v>29.512</x:v>
      </x:c>
      <x:c r="J205" s="15" t="n">
        <x:v>0</x:v>
      </x:c>
      <x:c r="K205" s="15" t="n">
        <x:v>0</x:v>
      </x:c>
      <x:c r="L205" s="15" t="n">
        <x:v>0</x:v>
      </x:c>
      <x:c r="M205" s="15" t="n">
        <x:v>0</x:v>
      </x:c>
      <x:c r="N205" s="15" t="n">
        <x:v>0</x:v>
      </x:c>
      <x:c r="O205" s="15" t="n">
        <x:v>0</x:v>
      </x:c>
      <x:c r="P205" s="15" t="n">
        <x:v>0</x:v>
      </x:c>
      <x:c r="Q205" s="15" t="n">
        <x:v>0</x:v>
      </x:c>
      <x:c r="R205" s="15" t="n">
        <x:v>0</x:v>
      </x:c>
      <x:c r="S205" s="15" t="n">
        <x:v>0</x:v>
      </x:c>
      <x:c r="T205" s="15" t="n">
        <x:v>0</x:v>
      </x:c>
      <x:c r="U205" s="15" t="n">
        <x:v>0</x:v>
      </x:c>
      <x:c r="V205" s="15" t="n">
        <x:v>0</x:v>
      </x:c>
      <x:c r="W205" s="15" t="n">
        <x:v>0</x:v>
      </x:c>
      <x:c r="X205" s="15" t="n">
        <x:v>0</x:v>
      </x:c>
      <x:c r="Y205" s="15" t="n">
        <x:v>0</x:v>
      </x:c>
      <x:c r="Z205" s="15" t="n">
        <x:v>0</x:v>
      </x:c>
      <x:c r="AA205" s="15" t="n">
        <x:v>0</x:v>
      </x:c>
      <x:c r="AB205" s="15" t="n">
        <x:f>SUM(G205:AA205)</x:f>
        <x:v>278.512</x:v>
      </x:c>
    </x:row>
    <x:row r="206" ht="36" customHeight="1">
      <x:c r="A206" s="10" t="str">
        <x:v>T-REL</x:v>
      </x:c>
      <x:c r="B206" s="10" t="str">
        <x:v>TEXT</x:v>
      </x:c>
      <x:c r="C206" s="10" t="str">
        <x:v>TEXT:SYN-F07-07</x:v>
      </x:c>
      <x:c r="D206" s="10" t="str">
        <x:v>TEXT:M4035</x:v>
      </x:c>
      <x:c r="E206" s="15" t="n">
        <x:v>-8</x:v>
      </x:c>
      <x:c r="F206" s="15" t="str">
        <x:v>사전 생산</x:v>
      </x:c>
      <x:c r="G206" s="15" t="n">
        <x:v>238</x:v>
      </x:c>
      <x:c r="H206" s="15" t="n">
        <x:v>0</x:v>
      </x:c>
      <x:c r="I206" s="15" t="n">
        <x:v>33.72</x:v>
      </x:c>
      <x:c r="J206" s="15" t="n">
        <x:v>0</x:v>
      </x:c>
      <x:c r="K206" s="15" t="n">
        <x:v>38</x:v>
      </x:c>
      <x:c r="L206" s="15" t="n">
        <x:v>19</x:v>
      </x:c>
      <x:c r="M206" s="15" t="n">
        <x:v>0</x:v>
      </x:c>
      <x:c r="N206" s="15" t="n">
        <x:v>0</x:v>
      </x:c>
      <x:c r="O206" s="15" t="n">
        <x:v>0</x:v>
      </x:c>
      <x:c r="P206" s="15" t="n">
        <x:v>0</x:v>
      </x:c>
      <x:c r="Q206" s="15" t="n">
        <x:v>0</x:v>
      </x:c>
      <x:c r="R206" s="15" t="n">
        <x:v>0</x:v>
      </x:c>
      <x:c r="S206" s="15" t="n">
        <x:v>0</x:v>
      </x:c>
      <x:c r="T206" s="15" t="n">
        <x:v>0</x:v>
      </x:c>
      <x:c r="U206" s="15" t="n">
        <x:v>0</x:v>
      </x:c>
      <x:c r="V206" s="15" t="n">
        <x:v>0</x:v>
      </x:c>
      <x:c r="W206" s="15" t="n">
        <x:v>0</x:v>
      </x:c>
      <x:c r="X206" s="15" t="n">
        <x:v>0</x:v>
      </x:c>
      <x:c r="Y206" s="15" t="n">
        <x:v>0</x:v>
      </x:c>
      <x:c r="Z206" s="15" t="n">
        <x:v>0</x:v>
      </x:c>
      <x:c r="AA206" s="15" t="n">
        <x:v>0</x:v>
      </x:c>
      <x:c r="AB206" s="15" t="n">
        <x:f>SUM(G206:AA206)</x:f>
        <x:v>328.72</x:v>
      </x:c>
    </x:row>
    <x:row r="207" ht="36" customHeight="1">
      <x:c r="A207" s="10" t="str">
        <x:v>T-BASE</x:v>
      </x:c>
      <x:c r="B207" s="10" t="str">
        <x:v>TEXT</x:v>
      </x:c>
      <x:c r="C207" s="10" t="str">
        <x:v>TEXT:SYN-F07-08</x:v>
      </x:c>
      <x:c r="D207" s="10" t="str">
        <x:v>TEXT:M4061</x:v>
      </x:c>
      <x:c r="E207" s="15" t="n">
        <x:v>0.365</x:v>
      </x:c>
      <x:c r="F207" s="15" t="str">
        <x:v>요청</x:v>
      </x:c>
      <x:c r="G207" s="15" t="n">
        <x:v>238</x:v>
      </x:c>
      <x:c r="H207" s="15" t="n">
        <x:v>11</x:v>
      </x:c>
      <x:c r="I207" s="15" t="n">
        <x:v>29.604</x:v>
      </x:c>
      <x:c r="J207" s="15" t="n">
        <x:v>0</x:v>
      </x:c>
      <x:c r="K207" s="15" t="n">
        <x:v>0</x:v>
      </x:c>
      <x:c r="L207" s="15" t="n">
        <x:v>0</x:v>
      </x:c>
      <x:c r="M207" s="15" t="n">
        <x:v>0</x:v>
      </x:c>
      <x:c r="N207" s="15" t="n">
        <x:v>0</x:v>
      </x:c>
      <x:c r="O207" s="15" t="n">
        <x:v>0</x:v>
      </x:c>
      <x:c r="P207" s="15" t="n">
        <x:v>0</x:v>
      </x:c>
      <x:c r="Q207" s="15" t="n">
        <x:v>0</x:v>
      </x:c>
      <x:c r="R207" s="15" t="n">
        <x:v>0</x:v>
      </x:c>
      <x:c r="S207" s="15" t="n">
        <x:v>0</x:v>
      </x:c>
      <x:c r="T207" s="15" t="n">
        <x:v>0</x:v>
      </x:c>
      <x:c r="U207" s="15" t="n">
        <x:v>0</x:v>
      </x:c>
      <x:c r="V207" s="15" t="n">
        <x:v>0</x:v>
      </x:c>
      <x:c r="W207" s="15" t="n">
        <x:v>0</x:v>
      </x:c>
      <x:c r="X207" s="15" t="n">
        <x:v>0</x:v>
      </x:c>
      <x:c r="Y207" s="15" t="n">
        <x:v>0</x:v>
      </x:c>
      <x:c r="Z207" s="15" t="n">
        <x:v>0</x:v>
      </x:c>
      <x:c r="AA207" s="15" t="n">
        <x:v>0</x:v>
      </x:c>
      <x:c r="AB207" s="15" t="n">
        <x:f>SUM(G207:AA207)</x:f>
        <x:v>278.604</x:v>
      </x:c>
    </x:row>
    <x:row r="208" ht="36" customHeight="1">
      <x:c r="A208" s="10" t="str">
        <x:v>T-EXEC</x:v>
      </x:c>
      <x:c r="B208" s="10" t="str">
        <x:v>TEXT</x:v>
      </x:c>
      <x:c r="C208" s="10" t="str">
        <x:v>TEXT:SYN-F07-08</x:v>
      </x:c>
      <x:c r="D208" s="10" t="str">
        <x:v>TEXT:M4082</x:v>
      </x:c>
      <x:c r="E208" s="15" t="n">
        <x:v>0.365</x:v>
      </x:c>
      <x:c r="F208" s="15" t="str">
        <x:v>요청</x:v>
      </x:c>
      <x:c r="G208" s="15" t="n">
        <x:v>238</x:v>
      </x:c>
      <x:c r="H208" s="15" t="n">
        <x:v>11</x:v>
      </x:c>
      <x:c r="I208" s="15" t="n">
        <x:v>29.604</x:v>
      </x:c>
      <x:c r="J208" s="15" t="n">
        <x:v>0</x:v>
      </x:c>
      <x:c r="K208" s="15" t="n">
        <x:v>0</x:v>
      </x:c>
      <x:c r="L208" s="15" t="n">
        <x:v>0</x:v>
      </x:c>
      <x:c r="M208" s="15" t="n">
        <x:v>0</x:v>
      </x:c>
      <x:c r="N208" s="15" t="n">
        <x:v>0</x:v>
      </x:c>
      <x:c r="O208" s="15" t="n">
        <x:v>0</x:v>
      </x:c>
      <x:c r="P208" s="15" t="n">
        <x:v>0</x:v>
      </x:c>
      <x:c r="Q208" s="15" t="n">
        <x:v>0</x:v>
      </x:c>
      <x:c r="R208" s="15" t="n">
        <x:v>0</x:v>
      </x:c>
      <x:c r="S208" s="15" t="n">
        <x:v>0</x:v>
      </x:c>
      <x:c r="T208" s="15" t="n">
        <x:v>0</x:v>
      </x:c>
      <x:c r="U208" s="15" t="n">
        <x:v>0</x:v>
      </x:c>
      <x:c r="V208" s="15" t="n">
        <x:v>0</x:v>
      </x:c>
      <x:c r="W208" s="15" t="n">
        <x:v>0</x:v>
      </x:c>
      <x:c r="X208" s="15" t="n">
        <x:v>0</x:v>
      </x:c>
      <x:c r="Y208" s="15" t="n">
        <x:v>0</x:v>
      </x:c>
      <x:c r="Z208" s="15" t="n">
        <x:v>0</x:v>
      </x:c>
      <x:c r="AA208" s="15" t="n">
        <x:v>0</x:v>
      </x:c>
      <x:c r="AB208" s="15" t="n">
        <x:f>SUM(G208:AA208)</x:f>
        <x:v>278.604</x:v>
      </x:c>
    </x:row>
    <x:row r="209" ht="36" customHeight="1">
      <x:c r="A209" s="10" t="str">
        <x:v>T-REL</x:v>
      </x:c>
      <x:c r="B209" s="10" t="str">
        <x:v>TEXT</x:v>
      </x:c>
      <x:c r="C209" s="10" t="str">
        <x:v>TEXT:SYN-F07-08</x:v>
      </x:c>
      <x:c r="D209" s="10" t="str">
        <x:v>TEXT:M4102</x:v>
      </x:c>
      <x:c r="E209" s="15" t="n">
        <x:v>-8</x:v>
      </x:c>
      <x:c r="F209" s="15" t="str">
        <x:v>사전 생산</x:v>
      </x:c>
      <x:c r="G209" s="15" t="n">
        <x:v>238</x:v>
      </x:c>
      <x:c r="H209" s="15" t="n">
        <x:v>0</x:v>
      </x:c>
      <x:c r="I209" s="15" t="n">
        <x:v>34.04</x:v>
      </x:c>
      <x:c r="J209" s="15" t="n">
        <x:v>0</x:v>
      </x:c>
      <x:c r="K209" s="15" t="n">
        <x:v>38</x:v>
      </x:c>
      <x:c r="L209" s="15" t="n">
        <x:v>19</x:v>
      </x:c>
      <x:c r="M209" s="15" t="n">
        <x:v>0</x:v>
      </x:c>
      <x:c r="N209" s="15" t="n">
        <x:v>0</x:v>
      </x:c>
      <x:c r="O209" s="15" t="n">
        <x:v>0</x:v>
      </x:c>
      <x:c r="P209" s="15" t="n">
        <x:v>0</x:v>
      </x:c>
      <x:c r="Q209" s="15" t="n">
        <x:v>0</x:v>
      </x:c>
      <x:c r="R209" s="15" t="n">
        <x:v>0</x:v>
      </x:c>
      <x:c r="S209" s="15" t="n">
        <x:v>0</x:v>
      </x:c>
      <x:c r="T209" s="15" t="n">
        <x:v>0</x:v>
      </x:c>
      <x:c r="U209" s="15" t="n">
        <x:v>0</x:v>
      </x:c>
      <x:c r="V209" s="15" t="n">
        <x:v>0</x:v>
      </x:c>
      <x:c r="W209" s="15" t="n">
        <x:v>0</x:v>
      </x:c>
      <x:c r="X209" s="15" t="n">
        <x:v>0</x:v>
      </x:c>
      <x:c r="Y209" s="15" t="n">
        <x:v>0</x:v>
      </x:c>
      <x:c r="Z209" s="15" t="n">
        <x:v>0</x:v>
      </x:c>
      <x:c r="AA209" s="15" t="n">
        <x:v>0</x:v>
      </x:c>
      <x:c r="AB209" s="15" t="n">
        <x:f>SUM(G209:AA209)</x:f>
        <x:v>329.04</x:v>
      </x:c>
    </x:row>
    <x:row r="210" ht="36" customHeight="1">
      <x:c r="A210" s="10" t="str">
        <x:v>T-BASE</x:v>
      </x:c>
      <x:c r="B210" s="10" t="str">
        <x:v>TEXT</x:v>
      </x:c>
      <x:c r="C210" s="10" t="str">
        <x:v>TEXT:SYN-F07-09</x:v>
      </x:c>
      <x:c r="D210" s="10" t="str">
        <x:v>TEXT:M4128</x:v>
      </x:c>
      <x:c r="E210" s="15" t="n">
        <x:v>0.39</x:v>
      </x:c>
      <x:c r="F210" s="15" t="str">
        <x:v>요청</x:v>
      </x:c>
      <x:c r="G210" s="15" t="n">
        <x:v>238</x:v>
      </x:c>
      <x:c r="H210" s="15" t="n">
        <x:v>11</x:v>
      </x:c>
      <x:c r="I210" s="15" t="n">
        <x:v>29.696</x:v>
      </x:c>
      <x:c r="J210" s="15" t="n">
        <x:v>0</x:v>
      </x:c>
      <x:c r="K210" s="15" t="n">
        <x:v>0</x:v>
      </x:c>
      <x:c r="L210" s="15" t="n">
        <x:v>0</x:v>
      </x:c>
      <x:c r="M210" s="15" t="n">
        <x:v>0</x:v>
      </x:c>
      <x:c r="N210" s="15" t="n">
        <x:v>0</x:v>
      </x:c>
      <x:c r="O210" s="15" t="n">
        <x:v>0</x:v>
      </x:c>
      <x:c r="P210" s="15" t="n">
        <x:v>0</x:v>
      </x:c>
      <x:c r="Q210" s="15" t="n">
        <x:v>0</x:v>
      </x:c>
      <x:c r="R210" s="15" t="n">
        <x:v>0</x:v>
      </x:c>
      <x:c r="S210" s="15" t="n">
        <x:v>0</x:v>
      </x:c>
      <x:c r="T210" s="15" t="n">
        <x:v>0</x:v>
      </x:c>
      <x:c r="U210" s="15" t="n">
        <x:v>0</x:v>
      </x:c>
      <x:c r="V210" s="15" t="n">
        <x:v>0</x:v>
      </x:c>
      <x:c r="W210" s="15" t="n">
        <x:v>0</x:v>
      </x:c>
      <x:c r="X210" s="15" t="n">
        <x:v>0</x:v>
      </x:c>
      <x:c r="Y210" s="15" t="n">
        <x:v>0</x:v>
      </x:c>
      <x:c r="Z210" s="15" t="n">
        <x:v>0</x:v>
      </x:c>
      <x:c r="AA210" s="15" t="n">
        <x:v>0</x:v>
      </x:c>
      <x:c r="AB210" s="15" t="n">
        <x:f>SUM(G210:AA210)</x:f>
        <x:v>278.696</x:v>
      </x:c>
    </x:row>
    <x:row r="211" ht="36" customHeight="1">
      <x:c r="A211" s="10" t="str">
        <x:v>T-EXEC</x:v>
      </x:c>
      <x:c r="B211" s="10" t="str">
        <x:v>TEXT</x:v>
      </x:c>
      <x:c r="C211" s="10" t="str">
        <x:v>TEXT:SYN-F07-09</x:v>
      </x:c>
      <x:c r="D211" s="10" t="str">
        <x:v>TEXT:M4149</x:v>
      </x:c>
      <x:c r="E211" s="15" t="n">
        <x:v>0.39</x:v>
      </x:c>
      <x:c r="F211" s="15" t="str">
        <x:v>요청</x:v>
      </x:c>
      <x:c r="G211" s="15" t="n">
        <x:v>238</x:v>
      </x:c>
      <x:c r="H211" s="15" t="n">
        <x:v>11</x:v>
      </x:c>
      <x:c r="I211" s="15" t="n">
        <x:v>29.696</x:v>
      </x:c>
      <x:c r="J211" s="15" t="n">
        <x:v>0</x:v>
      </x:c>
      <x:c r="K211" s="15" t="n">
        <x:v>0</x:v>
      </x:c>
      <x:c r="L211" s="15" t="n">
        <x:v>0</x:v>
      </x:c>
      <x:c r="M211" s="15" t="n">
        <x:v>0</x:v>
      </x:c>
      <x:c r="N211" s="15" t="n">
        <x:v>0</x:v>
      </x:c>
      <x:c r="O211" s="15" t="n">
        <x:v>0</x:v>
      </x:c>
      <x:c r="P211" s="15" t="n">
        <x:v>0</x:v>
      </x:c>
      <x:c r="Q211" s="15" t="n">
        <x:v>0</x:v>
      </x:c>
      <x:c r="R211" s="15" t="n">
        <x:v>0</x:v>
      </x:c>
      <x:c r="S211" s="15" t="n">
        <x:v>0</x:v>
      </x:c>
      <x:c r="T211" s="15" t="n">
        <x:v>0</x:v>
      </x:c>
      <x:c r="U211" s="15" t="n">
        <x:v>0</x:v>
      </x:c>
      <x:c r="V211" s="15" t="n">
        <x:v>0</x:v>
      </x:c>
      <x:c r="W211" s="15" t="n">
        <x:v>0</x:v>
      </x:c>
      <x:c r="X211" s="15" t="n">
        <x:v>0</x:v>
      </x:c>
      <x:c r="Y211" s="15" t="n">
        <x:v>0</x:v>
      </x:c>
      <x:c r="Z211" s="15" t="n">
        <x:v>0</x:v>
      </x:c>
      <x:c r="AA211" s="15" t="n">
        <x:v>0</x:v>
      </x:c>
      <x:c r="AB211" s="15" t="n">
        <x:f>SUM(G211:AA211)</x:f>
        <x:v>278.696</x:v>
      </x:c>
    </x:row>
    <x:row r="212" ht="36" customHeight="1">
      <x:c r="A212" s="10" t="str">
        <x:v>T-REL</x:v>
      </x:c>
      <x:c r="B212" s="10" t="str">
        <x:v>TEXT</x:v>
      </x:c>
      <x:c r="C212" s="10" t="str">
        <x:v>TEXT:SYN-F07-09</x:v>
      </x:c>
      <x:c r="D212" s="10" t="str">
        <x:v>TEXT:M4169</x:v>
      </x:c>
      <x:c r="E212" s="15" t="n">
        <x:v>-8</x:v>
      </x:c>
      <x:c r="F212" s="15" t="str">
        <x:v>사전 생산</x:v>
      </x:c>
      <x:c r="G212" s="15" t="n">
        <x:v>238</x:v>
      </x:c>
      <x:c r="H212" s="15" t="n">
        <x:v>0</x:v>
      </x:c>
      <x:c r="I212" s="15" t="n">
        <x:v>34.36</x:v>
      </x:c>
      <x:c r="J212" s="15" t="n">
        <x:v>0</x:v>
      </x:c>
      <x:c r="K212" s="15" t="n">
        <x:v>38</x:v>
      </x:c>
      <x:c r="L212" s="15" t="n">
        <x:v>19</x:v>
      </x:c>
      <x:c r="M212" s="15" t="n">
        <x:v>0</x:v>
      </x:c>
      <x:c r="N212" s="15" t="n">
        <x:v>0</x:v>
      </x:c>
      <x:c r="O212" s="15" t="n">
        <x:v>0</x:v>
      </x:c>
      <x:c r="P212" s="15" t="n">
        <x:v>0</x:v>
      </x:c>
      <x:c r="Q212" s="15" t="n">
        <x:v>0</x:v>
      </x:c>
      <x:c r="R212" s="15" t="n">
        <x:v>0</x:v>
      </x:c>
      <x:c r="S212" s="15" t="n">
        <x:v>0</x:v>
      </x:c>
      <x:c r="T212" s="15" t="n">
        <x:v>0</x:v>
      </x:c>
      <x:c r="U212" s="15" t="n">
        <x:v>0</x:v>
      </x:c>
      <x:c r="V212" s="15" t="n">
        <x:v>0</x:v>
      </x:c>
      <x:c r="W212" s="15" t="n">
        <x:v>0</x:v>
      </x:c>
      <x:c r="X212" s="15" t="n">
        <x:v>0</x:v>
      </x:c>
      <x:c r="Y212" s="15" t="n">
        <x:v>0</x:v>
      </x:c>
      <x:c r="Z212" s="15" t="n">
        <x:v>0</x:v>
      </x:c>
      <x:c r="AA212" s="15" t="n">
        <x:v>0</x:v>
      </x:c>
      <x:c r="AB212" s="15" t="n">
        <x:f>SUM(G212:AA212)</x:f>
        <x:v>329.36</x:v>
      </x:c>
    </x:row>
    <x:row r="213" ht="36" customHeight="1">
      <x:c r="A213" s="10" t="str">
        <x:v>T-BASE</x:v>
      </x:c>
      <x:c r="B213" s="10" t="str">
        <x:v>TEXT</x:v>
      </x:c>
      <x:c r="C213" s="10" t="str">
        <x:v>TEXT:SYN-F07-10</x:v>
      </x:c>
      <x:c r="D213" s="10" t="str">
        <x:v>TEXT:M4195</x:v>
      </x:c>
      <x:c r="E213" s="15" t="n">
        <x:v>0.34</x:v>
      </x:c>
      <x:c r="F213" s="15" t="str">
        <x:v>요청</x:v>
      </x:c>
      <x:c r="G213" s="15" t="n">
        <x:v>238</x:v>
      </x:c>
      <x:c r="H213" s="15" t="n">
        <x:v>11</x:v>
      </x:c>
      <x:c r="I213" s="15" t="n">
        <x:v>29.788</x:v>
      </x:c>
      <x:c r="J213" s="15" t="n">
        <x:v>0</x:v>
      </x:c>
      <x:c r="K213" s="15" t="n">
        <x:v>0</x:v>
      </x:c>
      <x:c r="L213" s="15" t="n">
        <x:v>0</x:v>
      </x:c>
      <x:c r="M213" s="15" t="n">
        <x:v>0</x:v>
      </x:c>
      <x:c r="N213" s="15" t="n">
        <x:v>0</x:v>
      </x:c>
      <x:c r="O213" s="15" t="n">
        <x:v>0</x:v>
      </x:c>
      <x:c r="P213" s="15" t="n">
        <x:v>0</x:v>
      </x:c>
      <x:c r="Q213" s="15" t="n">
        <x:v>0</x:v>
      </x:c>
      <x:c r="R213" s="15" t="n">
        <x:v>0</x:v>
      </x:c>
      <x:c r="S213" s="15" t="n">
        <x:v>0</x:v>
      </x:c>
      <x:c r="T213" s="15" t="n">
        <x:v>0</x:v>
      </x:c>
      <x:c r="U213" s="15" t="n">
        <x:v>0</x:v>
      </x:c>
      <x:c r="V213" s="15" t="n">
        <x:v>0</x:v>
      </x:c>
      <x:c r="W213" s="15" t="n">
        <x:v>0</x:v>
      </x:c>
      <x:c r="X213" s="15" t="n">
        <x:v>0</x:v>
      </x:c>
      <x:c r="Y213" s="15" t="n">
        <x:v>0</x:v>
      </x:c>
      <x:c r="Z213" s="15" t="n">
        <x:v>0</x:v>
      </x:c>
      <x:c r="AA213" s="15" t="n">
        <x:v>0</x:v>
      </x:c>
      <x:c r="AB213" s="15" t="n">
        <x:f>SUM(G213:AA213)</x:f>
        <x:v>278.788</x:v>
      </x:c>
    </x:row>
    <x:row r="214" ht="36" customHeight="1">
      <x:c r="A214" s="10" t="str">
        <x:v>T-EXEC</x:v>
      </x:c>
      <x:c r="B214" s="10" t="str">
        <x:v>TEXT</x:v>
      </x:c>
      <x:c r="C214" s="10" t="str">
        <x:v>TEXT:SYN-F07-10</x:v>
      </x:c>
      <x:c r="D214" s="10" t="str">
        <x:v>TEXT:M4216</x:v>
      </x:c>
      <x:c r="E214" s="15" t="n">
        <x:v>0.34</x:v>
      </x:c>
      <x:c r="F214" s="15" t="str">
        <x:v>요청</x:v>
      </x:c>
      <x:c r="G214" s="15" t="n">
        <x:v>238</x:v>
      </x:c>
      <x:c r="H214" s="15" t="n">
        <x:v>11</x:v>
      </x:c>
      <x:c r="I214" s="15" t="n">
        <x:v>29.788</x:v>
      </x:c>
      <x:c r="J214" s="15" t="n">
        <x:v>0</x:v>
      </x:c>
      <x:c r="K214" s="15" t="n">
        <x:v>0</x:v>
      </x:c>
      <x:c r="L214" s="15" t="n">
        <x:v>0</x:v>
      </x:c>
      <x:c r="M214" s="15" t="n">
        <x:v>0</x:v>
      </x:c>
      <x:c r="N214" s="15" t="n">
        <x:v>0</x:v>
      </x:c>
      <x:c r="O214" s="15" t="n">
        <x:v>0</x:v>
      </x:c>
      <x:c r="P214" s="15" t="n">
        <x:v>0</x:v>
      </x:c>
      <x:c r="Q214" s="15" t="n">
        <x:v>0</x:v>
      </x:c>
      <x:c r="R214" s="15" t="n">
        <x:v>0</x:v>
      </x:c>
      <x:c r="S214" s="15" t="n">
        <x:v>0</x:v>
      </x:c>
      <x:c r="T214" s="15" t="n">
        <x:v>0</x:v>
      </x:c>
      <x:c r="U214" s="15" t="n">
        <x:v>0</x:v>
      </x:c>
      <x:c r="V214" s="15" t="n">
        <x:v>0</x:v>
      </x:c>
      <x:c r="W214" s="15" t="n">
        <x:v>0</x:v>
      </x:c>
      <x:c r="X214" s="15" t="n">
        <x:v>0</x:v>
      </x:c>
      <x:c r="Y214" s="15" t="n">
        <x:v>0</x:v>
      </x:c>
      <x:c r="Z214" s="15" t="n">
        <x:v>0</x:v>
      </x:c>
      <x:c r="AA214" s="15" t="n">
        <x:v>0</x:v>
      </x:c>
      <x:c r="AB214" s="15" t="n">
        <x:f>SUM(G214:AA214)</x:f>
        <x:v>278.788</x:v>
      </x:c>
    </x:row>
    <x:row r="215" ht="36" customHeight="1">
      <x:c r="A215" s="10" t="str">
        <x:v>T-REL</x:v>
      </x:c>
      <x:c r="B215" s="10" t="str">
        <x:v>TEXT</x:v>
      </x:c>
      <x:c r="C215" s="10" t="str">
        <x:v>TEXT:SYN-F07-10</x:v>
      </x:c>
      <x:c r="D215" s="10" t="str">
        <x:v>TEXT:M4236</x:v>
      </x:c>
      <x:c r="E215" s="15" t="n">
        <x:v>-8</x:v>
      </x:c>
      <x:c r="F215" s="15" t="str">
        <x:v>사전 생산</x:v>
      </x:c>
      <x:c r="G215" s="15" t="n">
        <x:v>238</x:v>
      </x:c>
      <x:c r="H215" s="15" t="n">
        <x:v>0</x:v>
      </x:c>
      <x:c r="I215" s="15" t="n">
        <x:v>34.68</x:v>
      </x:c>
      <x:c r="J215" s="15" t="n">
        <x:v>0</x:v>
      </x:c>
      <x:c r="K215" s="15" t="n">
        <x:v>38</x:v>
      </x:c>
      <x:c r="L215" s="15" t="n">
        <x:v>19</x:v>
      </x:c>
      <x:c r="M215" s="15" t="n">
        <x:v>0</x:v>
      </x:c>
      <x:c r="N215" s="15" t="n">
        <x:v>0</x:v>
      </x:c>
      <x:c r="O215" s="15" t="n">
        <x:v>0</x:v>
      </x:c>
      <x:c r="P215" s="15" t="n">
        <x:v>0</x:v>
      </x:c>
      <x:c r="Q215" s="15" t="n">
        <x:v>0</x:v>
      </x:c>
      <x:c r="R215" s="15" t="n">
        <x:v>0</x:v>
      </x:c>
      <x:c r="S215" s="15" t="n">
        <x:v>0</x:v>
      </x:c>
      <x:c r="T215" s="15" t="n">
        <x:v>0</x:v>
      </x:c>
      <x:c r="U215" s="15" t="n">
        <x:v>0</x:v>
      </x:c>
      <x:c r="V215" s="15" t="n">
        <x:v>0</x:v>
      </x:c>
      <x:c r="W215" s="15" t="n">
        <x:v>0</x:v>
      </x:c>
      <x:c r="X215" s="15" t="n">
        <x:v>0</x:v>
      </x:c>
      <x:c r="Y215" s="15" t="n">
        <x:v>0</x:v>
      </x:c>
      <x:c r="Z215" s="15" t="n">
        <x:v>0</x:v>
      </x:c>
      <x:c r="AA215" s="15" t="n">
        <x:v>0</x:v>
      </x:c>
      <x:c r="AB215" s="15" t="n">
        <x:f>SUM(G215:AA215)</x:f>
        <x:v>329.68</x:v>
      </x:c>
    </x:row>
    <x:row r="216" ht="36" customHeight="1">
      <x:c r="A216" s="10" t="str">
        <x:v>T-BASE</x:v>
      </x:c>
      <x:c r="B216" s="10" t="str">
        <x:v>TEXT</x:v>
      </x:c>
      <x:c r="C216" s="10" t="str">
        <x:v>TEXT:SYN-F08-01</x:v>
      </x:c>
      <x:c r="D216" s="10" t="str">
        <x:v>TEXT:M4262</x:v>
      </x:c>
      <x:c r="E216" s="15" t="n">
        <x:v>0.16</x:v>
      </x:c>
      <x:c r="F216" s="15" t="str">
        <x:v>요청</x:v>
      </x:c>
      <x:c r="G216" s="15" t="n">
        <x:v>238</x:v>
      </x:c>
      <x:c r="H216" s="15" t="n">
        <x:v>11</x:v>
      </x:c>
      <x:c r="I216" s="15" t="n">
        <x:v>19.2</x:v>
      </x:c>
      <x:c r="J216" s="15" t="n">
        <x:v>0</x:v>
      </x:c>
      <x:c r="K216" s="15" t="n">
        <x:v>0</x:v>
      </x:c>
      <x:c r="L216" s="15" t="n">
        <x:v>0</x:v>
      </x:c>
      <x:c r="M216" s="15" t="n">
        <x:v>0</x:v>
      </x:c>
      <x:c r="N216" s="15" t="n">
        <x:v>0</x:v>
      </x:c>
      <x:c r="O216" s="15" t="n">
        <x:v>0</x:v>
      </x:c>
      <x:c r="P216" s="15" t="n">
        <x:v>0</x:v>
      </x:c>
      <x:c r="Q216" s="15" t="n">
        <x:v>0</x:v>
      </x:c>
      <x:c r="R216" s="15" t="n">
        <x:v>0</x:v>
      </x:c>
      <x:c r="S216" s="15" t="n">
        <x:v>0</x:v>
      </x:c>
      <x:c r="T216" s="15" t="n">
        <x:v>0</x:v>
      </x:c>
      <x:c r="U216" s="15" t="n">
        <x:v>0</x:v>
      </x:c>
      <x:c r="V216" s="15" t="n">
        <x:v>0</x:v>
      </x:c>
      <x:c r="W216" s="15" t="n">
        <x:v>0</x:v>
      </x:c>
      <x:c r="X216" s="15" t="n">
        <x:v>0</x:v>
      </x:c>
      <x:c r="Y216" s="15" t="n">
        <x:v>0</x:v>
      </x:c>
      <x:c r="Z216" s="15" t="n">
        <x:v>0</x:v>
      </x:c>
      <x:c r="AA216" s="15" t="n">
        <x:v>0</x:v>
      </x:c>
      <x:c r="AB216" s="15" t="n">
        <x:f>SUM(G216:AA216)</x:f>
        <x:v>268.2</x:v>
      </x:c>
    </x:row>
    <x:row r="217" ht="36" customHeight="1">
      <x:c r="A217" s="10" t="str">
        <x:v>T-EXEC</x:v>
      </x:c>
      <x:c r="B217" s="10" t="str">
        <x:v>TEXT</x:v>
      </x:c>
      <x:c r="C217" s="10" t="str">
        <x:v>TEXT:SYN-F08-01</x:v>
      </x:c>
      <x:c r="D217" s="10" t="str">
        <x:v>TEXT:M4281</x:v>
      </x:c>
      <x:c r="E217" s="15" t="n">
        <x:v>0.16</x:v>
      </x:c>
      <x:c r="F217" s="15" t="str">
        <x:v>요청</x:v>
      </x:c>
      <x:c r="G217" s="15" t="n">
        <x:v>238</x:v>
      </x:c>
      <x:c r="H217" s="15" t="n">
        <x:v>11</x:v>
      </x:c>
      <x:c r="I217" s="15" t="n">
        <x:v>19.2</x:v>
      </x:c>
      <x:c r="J217" s="15" t="n">
        <x:v>0</x:v>
      </x:c>
      <x:c r="K217" s="15" t="n">
        <x:v>0</x:v>
      </x:c>
      <x:c r="L217" s="15" t="n">
        <x:v>0</x:v>
      </x:c>
      <x:c r="M217" s="15" t="n">
        <x:v>0</x:v>
      </x:c>
      <x:c r="N217" s="15" t="n">
        <x:v>0</x:v>
      </x:c>
      <x:c r="O217" s="15" t="n">
        <x:v>0</x:v>
      </x:c>
      <x:c r="P217" s="15" t="n">
        <x:v>0</x:v>
      </x:c>
      <x:c r="Q217" s="15" t="n">
        <x:v>0</x:v>
      </x:c>
      <x:c r="R217" s="15" t="n">
        <x:v>0</x:v>
      </x:c>
      <x:c r="S217" s="15" t="n">
        <x:v>0</x:v>
      </x:c>
      <x:c r="T217" s="15" t="n">
        <x:v>0</x:v>
      </x:c>
      <x:c r="U217" s="15" t="n">
        <x:v>0</x:v>
      </x:c>
      <x:c r="V217" s="15" t="n">
        <x:v>0</x:v>
      </x:c>
      <x:c r="W217" s="15" t="n">
        <x:v>0</x:v>
      </x:c>
      <x:c r="X217" s="15" t="n">
        <x:v>0</x:v>
      </x:c>
      <x:c r="Y217" s="15" t="n">
        <x:v>0</x:v>
      </x:c>
      <x:c r="Z217" s="15" t="n">
        <x:v>0</x:v>
      </x:c>
      <x:c r="AA217" s="15" t="n">
        <x:v>0</x:v>
      </x:c>
      <x:c r="AB217" s="15" t="n">
        <x:f>SUM(G217:AA217)</x:f>
        <x:v>268.2</x:v>
      </x:c>
    </x:row>
    <x:row r="218" ht="36" customHeight="1">
      <x:c r="A218" s="10" t="str">
        <x:v>T-REL</x:v>
      </x:c>
      <x:c r="B218" s="10" t="str">
        <x:v>TEXT</x:v>
      </x:c>
      <x:c r="C218" s="10" t="str">
        <x:v>TEXT:SYN-F08-01</x:v>
      </x:c>
      <x:c r="D218" s="10" t="str">
        <x:v>TEXT:M4299</x:v>
      </x:c>
      <x:c r="E218" s="15" t="n">
        <x:v>-8</x:v>
      </x:c>
      <x:c r="F218" s="15" t="str">
        <x:v>사전 생산</x:v>
      </x:c>
      <x:c r="G218" s="15" t="n">
        <x:v>238</x:v>
      </x:c>
      <x:c r="H218" s="15" t="n">
        <x:v>0</x:v>
      </x:c>
      <x:c r="I218" s="15" t="n">
        <x:v>31.8</x:v>
      </x:c>
      <x:c r="J218" s="15" t="n">
        <x:v>0</x:v>
      </x:c>
      <x:c r="K218" s="15" t="n">
        <x:v>38</x:v>
      </x:c>
      <x:c r="L218" s="15" t="n">
        <x:v>19</x:v>
      </x:c>
      <x:c r="M218" s="15" t="n">
        <x:v>0</x:v>
      </x:c>
      <x:c r="N218" s="15" t="n">
        <x:v>0</x:v>
      </x:c>
      <x:c r="O218" s="15" t="n">
        <x:v>0</x:v>
      </x:c>
      <x:c r="P218" s="15" t="n">
        <x:v>0</x:v>
      </x:c>
      <x:c r="Q218" s="15" t="n">
        <x:v>0</x:v>
      </x:c>
      <x:c r="R218" s="15" t="n">
        <x:v>0</x:v>
      </x:c>
      <x:c r="S218" s="15" t="n">
        <x:v>0</x:v>
      </x:c>
      <x:c r="T218" s="15" t="n">
        <x:v>0</x:v>
      </x:c>
      <x:c r="U218" s="15" t="n">
        <x:v>0</x:v>
      </x:c>
      <x:c r="V218" s="15" t="n">
        <x:v>0</x:v>
      </x:c>
      <x:c r="W218" s="15" t="n">
        <x:v>0</x:v>
      </x:c>
      <x:c r="X218" s="15" t="n">
        <x:v>0</x:v>
      </x:c>
      <x:c r="Y218" s="15" t="n">
        <x:v>0</x:v>
      </x:c>
      <x:c r="Z218" s="15" t="n">
        <x:v>0</x:v>
      </x:c>
      <x:c r="AA218" s="15" t="n">
        <x:v>0</x:v>
      </x:c>
      <x:c r="AB218" s="15" t="n">
        <x:f>SUM(G218:AA218)</x:f>
        <x:v>326.8</x:v>
      </x:c>
    </x:row>
    <x:row r="219" ht="36" customHeight="1">
      <x:c r="A219" s="10" t="str">
        <x:v>T-BASE</x:v>
      </x:c>
      <x:c r="B219" s="10" t="str">
        <x:v>TEXT</x:v>
      </x:c>
      <x:c r="C219" s="10" t="str">
        <x:v>TEXT:SYN-F08-02</x:v>
      </x:c>
      <x:c r="D219" s="10" t="str">
        <x:v>TEXT:M4323</x:v>
      </x:c>
      <x:c r="E219" s="15" t="n">
        <x:v>0.16</x:v>
      </x:c>
      <x:c r="F219" s="15" t="str">
        <x:v>요청</x:v>
      </x:c>
      <x:c r="G219" s="15" t="n">
        <x:v>238</x:v>
      </x:c>
      <x:c r="H219" s="15" t="n">
        <x:v>11</x:v>
      </x:c>
      <x:c r="I219" s="15" t="n">
        <x:v>19.292</x:v>
      </x:c>
      <x:c r="J219" s="15" t="n">
        <x:v>0</x:v>
      </x:c>
      <x:c r="K219" s="15" t="n">
        <x:v>0</x:v>
      </x:c>
      <x:c r="L219" s="15" t="n">
        <x:v>0</x:v>
      </x:c>
      <x:c r="M219" s="15" t="n">
        <x:v>0</x:v>
      </x:c>
      <x:c r="N219" s="15" t="n">
        <x:v>0</x:v>
      </x:c>
      <x:c r="O219" s="15" t="n">
        <x:v>0</x:v>
      </x:c>
      <x:c r="P219" s="15" t="n">
        <x:v>0</x:v>
      </x:c>
      <x:c r="Q219" s="15" t="n">
        <x:v>0</x:v>
      </x:c>
      <x:c r="R219" s="15" t="n">
        <x:v>0</x:v>
      </x:c>
      <x:c r="S219" s="15" t="n">
        <x:v>0</x:v>
      </x:c>
      <x:c r="T219" s="15" t="n">
        <x:v>0</x:v>
      </x:c>
      <x:c r="U219" s="15" t="n">
        <x:v>0</x:v>
      </x:c>
      <x:c r="V219" s="15" t="n">
        <x:v>0</x:v>
      </x:c>
      <x:c r="W219" s="15" t="n">
        <x:v>0</x:v>
      </x:c>
      <x:c r="X219" s="15" t="n">
        <x:v>0</x:v>
      </x:c>
      <x:c r="Y219" s="15" t="n">
        <x:v>0</x:v>
      </x:c>
      <x:c r="Z219" s="15" t="n">
        <x:v>0</x:v>
      </x:c>
      <x:c r="AA219" s="15" t="n">
        <x:v>0</x:v>
      </x:c>
      <x:c r="AB219" s="15" t="n">
        <x:f>SUM(G219:AA219)</x:f>
        <x:v>268.29200000000003</x:v>
      </x:c>
    </x:row>
    <x:row r="220" ht="36" customHeight="1">
      <x:c r="A220" s="10" t="str">
        <x:v>T-EXEC</x:v>
      </x:c>
      <x:c r="B220" s="10" t="str">
        <x:v>TEXT</x:v>
      </x:c>
      <x:c r="C220" s="10" t="str">
        <x:v>TEXT:SYN-F08-02</x:v>
      </x:c>
      <x:c r="D220" s="10" t="str">
        <x:v>TEXT:M4342</x:v>
      </x:c>
      <x:c r="E220" s="15" t="n">
        <x:v>0.16</x:v>
      </x:c>
      <x:c r="F220" s="15" t="str">
        <x:v>요청</x:v>
      </x:c>
      <x:c r="G220" s="15" t="n">
        <x:v>238</x:v>
      </x:c>
      <x:c r="H220" s="15" t="n">
        <x:v>11</x:v>
      </x:c>
      <x:c r="I220" s="15" t="n">
        <x:v>19.292</x:v>
      </x:c>
      <x:c r="J220" s="15" t="n">
        <x:v>0</x:v>
      </x:c>
      <x:c r="K220" s="15" t="n">
        <x:v>0</x:v>
      </x:c>
      <x:c r="L220" s="15" t="n">
        <x:v>0</x:v>
      </x:c>
      <x:c r="M220" s="15" t="n">
        <x:v>0</x:v>
      </x:c>
      <x:c r="N220" s="15" t="n">
        <x:v>0</x:v>
      </x:c>
      <x:c r="O220" s="15" t="n">
        <x:v>0</x:v>
      </x:c>
      <x:c r="P220" s="15" t="n">
        <x:v>0</x:v>
      </x:c>
      <x:c r="Q220" s="15" t="n">
        <x:v>0</x:v>
      </x:c>
      <x:c r="R220" s="15" t="n">
        <x:v>0</x:v>
      </x:c>
      <x:c r="S220" s="15" t="n">
        <x:v>0</x:v>
      </x:c>
      <x:c r="T220" s="15" t="n">
        <x:v>0</x:v>
      </x:c>
      <x:c r="U220" s="15" t="n">
        <x:v>0</x:v>
      </x:c>
      <x:c r="V220" s="15" t="n">
        <x:v>0</x:v>
      </x:c>
      <x:c r="W220" s="15" t="n">
        <x:v>0</x:v>
      </x:c>
      <x:c r="X220" s="15" t="n">
        <x:v>0</x:v>
      </x:c>
      <x:c r="Y220" s="15" t="n">
        <x:v>0</x:v>
      </x:c>
      <x:c r="Z220" s="15" t="n">
        <x:v>0</x:v>
      </x:c>
      <x:c r="AA220" s="15" t="n">
        <x:v>0</x:v>
      </x:c>
      <x:c r="AB220" s="15" t="n">
        <x:f>SUM(G220:AA220)</x:f>
        <x:v>268.29200000000003</x:v>
      </x:c>
    </x:row>
    <x:row r="221" ht="36" customHeight="1">
      <x:c r="A221" s="10" t="str">
        <x:v>T-REL</x:v>
      </x:c>
      <x:c r="B221" s="10" t="str">
        <x:v>TEXT</x:v>
      </x:c>
      <x:c r="C221" s="10" t="str">
        <x:v>TEXT:SYN-F08-02</x:v>
      </x:c>
      <x:c r="D221" s="10" t="str">
        <x:v>TEXT:M4360</x:v>
      </x:c>
      <x:c r="E221" s="15" t="n">
        <x:v>-8</x:v>
      </x:c>
      <x:c r="F221" s="15" t="str">
        <x:v>사전 생산</x:v>
      </x:c>
      <x:c r="G221" s="15" t="n">
        <x:v>238</x:v>
      </x:c>
      <x:c r="H221" s="15" t="n">
        <x:v>0</x:v>
      </x:c>
      <x:c r="I221" s="15" t="n">
        <x:v>32.12</x:v>
      </x:c>
      <x:c r="J221" s="15" t="n">
        <x:v>0</x:v>
      </x:c>
      <x:c r="K221" s="15" t="n">
        <x:v>38</x:v>
      </x:c>
      <x:c r="L221" s="15" t="n">
        <x:v>19</x:v>
      </x:c>
      <x:c r="M221" s="15" t="n">
        <x:v>0</x:v>
      </x:c>
      <x:c r="N221" s="15" t="n">
        <x:v>0</x:v>
      </x:c>
      <x:c r="O221" s="15" t="n">
        <x:v>0</x:v>
      </x:c>
      <x:c r="P221" s="15" t="n">
        <x:v>0</x:v>
      </x:c>
      <x:c r="Q221" s="15" t="n">
        <x:v>0</x:v>
      </x:c>
      <x:c r="R221" s="15" t="n">
        <x:v>0</x:v>
      </x:c>
      <x:c r="S221" s="15" t="n">
        <x:v>0</x:v>
      </x:c>
      <x:c r="T221" s="15" t="n">
        <x:v>0</x:v>
      </x:c>
      <x:c r="U221" s="15" t="n">
        <x:v>0</x:v>
      </x:c>
      <x:c r="V221" s="15" t="n">
        <x:v>0</x:v>
      </x:c>
      <x:c r="W221" s="15" t="n">
        <x:v>0</x:v>
      </x:c>
      <x:c r="X221" s="15" t="n">
        <x:v>0</x:v>
      </x:c>
      <x:c r="Y221" s="15" t="n">
        <x:v>0</x:v>
      </x:c>
      <x:c r="Z221" s="15" t="n">
        <x:v>0</x:v>
      </x:c>
      <x:c r="AA221" s="15" t="n">
        <x:v>0</x:v>
      </x:c>
      <x:c r="AB221" s="15" t="n">
        <x:f>SUM(G221:AA221)</x:f>
        <x:v>327.12</x:v>
      </x:c>
    </x:row>
    <x:row r="222" ht="36" customHeight="1">
      <x:c r="A222" s="10" t="str">
        <x:v>T-BASE</x:v>
      </x:c>
      <x:c r="B222" s="10" t="str">
        <x:v>TEXT</x:v>
      </x:c>
      <x:c r="C222" s="10" t="str">
        <x:v>TEXT:SYN-F08-03</x:v>
      </x:c>
      <x:c r="D222" s="10" t="str">
        <x:v>TEXT:M4384</x:v>
      </x:c>
      <x:c r="E222" s="15" t="n">
        <x:v>0.16</x:v>
      </x:c>
      <x:c r="F222" s="15" t="str">
        <x:v>요청</x:v>
      </x:c>
      <x:c r="G222" s="15" t="n">
        <x:v>238</x:v>
      </x:c>
      <x:c r="H222" s="15" t="n">
        <x:v>11</x:v>
      </x:c>
      <x:c r="I222" s="15" t="n">
        <x:v>19.384</x:v>
      </x:c>
      <x:c r="J222" s="15" t="n">
        <x:v>0</x:v>
      </x:c>
      <x:c r="K222" s="15" t="n">
        <x:v>0</x:v>
      </x:c>
      <x:c r="L222" s="15" t="n">
        <x:v>0</x:v>
      </x:c>
      <x:c r="M222" s="15" t="n">
        <x:v>0</x:v>
      </x:c>
      <x:c r="N222" s="15" t="n">
        <x:v>0</x:v>
      </x:c>
      <x:c r="O222" s="15" t="n">
        <x:v>0</x:v>
      </x:c>
      <x:c r="P222" s="15" t="n">
        <x:v>0</x:v>
      </x:c>
      <x:c r="Q222" s="15" t="n">
        <x:v>0</x:v>
      </x:c>
      <x:c r="R222" s="15" t="n">
        <x:v>0</x:v>
      </x:c>
      <x:c r="S222" s="15" t="n">
        <x:v>0</x:v>
      </x:c>
      <x:c r="T222" s="15" t="n">
        <x:v>0</x:v>
      </x:c>
      <x:c r="U222" s="15" t="n">
        <x:v>0</x:v>
      </x:c>
      <x:c r="V222" s="15" t="n">
        <x:v>0</x:v>
      </x:c>
      <x:c r="W222" s="15" t="n">
        <x:v>0</x:v>
      </x:c>
      <x:c r="X222" s="15" t="n">
        <x:v>0</x:v>
      </x:c>
      <x:c r="Y222" s="15" t="n">
        <x:v>0</x:v>
      </x:c>
      <x:c r="Z222" s="15" t="n">
        <x:v>0</x:v>
      </x:c>
      <x:c r="AA222" s="15" t="n">
        <x:v>0</x:v>
      </x:c>
      <x:c r="AB222" s="15" t="n">
        <x:f>SUM(G222:AA222)</x:f>
        <x:v>268.384</x:v>
      </x:c>
    </x:row>
    <x:row r="223" ht="36" customHeight="1">
      <x:c r="A223" s="10" t="str">
        <x:v>T-EXEC</x:v>
      </x:c>
      <x:c r="B223" s="10" t="str">
        <x:v>TEXT</x:v>
      </x:c>
      <x:c r="C223" s="10" t="str">
        <x:v>TEXT:SYN-F08-03</x:v>
      </x:c>
      <x:c r="D223" s="10" t="str">
        <x:v>TEXT:M4403</x:v>
      </x:c>
      <x:c r="E223" s="15" t="n">
        <x:v>0.16</x:v>
      </x:c>
      <x:c r="F223" s="15" t="str">
        <x:v>요청</x:v>
      </x:c>
      <x:c r="G223" s="15" t="n">
        <x:v>238</x:v>
      </x:c>
      <x:c r="H223" s="15" t="n">
        <x:v>11</x:v>
      </x:c>
      <x:c r="I223" s="15" t="n">
        <x:v>19.384</x:v>
      </x:c>
      <x:c r="J223" s="15" t="n">
        <x:v>0</x:v>
      </x:c>
      <x:c r="K223" s="15" t="n">
        <x:v>0</x:v>
      </x:c>
      <x:c r="L223" s="15" t="n">
        <x:v>0</x:v>
      </x:c>
      <x:c r="M223" s="15" t="n">
        <x:v>0</x:v>
      </x:c>
      <x:c r="N223" s="15" t="n">
        <x:v>0</x:v>
      </x:c>
      <x:c r="O223" s="15" t="n">
        <x:v>0</x:v>
      </x:c>
      <x:c r="P223" s="15" t="n">
        <x:v>0</x:v>
      </x:c>
      <x:c r="Q223" s="15" t="n">
        <x:v>0</x:v>
      </x:c>
      <x:c r="R223" s="15" t="n">
        <x:v>0</x:v>
      </x:c>
      <x:c r="S223" s="15" t="n">
        <x:v>0</x:v>
      </x:c>
      <x:c r="T223" s="15" t="n">
        <x:v>0</x:v>
      </x:c>
      <x:c r="U223" s="15" t="n">
        <x:v>0</x:v>
      </x:c>
      <x:c r="V223" s="15" t="n">
        <x:v>0</x:v>
      </x:c>
      <x:c r="W223" s="15" t="n">
        <x:v>0</x:v>
      </x:c>
      <x:c r="X223" s="15" t="n">
        <x:v>0</x:v>
      </x:c>
      <x:c r="Y223" s="15" t="n">
        <x:v>0</x:v>
      </x:c>
      <x:c r="Z223" s="15" t="n">
        <x:v>0</x:v>
      </x:c>
      <x:c r="AA223" s="15" t="n">
        <x:v>0</x:v>
      </x:c>
      <x:c r="AB223" s="15" t="n">
        <x:f>SUM(G223:AA223)</x:f>
        <x:v>268.384</x:v>
      </x:c>
    </x:row>
    <x:row r="224" ht="36" customHeight="1">
      <x:c r="A224" s="10" t="str">
        <x:v>T-REL</x:v>
      </x:c>
      <x:c r="B224" s="10" t="str">
        <x:v>TEXT</x:v>
      </x:c>
      <x:c r="C224" s="10" t="str">
        <x:v>TEXT:SYN-F08-03</x:v>
      </x:c>
      <x:c r="D224" s="10" t="str">
        <x:v>TEXT:M4421</x:v>
      </x:c>
      <x:c r="E224" s="15" t="n">
        <x:v>-8</x:v>
      </x:c>
      <x:c r="F224" s="15" t="str">
        <x:v>사전 생산</x:v>
      </x:c>
      <x:c r="G224" s="15" t="n">
        <x:v>238</x:v>
      </x:c>
      <x:c r="H224" s="15" t="n">
        <x:v>0</x:v>
      </x:c>
      <x:c r="I224" s="15" t="n">
        <x:v>32.44</x:v>
      </x:c>
      <x:c r="J224" s="15" t="n">
        <x:v>0</x:v>
      </x:c>
      <x:c r="K224" s="15" t="n">
        <x:v>38</x:v>
      </x:c>
      <x:c r="L224" s="15" t="n">
        <x:v>19</x:v>
      </x:c>
      <x:c r="M224" s="15" t="n">
        <x:v>0</x:v>
      </x:c>
      <x:c r="N224" s="15" t="n">
        <x:v>0</x:v>
      </x:c>
      <x:c r="O224" s="15" t="n">
        <x:v>0</x:v>
      </x:c>
      <x:c r="P224" s="15" t="n">
        <x:v>0</x:v>
      </x:c>
      <x:c r="Q224" s="15" t="n">
        <x:v>0</x:v>
      </x:c>
      <x:c r="R224" s="15" t="n">
        <x:v>0</x:v>
      </x:c>
      <x:c r="S224" s="15" t="n">
        <x:v>0</x:v>
      </x:c>
      <x:c r="T224" s="15" t="n">
        <x:v>0</x:v>
      </x:c>
      <x:c r="U224" s="15" t="n">
        <x:v>0</x:v>
      </x:c>
      <x:c r="V224" s="15" t="n">
        <x:v>0</x:v>
      </x:c>
      <x:c r="W224" s="15" t="n">
        <x:v>0</x:v>
      </x:c>
      <x:c r="X224" s="15" t="n">
        <x:v>0</x:v>
      </x:c>
      <x:c r="Y224" s="15" t="n">
        <x:v>0</x:v>
      </x:c>
      <x:c r="Z224" s="15" t="n">
        <x:v>0</x:v>
      </x:c>
      <x:c r="AA224" s="15" t="n">
        <x:v>0</x:v>
      </x:c>
      <x:c r="AB224" s="15" t="n">
        <x:f>SUM(G224:AA224)</x:f>
        <x:v>327.44</x:v>
      </x:c>
    </x:row>
    <x:row r="225" ht="36" customHeight="1">
      <x:c r="A225" s="10" t="str">
        <x:v>T-BASE</x:v>
      </x:c>
      <x:c r="B225" s="10" t="str">
        <x:v>TEXT</x:v>
      </x:c>
      <x:c r="C225" s="10" t="str">
        <x:v>TEXT:SYN-F08-04</x:v>
      </x:c>
      <x:c r="D225" s="10" t="str">
        <x:v>TEXT:M4445</x:v>
      </x:c>
      <x:c r="E225" s="15" t="n">
        <x:v>0.16</x:v>
      </x:c>
      <x:c r="F225" s="15" t="str">
        <x:v>요청</x:v>
      </x:c>
      <x:c r="G225" s="15" t="n">
        <x:v>238</x:v>
      </x:c>
      <x:c r="H225" s="15" t="n">
        <x:v>11</x:v>
      </x:c>
      <x:c r="I225" s="15" t="n">
        <x:v>19.476</x:v>
      </x:c>
      <x:c r="J225" s="15" t="n">
        <x:v>0</x:v>
      </x:c>
      <x:c r="K225" s="15" t="n">
        <x:v>0</x:v>
      </x:c>
      <x:c r="L225" s="15" t="n">
        <x:v>0</x:v>
      </x:c>
      <x:c r="M225" s="15" t="n">
        <x:v>0</x:v>
      </x:c>
      <x:c r="N225" s="15" t="n">
        <x:v>0</x:v>
      </x:c>
      <x:c r="O225" s="15" t="n">
        <x:v>0</x:v>
      </x:c>
      <x:c r="P225" s="15" t="n">
        <x:v>0</x:v>
      </x:c>
      <x:c r="Q225" s="15" t="n">
        <x:v>0</x:v>
      </x:c>
      <x:c r="R225" s="15" t="n">
        <x:v>0</x:v>
      </x:c>
      <x:c r="S225" s="15" t="n">
        <x:v>0</x:v>
      </x:c>
      <x:c r="T225" s="15" t="n">
        <x:v>0</x:v>
      </x:c>
      <x:c r="U225" s="15" t="n">
        <x:v>0</x:v>
      </x:c>
      <x:c r="V225" s="15" t="n">
        <x:v>0</x:v>
      </x:c>
      <x:c r="W225" s="15" t="n">
        <x:v>0</x:v>
      </x:c>
      <x:c r="X225" s="15" t="n">
        <x:v>0</x:v>
      </x:c>
      <x:c r="Y225" s="15" t="n">
        <x:v>0</x:v>
      </x:c>
      <x:c r="Z225" s="15" t="n">
        <x:v>0</x:v>
      </x:c>
      <x:c r="AA225" s="15" t="n">
        <x:v>0</x:v>
      </x:c>
      <x:c r="AB225" s="15" t="n">
        <x:f>SUM(G225:AA225)</x:f>
        <x:v>268.476</x:v>
      </x:c>
    </x:row>
    <x:row r="226" ht="36" customHeight="1">
      <x:c r="A226" s="10" t="str">
        <x:v>T-EXEC</x:v>
      </x:c>
      <x:c r="B226" s="10" t="str">
        <x:v>TEXT</x:v>
      </x:c>
      <x:c r="C226" s="10" t="str">
        <x:v>TEXT:SYN-F08-04</x:v>
      </x:c>
      <x:c r="D226" s="10" t="str">
        <x:v>TEXT:M4464</x:v>
      </x:c>
      <x:c r="E226" s="15" t="n">
        <x:v>0.16</x:v>
      </x:c>
      <x:c r="F226" s="15" t="str">
        <x:v>요청</x:v>
      </x:c>
      <x:c r="G226" s="15" t="n">
        <x:v>238</x:v>
      </x:c>
      <x:c r="H226" s="15" t="n">
        <x:v>11</x:v>
      </x:c>
      <x:c r="I226" s="15" t="n">
        <x:v>19.476</x:v>
      </x:c>
      <x:c r="J226" s="15" t="n">
        <x:v>0</x:v>
      </x:c>
      <x:c r="K226" s="15" t="n">
        <x:v>0</x:v>
      </x:c>
      <x:c r="L226" s="15" t="n">
        <x:v>0</x:v>
      </x:c>
      <x:c r="M226" s="15" t="n">
        <x:v>0</x:v>
      </x:c>
      <x:c r="N226" s="15" t="n">
        <x:v>0</x:v>
      </x:c>
      <x:c r="O226" s="15" t="n">
        <x:v>0</x:v>
      </x:c>
      <x:c r="P226" s="15" t="n">
        <x:v>0</x:v>
      </x:c>
      <x:c r="Q226" s="15" t="n">
        <x:v>0</x:v>
      </x:c>
      <x:c r="R226" s="15" t="n">
        <x:v>0</x:v>
      </x:c>
      <x:c r="S226" s="15" t="n">
        <x:v>0</x:v>
      </x:c>
      <x:c r="T226" s="15" t="n">
        <x:v>0</x:v>
      </x:c>
      <x:c r="U226" s="15" t="n">
        <x:v>0</x:v>
      </x:c>
      <x:c r="V226" s="15" t="n">
        <x:v>0</x:v>
      </x:c>
      <x:c r="W226" s="15" t="n">
        <x:v>0</x:v>
      </x:c>
      <x:c r="X226" s="15" t="n">
        <x:v>0</x:v>
      </x:c>
      <x:c r="Y226" s="15" t="n">
        <x:v>0</x:v>
      </x:c>
      <x:c r="Z226" s="15" t="n">
        <x:v>0</x:v>
      </x:c>
      <x:c r="AA226" s="15" t="n">
        <x:v>0</x:v>
      </x:c>
      <x:c r="AB226" s="15" t="n">
        <x:f>SUM(G226:AA226)</x:f>
        <x:v>268.476</x:v>
      </x:c>
    </x:row>
    <x:row r="227" ht="36" customHeight="1">
      <x:c r="A227" s="10" t="str">
        <x:v>T-REL</x:v>
      </x:c>
      <x:c r="B227" s="10" t="str">
        <x:v>TEXT</x:v>
      </x:c>
      <x:c r="C227" s="10" t="str">
        <x:v>TEXT:SYN-F08-04</x:v>
      </x:c>
      <x:c r="D227" s="10" t="str">
        <x:v>TEXT:M4482</x:v>
      </x:c>
      <x:c r="E227" s="15" t="n">
        <x:v>-8</x:v>
      </x:c>
      <x:c r="F227" s="15" t="str">
        <x:v>사전 생산</x:v>
      </x:c>
      <x:c r="G227" s="15" t="n">
        <x:v>238</x:v>
      </x:c>
      <x:c r="H227" s="15" t="n">
        <x:v>0</x:v>
      </x:c>
      <x:c r="I227" s="15" t="n">
        <x:v>32.76</x:v>
      </x:c>
      <x:c r="J227" s="15" t="n">
        <x:v>0</x:v>
      </x:c>
      <x:c r="K227" s="15" t="n">
        <x:v>38</x:v>
      </x:c>
      <x:c r="L227" s="15" t="n">
        <x:v>19</x:v>
      </x:c>
      <x:c r="M227" s="15" t="n">
        <x:v>0</x:v>
      </x:c>
      <x:c r="N227" s="15" t="n">
        <x:v>0</x:v>
      </x:c>
      <x:c r="O227" s="15" t="n">
        <x:v>0</x:v>
      </x:c>
      <x:c r="P227" s="15" t="n">
        <x:v>0</x:v>
      </x:c>
      <x:c r="Q227" s="15" t="n">
        <x:v>0</x:v>
      </x:c>
      <x:c r="R227" s="15" t="n">
        <x:v>0</x:v>
      </x:c>
      <x:c r="S227" s="15" t="n">
        <x:v>0</x:v>
      </x:c>
      <x:c r="T227" s="15" t="n">
        <x:v>0</x:v>
      </x:c>
      <x:c r="U227" s="15" t="n">
        <x:v>0</x:v>
      </x:c>
      <x:c r="V227" s="15" t="n">
        <x:v>0</x:v>
      </x:c>
      <x:c r="W227" s="15" t="n">
        <x:v>0</x:v>
      </x:c>
      <x:c r="X227" s="15" t="n">
        <x:v>0</x:v>
      </x:c>
      <x:c r="Y227" s="15" t="n">
        <x:v>0</x:v>
      </x:c>
      <x:c r="Z227" s="15" t="n">
        <x:v>0</x:v>
      </x:c>
      <x:c r="AA227" s="15" t="n">
        <x:v>0</x:v>
      </x:c>
      <x:c r="AB227" s="15" t="n">
        <x:f>SUM(G227:AA227)</x:f>
        <x:v>327.76</x:v>
      </x:c>
    </x:row>
    <x:row r="228" ht="36" customHeight="1">
      <x:c r="A228" s="10" t="str">
        <x:v>T-BASE</x:v>
      </x:c>
      <x:c r="B228" s="10" t="str">
        <x:v>TEXT</x:v>
      </x:c>
      <x:c r="C228" s="10" t="str">
        <x:v>TEXT:SYN-F08-05</x:v>
      </x:c>
      <x:c r="D228" s="10" t="str">
        <x:v>TEXT:M4506</x:v>
      </x:c>
      <x:c r="E228" s="15" t="n">
        <x:v>0.16</x:v>
      </x:c>
      <x:c r="F228" s="15" t="str">
        <x:v>요청</x:v>
      </x:c>
      <x:c r="G228" s="15" t="n">
        <x:v>238</x:v>
      </x:c>
      <x:c r="H228" s="15" t="n">
        <x:v>11</x:v>
      </x:c>
      <x:c r="I228" s="15" t="n">
        <x:v>19.568</x:v>
      </x:c>
      <x:c r="J228" s="15" t="n">
        <x:v>0</x:v>
      </x:c>
      <x:c r="K228" s="15" t="n">
        <x:v>0</x:v>
      </x:c>
      <x:c r="L228" s="15" t="n">
        <x:v>0</x:v>
      </x:c>
      <x:c r="M228" s="15" t="n">
        <x:v>0</x:v>
      </x:c>
      <x:c r="N228" s="15" t="n">
        <x:v>0</x:v>
      </x:c>
      <x:c r="O228" s="15" t="n">
        <x:v>0</x:v>
      </x:c>
      <x:c r="P228" s="15" t="n">
        <x:v>0</x:v>
      </x:c>
      <x:c r="Q228" s="15" t="n">
        <x:v>0</x:v>
      </x:c>
      <x:c r="R228" s="15" t="n">
        <x:v>0</x:v>
      </x:c>
      <x:c r="S228" s="15" t="n">
        <x:v>0</x:v>
      </x:c>
      <x:c r="T228" s="15" t="n">
        <x:v>0</x:v>
      </x:c>
      <x:c r="U228" s="15" t="n">
        <x:v>0</x:v>
      </x:c>
      <x:c r="V228" s="15" t="n">
        <x:v>0</x:v>
      </x:c>
      <x:c r="W228" s="15" t="n">
        <x:v>0</x:v>
      </x:c>
      <x:c r="X228" s="15" t="n">
        <x:v>0</x:v>
      </x:c>
      <x:c r="Y228" s="15" t="n">
        <x:v>0</x:v>
      </x:c>
      <x:c r="Z228" s="15" t="n">
        <x:v>0</x:v>
      </x:c>
      <x:c r="AA228" s="15" t="n">
        <x:v>0</x:v>
      </x:c>
      <x:c r="AB228" s="15" t="n">
        <x:f>SUM(G228:AA228)</x:f>
        <x:v>268.568</x:v>
      </x:c>
    </x:row>
    <x:row r="229" ht="36" customHeight="1">
      <x:c r="A229" s="10" t="str">
        <x:v>T-EXEC</x:v>
      </x:c>
      <x:c r="B229" s="10" t="str">
        <x:v>TEXT</x:v>
      </x:c>
      <x:c r="C229" s="10" t="str">
        <x:v>TEXT:SYN-F08-05</x:v>
      </x:c>
      <x:c r="D229" s="10" t="str">
        <x:v>TEXT:M4525</x:v>
      </x:c>
      <x:c r="E229" s="15" t="n">
        <x:v>0.16</x:v>
      </x:c>
      <x:c r="F229" s="15" t="str">
        <x:v>요청</x:v>
      </x:c>
      <x:c r="G229" s="15" t="n">
        <x:v>238</x:v>
      </x:c>
      <x:c r="H229" s="15" t="n">
        <x:v>11</x:v>
      </x:c>
      <x:c r="I229" s="15" t="n">
        <x:v>19.568</x:v>
      </x:c>
      <x:c r="J229" s="15" t="n">
        <x:v>0</x:v>
      </x:c>
      <x:c r="K229" s="15" t="n">
        <x:v>0</x:v>
      </x:c>
      <x:c r="L229" s="15" t="n">
        <x:v>0</x:v>
      </x:c>
      <x:c r="M229" s="15" t="n">
        <x:v>0</x:v>
      </x:c>
      <x:c r="N229" s="15" t="n">
        <x:v>0</x:v>
      </x:c>
      <x:c r="O229" s="15" t="n">
        <x:v>0</x:v>
      </x:c>
      <x:c r="P229" s="15" t="n">
        <x:v>0</x:v>
      </x:c>
      <x:c r="Q229" s="15" t="n">
        <x:v>0</x:v>
      </x:c>
      <x:c r="R229" s="15" t="n">
        <x:v>0</x:v>
      </x:c>
      <x:c r="S229" s="15" t="n">
        <x:v>0</x:v>
      </x:c>
      <x:c r="T229" s="15" t="n">
        <x:v>0</x:v>
      </x:c>
      <x:c r="U229" s="15" t="n">
        <x:v>0</x:v>
      </x:c>
      <x:c r="V229" s="15" t="n">
        <x:v>0</x:v>
      </x:c>
      <x:c r="W229" s="15" t="n">
        <x:v>0</x:v>
      </x:c>
      <x:c r="X229" s="15" t="n">
        <x:v>0</x:v>
      </x:c>
      <x:c r="Y229" s="15" t="n">
        <x:v>0</x:v>
      </x:c>
      <x:c r="Z229" s="15" t="n">
        <x:v>0</x:v>
      </x:c>
      <x:c r="AA229" s="15" t="n">
        <x:v>0</x:v>
      </x:c>
      <x:c r="AB229" s="15" t="n">
        <x:f>SUM(G229:AA229)</x:f>
        <x:v>268.568</x:v>
      </x:c>
    </x:row>
    <x:row r="230" ht="36" customHeight="1">
      <x:c r="A230" s="10" t="str">
        <x:v>T-REL</x:v>
      </x:c>
      <x:c r="B230" s="10" t="str">
        <x:v>TEXT</x:v>
      </x:c>
      <x:c r="C230" s="10" t="str">
        <x:v>TEXT:SYN-F08-05</x:v>
      </x:c>
      <x:c r="D230" s="10" t="str">
        <x:v>TEXT:M4543</x:v>
      </x:c>
      <x:c r="E230" s="15" t="n">
        <x:v>-8</x:v>
      </x:c>
      <x:c r="F230" s="15" t="str">
        <x:v>사전 생산</x:v>
      </x:c>
      <x:c r="G230" s="15" t="n">
        <x:v>238</x:v>
      </x:c>
      <x:c r="H230" s="15" t="n">
        <x:v>0</x:v>
      </x:c>
      <x:c r="I230" s="15" t="n">
        <x:v>33.08</x:v>
      </x:c>
      <x:c r="J230" s="15" t="n">
        <x:v>0</x:v>
      </x:c>
      <x:c r="K230" s="15" t="n">
        <x:v>38</x:v>
      </x:c>
      <x:c r="L230" s="15" t="n">
        <x:v>19</x:v>
      </x:c>
      <x:c r="M230" s="15" t="n">
        <x:v>0</x:v>
      </x:c>
      <x:c r="N230" s="15" t="n">
        <x:v>0</x:v>
      </x:c>
      <x:c r="O230" s="15" t="n">
        <x:v>0</x:v>
      </x:c>
      <x:c r="P230" s="15" t="n">
        <x:v>0</x:v>
      </x:c>
      <x:c r="Q230" s="15" t="n">
        <x:v>0</x:v>
      </x:c>
      <x:c r="R230" s="15" t="n">
        <x:v>0</x:v>
      </x:c>
      <x:c r="S230" s="15" t="n">
        <x:v>0</x:v>
      </x:c>
      <x:c r="T230" s="15" t="n">
        <x:v>0</x:v>
      </x:c>
      <x:c r="U230" s="15" t="n">
        <x:v>0</x:v>
      </x:c>
      <x:c r="V230" s="15" t="n">
        <x:v>0</x:v>
      </x:c>
      <x:c r="W230" s="15" t="n">
        <x:v>0</x:v>
      </x:c>
      <x:c r="X230" s="15" t="n">
        <x:v>0</x:v>
      </x:c>
      <x:c r="Y230" s="15" t="n">
        <x:v>0</x:v>
      </x:c>
      <x:c r="Z230" s="15" t="n">
        <x:v>0</x:v>
      </x:c>
      <x:c r="AA230" s="15" t="n">
        <x:v>0</x:v>
      </x:c>
      <x:c r="AB230" s="15" t="n">
        <x:f>SUM(G230:AA230)</x:f>
        <x:v>328.08</x:v>
      </x:c>
    </x:row>
    <x:row r="231" ht="36" customHeight="1">
      <x:c r="A231" s="10" t="str">
        <x:v>T-BASE</x:v>
      </x:c>
      <x:c r="B231" s="10" t="str">
        <x:v>TEXT</x:v>
      </x:c>
      <x:c r="C231" s="10" t="str">
        <x:v>TEXT:SYN-F08-06</x:v>
      </x:c>
      <x:c r="D231" s="10" t="str">
        <x:v>TEXT:M4567</x:v>
      </x:c>
      <x:c r="E231" s="15" t="n">
        <x:v>0.16</x:v>
      </x:c>
      <x:c r="F231" s="15" t="str">
        <x:v>요청</x:v>
      </x:c>
      <x:c r="G231" s="15" t="n">
        <x:v>238</x:v>
      </x:c>
      <x:c r="H231" s="15" t="n">
        <x:v>11</x:v>
      </x:c>
      <x:c r="I231" s="15" t="n">
        <x:v>19.66</x:v>
      </x:c>
      <x:c r="J231" s="15" t="n">
        <x:v>0</x:v>
      </x:c>
      <x:c r="K231" s="15" t="n">
        <x:v>0</x:v>
      </x:c>
      <x:c r="L231" s="15" t="n">
        <x:v>0</x:v>
      </x:c>
      <x:c r="M231" s="15" t="n">
        <x:v>0</x:v>
      </x:c>
      <x:c r="N231" s="15" t="n">
        <x:v>0</x:v>
      </x:c>
      <x:c r="O231" s="15" t="n">
        <x:v>0</x:v>
      </x:c>
      <x:c r="P231" s="15" t="n">
        <x:v>0</x:v>
      </x:c>
      <x:c r="Q231" s="15" t="n">
        <x:v>0</x:v>
      </x:c>
      <x:c r="R231" s="15" t="n">
        <x:v>0</x:v>
      </x:c>
      <x:c r="S231" s="15" t="n">
        <x:v>0</x:v>
      </x:c>
      <x:c r="T231" s="15" t="n">
        <x:v>0</x:v>
      </x:c>
      <x:c r="U231" s="15" t="n">
        <x:v>0</x:v>
      </x:c>
      <x:c r="V231" s="15" t="n">
        <x:v>0</x:v>
      </x:c>
      <x:c r="W231" s="15" t="n">
        <x:v>0</x:v>
      </x:c>
      <x:c r="X231" s="15" t="n">
        <x:v>0</x:v>
      </x:c>
      <x:c r="Y231" s="15" t="n">
        <x:v>0</x:v>
      </x:c>
      <x:c r="Z231" s="15" t="n">
        <x:v>0</x:v>
      </x:c>
      <x:c r="AA231" s="15" t="n">
        <x:v>0</x:v>
      </x:c>
      <x:c r="AB231" s="15" t="n">
        <x:f>SUM(G231:AA231)</x:f>
        <x:v>268.66</x:v>
      </x:c>
    </x:row>
    <x:row r="232" ht="36" customHeight="1">
      <x:c r="A232" s="10" t="str">
        <x:v>T-EXEC</x:v>
      </x:c>
      <x:c r="B232" s="10" t="str">
        <x:v>TEXT</x:v>
      </x:c>
      <x:c r="C232" s="10" t="str">
        <x:v>TEXT:SYN-F08-06</x:v>
      </x:c>
      <x:c r="D232" s="10" t="str">
        <x:v>TEXT:M4586</x:v>
      </x:c>
      <x:c r="E232" s="15" t="n">
        <x:v>0.16</x:v>
      </x:c>
      <x:c r="F232" s="15" t="str">
        <x:v>요청</x:v>
      </x:c>
      <x:c r="G232" s="15" t="n">
        <x:v>238</x:v>
      </x:c>
      <x:c r="H232" s="15" t="n">
        <x:v>11</x:v>
      </x:c>
      <x:c r="I232" s="15" t="n">
        <x:v>19.66</x:v>
      </x:c>
      <x:c r="J232" s="15" t="n">
        <x:v>0</x:v>
      </x:c>
      <x:c r="K232" s="15" t="n">
        <x:v>0</x:v>
      </x:c>
      <x:c r="L232" s="15" t="n">
        <x:v>0</x:v>
      </x:c>
      <x:c r="M232" s="15" t="n">
        <x:v>0</x:v>
      </x:c>
      <x:c r="N232" s="15" t="n">
        <x:v>0</x:v>
      </x:c>
      <x:c r="O232" s="15" t="n">
        <x:v>0</x:v>
      </x:c>
      <x:c r="P232" s="15" t="n">
        <x:v>0</x:v>
      </x:c>
      <x:c r="Q232" s="15" t="n">
        <x:v>0</x:v>
      </x:c>
      <x:c r="R232" s="15" t="n">
        <x:v>0</x:v>
      </x:c>
      <x:c r="S232" s="15" t="n">
        <x:v>0</x:v>
      </x:c>
      <x:c r="T232" s="15" t="n">
        <x:v>0</x:v>
      </x:c>
      <x:c r="U232" s="15" t="n">
        <x:v>0</x:v>
      </x:c>
      <x:c r="V232" s="15" t="n">
        <x:v>0</x:v>
      </x:c>
      <x:c r="W232" s="15" t="n">
        <x:v>0</x:v>
      </x:c>
      <x:c r="X232" s="15" t="n">
        <x:v>0</x:v>
      </x:c>
      <x:c r="Y232" s="15" t="n">
        <x:v>0</x:v>
      </x:c>
      <x:c r="Z232" s="15" t="n">
        <x:v>0</x:v>
      </x:c>
      <x:c r="AA232" s="15" t="n">
        <x:v>0</x:v>
      </x:c>
      <x:c r="AB232" s="15" t="n">
        <x:f>SUM(G232:AA232)</x:f>
        <x:v>268.66</x:v>
      </x:c>
    </x:row>
    <x:row r="233" ht="36" customHeight="1">
      <x:c r="A233" s="10" t="str">
        <x:v>T-REL</x:v>
      </x:c>
      <x:c r="B233" s="10" t="str">
        <x:v>TEXT</x:v>
      </x:c>
      <x:c r="C233" s="10" t="str">
        <x:v>TEXT:SYN-F08-06</x:v>
      </x:c>
      <x:c r="D233" s="10" t="str">
        <x:v>TEXT:M4604</x:v>
      </x:c>
      <x:c r="E233" s="15" t="n">
        <x:v>-8</x:v>
      </x:c>
      <x:c r="F233" s="15" t="str">
        <x:v>사전 생산</x:v>
      </x:c>
      <x:c r="G233" s="15" t="n">
        <x:v>238</x:v>
      </x:c>
      <x:c r="H233" s="15" t="n">
        <x:v>0</x:v>
      </x:c>
      <x:c r="I233" s="15" t="n">
        <x:v>33.4</x:v>
      </x:c>
      <x:c r="J233" s="15" t="n">
        <x:v>0</x:v>
      </x:c>
      <x:c r="K233" s="15" t="n">
        <x:v>38</x:v>
      </x:c>
      <x:c r="L233" s="15" t="n">
        <x:v>19</x:v>
      </x:c>
      <x:c r="M233" s="15" t="n">
        <x:v>0</x:v>
      </x:c>
      <x:c r="N233" s="15" t="n">
        <x:v>0</x:v>
      </x:c>
      <x:c r="O233" s="15" t="n">
        <x:v>0</x:v>
      </x:c>
      <x:c r="P233" s="15" t="n">
        <x:v>0</x:v>
      </x:c>
      <x:c r="Q233" s="15" t="n">
        <x:v>0</x:v>
      </x:c>
      <x:c r="R233" s="15" t="n">
        <x:v>0</x:v>
      </x:c>
      <x:c r="S233" s="15" t="n">
        <x:v>0</x:v>
      </x:c>
      <x:c r="T233" s="15" t="n">
        <x:v>0</x:v>
      </x:c>
      <x:c r="U233" s="15" t="n">
        <x:v>0</x:v>
      </x:c>
      <x:c r="V233" s="15" t="n">
        <x:v>0</x:v>
      </x:c>
      <x:c r="W233" s="15" t="n">
        <x:v>0</x:v>
      </x:c>
      <x:c r="X233" s="15" t="n">
        <x:v>0</x:v>
      </x:c>
      <x:c r="Y233" s="15" t="n">
        <x:v>0</x:v>
      </x:c>
      <x:c r="Z233" s="15" t="n">
        <x:v>0</x:v>
      </x:c>
      <x:c r="AA233" s="15" t="n">
        <x:v>0</x:v>
      </x:c>
      <x:c r="AB233" s="15" t="n">
        <x:f>SUM(G233:AA233)</x:f>
        <x:v>328.4</x:v>
      </x:c>
    </x:row>
    <x:row r="234" ht="36" customHeight="1">
      <x:c r="A234" s="10" t="str">
        <x:v>T-BASE</x:v>
      </x:c>
      <x:c r="B234" s="10" t="str">
        <x:v>TEXT</x:v>
      </x:c>
      <x:c r="C234" s="10" t="str">
        <x:v>TEXT:SYN-F08-07</x:v>
      </x:c>
      <x:c r="D234" s="10" t="str">
        <x:v>TEXT:M4628</x:v>
      </x:c>
      <x:c r="E234" s="15" t="n">
        <x:v>0.16</x:v>
      </x:c>
      <x:c r="F234" s="15" t="str">
        <x:v>요청</x:v>
      </x:c>
      <x:c r="G234" s="15" t="n">
        <x:v>238</x:v>
      </x:c>
      <x:c r="H234" s="15" t="n">
        <x:v>11</x:v>
      </x:c>
      <x:c r="I234" s="15" t="n">
        <x:v>19.752</x:v>
      </x:c>
      <x:c r="J234" s="15" t="n">
        <x:v>0</x:v>
      </x:c>
      <x:c r="K234" s="15" t="n">
        <x:v>0</x:v>
      </x:c>
      <x:c r="L234" s="15" t="n">
        <x:v>0</x:v>
      </x:c>
      <x:c r="M234" s="15" t="n">
        <x:v>0</x:v>
      </x:c>
      <x:c r="N234" s="15" t="n">
        <x:v>0</x:v>
      </x:c>
      <x:c r="O234" s="15" t="n">
        <x:v>0</x:v>
      </x:c>
      <x:c r="P234" s="15" t="n">
        <x:v>0</x:v>
      </x:c>
      <x:c r="Q234" s="15" t="n">
        <x:v>0</x:v>
      </x:c>
      <x:c r="R234" s="15" t="n">
        <x:v>0</x:v>
      </x:c>
      <x:c r="S234" s="15" t="n">
        <x:v>0</x:v>
      </x:c>
      <x:c r="T234" s="15" t="n">
        <x:v>0</x:v>
      </x:c>
      <x:c r="U234" s="15" t="n">
        <x:v>0</x:v>
      </x:c>
      <x:c r="V234" s="15" t="n">
        <x:v>0</x:v>
      </x:c>
      <x:c r="W234" s="15" t="n">
        <x:v>0</x:v>
      </x:c>
      <x:c r="X234" s="15" t="n">
        <x:v>0</x:v>
      </x:c>
      <x:c r="Y234" s="15" t="n">
        <x:v>0</x:v>
      </x:c>
      <x:c r="Z234" s="15" t="n">
        <x:v>0</x:v>
      </x:c>
      <x:c r="AA234" s="15" t="n">
        <x:v>0</x:v>
      </x:c>
      <x:c r="AB234" s="15" t="n">
        <x:f>SUM(G234:AA234)</x:f>
        <x:v>268.752</x:v>
      </x:c>
    </x:row>
    <x:row r="235" ht="36" customHeight="1">
      <x:c r="A235" s="10" t="str">
        <x:v>T-EXEC</x:v>
      </x:c>
      <x:c r="B235" s="10" t="str">
        <x:v>TEXT</x:v>
      </x:c>
      <x:c r="C235" s="10" t="str">
        <x:v>TEXT:SYN-F08-07</x:v>
      </x:c>
      <x:c r="D235" s="10" t="str">
        <x:v>TEXT:M4647</x:v>
      </x:c>
      <x:c r="E235" s="15" t="n">
        <x:v>0.16</x:v>
      </x:c>
      <x:c r="F235" s="15" t="str">
        <x:v>요청</x:v>
      </x:c>
      <x:c r="G235" s="15" t="n">
        <x:v>238</x:v>
      </x:c>
      <x:c r="H235" s="15" t="n">
        <x:v>11</x:v>
      </x:c>
      <x:c r="I235" s="15" t="n">
        <x:v>19.752</x:v>
      </x:c>
      <x:c r="J235" s="15" t="n">
        <x:v>0</x:v>
      </x:c>
      <x:c r="K235" s="15" t="n">
        <x:v>0</x:v>
      </x:c>
      <x:c r="L235" s="15" t="n">
        <x:v>0</x:v>
      </x:c>
      <x:c r="M235" s="15" t="n">
        <x:v>0</x:v>
      </x:c>
      <x:c r="N235" s="15" t="n">
        <x:v>0</x:v>
      </x:c>
      <x:c r="O235" s="15" t="n">
        <x:v>0</x:v>
      </x:c>
      <x:c r="P235" s="15" t="n">
        <x:v>0</x:v>
      </x:c>
      <x:c r="Q235" s="15" t="n">
        <x:v>0</x:v>
      </x:c>
      <x:c r="R235" s="15" t="n">
        <x:v>0</x:v>
      </x:c>
      <x:c r="S235" s="15" t="n">
        <x:v>0</x:v>
      </x:c>
      <x:c r="T235" s="15" t="n">
        <x:v>0</x:v>
      </x:c>
      <x:c r="U235" s="15" t="n">
        <x:v>0</x:v>
      </x:c>
      <x:c r="V235" s="15" t="n">
        <x:v>0</x:v>
      </x:c>
      <x:c r="W235" s="15" t="n">
        <x:v>0</x:v>
      </x:c>
      <x:c r="X235" s="15" t="n">
        <x:v>0</x:v>
      </x:c>
      <x:c r="Y235" s="15" t="n">
        <x:v>0</x:v>
      </x:c>
      <x:c r="Z235" s="15" t="n">
        <x:v>0</x:v>
      </x:c>
      <x:c r="AA235" s="15" t="n">
        <x:v>0</x:v>
      </x:c>
      <x:c r="AB235" s="15" t="n">
        <x:f>SUM(G235:AA235)</x:f>
        <x:v>268.752</x:v>
      </x:c>
    </x:row>
    <x:row r="236" ht="36" customHeight="1">
      <x:c r="A236" s="10" t="str">
        <x:v>T-REL</x:v>
      </x:c>
      <x:c r="B236" s="10" t="str">
        <x:v>TEXT</x:v>
      </x:c>
      <x:c r="C236" s="10" t="str">
        <x:v>TEXT:SYN-F08-07</x:v>
      </x:c>
      <x:c r="D236" s="10" t="str">
        <x:v>TEXT:M4665</x:v>
      </x:c>
      <x:c r="E236" s="15" t="n">
        <x:v>-8</x:v>
      </x:c>
      <x:c r="F236" s="15" t="str">
        <x:v>사전 생산</x:v>
      </x:c>
      <x:c r="G236" s="15" t="n">
        <x:v>238</x:v>
      </x:c>
      <x:c r="H236" s="15" t="n">
        <x:v>0</x:v>
      </x:c>
      <x:c r="I236" s="15" t="n">
        <x:v>33.72</x:v>
      </x:c>
      <x:c r="J236" s="15" t="n">
        <x:v>0</x:v>
      </x:c>
      <x:c r="K236" s="15" t="n">
        <x:v>38</x:v>
      </x:c>
      <x:c r="L236" s="15" t="n">
        <x:v>19</x:v>
      </x:c>
      <x:c r="M236" s="15" t="n">
        <x:v>0</x:v>
      </x:c>
      <x:c r="N236" s="15" t="n">
        <x:v>0</x:v>
      </x:c>
      <x:c r="O236" s="15" t="n">
        <x:v>0</x:v>
      </x:c>
      <x:c r="P236" s="15" t="n">
        <x:v>0</x:v>
      </x:c>
      <x:c r="Q236" s="15" t="n">
        <x:v>0</x:v>
      </x:c>
      <x:c r="R236" s="15" t="n">
        <x:v>0</x:v>
      </x:c>
      <x:c r="S236" s="15" t="n">
        <x:v>0</x:v>
      </x:c>
      <x:c r="T236" s="15" t="n">
        <x:v>0</x:v>
      </x:c>
      <x:c r="U236" s="15" t="n">
        <x:v>0</x:v>
      </x:c>
      <x:c r="V236" s="15" t="n">
        <x:v>0</x:v>
      </x:c>
      <x:c r="W236" s="15" t="n">
        <x:v>0</x:v>
      </x:c>
      <x:c r="X236" s="15" t="n">
        <x:v>0</x:v>
      </x:c>
      <x:c r="Y236" s="15" t="n">
        <x:v>0</x:v>
      </x:c>
      <x:c r="Z236" s="15" t="n">
        <x:v>0</x:v>
      </x:c>
      <x:c r="AA236" s="15" t="n">
        <x:v>0</x:v>
      </x:c>
      <x:c r="AB236" s="15" t="n">
        <x:f>SUM(G236:AA236)</x:f>
        <x:v>328.72</x:v>
      </x:c>
    </x:row>
    <x:row r="237" ht="36" customHeight="1">
      <x:c r="A237" s="10" t="str">
        <x:v>T-BASE</x:v>
      </x:c>
      <x:c r="B237" s="10" t="str">
        <x:v>TEXT</x:v>
      </x:c>
      <x:c r="C237" s="10" t="str">
        <x:v>TEXT:SYN-F08-08</x:v>
      </x:c>
      <x:c r="D237" s="10" t="str">
        <x:v>TEXT:M4689</x:v>
      </x:c>
      <x:c r="E237" s="15" t="n">
        <x:v>0.16</x:v>
      </x:c>
      <x:c r="F237" s="15" t="str">
        <x:v>요청</x:v>
      </x:c>
      <x:c r="G237" s="15" t="n">
        <x:v>238</x:v>
      </x:c>
      <x:c r="H237" s="15" t="n">
        <x:v>11</x:v>
      </x:c>
      <x:c r="I237" s="15" t="n">
        <x:v>19.844</x:v>
      </x:c>
      <x:c r="J237" s="15" t="n">
        <x:v>0</x:v>
      </x:c>
      <x:c r="K237" s="15" t="n">
        <x:v>0</x:v>
      </x:c>
      <x:c r="L237" s="15" t="n">
        <x:v>0</x:v>
      </x:c>
      <x:c r="M237" s="15" t="n">
        <x:v>0</x:v>
      </x:c>
      <x:c r="N237" s="15" t="n">
        <x:v>0</x:v>
      </x:c>
      <x:c r="O237" s="15" t="n">
        <x:v>0</x:v>
      </x:c>
      <x:c r="P237" s="15" t="n">
        <x:v>0</x:v>
      </x:c>
      <x:c r="Q237" s="15" t="n">
        <x:v>0</x:v>
      </x:c>
      <x:c r="R237" s="15" t="n">
        <x:v>0</x:v>
      </x:c>
      <x:c r="S237" s="15" t="n">
        <x:v>0</x:v>
      </x:c>
      <x:c r="T237" s="15" t="n">
        <x:v>0</x:v>
      </x:c>
      <x:c r="U237" s="15" t="n">
        <x:v>0</x:v>
      </x:c>
      <x:c r="V237" s="15" t="n">
        <x:v>0</x:v>
      </x:c>
      <x:c r="W237" s="15" t="n">
        <x:v>0</x:v>
      </x:c>
      <x:c r="X237" s="15" t="n">
        <x:v>0</x:v>
      </x:c>
      <x:c r="Y237" s="15" t="n">
        <x:v>0</x:v>
      </x:c>
      <x:c r="Z237" s="15" t="n">
        <x:v>0</x:v>
      </x:c>
      <x:c r="AA237" s="15" t="n">
        <x:v>0</x:v>
      </x:c>
      <x:c r="AB237" s="15" t="n">
        <x:f>SUM(G237:AA237)</x:f>
        <x:v>268.844</x:v>
      </x:c>
    </x:row>
    <x:row r="238" ht="36" customHeight="1">
      <x:c r="A238" s="10" t="str">
        <x:v>T-EXEC</x:v>
      </x:c>
      <x:c r="B238" s="10" t="str">
        <x:v>TEXT</x:v>
      </x:c>
      <x:c r="C238" s="10" t="str">
        <x:v>TEXT:SYN-F08-08</x:v>
      </x:c>
      <x:c r="D238" s="10" t="str">
        <x:v>TEXT:M4708</x:v>
      </x:c>
      <x:c r="E238" s="15" t="n">
        <x:v>0.16</x:v>
      </x:c>
      <x:c r="F238" s="15" t="str">
        <x:v>요청</x:v>
      </x:c>
      <x:c r="G238" s="15" t="n">
        <x:v>238</x:v>
      </x:c>
      <x:c r="H238" s="15" t="n">
        <x:v>11</x:v>
      </x:c>
      <x:c r="I238" s="15" t="n">
        <x:v>19.844</x:v>
      </x:c>
      <x:c r="J238" s="15" t="n">
        <x:v>0</x:v>
      </x:c>
      <x:c r="K238" s="15" t="n">
        <x:v>0</x:v>
      </x:c>
      <x:c r="L238" s="15" t="n">
        <x:v>0</x:v>
      </x:c>
      <x:c r="M238" s="15" t="n">
        <x:v>0</x:v>
      </x:c>
      <x:c r="N238" s="15" t="n">
        <x:v>0</x:v>
      </x:c>
      <x:c r="O238" s="15" t="n">
        <x:v>0</x:v>
      </x:c>
      <x:c r="P238" s="15" t="n">
        <x:v>0</x:v>
      </x:c>
      <x:c r="Q238" s="15" t="n">
        <x:v>0</x:v>
      </x:c>
      <x:c r="R238" s="15" t="n">
        <x:v>0</x:v>
      </x:c>
      <x:c r="S238" s="15" t="n">
        <x:v>0</x:v>
      </x:c>
      <x:c r="T238" s="15" t="n">
        <x:v>0</x:v>
      </x:c>
      <x:c r="U238" s="15" t="n">
        <x:v>0</x:v>
      </x:c>
      <x:c r="V238" s="15" t="n">
        <x:v>0</x:v>
      </x:c>
      <x:c r="W238" s="15" t="n">
        <x:v>0</x:v>
      </x:c>
      <x:c r="X238" s="15" t="n">
        <x:v>0</x:v>
      </x:c>
      <x:c r="Y238" s="15" t="n">
        <x:v>0</x:v>
      </x:c>
      <x:c r="Z238" s="15" t="n">
        <x:v>0</x:v>
      </x:c>
      <x:c r="AA238" s="15" t="n">
        <x:v>0</x:v>
      </x:c>
      <x:c r="AB238" s="15" t="n">
        <x:f>SUM(G238:AA238)</x:f>
        <x:v>268.844</x:v>
      </x:c>
    </x:row>
    <x:row r="239" ht="36" customHeight="1">
      <x:c r="A239" s="10" t="str">
        <x:v>T-REL</x:v>
      </x:c>
      <x:c r="B239" s="10" t="str">
        <x:v>TEXT</x:v>
      </x:c>
      <x:c r="C239" s="10" t="str">
        <x:v>TEXT:SYN-F08-08</x:v>
      </x:c>
      <x:c r="D239" s="10" t="str">
        <x:v>TEXT:M4726</x:v>
      </x:c>
      <x:c r="E239" s="15" t="n">
        <x:v>-8</x:v>
      </x:c>
      <x:c r="F239" s="15" t="str">
        <x:v>사전 생산</x:v>
      </x:c>
      <x:c r="G239" s="15" t="n">
        <x:v>238</x:v>
      </x:c>
      <x:c r="H239" s="15" t="n">
        <x:v>0</x:v>
      </x:c>
      <x:c r="I239" s="15" t="n">
        <x:v>34.04</x:v>
      </x:c>
      <x:c r="J239" s="15" t="n">
        <x:v>0</x:v>
      </x:c>
      <x:c r="K239" s="15" t="n">
        <x:v>38</x:v>
      </x:c>
      <x:c r="L239" s="15" t="n">
        <x:v>19</x:v>
      </x:c>
      <x:c r="M239" s="15" t="n">
        <x:v>0</x:v>
      </x:c>
      <x:c r="N239" s="15" t="n">
        <x:v>0</x:v>
      </x:c>
      <x:c r="O239" s="15" t="n">
        <x:v>0</x:v>
      </x:c>
      <x:c r="P239" s="15" t="n">
        <x:v>0</x:v>
      </x:c>
      <x:c r="Q239" s="15" t="n">
        <x:v>0</x:v>
      </x:c>
      <x:c r="R239" s="15" t="n">
        <x:v>0</x:v>
      </x:c>
      <x:c r="S239" s="15" t="n">
        <x:v>0</x:v>
      </x:c>
      <x:c r="T239" s="15" t="n">
        <x:v>0</x:v>
      </x:c>
      <x:c r="U239" s="15" t="n">
        <x:v>0</x:v>
      </x:c>
      <x:c r="V239" s="15" t="n">
        <x:v>0</x:v>
      </x:c>
      <x:c r="W239" s="15" t="n">
        <x:v>0</x:v>
      </x:c>
      <x:c r="X239" s="15" t="n">
        <x:v>0</x:v>
      </x:c>
      <x:c r="Y239" s="15" t="n">
        <x:v>0</x:v>
      </x:c>
      <x:c r="Z239" s="15" t="n">
        <x:v>0</x:v>
      </x:c>
      <x:c r="AA239" s="15" t="n">
        <x:v>0</x:v>
      </x:c>
      <x:c r="AB239" s="15" t="n">
        <x:f>SUM(G239:AA239)</x:f>
        <x:v>329.04</x:v>
      </x:c>
    </x:row>
    <x:row r="240" ht="36" customHeight="1">
      <x:c r="A240" s="10" t="str">
        <x:v>T-BASE</x:v>
      </x:c>
      <x:c r="B240" s="10" t="str">
        <x:v>TEXT</x:v>
      </x:c>
      <x:c r="C240" s="10" t="str">
        <x:v>TEXT:SYN-F08-09</x:v>
      </x:c>
      <x:c r="D240" s="10" t="str">
        <x:v>TEXT:M4750</x:v>
      </x:c>
      <x:c r="E240" s="15" t="n">
        <x:v>0.16</x:v>
      </x:c>
      <x:c r="F240" s="15" t="str">
        <x:v>요청</x:v>
      </x:c>
      <x:c r="G240" s="15" t="n">
        <x:v>238</x:v>
      </x:c>
      <x:c r="H240" s="15" t="n">
        <x:v>11</x:v>
      </x:c>
      <x:c r="I240" s="15" t="n">
        <x:v>19.936</x:v>
      </x:c>
      <x:c r="J240" s="15" t="n">
        <x:v>0</x:v>
      </x:c>
      <x:c r="K240" s="15" t="n">
        <x:v>0</x:v>
      </x:c>
      <x:c r="L240" s="15" t="n">
        <x:v>0</x:v>
      </x:c>
      <x:c r="M240" s="15" t="n">
        <x:v>0</x:v>
      </x:c>
      <x:c r="N240" s="15" t="n">
        <x:v>0</x:v>
      </x:c>
      <x:c r="O240" s="15" t="n">
        <x:v>0</x:v>
      </x:c>
      <x:c r="P240" s="15" t="n">
        <x:v>0</x:v>
      </x:c>
      <x:c r="Q240" s="15" t="n">
        <x:v>0</x:v>
      </x:c>
      <x:c r="R240" s="15" t="n">
        <x:v>0</x:v>
      </x:c>
      <x:c r="S240" s="15" t="n">
        <x:v>0</x:v>
      </x:c>
      <x:c r="T240" s="15" t="n">
        <x:v>0</x:v>
      </x:c>
      <x:c r="U240" s="15" t="n">
        <x:v>0</x:v>
      </x:c>
      <x:c r="V240" s="15" t="n">
        <x:v>0</x:v>
      </x:c>
      <x:c r="W240" s="15" t="n">
        <x:v>0</x:v>
      </x:c>
      <x:c r="X240" s="15" t="n">
        <x:v>0</x:v>
      </x:c>
      <x:c r="Y240" s="15" t="n">
        <x:v>0</x:v>
      </x:c>
      <x:c r="Z240" s="15" t="n">
        <x:v>0</x:v>
      </x:c>
      <x:c r="AA240" s="15" t="n">
        <x:v>0</x:v>
      </x:c>
      <x:c r="AB240" s="15" t="n">
        <x:f>SUM(G240:AA240)</x:f>
        <x:v>268.936</x:v>
      </x:c>
    </x:row>
    <x:row r="241" ht="36" customHeight="1">
      <x:c r="A241" s="10" t="str">
        <x:v>T-EXEC</x:v>
      </x:c>
      <x:c r="B241" s="10" t="str">
        <x:v>TEXT</x:v>
      </x:c>
      <x:c r="C241" s="10" t="str">
        <x:v>TEXT:SYN-F08-09</x:v>
      </x:c>
      <x:c r="D241" s="10" t="str">
        <x:v>TEXT:M4769</x:v>
      </x:c>
      <x:c r="E241" s="15" t="n">
        <x:v>0.16</x:v>
      </x:c>
      <x:c r="F241" s="15" t="str">
        <x:v>요청</x:v>
      </x:c>
      <x:c r="G241" s="15" t="n">
        <x:v>238</x:v>
      </x:c>
      <x:c r="H241" s="15" t="n">
        <x:v>11</x:v>
      </x:c>
      <x:c r="I241" s="15" t="n">
        <x:v>19.936</x:v>
      </x:c>
      <x:c r="J241" s="15" t="n">
        <x:v>0</x:v>
      </x:c>
      <x:c r="K241" s="15" t="n">
        <x:v>0</x:v>
      </x:c>
      <x:c r="L241" s="15" t="n">
        <x:v>0</x:v>
      </x:c>
      <x:c r="M241" s="15" t="n">
        <x:v>0</x:v>
      </x:c>
      <x:c r="N241" s="15" t="n">
        <x:v>0</x:v>
      </x:c>
      <x:c r="O241" s="15" t="n">
        <x:v>0</x:v>
      </x:c>
      <x:c r="P241" s="15" t="n">
        <x:v>0</x:v>
      </x:c>
      <x:c r="Q241" s="15" t="n">
        <x:v>0</x:v>
      </x:c>
      <x:c r="R241" s="15" t="n">
        <x:v>0</x:v>
      </x:c>
      <x:c r="S241" s="15" t="n">
        <x:v>0</x:v>
      </x:c>
      <x:c r="T241" s="15" t="n">
        <x:v>0</x:v>
      </x:c>
      <x:c r="U241" s="15" t="n">
        <x:v>0</x:v>
      </x:c>
      <x:c r="V241" s="15" t="n">
        <x:v>0</x:v>
      </x:c>
      <x:c r="W241" s="15" t="n">
        <x:v>0</x:v>
      </x:c>
      <x:c r="X241" s="15" t="n">
        <x:v>0</x:v>
      </x:c>
      <x:c r="Y241" s="15" t="n">
        <x:v>0</x:v>
      </x:c>
      <x:c r="Z241" s="15" t="n">
        <x:v>0</x:v>
      </x:c>
      <x:c r="AA241" s="15" t="n">
        <x:v>0</x:v>
      </x:c>
      <x:c r="AB241" s="15" t="n">
        <x:f>SUM(G241:AA241)</x:f>
        <x:v>268.936</x:v>
      </x:c>
    </x:row>
    <x:row r="242" ht="36" customHeight="1">
      <x:c r="A242" s="10" t="str">
        <x:v>T-REL</x:v>
      </x:c>
      <x:c r="B242" s="10" t="str">
        <x:v>TEXT</x:v>
      </x:c>
      <x:c r="C242" s="10" t="str">
        <x:v>TEXT:SYN-F08-09</x:v>
      </x:c>
      <x:c r="D242" s="10" t="str">
        <x:v>TEXT:M4787</x:v>
      </x:c>
      <x:c r="E242" s="15" t="n">
        <x:v>-8</x:v>
      </x:c>
      <x:c r="F242" s="15" t="str">
        <x:v>사전 생산</x:v>
      </x:c>
      <x:c r="G242" s="15" t="n">
        <x:v>238</x:v>
      </x:c>
      <x:c r="H242" s="15" t="n">
        <x:v>0</x:v>
      </x:c>
      <x:c r="I242" s="15" t="n">
        <x:v>34.36</x:v>
      </x:c>
      <x:c r="J242" s="15" t="n">
        <x:v>0</x:v>
      </x:c>
      <x:c r="K242" s="15" t="n">
        <x:v>38</x:v>
      </x:c>
      <x:c r="L242" s="15" t="n">
        <x:v>19</x:v>
      </x:c>
      <x:c r="M242" s="15" t="n">
        <x:v>0</x:v>
      </x:c>
      <x:c r="N242" s="15" t="n">
        <x:v>0</x:v>
      </x:c>
      <x:c r="O242" s="15" t="n">
        <x:v>0</x:v>
      </x:c>
      <x:c r="P242" s="15" t="n">
        <x:v>0</x:v>
      </x:c>
      <x:c r="Q242" s="15" t="n">
        <x:v>0</x:v>
      </x:c>
      <x:c r="R242" s="15" t="n">
        <x:v>0</x:v>
      </x:c>
      <x:c r="S242" s="15" t="n">
        <x:v>0</x:v>
      </x:c>
      <x:c r="T242" s="15" t="n">
        <x:v>0</x:v>
      </x:c>
      <x:c r="U242" s="15" t="n">
        <x:v>0</x:v>
      </x:c>
      <x:c r="V242" s="15" t="n">
        <x:v>0</x:v>
      </x:c>
      <x:c r="W242" s="15" t="n">
        <x:v>0</x:v>
      </x:c>
      <x:c r="X242" s="15" t="n">
        <x:v>0</x:v>
      </x:c>
      <x:c r="Y242" s="15" t="n">
        <x:v>0</x:v>
      </x:c>
      <x:c r="Z242" s="15" t="n">
        <x:v>0</x:v>
      </x:c>
      <x:c r="AA242" s="15" t="n">
        <x:v>0</x:v>
      </x:c>
      <x:c r="AB242" s="15" t="n">
        <x:f>SUM(G242:AA242)</x:f>
        <x:v>329.36</x:v>
      </x:c>
    </x:row>
    <x:row r="243" ht="36" customHeight="1">
      <x:c r="A243" s="10" t="str">
        <x:v>T-BASE</x:v>
      </x:c>
      <x:c r="B243" s="10" t="str">
        <x:v>TEXT</x:v>
      </x:c>
      <x:c r="C243" s="10" t="str">
        <x:v>TEXT:SYN-F08-10</x:v>
      </x:c>
      <x:c r="D243" s="10" t="str">
        <x:v>TEXT:M4811</x:v>
      </x:c>
      <x:c r="E243" s="15" t="n">
        <x:v>0.16</x:v>
      </x:c>
      <x:c r="F243" s="15" t="str">
        <x:v>요청</x:v>
      </x:c>
      <x:c r="G243" s="15" t="n">
        <x:v>238</x:v>
      </x:c>
      <x:c r="H243" s="15" t="n">
        <x:v>11</x:v>
      </x:c>
      <x:c r="I243" s="15" t="n">
        <x:v>20.028</x:v>
      </x:c>
      <x:c r="J243" s="15" t="n">
        <x:v>0</x:v>
      </x:c>
      <x:c r="K243" s="15" t="n">
        <x:v>0</x:v>
      </x:c>
      <x:c r="L243" s="15" t="n">
        <x:v>0</x:v>
      </x:c>
      <x:c r="M243" s="15" t="n">
        <x:v>0</x:v>
      </x:c>
      <x:c r="N243" s="15" t="n">
        <x:v>0</x:v>
      </x:c>
      <x:c r="O243" s="15" t="n">
        <x:v>0</x:v>
      </x:c>
      <x:c r="P243" s="15" t="n">
        <x:v>0</x:v>
      </x:c>
      <x:c r="Q243" s="15" t="n">
        <x:v>0</x:v>
      </x:c>
      <x:c r="R243" s="15" t="n">
        <x:v>0</x:v>
      </x:c>
      <x:c r="S243" s="15" t="n">
        <x:v>0</x:v>
      </x:c>
      <x:c r="T243" s="15" t="n">
        <x:v>0</x:v>
      </x:c>
      <x:c r="U243" s="15" t="n">
        <x:v>0</x:v>
      </x:c>
      <x:c r="V243" s="15" t="n">
        <x:v>0</x:v>
      </x:c>
      <x:c r="W243" s="15" t="n">
        <x:v>0</x:v>
      </x:c>
      <x:c r="X243" s="15" t="n">
        <x:v>0</x:v>
      </x:c>
      <x:c r="Y243" s="15" t="n">
        <x:v>0</x:v>
      </x:c>
      <x:c r="Z243" s="15" t="n">
        <x:v>0</x:v>
      </x:c>
      <x:c r="AA243" s="15" t="n">
        <x:v>0</x:v>
      </x:c>
      <x:c r="AB243" s="15" t="n">
        <x:f>SUM(G243:AA243)</x:f>
        <x:v>269.028</x:v>
      </x:c>
    </x:row>
    <x:row r="244" ht="36" customHeight="1">
      <x:c r="A244" s="10" t="str">
        <x:v>T-EXEC</x:v>
      </x:c>
      <x:c r="B244" s="10" t="str">
        <x:v>TEXT</x:v>
      </x:c>
      <x:c r="C244" s="10" t="str">
        <x:v>TEXT:SYN-F08-10</x:v>
      </x:c>
      <x:c r="D244" s="10" t="str">
        <x:v>TEXT:M4830</x:v>
      </x:c>
      <x:c r="E244" s="15" t="n">
        <x:v>0.16</x:v>
      </x:c>
      <x:c r="F244" s="15" t="str">
        <x:v>요청</x:v>
      </x:c>
      <x:c r="G244" s="15" t="n">
        <x:v>238</x:v>
      </x:c>
      <x:c r="H244" s="15" t="n">
        <x:v>11</x:v>
      </x:c>
      <x:c r="I244" s="15" t="n">
        <x:v>20.028</x:v>
      </x:c>
      <x:c r="J244" s="15" t="n">
        <x:v>0</x:v>
      </x:c>
      <x:c r="K244" s="15" t="n">
        <x:v>0</x:v>
      </x:c>
      <x:c r="L244" s="15" t="n">
        <x:v>0</x:v>
      </x:c>
      <x:c r="M244" s="15" t="n">
        <x:v>0</x:v>
      </x:c>
      <x:c r="N244" s="15" t="n">
        <x:v>0</x:v>
      </x:c>
      <x:c r="O244" s="15" t="n">
        <x:v>0</x:v>
      </x:c>
      <x:c r="P244" s="15" t="n">
        <x:v>0</x:v>
      </x:c>
      <x:c r="Q244" s="15" t="n">
        <x:v>0</x:v>
      </x:c>
      <x:c r="R244" s="15" t="n">
        <x:v>0</x:v>
      </x:c>
      <x:c r="S244" s="15" t="n">
        <x:v>0</x:v>
      </x:c>
      <x:c r="T244" s="15" t="n">
        <x:v>0</x:v>
      </x:c>
      <x:c r="U244" s="15" t="n">
        <x:v>0</x:v>
      </x:c>
      <x:c r="V244" s="15" t="n">
        <x:v>0</x:v>
      </x:c>
      <x:c r="W244" s="15" t="n">
        <x:v>0</x:v>
      </x:c>
      <x:c r="X244" s="15" t="n">
        <x:v>0</x:v>
      </x:c>
      <x:c r="Y244" s="15" t="n">
        <x:v>0</x:v>
      </x:c>
      <x:c r="Z244" s="15" t="n">
        <x:v>0</x:v>
      </x:c>
      <x:c r="AA244" s="15" t="n">
        <x:v>0</x:v>
      </x:c>
      <x:c r="AB244" s="15" t="n">
        <x:f>SUM(G244:AA244)</x:f>
        <x:v>269.028</x:v>
      </x:c>
    </x:row>
    <x:row r="245" ht="36" customHeight="1">
      <x:c r="A245" s="10" t="str">
        <x:v>T-REL</x:v>
      </x:c>
      <x:c r="B245" s="10" t="str">
        <x:v>TEXT</x:v>
      </x:c>
      <x:c r="C245" s="10" t="str">
        <x:v>TEXT:SYN-F08-10</x:v>
      </x:c>
      <x:c r="D245" s="10" t="str">
        <x:v>TEXT:M4848</x:v>
      </x:c>
      <x:c r="E245" s="15" t="n">
        <x:v>-8</x:v>
      </x:c>
      <x:c r="F245" s="15" t="str">
        <x:v>사전 생산</x:v>
      </x:c>
      <x:c r="G245" s="15" t="n">
        <x:v>238</x:v>
      </x:c>
      <x:c r="H245" s="15" t="n">
        <x:v>0</x:v>
      </x:c>
      <x:c r="I245" s="15" t="n">
        <x:v>34.68</x:v>
      </x:c>
      <x:c r="J245" s="15" t="n">
        <x:v>0</x:v>
      </x:c>
      <x:c r="K245" s="15" t="n">
        <x:v>38</x:v>
      </x:c>
      <x:c r="L245" s="15" t="n">
        <x:v>19</x:v>
      </x:c>
      <x:c r="M245" s="15" t="n">
        <x:v>0</x:v>
      </x:c>
      <x:c r="N245" s="15" t="n">
        <x:v>0</x:v>
      </x:c>
      <x:c r="O245" s="15" t="n">
        <x:v>0</x:v>
      </x:c>
      <x:c r="P245" s="15" t="n">
        <x:v>0</x:v>
      </x:c>
      <x:c r="Q245" s="15" t="n">
        <x:v>0</x:v>
      </x:c>
      <x:c r="R245" s="15" t="n">
        <x:v>0</x:v>
      </x:c>
      <x:c r="S245" s="15" t="n">
        <x:v>0</x:v>
      </x:c>
      <x:c r="T245" s="15" t="n">
        <x:v>0</x:v>
      </x:c>
      <x:c r="U245" s="15" t="n">
        <x:v>0</x:v>
      </x:c>
      <x:c r="V245" s="15" t="n">
        <x:v>0</x:v>
      </x:c>
      <x:c r="W245" s="15" t="n">
        <x:v>0</x:v>
      </x:c>
      <x:c r="X245" s="15" t="n">
        <x:v>0</x:v>
      </x:c>
      <x:c r="Y245" s="15" t="n">
        <x:v>0</x:v>
      </x:c>
      <x:c r="Z245" s="15" t="n">
        <x:v>0</x:v>
      </x:c>
      <x:c r="AA245" s="15" t="n">
        <x:v>0</x:v>
      </x:c>
      <x:c r="AB245" s="15" t="n">
        <x:f>SUM(G245:AA245)</x:f>
        <x:v>329.68</x:v>
      </x:c>
    </x:row>
    <x:row r="246" ht="36" customHeight="1">
      <x:c r="A246" s="10" t="str">
        <x:v>T-BASE</x:v>
      </x:c>
      <x:c r="B246" s="10" t="str">
        <x:v>TEXT</x:v>
      </x:c>
      <x:c r="C246" s="10" t="str">
        <x:v>TEXT:SYN-F09-01</x:v>
      </x:c>
      <x:c r="D246" s="10" t="str">
        <x:v>TEXT:M4872</x:v>
      </x:c>
      <x:c r="E246" s="15" t="n">
        <x:v>0.34</x:v>
      </x:c>
      <x:c r="F246" s="15" t="str">
        <x:v>요청</x:v>
      </x:c>
      <x:c r="G246" s="15" t="n">
        <x:v>238</x:v>
      </x:c>
      <x:c r="H246" s="15" t="n">
        <x:v>11</x:v>
      </x:c>
      <x:c r="I246" s="15" t="n">
        <x:v>26.72</x:v>
      </x:c>
      <x:c r="J246" s="15" t="n">
        <x:v>0</x:v>
      </x:c>
      <x:c r="K246" s="15" t="n">
        <x:v>0</x:v>
      </x:c>
      <x:c r="L246" s="15" t="n">
        <x:v>0</x:v>
      </x:c>
      <x:c r="M246" s="15" t="n">
        <x:v>0</x:v>
      </x:c>
      <x:c r="N246" s="15" t="n">
        <x:v>0</x:v>
      </x:c>
      <x:c r="O246" s="15" t="n">
        <x:v>0</x:v>
      </x:c>
      <x:c r="P246" s="15" t="n">
        <x:v>0</x:v>
      </x:c>
      <x:c r="Q246" s="15" t="n">
        <x:v>0</x:v>
      </x:c>
      <x:c r="R246" s="15" t="n">
        <x:v>0</x:v>
      </x:c>
      <x:c r="S246" s="15" t="n">
        <x:v>0</x:v>
      </x:c>
      <x:c r="T246" s="15" t="n">
        <x:v>0</x:v>
      </x:c>
      <x:c r="U246" s="15" t="n">
        <x:v>0</x:v>
      </x:c>
      <x:c r="V246" s="15" t="n">
        <x:v>0</x:v>
      </x:c>
      <x:c r="W246" s="15" t="n">
        <x:v>0</x:v>
      </x:c>
      <x:c r="X246" s="15" t="n">
        <x:v>0</x:v>
      </x:c>
      <x:c r="Y246" s="15" t="n">
        <x:v>0</x:v>
      </x:c>
      <x:c r="Z246" s="15" t="n">
        <x:v>0</x:v>
      </x:c>
      <x:c r="AA246" s="15" t="n">
        <x:v>0</x:v>
      </x:c>
      <x:c r="AB246" s="15" t="n">
        <x:f>SUM(G246:AA246)</x:f>
        <x:v>275.72</x:v>
      </x:c>
    </x:row>
    <x:row r="247" ht="36" customHeight="1">
      <x:c r="A247" s="10" t="str">
        <x:v>T-EXEC</x:v>
      </x:c>
      <x:c r="B247" s="10" t="str">
        <x:v>TEXT</x:v>
      </x:c>
      <x:c r="C247" s="10" t="str">
        <x:v>TEXT:SYN-F09-01</x:v>
      </x:c>
      <x:c r="D247" s="10" t="str">
        <x:v>TEXT:M4894</x:v>
      </x:c>
      <x:c r="E247" s="15" t="n">
        <x:v>3.267143</x:v>
      </x:c>
      <x:c r="F247" s="15" t="str">
        <x:v>요청</x:v>
      </x:c>
      <x:c r="G247" s="15" t="n">
        <x:v>238</x:v>
      </x:c>
      <x:c r="H247" s="15" t="n">
        <x:v>22</x:v>
      </x:c>
      <x:c r="I247" s="15" t="n">
        <x:v>24.748</x:v>
      </x:c>
      <x:c r="J247" s="15" t="n">
        <x:v>7</x:v>
      </x:c>
      <x:c r="K247" s="15" t="n">
        <x:v>0</x:v>
      </x:c>
      <x:c r="L247" s="15" t="n">
        <x:v>0</x:v>
      </x:c>
      <x:c r="M247" s="15" t="n">
        <x:v>0</x:v>
      </x:c>
      <x:c r="N247" s="15" t="n">
        <x:v>0</x:v>
      </x:c>
      <x:c r="O247" s="15" t="n">
        <x:v>0</x:v>
      </x:c>
      <x:c r="P247" s="15" t="n">
        <x:v>0</x:v>
      </x:c>
      <x:c r="Q247" s="15" t="n">
        <x:v>0</x:v>
      </x:c>
      <x:c r="R247" s="15" t="n">
        <x:v>0</x:v>
      </x:c>
      <x:c r="S247" s="15" t="n">
        <x:v>0</x:v>
      </x:c>
      <x:c r="T247" s="15" t="n">
        <x:v>0</x:v>
      </x:c>
      <x:c r="U247" s="15" t="n">
        <x:v>0</x:v>
      </x:c>
      <x:c r="V247" s="15" t="n">
        <x:v>0</x:v>
      </x:c>
      <x:c r="W247" s="15" t="n">
        <x:v>0</x:v>
      </x:c>
      <x:c r="X247" s="15" t="n">
        <x:v>0</x:v>
      </x:c>
      <x:c r="Y247" s="15" t="n">
        <x:v>0</x:v>
      </x:c>
      <x:c r="Z247" s="15" t="n">
        <x:v>0</x:v>
      </x:c>
      <x:c r="AA247" s="15" t="n">
        <x:v>0</x:v>
      </x:c>
      <x:c r="AB247" s="15" t="n">
        <x:f>SUM(G247:AA247)</x:f>
        <x:v>291.748</x:v>
      </x:c>
    </x:row>
    <x:row r="248" ht="36" customHeight="1">
      <x:c r="A248" s="10" t="str">
        <x:v>T-REL</x:v>
      </x:c>
      <x:c r="B248" s="10" t="str">
        <x:v>TEXT</x:v>
      </x:c>
      <x:c r="C248" s="10" t="str">
        <x:v>TEXT:SYN-F09-01</x:v>
      </x:c>
      <x:c r="D248" s="10" t="str">
        <x:v>TEXT:M4904</x:v>
      </x:c>
      <x:c r="E248" s="15" t="n">
        <x:v>-8</x:v>
      </x:c>
      <x:c r="F248" s="15" t="str">
        <x:v>사전 생산</x:v>
      </x:c>
      <x:c r="G248" s="15" t="n">
        <x:v>238</x:v>
      </x:c>
      <x:c r="H248" s="15" t="n">
        <x:v>0</x:v>
      </x:c>
      <x:c r="I248" s="15" t="n">
        <x:v>31.8</x:v>
      </x:c>
      <x:c r="J248" s="15" t="n">
        <x:v>0</x:v>
      </x:c>
      <x:c r="K248" s="15" t="n">
        <x:v>38</x:v>
      </x:c>
      <x:c r="L248" s="15" t="n">
        <x:v>19</x:v>
      </x:c>
      <x:c r="M248" s="15" t="n">
        <x:v>0</x:v>
      </x:c>
      <x:c r="N248" s="15" t="n">
        <x:v>0</x:v>
      </x:c>
      <x:c r="O248" s="15" t="n">
        <x:v>0</x:v>
      </x:c>
      <x:c r="P248" s="15" t="n">
        <x:v>0</x:v>
      </x:c>
      <x:c r="Q248" s="15" t="n">
        <x:v>0</x:v>
      </x:c>
      <x:c r="R248" s="15" t="n">
        <x:v>0</x:v>
      </x:c>
      <x:c r="S248" s="15" t="n">
        <x:v>0</x:v>
      </x:c>
      <x:c r="T248" s="15" t="n">
        <x:v>0</x:v>
      </x:c>
      <x:c r="U248" s="15" t="n">
        <x:v>0</x:v>
      </x:c>
      <x:c r="V248" s="15" t="n">
        <x:v>0</x:v>
      </x:c>
      <x:c r="W248" s="15" t="n">
        <x:v>0</x:v>
      </x:c>
      <x:c r="X248" s="15" t="n">
        <x:v>0</x:v>
      </x:c>
      <x:c r="Y248" s="15" t="n">
        <x:v>0</x:v>
      </x:c>
      <x:c r="Z248" s="15" t="n">
        <x:v>0</x:v>
      </x:c>
      <x:c r="AA248" s="15" t="n">
        <x:v>0</x:v>
      </x:c>
      <x:c r="AB248" s="15" t="n">
        <x:f>SUM(G248:AA248)</x:f>
        <x:v>326.8</x:v>
      </x:c>
    </x:row>
    <x:row r="249" ht="36" customHeight="1">
      <x:c r="A249" s="10" t="str">
        <x:v>T-BASE</x:v>
      </x:c>
      <x:c r="B249" s="10" t="str">
        <x:v>TEXT</x:v>
      </x:c>
      <x:c r="C249" s="10" t="str">
        <x:v>TEXT:SYN-F09-02</x:v>
      </x:c>
      <x:c r="D249" s="10" t="str">
        <x:v>TEXT:M4926</x:v>
      </x:c>
      <x:c r="E249" s="15" t="n">
        <x:v>0.365</x:v>
      </x:c>
      <x:c r="F249" s="15" t="str">
        <x:v>요청</x:v>
      </x:c>
      <x:c r="G249" s="15" t="n">
        <x:v>238</x:v>
      </x:c>
      <x:c r="H249" s="15" t="n">
        <x:v>11</x:v>
      </x:c>
      <x:c r="I249" s="15" t="n">
        <x:v>26.812</x:v>
      </x:c>
      <x:c r="J249" s="15" t="n">
        <x:v>0</x:v>
      </x:c>
      <x:c r="K249" s="15" t="n">
        <x:v>0</x:v>
      </x:c>
      <x:c r="L249" s="15" t="n">
        <x:v>0</x:v>
      </x:c>
      <x:c r="M249" s="15" t="n">
        <x:v>0</x:v>
      </x:c>
      <x:c r="N249" s="15" t="n">
        <x:v>0</x:v>
      </x:c>
      <x:c r="O249" s="15" t="n">
        <x:v>0</x:v>
      </x:c>
      <x:c r="P249" s="15" t="n">
        <x:v>0</x:v>
      </x:c>
      <x:c r="Q249" s="15" t="n">
        <x:v>0</x:v>
      </x:c>
      <x:c r="R249" s="15" t="n">
        <x:v>0</x:v>
      </x:c>
      <x:c r="S249" s="15" t="n">
        <x:v>0</x:v>
      </x:c>
      <x:c r="T249" s="15" t="n">
        <x:v>0</x:v>
      </x:c>
      <x:c r="U249" s="15" t="n">
        <x:v>0</x:v>
      </x:c>
      <x:c r="V249" s="15" t="n">
        <x:v>0</x:v>
      </x:c>
      <x:c r="W249" s="15" t="n">
        <x:v>0</x:v>
      </x:c>
      <x:c r="X249" s="15" t="n">
        <x:v>0</x:v>
      </x:c>
      <x:c r="Y249" s="15" t="n">
        <x:v>0</x:v>
      </x:c>
      <x:c r="Z249" s="15" t="n">
        <x:v>0</x:v>
      </x:c>
      <x:c r="AA249" s="15" t="n">
        <x:v>0</x:v>
      </x:c>
      <x:c r="AB249" s="15" t="n">
        <x:f>SUM(G249:AA249)</x:f>
        <x:v>275.812</x:v>
      </x:c>
    </x:row>
    <x:row r="250" ht="36" customHeight="1">
      <x:c r="A250" s="10" t="str">
        <x:v>T-EXEC</x:v>
      </x:c>
      <x:c r="B250" s="10" t="str">
        <x:v>TEXT</x:v>
      </x:c>
      <x:c r="C250" s="10" t="str">
        <x:v>TEXT:SYN-F09-02</x:v>
      </x:c>
      <x:c r="D250" s="10" t="str">
        <x:v>TEXT:M4948</x:v>
      </x:c>
      <x:c r="E250" s="15" t="n">
        <x:v>3.339643</x:v>
      </x:c>
      <x:c r="F250" s="15" t="str">
        <x:v>요청</x:v>
      </x:c>
      <x:c r="G250" s="15" t="n">
        <x:v>238</x:v>
      </x:c>
      <x:c r="H250" s="15" t="n">
        <x:v>22</x:v>
      </x:c>
      <x:c r="I250" s="15" t="n">
        <x:v>24.84</x:v>
      </x:c>
      <x:c r="J250" s="15" t="n">
        <x:v>7</x:v>
      </x:c>
      <x:c r="K250" s="15" t="n">
        <x:v>0</x:v>
      </x:c>
      <x:c r="L250" s="15" t="n">
        <x:v>0</x:v>
      </x:c>
      <x:c r="M250" s="15" t="n">
        <x:v>0</x:v>
      </x:c>
      <x:c r="N250" s="15" t="n">
        <x:v>0</x:v>
      </x:c>
      <x:c r="O250" s="15" t="n">
        <x:v>0</x:v>
      </x:c>
      <x:c r="P250" s="15" t="n">
        <x:v>0</x:v>
      </x:c>
      <x:c r="Q250" s="15" t="n">
        <x:v>0</x:v>
      </x:c>
      <x:c r="R250" s="15" t="n">
        <x:v>0</x:v>
      </x:c>
      <x:c r="S250" s="15" t="n">
        <x:v>0</x:v>
      </x:c>
      <x:c r="T250" s="15" t="n">
        <x:v>0</x:v>
      </x:c>
      <x:c r="U250" s="15" t="n">
        <x:v>0</x:v>
      </x:c>
      <x:c r="V250" s="15" t="n">
        <x:v>0</x:v>
      </x:c>
      <x:c r="W250" s="15" t="n">
        <x:v>0</x:v>
      </x:c>
      <x:c r="X250" s="15" t="n">
        <x:v>0</x:v>
      </x:c>
      <x:c r="Y250" s="15" t="n">
        <x:v>0</x:v>
      </x:c>
      <x:c r="Z250" s="15" t="n">
        <x:v>0</x:v>
      </x:c>
      <x:c r="AA250" s="15" t="n">
        <x:v>0</x:v>
      </x:c>
      <x:c r="AB250" s="15" t="n">
        <x:f>SUM(G250:AA250)</x:f>
        <x:v>291.84</x:v>
      </x:c>
    </x:row>
    <x:row r="251" ht="36" customHeight="1">
      <x:c r="A251" s="10" t="str">
        <x:v>T-REL</x:v>
      </x:c>
      <x:c r="B251" s="10" t="str">
        <x:v>TEXT</x:v>
      </x:c>
      <x:c r="C251" s="10" t="str">
        <x:v>TEXT:SYN-F09-02</x:v>
      </x:c>
      <x:c r="D251" s="10" t="str">
        <x:v>TEXT:M4958</x:v>
      </x:c>
      <x:c r="E251" s="15" t="n">
        <x:v>-8</x:v>
      </x:c>
      <x:c r="F251" s="15" t="str">
        <x:v>사전 생산</x:v>
      </x:c>
      <x:c r="G251" s="15" t="n">
        <x:v>238</x:v>
      </x:c>
      <x:c r="H251" s="15" t="n">
        <x:v>0</x:v>
      </x:c>
      <x:c r="I251" s="15" t="n">
        <x:v>32.12</x:v>
      </x:c>
      <x:c r="J251" s="15" t="n">
        <x:v>0</x:v>
      </x:c>
      <x:c r="K251" s="15" t="n">
        <x:v>38</x:v>
      </x:c>
      <x:c r="L251" s="15" t="n">
        <x:v>19</x:v>
      </x:c>
      <x:c r="M251" s="15" t="n">
        <x:v>0</x:v>
      </x:c>
      <x:c r="N251" s="15" t="n">
        <x:v>0</x:v>
      </x:c>
      <x:c r="O251" s="15" t="n">
        <x:v>0</x:v>
      </x:c>
      <x:c r="P251" s="15" t="n">
        <x:v>0</x:v>
      </x:c>
      <x:c r="Q251" s="15" t="n">
        <x:v>0</x:v>
      </x:c>
      <x:c r="R251" s="15" t="n">
        <x:v>0</x:v>
      </x:c>
      <x:c r="S251" s="15" t="n">
        <x:v>0</x:v>
      </x:c>
      <x:c r="T251" s="15" t="n">
        <x:v>0</x:v>
      </x:c>
      <x:c r="U251" s="15" t="n">
        <x:v>0</x:v>
      </x:c>
      <x:c r="V251" s="15" t="n">
        <x:v>0</x:v>
      </x:c>
      <x:c r="W251" s="15" t="n">
        <x:v>0</x:v>
      </x:c>
      <x:c r="X251" s="15" t="n">
        <x:v>0</x:v>
      </x:c>
      <x:c r="Y251" s="15" t="n">
        <x:v>0</x:v>
      </x:c>
      <x:c r="Z251" s="15" t="n">
        <x:v>0</x:v>
      </x:c>
      <x:c r="AA251" s="15" t="n">
        <x:v>0</x:v>
      </x:c>
      <x:c r="AB251" s="15" t="n">
        <x:f>SUM(G251:AA251)</x:f>
        <x:v>327.12</x:v>
      </x:c>
    </x:row>
    <x:row r="252" ht="36" customHeight="1">
      <x:c r="A252" s="10" t="str">
        <x:v>T-BASE</x:v>
      </x:c>
      <x:c r="B252" s="10" t="str">
        <x:v>TEXT</x:v>
      </x:c>
      <x:c r="C252" s="10" t="str">
        <x:v>TEXT:SYN-F09-03</x:v>
      </x:c>
      <x:c r="D252" s="10" t="str">
        <x:v>TEXT:M4980</x:v>
      </x:c>
      <x:c r="E252" s="15" t="n">
        <x:v>0.39</x:v>
      </x:c>
      <x:c r="F252" s="15" t="str">
        <x:v>요청</x:v>
      </x:c>
      <x:c r="G252" s="15" t="n">
        <x:v>238</x:v>
      </x:c>
      <x:c r="H252" s="15" t="n">
        <x:v>11</x:v>
      </x:c>
      <x:c r="I252" s="15" t="n">
        <x:v>26.904</x:v>
      </x:c>
      <x:c r="J252" s="15" t="n">
        <x:v>0</x:v>
      </x:c>
      <x:c r="K252" s="15" t="n">
        <x:v>0</x:v>
      </x:c>
      <x:c r="L252" s="15" t="n">
        <x:v>0</x:v>
      </x:c>
      <x:c r="M252" s="15" t="n">
        <x:v>0</x:v>
      </x:c>
      <x:c r="N252" s="15" t="n">
        <x:v>0</x:v>
      </x:c>
      <x:c r="O252" s="15" t="n">
        <x:v>0</x:v>
      </x:c>
      <x:c r="P252" s="15" t="n">
        <x:v>0</x:v>
      </x:c>
      <x:c r="Q252" s="15" t="n">
        <x:v>0</x:v>
      </x:c>
      <x:c r="R252" s="15" t="n">
        <x:v>0</x:v>
      </x:c>
      <x:c r="S252" s="15" t="n">
        <x:v>0</x:v>
      </x:c>
      <x:c r="T252" s="15" t="n">
        <x:v>0</x:v>
      </x:c>
      <x:c r="U252" s="15" t="n">
        <x:v>0</x:v>
      </x:c>
      <x:c r="V252" s="15" t="n">
        <x:v>0</x:v>
      </x:c>
      <x:c r="W252" s="15" t="n">
        <x:v>0</x:v>
      </x:c>
      <x:c r="X252" s="15" t="n">
        <x:v>0</x:v>
      </x:c>
      <x:c r="Y252" s="15" t="n">
        <x:v>0</x:v>
      </x:c>
      <x:c r="Z252" s="15" t="n">
        <x:v>0</x:v>
      </x:c>
      <x:c r="AA252" s="15" t="n">
        <x:v>0</x:v>
      </x:c>
      <x:c r="AB252" s="15" t="n">
        <x:f>SUM(G252:AA252)</x:f>
        <x:v>275.904</x:v>
      </x:c>
    </x:row>
    <x:row r="253" ht="36" customHeight="1">
      <x:c r="A253" s="10" t="str">
        <x:v>T-EXEC</x:v>
      </x:c>
      <x:c r="B253" s="10" t="str">
        <x:v>TEXT</x:v>
      </x:c>
      <x:c r="C253" s="10" t="str">
        <x:v>TEXT:SYN-F09-03</x:v>
      </x:c>
      <x:c r="D253" s="10" t="str">
        <x:v>TEXT:M5002</x:v>
      </x:c>
      <x:c r="E253" s="15" t="n">
        <x:v>3.412143</x:v>
      </x:c>
      <x:c r="F253" s="15" t="str">
        <x:v>요청</x:v>
      </x:c>
      <x:c r="G253" s="15" t="n">
        <x:v>238</x:v>
      </x:c>
      <x:c r="H253" s="15" t="n">
        <x:v>22</x:v>
      </x:c>
      <x:c r="I253" s="15" t="n">
        <x:v>24.932</x:v>
      </x:c>
      <x:c r="J253" s="15" t="n">
        <x:v>7</x:v>
      </x:c>
      <x:c r="K253" s="15" t="n">
        <x:v>0</x:v>
      </x:c>
      <x:c r="L253" s="15" t="n">
        <x:v>0</x:v>
      </x:c>
      <x:c r="M253" s="15" t="n">
        <x:v>0</x:v>
      </x:c>
      <x:c r="N253" s="15" t="n">
        <x:v>0</x:v>
      </x:c>
      <x:c r="O253" s="15" t="n">
        <x:v>0</x:v>
      </x:c>
      <x:c r="P253" s="15" t="n">
        <x:v>0</x:v>
      </x:c>
      <x:c r="Q253" s="15" t="n">
        <x:v>0</x:v>
      </x:c>
      <x:c r="R253" s="15" t="n">
        <x:v>0</x:v>
      </x:c>
      <x:c r="S253" s="15" t="n">
        <x:v>0</x:v>
      </x:c>
      <x:c r="T253" s="15" t="n">
        <x:v>0</x:v>
      </x:c>
      <x:c r="U253" s="15" t="n">
        <x:v>0</x:v>
      </x:c>
      <x:c r="V253" s="15" t="n">
        <x:v>0</x:v>
      </x:c>
      <x:c r="W253" s="15" t="n">
        <x:v>0</x:v>
      </x:c>
      <x:c r="X253" s="15" t="n">
        <x:v>0</x:v>
      </x:c>
      <x:c r="Y253" s="15" t="n">
        <x:v>0</x:v>
      </x:c>
      <x:c r="Z253" s="15" t="n">
        <x:v>0</x:v>
      </x:c>
      <x:c r="AA253" s="15" t="n">
        <x:v>0</x:v>
      </x:c>
      <x:c r="AB253" s="15" t="n">
        <x:f>SUM(G253:AA253)</x:f>
        <x:v>291.932</x:v>
      </x:c>
    </x:row>
    <x:row r="254" ht="36" customHeight="1">
      <x:c r="A254" s="10" t="str">
        <x:v>T-REL</x:v>
      </x:c>
      <x:c r="B254" s="10" t="str">
        <x:v>TEXT</x:v>
      </x:c>
      <x:c r="C254" s="10" t="str">
        <x:v>TEXT:SYN-F09-03</x:v>
      </x:c>
      <x:c r="D254" s="10" t="str">
        <x:v>TEXT:M5012</x:v>
      </x:c>
      <x:c r="E254" s="15" t="n">
        <x:v>-8</x:v>
      </x:c>
      <x:c r="F254" s="15" t="str">
        <x:v>사전 생산</x:v>
      </x:c>
      <x:c r="G254" s="15" t="n">
        <x:v>238</x:v>
      </x:c>
      <x:c r="H254" s="15" t="n">
        <x:v>0</x:v>
      </x:c>
      <x:c r="I254" s="15" t="n">
        <x:v>32.44</x:v>
      </x:c>
      <x:c r="J254" s="15" t="n">
        <x:v>0</x:v>
      </x:c>
      <x:c r="K254" s="15" t="n">
        <x:v>38</x:v>
      </x:c>
      <x:c r="L254" s="15" t="n">
        <x:v>19</x:v>
      </x:c>
      <x:c r="M254" s="15" t="n">
        <x:v>0</x:v>
      </x:c>
      <x:c r="N254" s="15" t="n">
        <x:v>0</x:v>
      </x:c>
      <x:c r="O254" s="15" t="n">
        <x:v>0</x:v>
      </x:c>
      <x:c r="P254" s="15" t="n">
        <x:v>0</x:v>
      </x:c>
      <x:c r="Q254" s="15" t="n">
        <x:v>0</x:v>
      </x:c>
      <x:c r="R254" s="15" t="n">
        <x:v>0</x:v>
      </x:c>
      <x:c r="S254" s="15" t="n">
        <x:v>0</x:v>
      </x:c>
      <x:c r="T254" s="15" t="n">
        <x:v>0</x:v>
      </x:c>
      <x:c r="U254" s="15" t="n">
        <x:v>0</x:v>
      </x:c>
      <x:c r="V254" s="15" t="n">
        <x:v>0</x:v>
      </x:c>
      <x:c r="W254" s="15" t="n">
        <x:v>0</x:v>
      </x:c>
      <x:c r="X254" s="15" t="n">
        <x:v>0</x:v>
      </x:c>
      <x:c r="Y254" s="15" t="n">
        <x:v>0</x:v>
      </x:c>
      <x:c r="Z254" s="15" t="n">
        <x:v>0</x:v>
      </x:c>
      <x:c r="AA254" s="15" t="n">
        <x:v>0</x:v>
      </x:c>
      <x:c r="AB254" s="15" t="n">
        <x:f>SUM(G254:AA254)</x:f>
        <x:v>327.44</x:v>
      </x:c>
    </x:row>
    <x:row r="255" ht="36" customHeight="1">
      <x:c r="A255" s="10" t="str">
        <x:v>T-BASE</x:v>
      </x:c>
      <x:c r="B255" s="10" t="str">
        <x:v>TEXT</x:v>
      </x:c>
      <x:c r="C255" s="10" t="str">
        <x:v>TEXT:SYN-F09-04</x:v>
      </x:c>
      <x:c r="D255" s="10" t="str">
        <x:v>TEXT:M5034</x:v>
      </x:c>
      <x:c r="E255" s="15" t="n">
        <x:v>0.34</x:v>
      </x:c>
      <x:c r="F255" s="15" t="str">
        <x:v>요청</x:v>
      </x:c>
      <x:c r="G255" s="15" t="n">
        <x:v>238</x:v>
      </x:c>
      <x:c r="H255" s="15" t="n">
        <x:v>11</x:v>
      </x:c>
      <x:c r="I255" s="15" t="n">
        <x:v>26.996</x:v>
      </x:c>
      <x:c r="J255" s="15" t="n">
        <x:v>0</x:v>
      </x:c>
      <x:c r="K255" s="15" t="n">
        <x:v>0</x:v>
      </x:c>
      <x:c r="L255" s="15" t="n">
        <x:v>0</x:v>
      </x:c>
      <x:c r="M255" s="15" t="n">
        <x:v>0</x:v>
      </x:c>
      <x:c r="N255" s="15" t="n">
        <x:v>0</x:v>
      </x:c>
      <x:c r="O255" s="15" t="n">
        <x:v>0</x:v>
      </x:c>
      <x:c r="P255" s="15" t="n">
        <x:v>0</x:v>
      </x:c>
      <x:c r="Q255" s="15" t="n">
        <x:v>0</x:v>
      </x:c>
      <x:c r="R255" s="15" t="n">
        <x:v>0</x:v>
      </x:c>
      <x:c r="S255" s="15" t="n">
        <x:v>0</x:v>
      </x:c>
      <x:c r="T255" s="15" t="n">
        <x:v>0</x:v>
      </x:c>
      <x:c r="U255" s="15" t="n">
        <x:v>0</x:v>
      </x:c>
      <x:c r="V255" s="15" t="n">
        <x:v>0</x:v>
      </x:c>
      <x:c r="W255" s="15" t="n">
        <x:v>0</x:v>
      </x:c>
      <x:c r="X255" s="15" t="n">
        <x:v>0</x:v>
      </x:c>
      <x:c r="Y255" s="15" t="n">
        <x:v>0</x:v>
      </x:c>
      <x:c r="Z255" s="15" t="n">
        <x:v>0</x:v>
      </x:c>
      <x:c r="AA255" s="15" t="n">
        <x:v>0</x:v>
      </x:c>
      <x:c r="AB255" s="15" t="n">
        <x:f>SUM(G255:AA255)</x:f>
        <x:v>275.996</x:v>
      </x:c>
    </x:row>
    <x:row r="256" ht="36" customHeight="1">
      <x:c r="A256" s="10" t="str">
        <x:v>T-EXEC</x:v>
      </x:c>
      <x:c r="B256" s="10" t="str">
        <x:v>TEXT</x:v>
      </x:c>
      <x:c r="C256" s="10" t="str">
        <x:v>TEXT:SYN-F09-04</x:v>
      </x:c>
      <x:c r="D256" s="10" t="str">
        <x:v>TEXT:M5056</x:v>
      </x:c>
      <x:c r="E256" s="15" t="n">
        <x:v>3.315893</x:v>
      </x:c>
      <x:c r="F256" s="15" t="str">
        <x:v>요청</x:v>
      </x:c>
      <x:c r="G256" s="15" t="n">
        <x:v>238</x:v>
      </x:c>
      <x:c r="H256" s="15" t="n">
        <x:v>22</x:v>
      </x:c>
      <x:c r="I256" s="15" t="n">
        <x:v>25.024</x:v>
      </x:c>
      <x:c r="J256" s="15" t="n">
        <x:v>7</x:v>
      </x:c>
      <x:c r="K256" s="15" t="n">
        <x:v>0</x:v>
      </x:c>
      <x:c r="L256" s="15" t="n">
        <x:v>0</x:v>
      </x:c>
      <x:c r="M256" s="15" t="n">
        <x:v>0</x:v>
      </x:c>
      <x:c r="N256" s="15" t="n">
        <x:v>0</x:v>
      </x:c>
      <x:c r="O256" s="15" t="n">
        <x:v>0</x:v>
      </x:c>
      <x:c r="P256" s="15" t="n">
        <x:v>0</x:v>
      </x:c>
      <x:c r="Q256" s="15" t="n">
        <x:v>0</x:v>
      </x:c>
      <x:c r="R256" s="15" t="n">
        <x:v>0</x:v>
      </x:c>
      <x:c r="S256" s="15" t="n">
        <x:v>0</x:v>
      </x:c>
      <x:c r="T256" s="15" t="n">
        <x:v>0</x:v>
      </x:c>
      <x:c r="U256" s="15" t="n">
        <x:v>0</x:v>
      </x:c>
      <x:c r="V256" s="15" t="n">
        <x:v>0</x:v>
      </x:c>
      <x:c r="W256" s="15" t="n">
        <x:v>0</x:v>
      </x:c>
      <x:c r="X256" s="15" t="n">
        <x:v>0</x:v>
      </x:c>
      <x:c r="Y256" s="15" t="n">
        <x:v>0</x:v>
      </x:c>
      <x:c r="Z256" s="15" t="n">
        <x:v>0</x:v>
      </x:c>
      <x:c r="AA256" s="15" t="n">
        <x:v>0</x:v>
      </x:c>
      <x:c r="AB256" s="15" t="n">
        <x:f>SUM(G256:AA256)</x:f>
        <x:v>292.024</x:v>
      </x:c>
    </x:row>
    <x:row r="257" ht="36" customHeight="1">
      <x:c r="A257" s="10" t="str">
        <x:v>T-REL</x:v>
      </x:c>
      <x:c r="B257" s="10" t="str">
        <x:v>TEXT</x:v>
      </x:c>
      <x:c r="C257" s="10" t="str">
        <x:v>TEXT:SYN-F09-04</x:v>
      </x:c>
      <x:c r="D257" s="10" t="str">
        <x:v>TEXT:M5066</x:v>
      </x:c>
      <x:c r="E257" s="15" t="n">
        <x:v>-8</x:v>
      </x:c>
      <x:c r="F257" s="15" t="str">
        <x:v>사전 생산</x:v>
      </x:c>
      <x:c r="G257" s="15" t="n">
        <x:v>238</x:v>
      </x:c>
      <x:c r="H257" s="15" t="n">
        <x:v>0</x:v>
      </x:c>
      <x:c r="I257" s="15" t="n">
        <x:v>32.76</x:v>
      </x:c>
      <x:c r="J257" s="15" t="n">
        <x:v>0</x:v>
      </x:c>
      <x:c r="K257" s="15" t="n">
        <x:v>38</x:v>
      </x:c>
      <x:c r="L257" s="15" t="n">
        <x:v>19</x:v>
      </x:c>
      <x:c r="M257" s="15" t="n">
        <x:v>0</x:v>
      </x:c>
      <x:c r="N257" s="15" t="n">
        <x:v>0</x:v>
      </x:c>
      <x:c r="O257" s="15" t="n">
        <x:v>0</x:v>
      </x:c>
      <x:c r="P257" s="15" t="n">
        <x:v>0</x:v>
      </x:c>
      <x:c r="Q257" s="15" t="n">
        <x:v>0</x:v>
      </x:c>
      <x:c r="R257" s="15" t="n">
        <x:v>0</x:v>
      </x:c>
      <x:c r="S257" s="15" t="n">
        <x:v>0</x:v>
      </x:c>
      <x:c r="T257" s="15" t="n">
        <x:v>0</x:v>
      </x:c>
      <x:c r="U257" s="15" t="n">
        <x:v>0</x:v>
      </x:c>
      <x:c r="V257" s="15" t="n">
        <x:v>0</x:v>
      </x:c>
      <x:c r="W257" s="15" t="n">
        <x:v>0</x:v>
      </x:c>
      <x:c r="X257" s="15" t="n">
        <x:v>0</x:v>
      </x:c>
      <x:c r="Y257" s="15" t="n">
        <x:v>0</x:v>
      </x:c>
      <x:c r="Z257" s="15" t="n">
        <x:v>0</x:v>
      </x:c>
      <x:c r="AA257" s="15" t="n">
        <x:v>0</x:v>
      </x:c>
      <x:c r="AB257" s="15" t="n">
        <x:f>SUM(G257:AA257)</x:f>
        <x:v>327.76</x:v>
      </x:c>
    </x:row>
    <x:row r="258" ht="36" customHeight="1">
      <x:c r="A258" s="10" t="str">
        <x:v>T-BASE</x:v>
      </x:c>
      <x:c r="B258" s="10" t="str">
        <x:v>TEXT</x:v>
      </x:c>
      <x:c r="C258" s="10" t="str">
        <x:v>TEXT:SYN-F09-05</x:v>
      </x:c>
      <x:c r="D258" s="10" t="str">
        <x:v>TEXT:M5088</x:v>
      </x:c>
      <x:c r="E258" s="15" t="n">
        <x:v>0.365</x:v>
      </x:c>
      <x:c r="F258" s="15" t="str">
        <x:v>요청</x:v>
      </x:c>
      <x:c r="G258" s="15" t="n">
        <x:v>238</x:v>
      </x:c>
      <x:c r="H258" s="15" t="n">
        <x:v>11</x:v>
      </x:c>
      <x:c r="I258" s="15" t="n">
        <x:v>27.088</x:v>
      </x:c>
      <x:c r="J258" s="15" t="n">
        <x:v>0</x:v>
      </x:c>
      <x:c r="K258" s="15" t="n">
        <x:v>0</x:v>
      </x:c>
      <x:c r="L258" s="15" t="n">
        <x:v>0</x:v>
      </x:c>
      <x:c r="M258" s="15" t="n">
        <x:v>0</x:v>
      </x:c>
      <x:c r="N258" s="15" t="n">
        <x:v>0</x:v>
      </x:c>
      <x:c r="O258" s="15" t="n">
        <x:v>0</x:v>
      </x:c>
      <x:c r="P258" s="15" t="n">
        <x:v>0</x:v>
      </x:c>
      <x:c r="Q258" s="15" t="n">
        <x:v>0</x:v>
      </x:c>
      <x:c r="R258" s="15" t="n">
        <x:v>0</x:v>
      </x:c>
      <x:c r="S258" s="15" t="n">
        <x:v>0</x:v>
      </x:c>
      <x:c r="T258" s="15" t="n">
        <x:v>0</x:v>
      </x:c>
      <x:c r="U258" s="15" t="n">
        <x:v>0</x:v>
      </x:c>
      <x:c r="V258" s="15" t="n">
        <x:v>0</x:v>
      </x:c>
      <x:c r="W258" s="15" t="n">
        <x:v>0</x:v>
      </x:c>
      <x:c r="X258" s="15" t="n">
        <x:v>0</x:v>
      </x:c>
      <x:c r="Y258" s="15" t="n">
        <x:v>0</x:v>
      </x:c>
      <x:c r="Z258" s="15" t="n">
        <x:v>0</x:v>
      </x:c>
      <x:c r="AA258" s="15" t="n">
        <x:v>0</x:v>
      </x:c>
      <x:c r="AB258" s="15" t="n">
        <x:f>SUM(G258:AA258)</x:f>
        <x:v>276.088</x:v>
      </x:c>
    </x:row>
    <x:row r="259" ht="36" customHeight="1">
      <x:c r="A259" s="10" t="str">
        <x:v>T-EXEC</x:v>
      </x:c>
      <x:c r="B259" s="10" t="str">
        <x:v>TEXT</x:v>
      </x:c>
      <x:c r="C259" s="10" t="str">
        <x:v>TEXT:SYN-F09-05</x:v>
      </x:c>
      <x:c r="D259" s="10" t="str">
        <x:v>TEXT:M5110</x:v>
      </x:c>
      <x:c r="E259" s="15" t="n">
        <x:v>3.363393</x:v>
      </x:c>
      <x:c r="F259" s="15" t="str">
        <x:v>요청</x:v>
      </x:c>
      <x:c r="G259" s="15" t="n">
        <x:v>238</x:v>
      </x:c>
      <x:c r="H259" s="15" t="n">
        <x:v>22</x:v>
      </x:c>
      <x:c r="I259" s="15" t="n">
        <x:v>25.116</x:v>
      </x:c>
      <x:c r="J259" s="15" t="n">
        <x:v>7</x:v>
      </x:c>
      <x:c r="K259" s="15" t="n">
        <x:v>0</x:v>
      </x:c>
      <x:c r="L259" s="15" t="n">
        <x:v>0</x:v>
      </x:c>
      <x:c r="M259" s="15" t="n">
        <x:v>0</x:v>
      </x:c>
      <x:c r="N259" s="15" t="n">
        <x:v>0</x:v>
      </x:c>
      <x:c r="O259" s="15" t="n">
        <x:v>0</x:v>
      </x:c>
      <x:c r="P259" s="15" t="n">
        <x:v>0</x:v>
      </x:c>
      <x:c r="Q259" s="15" t="n">
        <x:v>0</x:v>
      </x:c>
      <x:c r="R259" s="15" t="n">
        <x:v>0</x:v>
      </x:c>
      <x:c r="S259" s="15" t="n">
        <x:v>0</x:v>
      </x:c>
      <x:c r="T259" s="15" t="n">
        <x:v>0</x:v>
      </x:c>
      <x:c r="U259" s="15" t="n">
        <x:v>0</x:v>
      </x:c>
      <x:c r="V259" s="15" t="n">
        <x:v>0</x:v>
      </x:c>
      <x:c r="W259" s="15" t="n">
        <x:v>0</x:v>
      </x:c>
      <x:c r="X259" s="15" t="n">
        <x:v>0</x:v>
      </x:c>
      <x:c r="Y259" s="15" t="n">
        <x:v>0</x:v>
      </x:c>
      <x:c r="Z259" s="15" t="n">
        <x:v>0</x:v>
      </x:c>
      <x:c r="AA259" s="15" t="n">
        <x:v>0</x:v>
      </x:c>
      <x:c r="AB259" s="15" t="n">
        <x:f>SUM(G259:AA259)</x:f>
        <x:v>292.116</x:v>
      </x:c>
    </x:row>
    <x:row r="260" ht="36" customHeight="1">
      <x:c r="A260" s="10" t="str">
        <x:v>T-REL</x:v>
      </x:c>
      <x:c r="B260" s="10" t="str">
        <x:v>TEXT</x:v>
      </x:c>
      <x:c r="C260" s="10" t="str">
        <x:v>TEXT:SYN-F09-05</x:v>
      </x:c>
      <x:c r="D260" s="10" t="str">
        <x:v>TEXT:M5120</x:v>
      </x:c>
      <x:c r="E260" s="15" t="n">
        <x:v>-8</x:v>
      </x:c>
      <x:c r="F260" s="15" t="str">
        <x:v>사전 생산</x:v>
      </x:c>
      <x:c r="G260" s="15" t="n">
        <x:v>238</x:v>
      </x:c>
      <x:c r="H260" s="15" t="n">
        <x:v>0</x:v>
      </x:c>
      <x:c r="I260" s="15" t="n">
        <x:v>33.08</x:v>
      </x:c>
      <x:c r="J260" s="15" t="n">
        <x:v>0</x:v>
      </x:c>
      <x:c r="K260" s="15" t="n">
        <x:v>38</x:v>
      </x:c>
      <x:c r="L260" s="15" t="n">
        <x:v>19</x:v>
      </x:c>
      <x:c r="M260" s="15" t="n">
        <x:v>0</x:v>
      </x:c>
      <x:c r="N260" s="15" t="n">
        <x:v>0</x:v>
      </x:c>
      <x:c r="O260" s="15" t="n">
        <x:v>0</x:v>
      </x:c>
      <x:c r="P260" s="15" t="n">
        <x:v>0</x:v>
      </x:c>
      <x:c r="Q260" s="15" t="n">
        <x:v>0</x:v>
      </x:c>
      <x:c r="R260" s="15" t="n">
        <x:v>0</x:v>
      </x:c>
      <x:c r="S260" s="15" t="n">
        <x:v>0</x:v>
      </x:c>
      <x:c r="T260" s="15" t="n">
        <x:v>0</x:v>
      </x:c>
      <x:c r="U260" s="15" t="n">
        <x:v>0</x:v>
      </x:c>
      <x:c r="V260" s="15" t="n">
        <x:v>0</x:v>
      </x:c>
      <x:c r="W260" s="15" t="n">
        <x:v>0</x:v>
      </x:c>
      <x:c r="X260" s="15" t="n">
        <x:v>0</x:v>
      </x:c>
      <x:c r="Y260" s="15" t="n">
        <x:v>0</x:v>
      </x:c>
      <x:c r="Z260" s="15" t="n">
        <x:v>0</x:v>
      </x:c>
      <x:c r="AA260" s="15" t="n">
        <x:v>0</x:v>
      </x:c>
      <x:c r="AB260" s="15" t="n">
        <x:f>SUM(G260:AA260)</x:f>
        <x:v>328.08</x:v>
      </x:c>
    </x:row>
    <x:row r="261" ht="36" customHeight="1">
      <x:c r="A261" s="10" t="str">
        <x:v>T-BASE</x:v>
      </x:c>
      <x:c r="B261" s="10" t="str">
        <x:v>TEXT</x:v>
      </x:c>
      <x:c r="C261" s="10" t="str">
        <x:v>TEXT:SYN-F09-06</x:v>
      </x:c>
      <x:c r="D261" s="10" t="str">
        <x:v>TEXT:M5142</x:v>
      </x:c>
      <x:c r="E261" s="15" t="n">
        <x:v>0.39</x:v>
      </x:c>
      <x:c r="F261" s="15" t="str">
        <x:v>요청</x:v>
      </x:c>
      <x:c r="G261" s="15" t="n">
        <x:v>238</x:v>
      </x:c>
      <x:c r="H261" s="15" t="n">
        <x:v>11</x:v>
      </x:c>
      <x:c r="I261" s="15" t="n">
        <x:v>27.18</x:v>
      </x:c>
      <x:c r="J261" s="15" t="n">
        <x:v>0</x:v>
      </x:c>
      <x:c r="K261" s="15" t="n">
        <x:v>0</x:v>
      </x:c>
      <x:c r="L261" s="15" t="n">
        <x:v>0</x:v>
      </x:c>
      <x:c r="M261" s="15" t="n">
        <x:v>0</x:v>
      </x:c>
      <x:c r="N261" s="15" t="n">
        <x:v>0</x:v>
      </x:c>
      <x:c r="O261" s="15" t="n">
        <x:v>0</x:v>
      </x:c>
      <x:c r="P261" s="15" t="n">
        <x:v>0</x:v>
      </x:c>
      <x:c r="Q261" s="15" t="n">
        <x:v>0</x:v>
      </x:c>
      <x:c r="R261" s="15" t="n">
        <x:v>0</x:v>
      </x:c>
      <x:c r="S261" s="15" t="n">
        <x:v>0</x:v>
      </x:c>
      <x:c r="T261" s="15" t="n">
        <x:v>0</x:v>
      </x:c>
      <x:c r="U261" s="15" t="n">
        <x:v>0</x:v>
      </x:c>
      <x:c r="V261" s="15" t="n">
        <x:v>0</x:v>
      </x:c>
      <x:c r="W261" s="15" t="n">
        <x:v>0</x:v>
      </x:c>
      <x:c r="X261" s="15" t="n">
        <x:v>0</x:v>
      </x:c>
      <x:c r="Y261" s="15" t="n">
        <x:v>0</x:v>
      </x:c>
      <x:c r="Z261" s="15" t="n">
        <x:v>0</x:v>
      </x:c>
      <x:c r="AA261" s="15" t="n">
        <x:v>0</x:v>
      </x:c>
      <x:c r="AB261" s="15" t="n">
        <x:f>SUM(G261:AA261)</x:f>
        <x:v>276.18</x:v>
      </x:c>
    </x:row>
    <x:row r="262" ht="36" customHeight="1">
      <x:c r="A262" s="10" t="str">
        <x:v>T-EXEC</x:v>
      </x:c>
      <x:c r="B262" s="10" t="str">
        <x:v>TEXT</x:v>
      </x:c>
      <x:c r="C262" s="10" t="str">
        <x:v>TEXT:SYN-F09-06</x:v>
      </x:c>
      <x:c r="D262" s="10" t="str">
        <x:v>TEXT:M5164</x:v>
      </x:c>
      <x:c r="E262" s="15" t="n">
        <x:v>3.435893</x:v>
      </x:c>
      <x:c r="F262" s="15" t="str">
        <x:v>요청</x:v>
      </x:c>
      <x:c r="G262" s="15" t="n">
        <x:v>238</x:v>
      </x:c>
      <x:c r="H262" s="15" t="n">
        <x:v>22</x:v>
      </x:c>
      <x:c r="I262" s="15" t="n">
        <x:v>25.208</x:v>
      </x:c>
      <x:c r="J262" s="15" t="n">
        <x:v>7</x:v>
      </x:c>
      <x:c r="K262" s="15" t="n">
        <x:v>0</x:v>
      </x:c>
      <x:c r="L262" s="15" t="n">
        <x:v>0</x:v>
      </x:c>
      <x:c r="M262" s="15" t="n">
        <x:v>0</x:v>
      </x:c>
      <x:c r="N262" s="15" t="n">
        <x:v>0</x:v>
      </x:c>
      <x:c r="O262" s="15" t="n">
        <x:v>0</x:v>
      </x:c>
      <x:c r="P262" s="15" t="n">
        <x:v>0</x:v>
      </x:c>
      <x:c r="Q262" s="15" t="n">
        <x:v>0</x:v>
      </x:c>
      <x:c r="R262" s="15" t="n">
        <x:v>0</x:v>
      </x:c>
      <x:c r="S262" s="15" t="n">
        <x:v>0</x:v>
      </x:c>
      <x:c r="T262" s="15" t="n">
        <x:v>0</x:v>
      </x:c>
      <x:c r="U262" s="15" t="n">
        <x:v>0</x:v>
      </x:c>
      <x:c r="V262" s="15" t="n">
        <x:v>0</x:v>
      </x:c>
      <x:c r="W262" s="15" t="n">
        <x:v>0</x:v>
      </x:c>
      <x:c r="X262" s="15" t="n">
        <x:v>0</x:v>
      </x:c>
      <x:c r="Y262" s="15" t="n">
        <x:v>0</x:v>
      </x:c>
      <x:c r="Z262" s="15" t="n">
        <x:v>0</x:v>
      </x:c>
      <x:c r="AA262" s="15" t="n">
        <x:v>0</x:v>
      </x:c>
      <x:c r="AB262" s="15" t="n">
        <x:f>SUM(G262:AA262)</x:f>
        <x:v>292.20799999999997</x:v>
      </x:c>
    </x:row>
    <x:row r="263" ht="36" customHeight="1">
      <x:c r="A263" s="10" t="str">
        <x:v>T-REL</x:v>
      </x:c>
      <x:c r="B263" s="10" t="str">
        <x:v>TEXT</x:v>
      </x:c>
      <x:c r="C263" s="10" t="str">
        <x:v>TEXT:SYN-F09-06</x:v>
      </x:c>
      <x:c r="D263" s="10" t="str">
        <x:v>TEXT:M5174</x:v>
      </x:c>
      <x:c r="E263" s="15" t="n">
        <x:v>-8</x:v>
      </x:c>
      <x:c r="F263" s="15" t="str">
        <x:v>사전 생산</x:v>
      </x:c>
      <x:c r="G263" s="15" t="n">
        <x:v>238</x:v>
      </x:c>
      <x:c r="H263" s="15" t="n">
        <x:v>0</x:v>
      </x:c>
      <x:c r="I263" s="15" t="n">
        <x:v>33.4</x:v>
      </x:c>
      <x:c r="J263" s="15" t="n">
        <x:v>0</x:v>
      </x:c>
      <x:c r="K263" s="15" t="n">
        <x:v>38</x:v>
      </x:c>
      <x:c r="L263" s="15" t="n">
        <x:v>19</x:v>
      </x:c>
      <x:c r="M263" s="15" t="n">
        <x:v>0</x:v>
      </x:c>
      <x:c r="N263" s="15" t="n">
        <x:v>0</x:v>
      </x:c>
      <x:c r="O263" s="15" t="n">
        <x:v>0</x:v>
      </x:c>
      <x:c r="P263" s="15" t="n">
        <x:v>0</x:v>
      </x:c>
      <x:c r="Q263" s="15" t="n">
        <x:v>0</x:v>
      </x:c>
      <x:c r="R263" s="15" t="n">
        <x:v>0</x:v>
      </x:c>
      <x:c r="S263" s="15" t="n">
        <x:v>0</x:v>
      </x:c>
      <x:c r="T263" s="15" t="n">
        <x:v>0</x:v>
      </x:c>
      <x:c r="U263" s="15" t="n">
        <x:v>0</x:v>
      </x:c>
      <x:c r="V263" s="15" t="n">
        <x:v>0</x:v>
      </x:c>
      <x:c r="W263" s="15" t="n">
        <x:v>0</x:v>
      </x:c>
      <x:c r="X263" s="15" t="n">
        <x:v>0</x:v>
      </x:c>
      <x:c r="Y263" s="15" t="n">
        <x:v>0</x:v>
      </x:c>
      <x:c r="Z263" s="15" t="n">
        <x:v>0</x:v>
      </x:c>
      <x:c r="AA263" s="15" t="n">
        <x:v>0</x:v>
      </x:c>
      <x:c r="AB263" s="15" t="n">
        <x:f>SUM(G263:AA263)</x:f>
        <x:v>328.4</x:v>
      </x:c>
    </x:row>
    <x:row r="264" ht="36" customHeight="1">
      <x:c r="A264" s="10" t="str">
        <x:v>T-BASE</x:v>
      </x:c>
      <x:c r="B264" s="10" t="str">
        <x:v>TEXT</x:v>
      </x:c>
      <x:c r="C264" s="10" t="str">
        <x:v>TEXT:SYN-F09-07</x:v>
      </x:c>
      <x:c r="D264" s="10" t="str">
        <x:v>TEXT:M5196</x:v>
      </x:c>
      <x:c r="E264" s="15" t="n">
        <x:v>0.34</x:v>
      </x:c>
      <x:c r="F264" s="15" t="str">
        <x:v>요청</x:v>
      </x:c>
      <x:c r="G264" s="15" t="n">
        <x:v>238</x:v>
      </x:c>
      <x:c r="H264" s="15" t="n">
        <x:v>11</x:v>
      </x:c>
      <x:c r="I264" s="15" t="n">
        <x:v>27.272</x:v>
      </x:c>
      <x:c r="J264" s="15" t="n">
        <x:v>0</x:v>
      </x:c>
      <x:c r="K264" s="15" t="n">
        <x:v>0</x:v>
      </x:c>
      <x:c r="L264" s="15" t="n">
        <x:v>0</x:v>
      </x:c>
      <x:c r="M264" s="15" t="n">
        <x:v>0</x:v>
      </x:c>
      <x:c r="N264" s="15" t="n">
        <x:v>0</x:v>
      </x:c>
      <x:c r="O264" s="15" t="n">
        <x:v>0</x:v>
      </x:c>
      <x:c r="P264" s="15" t="n">
        <x:v>0</x:v>
      </x:c>
      <x:c r="Q264" s="15" t="n">
        <x:v>0</x:v>
      </x:c>
      <x:c r="R264" s="15" t="n">
        <x:v>0</x:v>
      </x:c>
      <x:c r="S264" s="15" t="n">
        <x:v>0</x:v>
      </x:c>
      <x:c r="T264" s="15" t="n">
        <x:v>0</x:v>
      </x:c>
      <x:c r="U264" s="15" t="n">
        <x:v>0</x:v>
      </x:c>
      <x:c r="V264" s="15" t="n">
        <x:v>0</x:v>
      </x:c>
      <x:c r="W264" s="15" t="n">
        <x:v>0</x:v>
      </x:c>
      <x:c r="X264" s="15" t="n">
        <x:v>0</x:v>
      </x:c>
      <x:c r="Y264" s="15" t="n">
        <x:v>0</x:v>
      </x:c>
      <x:c r="Z264" s="15" t="n">
        <x:v>0</x:v>
      </x:c>
      <x:c r="AA264" s="15" t="n">
        <x:v>0</x:v>
      </x:c>
      <x:c r="AB264" s="15" t="n">
        <x:f>SUM(G264:AA264)</x:f>
        <x:v>276.272</x:v>
      </x:c>
    </x:row>
    <x:row r="265" ht="36" customHeight="1">
      <x:c r="A265" s="10" t="str">
        <x:v>T-EXEC</x:v>
      </x:c>
      <x:c r="B265" s="10" t="str">
        <x:v>TEXT</x:v>
      </x:c>
      <x:c r="C265" s="10" t="str">
        <x:v>TEXT:SYN-F09-07</x:v>
      </x:c>
      <x:c r="D265" s="10" t="str">
        <x:v>TEXT:M5218</x:v>
      </x:c>
      <x:c r="E265" s="15" t="n">
        <x:v>3.339642</x:v>
      </x:c>
      <x:c r="F265" s="15" t="str">
        <x:v>요청</x:v>
      </x:c>
      <x:c r="G265" s="15" t="n">
        <x:v>238</x:v>
      </x:c>
      <x:c r="H265" s="15" t="n">
        <x:v>22</x:v>
      </x:c>
      <x:c r="I265" s="15" t="n">
        <x:v>25.3</x:v>
      </x:c>
      <x:c r="J265" s="15" t="n">
        <x:v>7</x:v>
      </x:c>
      <x:c r="K265" s="15" t="n">
        <x:v>0</x:v>
      </x:c>
      <x:c r="L265" s="15" t="n">
        <x:v>0</x:v>
      </x:c>
      <x:c r="M265" s="15" t="n">
        <x:v>0</x:v>
      </x:c>
      <x:c r="N265" s="15" t="n">
        <x:v>0</x:v>
      </x:c>
      <x:c r="O265" s="15" t="n">
        <x:v>0</x:v>
      </x:c>
      <x:c r="P265" s="15" t="n">
        <x:v>0</x:v>
      </x:c>
      <x:c r="Q265" s="15" t="n">
        <x:v>0</x:v>
      </x:c>
      <x:c r="R265" s="15" t="n">
        <x:v>0</x:v>
      </x:c>
      <x:c r="S265" s="15" t="n">
        <x:v>0</x:v>
      </x:c>
      <x:c r="T265" s="15" t="n">
        <x:v>0</x:v>
      </x:c>
      <x:c r="U265" s="15" t="n">
        <x:v>0</x:v>
      </x:c>
      <x:c r="V265" s="15" t="n">
        <x:v>0</x:v>
      </x:c>
      <x:c r="W265" s="15" t="n">
        <x:v>0</x:v>
      </x:c>
      <x:c r="X265" s="15" t="n">
        <x:v>0</x:v>
      </x:c>
      <x:c r="Y265" s="15" t="n">
        <x:v>0</x:v>
      </x:c>
      <x:c r="Z265" s="15" t="n">
        <x:v>0</x:v>
      </x:c>
      <x:c r="AA265" s="15" t="n">
        <x:v>0</x:v>
      </x:c>
      <x:c r="AB265" s="15" t="n">
        <x:f>SUM(G265:AA265)</x:f>
        <x:v>292.3</x:v>
      </x:c>
    </x:row>
    <x:row r="266" ht="36" customHeight="1">
      <x:c r="A266" s="10" t="str">
        <x:v>T-REL</x:v>
      </x:c>
      <x:c r="B266" s="10" t="str">
        <x:v>TEXT</x:v>
      </x:c>
      <x:c r="C266" s="10" t="str">
        <x:v>TEXT:SYN-F09-07</x:v>
      </x:c>
      <x:c r="D266" s="10" t="str">
        <x:v>TEXT:M5228</x:v>
      </x:c>
      <x:c r="E266" s="15" t="n">
        <x:v>-8</x:v>
      </x:c>
      <x:c r="F266" s="15" t="str">
        <x:v>사전 생산</x:v>
      </x:c>
      <x:c r="G266" s="15" t="n">
        <x:v>238</x:v>
      </x:c>
      <x:c r="H266" s="15" t="n">
        <x:v>0</x:v>
      </x:c>
      <x:c r="I266" s="15" t="n">
        <x:v>33.72</x:v>
      </x:c>
      <x:c r="J266" s="15" t="n">
        <x:v>0</x:v>
      </x:c>
      <x:c r="K266" s="15" t="n">
        <x:v>38</x:v>
      </x:c>
      <x:c r="L266" s="15" t="n">
        <x:v>19</x:v>
      </x:c>
      <x:c r="M266" s="15" t="n">
        <x:v>0</x:v>
      </x:c>
      <x:c r="N266" s="15" t="n">
        <x:v>0</x:v>
      </x:c>
      <x:c r="O266" s="15" t="n">
        <x:v>0</x:v>
      </x:c>
      <x:c r="P266" s="15" t="n">
        <x:v>0</x:v>
      </x:c>
      <x:c r="Q266" s="15" t="n">
        <x:v>0</x:v>
      </x:c>
      <x:c r="R266" s="15" t="n">
        <x:v>0</x:v>
      </x:c>
      <x:c r="S266" s="15" t="n">
        <x:v>0</x:v>
      </x:c>
      <x:c r="T266" s="15" t="n">
        <x:v>0</x:v>
      </x:c>
      <x:c r="U266" s="15" t="n">
        <x:v>0</x:v>
      </x:c>
      <x:c r="V266" s="15" t="n">
        <x:v>0</x:v>
      </x:c>
      <x:c r="W266" s="15" t="n">
        <x:v>0</x:v>
      </x:c>
      <x:c r="X266" s="15" t="n">
        <x:v>0</x:v>
      </x:c>
      <x:c r="Y266" s="15" t="n">
        <x:v>0</x:v>
      </x:c>
      <x:c r="Z266" s="15" t="n">
        <x:v>0</x:v>
      </x:c>
      <x:c r="AA266" s="15" t="n">
        <x:v>0</x:v>
      </x:c>
      <x:c r="AB266" s="15" t="n">
        <x:f>SUM(G266:AA266)</x:f>
        <x:v>328.72</x:v>
      </x:c>
    </x:row>
    <x:row r="267" ht="36" customHeight="1">
      <x:c r="A267" s="10" t="str">
        <x:v>T-BASE</x:v>
      </x:c>
      <x:c r="B267" s="10" t="str">
        <x:v>TEXT</x:v>
      </x:c>
      <x:c r="C267" s="10" t="str">
        <x:v>TEXT:SYN-F09-08</x:v>
      </x:c>
      <x:c r="D267" s="10" t="str">
        <x:v>TEXT:M5250</x:v>
      </x:c>
      <x:c r="E267" s="15" t="n">
        <x:v>0.365</x:v>
      </x:c>
      <x:c r="F267" s="15" t="str">
        <x:v>요청</x:v>
      </x:c>
      <x:c r="G267" s="15" t="n">
        <x:v>238</x:v>
      </x:c>
      <x:c r="H267" s="15" t="n">
        <x:v>11</x:v>
      </x:c>
      <x:c r="I267" s="15" t="n">
        <x:v>27.364</x:v>
      </x:c>
      <x:c r="J267" s="15" t="n">
        <x:v>0</x:v>
      </x:c>
      <x:c r="K267" s="15" t="n">
        <x:v>0</x:v>
      </x:c>
      <x:c r="L267" s="15" t="n">
        <x:v>0</x:v>
      </x:c>
      <x:c r="M267" s="15" t="n">
        <x:v>0</x:v>
      </x:c>
      <x:c r="N267" s="15" t="n">
        <x:v>0</x:v>
      </x:c>
      <x:c r="O267" s="15" t="n">
        <x:v>0</x:v>
      </x:c>
      <x:c r="P267" s="15" t="n">
        <x:v>0</x:v>
      </x:c>
      <x:c r="Q267" s="15" t="n">
        <x:v>0</x:v>
      </x:c>
      <x:c r="R267" s="15" t="n">
        <x:v>0</x:v>
      </x:c>
      <x:c r="S267" s="15" t="n">
        <x:v>0</x:v>
      </x:c>
      <x:c r="T267" s="15" t="n">
        <x:v>0</x:v>
      </x:c>
      <x:c r="U267" s="15" t="n">
        <x:v>0</x:v>
      </x:c>
      <x:c r="V267" s="15" t="n">
        <x:v>0</x:v>
      </x:c>
      <x:c r="W267" s="15" t="n">
        <x:v>0</x:v>
      </x:c>
      <x:c r="X267" s="15" t="n">
        <x:v>0</x:v>
      </x:c>
      <x:c r="Y267" s="15" t="n">
        <x:v>0</x:v>
      </x:c>
      <x:c r="Z267" s="15" t="n">
        <x:v>0</x:v>
      </x:c>
      <x:c r="AA267" s="15" t="n">
        <x:v>0</x:v>
      </x:c>
      <x:c r="AB267" s="15" t="n">
        <x:f>SUM(G267:AA267)</x:f>
        <x:v>276.364</x:v>
      </x:c>
    </x:row>
    <x:row r="268" ht="36" customHeight="1">
      <x:c r="A268" s="10" t="str">
        <x:v>T-EXEC</x:v>
      </x:c>
      <x:c r="B268" s="10" t="str">
        <x:v>TEXT</x:v>
      </x:c>
      <x:c r="C268" s="10" t="str">
        <x:v>TEXT:SYN-F09-08</x:v>
      </x:c>
      <x:c r="D268" s="10" t="str">
        <x:v>TEXT:M5272</x:v>
      </x:c>
      <x:c r="E268" s="15" t="n">
        <x:v>3.412143</x:v>
      </x:c>
      <x:c r="F268" s="15" t="str">
        <x:v>요청</x:v>
      </x:c>
      <x:c r="G268" s="15" t="n">
        <x:v>238</x:v>
      </x:c>
      <x:c r="H268" s="15" t="n">
        <x:v>22</x:v>
      </x:c>
      <x:c r="I268" s="15" t="n">
        <x:v>25.392</x:v>
      </x:c>
      <x:c r="J268" s="15" t="n">
        <x:v>7</x:v>
      </x:c>
      <x:c r="K268" s="15" t="n">
        <x:v>0</x:v>
      </x:c>
      <x:c r="L268" s="15" t="n">
        <x:v>0</x:v>
      </x:c>
      <x:c r="M268" s="15" t="n">
        <x:v>0</x:v>
      </x:c>
      <x:c r="N268" s="15" t="n">
        <x:v>0</x:v>
      </x:c>
      <x:c r="O268" s="15" t="n">
        <x:v>0</x:v>
      </x:c>
      <x:c r="P268" s="15" t="n">
        <x:v>0</x:v>
      </x:c>
      <x:c r="Q268" s="15" t="n">
        <x:v>0</x:v>
      </x:c>
      <x:c r="R268" s="15" t="n">
        <x:v>0</x:v>
      </x:c>
      <x:c r="S268" s="15" t="n">
        <x:v>0</x:v>
      </x:c>
      <x:c r="T268" s="15" t="n">
        <x:v>0</x:v>
      </x:c>
      <x:c r="U268" s="15" t="n">
        <x:v>0</x:v>
      </x:c>
      <x:c r="V268" s="15" t="n">
        <x:v>0</x:v>
      </x:c>
      <x:c r="W268" s="15" t="n">
        <x:v>0</x:v>
      </x:c>
      <x:c r="X268" s="15" t="n">
        <x:v>0</x:v>
      </x:c>
      <x:c r="Y268" s="15" t="n">
        <x:v>0</x:v>
      </x:c>
      <x:c r="Z268" s="15" t="n">
        <x:v>0</x:v>
      </x:c>
      <x:c r="AA268" s="15" t="n">
        <x:v>0</x:v>
      </x:c>
      <x:c r="AB268" s="15" t="n">
        <x:f>SUM(G268:AA268)</x:f>
        <x:v>292.392</x:v>
      </x:c>
    </x:row>
    <x:row r="269" ht="36" customHeight="1">
      <x:c r="A269" s="10" t="str">
        <x:v>T-REL</x:v>
      </x:c>
      <x:c r="B269" s="10" t="str">
        <x:v>TEXT</x:v>
      </x:c>
      <x:c r="C269" s="10" t="str">
        <x:v>TEXT:SYN-F09-08</x:v>
      </x:c>
      <x:c r="D269" s="10" t="str">
        <x:v>TEXT:M5282</x:v>
      </x:c>
      <x:c r="E269" s="15" t="n">
        <x:v>-8</x:v>
      </x:c>
      <x:c r="F269" s="15" t="str">
        <x:v>사전 생산</x:v>
      </x:c>
      <x:c r="G269" s="15" t="n">
        <x:v>238</x:v>
      </x:c>
      <x:c r="H269" s="15" t="n">
        <x:v>0</x:v>
      </x:c>
      <x:c r="I269" s="15" t="n">
        <x:v>34.04</x:v>
      </x:c>
      <x:c r="J269" s="15" t="n">
        <x:v>0</x:v>
      </x:c>
      <x:c r="K269" s="15" t="n">
        <x:v>38</x:v>
      </x:c>
      <x:c r="L269" s="15" t="n">
        <x:v>19</x:v>
      </x:c>
      <x:c r="M269" s="15" t="n">
        <x:v>0</x:v>
      </x:c>
      <x:c r="N269" s="15" t="n">
        <x:v>0</x:v>
      </x:c>
      <x:c r="O269" s="15" t="n">
        <x:v>0</x:v>
      </x:c>
      <x:c r="P269" s="15" t="n">
        <x:v>0</x:v>
      </x:c>
      <x:c r="Q269" s="15" t="n">
        <x:v>0</x:v>
      </x:c>
      <x:c r="R269" s="15" t="n">
        <x:v>0</x:v>
      </x:c>
      <x:c r="S269" s="15" t="n">
        <x:v>0</x:v>
      </x:c>
      <x:c r="T269" s="15" t="n">
        <x:v>0</x:v>
      </x:c>
      <x:c r="U269" s="15" t="n">
        <x:v>0</x:v>
      </x:c>
      <x:c r="V269" s="15" t="n">
        <x:v>0</x:v>
      </x:c>
      <x:c r="W269" s="15" t="n">
        <x:v>0</x:v>
      </x:c>
      <x:c r="X269" s="15" t="n">
        <x:v>0</x:v>
      </x:c>
      <x:c r="Y269" s="15" t="n">
        <x:v>0</x:v>
      </x:c>
      <x:c r="Z269" s="15" t="n">
        <x:v>0</x:v>
      </x:c>
      <x:c r="AA269" s="15" t="n">
        <x:v>0</x:v>
      </x:c>
      <x:c r="AB269" s="15" t="n">
        <x:f>SUM(G269:AA269)</x:f>
        <x:v>329.04</x:v>
      </x:c>
    </x:row>
    <x:row r="270" ht="36" customHeight="1">
      <x:c r="A270" s="10" t="str">
        <x:v>T-BASE</x:v>
      </x:c>
      <x:c r="B270" s="10" t="str">
        <x:v>TEXT</x:v>
      </x:c>
      <x:c r="C270" s="10" t="str">
        <x:v>TEXT:SYN-F09-09</x:v>
      </x:c>
      <x:c r="D270" s="10" t="str">
        <x:v>TEXT:M5304</x:v>
      </x:c>
      <x:c r="E270" s="15" t="n">
        <x:v>0.39</x:v>
      </x:c>
      <x:c r="F270" s="15" t="str">
        <x:v>요청</x:v>
      </x:c>
      <x:c r="G270" s="15" t="n">
        <x:v>238</x:v>
      </x:c>
      <x:c r="H270" s="15" t="n">
        <x:v>11</x:v>
      </x:c>
      <x:c r="I270" s="15" t="n">
        <x:v>27.456</x:v>
      </x:c>
      <x:c r="J270" s="15" t="n">
        <x:v>0</x:v>
      </x:c>
      <x:c r="K270" s="15" t="n">
        <x:v>0</x:v>
      </x:c>
      <x:c r="L270" s="15" t="n">
        <x:v>0</x:v>
      </x:c>
      <x:c r="M270" s="15" t="n">
        <x:v>0</x:v>
      </x:c>
      <x:c r="N270" s="15" t="n">
        <x:v>0</x:v>
      </x:c>
      <x:c r="O270" s="15" t="n">
        <x:v>0</x:v>
      </x:c>
      <x:c r="P270" s="15" t="n">
        <x:v>0</x:v>
      </x:c>
      <x:c r="Q270" s="15" t="n">
        <x:v>0</x:v>
      </x:c>
      <x:c r="R270" s="15" t="n">
        <x:v>0</x:v>
      </x:c>
      <x:c r="S270" s="15" t="n">
        <x:v>0</x:v>
      </x:c>
      <x:c r="T270" s="15" t="n">
        <x:v>0</x:v>
      </x:c>
      <x:c r="U270" s="15" t="n">
        <x:v>0</x:v>
      </x:c>
      <x:c r="V270" s="15" t="n">
        <x:v>0</x:v>
      </x:c>
      <x:c r="W270" s="15" t="n">
        <x:v>0</x:v>
      </x:c>
      <x:c r="X270" s="15" t="n">
        <x:v>0</x:v>
      </x:c>
      <x:c r="Y270" s="15" t="n">
        <x:v>0</x:v>
      </x:c>
      <x:c r="Z270" s="15" t="n">
        <x:v>0</x:v>
      </x:c>
      <x:c r="AA270" s="15" t="n">
        <x:v>0</x:v>
      </x:c>
      <x:c r="AB270" s="15" t="n">
        <x:f>SUM(G270:AA270)</x:f>
        <x:v>276.456</x:v>
      </x:c>
    </x:row>
    <x:row r="271" ht="36" customHeight="1">
      <x:c r="A271" s="10" t="str">
        <x:v>T-EXEC</x:v>
      </x:c>
      <x:c r="B271" s="10" t="str">
        <x:v>TEXT</x:v>
      </x:c>
      <x:c r="C271" s="10" t="str">
        <x:v>TEXT:SYN-F09-09</x:v>
      </x:c>
      <x:c r="D271" s="10" t="str">
        <x:v>TEXT:M5326</x:v>
      </x:c>
      <x:c r="E271" s="15" t="n">
        <x:v>3.459643</x:v>
      </x:c>
      <x:c r="F271" s="15" t="str">
        <x:v>요청</x:v>
      </x:c>
      <x:c r="G271" s="15" t="n">
        <x:v>238</x:v>
      </x:c>
      <x:c r="H271" s="15" t="n">
        <x:v>22</x:v>
      </x:c>
      <x:c r="I271" s="15" t="n">
        <x:v>25.484</x:v>
      </x:c>
      <x:c r="J271" s="15" t="n">
        <x:v>7</x:v>
      </x:c>
      <x:c r="K271" s="15" t="n">
        <x:v>0</x:v>
      </x:c>
      <x:c r="L271" s="15" t="n">
        <x:v>0</x:v>
      </x:c>
      <x:c r="M271" s="15" t="n">
        <x:v>0</x:v>
      </x:c>
      <x:c r="N271" s="15" t="n">
        <x:v>0</x:v>
      </x:c>
      <x:c r="O271" s="15" t="n">
        <x:v>0</x:v>
      </x:c>
      <x:c r="P271" s="15" t="n">
        <x:v>0</x:v>
      </x:c>
      <x:c r="Q271" s="15" t="n">
        <x:v>0</x:v>
      </x:c>
      <x:c r="R271" s="15" t="n">
        <x:v>0</x:v>
      </x:c>
      <x:c r="S271" s="15" t="n">
        <x:v>0</x:v>
      </x:c>
      <x:c r="T271" s="15" t="n">
        <x:v>0</x:v>
      </x:c>
      <x:c r="U271" s="15" t="n">
        <x:v>0</x:v>
      </x:c>
      <x:c r="V271" s="15" t="n">
        <x:v>0</x:v>
      </x:c>
      <x:c r="W271" s="15" t="n">
        <x:v>0</x:v>
      </x:c>
      <x:c r="X271" s="15" t="n">
        <x:v>0</x:v>
      </x:c>
      <x:c r="Y271" s="15" t="n">
        <x:v>0</x:v>
      </x:c>
      <x:c r="Z271" s="15" t="n">
        <x:v>0</x:v>
      </x:c>
      <x:c r="AA271" s="15" t="n">
        <x:v>0</x:v>
      </x:c>
      <x:c r="AB271" s="15" t="n">
        <x:f>SUM(G271:AA271)</x:f>
        <x:v>292.484</x:v>
      </x:c>
    </x:row>
    <x:row r="272" ht="36" customHeight="1">
      <x:c r="A272" s="10" t="str">
        <x:v>T-REL</x:v>
      </x:c>
      <x:c r="B272" s="10" t="str">
        <x:v>TEXT</x:v>
      </x:c>
      <x:c r="C272" s="10" t="str">
        <x:v>TEXT:SYN-F09-09</x:v>
      </x:c>
      <x:c r="D272" s="10" t="str">
        <x:v>TEXT:M5336</x:v>
      </x:c>
      <x:c r="E272" s="15" t="n">
        <x:v>-8</x:v>
      </x:c>
      <x:c r="F272" s="15" t="str">
        <x:v>사전 생산</x:v>
      </x:c>
      <x:c r="G272" s="15" t="n">
        <x:v>238</x:v>
      </x:c>
      <x:c r="H272" s="15" t="n">
        <x:v>0</x:v>
      </x:c>
      <x:c r="I272" s="15" t="n">
        <x:v>34.36</x:v>
      </x:c>
      <x:c r="J272" s="15" t="n">
        <x:v>0</x:v>
      </x:c>
      <x:c r="K272" s="15" t="n">
        <x:v>38</x:v>
      </x:c>
      <x:c r="L272" s="15" t="n">
        <x:v>19</x:v>
      </x:c>
      <x:c r="M272" s="15" t="n">
        <x:v>0</x:v>
      </x:c>
      <x:c r="N272" s="15" t="n">
        <x:v>0</x:v>
      </x:c>
      <x:c r="O272" s="15" t="n">
        <x:v>0</x:v>
      </x:c>
      <x:c r="P272" s="15" t="n">
        <x:v>0</x:v>
      </x:c>
      <x:c r="Q272" s="15" t="n">
        <x:v>0</x:v>
      </x:c>
      <x:c r="R272" s="15" t="n">
        <x:v>0</x:v>
      </x:c>
      <x:c r="S272" s="15" t="n">
        <x:v>0</x:v>
      </x:c>
      <x:c r="T272" s="15" t="n">
        <x:v>0</x:v>
      </x:c>
      <x:c r="U272" s="15" t="n">
        <x:v>0</x:v>
      </x:c>
      <x:c r="V272" s="15" t="n">
        <x:v>0</x:v>
      </x:c>
      <x:c r="W272" s="15" t="n">
        <x:v>0</x:v>
      </x:c>
      <x:c r="X272" s="15" t="n">
        <x:v>0</x:v>
      </x:c>
      <x:c r="Y272" s="15" t="n">
        <x:v>0</x:v>
      </x:c>
      <x:c r="Z272" s="15" t="n">
        <x:v>0</x:v>
      </x:c>
      <x:c r="AA272" s="15" t="n">
        <x:v>0</x:v>
      </x:c>
      <x:c r="AB272" s="15" t="n">
        <x:f>SUM(G272:AA272)</x:f>
        <x:v>329.36</x:v>
      </x:c>
    </x:row>
    <x:row r="273" ht="36" customHeight="1">
      <x:c r="A273" s="10" t="str">
        <x:v>T-BASE</x:v>
      </x:c>
      <x:c r="B273" s="10" t="str">
        <x:v>TEXT</x:v>
      </x:c>
      <x:c r="C273" s="10" t="str">
        <x:v>TEXT:SYN-F09-10</x:v>
      </x:c>
      <x:c r="D273" s="10" t="str">
        <x:v>TEXT:M5358</x:v>
      </x:c>
      <x:c r="E273" s="15" t="n">
        <x:v>0.34</x:v>
      </x:c>
      <x:c r="F273" s="15" t="str">
        <x:v>요청</x:v>
      </x:c>
      <x:c r="G273" s="15" t="n">
        <x:v>238</x:v>
      </x:c>
      <x:c r="H273" s="15" t="n">
        <x:v>11</x:v>
      </x:c>
      <x:c r="I273" s="15" t="n">
        <x:v>27.548</x:v>
      </x:c>
      <x:c r="J273" s="15" t="n">
        <x:v>0</x:v>
      </x:c>
      <x:c r="K273" s="15" t="n">
        <x:v>0</x:v>
      </x:c>
      <x:c r="L273" s="15" t="n">
        <x:v>0</x:v>
      </x:c>
      <x:c r="M273" s="15" t="n">
        <x:v>0</x:v>
      </x:c>
      <x:c r="N273" s="15" t="n">
        <x:v>0</x:v>
      </x:c>
      <x:c r="O273" s="15" t="n">
        <x:v>0</x:v>
      </x:c>
      <x:c r="P273" s="15" t="n">
        <x:v>0</x:v>
      </x:c>
      <x:c r="Q273" s="15" t="n">
        <x:v>0</x:v>
      </x:c>
      <x:c r="R273" s="15" t="n">
        <x:v>0</x:v>
      </x:c>
      <x:c r="S273" s="15" t="n">
        <x:v>0</x:v>
      </x:c>
      <x:c r="T273" s="15" t="n">
        <x:v>0</x:v>
      </x:c>
      <x:c r="U273" s="15" t="n">
        <x:v>0</x:v>
      </x:c>
      <x:c r="V273" s="15" t="n">
        <x:v>0</x:v>
      </x:c>
      <x:c r="W273" s="15" t="n">
        <x:v>0</x:v>
      </x:c>
      <x:c r="X273" s="15" t="n">
        <x:v>0</x:v>
      </x:c>
      <x:c r="Y273" s="15" t="n">
        <x:v>0</x:v>
      </x:c>
      <x:c r="Z273" s="15" t="n">
        <x:v>0</x:v>
      </x:c>
      <x:c r="AA273" s="15" t="n">
        <x:v>0</x:v>
      </x:c>
      <x:c r="AB273" s="15" t="n">
        <x:f>SUM(G273:AA273)</x:f>
        <x:v>276.548</x:v>
      </x:c>
    </x:row>
    <x:row r="274" ht="36" customHeight="1">
      <x:c r="A274" s="10" t="str">
        <x:v>T-EXEC</x:v>
      </x:c>
      <x:c r="B274" s="10" t="str">
        <x:v>TEXT</x:v>
      </x:c>
      <x:c r="C274" s="10" t="str">
        <x:v>TEXT:SYN-F09-10</x:v>
      </x:c>
      <x:c r="D274" s="10" t="str">
        <x:v>TEXT:M5380</x:v>
      </x:c>
      <x:c r="E274" s="15" t="n">
        <x:v>3.363393</x:v>
      </x:c>
      <x:c r="F274" s="15" t="str">
        <x:v>요청</x:v>
      </x:c>
      <x:c r="G274" s="15" t="n">
        <x:v>238</x:v>
      </x:c>
      <x:c r="H274" s="15" t="n">
        <x:v>22</x:v>
      </x:c>
      <x:c r="I274" s="15" t="n">
        <x:v>25.576</x:v>
      </x:c>
      <x:c r="J274" s="15" t="n">
        <x:v>7</x:v>
      </x:c>
      <x:c r="K274" s="15" t="n">
        <x:v>0</x:v>
      </x:c>
      <x:c r="L274" s="15" t="n">
        <x:v>0</x:v>
      </x:c>
      <x:c r="M274" s="15" t="n">
        <x:v>0</x:v>
      </x:c>
      <x:c r="N274" s="15" t="n">
        <x:v>0</x:v>
      </x:c>
      <x:c r="O274" s="15" t="n">
        <x:v>0</x:v>
      </x:c>
      <x:c r="P274" s="15" t="n">
        <x:v>0</x:v>
      </x:c>
      <x:c r="Q274" s="15" t="n">
        <x:v>0</x:v>
      </x:c>
      <x:c r="R274" s="15" t="n">
        <x:v>0</x:v>
      </x:c>
      <x:c r="S274" s="15" t="n">
        <x:v>0</x:v>
      </x:c>
      <x:c r="T274" s="15" t="n">
        <x:v>0</x:v>
      </x:c>
      <x:c r="U274" s="15" t="n">
        <x:v>0</x:v>
      </x:c>
      <x:c r="V274" s="15" t="n">
        <x:v>0</x:v>
      </x:c>
      <x:c r="W274" s="15" t="n">
        <x:v>0</x:v>
      </x:c>
      <x:c r="X274" s="15" t="n">
        <x:v>0</x:v>
      </x:c>
      <x:c r="Y274" s="15" t="n">
        <x:v>0</x:v>
      </x:c>
      <x:c r="Z274" s="15" t="n">
        <x:v>0</x:v>
      </x:c>
      <x:c r="AA274" s="15" t="n">
        <x:v>0</x:v>
      </x:c>
      <x:c r="AB274" s="15" t="n">
        <x:f>SUM(G274:AA274)</x:f>
        <x:v>292.576</x:v>
      </x:c>
    </x:row>
    <x:row r="275" ht="36" customHeight="1">
      <x:c r="A275" s="10" t="str">
        <x:v>T-REL</x:v>
      </x:c>
      <x:c r="B275" s="10" t="str">
        <x:v>TEXT</x:v>
      </x:c>
      <x:c r="C275" s="10" t="str">
        <x:v>TEXT:SYN-F09-10</x:v>
      </x:c>
      <x:c r="D275" s="10" t="str">
        <x:v>TEXT:M5390</x:v>
      </x:c>
      <x:c r="E275" s="15" t="n">
        <x:v>-8</x:v>
      </x:c>
      <x:c r="F275" s="15" t="str">
        <x:v>사전 생산</x:v>
      </x:c>
      <x:c r="G275" s="15" t="n">
        <x:v>238</x:v>
      </x:c>
      <x:c r="H275" s="15" t="n">
        <x:v>0</x:v>
      </x:c>
      <x:c r="I275" s="15" t="n">
        <x:v>34.68</x:v>
      </x:c>
      <x:c r="J275" s="15" t="n">
        <x:v>0</x:v>
      </x:c>
      <x:c r="K275" s="15" t="n">
        <x:v>38</x:v>
      </x:c>
      <x:c r="L275" s="15" t="n">
        <x:v>19</x:v>
      </x:c>
      <x:c r="M275" s="15" t="n">
        <x:v>0</x:v>
      </x:c>
      <x:c r="N275" s="15" t="n">
        <x:v>0</x:v>
      </x:c>
      <x:c r="O275" s="15" t="n">
        <x:v>0</x:v>
      </x:c>
      <x:c r="P275" s="15" t="n">
        <x:v>0</x:v>
      </x:c>
      <x:c r="Q275" s="15" t="n">
        <x:v>0</x:v>
      </x:c>
      <x:c r="R275" s="15" t="n">
        <x:v>0</x:v>
      </x:c>
      <x:c r="S275" s="15" t="n">
        <x:v>0</x:v>
      </x:c>
      <x:c r="T275" s="15" t="n">
        <x:v>0</x:v>
      </x:c>
      <x:c r="U275" s="15" t="n">
        <x:v>0</x:v>
      </x:c>
      <x:c r="V275" s="15" t="n">
        <x:v>0</x:v>
      </x:c>
      <x:c r="W275" s="15" t="n">
        <x:v>0</x:v>
      </x:c>
      <x:c r="X275" s="15" t="n">
        <x:v>0</x:v>
      </x:c>
      <x:c r="Y275" s="15" t="n">
        <x:v>0</x:v>
      </x:c>
      <x:c r="Z275" s="15" t="n">
        <x:v>0</x:v>
      </x:c>
      <x:c r="AA275" s="15" t="n">
        <x:v>0</x:v>
      </x:c>
      <x:c r="AB275" s="15" t="n">
        <x:f>SUM(G275:AA275)</x:f>
        <x:v>329.68</x:v>
      </x:c>
    </x:row>
    <x:row r="276" ht="36" customHeight="1">
      <x:c r="A276" s="10" t="str">
        <x:v>T-BASE</x:v>
      </x:c>
      <x:c r="B276" s="10" t="str">
        <x:v>TEXT</x:v>
      </x:c>
      <x:c r="C276" s="10" t="str">
        <x:v>TEXT:SYN-F10-01</x:v>
      </x:c>
      <x:c r="D276" s="10" t="str">
        <x:v>TEXT:M5412</x:v>
      </x:c>
      <x:c r="E276" s="15" t="n">
        <x:v>0.34</x:v>
      </x:c>
      <x:c r="F276" s="15" t="str">
        <x:v>요청</x:v>
      </x:c>
      <x:c r="G276" s="15" t="n">
        <x:v>238</x:v>
      </x:c>
      <x:c r="H276" s="15" t="n">
        <x:v>11</x:v>
      </x:c>
      <x:c r="I276" s="15" t="n">
        <x:v>27.84</x:v>
      </x:c>
      <x:c r="J276" s="15" t="n">
        <x:v>0</x:v>
      </x:c>
      <x:c r="K276" s="15" t="n">
        <x:v>0</x:v>
      </x:c>
      <x:c r="L276" s="15" t="n">
        <x:v>0</x:v>
      </x:c>
      <x:c r="M276" s="15" t="n">
        <x:v>0</x:v>
      </x:c>
      <x:c r="N276" s="15" t="n">
        <x:v>0</x:v>
      </x:c>
      <x:c r="O276" s="15" t="n">
        <x:v>0</x:v>
      </x:c>
      <x:c r="P276" s="15" t="n">
        <x:v>0</x:v>
      </x:c>
      <x:c r="Q276" s="15" t="n">
        <x:v>0</x:v>
      </x:c>
      <x:c r="R276" s="15" t="n">
        <x:v>0</x:v>
      </x:c>
      <x:c r="S276" s="15" t="n">
        <x:v>0</x:v>
      </x:c>
      <x:c r="T276" s="15" t="n">
        <x:v>0</x:v>
      </x:c>
      <x:c r="U276" s="15" t="n">
        <x:v>0</x:v>
      </x:c>
      <x:c r="V276" s="15" t="n">
        <x:v>0</x:v>
      </x:c>
      <x:c r="W276" s="15" t="n">
        <x:v>0</x:v>
      </x:c>
      <x:c r="X276" s="15" t="n">
        <x:v>0</x:v>
      </x:c>
      <x:c r="Y276" s="15" t="n">
        <x:v>0</x:v>
      </x:c>
      <x:c r="Z276" s="15" t="n">
        <x:v>0</x:v>
      </x:c>
      <x:c r="AA276" s="15" t="n">
        <x:v>0</x:v>
      </x:c>
      <x:c r="AB276" s="15" t="n">
        <x:f>SUM(G276:AA276)</x:f>
        <x:v>276.84</x:v>
      </x:c>
    </x:row>
    <x:row r="277" ht="36" customHeight="1">
      <x:c r="A277" s="10" t="str">
        <x:v>T-EXEC</x:v>
      </x:c>
      <x:c r="B277" s="10" t="str">
        <x:v>TEXT</x:v>
      </x:c>
      <x:c r="C277" s="10" t="str">
        <x:v>TEXT:SYN-F10-01</x:v>
      </x:c>
      <x:c r="D277" s="10" t="str">
        <x:v>TEXT:M5438</x:v>
      </x:c>
      <x:c r="E277" s="15" t="n">
        <x:v>4.052143</x:v>
      </x:c>
      <x:c r="F277" s="15" t="str">
        <x:v>요청</x:v>
      </x:c>
      <x:c r="G277" s="15" t="n">
        <x:v>238</x:v>
      </x:c>
      <x:c r="H277" s="15" t="n">
        <x:v>22</x:v>
      </x:c>
      <x:c r="I277" s="15" t="n">
        <x:v>43.72</x:v>
      </x:c>
      <x:c r="J277" s="15" t="n">
        <x:v>0</x:v>
      </x:c>
      <x:c r="K277" s="15" t="n">
        <x:v>0</x:v>
      </x:c>
      <x:c r="L277" s="15" t="n">
        <x:v>0</x:v>
      </x:c>
      <x:c r="M277" s="15" t="n">
        <x:v>0</x:v>
      </x:c>
      <x:c r="N277" s="15" t="n">
        <x:v>0</x:v>
      </x:c>
      <x:c r="O277" s="15" t="n">
        <x:v>0</x:v>
      </x:c>
      <x:c r="P277" s="15" t="n">
        <x:v>0</x:v>
      </x:c>
      <x:c r="Q277" s="15" t="n">
        <x:v>0</x:v>
      </x:c>
      <x:c r="R277" s="15" t="n">
        <x:v>0</x:v>
      </x:c>
      <x:c r="S277" s="15" t="n">
        <x:v>0</x:v>
      </x:c>
      <x:c r="T277" s="15" t="n">
        <x:v>0</x:v>
      </x:c>
      <x:c r="U277" s="15" t="n">
        <x:v>0</x:v>
      </x:c>
      <x:c r="V277" s="15" t="n">
        <x:v>0</x:v>
      </x:c>
      <x:c r="W277" s="15" t="n">
        <x:v>0</x:v>
      </x:c>
      <x:c r="X277" s="15" t="n">
        <x:v>0</x:v>
      </x:c>
      <x:c r="Y277" s="15" t="n">
        <x:v>0</x:v>
      </x:c>
      <x:c r="Z277" s="15" t="n">
        <x:v>0</x:v>
      </x:c>
      <x:c r="AA277" s="15" t="n">
        <x:v>0</x:v>
      </x:c>
      <x:c r="AB277" s="15" t="n">
        <x:f>SUM(G277:AA277)</x:f>
        <x:v>303.72</x:v>
      </x:c>
    </x:row>
    <x:row r="278" ht="36" customHeight="1">
      <x:c r="A278" s="10" t="str">
        <x:v>T-REL</x:v>
      </x:c>
      <x:c r="B278" s="10" t="str">
        <x:v>TEXT</x:v>
      </x:c>
      <x:c r="C278" s="10" t="str">
        <x:v>TEXT:SYN-F10-01</x:v>
      </x:c>
      <x:c r="D278" s="10" t="str">
        <x:v>TEXT:M5450</x:v>
      </x:c>
      <x:c r="E278" s="15" t="n">
        <x:v>-8</x:v>
      </x:c>
      <x:c r="F278" s="15" t="str">
        <x:v>사전 생산</x:v>
      </x:c>
      <x:c r="G278" s="15" t="n">
        <x:v>238</x:v>
      </x:c>
      <x:c r="H278" s="15" t="n">
        <x:v>0</x:v>
      </x:c>
      <x:c r="I278" s="15" t="n">
        <x:v>31.8</x:v>
      </x:c>
      <x:c r="J278" s="15" t="n">
        <x:v>0</x:v>
      </x:c>
      <x:c r="K278" s="15" t="n">
        <x:v>38</x:v>
      </x:c>
      <x:c r="L278" s="15" t="n">
        <x:v>19</x:v>
      </x:c>
      <x:c r="M278" s="15" t="n">
        <x:v>0</x:v>
      </x:c>
      <x:c r="N278" s="15" t="n">
        <x:v>0</x:v>
      </x:c>
      <x:c r="O278" s="15" t="n">
        <x:v>0</x:v>
      </x:c>
      <x:c r="P278" s="15" t="n">
        <x:v>0</x:v>
      </x:c>
      <x:c r="Q278" s="15" t="n">
        <x:v>0</x:v>
      </x:c>
      <x:c r="R278" s="15" t="n">
        <x:v>0</x:v>
      </x:c>
      <x:c r="S278" s="15" t="n">
        <x:v>0</x:v>
      </x:c>
      <x:c r="T278" s="15" t="n">
        <x:v>0</x:v>
      </x:c>
      <x:c r="U278" s="15" t="n">
        <x:v>0</x:v>
      </x:c>
      <x:c r="V278" s="15" t="n">
        <x:v>0</x:v>
      </x:c>
      <x:c r="W278" s="15" t="n">
        <x:v>0</x:v>
      </x:c>
      <x:c r="X278" s="15" t="n">
        <x:v>0</x:v>
      </x:c>
      <x:c r="Y278" s="15" t="n">
        <x:v>0</x:v>
      </x:c>
      <x:c r="Z278" s="15" t="n">
        <x:v>0</x:v>
      </x:c>
      <x:c r="AA278" s="15" t="n">
        <x:v>0</x:v>
      </x:c>
      <x:c r="AB278" s="15" t="n">
        <x:f>SUM(G278:AA278)</x:f>
        <x:v>326.8</x:v>
      </x:c>
    </x:row>
    <x:row r="279" ht="36" customHeight="1">
      <x:c r="A279" s="10" t="str">
        <x:v>T-BASE</x:v>
      </x:c>
      <x:c r="B279" s="10" t="str">
        <x:v>TEXT</x:v>
      </x:c>
      <x:c r="C279" s="10" t="str">
        <x:v>TEXT:SYN-F10-02</x:v>
      </x:c>
      <x:c r="D279" s="10" t="str">
        <x:v>TEXT:M5474</x:v>
      </x:c>
      <x:c r="E279" s="15" t="n">
        <x:v>0.365</x:v>
      </x:c>
      <x:c r="F279" s="15" t="str">
        <x:v>요청</x:v>
      </x:c>
      <x:c r="G279" s="15" t="n">
        <x:v>238</x:v>
      </x:c>
      <x:c r="H279" s="15" t="n">
        <x:v>11</x:v>
      </x:c>
      <x:c r="I279" s="15" t="n">
        <x:v>27.932</x:v>
      </x:c>
      <x:c r="J279" s="15" t="n">
        <x:v>0</x:v>
      </x:c>
      <x:c r="K279" s="15" t="n">
        <x:v>0</x:v>
      </x:c>
      <x:c r="L279" s="15" t="n">
        <x:v>0</x:v>
      </x:c>
      <x:c r="M279" s="15" t="n">
        <x:v>0</x:v>
      </x:c>
      <x:c r="N279" s="15" t="n">
        <x:v>0</x:v>
      </x:c>
      <x:c r="O279" s="15" t="n">
        <x:v>0</x:v>
      </x:c>
      <x:c r="P279" s="15" t="n">
        <x:v>0</x:v>
      </x:c>
      <x:c r="Q279" s="15" t="n">
        <x:v>0</x:v>
      </x:c>
      <x:c r="R279" s="15" t="n">
        <x:v>0</x:v>
      </x:c>
      <x:c r="S279" s="15" t="n">
        <x:v>0</x:v>
      </x:c>
      <x:c r="T279" s="15" t="n">
        <x:v>0</x:v>
      </x:c>
      <x:c r="U279" s="15" t="n">
        <x:v>0</x:v>
      </x:c>
      <x:c r="V279" s="15" t="n">
        <x:v>0</x:v>
      </x:c>
      <x:c r="W279" s="15" t="n">
        <x:v>0</x:v>
      </x:c>
      <x:c r="X279" s="15" t="n">
        <x:v>0</x:v>
      </x:c>
      <x:c r="Y279" s="15" t="n">
        <x:v>0</x:v>
      </x:c>
      <x:c r="Z279" s="15" t="n">
        <x:v>0</x:v>
      </x:c>
      <x:c r="AA279" s="15" t="n">
        <x:v>0</x:v>
      </x:c>
      <x:c r="AB279" s="15" t="n">
        <x:f>SUM(G279:AA279)</x:f>
        <x:v>276.932</x:v>
      </x:c>
    </x:row>
    <x:row r="280" ht="36" customHeight="1">
      <x:c r="A280" s="10" t="str">
        <x:v>T-EXEC</x:v>
      </x:c>
      <x:c r="B280" s="10" t="str">
        <x:v>TEXT</x:v>
      </x:c>
      <x:c r="C280" s="10" t="str">
        <x:v>TEXT:SYN-F10-02</x:v>
      </x:c>
      <x:c r="D280" s="10" t="str">
        <x:v>TEXT:M5500</x:v>
      </x:c>
      <x:c r="E280" s="15" t="n">
        <x:v>4.134964</x:v>
      </x:c>
      <x:c r="F280" s="15" t="str">
        <x:v>요청</x:v>
      </x:c>
      <x:c r="G280" s="15" t="n">
        <x:v>238</x:v>
      </x:c>
      <x:c r="H280" s="15" t="n">
        <x:v>22</x:v>
      </x:c>
      <x:c r="I280" s="15" t="n">
        <x:v>43.888</x:v>
      </x:c>
      <x:c r="J280" s="15" t="n">
        <x:v>0</x:v>
      </x:c>
      <x:c r="K280" s="15" t="n">
        <x:v>0</x:v>
      </x:c>
      <x:c r="L280" s="15" t="n">
        <x:v>0</x:v>
      </x:c>
      <x:c r="M280" s="15" t="n">
        <x:v>0</x:v>
      </x:c>
      <x:c r="N280" s="15" t="n">
        <x:v>0</x:v>
      </x:c>
      <x:c r="O280" s="15" t="n">
        <x:v>0</x:v>
      </x:c>
      <x:c r="P280" s="15" t="n">
        <x:v>0</x:v>
      </x:c>
      <x:c r="Q280" s="15" t="n">
        <x:v>0</x:v>
      </x:c>
      <x:c r="R280" s="15" t="n">
        <x:v>0</x:v>
      </x:c>
      <x:c r="S280" s="15" t="n">
        <x:v>0</x:v>
      </x:c>
      <x:c r="T280" s="15" t="n">
        <x:v>0</x:v>
      </x:c>
      <x:c r="U280" s="15" t="n">
        <x:v>0</x:v>
      </x:c>
      <x:c r="V280" s="15" t="n">
        <x:v>0</x:v>
      </x:c>
      <x:c r="W280" s="15" t="n">
        <x:v>0</x:v>
      </x:c>
      <x:c r="X280" s="15" t="n">
        <x:v>0</x:v>
      </x:c>
      <x:c r="Y280" s="15" t="n">
        <x:v>0</x:v>
      </x:c>
      <x:c r="Z280" s="15" t="n">
        <x:v>0</x:v>
      </x:c>
      <x:c r="AA280" s="15" t="n">
        <x:v>0</x:v>
      </x:c>
      <x:c r="AB280" s="15" t="n">
        <x:f>SUM(G280:AA280)</x:f>
        <x:v>303.888</x:v>
      </x:c>
    </x:row>
    <x:row r="281" ht="36" customHeight="1">
      <x:c r="A281" s="10" t="str">
        <x:v>T-REL</x:v>
      </x:c>
      <x:c r="B281" s="10" t="str">
        <x:v>TEXT</x:v>
      </x:c>
      <x:c r="C281" s="10" t="str">
        <x:v>TEXT:SYN-F10-02</x:v>
      </x:c>
      <x:c r="D281" s="10" t="str">
        <x:v>TEXT:M5512</x:v>
      </x:c>
      <x:c r="E281" s="15" t="n">
        <x:v>-8</x:v>
      </x:c>
      <x:c r="F281" s="15" t="str">
        <x:v>사전 생산</x:v>
      </x:c>
      <x:c r="G281" s="15" t="n">
        <x:v>238</x:v>
      </x:c>
      <x:c r="H281" s="15" t="n">
        <x:v>0</x:v>
      </x:c>
      <x:c r="I281" s="15" t="n">
        <x:v>32.12</x:v>
      </x:c>
      <x:c r="J281" s="15" t="n">
        <x:v>0</x:v>
      </x:c>
      <x:c r="K281" s="15" t="n">
        <x:v>38</x:v>
      </x:c>
      <x:c r="L281" s="15" t="n">
        <x:v>19</x:v>
      </x:c>
      <x:c r="M281" s="15" t="n">
        <x:v>0</x:v>
      </x:c>
      <x:c r="N281" s="15" t="n">
        <x:v>0</x:v>
      </x:c>
      <x:c r="O281" s="15" t="n">
        <x:v>0</x:v>
      </x:c>
      <x:c r="P281" s="15" t="n">
        <x:v>0</x:v>
      </x:c>
      <x:c r="Q281" s="15" t="n">
        <x:v>0</x:v>
      </x:c>
      <x:c r="R281" s="15" t="n">
        <x:v>0</x:v>
      </x:c>
      <x:c r="S281" s="15" t="n">
        <x:v>0</x:v>
      </x:c>
      <x:c r="T281" s="15" t="n">
        <x:v>0</x:v>
      </x:c>
      <x:c r="U281" s="15" t="n">
        <x:v>0</x:v>
      </x:c>
      <x:c r="V281" s="15" t="n">
        <x:v>0</x:v>
      </x:c>
      <x:c r="W281" s="15" t="n">
        <x:v>0</x:v>
      </x:c>
      <x:c r="X281" s="15" t="n">
        <x:v>0</x:v>
      </x:c>
      <x:c r="Y281" s="15" t="n">
        <x:v>0</x:v>
      </x:c>
      <x:c r="Z281" s="15" t="n">
        <x:v>0</x:v>
      </x:c>
      <x:c r="AA281" s="15" t="n">
        <x:v>0</x:v>
      </x:c>
      <x:c r="AB281" s="15" t="n">
        <x:f>SUM(G281:AA281)</x:f>
        <x:v>327.12</x:v>
      </x:c>
    </x:row>
    <x:row r="282" ht="36" customHeight="1">
      <x:c r="A282" s="10" t="str">
        <x:v>T-BASE</x:v>
      </x:c>
      <x:c r="B282" s="10" t="str">
        <x:v>TEXT</x:v>
      </x:c>
      <x:c r="C282" s="10" t="str">
        <x:v>TEXT:SYN-F10-03</x:v>
      </x:c>
      <x:c r="D282" s="10" t="str">
        <x:v>TEXT:M5536</x:v>
      </x:c>
      <x:c r="E282" s="15" t="n">
        <x:v>0.39</x:v>
      </x:c>
      <x:c r="F282" s="15" t="str">
        <x:v>요청</x:v>
      </x:c>
      <x:c r="G282" s="15" t="n">
        <x:v>238</x:v>
      </x:c>
      <x:c r="H282" s="15" t="n">
        <x:v>11</x:v>
      </x:c>
      <x:c r="I282" s="15" t="n">
        <x:v>28.024</x:v>
      </x:c>
      <x:c r="J282" s="15" t="n">
        <x:v>0</x:v>
      </x:c>
      <x:c r="K282" s="15" t="n">
        <x:v>0</x:v>
      </x:c>
      <x:c r="L282" s="15" t="n">
        <x:v>0</x:v>
      </x:c>
      <x:c r="M282" s="15" t="n">
        <x:v>0</x:v>
      </x:c>
      <x:c r="N282" s="15" t="n">
        <x:v>0</x:v>
      </x:c>
      <x:c r="O282" s="15" t="n">
        <x:v>0</x:v>
      </x:c>
      <x:c r="P282" s="15" t="n">
        <x:v>0</x:v>
      </x:c>
      <x:c r="Q282" s="15" t="n">
        <x:v>0</x:v>
      </x:c>
      <x:c r="R282" s="15" t="n">
        <x:v>0</x:v>
      </x:c>
      <x:c r="S282" s="15" t="n">
        <x:v>0</x:v>
      </x:c>
      <x:c r="T282" s="15" t="n">
        <x:v>0</x:v>
      </x:c>
      <x:c r="U282" s="15" t="n">
        <x:v>0</x:v>
      </x:c>
      <x:c r="V282" s="15" t="n">
        <x:v>0</x:v>
      </x:c>
      <x:c r="W282" s="15" t="n">
        <x:v>0</x:v>
      </x:c>
      <x:c r="X282" s="15" t="n">
        <x:v>0</x:v>
      </x:c>
      <x:c r="Y282" s="15" t="n">
        <x:v>0</x:v>
      </x:c>
      <x:c r="Z282" s="15" t="n">
        <x:v>0</x:v>
      </x:c>
      <x:c r="AA282" s="15" t="n">
        <x:v>0</x:v>
      </x:c>
      <x:c r="AB282" s="15" t="n">
        <x:f>SUM(G282:AA282)</x:f>
        <x:v>277.024</x:v>
      </x:c>
    </x:row>
    <x:row r="283" ht="36" customHeight="1">
      <x:c r="A283" s="10" t="str">
        <x:v>T-EXEC</x:v>
      </x:c>
      <x:c r="B283" s="10" t="str">
        <x:v>TEXT</x:v>
      </x:c>
      <x:c r="C283" s="10" t="str">
        <x:v>TEXT:SYN-F10-03</x:v>
      </x:c>
      <x:c r="D283" s="10" t="str">
        <x:v>TEXT:M5562</x:v>
      </x:c>
      <x:c r="E283" s="15" t="n">
        <x:v>4.217786</x:v>
      </x:c>
      <x:c r="F283" s="15" t="str">
        <x:v>요청</x:v>
      </x:c>
      <x:c r="G283" s="15" t="n">
        <x:v>238</x:v>
      </x:c>
      <x:c r="H283" s="15" t="n">
        <x:v>22</x:v>
      </x:c>
      <x:c r="I283" s="15" t="n">
        <x:v>44.056</x:v>
      </x:c>
      <x:c r="J283" s="15" t="n">
        <x:v>0</x:v>
      </x:c>
      <x:c r="K283" s="15" t="n">
        <x:v>0</x:v>
      </x:c>
      <x:c r="L283" s="15" t="n">
        <x:v>0</x:v>
      </x:c>
      <x:c r="M283" s="15" t="n">
        <x:v>0</x:v>
      </x:c>
      <x:c r="N283" s="15" t="n">
        <x:v>0</x:v>
      </x:c>
      <x:c r="O283" s="15" t="n">
        <x:v>0</x:v>
      </x:c>
      <x:c r="P283" s="15" t="n">
        <x:v>0</x:v>
      </x:c>
      <x:c r="Q283" s="15" t="n">
        <x:v>0</x:v>
      </x:c>
      <x:c r="R283" s="15" t="n">
        <x:v>0</x:v>
      </x:c>
      <x:c r="S283" s="15" t="n">
        <x:v>0</x:v>
      </x:c>
      <x:c r="T283" s="15" t="n">
        <x:v>0</x:v>
      </x:c>
      <x:c r="U283" s="15" t="n">
        <x:v>0</x:v>
      </x:c>
      <x:c r="V283" s="15" t="n">
        <x:v>0</x:v>
      </x:c>
      <x:c r="W283" s="15" t="n">
        <x:v>0</x:v>
      </x:c>
      <x:c r="X283" s="15" t="n">
        <x:v>0</x:v>
      </x:c>
      <x:c r="Y283" s="15" t="n">
        <x:v>0</x:v>
      </x:c>
      <x:c r="Z283" s="15" t="n">
        <x:v>0</x:v>
      </x:c>
      <x:c r="AA283" s="15" t="n">
        <x:v>0</x:v>
      </x:c>
      <x:c r="AB283" s="15" t="n">
        <x:f>SUM(G283:AA283)</x:f>
        <x:v>304.056</x:v>
      </x:c>
    </x:row>
    <x:row r="284" ht="36" customHeight="1">
      <x:c r="A284" s="10" t="str">
        <x:v>T-REL</x:v>
      </x:c>
      <x:c r="B284" s="10" t="str">
        <x:v>TEXT</x:v>
      </x:c>
      <x:c r="C284" s="10" t="str">
        <x:v>TEXT:SYN-F10-03</x:v>
      </x:c>
      <x:c r="D284" s="10" t="str">
        <x:v>TEXT:M5574</x:v>
      </x:c>
      <x:c r="E284" s="15" t="n">
        <x:v>-8</x:v>
      </x:c>
      <x:c r="F284" s="15" t="str">
        <x:v>사전 생산</x:v>
      </x:c>
      <x:c r="G284" s="15" t="n">
        <x:v>238</x:v>
      </x:c>
      <x:c r="H284" s="15" t="n">
        <x:v>0</x:v>
      </x:c>
      <x:c r="I284" s="15" t="n">
        <x:v>32.44</x:v>
      </x:c>
      <x:c r="J284" s="15" t="n">
        <x:v>0</x:v>
      </x:c>
      <x:c r="K284" s="15" t="n">
        <x:v>38</x:v>
      </x:c>
      <x:c r="L284" s="15" t="n">
        <x:v>19</x:v>
      </x:c>
      <x:c r="M284" s="15" t="n">
        <x:v>0</x:v>
      </x:c>
      <x:c r="N284" s="15" t="n">
        <x:v>0</x:v>
      </x:c>
      <x:c r="O284" s="15" t="n">
        <x:v>0</x:v>
      </x:c>
      <x:c r="P284" s="15" t="n">
        <x:v>0</x:v>
      </x:c>
      <x:c r="Q284" s="15" t="n">
        <x:v>0</x:v>
      </x:c>
      <x:c r="R284" s="15" t="n">
        <x:v>0</x:v>
      </x:c>
      <x:c r="S284" s="15" t="n">
        <x:v>0</x:v>
      </x:c>
      <x:c r="T284" s="15" t="n">
        <x:v>0</x:v>
      </x:c>
      <x:c r="U284" s="15" t="n">
        <x:v>0</x:v>
      </x:c>
      <x:c r="V284" s="15" t="n">
        <x:v>0</x:v>
      </x:c>
      <x:c r="W284" s="15" t="n">
        <x:v>0</x:v>
      </x:c>
      <x:c r="X284" s="15" t="n">
        <x:v>0</x:v>
      </x:c>
      <x:c r="Y284" s="15" t="n">
        <x:v>0</x:v>
      </x:c>
      <x:c r="Z284" s="15" t="n">
        <x:v>0</x:v>
      </x:c>
      <x:c r="AA284" s="15" t="n">
        <x:v>0</x:v>
      </x:c>
      <x:c r="AB284" s="15" t="n">
        <x:f>SUM(G284:AA284)</x:f>
        <x:v>327.44</x:v>
      </x:c>
    </x:row>
    <x:row r="285" ht="36" customHeight="1">
      <x:c r="A285" s="10" t="str">
        <x:v>T-BASE</x:v>
      </x:c>
      <x:c r="B285" s="10" t="str">
        <x:v>TEXT</x:v>
      </x:c>
      <x:c r="C285" s="10" t="str">
        <x:v>TEXT:SYN-F10-04</x:v>
      </x:c>
      <x:c r="D285" s="10" t="str">
        <x:v>TEXT:M5598</x:v>
      </x:c>
      <x:c r="E285" s="15" t="n">
        <x:v>0.34</x:v>
      </x:c>
      <x:c r="F285" s="15" t="str">
        <x:v>요청</x:v>
      </x:c>
      <x:c r="G285" s="15" t="n">
        <x:v>238</x:v>
      </x:c>
      <x:c r="H285" s="15" t="n">
        <x:v>11</x:v>
      </x:c>
      <x:c r="I285" s="15" t="n">
        <x:v>28.116</x:v>
      </x:c>
      <x:c r="J285" s="15" t="n">
        <x:v>0</x:v>
      </x:c>
      <x:c r="K285" s="15" t="n">
        <x:v>0</x:v>
      </x:c>
      <x:c r="L285" s="15" t="n">
        <x:v>0</x:v>
      </x:c>
      <x:c r="M285" s="15" t="n">
        <x:v>0</x:v>
      </x:c>
      <x:c r="N285" s="15" t="n">
        <x:v>0</x:v>
      </x:c>
      <x:c r="O285" s="15" t="n">
        <x:v>0</x:v>
      </x:c>
      <x:c r="P285" s="15" t="n">
        <x:v>0</x:v>
      </x:c>
      <x:c r="Q285" s="15" t="n">
        <x:v>0</x:v>
      </x:c>
      <x:c r="R285" s="15" t="n">
        <x:v>0</x:v>
      </x:c>
      <x:c r="S285" s="15" t="n">
        <x:v>0</x:v>
      </x:c>
      <x:c r="T285" s="15" t="n">
        <x:v>0</x:v>
      </x:c>
      <x:c r="U285" s="15" t="n">
        <x:v>0</x:v>
      </x:c>
      <x:c r="V285" s="15" t="n">
        <x:v>0</x:v>
      </x:c>
      <x:c r="W285" s="15" t="n">
        <x:v>0</x:v>
      </x:c>
      <x:c r="X285" s="15" t="n">
        <x:v>0</x:v>
      </x:c>
      <x:c r="Y285" s="15" t="n">
        <x:v>0</x:v>
      </x:c>
      <x:c r="Z285" s="15" t="n">
        <x:v>0</x:v>
      </x:c>
      <x:c r="AA285" s="15" t="n">
        <x:v>0</x:v>
      </x:c>
      <x:c r="AB285" s="15" t="n">
        <x:f>SUM(G285:AA285)</x:f>
        <x:v>277.116</x:v>
      </x:c>
    </x:row>
    <x:row r="286" ht="36" customHeight="1">
      <x:c r="A286" s="10" t="str">
        <x:v>T-EXEC</x:v>
      </x:c>
      <x:c r="B286" s="10" t="str">
        <x:v>TEXT</x:v>
      </x:c>
      <x:c r="C286" s="10" t="str">
        <x:v>TEXT:SYN-F10-04</x:v>
      </x:c>
      <x:c r="D286" s="10" t="str">
        <x:v>TEXT:M5624</x:v>
      </x:c>
      <x:c r="E286" s="15" t="n">
        <x:v>4.225607</x:v>
      </x:c>
      <x:c r="F286" s="15" t="str">
        <x:v>요청</x:v>
      </x:c>
      <x:c r="G286" s="15" t="n">
        <x:v>238</x:v>
      </x:c>
      <x:c r="H286" s="15" t="n">
        <x:v>22</x:v>
      </x:c>
      <x:c r="I286" s="15" t="n">
        <x:v>44.224</x:v>
      </x:c>
      <x:c r="J286" s="15" t="n">
        <x:v>0</x:v>
      </x:c>
      <x:c r="K286" s="15" t="n">
        <x:v>0</x:v>
      </x:c>
      <x:c r="L286" s="15" t="n">
        <x:v>0</x:v>
      </x:c>
      <x:c r="M286" s="15" t="n">
        <x:v>0</x:v>
      </x:c>
      <x:c r="N286" s="15" t="n">
        <x:v>0</x:v>
      </x:c>
      <x:c r="O286" s="15" t="n">
        <x:v>0</x:v>
      </x:c>
      <x:c r="P286" s="15" t="n">
        <x:v>0</x:v>
      </x:c>
      <x:c r="Q286" s="15" t="n">
        <x:v>0</x:v>
      </x:c>
      <x:c r="R286" s="15" t="n">
        <x:v>0</x:v>
      </x:c>
      <x:c r="S286" s="15" t="n">
        <x:v>0</x:v>
      </x:c>
      <x:c r="T286" s="15" t="n">
        <x:v>0</x:v>
      </x:c>
      <x:c r="U286" s="15" t="n">
        <x:v>0</x:v>
      </x:c>
      <x:c r="V286" s="15" t="n">
        <x:v>0</x:v>
      </x:c>
      <x:c r="W286" s="15" t="n">
        <x:v>0</x:v>
      </x:c>
      <x:c r="X286" s="15" t="n">
        <x:v>0</x:v>
      </x:c>
      <x:c r="Y286" s="15" t="n">
        <x:v>0</x:v>
      </x:c>
      <x:c r="Z286" s="15" t="n">
        <x:v>0</x:v>
      </x:c>
      <x:c r="AA286" s="15" t="n">
        <x:v>0</x:v>
      </x:c>
      <x:c r="AB286" s="15" t="n">
        <x:f>SUM(G286:AA286)</x:f>
        <x:v>304.224</x:v>
      </x:c>
    </x:row>
    <x:row r="287" ht="36" customHeight="1">
      <x:c r="A287" s="10" t="str">
        <x:v>T-REL</x:v>
      </x:c>
      <x:c r="B287" s="10" t="str">
        <x:v>TEXT</x:v>
      </x:c>
      <x:c r="C287" s="10" t="str">
        <x:v>TEXT:SYN-F10-04</x:v>
      </x:c>
      <x:c r="D287" s="10" t="str">
        <x:v>TEXT:M5636</x:v>
      </x:c>
      <x:c r="E287" s="15" t="n">
        <x:v>-8</x:v>
      </x:c>
      <x:c r="F287" s="15" t="str">
        <x:v>사전 생산</x:v>
      </x:c>
      <x:c r="G287" s="15" t="n">
        <x:v>238</x:v>
      </x:c>
      <x:c r="H287" s="15" t="n">
        <x:v>0</x:v>
      </x:c>
      <x:c r="I287" s="15" t="n">
        <x:v>32.76</x:v>
      </x:c>
      <x:c r="J287" s="15" t="n">
        <x:v>0</x:v>
      </x:c>
      <x:c r="K287" s="15" t="n">
        <x:v>38</x:v>
      </x:c>
      <x:c r="L287" s="15" t="n">
        <x:v>19</x:v>
      </x:c>
      <x:c r="M287" s="15" t="n">
        <x:v>0</x:v>
      </x:c>
      <x:c r="N287" s="15" t="n">
        <x:v>0</x:v>
      </x:c>
      <x:c r="O287" s="15" t="n">
        <x:v>0</x:v>
      </x:c>
      <x:c r="P287" s="15" t="n">
        <x:v>0</x:v>
      </x:c>
      <x:c r="Q287" s="15" t="n">
        <x:v>0</x:v>
      </x:c>
      <x:c r="R287" s="15" t="n">
        <x:v>0</x:v>
      </x:c>
      <x:c r="S287" s="15" t="n">
        <x:v>0</x:v>
      </x:c>
      <x:c r="T287" s="15" t="n">
        <x:v>0</x:v>
      </x:c>
      <x:c r="U287" s="15" t="n">
        <x:v>0</x:v>
      </x:c>
      <x:c r="V287" s="15" t="n">
        <x:v>0</x:v>
      </x:c>
      <x:c r="W287" s="15" t="n">
        <x:v>0</x:v>
      </x:c>
      <x:c r="X287" s="15" t="n">
        <x:v>0</x:v>
      </x:c>
      <x:c r="Y287" s="15" t="n">
        <x:v>0</x:v>
      </x:c>
      <x:c r="Z287" s="15" t="n">
        <x:v>0</x:v>
      </x:c>
      <x:c r="AA287" s="15" t="n">
        <x:v>0</x:v>
      </x:c>
      <x:c r="AB287" s="15" t="n">
        <x:f>SUM(G287:AA287)</x:f>
        <x:v>327.76</x:v>
      </x:c>
    </x:row>
    <x:row r="288" ht="36" customHeight="1">
      <x:c r="A288" s="10" t="str">
        <x:v>T-BASE</x:v>
      </x:c>
      <x:c r="B288" s="10" t="str">
        <x:v>TEXT</x:v>
      </x:c>
      <x:c r="C288" s="10" t="str">
        <x:v>TEXT:SYN-F10-05</x:v>
      </x:c>
      <x:c r="D288" s="10" t="str">
        <x:v>TEXT:M5660</x:v>
      </x:c>
      <x:c r="E288" s="15" t="n">
        <x:v>0.365</x:v>
      </x:c>
      <x:c r="F288" s="15" t="str">
        <x:v>요청</x:v>
      </x:c>
      <x:c r="G288" s="15" t="n">
        <x:v>238</x:v>
      </x:c>
      <x:c r="H288" s="15" t="n">
        <x:v>11</x:v>
      </x:c>
      <x:c r="I288" s="15" t="n">
        <x:v>28.208</x:v>
      </x:c>
      <x:c r="J288" s="15" t="n">
        <x:v>0</x:v>
      </x:c>
      <x:c r="K288" s="15" t="n">
        <x:v>0</x:v>
      </x:c>
      <x:c r="L288" s="15" t="n">
        <x:v>0</x:v>
      </x:c>
      <x:c r="M288" s="15" t="n">
        <x:v>0</x:v>
      </x:c>
      <x:c r="N288" s="15" t="n">
        <x:v>0</x:v>
      </x:c>
      <x:c r="O288" s="15" t="n">
        <x:v>0</x:v>
      </x:c>
      <x:c r="P288" s="15" t="n">
        <x:v>0</x:v>
      </x:c>
      <x:c r="Q288" s="15" t="n">
        <x:v>0</x:v>
      </x:c>
      <x:c r="R288" s="15" t="n">
        <x:v>0</x:v>
      </x:c>
      <x:c r="S288" s="15" t="n">
        <x:v>0</x:v>
      </x:c>
      <x:c r="T288" s="15" t="n">
        <x:v>0</x:v>
      </x:c>
      <x:c r="U288" s="15" t="n">
        <x:v>0</x:v>
      </x:c>
      <x:c r="V288" s="15" t="n">
        <x:v>0</x:v>
      </x:c>
      <x:c r="W288" s="15" t="n">
        <x:v>0</x:v>
      </x:c>
      <x:c r="X288" s="15" t="n">
        <x:v>0</x:v>
      </x:c>
      <x:c r="Y288" s="15" t="n">
        <x:v>0</x:v>
      </x:c>
      <x:c r="Z288" s="15" t="n">
        <x:v>0</x:v>
      </x:c>
      <x:c r="AA288" s="15" t="n">
        <x:v>0</x:v>
      </x:c>
      <x:c r="AB288" s="15" t="n">
        <x:f>SUM(G288:AA288)</x:f>
        <x:v>277.20799999999997</x:v>
      </x:c>
    </x:row>
    <x:row r="289" ht="36" customHeight="1">
      <x:c r="A289" s="10" t="str">
        <x:v>T-EXEC</x:v>
      </x:c>
      <x:c r="B289" s="10" t="str">
        <x:v>TEXT</x:v>
      </x:c>
      <x:c r="C289" s="10" t="str">
        <x:v>TEXT:SYN-F10-05</x:v>
      </x:c>
      <x:c r="D289" s="10" t="str">
        <x:v>TEXT:M5686</x:v>
      </x:c>
      <x:c r="E289" s="15" t="n">
        <x:v>4.283429</x:v>
      </x:c>
      <x:c r="F289" s="15" t="str">
        <x:v>요청</x:v>
      </x:c>
      <x:c r="G289" s="15" t="n">
        <x:v>238</x:v>
      </x:c>
      <x:c r="H289" s="15" t="n">
        <x:v>22</x:v>
      </x:c>
      <x:c r="I289" s="15" t="n">
        <x:v>44.392</x:v>
      </x:c>
      <x:c r="J289" s="15" t="n">
        <x:v>0</x:v>
      </x:c>
      <x:c r="K289" s="15" t="n">
        <x:v>0</x:v>
      </x:c>
      <x:c r="L289" s="15" t="n">
        <x:v>0</x:v>
      </x:c>
      <x:c r="M289" s="15" t="n">
        <x:v>0</x:v>
      </x:c>
      <x:c r="N289" s="15" t="n">
        <x:v>0</x:v>
      </x:c>
      <x:c r="O289" s="15" t="n">
        <x:v>0</x:v>
      </x:c>
      <x:c r="P289" s="15" t="n">
        <x:v>0</x:v>
      </x:c>
      <x:c r="Q289" s="15" t="n">
        <x:v>0</x:v>
      </x:c>
      <x:c r="R289" s="15" t="n">
        <x:v>0</x:v>
      </x:c>
      <x:c r="S289" s="15" t="n">
        <x:v>0</x:v>
      </x:c>
      <x:c r="T289" s="15" t="n">
        <x:v>0</x:v>
      </x:c>
      <x:c r="U289" s="15" t="n">
        <x:v>0</x:v>
      </x:c>
      <x:c r="V289" s="15" t="n">
        <x:v>0</x:v>
      </x:c>
      <x:c r="W289" s="15" t="n">
        <x:v>0</x:v>
      </x:c>
      <x:c r="X289" s="15" t="n">
        <x:v>0</x:v>
      </x:c>
      <x:c r="Y289" s="15" t="n">
        <x:v>0</x:v>
      </x:c>
      <x:c r="Z289" s="15" t="n">
        <x:v>0</x:v>
      </x:c>
      <x:c r="AA289" s="15" t="n">
        <x:v>0</x:v>
      </x:c>
      <x:c r="AB289" s="15" t="n">
        <x:f>SUM(G289:AA289)</x:f>
        <x:v>304.392</x:v>
      </x:c>
    </x:row>
    <x:row r="290" ht="36" customHeight="1">
      <x:c r="A290" s="10" t="str">
        <x:v>T-REL</x:v>
      </x:c>
      <x:c r="B290" s="10" t="str">
        <x:v>TEXT</x:v>
      </x:c>
      <x:c r="C290" s="10" t="str">
        <x:v>TEXT:SYN-F10-05</x:v>
      </x:c>
      <x:c r="D290" s="10" t="str">
        <x:v>TEXT:M5698</x:v>
      </x:c>
      <x:c r="E290" s="15" t="n">
        <x:v>-8</x:v>
      </x:c>
      <x:c r="F290" s="15" t="str">
        <x:v>사전 생산</x:v>
      </x:c>
      <x:c r="G290" s="15" t="n">
        <x:v>238</x:v>
      </x:c>
      <x:c r="H290" s="15" t="n">
        <x:v>0</x:v>
      </x:c>
      <x:c r="I290" s="15" t="n">
        <x:v>33.08</x:v>
      </x:c>
      <x:c r="J290" s="15" t="n">
        <x:v>0</x:v>
      </x:c>
      <x:c r="K290" s="15" t="n">
        <x:v>38</x:v>
      </x:c>
      <x:c r="L290" s="15" t="n">
        <x:v>19</x:v>
      </x:c>
      <x:c r="M290" s="15" t="n">
        <x:v>0</x:v>
      </x:c>
      <x:c r="N290" s="15" t="n">
        <x:v>0</x:v>
      </x:c>
      <x:c r="O290" s="15" t="n">
        <x:v>0</x:v>
      </x:c>
      <x:c r="P290" s="15" t="n">
        <x:v>0</x:v>
      </x:c>
      <x:c r="Q290" s="15" t="n">
        <x:v>0</x:v>
      </x:c>
      <x:c r="R290" s="15" t="n">
        <x:v>0</x:v>
      </x:c>
      <x:c r="S290" s="15" t="n">
        <x:v>0</x:v>
      </x:c>
      <x:c r="T290" s="15" t="n">
        <x:v>0</x:v>
      </x:c>
      <x:c r="U290" s="15" t="n">
        <x:v>0</x:v>
      </x:c>
      <x:c r="V290" s="15" t="n">
        <x:v>0</x:v>
      </x:c>
      <x:c r="W290" s="15" t="n">
        <x:v>0</x:v>
      </x:c>
      <x:c r="X290" s="15" t="n">
        <x:v>0</x:v>
      </x:c>
      <x:c r="Y290" s="15" t="n">
        <x:v>0</x:v>
      </x:c>
      <x:c r="Z290" s="15" t="n">
        <x:v>0</x:v>
      </x:c>
      <x:c r="AA290" s="15" t="n">
        <x:v>0</x:v>
      </x:c>
      <x:c r="AB290" s="15" t="n">
        <x:f>SUM(G290:AA290)</x:f>
        <x:v>328.08</x:v>
      </x:c>
    </x:row>
    <x:row r="291" ht="36" customHeight="1">
      <x:c r="A291" s="10" t="str">
        <x:v>T-BASE</x:v>
      </x:c>
      <x:c r="B291" s="10" t="str">
        <x:v>TEXT</x:v>
      </x:c>
      <x:c r="C291" s="10" t="str">
        <x:v>TEXT:SYN-F10-06</x:v>
      </x:c>
      <x:c r="D291" s="10" t="str">
        <x:v>TEXT:M5722</x:v>
      </x:c>
      <x:c r="E291" s="15" t="n">
        <x:v>0.39</x:v>
      </x:c>
      <x:c r="F291" s="15" t="str">
        <x:v>요청</x:v>
      </x:c>
      <x:c r="G291" s="15" t="n">
        <x:v>238</x:v>
      </x:c>
      <x:c r="H291" s="15" t="n">
        <x:v>11</x:v>
      </x:c>
      <x:c r="I291" s="15" t="n">
        <x:v>28.3</x:v>
      </x:c>
      <x:c r="J291" s="15" t="n">
        <x:v>0</x:v>
      </x:c>
      <x:c r="K291" s="15" t="n">
        <x:v>0</x:v>
      </x:c>
      <x:c r="L291" s="15" t="n">
        <x:v>0</x:v>
      </x:c>
      <x:c r="M291" s="15" t="n">
        <x:v>0</x:v>
      </x:c>
      <x:c r="N291" s="15" t="n">
        <x:v>0</x:v>
      </x:c>
      <x:c r="O291" s="15" t="n">
        <x:v>0</x:v>
      </x:c>
      <x:c r="P291" s="15" t="n">
        <x:v>0</x:v>
      </x:c>
      <x:c r="Q291" s="15" t="n">
        <x:v>0</x:v>
      </x:c>
      <x:c r="R291" s="15" t="n">
        <x:v>0</x:v>
      </x:c>
      <x:c r="S291" s="15" t="n">
        <x:v>0</x:v>
      </x:c>
      <x:c r="T291" s="15" t="n">
        <x:v>0</x:v>
      </x:c>
      <x:c r="U291" s="15" t="n">
        <x:v>0</x:v>
      </x:c>
      <x:c r="V291" s="15" t="n">
        <x:v>0</x:v>
      </x:c>
      <x:c r="W291" s="15" t="n">
        <x:v>0</x:v>
      </x:c>
      <x:c r="X291" s="15" t="n">
        <x:v>0</x:v>
      </x:c>
      <x:c r="Y291" s="15" t="n">
        <x:v>0</x:v>
      </x:c>
      <x:c r="Z291" s="15" t="n">
        <x:v>0</x:v>
      </x:c>
      <x:c r="AA291" s="15" t="n">
        <x:v>0</x:v>
      </x:c>
      <x:c r="AB291" s="15" t="n">
        <x:f>SUM(G291:AA291)</x:f>
        <x:v>277.3</x:v>
      </x:c>
    </x:row>
    <x:row r="292" ht="36" customHeight="1">
      <x:c r="A292" s="10" t="str">
        <x:v>T-EXEC</x:v>
      </x:c>
      <x:c r="B292" s="10" t="str">
        <x:v>TEXT</x:v>
      </x:c>
      <x:c r="C292" s="10" t="str">
        <x:v>TEXT:SYN-F10-06</x:v>
      </x:c>
      <x:c r="D292" s="10" t="str">
        <x:v>TEXT:M5748</x:v>
      </x:c>
      <x:c r="E292" s="15" t="n">
        <x:v>4.36625</x:v>
      </x:c>
      <x:c r="F292" s="15" t="str">
        <x:v>요청</x:v>
      </x:c>
      <x:c r="G292" s="15" t="n">
        <x:v>238</x:v>
      </x:c>
      <x:c r="H292" s="15" t="n">
        <x:v>22</x:v>
      </x:c>
      <x:c r="I292" s="15" t="n">
        <x:v>44.56</x:v>
      </x:c>
      <x:c r="J292" s="15" t="n">
        <x:v>0</x:v>
      </x:c>
      <x:c r="K292" s="15" t="n">
        <x:v>0</x:v>
      </x:c>
      <x:c r="L292" s="15" t="n">
        <x:v>0</x:v>
      </x:c>
      <x:c r="M292" s="15" t="n">
        <x:v>0</x:v>
      </x:c>
      <x:c r="N292" s="15" t="n">
        <x:v>0</x:v>
      </x:c>
      <x:c r="O292" s="15" t="n">
        <x:v>0</x:v>
      </x:c>
      <x:c r="P292" s="15" t="n">
        <x:v>0</x:v>
      </x:c>
      <x:c r="Q292" s="15" t="n">
        <x:v>0</x:v>
      </x:c>
      <x:c r="R292" s="15" t="n">
        <x:v>0</x:v>
      </x:c>
      <x:c r="S292" s="15" t="n">
        <x:v>0</x:v>
      </x:c>
      <x:c r="T292" s="15" t="n">
        <x:v>0</x:v>
      </x:c>
      <x:c r="U292" s="15" t="n">
        <x:v>0</x:v>
      </x:c>
      <x:c r="V292" s="15" t="n">
        <x:v>0</x:v>
      </x:c>
      <x:c r="W292" s="15" t="n">
        <x:v>0</x:v>
      </x:c>
      <x:c r="X292" s="15" t="n">
        <x:v>0</x:v>
      </x:c>
      <x:c r="Y292" s="15" t="n">
        <x:v>0</x:v>
      </x:c>
      <x:c r="Z292" s="15" t="n">
        <x:v>0</x:v>
      </x:c>
      <x:c r="AA292" s="15" t="n">
        <x:v>0</x:v>
      </x:c>
      <x:c r="AB292" s="15" t="n">
        <x:f>SUM(G292:AA292)</x:f>
        <x:v>304.56</x:v>
      </x:c>
    </x:row>
    <x:row r="293" ht="36" customHeight="1">
      <x:c r="A293" s="10" t="str">
        <x:v>T-REL</x:v>
      </x:c>
      <x:c r="B293" s="10" t="str">
        <x:v>TEXT</x:v>
      </x:c>
      <x:c r="C293" s="10" t="str">
        <x:v>TEXT:SYN-F10-06</x:v>
      </x:c>
      <x:c r="D293" s="10" t="str">
        <x:v>TEXT:M5760</x:v>
      </x:c>
      <x:c r="E293" s="15" t="n">
        <x:v>-8</x:v>
      </x:c>
      <x:c r="F293" s="15" t="str">
        <x:v>사전 생산</x:v>
      </x:c>
      <x:c r="G293" s="15" t="n">
        <x:v>238</x:v>
      </x:c>
      <x:c r="H293" s="15" t="n">
        <x:v>0</x:v>
      </x:c>
      <x:c r="I293" s="15" t="n">
        <x:v>33.4</x:v>
      </x:c>
      <x:c r="J293" s="15" t="n">
        <x:v>0</x:v>
      </x:c>
      <x:c r="K293" s="15" t="n">
        <x:v>38</x:v>
      </x:c>
      <x:c r="L293" s="15" t="n">
        <x:v>19</x:v>
      </x:c>
      <x:c r="M293" s="15" t="n">
        <x:v>0</x:v>
      </x:c>
      <x:c r="N293" s="15" t="n">
        <x:v>0</x:v>
      </x:c>
      <x:c r="O293" s="15" t="n">
        <x:v>0</x:v>
      </x:c>
      <x:c r="P293" s="15" t="n">
        <x:v>0</x:v>
      </x:c>
      <x:c r="Q293" s="15" t="n">
        <x:v>0</x:v>
      </x:c>
      <x:c r="R293" s="15" t="n">
        <x:v>0</x:v>
      </x:c>
      <x:c r="S293" s="15" t="n">
        <x:v>0</x:v>
      </x:c>
      <x:c r="T293" s="15" t="n">
        <x:v>0</x:v>
      </x:c>
      <x:c r="U293" s="15" t="n">
        <x:v>0</x:v>
      </x:c>
      <x:c r="V293" s="15" t="n">
        <x:v>0</x:v>
      </x:c>
      <x:c r="W293" s="15" t="n">
        <x:v>0</x:v>
      </x:c>
      <x:c r="X293" s="15" t="n">
        <x:v>0</x:v>
      </x:c>
      <x:c r="Y293" s="15" t="n">
        <x:v>0</x:v>
      </x:c>
      <x:c r="Z293" s="15" t="n">
        <x:v>0</x:v>
      </x:c>
      <x:c r="AA293" s="15" t="n">
        <x:v>0</x:v>
      </x:c>
      <x:c r="AB293" s="15" t="n">
        <x:f>SUM(G293:AA293)</x:f>
        <x:v>328.4</x:v>
      </x:c>
    </x:row>
    <x:row r="294" ht="36" customHeight="1">
      <x:c r="A294" s="10" t="str">
        <x:v>T-BASE</x:v>
      </x:c>
      <x:c r="B294" s="10" t="str">
        <x:v>TEXT</x:v>
      </x:c>
      <x:c r="C294" s="10" t="str">
        <x:v>TEXT:SYN-F10-07</x:v>
      </x:c>
      <x:c r="D294" s="10" t="str">
        <x:v>TEXT:M5784</x:v>
      </x:c>
      <x:c r="E294" s="15" t="n">
        <x:v>0.34</x:v>
      </x:c>
      <x:c r="F294" s="15" t="str">
        <x:v>요청</x:v>
      </x:c>
      <x:c r="G294" s="15" t="n">
        <x:v>238</x:v>
      </x:c>
      <x:c r="H294" s="15" t="n">
        <x:v>11</x:v>
      </x:c>
      <x:c r="I294" s="15" t="n">
        <x:v>28.392</x:v>
      </x:c>
      <x:c r="J294" s="15" t="n">
        <x:v>0</x:v>
      </x:c>
      <x:c r="K294" s="15" t="n">
        <x:v>0</x:v>
      </x:c>
      <x:c r="L294" s="15" t="n">
        <x:v>0</x:v>
      </x:c>
      <x:c r="M294" s="15" t="n">
        <x:v>0</x:v>
      </x:c>
      <x:c r="N294" s="15" t="n">
        <x:v>0</x:v>
      </x:c>
      <x:c r="O294" s="15" t="n">
        <x:v>0</x:v>
      </x:c>
      <x:c r="P294" s="15" t="n">
        <x:v>0</x:v>
      </x:c>
      <x:c r="Q294" s="15" t="n">
        <x:v>0</x:v>
      </x:c>
      <x:c r="R294" s="15" t="n">
        <x:v>0</x:v>
      </x:c>
      <x:c r="S294" s="15" t="n">
        <x:v>0</x:v>
      </x:c>
      <x:c r="T294" s="15" t="n">
        <x:v>0</x:v>
      </x:c>
      <x:c r="U294" s="15" t="n">
        <x:v>0</x:v>
      </x:c>
      <x:c r="V294" s="15" t="n">
        <x:v>0</x:v>
      </x:c>
      <x:c r="W294" s="15" t="n">
        <x:v>0</x:v>
      </x:c>
      <x:c r="X294" s="15" t="n">
        <x:v>0</x:v>
      </x:c>
      <x:c r="Y294" s="15" t="n">
        <x:v>0</x:v>
      </x:c>
      <x:c r="Z294" s="15" t="n">
        <x:v>0</x:v>
      </x:c>
      <x:c r="AA294" s="15" t="n">
        <x:v>0</x:v>
      </x:c>
      <x:c r="AB294" s="15" t="n">
        <x:f>SUM(G294:AA294)</x:f>
        <x:v>277.392</x:v>
      </x:c>
    </x:row>
    <x:row r="295" ht="36" customHeight="1">
      <x:c r="A295" s="10" t="str">
        <x:v>T-EXEC</x:v>
      </x:c>
      <x:c r="B295" s="10" t="str">
        <x:v>TEXT</x:v>
      </x:c>
      <x:c r="C295" s="10" t="str">
        <x:v>TEXT:SYN-F10-07</x:v>
      </x:c>
      <x:c r="D295" s="10" t="str">
        <x:v>TEXT:M5810</x:v>
      </x:c>
      <x:c r="E295" s="15" t="n">
        <x:v>4.374071</x:v>
      </x:c>
      <x:c r="F295" s="15" t="str">
        <x:v>요청</x:v>
      </x:c>
      <x:c r="G295" s="15" t="n">
        <x:v>238</x:v>
      </x:c>
      <x:c r="H295" s="15" t="n">
        <x:v>22</x:v>
      </x:c>
      <x:c r="I295" s="15" t="n">
        <x:v>44.728</x:v>
      </x:c>
      <x:c r="J295" s="15" t="n">
        <x:v>0</x:v>
      </x:c>
      <x:c r="K295" s="15" t="n">
        <x:v>0</x:v>
      </x:c>
      <x:c r="L295" s="15" t="n">
        <x:v>0</x:v>
      </x:c>
      <x:c r="M295" s="15" t="n">
        <x:v>0</x:v>
      </x:c>
      <x:c r="N295" s="15" t="n">
        <x:v>0</x:v>
      </x:c>
      <x:c r="O295" s="15" t="n">
        <x:v>0</x:v>
      </x:c>
      <x:c r="P295" s="15" t="n">
        <x:v>0</x:v>
      </x:c>
      <x:c r="Q295" s="15" t="n">
        <x:v>0</x:v>
      </x:c>
      <x:c r="R295" s="15" t="n">
        <x:v>0</x:v>
      </x:c>
      <x:c r="S295" s="15" t="n">
        <x:v>0</x:v>
      </x:c>
      <x:c r="T295" s="15" t="n">
        <x:v>0</x:v>
      </x:c>
      <x:c r="U295" s="15" t="n">
        <x:v>0</x:v>
      </x:c>
      <x:c r="V295" s="15" t="n">
        <x:v>0</x:v>
      </x:c>
      <x:c r="W295" s="15" t="n">
        <x:v>0</x:v>
      </x:c>
      <x:c r="X295" s="15" t="n">
        <x:v>0</x:v>
      </x:c>
      <x:c r="Y295" s="15" t="n">
        <x:v>0</x:v>
      </x:c>
      <x:c r="Z295" s="15" t="n">
        <x:v>0</x:v>
      </x:c>
      <x:c r="AA295" s="15" t="n">
        <x:v>0</x:v>
      </x:c>
      <x:c r="AB295" s="15" t="n">
        <x:f>SUM(G295:AA295)</x:f>
        <x:v>304.728</x:v>
      </x:c>
    </x:row>
    <x:row r="296" ht="36" customHeight="1">
      <x:c r="A296" s="10" t="str">
        <x:v>T-REL</x:v>
      </x:c>
      <x:c r="B296" s="10" t="str">
        <x:v>TEXT</x:v>
      </x:c>
      <x:c r="C296" s="10" t="str">
        <x:v>TEXT:SYN-F10-07</x:v>
      </x:c>
      <x:c r="D296" s="10" t="str">
        <x:v>TEXT:M5822</x:v>
      </x:c>
      <x:c r="E296" s="15" t="n">
        <x:v>-8</x:v>
      </x:c>
      <x:c r="F296" s="15" t="str">
        <x:v>사전 생산</x:v>
      </x:c>
      <x:c r="G296" s="15" t="n">
        <x:v>238</x:v>
      </x:c>
      <x:c r="H296" s="15" t="n">
        <x:v>0</x:v>
      </x:c>
      <x:c r="I296" s="15" t="n">
        <x:v>33.72</x:v>
      </x:c>
      <x:c r="J296" s="15" t="n">
        <x:v>0</x:v>
      </x:c>
      <x:c r="K296" s="15" t="n">
        <x:v>38</x:v>
      </x:c>
      <x:c r="L296" s="15" t="n">
        <x:v>19</x:v>
      </x:c>
      <x:c r="M296" s="15" t="n">
        <x:v>0</x:v>
      </x:c>
      <x:c r="N296" s="15" t="n">
        <x:v>0</x:v>
      </x:c>
      <x:c r="O296" s="15" t="n">
        <x:v>0</x:v>
      </x:c>
      <x:c r="P296" s="15" t="n">
        <x:v>0</x:v>
      </x:c>
      <x:c r="Q296" s="15" t="n">
        <x:v>0</x:v>
      </x:c>
      <x:c r="R296" s="15" t="n">
        <x:v>0</x:v>
      </x:c>
      <x:c r="S296" s="15" t="n">
        <x:v>0</x:v>
      </x:c>
      <x:c r="T296" s="15" t="n">
        <x:v>0</x:v>
      </x:c>
      <x:c r="U296" s="15" t="n">
        <x:v>0</x:v>
      </x:c>
      <x:c r="V296" s="15" t="n">
        <x:v>0</x:v>
      </x:c>
      <x:c r="W296" s="15" t="n">
        <x:v>0</x:v>
      </x:c>
      <x:c r="X296" s="15" t="n">
        <x:v>0</x:v>
      </x:c>
      <x:c r="Y296" s="15" t="n">
        <x:v>0</x:v>
      </x:c>
      <x:c r="Z296" s="15" t="n">
        <x:v>0</x:v>
      </x:c>
      <x:c r="AA296" s="15" t="n">
        <x:v>0</x:v>
      </x:c>
      <x:c r="AB296" s="15" t="n">
        <x:f>SUM(G296:AA296)</x:f>
        <x:v>328.72</x:v>
      </x:c>
    </x:row>
    <x:row r="297" ht="36" customHeight="1">
      <x:c r="A297" s="10" t="str">
        <x:v>T-BASE</x:v>
      </x:c>
      <x:c r="B297" s="10" t="str">
        <x:v>TEXT</x:v>
      </x:c>
      <x:c r="C297" s="10" t="str">
        <x:v>TEXT:SYN-F10-08</x:v>
      </x:c>
      <x:c r="D297" s="10" t="str">
        <x:v>TEXT:M5846</x:v>
      </x:c>
      <x:c r="E297" s="15" t="n">
        <x:v>0.365</x:v>
      </x:c>
      <x:c r="F297" s="15" t="str">
        <x:v>요청</x:v>
      </x:c>
      <x:c r="G297" s="15" t="n">
        <x:v>238</x:v>
      </x:c>
      <x:c r="H297" s="15" t="n">
        <x:v>11</x:v>
      </x:c>
      <x:c r="I297" s="15" t="n">
        <x:v>28.484</x:v>
      </x:c>
      <x:c r="J297" s="15" t="n">
        <x:v>0</x:v>
      </x:c>
      <x:c r="K297" s="15" t="n">
        <x:v>0</x:v>
      </x:c>
      <x:c r="L297" s="15" t="n">
        <x:v>0</x:v>
      </x:c>
      <x:c r="M297" s="15" t="n">
        <x:v>0</x:v>
      </x:c>
      <x:c r="N297" s="15" t="n">
        <x:v>0</x:v>
      </x:c>
      <x:c r="O297" s="15" t="n">
        <x:v>0</x:v>
      </x:c>
      <x:c r="P297" s="15" t="n">
        <x:v>0</x:v>
      </x:c>
      <x:c r="Q297" s="15" t="n">
        <x:v>0</x:v>
      </x:c>
      <x:c r="R297" s="15" t="n">
        <x:v>0</x:v>
      </x:c>
      <x:c r="S297" s="15" t="n">
        <x:v>0</x:v>
      </x:c>
      <x:c r="T297" s="15" t="n">
        <x:v>0</x:v>
      </x:c>
      <x:c r="U297" s="15" t="n">
        <x:v>0</x:v>
      </x:c>
      <x:c r="V297" s="15" t="n">
        <x:v>0</x:v>
      </x:c>
      <x:c r="W297" s="15" t="n">
        <x:v>0</x:v>
      </x:c>
      <x:c r="X297" s="15" t="n">
        <x:v>0</x:v>
      </x:c>
      <x:c r="Y297" s="15" t="n">
        <x:v>0</x:v>
      </x:c>
      <x:c r="Z297" s="15" t="n">
        <x:v>0</x:v>
      </x:c>
      <x:c r="AA297" s="15" t="n">
        <x:v>0</x:v>
      </x:c>
      <x:c r="AB297" s="15" t="n">
        <x:f>SUM(G297:AA297)</x:f>
        <x:v>277.484</x:v>
      </x:c>
    </x:row>
    <x:row r="298" ht="36" customHeight="1">
      <x:c r="A298" s="10" t="str">
        <x:v>T-EXEC</x:v>
      </x:c>
      <x:c r="B298" s="10" t="str">
        <x:v>TEXT</x:v>
      </x:c>
      <x:c r="C298" s="10" t="str">
        <x:v>TEXT:SYN-F10-08</x:v>
      </x:c>
      <x:c r="D298" s="10" t="str">
        <x:v>TEXT:M5872</x:v>
      </x:c>
      <x:c r="E298" s="15" t="n">
        <x:v>4.456893</x:v>
      </x:c>
      <x:c r="F298" s="15" t="str">
        <x:v>요청</x:v>
      </x:c>
      <x:c r="G298" s="15" t="n">
        <x:v>238</x:v>
      </x:c>
      <x:c r="H298" s="15" t="n">
        <x:v>22</x:v>
      </x:c>
      <x:c r="I298" s="15" t="n">
        <x:v>44.896</x:v>
      </x:c>
      <x:c r="J298" s="15" t="n">
        <x:v>0</x:v>
      </x:c>
      <x:c r="K298" s="15" t="n">
        <x:v>0</x:v>
      </x:c>
      <x:c r="L298" s="15" t="n">
        <x:v>0</x:v>
      </x:c>
      <x:c r="M298" s="15" t="n">
        <x:v>0</x:v>
      </x:c>
      <x:c r="N298" s="15" t="n">
        <x:v>0</x:v>
      </x:c>
      <x:c r="O298" s="15" t="n">
        <x:v>0</x:v>
      </x:c>
      <x:c r="P298" s="15" t="n">
        <x:v>0</x:v>
      </x:c>
      <x:c r="Q298" s="15" t="n">
        <x:v>0</x:v>
      </x:c>
      <x:c r="R298" s="15" t="n">
        <x:v>0</x:v>
      </x:c>
      <x:c r="S298" s="15" t="n">
        <x:v>0</x:v>
      </x:c>
      <x:c r="T298" s="15" t="n">
        <x:v>0</x:v>
      </x:c>
      <x:c r="U298" s="15" t="n">
        <x:v>0</x:v>
      </x:c>
      <x:c r="V298" s="15" t="n">
        <x:v>0</x:v>
      </x:c>
      <x:c r="W298" s="15" t="n">
        <x:v>0</x:v>
      </x:c>
      <x:c r="X298" s="15" t="n">
        <x:v>0</x:v>
      </x:c>
      <x:c r="Y298" s="15" t="n">
        <x:v>0</x:v>
      </x:c>
      <x:c r="Z298" s="15" t="n">
        <x:v>0</x:v>
      </x:c>
      <x:c r="AA298" s="15" t="n">
        <x:v>0</x:v>
      </x:c>
      <x:c r="AB298" s="15" t="n">
        <x:f>SUM(G298:AA298)</x:f>
        <x:v>304.896</x:v>
      </x:c>
    </x:row>
    <x:row r="299" ht="36" customHeight="1">
      <x:c r="A299" s="10" t="str">
        <x:v>T-REL</x:v>
      </x:c>
      <x:c r="B299" s="10" t="str">
        <x:v>TEXT</x:v>
      </x:c>
      <x:c r="C299" s="10" t="str">
        <x:v>TEXT:SYN-F10-08</x:v>
      </x:c>
      <x:c r="D299" s="10" t="str">
        <x:v>TEXT:M5884</x:v>
      </x:c>
      <x:c r="E299" s="15" t="n">
        <x:v>-8</x:v>
      </x:c>
      <x:c r="F299" s="15" t="str">
        <x:v>사전 생산</x:v>
      </x:c>
      <x:c r="G299" s="15" t="n">
        <x:v>238</x:v>
      </x:c>
      <x:c r="H299" s="15" t="n">
        <x:v>0</x:v>
      </x:c>
      <x:c r="I299" s="15" t="n">
        <x:v>34.04</x:v>
      </x:c>
      <x:c r="J299" s="15" t="n">
        <x:v>0</x:v>
      </x:c>
      <x:c r="K299" s="15" t="n">
        <x:v>38</x:v>
      </x:c>
      <x:c r="L299" s="15" t="n">
        <x:v>19</x:v>
      </x:c>
      <x:c r="M299" s="15" t="n">
        <x:v>0</x:v>
      </x:c>
      <x:c r="N299" s="15" t="n">
        <x:v>0</x:v>
      </x:c>
      <x:c r="O299" s="15" t="n">
        <x:v>0</x:v>
      </x:c>
      <x:c r="P299" s="15" t="n">
        <x:v>0</x:v>
      </x:c>
      <x:c r="Q299" s="15" t="n">
        <x:v>0</x:v>
      </x:c>
      <x:c r="R299" s="15" t="n">
        <x:v>0</x:v>
      </x:c>
      <x:c r="S299" s="15" t="n">
        <x:v>0</x:v>
      </x:c>
      <x:c r="T299" s="15" t="n">
        <x:v>0</x:v>
      </x:c>
      <x:c r="U299" s="15" t="n">
        <x:v>0</x:v>
      </x:c>
      <x:c r="V299" s="15" t="n">
        <x:v>0</x:v>
      </x:c>
      <x:c r="W299" s="15" t="n">
        <x:v>0</x:v>
      </x:c>
      <x:c r="X299" s="15" t="n">
        <x:v>0</x:v>
      </x:c>
      <x:c r="Y299" s="15" t="n">
        <x:v>0</x:v>
      </x:c>
      <x:c r="Z299" s="15" t="n">
        <x:v>0</x:v>
      </x:c>
      <x:c r="AA299" s="15" t="n">
        <x:v>0</x:v>
      </x:c>
      <x:c r="AB299" s="15" t="n">
        <x:f>SUM(G299:AA299)</x:f>
        <x:v>329.04</x:v>
      </x:c>
    </x:row>
    <x:row r="300" ht="36" customHeight="1">
      <x:c r="A300" s="10" t="str">
        <x:v>T-BASE</x:v>
      </x:c>
      <x:c r="B300" s="10" t="str">
        <x:v>TEXT</x:v>
      </x:c>
      <x:c r="C300" s="10" t="str">
        <x:v>TEXT:SYN-F10-09</x:v>
      </x:c>
      <x:c r="D300" s="10" t="str">
        <x:v>TEXT:M5908</x:v>
      </x:c>
      <x:c r="E300" s="15" t="n">
        <x:v>0.39</x:v>
      </x:c>
      <x:c r="F300" s="15" t="str">
        <x:v>요청</x:v>
      </x:c>
      <x:c r="G300" s="15" t="n">
        <x:v>238</x:v>
      </x:c>
      <x:c r="H300" s="15" t="n">
        <x:v>11</x:v>
      </x:c>
      <x:c r="I300" s="15" t="n">
        <x:v>28.576</x:v>
      </x:c>
      <x:c r="J300" s="15" t="n">
        <x:v>0</x:v>
      </x:c>
      <x:c r="K300" s="15" t="n">
        <x:v>0</x:v>
      </x:c>
      <x:c r="L300" s="15" t="n">
        <x:v>0</x:v>
      </x:c>
      <x:c r="M300" s="15" t="n">
        <x:v>0</x:v>
      </x:c>
      <x:c r="N300" s="15" t="n">
        <x:v>0</x:v>
      </x:c>
      <x:c r="O300" s="15" t="n">
        <x:v>0</x:v>
      </x:c>
      <x:c r="P300" s="15" t="n">
        <x:v>0</x:v>
      </x:c>
      <x:c r="Q300" s="15" t="n">
        <x:v>0</x:v>
      </x:c>
      <x:c r="R300" s="15" t="n">
        <x:v>0</x:v>
      </x:c>
      <x:c r="S300" s="15" t="n">
        <x:v>0</x:v>
      </x:c>
      <x:c r="T300" s="15" t="n">
        <x:v>0</x:v>
      </x:c>
      <x:c r="U300" s="15" t="n">
        <x:v>0</x:v>
      </x:c>
      <x:c r="V300" s="15" t="n">
        <x:v>0</x:v>
      </x:c>
      <x:c r="W300" s="15" t="n">
        <x:v>0</x:v>
      </x:c>
      <x:c r="X300" s="15" t="n">
        <x:v>0</x:v>
      </x:c>
      <x:c r="Y300" s="15" t="n">
        <x:v>0</x:v>
      </x:c>
      <x:c r="Z300" s="15" t="n">
        <x:v>0</x:v>
      </x:c>
      <x:c r="AA300" s="15" t="n">
        <x:v>0</x:v>
      </x:c>
      <x:c r="AB300" s="15" t="n">
        <x:f>SUM(G300:AA300)</x:f>
        <x:v>277.576</x:v>
      </x:c>
    </x:row>
    <x:row r="301" ht="36" customHeight="1">
      <x:c r="A301" s="10" t="str">
        <x:v>T-EXEC</x:v>
      </x:c>
      <x:c r="B301" s="10" t="str">
        <x:v>TEXT</x:v>
      </x:c>
      <x:c r="C301" s="10" t="str">
        <x:v>TEXT:SYN-F10-09</x:v>
      </x:c>
      <x:c r="D301" s="10" t="str">
        <x:v>TEXT:M5934</x:v>
      </x:c>
      <x:c r="E301" s="15" t="n">
        <x:v>4.514714</x:v>
      </x:c>
      <x:c r="F301" s="15" t="str">
        <x:v>요청</x:v>
      </x:c>
      <x:c r="G301" s="15" t="n">
        <x:v>238</x:v>
      </x:c>
      <x:c r="H301" s="15" t="n">
        <x:v>22</x:v>
      </x:c>
      <x:c r="I301" s="15" t="n">
        <x:v>45.064</x:v>
      </x:c>
      <x:c r="J301" s="15" t="n">
        <x:v>0</x:v>
      </x:c>
      <x:c r="K301" s="15" t="n">
        <x:v>0</x:v>
      </x:c>
      <x:c r="L301" s="15" t="n">
        <x:v>0</x:v>
      </x:c>
      <x:c r="M301" s="15" t="n">
        <x:v>0</x:v>
      </x:c>
      <x:c r="N301" s="15" t="n">
        <x:v>0</x:v>
      </x:c>
      <x:c r="O301" s="15" t="n">
        <x:v>0</x:v>
      </x:c>
      <x:c r="P301" s="15" t="n">
        <x:v>0</x:v>
      </x:c>
      <x:c r="Q301" s="15" t="n">
        <x:v>0</x:v>
      </x:c>
      <x:c r="R301" s="15" t="n">
        <x:v>0</x:v>
      </x:c>
      <x:c r="S301" s="15" t="n">
        <x:v>0</x:v>
      </x:c>
      <x:c r="T301" s="15" t="n">
        <x:v>0</x:v>
      </x:c>
      <x:c r="U301" s="15" t="n">
        <x:v>0</x:v>
      </x:c>
      <x:c r="V301" s="15" t="n">
        <x:v>0</x:v>
      </x:c>
      <x:c r="W301" s="15" t="n">
        <x:v>0</x:v>
      </x:c>
      <x:c r="X301" s="15" t="n">
        <x:v>0</x:v>
      </x:c>
      <x:c r="Y301" s="15" t="n">
        <x:v>0</x:v>
      </x:c>
      <x:c r="Z301" s="15" t="n">
        <x:v>0</x:v>
      </x:c>
      <x:c r="AA301" s="15" t="n">
        <x:v>0</x:v>
      </x:c>
      <x:c r="AB301" s="15" t="n">
        <x:f>SUM(G301:AA301)</x:f>
        <x:v>305.064</x:v>
      </x:c>
    </x:row>
    <x:row r="302" ht="36" customHeight="1">
      <x:c r="A302" s="10" t="str">
        <x:v>T-REL</x:v>
      </x:c>
      <x:c r="B302" s="10" t="str">
        <x:v>TEXT</x:v>
      </x:c>
      <x:c r="C302" s="10" t="str">
        <x:v>TEXT:SYN-F10-09</x:v>
      </x:c>
      <x:c r="D302" s="10" t="str">
        <x:v>TEXT:M5946</x:v>
      </x:c>
      <x:c r="E302" s="15" t="n">
        <x:v>-8</x:v>
      </x:c>
      <x:c r="F302" s="15" t="str">
        <x:v>사전 생산</x:v>
      </x:c>
      <x:c r="G302" s="15" t="n">
        <x:v>238</x:v>
      </x:c>
      <x:c r="H302" s="15" t="n">
        <x:v>0</x:v>
      </x:c>
      <x:c r="I302" s="15" t="n">
        <x:v>34.36</x:v>
      </x:c>
      <x:c r="J302" s="15" t="n">
        <x:v>0</x:v>
      </x:c>
      <x:c r="K302" s="15" t="n">
        <x:v>38</x:v>
      </x:c>
      <x:c r="L302" s="15" t="n">
        <x:v>19</x:v>
      </x:c>
      <x:c r="M302" s="15" t="n">
        <x:v>0</x:v>
      </x:c>
      <x:c r="N302" s="15" t="n">
        <x:v>0</x:v>
      </x:c>
      <x:c r="O302" s="15" t="n">
        <x:v>0</x:v>
      </x:c>
      <x:c r="P302" s="15" t="n">
        <x:v>0</x:v>
      </x:c>
      <x:c r="Q302" s="15" t="n">
        <x:v>0</x:v>
      </x:c>
      <x:c r="R302" s="15" t="n">
        <x:v>0</x:v>
      </x:c>
      <x:c r="S302" s="15" t="n">
        <x:v>0</x:v>
      </x:c>
      <x:c r="T302" s="15" t="n">
        <x:v>0</x:v>
      </x:c>
      <x:c r="U302" s="15" t="n">
        <x:v>0</x:v>
      </x:c>
      <x:c r="V302" s="15" t="n">
        <x:v>0</x:v>
      </x:c>
      <x:c r="W302" s="15" t="n">
        <x:v>0</x:v>
      </x:c>
      <x:c r="X302" s="15" t="n">
        <x:v>0</x:v>
      </x:c>
      <x:c r="Y302" s="15" t="n">
        <x:v>0</x:v>
      </x:c>
      <x:c r="Z302" s="15" t="n">
        <x:v>0</x:v>
      </x:c>
      <x:c r="AA302" s="15" t="n">
        <x:v>0</x:v>
      </x:c>
      <x:c r="AB302" s="15" t="n">
        <x:f>SUM(G302:AA302)</x:f>
        <x:v>329.36</x:v>
      </x:c>
    </x:row>
    <x:row r="303" ht="36" customHeight="1">
      <x:c r="A303" s="10" t="str">
        <x:v>T-BASE</x:v>
      </x:c>
      <x:c r="B303" s="10" t="str">
        <x:v>TEXT</x:v>
      </x:c>
      <x:c r="C303" s="10" t="str">
        <x:v>TEXT:SYN-F10-10</x:v>
      </x:c>
      <x:c r="D303" s="10" t="str">
        <x:v>TEXT:M5970</x:v>
      </x:c>
      <x:c r="E303" s="15" t="n">
        <x:v>0.34</x:v>
      </x:c>
      <x:c r="F303" s="15" t="str">
        <x:v>요청</x:v>
      </x:c>
      <x:c r="G303" s="15" t="n">
        <x:v>238</x:v>
      </x:c>
      <x:c r="H303" s="15" t="n">
        <x:v>11</x:v>
      </x:c>
      <x:c r="I303" s="15" t="n">
        <x:v>28.668</x:v>
      </x:c>
      <x:c r="J303" s="15" t="n">
        <x:v>0</x:v>
      </x:c>
      <x:c r="K303" s="15" t="n">
        <x:v>0</x:v>
      </x:c>
      <x:c r="L303" s="15" t="n">
        <x:v>0</x:v>
      </x:c>
      <x:c r="M303" s="15" t="n">
        <x:v>0</x:v>
      </x:c>
      <x:c r="N303" s="15" t="n">
        <x:v>0</x:v>
      </x:c>
      <x:c r="O303" s="15" t="n">
        <x:v>0</x:v>
      </x:c>
      <x:c r="P303" s="15" t="n">
        <x:v>0</x:v>
      </x:c>
      <x:c r="Q303" s="15" t="n">
        <x:v>0</x:v>
      </x:c>
      <x:c r="R303" s="15" t="n">
        <x:v>0</x:v>
      </x:c>
      <x:c r="S303" s="15" t="n">
        <x:v>0</x:v>
      </x:c>
      <x:c r="T303" s="15" t="n">
        <x:v>0</x:v>
      </x:c>
      <x:c r="U303" s="15" t="n">
        <x:v>0</x:v>
      </x:c>
      <x:c r="V303" s="15" t="n">
        <x:v>0</x:v>
      </x:c>
      <x:c r="W303" s="15" t="n">
        <x:v>0</x:v>
      </x:c>
      <x:c r="X303" s="15" t="n">
        <x:v>0</x:v>
      </x:c>
      <x:c r="Y303" s="15" t="n">
        <x:v>0</x:v>
      </x:c>
      <x:c r="Z303" s="15" t="n">
        <x:v>0</x:v>
      </x:c>
      <x:c r="AA303" s="15" t="n">
        <x:v>0</x:v>
      </x:c>
      <x:c r="AB303" s="15" t="n">
        <x:f>SUM(G303:AA303)</x:f>
        <x:v>277.668</x:v>
      </x:c>
    </x:row>
    <x:row r="304" ht="36" customHeight="1">
      <x:c r="A304" s="10" t="str">
        <x:v>T-EXEC</x:v>
      </x:c>
      <x:c r="B304" s="10" t="str">
        <x:v>TEXT</x:v>
      </x:c>
      <x:c r="C304" s="10" t="str">
        <x:v>TEXT:SYN-F10-10</x:v>
      </x:c>
      <x:c r="D304" s="10" t="str">
        <x:v>TEXT:M5996</x:v>
      </x:c>
      <x:c r="E304" s="15" t="n">
        <x:v>4.522536</x:v>
      </x:c>
      <x:c r="F304" s="15" t="str">
        <x:v>요청</x:v>
      </x:c>
      <x:c r="G304" s="15" t="n">
        <x:v>238</x:v>
      </x:c>
      <x:c r="H304" s="15" t="n">
        <x:v>22</x:v>
      </x:c>
      <x:c r="I304" s="15" t="n">
        <x:v>45.232</x:v>
      </x:c>
      <x:c r="J304" s="15" t="n">
        <x:v>0</x:v>
      </x:c>
      <x:c r="K304" s="15" t="n">
        <x:v>0</x:v>
      </x:c>
      <x:c r="L304" s="15" t="n">
        <x:v>0</x:v>
      </x:c>
      <x:c r="M304" s="15" t="n">
        <x:v>0</x:v>
      </x:c>
      <x:c r="N304" s="15" t="n">
        <x:v>0</x:v>
      </x:c>
      <x:c r="O304" s="15" t="n">
        <x:v>0</x:v>
      </x:c>
      <x:c r="P304" s="15" t="n">
        <x:v>0</x:v>
      </x:c>
      <x:c r="Q304" s="15" t="n">
        <x:v>0</x:v>
      </x:c>
      <x:c r="R304" s="15" t="n">
        <x:v>0</x:v>
      </x:c>
      <x:c r="S304" s="15" t="n">
        <x:v>0</x:v>
      </x:c>
      <x:c r="T304" s="15" t="n">
        <x:v>0</x:v>
      </x:c>
      <x:c r="U304" s="15" t="n">
        <x:v>0</x:v>
      </x:c>
      <x:c r="V304" s="15" t="n">
        <x:v>0</x:v>
      </x:c>
      <x:c r="W304" s="15" t="n">
        <x:v>0</x:v>
      </x:c>
      <x:c r="X304" s="15" t="n">
        <x:v>0</x:v>
      </x:c>
      <x:c r="Y304" s="15" t="n">
        <x:v>0</x:v>
      </x:c>
      <x:c r="Z304" s="15" t="n">
        <x:v>0</x:v>
      </x:c>
      <x:c r="AA304" s="15" t="n">
        <x:v>0</x:v>
      </x:c>
      <x:c r="AB304" s="15" t="n">
        <x:f>SUM(G304:AA304)</x:f>
        <x:v>305.23199999999997</x:v>
      </x:c>
    </x:row>
    <x:row r="305" ht="36" customHeight="1">
      <x:c r="A305" s="10" t="str">
        <x:v>T-REL</x:v>
      </x:c>
      <x:c r="B305" s="10" t="str">
        <x:v>TEXT</x:v>
      </x:c>
      <x:c r="C305" s="10" t="str">
        <x:v>TEXT:SYN-F10-10</x:v>
      </x:c>
      <x:c r="D305" s="10" t="str">
        <x:v>TEXT:M6008</x:v>
      </x:c>
      <x:c r="E305" s="15" t="n">
        <x:v>-8</x:v>
      </x:c>
      <x:c r="F305" s="15" t="str">
        <x:v>사전 생산</x:v>
      </x:c>
      <x:c r="G305" s="15" t="n">
        <x:v>238</x:v>
      </x:c>
      <x:c r="H305" s="15" t="n">
        <x:v>0</x:v>
      </x:c>
      <x:c r="I305" s="15" t="n">
        <x:v>34.68</x:v>
      </x:c>
      <x:c r="J305" s="15" t="n">
        <x:v>0</x:v>
      </x:c>
      <x:c r="K305" s="15" t="n">
        <x:v>38</x:v>
      </x:c>
      <x:c r="L305" s="15" t="n">
        <x:v>19</x:v>
      </x:c>
      <x:c r="M305" s="15" t="n">
        <x:v>0</x:v>
      </x:c>
      <x:c r="N305" s="15" t="n">
        <x:v>0</x:v>
      </x:c>
      <x:c r="O305" s="15" t="n">
        <x:v>0</x:v>
      </x:c>
      <x:c r="P305" s="15" t="n">
        <x:v>0</x:v>
      </x:c>
      <x:c r="Q305" s="15" t="n">
        <x:v>0</x:v>
      </x:c>
      <x:c r="R305" s="15" t="n">
        <x:v>0</x:v>
      </x:c>
      <x:c r="S305" s="15" t="n">
        <x:v>0</x:v>
      </x:c>
      <x:c r="T305" s="15" t="n">
        <x:v>0</x:v>
      </x:c>
      <x:c r="U305" s="15" t="n">
        <x:v>0</x:v>
      </x:c>
      <x:c r="V305" s="15" t="n">
        <x:v>0</x:v>
      </x:c>
      <x:c r="W305" s="15" t="n">
        <x:v>0</x:v>
      </x:c>
      <x:c r="X305" s="15" t="n">
        <x:v>0</x:v>
      </x:c>
      <x:c r="Y305" s="15" t="n">
        <x:v>0</x:v>
      </x:c>
      <x:c r="Z305" s="15" t="n">
        <x:v>0</x:v>
      </x:c>
      <x:c r="AA305" s="15" t="n">
        <x:v>0</x:v>
      </x:c>
      <x:c r="AB305" s="15" t="n">
        <x:f>SUM(G305:AA305)</x:f>
        <x:v>329.68</x:v>
      </x:c>
    </x:row>
    <x:row r="306" ht="36" customHeight="1">
      <x:c r="A306" s="10" t="str">
        <x:v>T-BASE</x:v>
      </x:c>
      <x:c r="B306" s="10" t="str">
        <x:v>TEXT</x:v>
      </x:c>
      <x:c r="C306" s="10" t="str">
        <x:v>TEXT:SYN-F11-01</x:v>
      </x:c>
      <x:c r="D306" s="10" t="str">
        <x:v>TEXT:M6032</x:v>
      </x:c>
      <x:c r="E306" s="15" t="n">
        <x:v>0.16</x:v>
      </x:c>
      <x:c r="F306" s="15" t="str">
        <x:v>요청</x:v>
      </x:c>
      <x:c r="G306" s="15" t="n">
        <x:v>238</x:v>
      </x:c>
      <x:c r="H306" s="15" t="n">
        <x:v>11</x:v>
      </x:c>
      <x:c r="I306" s="15" t="n">
        <x:v>19.2</x:v>
      </x:c>
      <x:c r="J306" s="15" t="n">
        <x:v>0</x:v>
      </x:c>
      <x:c r="K306" s="15" t="n">
        <x:v>0</x:v>
      </x:c>
      <x:c r="L306" s="15" t="n">
        <x:v>0</x:v>
      </x:c>
      <x:c r="M306" s="15" t="n">
        <x:v>0</x:v>
      </x:c>
      <x:c r="N306" s="15" t="n">
        <x:v>0</x:v>
      </x:c>
      <x:c r="O306" s="15" t="n">
        <x:v>0</x:v>
      </x:c>
      <x:c r="P306" s="15" t="n">
        <x:v>0</x:v>
      </x:c>
      <x:c r="Q306" s="15" t="n">
        <x:v>0</x:v>
      </x:c>
      <x:c r="R306" s="15" t="n">
        <x:v>0</x:v>
      </x:c>
      <x:c r="S306" s="15" t="n">
        <x:v>0</x:v>
      </x:c>
      <x:c r="T306" s="15" t="n">
        <x:v>0</x:v>
      </x:c>
      <x:c r="U306" s="15" t="n">
        <x:v>0</x:v>
      </x:c>
      <x:c r="V306" s="15" t="n">
        <x:v>0</x:v>
      </x:c>
      <x:c r="W306" s="15" t="n">
        <x:v>0</x:v>
      </x:c>
      <x:c r="X306" s="15" t="n">
        <x:v>0</x:v>
      </x:c>
      <x:c r="Y306" s="15" t="n">
        <x:v>0</x:v>
      </x:c>
      <x:c r="Z306" s="15" t="n">
        <x:v>0</x:v>
      </x:c>
      <x:c r="AA306" s="15" t="n">
        <x:v>0</x:v>
      </x:c>
      <x:c r="AB306" s="15" t="n">
        <x:f>SUM(G306:AA306)</x:f>
        <x:v>268.2</x:v>
      </x:c>
    </x:row>
    <x:row r="307" ht="36" customHeight="1">
      <x:c r="A307" s="10" t="str">
        <x:v>T-EXEC</x:v>
      </x:c>
      <x:c r="B307" s="10" t="str">
        <x:v>TEXT</x:v>
      </x:c>
      <x:c r="C307" s="10" t="str">
        <x:v>TEXT:SYN-F11-01</x:v>
      </x:c>
      <x:c r="D307" s="10" t="str">
        <x:v>TEXT:M6054</x:v>
      </x:c>
      <x:c r="E307" s="15" t="n">
        <x:v>2.1325</x:v>
      </x:c>
      <x:c r="F307" s="15" t="str">
        <x:v>요청</x:v>
      </x:c>
      <x:c r="G307" s="15" t="n">
        <x:v>238</x:v>
      </x:c>
      <x:c r="H307" s="15" t="n">
        <x:v>22</x:v>
      </x:c>
      <x:c r="I307" s="15" t="n">
        <x:v>19.032</x:v>
      </x:c>
      <x:c r="J307" s="15" t="n">
        <x:v>7</x:v>
      </x:c>
      <x:c r="K307" s="15" t="n">
        <x:v>0</x:v>
      </x:c>
      <x:c r="L307" s="15" t="n">
        <x:v>0</x:v>
      </x:c>
      <x:c r="M307" s="15" t="n">
        <x:v>0</x:v>
      </x:c>
      <x:c r="N307" s="15" t="n">
        <x:v>0</x:v>
      </x:c>
      <x:c r="O307" s="15" t="n">
        <x:v>0</x:v>
      </x:c>
      <x:c r="P307" s="15" t="n">
        <x:v>0</x:v>
      </x:c>
      <x:c r="Q307" s="15" t="n">
        <x:v>0</x:v>
      </x:c>
      <x:c r="R307" s="15" t="n">
        <x:v>0</x:v>
      </x:c>
      <x:c r="S307" s="15" t="n">
        <x:v>0</x:v>
      </x:c>
      <x:c r="T307" s="15" t="n">
        <x:v>0</x:v>
      </x:c>
      <x:c r="U307" s="15" t="n">
        <x:v>0</x:v>
      </x:c>
      <x:c r="V307" s="15" t="n">
        <x:v>0</x:v>
      </x:c>
      <x:c r="W307" s="15" t="n">
        <x:v>0</x:v>
      </x:c>
      <x:c r="X307" s="15" t="n">
        <x:v>0</x:v>
      </x:c>
      <x:c r="Y307" s="15" t="n">
        <x:v>0</x:v>
      </x:c>
      <x:c r="Z307" s="15" t="n">
        <x:v>0</x:v>
      </x:c>
      <x:c r="AA307" s="15" t="n">
        <x:v>0</x:v>
      </x:c>
      <x:c r="AB307" s="15" t="n">
        <x:f>SUM(G307:AA307)</x:f>
        <x:v>286.032</x:v>
      </x:c>
    </x:row>
    <x:row r="308" ht="36" customHeight="1">
      <x:c r="A308" s="10" t="str">
        <x:v>T-REL</x:v>
      </x:c>
      <x:c r="B308" s="10" t="str">
        <x:v>TEXT</x:v>
      </x:c>
      <x:c r="C308" s="10" t="str">
        <x:v>TEXT:SYN-F11-01</x:v>
      </x:c>
      <x:c r="D308" s="10" t="str">
        <x:v>TEXT:M6064</x:v>
      </x:c>
      <x:c r="E308" s="15" t="n">
        <x:v>-8</x:v>
      </x:c>
      <x:c r="F308" s="15" t="str">
        <x:v>사전 생산</x:v>
      </x:c>
      <x:c r="G308" s="15" t="n">
        <x:v>238</x:v>
      </x:c>
      <x:c r="H308" s="15" t="n">
        <x:v>0</x:v>
      </x:c>
      <x:c r="I308" s="15" t="n">
        <x:v>31.8</x:v>
      </x:c>
      <x:c r="J308" s="15" t="n">
        <x:v>0</x:v>
      </x:c>
      <x:c r="K308" s="15" t="n">
        <x:v>38</x:v>
      </x:c>
      <x:c r="L308" s="15" t="n">
        <x:v>19</x:v>
      </x:c>
      <x:c r="M308" s="15" t="n">
        <x:v>0</x:v>
      </x:c>
      <x:c r="N308" s="15" t="n">
        <x:v>0</x:v>
      </x:c>
      <x:c r="O308" s="15" t="n">
        <x:v>0</x:v>
      </x:c>
      <x:c r="P308" s="15" t="n">
        <x:v>0</x:v>
      </x:c>
      <x:c r="Q308" s="15" t="n">
        <x:v>0</x:v>
      </x:c>
      <x:c r="R308" s="15" t="n">
        <x:v>0</x:v>
      </x:c>
      <x:c r="S308" s="15" t="n">
        <x:v>0</x:v>
      </x:c>
      <x:c r="T308" s="15" t="n">
        <x:v>0</x:v>
      </x:c>
      <x:c r="U308" s="15" t="n">
        <x:v>0</x:v>
      </x:c>
      <x:c r="V308" s="15" t="n">
        <x:v>0</x:v>
      </x:c>
      <x:c r="W308" s="15" t="n">
        <x:v>0</x:v>
      </x:c>
      <x:c r="X308" s="15" t="n">
        <x:v>0</x:v>
      </x:c>
      <x:c r="Y308" s="15" t="n">
        <x:v>0</x:v>
      </x:c>
      <x:c r="Z308" s="15" t="n">
        <x:v>0</x:v>
      </x:c>
      <x:c r="AA308" s="15" t="n">
        <x:v>0</x:v>
      </x:c>
      <x:c r="AB308" s="15" t="n">
        <x:f>SUM(G308:AA308)</x:f>
        <x:v>326.8</x:v>
      </x:c>
    </x:row>
    <x:row r="309" ht="36" customHeight="1">
      <x:c r="A309" s="10" t="str">
        <x:v>T-BASE</x:v>
      </x:c>
      <x:c r="B309" s="10" t="str">
        <x:v>TEXT</x:v>
      </x:c>
      <x:c r="C309" s="10" t="str">
        <x:v>TEXT:SYN-F11-02</x:v>
      </x:c>
      <x:c r="D309" s="10" t="str">
        <x:v>TEXT:M6085</x:v>
      </x:c>
      <x:c r="E309" s="15" t="n">
        <x:v>0.16</x:v>
      </x:c>
      <x:c r="F309" s="15" t="str">
        <x:v>요청</x:v>
      </x:c>
      <x:c r="G309" s="15" t="n">
        <x:v>238</x:v>
      </x:c>
      <x:c r="H309" s="15" t="n">
        <x:v>11</x:v>
      </x:c>
      <x:c r="I309" s="15" t="n">
        <x:v>19.292</x:v>
      </x:c>
      <x:c r="J309" s="15" t="n">
        <x:v>0</x:v>
      </x:c>
      <x:c r="K309" s="15" t="n">
        <x:v>0</x:v>
      </x:c>
      <x:c r="L309" s="15" t="n">
        <x:v>0</x:v>
      </x:c>
      <x:c r="M309" s="15" t="n">
        <x:v>0</x:v>
      </x:c>
      <x:c r="N309" s="15" t="n">
        <x:v>0</x:v>
      </x:c>
      <x:c r="O309" s="15" t="n">
        <x:v>0</x:v>
      </x:c>
      <x:c r="P309" s="15" t="n">
        <x:v>0</x:v>
      </x:c>
      <x:c r="Q309" s="15" t="n">
        <x:v>0</x:v>
      </x:c>
      <x:c r="R309" s="15" t="n">
        <x:v>0</x:v>
      </x:c>
      <x:c r="S309" s="15" t="n">
        <x:v>0</x:v>
      </x:c>
      <x:c r="T309" s="15" t="n">
        <x:v>0</x:v>
      </x:c>
      <x:c r="U309" s="15" t="n">
        <x:v>0</x:v>
      </x:c>
      <x:c r="V309" s="15" t="n">
        <x:v>0</x:v>
      </x:c>
      <x:c r="W309" s="15" t="n">
        <x:v>0</x:v>
      </x:c>
      <x:c r="X309" s="15" t="n">
        <x:v>0</x:v>
      </x:c>
      <x:c r="Y309" s="15" t="n">
        <x:v>0</x:v>
      </x:c>
      <x:c r="Z309" s="15" t="n">
        <x:v>0</x:v>
      </x:c>
      <x:c r="AA309" s="15" t="n">
        <x:v>0</x:v>
      </x:c>
      <x:c r="AB309" s="15" t="n">
        <x:f>SUM(G309:AA309)</x:f>
        <x:v>268.29200000000003</x:v>
      </x:c>
    </x:row>
    <x:row r="310" ht="36" customHeight="1">
      <x:c r="A310" s="10" t="str">
        <x:v>T-EXEC</x:v>
      </x:c>
      <x:c r="B310" s="10" t="str">
        <x:v>TEXT</x:v>
      </x:c>
      <x:c r="C310" s="10" t="str">
        <x:v>TEXT:SYN-F11-02</x:v>
      </x:c>
      <x:c r="D310" s="10" t="str">
        <x:v>TEXT:M6107</x:v>
      </x:c>
      <x:c r="E310" s="15" t="n">
        <x:v>2.155</x:v>
      </x:c>
      <x:c r="F310" s="15" t="str">
        <x:v>요청</x:v>
      </x:c>
      <x:c r="G310" s="15" t="n">
        <x:v>238</x:v>
      </x:c>
      <x:c r="H310" s="15" t="n">
        <x:v>22</x:v>
      </x:c>
      <x:c r="I310" s="15" t="n">
        <x:v>19.124</x:v>
      </x:c>
      <x:c r="J310" s="15" t="n">
        <x:v>7</x:v>
      </x:c>
      <x:c r="K310" s="15" t="n">
        <x:v>0</x:v>
      </x:c>
      <x:c r="L310" s="15" t="n">
        <x:v>0</x:v>
      </x:c>
      <x:c r="M310" s="15" t="n">
        <x:v>0</x:v>
      </x:c>
      <x:c r="N310" s="15" t="n">
        <x:v>0</x:v>
      </x:c>
      <x:c r="O310" s="15" t="n">
        <x:v>0</x:v>
      </x:c>
      <x:c r="P310" s="15" t="n">
        <x:v>0</x:v>
      </x:c>
      <x:c r="Q310" s="15" t="n">
        <x:v>0</x:v>
      </x:c>
      <x:c r="R310" s="15" t="n">
        <x:v>0</x:v>
      </x:c>
      <x:c r="S310" s="15" t="n">
        <x:v>0</x:v>
      </x:c>
      <x:c r="T310" s="15" t="n">
        <x:v>0</x:v>
      </x:c>
      <x:c r="U310" s="15" t="n">
        <x:v>0</x:v>
      </x:c>
      <x:c r="V310" s="15" t="n">
        <x:v>0</x:v>
      </x:c>
      <x:c r="W310" s="15" t="n">
        <x:v>0</x:v>
      </x:c>
      <x:c r="X310" s="15" t="n">
        <x:v>0</x:v>
      </x:c>
      <x:c r="Y310" s="15" t="n">
        <x:v>0</x:v>
      </x:c>
      <x:c r="Z310" s="15" t="n">
        <x:v>0</x:v>
      </x:c>
      <x:c r="AA310" s="15" t="n">
        <x:v>0</x:v>
      </x:c>
      <x:c r="AB310" s="15" t="n">
        <x:f>SUM(G310:AA310)</x:f>
        <x:v>286.124</x:v>
      </x:c>
    </x:row>
    <x:row r="311" ht="36" customHeight="1">
      <x:c r="A311" s="10" t="str">
        <x:v>T-REL</x:v>
      </x:c>
      <x:c r="B311" s="10" t="str">
        <x:v>TEXT</x:v>
      </x:c>
      <x:c r="C311" s="10" t="str">
        <x:v>TEXT:SYN-F11-02</x:v>
      </x:c>
      <x:c r="D311" s="10" t="str">
        <x:v>TEXT:M6117</x:v>
      </x:c>
      <x:c r="E311" s="15" t="n">
        <x:v>-8</x:v>
      </x:c>
      <x:c r="F311" s="15" t="str">
        <x:v>사전 생산</x:v>
      </x:c>
      <x:c r="G311" s="15" t="n">
        <x:v>238</x:v>
      </x:c>
      <x:c r="H311" s="15" t="n">
        <x:v>0</x:v>
      </x:c>
      <x:c r="I311" s="15" t="n">
        <x:v>32.12</x:v>
      </x:c>
      <x:c r="J311" s="15" t="n">
        <x:v>0</x:v>
      </x:c>
      <x:c r="K311" s="15" t="n">
        <x:v>38</x:v>
      </x:c>
      <x:c r="L311" s="15" t="n">
        <x:v>19</x:v>
      </x:c>
      <x:c r="M311" s="15" t="n">
        <x:v>0</x:v>
      </x:c>
      <x:c r="N311" s="15" t="n">
        <x:v>0</x:v>
      </x:c>
      <x:c r="O311" s="15" t="n">
        <x:v>0</x:v>
      </x:c>
      <x:c r="P311" s="15" t="n">
        <x:v>0</x:v>
      </x:c>
      <x:c r="Q311" s="15" t="n">
        <x:v>0</x:v>
      </x:c>
      <x:c r="R311" s="15" t="n">
        <x:v>0</x:v>
      </x:c>
      <x:c r="S311" s="15" t="n">
        <x:v>0</x:v>
      </x:c>
      <x:c r="T311" s="15" t="n">
        <x:v>0</x:v>
      </x:c>
      <x:c r="U311" s="15" t="n">
        <x:v>0</x:v>
      </x:c>
      <x:c r="V311" s="15" t="n">
        <x:v>0</x:v>
      </x:c>
      <x:c r="W311" s="15" t="n">
        <x:v>0</x:v>
      </x:c>
      <x:c r="X311" s="15" t="n">
        <x:v>0</x:v>
      </x:c>
      <x:c r="Y311" s="15" t="n">
        <x:v>0</x:v>
      </x:c>
      <x:c r="Z311" s="15" t="n">
        <x:v>0</x:v>
      </x:c>
      <x:c r="AA311" s="15" t="n">
        <x:v>0</x:v>
      </x:c>
      <x:c r="AB311" s="15" t="n">
        <x:f>SUM(G311:AA311)</x:f>
        <x:v>327.12</x:v>
      </x:c>
    </x:row>
    <x:row r="312" ht="36" customHeight="1">
      <x:c r="A312" s="10" t="str">
        <x:v>T-BASE</x:v>
      </x:c>
      <x:c r="B312" s="10" t="str">
        <x:v>TEXT</x:v>
      </x:c>
      <x:c r="C312" s="10" t="str">
        <x:v>TEXT:SYN-F11-03</x:v>
      </x:c>
      <x:c r="D312" s="10" t="str">
        <x:v>TEXT:M6138</x:v>
      </x:c>
      <x:c r="E312" s="15" t="n">
        <x:v>0.16</x:v>
      </x:c>
      <x:c r="F312" s="15" t="str">
        <x:v>요청</x:v>
      </x:c>
      <x:c r="G312" s="15" t="n">
        <x:v>238</x:v>
      </x:c>
      <x:c r="H312" s="15" t="n">
        <x:v>11</x:v>
      </x:c>
      <x:c r="I312" s="15" t="n">
        <x:v>19.384</x:v>
      </x:c>
      <x:c r="J312" s="15" t="n">
        <x:v>0</x:v>
      </x:c>
      <x:c r="K312" s="15" t="n">
        <x:v>0</x:v>
      </x:c>
      <x:c r="L312" s="15" t="n">
        <x:v>0</x:v>
      </x:c>
      <x:c r="M312" s="15" t="n">
        <x:v>0</x:v>
      </x:c>
      <x:c r="N312" s="15" t="n">
        <x:v>0</x:v>
      </x:c>
      <x:c r="O312" s="15" t="n">
        <x:v>0</x:v>
      </x:c>
      <x:c r="P312" s="15" t="n">
        <x:v>0</x:v>
      </x:c>
      <x:c r="Q312" s="15" t="n">
        <x:v>0</x:v>
      </x:c>
      <x:c r="R312" s="15" t="n">
        <x:v>0</x:v>
      </x:c>
      <x:c r="S312" s="15" t="n">
        <x:v>0</x:v>
      </x:c>
      <x:c r="T312" s="15" t="n">
        <x:v>0</x:v>
      </x:c>
      <x:c r="U312" s="15" t="n">
        <x:v>0</x:v>
      </x:c>
      <x:c r="V312" s="15" t="n">
        <x:v>0</x:v>
      </x:c>
      <x:c r="W312" s="15" t="n">
        <x:v>0</x:v>
      </x:c>
      <x:c r="X312" s="15" t="n">
        <x:v>0</x:v>
      </x:c>
      <x:c r="Y312" s="15" t="n">
        <x:v>0</x:v>
      </x:c>
      <x:c r="Z312" s="15" t="n">
        <x:v>0</x:v>
      </x:c>
      <x:c r="AA312" s="15" t="n">
        <x:v>0</x:v>
      </x:c>
      <x:c r="AB312" s="15" t="n">
        <x:f>SUM(G312:AA312)</x:f>
        <x:v>268.384</x:v>
      </x:c>
    </x:row>
    <x:row r="313" ht="36" customHeight="1">
      <x:c r="A313" s="10" t="str">
        <x:v>T-EXEC</x:v>
      </x:c>
      <x:c r="B313" s="10" t="str">
        <x:v>TEXT</x:v>
      </x:c>
      <x:c r="C313" s="10" t="str">
        <x:v>TEXT:SYN-F11-03</x:v>
      </x:c>
      <x:c r="D313" s="10" t="str">
        <x:v>TEXT:M6160</x:v>
      </x:c>
      <x:c r="E313" s="15" t="n">
        <x:v>2.1775</x:v>
      </x:c>
      <x:c r="F313" s="15" t="str">
        <x:v>요청</x:v>
      </x:c>
      <x:c r="G313" s="15" t="n">
        <x:v>238</x:v>
      </x:c>
      <x:c r="H313" s="15" t="n">
        <x:v>22</x:v>
      </x:c>
      <x:c r="I313" s="15" t="n">
        <x:v>19.216</x:v>
      </x:c>
      <x:c r="J313" s="15" t="n">
        <x:v>7</x:v>
      </x:c>
      <x:c r="K313" s="15" t="n">
        <x:v>0</x:v>
      </x:c>
      <x:c r="L313" s="15" t="n">
        <x:v>0</x:v>
      </x:c>
      <x:c r="M313" s="15" t="n">
        <x:v>0</x:v>
      </x:c>
      <x:c r="N313" s="15" t="n">
        <x:v>0</x:v>
      </x:c>
      <x:c r="O313" s="15" t="n">
        <x:v>0</x:v>
      </x:c>
      <x:c r="P313" s="15" t="n">
        <x:v>0</x:v>
      </x:c>
      <x:c r="Q313" s="15" t="n">
        <x:v>0</x:v>
      </x:c>
      <x:c r="R313" s="15" t="n">
        <x:v>0</x:v>
      </x:c>
      <x:c r="S313" s="15" t="n">
        <x:v>0</x:v>
      </x:c>
      <x:c r="T313" s="15" t="n">
        <x:v>0</x:v>
      </x:c>
      <x:c r="U313" s="15" t="n">
        <x:v>0</x:v>
      </x:c>
      <x:c r="V313" s="15" t="n">
        <x:v>0</x:v>
      </x:c>
      <x:c r="W313" s="15" t="n">
        <x:v>0</x:v>
      </x:c>
      <x:c r="X313" s="15" t="n">
        <x:v>0</x:v>
      </x:c>
      <x:c r="Y313" s="15" t="n">
        <x:v>0</x:v>
      </x:c>
      <x:c r="Z313" s="15" t="n">
        <x:v>0</x:v>
      </x:c>
      <x:c r="AA313" s="15" t="n">
        <x:v>0</x:v>
      </x:c>
      <x:c r="AB313" s="15" t="n">
        <x:f>SUM(G313:AA313)</x:f>
        <x:v>286.216</x:v>
      </x:c>
    </x:row>
    <x:row r="314" ht="36" customHeight="1">
      <x:c r="A314" s="10" t="str">
        <x:v>T-REL</x:v>
      </x:c>
      <x:c r="B314" s="10" t="str">
        <x:v>TEXT</x:v>
      </x:c>
      <x:c r="C314" s="10" t="str">
        <x:v>TEXT:SYN-F11-03</x:v>
      </x:c>
      <x:c r="D314" s="10" t="str">
        <x:v>TEXT:M6170</x:v>
      </x:c>
      <x:c r="E314" s="15" t="n">
        <x:v>-8</x:v>
      </x:c>
      <x:c r="F314" s="15" t="str">
        <x:v>사전 생산</x:v>
      </x:c>
      <x:c r="G314" s="15" t="n">
        <x:v>238</x:v>
      </x:c>
      <x:c r="H314" s="15" t="n">
        <x:v>0</x:v>
      </x:c>
      <x:c r="I314" s="15" t="n">
        <x:v>32.44</x:v>
      </x:c>
      <x:c r="J314" s="15" t="n">
        <x:v>0</x:v>
      </x:c>
      <x:c r="K314" s="15" t="n">
        <x:v>38</x:v>
      </x:c>
      <x:c r="L314" s="15" t="n">
        <x:v>19</x:v>
      </x:c>
      <x:c r="M314" s="15" t="n">
        <x:v>0</x:v>
      </x:c>
      <x:c r="N314" s="15" t="n">
        <x:v>0</x:v>
      </x:c>
      <x:c r="O314" s="15" t="n">
        <x:v>0</x:v>
      </x:c>
      <x:c r="P314" s="15" t="n">
        <x:v>0</x:v>
      </x:c>
      <x:c r="Q314" s="15" t="n">
        <x:v>0</x:v>
      </x:c>
      <x:c r="R314" s="15" t="n">
        <x:v>0</x:v>
      </x:c>
      <x:c r="S314" s="15" t="n">
        <x:v>0</x:v>
      </x:c>
      <x:c r="T314" s="15" t="n">
        <x:v>0</x:v>
      </x:c>
      <x:c r="U314" s="15" t="n">
        <x:v>0</x:v>
      </x:c>
      <x:c r="V314" s="15" t="n">
        <x:v>0</x:v>
      </x:c>
      <x:c r="W314" s="15" t="n">
        <x:v>0</x:v>
      </x:c>
      <x:c r="X314" s="15" t="n">
        <x:v>0</x:v>
      </x:c>
      <x:c r="Y314" s="15" t="n">
        <x:v>0</x:v>
      </x:c>
      <x:c r="Z314" s="15" t="n">
        <x:v>0</x:v>
      </x:c>
      <x:c r="AA314" s="15" t="n">
        <x:v>0</x:v>
      </x:c>
      <x:c r="AB314" s="15" t="n">
        <x:f>SUM(G314:AA314)</x:f>
        <x:v>327.44</x:v>
      </x:c>
    </x:row>
    <x:row r="315" ht="36" customHeight="1">
      <x:c r="A315" s="10" t="str">
        <x:v>T-BASE</x:v>
      </x:c>
      <x:c r="B315" s="10" t="str">
        <x:v>TEXT</x:v>
      </x:c>
      <x:c r="C315" s="10" t="str">
        <x:v>TEXT:SYN-F11-04</x:v>
      </x:c>
      <x:c r="D315" s="10" t="str">
        <x:v>TEXT:M6191</x:v>
      </x:c>
      <x:c r="E315" s="15" t="n">
        <x:v>0.16</x:v>
      </x:c>
      <x:c r="F315" s="15" t="str">
        <x:v>요청</x:v>
      </x:c>
      <x:c r="G315" s="15" t="n">
        <x:v>238</x:v>
      </x:c>
      <x:c r="H315" s="15" t="n">
        <x:v>11</x:v>
      </x:c>
      <x:c r="I315" s="15" t="n">
        <x:v>19.476</x:v>
      </x:c>
      <x:c r="J315" s="15" t="n">
        <x:v>0</x:v>
      </x:c>
      <x:c r="K315" s="15" t="n">
        <x:v>0</x:v>
      </x:c>
      <x:c r="L315" s="15" t="n">
        <x:v>0</x:v>
      </x:c>
      <x:c r="M315" s="15" t="n">
        <x:v>0</x:v>
      </x:c>
      <x:c r="N315" s="15" t="n">
        <x:v>0</x:v>
      </x:c>
      <x:c r="O315" s="15" t="n">
        <x:v>0</x:v>
      </x:c>
      <x:c r="P315" s="15" t="n">
        <x:v>0</x:v>
      </x:c>
      <x:c r="Q315" s="15" t="n">
        <x:v>0</x:v>
      </x:c>
      <x:c r="R315" s="15" t="n">
        <x:v>0</x:v>
      </x:c>
      <x:c r="S315" s="15" t="n">
        <x:v>0</x:v>
      </x:c>
      <x:c r="T315" s="15" t="n">
        <x:v>0</x:v>
      </x:c>
      <x:c r="U315" s="15" t="n">
        <x:v>0</x:v>
      </x:c>
      <x:c r="V315" s="15" t="n">
        <x:v>0</x:v>
      </x:c>
      <x:c r="W315" s="15" t="n">
        <x:v>0</x:v>
      </x:c>
      <x:c r="X315" s="15" t="n">
        <x:v>0</x:v>
      </x:c>
      <x:c r="Y315" s="15" t="n">
        <x:v>0</x:v>
      </x:c>
      <x:c r="Z315" s="15" t="n">
        <x:v>0</x:v>
      </x:c>
      <x:c r="AA315" s="15" t="n">
        <x:v>0</x:v>
      </x:c>
      <x:c r="AB315" s="15" t="n">
        <x:f>SUM(G315:AA315)</x:f>
        <x:v>268.476</x:v>
      </x:c>
    </x:row>
    <x:row r="316" ht="36" customHeight="1">
      <x:c r="A316" s="10" t="str">
        <x:v>T-EXEC</x:v>
      </x:c>
      <x:c r="B316" s="10" t="str">
        <x:v>TEXT</x:v>
      </x:c>
      <x:c r="C316" s="10" t="str">
        <x:v>TEXT:SYN-F11-04</x:v>
      </x:c>
      <x:c r="D316" s="10" t="str">
        <x:v>TEXT:M6213</x:v>
      </x:c>
      <x:c r="E316" s="15" t="n">
        <x:v>2.18125</x:v>
      </x:c>
      <x:c r="F316" s="15" t="str">
        <x:v>요청</x:v>
      </x:c>
      <x:c r="G316" s="15" t="n">
        <x:v>238</x:v>
      </x:c>
      <x:c r="H316" s="15" t="n">
        <x:v>22</x:v>
      </x:c>
      <x:c r="I316" s="15" t="n">
        <x:v>19.308</x:v>
      </x:c>
      <x:c r="J316" s="15" t="n">
        <x:v>7</x:v>
      </x:c>
      <x:c r="K316" s="15" t="n">
        <x:v>0</x:v>
      </x:c>
      <x:c r="L316" s="15" t="n">
        <x:v>0</x:v>
      </x:c>
      <x:c r="M316" s="15" t="n">
        <x:v>0</x:v>
      </x:c>
      <x:c r="N316" s="15" t="n">
        <x:v>0</x:v>
      </x:c>
      <x:c r="O316" s="15" t="n">
        <x:v>0</x:v>
      </x:c>
      <x:c r="P316" s="15" t="n">
        <x:v>0</x:v>
      </x:c>
      <x:c r="Q316" s="15" t="n">
        <x:v>0</x:v>
      </x:c>
      <x:c r="R316" s="15" t="n">
        <x:v>0</x:v>
      </x:c>
      <x:c r="S316" s="15" t="n">
        <x:v>0</x:v>
      </x:c>
      <x:c r="T316" s="15" t="n">
        <x:v>0</x:v>
      </x:c>
      <x:c r="U316" s="15" t="n">
        <x:v>0</x:v>
      </x:c>
      <x:c r="V316" s="15" t="n">
        <x:v>0</x:v>
      </x:c>
      <x:c r="W316" s="15" t="n">
        <x:v>0</x:v>
      </x:c>
      <x:c r="X316" s="15" t="n">
        <x:v>0</x:v>
      </x:c>
      <x:c r="Y316" s="15" t="n">
        <x:v>0</x:v>
      </x:c>
      <x:c r="Z316" s="15" t="n">
        <x:v>0</x:v>
      </x:c>
      <x:c r="AA316" s="15" t="n">
        <x:v>0</x:v>
      </x:c>
      <x:c r="AB316" s="15" t="n">
        <x:f>SUM(G316:AA316)</x:f>
        <x:v>286.308</x:v>
      </x:c>
    </x:row>
    <x:row r="317" ht="36" customHeight="1">
      <x:c r="A317" s="10" t="str">
        <x:v>T-REL</x:v>
      </x:c>
      <x:c r="B317" s="10" t="str">
        <x:v>TEXT</x:v>
      </x:c>
      <x:c r="C317" s="10" t="str">
        <x:v>TEXT:SYN-F11-04</x:v>
      </x:c>
      <x:c r="D317" s="10" t="str">
        <x:v>TEXT:M6223</x:v>
      </x:c>
      <x:c r="E317" s="15" t="n">
        <x:v>-8</x:v>
      </x:c>
      <x:c r="F317" s="15" t="str">
        <x:v>사전 생산</x:v>
      </x:c>
      <x:c r="G317" s="15" t="n">
        <x:v>238</x:v>
      </x:c>
      <x:c r="H317" s="15" t="n">
        <x:v>0</x:v>
      </x:c>
      <x:c r="I317" s="15" t="n">
        <x:v>32.76</x:v>
      </x:c>
      <x:c r="J317" s="15" t="n">
        <x:v>0</x:v>
      </x:c>
      <x:c r="K317" s="15" t="n">
        <x:v>38</x:v>
      </x:c>
      <x:c r="L317" s="15" t="n">
        <x:v>19</x:v>
      </x:c>
      <x:c r="M317" s="15" t="n">
        <x:v>0</x:v>
      </x:c>
      <x:c r="N317" s="15" t="n">
        <x:v>0</x:v>
      </x:c>
      <x:c r="O317" s="15" t="n">
        <x:v>0</x:v>
      </x:c>
      <x:c r="P317" s="15" t="n">
        <x:v>0</x:v>
      </x:c>
      <x:c r="Q317" s="15" t="n">
        <x:v>0</x:v>
      </x:c>
      <x:c r="R317" s="15" t="n">
        <x:v>0</x:v>
      </x:c>
      <x:c r="S317" s="15" t="n">
        <x:v>0</x:v>
      </x:c>
      <x:c r="T317" s="15" t="n">
        <x:v>0</x:v>
      </x:c>
      <x:c r="U317" s="15" t="n">
        <x:v>0</x:v>
      </x:c>
      <x:c r="V317" s="15" t="n">
        <x:v>0</x:v>
      </x:c>
      <x:c r="W317" s="15" t="n">
        <x:v>0</x:v>
      </x:c>
      <x:c r="X317" s="15" t="n">
        <x:v>0</x:v>
      </x:c>
      <x:c r="Y317" s="15" t="n">
        <x:v>0</x:v>
      </x:c>
      <x:c r="Z317" s="15" t="n">
        <x:v>0</x:v>
      </x:c>
      <x:c r="AA317" s="15" t="n">
        <x:v>0</x:v>
      </x:c>
      <x:c r="AB317" s="15" t="n">
        <x:f>SUM(G317:AA317)</x:f>
        <x:v>327.76</x:v>
      </x:c>
    </x:row>
    <x:row r="318" ht="36" customHeight="1">
      <x:c r="A318" s="10" t="str">
        <x:v>T-BASE</x:v>
      </x:c>
      <x:c r="B318" s="10" t="str">
        <x:v>TEXT</x:v>
      </x:c>
      <x:c r="C318" s="10" t="str">
        <x:v>TEXT:SYN-F11-05</x:v>
      </x:c>
      <x:c r="D318" s="10" t="str">
        <x:v>TEXT:M6244</x:v>
      </x:c>
      <x:c r="E318" s="15" t="n">
        <x:v>0.16</x:v>
      </x:c>
      <x:c r="F318" s="15" t="str">
        <x:v>요청</x:v>
      </x:c>
      <x:c r="G318" s="15" t="n">
        <x:v>238</x:v>
      </x:c>
      <x:c r="H318" s="15" t="n">
        <x:v>11</x:v>
      </x:c>
      <x:c r="I318" s="15" t="n">
        <x:v>19.568</x:v>
      </x:c>
      <x:c r="J318" s="15" t="n">
        <x:v>0</x:v>
      </x:c>
      <x:c r="K318" s="15" t="n">
        <x:v>0</x:v>
      </x:c>
      <x:c r="L318" s="15" t="n">
        <x:v>0</x:v>
      </x:c>
      <x:c r="M318" s="15" t="n">
        <x:v>0</x:v>
      </x:c>
      <x:c r="N318" s="15" t="n">
        <x:v>0</x:v>
      </x:c>
      <x:c r="O318" s="15" t="n">
        <x:v>0</x:v>
      </x:c>
      <x:c r="P318" s="15" t="n">
        <x:v>0</x:v>
      </x:c>
      <x:c r="Q318" s="15" t="n">
        <x:v>0</x:v>
      </x:c>
      <x:c r="R318" s="15" t="n">
        <x:v>0</x:v>
      </x:c>
      <x:c r="S318" s="15" t="n">
        <x:v>0</x:v>
      </x:c>
      <x:c r="T318" s="15" t="n">
        <x:v>0</x:v>
      </x:c>
      <x:c r="U318" s="15" t="n">
        <x:v>0</x:v>
      </x:c>
      <x:c r="V318" s="15" t="n">
        <x:v>0</x:v>
      </x:c>
      <x:c r="W318" s="15" t="n">
        <x:v>0</x:v>
      </x:c>
      <x:c r="X318" s="15" t="n">
        <x:v>0</x:v>
      </x:c>
      <x:c r="Y318" s="15" t="n">
        <x:v>0</x:v>
      </x:c>
      <x:c r="Z318" s="15" t="n">
        <x:v>0</x:v>
      </x:c>
      <x:c r="AA318" s="15" t="n">
        <x:v>0</x:v>
      </x:c>
      <x:c r="AB318" s="15" t="n">
        <x:f>SUM(G318:AA318)</x:f>
        <x:v>268.568</x:v>
      </x:c>
    </x:row>
    <x:row r="319" ht="36" customHeight="1">
      <x:c r="A319" s="10" t="str">
        <x:v>T-EXEC</x:v>
      </x:c>
      <x:c r="B319" s="10" t="str">
        <x:v>TEXT</x:v>
      </x:c>
      <x:c r="C319" s="10" t="str">
        <x:v>TEXT:SYN-F11-05</x:v>
      </x:c>
      <x:c r="D319" s="10" t="str">
        <x:v>TEXT:M6266</x:v>
      </x:c>
      <x:c r="E319" s="15" t="n">
        <x:v>2.17875</x:v>
      </x:c>
      <x:c r="F319" s="15" t="str">
        <x:v>요청</x:v>
      </x:c>
      <x:c r="G319" s="15" t="n">
        <x:v>238</x:v>
      </x:c>
      <x:c r="H319" s="15" t="n">
        <x:v>22</x:v>
      </x:c>
      <x:c r="I319" s="15" t="n">
        <x:v>19.4</x:v>
      </x:c>
      <x:c r="J319" s="15" t="n">
        <x:v>7</x:v>
      </x:c>
      <x:c r="K319" s="15" t="n">
        <x:v>0</x:v>
      </x:c>
      <x:c r="L319" s="15" t="n">
        <x:v>0</x:v>
      </x:c>
      <x:c r="M319" s="15" t="n">
        <x:v>0</x:v>
      </x:c>
      <x:c r="N319" s="15" t="n">
        <x:v>0</x:v>
      </x:c>
      <x:c r="O319" s="15" t="n">
        <x:v>0</x:v>
      </x:c>
      <x:c r="P319" s="15" t="n">
        <x:v>0</x:v>
      </x:c>
      <x:c r="Q319" s="15" t="n">
        <x:v>0</x:v>
      </x:c>
      <x:c r="R319" s="15" t="n">
        <x:v>0</x:v>
      </x:c>
      <x:c r="S319" s="15" t="n">
        <x:v>0</x:v>
      </x:c>
      <x:c r="T319" s="15" t="n">
        <x:v>0</x:v>
      </x:c>
      <x:c r="U319" s="15" t="n">
        <x:v>0</x:v>
      </x:c>
      <x:c r="V319" s="15" t="n">
        <x:v>0</x:v>
      </x:c>
      <x:c r="W319" s="15" t="n">
        <x:v>0</x:v>
      </x:c>
      <x:c r="X319" s="15" t="n">
        <x:v>0</x:v>
      </x:c>
      <x:c r="Y319" s="15" t="n">
        <x:v>0</x:v>
      </x:c>
      <x:c r="Z319" s="15" t="n">
        <x:v>0</x:v>
      </x:c>
      <x:c r="AA319" s="15" t="n">
        <x:v>0</x:v>
      </x:c>
      <x:c r="AB319" s="15" t="n">
        <x:f>SUM(G319:AA319)</x:f>
        <x:v>286.4</x:v>
      </x:c>
    </x:row>
    <x:row r="320" ht="36" customHeight="1">
      <x:c r="A320" s="10" t="str">
        <x:v>T-REL</x:v>
      </x:c>
      <x:c r="B320" s="10" t="str">
        <x:v>TEXT</x:v>
      </x:c>
      <x:c r="C320" s="10" t="str">
        <x:v>TEXT:SYN-F11-05</x:v>
      </x:c>
      <x:c r="D320" s="10" t="str">
        <x:v>TEXT:M6276</x:v>
      </x:c>
      <x:c r="E320" s="15" t="n">
        <x:v>-8</x:v>
      </x:c>
      <x:c r="F320" s="15" t="str">
        <x:v>사전 생산</x:v>
      </x:c>
      <x:c r="G320" s="15" t="n">
        <x:v>238</x:v>
      </x:c>
      <x:c r="H320" s="15" t="n">
        <x:v>0</x:v>
      </x:c>
      <x:c r="I320" s="15" t="n">
        <x:v>33.08</x:v>
      </x:c>
      <x:c r="J320" s="15" t="n">
        <x:v>0</x:v>
      </x:c>
      <x:c r="K320" s="15" t="n">
        <x:v>38</x:v>
      </x:c>
      <x:c r="L320" s="15" t="n">
        <x:v>19</x:v>
      </x:c>
      <x:c r="M320" s="15" t="n">
        <x:v>0</x:v>
      </x:c>
      <x:c r="N320" s="15" t="n">
        <x:v>0</x:v>
      </x:c>
      <x:c r="O320" s="15" t="n">
        <x:v>0</x:v>
      </x:c>
      <x:c r="P320" s="15" t="n">
        <x:v>0</x:v>
      </x:c>
      <x:c r="Q320" s="15" t="n">
        <x:v>0</x:v>
      </x:c>
      <x:c r="R320" s="15" t="n">
        <x:v>0</x:v>
      </x:c>
      <x:c r="S320" s="15" t="n">
        <x:v>0</x:v>
      </x:c>
      <x:c r="T320" s="15" t="n">
        <x:v>0</x:v>
      </x:c>
      <x:c r="U320" s="15" t="n">
        <x:v>0</x:v>
      </x:c>
      <x:c r="V320" s="15" t="n">
        <x:v>0</x:v>
      </x:c>
      <x:c r="W320" s="15" t="n">
        <x:v>0</x:v>
      </x:c>
      <x:c r="X320" s="15" t="n">
        <x:v>0</x:v>
      </x:c>
      <x:c r="Y320" s="15" t="n">
        <x:v>0</x:v>
      </x:c>
      <x:c r="Z320" s="15" t="n">
        <x:v>0</x:v>
      </x:c>
      <x:c r="AA320" s="15" t="n">
        <x:v>0</x:v>
      </x:c>
      <x:c r="AB320" s="15" t="n">
        <x:f>SUM(G320:AA320)</x:f>
        <x:v>328.08</x:v>
      </x:c>
    </x:row>
    <x:row r="321" ht="36" customHeight="1">
      <x:c r="A321" s="10" t="str">
        <x:v>T-BASE</x:v>
      </x:c>
      <x:c r="B321" s="10" t="str">
        <x:v>TEXT</x:v>
      </x:c>
      <x:c r="C321" s="10" t="str">
        <x:v>TEXT:SYN-F11-06</x:v>
      </x:c>
      <x:c r="D321" s="10" t="str">
        <x:v>TEXT:M6297</x:v>
      </x:c>
      <x:c r="E321" s="15" t="n">
        <x:v>0.16</x:v>
      </x:c>
      <x:c r="F321" s="15" t="str">
        <x:v>요청</x:v>
      </x:c>
      <x:c r="G321" s="15" t="n">
        <x:v>238</x:v>
      </x:c>
      <x:c r="H321" s="15" t="n">
        <x:v>11</x:v>
      </x:c>
      <x:c r="I321" s="15" t="n">
        <x:v>19.66</x:v>
      </x:c>
      <x:c r="J321" s="15" t="n">
        <x:v>0</x:v>
      </x:c>
      <x:c r="K321" s="15" t="n">
        <x:v>0</x:v>
      </x:c>
      <x:c r="L321" s="15" t="n">
        <x:v>0</x:v>
      </x:c>
      <x:c r="M321" s="15" t="n">
        <x:v>0</x:v>
      </x:c>
      <x:c r="N321" s="15" t="n">
        <x:v>0</x:v>
      </x:c>
      <x:c r="O321" s="15" t="n">
        <x:v>0</x:v>
      </x:c>
      <x:c r="P321" s="15" t="n">
        <x:v>0</x:v>
      </x:c>
      <x:c r="Q321" s="15" t="n">
        <x:v>0</x:v>
      </x:c>
      <x:c r="R321" s="15" t="n">
        <x:v>0</x:v>
      </x:c>
      <x:c r="S321" s="15" t="n">
        <x:v>0</x:v>
      </x:c>
      <x:c r="T321" s="15" t="n">
        <x:v>0</x:v>
      </x:c>
      <x:c r="U321" s="15" t="n">
        <x:v>0</x:v>
      </x:c>
      <x:c r="V321" s="15" t="n">
        <x:v>0</x:v>
      </x:c>
      <x:c r="W321" s="15" t="n">
        <x:v>0</x:v>
      </x:c>
      <x:c r="X321" s="15" t="n">
        <x:v>0</x:v>
      </x:c>
      <x:c r="Y321" s="15" t="n">
        <x:v>0</x:v>
      </x:c>
      <x:c r="Z321" s="15" t="n">
        <x:v>0</x:v>
      </x:c>
      <x:c r="AA321" s="15" t="n">
        <x:v>0</x:v>
      </x:c>
      <x:c r="AB321" s="15" t="n">
        <x:f>SUM(G321:AA321)</x:f>
        <x:v>268.66</x:v>
      </x:c>
    </x:row>
    <x:row r="322" ht="36" customHeight="1">
      <x:c r="A322" s="10" t="str">
        <x:v>T-EXEC</x:v>
      </x:c>
      <x:c r="B322" s="10" t="str">
        <x:v>TEXT</x:v>
      </x:c>
      <x:c r="C322" s="10" t="str">
        <x:v>TEXT:SYN-F11-06</x:v>
      </x:c>
      <x:c r="D322" s="10" t="str">
        <x:v>TEXT:M6319</x:v>
      </x:c>
      <x:c r="E322" s="15" t="n">
        <x:v>2.20125</x:v>
      </x:c>
      <x:c r="F322" s="15" t="str">
        <x:v>요청</x:v>
      </x:c>
      <x:c r="G322" s="15" t="n">
        <x:v>238</x:v>
      </x:c>
      <x:c r="H322" s="15" t="n">
        <x:v>22</x:v>
      </x:c>
      <x:c r="I322" s="15" t="n">
        <x:v>19.492</x:v>
      </x:c>
      <x:c r="J322" s="15" t="n">
        <x:v>7</x:v>
      </x:c>
      <x:c r="K322" s="15" t="n">
        <x:v>0</x:v>
      </x:c>
      <x:c r="L322" s="15" t="n">
        <x:v>0</x:v>
      </x:c>
      <x:c r="M322" s="15" t="n">
        <x:v>0</x:v>
      </x:c>
      <x:c r="N322" s="15" t="n">
        <x:v>0</x:v>
      </x:c>
      <x:c r="O322" s="15" t="n">
        <x:v>0</x:v>
      </x:c>
      <x:c r="P322" s="15" t="n">
        <x:v>0</x:v>
      </x:c>
      <x:c r="Q322" s="15" t="n">
        <x:v>0</x:v>
      </x:c>
      <x:c r="R322" s="15" t="n">
        <x:v>0</x:v>
      </x:c>
      <x:c r="S322" s="15" t="n">
        <x:v>0</x:v>
      </x:c>
      <x:c r="T322" s="15" t="n">
        <x:v>0</x:v>
      </x:c>
      <x:c r="U322" s="15" t="n">
        <x:v>0</x:v>
      </x:c>
      <x:c r="V322" s="15" t="n">
        <x:v>0</x:v>
      </x:c>
      <x:c r="W322" s="15" t="n">
        <x:v>0</x:v>
      </x:c>
      <x:c r="X322" s="15" t="n">
        <x:v>0</x:v>
      </x:c>
      <x:c r="Y322" s="15" t="n">
        <x:v>0</x:v>
      </x:c>
      <x:c r="Z322" s="15" t="n">
        <x:v>0</x:v>
      </x:c>
      <x:c r="AA322" s="15" t="n">
        <x:v>0</x:v>
      </x:c>
      <x:c r="AB322" s="15" t="n">
        <x:f>SUM(G322:AA322)</x:f>
        <x:v>286.492</x:v>
      </x:c>
    </x:row>
    <x:row r="323" ht="36" customHeight="1">
      <x:c r="A323" s="10" t="str">
        <x:v>T-REL</x:v>
      </x:c>
      <x:c r="B323" s="10" t="str">
        <x:v>TEXT</x:v>
      </x:c>
      <x:c r="C323" s="10" t="str">
        <x:v>TEXT:SYN-F11-06</x:v>
      </x:c>
      <x:c r="D323" s="10" t="str">
        <x:v>TEXT:M6329</x:v>
      </x:c>
      <x:c r="E323" s="15" t="n">
        <x:v>-8</x:v>
      </x:c>
      <x:c r="F323" s="15" t="str">
        <x:v>사전 생산</x:v>
      </x:c>
      <x:c r="G323" s="15" t="n">
        <x:v>238</x:v>
      </x:c>
      <x:c r="H323" s="15" t="n">
        <x:v>0</x:v>
      </x:c>
      <x:c r="I323" s="15" t="n">
        <x:v>33.4</x:v>
      </x:c>
      <x:c r="J323" s="15" t="n">
        <x:v>0</x:v>
      </x:c>
      <x:c r="K323" s="15" t="n">
        <x:v>38</x:v>
      </x:c>
      <x:c r="L323" s="15" t="n">
        <x:v>19</x:v>
      </x:c>
      <x:c r="M323" s="15" t="n">
        <x:v>0</x:v>
      </x:c>
      <x:c r="N323" s="15" t="n">
        <x:v>0</x:v>
      </x:c>
      <x:c r="O323" s="15" t="n">
        <x:v>0</x:v>
      </x:c>
      <x:c r="P323" s="15" t="n">
        <x:v>0</x:v>
      </x:c>
      <x:c r="Q323" s="15" t="n">
        <x:v>0</x:v>
      </x:c>
      <x:c r="R323" s="15" t="n">
        <x:v>0</x:v>
      </x:c>
      <x:c r="S323" s="15" t="n">
        <x:v>0</x:v>
      </x:c>
      <x:c r="T323" s="15" t="n">
        <x:v>0</x:v>
      </x:c>
      <x:c r="U323" s="15" t="n">
        <x:v>0</x:v>
      </x:c>
      <x:c r="V323" s="15" t="n">
        <x:v>0</x:v>
      </x:c>
      <x:c r="W323" s="15" t="n">
        <x:v>0</x:v>
      </x:c>
      <x:c r="X323" s="15" t="n">
        <x:v>0</x:v>
      </x:c>
      <x:c r="Y323" s="15" t="n">
        <x:v>0</x:v>
      </x:c>
      <x:c r="Z323" s="15" t="n">
        <x:v>0</x:v>
      </x:c>
      <x:c r="AA323" s="15" t="n">
        <x:v>0</x:v>
      </x:c>
      <x:c r="AB323" s="15" t="n">
        <x:f>SUM(G323:AA323)</x:f>
        <x:v>328.4</x:v>
      </x:c>
    </x:row>
    <x:row r="324" ht="36" customHeight="1">
      <x:c r="A324" s="10" t="str">
        <x:v>T-BASE</x:v>
      </x:c>
      <x:c r="B324" s="10" t="str">
        <x:v>TEXT</x:v>
      </x:c>
      <x:c r="C324" s="10" t="str">
        <x:v>TEXT:SYN-F11-07</x:v>
      </x:c>
      <x:c r="D324" s="10" t="str">
        <x:v>TEXT:M6350</x:v>
      </x:c>
      <x:c r="E324" s="15" t="n">
        <x:v>0.16</x:v>
      </x:c>
      <x:c r="F324" s="15" t="str">
        <x:v>요청</x:v>
      </x:c>
      <x:c r="G324" s="15" t="n">
        <x:v>238</x:v>
      </x:c>
      <x:c r="H324" s="15" t="n">
        <x:v>11</x:v>
      </x:c>
      <x:c r="I324" s="15" t="n">
        <x:v>19.752</x:v>
      </x:c>
      <x:c r="J324" s="15" t="n">
        <x:v>0</x:v>
      </x:c>
      <x:c r="K324" s="15" t="n">
        <x:v>0</x:v>
      </x:c>
      <x:c r="L324" s="15" t="n">
        <x:v>0</x:v>
      </x:c>
      <x:c r="M324" s="15" t="n">
        <x:v>0</x:v>
      </x:c>
      <x:c r="N324" s="15" t="n">
        <x:v>0</x:v>
      </x:c>
      <x:c r="O324" s="15" t="n">
        <x:v>0</x:v>
      </x:c>
      <x:c r="P324" s="15" t="n">
        <x:v>0</x:v>
      </x:c>
      <x:c r="Q324" s="15" t="n">
        <x:v>0</x:v>
      </x:c>
      <x:c r="R324" s="15" t="n">
        <x:v>0</x:v>
      </x:c>
      <x:c r="S324" s="15" t="n">
        <x:v>0</x:v>
      </x:c>
      <x:c r="T324" s="15" t="n">
        <x:v>0</x:v>
      </x:c>
      <x:c r="U324" s="15" t="n">
        <x:v>0</x:v>
      </x:c>
      <x:c r="V324" s="15" t="n">
        <x:v>0</x:v>
      </x:c>
      <x:c r="W324" s="15" t="n">
        <x:v>0</x:v>
      </x:c>
      <x:c r="X324" s="15" t="n">
        <x:v>0</x:v>
      </x:c>
      <x:c r="Y324" s="15" t="n">
        <x:v>0</x:v>
      </x:c>
      <x:c r="Z324" s="15" t="n">
        <x:v>0</x:v>
      </x:c>
      <x:c r="AA324" s="15" t="n">
        <x:v>0</x:v>
      </x:c>
      <x:c r="AB324" s="15" t="n">
        <x:f>SUM(G324:AA324)</x:f>
        <x:v>268.752</x:v>
      </x:c>
    </x:row>
    <x:row r="325" ht="36" customHeight="1">
      <x:c r="A325" s="10" t="str">
        <x:v>T-EXEC</x:v>
      </x:c>
      <x:c r="B325" s="10" t="str">
        <x:v>TEXT</x:v>
      </x:c>
      <x:c r="C325" s="10" t="str">
        <x:v>TEXT:SYN-F11-07</x:v>
      </x:c>
      <x:c r="D325" s="10" t="str">
        <x:v>TEXT:M6372</x:v>
      </x:c>
      <x:c r="E325" s="15" t="n">
        <x:v>2.205</x:v>
      </x:c>
      <x:c r="F325" s="15" t="str">
        <x:v>요청</x:v>
      </x:c>
      <x:c r="G325" s="15" t="n">
        <x:v>238</x:v>
      </x:c>
      <x:c r="H325" s="15" t="n">
        <x:v>22</x:v>
      </x:c>
      <x:c r="I325" s="15" t="n">
        <x:v>19.584</x:v>
      </x:c>
      <x:c r="J325" s="15" t="n">
        <x:v>7</x:v>
      </x:c>
      <x:c r="K325" s="15" t="n">
        <x:v>0</x:v>
      </x:c>
      <x:c r="L325" s="15" t="n">
        <x:v>0</x:v>
      </x:c>
      <x:c r="M325" s="15" t="n">
        <x:v>0</x:v>
      </x:c>
      <x:c r="N325" s="15" t="n">
        <x:v>0</x:v>
      </x:c>
      <x:c r="O325" s="15" t="n">
        <x:v>0</x:v>
      </x:c>
      <x:c r="P325" s="15" t="n">
        <x:v>0</x:v>
      </x:c>
      <x:c r="Q325" s="15" t="n">
        <x:v>0</x:v>
      </x:c>
      <x:c r="R325" s="15" t="n">
        <x:v>0</x:v>
      </x:c>
      <x:c r="S325" s="15" t="n">
        <x:v>0</x:v>
      </x:c>
      <x:c r="T325" s="15" t="n">
        <x:v>0</x:v>
      </x:c>
      <x:c r="U325" s="15" t="n">
        <x:v>0</x:v>
      </x:c>
      <x:c r="V325" s="15" t="n">
        <x:v>0</x:v>
      </x:c>
      <x:c r="W325" s="15" t="n">
        <x:v>0</x:v>
      </x:c>
      <x:c r="X325" s="15" t="n">
        <x:v>0</x:v>
      </x:c>
      <x:c r="Y325" s="15" t="n">
        <x:v>0</x:v>
      </x:c>
      <x:c r="Z325" s="15" t="n">
        <x:v>0</x:v>
      </x:c>
      <x:c r="AA325" s="15" t="n">
        <x:v>0</x:v>
      </x:c>
      <x:c r="AB325" s="15" t="n">
        <x:f>SUM(G325:AA325)</x:f>
        <x:v>286.584</x:v>
      </x:c>
    </x:row>
    <x:row r="326" ht="36" customHeight="1">
      <x:c r="A326" s="10" t="str">
        <x:v>T-REL</x:v>
      </x:c>
      <x:c r="B326" s="10" t="str">
        <x:v>TEXT</x:v>
      </x:c>
      <x:c r="C326" s="10" t="str">
        <x:v>TEXT:SYN-F11-07</x:v>
      </x:c>
      <x:c r="D326" s="10" t="str">
        <x:v>TEXT:M6382</x:v>
      </x:c>
      <x:c r="E326" s="15" t="n">
        <x:v>-8</x:v>
      </x:c>
      <x:c r="F326" s="15" t="str">
        <x:v>사전 생산</x:v>
      </x:c>
      <x:c r="G326" s="15" t="n">
        <x:v>238</x:v>
      </x:c>
      <x:c r="H326" s="15" t="n">
        <x:v>0</x:v>
      </x:c>
      <x:c r="I326" s="15" t="n">
        <x:v>33.72</x:v>
      </x:c>
      <x:c r="J326" s="15" t="n">
        <x:v>0</x:v>
      </x:c>
      <x:c r="K326" s="15" t="n">
        <x:v>38</x:v>
      </x:c>
      <x:c r="L326" s="15" t="n">
        <x:v>19</x:v>
      </x:c>
      <x:c r="M326" s="15" t="n">
        <x:v>0</x:v>
      </x:c>
      <x:c r="N326" s="15" t="n">
        <x:v>0</x:v>
      </x:c>
      <x:c r="O326" s="15" t="n">
        <x:v>0</x:v>
      </x:c>
      <x:c r="P326" s="15" t="n">
        <x:v>0</x:v>
      </x:c>
      <x:c r="Q326" s="15" t="n">
        <x:v>0</x:v>
      </x:c>
      <x:c r="R326" s="15" t="n">
        <x:v>0</x:v>
      </x:c>
      <x:c r="S326" s="15" t="n">
        <x:v>0</x:v>
      </x:c>
      <x:c r="T326" s="15" t="n">
        <x:v>0</x:v>
      </x:c>
      <x:c r="U326" s="15" t="n">
        <x:v>0</x:v>
      </x:c>
      <x:c r="V326" s="15" t="n">
        <x:v>0</x:v>
      </x:c>
      <x:c r="W326" s="15" t="n">
        <x:v>0</x:v>
      </x:c>
      <x:c r="X326" s="15" t="n">
        <x:v>0</x:v>
      </x:c>
      <x:c r="Y326" s="15" t="n">
        <x:v>0</x:v>
      </x:c>
      <x:c r="Z326" s="15" t="n">
        <x:v>0</x:v>
      </x:c>
      <x:c r="AA326" s="15" t="n">
        <x:v>0</x:v>
      </x:c>
      <x:c r="AB326" s="15" t="n">
        <x:f>SUM(G326:AA326)</x:f>
        <x:v>328.72</x:v>
      </x:c>
    </x:row>
    <x:row r="327" ht="36" customHeight="1">
      <x:c r="A327" s="10" t="str">
        <x:v>T-BASE</x:v>
      </x:c>
      <x:c r="B327" s="10" t="str">
        <x:v>TEXT</x:v>
      </x:c>
      <x:c r="C327" s="10" t="str">
        <x:v>TEXT:SYN-F11-08</x:v>
      </x:c>
      <x:c r="D327" s="10" t="str">
        <x:v>TEXT:M6403</x:v>
      </x:c>
      <x:c r="E327" s="15" t="n">
        <x:v>0.16</x:v>
      </x:c>
      <x:c r="F327" s="15" t="str">
        <x:v>요청</x:v>
      </x:c>
      <x:c r="G327" s="15" t="n">
        <x:v>238</x:v>
      </x:c>
      <x:c r="H327" s="15" t="n">
        <x:v>11</x:v>
      </x:c>
      <x:c r="I327" s="15" t="n">
        <x:v>19.844</x:v>
      </x:c>
      <x:c r="J327" s="15" t="n">
        <x:v>0</x:v>
      </x:c>
      <x:c r="K327" s="15" t="n">
        <x:v>0</x:v>
      </x:c>
      <x:c r="L327" s="15" t="n">
        <x:v>0</x:v>
      </x:c>
      <x:c r="M327" s="15" t="n">
        <x:v>0</x:v>
      </x:c>
      <x:c r="N327" s="15" t="n">
        <x:v>0</x:v>
      </x:c>
      <x:c r="O327" s="15" t="n">
        <x:v>0</x:v>
      </x:c>
      <x:c r="P327" s="15" t="n">
        <x:v>0</x:v>
      </x:c>
      <x:c r="Q327" s="15" t="n">
        <x:v>0</x:v>
      </x:c>
      <x:c r="R327" s="15" t="n">
        <x:v>0</x:v>
      </x:c>
      <x:c r="S327" s="15" t="n">
        <x:v>0</x:v>
      </x:c>
      <x:c r="T327" s="15" t="n">
        <x:v>0</x:v>
      </x:c>
      <x:c r="U327" s="15" t="n">
        <x:v>0</x:v>
      </x:c>
      <x:c r="V327" s="15" t="n">
        <x:v>0</x:v>
      </x:c>
      <x:c r="W327" s="15" t="n">
        <x:v>0</x:v>
      </x:c>
      <x:c r="X327" s="15" t="n">
        <x:v>0</x:v>
      </x:c>
      <x:c r="Y327" s="15" t="n">
        <x:v>0</x:v>
      </x:c>
      <x:c r="Z327" s="15" t="n">
        <x:v>0</x:v>
      </x:c>
      <x:c r="AA327" s="15" t="n">
        <x:v>0</x:v>
      </x:c>
      <x:c r="AB327" s="15" t="n">
        <x:f>SUM(G327:AA327)</x:f>
        <x:v>268.844</x:v>
      </x:c>
    </x:row>
    <x:row r="328" ht="36" customHeight="1">
      <x:c r="A328" s="10" t="str">
        <x:v>T-EXEC</x:v>
      </x:c>
      <x:c r="B328" s="10" t="str">
        <x:v>TEXT</x:v>
      </x:c>
      <x:c r="C328" s="10" t="str">
        <x:v>TEXT:SYN-F11-08</x:v>
      </x:c>
      <x:c r="D328" s="10" t="str">
        <x:v>TEXT:M6425</x:v>
      </x:c>
      <x:c r="E328" s="15" t="n">
        <x:v>2.2275</x:v>
      </x:c>
      <x:c r="F328" s="15" t="str">
        <x:v>요청</x:v>
      </x:c>
      <x:c r="G328" s="15" t="n">
        <x:v>238</x:v>
      </x:c>
      <x:c r="H328" s="15" t="n">
        <x:v>22</x:v>
      </x:c>
      <x:c r="I328" s="15" t="n">
        <x:v>19.676</x:v>
      </x:c>
      <x:c r="J328" s="15" t="n">
        <x:v>7</x:v>
      </x:c>
      <x:c r="K328" s="15" t="n">
        <x:v>0</x:v>
      </x:c>
      <x:c r="L328" s="15" t="n">
        <x:v>0</x:v>
      </x:c>
      <x:c r="M328" s="15" t="n">
        <x:v>0</x:v>
      </x:c>
      <x:c r="N328" s="15" t="n">
        <x:v>0</x:v>
      </x:c>
      <x:c r="O328" s="15" t="n">
        <x:v>0</x:v>
      </x:c>
      <x:c r="P328" s="15" t="n">
        <x:v>0</x:v>
      </x:c>
      <x:c r="Q328" s="15" t="n">
        <x:v>0</x:v>
      </x:c>
      <x:c r="R328" s="15" t="n">
        <x:v>0</x:v>
      </x:c>
      <x:c r="S328" s="15" t="n">
        <x:v>0</x:v>
      </x:c>
      <x:c r="T328" s="15" t="n">
        <x:v>0</x:v>
      </x:c>
      <x:c r="U328" s="15" t="n">
        <x:v>0</x:v>
      </x:c>
      <x:c r="V328" s="15" t="n">
        <x:v>0</x:v>
      </x:c>
      <x:c r="W328" s="15" t="n">
        <x:v>0</x:v>
      </x:c>
      <x:c r="X328" s="15" t="n">
        <x:v>0</x:v>
      </x:c>
      <x:c r="Y328" s="15" t="n">
        <x:v>0</x:v>
      </x:c>
      <x:c r="Z328" s="15" t="n">
        <x:v>0</x:v>
      </x:c>
      <x:c r="AA328" s="15" t="n">
        <x:v>0</x:v>
      </x:c>
      <x:c r="AB328" s="15" t="n">
        <x:f>SUM(G328:AA328)</x:f>
        <x:v>286.676</x:v>
      </x:c>
    </x:row>
    <x:row r="329" ht="36" customHeight="1">
      <x:c r="A329" s="10" t="str">
        <x:v>T-REL</x:v>
      </x:c>
      <x:c r="B329" s="10" t="str">
        <x:v>TEXT</x:v>
      </x:c>
      <x:c r="C329" s="10" t="str">
        <x:v>TEXT:SYN-F11-08</x:v>
      </x:c>
      <x:c r="D329" s="10" t="str">
        <x:v>TEXT:M6435</x:v>
      </x:c>
      <x:c r="E329" s="15" t="n">
        <x:v>-8</x:v>
      </x:c>
      <x:c r="F329" s="15" t="str">
        <x:v>사전 생산</x:v>
      </x:c>
      <x:c r="G329" s="15" t="n">
        <x:v>238</x:v>
      </x:c>
      <x:c r="H329" s="15" t="n">
        <x:v>0</x:v>
      </x:c>
      <x:c r="I329" s="15" t="n">
        <x:v>34.04</x:v>
      </x:c>
      <x:c r="J329" s="15" t="n">
        <x:v>0</x:v>
      </x:c>
      <x:c r="K329" s="15" t="n">
        <x:v>38</x:v>
      </x:c>
      <x:c r="L329" s="15" t="n">
        <x:v>19</x:v>
      </x:c>
      <x:c r="M329" s="15" t="n">
        <x:v>0</x:v>
      </x:c>
      <x:c r="N329" s="15" t="n">
        <x:v>0</x:v>
      </x:c>
      <x:c r="O329" s="15" t="n">
        <x:v>0</x:v>
      </x:c>
      <x:c r="P329" s="15" t="n">
        <x:v>0</x:v>
      </x:c>
      <x:c r="Q329" s="15" t="n">
        <x:v>0</x:v>
      </x:c>
      <x:c r="R329" s="15" t="n">
        <x:v>0</x:v>
      </x:c>
      <x:c r="S329" s="15" t="n">
        <x:v>0</x:v>
      </x:c>
      <x:c r="T329" s="15" t="n">
        <x:v>0</x:v>
      </x:c>
      <x:c r="U329" s="15" t="n">
        <x:v>0</x:v>
      </x:c>
      <x:c r="V329" s="15" t="n">
        <x:v>0</x:v>
      </x:c>
      <x:c r="W329" s="15" t="n">
        <x:v>0</x:v>
      </x:c>
      <x:c r="X329" s="15" t="n">
        <x:v>0</x:v>
      </x:c>
      <x:c r="Y329" s="15" t="n">
        <x:v>0</x:v>
      </x:c>
      <x:c r="Z329" s="15" t="n">
        <x:v>0</x:v>
      </x:c>
      <x:c r="AA329" s="15" t="n">
        <x:v>0</x:v>
      </x:c>
      <x:c r="AB329" s="15" t="n">
        <x:f>SUM(G329:AA329)</x:f>
        <x:v>329.04</x:v>
      </x:c>
    </x:row>
    <x:row r="330" ht="36" customHeight="1">
      <x:c r="A330" s="10" t="str">
        <x:v>T-BASE</x:v>
      </x:c>
      <x:c r="B330" s="10" t="str">
        <x:v>TEXT</x:v>
      </x:c>
      <x:c r="C330" s="10" t="str">
        <x:v>TEXT:SYN-F11-09</x:v>
      </x:c>
      <x:c r="D330" s="10" t="str">
        <x:v>TEXT:M6456</x:v>
      </x:c>
      <x:c r="E330" s="15" t="n">
        <x:v>0.16</x:v>
      </x:c>
      <x:c r="F330" s="15" t="str">
        <x:v>요청</x:v>
      </x:c>
      <x:c r="G330" s="15" t="n">
        <x:v>238</x:v>
      </x:c>
      <x:c r="H330" s="15" t="n">
        <x:v>11</x:v>
      </x:c>
      <x:c r="I330" s="15" t="n">
        <x:v>19.936</x:v>
      </x:c>
      <x:c r="J330" s="15" t="n">
        <x:v>0</x:v>
      </x:c>
      <x:c r="K330" s="15" t="n">
        <x:v>0</x:v>
      </x:c>
      <x:c r="L330" s="15" t="n">
        <x:v>0</x:v>
      </x:c>
      <x:c r="M330" s="15" t="n">
        <x:v>0</x:v>
      </x:c>
      <x:c r="N330" s="15" t="n">
        <x:v>0</x:v>
      </x:c>
      <x:c r="O330" s="15" t="n">
        <x:v>0</x:v>
      </x:c>
      <x:c r="P330" s="15" t="n">
        <x:v>0</x:v>
      </x:c>
      <x:c r="Q330" s="15" t="n">
        <x:v>0</x:v>
      </x:c>
      <x:c r="R330" s="15" t="n">
        <x:v>0</x:v>
      </x:c>
      <x:c r="S330" s="15" t="n">
        <x:v>0</x:v>
      </x:c>
      <x:c r="T330" s="15" t="n">
        <x:v>0</x:v>
      </x:c>
      <x:c r="U330" s="15" t="n">
        <x:v>0</x:v>
      </x:c>
      <x:c r="V330" s="15" t="n">
        <x:v>0</x:v>
      </x:c>
      <x:c r="W330" s="15" t="n">
        <x:v>0</x:v>
      </x:c>
      <x:c r="X330" s="15" t="n">
        <x:v>0</x:v>
      </x:c>
      <x:c r="Y330" s="15" t="n">
        <x:v>0</x:v>
      </x:c>
      <x:c r="Z330" s="15" t="n">
        <x:v>0</x:v>
      </x:c>
      <x:c r="AA330" s="15" t="n">
        <x:v>0</x:v>
      </x:c>
      <x:c r="AB330" s="15" t="n">
        <x:f>SUM(G330:AA330)</x:f>
        <x:v>268.936</x:v>
      </x:c>
    </x:row>
    <x:row r="331" ht="36" customHeight="1">
      <x:c r="A331" s="10" t="str">
        <x:v>T-EXEC</x:v>
      </x:c>
      <x:c r="B331" s="10" t="str">
        <x:v>TEXT</x:v>
      </x:c>
      <x:c r="C331" s="10" t="str">
        <x:v>TEXT:SYN-F11-09</x:v>
      </x:c>
      <x:c r="D331" s="10" t="str">
        <x:v>TEXT:M6478</x:v>
      </x:c>
      <x:c r="E331" s="15" t="n">
        <x:v>2.225</x:v>
      </x:c>
      <x:c r="F331" s="15" t="str">
        <x:v>요청</x:v>
      </x:c>
      <x:c r="G331" s="15" t="n">
        <x:v>238</x:v>
      </x:c>
      <x:c r="H331" s="15" t="n">
        <x:v>22</x:v>
      </x:c>
      <x:c r="I331" s="15" t="n">
        <x:v>19.768</x:v>
      </x:c>
      <x:c r="J331" s="15" t="n">
        <x:v>7</x:v>
      </x:c>
      <x:c r="K331" s="15" t="n">
        <x:v>0</x:v>
      </x:c>
      <x:c r="L331" s="15" t="n">
        <x:v>0</x:v>
      </x:c>
      <x:c r="M331" s="15" t="n">
        <x:v>0</x:v>
      </x:c>
      <x:c r="N331" s="15" t="n">
        <x:v>0</x:v>
      </x:c>
      <x:c r="O331" s="15" t="n">
        <x:v>0</x:v>
      </x:c>
      <x:c r="P331" s="15" t="n">
        <x:v>0</x:v>
      </x:c>
      <x:c r="Q331" s="15" t="n">
        <x:v>0</x:v>
      </x:c>
      <x:c r="R331" s="15" t="n">
        <x:v>0</x:v>
      </x:c>
      <x:c r="S331" s="15" t="n">
        <x:v>0</x:v>
      </x:c>
      <x:c r="T331" s="15" t="n">
        <x:v>0</x:v>
      </x:c>
      <x:c r="U331" s="15" t="n">
        <x:v>0</x:v>
      </x:c>
      <x:c r="V331" s="15" t="n">
        <x:v>0</x:v>
      </x:c>
      <x:c r="W331" s="15" t="n">
        <x:v>0</x:v>
      </x:c>
      <x:c r="X331" s="15" t="n">
        <x:v>0</x:v>
      </x:c>
      <x:c r="Y331" s="15" t="n">
        <x:v>0</x:v>
      </x:c>
      <x:c r="Z331" s="15" t="n">
        <x:v>0</x:v>
      </x:c>
      <x:c r="AA331" s="15" t="n">
        <x:v>0</x:v>
      </x:c>
      <x:c r="AB331" s="15" t="n">
        <x:f>SUM(G331:AA331)</x:f>
        <x:v>286.76800000000003</x:v>
      </x:c>
    </x:row>
    <x:row r="332" ht="36" customHeight="1">
      <x:c r="A332" s="10" t="str">
        <x:v>T-REL</x:v>
      </x:c>
      <x:c r="B332" s="10" t="str">
        <x:v>TEXT</x:v>
      </x:c>
      <x:c r="C332" s="10" t="str">
        <x:v>TEXT:SYN-F11-09</x:v>
      </x:c>
      <x:c r="D332" s="10" t="str">
        <x:v>TEXT:M6488</x:v>
      </x:c>
      <x:c r="E332" s="15" t="n">
        <x:v>-8</x:v>
      </x:c>
      <x:c r="F332" s="15" t="str">
        <x:v>사전 생산</x:v>
      </x:c>
      <x:c r="G332" s="15" t="n">
        <x:v>238</x:v>
      </x:c>
      <x:c r="H332" s="15" t="n">
        <x:v>0</x:v>
      </x:c>
      <x:c r="I332" s="15" t="n">
        <x:v>34.36</x:v>
      </x:c>
      <x:c r="J332" s="15" t="n">
        <x:v>0</x:v>
      </x:c>
      <x:c r="K332" s="15" t="n">
        <x:v>38</x:v>
      </x:c>
      <x:c r="L332" s="15" t="n">
        <x:v>19</x:v>
      </x:c>
      <x:c r="M332" s="15" t="n">
        <x:v>0</x:v>
      </x:c>
      <x:c r="N332" s="15" t="n">
        <x:v>0</x:v>
      </x:c>
      <x:c r="O332" s="15" t="n">
        <x:v>0</x:v>
      </x:c>
      <x:c r="P332" s="15" t="n">
        <x:v>0</x:v>
      </x:c>
      <x:c r="Q332" s="15" t="n">
        <x:v>0</x:v>
      </x:c>
      <x:c r="R332" s="15" t="n">
        <x:v>0</x:v>
      </x:c>
      <x:c r="S332" s="15" t="n">
        <x:v>0</x:v>
      </x:c>
      <x:c r="T332" s="15" t="n">
        <x:v>0</x:v>
      </x:c>
      <x:c r="U332" s="15" t="n">
        <x:v>0</x:v>
      </x:c>
      <x:c r="V332" s="15" t="n">
        <x:v>0</x:v>
      </x:c>
      <x:c r="W332" s="15" t="n">
        <x:v>0</x:v>
      </x:c>
      <x:c r="X332" s="15" t="n">
        <x:v>0</x:v>
      </x:c>
      <x:c r="Y332" s="15" t="n">
        <x:v>0</x:v>
      </x:c>
      <x:c r="Z332" s="15" t="n">
        <x:v>0</x:v>
      </x:c>
      <x:c r="AA332" s="15" t="n">
        <x:v>0</x:v>
      </x:c>
      <x:c r="AB332" s="15" t="n">
        <x:f>SUM(G332:AA332)</x:f>
        <x:v>329.36</x:v>
      </x:c>
    </x:row>
    <x:row r="333" ht="36" customHeight="1">
      <x:c r="A333" s="10" t="str">
        <x:v>T-BASE</x:v>
      </x:c>
      <x:c r="B333" s="10" t="str">
        <x:v>TEXT</x:v>
      </x:c>
      <x:c r="C333" s="10" t="str">
        <x:v>TEXT:SYN-F11-10</x:v>
      </x:c>
      <x:c r="D333" s="10" t="str">
        <x:v>TEXT:M6509</x:v>
      </x:c>
      <x:c r="E333" s="15" t="n">
        <x:v>0.16</x:v>
      </x:c>
      <x:c r="F333" s="15" t="str">
        <x:v>요청</x:v>
      </x:c>
      <x:c r="G333" s="15" t="n">
        <x:v>238</x:v>
      </x:c>
      <x:c r="H333" s="15" t="n">
        <x:v>11</x:v>
      </x:c>
      <x:c r="I333" s="15" t="n">
        <x:v>20.028</x:v>
      </x:c>
      <x:c r="J333" s="15" t="n">
        <x:v>0</x:v>
      </x:c>
      <x:c r="K333" s="15" t="n">
        <x:v>0</x:v>
      </x:c>
      <x:c r="L333" s="15" t="n">
        <x:v>0</x:v>
      </x:c>
      <x:c r="M333" s="15" t="n">
        <x:v>0</x:v>
      </x:c>
      <x:c r="N333" s="15" t="n">
        <x:v>0</x:v>
      </x:c>
      <x:c r="O333" s="15" t="n">
        <x:v>0</x:v>
      </x:c>
      <x:c r="P333" s="15" t="n">
        <x:v>0</x:v>
      </x:c>
      <x:c r="Q333" s="15" t="n">
        <x:v>0</x:v>
      </x:c>
      <x:c r="R333" s="15" t="n">
        <x:v>0</x:v>
      </x:c>
      <x:c r="S333" s="15" t="n">
        <x:v>0</x:v>
      </x:c>
      <x:c r="T333" s="15" t="n">
        <x:v>0</x:v>
      </x:c>
      <x:c r="U333" s="15" t="n">
        <x:v>0</x:v>
      </x:c>
      <x:c r="V333" s="15" t="n">
        <x:v>0</x:v>
      </x:c>
      <x:c r="W333" s="15" t="n">
        <x:v>0</x:v>
      </x:c>
      <x:c r="X333" s="15" t="n">
        <x:v>0</x:v>
      </x:c>
      <x:c r="Y333" s="15" t="n">
        <x:v>0</x:v>
      </x:c>
      <x:c r="Z333" s="15" t="n">
        <x:v>0</x:v>
      </x:c>
      <x:c r="AA333" s="15" t="n">
        <x:v>0</x:v>
      </x:c>
      <x:c r="AB333" s="15" t="n">
        <x:f>SUM(G333:AA333)</x:f>
        <x:v>269.028</x:v>
      </x:c>
    </x:row>
    <x:row r="334" ht="36" customHeight="1">
      <x:c r="A334" s="10" t="str">
        <x:v>T-EXEC</x:v>
      </x:c>
      <x:c r="B334" s="10" t="str">
        <x:v>TEXT</x:v>
      </x:c>
      <x:c r="C334" s="10" t="str">
        <x:v>TEXT:SYN-F11-10</x:v>
      </x:c>
      <x:c r="D334" s="10" t="str">
        <x:v>TEXT:M6531</x:v>
      </x:c>
      <x:c r="E334" s="15" t="n">
        <x:v>2.22875</x:v>
      </x:c>
      <x:c r="F334" s="15" t="str">
        <x:v>요청</x:v>
      </x:c>
      <x:c r="G334" s="15" t="n">
        <x:v>238</x:v>
      </x:c>
      <x:c r="H334" s="15" t="n">
        <x:v>22</x:v>
      </x:c>
      <x:c r="I334" s="15" t="n">
        <x:v>19.86</x:v>
      </x:c>
      <x:c r="J334" s="15" t="n">
        <x:v>7</x:v>
      </x:c>
      <x:c r="K334" s="15" t="n">
        <x:v>0</x:v>
      </x:c>
      <x:c r="L334" s="15" t="n">
        <x:v>0</x:v>
      </x:c>
      <x:c r="M334" s="15" t="n">
        <x:v>0</x:v>
      </x:c>
      <x:c r="N334" s="15" t="n">
        <x:v>0</x:v>
      </x:c>
      <x:c r="O334" s="15" t="n">
        <x:v>0</x:v>
      </x:c>
      <x:c r="P334" s="15" t="n">
        <x:v>0</x:v>
      </x:c>
      <x:c r="Q334" s="15" t="n">
        <x:v>0</x:v>
      </x:c>
      <x:c r="R334" s="15" t="n">
        <x:v>0</x:v>
      </x:c>
      <x:c r="S334" s="15" t="n">
        <x:v>0</x:v>
      </x:c>
      <x:c r="T334" s="15" t="n">
        <x:v>0</x:v>
      </x:c>
      <x:c r="U334" s="15" t="n">
        <x:v>0</x:v>
      </x:c>
      <x:c r="V334" s="15" t="n">
        <x:v>0</x:v>
      </x:c>
      <x:c r="W334" s="15" t="n">
        <x:v>0</x:v>
      </x:c>
      <x:c r="X334" s="15" t="n">
        <x:v>0</x:v>
      </x:c>
      <x:c r="Y334" s="15" t="n">
        <x:v>0</x:v>
      </x:c>
      <x:c r="Z334" s="15" t="n">
        <x:v>0</x:v>
      </x:c>
      <x:c r="AA334" s="15" t="n">
        <x:v>0</x:v>
      </x:c>
      <x:c r="AB334" s="15" t="n">
        <x:f>SUM(G334:AA334)</x:f>
        <x:v>286.86</x:v>
      </x:c>
    </x:row>
    <x:row r="335" ht="36" customHeight="1">
      <x:c r="A335" s="10" t="str">
        <x:v>T-REL</x:v>
      </x:c>
      <x:c r="B335" s="10" t="str">
        <x:v>TEXT</x:v>
      </x:c>
      <x:c r="C335" s="10" t="str">
        <x:v>TEXT:SYN-F11-10</x:v>
      </x:c>
      <x:c r="D335" s="10" t="str">
        <x:v>TEXT:M6541</x:v>
      </x:c>
      <x:c r="E335" s="15" t="n">
        <x:v>-8</x:v>
      </x:c>
      <x:c r="F335" s="15" t="str">
        <x:v>사전 생산</x:v>
      </x:c>
      <x:c r="G335" s="15" t="n">
        <x:v>238</x:v>
      </x:c>
      <x:c r="H335" s="15" t="n">
        <x:v>0</x:v>
      </x:c>
      <x:c r="I335" s="15" t="n">
        <x:v>34.68</x:v>
      </x:c>
      <x:c r="J335" s="15" t="n">
        <x:v>0</x:v>
      </x:c>
      <x:c r="K335" s="15" t="n">
        <x:v>38</x:v>
      </x:c>
      <x:c r="L335" s="15" t="n">
        <x:v>19</x:v>
      </x:c>
      <x:c r="M335" s="15" t="n">
        <x:v>0</x:v>
      </x:c>
      <x:c r="N335" s="15" t="n">
        <x:v>0</x:v>
      </x:c>
      <x:c r="O335" s="15" t="n">
        <x:v>0</x:v>
      </x:c>
      <x:c r="P335" s="15" t="n">
        <x:v>0</x:v>
      </x:c>
      <x:c r="Q335" s="15" t="n">
        <x:v>0</x:v>
      </x:c>
      <x:c r="R335" s="15" t="n">
        <x:v>0</x:v>
      </x:c>
      <x:c r="S335" s="15" t="n">
        <x:v>0</x:v>
      </x:c>
      <x:c r="T335" s="15" t="n">
        <x:v>0</x:v>
      </x:c>
      <x:c r="U335" s="15" t="n">
        <x:v>0</x:v>
      </x:c>
      <x:c r="V335" s="15" t="n">
        <x:v>0</x:v>
      </x:c>
      <x:c r="W335" s="15" t="n">
        <x:v>0</x:v>
      </x:c>
      <x:c r="X335" s="15" t="n">
        <x:v>0</x:v>
      </x:c>
      <x:c r="Y335" s="15" t="n">
        <x:v>0</x:v>
      </x:c>
      <x:c r="Z335" s="15" t="n">
        <x:v>0</x:v>
      </x:c>
      <x:c r="AA335" s="15" t="n">
        <x:v>0</x:v>
      </x:c>
      <x:c r="AB335" s="15" t="n">
        <x:f>SUM(G335:AA335)</x:f>
        <x:v>329.68</x:v>
      </x:c>
    </x:row>
    <x:row r="336" ht="36" customHeight="1">
      <x:c r="A336" s="10" t="str">
        <x:v>T-BASE</x:v>
      </x:c>
      <x:c r="B336" s="10" t="str">
        <x:v>TEXT</x:v>
      </x:c>
      <x:c r="C336" s="10" t="str">
        <x:v>TEXT:SYN-F12-01</x:v>
      </x:c>
      <x:c r="D336" s="10" t="str">
        <x:v>TEXT:M6562</x:v>
      </x:c>
      <x:c r="E336" s="15" t="n">
        <x:v>0.34</x:v>
      </x:c>
      <x:c r="F336" s="15" t="str">
        <x:v>요청</x:v>
      </x:c>
      <x:c r="G336" s="15" t="n">
        <x:v>238</x:v>
      </x:c>
      <x:c r="H336" s="15" t="n">
        <x:v>11</x:v>
      </x:c>
      <x:c r="I336" s="15" t="n">
        <x:v>25.6</x:v>
      </x:c>
      <x:c r="J336" s="15" t="n">
        <x:v>0</x:v>
      </x:c>
      <x:c r="K336" s="15" t="n">
        <x:v>0</x:v>
      </x:c>
      <x:c r="L336" s="15" t="n">
        <x:v>0</x:v>
      </x:c>
      <x:c r="M336" s="15" t="n">
        <x:v>0</x:v>
      </x:c>
      <x:c r="N336" s="15" t="n">
        <x:v>0</x:v>
      </x:c>
      <x:c r="O336" s="15" t="n">
        <x:v>0</x:v>
      </x:c>
      <x:c r="P336" s="15" t="n">
        <x:v>0</x:v>
      </x:c>
      <x:c r="Q336" s="15" t="n">
        <x:v>0</x:v>
      </x:c>
      <x:c r="R336" s="15" t="n">
        <x:v>0</x:v>
      </x:c>
      <x:c r="S336" s="15" t="n">
        <x:v>0</x:v>
      </x:c>
      <x:c r="T336" s="15" t="n">
        <x:v>0</x:v>
      </x:c>
      <x:c r="U336" s="15" t="n">
        <x:v>0</x:v>
      </x:c>
      <x:c r="V336" s="15" t="n">
        <x:v>0</x:v>
      </x:c>
      <x:c r="W336" s="15" t="n">
        <x:v>0</x:v>
      </x:c>
      <x:c r="X336" s="15" t="n">
        <x:v>0</x:v>
      </x:c>
      <x:c r="Y336" s="15" t="n">
        <x:v>0</x:v>
      </x:c>
      <x:c r="Z336" s="15" t="n">
        <x:v>0</x:v>
      </x:c>
      <x:c r="AA336" s="15" t="n">
        <x:v>0</x:v>
      </x:c>
      <x:c r="AB336" s="15" t="n">
        <x:f>SUM(G336:AA336)</x:f>
        <x:v>274.6</x:v>
      </x:c>
    </x:row>
    <x:row r="337" ht="36" customHeight="1">
      <x:c r="A337" s="10" t="str">
        <x:v>T-EXEC</x:v>
      </x:c>
      <x:c r="B337" s="10" t="str">
        <x:v>TEXT</x:v>
      </x:c>
      <x:c r="C337" s="10" t="str">
        <x:v>TEXT:SYN-F12-01</x:v>
      </x:c>
      <x:c r="D337" s="10" t="str">
        <x:v>TEXT:M6586</x:v>
      </x:c>
      <x:c r="E337" s="15" t="n">
        <x:v>3.892143</x:v>
      </x:c>
      <x:c r="F337" s="15" t="str">
        <x:v>요청</x:v>
      </x:c>
      <x:c r="G337" s="15" t="n">
        <x:v>238</x:v>
      </x:c>
      <x:c r="H337" s="15" t="n">
        <x:v>22</x:v>
      </x:c>
      <x:c r="I337" s="15" t="n">
        <x:v>35.4</x:v>
      </x:c>
      <x:c r="J337" s="15" t="n">
        <x:v>0</x:v>
      </x:c>
      <x:c r="K337" s="15" t="n">
        <x:v>0</x:v>
      </x:c>
      <x:c r="L337" s="15" t="n">
        <x:v>0</x:v>
      </x:c>
      <x:c r="M337" s="15" t="n">
        <x:v>0</x:v>
      </x:c>
      <x:c r="N337" s="15" t="n">
        <x:v>0</x:v>
      </x:c>
      <x:c r="O337" s="15" t="n">
        <x:v>0</x:v>
      </x:c>
      <x:c r="P337" s="15" t="n">
        <x:v>0</x:v>
      </x:c>
      <x:c r="Q337" s="15" t="n">
        <x:v>0</x:v>
      </x:c>
      <x:c r="R337" s="15" t="n">
        <x:v>0</x:v>
      </x:c>
      <x:c r="S337" s="15" t="n">
        <x:v>0</x:v>
      </x:c>
      <x:c r="T337" s="15" t="n">
        <x:v>0</x:v>
      </x:c>
      <x:c r="U337" s="15" t="n">
        <x:v>0</x:v>
      </x:c>
      <x:c r="V337" s="15" t="n">
        <x:v>0</x:v>
      </x:c>
      <x:c r="W337" s="15" t="n">
        <x:v>0</x:v>
      </x:c>
      <x:c r="X337" s="15" t="n">
        <x:v>0</x:v>
      </x:c>
      <x:c r="Y337" s="15" t="n">
        <x:v>0</x:v>
      </x:c>
      <x:c r="Z337" s="15" t="n">
        <x:v>0</x:v>
      </x:c>
      <x:c r="AA337" s="15" t="n">
        <x:v>0</x:v>
      </x:c>
      <x:c r="AB337" s="15" t="n">
        <x:f>SUM(G337:AA337)</x:f>
        <x:v>295.4</x:v>
      </x:c>
    </x:row>
    <x:row r="338" ht="36" customHeight="1">
      <x:c r="A338" s="10" t="str">
        <x:v>T-REL</x:v>
      </x:c>
      <x:c r="B338" s="10" t="str">
        <x:v>TEXT</x:v>
      </x:c>
      <x:c r="C338" s="10" t="str">
        <x:v>TEXT:SYN-F12-01</x:v>
      </x:c>
      <x:c r="D338" s="10" t="str">
        <x:v>TEXT:M6595</x:v>
      </x:c>
      <x:c r="E338" s="15" t="n">
        <x:v>-8</x:v>
      </x:c>
      <x:c r="F338" s="15" t="str">
        <x:v>사전 생산</x:v>
      </x:c>
      <x:c r="G338" s="15" t="n">
        <x:v>238</x:v>
      </x:c>
      <x:c r="H338" s="15" t="n">
        <x:v>0</x:v>
      </x:c>
      <x:c r="I338" s="15" t="n">
        <x:v>31.8</x:v>
      </x:c>
      <x:c r="J338" s="15" t="n">
        <x:v>0</x:v>
      </x:c>
      <x:c r="K338" s="15" t="n">
        <x:v>38</x:v>
      </x:c>
      <x:c r="L338" s="15" t="n">
        <x:v>19</x:v>
      </x:c>
      <x:c r="M338" s="15" t="n">
        <x:v>0</x:v>
      </x:c>
      <x:c r="N338" s="15" t="n">
        <x:v>0</x:v>
      </x:c>
      <x:c r="O338" s="15" t="n">
        <x:v>0</x:v>
      </x:c>
      <x:c r="P338" s="15" t="n">
        <x:v>0</x:v>
      </x:c>
      <x:c r="Q338" s="15" t="n">
        <x:v>0</x:v>
      </x:c>
      <x:c r="R338" s="15" t="n">
        <x:v>0</x:v>
      </x:c>
      <x:c r="S338" s="15" t="n">
        <x:v>0</x:v>
      </x:c>
      <x:c r="T338" s="15" t="n">
        <x:v>0</x:v>
      </x:c>
      <x:c r="U338" s="15" t="n">
        <x:v>0</x:v>
      </x:c>
      <x:c r="V338" s="15" t="n">
        <x:v>0</x:v>
      </x:c>
      <x:c r="W338" s="15" t="n">
        <x:v>0</x:v>
      </x:c>
      <x:c r="X338" s="15" t="n">
        <x:v>0</x:v>
      </x:c>
      <x:c r="Y338" s="15" t="n">
        <x:v>0</x:v>
      </x:c>
      <x:c r="Z338" s="15" t="n">
        <x:v>0</x:v>
      </x:c>
      <x:c r="AA338" s="15" t="n">
        <x:v>0</x:v>
      </x:c>
      <x:c r="AB338" s="15" t="n">
        <x:f>SUM(G338:AA338)</x:f>
        <x:v>326.8</x:v>
      </x:c>
    </x:row>
    <x:row r="339" ht="36" customHeight="1">
      <x:c r="A339" s="10" t="str">
        <x:v>T-BASE</x:v>
      </x:c>
      <x:c r="B339" s="10" t="str">
        <x:v>TEXT</x:v>
      </x:c>
      <x:c r="C339" s="10" t="str">
        <x:v>TEXT:SYN-F12-02</x:v>
      </x:c>
      <x:c r="D339" s="10" t="str">
        <x:v>TEXT:M6617</x:v>
      </x:c>
      <x:c r="E339" s="15" t="n">
        <x:v>0.365</x:v>
      </x:c>
      <x:c r="F339" s="15" t="str">
        <x:v>요청</x:v>
      </x:c>
      <x:c r="G339" s="15" t="n">
        <x:v>238</x:v>
      </x:c>
      <x:c r="H339" s="15" t="n">
        <x:v>11</x:v>
      </x:c>
      <x:c r="I339" s="15" t="n">
        <x:v>25.692</x:v>
      </x:c>
      <x:c r="J339" s="15" t="n">
        <x:v>0</x:v>
      </x:c>
      <x:c r="K339" s="15" t="n">
        <x:v>0</x:v>
      </x:c>
      <x:c r="L339" s="15" t="n">
        <x:v>0</x:v>
      </x:c>
      <x:c r="M339" s="15" t="n">
        <x:v>0</x:v>
      </x:c>
      <x:c r="N339" s="15" t="n">
        <x:v>0</x:v>
      </x:c>
      <x:c r="O339" s="15" t="n">
        <x:v>0</x:v>
      </x:c>
      <x:c r="P339" s="15" t="n">
        <x:v>0</x:v>
      </x:c>
      <x:c r="Q339" s="15" t="n">
        <x:v>0</x:v>
      </x:c>
      <x:c r="R339" s="15" t="n">
        <x:v>0</x:v>
      </x:c>
      <x:c r="S339" s="15" t="n">
        <x:v>0</x:v>
      </x:c>
      <x:c r="T339" s="15" t="n">
        <x:v>0</x:v>
      </x:c>
      <x:c r="U339" s="15" t="n">
        <x:v>0</x:v>
      </x:c>
      <x:c r="V339" s="15" t="n">
        <x:v>0</x:v>
      </x:c>
      <x:c r="W339" s="15" t="n">
        <x:v>0</x:v>
      </x:c>
      <x:c r="X339" s="15" t="n">
        <x:v>0</x:v>
      </x:c>
      <x:c r="Y339" s="15" t="n">
        <x:v>0</x:v>
      </x:c>
      <x:c r="Z339" s="15" t="n">
        <x:v>0</x:v>
      </x:c>
      <x:c r="AA339" s="15" t="n">
        <x:v>0</x:v>
      </x:c>
      <x:c r="AB339" s="15" t="n">
        <x:f>SUM(G339:AA339)</x:f>
        <x:v>274.692</x:v>
      </x:c>
    </x:row>
    <x:row r="340" ht="36" customHeight="1">
      <x:c r="A340" s="10" t="str">
        <x:v>T-EXEC</x:v>
      </x:c>
      <x:c r="B340" s="10" t="str">
        <x:v>TEXT</x:v>
      </x:c>
      <x:c r="C340" s="10" t="str">
        <x:v>TEXT:SYN-F12-02</x:v>
      </x:c>
      <x:c r="D340" s="10" t="str">
        <x:v>TEXT:M6641</x:v>
      </x:c>
      <x:c r="E340" s="15" t="n">
        <x:v>3.974964</x:v>
      </x:c>
      <x:c r="F340" s="15" t="str">
        <x:v>요청</x:v>
      </x:c>
      <x:c r="G340" s="15" t="n">
        <x:v>238</x:v>
      </x:c>
      <x:c r="H340" s="15" t="n">
        <x:v>22</x:v>
      </x:c>
      <x:c r="I340" s="15" t="n">
        <x:v>35.568</x:v>
      </x:c>
      <x:c r="J340" s="15" t="n">
        <x:v>0</x:v>
      </x:c>
      <x:c r="K340" s="15" t="n">
        <x:v>0</x:v>
      </x:c>
      <x:c r="L340" s="15" t="n">
        <x:v>0</x:v>
      </x:c>
      <x:c r="M340" s="15" t="n">
        <x:v>0</x:v>
      </x:c>
      <x:c r="N340" s="15" t="n">
        <x:v>0</x:v>
      </x:c>
      <x:c r="O340" s="15" t="n">
        <x:v>0</x:v>
      </x:c>
      <x:c r="P340" s="15" t="n">
        <x:v>0</x:v>
      </x:c>
      <x:c r="Q340" s="15" t="n">
        <x:v>0</x:v>
      </x:c>
      <x:c r="R340" s="15" t="n">
        <x:v>0</x:v>
      </x:c>
      <x:c r="S340" s="15" t="n">
        <x:v>0</x:v>
      </x:c>
      <x:c r="T340" s="15" t="n">
        <x:v>0</x:v>
      </x:c>
      <x:c r="U340" s="15" t="n">
        <x:v>0</x:v>
      </x:c>
      <x:c r="V340" s="15" t="n">
        <x:v>0</x:v>
      </x:c>
      <x:c r="W340" s="15" t="n">
        <x:v>0</x:v>
      </x:c>
      <x:c r="X340" s="15" t="n">
        <x:v>0</x:v>
      </x:c>
      <x:c r="Y340" s="15" t="n">
        <x:v>0</x:v>
      </x:c>
      <x:c r="Z340" s="15" t="n">
        <x:v>0</x:v>
      </x:c>
      <x:c r="AA340" s="15" t="n">
        <x:v>0</x:v>
      </x:c>
      <x:c r="AB340" s="15" t="n">
        <x:f>SUM(G340:AA340)</x:f>
        <x:v>295.568</x:v>
      </x:c>
    </x:row>
    <x:row r="341" ht="36" customHeight="1">
      <x:c r="A341" s="10" t="str">
        <x:v>T-REL</x:v>
      </x:c>
      <x:c r="B341" s="10" t="str">
        <x:v>TEXT</x:v>
      </x:c>
      <x:c r="C341" s="10" t="str">
        <x:v>TEXT:SYN-F12-02</x:v>
      </x:c>
      <x:c r="D341" s="10" t="str">
        <x:v>TEXT:M6650</x:v>
      </x:c>
      <x:c r="E341" s="15" t="n">
        <x:v>-8</x:v>
      </x:c>
      <x:c r="F341" s="15" t="str">
        <x:v>사전 생산</x:v>
      </x:c>
      <x:c r="G341" s="15" t="n">
        <x:v>238</x:v>
      </x:c>
      <x:c r="H341" s="15" t="n">
        <x:v>0</x:v>
      </x:c>
      <x:c r="I341" s="15" t="n">
        <x:v>32.12</x:v>
      </x:c>
      <x:c r="J341" s="15" t="n">
        <x:v>0</x:v>
      </x:c>
      <x:c r="K341" s="15" t="n">
        <x:v>38</x:v>
      </x:c>
      <x:c r="L341" s="15" t="n">
        <x:v>19</x:v>
      </x:c>
      <x:c r="M341" s="15" t="n">
        <x:v>0</x:v>
      </x:c>
      <x:c r="N341" s="15" t="n">
        <x:v>0</x:v>
      </x:c>
      <x:c r="O341" s="15" t="n">
        <x:v>0</x:v>
      </x:c>
      <x:c r="P341" s="15" t="n">
        <x:v>0</x:v>
      </x:c>
      <x:c r="Q341" s="15" t="n">
        <x:v>0</x:v>
      </x:c>
      <x:c r="R341" s="15" t="n">
        <x:v>0</x:v>
      </x:c>
      <x:c r="S341" s="15" t="n">
        <x:v>0</x:v>
      </x:c>
      <x:c r="T341" s="15" t="n">
        <x:v>0</x:v>
      </x:c>
      <x:c r="U341" s="15" t="n">
        <x:v>0</x:v>
      </x:c>
      <x:c r="V341" s="15" t="n">
        <x:v>0</x:v>
      </x:c>
      <x:c r="W341" s="15" t="n">
        <x:v>0</x:v>
      </x:c>
      <x:c r="X341" s="15" t="n">
        <x:v>0</x:v>
      </x:c>
      <x:c r="Y341" s="15" t="n">
        <x:v>0</x:v>
      </x:c>
      <x:c r="Z341" s="15" t="n">
        <x:v>0</x:v>
      </x:c>
      <x:c r="AA341" s="15" t="n">
        <x:v>0</x:v>
      </x:c>
      <x:c r="AB341" s="15" t="n">
        <x:f>SUM(G341:AA341)</x:f>
        <x:v>327.12</x:v>
      </x:c>
    </x:row>
    <x:row r="342" ht="36" customHeight="1">
      <x:c r="A342" s="10" t="str">
        <x:v>T-BASE</x:v>
      </x:c>
      <x:c r="B342" s="10" t="str">
        <x:v>TEXT</x:v>
      </x:c>
      <x:c r="C342" s="10" t="str">
        <x:v>TEXT:SYN-F12-03</x:v>
      </x:c>
      <x:c r="D342" s="10" t="str">
        <x:v>TEXT:M6672</x:v>
      </x:c>
      <x:c r="E342" s="15" t="n">
        <x:v>0.39</x:v>
      </x:c>
      <x:c r="F342" s="15" t="str">
        <x:v>요청</x:v>
      </x:c>
      <x:c r="G342" s="15" t="n">
        <x:v>238</x:v>
      </x:c>
      <x:c r="H342" s="15" t="n">
        <x:v>11</x:v>
      </x:c>
      <x:c r="I342" s="15" t="n">
        <x:v>25.784</x:v>
      </x:c>
      <x:c r="J342" s="15" t="n">
        <x:v>0</x:v>
      </x:c>
      <x:c r="K342" s="15" t="n">
        <x:v>0</x:v>
      </x:c>
      <x:c r="L342" s="15" t="n">
        <x:v>0</x:v>
      </x:c>
      <x:c r="M342" s="15" t="n">
        <x:v>0</x:v>
      </x:c>
      <x:c r="N342" s="15" t="n">
        <x:v>0</x:v>
      </x:c>
      <x:c r="O342" s="15" t="n">
        <x:v>0</x:v>
      </x:c>
      <x:c r="P342" s="15" t="n">
        <x:v>0</x:v>
      </x:c>
      <x:c r="Q342" s="15" t="n">
        <x:v>0</x:v>
      </x:c>
      <x:c r="R342" s="15" t="n">
        <x:v>0</x:v>
      </x:c>
      <x:c r="S342" s="15" t="n">
        <x:v>0</x:v>
      </x:c>
      <x:c r="T342" s="15" t="n">
        <x:v>0</x:v>
      </x:c>
      <x:c r="U342" s="15" t="n">
        <x:v>0</x:v>
      </x:c>
      <x:c r="V342" s="15" t="n">
        <x:v>0</x:v>
      </x:c>
      <x:c r="W342" s="15" t="n">
        <x:v>0</x:v>
      </x:c>
      <x:c r="X342" s="15" t="n">
        <x:v>0</x:v>
      </x:c>
      <x:c r="Y342" s="15" t="n">
        <x:v>0</x:v>
      </x:c>
      <x:c r="Z342" s="15" t="n">
        <x:v>0</x:v>
      </x:c>
      <x:c r="AA342" s="15" t="n">
        <x:v>0</x:v>
      </x:c>
      <x:c r="AB342" s="15" t="n">
        <x:f>SUM(G342:AA342)</x:f>
        <x:v>274.784</x:v>
      </x:c>
    </x:row>
    <x:row r="343" ht="36" customHeight="1">
      <x:c r="A343" s="10" t="str">
        <x:v>T-EXEC</x:v>
      </x:c>
      <x:c r="B343" s="10" t="str">
        <x:v>TEXT</x:v>
      </x:c>
      <x:c r="C343" s="10" t="str">
        <x:v>TEXT:SYN-F12-03</x:v>
      </x:c>
      <x:c r="D343" s="10" t="str">
        <x:v>TEXT:M6696</x:v>
      </x:c>
      <x:c r="E343" s="15" t="n">
        <x:v>4.057786</x:v>
      </x:c>
      <x:c r="F343" s="15" t="str">
        <x:v>요청</x:v>
      </x:c>
      <x:c r="G343" s="15" t="n">
        <x:v>238</x:v>
      </x:c>
      <x:c r="H343" s="15" t="n">
        <x:v>22</x:v>
      </x:c>
      <x:c r="I343" s="15" t="n">
        <x:v>35.736</x:v>
      </x:c>
      <x:c r="J343" s="15" t="n">
        <x:v>0</x:v>
      </x:c>
      <x:c r="K343" s="15" t="n">
        <x:v>0</x:v>
      </x:c>
      <x:c r="L343" s="15" t="n">
        <x:v>0</x:v>
      </x:c>
      <x:c r="M343" s="15" t="n">
        <x:v>0</x:v>
      </x:c>
      <x:c r="N343" s="15" t="n">
        <x:v>0</x:v>
      </x:c>
      <x:c r="O343" s="15" t="n">
        <x:v>0</x:v>
      </x:c>
      <x:c r="P343" s="15" t="n">
        <x:v>0</x:v>
      </x:c>
      <x:c r="Q343" s="15" t="n">
        <x:v>0</x:v>
      </x:c>
      <x:c r="R343" s="15" t="n">
        <x:v>0</x:v>
      </x:c>
      <x:c r="S343" s="15" t="n">
        <x:v>0</x:v>
      </x:c>
      <x:c r="T343" s="15" t="n">
        <x:v>0</x:v>
      </x:c>
      <x:c r="U343" s="15" t="n">
        <x:v>0</x:v>
      </x:c>
      <x:c r="V343" s="15" t="n">
        <x:v>0</x:v>
      </x:c>
      <x:c r="W343" s="15" t="n">
        <x:v>0</x:v>
      </x:c>
      <x:c r="X343" s="15" t="n">
        <x:v>0</x:v>
      </x:c>
      <x:c r="Y343" s="15" t="n">
        <x:v>0</x:v>
      </x:c>
      <x:c r="Z343" s="15" t="n">
        <x:v>0</x:v>
      </x:c>
      <x:c r="AA343" s="15" t="n">
        <x:v>0</x:v>
      </x:c>
      <x:c r="AB343" s="15" t="n">
        <x:f>SUM(G343:AA343)</x:f>
        <x:v>295.736</x:v>
      </x:c>
    </x:row>
    <x:row r="344" ht="36" customHeight="1">
      <x:c r="A344" s="10" t="str">
        <x:v>T-REL</x:v>
      </x:c>
      <x:c r="B344" s="10" t="str">
        <x:v>TEXT</x:v>
      </x:c>
      <x:c r="C344" s="10" t="str">
        <x:v>TEXT:SYN-F12-03</x:v>
      </x:c>
      <x:c r="D344" s="10" t="str">
        <x:v>TEXT:M6705</x:v>
      </x:c>
      <x:c r="E344" s="15" t="n">
        <x:v>-8</x:v>
      </x:c>
      <x:c r="F344" s="15" t="str">
        <x:v>사전 생산</x:v>
      </x:c>
      <x:c r="G344" s="15" t="n">
        <x:v>238</x:v>
      </x:c>
      <x:c r="H344" s="15" t="n">
        <x:v>0</x:v>
      </x:c>
      <x:c r="I344" s="15" t="n">
        <x:v>32.44</x:v>
      </x:c>
      <x:c r="J344" s="15" t="n">
        <x:v>0</x:v>
      </x:c>
      <x:c r="K344" s="15" t="n">
        <x:v>38</x:v>
      </x:c>
      <x:c r="L344" s="15" t="n">
        <x:v>19</x:v>
      </x:c>
      <x:c r="M344" s="15" t="n">
        <x:v>0</x:v>
      </x:c>
      <x:c r="N344" s="15" t="n">
        <x:v>0</x:v>
      </x:c>
      <x:c r="O344" s="15" t="n">
        <x:v>0</x:v>
      </x:c>
      <x:c r="P344" s="15" t="n">
        <x:v>0</x:v>
      </x:c>
      <x:c r="Q344" s="15" t="n">
        <x:v>0</x:v>
      </x:c>
      <x:c r="R344" s="15" t="n">
        <x:v>0</x:v>
      </x:c>
      <x:c r="S344" s="15" t="n">
        <x:v>0</x:v>
      </x:c>
      <x:c r="T344" s="15" t="n">
        <x:v>0</x:v>
      </x:c>
      <x:c r="U344" s="15" t="n">
        <x:v>0</x:v>
      </x:c>
      <x:c r="V344" s="15" t="n">
        <x:v>0</x:v>
      </x:c>
      <x:c r="W344" s="15" t="n">
        <x:v>0</x:v>
      </x:c>
      <x:c r="X344" s="15" t="n">
        <x:v>0</x:v>
      </x:c>
      <x:c r="Y344" s="15" t="n">
        <x:v>0</x:v>
      </x:c>
      <x:c r="Z344" s="15" t="n">
        <x:v>0</x:v>
      </x:c>
      <x:c r="AA344" s="15" t="n">
        <x:v>0</x:v>
      </x:c>
      <x:c r="AB344" s="15" t="n">
        <x:f>SUM(G344:AA344)</x:f>
        <x:v>327.44</x:v>
      </x:c>
    </x:row>
    <x:row r="345" ht="36" customHeight="1">
      <x:c r="A345" s="10" t="str">
        <x:v>T-BASE</x:v>
      </x:c>
      <x:c r="B345" s="10" t="str">
        <x:v>TEXT</x:v>
      </x:c>
      <x:c r="C345" s="10" t="str">
        <x:v>TEXT:SYN-F12-04</x:v>
      </x:c>
      <x:c r="D345" s="10" t="str">
        <x:v>TEXT:M6727</x:v>
      </x:c>
      <x:c r="E345" s="15" t="n">
        <x:v>0.34</x:v>
      </x:c>
      <x:c r="F345" s="15" t="str">
        <x:v>요청</x:v>
      </x:c>
      <x:c r="G345" s="15" t="n">
        <x:v>238</x:v>
      </x:c>
      <x:c r="H345" s="15" t="n">
        <x:v>11</x:v>
      </x:c>
      <x:c r="I345" s="15" t="n">
        <x:v>25.876</x:v>
      </x:c>
      <x:c r="J345" s="15" t="n">
        <x:v>0</x:v>
      </x:c>
      <x:c r="K345" s="15" t="n">
        <x:v>0</x:v>
      </x:c>
      <x:c r="L345" s="15" t="n">
        <x:v>0</x:v>
      </x:c>
      <x:c r="M345" s="15" t="n">
        <x:v>0</x:v>
      </x:c>
      <x:c r="N345" s="15" t="n">
        <x:v>0</x:v>
      </x:c>
      <x:c r="O345" s="15" t="n">
        <x:v>0</x:v>
      </x:c>
      <x:c r="P345" s="15" t="n">
        <x:v>0</x:v>
      </x:c>
      <x:c r="Q345" s="15" t="n">
        <x:v>0</x:v>
      </x:c>
      <x:c r="R345" s="15" t="n">
        <x:v>0</x:v>
      </x:c>
      <x:c r="S345" s="15" t="n">
        <x:v>0</x:v>
      </x:c>
      <x:c r="T345" s="15" t="n">
        <x:v>0</x:v>
      </x:c>
      <x:c r="U345" s="15" t="n">
        <x:v>0</x:v>
      </x:c>
      <x:c r="V345" s="15" t="n">
        <x:v>0</x:v>
      </x:c>
      <x:c r="W345" s="15" t="n">
        <x:v>0</x:v>
      </x:c>
      <x:c r="X345" s="15" t="n">
        <x:v>0</x:v>
      </x:c>
      <x:c r="Y345" s="15" t="n">
        <x:v>0</x:v>
      </x:c>
      <x:c r="Z345" s="15" t="n">
        <x:v>0</x:v>
      </x:c>
      <x:c r="AA345" s="15" t="n">
        <x:v>0</x:v>
      </x:c>
      <x:c r="AB345" s="15" t="n">
        <x:f>SUM(G345:AA345)</x:f>
        <x:v>274.876</x:v>
      </x:c>
    </x:row>
    <x:row r="346" ht="36" customHeight="1">
      <x:c r="A346" s="10" t="str">
        <x:v>T-EXEC</x:v>
      </x:c>
      <x:c r="B346" s="10" t="str">
        <x:v>TEXT</x:v>
      </x:c>
      <x:c r="C346" s="10" t="str">
        <x:v>TEXT:SYN-F12-04</x:v>
      </x:c>
      <x:c r="D346" s="10" t="str">
        <x:v>TEXT:M6750</x:v>
      </x:c>
      <x:c r="E346" s="15" t="n">
        <x:v>3.235893</x:v>
      </x:c>
      <x:c r="F346" s="15" t="str">
        <x:v>요청</x:v>
      </x:c>
      <x:c r="G346" s="15" t="n">
        <x:v>238</x:v>
      </x:c>
      <x:c r="H346" s="15" t="n">
        <x:v>22</x:v>
      </x:c>
      <x:c r="I346" s="15" t="n">
        <x:v>17.556</x:v>
      </x:c>
      <x:c r="J346" s="15" t="n">
        <x:v>7</x:v>
      </x:c>
      <x:c r="K346" s="15" t="n">
        <x:v>0</x:v>
      </x:c>
      <x:c r="L346" s="15" t="n">
        <x:v>0</x:v>
      </x:c>
      <x:c r="M346" s="15" t="n">
        <x:v>0</x:v>
      </x:c>
      <x:c r="N346" s="15" t="n">
        <x:v>0</x:v>
      </x:c>
      <x:c r="O346" s="15" t="n">
        <x:v>0</x:v>
      </x:c>
      <x:c r="P346" s="15" t="n">
        <x:v>0</x:v>
      </x:c>
      <x:c r="Q346" s="15" t="n">
        <x:v>0</x:v>
      </x:c>
      <x:c r="R346" s="15" t="n">
        <x:v>0</x:v>
      </x:c>
      <x:c r="S346" s="15" t="n">
        <x:v>0</x:v>
      </x:c>
      <x:c r="T346" s="15" t="n">
        <x:v>0</x:v>
      </x:c>
      <x:c r="U346" s="15" t="n">
        <x:v>0</x:v>
      </x:c>
      <x:c r="V346" s="15" t="n">
        <x:v>0</x:v>
      </x:c>
      <x:c r="W346" s="15" t="n">
        <x:v>0</x:v>
      </x:c>
      <x:c r="X346" s="15" t="n">
        <x:v>0</x:v>
      </x:c>
      <x:c r="Y346" s="15" t="n">
        <x:v>0</x:v>
      </x:c>
      <x:c r="Z346" s="15" t="n">
        <x:v>0</x:v>
      </x:c>
      <x:c r="AA346" s="15" t="n">
        <x:v>0</x:v>
      </x:c>
      <x:c r="AB346" s="15" t="n">
        <x:f>SUM(G346:AA346)</x:f>
        <x:v>284.556</x:v>
      </x:c>
    </x:row>
    <x:row r="347" ht="36" customHeight="1">
      <x:c r="A347" s="10" t="str">
        <x:v>T-REL</x:v>
      </x:c>
      <x:c r="B347" s="10" t="str">
        <x:v>TEXT</x:v>
      </x:c>
      <x:c r="C347" s="10" t="str">
        <x:v>TEXT:SYN-F12-04</x:v>
      </x:c>
      <x:c r="D347" s="10" t="str">
        <x:v>TEXT:M6760</x:v>
      </x:c>
      <x:c r="E347" s="15" t="n">
        <x:v>-8</x:v>
      </x:c>
      <x:c r="F347" s="15" t="str">
        <x:v>사전 생산</x:v>
      </x:c>
      <x:c r="G347" s="15" t="n">
        <x:v>238</x:v>
      </x:c>
      <x:c r="H347" s="15" t="n">
        <x:v>0</x:v>
      </x:c>
      <x:c r="I347" s="15" t="n">
        <x:v>32.76</x:v>
      </x:c>
      <x:c r="J347" s="15" t="n">
        <x:v>0</x:v>
      </x:c>
      <x:c r="K347" s="15" t="n">
        <x:v>38</x:v>
      </x:c>
      <x:c r="L347" s="15" t="n">
        <x:v>19</x:v>
      </x:c>
      <x:c r="M347" s="15" t="n">
        <x:v>0</x:v>
      </x:c>
      <x:c r="N347" s="15" t="n">
        <x:v>0</x:v>
      </x:c>
      <x:c r="O347" s="15" t="n">
        <x:v>0</x:v>
      </x:c>
      <x:c r="P347" s="15" t="n">
        <x:v>0</x:v>
      </x:c>
      <x:c r="Q347" s="15" t="n">
        <x:v>0</x:v>
      </x:c>
      <x:c r="R347" s="15" t="n">
        <x:v>0</x:v>
      </x:c>
      <x:c r="S347" s="15" t="n">
        <x:v>0</x:v>
      </x:c>
      <x:c r="T347" s="15" t="n">
        <x:v>0</x:v>
      </x:c>
      <x:c r="U347" s="15" t="n">
        <x:v>0</x:v>
      </x:c>
      <x:c r="V347" s="15" t="n">
        <x:v>0</x:v>
      </x:c>
      <x:c r="W347" s="15" t="n">
        <x:v>0</x:v>
      </x:c>
      <x:c r="X347" s="15" t="n">
        <x:v>0</x:v>
      </x:c>
      <x:c r="Y347" s="15" t="n">
        <x:v>0</x:v>
      </x:c>
      <x:c r="Z347" s="15" t="n">
        <x:v>0</x:v>
      </x:c>
      <x:c r="AA347" s="15" t="n">
        <x:v>0</x:v>
      </x:c>
      <x:c r="AB347" s="15" t="n">
        <x:f>SUM(G347:AA347)</x:f>
        <x:v>327.76</x:v>
      </x:c>
    </x:row>
    <x:row r="348" ht="36" customHeight="1">
      <x:c r="A348" s="10" t="str">
        <x:v>T-BASE</x:v>
      </x:c>
      <x:c r="B348" s="10" t="str">
        <x:v>TEXT</x:v>
      </x:c>
      <x:c r="C348" s="10" t="str">
        <x:v>TEXT:SYN-F12-05</x:v>
      </x:c>
      <x:c r="D348" s="10" t="str">
        <x:v>TEXT:M6782</x:v>
      </x:c>
      <x:c r="E348" s="15" t="n">
        <x:v>0.365</x:v>
      </x:c>
      <x:c r="F348" s="15" t="str">
        <x:v>요청</x:v>
      </x:c>
      <x:c r="G348" s="15" t="n">
        <x:v>238</x:v>
      </x:c>
      <x:c r="H348" s="15" t="n">
        <x:v>11</x:v>
      </x:c>
      <x:c r="I348" s="15" t="n">
        <x:v>25.968</x:v>
      </x:c>
      <x:c r="J348" s="15" t="n">
        <x:v>0</x:v>
      </x:c>
      <x:c r="K348" s="15" t="n">
        <x:v>0</x:v>
      </x:c>
      <x:c r="L348" s="15" t="n">
        <x:v>0</x:v>
      </x:c>
      <x:c r="M348" s="15" t="n">
        <x:v>0</x:v>
      </x:c>
      <x:c r="N348" s="15" t="n">
        <x:v>0</x:v>
      </x:c>
      <x:c r="O348" s="15" t="n">
        <x:v>0</x:v>
      </x:c>
      <x:c r="P348" s="15" t="n">
        <x:v>0</x:v>
      </x:c>
      <x:c r="Q348" s="15" t="n">
        <x:v>0</x:v>
      </x:c>
      <x:c r="R348" s="15" t="n">
        <x:v>0</x:v>
      </x:c>
      <x:c r="S348" s="15" t="n">
        <x:v>0</x:v>
      </x:c>
      <x:c r="T348" s="15" t="n">
        <x:v>0</x:v>
      </x:c>
      <x:c r="U348" s="15" t="n">
        <x:v>0</x:v>
      </x:c>
      <x:c r="V348" s="15" t="n">
        <x:v>0</x:v>
      </x:c>
      <x:c r="W348" s="15" t="n">
        <x:v>0</x:v>
      </x:c>
      <x:c r="X348" s="15" t="n">
        <x:v>0</x:v>
      </x:c>
      <x:c r="Y348" s="15" t="n">
        <x:v>0</x:v>
      </x:c>
      <x:c r="Z348" s="15" t="n">
        <x:v>0</x:v>
      </x:c>
      <x:c r="AA348" s="15" t="n">
        <x:v>0</x:v>
      </x:c>
      <x:c r="AB348" s="15" t="n">
        <x:f>SUM(G348:AA348)</x:f>
        <x:v>274.968</x:v>
      </x:c>
    </x:row>
    <x:row r="349" ht="36" customHeight="1">
      <x:c r="A349" s="10" t="str">
        <x:v>T-EXEC</x:v>
      </x:c>
      <x:c r="B349" s="10" t="str">
        <x:v>TEXT</x:v>
      </x:c>
      <x:c r="C349" s="10" t="str">
        <x:v>TEXT:SYN-F12-05</x:v>
      </x:c>
      <x:c r="D349" s="10" t="str">
        <x:v>TEXT:M6805</x:v>
      </x:c>
      <x:c r="E349" s="15" t="n">
        <x:v>3.283393</x:v>
      </x:c>
      <x:c r="F349" s="15" t="str">
        <x:v>요청</x:v>
      </x:c>
      <x:c r="G349" s="15" t="n">
        <x:v>238</x:v>
      </x:c>
      <x:c r="H349" s="15" t="n">
        <x:v>22</x:v>
      </x:c>
      <x:c r="I349" s="15" t="n">
        <x:v>17.648</x:v>
      </x:c>
      <x:c r="J349" s="15" t="n">
        <x:v>7</x:v>
      </x:c>
      <x:c r="K349" s="15" t="n">
        <x:v>0</x:v>
      </x:c>
      <x:c r="L349" s="15" t="n">
        <x:v>0</x:v>
      </x:c>
      <x:c r="M349" s="15" t="n">
        <x:v>0</x:v>
      </x:c>
      <x:c r="N349" s="15" t="n">
        <x:v>0</x:v>
      </x:c>
      <x:c r="O349" s="15" t="n">
        <x:v>0</x:v>
      </x:c>
      <x:c r="P349" s="15" t="n">
        <x:v>0</x:v>
      </x:c>
      <x:c r="Q349" s="15" t="n">
        <x:v>0</x:v>
      </x:c>
      <x:c r="R349" s="15" t="n">
        <x:v>0</x:v>
      </x:c>
      <x:c r="S349" s="15" t="n">
        <x:v>0</x:v>
      </x:c>
      <x:c r="T349" s="15" t="n">
        <x:v>0</x:v>
      </x:c>
      <x:c r="U349" s="15" t="n">
        <x:v>0</x:v>
      </x:c>
      <x:c r="V349" s="15" t="n">
        <x:v>0</x:v>
      </x:c>
      <x:c r="W349" s="15" t="n">
        <x:v>0</x:v>
      </x:c>
      <x:c r="X349" s="15" t="n">
        <x:v>0</x:v>
      </x:c>
      <x:c r="Y349" s="15" t="n">
        <x:v>0</x:v>
      </x:c>
      <x:c r="Z349" s="15" t="n">
        <x:v>0</x:v>
      </x:c>
      <x:c r="AA349" s="15" t="n">
        <x:v>0</x:v>
      </x:c>
      <x:c r="AB349" s="15" t="n">
        <x:f>SUM(G349:AA349)</x:f>
        <x:v>284.648</x:v>
      </x:c>
    </x:row>
    <x:row r="350" ht="36" customHeight="1">
      <x:c r="A350" s="10" t="str">
        <x:v>T-REL</x:v>
      </x:c>
      <x:c r="B350" s="10" t="str">
        <x:v>TEXT</x:v>
      </x:c>
      <x:c r="C350" s="10" t="str">
        <x:v>TEXT:SYN-F12-05</x:v>
      </x:c>
      <x:c r="D350" s="10" t="str">
        <x:v>TEXT:M6815</x:v>
      </x:c>
      <x:c r="E350" s="15" t="n">
        <x:v>-8</x:v>
      </x:c>
      <x:c r="F350" s="15" t="str">
        <x:v>사전 생산</x:v>
      </x:c>
      <x:c r="G350" s="15" t="n">
        <x:v>238</x:v>
      </x:c>
      <x:c r="H350" s="15" t="n">
        <x:v>0</x:v>
      </x:c>
      <x:c r="I350" s="15" t="n">
        <x:v>33.08</x:v>
      </x:c>
      <x:c r="J350" s="15" t="n">
        <x:v>0</x:v>
      </x:c>
      <x:c r="K350" s="15" t="n">
        <x:v>38</x:v>
      </x:c>
      <x:c r="L350" s="15" t="n">
        <x:v>19</x:v>
      </x:c>
      <x:c r="M350" s="15" t="n">
        <x:v>0</x:v>
      </x:c>
      <x:c r="N350" s="15" t="n">
        <x:v>0</x:v>
      </x:c>
      <x:c r="O350" s="15" t="n">
        <x:v>0</x:v>
      </x:c>
      <x:c r="P350" s="15" t="n">
        <x:v>0</x:v>
      </x:c>
      <x:c r="Q350" s="15" t="n">
        <x:v>0</x:v>
      </x:c>
      <x:c r="R350" s="15" t="n">
        <x:v>0</x:v>
      </x:c>
      <x:c r="S350" s="15" t="n">
        <x:v>0</x:v>
      </x:c>
      <x:c r="T350" s="15" t="n">
        <x:v>0</x:v>
      </x:c>
      <x:c r="U350" s="15" t="n">
        <x:v>0</x:v>
      </x:c>
      <x:c r="V350" s="15" t="n">
        <x:v>0</x:v>
      </x:c>
      <x:c r="W350" s="15" t="n">
        <x:v>0</x:v>
      </x:c>
      <x:c r="X350" s="15" t="n">
        <x:v>0</x:v>
      </x:c>
      <x:c r="Y350" s="15" t="n">
        <x:v>0</x:v>
      </x:c>
      <x:c r="Z350" s="15" t="n">
        <x:v>0</x:v>
      </x:c>
      <x:c r="AA350" s="15" t="n">
        <x:v>0</x:v>
      </x:c>
      <x:c r="AB350" s="15" t="n">
        <x:f>SUM(G350:AA350)</x:f>
        <x:v>328.08</x:v>
      </x:c>
    </x:row>
    <x:row r="351" ht="36" customHeight="1">
      <x:c r="A351" s="10" t="str">
        <x:v>T-BASE</x:v>
      </x:c>
      <x:c r="B351" s="10" t="str">
        <x:v>TEXT</x:v>
      </x:c>
      <x:c r="C351" s="10" t="str">
        <x:v>TEXT:SYN-F12-06</x:v>
      </x:c>
      <x:c r="D351" s="10" t="str">
        <x:v>TEXT:M6837</x:v>
      </x:c>
      <x:c r="E351" s="15" t="n">
        <x:v>0.39</x:v>
      </x:c>
      <x:c r="F351" s="15" t="str">
        <x:v>요청</x:v>
      </x:c>
      <x:c r="G351" s="15" t="n">
        <x:v>238</x:v>
      </x:c>
      <x:c r="H351" s="15" t="n">
        <x:v>11</x:v>
      </x:c>
      <x:c r="I351" s="15" t="n">
        <x:v>26.06</x:v>
      </x:c>
      <x:c r="J351" s="15" t="n">
        <x:v>0</x:v>
      </x:c>
      <x:c r="K351" s="15" t="n">
        <x:v>0</x:v>
      </x:c>
      <x:c r="L351" s="15" t="n">
        <x:v>0</x:v>
      </x:c>
      <x:c r="M351" s="15" t="n">
        <x:v>0</x:v>
      </x:c>
      <x:c r="N351" s="15" t="n">
        <x:v>0</x:v>
      </x:c>
      <x:c r="O351" s="15" t="n">
        <x:v>0</x:v>
      </x:c>
      <x:c r="P351" s="15" t="n">
        <x:v>0</x:v>
      </x:c>
      <x:c r="Q351" s="15" t="n">
        <x:v>0</x:v>
      </x:c>
      <x:c r="R351" s="15" t="n">
        <x:v>0</x:v>
      </x:c>
      <x:c r="S351" s="15" t="n">
        <x:v>0</x:v>
      </x:c>
      <x:c r="T351" s="15" t="n">
        <x:v>0</x:v>
      </x:c>
      <x:c r="U351" s="15" t="n">
        <x:v>0</x:v>
      </x:c>
      <x:c r="V351" s="15" t="n">
        <x:v>0</x:v>
      </x:c>
      <x:c r="W351" s="15" t="n">
        <x:v>0</x:v>
      </x:c>
      <x:c r="X351" s="15" t="n">
        <x:v>0</x:v>
      </x:c>
      <x:c r="Y351" s="15" t="n">
        <x:v>0</x:v>
      </x:c>
      <x:c r="Z351" s="15" t="n">
        <x:v>0</x:v>
      </x:c>
      <x:c r="AA351" s="15" t="n">
        <x:v>0</x:v>
      </x:c>
      <x:c r="AB351" s="15" t="n">
        <x:f>SUM(G351:AA351)</x:f>
        <x:v>275.06</x:v>
      </x:c>
    </x:row>
    <x:row r="352" ht="36" customHeight="1">
      <x:c r="A352" s="10" t="str">
        <x:v>T-EXEC</x:v>
      </x:c>
      <x:c r="B352" s="10" t="str">
        <x:v>TEXT</x:v>
      </x:c>
      <x:c r="C352" s="10" t="str">
        <x:v>TEXT:SYN-F12-06</x:v>
      </x:c>
      <x:c r="D352" s="10" t="str">
        <x:v>TEXT:M6860</x:v>
      </x:c>
      <x:c r="E352" s="15" t="n">
        <x:v>3.355893</x:v>
      </x:c>
      <x:c r="F352" s="15" t="str">
        <x:v>요청</x:v>
      </x:c>
      <x:c r="G352" s="15" t="n">
        <x:v>238</x:v>
      </x:c>
      <x:c r="H352" s="15" t="n">
        <x:v>22</x:v>
      </x:c>
      <x:c r="I352" s="15" t="n">
        <x:v>17.74</x:v>
      </x:c>
      <x:c r="J352" s="15" t="n">
        <x:v>7</x:v>
      </x:c>
      <x:c r="K352" s="15" t="n">
        <x:v>0</x:v>
      </x:c>
      <x:c r="L352" s="15" t="n">
        <x:v>0</x:v>
      </x:c>
      <x:c r="M352" s="15" t="n">
        <x:v>0</x:v>
      </x:c>
      <x:c r="N352" s="15" t="n">
        <x:v>0</x:v>
      </x:c>
      <x:c r="O352" s="15" t="n">
        <x:v>0</x:v>
      </x:c>
      <x:c r="P352" s="15" t="n">
        <x:v>0</x:v>
      </x:c>
      <x:c r="Q352" s="15" t="n">
        <x:v>0</x:v>
      </x:c>
      <x:c r="R352" s="15" t="n">
        <x:v>0</x:v>
      </x:c>
      <x:c r="S352" s="15" t="n">
        <x:v>0</x:v>
      </x:c>
      <x:c r="T352" s="15" t="n">
        <x:v>0</x:v>
      </x:c>
      <x:c r="U352" s="15" t="n">
        <x:v>0</x:v>
      </x:c>
      <x:c r="V352" s="15" t="n">
        <x:v>0</x:v>
      </x:c>
      <x:c r="W352" s="15" t="n">
        <x:v>0</x:v>
      </x:c>
      <x:c r="X352" s="15" t="n">
        <x:v>0</x:v>
      </x:c>
      <x:c r="Y352" s="15" t="n">
        <x:v>0</x:v>
      </x:c>
      <x:c r="Z352" s="15" t="n">
        <x:v>0</x:v>
      </x:c>
      <x:c r="AA352" s="15" t="n">
        <x:v>0</x:v>
      </x:c>
      <x:c r="AB352" s="15" t="n">
        <x:f>SUM(G352:AA352)</x:f>
        <x:v>284.74</x:v>
      </x:c>
    </x:row>
    <x:row r="353" ht="36" customHeight="1">
      <x:c r="A353" s="10" t="str">
        <x:v>T-REL</x:v>
      </x:c>
      <x:c r="B353" s="10" t="str">
        <x:v>TEXT</x:v>
      </x:c>
      <x:c r="C353" s="10" t="str">
        <x:v>TEXT:SYN-F12-06</x:v>
      </x:c>
      <x:c r="D353" s="10" t="str">
        <x:v>TEXT:M6870</x:v>
      </x:c>
      <x:c r="E353" s="15" t="n">
        <x:v>-8</x:v>
      </x:c>
      <x:c r="F353" s="15" t="str">
        <x:v>사전 생산</x:v>
      </x:c>
      <x:c r="G353" s="15" t="n">
        <x:v>238</x:v>
      </x:c>
      <x:c r="H353" s="15" t="n">
        <x:v>0</x:v>
      </x:c>
      <x:c r="I353" s="15" t="n">
        <x:v>33.4</x:v>
      </x:c>
      <x:c r="J353" s="15" t="n">
        <x:v>0</x:v>
      </x:c>
      <x:c r="K353" s="15" t="n">
        <x:v>38</x:v>
      </x:c>
      <x:c r="L353" s="15" t="n">
        <x:v>19</x:v>
      </x:c>
      <x:c r="M353" s="15" t="n">
        <x:v>0</x:v>
      </x:c>
      <x:c r="N353" s="15" t="n">
        <x:v>0</x:v>
      </x:c>
      <x:c r="O353" s="15" t="n">
        <x:v>0</x:v>
      </x:c>
      <x:c r="P353" s="15" t="n">
        <x:v>0</x:v>
      </x:c>
      <x:c r="Q353" s="15" t="n">
        <x:v>0</x:v>
      </x:c>
      <x:c r="R353" s="15" t="n">
        <x:v>0</x:v>
      </x:c>
      <x:c r="S353" s="15" t="n">
        <x:v>0</x:v>
      </x:c>
      <x:c r="T353" s="15" t="n">
        <x:v>0</x:v>
      </x:c>
      <x:c r="U353" s="15" t="n">
        <x:v>0</x:v>
      </x:c>
      <x:c r="V353" s="15" t="n">
        <x:v>0</x:v>
      </x:c>
      <x:c r="W353" s="15" t="n">
        <x:v>0</x:v>
      </x:c>
      <x:c r="X353" s="15" t="n">
        <x:v>0</x:v>
      </x:c>
      <x:c r="Y353" s="15" t="n">
        <x:v>0</x:v>
      </x:c>
      <x:c r="Z353" s="15" t="n">
        <x:v>0</x:v>
      </x:c>
      <x:c r="AA353" s="15" t="n">
        <x:v>0</x:v>
      </x:c>
      <x:c r="AB353" s="15" t="n">
        <x:f>SUM(G353:AA353)</x:f>
        <x:v>328.4</x:v>
      </x:c>
    </x:row>
    <x:row r="354" ht="36" customHeight="1">
      <x:c r="A354" s="10" t="str">
        <x:v>T-BASE</x:v>
      </x:c>
      <x:c r="B354" s="10" t="str">
        <x:v>TEXT</x:v>
      </x:c>
      <x:c r="C354" s="10" t="str">
        <x:v>TEXT:SYN-F12-07</x:v>
      </x:c>
      <x:c r="D354" s="10" t="str">
        <x:v>TEXT:M6892</x:v>
      </x:c>
      <x:c r="E354" s="15" t="n">
        <x:v>0.34</x:v>
      </x:c>
      <x:c r="F354" s="15" t="str">
        <x:v>요청</x:v>
      </x:c>
      <x:c r="G354" s="15" t="n">
        <x:v>238</x:v>
      </x:c>
      <x:c r="H354" s="15" t="n">
        <x:v>11</x:v>
      </x:c>
      <x:c r="I354" s="15" t="n">
        <x:v>26.152</x:v>
      </x:c>
      <x:c r="J354" s="15" t="n">
        <x:v>0</x:v>
      </x:c>
      <x:c r="K354" s="15" t="n">
        <x:v>0</x:v>
      </x:c>
      <x:c r="L354" s="15" t="n">
        <x:v>0</x:v>
      </x:c>
      <x:c r="M354" s="15" t="n">
        <x:v>0</x:v>
      </x:c>
      <x:c r="N354" s="15" t="n">
        <x:v>0</x:v>
      </x:c>
      <x:c r="O354" s="15" t="n">
        <x:v>0</x:v>
      </x:c>
      <x:c r="P354" s="15" t="n">
        <x:v>0</x:v>
      </x:c>
      <x:c r="Q354" s="15" t="n">
        <x:v>0</x:v>
      </x:c>
      <x:c r="R354" s="15" t="n">
        <x:v>0</x:v>
      </x:c>
      <x:c r="S354" s="15" t="n">
        <x:v>0</x:v>
      </x:c>
      <x:c r="T354" s="15" t="n">
        <x:v>0</x:v>
      </x:c>
      <x:c r="U354" s="15" t="n">
        <x:v>0</x:v>
      </x:c>
      <x:c r="V354" s="15" t="n">
        <x:v>0</x:v>
      </x:c>
      <x:c r="W354" s="15" t="n">
        <x:v>0</x:v>
      </x:c>
      <x:c r="X354" s="15" t="n">
        <x:v>0</x:v>
      </x:c>
      <x:c r="Y354" s="15" t="n">
        <x:v>0</x:v>
      </x:c>
      <x:c r="Z354" s="15" t="n">
        <x:v>0</x:v>
      </x:c>
      <x:c r="AA354" s="15" t="n">
        <x:v>0</x:v>
      </x:c>
      <x:c r="AB354" s="15" t="n">
        <x:f>SUM(G354:AA354)</x:f>
        <x:v>275.152</x:v>
      </x:c>
    </x:row>
    <x:row r="355" ht="36" customHeight="1">
      <x:c r="A355" s="10" t="str">
        <x:v>T-EXEC</x:v>
      </x:c>
      <x:c r="B355" s="10" t="str">
        <x:v>TEXT</x:v>
      </x:c>
      <x:c r="C355" s="10" t="str">
        <x:v>TEXT:SYN-F12-07</x:v>
      </x:c>
      <x:c r="D355" s="10" t="str">
        <x:v>TEXT:M6915</x:v>
      </x:c>
      <x:c r="E355" s="15" t="n">
        <x:v>3.259642</x:v>
      </x:c>
      <x:c r="F355" s="15" t="str">
        <x:v>요청</x:v>
      </x:c>
      <x:c r="G355" s="15" t="n">
        <x:v>238</x:v>
      </x:c>
      <x:c r="H355" s="15" t="n">
        <x:v>22</x:v>
      </x:c>
      <x:c r="I355" s="15" t="n">
        <x:v>17.832</x:v>
      </x:c>
      <x:c r="J355" s="15" t="n">
        <x:v>7</x:v>
      </x:c>
      <x:c r="K355" s="15" t="n">
        <x:v>0</x:v>
      </x:c>
      <x:c r="L355" s="15" t="n">
        <x:v>0</x:v>
      </x:c>
      <x:c r="M355" s="15" t="n">
        <x:v>0</x:v>
      </x:c>
      <x:c r="N355" s="15" t="n">
        <x:v>0</x:v>
      </x:c>
      <x:c r="O355" s="15" t="n">
        <x:v>0</x:v>
      </x:c>
      <x:c r="P355" s="15" t="n">
        <x:v>0</x:v>
      </x:c>
      <x:c r="Q355" s="15" t="n">
        <x:v>0</x:v>
      </x:c>
      <x:c r="R355" s="15" t="n">
        <x:v>0</x:v>
      </x:c>
      <x:c r="S355" s="15" t="n">
        <x:v>0</x:v>
      </x:c>
      <x:c r="T355" s="15" t="n">
        <x:v>0</x:v>
      </x:c>
      <x:c r="U355" s="15" t="n">
        <x:v>0</x:v>
      </x:c>
      <x:c r="V355" s="15" t="n">
        <x:v>0</x:v>
      </x:c>
      <x:c r="W355" s="15" t="n">
        <x:v>0</x:v>
      </x:c>
      <x:c r="X355" s="15" t="n">
        <x:v>0</x:v>
      </x:c>
      <x:c r="Y355" s="15" t="n">
        <x:v>0</x:v>
      </x:c>
      <x:c r="Z355" s="15" t="n">
        <x:v>0</x:v>
      </x:c>
      <x:c r="AA355" s="15" t="n">
        <x:v>0</x:v>
      </x:c>
      <x:c r="AB355" s="15" t="n">
        <x:f>SUM(G355:AA355)</x:f>
        <x:v>284.832</x:v>
      </x:c>
    </x:row>
    <x:row r="356" ht="36" customHeight="1">
      <x:c r="A356" s="10" t="str">
        <x:v>T-REL</x:v>
      </x:c>
      <x:c r="B356" s="10" t="str">
        <x:v>TEXT</x:v>
      </x:c>
      <x:c r="C356" s="10" t="str">
        <x:v>TEXT:SYN-F12-07</x:v>
      </x:c>
      <x:c r="D356" s="10" t="str">
        <x:v>TEXT:M6925</x:v>
      </x:c>
      <x:c r="E356" s="15" t="n">
        <x:v>-8</x:v>
      </x:c>
      <x:c r="F356" s="15" t="str">
        <x:v>사전 생산</x:v>
      </x:c>
      <x:c r="G356" s="15" t="n">
        <x:v>238</x:v>
      </x:c>
      <x:c r="H356" s="15" t="n">
        <x:v>0</x:v>
      </x:c>
      <x:c r="I356" s="15" t="n">
        <x:v>33.72</x:v>
      </x:c>
      <x:c r="J356" s="15" t="n">
        <x:v>0</x:v>
      </x:c>
      <x:c r="K356" s="15" t="n">
        <x:v>38</x:v>
      </x:c>
      <x:c r="L356" s="15" t="n">
        <x:v>19</x:v>
      </x:c>
      <x:c r="M356" s="15" t="n">
        <x:v>0</x:v>
      </x:c>
      <x:c r="N356" s="15" t="n">
        <x:v>0</x:v>
      </x:c>
      <x:c r="O356" s="15" t="n">
        <x:v>0</x:v>
      </x:c>
      <x:c r="P356" s="15" t="n">
        <x:v>0</x:v>
      </x:c>
      <x:c r="Q356" s="15" t="n">
        <x:v>0</x:v>
      </x:c>
      <x:c r="R356" s="15" t="n">
        <x:v>0</x:v>
      </x:c>
      <x:c r="S356" s="15" t="n">
        <x:v>0</x:v>
      </x:c>
      <x:c r="T356" s="15" t="n">
        <x:v>0</x:v>
      </x:c>
      <x:c r="U356" s="15" t="n">
        <x:v>0</x:v>
      </x:c>
      <x:c r="V356" s="15" t="n">
        <x:v>0</x:v>
      </x:c>
      <x:c r="W356" s="15" t="n">
        <x:v>0</x:v>
      </x:c>
      <x:c r="X356" s="15" t="n">
        <x:v>0</x:v>
      </x:c>
      <x:c r="Y356" s="15" t="n">
        <x:v>0</x:v>
      </x:c>
      <x:c r="Z356" s="15" t="n">
        <x:v>0</x:v>
      </x:c>
      <x:c r="AA356" s="15" t="n">
        <x:v>0</x:v>
      </x:c>
      <x:c r="AB356" s="15" t="n">
        <x:f>SUM(G356:AA356)</x:f>
        <x:v>328.72</x:v>
      </x:c>
    </x:row>
    <x:row r="357" ht="36" customHeight="1">
      <x:c r="A357" s="10" t="str">
        <x:v>T-BASE</x:v>
      </x:c>
      <x:c r="B357" s="10" t="str">
        <x:v>TEXT</x:v>
      </x:c>
      <x:c r="C357" s="10" t="str">
        <x:v>TEXT:SYN-F12-08</x:v>
      </x:c>
      <x:c r="D357" s="10" t="str">
        <x:v>TEXT:M6947</x:v>
      </x:c>
      <x:c r="E357" s="15" t="n">
        <x:v>0.365</x:v>
      </x:c>
      <x:c r="F357" s="15" t="str">
        <x:v>요청</x:v>
      </x:c>
      <x:c r="G357" s="15" t="n">
        <x:v>238</x:v>
      </x:c>
      <x:c r="H357" s="15" t="n">
        <x:v>11</x:v>
      </x:c>
      <x:c r="I357" s="15" t="n">
        <x:v>26.244</x:v>
      </x:c>
      <x:c r="J357" s="15" t="n">
        <x:v>0</x:v>
      </x:c>
      <x:c r="K357" s="15" t="n">
        <x:v>0</x:v>
      </x:c>
      <x:c r="L357" s="15" t="n">
        <x:v>0</x:v>
      </x:c>
      <x:c r="M357" s="15" t="n">
        <x:v>0</x:v>
      </x:c>
      <x:c r="N357" s="15" t="n">
        <x:v>0</x:v>
      </x:c>
      <x:c r="O357" s="15" t="n">
        <x:v>0</x:v>
      </x:c>
      <x:c r="P357" s="15" t="n">
        <x:v>0</x:v>
      </x:c>
      <x:c r="Q357" s="15" t="n">
        <x:v>0</x:v>
      </x:c>
      <x:c r="R357" s="15" t="n">
        <x:v>0</x:v>
      </x:c>
      <x:c r="S357" s="15" t="n">
        <x:v>0</x:v>
      </x:c>
      <x:c r="T357" s="15" t="n">
        <x:v>0</x:v>
      </x:c>
      <x:c r="U357" s="15" t="n">
        <x:v>0</x:v>
      </x:c>
      <x:c r="V357" s="15" t="n">
        <x:v>0</x:v>
      </x:c>
      <x:c r="W357" s="15" t="n">
        <x:v>0</x:v>
      </x:c>
      <x:c r="X357" s="15" t="n">
        <x:v>0</x:v>
      </x:c>
      <x:c r="Y357" s="15" t="n">
        <x:v>0</x:v>
      </x:c>
      <x:c r="Z357" s="15" t="n">
        <x:v>0</x:v>
      </x:c>
      <x:c r="AA357" s="15" t="n">
        <x:v>0</x:v>
      </x:c>
      <x:c r="AB357" s="15" t="n">
        <x:f>SUM(G357:AA357)</x:f>
        <x:v>275.244</x:v>
      </x:c>
    </x:row>
    <x:row r="358" ht="36" customHeight="1">
      <x:c r="A358" s="10" t="str">
        <x:v>T-EXEC</x:v>
      </x:c>
      <x:c r="B358" s="10" t="str">
        <x:v>TEXT</x:v>
      </x:c>
      <x:c r="C358" s="10" t="str">
        <x:v>TEXT:SYN-F12-08</x:v>
      </x:c>
      <x:c r="D358" s="10" t="str">
        <x:v>TEXT:M6970</x:v>
      </x:c>
      <x:c r="E358" s="15" t="n">
        <x:v>3.332143</x:v>
      </x:c>
      <x:c r="F358" s="15" t="str">
        <x:v>요청</x:v>
      </x:c>
      <x:c r="G358" s="15" t="n">
        <x:v>238</x:v>
      </x:c>
      <x:c r="H358" s="15" t="n">
        <x:v>22</x:v>
      </x:c>
      <x:c r="I358" s="15" t="n">
        <x:v>17.924</x:v>
      </x:c>
      <x:c r="J358" s="15" t="n">
        <x:v>7</x:v>
      </x:c>
      <x:c r="K358" s="15" t="n">
        <x:v>0</x:v>
      </x:c>
      <x:c r="L358" s="15" t="n">
        <x:v>0</x:v>
      </x:c>
      <x:c r="M358" s="15" t="n">
        <x:v>0</x:v>
      </x:c>
      <x:c r="N358" s="15" t="n">
        <x:v>0</x:v>
      </x:c>
      <x:c r="O358" s="15" t="n">
        <x:v>0</x:v>
      </x:c>
      <x:c r="P358" s="15" t="n">
        <x:v>0</x:v>
      </x:c>
      <x:c r="Q358" s="15" t="n">
        <x:v>0</x:v>
      </x:c>
      <x:c r="R358" s="15" t="n">
        <x:v>0</x:v>
      </x:c>
      <x:c r="S358" s="15" t="n">
        <x:v>0</x:v>
      </x:c>
      <x:c r="T358" s="15" t="n">
        <x:v>0</x:v>
      </x:c>
      <x:c r="U358" s="15" t="n">
        <x:v>0</x:v>
      </x:c>
      <x:c r="V358" s="15" t="n">
        <x:v>0</x:v>
      </x:c>
      <x:c r="W358" s="15" t="n">
        <x:v>0</x:v>
      </x:c>
      <x:c r="X358" s="15" t="n">
        <x:v>0</x:v>
      </x:c>
      <x:c r="Y358" s="15" t="n">
        <x:v>0</x:v>
      </x:c>
      <x:c r="Z358" s="15" t="n">
        <x:v>0</x:v>
      </x:c>
      <x:c r="AA358" s="15" t="n">
        <x:v>0</x:v>
      </x:c>
      <x:c r="AB358" s="15" t="n">
        <x:f>SUM(G358:AA358)</x:f>
        <x:v>284.924</x:v>
      </x:c>
    </x:row>
    <x:row r="359" ht="36" customHeight="1">
      <x:c r="A359" s="10" t="str">
        <x:v>T-REL</x:v>
      </x:c>
      <x:c r="B359" s="10" t="str">
        <x:v>TEXT</x:v>
      </x:c>
      <x:c r="C359" s="10" t="str">
        <x:v>TEXT:SYN-F12-08</x:v>
      </x:c>
      <x:c r="D359" s="10" t="str">
        <x:v>TEXT:M6980</x:v>
      </x:c>
      <x:c r="E359" s="15" t="n">
        <x:v>-8</x:v>
      </x:c>
      <x:c r="F359" s="15" t="str">
        <x:v>사전 생산</x:v>
      </x:c>
      <x:c r="G359" s="15" t="n">
        <x:v>238</x:v>
      </x:c>
      <x:c r="H359" s="15" t="n">
        <x:v>0</x:v>
      </x:c>
      <x:c r="I359" s="15" t="n">
        <x:v>34.04</x:v>
      </x:c>
      <x:c r="J359" s="15" t="n">
        <x:v>0</x:v>
      </x:c>
      <x:c r="K359" s="15" t="n">
        <x:v>38</x:v>
      </x:c>
      <x:c r="L359" s="15" t="n">
        <x:v>19</x:v>
      </x:c>
      <x:c r="M359" s="15" t="n">
        <x:v>0</x:v>
      </x:c>
      <x:c r="N359" s="15" t="n">
        <x:v>0</x:v>
      </x:c>
      <x:c r="O359" s="15" t="n">
        <x:v>0</x:v>
      </x:c>
      <x:c r="P359" s="15" t="n">
        <x:v>0</x:v>
      </x:c>
      <x:c r="Q359" s="15" t="n">
        <x:v>0</x:v>
      </x:c>
      <x:c r="R359" s="15" t="n">
        <x:v>0</x:v>
      </x:c>
      <x:c r="S359" s="15" t="n">
        <x:v>0</x:v>
      </x:c>
      <x:c r="T359" s="15" t="n">
        <x:v>0</x:v>
      </x:c>
      <x:c r="U359" s="15" t="n">
        <x:v>0</x:v>
      </x:c>
      <x:c r="V359" s="15" t="n">
        <x:v>0</x:v>
      </x:c>
      <x:c r="W359" s="15" t="n">
        <x:v>0</x:v>
      </x:c>
      <x:c r="X359" s="15" t="n">
        <x:v>0</x:v>
      </x:c>
      <x:c r="Y359" s="15" t="n">
        <x:v>0</x:v>
      </x:c>
      <x:c r="Z359" s="15" t="n">
        <x:v>0</x:v>
      </x:c>
      <x:c r="AA359" s="15" t="n">
        <x:v>0</x:v>
      </x:c>
      <x:c r="AB359" s="15" t="n">
        <x:f>SUM(G359:AA359)</x:f>
        <x:v>329.04</x:v>
      </x:c>
    </x:row>
    <x:row r="360" ht="36" customHeight="1">
      <x:c r="A360" s="10" t="str">
        <x:v>T-BASE</x:v>
      </x:c>
      <x:c r="B360" s="10" t="str">
        <x:v>TEXT</x:v>
      </x:c>
      <x:c r="C360" s="10" t="str">
        <x:v>TEXT:SYN-F12-09</x:v>
      </x:c>
      <x:c r="D360" s="10" t="str">
        <x:v>TEXT:M7002</x:v>
      </x:c>
      <x:c r="E360" s="15" t="n">
        <x:v>0.39</x:v>
      </x:c>
      <x:c r="F360" s="15" t="str">
        <x:v>요청</x:v>
      </x:c>
      <x:c r="G360" s="15" t="n">
        <x:v>238</x:v>
      </x:c>
      <x:c r="H360" s="15" t="n">
        <x:v>11</x:v>
      </x:c>
      <x:c r="I360" s="15" t="n">
        <x:v>26.336</x:v>
      </x:c>
      <x:c r="J360" s="15" t="n">
        <x:v>0</x:v>
      </x:c>
      <x:c r="K360" s="15" t="n">
        <x:v>0</x:v>
      </x:c>
      <x:c r="L360" s="15" t="n">
        <x:v>0</x:v>
      </x:c>
      <x:c r="M360" s="15" t="n">
        <x:v>0</x:v>
      </x:c>
      <x:c r="N360" s="15" t="n">
        <x:v>0</x:v>
      </x:c>
      <x:c r="O360" s="15" t="n">
        <x:v>0</x:v>
      </x:c>
      <x:c r="P360" s="15" t="n">
        <x:v>0</x:v>
      </x:c>
      <x:c r="Q360" s="15" t="n">
        <x:v>0</x:v>
      </x:c>
      <x:c r="R360" s="15" t="n">
        <x:v>0</x:v>
      </x:c>
      <x:c r="S360" s="15" t="n">
        <x:v>0</x:v>
      </x:c>
      <x:c r="T360" s="15" t="n">
        <x:v>0</x:v>
      </x:c>
      <x:c r="U360" s="15" t="n">
        <x:v>0</x:v>
      </x:c>
      <x:c r="V360" s="15" t="n">
        <x:v>0</x:v>
      </x:c>
      <x:c r="W360" s="15" t="n">
        <x:v>0</x:v>
      </x:c>
      <x:c r="X360" s="15" t="n">
        <x:v>0</x:v>
      </x:c>
      <x:c r="Y360" s="15" t="n">
        <x:v>0</x:v>
      </x:c>
      <x:c r="Z360" s="15" t="n">
        <x:v>0</x:v>
      </x:c>
      <x:c r="AA360" s="15" t="n">
        <x:v>0</x:v>
      </x:c>
      <x:c r="AB360" s="15" t="n">
        <x:f>SUM(G360:AA360)</x:f>
        <x:v>275.336</x:v>
      </x:c>
    </x:row>
    <x:row r="361" ht="36" customHeight="1">
      <x:c r="A361" s="10" t="str">
        <x:v>T-EXEC</x:v>
      </x:c>
      <x:c r="B361" s="10" t="str">
        <x:v>TEXT</x:v>
      </x:c>
      <x:c r="C361" s="10" t="str">
        <x:v>TEXT:SYN-F12-09</x:v>
      </x:c>
      <x:c r="D361" s="10" t="str">
        <x:v>TEXT:M7025</x:v>
      </x:c>
      <x:c r="E361" s="15" t="n">
        <x:v>3.379643</x:v>
      </x:c>
      <x:c r="F361" s="15" t="str">
        <x:v>요청</x:v>
      </x:c>
      <x:c r="G361" s="15" t="n">
        <x:v>238</x:v>
      </x:c>
      <x:c r="H361" s="15" t="n">
        <x:v>22</x:v>
      </x:c>
      <x:c r="I361" s="15" t="n">
        <x:v>18.016</x:v>
      </x:c>
      <x:c r="J361" s="15" t="n">
        <x:v>7</x:v>
      </x:c>
      <x:c r="K361" s="15" t="n">
        <x:v>0</x:v>
      </x:c>
      <x:c r="L361" s="15" t="n">
        <x:v>0</x:v>
      </x:c>
      <x:c r="M361" s="15" t="n">
        <x:v>0</x:v>
      </x:c>
      <x:c r="N361" s="15" t="n">
        <x:v>0</x:v>
      </x:c>
      <x:c r="O361" s="15" t="n">
        <x:v>0</x:v>
      </x:c>
      <x:c r="P361" s="15" t="n">
        <x:v>0</x:v>
      </x:c>
      <x:c r="Q361" s="15" t="n">
        <x:v>0</x:v>
      </x:c>
      <x:c r="R361" s="15" t="n">
        <x:v>0</x:v>
      </x:c>
      <x:c r="S361" s="15" t="n">
        <x:v>0</x:v>
      </x:c>
      <x:c r="T361" s="15" t="n">
        <x:v>0</x:v>
      </x:c>
      <x:c r="U361" s="15" t="n">
        <x:v>0</x:v>
      </x:c>
      <x:c r="V361" s="15" t="n">
        <x:v>0</x:v>
      </x:c>
      <x:c r="W361" s="15" t="n">
        <x:v>0</x:v>
      </x:c>
      <x:c r="X361" s="15" t="n">
        <x:v>0</x:v>
      </x:c>
      <x:c r="Y361" s="15" t="n">
        <x:v>0</x:v>
      </x:c>
      <x:c r="Z361" s="15" t="n">
        <x:v>0</x:v>
      </x:c>
      <x:c r="AA361" s="15" t="n">
        <x:v>0</x:v>
      </x:c>
      <x:c r="AB361" s="15" t="n">
        <x:f>SUM(G361:AA361)</x:f>
        <x:v>285.016</x:v>
      </x:c>
    </x:row>
    <x:row r="362" ht="36" customHeight="1">
      <x:c r="A362" s="10" t="str">
        <x:v>T-REL</x:v>
      </x:c>
      <x:c r="B362" s="10" t="str">
        <x:v>TEXT</x:v>
      </x:c>
      <x:c r="C362" s="10" t="str">
        <x:v>TEXT:SYN-F12-09</x:v>
      </x:c>
      <x:c r="D362" s="10" t="str">
        <x:v>TEXT:M7035</x:v>
      </x:c>
      <x:c r="E362" s="15" t="n">
        <x:v>-8</x:v>
      </x:c>
      <x:c r="F362" s="15" t="str">
        <x:v>사전 생산</x:v>
      </x:c>
      <x:c r="G362" s="15" t="n">
        <x:v>238</x:v>
      </x:c>
      <x:c r="H362" s="15" t="n">
        <x:v>0</x:v>
      </x:c>
      <x:c r="I362" s="15" t="n">
        <x:v>34.36</x:v>
      </x:c>
      <x:c r="J362" s="15" t="n">
        <x:v>0</x:v>
      </x:c>
      <x:c r="K362" s="15" t="n">
        <x:v>38</x:v>
      </x:c>
      <x:c r="L362" s="15" t="n">
        <x:v>19</x:v>
      </x:c>
      <x:c r="M362" s="15" t="n">
        <x:v>0</x:v>
      </x:c>
      <x:c r="N362" s="15" t="n">
        <x:v>0</x:v>
      </x:c>
      <x:c r="O362" s="15" t="n">
        <x:v>0</x:v>
      </x:c>
      <x:c r="P362" s="15" t="n">
        <x:v>0</x:v>
      </x:c>
      <x:c r="Q362" s="15" t="n">
        <x:v>0</x:v>
      </x:c>
      <x:c r="R362" s="15" t="n">
        <x:v>0</x:v>
      </x:c>
      <x:c r="S362" s="15" t="n">
        <x:v>0</x:v>
      </x:c>
      <x:c r="T362" s="15" t="n">
        <x:v>0</x:v>
      </x:c>
      <x:c r="U362" s="15" t="n">
        <x:v>0</x:v>
      </x:c>
      <x:c r="V362" s="15" t="n">
        <x:v>0</x:v>
      </x:c>
      <x:c r="W362" s="15" t="n">
        <x:v>0</x:v>
      </x:c>
      <x:c r="X362" s="15" t="n">
        <x:v>0</x:v>
      </x:c>
      <x:c r="Y362" s="15" t="n">
        <x:v>0</x:v>
      </x:c>
      <x:c r="Z362" s="15" t="n">
        <x:v>0</x:v>
      </x:c>
      <x:c r="AA362" s="15" t="n">
        <x:v>0</x:v>
      </x:c>
      <x:c r="AB362" s="15" t="n">
        <x:f>SUM(G362:AA362)</x:f>
        <x:v>329.36</x:v>
      </x:c>
    </x:row>
    <x:row r="363" ht="36" customHeight="1">
      <x:c r="A363" s="10" t="str">
        <x:v>T-BASE</x:v>
      </x:c>
      <x:c r="B363" s="10" t="str">
        <x:v>TEXT</x:v>
      </x:c>
      <x:c r="C363" s="10" t="str">
        <x:v>TEXT:SYN-F12-10</x:v>
      </x:c>
      <x:c r="D363" s="10" t="str">
        <x:v>TEXT:M7057</x:v>
      </x:c>
      <x:c r="E363" s="15" t="n">
        <x:v>0.34</x:v>
      </x:c>
      <x:c r="F363" s="15" t="str">
        <x:v>요청</x:v>
      </x:c>
      <x:c r="G363" s="15" t="n">
        <x:v>238</x:v>
      </x:c>
      <x:c r="H363" s="15" t="n">
        <x:v>11</x:v>
      </x:c>
      <x:c r="I363" s="15" t="n">
        <x:v>26.428</x:v>
      </x:c>
      <x:c r="J363" s="15" t="n">
        <x:v>0</x:v>
      </x:c>
      <x:c r="K363" s="15" t="n">
        <x:v>0</x:v>
      </x:c>
      <x:c r="L363" s="15" t="n">
        <x:v>0</x:v>
      </x:c>
      <x:c r="M363" s="15" t="n">
        <x:v>0</x:v>
      </x:c>
      <x:c r="N363" s="15" t="n">
        <x:v>0</x:v>
      </x:c>
      <x:c r="O363" s="15" t="n">
        <x:v>0</x:v>
      </x:c>
      <x:c r="P363" s="15" t="n">
        <x:v>0</x:v>
      </x:c>
      <x:c r="Q363" s="15" t="n">
        <x:v>0</x:v>
      </x:c>
      <x:c r="R363" s="15" t="n">
        <x:v>0</x:v>
      </x:c>
      <x:c r="S363" s="15" t="n">
        <x:v>0</x:v>
      </x:c>
      <x:c r="T363" s="15" t="n">
        <x:v>0</x:v>
      </x:c>
      <x:c r="U363" s="15" t="n">
        <x:v>0</x:v>
      </x:c>
      <x:c r="V363" s="15" t="n">
        <x:v>0</x:v>
      </x:c>
      <x:c r="W363" s="15" t="n">
        <x:v>0</x:v>
      </x:c>
      <x:c r="X363" s="15" t="n">
        <x:v>0</x:v>
      </x:c>
      <x:c r="Y363" s="15" t="n">
        <x:v>0</x:v>
      </x:c>
      <x:c r="Z363" s="15" t="n">
        <x:v>0</x:v>
      </x:c>
      <x:c r="AA363" s="15" t="n">
        <x:v>0</x:v>
      </x:c>
      <x:c r="AB363" s="15" t="n">
        <x:f>SUM(G363:AA363)</x:f>
        <x:v>275.428</x:v>
      </x:c>
    </x:row>
    <x:row r="364" ht="36" customHeight="1">
      <x:c r="A364" s="10" t="str">
        <x:v>T-EXEC</x:v>
      </x:c>
      <x:c r="B364" s="10" t="str">
        <x:v>TEXT</x:v>
      </x:c>
      <x:c r="C364" s="10" t="str">
        <x:v>TEXT:SYN-F12-10</x:v>
      </x:c>
      <x:c r="D364" s="10" t="str">
        <x:v>TEXT:M7080</x:v>
      </x:c>
      <x:c r="E364" s="15" t="n">
        <x:v>3.283393</x:v>
      </x:c>
      <x:c r="F364" s="15" t="str">
        <x:v>요청</x:v>
      </x:c>
      <x:c r="G364" s="15" t="n">
        <x:v>238</x:v>
      </x:c>
      <x:c r="H364" s="15" t="n">
        <x:v>22</x:v>
      </x:c>
      <x:c r="I364" s="15" t="n">
        <x:v>18.108</x:v>
      </x:c>
      <x:c r="J364" s="15" t="n">
        <x:v>7</x:v>
      </x:c>
      <x:c r="K364" s="15" t="n">
        <x:v>0</x:v>
      </x:c>
      <x:c r="L364" s="15" t="n">
        <x:v>0</x:v>
      </x:c>
      <x:c r="M364" s="15" t="n">
        <x:v>0</x:v>
      </x:c>
      <x:c r="N364" s="15" t="n">
        <x:v>0</x:v>
      </x:c>
      <x:c r="O364" s="15" t="n">
        <x:v>0</x:v>
      </x:c>
      <x:c r="P364" s="15" t="n">
        <x:v>0</x:v>
      </x:c>
      <x:c r="Q364" s="15" t="n">
        <x:v>0</x:v>
      </x:c>
      <x:c r="R364" s="15" t="n">
        <x:v>0</x:v>
      </x:c>
      <x:c r="S364" s="15" t="n">
        <x:v>0</x:v>
      </x:c>
      <x:c r="T364" s="15" t="n">
        <x:v>0</x:v>
      </x:c>
      <x:c r="U364" s="15" t="n">
        <x:v>0</x:v>
      </x:c>
      <x:c r="V364" s="15" t="n">
        <x:v>0</x:v>
      </x:c>
      <x:c r="W364" s="15" t="n">
        <x:v>0</x:v>
      </x:c>
      <x:c r="X364" s="15" t="n">
        <x:v>0</x:v>
      </x:c>
      <x:c r="Y364" s="15" t="n">
        <x:v>0</x:v>
      </x:c>
      <x:c r="Z364" s="15" t="n">
        <x:v>0</x:v>
      </x:c>
      <x:c r="AA364" s="15" t="n">
        <x:v>0</x:v>
      </x:c>
      <x:c r="AB364" s="15" t="n">
        <x:f>SUM(G364:AA364)</x:f>
        <x:v>285.108</x:v>
      </x:c>
    </x:row>
    <x:row r="365" ht="36" customHeight="1">
      <x:c r="A365" s="10" t="str">
        <x:v>T-REL</x:v>
      </x:c>
      <x:c r="B365" s="10" t="str">
        <x:v>TEXT</x:v>
      </x:c>
      <x:c r="C365" s="10" t="str">
        <x:v>TEXT:SYN-F12-10</x:v>
      </x:c>
      <x:c r="D365" s="10" t="str">
        <x:v>TEXT:M7090</x:v>
      </x:c>
      <x:c r="E365" s="15" t="n">
        <x:v>-8</x:v>
      </x:c>
      <x:c r="F365" s="15" t="str">
        <x:v>사전 생산</x:v>
      </x:c>
      <x:c r="G365" s="15" t="n">
        <x:v>238</x:v>
      </x:c>
      <x:c r="H365" s="15" t="n">
        <x:v>0</x:v>
      </x:c>
      <x:c r="I365" s="15" t="n">
        <x:v>34.68</x:v>
      </x:c>
      <x:c r="J365" s="15" t="n">
        <x:v>0</x:v>
      </x:c>
      <x:c r="K365" s="15" t="n">
        <x:v>38</x:v>
      </x:c>
      <x:c r="L365" s="15" t="n">
        <x:v>19</x:v>
      </x:c>
      <x:c r="M365" s="15" t="n">
        <x:v>0</x:v>
      </x:c>
      <x:c r="N365" s="15" t="n">
        <x:v>0</x:v>
      </x:c>
      <x:c r="O365" s="15" t="n">
        <x:v>0</x:v>
      </x:c>
      <x:c r="P365" s="15" t="n">
        <x:v>0</x:v>
      </x:c>
      <x:c r="Q365" s="15" t="n">
        <x:v>0</x:v>
      </x:c>
      <x:c r="R365" s="15" t="n">
        <x:v>0</x:v>
      </x:c>
      <x:c r="S365" s="15" t="n">
        <x:v>0</x:v>
      </x:c>
      <x:c r="T365" s="15" t="n">
        <x:v>0</x:v>
      </x:c>
      <x:c r="U365" s="15" t="n">
        <x:v>0</x:v>
      </x:c>
      <x:c r="V365" s="15" t="n">
        <x:v>0</x:v>
      </x:c>
      <x:c r="W365" s="15" t="n">
        <x:v>0</x:v>
      </x:c>
      <x:c r="X365" s="15" t="n">
        <x:v>0</x:v>
      </x:c>
      <x:c r="Y365" s="15" t="n">
        <x:v>0</x:v>
      </x:c>
      <x:c r="Z365" s="15" t="n">
        <x:v>0</x:v>
      </x:c>
      <x:c r="AA365" s="15" t="n">
        <x:v>0</x:v>
      </x:c>
      <x:c r="AB365" s="15" t="n">
        <x:f>SUM(G365:AA365)</x:f>
        <x:v>329.68</x:v>
      </x:c>
    </x:row>
    <x:row r="366" ht="36" customHeight="1">
      <x:c r="A366" s="10" t="str">
        <x:v>V-A</x:v>
      </x:c>
      <x:c r="B366" s="10" t="str">
        <x:v>VOICE</x:v>
      </x:c>
      <x:c r="C366" s="10" t="str">
        <x:v>VOICE:S1-01</x:v>
      </x:c>
      <x:c r="D366" s="10" t="str">
        <x:v>VOICE:M0</x:v>
      </x:c>
      <x:c r="E366" s="15" t="n">
        <x:v>0</x:v>
      </x:c>
      <x:c r="F366" s="15" t="str">
        <x:v>scored</x:v>
      </x:c>
      <x:c r="G366" s="15" t="n">
        <x:v>0</x:v>
      </x:c>
      <x:c r="H366" s="15" t="n">
        <x:v>0</x:v>
      </x:c>
      <x:c r="I366" s="15" t="n">
        <x:v>0</x:v>
      </x:c>
      <x:c r="J366" s="15" t="n">
        <x:v>0</x:v>
      </x:c>
      <x:c r="K366" s="15" t="n">
        <x:v>0</x:v>
      </x:c>
      <x:c r="L366" s="15" t="n">
        <x:v>0</x:v>
      </x:c>
      <x:c r="M366" s="15" t="n">
        <x:v>180</x:v>
      </x:c>
      <x:c r="N366" s="15" t="n">
        <x:v>220</x:v>
      </x:c>
      <x:c r="O366" s="15" t="n">
        <x:v>96</x:v>
      </x:c>
      <x:c r="P366" s="15" t="n">
        <x:v>64</x:v>
      </x:c>
      <x:c r="Q366" s="15" t="n">
        <x:v>32</x:v>
      </x:c>
      <x:c r="R366" s="15" t="n">
        <x:v>0</x:v>
      </x:c>
      <x:c r="S366" s="15" t="n">
        <x:v>0</x:v>
      </x:c>
      <x:c r="T366" s="15" t="n">
        <x:v>0</x:v>
      </x:c>
      <x:c r="U366" s="15" t="n">
        <x:v>0</x:v>
      </x:c>
      <x:c r="V366" s="15" t="n">
        <x:v>0</x:v>
      </x:c>
      <x:c r="W366" s="15" t="n">
        <x:v>0</x:v>
      </x:c>
      <x:c r="X366" s="15" t="n">
        <x:v>0</x:v>
      </x:c>
      <x:c r="Y366" s="15" t="n">
        <x:v>0</x:v>
      </x:c>
      <x:c r="Z366" s="15" t="n">
        <x:v>0</x:v>
      </x:c>
      <x:c r="AA366" s="15" t="n">
        <x:v>0</x:v>
      </x:c>
      <x:c r="AB366" s="15" t="n">
        <x:f>SUM(G366:AA366)</x:f>
        <x:v>592</x:v>
      </x:c>
    </x:row>
    <x:row r="367" ht="36" customHeight="1">
      <x:c r="A367" s="10" t="str">
        <x:v>V-R1</x:v>
      </x:c>
      <x:c r="B367" s="10" t="str">
        <x:v>VOICE</x:v>
      </x:c>
      <x:c r="C367" s="10" t="str">
        <x:v>VOICE:S1-01</x:v>
      </x:c>
      <x:c r="D367" s="10" t="str">
        <x:v>VOICE:M11</x:v>
      </x:c>
      <x:c r="E367" s="15" t="n">
        <x:v>0</x:v>
      </x:c>
      <x:c r="F367" s="15" t="str">
        <x:v>scored</x:v>
      </x:c>
      <x:c r="G367" s="15" t="n">
        <x:v>0</x:v>
      </x:c>
      <x:c r="H367" s="15" t="n">
        <x:v>0</x:v>
      </x:c>
      <x:c r="I367" s="15" t="n">
        <x:v>0</x:v>
      </x:c>
      <x:c r="J367" s="15" t="n">
        <x:v>0</x:v>
      </x:c>
      <x:c r="K367" s="15" t="n">
        <x:v>0</x:v>
      </x:c>
      <x:c r="L367" s="15" t="n">
        <x:v>0</x:v>
      </x:c>
      <x:c r="M367" s="15" t="n">
        <x:v>180</x:v>
      </x:c>
      <x:c r="N367" s="15" t="n">
        <x:v>220</x:v>
      </x:c>
      <x:c r="O367" s="15" t="n">
        <x:v>96</x:v>
      </x:c>
      <x:c r="P367" s="15" t="n">
        <x:v>64</x:v>
      </x:c>
      <x:c r="Q367" s="15" t="n">
        <x:v>24</x:v>
      </x:c>
      <x:c r="R367" s="15" t="n">
        <x:v>0</x:v>
      </x:c>
      <x:c r="S367" s="15" t="n">
        <x:v>0</x:v>
      </x:c>
      <x:c r="T367" s="15" t="n">
        <x:v>0</x:v>
      </x:c>
      <x:c r="U367" s="15" t="n">
        <x:v>0</x:v>
      </x:c>
      <x:c r="V367" s="15" t="n">
        <x:v>0</x:v>
      </x:c>
      <x:c r="W367" s="15" t="n">
        <x:v>0</x:v>
      </x:c>
      <x:c r="X367" s="15" t="n">
        <x:v>0</x:v>
      </x:c>
      <x:c r="Y367" s="15" t="n">
        <x:v>0</x:v>
      </x:c>
      <x:c r="Z367" s="15" t="n">
        <x:v>0</x:v>
      </x:c>
      <x:c r="AA367" s="15" t="n">
        <x:v>0</x:v>
      </x:c>
      <x:c r="AB367" s="15" t="n">
        <x:f>SUM(G367:AA367)</x:f>
        <x:v>584</x:v>
      </x:c>
    </x:row>
    <x:row r="368" ht="36" customHeight="1">
      <x:c r="A368" s="10" t="str">
        <x:v>V-R2</x:v>
      </x:c>
      <x:c r="B368" s="10" t="str">
        <x:v>VOICE</x:v>
      </x:c>
      <x:c r="C368" s="10" t="str">
        <x:v>VOICE:S1-01</x:v>
      </x:c>
      <x:c r="D368" s="10" t="str">
        <x:v>VOICE:M22</x:v>
      </x:c>
      <x:c r="E368" s="15" t="n">
        <x:v>0</x:v>
      </x:c>
      <x:c r="F368" s="15" t="str">
        <x:v>scored</x:v>
      </x:c>
      <x:c r="G368" s="15" t="n">
        <x:v>0</x:v>
      </x:c>
      <x:c r="H368" s="15" t="n">
        <x:v>0</x:v>
      </x:c>
      <x:c r="I368" s="15" t="n">
        <x:v>0</x:v>
      </x:c>
      <x:c r="J368" s="15" t="n">
        <x:v>0</x:v>
      </x:c>
      <x:c r="K368" s="15" t="n">
        <x:v>0</x:v>
      </x:c>
      <x:c r="L368" s="15" t="n">
        <x:v>0</x:v>
      </x:c>
      <x:c r="M368" s="15" t="n">
        <x:v>180</x:v>
      </x:c>
      <x:c r="N368" s="15" t="n">
        <x:v>220</x:v>
      </x:c>
      <x:c r="O368" s="15" t="n">
        <x:v>96</x:v>
      </x:c>
      <x:c r="P368" s="15" t="n">
        <x:v>64</x:v>
      </x:c>
      <x:c r="Q368" s="15" t="n">
        <x:v>24</x:v>
      </x:c>
      <x:c r="R368" s="15" t="n">
        <x:v>0</x:v>
      </x:c>
      <x:c r="S368" s="15" t="n">
        <x:v>0</x:v>
      </x:c>
      <x:c r="T368" s="15" t="n">
        <x:v>0</x:v>
      </x:c>
      <x:c r="U368" s="15" t="n">
        <x:v>0</x:v>
      </x:c>
      <x:c r="V368" s="15" t="n">
        <x:v>0</x:v>
      </x:c>
      <x:c r="W368" s="15" t="n">
        <x:v>0</x:v>
      </x:c>
      <x:c r="X368" s="15" t="n">
        <x:v>0</x:v>
      </x:c>
      <x:c r="Y368" s="15" t="n">
        <x:v>0</x:v>
      </x:c>
      <x:c r="Z368" s="15" t="n">
        <x:v>0</x:v>
      </x:c>
      <x:c r="AA368" s="15" t="n">
        <x:v>0</x:v>
      </x:c>
      <x:c r="AB368" s="15" t="n">
        <x:f>SUM(G368:AA368)</x:f>
        <x:v>584</x:v>
      </x:c>
    </x:row>
    <x:row r="369" ht="36" customHeight="1">
      <x:c r="A369" s="10" t="str">
        <x:v>V-R3</x:v>
      </x:c>
      <x:c r="B369" s="10" t="str">
        <x:v>VOICE</x:v>
      </x:c>
      <x:c r="C369" s="10" t="str">
        <x:v>VOICE:S1-01</x:v>
      </x:c>
      <x:c r="D369" s="10" t="str">
        <x:v>VOICE:M33</x:v>
      </x:c>
      <x:c r="E369" s="15" t="n">
        <x:v>0</x:v>
      </x:c>
      <x:c r="F369" s="15" t="str">
        <x:v>scored</x:v>
      </x:c>
      <x:c r="G369" s="15" t="n">
        <x:v>0</x:v>
      </x:c>
      <x:c r="H369" s="15" t="n">
        <x:v>0</x:v>
      </x:c>
      <x:c r="I369" s="15" t="n">
        <x:v>0</x:v>
      </x:c>
      <x:c r="J369" s="15" t="n">
        <x:v>0</x:v>
      </x:c>
      <x:c r="K369" s="15" t="n">
        <x:v>0</x:v>
      </x:c>
      <x:c r="L369" s="15" t="n">
        <x:v>0</x:v>
      </x:c>
      <x:c r="M369" s="15" t="n">
        <x:v>180</x:v>
      </x:c>
      <x:c r="N369" s="15" t="n">
        <x:v>220</x:v>
      </x:c>
      <x:c r="O369" s="15" t="n">
        <x:v>96</x:v>
      </x:c>
      <x:c r="P369" s="15" t="n">
        <x:v>64</x:v>
      </x:c>
      <x:c r="Q369" s="15" t="n">
        <x:v>32</x:v>
      </x:c>
      <x:c r="R369" s="15" t="n">
        <x:v>0</x:v>
      </x:c>
      <x:c r="S369" s="15" t="n">
        <x:v>0</x:v>
      </x:c>
      <x:c r="T369" s="15" t="n">
        <x:v>0</x:v>
      </x:c>
      <x:c r="U369" s="15" t="n">
        <x:v>0</x:v>
      </x:c>
      <x:c r="V369" s="15" t="n">
        <x:v>0</x:v>
      </x:c>
      <x:c r="W369" s="15" t="n">
        <x:v>0</x:v>
      </x:c>
      <x:c r="X369" s="15" t="n">
        <x:v>0</x:v>
      </x:c>
      <x:c r="Y369" s="15" t="n">
        <x:v>0</x:v>
      </x:c>
      <x:c r="Z369" s="15" t="n">
        <x:v>0</x:v>
      </x:c>
      <x:c r="AA369" s="15" t="n">
        <x:v>0</x:v>
      </x:c>
      <x:c r="AB369" s="15" t="n">
        <x:f>SUM(G369:AA369)</x:f>
        <x:v>592</x:v>
      </x:c>
    </x:row>
    <x:row r="370" ht="36" customHeight="1">
      <x:c r="A370" s="10" t="str">
        <x:v>V-A</x:v>
      </x:c>
      <x:c r="B370" s="10" t="str">
        <x:v>VOICE</x:v>
      </x:c>
      <x:c r="C370" s="10" t="str">
        <x:v>VOICE:S1-02</x:v>
      </x:c>
      <x:c r="D370" s="10" t="str">
        <x:v>VOICE:M44</x:v>
      </x:c>
      <x:c r="E370" s="15" t="n">
        <x:v>0</x:v>
      </x:c>
      <x:c r="F370" s="15" t="str">
        <x:v>scored</x:v>
      </x:c>
      <x:c r="G370" s="15" t="n">
        <x:v>0</x:v>
      </x:c>
      <x:c r="H370" s="15" t="n">
        <x:v>0</x:v>
      </x:c>
      <x:c r="I370" s="15" t="n">
        <x:v>0</x:v>
      </x:c>
      <x:c r="J370" s="15" t="n">
        <x:v>0</x:v>
      </x:c>
      <x:c r="K370" s="15" t="n">
        <x:v>0</x:v>
      </x:c>
      <x:c r="L370" s="15" t="n">
        <x:v>0</x:v>
      </x:c>
      <x:c r="M370" s="15" t="n">
        <x:v>180</x:v>
      </x:c>
      <x:c r="N370" s="15" t="n">
        <x:v>220</x:v>
      </x:c>
      <x:c r="O370" s="15" t="n">
        <x:v>96</x:v>
      </x:c>
      <x:c r="P370" s="15" t="n">
        <x:v>64</x:v>
      </x:c>
      <x:c r="Q370" s="15" t="n">
        <x:v>32</x:v>
      </x:c>
      <x:c r="R370" s="15" t="n">
        <x:v>0</x:v>
      </x:c>
      <x:c r="S370" s="15" t="n">
        <x:v>0</x:v>
      </x:c>
      <x:c r="T370" s="15" t="n">
        <x:v>0</x:v>
      </x:c>
      <x:c r="U370" s="15" t="n">
        <x:v>0</x:v>
      </x:c>
      <x:c r="V370" s="15" t="n">
        <x:v>0</x:v>
      </x:c>
      <x:c r="W370" s="15" t="n">
        <x:v>0</x:v>
      </x:c>
      <x:c r="X370" s="15" t="n">
        <x:v>0</x:v>
      </x:c>
      <x:c r="Y370" s="15" t="n">
        <x:v>0</x:v>
      </x:c>
      <x:c r="Z370" s="15" t="n">
        <x:v>0</x:v>
      </x:c>
      <x:c r="AA370" s="15" t="n">
        <x:v>0</x:v>
      </x:c>
      <x:c r="AB370" s="15" t="n">
        <x:f>SUM(G370:AA370)</x:f>
        <x:v>592</x:v>
      </x:c>
    </x:row>
    <x:row r="371" ht="36" customHeight="1">
      <x:c r="A371" s="10" t="str">
        <x:v>V-R1</x:v>
      </x:c>
      <x:c r="B371" s="10" t="str">
        <x:v>VOICE</x:v>
      </x:c>
      <x:c r="C371" s="10" t="str">
        <x:v>VOICE:S1-02</x:v>
      </x:c>
      <x:c r="D371" s="10" t="str">
        <x:v>VOICE:M55</x:v>
      </x:c>
      <x:c r="E371" s="15" t="n">
        <x:v>0</x:v>
      </x:c>
      <x:c r="F371" s="15" t="str">
        <x:v>scored</x:v>
      </x:c>
      <x:c r="G371" s="15" t="n">
        <x:v>0</x:v>
      </x:c>
      <x:c r="H371" s="15" t="n">
        <x:v>0</x:v>
      </x:c>
      <x:c r="I371" s="15" t="n">
        <x:v>0</x:v>
      </x:c>
      <x:c r="J371" s="15" t="n">
        <x:v>0</x:v>
      </x:c>
      <x:c r="K371" s="15" t="n">
        <x:v>0</x:v>
      </x:c>
      <x:c r="L371" s="15" t="n">
        <x:v>0</x:v>
      </x:c>
      <x:c r="M371" s="15" t="n">
        <x:v>180</x:v>
      </x:c>
      <x:c r="N371" s="15" t="n">
        <x:v>220</x:v>
      </x:c>
      <x:c r="O371" s="15" t="n">
        <x:v>96</x:v>
      </x:c>
      <x:c r="P371" s="15" t="n">
        <x:v>64</x:v>
      </x:c>
      <x:c r="Q371" s="15" t="n">
        <x:v>24</x:v>
      </x:c>
      <x:c r="R371" s="15" t="n">
        <x:v>0</x:v>
      </x:c>
      <x:c r="S371" s="15" t="n">
        <x:v>0</x:v>
      </x:c>
      <x:c r="T371" s="15" t="n">
        <x:v>0</x:v>
      </x:c>
      <x:c r="U371" s="15" t="n">
        <x:v>0</x:v>
      </x:c>
      <x:c r="V371" s="15" t="n">
        <x:v>0</x:v>
      </x:c>
      <x:c r="W371" s="15" t="n">
        <x:v>0</x:v>
      </x:c>
      <x:c r="X371" s="15" t="n">
        <x:v>0</x:v>
      </x:c>
      <x:c r="Y371" s="15" t="n">
        <x:v>0</x:v>
      </x:c>
      <x:c r="Z371" s="15" t="n">
        <x:v>0</x:v>
      </x:c>
      <x:c r="AA371" s="15" t="n">
        <x:v>0</x:v>
      </x:c>
      <x:c r="AB371" s="15" t="n">
        <x:f>SUM(G371:AA371)</x:f>
        <x:v>584</x:v>
      </x:c>
    </x:row>
    <x:row r="372" ht="36" customHeight="1">
      <x:c r="A372" s="10" t="str">
        <x:v>V-R2</x:v>
      </x:c>
      <x:c r="B372" s="10" t="str">
        <x:v>VOICE</x:v>
      </x:c>
      <x:c r="C372" s="10" t="str">
        <x:v>VOICE:S1-02</x:v>
      </x:c>
      <x:c r="D372" s="10" t="str">
        <x:v>VOICE:M66</x:v>
      </x:c>
      <x:c r="E372" s="15" t="n">
        <x:v>0</x:v>
      </x:c>
      <x:c r="F372" s="15" t="str">
        <x:v>scored</x:v>
      </x:c>
      <x:c r="G372" s="15" t="n">
        <x:v>0</x:v>
      </x:c>
      <x:c r="H372" s="15" t="n">
        <x:v>0</x:v>
      </x:c>
      <x:c r="I372" s="15" t="n">
        <x:v>0</x:v>
      </x:c>
      <x:c r="J372" s="15" t="n">
        <x:v>0</x:v>
      </x:c>
      <x:c r="K372" s="15" t="n">
        <x:v>0</x:v>
      </x:c>
      <x:c r="L372" s="15" t="n">
        <x:v>0</x:v>
      </x:c>
      <x:c r="M372" s="15" t="n">
        <x:v>180</x:v>
      </x:c>
      <x:c r="N372" s="15" t="n">
        <x:v>220</x:v>
      </x:c>
      <x:c r="O372" s="15" t="n">
        <x:v>96</x:v>
      </x:c>
      <x:c r="P372" s="15" t="n">
        <x:v>64</x:v>
      </x:c>
      <x:c r="Q372" s="15" t="n">
        <x:v>24</x:v>
      </x:c>
      <x:c r="R372" s="15" t="n">
        <x:v>0</x:v>
      </x:c>
      <x:c r="S372" s="15" t="n">
        <x:v>0</x:v>
      </x:c>
      <x:c r="T372" s="15" t="n">
        <x:v>0</x:v>
      </x:c>
      <x:c r="U372" s="15" t="n">
        <x:v>0</x:v>
      </x:c>
      <x:c r="V372" s="15" t="n">
        <x:v>0</x:v>
      </x:c>
      <x:c r="W372" s="15" t="n">
        <x:v>0</x:v>
      </x:c>
      <x:c r="X372" s="15" t="n">
        <x:v>0</x:v>
      </x:c>
      <x:c r="Y372" s="15" t="n">
        <x:v>0</x:v>
      </x:c>
      <x:c r="Z372" s="15" t="n">
        <x:v>0</x:v>
      </x:c>
      <x:c r="AA372" s="15" t="n">
        <x:v>0</x:v>
      </x:c>
      <x:c r="AB372" s="15" t="n">
        <x:f>SUM(G372:AA372)</x:f>
        <x:v>584</x:v>
      </x:c>
    </x:row>
    <x:row r="373" ht="36" customHeight="1">
      <x:c r="A373" s="10" t="str">
        <x:v>V-R3</x:v>
      </x:c>
      <x:c r="B373" s="10" t="str">
        <x:v>VOICE</x:v>
      </x:c>
      <x:c r="C373" s="10" t="str">
        <x:v>VOICE:S1-02</x:v>
      </x:c>
      <x:c r="D373" s="10" t="str">
        <x:v>VOICE:M77</x:v>
      </x:c>
      <x:c r="E373" s="15" t="n">
        <x:v>0</x:v>
      </x:c>
      <x:c r="F373" s="15" t="str">
        <x:v>scored</x:v>
      </x:c>
      <x:c r="G373" s="15" t="n">
        <x:v>0</x:v>
      </x:c>
      <x:c r="H373" s="15" t="n">
        <x:v>0</x:v>
      </x:c>
      <x:c r="I373" s="15" t="n">
        <x:v>0</x:v>
      </x:c>
      <x:c r="J373" s="15" t="n">
        <x:v>0</x:v>
      </x:c>
      <x:c r="K373" s="15" t="n">
        <x:v>0</x:v>
      </x:c>
      <x:c r="L373" s="15" t="n">
        <x:v>0</x:v>
      </x:c>
      <x:c r="M373" s="15" t="n">
        <x:v>180</x:v>
      </x:c>
      <x:c r="N373" s="15" t="n">
        <x:v>220</x:v>
      </x:c>
      <x:c r="O373" s="15" t="n">
        <x:v>96</x:v>
      </x:c>
      <x:c r="P373" s="15" t="n">
        <x:v>64</x:v>
      </x:c>
      <x:c r="Q373" s="15" t="n">
        <x:v>32</x:v>
      </x:c>
      <x:c r="R373" s="15" t="n">
        <x:v>0</x:v>
      </x:c>
      <x:c r="S373" s="15" t="n">
        <x:v>0</x:v>
      </x:c>
      <x:c r="T373" s="15" t="n">
        <x:v>0</x:v>
      </x:c>
      <x:c r="U373" s="15" t="n">
        <x:v>0</x:v>
      </x:c>
      <x:c r="V373" s="15" t="n">
        <x:v>0</x:v>
      </x:c>
      <x:c r="W373" s="15" t="n">
        <x:v>0</x:v>
      </x:c>
      <x:c r="X373" s="15" t="n">
        <x:v>0</x:v>
      </x:c>
      <x:c r="Y373" s="15" t="n">
        <x:v>0</x:v>
      </x:c>
      <x:c r="Z373" s="15" t="n">
        <x:v>0</x:v>
      </x:c>
      <x:c r="AA373" s="15" t="n">
        <x:v>0</x:v>
      </x:c>
      <x:c r="AB373" s="15" t="n">
        <x:f>SUM(G373:AA373)</x:f>
        <x:v>592</x:v>
      </x:c>
    </x:row>
    <x:row r="374" ht="36" customHeight="1">
      <x:c r="A374" s="10" t="str">
        <x:v>V-A</x:v>
      </x:c>
      <x:c r="B374" s="10" t="str">
        <x:v>VOICE</x:v>
      </x:c>
      <x:c r="C374" s="10" t="str">
        <x:v>VOICE:S1-03</x:v>
      </x:c>
      <x:c r="D374" s="10" t="str">
        <x:v>VOICE:M88</x:v>
      </x:c>
      <x:c r="E374" s="15" t="n">
        <x:v>0</x:v>
      </x:c>
      <x:c r="F374" s="15" t="str">
        <x:v>scored</x:v>
      </x:c>
      <x:c r="G374" s="15" t="n">
        <x:v>0</x:v>
      </x:c>
      <x:c r="H374" s="15" t="n">
        <x:v>0</x:v>
      </x:c>
      <x:c r="I374" s="15" t="n">
        <x:v>0</x:v>
      </x:c>
      <x:c r="J374" s="15" t="n">
        <x:v>0</x:v>
      </x:c>
      <x:c r="K374" s="15" t="n">
        <x:v>0</x:v>
      </x:c>
      <x:c r="L374" s="15" t="n">
        <x:v>0</x:v>
      </x:c>
      <x:c r="M374" s="15" t="n">
        <x:v>180</x:v>
      </x:c>
      <x:c r="N374" s="15" t="n">
        <x:v>220</x:v>
      </x:c>
      <x:c r="O374" s="15" t="n">
        <x:v>96</x:v>
      </x:c>
      <x:c r="P374" s="15" t="n">
        <x:v>64</x:v>
      </x:c>
      <x:c r="Q374" s="15" t="n">
        <x:v>32</x:v>
      </x:c>
      <x:c r="R374" s="15" t="n">
        <x:v>0</x:v>
      </x:c>
      <x:c r="S374" s="15" t="n">
        <x:v>0</x:v>
      </x:c>
      <x:c r="T374" s="15" t="n">
        <x:v>0</x:v>
      </x:c>
      <x:c r="U374" s="15" t="n">
        <x:v>0</x:v>
      </x:c>
      <x:c r="V374" s="15" t="n">
        <x:v>0</x:v>
      </x:c>
      <x:c r="W374" s="15" t="n">
        <x:v>0</x:v>
      </x:c>
      <x:c r="X374" s="15" t="n">
        <x:v>0</x:v>
      </x:c>
      <x:c r="Y374" s="15" t="n">
        <x:v>0</x:v>
      </x:c>
      <x:c r="Z374" s="15" t="n">
        <x:v>0</x:v>
      </x:c>
      <x:c r="AA374" s="15" t="n">
        <x:v>0</x:v>
      </x:c>
      <x:c r="AB374" s="15" t="n">
        <x:f>SUM(G374:AA374)</x:f>
        <x:v>592</x:v>
      </x:c>
    </x:row>
    <x:row r="375" ht="36" customHeight="1">
      <x:c r="A375" s="10" t="str">
        <x:v>V-R1</x:v>
      </x:c>
      <x:c r="B375" s="10" t="str">
        <x:v>VOICE</x:v>
      </x:c>
      <x:c r="C375" s="10" t="str">
        <x:v>VOICE:S1-03</x:v>
      </x:c>
      <x:c r="D375" s="10" t="str">
        <x:v>VOICE:M99</x:v>
      </x:c>
      <x:c r="E375" s="15" t="n">
        <x:v>0</x:v>
      </x:c>
      <x:c r="F375" s="15" t="str">
        <x:v>scored</x:v>
      </x:c>
      <x:c r="G375" s="15" t="n">
        <x:v>0</x:v>
      </x:c>
      <x:c r="H375" s="15" t="n">
        <x:v>0</x:v>
      </x:c>
      <x:c r="I375" s="15" t="n">
        <x:v>0</x:v>
      </x:c>
      <x:c r="J375" s="15" t="n">
        <x:v>0</x:v>
      </x:c>
      <x:c r="K375" s="15" t="n">
        <x:v>0</x:v>
      </x:c>
      <x:c r="L375" s="15" t="n">
        <x:v>0</x:v>
      </x:c>
      <x:c r="M375" s="15" t="n">
        <x:v>180</x:v>
      </x:c>
      <x:c r="N375" s="15" t="n">
        <x:v>220</x:v>
      </x:c>
      <x:c r="O375" s="15" t="n">
        <x:v>96</x:v>
      </x:c>
      <x:c r="P375" s="15" t="n">
        <x:v>64</x:v>
      </x:c>
      <x:c r="Q375" s="15" t="n">
        <x:v>24</x:v>
      </x:c>
      <x:c r="R375" s="15" t="n">
        <x:v>0</x:v>
      </x:c>
      <x:c r="S375" s="15" t="n">
        <x:v>0</x:v>
      </x:c>
      <x:c r="T375" s="15" t="n">
        <x:v>0</x:v>
      </x:c>
      <x:c r="U375" s="15" t="n">
        <x:v>0</x:v>
      </x:c>
      <x:c r="V375" s="15" t="n">
        <x:v>0</x:v>
      </x:c>
      <x:c r="W375" s="15" t="n">
        <x:v>0</x:v>
      </x:c>
      <x:c r="X375" s="15" t="n">
        <x:v>0</x:v>
      </x:c>
      <x:c r="Y375" s="15" t="n">
        <x:v>0</x:v>
      </x:c>
      <x:c r="Z375" s="15" t="n">
        <x:v>0</x:v>
      </x:c>
      <x:c r="AA375" s="15" t="n">
        <x:v>0</x:v>
      </x:c>
      <x:c r="AB375" s="15" t="n">
        <x:f>SUM(G375:AA375)</x:f>
        <x:v>584</x:v>
      </x:c>
    </x:row>
    <x:row r="376" ht="36" customHeight="1">
      <x:c r="A376" s="10" t="str">
        <x:v>V-R2</x:v>
      </x:c>
      <x:c r="B376" s="10" t="str">
        <x:v>VOICE</x:v>
      </x:c>
      <x:c r="C376" s="10" t="str">
        <x:v>VOICE:S1-03</x:v>
      </x:c>
      <x:c r="D376" s="10" t="str">
        <x:v>VOICE:M110</x:v>
      </x:c>
      <x:c r="E376" s="15" t="n">
        <x:v>0</x:v>
      </x:c>
      <x:c r="F376" s="15" t="str">
        <x:v>scored</x:v>
      </x:c>
      <x:c r="G376" s="15" t="n">
        <x:v>0</x:v>
      </x:c>
      <x:c r="H376" s="15" t="n">
        <x:v>0</x:v>
      </x:c>
      <x:c r="I376" s="15" t="n">
        <x:v>0</x:v>
      </x:c>
      <x:c r="J376" s="15" t="n">
        <x:v>0</x:v>
      </x:c>
      <x:c r="K376" s="15" t="n">
        <x:v>0</x:v>
      </x:c>
      <x:c r="L376" s="15" t="n">
        <x:v>0</x:v>
      </x:c>
      <x:c r="M376" s="15" t="n">
        <x:v>180</x:v>
      </x:c>
      <x:c r="N376" s="15" t="n">
        <x:v>220</x:v>
      </x:c>
      <x:c r="O376" s="15" t="n">
        <x:v>96</x:v>
      </x:c>
      <x:c r="P376" s="15" t="n">
        <x:v>64</x:v>
      </x:c>
      <x:c r="Q376" s="15" t="n">
        <x:v>24</x:v>
      </x:c>
      <x:c r="R376" s="15" t="n">
        <x:v>0</x:v>
      </x:c>
      <x:c r="S376" s="15" t="n">
        <x:v>0</x:v>
      </x:c>
      <x:c r="T376" s="15" t="n">
        <x:v>0</x:v>
      </x:c>
      <x:c r="U376" s="15" t="n">
        <x:v>0</x:v>
      </x:c>
      <x:c r="V376" s="15" t="n">
        <x:v>0</x:v>
      </x:c>
      <x:c r="W376" s="15" t="n">
        <x:v>0</x:v>
      </x:c>
      <x:c r="X376" s="15" t="n">
        <x:v>0</x:v>
      </x:c>
      <x:c r="Y376" s="15" t="n">
        <x:v>0</x:v>
      </x:c>
      <x:c r="Z376" s="15" t="n">
        <x:v>0</x:v>
      </x:c>
      <x:c r="AA376" s="15" t="n">
        <x:v>0</x:v>
      </x:c>
      <x:c r="AB376" s="15" t="n">
        <x:f>SUM(G376:AA376)</x:f>
        <x:v>584</x:v>
      </x:c>
    </x:row>
    <x:row r="377" ht="36" customHeight="1">
      <x:c r="A377" s="10" t="str">
        <x:v>V-R3</x:v>
      </x:c>
      <x:c r="B377" s="10" t="str">
        <x:v>VOICE</x:v>
      </x:c>
      <x:c r="C377" s="10" t="str">
        <x:v>VOICE:S1-03</x:v>
      </x:c>
      <x:c r="D377" s="10" t="str">
        <x:v>VOICE:M121</x:v>
      </x:c>
      <x:c r="E377" s="15" t="n">
        <x:v>0</x:v>
      </x:c>
      <x:c r="F377" s="15" t="str">
        <x:v>scored</x:v>
      </x:c>
      <x:c r="G377" s="15" t="n">
        <x:v>0</x:v>
      </x:c>
      <x:c r="H377" s="15" t="n">
        <x:v>0</x:v>
      </x:c>
      <x:c r="I377" s="15" t="n">
        <x:v>0</x:v>
      </x:c>
      <x:c r="J377" s="15" t="n">
        <x:v>0</x:v>
      </x:c>
      <x:c r="K377" s="15" t="n">
        <x:v>0</x:v>
      </x:c>
      <x:c r="L377" s="15" t="n">
        <x:v>0</x:v>
      </x:c>
      <x:c r="M377" s="15" t="n">
        <x:v>180</x:v>
      </x:c>
      <x:c r="N377" s="15" t="n">
        <x:v>220</x:v>
      </x:c>
      <x:c r="O377" s="15" t="n">
        <x:v>96</x:v>
      </x:c>
      <x:c r="P377" s="15" t="n">
        <x:v>64</x:v>
      </x:c>
      <x:c r="Q377" s="15" t="n">
        <x:v>32</x:v>
      </x:c>
      <x:c r="R377" s="15" t="n">
        <x:v>0</x:v>
      </x:c>
      <x:c r="S377" s="15" t="n">
        <x:v>0</x:v>
      </x:c>
      <x:c r="T377" s="15" t="n">
        <x:v>0</x:v>
      </x:c>
      <x:c r="U377" s="15" t="n">
        <x:v>0</x:v>
      </x:c>
      <x:c r="V377" s="15" t="n">
        <x:v>0</x:v>
      </x:c>
      <x:c r="W377" s="15" t="n">
        <x:v>0</x:v>
      </x:c>
      <x:c r="X377" s="15" t="n">
        <x:v>0</x:v>
      </x:c>
      <x:c r="Y377" s="15" t="n">
        <x:v>0</x:v>
      </x:c>
      <x:c r="Z377" s="15" t="n">
        <x:v>0</x:v>
      </x:c>
      <x:c r="AA377" s="15" t="n">
        <x:v>0</x:v>
      </x:c>
      <x:c r="AB377" s="15" t="n">
        <x:f>SUM(G377:AA377)</x:f>
        <x:v>592</x:v>
      </x:c>
    </x:row>
    <x:row r="378" ht="36" customHeight="1">
      <x:c r="A378" s="10" t="str">
        <x:v>V-A</x:v>
      </x:c>
      <x:c r="B378" s="10" t="str">
        <x:v>VOICE</x:v>
      </x:c>
      <x:c r="C378" s="10" t="str">
        <x:v>VOICE:S1-04</x:v>
      </x:c>
      <x:c r="D378" s="10" t="str">
        <x:v>VOICE:M132</x:v>
      </x:c>
      <x:c r="E378" s="15" t="n">
        <x:v>0</x:v>
      </x:c>
      <x:c r="F378" s="15" t="str">
        <x:v>scored</x:v>
      </x:c>
      <x:c r="G378" s="15" t="n">
        <x:v>0</x:v>
      </x:c>
      <x:c r="H378" s="15" t="n">
        <x:v>0</x:v>
      </x:c>
      <x:c r="I378" s="15" t="n">
        <x:v>0</x:v>
      </x:c>
      <x:c r="J378" s="15" t="n">
        <x:v>0</x:v>
      </x:c>
      <x:c r="K378" s="15" t="n">
        <x:v>0</x:v>
      </x:c>
      <x:c r="L378" s="15" t="n">
        <x:v>0</x:v>
      </x:c>
      <x:c r="M378" s="15" t="n">
        <x:v>180</x:v>
      </x:c>
      <x:c r="N378" s="15" t="n">
        <x:v>220</x:v>
      </x:c>
      <x:c r="O378" s="15" t="n">
        <x:v>96</x:v>
      </x:c>
      <x:c r="P378" s="15" t="n">
        <x:v>64</x:v>
      </x:c>
      <x:c r="Q378" s="15" t="n">
        <x:v>32</x:v>
      </x:c>
      <x:c r="R378" s="15" t="n">
        <x:v>0</x:v>
      </x:c>
      <x:c r="S378" s="15" t="n">
        <x:v>0</x:v>
      </x:c>
      <x:c r="T378" s="15" t="n">
        <x:v>0</x:v>
      </x:c>
      <x:c r="U378" s="15" t="n">
        <x:v>0</x:v>
      </x:c>
      <x:c r="V378" s="15" t="n">
        <x:v>0</x:v>
      </x:c>
      <x:c r="W378" s="15" t="n">
        <x:v>0</x:v>
      </x:c>
      <x:c r="X378" s="15" t="n">
        <x:v>0</x:v>
      </x:c>
      <x:c r="Y378" s="15" t="n">
        <x:v>0</x:v>
      </x:c>
      <x:c r="Z378" s="15" t="n">
        <x:v>0</x:v>
      </x:c>
      <x:c r="AA378" s="15" t="n">
        <x:v>0</x:v>
      </x:c>
      <x:c r="AB378" s="15" t="n">
        <x:f>SUM(G378:AA378)</x:f>
        <x:v>592</x:v>
      </x:c>
    </x:row>
    <x:row r="379" ht="36" customHeight="1">
      <x:c r="A379" s="10" t="str">
        <x:v>V-R1</x:v>
      </x:c>
      <x:c r="B379" s="10" t="str">
        <x:v>VOICE</x:v>
      </x:c>
      <x:c r="C379" s="10" t="str">
        <x:v>VOICE:S1-04</x:v>
      </x:c>
      <x:c r="D379" s="10" t="str">
        <x:v>VOICE:M143</x:v>
      </x:c>
      <x:c r="E379" s="15" t="n">
        <x:v>0</x:v>
      </x:c>
      <x:c r="F379" s="15" t="str">
        <x:v>scored</x:v>
      </x:c>
      <x:c r="G379" s="15" t="n">
        <x:v>0</x:v>
      </x:c>
      <x:c r="H379" s="15" t="n">
        <x:v>0</x:v>
      </x:c>
      <x:c r="I379" s="15" t="n">
        <x:v>0</x:v>
      </x:c>
      <x:c r="J379" s="15" t="n">
        <x:v>0</x:v>
      </x:c>
      <x:c r="K379" s="15" t="n">
        <x:v>0</x:v>
      </x:c>
      <x:c r="L379" s="15" t="n">
        <x:v>0</x:v>
      </x:c>
      <x:c r="M379" s="15" t="n">
        <x:v>180</x:v>
      </x:c>
      <x:c r="N379" s="15" t="n">
        <x:v>220</x:v>
      </x:c>
      <x:c r="O379" s="15" t="n">
        <x:v>96</x:v>
      </x:c>
      <x:c r="P379" s="15" t="n">
        <x:v>64</x:v>
      </x:c>
      <x:c r="Q379" s="15" t="n">
        <x:v>24</x:v>
      </x:c>
      <x:c r="R379" s="15" t="n">
        <x:v>0</x:v>
      </x:c>
      <x:c r="S379" s="15" t="n">
        <x:v>0</x:v>
      </x:c>
      <x:c r="T379" s="15" t="n">
        <x:v>0</x:v>
      </x:c>
      <x:c r="U379" s="15" t="n">
        <x:v>0</x:v>
      </x:c>
      <x:c r="V379" s="15" t="n">
        <x:v>0</x:v>
      </x:c>
      <x:c r="W379" s="15" t="n">
        <x:v>0</x:v>
      </x:c>
      <x:c r="X379" s="15" t="n">
        <x:v>0</x:v>
      </x:c>
      <x:c r="Y379" s="15" t="n">
        <x:v>0</x:v>
      </x:c>
      <x:c r="Z379" s="15" t="n">
        <x:v>0</x:v>
      </x:c>
      <x:c r="AA379" s="15" t="n">
        <x:v>0</x:v>
      </x:c>
      <x:c r="AB379" s="15" t="n">
        <x:f>SUM(G379:AA379)</x:f>
        <x:v>584</x:v>
      </x:c>
    </x:row>
    <x:row r="380" ht="36" customHeight="1">
      <x:c r="A380" s="10" t="str">
        <x:v>V-R2</x:v>
      </x:c>
      <x:c r="B380" s="10" t="str">
        <x:v>VOICE</x:v>
      </x:c>
      <x:c r="C380" s="10" t="str">
        <x:v>VOICE:S1-04</x:v>
      </x:c>
      <x:c r="D380" s="10" t="str">
        <x:v>VOICE:M154</x:v>
      </x:c>
      <x:c r="E380" s="15" t="n">
        <x:v>0</x:v>
      </x:c>
      <x:c r="F380" s="15" t="str">
        <x:v>scored</x:v>
      </x:c>
      <x:c r="G380" s="15" t="n">
        <x:v>0</x:v>
      </x:c>
      <x:c r="H380" s="15" t="n">
        <x:v>0</x:v>
      </x:c>
      <x:c r="I380" s="15" t="n">
        <x:v>0</x:v>
      </x:c>
      <x:c r="J380" s="15" t="n">
        <x:v>0</x:v>
      </x:c>
      <x:c r="K380" s="15" t="n">
        <x:v>0</x:v>
      </x:c>
      <x:c r="L380" s="15" t="n">
        <x:v>0</x:v>
      </x:c>
      <x:c r="M380" s="15" t="n">
        <x:v>180</x:v>
      </x:c>
      <x:c r="N380" s="15" t="n">
        <x:v>220</x:v>
      </x:c>
      <x:c r="O380" s="15" t="n">
        <x:v>96</x:v>
      </x:c>
      <x:c r="P380" s="15" t="n">
        <x:v>64</x:v>
      </x:c>
      <x:c r="Q380" s="15" t="n">
        <x:v>24</x:v>
      </x:c>
      <x:c r="R380" s="15" t="n">
        <x:v>0</x:v>
      </x:c>
      <x:c r="S380" s="15" t="n">
        <x:v>0</x:v>
      </x:c>
      <x:c r="T380" s="15" t="n">
        <x:v>0</x:v>
      </x:c>
      <x:c r="U380" s="15" t="n">
        <x:v>0</x:v>
      </x:c>
      <x:c r="V380" s="15" t="n">
        <x:v>0</x:v>
      </x:c>
      <x:c r="W380" s="15" t="n">
        <x:v>0</x:v>
      </x:c>
      <x:c r="X380" s="15" t="n">
        <x:v>0</x:v>
      </x:c>
      <x:c r="Y380" s="15" t="n">
        <x:v>0</x:v>
      </x:c>
      <x:c r="Z380" s="15" t="n">
        <x:v>0</x:v>
      </x:c>
      <x:c r="AA380" s="15" t="n">
        <x:v>0</x:v>
      </x:c>
      <x:c r="AB380" s="15" t="n">
        <x:f>SUM(G380:AA380)</x:f>
        <x:v>584</x:v>
      </x:c>
    </x:row>
    <x:row r="381" ht="36" customHeight="1">
      <x:c r="A381" s="10" t="str">
        <x:v>V-R3</x:v>
      </x:c>
      <x:c r="B381" s="10" t="str">
        <x:v>VOICE</x:v>
      </x:c>
      <x:c r="C381" s="10" t="str">
        <x:v>VOICE:S1-04</x:v>
      </x:c>
      <x:c r="D381" s="10" t="str">
        <x:v>VOICE:M165</x:v>
      </x:c>
      <x:c r="E381" s="15" t="n">
        <x:v>0</x:v>
      </x:c>
      <x:c r="F381" s="15" t="str">
        <x:v>scored</x:v>
      </x:c>
      <x:c r="G381" s="15" t="n">
        <x:v>0</x:v>
      </x:c>
      <x:c r="H381" s="15" t="n">
        <x:v>0</x:v>
      </x:c>
      <x:c r="I381" s="15" t="n">
        <x:v>0</x:v>
      </x:c>
      <x:c r="J381" s="15" t="n">
        <x:v>0</x:v>
      </x:c>
      <x:c r="K381" s="15" t="n">
        <x:v>0</x:v>
      </x:c>
      <x:c r="L381" s="15" t="n">
        <x:v>0</x:v>
      </x:c>
      <x:c r="M381" s="15" t="n">
        <x:v>180</x:v>
      </x:c>
      <x:c r="N381" s="15" t="n">
        <x:v>220</x:v>
      </x:c>
      <x:c r="O381" s="15" t="n">
        <x:v>96</x:v>
      </x:c>
      <x:c r="P381" s="15" t="n">
        <x:v>64</x:v>
      </x:c>
      <x:c r="Q381" s="15" t="n">
        <x:v>32</x:v>
      </x:c>
      <x:c r="R381" s="15" t="n">
        <x:v>0</x:v>
      </x:c>
      <x:c r="S381" s="15" t="n">
        <x:v>0</x:v>
      </x:c>
      <x:c r="T381" s="15" t="n">
        <x:v>0</x:v>
      </x:c>
      <x:c r="U381" s="15" t="n">
        <x:v>0</x:v>
      </x:c>
      <x:c r="V381" s="15" t="n">
        <x:v>0</x:v>
      </x:c>
      <x:c r="W381" s="15" t="n">
        <x:v>0</x:v>
      </x:c>
      <x:c r="X381" s="15" t="n">
        <x:v>0</x:v>
      </x:c>
      <x:c r="Y381" s="15" t="n">
        <x:v>0</x:v>
      </x:c>
      <x:c r="Z381" s="15" t="n">
        <x:v>0</x:v>
      </x:c>
      <x:c r="AA381" s="15" t="n">
        <x:v>0</x:v>
      </x:c>
      <x:c r="AB381" s="15" t="n">
        <x:f>SUM(G381:AA381)</x:f>
        <x:v>592</x:v>
      </x:c>
    </x:row>
    <x:row r="382" ht="36" customHeight="1">
      <x:c r="A382" s="10" t="str">
        <x:v>V-A</x:v>
      </x:c>
      <x:c r="B382" s="10" t="str">
        <x:v>VOICE</x:v>
      </x:c>
      <x:c r="C382" s="10" t="str">
        <x:v>VOICE:S1-05</x:v>
      </x:c>
      <x:c r="D382" s="10" t="str">
        <x:v>VOICE:M176</x:v>
      </x:c>
      <x:c r="E382" s="15" t="n">
        <x:v>0</x:v>
      </x:c>
      <x:c r="F382" s="15" t="str">
        <x:v>scored</x:v>
      </x:c>
      <x:c r="G382" s="15" t="n">
        <x:v>0</x:v>
      </x:c>
      <x:c r="H382" s="15" t="n">
        <x:v>0</x:v>
      </x:c>
      <x:c r="I382" s="15" t="n">
        <x:v>0</x:v>
      </x:c>
      <x:c r="J382" s="15" t="n">
        <x:v>0</x:v>
      </x:c>
      <x:c r="K382" s="15" t="n">
        <x:v>0</x:v>
      </x:c>
      <x:c r="L382" s="15" t="n">
        <x:v>0</x:v>
      </x:c>
      <x:c r="M382" s="15" t="n">
        <x:v>180</x:v>
      </x:c>
      <x:c r="N382" s="15" t="n">
        <x:v>220</x:v>
      </x:c>
      <x:c r="O382" s="15" t="n">
        <x:v>96</x:v>
      </x:c>
      <x:c r="P382" s="15" t="n">
        <x:v>64</x:v>
      </x:c>
      <x:c r="Q382" s="15" t="n">
        <x:v>32</x:v>
      </x:c>
      <x:c r="R382" s="15" t="n">
        <x:v>0</x:v>
      </x:c>
      <x:c r="S382" s="15" t="n">
        <x:v>0</x:v>
      </x:c>
      <x:c r="T382" s="15" t="n">
        <x:v>0</x:v>
      </x:c>
      <x:c r="U382" s="15" t="n">
        <x:v>0</x:v>
      </x:c>
      <x:c r="V382" s="15" t="n">
        <x:v>0</x:v>
      </x:c>
      <x:c r="W382" s="15" t="n">
        <x:v>0</x:v>
      </x:c>
      <x:c r="X382" s="15" t="n">
        <x:v>0</x:v>
      </x:c>
      <x:c r="Y382" s="15" t="n">
        <x:v>0</x:v>
      </x:c>
      <x:c r="Z382" s="15" t="n">
        <x:v>0</x:v>
      </x:c>
      <x:c r="AA382" s="15" t="n">
        <x:v>0</x:v>
      </x:c>
      <x:c r="AB382" s="15" t="n">
        <x:f>SUM(G382:AA382)</x:f>
        <x:v>592</x:v>
      </x:c>
    </x:row>
    <x:row r="383" ht="36" customHeight="1">
      <x:c r="A383" s="10" t="str">
        <x:v>V-R1</x:v>
      </x:c>
      <x:c r="B383" s="10" t="str">
        <x:v>VOICE</x:v>
      </x:c>
      <x:c r="C383" s="10" t="str">
        <x:v>VOICE:S1-05</x:v>
      </x:c>
      <x:c r="D383" s="10" t="str">
        <x:v>VOICE:M187</x:v>
      </x:c>
      <x:c r="E383" s="15" t="n">
        <x:v>0</x:v>
      </x:c>
      <x:c r="F383" s="15" t="str">
        <x:v>scored</x:v>
      </x:c>
      <x:c r="G383" s="15" t="n">
        <x:v>0</x:v>
      </x:c>
      <x:c r="H383" s="15" t="n">
        <x:v>0</x:v>
      </x:c>
      <x:c r="I383" s="15" t="n">
        <x:v>0</x:v>
      </x:c>
      <x:c r="J383" s="15" t="n">
        <x:v>0</x:v>
      </x:c>
      <x:c r="K383" s="15" t="n">
        <x:v>0</x:v>
      </x:c>
      <x:c r="L383" s="15" t="n">
        <x:v>0</x:v>
      </x:c>
      <x:c r="M383" s="15" t="n">
        <x:v>180</x:v>
      </x:c>
      <x:c r="N383" s="15" t="n">
        <x:v>220</x:v>
      </x:c>
      <x:c r="O383" s="15" t="n">
        <x:v>96</x:v>
      </x:c>
      <x:c r="P383" s="15" t="n">
        <x:v>64</x:v>
      </x:c>
      <x:c r="Q383" s="15" t="n">
        <x:v>24</x:v>
      </x:c>
      <x:c r="R383" s="15" t="n">
        <x:v>0</x:v>
      </x:c>
      <x:c r="S383" s="15" t="n">
        <x:v>0</x:v>
      </x:c>
      <x:c r="T383" s="15" t="n">
        <x:v>0</x:v>
      </x:c>
      <x:c r="U383" s="15" t="n">
        <x:v>0</x:v>
      </x:c>
      <x:c r="V383" s="15" t="n">
        <x:v>0</x:v>
      </x:c>
      <x:c r="W383" s="15" t="n">
        <x:v>0</x:v>
      </x:c>
      <x:c r="X383" s="15" t="n">
        <x:v>0</x:v>
      </x:c>
      <x:c r="Y383" s="15" t="n">
        <x:v>0</x:v>
      </x:c>
      <x:c r="Z383" s="15" t="n">
        <x:v>0</x:v>
      </x:c>
      <x:c r="AA383" s="15" t="n">
        <x:v>0</x:v>
      </x:c>
      <x:c r="AB383" s="15" t="n">
        <x:f>SUM(G383:AA383)</x:f>
        <x:v>584</x:v>
      </x:c>
    </x:row>
    <x:row r="384" ht="36" customHeight="1">
      <x:c r="A384" s="10" t="str">
        <x:v>V-R2</x:v>
      </x:c>
      <x:c r="B384" s="10" t="str">
        <x:v>VOICE</x:v>
      </x:c>
      <x:c r="C384" s="10" t="str">
        <x:v>VOICE:S1-05</x:v>
      </x:c>
      <x:c r="D384" s="10" t="str">
        <x:v>VOICE:M198</x:v>
      </x:c>
      <x:c r="E384" s="15" t="n">
        <x:v>0</x:v>
      </x:c>
      <x:c r="F384" s="15" t="str">
        <x:v>scored</x:v>
      </x:c>
      <x:c r="G384" s="15" t="n">
        <x:v>0</x:v>
      </x:c>
      <x:c r="H384" s="15" t="n">
        <x:v>0</x:v>
      </x:c>
      <x:c r="I384" s="15" t="n">
        <x:v>0</x:v>
      </x:c>
      <x:c r="J384" s="15" t="n">
        <x:v>0</x:v>
      </x:c>
      <x:c r="K384" s="15" t="n">
        <x:v>0</x:v>
      </x:c>
      <x:c r="L384" s="15" t="n">
        <x:v>0</x:v>
      </x:c>
      <x:c r="M384" s="15" t="n">
        <x:v>180</x:v>
      </x:c>
      <x:c r="N384" s="15" t="n">
        <x:v>220</x:v>
      </x:c>
      <x:c r="O384" s="15" t="n">
        <x:v>96</x:v>
      </x:c>
      <x:c r="P384" s="15" t="n">
        <x:v>64</x:v>
      </x:c>
      <x:c r="Q384" s="15" t="n">
        <x:v>24</x:v>
      </x:c>
      <x:c r="R384" s="15" t="n">
        <x:v>0</x:v>
      </x:c>
      <x:c r="S384" s="15" t="n">
        <x:v>0</x:v>
      </x:c>
      <x:c r="T384" s="15" t="n">
        <x:v>0</x:v>
      </x:c>
      <x:c r="U384" s="15" t="n">
        <x:v>0</x:v>
      </x:c>
      <x:c r="V384" s="15" t="n">
        <x:v>0</x:v>
      </x:c>
      <x:c r="W384" s="15" t="n">
        <x:v>0</x:v>
      </x:c>
      <x:c r="X384" s="15" t="n">
        <x:v>0</x:v>
      </x:c>
      <x:c r="Y384" s="15" t="n">
        <x:v>0</x:v>
      </x:c>
      <x:c r="Z384" s="15" t="n">
        <x:v>0</x:v>
      </x:c>
      <x:c r="AA384" s="15" t="n">
        <x:v>0</x:v>
      </x:c>
      <x:c r="AB384" s="15" t="n">
        <x:f>SUM(G384:AA384)</x:f>
        <x:v>584</x:v>
      </x:c>
    </x:row>
    <x:row r="385" ht="36" customHeight="1">
      <x:c r="A385" s="10" t="str">
        <x:v>V-R3</x:v>
      </x:c>
      <x:c r="B385" s="10" t="str">
        <x:v>VOICE</x:v>
      </x:c>
      <x:c r="C385" s="10" t="str">
        <x:v>VOICE:S1-05</x:v>
      </x:c>
      <x:c r="D385" s="10" t="str">
        <x:v>VOICE:M209</x:v>
      </x:c>
      <x:c r="E385" s="15" t="n">
        <x:v>0</x:v>
      </x:c>
      <x:c r="F385" s="15" t="str">
        <x:v>scored</x:v>
      </x:c>
      <x:c r="G385" s="15" t="n">
        <x:v>0</x:v>
      </x:c>
      <x:c r="H385" s="15" t="n">
        <x:v>0</x:v>
      </x:c>
      <x:c r="I385" s="15" t="n">
        <x:v>0</x:v>
      </x:c>
      <x:c r="J385" s="15" t="n">
        <x:v>0</x:v>
      </x:c>
      <x:c r="K385" s="15" t="n">
        <x:v>0</x:v>
      </x:c>
      <x:c r="L385" s="15" t="n">
        <x:v>0</x:v>
      </x:c>
      <x:c r="M385" s="15" t="n">
        <x:v>180</x:v>
      </x:c>
      <x:c r="N385" s="15" t="n">
        <x:v>220</x:v>
      </x:c>
      <x:c r="O385" s="15" t="n">
        <x:v>96</x:v>
      </x:c>
      <x:c r="P385" s="15" t="n">
        <x:v>64</x:v>
      </x:c>
      <x:c r="Q385" s="15" t="n">
        <x:v>32</x:v>
      </x:c>
      <x:c r="R385" s="15" t="n">
        <x:v>0</x:v>
      </x:c>
      <x:c r="S385" s="15" t="n">
        <x:v>0</x:v>
      </x:c>
      <x:c r="T385" s="15" t="n">
        <x:v>0</x:v>
      </x:c>
      <x:c r="U385" s="15" t="n">
        <x:v>0</x:v>
      </x:c>
      <x:c r="V385" s="15" t="n">
        <x:v>0</x:v>
      </x:c>
      <x:c r="W385" s="15" t="n">
        <x:v>0</x:v>
      </x:c>
      <x:c r="X385" s="15" t="n">
        <x:v>0</x:v>
      </x:c>
      <x:c r="Y385" s="15" t="n">
        <x:v>0</x:v>
      </x:c>
      <x:c r="Z385" s="15" t="n">
        <x:v>0</x:v>
      </x:c>
      <x:c r="AA385" s="15" t="n">
        <x:v>0</x:v>
      </x:c>
      <x:c r="AB385" s="15" t="n">
        <x:f>SUM(G385:AA385)</x:f>
        <x:v>592</x:v>
      </x:c>
    </x:row>
    <x:row r="386" ht="36" customHeight="1">
      <x:c r="A386" s="10" t="str">
        <x:v>V-A</x:v>
      </x:c>
      <x:c r="B386" s="10" t="str">
        <x:v>VOICE</x:v>
      </x:c>
      <x:c r="C386" s="10" t="str">
        <x:v>VOICE:S1-06</x:v>
      </x:c>
      <x:c r="D386" s="10" t="str">
        <x:v>VOICE:M220</x:v>
      </x:c>
      <x:c r="E386" s="15" t="n">
        <x:v>0</x:v>
      </x:c>
      <x:c r="F386" s="15" t="str">
        <x:v>scored</x:v>
      </x:c>
      <x:c r="G386" s="15" t="n">
        <x:v>0</x:v>
      </x:c>
      <x:c r="H386" s="15" t="n">
        <x:v>0</x:v>
      </x:c>
      <x:c r="I386" s="15" t="n">
        <x:v>0</x:v>
      </x:c>
      <x:c r="J386" s="15" t="n">
        <x:v>0</x:v>
      </x:c>
      <x:c r="K386" s="15" t="n">
        <x:v>0</x:v>
      </x:c>
      <x:c r="L386" s="15" t="n">
        <x:v>0</x:v>
      </x:c>
      <x:c r="M386" s="15" t="n">
        <x:v>180</x:v>
      </x:c>
      <x:c r="N386" s="15" t="n">
        <x:v>220</x:v>
      </x:c>
      <x:c r="O386" s="15" t="n">
        <x:v>96</x:v>
      </x:c>
      <x:c r="P386" s="15" t="n">
        <x:v>64</x:v>
      </x:c>
      <x:c r="Q386" s="15" t="n">
        <x:v>32</x:v>
      </x:c>
      <x:c r="R386" s="15" t="n">
        <x:v>0</x:v>
      </x:c>
      <x:c r="S386" s="15" t="n">
        <x:v>0</x:v>
      </x:c>
      <x:c r="T386" s="15" t="n">
        <x:v>0</x:v>
      </x:c>
      <x:c r="U386" s="15" t="n">
        <x:v>0</x:v>
      </x:c>
      <x:c r="V386" s="15" t="n">
        <x:v>0</x:v>
      </x:c>
      <x:c r="W386" s="15" t="n">
        <x:v>0</x:v>
      </x:c>
      <x:c r="X386" s="15" t="n">
        <x:v>0</x:v>
      </x:c>
      <x:c r="Y386" s="15" t="n">
        <x:v>0</x:v>
      </x:c>
      <x:c r="Z386" s="15" t="n">
        <x:v>0</x:v>
      </x:c>
      <x:c r="AA386" s="15" t="n">
        <x:v>0</x:v>
      </x:c>
      <x:c r="AB386" s="15" t="n">
        <x:f>SUM(G386:AA386)</x:f>
        <x:v>592</x:v>
      </x:c>
    </x:row>
    <x:row r="387" ht="36" customHeight="1">
      <x:c r="A387" s="10" t="str">
        <x:v>V-R1</x:v>
      </x:c>
      <x:c r="B387" s="10" t="str">
        <x:v>VOICE</x:v>
      </x:c>
      <x:c r="C387" s="10" t="str">
        <x:v>VOICE:S1-06</x:v>
      </x:c>
      <x:c r="D387" s="10" t="str">
        <x:v>VOICE:M231</x:v>
      </x:c>
      <x:c r="E387" s="15" t="n">
        <x:v>0</x:v>
      </x:c>
      <x:c r="F387" s="15" t="str">
        <x:v>scored</x:v>
      </x:c>
      <x:c r="G387" s="15" t="n">
        <x:v>0</x:v>
      </x:c>
      <x:c r="H387" s="15" t="n">
        <x:v>0</x:v>
      </x:c>
      <x:c r="I387" s="15" t="n">
        <x:v>0</x:v>
      </x:c>
      <x:c r="J387" s="15" t="n">
        <x:v>0</x:v>
      </x:c>
      <x:c r="K387" s="15" t="n">
        <x:v>0</x:v>
      </x:c>
      <x:c r="L387" s="15" t="n">
        <x:v>0</x:v>
      </x:c>
      <x:c r="M387" s="15" t="n">
        <x:v>180</x:v>
      </x:c>
      <x:c r="N387" s="15" t="n">
        <x:v>220</x:v>
      </x:c>
      <x:c r="O387" s="15" t="n">
        <x:v>96</x:v>
      </x:c>
      <x:c r="P387" s="15" t="n">
        <x:v>64</x:v>
      </x:c>
      <x:c r="Q387" s="15" t="n">
        <x:v>24</x:v>
      </x:c>
      <x:c r="R387" s="15" t="n">
        <x:v>0</x:v>
      </x:c>
      <x:c r="S387" s="15" t="n">
        <x:v>0</x:v>
      </x:c>
      <x:c r="T387" s="15" t="n">
        <x:v>0</x:v>
      </x:c>
      <x:c r="U387" s="15" t="n">
        <x:v>0</x:v>
      </x:c>
      <x:c r="V387" s="15" t="n">
        <x:v>0</x:v>
      </x:c>
      <x:c r="W387" s="15" t="n">
        <x:v>0</x:v>
      </x:c>
      <x:c r="X387" s="15" t="n">
        <x:v>0</x:v>
      </x:c>
      <x:c r="Y387" s="15" t="n">
        <x:v>0</x:v>
      </x:c>
      <x:c r="Z387" s="15" t="n">
        <x:v>0</x:v>
      </x:c>
      <x:c r="AA387" s="15" t="n">
        <x:v>0</x:v>
      </x:c>
      <x:c r="AB387" s="15" t="n">
        <x:f>SUM(G387:AA387)</x:f>
        <x:v>584</x:v>
      </x:c>
    </x:row>
    <x:row r="388" ht="36" customHeight="1">
      <x:c r="A388" s="10" t="str">
        <x:v>V-R2</x:v>
      </x:c>
      <x:c r="B388" s="10" t="str">
        <x:v>VOICE</x:v>
      </x:c>
      <x:c r="C388" s="10" t="str">
        <x:v>VOICE:S1-06</x:v>
      </x:c>
      <x:c r="D388" s="10" t="str">
        <x:v>VOICE:M242</x:v>
      </x:c>
      <x:c r="E388" s="15" t="n">
        <x:v>0</x:v>
      </x:c>
      <x:c r="F388" s="15" t="str">
        <x:v>scored</x:v>
      </x:c>
      <x:c r="G388" s="15" t="n">
        <x:v>0</x:v>
      </x:c>
      <x:c r="H388" s="15" t="n">
        <x:v>0</x:v>
      </x:c>
      <x:c r="I388" s="15" t="n">
        <x:v>0</x:v>
      </x:c>
      <x:c r="J388" s="15" t="n">
        <x:v>0</x:v>
      </x:c>
      <x:c r="K388" s="15" t="n">
        <x:v>0</x:v>
      </x:c>
      <x:c r="L388" s="15" t="n">
        <x:v>0</x:v>
      </x:c>
      <x:c r="M388" s="15" t="n">
        <x:v>180</x:v>
      </x:c>
      <x:c r="N388" s="15" t="n">
        <x:v>220</x:v>
      </x:c>
      <x:c r="O388" s="15" t="n">
        <x:v>96</x:v>
      </x:c>
      <x:c r="P388" s="15" t="n">
        <x:v>64</x:v>
      </x:c>
      <x:c r="Q388" s="15" t="n">
        <x:v>24</x:v>
      </x:c>
      <x:c r="R388" s="15" t="n">
        <x:v>0</x:v>
      </x:c>
      <x:c r="S388" s="15" t="n">
        <x:v>0</x:v>
      </x:c>
      <x:c r="T388" s="15" t="n">
        <x:v>0</x:v>
      </x:c>
      <x:c r="U388" s="15" t="n">
        <x:v>0</x:v>
      </x:c>
      <x:c r="V388" s="15" t="n">
        <x:v>0</x:v>
      </x:c>
      <x:c r="W388" s="15" t="n">
        <x:v>0</x:v>
      </x:c>
      <x:c r="X388" s="15" t="n">
        <x:v>0</x:v>
      </x:c>
      <x:c r="Y388" s="15" t="n">
        <x:v>0</x:v>
      </x:c>
      <x:c r="Z388" s="15" t="n">
        <x:v>0</x:v>
      </x:c>
      <x:c r="AA388" s="15" t="n">
        <x:v>0</x:v>
      </x:c>
      <x:c r="AB388" s="15" t="n">
        <x:f>SUM(G388:AA388)</x:f>
        <x:v>584</x:v>
      </x:c>
    </x:row>
    <x:row r="389" ht="36" customHeight="1">
      <x:c r="A389" s="10" t="str">
        <x:v>V-R3</x:v>
      </x:c>
      <x:c r="B389" s="10" t="str">
        <x:v>VOICE</x:v>
      </x:c>
      <x:c r="C389" s="10" t="str">
        <x:v>VOICE:S1-06</x:v>
      </x:c>
      <x:c r="D389" s="10" t="str">
        <x:v>VOICE:M253</x:v>
      </x:c>
      <x:c r="E389" s="15" t="n">
        <x:v>0</x:v>
      </x:c>
      <x:c r="F389" s="15" t="str">
        <x:v>scored</x:v>
      </x:c>
      <x:c r="G389" s="15" t="n">
        <x:v>0</x:v>
      </x:c>
      <x:c r="H389" s="15" t="n">
        <x:v>0</x:v>
      </x:c>
      <x:c r="I389" s="15" t="n">
        <x:v>0</x:v>
      </x:c>
      <x:c r="J389" s="15" t="n">
        <x:v>0</x:v>
      </x:c>
      <x:c r="K389" s="15" t="n">
        <x:v>0</x:v>
      </x:c>
      <x:c r="L389" s="15" t="n">
        <x:v>0</x:v>
      </x:c>
      <x:c r="M389" s="15" t="n">
        <x:v>180</x:v>
      </x:c>
      <x:c r="N389" s="15" t="n">
        <x:v>220</x:v>
      </x:c>
      <x:c r="O389" s="15" t="n">
        <x:v>96</x:v>
      </x:c>
      <x:c r="P389" s="15" t="n">
        <x:v>64</x:v>
      </x:c>
      <x:c r="Q389" s="15" t="n">
        <x:v>32</x:v>
      </x:c>
      <x:c r="R389" s="15" t="n">
        <x:v>0</x:v>
      </x:c>
      <x:c r="S389" s="15" t="n">
        <x:v>0</x:v>
      </x:c>
      <x:c r="T389" s="15" t="n">
        <x:v>0</x:v>
      </x:c>
      <x:c r="U389" s="15" t="n">
        <x:v>0</x:v>
      </x:c>
      <x:c r="V389" s="15" t="n">
        <x:v>0</x:v>
      </x:c>
      <x:c r="W389" s="15" t="n">
        <x:v>0</x:v>
      </x:c>
      <x:c r="X389" s="15" t="n">
        <x:v>0</x:v>
      </x:c>
      <x:c r="Y389" s="15" t="n">
        <x:v>0</x:v>
      </x:c>
      <x:c r="Z389" s="15" t="n">
        <x:v>0</x:v>
      </x:c>
      <x:c r="AA389" s="15" t="n">
        <x:v>0</x:v>
      </x:c>
      <x:c r="AB389" s="15" t="n">
        <x:f>SUM(G389:AA389)</x:f>
        <x:v>592</x:v>
      </x:c>
    </x:row>
    <x:row r="390" ht="36" customHeight="1">
      <x:c r="A390" s="10" t="str">
        <x:v>V-A</x:v>
      </x:c>
      <x:c r="B390" s="10" t="str">
        <x:v>VOICE</x:v>
      </x:c>
      <x:c r="C390" s="10" t="str">
        <x:v>VOICE:S1-07</x:v>
      </x:c>
      <x:c r="D390" s="10" t="str">
        <x:v>VOICE:M264</x:v>
      </x:c>
      <x:c r="E390" s="15" t="n">
        <x:v>0</x:v>
      </x:c>
      <x:c r="F390" s="15" t="str">
        <x:v>scored</x:v>
      </x:c>
      <x:c r="G390" s="15" t="n">
        <x:v>0</x:v>
      </x:c>
      <x:c r="H390" s="15" t="n">
        <x:v>0</x:v>
      </x:c>
      <x:c r="I390" s="15" t="n">
        <x:v>0</x:v>
      </x:c>
      <x:c r="J390" s="15" t="n">
        <x:v>0</x:v>
      </x:c>
      <x:c r="K390" s="15" t="n">
        <x:v>0</x:v>
      </x:c>
      <x:c r="L390" s="15" t="n">
        <x:v>0</x:v>
      </x:c>
      <x:c r="M390" s="15" t="n">
        <x:v>180</x:v>
      </x:c>
      <x:c r="N390" s="15" t="n">
        <x:v>220</x:v>
      </x:c>
      <x:c r="O390" s="15" t="n">
        <x:v>96</x:v>
      </x:c>
      <x:c r="P390" s="15" t="n">
        <x:v>64</x:v>
      </x:c>
      <x:c r="Q390" s="15" t="n">
        <x:v>32</x:v>
      </x:c>
      <x:c r="R390" s="15" t="n">
        <x:v>0</x:v>
      </x:c>
      <x:c r="S390" s="15" t="n">
        <x:v>0</x:v>
      </x:c>
      <x:c r="T390" s="15" t="n">
        <x:v>0</x:v>
      </x:c>
      <x:c r="U390" s="15" t="n">
        <x:v>0</x:v>
      </x:c>
      <x:c r="V390" s="15" t="n">
        <x:v>0</x:v>
      </x:c>
      <x:c r="W390" s="15" t="n">
        <x:v>0</x:v>
      </x:c>
      <x:c r="X390" s="15" t="n">
        <x:v>0</x:v>
      </x:c>
      <x:c r="Y390" s="15" t="n">
        <x:v>0</x:v>
      </x:c>
      <x:c r="Z390" s="15" t="n">
        <x:v>0</x:v>
      </x:c>
      <x:c r="AA390" s="15" t="n">
        <x:v>0</x:v>
      </x:c>
      <x:c r="AB390" s="15" t="n">
        <x:f>SUM(G390:AA390)</x:f>
        <x:v>592</x:v>
      </x:c>
    </x:row>
    <x:row r="391" ht="36" customHeight="1">
      <x:c r="A391" s="10" t="str">
        <x:v>V-R1</x:v>
      </x:c>
      <x:c r="B391" s="10" t="str">
        <x:v>VOICE</x:v>
      </x:c>
      <x:c r="C391" s="10" t="str">
        <x:v>VOICE:S1-07</x:v>
      </x:c>
      <x:c r="D391" s="10" t="str">
        <x:v>VOICE:M275</x:v>
      </x:c>
      <x:c r="E391" s="15" t="n">
        <x:v>0</x:v>
      </x:c>
      <x:c r="F391" s="15" t="str">
        <x:v>scored</x:v>
      </x:c>
      <x:c r="G391" s="15" t="n">
        <x:v>0</x:v>
      </x:c>
      <x:c r="H391" s="15" t="n">
        <x:v>0</x:v>
      </x:c>
      <x:c r="I391" s="15" t="n">
        <x:v>0</x:v>
      </x:c>
      <x:c r="J391" s="15" t="n">
        <x:v>0</x:v>
      </x:c>
      <x:c r="K391" s="15" t="n">
        <x:v>0</x:v>
      </x:c>
      <x:c r="L391" s="15" t="n">
        <x:v>0</x:v>
      </x:c>
      <x:c r="M391" s="15" t="n">
        <x:v>180</x:v>
      </x:c>
      <x:c r="N391" s="15" t="n">
        <x:v>220</x:v>
      </x:c>
      <x:c r="O391" s="15" t="n">
        <x:v>96</x:v>
      </x:c>
      <x:c r="P391" s="15" t="n">
        <x:v>64</x:v>
      </x:c>
      <x:c r="Q391" s="15" t="n">
        <x:v>24</x:v>
      </x:c>
      <x:c r="R391" s="15" t="n">
        <x:v>0</x:v>
      </x:c>
      <x:c r="S391" s="15" t="n">
        <x:v>0</x:v>
      </x:c>
      <x:c r="T391" s="15" t="n">
        <x:v>0</x:v>
      </x:c>
      <x:c r="U391" s="15" t="n">
        <x:v>0</x:v>
      </x:c>
      <x:c r="V391" s="15" t="n">
        <x:v>0</x:v>
      </x:c>
      <x:c r="W391" s="15" t="n">
        <x:v>0</x:v>
      </x:c>
      <x:c r="X391" s="15" t="n">
        <x:v>0</x:v>
      </x:c>
      <x:c r="Y391" s="15" t="n">
        <x:v>0</x:v>
      </x:c>
      <x:c r="Z391" s="15" t="n">
        <x:v>0</x:v>
      </x:c>
      <x:c r="AA391" s="15" t="n">
        <x:v>0</x:v>
      </x:c>
      <x:c r="AB391" s="15" t="n">
        <x:f>SUM(G391:AA391)</x:f>
        <x:v>584</x:v>
      </x:c>
    </x:row>
    <x:row r="392" ht="36" customHeight="1">
      <x:c r="A392" s="10" t="str">
        <x:v>V-R2</x:v>
      </x:c>
      <x:c r="B392" s="10" t="str">
        <x:v>VOICE</x:v>
      </x:c>
      <x:c r="C392" s="10" t="str">
        <x:v>VOICE:S1-07</x:v>
      </x:c>
      <x:c r="D392" s="10" t="str">
        <x:v>VOICE:M286</x:v>
      </x:c>
      <x:c r="E392" s="15" t="n">
        <x:v>0</x:v>
      </x:c>
      <x:c r="F392" s="15" t="str">
        <x:v>scored</x:v>
      </x:c>
      <x:c r="G392" s="15" t="n">
        <x:v>0</x:v>
      </x:c>
      <x:c r="H392" s="15" t="n">
        <x:v>0</x:v>
      </x:c>
      <x:c r="I392" s="15" t="n">
        <x:v>0</x:v>
      </x:c>
      <x:c r="J392" s="15" t="n">
        <x:v>0</x:v>
      </x:c>
      <x:c r="K392" s="15" t="n">
        <x:v>0</x:v>
      </x:c>
      <x:c r="L392" s="15" t="n">
        <x:v>0</x:v>
      </x:c>
      <x:c r="M392" s="15" t="n">
        <x:v>180</x:v>
      </x:c>
      <x:c r="N392" s="15" t="n">
        <x:v>220</x:v>
      </x:c>
      <x:c r="O392" s="15" t="n">
        <x:v>96</x:v>
      </x:c>
      <x:c r="P392" s="15" t="n">
        <x:v>64</x:v>
      </x:c>
      <x:c r="Q392" s="15" t="n">
        <x:v>24</x:v>
      </x:c>
      <x:c r="R392" s="15" t="n">
        <x:v>0</x:v>
      </x:c>
      <x:c r="S392" s="15" t="n">
        <x:v>0</x:v>
      </x:c>
      <x:c r="T392" s="15" t="n">
        <x:v>0</x:v>
      </x:c>
      <x:c r="U392" s="15" t="n">
        <x:v>0</x:v>
      </x:c>
      <x:c r="V392" s="15" t="n">
        <x:v>0</x:v>
      </x:c>
      <x:c r="W392" s="15" t="n">
        <x:v>0</x:v>
      </x:c>
      <x:c r="X392" s="15" t="n">
        <x:v>0</x:v>
      </x:c>
      <x:c r="Y392" s="15" t="n">
        <x:v>0</x:v>
      </x:c>
      <x:c r="Z392" s="15" t="n">
        <x:v>0</x:v>
      </x:c>
      <x:c r="AA392" s="15" t="n">
        <x:v>0</x:v>
      </x:c>
      <x:c r="AB392" s="15" t="n">
        <x:f>SUM(G392:AA392)</x:f>
        <x:v>584</x:v>
      </x:c>
    </x:row>
    <x:row r="393" ht="36" customHeight="1">
      <x:c r="A393" s="10" t="str">
        <x:v>V-R3</x:v>
      </x:c>
      <x:c r="B393" s="10" t="str">
        <x:v>VOICE</x:v>
      </x:c>
      <x:c r="C393" s="10" t="str">
        <x:v>VOICE:S1-07</x:v>
      </x:c>
      <x:c r="D393" s="10" t="str">
        <x:v>VOICE:M297</x:v>
      </x:c>
      <x:c r="E393" s="15" t="n">
        <x:v>0</x:v>
      </x:c>
      <x:c r="F393" s="15" t="str">
        <x:v>scored</x:v>
      </x:c>
      <x:c r="G393" s="15" t="n">
        <x:v>0</x:v>
      </x:c>
      <x:c r="H393" s="15" t="n">
        <x:v>0</x:v>
      </x:c>
      <x:c r="I393" s="15" t="n">
        <x:v>0</x:v>
      </x:c>
      <x:c r="J393" s="15" t="n">
        <x:v>0</x:v>
      </x:c>
      <x:c r="K393" s="15" t="n">
        <x:v>0</x:v>
      </x:c>
      <x:c r="L393" s="15" t="n">
        <x:v>0</x:v>
      </x:c>
      <x:c r="M393" s="15" t="n">
        <x:v>180</x:v>
      </x:c>
      <x:c r="N393" s="15" t="n">
        <x:v>220</x:v>
      </x:c>
      <x:c r="O393" s="15" t="n">
        <x:v>96</x:v>
      </x:c>
      <x:c r="P393" s="15" t="n">
        <x:v>64</x:v>
      </x:c>
      <x:c r="Q393" s="15" t="n">
        <x:v>32</x:v>
      </x:c>
      <x:c r="R393" s="15" t="n">
        <x:v>0</x:v>
      </x:c>
      <x:c r="S393" s="15" t="n">
        <x:v>0</x:v>
      </x:c>
      <x:c r="T393" s="15" t="n">
        <x:v>0</x:v>
      </x:c>
      <x:c r="U393" s="15" t="n">
        <x:v>0</x:v>
      </x:c>
      <x:c r="V393" s="15" t="n">
        <x:v>0</x:v>
      </x:c>
      <x:c r="W393" s="15" t="n">
        <x:v>0</x:v>
      </x:c>
      <x:c r="X393" s="15" t="n">
        <x:v>0</x:v>
      </x:c>
      <x:c r="Y393" s="15" t="n">
        <x:v>0</x:v>
      </x:c>
      <x:c r="Z393" s="15" t="n">
        <x:v>0</x:v>
      </x:c>
      <x:c r="AA393" s="15" t="n">
        <x:v>0</x:v>
      </x:c>
      <x:c r="AB393" s="15" t="n">
        <x:f>SUM(G393:AA393)</x:f>
        <x:v>592</x:v>
      </x:c>
    </x:row>
    <x:row r="394" ht="36" customHeight="1">
      <x:c r="A394" s="10" t="str">
        <x:v>V-A</x:v>
      </x:c>
      <x:c r="B394" s="10" t="str">
        <x:v>VOICE</x:v>
      </x:c>
      <x:c r="C394" s="10" t="str">
        <x:v>VOICE:S1-08</x:v>
      </x:c>
      <x:c r="D394" s="10" t="str">
        <x:v>VOICE:M308</x:v>
      </x:c>
      <x:c r="E394" s="15" t="n">
        <x:v>0</x:v>
      </x:c>
      <x:c r="F394" s="15" t="str">
        <x:v>scored</x:v>
      </x:c>
      <x:c r="G394" s="15" t="n">
        <x:v>0</x:v>
      </x:c>
      <x:c r="H394" s="15" t="n">
        <x:v>0</x:v>
      </x:c>
      <x:c r="I394" s="15" t="n">
        <x:v>0</x:v>
      </x:c>
      <x:c r="J394" s="15" t="n">
        <x:v>0</x:v>
      </x:c>
      <x:c r="K394" s="15" t="n">
        <x:v>0</x:v>
      </x:c>
      <x:c r="L394" s="15" t="n">
        <x:v>0</x:v>
      </x:c>
      <x:c r="M394" s="15" t="n">
        <x:v>180</x:v>
      </x:c>
      <x:c r="N394" s="15" t="n">
        <x:v>220</x:v>
      </x:c>
      <x:c r="O394" s="15" t="n">
        <x:v>96</x:v>
      </x:c>
      <x:c r="P394" s="15" t="n">
        <x:v>64</x:v>
      </x:c>
      <x:c r="Q394" s="15" t="n">
        <x:v>32</x:v>
      </x:c>
      <x:c r="R394" s="15" t="n">
        <x:v>0</x:v>
      </x:c>
      <x:c r="S394" s="15" t="n">
        <x:v>0</x:v>
      </x:c>
      <x:c r="T394" s="15" t="n">
        <x:v>0</x:v>
      </x:c>
      <x:c r="U394" s="15" t="n">
        <x:v>0</x:v>
      </x:c>
      <x:c r="V394" s="15" t="n">
        <x:v>0</x:v>
      </x:c>
      <x:c r="W394" s="15" t="n">
        <x:v>0</x:v>
      </x:c>
      <x:c r="X394" s="15" t="n">
        <x:v>0</x:v>
      </x:c>
      <x:c r="Y394" s="15" t="n">
        <x:v>0</x:v>
      </x:c>
      <x:c r="Z394" s="15" t="n">
        <x:v>0</x:v>
      </x:c>
      <x:c r="AA394" s="15" t="n">
        <x:v>0</x:v>
      </x:c>
      <x:c r="AB394" s="15" t="n">
        <x:f>SUM(G394:AA394)</x:f>
        <x:v>592</x:v>
      </x:c>
    </x:row>
    <x:row r="395" ht="36" customHeight="1">
      <x:c r="A395" s="10" t="str">
        <x:v>V-R1</x:v>
      </x:c>
      <x:c r="B395" s="10" t="str">
        <x:v>VOICE</x:v>
      </x:c>
      <x:c r="C395" s="10" t="str">
        <x:v>VOICE:S1-08</x:v>
      </x:c>
      <x:c r="D395" s="10" t="str">
        <x:v>VOICE:M319</x:v>
      </x:c>
      <x:c r="E395" s="15" t="n">
        <x:v>0</x:v>
      </x:c>
      <x:c r="F395" s="15" t="str">
        <x:v>scored</x:v>
      </x:c>
      <x:c r="G395" s="15" t="n">
        <x:v>0</x:v>
      </x:c>
      <x:c r="H395" s="15" t="n">
        <x:v>0</x:v>
      </x:c>
      <x:c r="I395" s="15" t="n">
        <x:v>0</x:v>
      </x:c>
      <x:c r="J395" s="15" t="n">
        <x:v>0</x:v>
      </x:c>
      <x:c r="K395" s="15" t="n">
        <x:v>0</x:v>
      </x:c>
      <x:c r="L395" s="15" t="n">
        <x:v>0</x:v>
      </x:c>
      <x:c r="M395" s="15" t="n">
        <x:v>180</x:v>
      </x:c>
      <x:c r="N395" s="15" t="n">
        <x:v>220</x:v>
      </x:c>
      <x:c r="O395" s="15" t="n">
        <x:v>96</x:v>
      </x:c>
      <x:c r="P395" s="15" t="n">
        <x:v>64</x:v>
      </x:c>
      <x:c r="Q395" s="15" t="n">
        <x:v>24</x:v>
      </x:c>
      <x:c r="R395" s="15" t="n">
        <x:v>0</x:v>
      </x:c>
      <x:c r="S395" s="15" t="n">
        <x:v>0</x:v>
      </x:c>
      <x:c r="T395" s="15" t="n">
        <x:v>0</x:v>
      </x:c>
      <x:c r="U395" s="15" t="n">
        <x:v>0</x:v>
      </x:c>
      <x:c r="V395" s="15" t="n">
        <x:v>0</x:v>
      </x:c>
      <x:c r="W395" s="15" t="n">
        <x:v>0</x:v>
      </x:c>
      <x:c r="X395" s="15" t="n">
        <x:v>0</x:v>
      </x:c>
      <x:c r="Y395" s="15" t="n">
        <x:v>0</x:v>
      </x:c>
      <x:c r="Z395" s="15" t="n">
        <x:v>0</x:v>
      </x:c>
      <x:c r="AA395" s="15" t="n">
        <x:v>0</x:v>
      </x:c>
      <x:c r="AB395" s="15" t="n">
        <x:f>SUM(G395:AA395)</x:f>
        <x:v>584</x:v>
      </x:c>
    </x:row>
    <x:row r="396" ht="36" customHeight="1">
      <x:c r="A396" s="10" t="str">
        <x:v>V-R2</x:v>
      </x:c>
      <x:c r="B396" s="10" t="str">
        <x:v>VOICE</x:v>
      </x:c>
      <x:c r="C396" s="10" t="str">
        <x:v>VOICE:S1-08</x:v>
      </x:c>
      <x:c r="D396" s="10" t="str">
        <x:v>VOICE:M330</x:v>
      </x:c>
      <x:c r="E396" s="15" t="n">
        <x:v>0</x:v>
      </x:c>
      <x:c r="F396" s="15" t="str">
        <x:v>scored</x:v>
      </x:c>
      <x:c r="G396" s="15" t="n">
        <x:v>0</x:v>
      </x:c>
      <x:c r="H396" s="15" t="n">
        <x:v>0</x:v>
      </x:c>
      <x:c r="I396" s="15" t="n">
        <x:v>0</x:v>
      </x:c>
      <x:c r="J396" s="15" t="n">
        <x:v>0</x:v>
      </x:c>
      <x:c r="K396" s="15" t="n">
        <x:v>0</x:v>
      </x:c>
      <x:c r="L396" s="15" t="n">
        <x:v>0</x:v>
      </x:c>
      <x:c r="M396" s="15" t="n">
        <x:v>180</x:v>
      </x:c>
      <x:c r="N396" s="15" t="n">
        <x:v>220</x:v>
      </x:c>
      <x:c r="O396" s="15" t="n">
        <x:v>96</x:v>
      </x:c>
      <x:c r="P396" s="15" t="n">
        <x:v>64</x:v>
      </x:c>
      <x:c r="Q396" s="15" t="n">
        <x:v>24</x:v>
      </x:c>
      <x:c r="R396" s="15" t="n">
        <x:v>0</x:v>
      </x:c>
      <x:c r="S396" s="15" t="n">
        <x:v>0</x:v>
      </x:c>
      <x:c r="T396" s="15" t="n">
        <x:v>0</x:v>
      </x:c>
      <x:c r="U396" s="15" t="n">
        <x:v>0</x:v>
      </x:c>
      <x:c r="V396" s="15" t="n">
        <x:v>0</x:v>
      </x:c>
      <x:c r="W396" s="15" t="n">
        <x:v>0</x:v>
      </x:c>
      <x:c r="X396" s="15" t="n">
        <x:v>0</x:v>
      </x:c>
      <x:c r="Y396" s="15" t="n">
        <x:v>0</x:v>
      </x:c>
      <x:c r="Z396" s="15" t="n">
        <x:v>0</x:v>
      </x:c>
      <x:c r="AA396" s="15" t="n">
        <x:v>0</x:v>
      </x:c>
      <x:c r="AB396" s="15" t="n">
        <x:f>SUM(G396:AA396)</x:f>
        <x:v>584</x:v>
      </x:c>
    </x:row>
    <x:row r="397" ht="36" customHeight="1">
      <x:c r="A397" s="10" t="str">
        <x:v>V-R3</x:v>
      </x:c>
      <x:c r="B397" s="10" t="str">
        <x:v>VOICE</x:v>
      </x:c>
      <x:c r="C397" s="10" t="str">
        <x:v>VOICE:S1-08</x:v>
      </x:c>
      <x:c r="D397" s="10" t="str">
        <x:v>VOICE:M341</x:v>
      </x:c>
      <x:c r="E397" s="15" t="n">
        <x:v>0</x:v>
      </x:c>
      <x:c r="F397" s="15" t="str">
        <x:v>scored</x:v>
      </x:c>
      <x:c r="G397" s="15" t="n">
        <x:v>0</x:v>
      </x:c>
      <x:c r="H397" s="15" t="n">
        <x:v>0</x:v>
      </x:c>
      <x:c r="I397" s="15" t="n">
        <x:v>0</x:v>
      </x:c>
      <x:c r="J397" s="15" t="n">
        <x:v>0</x:v>
      </x:c>
      <x:c r="K397" s="15" t="n">
        <x:v>0</x:v>
      </x:c>
      <x:c r="L397" s="15" t="n">
        <x:v>0</x:v>
      </x:c>
      <x:c r="M397" s="15" t="n">
        <x:v>180</x:v>
      </x:c>
      <x:c r="N397" s="15" t="n">
        <x:v>220</x:v>
      </x:c>
      <x:c r="O397" s="15" t="n">
        <x:v>96</x:v>
      </x:c>
      <x:c r="P397" s="15" t="n">
        <x:v>64</x:v>
      </x:c>
      <x:c r="Q397" s="15" t="n">
        <x:v>32</x:v>
      </x:c>
      <x:c r="R397" s="15" t="n">
        <x:v>0</x:v>
      </x:c>
      <x:c r="S397" s="15" t="n">
        <x:v>0</x:v>
      </x:c>
      <x:c r="T397" s="15" t="n">
        <x:v>0</x:v>
      </x:c>
      <x:c r="U397" s="15" t="n">
        <x:v>0</x:v>
      </x:c>
      <x:c r="V397" s="15" t="n">
        <x:v>0</x:v>
      </x:c>
      <x:c r="W397" s="15" t="n">
        <x:v>0</x:v>
      </x:c>
      <x:c r="X397" s="15" t="n">
        <x:v>0</x:v>
      </x:c>
      <x:c r="Y397" s="15" t="n">
        <x:v>0</x:v>
      </x:c>
      <x:c r="Z397" s="15" t="n">
        <x:v>0</x:v>
      </x:c>
      <x:c r="AA397" s="15" t="n">
        <x:v>0</x:v>
      </x:c>
      <x:c r="AB397" s="15" t="n">
        <x:f>SUM(G397:AA397)</x:f>
        <x:v>592</x:v>
      </x:c>
    </x:row>
    <x:row r="398" ht="36" customHeight="1">
      <x:c r="A398" s="10" t="str">
        <x:v>V-A</x:v>
      </x:c>
      <x:c r="B398" s="10" t="str">
        <x:v>VOICE</x:v>
      </x:c>
      <x:c r="C398" s="10" t="str">
        <x:v>VOICE:S1-09</x:v>
      </x:c>
      <x:c r="D398" s="10" t="str">
        <x:v>VOICE:M352</x:v>
      </x:c>
      <x:c r="E398" s="15" t="n">
        <x:v>0</x:v>
      </x:c>
      <x:c r="F398" s="15" t="str">
        <x:v>scored</x:v>
      </x:c>
      <x:c r="G398" s="15" t="n">
        <x:v>0</x:v>
      </x:c>
      <x:c r="H398" s="15" t="n">
        <x:v>0</x:v>
      </x:c>
      <x:c r="I398" s="15" t="n">
        <x:v>0</x:v>
      </x:c>
      <x:c r="J398" s="15" t="n">
        <x:v>0</x:v>
      </x:c>
      <x:c r="K398" s="15" t="n">
        <x:v>0</x:v>
      </x:c>
      <x:c r="L398" s="15" t="n">
        <x:v>0</x:v>
      </x:c>
      <x:c r="M398" s="15" t="n">
        <x:v>180</x:v>
      </x:c>
      <x:c r="N398" s="15" t="n">
        <x:v>220</x:v>
      </x:c>
      <x:c r="O398" s="15" t="n">
        <x:v>96</x:v>
      </x:c>
      <x:c r="P398" s="15" t="n">
        <x:v>64</x:v>
      </x:c>
      <x:c r="Q398" s="15" t="n">
        <x:v>32</x:v>
      </x:c>
      <x:c r="R398" s="15" t="n">
        <x:v>0</x:v>
      </x:c>
      <x:c r="S398" s="15" t="n">
        <x:v>0</x:v>
      </x:c>
      <x:c r="T398" s="15" t="n">
        <x:v>0</x:v>
      </x:c>
      <x:c r="U398" s="15" t="n">
        <x:v>0</x:v>
      </x:c>
      <x:c r="V398" s="15" t="n">
        <x:v>0</x:v>
      </x:c>
      <x:c r="W398" s="15" t="n">
        <x:v>0</x:v>
      </x:c>
      <x:c r="X398" s="15" t="n">
        <x:v>0</x:v>
      </x:c>
      <x:c r="Y398" s="15" t="n">
        <x:v>0</x:v>
      </x:c>
      <x:c r="Z398" s="15" t="n">
        <x:v>0</x:v>
      </x:c>
      <x:c r="AA398" s="15" t="n">
        <x:v>0</x:v>
      </x:c>
      <x:c r="AB398" s="15" t="n">
        <x:f>SUM(G398:AA398)</x:f>
        <x:v>592</x:v>
      </x:c>
    </x:row>
    <x:row r="399" ht="36" customHeight="1">
      <x:c r="A399" s="10" t="str">
        <x:v>V-R1</x:v>
      </x:c>
      <x:c r="B399" s="10" t="str">
        <x:v>VOICE</x:v>
      </x:c>
      <x:c r="C399" s="10" t="str">
        <x:v>VOICE:S1-09</x:v>
      </x:c>
      <x:c r="D399" s="10" t="str">
        <x:v>VOICE:M363</x:v>
      </x:c>
      <x:c r="E399" s="15" t="n">
        <x:v>0</x:v>
      </x:c>
      <x:c r="F399" s="15" t="str">
        <x:v>scored</x:v>
      </x:c>
      <x:c r="G399" s="15" t="n">
        <x:v>0</x:v>
      </x:c>
      <x:c r="H399" s="15" t="n">
        <x:v>0</x:v>
      </x:c>
      <x:c r="I399" s="15" t="n">
        <x:v>0</x:v>
      </x:c>
      <x:c r="J399" s="15" t="n">
        <x:v>0</x:v>
      </x:c>
      <x:c r="K399" s="15" t="n">
        <x:v>0</x:v>
      </x:c>
      <x:c r="L399" s="15" t="n">
        <x:v>0</x:v>
      </x:c>
      <x:c r="M399" s="15" t="n">
        <x:v>180</x:v>
      </x:c>
      <x:c r="N399" s="15" t="n">
        <x:v>220</x:v>
      </x:c>
      <x:c r="O399" s="15" t="n">
        <x:v>96</x:v>
      </x:c>
      <x:c r="P399" s="15" t="n">
        <x:v>64</x:v>
      </x:c>
      <x:c r="Q399" s="15" t="n">
        <x:v>24</x:v>
      </x:c>
      <x:c r="R399" s="15" t="n">
        <x:v>0</x:v>
      </x:c>
      <x:c r="S399" s="15" t="n">
        <x:v>0</x:v>
      </x:c>
      <x:c r="T399" s="15" t="n">
        <x:v>0</x:v>
      </x:c>
      <x:c r="U399" s="15" t="n">
        <x:v>0</x:v>
      </x:c>
      <x:c r="V399" s="15" t="n">
        <x:v>0</x:v>
      </x:c>
      <x:c r="W399" s="15" t="n">
        <x:v>0</x:v>
      </x:c>
      <x:c r="X399" s="15" t="n">
        <x:v>0</x:v>
      </x:c>
      <x:c r="Y399" s="15" t="n">
        <x:v>0</x:v>
      </x:c>
      <x:c r="Z399" s="15" t="n">
        <x:v>0</x:v>
      </x:c>
      <x:c r="AA399" s="15" t="n">
        <x:v>0</x:v>
      </x:c>
      <x:c r="AB399" s="15" t="n">
        <x:f>SUM(G399:AA399)</x:f>
        <x:v>584</x:v>
      </x:c>
    </x:row>
    <x:row r="400" ht="36" customHeight="1">
      <x:c r="A400" s="10" t="str">
        <x:v>V-R2</x:v>
      </x:c>
      <x:c r="B400" s="10" t="str">
        <x:v>VOICE</x:v>
      </x:c>
      <x:c r="C400" s="10" t="str">
        <x:v>VOICE:S1-09</x:v>
      </x:c>
      <x:c r="D400" s="10" t="str">
        <x:v>VOICE:M374</x:v>
      </x:c>
      <x:c r="E400" s="15" t="n">
        <x:v>0</x:v>
      </x:c>
      <x:c r="F400" s="15" t="str">
        <x:v>scored</x:v>
      </x:c>
      <x:c r="G400" s="15" t="n">
        <x:v>0</x:v>
      </x:c>
      <x:c r="H400" s="15" t="n">
        <x:v>0</x:v>
      </x:c>
      <x:c r="I400" s="15" t="n">
        <x:v>0</x:v>
      </x:c>
      <x:c r="J400" s="15" t="n">
        <x:v>0</x:v>
      </x:c>
      <x:c r="K400" s="15" t="n">
        <x:v>0</x:v>
      </x:c>
      <x:c r="L400" s="15" t="n">
        <x:v>0</x:v>
      </x:c>
      <x:c r="M400" s="15" t="n">
        <x:v>180</x:v>
      </x:c>
      <x:c r="N400" s="15" t="n">
        <x:v>220</x:v>
      </x:c>
      <x:c r="O400" s="15" t="n">
        <x:v>96</x:v>
      </x:c>
      <x:c r="P400" s="15" t="n">
        <x:v>64</x:v>
      </x:c>
      <x:c r="Q400" s="15" t="n">
        <x:v>24</x:v>
      </x:c>
      <x:c r="R400" s="15" t="n">
        <x:v>0</x:v>
      </x:c>
      <x:c r="S400" s="15" t="n">
        <x:v>0</x:v>
      </x:c>
      <x:c r="T400" s="15" t="n">
        <x:v>0</x:v>
      </x:c>
      <x:c r="U400" s="15" t="n">
        <x:v>0</x:v>
      </x:c>
      <x:c r="V400" s="15" t="n">
        <x:v>0</x:v>
      </x:c>
      <x:c r="W400" s="15" t="n">
        <x:v>0</x:v>
      </x:c>
      <x:c r="X400" s="15" t="n">
        <x:v>0</x:v>
      </x:c>
      <x:c r="Y400" s="15" t="n">
        <x:v>0</x:v>
      </x:c>
      <x:c r="Z400" s="15" t="n">
        <x:v>0</x:v>
      </x:c>
      <x:c r="AA400" s="15" t="n">
        <x:v>0</x:v>
      </x:c>
      <x:c r="AB400" s="15" t="n">
        <x:f>SUM(G400:AA400)</x:f>
        <x:v>584</x:v>
      </x:c>
    </x:row>
    <x:row r="401" ht="36" customHeight="1">
      <x:c r="A401" s="10" t="str">
        <x:v>V-R3</x:v>
      </x:c>
      <x:c r="B401" s="10" t="str">
        <x:v>VOICE</x:v>
      </x:c>
      <x:c r="C401" s="10" t="str">
        <x:v>VOICE:S1-09</x:v>
      </x:c>
      <x:c r="D401" s="10" t="str">
        <x:v>VOICE:M385</x:v>
      </x:c>
      <x:c r="E401" s="15" t="n">
        <x:v>0</x:v>
      </x:c>
      <x:c r="F401" s="15" t="str">
        <x:v>scored</x:v>
      </x:c>
      <x:c r="G401" s="15" t="n">
        <x:v>0</x:v>
      </x:c>
      <x:c r="H401" s="15" t="n">
        <x:v>0</x:v>
      </x:c>
      <x:c r="I401" s="15" t="n">
        <x:v>0</x:v>
      </x:c>
      <x:c r="J401" s="15" t="n">
        <x:v>0</x:v>
      </x:c>
      <x:c r="K401" s="15" t="n">
        <x:v>0</x:v>
      </x:c>
      <x:c r="L401" s="15" t="n">
        <x:v>0</x:v>
      </x:c>
      <x:c r="M401" s="15" t="n">
        <x:v>180</x:v>
      </x:c>
      <x:c r="N401" s="15" t="n">
        <x:v>220</x:v>
      </x:c>
      <x:c r="O401" s="15" t="n">
        <x:v>96</x:v>
      </x:c>
      <x:c r="P401" s="15" t="n">
        <x:v>64</x:v>
      </x:c>
      <x:c r="Q401" s="15" t="n">
        <x:v>32</x:v>
      </x:c>
      <x:c r="R401" s="15" t="n">
        <x:v>0</x:v>
      </x:c>
      <x:c r="S401" s="15" t="n">
        <x:v>0</x:v>
      </x:c>
      <x:c r="T401" s="15" t="n">
        <x:v>0</x:v>
      </x:c>
      <x:c r="U401" s="15" t="n">
        <x:v>0</x:v>
      </x:c>
      <x:c r="V401" s="15" t="n">
        <x:v>0</x:v>
      </x:c>
      <x:c r="W401" s="15" t="n">
        <x:v>0</x:v>
      </x:c>
      <x:c r="X401" s="15" t="n">
        <x:v>0</x:v>
      </x:c>
      <x:c r="Y401" s="15" t="n">
        <x:v>0</x:v>
      </x:c>
      <x:c r="Z401" s="15" t="n">
        <x:v>0</x:v>
      </x:c>
      <x:c r="AA401" s="15" t="n">
        <x:v>0</x:v>
      </x:c>
      <x:c r="AB401" s="15" t="n">
        <x:f>SUM(G401:AA401)</x:f>
        <x:v>592</x:v>
      </x:c>
    </x:row>
    <x:row r="402" ht="36" customHeight="1">
      <x:c r="A402" s="10" t="str">
        <x:v>V-A</x:v>
      </x:c>
      <x:c r="B402" s="10" t="str">
        <x:v>VOICE</x:v>
      </x:c>
      <x:c r="C402" s="10" t="str">
        <x:v>VOICE:S1-10</x:v>
      </x:c>
      <x:c r="D402" s="10" t="str">
        <x:v>VOICE:M396</x:v>
      </x:c>
      <x:c r="E402" s="15" t="n">
        <x:v>0</x:v>
      </x:c>
      <x:c r="F402" s="15" t="str">
        <x:v>scored</x:v>
      </x:c>
      <x:c r="G402" s="15" t="n">
        <x:v>0</x:v>
      </x:c>
      <x:c r="H402" s="15" t="n">
        <x:v>0</x:v>
      </x:c>
      <x:c r="I402" s="15" t="n">
        <x:v>0</x:v>
      </x:c>
      <x:c r="J402" s="15" t="n">
        <x:v>0</x:v>
      </x:c>
      <x:c r="K402" s="15" t="n">
        <x:v>0</x:v>
      </x:c>
      <x:c r="L402" s="15" t="n">
        <x:v>0</x:v>
      </x:c>
      <x:c r="M402" s="15" t="n">
        <x:v>180</x:v>
      </x:c>
      <x:c r="N402" s="15" t="n">
        <x:v>220</x:v>
      </x:c>
      <x:c r="O402" s="15" t="n">
        <x:v>96</x:v>
      </x:c>
      <x:c r="P402" s="15" t="n">
        <x:v>64</x:v>
      </x:c>
      <x:c r="Q402" s="15" t="n">
        <x:v>32</x:v>
      </x:c>
      <x:c r="R402" s="15" t="n">
        <x:v>0</x:v>
      </x:c>
      <x:c r="S402" s="15" t="n">
        <x:v>0</x:v>
      </x:c>
      <x:c r="T402" s="15" t="n">
        <x:v>0</x:v>
      </x:c>
      <x:c r="U402" s="15" t="n">
        <x:v>0</x:v>
      </x:c>
      <x:c r="V402" s="15" t="n">
        <x:v>0</x:v>
      </x:c>
      <x:c r="W402" s="15" t="n">
        <x:v>0</x:v>
      </x:c>
      <x:c r="X402" s="15" t="n">
        <x:v>0</x:v>
      </x:c>
      <x:c r="Y402" s="15" t="n">
        <x:v>0</x:v>
      </x:c>
      <x:c r="Z402" s="15" t="n">
        <x:v>0</x:v>
      </x:c>
      <x:c r="AA402" s="15" t="n">
        <x:v>0</x:v>
      </x:c>
      <x:c r="AB402" s="15" t="n">
        <x:f>SUM(G402:AA402)</x:f>
        <x:v>592</x:v>
      </x:c>
    </x:row>
    <x:row r="403" ht="36" customHeight="1">
      <x:c r="A403" s="10" t="str">
        <x:v>V-R1</x:v>
      </x:c>
      <x:c r="B403" s="10" t="str">
        <x:v>VOICE</x:v>
      </x:c>
      <x:c r="C403" s="10" t="str">
        <x:v>VOICE:S1-10</x:v>
      </x:c>
      <x:c r="D403" s="10" t="str">
        <x:v>VOICE:M407</x:v>
      </x:c>
      <x:c r="E403" s="15" t="n">
        <x:v>0</x:v>
      </x:c>
      <x:c r="F403" s="15" t="str">
        <x:v>scored</x:v>
      </x:c>
      <x:c r="G403" s="15" t="n">
        <x:v>0</x:v>
      </x:c>
      <x:c r="H403" s="15" t="n">
        <x:v>0</x:v>
      </x:c>
      <x:c r="I403" s="15" t="n">
        <x:v>0</x:v>
      </x:c>
      <x:c r="J403" s="15" t="n">
        <x:v>0</x:v>
      </x:c>
      <x:c r="K403" s="15" t="n">
        <x:v>0</x:v>
      </x:c>
      <x:c r="L403" s="15" t="n">
        <x:v>0</x:v>
      </x:c>
      <x:c r="M403" s="15" t="n">
        <x:v>180</x:v>
      </x:c>
      <x:c r="N403" s="15" t="n">
        <x:v>220</x:v>
      </x:c>
      <x:c r="O403" s="15" t="n">
        <x:v>96</x:v>
      </x:c>
      <x:c r="P403" s="15" t="n">
        <x:v>64</x:v>
      </x:c>
      <x:c r="Q403" s="15" t="n">
        <x:v>24</x:v>
      </x:c>
      <x:c r="R403" s="15" t="n">
        <x:v>0</x:v>
      </x:c>
      <x:c r="S403" s="15" t="n">
        <x:v>0</x:v>
      </x:c>
      <x:c r="T403" s="15" t="n">
        <x:v>0</x:v>
      </x:c>
      <x:c r="U403" s="15" t="n">
        <x:v>0</x:v>
      </x:c>
      <x:c r="V403" s="15" t="n">
        <x:v>0</x:v>
      </x:c>
      <x:c r="W403" s="15" t="n">
        <x:v>0</x:v>
      </x:c>
      <x:c r="X403" s="15" t="n">
        <x:v>0</x:v>
      </x:c>
      <x:c r="Y403" s="15" t="n">
        <x:v>0</x:v>
      </x:c>
      <x:c r="Z403" s="15" t="n">
        <x:v>0</x:v>
      </x:c>
      <x:c r="AA403" s="15" t="n">
        <x:v>0</x:v>
      </x:c>
      <x:c r="AB403" s="15" t="n">
        <x:f>SUM(G403:AA403)</x:f>
        <x:v>584</x:v>
      </x:c>
    </x:row>
    <x:row r="404" ht="36" customHeight="1">
      <x:c r="A404" s="10" t="str">
        <x:v>V-R2</x:v>
      </x:c>
      <x:c r="B404" s="10" t="str">
        <x:v>VOICE</x:v>
      </x:c>
      <x:c r="C404" s="10" t="str">
        <x:v>VOICE:S1-10</x:v>
      </x:c>
      <x:c r="D404" s="10" t="str">
        <x:v>VOICE:M418</x:v>
      </x:c>
      <x:c r="E404" s="15" t="n">
        <x:v>0</x:v>
      </x:c>
      <x:c r="F404" s="15" t="str">
        <x:v>scored</x:v>
      </x:c>
      <x:c r="G404" s="15" t="n">
        <x:v>0</x:v>
      </x:c>
      <x:c r="H404" s="15" t="n">
        <x:v>0</x:v>
      </x:c>
      <x:c r="I404" s="15" t="n">
        <x:v>0</x:v>
      </x:c>
      <x:c r="J404" s="15" t="n">
        <x:v>0</x:v>
      </x:c>
      <x:c r="K404" s="15" t="n">
        <x:v>0</x:v>
      </x:c>
      <x:c r="L404" s="15" t="n">
        <x:v>0</x:v>
      </x:c>
      <x:c r="M404" s="15" t="n">
        <x:v>180</x:v>
      </x:c>
      <x:c r="N404" s="15" t="n">
        <x:v>220</x:v>
      </x:c>
      <x:c r="O404" s="15" t="n">
        <x:v>96</x:v>
      </x:c>
      <x:c r="P404" s="15" t="n">
        <x:v>64</x:v>
      </x:c>
      <x:c r="Q404" s="15" t="n">
        <x:v>24</x:v>
      </x:c>
      <x:c r="R404" s="15" t="n">
        <x:v>0</x:v>
      </x:c>
      <x:c r="S404" s="15" t="n">
        <x:v>0</x:v>
      </x:c>
      <x:c r="T404" s="15" t="n">
        <x:v>0</x:v>
      </x:c>
      <x:c r="U404" s="15" t="n">
        <x:v>0</x:v>
      </x:c>
      <x:c r="V404" s="15" t="n">
        <x:v>0</x:v>
      </x:c>
      <x:c r="W404" s="15" t="n">
        <x:v>0</x:v>
      </x:c>
      <x:c r="X404" s="15" t="n">
        <x:v>0</x:v>
      </x:c>
      <x:c r="Y404" s="15" t="n">
        <x:v>0</x:v>
      </x:c>
      <x:c r="Z404" s="15" t="n">
        <x:v>0</x:v>
      </x:c>
      <x:c r="AA404" s="15" t="n">
        <x:v>0</x:v>
      </x:c>
      <x:c r="AB404" s="15" t="n">
        <x:f>SUM(G404:AA404)</x:f>
        <x:v>584</x:v>
      </x:c>
    </x:row>
    <x:row r="405" ht="36" customHeight="1">
      <x:c r="A405" s="10" t="str">
        <x:v>V-R3</x:v>
      </x:c>
      <x:c r="B405" s="10" t="str">
        <x:v>VOICE</x:v>
      </x:c>
      <x:c r="C405" s="10" t="str">
        <x:v>VOICE:S1-10</x:v>
      </x:c>
      <x:c r="D405" s="10" t="str">
        <x:v>VOICE:M429</x:v>
      </x:c>
      <x:c r="E405" s="15" t="n">
        <x:v>0</x:v>
      </x:c>
      <x:c r="F405" s="15" t="str">
        <x:v>scored</x:v>
      </x:c>
      <x:c r="G405" s="15" t="n">
        <x:v>0</x:v>
      </x:c>
      <x:c r="H405" s="15" t="n">
        <x:v>0</x:v>
      </x:c>
      <x:c r="I405" s="15" t="n">
        <x:v>0</x:v>
      </x:c>
      <x:c r="J405" s="15" t="n">
        <x:v>0</x:v>
      </x:c>
      <x:c r="K405" s="15" t="n">
        <x:v>0</x:v>
      </x:c>
      <x:c r="L405" s="15" t="n">
        <x:v>0</x:v>
      </x:c>
      <x:c r="M405" s="15" t="n">
        <x:v>180</x:v>
      </x:c>
      <x:c r="N405" s="15" t="n">
        <x:v>220</x:v>
      </x:c>
      <x:c r="O405" s="15" t="n">
        <x:v>96</x:v>
      </x:c>
      <x:c r="P405" s="15" t="n">
        <x:v>64</x:v>
      </x:c>
      <x:c r="Q405" s="15" t="n">
        <x:v>32</x:v>
      </x:c>
      <x:c r="R405" s="15" t="n">
        <x:v>0</x:v>
      </x:c>
      <x:c r="S405" s="15" t="n">
        <x:v>0</x:v>
      </x:c>
      <x:c r="T405" s="15" t="n">
        <x:v>0</x:v>
      </x:c>
      <x:c r="U405" s="15" t="n">
        <x:v>0</x:v>
      </x:c>
      <x:c r="V405" s="15" t="n">
        <x:v>0</x:v>
      </x:c>
      <x:c r="W405" s="15" t="n">
        <x:v>0</x:v>
      </x:c>
      <x:c r="X405" s="15" t="n">
        <x:v>0</x:v>
      </x:c>
      <x:c r="Y405" s="15" t="n">
        <x:v>0</x:v>
      </x:c>
      <x:c r="Z405" s="15" t="n">
        <x:v>0</x:v>
      </x:c>
      <x:c r="AA405" s="15" t="n">
        <x:v>0</x:v>
      </x:c>
      <x:c r="AB405" s="15" t="n">
        <x:f>SUM(G405:AA405)</x:f>
        <x:v>592</x:v>
      </x:c>
    </x:row>
    <x:row r="406" ht="36" customHeight="1">
      <x:c r="A406" s="10" t="str">
        <x:v>V-A</x:v>
      </x:c>
      <x:c r="B406" s="10" t="str">
        <x:v>VOICE</x:v>
      </x:c>
      <x:c r="C406" s="10" t="str">
        <x:v>VOICE:S1-11</x:v>
      </x:c>
      <x:c r="D406" s="10" t="str">
        <x:v>VOICE:M440</x:v>
      </x:c>
      <x:c r="E406" s="15" t="n">
        <x:v>0</x:v>
      </x:c>
      <x:c r="F406" s="15" t="str">
        <x:v>scored</x:v>
      </x:c>
      <x:c r="G406" s="15" t="n">
        <x:v>0</x:v>
      </x:c>
      <x:c r="H406" s="15" t="n">
        <x:v>0</x:v>
      </x:c>
      <x:c r="I406" s="15" t="n">
        <x:v>0</x:v>
      </x:c>
      <x:c r="J406" s="15" t="n">
        <x:v>0</x:v>
      </x:c>
      <x:c r="K406" s="15" t="n">
        <x:v>0</x:v>
      </x:c>
      <x:c r="L406" s="15" t="n">
        <x:v>0</x:v>
      </x:c>
      <x:c r="M406" s="15" t="n">
        <x:v>180</x:v>
      </x:c>
      <x:c r="N406" s="15" t="n">
        <x:v>220</x:v>
      </x:c>
      <x:c r="O406" s="15" t="n">
        <x:v>96</x:v>
      </x:c>
      <x:c r="P406" s="15" t="n">
        <x:v>64</x:v>
      </x:c>
      <x:c r="Q406" s="15" t="n">
        <x:v>32</x:v>
      </x:c>
      <x:c r="R406" s="15" t="n">
        <x:v>0</x:v>
      </x:c>
      <x:c r="S406" s="15" t="n">
        <x:v>0</x:v>
      </x:c>
      <x:c r="T406" s="15" t="n">
        <x:v>0</x:v>
      </x:c>
      <x:c r="U406" s="15" t="n">
        <x:v>0</x:v>
      </x:c>
      <x:c r="V406" s="15" t="n">
        <x:v>0</x:v>
      </x:c>
      <x:c r="W406" s="15" t="n">
        <x:v>0</x:v>
      </x:c>
      <x:c r="X406" s="15" t="n">
        <x:v>0</x:v>
      </x:c>
      <x:c r="Y406" s="15" t="n">
        <x:v>0</x:v>
      </x:c>
      <x:c r="Z406" s="15" t="n">
        <x:v>0</x:v>
      </x:c>
      <x:c r="AA406" s="15" t="n">
        <x:v>0</x:v>
      </x:c>
      <x:c r="AB406" s="15" t="n">
        <x:f>SUM(G406:AA406)</x:f>
        <x:v>592</x:v>
      </x:c>
    </x:row>
    <x:row r="407" ht="36" customHeight="1">
      <x:c r="A407" s="10" t="str">
        <x:v>V-R1</x:v>
      </x:c>
      <x:c r="B407" s="10" t="str">
        <x:v>VOICE</x:v>
      </x:c>
      <x:c r="C407" s="10" t="str">
        <x:v>VOICE:S1-11</x:v>
      </x:c>
      <x:c r="D407" s="10" t="str">
        <x:v>VOICE:M451</x:v>
      </x:c>
      <x:c r="E407" s="15" t="n">
        <x:v>0</x:v>
      </x:c>
      <x:c r="F407" s="15" t="str">
        <x:v>scored</x:v>
      </x:c>
      <x:c r="G407" s="15" t="n">
        <x:v>0</x:v>
      </x:c>
      <x:c r="H407" s="15" t="n">
        <x:v>0</x:v>
      </x:c>
      <x:c r="I407" s="15" t="n">
        <x:v>0</x:v>
      </x:c>
      <x:c r="J407" s="15" t="n">
        <x:v>0</x:v>
      </x:c>
      <x:c r="K407" s="15" t="n">
        <x:v>0</x:v>
      </x:c>
      <x:c r="L407" s="15" t="n">
        <x:v>0</x:v>
      </x:c>
      <x:c r="M407" s="15" t="n">
        <x:v>180</x:v>
      </x:c>
      <x:c r="N407" s="15" t="n">
        <x:v>220</x:v>
      </x:c>
      <x:c r="O407" s="15" t="n">
        <x:v>96</x:v>
      </x:c>
      <x:c r="P407" s="15" t="n">
        <x:v>64</x:v>
      </x:c>
      <x:c r="Q407" s="15" t="n">
        <x:v>24</x:v>
      </x:c>
      <x:c r="R407" s="15" t="n">
        <x:v>0</x:v>
      </x:c>
      <x:c r="S407" s="15" t="n">
        <x:v>0</x:v>
      </x:c>
      <x:c r="T407" s="15" t="n">
        <x:v>0</x:v>
      </x:c>
      <x:c r="U407" s="15" t="n">
        <x:v>0</x:v>
      </x:c>
      <x:c r="V407" s="15" t="n">
        <x:v>0</x:v>
      </x:c>
      <x:c r="W407" s="15" t="n">
        <x:v>0</x:v>
      </x:c>
      <x:c r="X407" s="15" t="n">
        <x:v>0</x:v>
      </x:c>
      <x:c r="Y407" s="15" t="n">
        <x:v>0</x:v>
      </x:c>
      <x:c r="Z407" s="15" t="n">
        <x:v>0</x:v>
      </x:c>
      <x:c r="AA407" s="15" t="n">
        <x:v>0</x:v>
      </x:c>
      <x:c r="AB407" s="15" t="n">
        <x:f>SUM(G407:AA407)</x:f>
        <x:v>584</x:v>
      </x:c>
    </x:row>
    <x:row r="408" ht="36" customHeight="1">
      <x:c r="A408" s="10" t="str">
        <x:v>V-R2</x:v>
      </x:c>
      <x:c r="B408" s="10" t="str">
        <x:v>VOICE</x:v>
      </x:c>
      <x:c r="C408" s="10" t="str">
        <x:v>VOICE:S1-11</x:v>
      </x:c>
      <x:c r="D408" s="10" t="str">
        <x:v>VOICE:M462</x:v>
      </x:c>
      <x:c r="E408" s="15" t="n">
        <x:v>0</x:v>
      </x:c>
      <x:c r="F408" s="15" t="str">
        <x:v>scored</x:v>
      </x:c>
      <x:c r="G408" s="15" t="n">
        <x:v>0</x:v>
      </x:c>
      <x:c r="H408" s="15" t="n">
        <x:v>0</x:v>
      </x:c>
      <x:c r="I408" s="15" t="n">
        <x:v>0</x:v>
      </x:c>
      <x:c r="J408" s="15" t="n">
        <x:v>0</x:v>
      </x:c>
      <x:c r="K408" s="15" t="n">
        <x:v>0</x:v>
      </x:c>
      <x:c r="L408" s="15" t="n">
        <x:v>0</x:v>
      </x:c>
      <x:c r="M408" s="15" t="n">
        <x:v>180</x:v>
      </x:c>
      <x:c r="N408" s="15" t="n">
        <x:v>220</x:v>
      </x:c>
      <x:c r="O408" s="15" t="n">
        <x:v>96</x:v>
      </x:c>
      <x:c r="P408" s="15" t="n">
        <x:v>64</x:v>
      </x:c>
      <x:c r="Q408" s="15" t="n">
        <x:v>24</x:v>
      </x:c>
      <x:c r="R408" s="15" t="n">
        <x:v>0</x:v>
      </x:c>
      <x:c r="S408" s="15" t="n">
        <x:v>0</x:v>
      </x:c>
      <x:c r="T408" s="15" t="n">
        <x:v>0</x:v>
      </x:c>
      <x:c r="U408" s="15" t="n">
        <x:v>0</x:v>
      </x:c>
      <x:c r="V408" s="15" t="n">
        <x:v>0</x:v>
      </x:c>
      <x:c r="W408" s="15" t="n">
        <x:v>0</x:v>
      </x:c>
      <x:c r="X408" s="15" t="n">
        <x:v>0</x:v>
      </x:c>
      <x:c r="Y408" s="15" t="n">
        <x:v>0</x:v>
      </x:c>
      <x:c r="Z408" s="15" t="n">
        <x:v>0</x:v>
      </x:c>
      <x:c r="AA408" s="15" t="n">
        <x:v>0</x:v>
      </x:c>
      <x:c r="AB408" s="15" t="n">
        <x:f>SUM(G408:AA408)</x:f>
        <x:v>584</x:v>
      </x:c>
    </x:row>
    <x:row r="409" ht="36" customHeight="1">
      <x:c r="A409" s="10" t="str">
        <x:v>V-R3</x:v>
      </x:c>
      <x:c r="B409" s="10" t="str">
        <x:v>VOICE</x:v>
      </x:c>
      <x:c r="C409" s="10" t="str">
        <x:v>VOICE:S1-11</x:v>
      </x:c>
      <x:c r="D409" s="10" t="str">
        <x:v>VOICE:M473</x:v>
      </x:c>
      <x:c r="E409" s="15" t="n">
        <x:v>0</x:v>
      </x:c>
      <x:c r="F409" s="15" t="str">
        <x:v>scored</x:v>
      </x:c>
      <x:c r="G409" s="15" t="n">
        <x:v>0</x:v>
      </x:c>
      <x:c r="H409" s="15" t="n">
        <x:v>0</x:v>
      </x:c>
      <x:c r="I409" s="15" t="n">
        <x:v>0</x:v>
      </x:c>
      <x:c r="J409" s="15" t="n">
        <x:v>0</x:v>
      </x:c>
      <x:c r="K409" s="15" t="n">
        <x:v>0</x:v>
      </x:c>
      <x:c r="L409" s="15" t="n">
        <x:v>0</x:v>
      </x:c>
      <x:c r="M409" s="15" t="n">
        <x:v>180</x:v>
      </x:c>
      <x:c r="N409" s="15" t="n">
        <x:v>220</x:v>
      </x:c>
      <x:c r="O409" s="15" t="n">
        <x:v>96</x:v>
      </x:c>
      <x:c r="P409" s="15" t="n">
        <x:v>64</x:v>
      </x:c>
      <x:c r="Q409" s="15" t="n">
        <x:v>32</x:v>
      </x:c>
      <x:c r="R409" s="15" t="n">
        <x:v>0</x:v>
      </x:c>
      <x:c r="S409" s="15" t="n">
        <x:v>0</x:v>
      </x:c>
      <x:c r="T409" s="15" t="n">
        <x:v>0</x:v>
      </x:c>
      <x:c r="U409" s="15" t="n">
        <x:v>0</x:v>
      </x:c>
      <x:c r="V409" s="15" t="n">
        <x:v>0</x:v>
      </x:c>
      <x:c r="W409" s="15" t="n">
        <x:v>0</x:v>
      </x:c>
      <x:c r="X409" s="15" t="n">
        <x:v>0</x:v>
      </x:c>
      <x:c r="Y409" s="15" t="n">
        <x:v>0</x:v>
      </x:c>
      <x:c r="Z409" s="15" t="n">
        <x:v>0</x:v>
      </x:c>
      <x:c r="AA409" s="15" t="n">
        <x:v>0</x:v>
      </x:c>
      <x:c r="AB409" s="15" t="n">
        <x:f>SUM(G409:AA409)</x:f>
        <x:v>592</x:v>
      </x:c>
    </x:row>
    <x:row r="410" ht="36" customHeight="1">
      <x:c r="A410" s="10" t="str">
        <x:v>V-A</x:v>
      </x:c>
      <x:c r="B410" s="10" t="str">
        <x:v>VOICE</x:v>
      </x:c>
      <x:c r="C410" s="10" t="str">
        <x:v>VOICE:S1-12</x:v>
      </x:c>
      <x:c r="D410" s="10" t="str">
        <x:v>VOICE:M484</x:v>
      </x:c>
      <x:c r="E410" s="15" t="n">
        <x:v>0</x:v>
      </x:c>
      <x:c r="F410" s="15" t="str">
        <x:v>scored</x:v>
      </x:c>
      <x:c r="G410" s="15" t="n">
        <x:v>0</x:v>
      </x:c>
      <x:c r="H410" s="15" t="n">
        <x:v>0</x:v>
      </x:c>
      <x:c r="I410" s="15" t="n">
        <x:v>0</x:v>
      </x:c>
      <x:c r="J410" s="15" t="n">
        <x:v>0</x:v>
      </x:c>
      <x:c r="K410" s="15" t="n">
        <x:v>0</x:v>
      </x:c>
      <x:c r="L410" s="15" t="n">
        <x:v>0</x:v>
      </x:c>
      <x:c r="M410" s="15" t="n">
        <x:v>180</x:v>
      </x:c>
      <x:c r="N410" s="15" t="n">
        <x:v>220</x:v>
      </x:c>
      <x:c r="O410" s="15" t="n">
        <x:v>96</x:v>
      </x:c>
      <x:c r="P410" s="15" t="n">
        <x:v>64</x:v>
      </x:c>
      <x:c r="Q410" s="15" t="n">
        <x:v>32</x:v>
      </x:c>
      <x:c r="R410" s="15" t="n">
        <x:v>0</x:v>
      </x:c>
      <x:c r="S410" s="15" t="n">
        <x:v>0</x:v>
      </x:c>
      <x:c r="T410" s="15" t="n">
        <x:v>0</x:v>
      </x:c>
      <x:c r="U410" s="15" t="n">
        <x:v>0</x:v>
      </x:c>
      <x:c r="V410" s="15" t="n">
        <x:v>0</x:v>
      </x:c>
      <x:c r="W410" s="15" t="n">
        <x:v>0</x:v>
      </x:c>
      <x:c r="X410" s="15" t="n">
        <x:v>0</x:v>
      </x:c>
      <x:c r="Y410" s="15" t="n">
        <x:v>0</x:v>
      </x:c>
      <x:c r="Z410" s="15" t="n">
        <x:v>0</x:v>
      </x:c>
      <x:c r="AA410" s="15" t="n">
        <x:v>0</x:v>
      </x:c>
      <x:c r="AB410" s="15" t="n">
        <x:f>SUM(G410:AA410)</x:f>
        <x:v>592</x:v>
      </x:c>
    </x:row>
    <x:row r="411" ht="36" customHeight="1">
      <x:c r="A411" s="10" t="str">
        <x:v>V-R1</x:v>
      </x:c>
      <x:c r="B411" s="10" t="str">
        <x:v>VOICE</x:v>
      </x:c>
      <x:c r="C411" s="10" t="str">
        <x:v>VOICE:S1-12</x:v>
      </x:c>
      <x:c r="D411" s="10" t="str">
        <x:v>VOICE:M495</x:v>
      </x:c>
      <x:c r="E411" s="15" t="n">
        <x:v>0</x:v>
      </x:c>
      <x:c r="F411" s="15" t="str">
        <x:v>scored</x:v>
      </x:c>
      <x:c r="G411" s="15" t="n">
        <x:v>0</x:v>
      </x:c>
      <x:c r="H411" s="15" t="n">
        <x:v>0</x:v>
      </x:c>
      <x:c r="I411" s="15" t="n">
        <x:v>0</x:v>
      </x:c>
      <x:c r="J411" s="15" t="n">
        <x:v>0</x:v>
      </x:c>
      <x:c r="K411" s="15" t="n">
        <x:v>0</x:v>
      </x:c>
      <x:c r="L411" s="15" t="n">
        <x:v>0</x:v>
      </x:c>
      <x:c r="M411" s="15" t="n">
        <x:v>180</x:v>
      </x:c>
      <x:c r="N411" s="15" t="n">
        <x:v>220</x:v>
      </x:c>
      <x:c r="O411" s="15" t="n">
        <x:v>96</x:v>
      </x:c>
      <x:c r="P411" s="15" t="n">
        <x:v>64</x:v>
      </x:c>
      <x:c r="Q411" s="15" t="n">
        <x:v>24</x:v>
      </x:c>
      <x:c r="R411" s="15" t="n">
        <x:v>0</x:v>
      </x:c>
      <x:c r="S411" s="15" t="n">
        <x:v>0</x:v>
      </x:c>
      <x:c r="T411" s="15" t="n">
        <x:v>0</x:v>
      </x:c>
      <x:c r="U411" s="15" t="n">
        <x:v>0</x:v>
      </x:c>
      <x:c r="V411" s="15" t="n">
        <x:v>0</x:v>
      </x:c>
      <x:c r="W411" s="15" t="n">
        <x:v>0</x:v>
      </x:c>
      <x:c r="X411" s="15" t="n">
        <x:v>0</x:v>
      </x:c>
      <x:c r="Y411" s="15" t="n">
        <x:v>0</x:v>
      </x:c>
      <x:c r="Z411" s="15" t="n">
        <x:v>0</x:v>
      </x:c>
      <x:c r="AA411" s="15" t="n">
        <x:v>0</x:v>
      </x:c>
      <x:c r="AB411" s="15" t="n">
        <x:f>SUM(G411:AA411)</x:f>
        <x:v>584</x:v>
      </x:c>
    </x:row>
    <x:row r="412" ht="36" customHeight="1">
      <x:c r="A412" s="10" t="str">
        <x:v>V-R2</x:v>
      </x:c>
      <x:c r="B412" s="10" t="str">
        <x:v>VOICE</x:v>
      </x:c>
      <x:c r="C412" s="10" t="str">
        <x:v>VOICE:S1-12</x:v>
      </x:c>
      <x:c r="D412" s="10" t="str">
        <x:v>VOICE:M506</x:v>
      </x:c>
      <x:c r="E412" s="15" t="n">
        <x:v>0</x:v>
      </x:c>
      <x:c r="F412" s="15" t="str">
        <x:v>scored</x:v>
      </x:c>
      <x:c r="G412" s="15" t="n">
        <x:v>0</x:v>
      </x:c>
      <x:c r="H412" s="15" t="n">
        <x:v>0</x:v>
      </x:c>
      <x:c r="I412" s="15" t="n">
        <x:v>0</x:v>
      </x:c>
      <x:c r="J412" s="15" t="n">
        <x:v>0</x:v>
      </x:c>
      <x:c r="K412" s="15" t="n">
        <x:v>0</x:v>
      </x:c>
      <x:c r="L412" s="15" t="n">
        <x:v>0</x:v>
      </x:c>
      <x:c r="M412" s="15" t="n">
        <x:v>180</x:v>
      </x:c>
      <x:c r="N412" s="15" t="n">
        <x:v>220</x:v>
      </x:c>
      <x:c r="O412" s="15" t="n">
        <x:v>96</x:v>
      </x:c>
      <x:c r="P412" s="15" t="n">
        <x:v>64</x:v>
      </x:c>
      <x:c r="Q412" s="15" t="n">
        <x:v>24</x:v>
      </x:c>
      <x:c r="R412" s="15" t="n">
        <x:v>0</x:v>
      </x:c>
      <x:c r="S412" s="15" t="n">
        <x:v>0</x:v>
      </x:c>
      <x:c r="T412" s="15" t="n">
        <x:v>0</x:v>
      </x:c>
      <x:c r="U412" s="15" t="n">
        <x:v>0</x:v>
      </x:c>
      <x:c r="V412" s="15" t="n">
        <x:v>0</x:v>
      </x:c>
      <x:c r="W412" s="15" t="n">
        <x:v>0</x:v>
      </x:c>
      <x:c r="X412" s="15" t="n">
        <x:v>0</x:v>
      </x:c>
      <x:c r="Y412" s="15" t="n">
        <x:v>0</x:v>
      </x:c>
      <x:c r="Z412" s="15" t="n">
        <x:v>0</x:v>
      </x:c>
      <x:c r="AA412" s="15" t="n">
        <x:v>0</x:v>
      </x:c>
      <x:c r="AB412" s="15" t="n">
        <x:f>SUM(G412:AA412)</x:f>
        <x:v>584</x:v>
      </x:c>
    </x:row>
    <x:row r="413" ht="36" customHeight="1">
      <x:c r="A413" s="10" t="str">
        <x:v>V-R3</x:v>
      </x:c>
      <x:c r="B413" s="10" t="str">
        <x:v>VOICE</x:v>
      </x:c>
      <x:c r="C413" s="10" t="str">
        <x:v>VOICE:S1-12</x:v>
      </x:c>
      <x:c r="D413" s="10" t="str">
        <x:v>VOICE:M517</x:v>
      </x:c>
      <x:c r="E413" s="15" t="n">
        <x:v>0</x:v>
      </x:c>
      <x:c r="F413" s="15" t="str">
        <x:v>scored</x:v>
      </x:c>
      <x:c r="G413" s="15" t="n">
        <x:v>0</x:v>
      </x:c>
      <x:c r="H413" s="15" t="n">
        <x:v>0</x:v>
      </x:c>
      <x:c r="I413" s="15" t="n">
        <x:v>0</x:v>
      </x:c>
      <x:c r="J413" s="15" t="n">
        <x:v>0</x:v>
      </x:c>
      <x:c r="K413" s="15" t="n">
        <x:v>0</x:v>
      </x:c>
      <x:c r="L413" s="15" t="n">
        <x:v>0</x:v>
      </x:c>
      <x:c r="M413" s="15" t="n">
        <x:v>180</x:v>
      </x:c>
      <x:c r="N413" s="15" t="n">
        <x:v>220</x:v>
      </x:c>
      <x:c r="O413" s="15" t="n">
        <x:v>96</x:v>
      </x:c>
      <x:c r="P413" s="15" t="n">
        <x:v>64</x:v>
      </x:c>
      <x:c r="Q413" s="15" t="n">
        <x:v>32</x:v>
      </x:c>
      <x:c r="R413" s="15" t="n">
        <x:v>0</x:v>
      </x:c>
      <x:c r="S413" s="15" t="n">
        <x:v>0</x:v>
      </x:c>
      <x:c r="T413" s="15" t="n">
        <x:v>0</x:v>
      </x:c>
      <x:c r="U413" s="15" t="n">
        <x:v>0</x:v>
      </x:c>
      <x:c r="V413" s="15" t="n">
        <x:v>0</x:v>
      </x:c>
      <x:c r="W413" s="15" t="n">
        <x:v>0</x:v>
      </x:c>
      <x:c r="X413" s="15" t="n">
        <x:v>0</x:v>
      </x:c>
      <x:c r="Y413" s="15" t="n">
        <x:v>0</x:v>
      </x:c>
      <x:c r="Z413" s="15" t="n">
        <x:v>0</x:v>
      </x:c>
      <x:c r="AA413" s="15" t="n">
        <x:v>0</x:v>
      </x:c>
      <x:c r="AB413" s="15" t="n">
        <x:f>SUM(G413:AA413)</x:f>
        <x:v>592</x:v>
      </x:c>
    </x:row>
    <x:row r="414" ht="36" customHeight="1">
      <x:c r="A414" s="10" t="str">
        <x:v>V-A</x:v>
      </x:c>
      <x:c r="B414" s="10" t="str">
        <x:v>VOICE</x:v>
      </x:c>
      <x:c r="C414" s="10" t="str">
        <x:v>VOICE:S1-13</x:v>
      </x:c>
      <x:c r="D414" s="10" t="str">
        <x:v>VOICE:M528</x:v>
      </x:c>
      <x:c r="E414" s="15" t="n">
        <x:v>0</x:v>
      </x:c>
      <x:c r="F414" s="15" t="str">
        <x:v>scored</x:v>
      </x:c>
      <x:c r="G414" s="15" t="n">
        <x:v>0</x:v>
      </x:c>
      <x:c r="H414" s="15" t="n">
        <x:v>0</x:v>
      </x:c>
      <x:c r="I414" s="15" t="n">
        <x:v>0</x:v>
      </x:c>
      <x:c r="J414" s="15" t="n">
        <x:v>0</x:v>
      </x:c>
      <x:c r="K414" s="15" t="n">
        <x:v>0</x:v>
      </x:c>
      <x:c r="L414" s="15" t="n">
        <x:v>0</x:v>
      </x:c>
      <x:c r="M414" s="15" t="n">
        <x:v>180</x:v>
      </x:c>
      <x:c r="N414" s="15" t="n">
        <x:v>220</x:v>
      </x:c>
      <x:c r="O414" s="15" t="n">
        <x:v>96</x:v>
      </x:c>
      <x:c r="P414" s="15" t="n">
        <x:v>64</x:v>
      </x:c>
      <x:c r="Q414" s="15" t="n">
        <x:v>32</x:v>
      </x:c>
      <x:c r="R414" s="15" t="n">
        <x:v>0</x:v>
      </x:c>
      <x:c r="S414" s="15" t="n">
        <x:v>0</x:v>
      </x:c>
      <x:c r="T414" s="15" t="n">
        <x:v>0</x:v>
      </x:c>
      <x:c r="U414" s="15" t="n">
        <x:v>0</x:v>
      </x:c>
      <x:c r="V414" s="15" t="n">
        <x:v>0</x:v>
      </x:c>
      <x:c r="W414" s="15" t="n">
        <x:v>0</x:v>
      </x:c>
      <x:c r="X414" s="15" t="n">
        <x:v>0</x:v>
      </x:c>
      <x:c r="Y414" s="15" t="n">
        <x:v>0</x:v>
      </x:c>
      <x:c r="Z414" s="15" t="n">
        <x:v>0</x:v>
      </x:c>
      <x:c r="AA414" s="15" t="n">
        <x:v>0</x:v>
      </x:c>
      <x:c r="AB414" s="15" t="n">
        <x:f>SUM(G414:AA414)</x:f>
        <x:v>592</x:v>
      </x:c>
    </x:row>
    <x:row r="415" ht="36" customHeight="1">
      <x:c r="A415" s="10" t="str">
        <x:v>V-R1</x:v>
      </x:c>
      <x:c r="B415" s="10" t="str">
        <x:v>VOICE</x:v>
      </x:c>
      <x:c r="C415" s="10" t="str">
        <x:v>VOICE:S1-13</x:v>
      </x:c>
      <x:c r="D415" s="10" t="str">
        <x:v>VOICE:M539</x:v>
      </x:c>
      <x:c r="E415" s="15" t="n">
        <x:v>0</x:v>
      </x:c>
      <x:c r="F415" s="15" t="str">
        <x:v>scored</x:v>
      </x:c>
      <x:c r="G415" s="15" t="n">
        <x:v>0</x:v>
      </x:c>
      <x:c r="H415" s="15" t="n">
        <x:v>0</x:v>
      </x:c>
      <x:c r="I415" s="15" t="n">
        <x:v>0</x:v>
      </x:c>
      <x:c r="J415" s="15" t="n">
        <x:v>0</x:v>
      </x:c>
      <x:c r="K415" s="15" t="n">
        <x:v>0</x:v>
      </x:c>
      <x:c r="L415" s="15" t="n">
        <x:v>0</x:v>
      </x:c>
      <x:c r="M415" s="15" t="n">
        <x:v>180</x:v>
      </x:c>
      <x:c r="N415" s="15" t="n">
        <x:v>220</x:v>
      </x:c>
      <x:c r="O415" s="15" t="n">
        <x:v>96</x:v>
      </x:c>
      <x:c r="P415" s="15" t="n">
        <x:v>64</x:v>
      </x:c>
      <x:c r="Q415" s="15" t="n">
        <x:v>24</x:v>
      </x:c>
      <x:c r="R415" s="15" t="n">
        <x:v>0</x:v>
      </x:c>
      <x:c r="S415" s="15" t="n">
        <x:v>0</x:v>
      </x:c>
      <x:c r="T415" s="15" t="n">
        <x:v>0</x:v>
      </x:c>
      <x:c r="U415" s="15" t="n">
        <x:v>0</x:v>
      </x:c>
      <x:c r="V415" s="15" t="n">
        <x:v>0</x:v>
      </x:c>
      <x:c r="W415" s="15" t="n">
        <x:v>0</x:v>
      </x:c>
      <x:c r="X415" s="15" t="n">
        <x:v>0</x:v>
      </x:c>
      <x:c r="Y415" s="15" t="n">
        <x:v>0</x:v>
      </x:c>
      <x:c r="Z415" s="15" t="n">
        <x:v>0</x:v>
      </x:c>
      <x:c r="AA415" s="15" t="n">
        <x:v>0</x:v>
      </x:c>
      <x:c r="AB415" s="15" t="n">
        <x:f>SUM(G415:AA415)</x:f>
        <x:v>584</x:v>
      </x:c>
    </x:row>
    <x:row r="416" ht="36" customHeight="1">
      <x:c r="A416" s="10" t="str">
        <x:v>V-R2</x:v>
      </x:c>
      <x:c r="B416" s="10" t="str">
        <x:v>VOICE</x:v>
      </x:c>
      <x:c r="C416" s="10" t="str">
        <x:v>VOICE:S1-13</x:v>
      </x:c>
      <x:c r="D416" s="10" t="str">
        <x:v>VOICE:M550</x:v>
      </x:c>
      <x:c r="E416" s="15" t="n">
        <x:v>0</x:v>
      </x:c>
      <x:c r="F416" s="15" t="str">
        <x:v>scored</x:v>
      </x:c>
      <x:c r="G416" s="15" t="n">
        <x:v>0</x:v>
      </x:c>
      <x:c r="H416" s="15" t="n">
        <x:v>0</x:v>
      </x:c>
      <x:c r="I416" s="15" t="n">
        <x:v>0</x:v>
      </x:c>
      <x:c r="J416" s="15" t="n">
        <x:v>0</x:v>
      </x:c>
      <x:c r="K416" s="15" t="n">
        <x:v>0</x:v>
      </x:c>
      <x:c r="L416" s="15" t="n">
        <x:v>0</x:v>
      </x:c>
      <x:c r="M416" s="15" t="n">
        <x:v>180</x:v>
      </x:c>
      <x:c r="N416" s="15" t="n">
        <x:v>220</x:v>
      </x:c>
      <x:c r="O416" s="15" t="n">
        <x:v>96</x:v>
      </x:c>
      <x:c r="P416" s="15" t="n">
        <x:v>64</x:v>
      </x:c>
      <x:c r="Q416" s="15" t="n">
        <x:v>24</x:v>
      </x:c>
      <x:c r="R416" s="15" t="n">
        <x:v>0</x:v>
      </x:c>
      <x:c r="S416" s="15" t="n">
        <x:v>0</x:v>
      </x:c>
      <x:c r="T416" s="15" t="n">
        <x:v>0</x:v>
      </x:c>
      <x:c r="U416" s="15" t="n">
        <x:v>0</x:v>
      </x:c>
      <x:c r="V416" s="15" t="n">
        <x:v>0</x:v>
      </x:c>
      <x:c r="W416" s="15" t="n">
        <x:v>0</x:v>
      </x:c>
      <x:c r="X416" s="15" t="n">
        <x:v>0</x:v>
      </x:c>
      <x:c r="Y416" s="15" t="n">
        <x:v>0</x:v>
      </x:c>
      <x:c r="Z416" s="15" t="n">
        <x:v>0</x:v>
      </x:c>
      <x:c r="AA416" s="15" t="n">
        <x:v>0</x:v>
      </x:c>
      <x:c r="AB416" s="15" t="n">
        <x:f>SUM(G416:AA416)</x:f>
        <x:v>584</x:v>
      </x:c>
    </x:row>
    <x:row r="417" ht="36" customHeight="1">
      <x:c r="A417" s="10" t="str">
        <x:v>V-R3</x:v>
      </x:c>
      <x:c r="B417" s="10" t="str">
        <x:v>VOICE</x:v>
      </x:c>
      <x:c r="C417" s="10" t="str">
        <x:v>VOICE:S1-13</x:v>
      </x:c>
      <x:c r="D417" s="10" t="str">
        <x:v>VOICE:M561</x:v>
      </x:c>
      <x:c r="E417" s="15" t="n">
        <x:v>0</x:v>
      </x:c>
      <x:c r="F417" s="15" t="str">
        <x:v>scored</x:v>
      </x:c>
      <x:c r="G417" s="15" t="n">
        <x:v>0</x:v>
      </x:c>
      <x:c r="H417" s="15" t="n">
        <x:v>0</x:v>
      </x:c>
      <x:c r="I417" s="15" t="n">
        <x:v>0</x:v>
      </x:c>
      <x:c r="J417" s="15" t="n">
        <x:v>0</x:v>
      </x:c>
      <x:c r="K417" s="15" t="n">
        <x:v>0</x:v>
      </x:c>
      <x:c r="L417" s="15" t="n">
        <x:v>0</x:v>
      </x:c>
      <x:c r="M417" s="15" t="n">
        <x:v>180</x:v>
      </x:c>
      <x:c r="N417" s="15" t="n">
        <x:v>220</x:v>
      </x:c>
      <x:c r="O417" s="15" t="n">
        <x:v>96</x:v>
      </x:c>
      <x:c r="P417" s="15" t="n">
        <x:v>64</x:v>
      </x:c>
      <x:c r="Q417" s="15" t="n">
        <x:v>32</x:v>
      </x:c>
      <x:c r="R417" s="15" t="n">
        <x:v>0</x:v>
      </x:c>
      <x:c r="S417" s="15" t="n">
        <x:v>0</x:v>
      </x:c>
      <x:c r="T417" s="15" t="n">
        <x:v>0</x:v>
      </x:c>
      <x:c r="U417" s="15" t="n">
        <x:v>0</x:v>
      </x:c>
      <x:c r="V417" s="15" t="n">
        <x:v>0</x:v>
      </x:c>
      <x:c r="W417" s="15" t="n">
        <x:v>0</x:v>
      </x:c>
      <x:c r="X417" s="15" t="n">
        <x:v>0</x:v>
      </x:c>
      <x:c r="Y417" s="15" t="n">
        <x:v>0</x:v>
      </x:c>
      <x:c r="Z417" s="15" t="n">
        <x:v>0</x:v>
      </x:c>
      <x:c r="AA417" s="15" t="n">
        <x:v>0</x:v>
      </x:c>
      <x:c r="AB417" s="15" t="n">
        <x:f>SUM(G417:AA417)</x:f>
        <x:v>592</x:v>
      </x:c>
    </x:row>
    <x:row r="418" ht="36" customHeight="1">
      <x:c r="A418" s="10" t="str">
        <x:v>V-A</x:v>
      </x:c>
      <x:c r="B418" s="10" t="str">
        <x:v>VOICE</x:v>
      </x:c>
      <x:c r="C418" s="10" t="str">
        <x:v>VOICE:S1-14</x:v>
      </x:c>
      <x:c r="D418" s="10" t="str">
        <x:v>VOICE:M572</x:v>
      </x:c>
      <x:c r="E418" s="15" t="n">
        <x:v>0</x:v>
      </x:c>
      <x:c r="F418" s="15" t="str">
        <x:v>scored</x:v>
      </x:c>
      <x:c r="G418" s="15" t="n">
        <x:v>0</x:v>
      </x:c>
      <x:c r="H418" s="15" t="n">
        <x:v>0</x:v>
      </x:c>
      <x:c r="I418" s="15" t="n">
        <x:v>0</x:v>
      </x:c>
      <x:c r="J418" s="15" t="n">
        <x:v>0</x:v>
      </x:c>
      <x:c r="K418" s="15" t="n">
        <x:v>0</x:v>
      </x:c>
      <x:c r="L418" s="15" t="n">
        <x:v>0</x:v>
      </x:c>
      <x:c r="M418" s="15" t="n">
        <x:v>180</x:v>
      </x:c>
      <x:c r="N418" s="15" t="n">
        <x:v>220</x:v>
      </x:c>
      <x:c r="O418" s="15" t="n">
        <x:v>96</x:v>
      </x:c>
      <x:c r="P418" s="15" t="n">
        <x:v>64</x:v>
      </x:c>
      <x:c r="Q418" s="15" t="n">
        <x:v>32</x:v>
      </x:c>
      <x:c r="R418" s="15" t="n">
        <x:v>0</x:v>
      </x:c>
      <x:c r="S418" s="15" t="n">
        <x:v>0</x:v>
      </x:c>
      <x:c r="T418" s="15" t="n">
        <x:v>0</x:v>
      </x:c>
      <x:c r="U418" s="15" t="n">
        <x:v>0</x:v>
      </x:c>
      <x:c r="V418" s="15" t="n">
        <x:v>0</x:v>
      </x:c>
      <x:c r="W418" s="15" t="n">
        <x:v>0</x:v>
      </x:c>
      <x:c r="X418" s="15" t="n">
        <x:v>0</x:v>
      </x:c>
      <x:c r="Y418" s="15" t="n">
        <x:v>0</x:v>
      </x:c>
      <x:c r="Z418" s="15" t="n">
        <x:v>0</x:v>
      </x:c>
      <x:c r="AA418" s="15" t="n">
        <x:v>0</x:v>
      </x:c>
      <x:c r="AB418" s="15" t="n">
        <x:f>SUM(G418:AA418)</x:f>
        <x:v>592</x:v>
      </x:c>
    </x:row>
    <x:row r="419" ht="36" customHeight="1">
      <x:c r="A419" s="10" t="str">
        <x:v>V-R1</x:v>
      </x:c>
      <x:c r="B419" s="10" t="str">
        <x:v>VOICE</x:v>
      </x:c>
      <x:c r="C419" s="10" t="str">
        <x:v>VOICE:S1-14</x:v>
      </x:c>
      <x:c r="D419" s="10" t="str">
        <x:v>VOICE:M583</x:v>
      </x:c>
      <x:c r="E419" s="15" t="n">
        <x:v>0</x:v>
      </x:c>
      <x:c r="F419" s="15" t="str">
        <x:v>scored</x:v>
      </x:c>
      <x:c r="G419" s="15" t="n">
        <x:v>0</x:v>
      </x:c>
      <x:c r="H419" s="15" t="n">
        <x:v>0</x:v>
      </x:c>
      <x:c r="I419" s="15" t="n">
        <x:v>0</x:v>
      </x:c>
      <x:c r="J419" s="15" t="n">
        <x:v>0</x:v>
      </x:c>
      <x:c r="K419" s="15" t="n">
        <x:v>0</x:v>
      </x:c>
      <x:c r="L419" s="15" t="n">
        <x:v>0</x:v>
      </x:c>
      <x:c r="M419" s="15" t="n">
        <x:v>180</x:v>
      </x:c>
      <x:c r="N419" s="15" t="n">
        <x:v>220</x:v>
      </x:c>
      <x:c r="O419" s="15" t="n">
        <x:v>96</x:v>
      </x:c>
      <x:c r="P419" s="15" t="n">
        <x:v>64</x:v>
      </x:c>
      <x:c r="Q419" s="15" t="n">
        <x:v>24</x:v>
      </x:c>
      <x:c r="R419" s="15" t="n">
        <x:v>0</x:v>
      </x:c>
      <x:c r="S419" s="15" t="n">
        <x:v>0</x:v>
      </x:c>
      <x:c r="T419" s="15" t="n">
        <x:v>0</x:v>
      </x:c>
      <x:c r="U419" s="15" t="n">
        <x:v>0</x:v>
      </x:c>
      <x:c r="V419" s="15" t="n">
        <x:v>0</x:v>
      </x:c>
      <x:c r="W419" s="15" t="n">
        <x:v>0</x:v>
      </x:c>
      <x:c r="X419" s="15" t="n">
        <x:v>0</x:v>
      </x:c>
      <x:c r="Y419" s="15" t="n">
        <x:v>0</x:v>
      </x:c>
      <x:c r="Z419" s="15" t="n">
        <x:v>0</x:v>
      </x:c>
      <x:c r="AA419" s="15" t="n">
        <x:v>0</x:v>
      </x:c>
      <x:c r="AB419" s="15" t="n">
        <x:f>SUM(G419:AA419)</x:f>
        <x:v>584</x:v>
      </x:c>
    </x:row>
    <x:row r="420" ht="36" customHeight="1">
      <x:c r="A420" s="10" t="str">
        <x:v>V-R2</x:v>
      </x:c>
      <x:c r="B420" s="10" t="str">
        <x:v>VOICE</x:v>
      </x:c>
      <x:c r="C420" s="10" t="str">
        <x:v>VOICE:S1-14</x:v>
      </x:c>
      <x:c r="D420" s="10" t="str">
        <x:v>VOICE:M594</x:v>
      </x:c>
      <x:c r="E420" s="15" t="n">
        <x:v>0</x:v>
      </x:c>
      <x:c r="F420" s="15" t="str">
        <x:v>scored</x:v>
      </x:c>
      <x:c r="G420" s="15" t="n">
        <x:v>0</x:v>
      </x:c>
      <x:c r="H420" s="15" t="n">
        <x:v>0</x:v>
      </x:c>
      <x:c r="I420" s="15" t="n">
        <x:v>0</x:v>
      </x:c>
      <x:c r="J420" s="15" t="n">
        <x:v>0</x:v>
      </x:c>
      <x:c r="K420" s="15" t="n">
        <x:v>0</x:v>
      </x:c>
      <x:c r="L420" s="15" t="n">
        <x:v>0</x:v>
      </x:c>
      <x:c r="M420" s="15" t="n">
        <x:v>180</x:v>
      </x:c>
      <x:c r="N420" s="15" t="n">
        <x:v>220</x:v>
      </x:c>
      <x:c r="O420" s="15" t="n">
        <x:v>96</x:v>
      </x:c>
      <x:c r="P420" s="15" t="n">
        <x:v>64</x:v>
      </x:c>
      <x:c r="Q420" s="15" t="n">
        <x:v>24</x:v>
      </x:c>
      <x:c r="R420" s="15" t="n">
        <x:v>0</x:v>
      </x:c>
      <x:c r="S420" s="15" t="n">
        <x:v>0</x:v>
      </x:c>
      <x:c r="T420" s="15" t="n">
        <x:v>0</x:v>
      </x:c>
      <x:c r="U420" s="15" t="n">
        <x:v>0</x:v>
      </x:c>
      <x:c r="V420" s="15" t="n">
        <x:v>0</x:v>
      </x:c>
      <x:c r="W420" s="15" t="n">
        <x:v>0</x:v>
      </x:c>
      <x:c r="X420" s="15" t="n">
        <x:v>0</x:v>
      </x:c>
      <x:c r="Y420" s="15" t="n">
        <x:v>0</x:v>
      </x:c>
      <x:c r="Z420" s="15" t="n">
        <x:v>0</x:v>
      </x:c>
      <x:c r="AA420" s="15" t="n">
        <x:v>0</x:v>
      </x:c>
      <x:c r="AB420" s="15" t="n">
        <x:f>SUM(G420:AA420)</x:f>
        <x:v>584</x:v>
      </x:c>
    </x:row>
    <x:row r="421" ht="36" customHeight="1">
      <x:c r="A421" s="10" t="str">
        <x:v>V-R3</x:v>
      </x:c>
      <x:c r="B421" s="10" t="str">
        <x:v>VOICE</x:v>
      </x:c>
      <x:c r="C421" s="10" t="str">
        <x:v>VOICE:S1-14</x:v>
      </x:c>
      <x:c r="D421" s="10" t="str">
        <x:v>VOICE:M605</x:v>
      </x:c>
      <x:c r="E421" s="15" t="n">
        <x:v>0</x:v>
      </x:c>
      <x:c r="F421" s="15" t="str">
        <x:v>scored</x:v>
      </x:c>
      <x:c r="G421" s="15" t="n">
        <x:v>0</x:v>
      </x:c>
      <x:c r="H421" s="15" t="n">
        <x:v>0</x:v>
      </x:c>
      <x:c r="I421" s="15" t="n">
        <x:v>0</x:v>
      </x:c>
      <x:c r="J421" s="15" t="n">
        <x:v>0</x:v>
      </x:c>
      <x:c r="K421" s="15" t="n">
        <x:v>0</x:v>
      </x:c>
      <x:c r="L421" s="15" t="n">
        <x:v>0</x:v>
      </x:c>
      <x:c r="M421" s="15" t="n">
        <x:v>180</x:v>
      </x:c>
      <x:c r="N421" s="15" t="n">
        <x:v>220</x:v>
      </x:c>
      <x:c r="O421" s="15" t="n">
        <x:v>96</x:v>
      </x:c>
      <x:c r="P421" s="15" t="n">
        <x:v>64</x:v>
      </x:c>
      <x:c r="Q421" s="15" t="n">
        <x:v>32</x:v>
      </x:c>
      <x:c r="R421" s="15" t="n">
        <x:v>0</x:v>
      </x:c>
      <x:c r="S421" s="15" t="n">
        <x:v>0</x:v>
      </x:c>
      <x:c r="T421" s="15" t="n">
        <x:v>0</x:v>
      </x:c>
      <x:c r="U421" s="15" t="n">
        <x:v>0</x:v>
      </x:c>
      <x:c r="V421" s="15" t="n">
        <x:v>0</x:v>
      </x:c>
      <x:c r="W421" s="15" t="n">
        <x:v>0</x:v>
      </x:c>
      <x:c r="X421" s="15" t="n">
        <x:v>0</x:v>
      </x:c>
      <x:c r="Y421" s="15" t="n">
        <x:v>0</x:v>
      </x:c>
      <x:c r="Z421" s="15" t="n">
        <x:v>0</x:v>
      </x:c>
      <x:c r="AA421" s="15" t="n">
        <x:v>0</x:v>
      </x:c>
      <x:c r="AB421" s="15" t="n">
        <x:f>SUM(G421:AA421)</x:f>
        <x:v>592</x:v>
      </x:c>
    </x:row>
    <x:row r="422" ht="36" customHeight="1">
      <x:c r="A422" s="10" t="str">
        <x:v>V-A</x:v>
      </x:c>
      <x:c r="B422" s="10" t="str">
        <x:v>VOICE</x:v>
      </x:c>
      <x:c r="C422" s="10" t="str">
        <x:v>VOICE:S1-15</x:v>
      </x:c>
      <x:c r="D422" s="10" t="str">
        <x:v>VOICE:M616</x:v>
      </x:c>
      <x:c r="E422" s="15" t="n">
        <x:v>0</x:v>
      </x:c>
      <x:c r="F422" s="15" t="str">
        <x:v>scored</x:v>
      </x:c>
      <x:c r="G422" s="15" t="n">
        <x:v>0</x:v>
      </x:c>
      <x:c r="H422" s="15" t="n">
        <x:v>0</x:v>
      </x:c>
      <x:c r="I422" s="15" t="n">
        <x:v>0</x:v>
      </x:c>
      <x:c r="J422" s="15" t="n">
        <x:v>0</x:v>
      </x:c>
      <x:c r="K422" s="15" t="n">
        <x:v>0</x:v>
      </x:c>
      <x:c r="L422" s="15" t="n">
        <x:v>0</x:v>
      </x:c>
      <x:c r="M422" s="15" t="n">
        <x:v>180</x:v>
      </x:c>
      <x:c r="N422" s="15" t="n">
        <x:v>220</x:v>
      </x:c>
      <x:c r="O422" s="15" t="n">
        <x:v>96</x:v>
      </x:c>
      <x:c r="P422" s="15" t="n">
        <x:v>64</x:v>
      </x:c>
      <x:c r="Q422" s="15" t="n">
        <x:v>32</x:v>
      </x:c>
      <x:c r="R422" s="15" t="n">
        <x:v>0</x:v>
      </x:c>
      <x:c r="S422" s="15" t="n">
        <x:v>0</x:v>
      </x:c>
      <x:c r="T422" s="15" t="n">
        <x:v>0</x:v>
      </x:c>
      <x:c r="U422" s="15" t="n">
        <x:v>0</x:v>
      </x:c>
      <x:c r="V422" s="15" t="n">
        <x:v>0</x:v>
      </x:c>
      <x:c r="W422" s="15" t="n">
        <x:v>0</x:v>
      </x:c>
      <x:c r="X422" s="15" t="n">
        <x:v>0</x:v>
      </x:c>
      <x:c r="Y422" s="15" t="n">
        <x:v>0</x:v>
      </x:c>
      <x:c r="Z422" s="15" t="n">
        <x:v>0</x:v>
      </x:c>
      <x:c r="AA422" s="15" t="n">
        <x:v>0</x:v>
      </x:c>
      <x:c r="AB422" s="15" t="n">
        <x:f>SUM(G422:AA422)</x:f>
        <x:v>592</x:v>
      </x:c>
    </x:row>
    <x:row r="423" ht="36" customHeight="1">
      <x:c r="A423" s="10" t="str">
        <x:v>V-R1</x:v>
      </x:c>
      <x:c r="B423" s="10" t="str">
        <x:v>VOICE</x:v>
      </x:c>
      <x:c r="C423" s="10" t="str">
        <x:v>VOICE:S1-15</x:v>
      </x:c>
      <x:c r="D423" s="10" t="str">
        <x:v>VOICE:M627</x:v>
      </x:c>
      <x:c r="E423" s="15" t="n">
        <x:v>0</x:v>
      </x:c>
      <x:c r="F423" s="15" t="str">
        <x:v>scored</x:v>
      </x:c>
      <x:c r="G423" s="15" t="n">
        <x:v>0</x:v>
      </x:c>
      <x:c r="H423" s="15" t="n">
        <x:v>0</x:v>
      </x:c>
      <x:c r="I423" s="15" t="n">
        <x:v>0</x:v>
      </x:c>
      <x:c r="J423" s="15" t="n">
        <x:v>0</x:v>
      </x:c>
      <x:c r="K423" s="15" t="n">
        <x:v>0</x:v>
      </x:c>
      <x:c r="L423" s="15" t="n">
        <x:v>0</x:v>
      </x:c>
      <x:c r="M423" s="15" t="n">
        <x:v>180</x:v>
      </x:c>
      <x:c r="N423" s="15" t="n">
        <x:v>220</x:v>
      </x:c>
      <x:c r="O423" s="15" t="n">
        <x:v>96</x:v>
      </x:c>
      <x:c r="P423" s="15" t="n">
        <x:v>64</x:v>
      </x:c>
      <x:c r="Q423" s="15" t="n">
        <x:v>24</x:v>
      </x:c>
      <x:c r="R423" s="15" t="n">
        <x:v>0</x:v>
      </x:c>
      <x:c r="S423" s="15" t="n">
        <x:v>0</x:v>
      </x:c>
      <x:c r="T423" s="15" t="n">
        <x:v>0</x:v>
      </x:c>
      <x:c r="U423" s="15" t="n">
        <x:v>0</x:v>
      </x:c>
      <x:c r="V423" s="15" t="n">
        <x:v>0</x:v>
      </x:c>
      <x:c r="W423" s="15" t="n">
        <x:v>0</x:v>
      </x:c>
      <x:c r="X423" s="15" t="n">
        <x:v>0</x:v>
      </x:c>
      <x:c r="Y423" s="15" t="n">
        <x:v>0</x:v>
      </x:c>
      <x:c r="Z423" s="15" t="n">
        <x:v>0</x:v>
      </x:c>
      <x:c r="AA423" s="15" t="n">
        <x:v>0</x:v>
      </x:c>
      <x:c r="AB423" s="15" t="n">
        <x:f>SUM(G423:AA423)</x:f>
        <x:v>584</x:v>
      </x:c>
    </x:row>
    <x:row r="424" ht="36" customHeight="1">
      <x:c r="A424" s="10" t="str">
        <x:v>V-R2</x:v>
      </x:c>
      <x:c r="B424" s="10" t="str">
        <x:v>VOICE</x:v>
      </x:c>
      <x:c r="C424" s="10" t="str">
        <x:v>VOICE:S1-15</x:v>
      </x:c>
      <x:c r="D424" s="10" t="str">
        <x:v>VOICE:M638</x:v>
      </x:c>
      <x:c r="E424" s="15" t="n">
        <x:v>0</x:v>
      </x:c>
      <x:c r="F424" s="15" t="str">
        <x:v>scored</x:v>
      </x:c>
      <x:c r="G424" s="15" t="n">
        <x:v>0</x:v>
      </x:c>
      <x:c r="H424" s="15" t="n">
        <x:v>0</x:v>
      </x:c>
      <x:c r="I424" s="15" t="n">
        <x:v>0</x:v>
      </x:c>
      <x:c r="J424" s="15" t="n">
        <x:v>0</x:v>
      </x:c>
      <x:c r="K424" s="15" t="n">
        <x:v>0</x:v>
      </x:c>
      <x:c r="L424" s="15" t="n">
        <x:v>0</x:v>
      </x:c>
      <x:c r="M424" s="15" t="n">
        <x:v>180</x:v>
      </x:c>
      <x:c r="N424" s="15" t="n">
        <x:v>220</x:v>
      </x:c>
      <x:c r="O424" s="15" t="n">
        <x:v>96</x:v>
      </x:c>
      <x:c r="P424" s="15" t="n">
        <x:v>64</x:v>
      </x:c>
      <x:c r="Q424" s="15" t="n">
        <x:v>24</x:v>
      </x:c>
      <x:c r="R424" s="15" t="n">
        <x:v>0</x:v>
      </x:c>
      <x:c r="S424" s="15" t="n">
        <x:v>0</x:v>
      </x:c>
      <x:c r="T424" s="15" t="n">
        <x:v>0</x:v>
      </x:c>
      <x:c r="U424" s="15" t="n">
        <x:v>0</x:v>
      </x:c>
      <x:c r="V424" s="15" t="n">
        <x:v>0</x:v>
      </x:c>
      <x:c r="W424" s="15" t="n">
        <x:v>0</x:v>
      </x:c>
      <x:c r="X424" s="15" t="n">
        <x:v>0</x:v>
      </x:c>
      <x:c r="Y424" s="15" t="n">
        <x:v>0</x:v>
      </x:c>
      <x:c r="Z424" s="15" t="n">
        <x:v>0</x:v>
      </x:c>
      <x:c r="AA424" s="15" t="n">
        <x:v>0</x:v>
      </x:c>
      <x:c r="AB424" s="15" t="n">
        <x:f>SUM(G424:AA424)</x:f>
        <x:v>584</x:v>
      </x:c>
    </x:row>
    <x:row r="425" ht="36" customHeight="1">
      <x:c r="A425" s="10" t="str">
        <x:v>V-R3</x:v>
      </x:c>
      <x:c r="B425" s="10" t="str">
        <x:v>VOICE</x:v>
      </x:c>
      <x:c r="C425" s="10" t="str">
        <x:v>VOICE:S1-15</x:v>
      </x:c>
      <x:c r="D425" s="10" t="str">
        <x:v>VOICE:M649</x:v>
      </x:c>
      <x:c r="E425" s="15" t="n">
        <x:v>0</x:v>
      </x:c>
      <x:c r="F425" s="15" t="str">
        <x:v>scored</x:v>
      </x:c>
      <x:c r="G425" s="15" t="n">
        <x:v>0</x:v>
      </x:c>
      <x:c r="H425" s="15" t="n">
        <x:v>0</x:v>
      </x:c>
      <x:c r="I425" s="15" t="n">
        <x:v>0</x:v>
      </x:c>
      <x:c r="J425" s="15" t="n">
        <x:v>0</x:v>
      </x:c>
      <x:c r="K425" s="15" t="n">
        <x:v>0</x:v>
      </x:c>
      <x:c r="L425" s="15" t="n">
        <x:v>0</x:v>
      </x:c>
      <x:c r="M425" s="15" t="n">
        <x:v>180</x:v>
      </x:c>
      <x:c r="N425" s="15" t="n">
        <x:v>220</x:v>
      </x:c>
      <x:c r="O425" s="15" t="n">
        <x:v>96</x:v>
      </x:c>
      <x:c r="P425" s="15" t="n">
        <x:v>64</x:v>
      </x:c>
      <x:c r="Q425" s="15" t="n">
        <x:v>32</x:v>
      </x:c>
      <x:c r="R425" s="15" t="n">
        <x:v>0</x:v>
      </x:c>
      <x:c r="S425" s="15" t="n">
        <x:v>0</x:v>
      </x:c>
      <x:c r="T425" s="15" t="n">
        <x:v>0</x:v>
      </x:c>
      <x:c r="U425" s="15" t="n">
        <x:v>0</x:v>
      </x:c>
      <x:c r="V425" s="15" t="n">
        <x:v>0</x:v>
      </x:c>
      <x:c r="W425" s="15" t="n">
        <x:v>0</x:v>
      </x:c>
      <x:c r="X425" s="15" t="n">
        <x:v>0</x:v>
      </x:c>
      <x:c r="Y425" s="15" t="n">
        <x:v>0</x:v>
      </x:c>
      <x:c r="Z425" s="15" t="n">
        <x:v>0</x:v>
      </x:c>
      <x:c r="AA425" s="15" t="n">
        <x:v>0</x:v>
      </x:c>
      <x:c r="AB425" s="15" t="n">
        <x:f>SUM(G425:AA425)</x:f>
        <x:v>592</x:v>
      </x:c>
    </x:row>
    <x:row r="426" ht="36" customHeight="1">
      <x:c r="A426" s="10" t="str">
        <x:v>V-A</x:v>
      </x:c>
      <x:c r="B426" s="10" t="str">
        <x:v>VOICE</x:v>
      </x:c>
      <x:c r="C426" s="10" t="str">
        <x:v>VOICE:S1-16</x:v>
      </x:c>
      <x:c r="D426" s="10" t="str">
        <x:v>VOICE:M660</x:v>
      </x:c>
      <x:c r="E426" s="15" t="n">
        <x:v>0</x:v>
      </x:c>
      <x:c r="F426" s="15" t="str">
        <x:v>scored</x:v>
      </x:c>
      <x:c r="G426" s="15" t="n">
        <x:v>0</x:v>
      </x:c>
      <x:c r="H426" s="15" t="n">
        <x:v>0</x:v>
      </x:c>
      <x:c r="I426" s="15" t="n">
        <x:v>0</x:v>
      </x:c>
      <x:c r="J426" s="15" t="n">
        <x:v>0</x:v>
      </x:c>
      <x:c r="K426" s="15" t="n">
        <x:v>0</x:v>
      </x:c>
      <x:c r="L426" s="15" t="n">
        <x:v>0</x:v>
      </x:c>
      <x:c r="M426" s="15" t="n">
        <x:v>180</x:v>
      </x:c>
      <x:c r="N426" s="15" t="n">
        <x:v>220</x:v>
      </x:c>
      <x:c r="O426" s="15" t="n">
        <x:v>96</x:v>
      </x:c>
      <x:c r="P426" s="15" t="n">
        <x:v>64</x:v>
      </x:c>
      <x:c r="Q426" s="15" t="n">
        <x:v>32</x:v>
      </x:c>
      <x:c r="R426" s="15" t="n">
        <x:v>0</x:v>
      </x:c>
      <x:c r="S426" s="15" t="n">
        <x:v>0</x:v>
      </x:c>
      <x:c r="T426" s="15" t="n">
        <x:v>0</x:v>
      </x:c>
      <x:c r="U426" s="15" t="n">
        <x:v>0</x:v>
      </x:c>
      <x:c r="V426" s="15" t="n">
        <x:v>0</x:v>
      </x:c>
      <x:c r="W426" s="15" t="n">
        <x:v>0</x:v>
      </x:c>
      <x:c r="X426" s="15" t="n">
        <x:v>0</x:v>
      </x:c>
      <x:c r="Y426" s="15" t="n">
        <x:v>0</x:v>
      </x:c>
      <x:c r="Z426" s="15" t="n">
        <x:v>0</x:v>
      </x:c>
      <x:c r="AA426" s="15" t="n">
        <x:v>0</x:v>
      </x:c>
      <x:c r="AB426" s="15" t="n">
        <x:f>SUM(G426:AA426)</x:f>
        <x:v>592</x:v>
      </x:c>
    </x:row>
    <x:row r="427" ht="36" customHeight="1">
      <x:c r="A427" s="10" t="str">
        <x:v>V-R1</x:v>
      </x:c>
      <x:c r="B427" s="10" t="str">
        <x:v>VOICE</x:v>
      </x:c>
      <x:c r="C427" s="10" t="str">
        <x:v>VOICE:S1-16</x:v>
      </x:c>
      <x:c r="D427" s="10" t="str">
        <x:v>VOICE:M671</x:v>
      </x:c>
      <x:c r="E427" s="15" t="n">
        <x:v>0</x:v>
      </x:c>
      <x:c r="F427" s="15" t="str">
        <x:v>scored</x:v>
      </x:c>
      <x:c r="G427" s="15" t="n">
        <x:v>0</x:v>
      </x:c>
      <x:c r="H427" s="15" t="n">
        <x:v>0</x:v>
      </x:c>
      <x:c r="I427" s="15" t="n">
        <x:v>0</x:v>
      </x:c>
      <x:c r="J427" s="15" t="n">
        <x:v>0</x:v>
      </x:c>
      <x:c r="K427" s="15" t="n">
        <x:v>0</x:v>
      </x:c>
      <x:c r="L427" s="15" t="n">
        <x:v>0</x:v>
      </x:c>
      <x:c r="M427" s="15" t="n">
        <x:v>180</x:v>
      </x:c>
      <x:c r="N427" s="15" t="n">
        <x:v>220</x:v>
      </x:c>
      <x:c r="O427" s="15" t="n">
        <x:v>96</x:v>
      </x:c>
      <x:c r="P427" s="15" t="n">
        <x:v>64</x:v>
      </x:c>
      <x:c r="Q427" s="15" t="n">
        <x:v>24</x:v>
      </x:c>
      <x:c r="R427" s="15" t="n">
        <x:v>0</x:v>
      </x:c>
      <x:c r="S427" s="15" t="n">
        <x:v>0</x:v>
      </x:c>
      <x:c r="T427" s="15" t="n">
        <x:v>0</x:v>
      </x:c>
      <x:c r="U427" s="15" t="n">
        <x:v>0</x:v>
      </x:c>
      <x:c r="V427" s="15" t="n">
        <x:v>0</x:v>
      </x:c>
      <x:c r="W427" s="15" t="n">
        <x:v>0</x:v>
      </x:c>
      <x:c r="X427" s="15" t="n">
        <x:v>0</x:v>
      </x:c>
      <x:c r="Y427" s="15" t="n">
        <x:v>0</x:v>
      </x:c>
      <x:c r="Z427" s="15" t="n">
        <x:v>0</x:v>
      </x:c>
      <x:c r="AA427" s="15" t="n">
        <x:v>0</x:v>
      </x:c>
      <x:c r="AB427" s="15" t="n">
        <x:f>SUM(G427:AA427)</x:f>
        <x:v>584</x:v>
      </x:c>
    </x:row>
    <x:row r="428" ht="36" customHeight="1">
      <x:c r="A428" s="10" t="str">
        <x:v>V-R2</x:v>
      </x:c>
      <x:c r="B428" s="10" t="str">
        <x:v>VOICE</x:v>
      </x:c>
      <x:c r="C428" s="10" t="str">
        <x:v>VOICE:S1-16</x:v>
      </x:c>
      <x:c r="D428" s="10" t="str">
        <x:v>VOICE:M682</x:v>
      </x:c>
      <x:c r="E428" s="15" t="n">
        <x:v>0</x:v>
      </x:c>
      <x:c r="F428" s="15" t="str">
        <x:v>scored</x:v>
      </x:c>
      <x:c r="G428" s="15" t="n">
        <x:v>0</x:v>
      </x:c>
      <x:c r="H428" s="15" t="n">
        <x:v>0</x:v>
      </x:c>
      <x:c r="I428" s="15" t="n">
        <x:v>0</x:v>
      </x:c>
      <x:c r="J428" s="15" t="n">
        <x:v>0</x:v>
      </x:c>
      <x:c r="K428" s="15" t="n">
        <x:v>0</x:v>
      </x:c>
      <x:c r="L428" s="15" t="n">
        <x:v>0</x:v>
      </x:c>
      <x:c r="M428" s="15" t="n">
        <x:v>180</x:v>
      </x:c>
      <x:c r="N428" s="15" t="n">
        <x:v>220</x:v>
      </x:c>
      <x:c r="O428" s="15" t="n">
        <x:v>96</x:v>
      </x:c>
      <x:c r="P428" s="15" t="n">
        <x:v>64</x:v>
      </x:c>
      <x:c r="Q428" s="15" t="n">
        <x:v>24</x:v>
      </x:c>
      <x:c r="R428" s="15" t="n">
        <x:v>0</x:v>
      </x:c>
      <x:c r="S428" s="15" t="n">
        <x:v>0</x:v>
      </x:c>
      <x:c r="T428" s="15" t="n">
        <x:v>0</x:v>
      </x:c>
      <x:c r="U428" s="15" t="n">
        <x:v>0</x:v>
      </x:c>
      <x:c r="V428" s="15" t="n">
        <x:v>0</x:v>
      </x:c>
      <x:c r="W428" s="15" t="n">
        <x:v>0</x:v>
      </x:c>
      <x:c r="X428" s="15" t="n">
        <x:v>0</x:v>
      </x:c>
      <x:c r="Y428" s="15" t="n">
        <x:v>0</x:v>
      </x:c>
      <x:c r="Z428" s="15" t="n">
        <x:v>0</x:v>
      </x:c>
      <x:c r="AA428" s="15" t="n">
        <x:v>0</x:v>
      </x:c>
      <x:c r="AB428" s="15" t="n">
        <x:f>SUM(G428:AA428)</x:f>
        <x:v>584</x:v>
      </x:c>
    </x:row>
    <x:row r="429" ht="36" customHeight="1">
      <x:c r="A429" s="10" t="str">
        <x:v>V-R3</x:v>
      </x:c>
      <x:c r="B429" s="10" t="str">
        <x:v>VOICE</x:v>
      </x:c>
      <x:c r="C429" s="10" t="str">
        <x:v>VOICE:S1-16</x:v>
      </x:c>
      <x:c r="D429" s="10" t="str">
        <x:v>VOICE:M693</x:v>
      </x:c>
      <x:c r="E429" s="15" t="n">
        <x:v>0</x:v>
      </x:c>
      <x:c r="F429" s="15" t="str">
        <x:v>scored</x:v>
      </x:c>
      <x:c r="G429" s="15" t="n">
        <x:v>0</x:v>
      </x:c>
      <x:c r="H429" s="15" t="n">
        <x:v>0</x:v>
      </x:c>
      <x:c r="I429" s="15" t="n">
        <x:v>0</x:v>
      </x:c>
      <x:c r="J429" s="15" t="n">
        <x:v>0</x:v>
      </x:c>
      <x:c r="K429" s="15" t="n">
        <x:v>0</x:v>
      </x:c>
      <x:c r="L429" s="15" t="n">
        <x:v>0</x:v>
      </x:c>
      <x:c r="M429" s="15" t="n">
        <x:v>180</x:v>
      </x:c>
      <x:c r="N429" s="15" t="n">
        <x:v>220</x:v>
      </x:c>
      <x:c r="O429" s="15" t="n">
        <x:v>96</x:v>
      </x:c>
      <x:c r="P429" s="15" t="n">
        <x:v>64</x:v>
      </x:c>
      <x:c r="Q429" s="15" t="n">
        <x:v>32</x:v>
      </x:c>
      <x:c r="R429" s="15" t="n">
        <x:v>0</x:v>
      </x:c>
      <x:c r="S429" s="15" t="n">
        <x:v>0</x:v>
      </x:c>
      <x:c r="T429" s="15" t="n">
        <x:v>0</x:v>
      </x:c>
      <x:c r="U429" s="15" t="n">
        <x:v>0</x:v>
      </x:c>
      <x:c r="V429" s="15" t="n">
        <x:v>0</x:v>
      </x:c>
      <x:c r="W429" s="15" t="n">
        <x:v>0</x:v>
      </x:c>
      <x:c r="X429" s="15" t="n">
        <x:v>0</x:v>
      </x:c>
      <x:c r="Y429" s="15" t="n">
        <x:v>0</x:v>
      </x:c>
      <x:c r="Z429" s="15" t="n">
        <x:v>0</x:v>
      </x:c>
      <x:c r="AA429" s="15" t="n">
        <x:v>0</x:v>
      </x:c>
      <x:c r="AB429" s="15" t="n">
        <x:f>SUM(G429:AA429)</x:f>
        <x:v>592</x:v>
      </x:c>
    </x:row>
    <x:row r="430" ht="36" customHeight="1">
      <x:c r="A430" s="10" t="str">
        <x:v>V-A</x:v>
      </x:c>
      <x:c r="B430" s="10" t="str">
        <x:v>VOICE</x:v>
      </x:c>
      <x:c r="C430" s="10" t="str">
        <x:v>VOICE:S1-17</x:v>
      </x:c>
      <x:c r="D430" s="10" t="str">
        <x:v>VOICE:M704</x:v>
      </x:c>
      <x:c r="E430" s="15" t="n">
        <x:v>0</x:v>
      </x:c>
      <x:c r="F430" s="15" t="str">
        <x:v>scored</x:v>
      </x:c>
      <x:c r="G430" s="15" t="n">
        <x:v>0</x:v>
      </x:c>
      <x:c r="H430" s="15" t="n">
        <x:v>0</x:v>
      </x:c>
      <x:c r="I430" s="15" t="n">
        <x:v>0</x:v>
      </x:c>
      <x:c r="J430" s="15" t="n">
        <x:v>0</x:v>
      </x:c>
      <x:c r="K430" s="15" t="n">
        <x:v>0</x:v>
      </x:c>
      <x:c r="L430" s="15" t="n">
        <x:v>0</x:v>
      </x:c>
      <x:c r="M430" s="15" t="n">
        <x:v>180</x:v>
      </x:c>
      <x:c r="N430" s="15" t="n">
        <x:v>220</x:v>
      </x:c>
      <x:c r="O430" s="15" t="n">
        <x:v>96</x:v>
      </x:c>
      <x:c r="P430" s="15" t="n">
        <x:v>64</x:v>
      </x:c>
      <x:c r="Q430" s="15" t="n">
        <x:v>32</x:v>
      </x:c>
      <x:c r="R430" s="15" t="n">
        <x:v>0</x:v>
      </x:c>
      <x:c r="S430" s="15" t="n">
        <x:v>0</x:v>
      </x:c>
      <x:c r="T430" s="15" t="n">
        <x:v>0</x:v>
      </x:c>
      <x:c r="U430" s="15" t="n">
        <x:v>0</x:v>
      </x:c>
      <x:c r="V430" s="15" t="n">
        <x:v>0</x:v>
      </x:c>
      <x:c r="W430" s="15" t="n">
        <x:v>0</x:v>
      </x:c>
      <x:c r="X430" s="15" t="n">
        <x:v>0</x:v>
      </x:c>
      <x:c r="Y430" s="15" t="n">
        <x:v>0</x:v>
      </x:c>
      <x:c r="Z430" s="15" t="n">
        <x:v>0</x:v>
      </x:c>
      <x:c r="AA430" s="15" t="n">
        <x:v>0</x:v>
      </x:c>
      <x:c r="AB430" s="15" t="n">
        <x:f>SUM(G430:AA430)</x:f>
        <x:v>592</x:v>
      </x:c>
    </x:row>
    <x:row r="431" ht="36" customHeight="1">
      <x:c r="A431" s="10" t="str">
        <x:v>V-R1</x:v>
      </x:c>
      <x:c r="B431" s="10" t="str">
        <x:v>VOICE</x:v>
      </x:c>
      <x:c r="C431" s="10" t="str">
        <x:v>VOICE:S1-17</x:v>
      </x:c>
      <x:c r="D431" s="10" t="str">
        <x:v>VOICE:M715</x:v>
      </x:c>
      <x:c r="E431" s="15" t="n">
        <x:v>0</x:v>
      </x:c>
      <x:c r="F431" s="15" t="str">
        <x:v>scored</x:v>
      </x:c>
      <x:c r="G431" s="15" t="n">
        <x:v>0</x:v>
      </x:c>
      <x:c r="H431" s="15" t="n">
        <x:v>0</x:v>
      </x:c>
      <x:c r="I431" s="15" t="n">
        <x:v>0</x:v>
      </x:c>
      <x:c r="J431" s="15" t="n">
        <x:v>0</x:v>
      </x:c>
      <x:c r="K431" s="15" t="n">
        <x:v>0</x:v>
      </x:c>
      <x:c r="L431" s="15" t="n">
        <x:v>0</x:v>
      </x:c>
      <x:c r="M431" s="15" t="n">
        <x:v>180</x:v>
      </x:c>
      <x:c r="N431" s="15" t="n">
        <x:v>220</x:v>
      </x:c>
      <x:c r="O431" s="15" t="n">
        <x:v>96</x:v>
      </x:c>
      <x:c r="P431" s="15" t="n">
        <x:v>64</x:v>
      </x:c>
      <x:c r="Q431" s="15" t="n">
        <x:v>24</x:v>
      </x:c>
      <x:c r="R431" s="15" t="n">
        <x:v>0</x:v>
      </x:c>
      <x:c r="S431" s="15" t="n">
        <x:v>0</x:v>
      </x:c>
      <x:c r="T431" s="15" t="n">
        <x:v>0</x:v>
      </x:c>
      <x:c r="U431" s="15" t="n">
        <x:v>0</x:v>
      </x:c>
      <x:c r="V431" s="15" t="n">
        <x:v>0</x:v>
      </x:c>
      <x:c r="W431" s="15" t="n">
        <x:v>0</x:v>
      </x:c>
      <x:c r="X431" s="15" t="n">
        <x:v>0</x:v>
      </x:c>
      <x:c r="Y431" s="15" t="n">
        <x:v>0</x:v>
      </x:c>
      <x:c r="Z431" s="15" t="n">
        <x:v>0</x:v>
      </x:c>
      <x:c r="AA431" s="15" t="n">
        <x:v>0</x:v>
      </x:c>
      <x:c r="AB431" s="15" t="n">
        <x:f>SUM(G431:AA431)</x:f>
        <x:v>584</x:v>
      </x:c>
    </x:row>
    <x:row r="432" ht="36" customHeight="1">
      <x:c r="A432" s="10" t="str">
        <x:v>V-R2</x:v>
      </x:c>
      <x:c r="B432" s="10" t="str">
        <x:v>VOICE</x:v>
      </x:c>
      <x:c r="C432" s="10" t="str">
        <x:v>VOICE:S1-17</x:v>
      </x:c>
      <x:c r="D432" s="10" t="str">
        <x:v>VOICE:M726</x:v>
      </x:c>
      <x:c r="E432" s="15" t="n">
        <x:v>0</x:v>
      </x:c>
      <x:c r="F432" s="15" t="str">
        <x:v>scored</x:v>
      </x:c>
      <x:c r="G432" s="15" t="n">
        <x:v>0</x:v>
      </x:c>
      <x:c r="H432" s="15" t="n">
        <x:v>0</x:v>
      </x:c>
      <x:c r="I432" s="15" t="n">
        <x:v>0</x:v>
      </x:c>
      <x:c r="J432" s="15" t="n">
        <x:v>0</x:v>
      </x:c>
      <x:c r="K432" s="15" t="n">
        <x:v>0</x:v>
      </x:c>
      <x:c r="L432" s="15" t="n">
        <x:v>0</x:v>
      </x:c>
      <x:c r="M432" s="15" t="n">
        <x:v>180</x:v>
      </x:c>
      <x:c r="N432" s="15" t="n">
        <x:v>220</x:v>
      </x:c>
      <x:c r="O432" s="15" t="n">
        <x:v>96</x:v>
      </x:c>
      <x:c r="P432" s="15" t="n">
        <x:v>64</x:v>
      </x:c>
      <x:c r="Q432" s="15" t="n">
        <x:v>24</x:v>
      </x:c>
      <x:c r="R432" s="15" t="n">
        <x:v>0</x:v>
      </x:c>
      <x:c r="S432" s="15" t="n">
        <x:v>0</x:v>
      </x:c>
      <x:c r="T432" s="15" t="n">
        <x:v>0</x:v>
      </x:c>
      <x:c r="U432" s="15" t="n">
        <x:v>0</x:v>
      </x:c>
      <x:c r="V432" s="15" t="n">
        <x:v>0</x:v>
      </x:c>
      <x:c r="W432" s="15" t="n">
        <x:v>0</x:v>
      </x:c>
      <x:c r="X432" s="15" t="n">
        <x:v>0</x:v>
      </x:c>
      <x:c r="Y432" s="15" t="n">
        <x:v>0</x:v>
      </x:c>
      <x:c r="Z432" s="15" t="n">
        <x:v>0</x:v>
      </x:c>
      <x:c r="AA432" s="15" t="n">
        <x:v>0</x:v>
      </x:c>
      <x:c r="AB432" s="15" t="n">
        <x:f>SUM(G432:AA432)</x:f>
        <x:v>584</x:v>
      </x:c>
    </x:row>
    <x:row r="433" ht="36" customHeight="1">
      <x:c r="A433" s="10" t="str">
        <x:v>V-R3</x:v>
      </x:c>
      <x:c r="B433" s="10" t="str">
        <x:v>VOICE</x:v>
      </x:c>
      <x:c r="C433" s="10" t="str">
        <x:v>VOICE:S1-17</x:v>
      </x:c>
      <x:c r="D433" s="10" t="str">
        <x:v>VOICE:M737</x:v>
      </x:c>
      <x:c r="E433" s="15" t="n">
        <x:v>0</x:v>
      </x:c>
      <x:c r="F433" s="15" t="str">
        <x:v>scored</x:v>
      </x:c>
      <x:c r="G433" s="15" t="n">
        <x:v>0</x:v>
      </x:c>
      <x:c r="H433" s="15" t="n">
        <x:v>0</x:v>
      </x:c>
      <x:c r="I433" s="15" t="n">
        <x:v>0</x:v>
      </x:c>
      <x:c r="J433" s="15" t="n">
        <x:v>0</x:v>
      </x:c>
      <x:c r="K433" s="15" t="n">
        <x:v>0</x:v>
      </x:c>
      <x:c r="L433" s="15" t="n">
        <x:v>0</x:v>
      </x:c>
      <x:c r="M433" s="15" t="n">
        <x:v>180</x:v>
      </x:c>
      <x:c r="N433" s="15" t="n">
        <x:v>220</x:v>
      </x:c>
      <x:c r="O433" s="15" t="n">
        <x:v>96</x:v>
      </x:c>
      <x:c r="P433" s="15" t="n">
        <x:v>64</x:v>
      </x:c>
      <x:c r="Q433" s="15" t="n">
        <x:v>32</x:v>
      </x:c>
      <x:c r="R433" s="15" t="n">
        <x:v>0</x:v>
      </x:c>
      <x:c r="S433" s="15" t="n">
        <x:v>0</x:v>
      </x:c>
      <x:c r="T433" s="15" t="n">
        <x:v>0</x:v>
      </x:c>
      <x:c r="U433" s="15" t="n">
        <x:v>0</x:v>
      </x:c>
      <x:c r="V433" s="15" t="n">
        <x:v>0</x:v>
      </x:c>
      <x:c r="W433" s="15" t="n">
        <x:v>0</x:v>
      </x:c>
      <x:c r="X433" s="15" t="n">
        <x:v>0</x:v>
      </x:c>
      <x:c r="Y433" s="15" t="n">
        <x:v>0</x:v>
      </x:c>
      <x:c r="Z433" s="15" t="n">
        <x:v>0</x:v>
      </x:c>
      <x:c r="AA433" s="15" t="n">
        <x:v>0</x:v>
      </x:c>
      <x:c r="AB433" s="15" t="n">
        <x:f>SUM(G433:AA433)</x:f>
        <x:v>592</x:v>
      </x:c>
    </x:row>
    <x:row r="434" ht="36" customHeight="1">
      <x:c r="A434" s="10" t="str">
        <x:v>V-A</x:v>
      </x:c>
      <x:c r="B434" s="10" t="str">
        <x:v>VOICE</x:v>
      </x:c>
      <x:c r="C434" s="10" t="str">
        <x:v>VOICE:S1-18</x:v>
      </x:c>
      <x:c r="D434" s="10" t="str">
        <x:v>VOICE:M748</x:v>
      </x:c>
      <x:c r="E434" s="15" t="n">
        <x:v>0</x:v>
      </x:c>
      <x:c r="F434" s="15" t="str">
        <x:v>scored</x:v>
      </x:c>
      <x:c r="G434" s="15" t="n">
        <x:v>0</x:v>
      </x:c>
      <x:c r="H434" s="15" t="n">
        <x:v>0</x:v>
      </x:c>
      <x:c r="I434" s="15" t="n">
        <x:v>0</x:v>
      </x:c>
      <x:c r="J434" s="15" t="n">
        <x:v>0</x:v>
      </x:c>
      <x:c r="K434" s="15" t="n">
        <x:v>0</x:v>
      </x:c>
      <x:c r="L434" s="15" t="n">
        <x:v>0</x:v>
      </x:c>
      <x:c r="M434" s="15" t="n">
        <x:v>180</x:v>
      </x:c>
      <x:c r="N434" s="15" t="n">
        <x:v>220</x:v>
      </x:c>
      <x:c r="O434" s="15" t="n">
        <x:v>96</x:v>
      </x:c>
      <x:c r="P434" s="15" t="n">
        <x:v>64</x:v>
      </x:c>
      <x:c r="Q434" s="15" t="n">
        <x:v>32</x:v>
      </x:c>
      <x:c r="R434" s="15" t="n">
        <x:v>0</x:v>
      </x:c>
      <x:c r="S434" s="15" t="n">
        <x:v>0</x:v>
      </x:c>
      <x:c r="T434" s="15" t="n">
        <x:v>0</x:v>
      </x:c>
      <x:c r="U434" s="15" t="n">
        <x:v>0</x:v>
      </x:c>
      <x:c r="V434" s="15" t="n">
        <x:v>0</x:v>
      </x:c>
      <x:c r="W434" s="15" t="n">
        <x:v>0</x:v>
      </x:c>
      <x:c r="X434" s="15" t="n">
        <x:v>0</x:v>
      </x:c>
      <x:c r="Y434" s="15" t="n">
        <x:v>0</x:v>
      </x:c>
      <x:c r="Z434" s="15" t="n">
        <x:v>0</x:v>
      </x:c>
      <x:c r="AA434" s="15" t="n">
        <x:v>0</x:v>
      </x:c>
      <x:c r="AB434" s="15" t="n">
        <x:f>SUM(G434:AA434)</x:f>
        <x:v>592</x:v>
      </x:c>
    </x:row>
    <x:row r="435" ht="36" customHeight="1">
      <x:c r="A435" s="10" t="str">
        <x:v>V-R1</x:v>
      </x:c>
      <x:c r="B435" s="10" t="str">
        <x:v>VOICE</x:v>
      </x:c>
      <x:c r="C435" s="10" t="str">
        <x:v>VOICE:S1-18</x:v>
      </x:c>
      <x:c r="D435" s="10" t="str">
        <x:v>VOICE:M759</x:v>
      </x:c>
      <x:c r="E435" s="15" t="n">
        <x:v>0</x:v>
      </x:c>
      <x:c r="F435" s="15" t="str">
        <x:v>scored</x:v>
      </x:c>
      <x:c r="G435" s="15" t="n">
        <x:v>0</x:v>
      </x:c>
      <x:c r="H435" s="15" t="n">
        <x:v>0</x:v>
      </x:c>
      <x:c r="I435" s="15" t="n">
        <x:v>0</x:v>
      </x:c>
      <x:c r="J435" s="15" t="n">
        <x:v>0</x:v>
      </x:c>
      <x:c r="K435" s="15" t="n">
        <x:v>0</x:v>
      </x:c>
      <x:c r="L435" s="15" t="n">
        <x:v>0</x:v>
      </x:c>
      <x:c r="M435" s="15" t="n">
        <x:v>180</x:v>
      </x:c>
      <x:c r="N435" s="15" t="n">
        <x:v>220</x:v>
      </x:c>
      <x:c r="O435" s="15" t="n">
        <x:v>96</x:v>
      </x:c>
      <x:c r="P435" s="15" t="n">
        <x:v>64</x:v>
      </x:c>
      <x:c r="Q435" s="15" t="n">
        <x:v>24</x:v>
      </x:c>
      <x:c r="R435" s="15" t="n">
        <x:v>0</x:v>
      </x:c>
      <x:c r="S435" s="15" t="n">
        <x:v>0</x:v>
      </x:c>
      <x:c r="T435" s="15" t="n">
        <x:v>0</x:v>
      </x:c>
      <x:c r="U435" s="15" t="n">
        <x:v>0</x:v>
      </x:c>
      <x:c r="V435" s="15" t="n">
        <x:v>0</x:v>
      </x:c>
      <x:c r="W435" s="15" t="n">
        <x:v>0</x:v>
      </x:c>
      <x:c r="X435" s="15" t="n">
        <x:v>0</x:v>
      </x:c>
      <x:c r="Y435" s="15" t="n">
        <x:v>0</x:v>
      </x:c>
      <x:c r="Z435" s="15" t="n">
        <x:v>0</x:v>
      </x:c>
      <x:c r="AA435" s="15" t="n">
        <x:v>0</x:v>
      </x:c>
      <x:c r="AB435" s="15" t="n">
        <x:f>SUM(G435:AA435)</x:f>
        <x:v>584</x:v>
      </x:c>
    </x:row>
    <x:row r="436" ht="36" customHeight="1">
      <x:c r="A436" s="10" t="str">
        <x:v>V-R2</x:v>
      </x:c>
      <x:c r="B436" s="10" t="str">
        <x:v>VOICE</x:v>
      </x:c>
      <x:c r="C436" s="10" t="str">
        <x:v>VOICE:S1-18</x:v>
      </x:c>
      <x:c r="D436" s="10" t="str">
        <x:v>VOICE:M770</x:v>
      </x:c>
      <x:c r="E436" s="15" t="n">
        <x:v>0</x:v>
      </x:c>
      <x:c r="F436" s="15" t="str">
        <x:v>scored</x:v>
      </x:c>
      <x:c r="G436" s="15" t="n">
        <x:v>0</x:v>
      </x:c>
      <x:c r="H436" s="15" t="n">
        <x:v>0</x:v>
      </x:c>
      <x:c r="I436" s="15" t="n">
        <x:v>0</x:v>
      </x:c>
      <x:c r="J436" s="15" t="n">
        <x:v>0</x:v>
      </x:c>
      <x:c r="K436" s="15" t="n">
        <x:v>0</x:v>
      </x:c>
      <x:c r="L436" s="15" t="n">
        <x:v>0</x:v>
      </x:c>
      <x:c r="M436" s="15" t="n">
        <x:v>180</x:v>
      </x:c>
      <x:c r="N436" s="15" t="n">
        <x:v>220</x:v>
      </x:c>
      <x:c r="O436" s="15" t="n">
        <x:v>96</x:v>
      </x:c>
      <x:c r="P436" s="15" t="n">
        <x:v>64</x:v>
      </x:c>
      <x:c r="Q436" s="15" t="n">
        <x:v>24</x:v>
      </x:c>
      <x:c r="R436" s="15" t="n">
        <x:v>0</x:v>
      </x:c>
      <x:c r="S436" s="15" t="n">
        <x:v>0</x:v>
      </x:c>
      <x:c r="T436" s="15" t="n">
        <x:v>0</x:v>
      </x:c>
      <x:c r="U436" s="15" t="n">
        <x:v>0</x:v>
      </x:c>
      <x:c r="V436" s="15" t="n">
        <x:v>0</x:v>
      </x:c>
      <x:c r="W436" s="15" t="n">
        <x:v>0</x:v>
      </x:c>
      <x:c r="X436" s="15" t="n">
        <x:v>0</x:v>
      </x:c>
      <x:c r="Y436" s="15" t="n">
        <x:v>0</x:v>
      </x:c>
      <x:c r="Z436" s="15" t="n">
        <x:v>0</x:v>
      </x:c>
      <x:c r="AA436" s="15" t="n">
        <x:v>0</x:v>
      </x:c>
      <x:c r="AB436" s="15" t="n">
        <x:f>SUM(G436:AA436)</x:f>
        <x:v>584</x:v>
      </x:c>
    </x:row>
    <x:row r="437" ht="36" customHeight="1">
      <x:c r="A437" s="10" t="str">
        <x:v>V-R3</x:v>
      </x:c>
      <x:c r="B437" s="10" t="str">
        <x:v>VOICE</x:v>
      </x:c>
      <x:c r="C437" s="10" t="str">
        <x:v>VOICE:S1-18</x:v>
      </x:c>
      <x:c r="D437" s="10" t="str">
        <x:v>VOICE:M781</x:v>
      </x:c>
      <x:c r="E437" s="15" t="n">
        <x:v>0</x:v>
      </x:c>
      <x:c r="F437" s="15" t="str">
        <x:v>scored</x:v>
      </x:c>
      <x:c r="G437" s="15" t="n">
        <x:v>0</x:v>
      </x:c>
      <x:c r="H437" s="15" t="n">
        <x:v>0</x:v>
      </x:c>
      <x:c r="I437" s="15" t="n">
        <x:v>0</x:v>
      </x:c>
      <x:c r="J437" s="15" t="n">
        <x:v>0</x:v>
      </x:c>
      <x:c r="K437" s="15" t="n">
        <x:v>0</x:v>
      </x:c>
      <x:c r="L437" s="15" t="n">
        <x:v>0</x:v>
      </x:c>
      <x:c r="M437" s="15" t="n">
        <x:v>180</x:v>
      </x:c>
      <x:c r="N437" s="15" t="n">
        <x:v>220</x:v>
      </x:c>
      <x:c r="O437" s="15" t="n">
        <x:v>96</x:v>
      </x:c>
      <x:c r="P437" s="15" t="n">
        <x:v>64</x:v>
      </x:c>
      <x:c r="Q437" s="15" t="n">
        <x:v>32</x:v>
      </x:c>
      <x:c r="R437" s="15" t="n">
        <x:v>0</x:v>
      </x:c>
      <x:c r="S437" s="15" t="n">
        <x:v>0</x:v>
      </x:c>
      <x:c r="T437" s="15" t="n">
        <x:v>0</x:v>
      </x:c>
      <x:c r="U437" s="15" t="n">
        <x:v>0</x:v>
      </x:c>
      <x:c r="V437" s="15" t="n">
        <x:v>0</x:v>
      </x:c>
      <x:c r="W437" s="15" t="n">
        <x:v>0</x:v>
      </x:c>
      <x:c r="X437" s="15" t="n">
        <x:v>0</x:v>
      </x:c>
      <x:c r="Y437" s="15" t="n">
        <x:v>0</x:v>
      </x:c>
      <x:c r="Z437" s="15" t="n">
        <x:v>0</x:v>
      </x:c>
      <x:c r="AA437" s="15" t="n">
        <x:v>0</x:v>
      </x:c>
      <x:c r="AB437" s="15" t="n">
        <x:f>SUM(G437:AA437)</x:f>
        <x:v>592</x:v>
      </x:c>
    </x:row>
    <x:row r="438" ht="36" customHeight="1">
      <x:c r="A438" s="10" t="str">
        <x:v>V-A</x:v>
      </x:c>
      <x:c r="B438" s="10" t="str">
        <x:v>VOICE</x:v>
      </x:c>
      <x:c r="C438" s="10" t="str">
        <x:v>VOICE:S1-19</x:v>
      </x:c>
      <x:c r="D438" s="10" t="str">
        <x:v>VOICE:M792</x:v>
      </x:c>
      <x:c r="E438" s="15" t="n">
        <x:v>0</x:v>
      </x:c>
      <x:c r="F438" s="15" t="str">
        <x:v>scored</x:v>
      </x:c>
      <x:c r="G438" s="15" t="n">
        <x:v>0</x:v>
      </x:c>
      <x:c r="H438" s="15" t="n">
        <x:v>0</x:v>
      </x:c>
      <x:c r="I438" s="15" t="n">
        <x:v>0</x:v>
      </x:c>
      <x:c r="J438" s="15" t="n">
        <x:v>0</x:v>
      </x:c>
      <x:c r="K438" s="15" t="n">
        <x:v>0</x:v>
      </x:c>
      <x:c r="L438" s="15" t="n">
        <x:v>0</x:v>
      </x:c>
      <x:c r="M438" s="15" t="n">
        <x:v>180</x:v>
      </x:c>
      <x:c r="N438" s="15" t="n">
        <x:v>220</x:v>
      </x:c>
      <x:c r="O438" s="15" t="n">
        <x:v>96</x:v>
      </x:c>
      <x:c r="P438" s="15" t="n">
        <x:v>64</x:v>
      </x:c>
      <x:c r="Q438" s="15" t="n">
        <x:v>32</x:v>
      </x:c>
      <x:c r="R438" s="15" t="n">
        <x:v>0</x:v>
      </x:c>
      <x:c r="S438" s="15" t="n">
        <x:v>0</x:v>
      </x:c>
      <x:c r="T438" s="15" t="n">
        <x:v>0</x:v>
      </x:c>
      <x:c r="U438" s="15" t="n">
        <x:v>0</x:v>
      </x:c>
      <x:c r="V438" s="15" t="n">
        <x:v>0</x:v>
      </x:c>
      <x:c r="W438" s="15" t="n">
        <x:v>0</x:v>
      </x:c>
      <x:c r="X438" s="15" t="n">
        <x:v>0</x:v>
      </x:c>
      <x:c r="Y438" s="15" t="n">
        <x:v>0</x:v>
      </x:c>
      <x:c r="Z438" s="15" t="n">
        <x:v>0</x:v>
      </x:c>
      <x:c r="AA438" s="15" t="n">
        <x:v>0</x:v>
      </x:c>
      <x:c r="AB438" s="15" t="n">
        <x:f>SUM(G438:AA438)</x:f>
        <x:v>592</x:v>
      </x:c>
    </x:row>
    <x:row r="439" ht="36" customHeight="1">
      <x:c r="A439" s="10" t="str">
        <x:v>V-R1</x:v>
      </x:c>
      <x:c r="B439" s="10" t="str">
        <x:v>VOICE</x:v>
      </x:c>
      <x:c r="C439" s="10" t="str">
        <x:v>VOICE:S1-19</x:v>
      </x:c>
      <x:c r="D439" s="10" t="str">
        <x:v>VOICE:M803</x:v>
      </x:c>
      <x:c r="E439" s="15" t="n">
        <x:v>0</x:v>
      </x:c>
      <x:c r="F439" s="15" t="str">
        <x:v>scored</x:v>
      </x:c>
      <x:c r="G439" s="15" t="n">
        <x:v>0</x:v>
      </x:c>
      <x:c r="H439" s="15" t="n">
        <x:v>0</x:v>
      </x:c>
      <x:c r="I439" s="15" t="n">
        <x:v>0</x:v>
      </x:c>
      <x:c r="J439" s="15" t="n">
        <x:v>0</x:v>
      </x:c>
      <x:c r="K439" s="15" t="n">
        <x:v>0</x:v>
      </x:c>
      <x:c r="L439" s="15" t="n">
        <x:v>0</x:v>
      </x:c>
      <x:c r="M439" s="15" t="n">
        <x:v>180</x:v>
      </x:c>
      <x:c r="N439" s="15" t="n">
        <x:v>220</x:v>
      </x:c>
      <x:c r="O439" s="15" t="n">
        <x:v>96</x:v>
      </x:c>
      <x:c r="P439" s="15" t="n">
        <x:v>64</x:v>
      </x:c>
      <x:c r="Q439" s="15" t="n">
        <x:v>24</x:v>
      </x:c>
      <x:c r="R439" s="15" t="n">
        <x:v>0</x:v>
      </x:c>
      <x:c r="S439" s="15" t="n">
        <x:v>0</x:v>
      </x:c>
      <x:c r="T439" s="15" t="n">
        <x:v>0</x:v>
      </x:c>
      <x:c r="U439" s="15" t="n">
        <x:v>0</x:v>
      </x:c>
      <x:c r="V439" s="15" t="n">
        <x:v>0</x:v>
      </x:c>
      <x:c r="W439" s="15" t="n">
        <x:v>0</x:v>
      </x:c>
      <x:c r="X439" s="15" t="n">
        <x:v>0</x:v>
      </x:c>
      <x:c r="Y439" s="15" t="n">
        <x:v>0</x:v>
      </x:c>
      <x:c r="Z439" s="15" t="n">
        <x:v>0</x:v>
      </x:c>
      <x:c r="AA439" s="15" t="n">
        <x:v>0</x:v>
      </x:c>
      <x:c r="AB439" s="15" t="n">
        <x:f>SUM(G439:AA439)</x:f>
        <x:v>584</x:v>
      </x:c>
    </x:row>
    <x:row r="440" ht="36" customHeight="1">
      <x:c r="A440" s="10" t="str">
        <x:v>V-R2</x:v>
      </x:c>
      <x:c r="B440" s="10" t="str">
        <x:v>VOICE</x:v>
      </x:c>
      <x:c r="C440" s="10" t="str">
        <x:v>VOICE:S1-19</x:v>
      </x:c>
      <x:c r="D440" s="10" t="str">
        <x:v>VOICE:M814</x:v>
      </x:c>
      <x:c r="E440" s="15" t="n">
        <x:v>0</x:v>
      </x:c>
      <x:c r="F440" s="15" t="str">
        <x:v>scored</x:v>
      </x:c>
      <x:c r="G440" s="15" t="n">
        <x:v>0</x:v>
      </x:c>
      <x:c r="H440" s="15" t="n">
        <x:v>0</x:v>
      </x:c>
      <x:c r="I440" s="15" t="n">
        <x:v>0</x:v>
      </x:c>
      <x:c r="J440" s="15" t="n">
        <x:v>0</x:v>
      </x:c>
      <x:c r="K440" s="15" t="n">
        <x:v>0</x:v>
      </x:c>
      <x:c r="L440" s="15" t="n">
        <x:v>0</x:v>
      </x:c>
      <x:c r="M440" s="15" t="n">
        <x:v>180</x:v>
      </x:c>
      <x:c r="N440" s="15" t="n">
        <x:v>220</x:v>
      </x:c>
      <x:c r="O440" s="15" t="n">
        <x:v>96</x:v>
      </x:c>
      <x:c r="P440" s="15" t="n">
        <x:v>64</x:v>
      </x:c>
      <x:c r="Q440" s="15" t="n">
        <x:v>24</x:v>
      </x:c>
      <x:c r="R440" s="15" t="n">
        <x:v>0</x:v>
      </x:c>
      <x:c r="S440" s="15" t="n">
        <x:v>0</x:v>
      </x:c>
      <x:c r="T440" s="15" t="n">
        <x:v>0</x:v>
      </x:c>
      <x:c r="U440" s="15" t="n">
        <x:v>0</x:v>
      </x:c>
      <x:c r="V440" s="15" t="n">
        <x:v>0</x:v>
      </x:c>
      <x:c r="W440" s="15" t="n">
        <x:v>0</x:v>
      </x:c>
      <x:c r="X440" s="15" t="n">
        <x:v>0</x:v>
      </x:c>
      <x:c r="Y440" s="15" t="n">
        <x:v>0</x:v>
      </x:c>
      <x:c r="Z440" s="15" t="n">
        <x:v>0</x:v>
      </x:c>
      <x:c r="AA440" s="15" t="n">
        <x:v>0</x:v>
      </x:c>
      <x:c r="AB440" s="15" t="n">
        <x:f>SUM(G440:AA440)</x:f>
        <x:v>584</x:v>
      </x:c>
    </x:row>
    <x:row r="441" ht="36" customHeight="1">
      <x:c r="A441" s="10" t="str">
        <x:v>V-R3</x:v>
      </x:c>
      <x:c r="B441" s="10" t="str">
        <x:v>VOICE</x:v>
      </x:c>
      <x:c r="C441" s="10" t="str">
        <x:v>VOICE:S1-19</x:v>
      </x:c>
      <x:c r="D441" s="10" t="str">
        <x:v>VOICE:M825</x:v>
      </x:c>
      <x:c r="E441" s="15" t="n">
        <x:v>0</x:v>
      </x:c>
      <x:c r="F441" s="15" t="str">
        <x:v>scored</x:v>
      </x:c>
      <x:c r="G441" s="15" t="n">
        <x:v>0</x:v>
      </x:c>
      <x:c r="H441" s="15" t="n">
        <x:v>0</x:v>
      </x:c>
      <x:c r="I441" s="15" t="n">
        <x:v>0</x:v>
      </x:c>
      <x:c r="J441" s="15" t="n">
        <x:v>0</x:v>
      </x:c>
      <x:c r="K441" s="15" t="n">
        <x:v>0</x:v>
      </x:c>
      <x:c r="L441" s="15" t="n">
        <x:v>0</x:v>
      </x:c>
      <x:c r="M441" s="15" t="n">
        <x:v>180</x:v>
      </x:c>
      <x:c r="N441" s="15" t="n">
        <x:v>220</x:v>
      </x:c>
      <x:c r="O441" s="15" t="n">
        <x:v>96</x:v>
      </x:c>
      <x:c r="P441" s="15" t="n">
        <x:v>64</x:v>
      </x:c>
      <x:c r="Q441" s="15" t="n">
        <x:v>32</x:v>
      </x:c>
      <x:c r="R441" s="15" t="n">
        <x:v>0</x:v>
      </x:c>
      <x:c r="S441" s="15" t="n">
        <x:v>0</x:v>
      </x:c>
      <x:c r="T441" s="15" t="n">
        <x:v>0</x:v>
      </x:c>
      <x:c r="U441" s="15" t="n">
        <x:v>0</x:v>
      </x:c>
      <x:c r="V441" s="15" t="n">
        <x:v>0</x:v>
      </x:c>
      <x:c r="W441" s="15" t="n">
        <x:v>0</x:v>
      </x:c>
      <x:c r="X441" s="15" t="n">
        <x:v>0</x:v>
      </x:c>
      <x:c r="Y441" s="15" t="n">
        <x:v>0</x:v>
      </x:c>
      <x:c r="Z441" s="15" t="n">
        <x:v>0</x:v>
      </x:c>
      <x:c r="AA441" s="15" t="n">
        <x:v>0</x:v>
      </x:c>
      <x:c r="AB441" s="15" t="n">
        <x:f>SUM(G441:AA441)</x:f>
        <x:v>592</x:v>
      </x:c>
    </x:row>
    <x:row r="442" ht="36" customHeight="1">
      <x:c r="A442" s="10" t="str">
        <x:v>V-A</x:v>
      </x:c>
      <x:c r="B442" s="10" t="str">
        <x:v>VOICE</x:v>
      </x:c>
      <x:c r="C442" s="10" t="str">
        <x:v>VOICE:S1-20</x:v>
      </x:c>
      <x:c r="D442" s="10" t="str">
        <x:v>VOICE:M836</x:v>
      </x:c>
      <x:c r="E442" s="15" t="n">
        <x:v>0</x:v>
      </x:c>
      <x:c r="F442" s="15" t="str">
        <x:v>scored</x:v>
      </x:c>
      <x:c r="G442" s="15" t="n">
        <x:v>0</x:v>
      </x:c>
      <x:c r="H442" s="15" t="n">
        <x:v>0</x:v>
      </x:c>
      <x:c r="I442" s="15" t="n">
        <x:v>0</x:v>
      </x:c>
      <x:c r="J442" s="15" t="n">
        <x:v>0</x:v>
      </x:c>
      <x:c r="K442" s="15" t="n">
        <x:v>0</x:v>
      </x:c>
      <x:c r="L442" s="15" t="n">
        <x:v>0</x:v>
      </x:c>
      <x:c r="M442" s="15" t="n">
        <x:v>180</x:v>
      </x:c>
      <x:c r="N442" s="15" t="n">
        <x:v>220</x:v>
      </x:c>
      <x:c r="O442" s="15" t="n">
        <x:v>96</x:v>
      </x:c>
      <x:c r="P442" s="15" t="n">
        <x:v>64</x:v>
      </x:c>
      <x:c r="Q442" s="15" t="n">
        <x:v>32</x:v>
      </x:c>
      <x:c r="R442" s="15" t="n">
        <x:v>0</x:v>
      </x:c>
      <x:c r="S442" s="15" t="n">
        <x:v>0</x:v>
      </x:c>
      <x:c r="T442" s="15" t="n">
        <x:v>0</x:v>
      </x:c>
      <x:c r="U442" s="15" t="n">
        <x:v>0</x:v>
      </x:c>
      <x:c r="V442" s="15" t="n">
        <x:v>0</x:v>
      </x:c>
      <x:c r="W442" s="15" t="n">
        <x:v>0</x:v>
      </x:c>
      <x:c r="X442" s="15" t="n">
        <x:v>0</x:v>
      </x:c>
      <x:c r="Y442" s="15" t="n">
        <x:v>0</x:v>
      </x:c>
      <x:c r="Z442" s="15" t="n">
        <x:v>0</x:v>
      </x:c>
      <x:c r="AA442" s="15" t="n">
        <x:v>0</x:v>
      </x:c>
      <x:c r="AB442" s="15" t="n">
        <x:f>SUM(G442:AA442)</x:f>
        <x:v>592</x:v>
      </x:c>
    </x:row>
    <x:row r="443" ht="36" customHeight="1">
      <x:c r="A443" s="10" t="str">
        <x:v>V-R1</x:v>
      </x:c>
      <x:c r="B443" s="10" t="str">
        <x:v>VOICE</x:v>
      </x:c>
      <x:c r="C443" s="10" t="str">
        <x:v>VOICE:S1-20</x:v>
      </x:c>
      <x:c r="D443" s="10" t="str">
        <x:v>VOICE:M847</x:v>
      </x:c>
      <x:c r="E443" s="15" t="n">
        <x:v>0</x:v>
      </x:c>
      <x:c r="F443" s="15" t="str">
        <x:v>scored</x:v>
      </x:c>
      <x:c r="G443" s="15" t="n">
        <x:v>0</x:v>
      </x:c>
      <x:c r="H443" s="15" t="n">
        <x:v>0</x:v>
      </x:c>
      <x:c r="I443" s="15" t="n">
        <x:v>0</x:v>
      </x:c>
      <x:c r="J443" s="15" t="n">
        <x:v>0</x:v>
      </x:c>
      <x:c r="K443" s="15" t="n">
        <x:v>0</x:v>
      </x:c>
      <x:c r="L443" s="15" t="n">
        <x:v>0</x:v>
      </x:c>
      <x:c r="M443" s="15" t="n">
        <x:v>180</x:v>
      </x:c>
      <x:c r="N443" s="15" t="n">
        <x:v>220</x:v>
      </x:c>
      <x:c r="O443" s="15" t="n">
        <x:v>96</x:v>
      </x:c>
      <x:c r="P443" s="15" t="n">
        <x:v>64</x:v>
      </x:c>
      <x:c r="Q443" s="15" t="n">
        <x:v>24</x:v>
      </x:c>
      <x:c r="R443" s="15" t="n">
        <x:v>0</x:v>
      </x:c>
      <x:c r="S443" s="15" t="n">
        <x:v>0</x:v>
      </x:c>
      <x:c r="T443" s="15" t="n">
        <x:v>0</x:v>
      </x:c>
      <x:c r="U443" s="15" t="n">
        <x:v>0</x:v>
      </x:c>
      <x:c r="V443" s="15" t="n">
        <x:v>0</x:v>
      </x:c>
      <x:c r="W443" s="15" t="n">
        <x:v>0</x:v>
      </x:c>
      <x:c r="X443" s="15" t="n">
        <x:v>0</x:v>
      </x:c>
      <x:c r="Y443" s="15" t="n">
        <x:v>0</x:v>
      </x:c>
      <x:c r="Z443" s="15" t="n">
        <x:v>0</x:v>
      </x:c>
      <x:c r="AA443" s="15" t="n">
        <x:v>0</x:v>
      </x:c>
      <x:c r="AB443" s="15" t="n">
        <x:f>SUM(G443:AA443)</x:f>
        <x:v>584</x:v>
      </x:c>
    </x:row>
    <x:row r="444" ht="36" customHeight="1">
      <x:c r="A444" s="10" t="str">
        <x:v>V-R2</x:v>
      </x:c>
      <x:c r="B444" s="10" t="str">
        <x:v>VOICE</x:v>
      </x:c>
      <x:c r="C444" s="10" t="str">
        <x:v>VOICE:S1-20</x:v>
      </x:c>
      <x:c r="D444" s="10" t="str">
        <x:v>VOICE:M858</x:v>
      </x:c>
      <x:c r="E444" s="15" t="n">
        <x:v>0</x:v>
      </x:c>
      <x:c r="F444" s="15" t="str">
        <x:v>scored</x:v>
      </x:c>
      <x:c r="G444" s="15" t="n">
        <x:v>0</x:v>
      </x:c>
      <x:c r="H444" s="15" t="n">
        <x:v>0</x:v>
      </x:c>
      <x:c r="I444" s="15" t="n">
        <x:v>0</x:v>
      </x:c>
      <x:c r="J444" s="15" t="n">
        <x:v>0</x:v>
      </x:c>
      <x:c r="K444" s="15" t="n">
        <x:v>0</x:v>
      </x:c>
      <x:c r="L444" s="15" t="n">
        <x:v>0</x:v>
      </x:c>
      <x:c r="M444" s="15" t="n">
        <x:v>180</x:v>
      </x:c>
      <x:c r="N444" s="15" t="n">
        <x:v>220</x:v>
      </x:c>
      <x:c r="O444" s="15" t="n">
        <x:v>96</x:v>
      </x:c>
      <x:c r="P444" s="15" t="n">
        <x:v>64</x:v>
      </x:c>
      <x:c r="Q444" s="15" t="n">
        <x:v>24</x:v>
      </x:c>
      <x:c r="R444" s="15" t="n">
        <x:v>0</x:v>
      </x:c>
      <x:c r="S444" s="15" t="n">
        <x:v>0</x:v>
      </x:c>
      <x:c r="T444" s="15" t="n">
        <x:v>0</x:v>
      </x:c>
      <x:c r="U444" s="15" t="n">
        <x:v>0</x:v>
      </x:c>
      <x:c r="V444" s="15" t="n">
        <x:v>0</x:v>
      </x:c>
      <x:c r="W444" s="15" t="n">
        <x:v>0</x:v>
      </x:c>
      <x:c r="X444" s="15" t="n">
        <x:v>0</x:v>
      </x:c>
      <x:c r="Y444" s="15" t="n">
        <x:v>0</x:v>
      </x:c>
      <x:c r="Z444" s="15" t="n">
        <x:v>0</x:v>
      </x:c>
      <x:c r="AA444" s="15" t="n">
        <x:v>0</x:v>
      </x:c>
      <x:c r="AB444" s="15" t="n">
        <x:f>SUM(G444:AA444)</x:f>
        <x:v>584</x:v>
      </x:c>
    </x:row>
    <x:row r="445" ht="36" customHeight="1">
      <x:c r="A445" s="10" t="str">
        <x:v>V-R3</x:v>
      </x:c>
      <x:c r="B445" s="10" t="str">
        <x:v>VOICE</x:v>
      </x:c>
      <x:c r="C445" s="10" t="str">
        <x:v>VOICE:S1-20</x:v>
      </x:c>
      <x:c r="D445" s="10" t="str">
        <x:v>VOICE:M869</x:v>
      </x:c>
      <x:c r="E445" s="15" t="n">
        <x:v>0</x:v>
      </x:c>
      <x:c r="F445" s="15" t="str">
        <x:v>scored</x:v>
      </x:c>
      <x:c r="G445" s="15" t="n">
        <x:v>0</x:v>
      </x:c>
      <x:c r="H445" s="15" t="n">
        <x:v>0</x:v>
      </x:c>
      <x:c r="I445" s="15" t="n">
        <x:v>0</x:v>
      </x:c>
      <x:c r="J445" s="15" t="n">
        <x:v>0</x:v>
      </x:c>
      <x:c r="K445" s="15" t="n">
        <x:v>0</x:v>
      </x:c>
      <x:c r="L445" s="15" t="n">
        <x:v>0</x:v>
      </x:c>
      <x:c r="M445" s="15" t="n">
        <x:v>180</x:v>
      </x:c>
      <x:c r="N445" s="15" t="n">
        <x:v>220</x:v>
      </x:c>
      <x:c r="O445" s="15" t="n">
        <x:v>96</x:v>
      </x:c>
      <x:c r="P445" s="15" t="n">
        <x:v>64</x:v>
      </x:c>
      <x:c r="Q445" s="15" t="n">
        <x:v>32</x:v>
      </x:c>
      <x:c r="R445" s="15" t="n">
        <x:v>0</x:v>
      </x:c>
      <x:c r="S445" s="15" t="n">
        <x:v>0</x:v>
      </x:c>
      <x:c r="T445" s="15" t="n">
        <x:v>0</x:v>
      </x:c>
      <x:c r="U445" s="15" t="n">
        <x:v>0</x:v>
      </x:c>
      <x:c r="V445" s="15" t="n">
        <x:v>0</x:v>
      </x:c>
      <x:c r="W445" s="15" t="n">
        <x:v>0</x:v>
      </x:c>
      <x:c r="X445" s="15" t="n">
        <x:v>0</x:v>
      </x:c>
      <x:c r="Y445" s="15" t="n">
        <x:v>0</x:v>
      </x:c>
      <x:c r="Z445" s="15" t="n">
        <x:v>0</x:v>
      </x:c>
      <x:c r="AA445" s="15" t="n">
        <x:v>0</x:v>
      </x:c>
      <x:c r="AB445" s="15" t="n">
        <x:f>SUM(G445:AA445)</x:f>
        <x:v>592</x:v>
      </x:c>
    </x:row>
    <x:row r="446" ht="36" customHeight="1">
      <x:c r="A446" s="10" t="str">
        <x:v>V-A</x:v>
      </x:c>
      <x:c r="B446" s="10" t="str">
        <x:v>VOICE</x:v>
      </x:c>
      <x:c r="C446" s="10" t="str">
        <x:v>VOICE:S2-01</x:v>
      </x:c>
      <x:c r="D446" s="10" t="str">
        <x:v>VOICE:M880</x:v>
      </x:c>
      <x:c r="E446" s="15" t="n">
        <x:v>0</x:v>
      </x:c>
      <x:c r="F446" s="15" t="str">
        <x:v>scored</x:v>
      </x:c>
      <x:c r="G446" s="15" t="n">
        <x:v>0</x:v>
      </x:c>
      <x:c r="H446" s="15" t="n">
        <x:v>0</x:v>
      </x:c>
      <x:c r="I446" s="15" t="n">
        <x:v>0</x:v>
      </x:c>
      <x:c r="J446" s="15" t="n">
        <x:v>0</x:v>
      </x:c>
      <x:c r="K446" s="15" t="n">
        <x:v>0</x:v>
      </x:c>
      <x:c r="L446" s="15" t="n">
        <x:v>0</x:v>
      </x:c>
      <x:c r="M446" s="15" t="n">
        <x:v>180</x:v>
      </x:c>
      <x:c r="N446" s="15" t="n">
        <x:v>220</x:v>
      </x:c>
      <x:c r="O446" s="15" t="n">
        <x:v>96</x:v>
      </x:c>
      <x:c r="P446" s="15" t="n">
        <x:v>64</x:v>
      </x:c>
      <x:c r="Q446" s="15" t="n">
        <x:v>32</x:v>
      </x:c>
      <x:c r="R446" s="15" t="n">
        <x:v>0</x:v>
      </x:c>
      <x:c r="S446" s="15" t="n">
        <x:v>0</x:v>
      </x:c>
      <x:c r="T446" s="15" t="n">
        <x:v>0</x:v>
      </x:c>
      <x:c r="U446" s="15" t="n">
        <x:v>0</x:v>
      </x:c>
      <x:c r="V446" s="15" t="n">
        <x:v>0</x:v>
      </x:c>
      <x:c r="W446" s="15" t="n">
        <x:v>0</x:v>
      </x:c>
      <x:c r="X446" s="15" t="n">
        <x:v>0</x:v>
      </x:c>
      <x:c r="Y446" s="15" t="n">
        <x:v>0</x:v>
      </x:c>
      <x:c r="Z446" s="15" t="n">
        <x:v>0</x:v>
      </x:c>
      <x:c r="AA446" s="15" t="n">
        <x:v>0</x:v>
      </x:c>
      <x:c r="AB446" s="15" t="n">
        <x:f>SUM(G446:AA446)</x:f>
        <x:v>592</x:v>
      </x:c>
    </x:row>
    <x:row r="447" ht="36" customHeight="1">
      <x:c r="A447" s="10" t="str">
        <x:v>V-R1</x:v>
      </x:c>
      <x:c r="B447" s="10" t="str">
        <x:v>VOICE</x:v>
      </x:c>
      <x:c r="C447" s="10" t="str">
        <x:v>VOICE:S2-01</x:v>
      </x:c>
      <x:c r="D447" s="10" t="str">
        <x:v>VOICE:M895</x:v>
      </x:c>
      <x:c r="E447" s="15" t="n">
        <x:v>2.23</x:v>
      </x:c>
      <x:c r="F447" s="15" t="str">
        <x:v>scored</x:v>
      </x:c>
      <x:c r="G447" s="15" t="n">
        <x:v>0</x:v>
      </x:c>
      <x:c r="H447" s="15" t="n">
        <x:v>0</x:v>
      </x:c>
      <x:c r="I447" s="15" t="n">
        <x:v>0</x:v>
      </x:c>
      <x:c r="J447" s="15" t="n">
        <x:v>0</x:v>
      </x:c>
      <x:c r="K447" s="15" t="n">
        <x:v>0</x:v>
      </x:c>
      <x:c r="L447" s="15" t="n">
        <x:v>0</x:v>
      </x:c>
      <x:c r="M447" s="15" t="n">
        <x:v>180</x:v>
      </x:c>
      <x:c r="N447" s="15" t="n">
        <x:v>220</x:v>
      </x:c>
      <x:c r="O447" s="15" t="n">
        <x:v>96</x:v>
      </x:c>
      <x:c r="P447" s="15" t="n">
        <x:v>64</x:v>
      </x:c>
      <x:c r="Q447" s="15" t="n">
        <x:v>24</x:v>
      </x:c>
      <x:c r="R447" s="15" t="n">
        <x:v>60</x:v>
      </x:c>
      <x:c r="S447" s="15" t="n">
        <x:v>280</x:v>
      </x:c>
      <x:c r="T447" s="15" t="n">
        <x:v>420</x:v>
      </x:c>
      <x:c r="U447" s="15" t="n">
        <x:v>0</x:v>
      </x:c>
      <x:c r="V447" s="15" t="n">
        <x:v>96</x:v>
      </x:c>
      <x:c r="W447" s="15" t="n">
        <x:v>380</x:v>
      </x:c>
      <x:c r="X447" s="15" t="n">
        <x:v>0</x:v>
      </x:c>
      <x:c r="Y447" s="15" t="n">
        <x:v>0</x:v>
      </x:c>
      <x:c r="Z447" s="15" t="n">
        <x:v>0</x:v>
      </x:c>
      <x:c r="AA447" s="15" t="n">
        <x:v>0</x:v>
      </x:c>
      <x:c r="AB447" s="15" t="n">
        <x:f>SUM(G447:AA447)</x:f>
        <x:v>1820</x:v>
      </x:c>
    </x:row>
    <x:row r="448" ht="36" customHeight="1">
      <x:c r="A448" s="10" t="str">
        <x:v>V-R2</x:v>
      </x:c>
      <x:c r="B448" s="10" t="str">
        <x:v>VOICE</x:v>
      </x:c>
      <x:c r="C448" s="10" t="str">
        <x:v>VOICE:S2-01</x:v>
      </x:c>
      <x:c r="D448" s="10" t="str">
        <x:v>VOICE:M910</x:v>
      </x:c>
      <x:c r="E448" s="15" t="n">
        <x:v>2.23</x:v>
      </x:c>
      <x:c r="F448" s="15" t="str">
        <x:v>scored</x:v>
      </x:c>
      <x:c r="G448" s="15" t="n">
        <x:v>0</x:v>
      </x:c>
      <x:c r="H448" s="15" t="n">
        <x:v>0</x:v>
      </x:c>
      <x:c r="I448" s="15" t="n">
        <x:v>0</x:v>
      </x:c>
      <x:c r="J448" s="15" t="n">
        <x:v>0</x:v>
      </x:c>
      <x:c r="K448" s="15" t="n">
        <x:v>0</x:v>
      </x:c>
      <x:c r="L448" s="15" t="n">
        <x:v>0</x:v>
      </x:c>
      <x:c r="M448" s="15" t="n">
        <x:v>180</x:v>
      </x:c>
      <x:c r="N448" s="15" t="n">
        <x:v>220</x:v>
      </x:c>
      <x:c r="O448" s="15" t="n">
        <x:v>96</x:v>
      </x:c>
      <x:c r="P448" s="15" t="n">
        <x:v>64</x:v>
      </x:c>
      <x:c r="Q448" s="15" t="n">
        <x:v>24</x:v>
      </x:c>
      <x:c r="R448" s="15" t="n">
        <x:v>60</x:v>
      </x:c>
      <x:c r="S448" s="15" t="n">
        <x:v>280</x:v>
      </x:c>
      <x:c r="T448" s="15" t="n">
        <x:v>420</x:v>
      </x:c>
      <x:c r="U448" s="15" t="n">
        <x:v>0</x:v>
      </x:c>
      <x:c r="V448" s="15" t="n">
        <x:v>96</x:v>
      </x:c>
      <x:c r="W448" s="15" t="n">
        <x:v>380</x:v>
      </x:c>
      <x:c r="X448" s="15" t="n">
        <x:v>0</x:v>
      </x:c>
      <x:c r="Y448" s="15" t="n">
        <x:v>0</x:v>
      </x:c>
      <x:c r="Z448" s="15" t="n">
        <x:v>0</x:v>
      </x:c>
      <x:c r="AA448" s="15" t="n">
        <x:v>0</x:v>
      </x:c>
      <x:c r="AB448" s="15" t="n">
        <x:f>SUM(G448:AA448)</x:f>
        <x:v>1820</x:v>
      </x:c>
    </x:row>
    <x:row r="449" ht="36" customHeight="1">
      <x:c r="A449" s="10" t="str">
        <x:v>V-R3</x:v>
      </x:c>
      <x:c r="B449" s="10" t="str">
        <x:v>VOICE</x:v>
      </x:c>
      <x:c r="C449" s="10" t="str">
        <x:v>VOICE:S2-01</x:v>
      </x:c>
      <x:c r="D449" s="10" t="str">
        <x:v>VOICE:M924</x:v>
      </x:c>
      <x:c r="E449" s="15" t="n">
        <x:v>2.23</x:v>
      </x:c>
      <x:c r="F449" s="15" t="str">
        <x:v>scored</x:v>
      </x:c>
      <x:c r="G449" s="15" t="n">
        <x:v>0</x:v>
      </x:c>
      <x:c r="H449" s="15" t="n">
        <x:v>0</x:v>
      </x:c>
      <x:c r="I449" s="15" t="n">
        <x:v>0</x:v>
      </x:c>
      <x:c r="J449" s="15" t="n">
        <x:v>0</x:v>
      </x:c>
      <x:c r="K449" s="15" t="n">
        <x:v>0</x:v>
      </x:c>
      <x:c r="L449" s="15" t="n">
        <x:v>0</x:v>
      </x:c>
      <x:c r="M449" s="15" t="n">
        <x:v>180</x:v>
      </x:c>
      <x:c r="N449" s="15" t="n">
        <x:v>220</x:v>
      </x:c>
      <x:c r="O449" s="15" t="n">
        <x:v>96</x:v>
      </x:c>
      <x:c r="P449" s="15" t="n">
        <x:v>64</x:v>
      </x:c>
      <x:c r="Q449" s="15" t="n">
        <x:v>32</x:v>
      </x:c>
      <x:c r="R449" s="15" t="n">
        <x:v>60</x:v>
      </x:c>
      <x:c r="S449" s="15" t="n">
        <x:v>280</x:v>
      </x:c>
      <x:c r="T449" s="15" t="n">
        <x:v>420</x:v>
      </x:c>
      <x:c r="U449" s="15" t="n">
        <x:v>0</x:v>
      </x:c>
      <x:c r="V449" s="15" t="n">
        <x:v>96</x:v>
      </x:c>
      <x:c r="W449" s="15" t="n">
        <x:v>380</x:v>
      </x:c>
      <x:c r="X449" s="15" t="n">
        <x:v>0</x:v>
      </x:c>
      <x:c r="Y449" s="15" t="n">
        <x:v>0</x:v>
      </x:c>
      <x:c r="Z449" s="15" t="n">
        <x:v>0</x:v>
      </x:c>
      <x:c r="AA449" s="15" t="n">
        <x:v>0</x:v>
      </x:c>
      <x:c r="AB449" s="15" t="n">
        <x:f>SUM(G449:AA449)</x:f>
        <x:v>1828</x:v>
      </x:c>
    </x:row>
    <x:row r="450" ht="36" customHeight="1">
      <x:c r="A450" s="10" t="str">
        <x:v>V-A</x:v>
      </x:c>
      <x:c r="B450" s="10" t="str">
        <x:v>VOICE</x:v>
      </x:c>
      <x:c r="C450" s="10" t="str">
        <x:v>VOICE:S2-02</x:v>
      </x:c>
      <x:c r="D450" s="10" t="str">
        <x:v>VOICE:M935</x:v>
      </x:c>
      <x:c r="E450" s="15" t="n">
        <x:v>0</x:v>
      </x:c>
      <x:c r="F450" s="15" t="str">
        <x:v>scored</x:v>
      </x:c>
      <x:c r="G450" s="15" t="n">
        <x:v>0</x:v>
      </x:c>
      <x:c r="H450" s="15" t="n">
        <x:v>0</x:v>
      </x:c>
      <x:c r="I450" s="15" t="n">
        <x:v>0</x:v>
      </x:c>
      <x:c r="J450" s="15" t="n">
        <x:v>0</x:v>
      </x:c>
      <x:c r="K450" s="15" t="n">
        <x:v>0</x:v>
      </x:c>
      <x:c r="L450" s="15" t="n">
        <x:v>0</x:v>
      </x:c>
      <x:c r="M450" s="15" t="n">
        <x:v>180</x:v>
      </x:c>
      <x:c r="N450" s="15" t="n">
        <x:v>220</x:v>
      </x:c>
      <x:c r="O450" s="15" t="n">
        <x:v>96</x:v>
      </x:c>
      <x:c r="P450" s="15" t="n">
        <x:v>64</x:v>
      </x:c>
      <x:c r="Q450" s="15" t="n">
        <x:v>32</x:v>
      </x:c>
      <x:c r="R450" s="15" t="n">
        <x:v>0</x:v>
      </x:c>
      <x:c r="S450" s="15" t="n">
        <x:v>0</x:v>
      </x:c>
      <x:c r="T450" s="15" t="n">
        <x:v>0</x:v>
      </x:c>
      <x:c r="U450" s="15" t="n">
        <x:v>0</x:v>
      </x:c>
      <x:c r="V450" s="15" t="n">
        <x:v>0</x:v>
      </x:c>
      <x:c r="W450" s="15" t="n">
        <x:v>0</x:v>
      </x:c>
      <x:c r="X450" s="15" t="n">
        <x:v>0</x:v>
      </x:c>
      <x:c r="Y450" s="15" t="n">
        <x:v>0</x:v>
      </x:c>
      <x:c r="Z450" s="15" t="n">
        <x:v>0</x:v>
      </x:c>
      <x:c r="AA450" s="15" t="n">
        <x:v>0</x:v>
      </x:c>
      <x:c r="AB450" s="15" t="n">
        <x:f>SUM(G450:AA450)</x:f>
        <x:v>592</x:v>
      </x:c>
    </x:row>
    <x:row r="451" ht="36" customHeight="1">
      <x:c r="A451" s="10" t="str">
        <x:v>V-R1</x:v>
      </x:c>
      <x:c r="B451" s="10" t="str">
        <x:v>VOICE</x:v>
      </x:c>
      <x:c r="C451" s="10" t="str">
        <x:v>VOICE:S2-02</x:v>
      </x:c>
      <x:c r="D451" s="10" t="str">
        <x:v>VOICE:M950</x:v>
      </x:c>
      <x:c r="E451" s="15" t="n">
        <x:v>2.23</x:v>
      </x:c>
      <x:c r="F451" s="15" t="str">
        <x:v>scored</x:v>
      </x:c>
      <x:c r="G451" s="15" t="n">
        <x:v>0</x:v>
      </x:c>
      <x:c r="H451" s="15" t="n">
        <x:v>0</x:v>
      </x:c>
      <x:c r="I451" s="15" t="n">
        <x:v>0</x:v>
      </x:c>
      <x:c r="J451" s="15" t="n">
        <x:v>0</x:v>
      </x:c>
      <x:c r="K451" s="15" t="n">
        <x:v>0</x:v>
      </x:c>
      <x:c r="L451" s="15" t="n">
        <x:v>0</x:v>
      </x:c>
      <x:c r="M451" s="15" t="n">
        <x:v>180</x:v>
      </x:c>
      <x:c r="N451" s="15" t="n">
        <x:v>220</x:v>
      </x:c>
      <x:c r="O451" s="15" t="n">
        <x:v>96</x:v>
      </x:c>
      <x:c r="P451" s="15" t="n">
        <x:v>64</x:v>
      </x:c>
      <x:c r="Q451" s="15" t="n">
        <x:v>24</x:v>
      </x:c>
      <x:c r="R451" s="15" t="n">
        <x:v>60</x:v>
      </x:c>
      <x:c r="S451" s="15" t="n">
        <x:v>280</x:v>
      </x:c>
      <x:c r="T451" s="15" t="n">
        <x:v>420</x:v>
      </x:c>
      <x:c r="U451" s="15" t="n">
        <x:v>0</x:v>
      </x:c>
      <x:c r="V451" s="15" t="n">
        <x:v>96</x:v>
      </x:c>
      <x:c r="W451" s="15" t="n">
        <x:v>380</x:v>
      </x:c>
      <x:c r="X451" s="15" t="n">
        <x:v>0</x:v>
      </x:c>
      <x:c r="Y451" s="15" t="n">
        <x:v>0</x:v>
      </x:c>
      <x:c r="Z451" s="15" t="n">
        <x:v>0</x:v>
      </x:c>
      <x:c r="AA451" s="15" t="n">
        <x:v>0</x:v>
      </x:c>
      <x:c r="AB451" s="15" t="n">
        <x:f>SUM(G451:AA451)</x:f>
        <x:v>1820</x:v>
      </x:c>
    </x:row>
    <x:row r="452" ht="36" customHeight="1">
      <x:c r="A452" s="10" t="str">
        <x:v>V-R2</x:v>
      </x:c>
      <x:c r="B452" s="10" t="str">
        <x:v>VOICE</x:v>
      </x:c>
      <x:c r="C452" s="10" t="str">
        <x:v>VOICE:S2-02</x:v>
      </x:c>
      <x:c r="D452" s="10" t="str">
        <x:v>VOICE:M965</x:v>
      </x:c>
      <x:c r="E452" s="15" t="n">
        <x:v>2.23</x:v>
      </x:c>
      <x:c r="F452" s="15" t="str">
        <x:v>scored</x:v>
      </x:c>
      <x:c r="G452" s="15" t="n">
        <x:v>0</x:v>
      </x:c>
      <x:c r="H452" s="15" t="n">
        <x:v>0</x:v>
      </x:c>
      <x:c r="I452" s="15" t="n">
        <x:v>0</x:v>
      </x:c>
      <x:c r="J452" s="15" t="n">
        <x:v>0</x:v>
      </x:c>
      <x:c r="K452" s="15" t="n">
        <x:v>0</x:v>
      </x:c>
      <x:c r="L452" s="15" t="n">
        <x:v>0</x:v>
      </x:c>
      <x:c r="M452" s="15" t="n">
        <x:v>180</x:v>
      </x:c>
      <x:c r="N452" s="15" t="n">
        <x:v>220</x:v>
      </x:c>
      <x:c r="O452" s="15" t="n">
        <x:v>96</x:v>
      </x:c>
      <x:c r="P452" s="15" t="n">
        <x:v>64</x:v>
      </x:c>
      <x:c r="Q452" s="15" t="n">
        <x:v>24</x:v>
      </x:c>
      <x:c r="R452" s="15" t="n">
        <x:v>60</x:v>
      </x:c>
      <x:c r="S452" s="15" t="n">
        <x:v>280</x:v>
      </x:c>
      <x:c r="T452" s="15" t="n">
        <x:v>420</x:v>
      </x:c>
      <x:c r="U452" s="15" t="n">
        <x:v>0</x:v>
      </x:c>
      <x:c r="V452" s="15" t="n">
        <x:v>96</x:v>
      </x:c>
      <x:c r="W452" s="15" t="n">
        <x:v>380</x:v>
      </x:c>
      <x:c r="X452" s="15" t="n">
        <x:v>0</x:v>
      </x:c>
      <x:c r="Y452" s="15" t="n">
        <x:v>0</x:v>
      </x:c>
      <x:c r="Z452" s="15" t="n">
        <x:v>0</x:v>
      </x:c>
      <x:c r="AA452" s="15" t="n">
        <x:v>0</x:v>
      </x:c>
      <x:c r="AB452" s="15" t="n">
        <x:f>SUM(G452:AA452)</x:f>
        <x:v>1820</x:v>
      </x:c>
    </x:row>
    <x:row r="453" ht="36" customHeight="1">
      <x:c r="A453" s="10" t="str">
        <x:v>V-R3</x:v>
      </x:c>
      <x:c r="B453" s="10" t="str">
        <x:v>VOICE</x:v>
      </x:c>
      <x:c r="C453" s="10" t="str">
        <x:v>VOICE:S2-02</x:v>
      </x:c>
      <x:c r="D453" s="10" t="str">
        <x:v>VOICE:M979</x:v>
      </x:c>
      <x:c r="E453" s="15" t="n">
        <x:v>2.23</x:v>
      </x:c>
      <x:c r="F453" s="15" t="str">
        <x:v>scored</x:v>
      </x:c>
      <x:c r="G453" s="15" t="n">
        <x:v>0</x:v>
      </x:c>
      <x:c r="H453" s="15" t="n">
        <x:v>0</x:v>
      </x:c>
      <x:c r="I453" s="15" t="n">
        <x:v>0</x:v>
      </x:c>
      <x:c r="J453" s="15" t="n">
        <x:v>0</x:v>
      </x:c>
      <x:c r="K453" s="15" t="n">
        <x:v>0</x:v>
      </x:c>
      <x:c r="L453" s="15" t="n">
        <x:v>0</x:v>
      </x:c>
      <x:c r="M453" s="15" t="n">
        <x:v>180</x:v>
      </x:c>
      <x:c r="N453" s="15" t="n">
        <x:v>220</x:v>
      </x:c>
      <x:c r="O453" s="15" t="n">
        <x:v>96</x:v>
      </x:c>
      <x:c r="P453" s="15" t="n">
        <x:v>64</x:v>
      </x:c>
      <x:c r="Q453" s="15" t="n">
        <x:v>32</x:v>
      </x:c>
      <x:c r="R453" s="15" t="n">
        <x:v>60</x:v>
      </x:c>
      <x:c r="S453" s="15" t="n">
        <x:v>280</x:v>
      </x:c>
      <x:c r="T453" s="15" t="n">
        <x:v>420</x:v>
      </x:c>
      <x:c r="U453" s="15" t="n">
        <x:v>0</x:v>
      </x:c>
      <x:c r="V453" s="15" t="n">
        <x:v>96</x:v>
      </x:c>
      <x:c r="W453" s="15" t="n">
        <x:v>380</x:v>
      </x:c>
      <x:c r="X453" s="15" t="n">
        <x:v>0</x:v>
      </x:c>
      <x:c r="Y453" s="15" t="n">
        <x:v>0</x:v>
      </x:c>
      <x:c r="Z453" s="15" t="n">
        <x:v>0</x:v>
      </x:c>
      <x:c r="AA453" s="15" t="n">
        <x:v>0</x:v>
      </x:c>
      <x:c r="AB453" s="15" t="n">
        <x:f>SUM(G453:AA453)</x:f>
        <x:v>1828</x:v>
      </x:c>
    </x:row>
    <x:row r="454" ht="36" customHeight="1">
      <x:c r="A454" s="10" t="str">
        <x:v>V-A</x:v>
      </x:c>
      <x:c r="B454" s="10" t="str">
        <x:v>VOICE</x:v>
      </x:c>
      <x:c r="C454" s="10" t="str">
        <x:v>VOICE:S2-03</x:v>
      </x:c>
      <x:c r="D454" s="10" t="str">
        <x:v>VOICE:M990</x:v>
      </x:c>
      <x:c r="E454" s="15" t="n">
        <x:v>0</x:v>
      </x:c>
      <x:c r="F454" s="15" t="str">
        <x:v>scored</x:v>
      </x:c>
      <x:c r="G454" s="15" t="n">
        <x:v>0</x:v>
      </x:c>
      <x:c r="H454" s="15" t="n">
        <x:v>0</x:v>
      </x:c>
      <x:c r="I454" s="15" t="n">
        <x:v>0</x:v>
      </x:c>
      <x:c r="J454" s="15" t="n">
        <x:v>0</x:v>
      </x:c>
      <x:c r="K454" s="15" t="n">
        <x:v>0</x:v>
      </x:c>
      <x:c r="L454" s="15" t="n">
        <x:v>0</x:v>
      </x:c>
      <x:c r="M454" s="15" t="n">
        <x:v>180</x:v>
      </x:c>
      <x:c r="N454" s="15" t="n">
        <x:v>220</x:v>
      </x:c>
      <x:c r="O454" s="15" t="n">
        <x:v>96</x:v>
      </x:c>
      <x:c r="P454" s="15" t="n">
        <x:v>64</x:v>
      </x:c>
      <x:c r="Q454" s="15" t="n">
        <x:v>32</x:v>
      </x:c>
      <x:c r="R454" s="15" t="n">
        <x:v>0</x:v>
      </x:c>
      <x:c r="S454" s="15" t="n">
        <x:v>0</x:v>
      </x:c>
      <x:c r="T454" s="15" t="n">
        <x:v>0</x:v>
      </x:c>
      <x:c r="U454" s="15" t="n">
        <x:v>0</x:v>
      </x:c>
      <x:c r="V454" s="15" t="n">
        <x:v>0</x:v>
      </x:c>
      <x:c r="W454" s="15" t="n">
        <x:v>0</x:v>
      </x:c>
      <x:c r="X454" s="15" t="n">
        <x:v>0</x:v>
      </x:c>
      <x:c r="Y454" s="15" t="n">
        <x:v>0</x:v>
      </x:c>
      <x:c r="Z454" s="15" t="n">
        <x:v>0</x:v>
      </x:c>
      <x:c r="AA454" s="15" t="n">
        <x:v>0</x:v>
      </x:c>
      <x:c r="AB454" s="15" t="n">
        <x:f>SUM(G454:AA454)</x:f>
        <x:v>592</x:v>
      </x:c>
    </x:row>
    <x:row r="455" ht="36" customHeight="1">
      <x:c r="A455" s="10" t="str">
        <x:v>V-R1</x:v>
      </x:c>
      <x:c r="B455" s="10" t="str">
        <x:v>VOICE</x:v>
      </x:c>
      <x:c r="C455" s="10" t="str">
        <x:v>VOICE:S2-03</x:v>
      </x:c>
      <x:c r="D455" s="10" t="str">
        <x:v>VOICE:M1005</x:v>
      </x:c>
      <x:c r="E455" s="15" t="n">
        <x:v>2.23</x:v>
      </x:c>
      <x:c r="F455" s="15" t="str">
        <x:v>scored</x:v>
      </x:c>
      <x:c r="G455" s="15" t="n">
        <x:v>0</x:v>
      </x:c>
      <x:c r="H455" s="15" t="n">
        <x:v>0</x:v>
      </x:c>
      <x:c r="I455" s="15" t="n">
        <x:v>0</x:v>
      </x:c>
      <x:c r="J455" s="15" t="n">
        <x:v>0</x:v>
      </x:c>
      <x:c r="K455" s="15" t="n">
        <x:v>0</x:v>
      </x:c>
      <x:c r="L455" s="15" t="n">
        <x:v>0</x:v>
      </x:c>
      <x:c r="M455" s="15" t="n">
        <x:v>180</x:v>
      </x:c>
      <x:c r="N455" s="15" t="n">
        <x:v>220</x:v>
      </x:c>
      <x:c r="O455" s="15" t="n">
        <x:v>96</x:v>
      </x:c>
      <x:c r="P455" s="15" t="n">
        <x:v>64</x:v>
      </x:c>
      <x:c r="Q455" s="15" t="n">
        <x:v>24</x:v>
      </x:c>
      <x:c r="R455" s="15" t="n">
        <x:v>60</x:v>
      </x:c>
      <x:c r="S455" s="15" t="n">
        <x:v>280</x:v>
      </x:c>
      <x:c r="T455" s="15" t="n">
        <x:v>420</x:v>
      </x:c>
      <x:c r="U455" s="15" t="n">
        <x:v>0</x:v>
      </x:c>
      <x:c r="V455" s="15" t="n">
        <x:v>96</x:v>
      </x:c>
      <x:c r="W455" s="15" t="n">
        <x:v>380</x:v>
      </x:c>
      <x:c r="X455" s="15" t="n">
        <x:v>0</x:v>
      </x:c>
      <x:c r="Y455" s="15" t="n">
        <x:v>0</x:v>
      </x:c>
      <x:c r="Z455" s="15" t="n">
        <x:v>0</x:v>
      </x:c>
      <x:c r="AA455" s="15" t="n">
        <x:v>0</x:v>
      </x:c>
      <x:c r="AB455" s="15" t="n">
        <x:f>SUM(G455:AA455)</x:f>
        <x:v>1820</x:v>
      </x:c>
    </x:row>
    <x:row r="456" ht="36" customHeight="1">
      <x:c r="A456" s="10" t="str">
        <x:v>V-R2</x:v>
      </x:c>
      <x:c r="B456" s="10" t="str">
        <x:v>VOICE</x:v>
      </x:c>
      <x:c r="C456" s="10" t="str">
        <x:v>VOICE:S2-03</x:v>
      </x:c>
      <x:c r="D456" s="10" t="str">
        <x:v>VOICE:M1020</x:v>
      </x:c>
      <x:c r="E456" s="15" t="n">
        <x:v>2.23</x:v>
      </x:c>
      <x:c r="F456" s="15" t="str">
        <x:v>scored</x:v>
      </x:c>
      <x:c r="G456" s="15" t="n">
        <x:v>0</x:v>
      </x:c>
      <x:c r="H456" s="15" t="n">
        <x:v>0</x:v>
      </x:c>
      <x:c r="I456" s="15" t="n">
        <x:v>0</x:v>
      </x:c>
      <x:c r="J456" s="15" t="n">
        <x:v>0</x:v>
      </x:c>
      <x:c r="K456" s="15" t="n">
        <x:v>0</x:v>
      </x:c>
      <x:c r="L456" s="15" t="n">
        <x:v>0</x:v>
      </x:c>
      <x:c r="M456" s="15" t="n">
        <x:v>180</x:v>
      </x:c>
      <x:c r="N456" s="15" t="n">
        <x:v>220</x:v>
      </x:c>
      <x:c r="O456" s="15" t="n">
        <x:v>96</x:v>
      </x:c>
      <x:c r="P456" s="15" t="n">
        <x:v>64</x:v>
      </x:c>
      <x:c r="Q456" s="15" t="n">
        <x:v>24</x:v>
      </x:c>
      <x:c r="R456" s="15" t="n">
        <x:v>60</x:v>
      </x:c>
      <x:c r="S456" s="15" t="n">
        <x:v>280</x:v>
      </x:c>
      <x:c r="T456" s="15" t="n">
        <x:v>420</x:v>
      </x:c>
      <x:c r="U456" s="15" t="n">
        <x:v>0</x:v>
      </x:c>
      <x:c r="V456" s="15" t="n">
        <x:v>96</x:v>
      </x:c>
      <x:c r="W456" s="15" t="n">
        <x:v>380</x:v>
      </x:c>
      <x:c r="X456" s="15" t="n">
        <x:v>0</x:v>
      </x:c>
      <x:c r="Y456" s="15" t="n">
        <x:v>0</x:v>
      </x:c>
      <x:c r="Z456" s="15" t="n">
        <x:v>0</x:v>
      </x:c>
      <x:c r="AA456" s="15" t="n">
        <x:v>0</x:v>
      </x:c>
      <x:c r="AB456" s="15" t="n">
        <x:f>SUM(G456:AA456)</x:f>
        <x:v>1820</x:v>
      </x:c>
    </x:row>
    <x:row r="457" ht="36" customHeight="1">
      <x:c r="A457" s="10" t="str">
        <x:v>V-R3</x:v>
      </x:c>
      <x:c r="B457" s="10" t="str">
        <x:v>VOICE</x:v>
      </x:c>
      <x:c r="C457" s="10" t="str">
        <x:v>VOICE:S2-03</x:v>
      </x:c>
      <x:c r="D457" s="10" t="str">
        <x:v>VOICE:M1034</x:v>
      </x:c>
      <x:c r="E457" s="15" t="n">
        <x:v>2.23</x:v>
      </x:c>
      <x:c r="F457" s="15" t="str">
        <x:v>scored</x:v>
      </x:c>
      <x:c r="G457" s="15" t="n">
        <x:v>0</x:v>
      </x:c>
      <x:c r="H457" s="15" t="n">
        <x:v>0</x:v>
      </x:c>
      <x:c r="I457" s="15" t="n">
        <x:v>0</x:v>
      </x:c>
      <x:c r="J457" s="15" t="n">
        <x:v>0</x:v>
      </x:c>
      <x:c r="K457" s="15" t="n">
        <x:v>0</x:v>
      </x:c>
      <x:c r="L457" s="15" t="n">
        <x:v>0</x:v>
      </x:c>
      <x:c r="M457" s="15" t="n">
        <x:v>180</x:v>
      </x:c>
      <x:c r="N457" s="15" t="n">
        <x:v>220</x:v>
      </x:c>
      <x:c r="O457" s="15" t="n">
        <x:v>96</x:v>
      </x:c>
      <x:c r="P457" s="15" t="n">
        <x:v>64</x:v>
      </x:c>
      <x:c r="Q457" s="15" t="n">
        <x:v>32</x:v>
      </x:c>
      <x:c r="R457" s="15" t="n">
        <x:v>60</x:v>
      </x:c>
      <x:c r="S457" s="15" t="n">
        <x:v>280</x:v>
      </x:c>
      <x:c r="T457" s="15" t="n">
        <x:v>420</x:v>
      </x:c>
      <x:c r="U457" s="15" t="n">
        <x:v>0</x:v>
      </x:c>
      <x:c r="V457" s="15" t="n">
        <x:v>96</x:v>
      </x:c>
      <x:c r="W457" s="15" t="n">
        <x:v>380</x:v>
      </x:c>
      <x:c r="X457" s="15" t="n">
        <x:v>0</x:v>
      </x:c>
      <x:c r="Y457" s="15" t="n">
        <x:v>0</x:v>
      </x:c>
      <x:c r="Z457" s="15" t="n">
        <x:v>0</x:v>
      </x:c>
      <x:c r="AA457" s="15" t="n">
        <x:v>0</x:v>
      </x:c>
      <x:c r="AB457" s="15" t="n">
        <x:f>SUM(G457:AA457)</x:f>
        <x:v>1828</x:v>
      </x:c>
    </x:row>
    <x:row r="458" ht="36" customHeight="1">
      <x:c r="A458" s="10" t="str">
        <x:v>V-A</x:v>
      </x:c>
      <x:c r="B458" s="10" t="str">
        <x:v>VOICE</x:v>
      </x:c>
      <x:c r="C458" s="10" t="str">
        <x:v>VOICE:S2-04</x:v>
      </x:c>
      <x:c r="D458" s="10" t="str">
        <x:v>VOICE:M1045</x:v>
      </x:c>
      <x:c r="E458" s="15" t="n">
        <x:v>0</x:v>
      </x:c>
      <x:c r="F458" s="15" t="str">
        <x:v>scored</x:v>
      </x:c>
      <x:c r="G458" s="15" t="n">
        <x:v>0</x:v>
      </x:c>
      <x:c r="H458" s="15" t="n">
        <x:v>0</x:v>
      </x:c>
      <x:c r="I458" s="15" t="n">
        <x:v>0</x:v>
      </x:c>
      <x:c r="J458" s="15" t="n">
        <x:v>0</x:v>
      </x:c>
      <x:c r="K458" s="15" t="n">
        <x:v>0</x:v>
      </x:c>
      <x:c r="L458" s="15" t="n">
        <x:v>0</x:v>
      </x:c>
      <x:c r="M458" s="15" t="n">
        <x:v>180</x:v>
      </x:c>
      <x:c r="N458" s="15" t="n">
        <x:v>220</x:v>
      </x:c>
      <x:c r="O458" s="15" t="n">
        <x:v>96</x:v>
      </x:c>
      <x:c r="P458" s="15" t="n">
        <x:v>64</x:v>
      </x:c>
      <x:c r="Q458" s="15" t="n">
        <x:v>32</x:v>
      </x:c>
      <x:c r="R458" s="15" t="n">
        <x:v>0</x:v>
      </x:c>
      <x:c r="S458" s="15" t="n">
        <x:v>0</x:v>
      </x:c>
      <x:c r="T458" s="15" t="n">
        <x:v>0</x:v>
      </x:c>
      <x:c r="U458" s="15" t="n">
        <x:v>0</x:v>
      </x:c>
      <x:c r="V458" s="15" t="n">
        <x:v>0</x:v>
      </x:c>
      <x:c r="W458" s="15" t="n">
        <x:v>0</x:v>
      </x:c>
      <x:c r="X458" s="15" t="n">
        <x:v>0</x:v>
      </x:c>
      <x:c r="Y458" s="15" t="n">
        <x:v>0</x:v>
      </x:c>
      <x:c r="Z458" s="15" t="n">
        <x:v>0</x:v>
      </x:c>
      <x:c r="AA458" s="15" t="n">
        <x:v>0</x:v>
      </x:c>
      <x:c r="AB458" s="15" t="n">
        <x:f>SUM(G458:AA458)</x:f>
        <x:v>592</x:v>
      </x:c>
    </x:row>
    <x:row r="459" ht="36" customHeight="1">
      <x:c r="A459" s="10" t="str">
        <x:v>V-R1</x:v>
      </x:c>
      <x:c r="B459" s="10" t="str">
        <x:v>VOICE</x:v>
      </x:c>
      <x:c r="C459" s="10" t="str">
        <x:v>VOICE:S2-04</x:v>
      </x:c>
      <x:c r="D459" s="10" t="str">
        <x:v>VOICE:M1060</x:v>
      </x:c>
      <x:c r="E459" s="15" t="n">
        <x:v>2.23</x:v>
      </x:c>
      <x:c r="F459" s="15" t="str">
        <x:v>scored</x:v>
      </x:c>
      <x:c r="G459" s="15" t="n">
        <x:v>0</x:v>
      </x:c>
      <x:c r="H459" s="15" t="n">
        <x:v>0</x:v>
      </x:c>
      <x:c r="I459" s="15" t="n">
        <x:v>0</x:v>
      </x:c>
      <x:c r="J459" s="15" t="n">
        <x:v>0</x:v>
      </x:c>
      <x:c r="K459" s="15" t="n">
        <x:v>0</x:v>
      </x:c>
      <x:c r="L459" s="15" t="n">
        <x:v>0</x:v>
      </x:c>
      <x:c r="M459" s="15" t="n">
        <x:v>180</x:v>
      </x:c>
      <x:c r="N459" s="15" t="n">
        <x:v>220</x:v>
      </x:c>
      <x:c r="O459" s="15" t="n">
        <x:v>96</x:v>
      </x:c>
      <x:c r="P459" s="15" t="n">
        <x:v>64</x:v>
      </x:c>
      <x:c r="Q459" s="15" t="n">
        <x:v>24</x:v>
      </x:c>
      <x:c r="R459" s="15" t="n">
        <x:v>60</x:v>
      </x:c>
      <x:c r="S459" s="15" t="n">
        <x:v>280</x:v>
      </x:c>
      <x:c r="T459" s="15" t="n">
        <x:v>420</x:v>
      </x:c>
      <x:c r="U459" s="15" t="n">
        <x:v>0</x:v>
      </x:c>
      <x:c r="V459" s="15" t="n">
        <x:v>96</x:v>
      </x:c>
      <x:c r="W459" s="15" t="n">
        <x:v>380</x:v>
      </x:c>
      <x:c r="X459" s="15" t="n">
        <x:v>0</x:v>
      </x:c>
      <x:c r="Y459" s="15" t="n">
        <x:v>0</x:v>
      </x:c>
      <x:c r="Z459" s="15" t="n">
        <x:v>0</x:v>
      </x:c>
      <x:c r="AA459" s="15" t="n">
        <x:v>0</x:v>
      </x:c>
      <x:c r="AB459" s="15" t="n">
        <x:f>SUM(G459:AA459)</x:f>
        <x:v>1820</x:v>
      </x:c>
    </x:row>
    <x:row r="460" ht="36" customHeight="1">
      <x:c r="A460" s="10" t="str">
        <x:v>V-R2</x:v>
      </x:c>
      <x:c r="B460" s="10" t="str">
        <x:v>VOICE</x:v>
      </x:c>
      <x:c r="C460" s="10" t="str">
        <x:v>VOICE:S2-04</x:v>
      </x:c>
      <x:c r="D460" s="10" t="str">
        <x:v>VOICE:M1075</x:v>
      </x:c>
      <x:c r="E460" s="15" t="n">
        <x:v>2.23</x:v>
      </x:c>
      <x:c r="F460" s="15" t="str">
        <x:v>scored</x:v>
      </x:c>
      <x:c r="G460" s="15" t="n">
        <x:v>0</x:v>
      </x:c>
      <x:c r="H460" s="15" t="n">
        <x:v>0</x:v>
      </x:c>
      <x:c r="I460" s="15" t="n">
        <x:v>0</x:v>
      </x:c>
      <x:c r="J460" s="15" t="n">
        <x:v>0</x:v>
      </x:c>
      <x:c r="K460" s="15" t="n">
        <x:v>0</x:v>
      </x:c>
      <x:c r="L460" s="15" t="n">
        <x:v>0</x:v>
      </x:c>
      <x:c r="M460" s="15" t="n">
        <x:v>180</x:v>
      </x:c>
      <x:c r="N460" s="15" t="n">
        <x:v>220</x:v>
      </x:c>
      <x:c r="O460" s="15" t="n">
        <x:v>96</x:v>
      </x:c>
      <x:c r="P460" s="15" t="n">
        <x:v>64</x:v>
      </x:c>
      <x:c r="Q460" s="15" t="n">
        <x:v>24</x:v>
      </x:c>
      <x:c r="R460" s="15" t="n">
        <x:v>60</x:v>
      </x:c>
      <x:c r="S460" s="15" t="n">
        <x:v>280</x:v>
      </x:c>
      <x:c r="T460" s="15" t="n">
        <x:v>420</x:v>
      </x:c>
      <x:c r="U460" s="15" t="n">
        <x:v>0</x:v>
      </x:c>
      <x:c r="V460" s="15" t="n">
        <x:v>96</x:v>
      </x:c>
      <x:c r="W460" s="15" t="n">
        <x:v>380</x:v>
      </x:c>
      <x:c r="X460" s="15" t="n">
        <x:v>0</x:v>
      </x:c>
      <x:c r="Y460" s="15" t="n">
        <x:v>0</x:v>
      </x:c>
      <x:c r="Z460" s="15" t="n">
        <x:v>0</x:v>
      </x:c>
      <x:c r="AA460" s="15" t="n">
        <x:v>0</x:v>
      </x:c>
      <x:c r="AB460" s="15" t="n">
        <x:f>SUM(G460:AA460)</x:f>
        <x:v>1820</x:v>
      </x:c>
    </x:row>
    <x:row r="461" ht="36" customHeight="1">
      <x:c r="A461" s="10" t="str">
        <x:v>V-R3</x:v>
      </x:c>
      <x:c r="B461" s="10" t="str">
        <x:v>VOICE</x:v>
      </x:c>
      <x:c r="C461" s="10" t="str">
        <x:v>VOICE:S2-04</x:v>
      </x:c>
      <x:c r="D461" s="10" t="str">
        <x:v>VOICE:M1089</x:v>
      </x:c>
      <x:c r="E461" s="15" t="n">
        <x:v>2.23</x:v>
      </x:c>
      <x:c r="F461" s="15" t="str">
        <x:v>scored</x:v>
      </x:c>
      <x:c r="G461" s="15" t="n">
        <x:v>0</x:v>
      </x:c>
      <x:c r="H461" s="15" t="n">
        <x:v>0</x:v>
      </x:c>
      <x:c r="I461" s="15" t="n">
        <x:v>0</x:v>
      </x:c>
      <x:c r="J461" s="15" t="n">
        <x:v>0</x:v>
      </x:c>
      <x:c r="K461" s="15" t="n">
        <x:v>0</x:v>
      </x:c>
      <x:c r="L461" s="15" t="n">
        <x:v>0</x:v>
      </x:c>
      <x:c r="M461" s="15" t="n">
        <x:v>180</x:v>
      </x:c>
      <x:c r="N461" s="15" t="n">
        <x:v>220</x:v>
      </x:c>
      <x:c r="O461" s="15" t="n">
        <x:v>96</x:v>
      </x:c>
      <x:c r="P461" s="15" t="n">
        <x:v>64</x:v>
      </x:c>
      <x:c r="Q461" s="15" t="n">
        <x:v>32</x:v>
      </x:c>
      <x:c r="R461" s="15" t="n">
        <x:v>60</x:v>
      </x:c>
      <x:c r="S461" s="15" t="n">
        <x:v>280</x:v>
      </x:c>
      <x:c r="T461" s="15" t="n">
        <x:v>420</x:v>
      </x:c>
      <x:c r="U461" s="15" t="n">
        <x:v>0</x:v>
      </x:c>
      <x:c r="V461" s="15" t="n">
        <x:v>96</x:v>
      </x:c>
      <x:c r="W461" s="15" t="n">
        <x:v>380</x:v>
      </x:c>
      <x:c r="X461" s="15" t="n">
        <x:v>0</x:v>
      </x:c>
      <x:c r="Y461" s="15" t="n">
        <x:v>0</x:v>
      </x:c>
      <x:c r="Z461" s="15" t="n">
        <x:v>0</x:v>
      </x:c>
      <x:c r="AA461" s="15" t="n">
        <x:v>0</x:v>
      </x:c>
      <x:c r="AB461" s="15" t="n">
        <x:f>SUM(G461:AA461)</x:f>
        <x:v>1828</x:v>
      </x:c>
    </x:row>
    <x:row r="462" ht="36" customHeight="1">
      <x:c r="A462" s="10" t="str">
        <x:v>V-A</x:v>
      </x:c>
      <x:c r="B462" s="10" t="str">
        <x:v>VOICE</x:v>
      </x:c>
      <x:c r="C462" s="10" t="str">
        <x:v>VOICE:S2-05</x:v>
      </x:c>
      <x:c r="D462" s="10" t="str">
        <x:v>VOICE:M1100</x:v>
      </x:c>
      <x:c r="E462" s="15" t="n">
        <x:v>0</x:v>
      </x:c>
      <x:c r="F462" s="15" t="str">
        <x:v>scored</x:v>
      </x:c>
      <x:c r="G462" s="15" t="n">
        <x:v>0</x:v>
      </x:c>
      <x:c r="H462" s="15" t="n">
        <x:v>0</x:v>
      </x:c>
      <x:c r="I462" s="15" t="n">
        <x:v>0</x:v>
      </x:c>
      <x:c r="J462" s="15" t="n">
        <x:v>0</x:v>
      </x:c>
      <x:c r="K462" s="15" t="n">
        <x:v>0</x:v>
      </x:c>
      <x:c r="L462" s="15" t="n">
        <x:v>0</x:v>
      </x:c>
      <x:c r="M462" s="15" t="n">
        <x:v>180</x:v>
      </x:c>
      <x:c r="N462" s="15" t="n">
        <x:v>220</x:v>
      </x:c>
      <x:c r="O462" s="15" t="n">
        <x:v>96</x:v>
      </x:c>
      <x:c r="P462" s="15" t="n">
        <x:v>64</x:v>
      </x:c>
      <x:c r="Q462" s="15" t="n">
        <x:v>32</x:v>
      </x:c>
      <x:c r="R462" s="15" t="n">
        <x:v>0</x:v>
      </x:c>
      <x:c r="S462" s="15" t="n">
        <x:v>0</x:v>
      </x:c>
      <x:c r="T462" s="15" t="n">
        <x:v>0</x:v>
      </x:c>
      <x:c r="U462" s="15" t="n">
        <x:v>0</x:v>
      </x:c>
      <x:c r="V462" s="15" t="n">
        <x:v>0</x:v>
      </x:c>
      <x:c r="W462" s="15" t="n">
        <x:v>0</x:v>
      </x:c>
      <x:c r="X462" s="15" t="n">
        <x:v>0</x:v>
      </x:c>
      <x:c r="Y462" s="15" t="n">
        <x:v>0</x:v>
      </x:c>
      <x:c r="Z462" s="15" t="n">
        <x:v>0</x:v>
      </x:c>
      <x:c r="AA462" s="15" t="n">
        <x:v>0</x:v>
      </x:c>
      <x:c r="AB462" s="15" t="n">
        <x:f>SUM(G462:AA462)</x:f>
        <x:v>592</x:v>
      </x:c>
    </x:row>
    <x:row r="463" ht="36" customHeight="1">
      <x:c r="A463" s="10" t="str">
        <x:v>V-R1</x:v>
      </x:c>
      <x:c r="B463" s="10" t="str">
        <x:v>VOICE</x:v>
      </x:c>
      <x:c r="C463" s="10" t="str">
        <x:v>VOICE:S2-05</x:v>
      </x:c>
      <x:c r="D463" s="10" t="str">
        <x:v>VOICE:M1115</x:v>
      </x:c>
      <x:c r="E463" s="15" t="n">
        <x:v>2.23</x:v>
      </x:c>
      <x:c r="F463" s="15" t="str">
        <x:v>scored</x:v>
      </x:c>
      <x:c r="G463" s="15" t="n">
        <x:v>0</x:v>
      </x:c>
      <x:c r="H463" s="15" t="n">
        <x:v>0</x:v>
      </x:c>
      <x:c r="I463" s="15" t="n">
        <x:v>0</x:v>
      </x:c>
      <x:c r="J463" s="15" t="n">
        <x:v>0</x:v>
      </x:c>
      <x:c r="K463" s="15" t="n">
        <x:v>0</x:v>
      </x:c>
      <x:c r="L463" s="15" t="n">
        <x:v>0</x:v>
      </x:c>
      <x:c r="M463" s="15" t="n">
        <x:v>180</x:v>
      </x:c>
      <x:c r="N463" s="15" t="n">
        <x:v>220</x:v>
      </x:c>
      <x:c r="O463" s="15" t="n">
        <x:v>96</x:v>
      </x:c>
      <x:c r="P463" s="15" t="n">
        <x:v>64</x:v>
      </x:c>
      <x:c r="Q463" s="15" t="n">
        <x:v>24</x:v>
      </x:c>
      <x:c r="R463" s="15" t="n">
        <x:v>60</x:v>
      </x:c>
      <x:c r="S463" s="15" t="n">
        <x:v>280</x:v>
      </x:c>
      <x:c r="T463" s="15" t="n">
        <x:v>420</x:v>
      </x:c>
      <x:c r="U463" s="15" t="n">
        <x:v>0</x:v>
      </x:c>
      <x:c r="V463" s="15" t="n">
        <x:v>96</x:v>
      </x:c>
      <x:c r="W463" s="15" t="n">
        <x:v>380</x:v>
      </x:c>
      <x:c r="X463" s="15" t="n">
        <x:v>0</x:v>
      </x:c>
      <x:c r="Y463" s="15" t="n">
        <x:v>0</x:v>
      </x:c>
      <x:c r="Z463" s="15" t="n">
        <x:v>0</x:v>
      </x:c>
      <x:c r="AA463" s="15" t="n">
        <x:v>0</x:v>
      </x:c>
      <x:c r="AB463" s="15" t="n">
        <x:f>SUM(G463:AA463)</x:f>
        <x:v>1820</x:v>
      </x:c>
    </x:row>
    <x:row r="464" ht="36" customHeight="1">
      <x:c r="A464" s="10" t="str">
        <x:v>V-R2</x:v>
      </x:c>
      <x:c r="B464" s="10" t="str">
        <x:v>VOICE</x:v>
      </x:c>
      <x:c r="C464" s="10" t="str">
        <x:v>VOICE:S2-05</x:v>
      </x:c>
      <x:c r="D464" s="10" t="str">
        <x:v>VOICE:M1130</x:v>
      </x:c>
      <x:c r="E464" s="15" t="n">
        <x:v>2.23</x:v>
      </x:c>
      <x:c r="F464" s="15" t="str">
        <x:v>scored</x:v>
      </x:c>
      <x:c r="G464" s="15" t="n">
        <x:v>0</x:v>
      </x:c>
      <x:c r="H464" s="15" t="n">
        <x:v>0</x:v>
      </x:c>
      <x:c r="I464" s="15" t="n">
        <x:v>0</x:v>
      </x:c>
      <x:c r="J464" s="15" t="n">
        <x:v>0</x:v>
      </x:c>
      <x:c r="K464" s="15" t="n">
        <x:v>0</x:v>
      </x:c>
      <x:c r="L464" s="15" t="n">
        <x:v>0</x:v>
      </x:c>
      <x:c r="M464" s="15" t="n">
        <x:v>180</x:v>
      </x:c>
      <x:c r="N464" s="15" t="n">
        <x:v>220</x:v>
      </x:c>
      <x:c r="O464" s="15" t="n">
        <x:v>96</x:v>
      </x:c>
      <x:c r="P464" s="15" t="n">
        <x:v>64</x:v>
      </x:c>
      <x:c r="Q464" s="15" t="n">
        <x:v>24</x:v>
      </x:c>
      <x:c r="R464" s="15" t="n">
        <x:v>60</x:v>
      </x:c>
      <x:c r="S464" s="15" t="n">
        <x:v>280</x:v>
      </x:c>
      <x:c r="T464" s="15" t="n">
        <x:v>420</x:v>
      </x:c>
      <x:c r="U464" s="15" t="n">
        <x:v>0</x:v>
      </x:c>
      <x:c r="V464" s="15" t="n">
        <x:v>96</x:v>
      </x:c>
      <x:c r="W464" s="15" t="n">
        <x:v>380</x:v>
      </x:c>
      <x:c r="X464" s="15" t="n">
        <x:v>0</x:v>
      </x:c>
      <x:c r="Y464" s="15" t="n">
        <x:v>0</x:v>
      </x:c>
      <x:c r="Z464" s="15" t="n">
        <x:v>0</x:v>
      </x:c>
      <x:c r="AA464" s="15" t="n">
        <x:v>0</x:v>
      </x:c>
      <x:c r="AB464" s="15" t="n">
        <x:f>SUM(G464:AA464)</x:f>
        <x:v>1820</x:v>
      </x:c>
    </x:row>
    <x:row r="465" ht="36" customHeight="1">
      <x:c r="A465" s="10" t="str">
        <x:v>V-R3</x:v>
      </x:c>
      <x:c r="B465" s="10" t="str">
        <x:v>VOICE</x:v>
      </x:c>
      <x:c r="C465" s="10" t="str">
        <x:v>VOICE:S2-05</x:v>
      </x:c>
      <x:c r="D465" s="10" t="str">
        <x:v>VOICE:M1144</x:v>
      </x:c>
      <x:c r="E465" s="15" t="n">
        <x:v>2.23</x:v>
      </x:c>
      <x:c r="F465" s="15" t="str">
        <x:v>scored</x:v>
      </x:c>
      <x:c r="G465" s="15" t="n">
        <x:v>0</x:v>
      </x:c>
      <x:c r="H465" s="15" t="n">
        <x:v>0</x:v>
      </x:c>
      <x:c r="I465" s="15" t="n">
        <x:v>0</x:v>
      </x:c>
      <x:c r="J465" s="15" t="n">
        <x:v>0</x:v>
      </x:c>
      <x:c r="K465" s="15" t="n">
        <x:v>0</x:v>
      </x:c>
      <x:c r="L465" s="15" t="n">
        <x:v>0</x:v>
      </x:c>
      <x:c r="M465" s="15" t="n">
        <x:v>180</x:v>
      </x:c>
      <x:c r="N465" s="15" t="n">
        <x:v>220</x:v>
      </x:c>
      <x:c r="O465" s="15" t="n">
        <x:v>96</x:v>
      </x:c>
      <x:c r="P465" s="15" t="n">
        <x:v>64</x:v>
      </x:c>
      <x:c r="Q465" s="15" t="n">
        <x:v>32</x:v>
      </x:c>
      <x:c r="R465" s="15" t="n">
        <x:v>60</x:v>
      </x:c>
      <x:c r="S465" s="15" t="n">
        <x:v>280</x:v>
      </x:c>
      <x:c r="T465" s="15" t="n">
        <x:v>420</x:v>
      </x:c>
      <x:c r="U465" s="15" t="n">
        <x:v>0</x:v>
      </x:c>
      <x:c r="V465" s="15" t="n">
        <x:v>96</x:v>
      </x:c>
      <x:c r="W465" s="15" t="n">
        <x:v>380</x:v>
      </x:c>
      <x:c r="X465" s="15" t="n">
        <x:v>0</x:v>
      </x:c>
      <x:c r="Y465" s="15" t="n">
        <x:v>0</x:v>
      </x:c>
      <x:c r="Z465" s="15" t="n">
        <x:v>0</x:v>
      </x:c>
      <x:c r="AA465" s="15" t="n">
        <x:v>0</x:v>
      </x:c>
      <x:c r="AB465" s="15" t="n">
        <x:f>SUM(G465:AA465)</x:f>
        <x:v>1828</x:v>
      </x:c>
    </x:row>
    <x:row r="466" ht="36" customHeight="1">
      <x:c r="A466" s="10" t="str">
        <x:v>V-A</x:v>
      </x:c>
      <x:c r="B466" s="10" t="str">
        <x:v>VOICE</x:v>
      </x:c>
      <x:c r="C466" s="10" t="str">
        <x:v>VOICE:S2-06</x:v>
      </x:c>
      <x:c r="D466" s="10" t="str">
        <x:v>VOICE:M1155</x:v>
      </x:c>
      <x:c r="E466" s="15" t="n">
        <x:v>0</x:v>
      </x:c>
      <x:c r="F466" s="15" t="str">
        <x:v>scored</x:v>
      </x:c>
      <x:c r="G466" s="15" t="n">
        <x:v>0</x:v>
      </x:c>
      <x:c r="H466" s="15" t="n">
        <x:v>0</x:v>
      </x:c>
      <x:c r="I466" s="15" t="n">
        <x:v>0</x:v>
      </x:c>
      <x:c r="J466" s="15" t="n">
        <x:v>0</x:v>
      </x:c>
      <x:c r="K466" s="15" t="n">
        <x:v>0</x:v>
      </x:c>
      <x:c r="L466" s="15" t="n">
        <x:v>0</x:v>
      </x:c>
      <x:c r="M466" s="15" t="n">
        <x:v>180</x:v>
      </x:c>
      <x:c r="N466" s="15" t="n">
        <x:v>220</x:v>
      </x:c>
      <x:c r="O466" s="15" t="n">
        <x:v>96</x:v>
      </x:c>
      <x:c r="P466" s="15" t="n">
        <x:v>64</x:v>
      </x:c>
      <x:c r="Q466" s="15" t="n">
        <x:v>32</x:v>
      </x:c>
      <x:c r="R466" s="15" t="n">
        <x:v>0</x:v>
      </x:c>
      <x:c r="S466" s="15" t="n">
        <x:v>0</x:v>
      </x:c>
      <x:c r="T466" s="15" t="n">
        <x:v>0</x:v>
      </x:c>
      <x:c r="U466" s="15" t="n">
        <x:v>0</x:v>
      </x:c>
      <x:c r="V466" s="15" t="n">
        <x:v>0</x:v>
      </x:c>
      <x:c r="W466" s="15" t="n">
        <x:v>0</x:v>
      </x:c>
      <x:c r="X466" s="15" t="n">
        <x:v>0</x:v>
      </x:c>
      <x:c r="Y466" s="15" t="n">
        <x:v>0</x:v>
      </x:c>
      <x:c r="Z466" s="15" t="n">
        <x:v>0</x:v>
      </x:c>
      <x:c r="AA466" s="15" t="n">
        <x:v>0</x:v>
      </x:c>
      <x:c r="AB466" s="15" t="n">
        <x:f>SUM(G466:AA466)</x:f>
        <x:v>592</x:v>
      </x:c>
    </x:row>
    <x:row r="467" ht="36" customHeight="1">
      <x:c r="A467" s="10" t="str">
        <x:v>V-R1</x:v>
      </x:c>
      <x:c r="B467" s="10" t="str">
        <x:v>VOICE</x:v>
      </x:c>
      <x:c r="C467" s="10" t="str">
        <x:v>VOICE:S2-06</x:v>
      </x:c>
      <x:c r="D467" s="10" t="str">
        <x:v>VOICE:M1170</x:v>
      </x:c>
      <x:c r="E467" s="15" t="n">
        <x:v>2.23</x:v>
      </x:c>
      <x:c r="F467" s="15" t="str">
        <x:v>scored</x:v>
      </x:c>
      <x:c r="G467" s="15" t="n">
        <x:v>0</x:v>
      </x:c>
      <x:c r="H467" s="15" t="n">
        <x:v>0</x:v>
      </x:c>
      <x:c r="I467" s="15" t="n">
        <x:v>0</x:v>
      </x:c>
      <x:c r="J467" s="15" t="n">
        <x:v>0</x:v>
      </x:c>
      <x:c r="K467" s="15" t="n">
        <x:v>0</x:v>
      </x:c>
      <x:c r="L467" s="15" t="n">
        <x:v>0</x:v>
      </x:c>
      <x:c r="M467" s="15" t="n">
        <x:v>180</x:v>
      </x:c>
      <x:c r="N467" s="15" t="n">
        <x:v>220</x:v>
      </x:c>
      <x:c r="O467" s="15" t="n">
        <x:v>96</x:v>
      </x:c>
      <x:c r="P467" s="15" t="n">
        <x:v>64</x:v>
      </x:c>
      <x:c r="Q467" s="15" t="n">
        <x:v>24</x:v>
      </x:c>
      <x:c r="R467" s="15" t="n">
        <x:v>60</x:v>
      </x:c>
      <x:c r="S467" s="15" t="n">
        <x:v>280</x:v>
      </x:c>
      <x:c r="T467" s="15" t="n">
        <x:v>420</x:v>
      </x:c>
      <x:c r="U467" s="15" t="n">
        <x:v>0</x:v>
      </x:c>
      <x:c r="V467" s="15" t="n">
        <x:v>96</x:v>
      </x:c>
      <x:c r="W467" s="15" t="n">
        <x:v>380</x:v>
      </x:c>
      <x:c r="X467" s="15" t="n">
        <x:v>0</x:v>
      </x:c>
      <x:c r="Y467" s="15" t="n">
        <x:v>0</x:v>
      </x:c>
      <x:c r="Z467" s="15" t="n">
        <x:v>0</x:v>
      </x:c>
      <x:c r="AA467" s="15" t="n">
        <x:v>0</x:v>
      </x:c>
      <x:c r="AB467" s="15" t="n">
        <x:f>SUM(G467:AA467)</x:f>
        <x:v>1820</x:v>
      </x:c>
    </x:row>
    <x:row r="468" ht="36" customHeight="1">
      <x:c r="A468" s="10" t="str">
        <x:v>V-R2</x:v>
      </x:c>
      <x:c r="B468" s="10" t="str">
        <x:v>VOICE</x:v>
      </x:c>
      <x:c r="C468" s="10" t="str">
        <x:v>VOICE:S2-06</x:v>
      </x:c>
      <x:c r="D468" s="10" t="str">
        <x:v>VOICE:M1185</x:v>
      </x:c>
      <x:c r="E468" s="15" t="n">
        <x:v>2.23</x:v>
      </x:c>
      <x:c r="F468" s="15" t="str">
        <x:v>scored</x:v>
      </x:c>
      <x:c r="G468" s="15" t="n">
        <x:v>0</x:v>
      </x:c>
      <x:c r="H468" s="15" t="n">
        <x:v>0</x:v>
      </x:c>
      <x:c r="I468" s="15" t="n">
        <x:v>0</x:v>
      </x:c>
      <x:c r="J468" s="15" t="n">
        <x:v>0</x:v>
      </x:c>
      <x:c r="K468" s="15" t="n">
        <x:v>0</x:v>
      </x:c>
      <x:c r="L468" s="15" t="n">
        <x:v>0</x:v>
      </x:c>
      <x:c r="M468" s="15" t="n">
        <x:v>180</x:v>
      </x:c>
      <x:c r="N468" s="15" t="n">
        <x:v>220</x:v>
      </x:c>
      <x:c r="O468" s="15" t="n">
        <x:v>96</x:v>
      </x:c>
      <x:c r="P468" s="15" t="n">
        <x:v>64</x:v>
      </x:c>
      <x:c r="Q468" s="15" t="n">
        <x:v>24</x:v>
      </x:c>
      <x:c r="R468" s="15" t="n">
        <x:v>60</x:v>
      </x:c>
      <x:c r="S468" s="15" t="n">
        <x:v>280</x:v>
      </x:c>
      <x:c r="T468" s="15" t="n">
        <x:v>420</x:v>
      </x:c>
      <x:c r="U468" s="15" t="n">
        <x:v>0</x:v>
      </x:c>
      <x:c r="V468" s="15" t="n">
        <x:v>96</x:v>
      </x:c>
      <x:c r="W468" s="15" t="n">
        <x:v>380</x:v>
      </x:c>
      <x:c r="X468" s="15" t="n">
        <x:v>0</x:v>
      </x:c>
      <x:c r="Y468" s="15" t="n">
        <x:v>0</x:v>
      </x:c>
      <x:c r="Z468" s="15" t="n">
        <x:v>0</x:v>
      </x:c>
      <x:c r="AA468" s="15" t="n">
        <x:v>0</x:v>
      </x:c>
      <x:c r="AB468" s="15" t="n">
        <x:f>SUM(G468:AA468)</x:f>
        <x:v>1820</x:v>
      </x:c>
    </x:row>
    <x:row r="469" ht="36" customHeight="1">
      <x:c r="A469" s="10" t="str">
        <x:v>V-R3</x:v>
      </x:c>
      <x:c r="B469" s="10" t="str">
        <x:v>VOICE</x:v>
      </x:c>
      <x:c r="C469" s="10" t="str">
        <x:v>VOICE:S2-06</x:v>
      </x:c>
      <x:c r="D469" s="10" t="str">
        <x:v>VOICE:M1199</x:v>
      </x:c>
      <x:c r="E469" s="15" t="n">
        <x:v>2.23</x:v>
      </x:c>
      <x:c r="F469" s="15" t="str">
        <x:v>scored</x:v>
      </x:c>
      <x:c r="G469" s="15" t="n">
        <x:v>0</x:v>
      </x:c>
      <x:c r="H469" s="15" t="n">
        <x:v>0</x:v>
      </x:c>
      <x:c r="I469" s="15" t="n">
        <x:v>0</x:v>
      </x:c>
      <x:c r="J469" s="15" t="n">
        <x:v>0</x:v>
      </x:c>
      <x:c r="K469" s="15" t="n">
        <x:v>0</x:v>
      </x:c>
      <x:c r="L469" s="15" t="n">
        <x:v>0</x:v>
      </x:c>
      <x:c r="M469" s="15" t="n">
        <x:v>180</x:v>
      </x:c>
      <x:c r="N469" s="15" t="n">
        <x:v>220</x:v>
      </x:c>
      <x:c r="O469" s="15" t="n">
        <x:v>96</x:v>
      </x:c>
      <x:c r="P469" s="15" t="n">
        <x:v>64</x:v>
      </x:c>
      <x:c r="Q469" s="15" t="n">
        <x:v>32</x:v>
      </x:c>
      <x:c r="R469" s="15" t="n">
        <x:v>60</x:v>
      </x:c>
      <x:c r="S469" s="15" t="n">
        <x:v>280</x:v>
      </x:c>
      <x:c r="T469" s="15" t="n">
        <x:v>420</x:v>
      </x:c>
      <x:c r="U469" s="15" t="n">
        <x:v>0</x:v>
      </x:c>
      <x:c r="V469" s="15" t="n">
        <x:v>96</x:v>
      </x:c>
      <x:c r="W469" s="15" t="n">
        <x:v>380</x:v>
      </x:c>
      <x:c r="X469" s="15" t="n">
        <x:v>0</x:v>
      </x:c>
      <x:c r="Y469" s="15" t="n">
        <x:v>0</x:v>
      </x:c>
      <x:c r="Z469" s="15" t="n">
        <x:v>0</x:v>
      </x:c>
      <x:c r="AA469" s="15" t="n">
        <x:v>0</x:v>
      </x:c>
      <x:c r="AB469" s="15" t="n">
        <x:f>SUM(G469:AA469)</x:f>
        <x:v>1828</x:v>
      </x:c>
    </x:row>
    <x:row r="470" ht="36" customHeight="1">
      <x:c r="A470" s="10" t="str">
        <x:v>V-A</x:v>
      </x:c>
      <x:c r="B470" s="10" t="str">
        <x:v>VOICE</x:v>
      </x:c>
      <x:c r="C470" s="10" t="str">
        <x:v>VOICE:S2-07</x:v>
      </x:c>
      <x:c r="D470" s="10" t="str">
        <x:v>VOICE:M1210</x:v>
      </x:c>
      <x:c r="E470" s="15" t="n">
        <x:v>0</x:v>
      </x:c>
      <x:c r="F470" s="15" t="str">
        <x:v>scored</x:v>
      </x:c>
      <x:c r="G470" s="15" t="n">
        <x:v>0</x:v>
      </x:c>
      <x:c r="H470" s="15" t="n">
        <x:v>0</x:v>
      </x:c>
      <x:c r="I470" s="15" t="n">
        <x:v>0</x:v>
      </x:c>
      <x:c r="J470" s="15" t="n">
        <x:v>0</x:v>
      </x:c>
      <x:c r="K470" s="15" t="n">
        <x:v>0</x:v>
      </x:c>
      <x:c r="L470" s="15" t="n">
        <x:v>0</x:v>
      </x:c>
      <x:c r="M470" s="15" t="n">
        <x:v>180</x:v>
      </x:c>
      <x:c r="N470" s="15" t="n">
        <x:v>220</x:v>
      </x:c>
      <x:c r="O470" s="15" t="n">
        <x:v>96</x:v>
      </x:c>
      <x:c r="P470" s="15" t="n">
        <x:v>64</x:v>
      </x:c>
      <x:c r="Q470" s="15" t="n">
        <x:v>32</x:v>
      </x:c>
      <x:c r="R470" s="15" t="n">
        <x:v>0</x:v>
      </x:c>
      <x:c r="S470" s="15" t="n">
        <x:v>0</x:v>
      </x:c>
      <x:c r="T470" s="15" t="n">
        <x:v>0</x:v>
      </x:c>
      <x:c r="U470" s="15" t="n">
        <x:v>0</x:v>
      </x:c>
      <x:c r="V470" s="15" t="n">
        <x:v>0</x:v>
      </x:c>
      <x:c r="W470" s="15" t="n">
        <x:v>0</x:v>
      </x:c>
      <x:c r="X470" s="15" t="n">
        <x:v>0</x:v>
      </x:c>
      <x:c r="Y470" s="15" t="n">
        <x:v>0</x:v>
      </x:c>
      <x:c r="Z470" s="15" t="n">
        <x:v>0</x:v>
      </x:c>
      <x:c r="AA470" s="15" t="n">
        <x:v>0</x:v>
      </x:c>
      <x:c r="AB470" s="15" t="n">
        <x:f>SUM(G470:AA470)</x:f>
        <x:v>592</x:v>
      </x:c>
    </x:row>
    <x:row r="471" ht="36" customHeight="1">
      <x:c r="A471" s="10" t="str">
        <x:v>V-R1</x:v>
      </x:c>
      <x:c r="B471" s="10" t="str">
        <x:v>VOICE</x:v>
      </x:c>
      <x:c r="C471" s="10" t="str">
        <x:v>VOICE:S2-07</x:v>
      </x:c>
      <x:c r="D471" s="10" t="str">
        <x:v>VOICE:M1225</x:v>
      </x:c>
      <x:c r="E471" s="15" t="n">
        <x:v>2.23</x:v>
      </x:c>
      <x:c r="F471" s="15" t="str">
        <x:v>scored</x:v>
      </x:c>
      <x:c r="G471" s="15" t="n">
        <x:v>0</x:v>
      </x:c>
      <x:c r="H471" s="15" t="n">
        <x:v>0</x:v>
      </x:c>
      <x:c r="I471" s="15" t="n">
        <x:v>0</x:v>
      </x:c>
      <x:c r="J471" s="15" t="n">
        <x:v>0</x:v>
      </x:c>
      <x:c r="K471" s="15" t="n">
        <x:v>0</x:v>
      </x:c>
      <x:c r="L471" s="15" t="n">
        <x:v>0</x:v>
      </x:c>
      <x:c r="M471" s="15" t="n">
        <x:v>180</x:v>
      </x:c>
      <x:c r="N471" s="15" t="n">
        <x:v>220</x:v>
      </x:c>
      <x:c r="O471" s="15" t="n">
        <x:v>96</x:v>
      </x:c>
      <x:c r="P471" s="15" t="n">
        <x:v>64</x:v>
      </x:c>
      <x:c r="Q471" s="15" t="n">
        <x:v>24</x:v>
      </x:c>
      <x:c r="R471" s="15" t="n">
        <x:v>60</x:v>
      </x:c>
      <x:c r="S471" s="15" t="n">
        <x:v>280</x:v>
      </x:c>
      <x:c r="T471" s="15" t="n">
        <x:v>420</x:v>
      </x:c>
      <x:c r="U471" s="15" t="n">
        <x:v>0</x:v>
      </x:c>
      <x:c r="V471" s="15" t="n">
        <x:v>96</x:v>
      </x:c>
      <x:c r="W471" s="15" t="n">
        <x:v>380</x:v>
      </x:c>
      <x:c r="X471" s="15" t="n">
        <x:v>0</x:v>
      </x:c>
      <x:c r="Y471" s="15" t="n">
        <x:v>0</x:v>
      </x:c>
      <x:c r="Z471" s="15" t="n">
        <x:v>0</x:v>
      </x:c>
      <x:c r="AA471" s="15" t="n">
        <x:v>0</x:v>
      </x:c>
      <x:c r="AB471" s="15" t="n">
        <x:f>SUM(G471:AA471)</x:f>
        <x:v>1820</x:v>
      </x:c>
    </x:row>
    <x:row r="472" ht="36" customHeight="1">
      <x:c r="A472" s="10" t="str">
        <x:v>V-R2</x:v>
      </x:c>
      <x:c r="B472" s="10" t="str">
        <x:v>VOICE</x:v>
      </x:c>
      <x:c r="C472" s="10" t="str">
        <x:v>VOICE:S2-07</x:v>
      </x:c>
      <x:c r="D472" s="10" t="str">
        <x:v>VOICE:M1240</x:v>
      </x:c>
      <x:c r="E472" s="15" t="n">
        <x:v>2.23</x:v>
      </x:c>
      <x:c r="F472" s="15" t="str">
        <x:v>scored</x:v>
      </x:c>
      <x:c r="G472" s="15" t="n">
        <x:v>0</x:v>
      </x:c>
      <x:c r="H472" s="15" t="n">
        <x:v>0</x:v>
      </x:c>
      <x:c r="I472" s="15" t="n">
        <x:v>0</x:v>
      </x:c>
      <x:c r="J472" s="15" t="n">
        <x:v>0</x:v>
      </x:c>
      <x:c r="K472" s="15" t="n">
        <x:v>0</x:v>
      </x:c>
      <x:c r="L472" s="15" t="n">
        <x:v>0</x:v>
      </x:c>
      <x:c r="M472" s="15" t="n">
        <x:v>180</x:v>
      </x:c>
      <x:c r="N472" s="15" t="n">
        <x:v>220</x:v>
      </x:c>
      <x:c r="O472" s="15" t="n">
        <x:v>96</x:v>
      </x:c>
      <x:c r="P472" s="15" t="n">
        <x:v>64</x:v>
      </x:c>
      <x:c r="Q472" s="15" t="n">
        <x:v>24</x:v>
      </x:c>
      <x:c r="R472" s="15" t="n">
        <x:v>60</x:v>
      </x:c>
      <x:c r="S472" s="15" t="n">
        <x:v>280</x:v>
      </x:c>
      <x:c r="T472" s="15" t="n">
        <x:v>420</x:v>
      </x:c>
      <x:c r="U472" s="15" t="n">
        <x:v>0</x:v>
      </x:c>
      <x:c r="V472" s="15" t="n">
        <x:v>96</x:v>
      </x:c>
      <x:c r="W472" s="15" t="n">
        <x:v>380</x:v>
      </x:c>
      <x:c r="X472" s="15" t="n">
        <x:v>0</x:v>
      </x:c>
      <x:c r="Y472" s="15" t="n">
        <x:v>0</x:v>
      </x:c>
      <x:c r="Z472" s="15" t="n">
        <x:v>0</x:v>
      </x:c>
      <x:c r="AA472" s="15" t="n">
        <x:v>0</x:v>
      </x:c>
      <x:c r="AB472" s="15" t="n">
        <x:f>SUM(G472:AA472)</x:f>
        <x:v>1820</x:v>
      </x:c>
    </x:row>
    <x:row r="473" ht="36" customHeight="1">
      <x:c r="A473" s="10" t="str">
        <x:v>V-R3</x:v>
      </x:c>
      <x:c r="B473" s="10" t="str">
        <x:v>VOICE</x:v>
      </x:c>
      <x:c r="C473" s="10" t="str">
        <x:v>VOICE:S2-07</x:v>
      </x:c>
      <x:c r="D473" s="10" t="str">
        <x:v>VOICE:M1254</x:v>
      </x:c>
      <x:c r="E473" s="15" t="n">
        <x:v>2.23</x:v>
      </x:c>
      <x:c r="F473" s="15" t="str">
        <x:v>scored</x:v>
      </x:c>
      <x:c r="G473" s="15" t="n">
        <x:v>0</x:v>
      </x:c>
      <x:c r="H473" s="15" t="n">
        <x:v>0</x:v>
      </x:c>
      <x:c r="I473" s="15" t="n">
        <x:v>0</x:v>
      </x:c>
      <x:c r="J473" s="15" t="n">
        <x:v>0</x:v>
      </x:c>
      <x:c r="K473" s="15" t="n">
        <x:v>0</x:v>
      </x:c>
      <x:c r="L473" s="15" t="n">
        <x:v>0</x:v>
      </x:c>
      <x:c r="M473" s="15" t="n">
        <x:v>180</x:v>
      </x:c>
      <x:c r="N473" s="15" t="n">
        <x:v>220</x:v>
      </x:c>
      <x:c r="O473" s="15" t="n">
        <x:v>96</x:v>
      </x:c>
      <x:c r="P473" s="15" t="n">
        <x:v>64</x:v>
      </x:c>
      <x:c r="Q473" s="15" t="n">
        <x:v>32</x:v>
      </x:c>
      <x:c r="R473" s="15" t="n">
        <x:v>60</x:v>
      </x:c>
      <x:c r="S473" s="15" t="n">
        <x:v>280</x:v>
      </x:c>
      <x:c r="T473" s="15" t="n">
        <x:v>420</x:v>
      </x:c>
      <x:c r="U473" s="15" t="n">
        <x:v>0</x:v>
      </x:c>
      <x:c r="V473" s="15" t="n">
        <x:v>96</x:v>
      </x:c>
      <x:c r="W473" s="15" t="n">
        <x:v>380</x:v>
      </x:c>
      <x:c r="X473" s="15" t="n">
        <x:v>0</x:v>
      </x:c>
      <x:c r="Y473" s="15" t="n">
        <x:v>0</x:v>
      </x:c>
      <x:c r="Z473" s="15" t="n">
        <x:v>0</x:v>
      </x:c>
      <x:c r="AA473" s="15" t="n">
        <x:v>0</x:v>
      </x:c>
      <x:c r="AB473" s="15" t="n">
        <x:f>SUM(G473:AA473)</x:f>
        <x:v>1828</x:v>
      </x:c>
    </x:row>
    <x:row r="474" ht="36" customHeight="1">
      <x:c r="A474" s="10" t="str">
        <x:v>V-A</x:v>
      </x:c>
      <x:c r="B474" s="10" t="str">
        <x:v>VOICE</x:v>
      </x:c>
      <x:c r="C474" s="10" t="str">
        <x:v>VOICE:S2-08</x:v>
      </x:c>
      <x:c r="D474" s="10" t="str">
        <x:v>VOICE:M1265</x:v>
      </x:c>
      <x:c r="E474" s="15" t="n">
        <x:v>0</x:v>
      </x:c>
      <x:c r="F474" s="15" t="str">
        <x:v>scored</x:v>
      </x:c>
      <x:c r="G474" s="15" t="n">
        <x:v>0</x:v>
      </x:c>
      <x:c r="H474" s="15" t="n">
        <x:v>0</x:v>
      </x:c>
      <x:c r="I474" s="15" t="n">
        <x:v>0</x:v>
      </x:c>
      <x:c r="J474" s="15" t="n">
        <x:v>0</x:v>
      </x:c>
      <x:c r="K474" s="15" t="n">
        <x:v>0</x:v>
      </x:c>
      <x:c r="L474" s="15" t="n">
        <x:v>0</x:v>
      </x:c>
      <x:c r="M474" s="15" t="n">
        <x:v>180</x:v>
      </x:c>
      <x:c r="N474" s="15" t="n">
        <x:v>220</x:v>
      </x:c>
      <x:c r="O474" s="15" t="n">
        <x:v>96</x:v>
      </x:c>
      <x:c r="P474" s="15" t="n">
        <x:v>64</x:v>
      </x:c>
      <x:c r="Q474" s="15" t="n">
        <x:v>32</x:v>
      </x:c>
      <x:c r="R474" s="15" t="n">
        <x:v>0</x:v>
      </x:c>
      <x:c r="S474" s="15" t="n">
        <x:v>0</x:v>
      </x:c>
      <x:c r="T474" s="15" t="n">
        <x:v>0</x:v>
      </x:c>
      <x:c r="U474" s="15" t="n">
        <x:v>0</x:v>
      </x:c>
      <x:c r="V474" s="15" t="n">
        <x:v>0</x:v>
      </x:c>
      <x:c r="W474" s="15" t="n">
        <x:v>0</x:v>
      </x:c>
      <x:c r="X474" s="15" t="n">
        <x:v>0</x:v>
      </x:c>
      <x:c r="Y474" s="15" t="n">
        <x:v>0</x:v>
      </x:c>
      <x:c r="Z474" s="15" t="n">
        <x:v>0</x:v>
      </x:c>
      <x:c r="AA474" s="15" t="n">
        <x:v>0</x:v>
      </x:c>
      <x:c r="AB474" s="15" t="n">
        <x:f>SUM(G474:AA474)</x:f>
        <x:v>592</x:v>
      </x:c>
    </x:row>
    <x:row r="475" ht="36" customHeight="1">
      <x:c r="A475" s="10" t="str">
        <x:v>V-R1</x:v>
      </x:c>
      <x:c r="B475" s="10" t="str">
        <x:v>VOICE</x:v>
      </x:c>
      <x:c r="C475" s="10" t="str">
        <x:v>VOICE:S2-08</x:v>
      </x:c>
      <x:c r="D475" s="10" t="str">
        <x:v>VOICE:M1280</x:v>
      </x:c>
      <x:c r="E475" s="15" t="n">
        <x:v>2.23</x:v>
      </x:c>
      <x:c r="F475" s="15" t="str">
        <x:v>scored</x:v>
      </x:c>
      <x:c r="G475" s="15" t="n">
        <x:v>0</x:v>
      </x:c>
      <x:c r="H475" s="15" t="n">
        <x:v>0</x:v>
      </x:c>
      <x:c r="I475" s="15" t="n">
        <x:v>0</x:v>
      </x:c>
      <x:c r="J475" s="15" t="n">
        <x:v>0</x:v>
      </x:c>
      <x:c r="K475" s="15" t="n">
        <x:v>0</x:v>
      </x:c>
      <x:c r="L475" s="15" t="n">
        <x:v>0</x:v>
      </x:c>
      <x:c r="M475" s="15" t="n">
        <x:v>180</x:v>
      </x:c>
      <x:c r="N475" s="15" t="n">
        <x:v>220</x:v>
      </x:c>
      <x:c r="O475" s="15" t="n">
        <x:v>96</x:v>
      </x:c>
      <x:c r="P475" s="15" t="n">
        <x:v>64</x:v>
      </x:c>
      <x:c r="Q475" s="15" t="n">
        <x:v>24</x:v>
      </x:c>
      <x:c r="R475" s="15" t="n">
        <x:v>60</x:v>
      </x:c>
      <x:c r="S475" s="15" t="n">
        <x:v>280</x:v>
      </x:c>
      <x:c r="T475" s="15" t="n">
        <x:v>420</x:v>
      </x:c>
      <x:c r="U475" s="15" t="n">
        <x:v>0</x:v>
      </x:c>
      <x:c r="V475" s="15" t="n">
        <x:v>96</x:v>
      </x:c>
      <x:c r="W475" s="15" t="n">
        <x:v>380</x:v>
      </x:c>
      <x:c r="X475" s="15" t="n">
        <x:v>0</x:v>
      </x:c>
      <x:c r="Y475" s="15" t="n">
        <x:v>0</x:v>
      </x:c>
      <x:c r="Z475" s="15" t="n">
        <x:v>0</x:v>
      </x:c>
      <x:c r="AA475" s="15" t="n">
        <x:v>0</x:v>
      </x:c>
      <x:c r="AB475" s="15" t="n">
        <x:f>SUM(G475:AA475)</x:f>
        <x:v>1820</x:v>
      </x:c>
    </x:row>
    <x:row r="476" ht="36" customHeight="1">
      <x:c r="A476" s="10" t="str">
        <x:v>V-R2</x:v>
      </x:c>
      <x:c r="B476" s="10" t="str">
        <x:v>VOICE</x:v>
      </x:c>
      <x:c r="C476" s="10" t="str">
        <x:v>VOICE:S2-08</x:v>
      </x:c>
      <x:c r="D476" s="10" t="str">
        <x:v>VOICE:M1295</x:v>
      </x:c>
      <x:c r="E476" s="15" t="n">
        <x:v>2.23</x:v>
      </x:c>
      <x:c r="F476" s="15" t="str">
        <x:v>scored</x:v>
      </x:c>
      <x:c r="G476" s="15" t="n">
        <x:v>0</x:v>
      </x:c>
      <x:c r="H476" s="15" t="n">
        <x:v>0</x:v>
      </x:c>
      <x:c r="I476" s="15" t="n">
        <x:v>0</x:v>
      </x:c>
      <x:c r="J476" s="15" t="n">
        <x:v>0</x:v>
      </x:c>
      <x:c r="K476" s="15" t="n">
        <x:v>0</x:v>
      </x:c>
      <x:c r="L476" s="15" t="n">
        <x:v>0</x:v>
      </x:c>
      <x:c r="M476" s="15" t="n">
        <x:v>180</x:v>
      </x:c>
      <x:c r="N476" s="15" t="n">
        <x:v>220</x:v>
      </x:c>
      <x:c r="O476" s="15" t="n">
        <x:v>96</x:v>
      </x:c>
      <x:c r="P476" s="15" t="n">
        <x:v>64</x:v>
      </x:c>
      <x:c r="Q476" s="15" t="n">
        <x:v>24</x:v>
      </x:c>
      <x:c r="R476" s="15" t="n">
        <x:v>60</x:v>
      </x:c>
      <x:c r="S476" s="15" t="n">
        <x:v>280</x:v>
      </x:c>
      <x:c r="T476" s="15" t="n">
        <x:v>420</x:v>
      </x:c>
      <x:c r="U476" s="15" t="n">
        <x:v>0</x:v>
      </x:c>
      <x:c r="V476" s="15" t="n">
        <x:v>96</x:v>
      </x:c>
      <x:c r="W476" s="15" t="n">
        <x:v>380</x:v>
      </x:c>
      <x:c r="X476" s="15" t="n">
        <x:v>0</x:v>
      </x:c>
      <x:c r="Y476" s="15" t="n">
        <x:v>0</x:v>
      </x:c>
      <x:c r="Z476" s="15" t="n">
        <x:v>0</x:v>
      </x:c>
      <x:c r="AA476" s="15" t="n">
        <x:v>0</x:v>
      </x:c>
      <x:c r="AB476" s="15" t="n">
        <x:f>SUM(G476:AA476)</x:f>
        <x:v>1820</x:v>
      </x:c>
    </x:row>
    <x:row r="477" ht="36" customHeight="1">
      <x:c r="A477" s="10" t="str">
        <x:v>V-R3</x:v>
      </x:c>
      <x:c r="B477" s="10" t="str">
        <x:v>VOICE</x:v>
      </x:c>
      <x:c r="C477" s="10" t="str">
        <x:v>VOICE:S2-08</x:v>
      </x:c>
      <x:c r="D477" s="10" t="str">
        <x:v>VOICE:M1309</x:v>
      </x:c>
      <x:c r="E477" s="15" t="n">
        <x:v>2.23</x:v>
      </x:c>
      <x:c r="F477" s="15" t="str">
        <x:v>scored</x:v>
      </x:c>
      <x:c r="G477" s="15" t="n">
        <x:v>0</x:v>
      </x:c>
      <x:c r="H477" s="15" t="n">
        <x:v>0</x:v>
      </x:c>
      <x:c r="I477" s="15" t="n">
        <x:v>0</x:v>
      </x:c>
      <x:c r="J477" s="15" t="n">
        <x:v>0</x:v>
      </x:c>
      <x:c r="K477" s="15" t="n">
        <x:v>0</x:v>
      </x:c>
      <x:c r="L477" s="15" t="n">
        <x:v>0</x:v>
      </x:c>
      <x:c r="M477" s="15" t="n">
        <x:v>180</x:v>
      </x:c>
      <x:c r="N477" s="15" t="n">
        <x:v>220</x:v>
      </x:c>
      <x:c r="O477" s="15" t="n">
        <x:v>96</x:v>
      </x:c>
      <x:c r="P477" s="15" t="n">
        <x:v>64</x:v>
      </x:c>
      <x:c r="Q477" s="15" t="n">
        <x:v>32</x:v>
      </x:c>
      <x:c r="R477" s="15" t="n">
        <x:v>60</x:v>
      </x:c>
      <x:c r="S477" s="15" t="n">
        <x:v>280</x:v>
      </x:c>
      <x:c r="T477" s="15" t="n">
        <x:v>420</x:v>
      </x:c>
      <x:c r="U477" s="15" t="n">
        <x:v>0</x:v>
      </x:c>
      <x:c r="V477" s="15" t="n">
        <x:v>96</x:v>
      </x:c>
      <x:c r="W477" s="15" t="n">
        <x:v>380</x:v>
      </x:c>
      <x:c r="X477" s="15" t="n">
        <x:v>0</x:v>
      </x:c>
      <x:c r="Y477" s="15" t="n">
        <x:v>0</x:v>
      </x:c>
      <x:c r="Z477" s="15" t="n">
        <x:v>0</x:v>
      </x:c>
      <x:c r="AA477" s="15" t="n">
        <x:v>0</x:v>
      </x:c>
      <x:c r="AB477" s="15" t="n">
        <x:f>SUM(G477:AA477)</x:f>
        <x:v>1828</x:v>
      </x:c>
    </x:row>
    <x:row r="478" ht="36" customHeight="1">
      <x:c r="A478" s="10" t="str">
        <x:v>V-A</x:v>
      </x:c>
      <x:c r="B478" s="10" t="str">
        <x:v>VOICE</x:v>
      </x:c>
      <x:c r="C478" s="10" t="str">
        <x:v>VOICE:S2-09</x:v>
      </x:c>
      <x:c r="D478" s="10" t="str">
        <x:v>VOICE:M1320</x:v>
      </x:c>
      <x:c r="E478" s="15" t="n">
        <x:v>0</x:v>
      </x:c>
      <x:c r="F478" s="15" t="str">
        <x:v>scored</x:v>
      </x:c>
      <x:c r="G478" s="15" t="n">
        <x:v>0</x:v>
      </x:c>
      <x:c r="H478" s="15" t="n">
        <x:v>0</x:v>
      </x:c>
      <x:c r="I478" s="15" t="n">
        <x:v>0</x:v>
      </x:c>
      <x:c r="J478" s="15" t="n">
        <x:v>0</x:v>
      </x:c>
      <x:c r="K478" s="15" t="n">
        <x:v>0</x:v>
      </x:c>
      <x:c r="L478" s="15" t="n">
        <x:v>0</x:v>
      </x:c>
      <x:c r="M478" s="15" t="n">
        <x:v>180</x:v>
      </x:c>
      <x:c r="N478" s="15" t="n">
        <x:v>220</x:v>
      </x:c>
      <x:c r="O478" s="15" t="n">
        <x:v>96</x:v>
      </x:c>
      <x:c r="P478" s="15" t="n">
        <x:v>64</x:v>
      </x:c>
      <x:c r="Q478" s="15" t="n">
        <x:v>32</x:v>
      </x:c>
      <x:c r="R478" s="15" t="n">
        <x:v>0</x:v>
      </x:c>
      <x:c r="S478" s="15" t="n">
        <x:v>0</x:v>
      </x:c>
      <x:c r="T478" s="15" t="n">
        <x:v>0</x:v>
      </x:c>
      <x:c r="U478" s="15" t="n">
        <x:v>0</x:v>
      </x:c>
      <x:c r="V478" s="15" t="n">
        <x:v>0</x:v>
      </x:c>
      <x:c r="W478" s="15" t="n">
        <x:v>0</x:v>
      </x:c>
      <x:c r="X478" s="15" t="n">
        <x:v>0</x:v>
      </x:c>
      <x:c r="Y478" s="15" t="n">
        <x:v>0</x:v>
      </x:c>
      <x:c r="Z478" s="15" t="n">
        <x:v>0</x:v>
      </x:c>
      <x:c r="AA478" s="15" t="n">
        <x:v>0</x:v>
      </x:c>
      <x:c r="AB478" s="15" t="n">
        <x:f>SUM(G478:AA478)</x:f>
        <x:v>592</x:v>
      </x:c>
    </x:row>
    <x:row r="479" ht="36" customHeight="1">
      <x:c r="A479" s="10" t="str">
        <x:v>V-R1</x:v>
      </x:c>
      <x:c r="B479" s="10" t="str">
        <x:v>VOICE</x:v>
      </x:c>
      <x:c r="C479" s="10" t="str">
        <x:v>VOICE:S2-09</x:v>
      </x:c>
      <x:c r="D479" s="10" t="str">
        <x:v>VOICE:M1335</x:v>
      </x:c>
      <x:c r="E479" s="15" t="n">
        <x:v>2.23</x:v>
      </x:c>
      <x:c r="F479" s="15" t="str">
        <x:v>scored</x:v>
      </x:c>
      <x:c r="G479" s="15" t="n">
        <x:v>0</x:v>
      </x:c>
      <x:c r="H479" s="15" t="n">
        <x:v>0</x:v>
      </x:c>
      <x:c r="I479" s="15" t="n">
        <x:v>0</x:v>
      </x:c>
      <x:c r="J479" s="15" t="n">
        <x:v>0</x:v>
      </x:c>
      <x:c r="K479" s="15" t="n">
        <x:v>0</x:v>
      </x:c>
      <x:c r="L479" s="15" t="n">
        <x:v>0</x:v>
      </x:c>
      <x:c r="M479" s="15" t="n">
        <x:v>180</x:v>
      </x:c>
      <x:c r="N479" s="15" t="n">
        <x:v>220</x:v>
      </x:c>
      <x:c r="O479" s="15" t="n">
        <x:v>96</x:v>
      </x:c>
      <x:c r="P479" s="15" t="n">
        <x:v>64</x:v>
      </x:c>
      <x:c r="Q479" s="15" t="n">
        <x:v>24</x:v>
      </x:c>
      <x:c r="R479" s="15" t="n">
        <x:v>60</x:v>
      </x:c>
      <x:c r="S479" s="15" t="n">
        <x:v>280</x:v>
      </x:c>
      <x:c r="T479" s="15" t="n">
        <x:v>420</x:v>
      </x:c>
      <x:c r="U479" s="15" t="n">
        <x:v>0</x:v>
      </x:c>
      <x:c r="V479" s="15" t="n">
        <x:v>96</x:v>
      </x:c>
      <x:c r="W479" s="15" t="n">
        <x:v>380</x:v>
      </x:c>
      <x:c r="X479" s="15" t="n">
        <x:v>0</x:v>
      </x:c>
      <x:c r="Y479" s="15" t="n">
        <x:v>0</x:v>
      </x:c>
      <x:c r="Z479" s="15" t="n">
        <x:v>0</x:v>
      </x:c>
      <x:c r="AA479" s="15" t="n">
        <x:v>0</x:v>
      </x:c>
      <x:c r="AB479" s="15" t="n">
        <x:f>SUM(G479:AA479)</x:f>
        <x:v>1820</x:v>
      </x:c>
    </x:row>
    <x:row r="480" ht="36" customHeight="1">
      <x:c r="A480" s="10" t="str">
        <x:v>V-R2</x:v>
      </x:c>
      <x:c r="B480" s="10" t="str">
        <x:v>VOICE</x:v>
      </x:c>
      <x:c r="C480" s="10" t="str">
        <x:v>VOICE:S2-09</x:v>
      </x:c>
      <x:c r="D480" s="10" t="str">
        <x:v>VOICE:M1350</x:v>
      </x:c>
      <x:c r="E480" s="15" t="n">
        <x:v>2.23</x:v>
      </x:c>
      <x:c r="F480" s="15" t="str">
        <x:v>scored</x:v>
      </x:c>
      <x:c r="G480" s="15" t="n">
        <x:v>0</x:v>
      </x:c>
      <x:c r="H480" s="15" t="n">
        <x:v>0</x:v>
      </x:c>
      <x:c r="I480" s="15" t="n">
        <x:v>0</x:v>
      </x:c>
      <x:c r="J480" s="15" t="n">
        <x:v>0</x:v>
      </x:c>
      <x:c r="K480" s="15" t="n">
        <x:v>0</x:v>
      </x:c>
      <x:c r="L480" s="15" t="n">
        <x:v>0</x:v>
      </x:c>
      <x:c r="M480" s="15" t="n">
        <x:v>180</x:v>
      </x:c>
      <x:c r="N480" s="15" t="n">
        <x:v>220</x:v>
      </x:c>
      <x:c r="O480" s="15" t="n">
        <x:v>96</x:v>
      </x:c>
      <x:c r="P480" s="15" t="n">
        <x:v>64</x:v>
      </x:c>
      <x:c r="Q480" s="15" t="n">
        <x:v>24</x:v>
      </x:c>
      <x:c r="R480" s="15" t="n">
        <x:v>60</x:v>
      </x:c>
      <x:c r="S480" s="15" t="n">
        <x:v>280</x:v>
      </x:c>
      <x:c r="T480" s="15" t="n">
        <x:v>420</x:v>
      </x:c>
      <x:c r="U480" s="15" t="n">
        <x:v>0</x:v>
      </x:c>
      <x:c r="V480" s="15" t="n">
        <x:v>96</x:v>
      </x:c>
      <x:c r="W480" s="15" t="n">
        <x:v>380</x:v>
      </x:c>
      <x:c r="X480" s="15" t="n">
        <x:v>0</x:v>
      </x:c>
      <x:c r="Y480" s="15" t="n">
        <x:v>0</x:v>
      </x:c>
      <x:c r="Z480" s="15" t="n">
        <x:v>0</x:v>
      </x:c>
      <x:c r="AA480" s="15" t="n">
        <x:v>0</x:v>
      </x:c>
      <x:c r="AB480" s="15" t="n">
        <x:f>SUM(G480:AA480)</x:f>
        <x:v>1820</x:v>
      </x:c>
    </x:row>
    <x:row r="481" ht="36" customHeight="1">
      <x:c r="A481" s="10" t="str">
        <x:v>V-R3</x:v>
      </x:c>
      <x:c r="B481" s="10" t="str">
        <x:v>VOICE</x:v>
      </x:c>
      <x:c r="C481" s="10" t="str">
        <x:v>VOICE:S2-09</x:v>
      </x:c>
      <x:c r="D481" s="10" t="str">
        <x:v>VOICE:M1364</x:v>
      </x:c>
      <x:c r="E481" s="15" t="n">
        <x:v>2.23</x:v>
      </x:c>
      <x:c r="F481" s="15" t="str">
        <x:v>scored</x:v>
      </x:c>
      <x:c r="G481" s="15" t="n">
        <x:v>0</x:v>
      </x:c>
      <x:c r="H481" s="15" t="n">
        <x:v>0</x:v>
      </x:c>
      <x:c r="I481" s="15" t="n">
        <x:v>0</x:v>
      </x:c>
      <x:c r="J481" s="15" t="n">
        <x:v>0</x:v>
      </x:c>
      <x:c r="K481" s="15" t="n">
        <x:v>0</x:v>
      </x:c>
      <x:c r="L481" s="15" t="n">
        <x:v>0</x:v>
      </x:c>
      <x:c r="M481" s="15" t="n">
        <x:v>180</x:v>
      </x:c>
      <x:c r="N481" s="15" t="n">
        <x:v>220</x:v>
      </x:c>
      <x:c r="O481" s="15" t="n">
        <x:v>96</x:v>
      </x:c>
      <x:c r="P481" s="15" t="n">
        <x:v>64</x:v>
      </x:c>
      <x:c r="Q481" s="15" t="n">
        <x:v>32</x:v>
      </x:c>
      <x:c r="R481" s="15" t="n">
        <x:v>60</x:v>
      </x:c>
      <x:c r="S481" s="15" t="n">
        <x:v>280</x:v>
      </x:c>
      <x:c r="T481" s="15" t="n">
        <x:v>420</x:v>
      </x:c>
      <x:c r="U481" s="15" t="n">
        <x:v>0</x:v>
      </x:c>
      <x:c r="V481" s="15" t="n">
        <x:v>96</x:v>
      </x:c>
      <x:c r="W481" s="15" t="n">
        <x:v>380</x:v>
      </x:c>
      <x:c r="X481" s="15" t="n">
        <x:v>0</x:v>
      </x:c>
      <x:c r="Y481" s="15" t="n">
        <x:v>0</x:v>
      </x:c>
      <x:c r="Z481" s="15" t="n">
        <x:v>0</x:v>
      </x:c>
      <x:c r="AA481" s="15" t="n">
        <x:v>0</x:v>
      </x:c>
      <x:c r="AB481" s="15" t="n">
        <x:f>SUM(G481:AA481)</x:f>
        <x:v>1828</x:v>
      </x:c>
    </x:row>
    <x:row r="482" ht="36" customHeight="1">
      <x:c r="A482" s="10" t="str">
        <x:v>V-A</x:v>
      </x:c>
      <x:c r="B482" s="10" t="str">
        <x:v>VOICE</x:v>
      </x:c>
      <x:c r="C482" s="10" t="str">
        <x:v>VOICE:S2-10</x:v>
      </x:c>
      <x:c r="D482" s="10" t="str">
        <x:v>VOICE:M1375</x:v>
      </x:c>
      <x:c r="E482" s="15" t="n">
        <x:v>0</x:v>
      </x:c>
      <x:c r="F482" s="15" t="str">
        <x:v>scored</x:v>
      </x:c>
      <x:c r="G482" s="15" t="n">
        <x:v>0</x:v>
      </x:c>
      <x:c r="H482" s="15" t="n">
        <x:v>0</x:v>
      </x:c>
      <x:c r="I482" s="15" t="n">
        <x:v>0</x:v>
      </x:c>
      <x:c r="J482" s="15" t="n">
        <x:v>0</x:v>
      </x:c>
      <x:c r="K482" s="15" t="n">
        <x:v>0</x:v>
      </x:c>
      <x:c r="L482" s="15" t="n">
        <x:v>0</x:v>
      </x:c>
      <x:c r="M482" s="15" t="n">
        <x:v>180</x:v>
      </x:c>
      <x:c r="N482" s="15" t="n">
        <x:v>220</x:v>
      </x:c>
      <x:c r="O482" s="15" t="n">
        <x:v>96</x:v>
      </x:c>
      <x:c r="P482" s="15" t="n">
        <x:v>64</x:v>
      </x:c>
      <x:c r="Q482" s="15" t="n">
        <x:v>32</x:v>
      </x:c>
      <x:c r="R482" s="15" t="n">
        <x:v>0</x:v>
      </x:c>
      <x:c r="S482" s="15" t="n">
        <x:v>0</x:v>
      </x:c>
      <x:c r="T482" s="15" t="n">
        <x:v>0</x:v>
      </x:c>
      <x:c r="U482" s="15" t="n">
        <x:v>0</x:v>
      </x:c>
      <x:c r="V482" s="15" t="n">
        <x:v>0</x:v>
      </x:c>
      <x:c r="W482" s="15" t="n">
        <x:v>0</x:v>
      </x:c>
      <x:c r="X482" s="15" t="n">
        <x:v>0</x:v>
      </x:c>
      <x:c r="Y482" s="15" t="n">
        <x:v>0</x:v>
      </x:c>
      <x:c r="Z482" s="15" t="n">
        <x:v>0</x:v>
      </x:c>
      <x:c r="AA482" s="15" t="n">
        <x:v>0</x:v>
      </x:c>
      <x:c r="AB482" s="15" t="n">
        <x:f>SUM(G482:AA482)</x:f>
        <x:v>592</x:v>
      </x:c>
    </x:row>
    <x:row r="483" ht="36" customHeight="1">
      <x:c r="A483" s="10" t="str">
        <x:v>V-R1</x:v>
      </x:c>
      <x:c r="B483" s="10" t="str">
        <x:v>VOICE</x:v>
      </x:c>
      <x:c r="C483" s="10" t="str">
        <x:v>VOICE:S2-10</x:v>
      </x:c>
      <x:c r="D483" s="10" t="str">
        <x:v>VOICE:M1390</x:v>
      </x:c>
      <x:c r="E483" s="15" t="n">
        <x:v>2.23</x:v>
      </x:c>
      <x:c r="F483" s="15" t="str">
        <x:v>scored</x:v>
      </x:c>
      <x:c r="G483" s="15" t="n">
        <x:v>0</x:v>
      </x:c>
      <x:c r="H483" s="15" t="n">
        <x:v>0</x:v>
      </x:c>
      <x:c r="I483" s="15" t="n">
        <x:v>0</x:v>
      </x:c>
      <x:c r="J483" s="15" t="n">
        <x:v>0</x:v>
      </x:c>
      <x:c r="K483" s="15" t="n">
        <x:v>0</x:v>
      </x:c>
      <x:c r="L483" s="15" t="n">
        <x:v>0</x:v>
      </x:c>
      <x:c r="M483" s="15" t="n">
        <x:v>180</x:v>
      </x:c>
      <x:c r="N483" s="15" t="n">
        <x:v>220</x:v>
      </x:c>
      <x:c r="O483" s="15" t="n">
        <x:v>96</x:v>
      </x:c>
      <x:c r="P483" s="15" t="n">
        <x:v>64</x:v>
      </x:c>
      <x:c r="Q483" s="15" t="n">
        <x:v>24</x:v>
      </x:c>
      <x:c r="R483" s="15" t="n">
        <x:v>60</x:v>
      </x:c>
      <x:c r="S483" s="15" t="n">
        <x:v>280</x:v>
      </x:c>
      <x:c r="T483" s="15" t="n">
        <x:v>420</x:v>
      </x:c>
      <x:c r="U483" s="15" t="n">
        <x:v>0</x:v>
      </x:c>
      <x:c r="V483" s="15" t="n">
        <x:v>96</x:v>
      </x:c>
      <x:c r="W483" s="15" t="n">
        <x:v>380</x:v>
      </x:c>
      <x:c r="X483" s="15" t="n">
        <x:v>0</x:v>
      </x:c>
      <x:c r="Y483" s="15" t="n">
        <x:v>0</x:v>
      </x:c>
      <x:c r="Z483" s="15" t="n">
        <x:v>0</x:v>
      </x:c>
      <x:c r="AA483" s="15" t="n">
        <x:v>0</x:v>
      </x:c>
      <x:c r="AB483" s="15" t="n">
        <x:f>SUM(G483:AA483)</x:f>
        <x:v>1820</x:v>
      </x:c>
    </x:row>
    <x:row r="484" ht="36" customHeight="1">
      <x:c r="A484" s="10" t="str">
        <x:v>V-R2</x:v>
      </x:c>
      <x:c r="B484" s="10" t="str">
        <x:v>VOICE</x:v>
      </x:c>
      <x:c r="C484" s="10" t="str">
        <x:v>VOICE:S2-10</x:v>
      </x:c>
      <x:c r="D484" s="10" t="str">
        <x:v>VOICE:M1405</x:v>
      </x:c>
      <x:c r="E484" s="15" t="n">
        <x:v>2.23</x:v>
      </x:c>
      <x:c r="F484" s="15" t="str">
        <x:v>scored</x:v>
      </x:c>
      <x:c r="G484" s="15" t="n">
        <x:v>0</x:v>
      </x:c>
      <x:c r="H484" s="15" t="n">
        <x:v>0</x:v>
      </x:c>
      <x:c r="I484" s="15" t="n">
        <x:v>0</x:v>
      </x:c>
      <x:c r="J484" s="15" t="n">
        <x:v>0</x:v>
      </x:c>
      <x:c r="K484" s="15" t="n">
        <x:v>0</x:v>
      </x:c>
      <x:c r="L484" s="15" t="n">
        <x:v>0</x:v>
      </x:c>
      <x:c r="M484" s="15" t="n">
        <x:v>180</x:v>
      </x:c>
      <x:c r="N484" s="15" t="n">
        <x:v>220</x:v>
      </x:c>
      <x:c r="O484" s="15" t="n">
        <x:v>96</x:v>
      </x:c>
      <x:c r="P484" s="15" t="n">
        <x:v>64</x:v>
      </x:c>
      <x:c r="Q484" s="15" t="n">
        <x:v>24</x:v>
      </x:c>
      <x:c r="R484" s="15" t="n">
        <x:v>60</x:v>
      </x:c>
      <x:c r="S484" s="15" t="n">
        <x:v>280</x:v>
      </x:c>
      <x:c r="T484" s="15" t="n">
        <x:v>420</x:v>
      </x:c>
      <x:c r="U484" s="15" t="n">
        <x:v>0</x:v>
      </x:c>
      <x:c r="V484" s="15" t="n">
        <x:v>96</x:v>
      </x:c>
      <x:c r="W484" s="15" t="n">
        <x:v>380</x:v>
      </x:c>
      <x:c r="X484" s="15" t="n">
        <x:v>0</x:v>
      </x:c>
      <x:c r="Y484" s="15" t="n">
        <x:v>0</x:v>
      </x:c>
      <x:c r="Z484" s="15" t="n">
        <x:v>0</x:v>
      </x:c>
      <x:c r="AA484" s="15" t="n">
        <x:v>0</x:v>
      </x:c>
      <x:c r="AB484" s="15" t="n">
        <x:f>SUM(G484:AA484)</x:f>
        <x:v>1820</x:v>
      </x:c>
    </x:row>
    <x:row r="485" ht="36" customHeight="1">
      <x:c r="A485" s="10" t="str">
        <x:v>V-R3</x:v>
      </x:c>
      <x:c r="B485" s="10" t="str">
        <x:v>VOICE</x:v>
      </x:c>
      <x:c r="C485" s="10" t="str">
        <x:v>VOICE:S2-10</x:v>
      </x:c>
      <x:c r="D485" s="10" t="str">
        <x:v>VOICE:M1419</x:v>
      </x:c>
      <x:c r="E485" s="15" t="n">
        <x:v>2.23</x:v>
      </x:c>
      <x:c r="F485" s="15" t="str">
        <x:v>scored</x:v>
      </x:c>
      <x:c r="G485" s="15" t="n">
        <x:v>0</x:v>
      </x:c>
      <x:c r="H485" s="15" t="n">
        <x:v>0</x:v>
      </x:c>
      <x:c r="I485" s="15" t="n">
        <x:v>0</x:v>
      </x:c>
      <x:c r="J485" s="15" t="n">
        <x:v>0</x:v>
      </x:c>
      <x:c r="K485" s="15" t="n">
        <x:v>0</x:v>
      </x:c>
      <x:c r="L485" s="15" t="n">
        <x:v>0</x:v>
      </x:c>
      <x:c r="M485" s="15" t="n">
        <x:v>180</x:v>
      </x:c>
      <x:c r="N485" s="15" t="n">
        <x:v>220</x:v>
      </x:c>
      <x:c r="O485" s="15" t="n">
        <x:v>96</x:v>
      </x:c>
      <x:c r="P485" s="15" t="n">
        <x:v>64</x:v>
      </x:c>
      <x:c r="Q485" s="15" t="n">
        <x:v>32</x:v>
      </x:c>
      <x:c r="R485" s="15" t="n">
        <x:v>60</x:v>
      </x:c>
      <x:c r="S485" s="15" t="n">
        <x:v>280</x:v>
      </x:c>
      <x:c r="T485" s="15" t="n">
        <x:v>420</x:v>
      </x:c>
      <x:c r="U485" s="15" t="n">
        <x:v>0</x:v>
      </x:c>
      <x:c r="V485" s="15" t="n">
        <x:v>96</x:v>
      </x:c>
      <x:c r="W485" s="15" t="n">
        <x:v>380</x:v>
      </x:c>
      <x:c r="X485" s="15" t="n">
        <x:v>0</x:v>
      </x:c>
      <x:c r="Y485" s="15" t="n">
        <x:v>0</x:v>
      </x:c>
      <x:c r="Z485" s="15" t="n">
        <x:v>0</x:v>
      </x:c>
      <x:c r="AA485" s="15" t="n">
        <x:v>0</x:v>
      </x:c>
      <x:c r="AB485" s="15" t="n">
        <x:f>SUM(G485:AA485)</x:f>
        <x:v>1828</x:v>
      </x:c>
    </x:row>
    <x:row r="486" ht="36" customHeight="1">
      <x:c r="A486" s="10" t="str">
        <x:v>V-A</x:v>
      </x:c>
      <x:c r="B486" s="10" t="str">
        <x:v>VOICE</x:v>
      </x:c>
      <x:c r="C486" s="10" t="str">
        <x:v>VOICE:S2-11</x:v>
      </x:c>
      <x:c r="D486" s="10" t="str">
        <x:v>VOICE:M1430</x:v>
      </x:c>
      <x:c r="E486" s="15" t="n">
        <x:v>0</x:v>
      </x:c>
      <x:c r="F486" s="15" t="str">
        <x:v>scored</x:v>
      </x:c>
      <x:c r="G486" s="15" t="n">
        <x:v>0</x:v>
      </x:c>
      <x:c r="H486" s="15" t="n">
        <x:v>0</x:v>
      </x:c>
      <x:c r="I486" s="15" t="n">
        <x:v>0</x:v>
      </x:c>
      <x:c r="J486" s="15" t="n">
        <x:v>0</x:v>
      </x:c>
      <x:c r="K486" s="15" t="n">
        <x:v>0</x:v>
      </x:c>
      <x:c r="L486" s="15" t="n">
        <x:v>0</x:v>
      </x:c>
      <x:c r="M486" s="15" t="n">
        <x:v>180</x:v>
      </x:c>
      <x:c r="N486" s="15" t="n">
        <x:v>220</x:v>
      </x:c>
      <x:c r="O486" s="15" t="n">
        <x:v>96</x:v>
      </x:c>
      <x:c r="P486" s="15" t="n">
        <x:v>64</x:v>
      </x:c>
      <x:c r="Q486" s="15" t="n">
        <x:v>32</x:v>
      </x:c>
      <x:c r="R486" s="15" t="n">
        <x:v>0</x:v>
      </x:c>
      <x:c r="S486" s="15" t="n">
        <x:v>0</x:v>
      </x:c>
      <x:c r="T486" s="15" t="n">
        <x:v>0</x:v>
      </x:c>
      <x:c r="U486" s="15" t="n">
        <x:v>0</x:v>
      </x:c>
      <x:c r="V486" s="15" t="n">
        <x:v>0</x:v>
      </x:c>
      <x:c r="W486" s="15" t="n">
        <x:v>0</x:v>
      </x:c>
      <x:c r="X486" s="15" t="n">
        <x:v>0</x:v>
      </x:c>
      <x:c r="Y486" s="15" t="n">
        <x:v>0</x:v>
      </x:c>
      <x:c r="Z486" s="15" t="n">
        <x:v>0</x:v>
      </x:c>
      <x:c r="AA486" s="15" t="n">
        <x:v>0</x:v>
      </x:c>
      <x:c r="AB486" s="15" t="n">
        <x:f>SUM(G486:AA486)</x:f>
        <x:v>592</x:v>
      </x:c>
    </x:row>
    <x:row r="487" ht="36" customHeight="1">
      <x:c r="A487" s="10" t="str">
        <x:v>V-R1</x:v>
      </x:c>
      <x:c r="B487" s="10" t="str">
        <x:v>VOICE</x:v>
      </x:c>
      <x:c r="C487" s="10" t="str">
        <x:v>VOICE:S2-11</x:v>
      </x:c>
      <x:c r="D487" s="10" t="str">
        <x:v>VOICE:M1445</x:v>
      </x:c>
      <x:c r="E487" s="15" t="n">
        <x:v>2.23</x:v>
      </x:c>
      <x:c r="F487" s="15" t="str">
        <x:v>scored</x:v>
      </x:c>
      <x:c r="G487" s="15" t="n">
        <x:v>0</x:v>
      </x:c>
      <x:c r="H487" s="15" t="n">
        <x:v>0</x:v>
      </x:c>
      <x:c r="I487" s="15" t="n">
        <x:v>0</x:v>
      </x:c>
      <x:c r="J487" s="15" t="n">
        <x:v>0</x:v>
      </x:c>
      <x:c r="K487" s="15" t="n">
        <x:v>0</x:v>
      </x:c>
      <x:c r="L487" s="15" t="n">
        <x:v>0</x:v>
      </x:c>
      <x:c r="M487" s="15" t="n">
        <x:v>180</x:v>
      </x:c>
      <x:c r="N487" s="15" t="n">
        <x:v>220</x:v>
      </x:c>
      <x:c r="O487" s="15" t="n">
        <x:v>96</x:v>
      </x:c>
      <x:c r="P487" s="15" t="n">
        <x:v>64</x:v>
      </x:c>
      <x:c r="Q487" s="15" t="n">
        <x:v>24</x:v>
      </x:c>
      <x:c r="R487" s="15" t="n">
        <x:v>60</x:v>
      </x:c>
      <x:c r="S487" s="15" t="n">
        <x:v>280</x:v>
      </x:c>
      <x:c r="T487" s="15" t="n">
        <x:v>420</x:v>
      </x:c>
      <x:c r="U487" s="15" t="n">
        <x:v>0</x:v>
      </x:c>
      <x:c r="V487" s="15" t="n">
        <x:v>96</x:v>
      </x:c>
      <x:c r="W487" s="15" t="n">
        <x:v>380</x:v>
      </x:c>
      <x:c r="X487" s="15" t="n">
        <x:v>0</x:v>
      </x:c>
      <x:c r="Y487" s="15" t="n">
        <x:v>0</x:v>
      </x:c>
      <x:c r="Z487" s="15" t="n">
        <x:v>0</x:v>
      </x:c>
      <x:c r="AA487" s="15" t="n">
        <x:v>0</x:v>
      </x:c>
      <x:c r="AB487" s="15" t="n">
        <x:f>SUM(G487:AA487)</x:f>
        <x:v>1820</x:v>
      </x:c>
    </x:row>
    <x:row r="488" ht="36" customHeight="1">
      <x:c r="A488" s="10" t="str">
        <x:v>V-R2</x:v>
      </x:c>
      <x:c r="B488" s="10" t="str">
        <x:v>VOICE</x:v>
      </x:c>
      <x:c r="C488" s="10" t="str">
        <x:v>VOICE:S2-11</x:v>
      </x:c>
      <x:c r="D488" s="10" t="str">
        <x:v>VOICE:M1460</x:v>
      </x:c>
      <x:c r="E488" s="15" t="n">
        <x:v>2.23</x:v>
      </x:c>
      <x:c r="F488" s="15" t="str">
        <x:v>scored</x:v>
      </x:c>
      <x:c r="G488" s="15" t="n">
        <x:v>0</x:v>
      </x:c>
      <x:c r="H488" s="15" t="n">
        <x:v>0</x:v>
      </x:c>
      <x:c r="I488" s="15" t="n">
        <x:v>0</x:v>
      </x:c>
      <x:c r="J488" s="15" t="n">
        <x:v>0</x:v>
      </x:c>
      <x:c r="K488" s="15" t="n">
        <x:v>0</x:v>
      </x:c>
      <x:c r="L488" s="15" t="n">
        <x:v>0</x:v>
      </x:c>
      <x:c r="M488" s="15" t="n">
        <x:v>180</x:v>
      </x:c>
      <x:c r="N488" s="15" t="n">
        <x:v>220</x:v>
      </x:c>
      <x:c r="O488" s="15" t="n">
        <x:v>96</x:v>
      </x:c>
      <x:c r="P488" s="15" t="n">
        <x:v>64</x:v>
      </x:c>
      <x:c r="Q488" s="15" t="n">
        <x:v>24</x:v>
      </x:c>
      <x:c r="R488" s="15" t="n">
        <x:v>60</x:v>
      </x:c>
      <x:c r="S488" s="15" t="n">
        <x:v>280</x:v>
      </x:c>
      <x:c r="T488" s="15" t="n">
        <x:v>420</x:v>
      </x:c>
      <x:c r="U488" s="15" t="n">
        <x:v>0</x:v>
      </x:c>
      <x:c r="V488" s="15" t="n">
        <x:v>96</x:v>
      </x:c>
      <x:c r="W488" s="15" t="n">
        <x:v>380</x:v>
      </x:c>
      <x:c r="X488" s="15" t="n">
        <x:v>0</x:v>
      </x:c>
      <x:c r="Y488" s="15" t="n">
        <x:v>0</x:v>
      </x:c>
      <x:c r="Z488" s="15" t="n">
        <x:v>0</x:v>
      </x:c>
      <x:c r="AA488" s="15" t="n">
        <x:v>0</x:v>
      </x:c>
      <x:c r="AB488" s="15" t="n">
        <x:f>SUM(G488:AA488)</x:f>
        <x:v>1820</x:v>
      </x:c>
    </x:row>
    <x:row r="489" ht="36" customHeight="1">
      <x:c r="A489" s="10" t="str">
        <x:v>V-R3</x:v>
      </x:c>
      <x:c r="B489" s="10" t="str">
        <x:v>VOICE</x:v>
      </x:c>
      <x:c r="C489" s="10" t="str">
        <x:v>VOICE:S2-11</x:v>
      </x:c>
      <x:c r="D489" s="10" t="str">
        <x:v>VOICE:M1474</x:v>
      </x:c>
      <x:c r="E489" s="15" t="n">
        <x:v>2.23</x:v>
      </x:c>
      <x:c r="F489" s="15" t="str">
        <x:v>scored</x:v>
      </x:c>
      <x:c r="G489" s="15" t="n">
        <x:v>0</x:v>
      </x:c>
      <x:c r="H489" s="15" t="n">
        <x:v>0</x:v>
      </x:c>
      <x:c r="I489" s="15" t="n">
        <x:v>0</x:v>
      </x:c>
      <x:c r="J489" s="15" t="n">
        <x:v>0</x:v>
      </x:c>
      <x:c r="K489" s="15" t="n">
        <x:v>0</x:v>
      </x:c>
      <x:c r="L489" s="15" t="n">
        <x:v>0</x:v>
      </x:c>
      <x:c r="M489" s="15" t="n">
        <x:v>180</x:v>
      </x:c>
      <x:c r="N489" s="15" t="n">
        <x:v>220</x:v>
      </x:c>
      <x:c r="O489" s="15" t="n">
        <x:v>96</x:v>
      </x:c>
      <x:c r="P489" s="15" t="n">
        <x:v>64</x:v>
      </x:c>
      <x:c r="Q489" s="15" t="n">
        <x:v>32</x:v>
      </x:c>
      <x:c r="R489" s="15" t="n">
        <x:v>60</x:v>
      </x:c>
      <x:c r="S489" s="15" t="n">
        <x:v>280</x:v>
      </x:c>
      <x:c r="T489" s="15" t="n">
        <x:v>420</x:v>
      </x:c>
      <x:c r="U489" s="15" t="n">
        <x:v>0</x:v>
      </x:c>
      <x:c r="V489" s="15" t="n">
        <x:v>96</x:v>
      </x:c>
      <x:c r="W489" s="15" t="n">
        <x:v>380</x:v>
      </x:c>
      <x:c r="X489" s="15" t="n">
        <x:v>0</x:v>
      </x:c>
      <x:c r="Y489" s="15" t="n">
        <x:v>0</x:v>
      </x:c>
      <x:c r="Z489" s="15" t="n">
        <x:v>0</x:v>
      </x:c>
      <x:c r="AA489" s="15" t="n">
        <x:v>0</x:v>
      </x:c>
      <x:c r="AB489" s="15" t="n">
        <x:f>SUM(G489:AA489)</x:f>
        <x:v>1828</x:v>
      </x:c>
    </x:row>
    <x:row r="490" ht="36" customHeight="1">
      <x:c r="A490" s="10" t="str">
        <x:v>V-A</x:v>
      </x:c>
      <x:c r="B490" s="10" t="str">
        <x:v>VOICE</x:v>
      </x:c>
      <x:c r="C490" s="10" t="str">
        <x:v>VOICE:S2-12</x:v>
      </x:c>
      <x:c r="D490" s="10" t="str">
        <x:v>VOICE:M1485</x:v>
      </x:c>
      <x:c r="E490" s="15" t="n">
        <x:v>0</x:v>
      </x:c>
      <x:c r="F490" s="15" t="str">
        <x:v>scored</x:v>
      </x:c>
      <x:c r="G490" s="15" t="n">
        <x:v>0</x:v>
      </x:c>
      <x:c r="H490" s="15" t="n">
        <x:v>0</x:v>
      </x:c>
      <x:c r="I490" s="15" t="n">
        <x:v>0</x:v>
      </x:c>
      <x:c r="J490" s="15" t="n">
        <x:v>0</x:v>
      </x:c>
      <x:c r="K490" s="15" t="n">
        <x:v>0</x:v>
      </x:c>
      <x:c r="L490" s="15" t="n">
        <x:v>0</x:v>
      </x:c>
      <x:c r="M490" s="15" t="n">
        <x:v>180</x:v>
      </x:c>
      <x:c r="N490" s="15" t="n">
        <x:v>220</x:v>
      </x:c>
      <x:c r="O490" s="15" t="n">
        <x:v>96</x:v>
      </x:c>
      <x:c r="P490" s="15" t="n">
        <x:v>64</x:v>
      </x:c>
      <x:c r="Q490" s="15" t="n">
        <x:v>32</x:v>
      </x:c>
      <x:c r="R490" s="15" t="n">
        <x:v>0</x:v>
      </x:c>
      <x:c r="S490" s="15" t="n">
        <x:v>0</x:v>
      </x:c>
      <x:c r="T490" s="15" t="n">
        <x:v>0</x:v>
      </x:c>
      <x:c r="U490" s="15" t="n">
        <x:v>0</x:v>
      </x:c>
      <x:c r="V490" s="15" t="n">
        <x:v>0</x:v>
      </x:c>
      <x:c r="W490" s="15" t="n">
        <x:v>0</x:v>
      </x:c>
      <x:c r="X490" s="15" t="n">
        <x:v>0</x:v>
      </x:c>
      <x:c r="Y490" s="15" t="n">
        <x:v>0</x:v>
      </x:c>
      <x:c r="Z490" s="15" t="n">
        <x:v>0</x:v>
      </x:c>
      <x:c r="AA490" s="15" t="n">
        <x:v>0</x:v>
      </x:c>
      <x:c r="AB490" s="15" t="n">
        <x:f>SUM(G490:AA490)</x:f>
        <x:v>592</x:v>
      </x:c>
    </x:row>
    <x:row r="491" ht="36" customHeight="1">
      <x:c r="A491" s="10" t="str">
        <x:v>V-R1</x:v>
      </x:c>
      <x:c r="B491" s="10" t="str">
        <x:v>VOICE</x:v>
      </x:c>
      <x:c r="C491" s="10" t="str">
        <x:v>VOICE:S2-12</x:v>
      </x:c>
      <x:c r="D491" s="10" t="str">
        <x:v>VOICE:M1500</x:v>
      </x:c>
      <x:c r="E491" s="15" t="n">
        <x:v>2.23</x:v>
      </x:c>
      <x:c r="F491" s="15" t="str">
        <x:v>scored</x:v>
      </x:c>
      <x:c r="G491" s="15" t="n">
        <x:v>0</x:v>
      </x:c>
      <x:c r="H491" s="15" t="n">
        <x:v>0</x:v>
      </x:c>
      <x:c r="I491" s="15" t="n">
        <x:v>0</x:v>
      </x:c>
      <x:c r="J491" s="15" t="n">
        <x:v>0</x:v>
      </x:c>
      <x:c r="K491" s="15" t="n">
        <x:v>0</x:v>
      </x:c>
      <x:c r="L491" s="15" t="n">
        <x:v>0</x:v>
      </x:c>
      <x:c r="M491" s="15" t="n">
        <x:v>180</x:v>
      </x:c>
      <x:c r="N491" s="15" t="n">
        <x:v>220</x:v>
      </x:c>
      <x:c r="O491" s="15" t="n">
        <x:v>96</x:v>
      </x:c>
      <x:c r="P491" s="15" t="n">
        <x:v>64</x:v>
      </x:c>
      <x:c r="Q491" s="15" t="n">
        <x:v>24</x:v>
      </x:c>
      <x:c r="R491" s="15" t="n">
        <x:v>60</x:v>
      </x:c>
      <x:c r="S491" s="15" t="n">
        <x:v>280</x:v>
      </x:c>
      <x:c r="T491" s="15" t="n">
        <x:v>420</x:v>
      </x:c>
      <x:c r="U491" s="15" t="n">
        <x:v>0</x:v>
      </x:c>
      <x:c r="V491" s="15" t="n">
        <x:v>96</x:v>
      </x:c>
      <x:c r="W491" s="15" t="n">
        <x:v>380</x:v>
      </x:c>
      <x:c r="X491" s="15" t="n">
        <x:v>0</x:v>
      </x:c>
      <x:c r="Y491" s="15" t="n">
        <x:v>0</x:v>
      </x:c>
      <x:c r="Z491" s="15" t="n">
        <x:v>0</x:v>
      </x:c>
      <x:c r="AA491" s="15" t="n">
        <x:v>0</x:v>
      </x:c>
      <x:c r="AB491" s="15" t="n">
        <x:f>SUM(G491:AA491)</x:f>
        <x:v>1820</x:v>
      </x:c>
    </x:row>
    <x:row r="492" ht="36" customHeight="1">
      <x:c r="A492" s="10" t="str">
        <x:v>V-R2</x:v>
      </x:c>
      <x:c r="B492" s="10" t="str">
        <x:v>VOICE</x:v>
      </x:c>
      <x:c r="C492" s="10" t="str">
        <x:v>VOICE:S2-12</x:v>
      </x:c>
      <x:c r="D492" s="10" t="str">
        <x:v>VOICE:M1515</x:v>
      </x:c>
      <x:c r="E492" s="15" t="n">
        <x:v>2.23</x:v>
      </x:c>
      <x:c r="F492" s="15" t="str">
        <x:v>scored</x:v>
      </x:c>
      <x:c r="G492" s="15" t="n">
        <x:v>0</x:v>
      </x:c>
      <x:c r="H492" s="15" t="n">
        <x:v>0</x:v>
      </x:c>
      <x:c r="I492" s="15" t="n">
        <x:v>0</x:v>
      </x:c>
      <x:c r="J492" s="15" t="n">
        <x:v>0</x:v>
      </x:c>
      <x:c r="K492" s="15" t="n">
        <x:v>0</x:v>
      </x:c>
      <x:c r="L492" s="15" t="n">
        <x:v>0</x:v>
      </x:c>
      <x:c r="M492" s="15" t="n">
        <x:v>180</x:v>
      </x:c>
      <x:c r="N492" s="15" t="n">
        <x:v>220</x:v>
      </x:c>
      <x:c r="O492" s="15" t="n">
        <x:v>96</x:v>
      </x:c>
      <x:c r="P492" s="15" t="n">
        <x:v>64</x:v>
      </x:c>
      <x:c r="Q492" s="15" t="n">
        <x:v>24</x:v>
      </x:c>
      <x:c r="R492" s="15" t="n">
        <x:v>60</x:v>
      </x:c>
      <x:c r="S492" s="15" t="n">
        <x:v>280</x:v>
      </x:c>
      <x:c r="T492" s="15" t="n">
        <x:v>420</x:v>
      </x:c>
      <x:c r="U492" s="15" t="n">
        <x:v>0</x:v>
      </x:c>
      <x:c r="V492" s="15" t="n">
        <x:v>96</x:v>
      </x:c>
      <x:c r="W492" s="15" t="n">
        <x:v>380</x:v>
      </x:c>
      <x:c r="X492" s="15" t="n">
        <x:v>0</x:v>
      </x:c>
      <x:c r="Y492" s="15" t="n">
        <x:v>0</x:v>
      </x:c>
      <x:c r="Z492" s="15" t="n">
        <x:v>0</x:v>
      </x:c>
      <x:c r="AA492" s="15" t="n">
        <x:v>0</x:v>
      </x:c>
      <x:c r="AB492" s="15" t="n">
        <x:f>SUM(G492:AA492)</x:f>
        <x:v>1820</x:v>
      </x:c>
    </x:row>
    <x:row r="493" ht="36" customHeight="1">
      <x:c r="A493" s="10" t="str">
        <x:v>V-R3</x:v>
      </x:c>
      <x:c r="B493" s="10" t="str">
        <x:v>VOICE</x:v>
      </x:c>
      <x:c r="C493" s="10" t="str">
        <x:v>VOICE:S2-12</x:v>
      </x:c>
      <x:c r="D493" s="10" t="str">
        <x:v>VOICE:M1529</x:v>
      </x:c>
      <x:c r="E493" s="15" t="n">
        <x:v>2.23</x:v>
      </x:c>
      <x:c r="F493" s="15" t="str">
        <x:v>scored</x:v>
      </x:c>
      <x:c r="G493" s="15" t="n">
        <x:v>0</x:v>
      </x:c>
      <x:c r="H493" s="15" t="n">
        <x:v>0</x:v>
      </x:c>
      <x:c r="I493" s="15" t="n">
        <x:v>0</x:v>
      </x:c>
      <x:c r="J493" s="15" t="n">
        <x:v>0</x:v>
      </x:c>
      <x:c r="K493" s="15" t="n">
        <x:v>0</x:v>
      </x:c>
      <x:c r="L493" s="15" t="n">
        <x:v>0</x:v>
      </x:c>
      <x:c r="M493" s="15" t="n">
        <x:v>180</x:v>
      </x:c>
      <x:c r="N493" s="15" t="n">
        <x:v>220</x:v>
      </x:c>
      <x:c r="O493" s="15" t="n">
        <x:v>96</x:v>
      </x:c>
      <x:c r="P493" s="15" t="n">
        <x:v>64</x:v>
      </x:c>
      <x:c r="Q493" s="15" t="n">
        <x:v>32</x:v>
      </x:c>
      <x:c r="R493" s="15" t="n">
        <x:v>60</x:v>
      </x:c>
      <x:c r="S493" s="15" t="n">
        <x:v>280</x:v>
      </x:c>
      <x:c r="T493" s="15" t="n">
        <x:v>420</x:v>
      </x:c>
      <x:c r="U493" s="15" t="n">
        <x:v>0</x:v>
      </x:c>
      <x:c r="V493" s="15" t="n">
        <x:v>96</x:v>
      </x:c>
      <x:c r="W493" s="15" t="n">
        <x:v>380</x:v>
      </x:c>
      <x:c r="X493" s="15" t="n">
        <x:v>0</x:v>
      </x:c>
      <x:c r="Y493" s="15" t="n">
        <x:v>0</x:v>
      </x:c>
      <x:c r="Z493" s="15" t="n">
        <x:v>0</x:v>
      </x:c>
      <x:c r="AA493" s="15" t="n">
        <x:v>0</x:v>
      </x:c>
      <x:c r="AB493" s="15" t="n">
        <x:f>SUM(G493:AA493)</x:f>
        <x:v>1828</x:v>
      </x:c>
    </x:row>
    <x:row r="494" ht="36" customHeight="1">
      <x:c r="A494" s="10" t="str">
        <x:v>V-A</x:v>
      </x:c>
      <x:c r="B494" s="10" t="str">
        <x:v>VOICE</x:v>
      </x:c>
      <x:c r="C494" s="10" t="str">
        <x:v>VOICE:S2-13</x:v>
      </x:c>
      <x:c r="D494" s="10" t="str">
        <x:v>VOICE:M1540</x:v>
      </x:c>
      <x:c r="E494" s="15" t="n">
        <x:v>0</x:v>
      </x:c>
      <x:c r="F494" s="15" t="str">
        <x:v>scored</x:v>
      </x:c>
      <x:c r="G494" s="15" t="n">
        <x:v>0</x:v>
      </x:c>
      <x:c r="H494" s="15" t="n">
        <x:v>0</x:v>
      </x:c>
      <x:c r="I494" s="15" t="n">
        <x:v>0</x:v>
      </x:c>
      <x:c r="J494" s="15" t="n">
        <x:v>0</x:v>
      </x:c>
      <x:c r="K494" s="15" t="n">
        <x:v>0</x:v>
      </x:c>
      <x:c r="L494" s="15" t="n">
        <x:v>0</x:v>
      </x:c>
      <x:c r="M494" s="15" t="n">
        <x:v>180</x:v>
      </x:c>
      <x:c r="N494" s="15" t="n">
        <x:v>220</x:v>
      </x:c>
      <x:c r="O494" s="15" t="n">
        <x:v>96</x:v>
      </x:c>
      <x:c r="P494" s="15" t="n">
        <x:v>64</x:v>
      </x:c>
      <x:c r="Q494" s="15" t="n">
        <x:v>32</x:v>
      </x:c>
      <x:c r="R494" s="15" t="n">
        <x:v>0</x:v>
      </x:c>
      <x:c r="S494" s="15" t="n">
        <x:v>0</x:v>
      </x:c>
      <x:c r="T494" s="15" t="n">
        <x:v>0</x:v>
      </x:c>
      <x:c r="U494" s="15" t="n">
        <x:v>0</x:v>
      </x:c>
      <x:c r="V494" s="15" t="n">
        <x:v>0</x:v>
      </x:c>
      <x:c r="W494" s="15" t="n">
        <x:v>0</x:v>
      </x:c>
      <x:c r="X494" s="15" t="n">
        <x:v>0</x:v>
      </x:c>
      <x:c r="Y494" s="15" t="n">
        <x:v>0</x:v>
      </x:c>
      <x:c r="Z494" s="15" t="n">
        <x:v>0</x:v>
      </x:c>
      <x:c r="AA494" s="15" t="n">
        <x:v>0</x:v>
      </x:c>
      <x:c r="AB494" s="15" t="n">
        <x:f>SUM(G494:AA494)</x:f>
        <x:v>592</x:v>
      </x:c>
    </x:row>
    <x:row r="495" ht="36" customHeight="1">
      <x:c r="A495" s="10" t="str">
        <x:v>V-R1</x:v>
      </x:c>
      <x:c r="B495" s="10" t="str">
        <x:v>VOICE</x:v>
      </x:c>
      <x:c r="C495" s="10" t="str">
        <x:v>VOICE:S2-13</x:v>
      </x:c>
      <x:c r="D495" s="10" t="str">
        <x:v>VOICE:M1555</x:v>
      </x:c>
      <x:c r="E495" s="15" t="n">
        <x:v>2.23</x:v>
      </x:c>
      <x:c r="F495" s="15" t="str">
        <x:v>scored</x:v>
      </x:c>
      <x:c r="G495" s="15" t="n">
        <x:v>0</x:v>
      </x:c>
      <x:c r="H495" s="15" t="n">
        <x:v>0</x:v>
      </x:c>
      <x:c r="I495" s="15" t="n">
        <x:v>0</x:v>
      </x:c>
      <x:c r="J495" s="15" t="n">
        <x:v>0</x:v>
      </x:c>
      <x:c r="K495" s="15" t="n">
        <x:v>0</x:v>
      </x:c>
      <x:c r="L495" s="15" t="n">
        <x:v>0</x:v>
      </x:c>
      <x:c r="M495" s="15" t="n">
        <x:v>180</x:v>
      </x:c>
      <x:c r="N495" s="15" t="n">
        <x:v>220</x:v>
      </x:c>
      <x:c r="O495" s="15" t="n">
        <x:v>96</x:v>
      </x:c>
      <x:c r="P495" s="15" t="n">
        <x:v>64</x:v>
      </x:c>
      <x:c r="Q495" s="15" t="n">
        <x:v>24</x:v>
      </x:c>
      <x:c r="R495" s="15" t="n">
        <x:v>60</x:v>
      </x:c>
      <x:c r="S495" s="15" t="n">
        <x:v>280</x:v>
      </x:c>
      <x:c r="T495" s="15" t="n">
        <x:v>420</x:v>
      </x:c>
      <x:c r="U495" s="15" t="n">
        <x:v>0</x:v>
      </x:c>
      <x:c r="V495" s="15" t="n">
        <x:v>96</x:v>
      </x:c>
      <x:c r="W495" s="15" t="n">
        <x:v>380</x:v>
      </x:c>
      <x:c r="X495" s="15" t="n">
        <x:v>0</x:v>
      </x:c>
      <x:c r="Y495" s="15" t="n">
        <x:v>0</x:v>
      </x:c>
      <x:c r="Z495" s="15" t="n">
        <x:v>0</x:v>
      </x:c>
      <x:c r="AA495" s="15" t="n">
        <x:v>0</x:v>
      </x:c>
      <x:c r="AB495" s="15" t="n">
        <x:f>SUM(G495:AA495)</x:f>
        <x:v>1820</x:v>
      </x:c>
    </x:row>
    <x:row r="496" ht="36" customHeight="1">
      <x:c r="A496" s="10" t="str">
        <x:v>V-R2</x:v>
      </x:c>
      <x:c r="B496" s="10" t="str">
        <x:v>VOICE</x:v>
      </x:c>
      <x:c r="C496" s="10" t="str">
        <x:v>VOICE:S2-13</x:v>
      </x:c>
      <x:c r="D496" s="10" t="str">
        <x:v>VOICE:M1570</x:v>
      </x:c>
      <x:c r="E496" s="15" t="n">
        <x:v>2.23</x:v>
      </x:c>
      <x:c r="F496" s="15" t="str">
        <x:v>scored</x:v>
      </x:c>
      <x:c r="G496" s="15" t="n">
        <x:v>0</x:v>
      </x:c>
      <x:c r="H496" s="15" t="n">
        <x:v>0</x:v>
      </x:c>
      <x:c r="I496" s="15" t="n">
        <x:v>0</x:v>
      </x:c>
      <x:c r="J496" s="15" t="n">
        <x:v>0</x:v>
      </x:c>
      <x:c r="K496" s="15" t="n">
        <x:v>0</x:v>
      </x:c>
      <x:c r="L496" s="15" t="n">
        <x:v>0</x:v>
      </x:c>
      <x:c r="M496" s="15" t="n">
        <x:v>180</x:v>
      </x:c>
      <x:c r="N496" s="15" t="n">
        <x:v>220</x:v>
      </x:c>
      <x:c r="O496" s="15" t="n">
        <x:v>96</x:v>
      </x:c>
      <x:c r="P496" s="15" t="n">
        <x:v>64</x:v>
      </x:c>
      <x:c r="Q496" s="15" t="n">
        <x:v>24</x:v>
      </x:c>
      <x:c r="R496" s="15" t="n">
        <x:v>60</x:v>
      </x:c>
      <x:c r="S496" s="15" t="n">
        <x:v>280</x:v>
      </x:c>
      <x:c r="T496" s="15" t="n">
        <x:v>420</x:v>
      </x:c>
      <x:c r="U496" s="15" t="n">
        <x:v>0</x:v>
      </x:c>
      <x:c r="V496" s="15" t="n">
        <x:v>96</x:v>
      </x:c>
      <x:c r="W496" s="15" t="n">
        <x:v>380</x:v>
      </x:c>
      <x:c r="X496" s="15" t="n">
        <x:v>0</x:v>
      </x:c>
      <x:c r="Y496" s="15" t="n">
        <x:v>0</x:v>
      </x:c>
      <x:c r="Z496" s="15" t="n">
        <x:v>0</x:v>
      </x:c>
      <x:c r="AA496" s="15" t="n">
        <x:v>0</x:v>
      </x:c>
      <x:c r="AB496" s="15" t="n">
        <x:f>SUM(G496:AA496)</x:f>
        <x:v>1820</x:v>
      </x:c>
    </x:row>
    <x:row r="497" ht="36" customHeight="1">
      <x:c r="A497" s="10" t="str">
        <x:v>V-R3</x:v>
      </x:c>
      <x:c r="B497" s="10" t="str">
        <x:v>VOICE</x:v>
      </x:c>
      <x:c r="C497" s="10" t="str">
        <x:v>VOICE:S2-13</x:v>
      </x:c>
      <x:c r="D497" s="10" t="str">
        <x:v>VOICE:M1584</x:v>
      </x:c>
      <x:c r="E497" s="15" t="n">
        <x:v>2.23</x:v>
      </x:c>
      <x:c r="F497" s="15" t="str">
        <x:v>scored</x:v>
      </x:c>
      <x:c r="G497" s="15" t="n">
        <x:v>0</x:v>
      </x:c>
      <x:c r="H497" s="15" t="n">
        <x:v>0</x:v>
      </x:c>
      <x:c r="I497" s="15" t="n">
        <x:v>0</x:v>
      </x:c>
      <x:c r="J497" s="15" t="n">
        <x:v>0</x:v>
      </x:c>
      <x:c r="K497" s="15" t="n">
        <x:v>0</x:v>
      </x:c>
      <x:c r="L497" s="15" t="n">
        <x:v>0</x:v>
      </x:c>
      <x:c r="M497" s="15" t="n">
        <x:v>180</x:v>
      </x:c>
      <x:c r="N497" s="15" t="n">
        <x:v>220</x:v>
      </x:c>
      <x:c r="O497" s="15" t="n">
        <x:v>96</x:v>
      </x:c>
      <x:c r="P497" s="15" t="n">
        <x:v>64</x:v>
      </x:c>
      <x:c r="Q497" s="15" t="n">
        <x:v>32</x:v>
      </x:c>
      <x:c r="R497" s="15" t="n">
        <x:v>60</x:v>
      </x:c>
      <x:c r="S497" s="15" t="n">
        <x:v>280</x:v>
      </x:c>
      <x:c r="T497" s="15" t="n">
        <x:v>420</x:v>
      </x:c>
      <x:c r="U497" s="15" t="n">
        <x:v>0</x:v>
      </x:c>
      <x:c r="V497" s="15" t="n">
        <x:v>96</x:v>
      </x:c>
      <x:c r="W497" s="15" t="n">
        <x:v>380</x:v>
      </x:c>
      <x:c r="X497" s="15" t="n">
        <x:v>0</x:v>
      </x:c>
      <x:c r="Y497" s="15" t="n">
        <x:v>0</x:v>
      </x:c>
      <x:c r="Z497" s="15" t="n">
        <x:v>0</x:v>
      </x:c>
      <x:c r="AA497" s="15" t="n">
        <x:v>0</x:v>
      </x:c>
      <x:c r="AB497" s="15" t="n">
        <x:f>SUM(G497:AA497)</x:f>
        <x:v>1828</x:v>
      </x:c>
    </x:row>
    <x:row r="498" ht="36" customHeight="1">
      <x:c r="A498" s="10" t="str">
        <x:v>V-A</x:v>
      </x:c>
      <x:c r="B498" s="10" t="str">
        <x:v>VOICE</x:v>
      </x:c>
      <x:c r="C498" s="10" t="str">
        <x:v>VOICE:S2-14</x:v>
      </x:c>
      <x:c r="D498" s="10" t="str">
        <x:v>VOICE:M1595</x:v>
      </x:c>
      <x:c r="E498" s="15" t="n">
        <x:v>0</x:v>
      </x:c>
      <x:c r="F498" s="15" t="str">
        <x:v>scored</x:v>
      </x:c>
      <x:c r="G498" s="15" t="n">
        <x:v>0</x:v>
      </x:c>
      <x:c r="H498" s="15" t="n">
        <x:v>0</x:v>
      </x:c>
      <x:c r="I498" s="15" t="n">
        <x:v>0</x:v>
      </x:c>
      <x:c r="J498" s="15" t="n">
        <x:v>0</x:v>
      </x:c>
      <x:c r="K498" s="15" t="n">
        <x:v>0</x:v>
      </x:c>
      <x:c r="L498" s="15" t="n">
        <x:v>0</x:v>
      </x:c>
      <x:c r="M498" s="15" t="n">
        <x:v>180</x:v>
      </x:c>
      <x:c r="N498" s="15" t="n">
        <x:v>220</x:v>
      </x:c>
      <x:c r="O498" s="15" t="n">
        <x:v>96</x:v>
      </x:c>
      <x:c r="P498" s="15" t="n">
        <x:v>64</x:v>
      </x:c>
      <x:c r="Q498" s="15" t="n">
        <x:v>32</x:v>
      </x:c>
      <x:c r="R498" s="15" t="n">
        <x:v>0</x:v>
      </x:c>
      <x:c r="S498" s="15" t="n">
        <x:v>0</x:v>
      </x:c>
      <x:c r="T498" s="15" t="n">
        <x:v>0</x:v>
      </x:c>
      <x:c r="U498" s="15" t="n">
        <x:v>0</x:v>
      </x:c>
      <x:c r="V498" s="15" t="n">
        <x:v>0</x:v>
      </x:c>
      <x:c r="W498" s="15" t="n">
        <x:v>0</x:v>
      </x:c>
      <x:c r="X498" s="15" t="n">
        <x:v>0</x:v>
      </x:c>
      <x:c r="Y498" s="15" t="n">
        <x:v>0</x:v>
      </x:c>
      <x:c r="Z498" s="15" t="n">
        <x:v>0</x:v>
      </x:c>
      <x:c r="AA498" s="15" t="n">
        <x:v>0</x:v>
      </x:c>
      <x:c r="AB498" s="15" t="n">
        <x:f>SUM(G498:AA498)</x:f>
        <x:v>592</x:v>
      </x:c>
    </x:row>
    <x:row r="499" ht="36" customHeight="1">
      <x:c r="A499" s="10" t="str">
        <x:v>V-R1</x:v>
      </x:c>
      <x:c r="B499" s="10" t="str">
        <x:v>VOICE</x:v>
      </x:c>
      <x:c r="C499" s="10" t="str">
        <x:v>VOICE:S2-14</x:v>
      </x:c>
      <x:c r="D499" s="10" t="str">
        <x:v>VOICE:M1610</x:v>
      </x:c>
      <x:c r="E499" s="15" t="n">
        <x:v>2.23</x:v>
      </x:c>
      <x:c r="F499" s="15" t="str">
        <x:v>scored</x:v>
      </x:c>
      <x:c r="G499" s="15" t="n">
        <x:v>0</x:v>
      </x:c>
      <x:c r="H499" s="15" t="n">
        <x:v>0</x:v>
      </x:c>
      <x:c r="I499" s="15" t="n">
        <x:v>0</x:v>
      </x:c>
      <x:c r="J499" s="15" t="n">
        <x:v>0</x:v>
      </x:c>
      <x:c r="K499" s="15" t="n">
        <x:v>0</x:v>
      </x:c>
      <x:c r="L499" s="15" t="n">
        <x:v>0</x:v>
      </x:c>
      <x:c r="M499" s="15" t="n">
        <x:v>180</x:v>
      </x:c>
      <x:c r="N499" s="15" t="n">
        <x:v>220</x:v>
      </x:c>
      <x:c r="O499" s="15" t="n">
        <x:v>96</x:v>
      </x:c>
      <x:c r="P499" s="15" t="n">
        <x:v>64</x:v>
      </x:c>
      <x:c r="Q499" s="15" t="n">
        <x:v>24</x:v>
      </x:c>
      <x:c r="R499" s="15" t="n">
        <x:v>60</x:v>
      </x:c>
      <x:c r="S499" s="15" t="n">
        <x:v>280</x:v>
      </x:c>
      <x:c r="T499" s="15" t="n">
        <x:v>420</x:v>
      </x:c>
      <x:c r="U499" s="15" t="n">
        <x:v>0</x:v>
      </x:c>
      <x:c r="V499" s="15" t="n">
        <x:v>96</x:v>
      </x:c>
      <x:c r="W499" s="15" t="n">
        <x:v>380</x:v>
      </x:c>
      <x:c r="X499" s="15" t="n">
        <x:v>0</x:v>
      </x:c>
      <x:c r="Y499" s="15" t="n">
        <x:v>0</x:v>
      </x:c>
      <x:c r="Z499" s="15" t="n">
        <x:v>0</x:v>
      </x:c>
      <x:c r="AA499" s="15" t="n">
        <x:v>0</x:v>
      </x:c>
      <x:c r="AB499" s="15" t="n">
        <x:f>SUM(G499:AA499)</x:f>
        <x:v>1820</x:v>
      </x:c>
    </x:row>
    <x:row r="500" ht="36" customHeight="1">
      <x:c r="A500" s="10" t="str">
        <x:v>V-R2</x:v>
      </x:c>
      <x:c r="B500" s="10" t="str">
        <x:v>VOICE</x:v>
      </x:c>
      <x:c r="C500" s="10" t="str">
        <x:v>VOICE:S2-14</x:v>
      </x:c>
      <x:c r="D500" s="10" t="str">
        <x:v>VOICE:M1625</x:v>
      </x:c>
      <x:c r="E500" s="15" t="n">
        <x:v>2.23</x:v>
      </x:c>
      <x:c r="F500" s="15" t="str">
        <x:v>scored</x:v>
      </x:c>
      <x:c r="G500" s="15" t="n">
        <x:v>0</x:v>
      </x:c>
      <x:c r="H500" s="15" t="n">
        <x:v>0</x:v>
      </x:c>
      <x:c r="I500" s="15" t="n">
        <x:v>0</x:v>
      </x:c>
      <x:c r="J500" s="15" t="n">
        <x:v>0</x:v>
      </x:c>
      <x:c r="K500" s="15" t="n">
        <x:v>0</x:v>
      </x:c>
      <x:c r="L500" s="15" t="n">
        <x:v>0</x:v>
      </x:c>
      <x:c r="M500" s="15" t="n">
        <x:v>180</x:v>
      </x:c>
      <x:c r="N500" s="15" t="n">
        <x:v>220</x:v>
      </x:c>
      <x:c r="O500" s="15" t="n">
        <x:v>96</x:v>
      </x:c>
      <x:c r="P500" s="15" t="n">
        <x:v>64</x:v>
      </x:c>
      <x:c r="Q500" s="15" t="n">
        <x:v>24</x:v>
      </x:c>
      <x:c r="R500" s="15" t="n">
        <x:v>60</x:v>
      </x:c>
      <x:c r="S500" s="15" t="n">
        <x:v>280</x:v>
      </x:c>
      <x:c r="T500" s="15" t="n">
        <x:v>420</x:v>
      </x:c>
      <x:c r="U500" s="15" t="n">
        <x:v>0</x:v>
      </x:c>
      <x:c r="V500" s="15" t="n">
        <x:v>96</x:v>
      </x:c>
      <x:c r="W500" s="15" t="n">
        <x:v>380</x:v>
      </x:c>
      <x:c r="X500" s="15" t="n">
        <x:v>0</x:v>
      </x:c>
      <x:c r="Y500" s="15" t="n">
        <x:v>0</x:v>
      </x:c>
      <x:c r="Z500" s="15" t="n">
        <x:v>0</x:v>
      </x:c>
      <x:c r="AA500" s="15" t="n">
        <x:v>0</x:v>
      </x:c>
      <x:c r="AB500" s="15" t="n">
        <x:f>SUM(G500:AA500)</x:f>
        <x:v>1820</x:v>
      </x:c>
    </x:row>
    <x:row r="501" ht="36" customHeight="1">
      <x:c r="A501" s="10" t="str">
        <x:v>V-R3</x:v>
      </x:c>
      <x:c r="B501" s="10" t="str">
        <x:v>VOICE</x:v>
      </x:c>
      <x:c r="C501" s="10" t="str">
        <x:v>VOICE:S2-14</x:v>
      </x:c>
      <x:c r="D501" s="10" t="str">
        <x:v>VOICE:M1639</x:v>
      </x:c>
      <x:c r="E501" s="15" t="n">
        <x:v>2.23</x:v>
      </x:c>
      <x:c r="F501" s="15" t="str">
        <x:v>scored</x:v>
      </x:c>
      <x:c r="G501" s="15" t="n">
        <x:v>0</x:v>
      </x:c>
      <x:c r="H501" s="15" t="n">
        <x:v>0</x:v>
      </x:c>
      <x:c r="I501" s="15" t="n">
        <x:v>0</x:v>
      </x:c>
      <x:c r="J501" s="15" t="n">
        <x:v>0</x:v>
      </x:c>
      <x:c r="K501" s="15" t="n">
        <x:v>0</x:v>
      </x:c>
      <x:c r="L501" s="15" t="n">
        <x:v>0</x:v>
      </x:c>
      <x:c r="M501" s="15" t="n">
        <x:v>180</x:v>
      </x:c>
      <x:c r="N501" s="15" t="n">
        <x:v>220</x:v>
      </x:c>
      <x:c r="O501" s="15" t="n">
        <x:v>96</x:v>
      </x:c>
      <x:c r="P501" s="15" t="n">
        <x:v>64</x:v>
      </x:c>
      <x:c r="Q501" s="15" t="n">
        <x:v>32</x:v>
      </x:c>
      <x:c r="R501" s="15" t="n">
        <x:v>60</x:v>
      </x:c>
      <x:c r="S501" s="15" t="n">
        <x:v>280</x:v>
      </x:c>
      <x:c r="T501" s="15" t="n">
        <x:v>420</x:v>
      </x:c>
      <x:c r="U501" s="15" t="n">
        <x:v>0</x:v>
      </x:c>
      <x:c r="V501" s="15" t="n">
        <x:v>96</x:v>
      </x:c>
      <x:c r="W501" s="15" t="n">
        <x:v>380</x:v>
      </x:c>
      <x:c r="X501" s="15" t="n">
        <x:v>0</x:v>
      </x:c>
      <x:c r="Y501" s="15" t="n">
        <x:v>0</x:v>
      </x:c>
      <x:c r="Z501" s="15" t="n">
        <x:v>0</x:v>
      </x:c>
      <x:c r="AA501" s="15" t="n">
        <x:v>0</x:v>
      </x:c>
      <x:c r="AB501" s="15" t="n">
        <x:f>SUM(G501:AA501)</x:f>
        <x:v>1828</x:v>
      </x:c>
    </x:row>
    <x:row r="502" ht="36" customHeight="1">
      <x:c r="A502" s="10" t="str">
        <x:v>V-A</x:v>
      </x:c>
      <x:c r="B502" s="10" t="str">
        <x:v>VOICE</x:v>
      </x:c>
      <x:c r="C502" s="10" t="str">
        <x:v>VOICE:S2-15</x:v>
      </x:c>
      <x:c r="D502" s="10" t="str">
        <x:v>VOICE:M1650</x:v>
      </x:c>
      <x:c r="E502" s="15" t="n">
        <x:v>0</x:v>
      </x:c>
      <x:c r="F502" s="15" t="str">
        <x:v>scored</x:v>
      </x:c>
      <x:c r="G502" s="15" t="n">
        <x:v>0</x:v>
      </x:c>
      <x:c r="H502" s="15" t="n">
        <x:v>0</x:v>
      </x:c>
      <x:c r="I502" s="15" t="n">
        <x:v>0</x:v>
      </x:c>
      <x:c r="J502" s="15" t="n">
        <x:v>0</x:v>
      </x:c>
      <x:c r="K502" s="15" t="n">
        <x:v>0</x:v>
      </x:c>
      <x:c r="L502" s="15" t="n">
        <x:v>0</x:v>
      </x:c>
      <x:c r="M502" s="15" t="n">
        <x:v>180</x:v>
      </x:c>
      <x:c r="N502" s="15" t="n">
        <x:v>220</x:v>
      </x:c>
      <x:c r="O502" s="15" t="n">
        <x:v>96</x:v>
      </x:c>
      <x:c r="P502" s="15" t="n">
        <x:v>64</x:v>
      </x:c>
      <x:c r="Q502" s="15" t="n">
        <x:v>32</x:v>
      </x:c>
      <x:c r="R502" s="15" t="n">
        <x:v>0</x:v>
      </x:c>
      <x:c r="S502" s="15" t="n">
        <x:v>0</x:v>
      </x:c>
      <x:c r="T502" s="15" t="n">
        <x:v>0</x:v>
      </x:c>
      <x:c r="U502" s="15" t="n">
        <x:v>0</x:v>
      </x:c>
      <x:c r="V502" s="15" t="n">
        <x:v>0</x:v>
      </x:c>
      <x:c r="W502" s="15" t="n">
        <x:v>0</x:v>
      </x:c>
      <x:c r="X502" s="15" t="n">
        <x:v>0</x:v>
      </x:c>
      <x:c r="Y502" s="15" t="n">
        <x:v>0</x:v>
      </x:c>
      <x:c r="Z502" s="15" t="n">
        <x:v>0</x:v>
      </x:c>
      <x:c r="AA502" s="15" t="n">
        <x:v>0</x:v>
      </x:c>
      <x:c r="AB502" s="15" t="n">
        <x:f>SUM(G502:AA502)</x:f>
        <x:v>592</x:v>
      </x:c>
    </x:row>
    <x:row r="503" ht="36" customHeight="1">
      <x:c r="A503" s="10" t="str">
        <x:v>V-R1</x:v>
      </x:c>
      <x:c r="B503" s="10" t="str">
        <x:v>VOICE</x:v>
      </x:c>
      <x:c r="C503" s="10" t="str">
        <x:v>VOICE:S2-15</x:v>
      </x:c>
      <x:c r="D503" s="10" t="str">
        <x:v>VOICE:M1665</x:v>
      </x:c>
      <x:c r="E503" s="15" t="n">
        <x:v>2.23</x:v>
      </x:c>
      <x:c r="F503" s="15" t="str">
        <x:v>scored</x:v>
      </x:c>
      <x:c r="G503" s="15" t="n">
        <x:v>0</x:v>
      </x:c>
      <x:c r="H503" s="15" t="n">
        <x:v>0</x:v>
      </x:c>
      <x:c r="I503" s="15" t="n">
        <x:v>0</x:v>
      </x:c>
      <x:c r="J503" s="15" t="n">
        <x:v>0</x:v>
      </x:c>
      <x:c r="K503" s="15" t="n">
        <x:v>0</x:v>
      </x:c>
      <x:c r="L503" s="15" t="n">
        <x:v>0</x:v>
      </x:c>
      <x:c r="M503" s="15" t="n">
        <x:v>180</x:v>
      </x:c>
      <x:c r="N503" s="15" t="n">
        <x:v>220</x:v>
      </x:c>
      <x:c r="O503" s="15" t="n">
        <x:v>96</x:v>
      </x:c>
      <x:c r="P503" s="15" t="n">
        <x:v>64</x:v>
      </x:c>
      <x:c r="Q503" s="15" t="n">
        <x:v>24</x:v>
      </x:c>
      <x:c r="R503" s="15" t="n">
        <x:v>60</x:v>
      </x:c>
      <x:c r="S503" s="15" t="n">
        <x:v>280</x:v>
      </x:c>
      <x:c r="T503" s="15" t="n">
        <x:v>420</x:v>
      </x:c>
      <x:c r="U503" s="15" t="n">
        <x:v>0</x:v>
      </x:c>
      <x:c r="V503" s="15" t="n">
        <x:v>96</x:v>
      </x:c>
      <x:c r="W503" s="15" t="n">
        <x:v>380</x:v>
      </x:c>
      <x:c r="X503" s="15" t="n">
        <x:v>0</x:v>
      </x:c>
      <x:c r="Y503" s="15" t="n">
        <x:v>0</x:v>
      </x:c>
      <x:c r="Z503" s="15" t="n">
        <x:v>0</x:v>
      </x:c>
      <x:c r="AA503" s="15" t="n">
        <x:v>0</x:v>
      </x:c>
      <x:c r="AB503" s="15" t="n">
        <x:f>SUM(G503:AA503)</x:f>
        <x:v>1820</x:v>
      </x:c>
    </x:row>
    <x:row r="504" ht="36" customHeight="1">
      <x:c r="A504" s="10" t="str">
        <x:v>V-R2</x:v>
      </x:c>
      <x:c r="B504" s="10" t="str">
        <x:v>VOICE</x:v>
      </x:c>
      <x:c r="C504" s="10" t="str">
        <x:v>VOICE:S2-15</x:v>
      </x:c>
      <x:c r="D504" s="10" t="str">
        <x:v>VOICE:M1680</x:v>
      </x:c>
      <x:c r="E504" s="15" t="n">
        <x:v>2.23</x:v>
      </x:c>
      <x:c r="F504" s="15" t="str">
        <x:v>scored</x:v>
      </x:c>
      <x:c r="G504" s="15" t="n">
        <x:v>0</x:v>
      </x:c>
      <x:c r="H504" s="15" t="n">
        <x:v>0</x:v>
      </x:c>
      <x:c r="I504" s="15" t="n">
        <x:v>0</x:v>
      </x:c>
      <x:c r="J504" s="15" t="n">
        <x:v>0</x:v>
      </x:c>
      <x:c r="K504" s="15" t="n">
        <x:v>0</x:v>
      </x:c>
      <x:c r="L504" s="15" t="n">
        <x:v>0</x:v>
      </x:c>
      <x:c r="M504" s="15" t="n">
        <x:v>180</x:v>
      </x:c>
      <x:c r="N504" s="15" t="n">
        <x:v>220</x:v>
      </x:c>
      <x:c r="O504" s="15" t="n">
        <x:v>96</x:v>
      </x:c>
      <x:c r="P504" s="15" t="n">
        <x:v>64</x:v>
      </x:c>
      <x:c r="Q504" s="15" t="n">
        <x:v>24</x:v>
      </x:c>
      <x:c r="R504" s="15" t="n">
        <x:v>60</x:v>
      </x:c>
      <x:c r="S504" s="15" t="n">
        <x:v>280</x:v>
      </x:c>
      <x:c r="T504" s="15" t="n">
        <x:v>420</x:v>
      </x:c>
      <x:c r="U504" s="15" t="n">
        <x:v>0</x:v>
      </x:c>
      <x:c r="V504" s="15" t="n">
        <x:v>96</x:v>
      </x:c>
      <x:c r="W504" s="15" t="n">
        <x:v>380</x:v>
      </x:c>
      <x:c r="X504" s="15" t="n">
        <x:v>0</x:v>
      </x:c>
      <x:c r="Y504" s="15" t="n">
        <x:v>0</x:v>
      </x:c>
      <x:c r="Z504" s="15" t="n">
        <x:v>0</x:v>
      </x:c>
      <x:c r="AA504" s="15" t="n">
        <x:v>0</x:v>
      </x:c>
      <x:c r="AB504" s="15" t="n">
        <x:f>SUM(G504:AA504)</x:f>
        <x:v>1820</x:v>
      </x:c>
    </x:row>
    <x:row r="505" ht="36" customHeight="1">
      <x:c r="A505" s="10" t="str">
        <x:v>V-R3</x:v>
      </x:c>
      <x:c r="B505" s="10" t="str">
        <x:v>VOICE</x:v>
      </x:c>
      <x:c r="C505" s="10" t="str">
        <x:v>VOICE:S2-15</x:v>
      </x:c>
      <x:c r="D505" s="10" t="str">
        <x:v>VOICE:M1694</x:v>
      </x:c>
      <x:c r="E505" s="15" t="n">
        <x:v>2.23</x:v>
      </x:c>
      <x:c r="F505" s="15" t="str">
        <x:v>scored</x:v>
      </x:c>
      <x:c r="G505" s="15" t="n">
        <x:v>0</x:v>
      </x:c>
      <x:c r="H505" s="15" t="n">
        <x:v>0</x:v>
      </x:c>
      <x:c r="I505" s="15" t="n">
        <x:v>0</x:v>
      </x:c>
      <x:c r="J505" s="15" t="n">
        <x:v>0</x:v>
      </x:c>
      <x:c r="K505" s="15" t="n">
        <x:v>0</x:v>
      </x:c>
      <x:c r="L505" s="15" t="n">
        <x:v>0</x:v>
      </x:c>
      <x:c r="M505" s="15" t="n">
        <x:v>180</x:v>
      </x:c>
      <x:c r="N505" s="15" t="n">
        <x:v>220</x:v>
      </x:c>
      <x:c r="O505" s="15" t="n">
        <x:v>96</x:v>
      </x:c>
      <x:c r="P505" s="15" t="n">
        <x:v>64</x:v>
      </x:c>
      <x:c r="Q505" s="15" t="n">
        <x:v>32</x:v>
      </x:c>
      <x:c r="R505" s="15" t="n">
        <x:v>60</x:v>
      </x:c>
      <x:c r="S505" s="15" t="n">
        <x:v>280</x:v>
      </x:c>
      <x:c r="T505" s="15" t="n">
        <x:v>420</x:v>
      </x:c>
      <x:c r="U505" s="15" t="n">
        <x:v>0</x:v>
      </x:c>
      <x:c r="V505" s="15" t="n">
        <x:v>96</x:v>
      </x:c>
      <x:c r="W505" s="15" t="n">
        <x:v>380</x:v>
      </x:c>
      <x:c r="X505" s="15" t="n">
        <x:v>0</x:v>
      </x:c>
      <x:c r="Y505" s="15" t="n">
        <x:v>0</x:v>
      </x:c>
      <x:c r="Z505" s="15" t="n">
        <x:v>0</x:v>
      </x:c>
      <x:c r="AA505" s="15" t="n">
        <x:v>0</x:v>
      </x:c>
      <x:c r="AB505" s="15" t="n">
        <x:f>SUM(G505:AA505)</x:f>
        <x:v>1828</x:v>
      </x:c>
    </x:row>
    <x:row r="506" ht="36" customHeight="1">
      <x:c r="A506" s="10" t="str">
        <x:v>V-A</x:v>
      </x:c>
      <x:c r="B506" s="10" t="str">
        <x:v>VOICE</x:v>
      </x:c>
      <x:c r="C506" s="10" t="str">
        <x:v>VOICE:S2-16</x:v>
      </x:c>
      <x:c r="D506" s="10" t="str">
        <x:v>VOICE:M1705</x:v>
      </x:c>
      <x:c r="E506" s="15" t="n">
        <x:v>0</x:v>
      </x:c>
      <x:c r="F506" s="15" t="str">
        <x:v>scored</x:v>
      </x:c>
      <x:c r="G506" s="15" t="n">
        <x:v>0</x:v>
      </x:c>
      <x:c r="H506" s="15" t="n">
        <x:v>0</x:v>
      </x:c>
      <x:c r="I506" s="15" t="n">
        <x:v>0</x:v>
      </x:c>
      <x:c r="J506" s="15" t="n">
        <x:v>0</x:v>
      </x:c>
      <x:c r="K506" s="15" t="n">
        <x:v>0</x:v>
      </x:c>
      <x:c r="L506" s="15" t="n">
        <x:v>0</x:v>
      </x:c>
      <x:c r="M506" s="15" t="n">
        <x:v>180</x:v>
      </x:c>
      <x:c r="N506" s="15" t="n">
        <x:v>220</x:v>
      </x:c>
      <x:c r="O506" s="15" t="n">
        <x:v>96</x:v>
      </x:c>
      <x:c r="P506" s="15" t="n">
        <x:v>64</x:v>
      </x:c>
      <x:c r="Q506" s="15" t="n">
        <x:v>32</x:v>
      </x:c>
      <x:c r="R506" s="15" t="n">
        <x:v>0</x:v>
      </x:c>
      <x:c r="S506" s="15" t="n">
        <x:v>0</x:v>
      </x:c>
      <x:c r="T506" s="15" t="n">
        <x:v>0</x:v>
      </x:c>
      <x:c r="U506" s="15" t="n">
        <x:v>0</x:v>
      </x:c>
      <x:c r="V506" s="15" t="n">
        <x:v>0</x:v>
      </x:c>
      <x:c r="W506" s="15" t="n">
        <x:v>0</x:v>
      </x:c>
      <x:c r="X506" s="15" t="n">
        <x:v>0</x:v>
      </x:c>
      <x:c r="Y506" s="15" t="n">
        <x:v>0</x:v>
      </x:c>
      <x:c r="Z506" s="15" t="n">
        <x:v>0</x:v>
      </x:c>
      <x:c r="AA506" s="15" t="n">
        <x:v>0</x:v>
      </x:c>
      <x:c r="AB506" s="15" t="n">
        <x:f>SUM(G506:AA506)</x:f>
        <x:v>592</x:v>
      </x:c>
    </x:row>
    <x:row r="507" ht="36" customHeight="1">
      <x:c r="A507" s="10" t="str">
        <x:v>V-R1</x:v>
      </x:c>
      <x:c r="B507" s="10" t="str">
        <x:v>VOICE</x:v>
      </x:c>
      <x:c r="C507" s="10" t="str">
        <x:v>VOICE:S2-16</x:v>
      </x:c>
      <x:c r="D507" s="10" t="str">
        <x:v>VOICE:M1720</x:v>
      </x:c>
      <x:c r="E507" s="15" t="n">
        <x:v>2.23</x:v>
      </x:c>
      <x:c r="F507" s="15" t="str">
        <x:v>scored</x:v>
      </x:c>
      <x:c r="G507" s="15" t="n">
        <x:v>0</x:v>
      </x:c>
      <x:c r="H507" s="15" t="n">
        <x:v>0</x:v>
      </x:c>
      <x:c r="I507" s="15" t="n">
        <x:v>0</x:v>
      </x:c>
      <x:c r="J507" s="15" t="n">
        <x:v>0</x:v>
      </x:c>
      <x:c r="K507" s="15" t="n">
        <x:v>0</x:v>
      </x:c>
      <x:c r="L507" s="15" t="n">
        <x:v>0</x:v>
      </x:c>
      <x:c r="M507" s="15" t="n">
        <x:v>180</x:v>
      </x:c>
      <x:c r="N507" s="15" t="n">
        <x:v>220</x:v>
      </x:c>
      <x:c r="O507" s="15" t="n">
        <x:v>96</x:v>
      </x:c>
      <x:c r="P507" s="15" t="n">
        <x:v>64</x:v>
      </x:c>
      <x:c r="Q507" s="15" t="n">
        <x:v>24</x:v>
      </x:c>
      <x:c r="R507" s="15" t="n">
        <x:v>60</x:v>
      </x:c>
      <x:c r="S507" s="15" t="n">
        <x:v>280</x:v>
      </x:c>
      <x:c r="T507" s="15" t="n">
        <x:v>420</x:v>
      </x:c>
      <x:c r="U507" s="15" t="n">
        <x:v>0</x:v>
      </x:c>
      <x:c r="V507" s="15" t="n">
        <x:v>96</x:v>
      </x:c>
      <x:c r="W507" s="15" t="n">
        <x:v>380</x:v>
      </x:c>
      <x:c r="X507" s="15" t="n">
        <x:v>0</x:v>
      </x:c>
      <x:c r="Y507" s="15" t="n">
        <x:v>0</x:v>
      </x:c>
      <x:c r="Z507" s="15" t="n">
        <x:v>0</x:v>
      </x:c>
      <x:c r="AA507" s="15" t="n">
        <x:v>0</x:v>
      </x:c>
      <x:c r="AB507" s="15" t="n">
        <x:f>SUM(G507:AA507)</x:f>
        <x:v>1820</x:v>
      </x:c>
    </x:row>
    <x:row r="508" ht="36" customHeight="1">
      <x:c r="A508" s="10" t="str">
        <x:v>V-R2</x:v>
      </x:c>
      <x:c r="B508" s="10" t="str">
        <x:v>VOICE</x:v>
      </x:c>
      <x:c r="C508" s="10" t="str">
        <x:v>VOICE:S2-16</x:v>
      </x:c>
      <x:c r="D508" s="10" t="str">
        <x:v>VOICE:M1735</x:v>
      </x:c>
      <x:c r="E508" s="15" t="n">
        <x:v>2.23</x:v>
      </x:c>
      <x:c r="F508" s="15" t="str">
        <x:v>scored</x:v>
      </x:c>
      <x:c r="G508" s="15" t="n">
        <x:v>0</x:v>
      </x:c>
      <x:c r="H508" s="15" t="n">
        <x:v>0</x:v>
      </x:c>
      <x:c r="I508" s="15" t="n">
        <x:v>0</x:v>
      </x:c>
      <x:c r="J508" s="15" t="n">
        <x:v>0</x:v>
      </x:c>
      <x:c r="K508" s="15" t="n">
        <x:v>0</x:v>
      </x:c>
      <x:c r="L508" s="15" t="n">
        <x:v>0</x:v>
      </x:c>
      <x:c r="M508" s="15" t="n">
        <x:v>180</x:v>
      </x:c>
      <x:c r="N508" s="15" t="n">
        <x:v>220</x:v>
      </x:c>
      <x:c r="O508" s="15" t="n">
        <x:v>96</x:v>
      </x:c>
      <x:c r="P508" s="15" t="n">
        <x:v>64</x:v>
      </x:c>
      <x:c r="Q508" s="15" t="n">
        <x:v>24</x:v>
      </x:c>
      <x:c r="R508" s="15" t="n">
        <x:v>60</x:v>
      </x:c>
      <x:c r="S508" s="15" t="n">
        <x:v>280</x:v>
      </x:c>
      <x:c r="T508" s="15" t="n">
        <x:v>420</x:v>
      </x:c>
      <x:c r="U508" s="15" t="n">
        <x:v>0</x:v>
      </x:c>
      <x:c r="V508" s="15" t="n">
        <x:v>96</x:v>
      </x:c>
      <x:c r="W508" s="15" t="n">
        <x:v>380</x:v>
      </x:c>
      <x:c r="X508" s="15" t="n">
        <x:v>0</x:v>
      </x:c>
      <x:c r="Y508" s="15" t="n">
        <x:v>0</x:v>
      </x:c>
      <x:c r="Z508" s="15" t="n">
        <x:v>0</x:v>
      </x:c>
      <x:c r="AA508" s="15" t="n">
        <x:v>0</x:v>
      </x:c>
      <x:c r="AB508" s="15" t="n">
        <x:f>SUM(G508:AA508)</x:f>
        <x:v>1820</x:v>
      </x:c>
    </x:row>
    <x:row r="509" ht="36" customHeight="1">
      <x:c r="A509" s="10" t="str">
        <x:v>V-R3</x:v>
      </x:c>
      <x:c r="B509" s="10" t="str">
        <x:v>VOICE</x:v>
      </x:c>
      <x:c r="C509" s="10" t="str">
        <x:v>VOICE:S2-16</x:v>
      </x:c>
      <x:c r="D509" s="10" t="str">
        <x:v>VOICE:M1749</x:v>
      </x:c>
      <x:c r="E509" s="15" t="n">
        <x:v>2.23</x:v>
      </x:c>
      <x:c r="F509" s="15" t="str">
        <x:v>scored</x:v>
      </x:c>
      <x:c r="G509" s="15" t="n">
        <x:v>0</x:v>
      </x:c>
      <x:c r="H509" s="15" t="n">
        <x:v>0</x:v>
      </x:c>
      <x:c r="I509" s="15" t="n">
        <x:v>0</x:v>
      </x:c>
      <x:c r="J509" s="15" t="n">
        <x:v>0</x:v>
      </x:c>
      <x:c r="K509" s="15" t="n">
        <x:v>0</x:v>
      </x:c>
      <x:c r="L509" s="15" t="n">
        <x:v>0</x:v>
      </x:c>
      <x:c r="M509" s="15" t="n">
        <x:v>180</x:v>
      </x:c>
      <x:c r="N509" s="15" t="n">
        <x:v>220</x:v>
      </x:c>
      <x:c r="O509" s="15" t="n">
        <x:v>96</x:v>
      </x:c>
      <x:c r="P509" s="15" t="n">
        <x:v>64</x:v>
      </x:c>
      <x:c r="Q509" s="15" t="n">
        <x:v>32</x:v>
      </x:c>
      <x:c r="R509" s="15" t="n">
        <x:v>60</x:v>
      </x:c>
      <x:c r="S509" s="15" t="n">
        <x:v>280</x:v>
      </x:c>
      <x:c r="T509" s="15" t="n">
        <x:v>420</x:v>
      </x:c>
      <x:c r="U509" s="15" t="n">
        <x:v>0</x:v>
      </x:c>
      <x:c r="V509" s="15" t="n">
        <x:v>96</x:v>
      </x:c>
      <x:c r="W509" s="15" t="n">
        <x:v>380</x:v>
      </x:c>
      <x:c r="X509" s="15" t="n">
        <x:v>0</x:v>
      </x:c>
      <x:c r="Y509" s="15" t="n">
        <x:v>0</x:v>
      </x:c>
      <x:c r="Z509" s="15" t="n">
        <x:v>0</x:v>
      </x:c>
      <x:c r="AA509" s="15" t="n">
        <x:v>0</x:v>
      </x:c>
      <x:c r="AB509" s="15" t="n">
        <x:f>SUM(G509:AA509)</x:f>
        <x:v>1828</x:v>
      </x:c>
    </x:row>
    <x:row r="510" ht="36" customHeight="1">
      <x:c r="A510" s="10" t="str">
        <x:v>V-A</x:v>
      </x:c>
      <x:c r="B510" s="10" t="str">
        <x:v>VOICE</x:v>
      </x:c>
      <x:c r="C510" s="10" t="str">
        <x:v>VOICE:S2-17</x:v>
      </x:c>
      <x:c r="D510" s="10" t="str">
        <x:v>VOICE:M1760</x:v>
      </x:c>
      <x:c r="E510" s="15" t="n">
        <x:v>0</x:v>
      </x:c>
      <x:c r="F510" s="15" t="str">
        <x:v>scored</x:v>
      </x:c>
      <x:c r="G510" s="15" t="n">
        <x:v>0</x:v>
      </x:c>
      <x:c r="H510" s="15" t="n">
        <x:v>0</x:v>
      </x:c>
      <x:c r="I510" s="15" t="n">
        <x:v>0</x:v>
      </x:c>
      <x:c r="J510" s="15" t="n">
        <x:v>0</x:v>
      </x:c>
      <x:c r="K510" s="15" t="n">
        <x:v>0</x:v>
      </x:c>
      <x:c r="L510" s="15" t="n">
        <x:v>0</x:v>
      </x:c>
      <x:c r="M510" s="15" t="n">
        <x:v>180</x:v>
      </x:c>
      <x:c r="N510" s="15" t="n">
        <x:v>220</x:v>
      </x:c>
      <x:c r="O510" s="15" t="n">
        <x:v>96</x:v>
      </x:c>
      <x:c r="P510" s="15" t="n">
        <x:v>64</x:v>
      </x:c>
      <x:c r="Q510" s="15" t="n">
        <x:v>32</x:v>
      </x:c>
      <x:c r="R510" s="15" t="n">
        <x:v>0</x:v>
      </x:c>
      <x:c r="S510" s="15" t="n">
        <x:v>0</x:v>
      </x:c>
      <x:c r="T510" s="15" t="n">
        <x:v>0</x:v>
      </x:c>
      <x:c r="U510" s="15" t="n">
        <x:v>0</x:v>
      </x:c>
      <x:c r="V510" s="15" t="n">
        <x:v>0</x:v>
      </x:c>
      <x:c r="W510" s="15" t="n">
        <x:v>0</x:v>
      </x:c>
      <x:c r="X510" s="15" t="n">
        <x:v>0</x:v>
      </x:c>
      <x:c r="Y510" s="15" t="n">
        <x:v>0</x:v>
      </x:c>
      <x:c r="Z510" s="15" t="n">
        <x:v>0</x:v>
      </x:c>
      <x:c r="AA510" s="15" t="n">
        <x:v>0</x:v>
      </x:c>
      <x:c r="AB510" s="15" t="n">
        <x:f>SUM(G510:AA510)</x:f>
        <x:v>592</x:v>
      </x:c>
    </x:row>
    <x:row r="511" ht="36" customHeight="1">
      <x:c r="A511" s="10" t="str">
        <x:v>V-R1</x:v>
      </x:c>
      <x:c r="B511" s="10" t="str">
        <x:v>VOICE</x:v>
      </x:c>
      <x:c r="C511" s="10" t="str">
        <x:v>VOICE:S2-17</x:v>
      </x:c>
      <x:c r="D511" s="10" t="str">
        <x:v>VOICE:M1775</x:v>
      </x:c>
      <x:c r="E511" s="15" t="n">
        <x:v>2.23</x:v>
      </x:c>
      <x:c r="F511" s="15" t="str">
        <x:v>scored</x:v>
      </x:c>
      <x:c r="G511" s="15" t="n">
        <x:v>0</x:v>
      </x:c>
      <x:c r="H511" s="15" t="n">
        <x:v>0</x:v>
      </x:c>
      <x:c r="I511" s="15" t="n">
        <x:v>0</x:v>
      </x:c>
      <x:c r="J511" s="15" t="n">
        <x:v>0</x:v>
      </x:c>
      <x:c r="K511" s="15" t="n">
        <x:v>0</x:v>
      </x:c>
      <x:c r="L511" s="15" t="n">
        <x:v>0</x:v>
      </x:c>
      <x:c r="M511" s="15" t="n">
        <x:v>180</x:v>
      </x:c>
      <x:c r="N511" s="15" t="n">
        <x:v>220</x:v>
      </x:c>
      <x:c r="O511" s="15" t="n">
        <x:v>96</x:v>
      </x:c>
      <x:c r="P511" s="15" t="n">
        <x:v>64</x:v>
      </x:c>
      <x:c r="Q511" s="15" t="n">
        <x:v>24</x:v>
      </x:c>
      <x:c r="R511" s="15" t="n">
        <x:v>60</x:v>
      </x:c>
      <x:c r="S511" s="15" t="n">
        <x:v>280</x:v>
      </x:c>
      <x:c r="T511" s="15" t="n">
        <x:v>420</x:v>
      </x:c>
      <x:c r="U511" s="15" t="n">
        <x:v>0</x:v>
      </x:c>
      <x:c r="V511" s="15" t="n">
        <x:v>96</x:v>
      </x:c>
      <x:c r="W511" s="15" t="n">
        <x:v>380</x:v>
      </x:c>
      <x:c r="X511" s="15" t="n">
        <x:v>0</x:v>
      </x:c>
      <x:c r="Y511" s="15" t="n">
        <x:v>0</x:v>
      </x:c>
      <x:c r="Z511" s="15" t="n">
        <x:v>0</x:v>
      </x:c>
      <x:c r="AA511" s="15" t="n">
        <x:v>0</x:v>
      </x:c>
      <x:c r="AB511" s="15" t="n">
        <x:f>SUM(G511:AA511)</x:f>
        <x:v>1820</x:v>
      </x:c>
    </x:row>
    <x:row r="512" ht="36" customHeight="1">
      <x:c r="A512" s="10" t="str">
        <x:v>V-R2</x:v>
      </x:c>
      <x:c r="B512" s="10" t="str">
        <x:v>VOICE</x:v>
      </x:c>
      <x:c r="C512" s="10" t="str">
        <x:v>VOICE:S2-17</x:v>
      </x:c>
      <x:c r="D512" s="10" t="str">
        <x:v>VOICE:M1790</x:v>
      </x:c>
      <x:c r="E512" s="15" t="n">
        <x:v>2.23</x:v>
      </x:c>
      <x:c r="F512" s="15" t="str">
        <x:v>scored</x:v>
      </x:c>
      <x:c r="G512" s="15" t="n">
        <x:v>0</x:v>
      </x:c>
      <x:c r="H512" s="15" t="n">
        <x:v>0</x:v>
      </x:c>
      <x:c r="I512" s="15" t="n">
        <x:v>0</x:v>
      </x:c>
      <x:c r="J512" s="15" t="n">
        <x:v>0</x:v>
      </x:c>
      <x:c r="K512" s="15" t="n">
        <x:v>0</x:v>
      </x:c>
      <x:c r="L512" s="15" t="n">
        <x:v>0</x:v>
      </x:c>
      <x:c r="M512" s="15" t="n">
        <x:v>180</x:v>
      </x:c>
      <x:c r="N512" s="15" t="n">
        <x:v>220</x:v>
      </x:c>
      <x:c r="O512" s="15" t="n">
        <x:v>96</x:v>
      </x:c>
      <x:c r="P512" s="15" t="n">
        <x:v>64</x:v>
      </x:c>
      <x:c r="Q512" s="15" t="n">
        <x:v>24</x:v>
      </x:c>
      <x:c r="R512" s="15" t="n">
        <x:v>60</x:v>
      </x:c>
      <x:c r="S512" s="15" t="n">
        <x:v>280</x:v>
      </x:c>
      <x:c r="T512" s="15" t="n">
        <x:v>420</x:v>
      </x:c>
      <x:c r="U512" s="15" t="n">
        <x:v>0</x:v>
      </x:c>
      <x:c r="V512" s="15" t="n">
        <x:v>96</x:v>
      </x:c>
      <x:c r="W512" s="15" t="n">
        <x:v>380</x:v>
      </x:c>
      <x:c r="X512" s="15" t="n">
        <x:v>0</x:v>
      </x:c>
      <x:c r="Y512" s="15" t="n">
        <x:v>0</x:v>
      </x:c>
      <x:c r="Z512" s="15" t="n">
        <x:v>0</x:v>
      </x:c>
      <x:c r="AA512" s="15" t="n">
        <x:v>0</x:v>
      </x:c>
      <x:c r="AB512" s="15" t="n">
        <x:f>SUM(G512:AA512)</x:f>
        <x:v>1820</x:v>
      </x:c>
    </x:row>
    <x:row r="513" ht="36" customHeight="1">
      <x:c r="A513" s="10" t="str">
        <x:v>V-R3</x:v>
      </x:c>
      <x:c r="B513" s="10" t="str">
        <x:v>VOICE</x:v>
      </x:c>
      <x:c r="C513" s="10" t="str">
        <x:v>VOICE:S2-17</x:v>
      </x:c>
      <x:c r="D513" s="10" t="str">
        <x:v>VOICE:M1804</x:v>
      </x:c>
      <x:c r="E513" s="15" t="n">
        <x:v>2.23</x:v>
      </x:c>
      <x:c r="F513" s="15" t="str">
        <x:v>scored</x:v>
      </x:c>
      <x:c r="G513" s="15" t="n">
        <x:v>0</x:v>
      </x:c>
      <x:c r="H513" s="15" t="n">
        <x:v>0</x:v>
      </x:c>
      <x:c r="I513" s="15" t="n">
        <x:v>0</x:v>
      </x:c>
      <x:c r="J513" s="15" t="n">
        <x:v>0</x:v>
      </x:c>
      <x:c r="K513" s="15" t="n">
        <x:v>0</x:v>
      </x:c>
      <x:c r="L513" s="15" t="n">
        <x:v>0</x:v>
      </x:c>
      <x:c r="M513" s="15" t="n">
        <x:v>180</x:v>
      </x:c>
      <x:c r="N513" s="15" t="n">
        <x:v>220</x:v>
      </x:c>
      <x:c r="O513" s="15" t="n">
        <x:v>96</x:v>
      </x:c>
      <x:c r="P513" s="15" t="n">
        <x:v>64</x:v>
      </x:c>
      <x:c r="Q513" s="15" t="n">
        <x:v>32</x:v>
      </x:c>
      <x:c r="R513" s="15" t="n">
        <x:v>60</x:v>
      </x:c>
      <x:c r="S513" s="15" t="n">
        <x:v>280</x:v>
      </x:c>
      <x:c r="T513" s="15" t="n">
        <x:v>420</x:v>
      </x:c>
      <x:c r="U513" s="15" t="n">
        <x:v>0</x:v>
      </x:c>
      <x:c r="V513" s="15" t="n">
        <x:v>96</x:v>
      </x:c>
      <x:c r="W513" s="15" t="n">
        <x:v>380</x:v>
      </x:c>
      <x:c r="X513" s="15" t="n">
        <x:v>0</x:v>
      </x:c>
      <x:c r="Y513" s="15" t="n">
        <x:v>0</x:v>
      </x:c>
      <x:c r="Z513" s="15" t="n">
        <x:v>0</x:v>
      </x:c>
      <x:c r="AA513" s="15" t="n">
        <x:v>0</x:v>
      </x:c>
      <x:c r="AB513" s="15" t="n">
        <x:f>SUM(G513:AA513)</x:f>
        <x:v>1828</x:v>
      </x:c>
    </x:row>
    <x:row r="514" ht="36" customHeight="1">
      <x:c r="A514" s="10" t="str">
        <x:v>V-A</x:v>
      </x:c>
      <x:c r="B514" s="10" t="str">
        <x:v>VOICE</x:v>
      </x:c>
      <x:c r="C514" s="10" t="str">
        <x:v>VOICE:S2-18</x:v>
      </x:c>
      <x:c r="D514" s="10" t="str">
        <x:v>VOICE:M1815</x:v>
      </x:c>
      <x:c r="E514" s="15" t="n">
        <x:v>0</x:v>
      </x:c>
      <x:c r="F514" s="15" t="str">
        <x:v>scored</x:v>
      </x:c>
      <x:c r="G514" s="15" t="n">
        <x:v>0</x:v>
      </x:c>
      <x:c r="H514" s="15" t="n">
        <x:v>0</x:v>
      </x:c>
      <x:c r="I514" s="15" t="n">
        <x:v>0</x:v>
      </x:c>
      <x:c r="J514" s="15" t="n">
        <x:v>0</x:v>
      </x:c>
      <x:c r="K514" s="15" t="n">
        <x:v>0</x:v>
      </x:c>
      <x:c r="L514" s="15" t="n">
        <x:v>0</x:v>
      </x:c>
      <x:c r="M514" s="15" t="n">
        <x:v>180</x:v>
      </x:c>
      <x:c r="N514" s="15" t="n">
        <x:v>220</x:v>
      </x:c>
      <x:c r="O514" s="15" t="n">
        <x:v>96</x:v>
      </x:c>
      <x:c r="P514" s="15" t="n">
        <x:v>64</x:v>
      </x:c>
      <x:c r="Q514" s="15" t="n">
        <x:v>32</x:v>
      </x:c>
      <x:c r="R514" s="15" t="n">
        <x:v>0</x:v>
      </x:c>
      <x:c r="S514" s="15" t="n">
        <x:v>0</x:v>
      </x:c>
      <x:c r="T514" s="15" t="n">
        <x:v>0</x:v>
      </x:c>
      <x:c r="U514" s="15" t="n">
        <x:v>0</x:v>
      </x:c>
      <x:c r="V514" s="15" t="n">
        <x:v>0</x:v>
      </x:c>
      <x:c r="W514" s="15" t="n">
        <x:v>0</x:v>
      </x:c>
      <x:c r="X514" s="15" t="n">
        <x:v>0</x:v>
      </x:c>
      <x:c r="Y514" s="15" t="n">
        <x:v>0</x:v>
      </x:c>
      <x:c r="Z514" s="15" t="n">
        <x:v>0</x:v>
      </x:c>
      <x:c r="AA514" s="15" t="n">
        <x:v>0</x:v>
      </x:c>
      <x:c r="AB514" s="15" t="n">
        <x:f>SUM(G514:AA514)</x:f>
        <x:v>592</x:v>
      </x:c>
    </x:row>
    <x:row r="515" ht="36" customHeight="1">
      <x:c r="A515" s="10" t="str">
        <x:v>V-R1</x:v>
      </x:c>
      <x:c r="B515" s="10" t="str">
        <x:v>VOICE</x:v>
      </x:c>
      <x:c r="C515" s="10" t="str">
        <x:v>VOICE:S2-18</x:v>
      </x:c>
      <x:c r="D515" s="10" t="str">
        <x:v>VOICE:M1830</x:v>
      </x:c>
      <x:c r="E515" s="15" t="n">
        <x:v>2.23</x:v>
      </x:c>
      <x:c r="F515" s="15" t="str">
        <x:v>scored</x:v>
      </x:c>
      <x:c r="G515" s="15" t="n">
        <x:v>0</x:v>
      </x:c>
      <x:c r="H515" s="15" t="n">
        <x:v>0</x:v>
      </x:c>
      <x:c r="I515" s="15" t="n">
        <x:v>0</x:v>
      </x:c>
      <x:c r="J515" s="15" t="n">
        <x:v>0</x:v>
      </x:c>
      <x:c r="K515" s="15" t="n">
        <x:v>0</x:v>
      </x:c>
      <x:c r="L515" s="15" t="n">
        <x:v>0</x:v>
      </x:c>
      <x:c r="M515" s="15" t="n">
        <x:v>180</x:v>
      </x:c>
      <x:c r="N515" s="15" t="n">
        <x:v>220</x:v>
      </x:c>
      <x:c r="O515" s="15" t="n">
        <x:v>96</x:v>
      </x:c>
      <x:c r="P515" s="15" t="n">
        <x:v>64</x:v>
      </x:c>
      <x:c r="Q515" s="15" t="n">
        <x:v>24</x:v>
      </x:c>
      <x:c r="R515" s="15" t="n">
        <x:v>60</x:v>
      </x:c>
      <x:c r="S515" s="15" t="n">
        <x:v>280</x:v>
      </x:c>
      <x:c r="T515" s="15" t="n">
        <x:v>420</x:v>
      </x:c>
      <x:c r="U515" s="15" t="n">
        <x:v>0</x:v>
      </x:c>
      <x:c r="V515" s="15" t="n">
        <x:v>96</x:v>
      </x:c>
      <x:c r="W515" s="15" t="n">
        <x:v>380</x:v>
      </x:c>
      <x:c r="X515" s="15" t="n">
        <x:v>0</x:v>
      </x:c>
      <x:c r="Y515" s="15" t="n">
        <x:v>0</x:v>
      </x:c>
      <x:c r="Z515" s="15" t="n">
        <x:v>0</x:v>
      </x:c>
      <x:c r="AA515" s="15" t="n">
        <x:v>0</x:v>
      </x:c>
      <x:c r="AB515" s="15" t="n">
        <x:f>SUM(G515:AA515)</x:f>
        <x:v>1820</x:v>
      </x:c>
    </x:row>
    <x:row r="516" ht="36" customHeight="1">
      <x:c r="A516" s="10" t="str">
        <x:v>V-R2</x:v>
      </x:c>
      <x:c r="B516" s="10" t="str">
        <x:v>VOICE</x:v>
      </x:c>
      <x:c r="C516" s="10" t="str">
        <x:v>VOICE:S2-18</x:v>
      </x:c>
      <x:c r="D516" s="10" t="str">
        <x:v>VOICE:M1845</x:v>
      </x:c>
      <x:c r="E516" s="15" t="n">
        <x:v>2.23</x:v>
      </x:c>
      <x:c r="F516" s="15" t="str">
        <x:v>scored</x:v>
      </x:c>
      <x:c r="G516" s="15" t="n">
        <x:v>0</x:v>
      </x:c>
      <x:c r="H516" s="15" t="n">
        <x:v>0</x:v>
      </x:c>
      <x:c r="I516" s="15" t="n">
        <x:v>0</x:v>
      </x:c>
      <x:c r="J516" s="15" t="n">
        <x:v>0</x:v>
      </x:c>
      <x:c r="K516" s="15" t="n">
        <x:v>0</x:v>
      </x:c>
      <x:c r="L516" s="15" t="n">
        <x:v>0</x:v>
      </x:c>
      <x:c r="M516" s="15" t="n">
        <x:v>180</x:v>
      </x:c>
      <x:c r="N516" s="15" t="n">
        <x:v>220</x:v>
      </x:c>
      <x:c r="O516" s="15" t="n">
        <x:v>96</x:v>
      </x:c>
      <x:c r="P516" s="15" t="n">
        <x:v>64</x:v>
      </x:c>
      <x:c r="Q516" s="15" t="n">
        <x:v>24</x:v>
      </x:c>
      <x:c r="R516" s="15" t="n">
        <x:v>60</x:v>
      </x:c>
      <x:c r="S516" s="15" t="n">
        <x:v>280</x:v>
      </x:c>
      <x:c r="T516" s="15" t="n">
        <x:v>420</x:v>
      </x:c>
      <x:c r="U516" s="15" t="n">
        <x:v>0</x:v>
      </x:c>
      <x:c r="V516" s="15" t="n">
        <x:v>96</x:v>
      </x:c>
      <x:c r="W516" s="15" t="n">
        <x:v>380</x:v>
      </x:c>
      <x:c r="X516" s="15" t="n">
        <x:v>0</x:v>
      </x:c>
      <x:c r="Y516" s="15" t="n">
        <x:v>0</x:v>
      </x:c>
      <x:c r="Z516" s="15" t="n">
        <x:v>0</x:v>
      </x:c>
      <x:c r="AA516" s="15" t="n">
        <x:v>0</x:v>
      </x:c>
      <x:c r="AB516" s="15" t="n">
        <x:f>SUM(G516:AA516)</x:f>
        <x:v>1820</x:v>
      </x:c>
    </x:row>
    <x:row r="517" ht="36" customHeight="1">
      <x:c r="A517" s="10" t="str">
        <x:v>V-R3</x:v>
      </x:c>
      <x:c r="B517" s="10" t="str">
        <x:v>VOICE</x:v>
      </x:c>
      <x:c r="C517" s="10" t="str">
        <x:v>VOICE:S2-18</x:v>
      </x:c>
      <x:c r="D517" s="10" t="str">
        <x:v>VOICE:M1859</x:v>
      </x:c>
      <x:c r="E517" s="15" t="n">
        <x:v>2.23</x:v>
      </x:c>
      <x:c r="F517" s="15" t="str">
        <x:v>scored</x:v>
      </x:c>
      <x:c r="G517" s="15" t="n">
        <x:v>0</x:v>
      </x:c>
      <x:c r="H517" s="15" t="n">
        <x:v>0</x:v>
      </x:c>
      <x:c r="I517" s="15" t="n">
        <x:v>0</x:v>
      </x:c>
      <x:c r="J517" s="15" t="n">
        <x:v>0</x:v>
      </x:c>
      <x:c r="K517" s="15" t="n">
        <x:v>0</x:v>
      </x:c>
      <x:c r="L517" s="15" t="n">
        <x:v>0</x:v>
      </x:c>
      <x:c r="M517" s="15" t="n">
        <x:v>180</x:v>
      </x:c>
      <x:c r="N517" s="15" t="n">
        <x:v>220</x:v>
      </x:c>
      <x:c r="O517" s="15" t="n">
        <x:v>96</x:v>
      </x:c>
      <x:c r="P517" s="15" t="n">
        <x:v>64</x:v>
      </x:c>
      <x:c r="Q517" s="15" t="n">
        <x:v>32</x:v>
      </x:c>
      <x:c r="R517" s="15" t="n">
        <x:v>60</x:v>
      </x:c>
      <x:c r="S517" s="15" t="n">
        <x:v>280</x:v>
      </x:c>
      <x:c r="T517" s="15" t="n">
        <x:v>420</x:v>
      </x:c>
      <x:c r="U517" s="15" t="n">
        <x:v>0</x:v>
      </x:c>
      <x:c r="V517" s="15" t="n">
        <x:v>96</x:v>
      </x:c>
      <x:c r="W517" s="15" t="n">
        <x:v>380</x:v>
      </x:c>
      <x:c r="X517" s="15" t="n">
        <x:v>0</x:v>
      </x:c>
      <x:c r="Y517" s="15" t="n">
        <x:v>0</x:v>
      </x:c>
      <x:c r="Z517" s="15" t="n">
        <x:v>0</x:v>
      </x:c>
      <x:c r="AA517" s="15" t="n">
        <x:v>0</x:v>
      </x:c>
      <x:c r="AB517" s="15" t="n">
        <x:f>SUM(G517:AA517)</x:f>
        <x:v>1828</x:v>
      </x:c>
    </x:row>
    <x:row r="518" ht="36" customHeight="1">
      <x:c r="A518" s="10" t="str">
        <x:v>V-A</x:v>
      </x:c>
      <x:c r="B518" s="10" t="str">
        <x:v>VOICE</x:v>
      </x:c>
      <x:c r="C518" s="10" t="str">
        <x:v>VOICE:S2-19</x:v>
      </x:c>
      <x:c r="D518" s="10" t="str">
        <x:v>VOICE:M1870</x:v>
      </x:c>
      <x:c r="E518" s="15" t="n">
        <x:v>0</x:v>
      </x:c>
      <x:c r="F518" s="15" t="str">
        <x:v>scored</x:v>
      </x:c>
      <x:c r="G518" s="15" t="n">
        <x:v>0</x:v>
      </x:c>
      <x:c r="H518" s="15" t="n">
        <x:v>0</x:v>
      </x:c>
      <x:c r="I518" s="15" t="n">
        <x:v>0</x:v>
      </x:c>
      <x:c r="J518" s="15" t="n">
        <x:v>0</x:v>
      </x:c>
      <x:c r="K518" s="15" t="n">
        <x:v>0</x:v>
      </x:c>
      <x:c r="L518" s="15" t="n">
        <x:v>0</x:v>
      </x:c>
      <x:c r="M518" s="15" t="n">
        <x:v>180</x:v>
      </x:c>
      <x:c r="N518" s="15" t="n">
        <x:v>220</x:v>
      </x:c>
      <x:c r="O518" s="15" t="n">
        <x:v>96</x:v>
      </x:c>
      <x:c r="P518" s="15" t="n">
        <x:v>64</x:v>
      </x:c>
      <x:c r="Q518" s="15" t="n">
        <x:v>32</x:v>
      </x:c>
      <x:c r="R518" s="15" t="n">
        <x:v>0</x:v>
      </x:c>
      <x:c r="S518" s="15" t="n">
        <x:v>0</x:v>
      </x:c>
      <x:c r="T518" s="15" t="n">
        <x:v>0</x:v>
      </x:c>
      <x:c r="U518" s="15" t="n">
        <x:v>0</x:v>
      </x:c>
      <x:c r="V518" s="15" t="n">
        <x:v>0</x:v>
      </x:c>
      <x:c r="W518" s="15" t="n">
        <x:v>0</x:v>
      </x:c>
      <x:c r="X518" s="15" t="n">
        <x:v>0</x:v>
      </x:c>
      <x:c r="Y518" s="15" t="n">
        <x:v>0</x:v>
      </x:c>
      <x:c r="Z518" s="15" t="n">
        <x:v>0</x:v>
      </x:c>
      <x:c r="AA518" s="15" t="n">
        <x:v>0</x:v>
      </x:c>
      <x:c r="AB518" s="15" t="n">
        <x:f>SUM(G518:AA518)</x:f>
        <x:v>592</x:v>
      </x:c>
    </x:row>
    <x:row r="519" ht="36" customHeight="1">
      <x:c r="A519" s="10" t="str">
        <x:v>V-R1</x:v>
      </x:c>
      <x:c r="B519" s="10" t="str">
        <x:v>VOICE</x:v>
      </x:c>
      <x:c r="C519" s="10" t="str">
        <x:v>VOICE:S2-19</x:v>
      </x:c>
      <x:c r="D519" s="10" t="str">
        <x:v>VOICE:M1885</x:v>
      </x:c>
      <x:c r="E519" s="15" t="n">
        <x:v>2.23</x:v>
      </x:c>
      <x:c r="F519" s="15" t="str">
        <x:v>scored</x:v>
      </x:c>
      <x:c r="G519" s="15" t="n">
        <x:v>0</x:v>
      </x:c>
      <x:c r="H519" s="15" t="n">
        <x:v>0</x:v>
      </x:c>
      <x:c r="I519" s="15" t="n">
        <x:v>0</x:v>
      </x:c>
      <x:c r="J519" s="15" t="n">
        <x:v>0</x:v>
      </x:c>
      <x:c r="K519" s="15" t="n">
        <x:v>0</x:v>
      </x:c>
      <x:c r="L519" s="15" t="n">
        <x:v>0</x:v>
      </x:c>
      <x:c r="M519" s="15" t="n">
        <x:v>180</x:v>
      </x:c>
      <x:c r="N519" s="15" t="n">
        <x:v>220</x:v>
      </x:c>
      <x:c r="O519" s="15" t="n">
        <x:v>96</x:v>
      </x:c>
      <x:c r="P519" s="15" t="n">
        <x:v>64</x:v>
      </x:c>
      <x:c r="Q519" s="15" t="n">
        <x:v>24</x:v>
      </x:c>
      <x:c r="R519" s="15" t="n">
        <x:v>60</x:v>
      </x:c>
      <x:c r="S519" s="15" t="n">
        <x:v>280</x:v>
      </x:c>
      <x:c r="T519" s="15" t="n">
        <x:v>420</x:v>
      </x:c>
      <x:c r="U519" s="15" t="n">
        <x:v>0</x:v>
      </x:c>
      <x:c r="V519" s="15" t="n">
        <x:v>96</x:v>
      </x:c>
      <x:c r="W519" s="15" t="n">
        <x:v>380</x:v>
      </x:c>
      <x:c r="X519" s="15" t="n">
        <x:v>0</x:v>
      </x:c>
      <x:c r="Y519" s="15" t="n">
        <x:v>0</x:v>
      </x:c>
      <x:c r="Z519" s="15" t="n">
        <x:v>0</x:v>
      </x:c>
      <x:c r="AA519" s="15" t="n">
        <x:v>0</x:v>
      </x:c>
      <x:c r="AB519" s="15" t="n">
        <x:f>SUM(G519:AA519)</x:f>
        <x:v>1820</x:v>
      </x:c>
    </x:row>
    <x:row r="520" ht="36" customHeight="1">
      <x:c r="A520" s="10" t="str">
        <x:v>V-R2</x:v>
      </x:c>
      <x:c r="B520" s="10" t="str">
        <x:v>VOICE</x:v>
      </x:c>
      <x:c r="C520" s="10" t="str">
        <x:v>VOICE:S2-19</x:v>
      </x:c>
      <x:c r="D520" s="10" t="str">
        <x:v>VOICE:M1900</x:v>
      </x:c>
      <x:c r="E520" s="15" t="n">
        <x:v>2.23</x:v>
      </x:c>
      <x:c r="F520" s="15" t="str">
        <x:v>scored</x:v>
      </x:c>
      <x:c r="G520" s="15" t="n">
        <x:v>0</x:v>
      </x:c>
      <x:c r="H520" s="15" t="n">
        <x:v>0</x:v>
      </x:c>
      <x:c r="I520" s="15" t="n">
        <x:v>0</x:v>
      </x:c>
      <x:c r="J520" s="15" t="n">
        <x:v>0</x:v>
      </x:c>
      <x:c r="K520" s="15" t="n">
        <x:v>0</x:v>
      </x:c>
      <x:c r="L520" s="15" t="n">
        <x:v>0</x:v>
      </x:c>
      <x:c r="M520" s="15" t="n">
        <x:v>180</x:v>
      </x:c>
      <x:c r="N520" s="15" t="n">
        <x:v>220</x:v>
      </x:c>
      <x:c r="O520" s="15" t="n">
        <x:v>96</x:v>
      </x:c>
      <x:c r="P520" s="15" t="n">
        <x:v>64</x:v>
      </x:c>
      <x:c r="Q520" s="15" t="n">
        <x:v>24</x:v>
      </x:c>
      <x:c r="R520" s="15" t="n">
        <x:v>60</x:v>
      </x:c>
      <x:c r="S520" s="15" t="n">
        <x:v>280</x:v>
      </x:c>
      <x:c r="T520" s="15" t="n">
        <x:v>420</x:v>
      </x:c>
      <x:c r="U520" s="15" t="n">
        <x:v>0</x:v>
      </x:c>
      <x:c r="V520" s="15" t="n">
        <x:v>96</x:v>
      </x:c>
      <x:c r="W520" s="15" t="n">
        <x:v>380</x:v>
      </x:c>
      <x:c r="X520" s="15" t="n">
        <x:v>0</x:v>
      </x:c>
      <x:c r="Y520" s="15" t="n">
        <x:v>0</x:v>
      </x:c>
      <x:c r="Z520" s="15" t="n">
        <x:v>0</x:v>
      </x:c>
      <x:c r="AA520" s="15" t="n">
        <x:v>0</x:v>
      </x:c>
      <x:c r="AB520" s="15" t="n">
        <x:f>SUM(G520:AA520)</x:f>
        <x:v>1820</x:v>
      </x:c>
    </x:row>
    <x:row r="521" ht="36" customHeight="1">
      <x:c r="A521" s="10" t="str">
        <x:v>V-R3</x:v>
      </x:c>
      <x:c r="B521" s="10" t="str">
        <x:v>VOICE</x:v>
      </x:c>
      <x:c r="C521" s="10" t="str">
        <x:v>VOICE:S2-19</x:v>
      </x:c>
      <x:c r="D521" s="10" t="str">
        <x:v>VOICE:M1914</x:v>
      </x:c>
      <x:c r="E521" s="15" t="n">
        <x:v>2.23</x:v>
      </x:c>
      <x:c r="F521" s="15" t="str">
        <x:v>scored</x:v>
      </x:c>
      <x:c r="G521" s="15" t="n">
        <x:v>0</x:v>
      </x:c>
      <x:c r="H521" s="15" t="n">
        <x:v>0</x:v>
      </x:c>
      <x:c r="I521" s="15" t="n">
        <x:v>0</x:v>
      </x:c>
      <x:c r="J521" s="15" t="n">
        <x:v>0</x:v>
      </x:c>
      <x:c r="K521" s="15" t="n">
        <x:v>0</x:v>
      </x:c>
      <x:c r="L521" s="15" t="n">
        <x:v>0</x:v>
      </x:c>
      <x:c r="M521" s="15" t="n">
        <x:v>180</x:v>
      </x:c>
      <x:c r="N521" s="15" t="n">
        <x:v>220</x:v>
      </x:c>
      <x:c r="O521" s="15" t="n">
        <x:v>96</x:v>
      </x:c>
      <x:c r="P521" s="15" t="n">
        <x:v>64</x:v>
      </x:c>
      <x:c r="Q521" s="15" t="n">
        <x:v>32</x:v>
      </x:c>
      <x:c r="R521" s="15" t="n">
        <x:v>60</x:v>
      </x:c>
      <x:c r="S521" s="15" t="n">
        <x:v>280</x:v>
      </x:c>
      <x:c r="T521" s="15" t="n">
        <x:v>420</x:v>
      </x:c>
      <x:c r="U521" s="15" t="n">
        <x:v>0</x:v>
      </x:c>
      <x:c r="V521" s="15" t="n">
        <x:v>96</x:v>
      </x:c>
      <x:c r="W521" s="15" t="n">
        <x:v>380</x:v>
      </x:c>
      <x:c r="X521" s="15" t="n">
        <x:v>0</x:v>
      </x:c>
      <x:c r="Y521" s="15" t="n">
        <x:v>0</x:v>
      </x:c>
      <x:c r="Z521" s="15" t="n">
        <x:v>0</x:v>
      </x:c>
      <x:c r="AA521" s="15" t="n">
        <x:v>0</x:v>
      </x:c>
      <x:c r="AB521" s="15" t="n">
        <x:f>SUM(G521:AA521)</x:f>
        <x:v>1828</x:v>
      </x:c>
    </x:row>
    <x:row r="522" ht="36" customHeight="1">
      <x:c r="A522" s="10" t="str">
        <x:v>V-A</x:v>
      </x:c>
      <x:c r="B522" s="10" t="str">
        <x:v>VOICE</x:v>
      </x:c>
      <x:c r="C522" s="10" t="str">
        <x:v>VOICE:S2-20</x:v>
      </x:c>
      <x:c r="D522" s="10" t="str">
        <x:v>VOICE:M1925</x:v>
      </x:c>
      <x:c r="E522" s="15" t="n">
        <x:v>0</x:v>
      </x:c>
      <x:c r="F522" s="15" t="str">
        <x:v>scored</x:v>
      </x:c>
      <x:c r="G522" s="15" t="n">
        <x:v>0</x:v>
      </x:c>
      <x:c r="H522" s="15" t="n">
        <x:v>0</x:v>
      </x:c>
      <x:c r="I522" s="15" t="n">
        <x:v>0</x:v>
      </x:c>
      <x:c r="J522" s="15" t="n">
        <x:v>0</x:v>
      </x:c>
      <x:c r="K522" s="15" t="n">
        <x:v>0</x:v>
      </x:c>
      <x:c r="L522" s="15" t="n">
        <x:v>0</x:v>
      </x:c>
      <x:c r="M522" s="15" t="n">
        <x:v>180</x:v>
      </x:c>
      <x:c r="N522" s="15" t="n">
        <x:v>220</x:v>
      </x:c>
      <x:c r="O522" s="15" t="n">
        <x:v>96</x:v>
      </x:c>
      <x:c r="P522" s="15" t="n">
        <x:v>64</x:v>
      </x:c>
      <x:c r="Q522" s="15" t="n">
        <x:v>32</x:v>
      </x:c>
      <x:c r="R522" s="15" t="n">
        <x:v>0</x:v>
      </x:c>
      <x:c r="S522" s="15" t="n">
        <x:v>0</x:v>
      </x:c>
      <x:c r="T522" s="15" t="n">
        <x:v>0</x:v>
      </x:c>
      <x:c r="U522" s="15" t="n">
        <x:v>0</x:v>
      </x:c>
      <x:c r="V522" s="15" t="n">
        <x:v>0</x:v>
      </x:c>
      <x:c r="W522" s="15" t="n">
        <x:v>0</x:v>
      </x:c>
      <x:c r="X522" s="15" t="n">
        <x:v>0</x:v>
      </x:c>
      <x:c r="Y522" s="15" t="n">
        <x:v>0</x:v>
      </x:c>
      <x:c r="Z522" s="15" t="n">
        <x:v>0</x:v>
      </x:c>
      <x:c r="AA522" s="15" t="n">
        <x:v>0</x:v>
      </x:c>
      <x:c r="AB522" s="15" t="n">
        <x:f>SUM(G522:AA522)</x:f>
        <x:v>592</x:v>
      </x:c>
    </x:row>
    <x:row r="523" ht="36" customHeight="1">
      <x:c r="A523" s="10" t="str">
        <x:v>V-R1</x:v>
      </x:c>
      <x:c r="B523" s="10" t="str">
        <x:v>VOICE</x:v>
      </x:c>
      <x:c r="C523" s="10" t="str">
        <x:v>VOICE:S2-20</x:v>
      </x:c>
      <x:c r="D523" s="10" t="str">
        <x:v>VOICE:M1940</x:v>
      </x:c>
      <x:c r="E523" s="15" t="n">
        <x:v>2.23</x:v>
      </x:c>
      <x:c r="F523" s="15" t="str">
        <x:v>scored</x:v>
      </x:c>
      <x:c r="G523" s="15" t="n">
        <x:v>0</x:v>
      </x:c>
      <x:c r="H523" s="15" t="n">
        <x:v>0</x:v>
      </x:c>
      <x:c r="I523" s="15" t="n">
        <x:v>0</x:v>
      </x:c>
      <x:c r="J523" s="15" t="n">
        <x:v>0</x:v>
      </x:c>
      <x:c r="K523" s="15" t="n">
        <x:v>0</x:v>
      </x:c>
      <x:c r="L523" s="15" t="n">
        <x:v>0</x:v>
      </x:c>
      <x:c r="M523" s="15" t="n">
        <x:v>180</x:v>
      </x:c>
      <x:c r="N523" s="15" t="n">
        <x:v>220</x:v>
      </x:c>
      <x:c r="O523" s="15" t="n">
        <x:v>96</x:v>
      </x:c>
      <x:c r="P523" s="15" t="n">
        <x:v>64</x:v>
      </x:c>
      <x:c r="Q523" s="15" t="n">
        <x:v>24</x:v>
      </x:c>
      <x:c r="R523" s="15" t="n">
        <x:v>60</x:v>
      </x:c>
      <x:c r="S523" s="15" t="n">
        <x:v>280</x:v>
      </x:c>
      <x:c r="T523" s="15" t="n">
        <x:v>420</x:v>
      </x:c>
      <x:c r="U523" s="15" t="n">
        <x:v>0</x:v>
      </x:c>
      <x:c r="V523" s="15" t="n">
        <x:v>96</x:v>
      </x:c>
      <x:c r="W523" s="15" t="n">
        <x:v>380</x:v>
      </x:c>
      <x:c r="X523" s="15" t="n">
        <x:v>0</x:v>
      </x:c>
      <x:c r="Y523" s="15" t="n">
        <x:v>0</x:v>
      </x:c>
      <x:c r="Z523" s="15" t="n">
        <x:v>0</x:v>
      </x:c>
      <x:c r="AA523" s="15" t="n">
        <x:v>0</x:v>
      </x:c>
      <x:c r="AB523" s="15" t="n">
        <x:f>SUM(G523:AA523)</x:f>
        <x:v>1820</x:v>
      </x:c>
    </x:row>
    <x:row r="524" ht="36" customHeight="1">
      <x:c r="A524" s="10" t="str">
        <x:v>V-R2</x:v>
      </x:c>
      <x:c r="B524" s="10" t="str">
        <x:v>VOICE</x:v>
      </x:c>
      <x:c r="C524" s="10" t="str">
        <x:v>VOICE:S2-20</x:v>
      </x:c>
      <x:c r="D524" s="10" t="str">
        <x:v>VOICE:M1955</x:v>
      </x:c>
      <x:c r="E524" s="15" t="n">
        <x:v>2.23</x:v>
      </x:c>
      <x:c r="F524" s="15" t="str">
        <x:v>scored</x:v>
      </x:c>
      <x:c r="G524" s="15" t="n">
        <x:v>0</x:v>
      </x:c>
      <x:c r="H524" s="15" t="n">
        <x:v>0</x:v>
      </x:c>
      <x:c r="I524" s="15" t="n">
        <x:v>0</x:v>
      </x:c>
      <x:c r="J524" s="15" t="n">
        <x:v>0</x:v>
      </x:c>
      <x:c r="K524" s="15" t="n">
        <x:v>0</x:v>
      </x:c>
      <x:c r="L524" s="15" t="n">
        <x:v>0</x:v>
      </x:c>
      <x:c r="M524" s="15" t="n">
        <x:v>180</x:v>
      </x:c>
      <x:c r="N524" s="15" t="n">
        <x:v>220</x:v>
      </x:c>
      <x:c r="O524" s="15" t="n">
        <x:v>96</x:v>
      </x:c>
      <x:c r="P524" s="15" t="n">
        <x:v>64</x:v>
      </x:c>
      <x:c r="Q524" s="15" t="n">
        <x:v>24</x:v>
      </x:c>
      <x:c r="R524" s="15" t="n">
        <x:v>60</x:v>
      </x:c>
      <x:c r="S524" s="15" t="n">
        <x:v>280</x:v>
      </x:c>
      <x:c r="T524" s="15" t="n">
        <x:v>420</x:v>
      </x:c>
      <x:c r="U524" s="15" t="n">
        <x:v>0</x:v>
      </x:c>
      <x:c r="V524" s="15" t="n">
        <x:v>96</x:v>
      </x:c>
      <x:c r="W524" s="15" t="n">
        <x:v>380</x:v>
      </x:c>
      <x:c r="X524" s="15" t="n">
        <x:v>0</x:v>
      </x:c>
      <x:c r="Y524" s="15" t="n">
        <x:v>0</x:v>
      </x:c>
      <x:c r="Z524" s="15" t="n">
        <x:v>0</x:v>
      </x:c>
      <x:c r="AA524" s="15" t="n">
        <x:v>0</x:v>
      </x:c>
      <x:c r="AB524" s="15" t="n">
        <x:f>SUM(G524:AA524)</x:f>
        <x:v>1820</x:v>
      </x:c>
    </x:row>
    <x:row r="525" ht="36" customHeight="1">
      <x:c r="A525" s="10" t="str">
        <x:v>V-R3</x:v>
      </x:c>
      <x:c r="B525" s="10" t="str">
        <x:v>VOICE</x:v>
      </x:c>
      <x:c r="C525" s="10" t="str">
        <x:v>VOICE:S2-20</x:v>
      </x:c>
      <x:c r="D525" s="10" t="str">
        <x:v>VOICE:M1969</x:v>
      </x:c>
      <x:c r="E525" s="15" t="n">
        <x:v>2.23</x:v>
      </x:c>
      <x:c r="F525" s="15" t="str">
        <x:v>scored</x:v>
      </x:c>
      <x:c r="G525" s="15" t="n">
        <x:v>0</x:v>
      </x:c>
      <x:c r="H525" s="15" t="n">
        <x:v>0</x:v>
      </x:c>
      <x:c r="I525" s="15" t="n">
        <x:v>0</x:v>
      </x:c>
      <x:c r="J525" s="15" t="n">
        <x:v>0</x:v>
      </x:c>
      <x:c r="K525" s="15" t="n">
        <x:v>0</x:v>
      </x:c>
      <x:c r="L525" s="15" t="n">
        <x:v>0</x:v>
      </x:c>
      <x:c r="M525" s="15" t="n">
        <x:v>180</x:v>
      </x:c>
      <x:c r="N525" s="15" t="n">
        <x:v>220</x:v>
      </x:c>
      <x:c r="O525" s="15" t="n">
        <x:v>96</x:v>
      </x:c>
      <x:c r="P525" s="15" t="n">
        <x:v>64</x:v>
      </x:c>
      <x:c r="Q525" s="15" t="n">
        <x:v>32</x:v>
      </x:c>
      <x:c r="R525" s="15" t="n">
        <x:v>60</x:v>
      </x:c>
      <x:c r="S525" s="15" t="n">
        <x:v>280</x:v>
      </x:c>
      <x:c r="T525" s="15" t="n">
        <x:v>420</x:v>
      </x:c>
      <x:c r="U525" s="15" t="n">
        <x:v>0</x:v>
      </x:c>
      <x:c r="V525" s="15" t="n">
        <x:v>96</x:v>
      </x:c>
      <x:c r="W525" s="15" t="n">
        <x:v>380</x:v>
      </x:c>
      <x:c r="X525" s="15" t="n">
        <x:v>0</x:v>
      </x:c>
      <x:c r="Y525" s="15" t="n">
        <x:v>0</x:v>
      </x:c>
      <x:c r="Z525" s="15" t="n">
        <x:v>0</x:v>
      </x:c>
      <x:c r="AA525" s="15" t="n">
        <x:v>0</x:v>
      </x:c>
      <x:c r="AB525" s="15" t="n">
        <x:f>SUM(G525:AA525)</x:f>
        <x:v>1828</x:v>
      </x:c>
    </x:row>
    <x:row r="526" ht="36" customHeight="1">
      <x:c r="A526" s="10" t="str">
        <x:v>V-A</x:v>
      </x:c>
      <x:c r="B526" s="10" t="str">
        <x:v>VOICE</x:v>
      </x:c>
      <x:c r="C526" s="10" t="str">
        <x:v>VOICE:S3-01</x:v>
      </x:c>
      <x:c r="D526" s="10" t="str">
        <x:v>VOICE:M1980</x:v>
      </x:c>
      <x:c r="E526" s="15" t="n">
        <x:v>-60</x:v>
      </x:c>
      <x:c r="F526" s="15" t="str">
        <x:v>preparation</x:v>
      </x:c>
      <x:c r="G526" s="15" t="n">
        <x:v>0</x:v>
      </x:c>
      <x:c r="H526" s="15" t="n">
        <x:v>0</x:v>
      </x:c>
      <x:c r="I526" s="15" t="n">
        <x:v>0</x:v>
      </x:c>
      <x:c r="J526" s="15" t="n">
        <x:v>0</x:v>
      </x:c>
      <x:c r="K526" s="15" t="n">
        <x:v>0</x:v>
      </x:c>
      <x:c r="L526" s="15" t="n">
        <x:v>0</x:v>
      </x:c>
      <x:c r="M526" s="15" t="n">
        <x:v>180</x:v>
      </x:c>
      <x:c r="N526" s="15" t="n">
        <x:v>220</x:v>
      </x:c>
      <x:c r="O526" s="15" t="n">
        <x:v>96</x:v>
      </x:c>
      <x:c r="P526" s="15" t="n">
        <x:v>64</x:v>
      </x:c>
      <x:c r="Q526" s="15" t="n">
        <x:v>32</x:v>
      </x:c>
      <x:c r="R526" s="15" t="n">
        <x:v>0</x:v>
      </x:c>
      <x:c r="S526" s="15" t="n">
        <x:v>0</x:v>
      </x:c>
      <x:c r="T526" s="15" t="n">
        <x:v>0</x:v>
      </x:c>
      <x:c r="U526" s="15" t="n">
        <x:v>0</x:v>
      </x:c>
      <x:c r="V526" s="15" t="n">
        <x:v>0</x:v>
      </x:c>
      <x:c r="W526" s="15" t="n">
        <x:v>0</x:v>
      </x:c>
      <x:c r="X526" s="15" t="n">
        <x:v>0</x:v>
      </x:c>
      <x:c r="Y526" s="15" t="n">
        <x:v>0</x:v>
      </x:c>
      <x:c r="Z526" s="15" t="n">
        <x:v>0</x:v>
      </x:c>
      <x:c r="AA526" s="15" t="n">
        <x:v>0</x:v>
      </x:c>
      <x:c r="AB526" s="15" t="n">
        <x:f>SUM(G526:AA526)</x:f>
        <x:v>592</x:v>
      </x:c>
    </x:row>
    <x:row r="527" ht="36" customHeight="1">
      <x:c r="A527" s="10" t="str">
        <x:v>V-R1</x:v>
      </x:c>
      <x:c r="B527" s="10" t="str">
        <x:v>VOICE</x:v>
      </x:c>
      <x:c r="C527" s="10" t="str">
        <x:v>VOICE:S3-01</x:v>
      </x:c>
      <x:c r="D527" s="10" t="str">
        <x:v>VOICE:M2012</x:v>
      </x:c>
      <x:c r="E527" s="15" t="n">
        <x:v>-54.27</x:v>
      </x:c>
      <x:c r="F527" s="15" t="str">
        <x:v>preparation</x:v>
      </x:c>
      <x:c r="G527" s="15" t="n">
        <x:v>0</x:v>
      </x:c>
      <x:c r="H527" s="15" t="n">
        <x:v>0</x:v>
      </x:c>
      <x:c r="I527" s="15" t="n">
        <x:v>0</x:v>
      </x:c>
      <x:c r="J527" s="15" t="n">
        <x:v>0</x:v>
      </x:c>
      <x:c r="K527" s="15" t="n">
        <x:v>0</x:v>
      </x:c>
      <x:c r="L527" s="15" t="n">
        <x:v>0</x:v>
      </x:c>
      <x:c r="M527" s="15" t="n">
        <x:v>180</x:v>
      </x:c>
      <x:c r="N527" s="15" t="n">
        <x:v>220</x:v>
      </x:c>
      <x:c r="O527" s="15" t="n">
        <x:v>96</x:v>
      </x:c>
      <x:c r="P527" s="15" t="n">
        <x:v>64</x:v>
      </x:c>
      <x:c r="Q527" s="15" t="n">
        <x:v>24</x:v>
      </x:c>
      <x:c r="R527" s="15" t="n">
        <x:v>60</x:v>
      </x:c>
      <x:c r="S527" s="15" t="n">
        <x:v>280</x:v>
      </x:c>
      <x:c r="T527" s="15" t="n">
        <x:v>0</x:v>
      </x:c>
      <x:c r="U527" s="15" t="n">
        <x:v>170</x:v>
      </x:c>
      <x:c r="V527" s="15" t="n">
        <x:v>180</x:v>
      </x:c>
      <x:c r="W527" s="15" t="n">
        <x:v>0</x:v>
      </x:c>
      <x:c r="X527" s="15" t="n">
        <x:v>680</x:v>
      </x:c>
      <x:c r="Y527" s="15" t="n">
        <x:v>0</x:v>
      </x:c>
      <x:c r="Z527" s="15" t="n">
        <x:v>0</x:v>
      </x:c>
      <x:c r="AA527" s="15" t="n">
        <x:v>0</x:v>
      </x:c>
      <x:c r="AB527" s="15" t="n">
        <x:f>SUM(G527:AA527)</x:f>
        <x:v>1954</x:v>
      </x:c>
    </x:row>
    <x:row r="528" ht="36" customHeight="1">
      <x:c r="A528" s="10" t="str">
        <x:v>V-R2</x:v>
      </x:c>
      <x:c r="B528" s="10" t="str">
        <x:v>VOICE</x:v>
      </x:c>
      <x:c r="C528" s="10" t="str">
        <x:v>VOICE:S3-01</x:v>
      </x:c>
      <x:c r="D528" s="10" t="str">
        <x:v>VOICE:M2046</x:v>
      </x:c>
      <x:c r="E528" s="15" t="n">
        <x:v>-54.42</x:v>
      </x:c>
      <x:c r="F528" s="15" t="str">
        <x:v>preparation</x:v>
      </x:c>
      <x:c r="G528" s="15" t="n">
        <x:v>0</x:v>
      </x:c>
      <x:c r="H528" s="15" t="n">
        <x:v>0</x:v>
      </x:c>
      <x:c r="I528" s="15" t="n">
        <x:v>0</x:v>
      </x:c>
      <x:c r="J528" s="15" t="n">
        <x:v>0</x:v>
      </x:c>
      <x:c r="K528" s="15" t="n">
        <x:v>0</x:v>
      </x:c>
      <x:c r="L528" s="15" t="n">
        <x:v>0</x:v>
      </x:c>
      <x:c r="M528" s="15" t="n">
        <x:v>180</x:v>
      </x:c>
      <x:c r="N528" s="15" t="n">
        <x:v>220</x:v>
      </x:c>
      <x:c r="O528" s="15" t="n">
        <x:v>96</x:v>
      </x:c>
      <x:c r="P528" s="15" t="n">
        <x:v>64</x:v>
      </x:c>
      <x:c r="Q528" s="15" t="n">
        <x:v>24</x:v>
      </x:c>
      <x:c r="R528" s="15" t="n">
        <x:v>60</x:v>
      </x:c>
      <x:c r="S528" s="15" t="n">
        <x:v>280</x:v>
      </x:c>
      <x:c r="T528" s="15" t="n">
        <x:v>420</x:v>
      </x:c>
      <x:c r="U528" s="15" t="n">
        <x:v>170</x:v>
      </x:c>
      <x:c r="V528" s="15" t="n">
        <x:v>180</x:v>
      </x:c>
      <x:c r="W528" s="15" t="n">
        <x:v>0</x:v>
      </x:c>
      <x:c r="X528" s="15" t="n">
        <x:v>680</x:v>
      </x:c>
      <x:c r="Y528" s="15" t="n">
        <x:v>0</x:v>
      </x:c>
      <x:c r="Z528" s="15" t="n">
        <x:v>0</x:v>
      </x:c>
      <x:c r="AA528" s="15" t="n">
        <x:v>0</x:v>
      </x:c>
      <x:c r="AB528" s="15" t="n">
        <x:f>SUM(G528:AA528)</x:f>
        <x:v>2374</x:v>
      </x:c>
    </x:row>
    <x:row r="529" ht="36" customHeight="1">
      <x:c r="A529" s="10" t="str">
        <x:v>V-R3</x:v>
      </x:c>
      <x:c r="B529" s="10" t="str">
        <x:v>VOICE</x:v>
      </x:c>
      <x:c r="C529" s="10" t="str">
        <x:v>VOICE:S3-01</x:v>
      </x:c>
      <x:c r="D529" s="10" t="str">
        <x:v>VOICE:M2075</x:v>
      </x:c>
      <x:c r="E529" s="15" t="n">
        <x:v>-54.120000000000005</x:v>
      </x:c>
      <x:c r="F529" s="15" t="str">
        <x:v>preparation</x:v>
      </x:c>
      <x:c r="G529" s="15" t="n">
        <x:v>0</x:v>
      </x:c>
      <x:c r="H529" s="15" t="n">
        <x:v>0</x:v>
      </x:c>
      <x:c r="I529" s="15" t="n">
        <x:v>0</x:v>
      </x:c>
      <x:c r="J529" s="15" t="n">
        <x:v>0</x:v>
      </x:c>
      <x:c r="K529" s="15" t="n">
        <x:v>0</x:v>
      </x:c>
      <x:c r="L529" s="15" t="n">
        <x:v>0</x:v>
      </x:c>
      <x:c r="M529" s="15" t="n">
        <x:v>180</x:v>
      </x:c>
      <x:c r="N529" s="15" t="n">
        <x:v>220</x:v>
      </x:c>
      <x:c r="O529" s="15" t="n">
        <x:v>96</x:v>
      </x:c>
      <x:c r="P529" s="15" t="n">
        <x:v>64</x:v>
      </x:c>
      <x:c r="Q529" s="15" t="n">
        <x:v>32</x:v>
      </x:c>
      <x:c r="R529" s="15" t="n">
        <x:v>60</x:v>
      </x:c>
      <x:c r="S529" s="15" t="n">
        <x:v>560</x:v>
      </x:c>
      <x:c r="T529" s="15" t="n">
        <x:v>420</x:v>
      </x:c>
      <x:c r="U529" s="15" t="n">
        <x:v>170</x:v>
      </x:c>
      <x:c r="V529" s="15" t="n">
        <x:v>180</x:v>
      </x:c>
      <x:c r="W529" s="15" t="n">
        <x:v>0</x:v>
      </x:c>
      <x:c r="X529" s="15" t="n">
        <x:v>680</x:v>
      </x:c>
      <x:c r="Y529" s="15" t="n">
        <x:v>0</x:v>
      </x:c>
      <x:c r="Z529" s="15" t="n">
        <x:v>0</x:v>
      </x:c>
      <x:c r="AA529" s="15" t="n">
        <x:v>0</x:v>
      </x:c>
      <x:c r="AB529" s="15" t="n">
        <x:f>SUM(G529:AA529)</x:f>
        <x:v>2662</x:v>
      </x:c>
    </x:row>
    <x:row r="530" ht="36" customHeight="1">
      <x:c r="A530" s="10" t="str">
        <x:v>V-A</x:v>
      </x:c>
      <x:c r="B530" s="10" t="str">
        <x:v>VOICE</x:v>
      </x:c>
      <x:c r="C530" s="10" t="str">
        <x:v>VOICE:S3-02</x:v>
      </x:c>
      <x:c r="D530" s="10" t="str">
        <x:v>VOICE:M2099</x:v>
      </x:c>
      <x:c r="E530" s="15" t="n">
        <x:v>-60</x:v>
      </x:c>
      <x:c r="F530" s="15" t="str">
        <x:v>preparation</x:v>
      </x:c>
      <x:c r="G530" s="15" t="n">
        <x:v>0</x:v>
      </x:c>
      <x:c r="H530" s="15" t="n">
        <x:v>0</x:v>
      </x:c>
      <x:c r="I530" s="15" t="n">
        <x:v>0</x:v>
      </x:c>
      <x:c r="J530" s="15" t="n">
        <x:v>0</x:v>
      </x:c>
      <x:c r="K530" s="15" t="n">
        <x:v>0</x:v>
      </x:c>
      <x:c r="L530" s="15" t="n">
        <x:v>0</x:v>
      </x:c>
      <x:c r="M530" s="15" t="n">
        <x:v>180</x:v>
      </x:c>
      <x:c r="N530" s="15" t="n">
        <x:v>220</x:v>
      </x:c>
      <x:c r="O530" s="15" t="n">
        <x:v>96</x:v>
      </x:c>
      <x:c r="P530" s="15" t="n">
        <x:v>64</x:v>
      </x:c>
      <x:c r="Q530" s="15" t="n">
        <x:v>32</x:v>
      </x:c>
      <x:c r="R530" s="15" t="n">
        <x:v>0</x:v>
      </x:c>
      <x:c r="S530" s="15" t="n">
        <x:v>0</x:v>
      </x:c>
      <x:c r="T530" s="15" t="n">
        <x:v>0</x:v>
      </x:c>
      <x:c r="U530" s="15" t="n">
        <x:v>0</x:v>
      </x:c>
      <x:c r="V530" s="15" t="n">
        <x:v>0</x:v>
      </x:c>
      <x:c r="W530" s="15" t="n">
        <x:v>0</x:v>
      </x:c>
      <x:c r="X530" s="15" t="n">
        <x:v>0</x:v>
      </x:c>
      <x:c r="Y530" s="15" t="n">
        <x:v>0</x:v>
      </x:c>
      <x:c r="Z530" s="15" t="n">
        <x:v>0</x:v>
      </x:c>
      <x:c r="AA530" s="15" t="n">
        <x:v>0</x:v>
      </x:c>
      <x:c r="AB530" s="15" t="n">
        <x:f>SUM(G530:AA530)</x:f>
        <x:v>592</x:v>
      </x:c>
    </x:row>
    <x:row r="531" ht="36" customHeight="1">
      <x:c r="A531" s="10" t="str">
        <x:v>V-R1</x:v>
      </x:c>
      <x:c r="B531" s="10" t="str">
        <x:v>VOICE</x:v>
      </x:c>
      <x:c r="C531" s="10" t="str">
        <x:v>VOICE:S3-02</x:v>
      </x:c>
      <x:c r="D531" s="10" t="str">
        <x:v>VOICE:M2131</x:v>
      </x:c>
      <x:c r="E531" s="15" t="n">
        <x:v>-54.27</x:v>
      </x:c>
      <x:c r="F531" s="15" t="str">
        <x:v>preparation</x:v>
      </x:c>
      <x:c r="G531" s="15" t="n">
        <x:v>0</x:v>
      </x:c>
      <x:c r="H531" s="15" t="n">
        <x:v>0</x:v>
      </x:c>
      <x:c r="I531" s="15" t="n">
        <x:v>0</x:v>
      </x:c>
      <x:c r="J531" s="15" t="n">
        <x:v>0</x:v>
      </x:c>
      <x:c r="K531" s="15" t="n">
        <x:v>0</x:v>
      </x:c>
      <x:c r="L531" s="15" t="n">
        <x:v>0</x:v>
      </x:c>
      <x:c r="M531" s="15" t="n">
        <x:v>180</x:v>
      </x:c>
      <x:c r="N531" s="15" t="n">
        <x:v>220</x:v>
      </x:c>
      <x:c r="O531" s="15" t="n">
        <x:v>96</x:v>
      </x:c>
      <x:c r="P531" s="15" t="n">
        <x:v>64</x:v>
      </x:c>
      <x:c r="Q531" s="15" t="n">
        <x:v>24</x:v>
      </x:c>
      <x:c r="R531" s="15" t="n">
        <x:v>60</x:v>
      </x:c>
      <x:c r="S531" s="15" t="n">
        <x:v>280</x:v>
      </x:c>
      <x:c r="T531" s="15" t="n">
        <x:v>0</x:v>
      </x:c>
      <x:c r="U531" s="15" t="n">
        <x:v>170</x:v>
      </x:c>
      <x:c r="V531" s="15" t="n">
        <x:v>180</x:v>
      </x:c>
      <x:c r="W531" s="15" t="n">
        <x:v>0</x:v>
      </x:c>
      <x:c r="X531" s="15" t="n">
        <x:v>680</x:v>
      </x:c>
      <x:c r="Y531" s="15" t="n">
        <x:v>0</x:v>
      </x:c>
      <x:c r="Z531" s="15" t="n">
        <x:v>0</x:v>
      </x:c>
      <x:c r="AA531" s="15" t="n">
        <x:v>0</x:v>
      </x:c>
      <x:c r="AB531" s="15" t="n">
        <x:f>SUM(G531:AA531)</x:f>
        <x:v>1954</x:v>
      </x:c>
    </x:row>
    <x:row r="532" ht="36" customHeight="1">
      <x:c r="A532" s="10" t="str">
        <x:v>V-R2</x:v>
      </x:c>
      <x:c r="B532" s="10" t="str">
        <x:v>VOICE</x:v>
      </x:c>
      <x:c r="C532" s="10" t="str">
        <x:v>VOICE:S3-02</x:v>
      </x:c>
      <x:c r="D532" s="10" t="str">
        <x:v>VOICE:M2165</x:v>
      </x:c>
      <x:c r="E532" s="15" t="n">
        <x:v>-54.42</x:v>
      </x:c>
      <x:c r="F532" s="15" t="str">
        <x:v>preparation</x:v>
      </x:c>
      <x:c r="G532" s="15" t="n">
        <x:v>0</x:v>
      </x:c>
      <x:c r="H532" s="15" t="n">
        <x:v>0</x:v>
      </x:c>
      <x:c r="I532" s="15" t="n">
        <x:v>0</x:v>
      </x:c>
      <x:c r="J532" s="15" t="n">
        <x:v>0</x:v>
      </x:c>
      <x:c r="K532" s="15" t="n">
        <x:v>0</x:v>
      </x:c>
      <x:c r="L532" s="15" t="n">
        <x:v>0</x:v>
      </x:c>
      <x:c r="M532" s="15" t="n">
        <x:v>180</x:v>
      </x:c>
      <x:c r="N532" s="15" t="n">
        <x:v>220</x:v>
      </x:c>
      <x:c r="O532" s="15" t="n">
        <x:v>96</x:v>
      </x:c>
      <x:c r="P532" s="15" t="n">
        <x:v>64</x:v>
      </x:c>
      <x:c r="Q532" s="15" t="n">
        <x:v>24</x:v>
      </x:c>
      <x:c r="R532" s="15" t="n">
        <x:v>60</x:v>
      </x:c>
      <x:c r="S532" s="15" t="n">
        <x:v>280</x:v>
      </x:c>
      <x:c r="T532" s="15" t="n">
        <x:v>420</x:v>
      </x:c>
      <x:c r="U532" s="15" t="n">
        <x:v>170</x:v>
      </x:c>
      <x:c r="V532" s="15" t="n">
        <x:v>180</x:v>
      </x:c>
      <x:c r="W532" s="15" t="n">
        <x:v>0</x:v>
      </x:c>
      <x:c r="X532" s="15" t="n">
        <x:v>680</x:v>
      </x:c>
      <x:c r="Y532" s="15" t="n">
        <x:v>0</x:v>
      </x:c>
      <x:c r="Z532" s="15" t="n">
        <x:v>0</x:v>
      </x:c>
      <x:c r="AA532" s="15" t="n">
        <x:v>0</x:v>
      </x:c>
      <x:c r="AB532" s="15" t="n">
        <x:f>SUM(G532:AA532)</x:f>
        <x:v>2374</x:v>
      </x:c>
    </x:row>
    <x:row r="533" ht="36" customHeight="1">
      <x:c r="A533" s="10" t="str">
        <x:v>V-R3</x:v>
      </x:c>
      <x:c r="B533" s="10" t="str">
        <x:v>VOICE</x:v>
      </x:c>
      <x:c r="C533" s="10" t="str">
        <x:v>VOICE:S3-02</x:v>
      </x:c>
      <x:c r="D533" s="10" t="str">
        <x:v>VOICE:M2194</x:v>
      </x:c>
      <x:c r="E533" s="15" t="n">
        <x:v>-54.120000000000005</x:v>
      </x:c>
      <x:c r="F533" s="15" t="str">
        <x:v>preparation</x:v>
      </x:c>
      <x:c r="G533" s="15" t="n">
        <x:v>0</x:v>
      </x:c>
      <x:c r="H533" s="15" t="n">
        <x:v>0</x:v>
      </x:c>
      <x:c r="I533" s="15" t="n">
        <x:v>0</x:v>
      </x:c>
      <x:c r="J533" s="15" t="n">
        <x:v>0</x:v>
      </x:c>
      <x:c r="K533" s="15" t="n">
        <x:v>0</x:v>
      </x:c>
      <x:c r="L533" s="15" t="n">
        <x:v>0</x:v>
      </x:c>
      <x:c r="M533" s="15" t="n">
        <x:v>180</x:v>
      </x:c>
      <x:c r="N533" s="15" t="n">
        <x:v>220</x:v>
      </x:c>
      <x:c r="O533" s="15" t="n">
        <x:v>96</x:v>
      </x:c>
      <x:c r="P533" s="15" t="n">
        <x:v>64</x:v>
      </x:c>
      <x:c r="Q533" s="15" t="n">
        <x:v>32</x:v>
      </x:c>
      <x:c r="R533" s="15" t="n">
        <x:v>60</x:v>
      </x:c>
      <x:c r="S533" s="15" t="n">
        <x:v>560</x:v>
      </x:c>
      <x:c r="T533" s="15" t="n">
        <x:v>420</x:v>
      </x:c>
      <x:c r="U533" s="15" t="n">
        <x:v>170</x:v>
      </x:c>
      <x:c r="V533" s="15" t="n">
        <x:v>180</x:v>
      </x:c>
      <x:c r="W533" s="15" t="n">
        <x:v>0</x:v>
      </x:c>
      <x:c r="X533" s="15" t="n">
        <x:v>680</x:v>
      </x:c>
      <x:c r="Y533" s="15" t="n">
        <x:v>0</x:v>
      </x:c>
      <x:c r="Z533" s="15" t="n">
        <x:v>0</x:v>
      </x:c>
      <x:c r="AA533" s="15" t="n">
        <x:v>0</x:v>
      </x:c>
      <x:c r="AB533" s="15" t="n">
        <x:f>SUM(G533:AA533)</x:f>
        <x:v>2662</x:v>
      </x:c>
    </x:row>
    <x:row r="534" ht="36" customHeight="1">
      <x:c r="A534" s="10" t="str">
        <x:v>V-A</x:v>
      </x:c>
      <x:c r="B534" s="10" t="str">
        <x:v>VOICE</x:v>
      </x:c>
      <x:c r="C534" s="10" t="str">
        <x:v>VOICE:S3-03</x:v>
      </x:c>
      <x:c r="D534" s="10" t="str">
        <x:v>VOICE:M2218</x:v>
      </x:c>
      <x:c r="E534" s="15" t="n">
        <x:v>-60</x:v>
      </x:c>
      <x:c r="F534" s="15" t="str">
        <x:v>preparation</x:v>
      </x:c>
      <x:c r="G534" s="15" t="n">
        <x:v>0</x:v>
      </x:c>
      <x:c r="H534" s="15" t="n">
        <x:v>0</x:v>
      </x:c>
      <x:c r="I534" s="15" t="n">
        <x:v>0</x:v>
      </x:c>
      <x:c r="J534" s="15" t="n">
        <x:v>0</x:v>
      </x:c>
      <x:c r="K534" s="15" t="n">
        <x:v>0</x:v>
      </x:c>
      <x:c r="L534" s="15" t="n">
        <x:v>0</x:v>
      </x:c>
      <x:c r="M534" s="15" t="n">
        <x:v>180</x:v>
      </x:c>
      <x:c r="N534" s="15" t="n">
        <x:v>220</x:v>
      </x:c>
      <x:c r="O534" s="15" t="n">
        <x:v>96</x:v>
      </x:c>
      <x:c r="P534" s="15" t="n">
        <x:v>64</x:v>
      </x:c>
      <x:c r="Q534" s="15" t="n">
        <x:v>32</x:v>
      </x:c>
      <x:c r="R534" s="15" t="n">
        <x:v>0</x:v>
      </x:c>
      <x:c r="S534" s="15" t="n">
        <x:v>0</x:v>
      </x:c>
      <x:c r="T534" s="15" t="n">
        <x:v>0</x:v>
      </x:c>
      <x:c r="U534" s="15" t="n">
        <x:v>0</x:v>
      </x:c>
      <x:c r="V534" s="15" t="n">
        <x:v>0</x:v>
      </x:c>
      <x:c r="W534" s="15" t="n">
        <x:v>0</x:v>
      </x:c>
      <x:c r="X534" s="15" t="n">
        <x:v>0</x:v>
      </x:c>
      <x:c r="Y534" s="15" t="n">
        <x:v>0</x:v>
      </x:c>
      <x:c r="Z534" s="15" t="n">
        <x:v>0</x:v>
      </x:c>
      <x:c r="AA534" s="15" t="n">
        <x:v>0</x:v>
      </x:c>
      <x:c r="AB534" s="15" t="n">
        <x:f>SUM(G534:AA534)</x:f>
        <x:v>592</x:v>
      </x:c>
    </x:row>
    <x:row r="535" ht="36" customHeight="1">
      <x:c r="A535" s="10" t="str">
        <x:v>V-R1</x:v>
      </x:c>
      <x:c r="B535" s="10" t="str">
        <x:v>VOICE</x:v>
      </x:c>
      <x:c r="C535" s="10" t="str">
        <x:v>VOICE:S3-03</x:v>
      </x:c>
      <x:c r="D535" s="10" t="str">
        <x:v>VOICE:M2250</x:v>
      </x:c>
      <x:c r="E535" s="15" t="n">
        <x:v>-54.27</x:v>
      </x:c>
      <x:c r="F535" s="15" t="str">
        <x:v>preparation</x:v>
      </x:c>
      <x:c r="G535" s="15" t="n">
        <x:v>0</x:v>
      </x:c>
      <x:c r="H535" s="15" t="n">
        <x:v>0</x:v>
      </x:c>
      <x:c r="I535" s="15" t="n">
        <x:v>0</x:v>
      </x:c>
      <x:c r="J535" s="15" t="n">
        <x:v>0</x:v>
      </x:c>
      <x:c r="K535" s="15" t="n">
        <x:v>0</x:v>
      </x:c>
      <x:c r="L535" s="15" t="n">
        <x:v>0</x:v>
      </x:c>
      <x:c r="M535" s="15" t="n">
        <x:v>180</x:v>
      </x:c>
      <x:c r="N535" s="15" t="n">
        <x:v>220</x:v>
      </x:c>
      <x:c r="O535" s="15" t="n">
        <x:v>96</x:v>
      </x:c>
      <x:c r="P535" s="15" t="n">
        <x:v>64</x:v>
      </x:c>
      <x:c r="Q535" s="15" t="n">
        <x:v>24</x:v>
      </x:c>
      <x:c r="R535" s="15" t="n">
        <x:v>60</x:v>
      </x:c>
      <x:c r="S535" s="15" t="n">
        <x:v>280</x:v>
      </x:c>
      <x:c r="T535" s="15" t="n">
        <x:v>0</x:v>
      </x:c>
      <x:c r="U535" s="15" t="n">
        <x:v>170</x:v>
      </x:c>
      <x:c r="V535" s="15" t="n">
        <x:v>180</x:v>
      </x:c>
      <x:c r="W535" s="15" t="n">
        <x:v>0</x:v>
      </x:c>
      <x:c r="X535" s="15" t="n">
        <x:v>680</x:v>
      </x:c>
      <x:c r="Y535" s="15" t="n">
        <x:v>0</x:v>
      </x:c>
      <x:c r="Z535" s="15" t="n">
        <x:v>0</x:v>
      </x:c>
      <x:c r="AA535" s="15" t="n">
        <x:v>0</x:v>
      </x:c>
      <x:c r="AB535" s="15" t="n">
        <x:f>SUM(G535:AA535)</x:f>
        <x:v>1954</x:v>
      </x:c>
    </x:row>
    <x:row r="536" ht="36" customHeight="1">
      <x:c r="A536" s="10" t="str">
        <x:v>V-R2</x:v>
      </x:c>
      <x:c r="B536" s="10" t="str">
        <x:v>VOICE</x:v>
      </x:c>
      <x:c r="C536" s="10" t="str">
        <x:v>VOICE:S3-03</x:v>
      </x:c>
      <x:c r="D536" s="10" t="str">
        <x:v>VOICE:M2284</x:v>
      </x:c>
      <x:c r="E536" s="15" t="n">
        <x:v>-54.42</x:v>
      </x:c>
      <x:c r="F536" s="15" t="str">
        <x:v>preparation</x:v>
      </x:c>
      <x:c r="G536" s="15" t="n">
        <x:v>0</x:v>
      </x:c>
      <x:c r="H536" s="15" t="n">
        <x:v>0</x:v>
      </x:c>
      <x:c r="I536" s="15" t="n">
        <x:v>0</x:v>
      </x:c>
      <x:c r="J536" s="15" t="n">
        <x:v>0</x:v>
      </x:c>
      <x:c r="K536" s="15" t="n">
        <x:v>0</x:v>
      </x:c>
      <x:c r="L536" s="15" t="n">
        <x:v>0</x:v>
      </x:c>
      <x:c r="M536" s="15" t="n">
        <x:v>180</x:v>
      </x:c>
      <x:c r="N536" s="15" t="n">
        <x:v>220</x:v>
      </x:c>
      <x:c r="O536" s="15" t="n">
        <x:v>96</x:v>
      </x:c>
      <x:c r="P536" s="15" t="n">
        <x:v>64</x:v>
      </x:c>
      <x:c r="Q536" s="15" t="n">
        <x:v>24</x:v>
      </x:c>
      <x:c r="R536" s="15" t="n">
        <x:v>60</x:v>
      </x:c>
      <x:c r="S536" s="15" t="n">
        <x:v>280</x:v>
      </x:c>
      <x:c r="T536" s="15" t="n">
        <x:v>420</x:v>
      </x:c>
      <x:c r="U536" s="15" t="n">
        <x:v>170</x:v>
      </x:c>
      <x:c r="V536" s="15" t="n">
        <x:v>180</x:v>
      </x:c>
      <x:c r="W536" s="15" t="n">
        <x:v>0</x:v>
      </x:c>
      <x:c r="X536" s="15" t="n">
        <x:v>680</x:v>
      </x:c>
      <x:c r="Y536" s="15" t="n">
        <x:v>0</x:v>
      </x:c>
      <x:c r="Z536" s="15" t="n">
        <x:v>0</x:v>
      </x:c>
      <x:c r="AA536" s="15" t="n">
        <x:v>0</x:v>
      </x:c>
      <x:c r="AB536" s="15" t="n">
        <x:f>SUM(G536:AA536)</x:f>
        <x:v>2374</x:v>
      </x:c>
    </x:row>
    <x:row r="537" ht="36" customHeight="1">
      <x:c r="A537" s="10" t="str">
        <x:v>V-R3</x:v>
      </x:c>
      <x:c r="B537" s="10" t="str">
        <x:v>VOICE</x:v>
      </x:c>
      <x:c r="C537" s="10" t="str">
        <x:v>VOICE:S3-03</x:v>
      </x:c>
      <x:c r="D537" s="10" t="str">
        <x:v>VOICE:M2313</x:v>
      </x:c>
      <x:c r="E537" s="15" t="n">
        <x:v>-54.120000000000005</x:v>
      </x:c>
      <x:c r="F537" s="15" t="str">
        <x:v>preparation</x:v>
      </x:c>
      <x:c r="G537" s="15" t="n">
        <x:v>0</x:v>
      </x:c>
      <x:c r="H537" s="15" t="n">
        <x:v>0</x:v>
      </x:c>
      <x:c r="I537" s="15" t="n">
        <x:v>0</x:v>
      </x:c>
      <x:c r="J537" s="15" t="n">
        <x:v>0</x:v>
      </x:c>
      <x:c r="K537" s="15" t="n">
        <x:v>0</x:v>
      </x:c>
      <x:c r="L537" s="15" t="n">
        <x:v>0</x:v>
      </x:c>
      <x:c r="M537" s="15" t="n">
        <x:v>180</x:v>
      </x:c>
      <x:c r="N537" s="15" t="n">
        <x:v>220</x:v>
      </x:c>
      <x:c r="O537" s="15" t="n">
        <x:v>96</x:v>
      </x:c>
      <x:c r="P537" s="15" t="n">
        <x:v>64</x:v>
      </x:c>
      <x:c r="Q537" s="15" t="n">
        <x:v>32</x:v>
      </x:c>
      <x:c r="R537" s="15" t="n">
        <x:v>60</x:v>
      </x:c>
      <x:c r="S537" s="15" t="n">
        <x:v>560</x:v>
      </x:c>
      <x:c r="T537" s="15" t="n">
        <x:v>420</x:v>
      </x:c>
      <x:c r="U537" s="15" t="n">
        <x:v>170</x:v>
      </x:c>
      <x:c r="V537" s="15" t="n">
        <x:v>180</x:v>
      </x:c>
      <x:c r="W537" s="15" t="n">
        <x:v>0</x:v>
      </x:c>
      <x:c r="X537" s="15" t="n">
        <x:v>680</x:v>
      </x:c>
      <x:c r="Y537" s="15" t="n">
        <x:v>0</x:v>
      </x:c>
      <x:c r="Z537" s="15" t="n">
        <x:v>0</x:v>
      </x:c>
      <x:c r="AA537" s="15" t="n">
        <x:v>0</x:v>
      </x:c>
      <x:c r="AB537" s="15" t="n">
        <x:f>SUM(G537:AA537)</x:f>
        <x:v>2662</x:v>
      </x:c>
    </x:row>
    <x:row r="538" ht="36" customHeight="1">
      <x:c r="A538" s="10" t="str">
        <x:v>V-A</x:v>
      </x:c>
      <x:c r="B538" s="10" t="str">
        <x:v>VOICE</x:v>
      </x:c>
      <x:c r="C538" s="10" t="str">
        <x:v>VOICE:S3-04</x:v>
      </x:c>
      <x:c r="D538" s="10" t="str">
        <x:v>VOICE:M2337</x:v>
      </x:c>
      <x:c r="E538" s="15" t="n">
        <x:v>-60</x:v>
      </x:c>
      <x:c r="F538" s="15" t="str">
        <x:v>preparation</x:v>
      </x:c>
      <x:c r="G538" s="15" t="n">
        <x:v>0</x:v>
      </x:c>
      <x:c r="H538" s="15" t="n">
        <x:v>0</x:v>
      </x:c>
      <x:c r="I538" s="15" t="n">
        <x:v>0</x:v>
      </x:c>
      <x:c r="J538" s="15" t="n">
        <x:v>0</x:v>
      </x:c>
      <x:c r="K538" s="15" t="n">
        <x:v>0</x:v>
      </x:c>
      <x:c r="L538" s="15" t="n">
        <x:v>0</x:v>
      </x:c>
      <x:c r="M538" s="15" t="n">
        <x:v>180</x:v>
      </x:c>
      <x:c r="N538" s="15" t="n">
        <x:v>220</x:v>
      </x:c>
      <x:c r="O538" s="15" t="n">
        <x:v>96</x:v>
      </x:c>
      <x:c r="P538" s="15" t="n">
        <x:v>64</x:v>
      </x:c>
      <x:c r="Q538" s="15" t="n">
        <x:v>32</x:v>
      </x:c>
      <x:c r="R538" s="15" t="n">
        <x:v>0</x:v>
      </x:c>
      <x:c r="S538" s="15" t="n">
        <x:v>0</x:v>
      </x:c>
      <x:c r="T538" s="15" t="n">
        <x:v>0</x:v>
      </x:c>
      <x:c r="U538" s="15" t="n">
        <x:v>0</x:v>
      </x:c>
      <x:c r="V538" s="15" t="n">
        <x:v>0</x:v>
      </x:c>
      <x:c r="W538" s="15" t="n">
        <x:v>0</x:v>
      </x:c>
      <x:c r="X538" s="15" t="n">
        <x:v>0</x:v>
      </x:c>
      <x:c r="Y538" s="15" t="n">
        <x:v>0</x:v>
      </x:c>
      <x:c r="Z538" s="15" t="n">
        <x:v>0</x:v>
      </x:c>
      <x:c r="AA538" s="15" t="n">
        <x:v>0</x:v>
      </x:c>
      <x:c r="AB538" s="15" t="n">
        <x:f>SUM(G538:AA538)</x:f>
        <x:v>592</x:v>
      </x:c>
    </x:row>
    <x:row r="539" ht="36" customHeight="1">
      <x:c r="A539" s="10" t="str">
        <x:v>V-R1</x:v>
      </x:c>
      <x:c r="B539" s="10" t="str">
        <x:v>VOICE</x:v>
      </x:c>
      <x:c r="C539" s="10" t="str">
        <x:v>VOICE:S3-04</x:v>
      </x:c>
      <x:c r="D539" s="10" t="str">
        <x:v>VOICE:M2369</x:v>
      </x:c>
      <x:c r="E539" s="15" t="n">
        <x:v>-54.27</x:v>
      </x:c>
      <x:c r="F539" s="15" t="str">
        <x:v>preparation</x:v>
      </x:c>
      <x:c r="G539" s="15" t="n">
        <x:v>0</x:v>
      </x:c>
      <x:c r="H539" s="15" t="n">
        <x:v>0</x:v>
      </x:c>
      <x:c r="I539" s="15" t="n">
        <x:v>0</x:v>
      </x:c>
      <x:c r="J539" s="15" t="n">
        <x:v>0</x:v>
      </x:c>
      <x:c r="K539" s="15" t="n">
        <x:v>0</x:v>
      </x:c>
      <x:c r="L539" s="15" t="n">
        <x:v>0</x:v>
      </x:c>
      <x:c r="M539" s="15" t="n">
        <x:v>180</x:v>
      </x:c>
      <x:c r="N539" s="15" t="n">
        <x:v>220</x:v>
      </x:c>
      <x:c r="O539" s="15" t="n">
        <x:v>96</x:v>
      </x:c>
      <x:c r="P539" s="15" t="n">
        <x:v>64</x:v>
      </x:c>
      <x:c r="Q539" s="15" t="n">
        <x:v>24</x:v>
      </x:c>
      <x:c r="R539" s="15" t="n">
        <x:v>60</x:v>
      </x:c>
      <x:c r="S539" s="15" t="n">
        <x:v>280</x:v>
      </x:c>
      <x:c r="T539" s="15" t="n">
        <x:v>0</x:v>
      </x:c>
      <x:c r="U539" s="15" t="n">
        <x:v>170</x:v>
      </x:c>
      <x:c r="V539" s="15" t="n">
        <x:v>180</x:v>
      </x:c>
      <x:c r="W539" s="15" t="n">
        <x:v>0</x:v>
      </x:c>
      <x:c r="X539" s="15" t="n">
        <x:v>680</x:v>
      </x:c>
      <x:c r="Y539" s="15" t="n">
        <x:v>0</x:v>
      </x:c>
      <x:c r="Z539" s="15" t="n">
        <x:v>0</x:v>
      </x:c>
      <x:c r="AA539" s="15" t="n">
        <x:v>0</x:v>
      </x:c>
      <x:c r="AB539" s="15" t="n">
        <x:f>SUM(G539:AA539)</x:f>
        <x:v>1954</x:v>
      </x:c>
    </x:row>
    <x:row r="540" ht="36" customHeight="1">
      <x:c r="A540" s="10" t="str">
        <x:v>V-R2</x:v>
      </x:c>
      <x:c r="B540" s="10" t="str">
        <x:v>VOICE</x:v>
      </x:c>
      <x:c r="C540" s="10" t="str">
        <x:v>VOICE:S3-04</x:v>
      </x:c>
      <x:c r="D540" s="10" t="str">
        <x:v>VOICE:M2403</x:v>
      </x:c>
      <x:c r="E540" s="15" t="n">
        <x:v>-54.42</x:v>
      </x:c>
      <x:c r="F540" s="15" t="str">
        <x:v>preparation</x:v>
      </x:c>
      <x:c r="G540" s="15" t="n">
        <x:v>0</x:v>
      </x:c>
      <x:c r="H540" s="15" t="n">
        <x:v>0</x:v>
      </x:c>
      <x:c r="I540" s="15" t="n">
        <x:v>0</x:v>
      </x:c>
      <x:c r="J540" s="15" t="n">
        <x:v>0</x:v>
      </x:c>
      <x:c r="K540" s="15" t="n">
        <x:v>0</x:v>
      </x:c>
      <x:c r="L540" s="15" t="n">
        <x:v>0</x:v>
      </x:c>
      <x:c r="M540" s="15" t="n">
        <x:v>180</x:v>
      </x:c>
      <x:c r="N540" s="15" t="n">
        <x:v>220</x:v>
      </x:c>
      <x:c r="O540" s="15" t="n">
        <x:v>96</x:v>
      </x:c>
      <x:c r="P540" s="15" t="n">
        <x:v>64</x:v>
      </x:c>
      <x:c r="Q540" s="15" t="n">
        <x:v>24</x:v>
      </x:c>
      <x:c r="R540" s="15" t="n">
        <x:v>60</x:v>
      </x:c>
      <x:c r="S540" s="15" t="n">
        <x:v>280</x:v>
      </x:c>
      <x:c r="T540" s="15" t="n">
        <x:v>420</x:v>
      </x:c>
      <x:c r="U540" s="15" t="n">
        <x:v>170</x:v>
      </x:c>
      <x:c r="V540" s="15" t="n">
        <x:v>180</x:v>
      </x:c>
      <x:c r="W540" s="15" t="n">
        <x:v>0</x:v>
      </x:c>
      <x:c r="X540" s="15" t="n">
        <x:v>680</x:v>
      </x:c>
      <x:c r="Y540" s="15" t="n">
        <x:v>0</x:v>
      </x:c>
      <x:c r="Z540" s="15" t="n">
        <x:v>0</x:v>
      </x:c>
      <x:c r="AA540" s="15" t="n">
        <x:v>0</x:v>
      </x:c>
      <x:c r="AB540" s="15" t="n">
        <x:f>SUM(G540:AA540)</x:f>
        <x:v>2374</x:v>
      </x:c>
    </x:row>
    <x:row r="541" ht="36" customHeight="1">
      <x:c r="A541" s="10" t="str">
        <x:v>V-R3</x:v>
      </x:c>
      <x:c r="B541" s="10" t="str">
        <x:v>VOICE</x:v>
      </x:c>
      <x:c r="C541" s="10" t="str">
        <x:v>VOICE:S3-04</x:v>
      </x:c>
      <x:c r="D541" s="10" t="str">
        <x:v>VOICE:M2432</x:v>
      </x:c>
      <x:c r="E541" s="15" t="n">
        <x:v>-54.120000000000005</x:v>
      </x:c>
      <x:c r="F541" s="15" t="str">
        <x:v>preparation</x:v>
      </x:c>
      <x:c r="G541" s="15" t="n">
        <x:v>0</x:v>
      </x:c>
      <x:c r="H541" s="15" t="n">
        <x:v>0</x:v>
      </x:c>
      <x:c r="I541" s="15" t="n">
        <x:v>0</x:v>
      </x:c>
      <x:c r="J541" s="15" t="n">
        <x:v>0</x:v>
      </x:c>
      <x:c r="K541" s="15" t="n">
        <x:v>0</x:v>
      </x:c>
      <x:c r="L541" s="15" t="n">
        <x:v>0</x:v>
      </x:c>
      <x:c r="M541" s="15" t="n">
        <x:v>180</x:v>
      </x:c>
      <x:c r="N541" s="15" t="n">
        <x:v>220</x:v>
      </x:c>
      <x:c r="O541" s="15" t="n">
        <x:v>96</x:v>
      </x:c>
      <x:c r="P541" s="15" t="n">
        <x:v>64</x:v>
      </x:c>
      <x:c r="Q541" s="15" t="n">
        <x:v>32</x:v>
      </x:c>
      <x:c r="R541" s="15" t="n">
        <x:v>60</x:v>
      </x:c>
      <x:c r="S541" s="15" t="n">
        <x:v>560</x:v>
      </x:c>
      <x:c r="T541" s="15" t="n">
        <x:v>420</x:v>
      </x:c>
      <x:c r="U541" s="15" t="n">
        <x:v>170</x:v>
      </x:c>
      <x:c r="V541" s="15" t="n">
        <x:v>180</x:v>
      </x:c>
      <x:c r="W541" s="15" t="n">
        <x:v>0</x:v>
      </x:c>
      <x:c r="X541" s="15" t="n">
        <x:v>680</x:v>
      </x:c>
      <x:c r="Y541" s="15" t="n">
        <x:v>0</x:v>
      </x:c>
      <x:c r="Z541" s="15" t="n">
        <x:v>0</x:v>
      </x:c>
      <x:c r="AA541" s="15" t="n">
        <x:v>0</x:v>
      </x:c>
      <x:c r="AB541" s="15" t="n">
        <x:f>SUM(G541:AA541)</x:f>
        <x:v>2662</x:v>
      </x:c>
    </x:row>
    <x:row r="542" ht="36" customHeight="1">
      <x:c r="A542" s="10" t="str">
        <x:v>V-A</x:v>
      </x:c>
      <x:c r="B542" s="10" t="str">
        <x:v>VOICE</x:v>
      </x:c>
      <x:c r="C542" s="10" t="str">
        <x:v>VOICE:S3-05</x:v>
      </x:c>
      <x:c r="D542" s="10" t="str">
        <x:v>VOICE:M2456</x:v>
      </x:c>
      <x:c r="E542" s="15" t="n">
        <x:v>-60</x:v>
      </x:c>
      <x:c r="F542" s="15" t="str">
        <x:v>preparation</x:v>
      </x:c>
      <x:c r="G542" s="15" t="n">
        <x:v>0</x:v>
      </x:c>
      <x:c r="H542" s="15" t="n">
        <x:v>0</x:v>
      </x:c>
      <x:c r="I542" s="15" t="n">
        <x:v>0</x:v>
      </x:c>
      <x:c r="J542" s="15" t="n">
        <x:v>0</x:v>
      </x:c>
      <x:c r="K542" s="15" t="n">
        <x:v>0</x:v>
      </x:c>
      <x:c r="L542" s="15" t="n">
        <x:v>0</x:v>
      </x:c>
      <x:c r="M542" s="15" t="n">
        <x:v>180</x:v>
      </x:c>
      <x:c r="N542" s="15" t="n">
        <x:v>220</x:v>
      </x:c>
      <x:c r="O542" s="15" t="n">
        <x:v>96</x:v>
      </x:c>
      <x:c r="P542" s="15" t="n">
        <x:v>64</x:v>
      </x:c>
      <x:c r="Q542" s="15" t="n">
        <x:v>32</x:v>
      </x:c>
      <x:c r="R542" s="15" t="n">
        <x:v>0</x:v>
      </x:c>
      <x:c r="S542" s="15" t="n">
        <x:v>0</x:v>
      </x:c>
      <x:c r="T542" s="15" t="n">
        <x:v>0</x:v>
      </x:c>
      <x:c r="U542" s="15" t="n">
        <x:v>0</x:v>
      </x:c>
      <x:c r="V542" s="15" t="n">
        <x:v>0</x:v>
      </x:c>
      <x:c r="W542" s="15" t="n">
        <x:v>0</x:v>
      </x:c>
      <x:c r="X542" s="15" t="n">
        <x:v>0</x:v>
      </x:c>
      <x:c r="Y542" s="15" t="n">
        <x:v>0</x:v>
      </x:c>
      <x:c r="Z542" s="15" t="n">
        <x:v>0</x:v>
      </x:c>
      <x:c r="AA542" s="15" t="n">
        <x:v>0</x:v>
      </x:c>
      <x:c r="AB542" s="15" t="n">
        <x:f>SUM(G542:AA542)</x:f>
        <x:v>592</x:v>
      </x:c>
    </x:row>
    <x:row r="543" ht="36" customHeight="1">
      <x:c r="A543" s="10" t="str">
        <x:v>V-R1</x:v>
      </x:c>
      <x:c r="B543" s="10" t="str">
        <x:v>VOICE</x:v>
      </x:c>
      <x:c r="C543" s="10" t="str">
        <x:v>VOICE:S3-05</x:v>
      </x:c>
      <x:c r="D543" s="10" t="str">
        <x:v>VOICE:M2488</x:v>
      </x:c>
      <x:c r="E543" s="15" t="n">
        <x:v>-54.27</x:v>
      </x:c>
      <x:c r="F543" s="15" t="str">
        <x:v>preparation</x:v>
      </x:c>
      <x:c r="G543" s="15" t="n">
        <x:v>0</x:v>
      </x:c>
      <x:c r="H543" s="15" t="n">
        <x:v>0</x:v>
      </x:c>
      <x:c r="I543" s="15" t="n">
        <x:v>0</x:v>
      </x:c>
      <x:c r="J543" s="15" t="n">
        <x:v>0</x:v>
      </x:c>
      <x:c r="K543" s="15" t="n">
        <x:v>0</x:v>
      </x:c>
      <x:c r="L543" s="15" t="n">
        <x:v>0</x:v>
      </x:c>
      <x:c r="M543" s="15" t="n">
        <x:v>180</x:v>
      </x:c>
      <x:c r="N543" s="15" t="n">
        <x:v>220</x:v>
      </x:c>
      <x:c r="O543" s="15" t="n">
        <x:v>96</x:v>
      </x:c>
      <x:c r="P543" s="15" t="n">
        <x:v>64</x:v>
      </x:c>
      <x:c r="Q543" s="15" t="n">
        <x:v>24</x:v>
      </x:c>
      <x:c r="R543" s="15" t="n">
        <x:v>60</x:v>
      </x:c>
      <x:c r="S543" s="15" t="n">
        <x:v>280</x:v>
      </x:c>
      <x:c r="T543" s="15" t="n">
        <x:v>0</x:v>
      </x:c>
      <x:c r="U543" s="15" t="n">
        <x:v>170</x:v>
      </x:c>
      <x:c r="V543" s="15" t="n">
        <x:v>180</x:v>
      </x:c>
      <x:c r="W543" s="15" t="n">
        <x:v>0</x:v>
      </x:c>
      <x:c r="X543" s="15" t="n">
        <x:v>680</x:v>
      </x:c>
      <x:c r="Y543" s="15" t="n">
        <x:v>0</x:v>
      </x:c>
      <x:c r="Z543" s="15" t="n">
        <x:v>0</x:v>
      </x:c>
      <x:c r="AA543" s="15" t="n">
        <x:v>0</x:v>
      </x:c>
      <x:c r="AB543" s="15" t="n">
        <x:f>SUM(G543:AA543)</x:f>
        <x:v>1954</x:v>
      </x:c>
    </x:row>
    <x:row r="544" ht="36" customHeight="1">
      <x:c r="A544" s="10" t="str">
        <x:v>V-R2</x:v>
      </x:c>
      <x:c r="B544" s="10" t="str">
        <x:v>VOICE</x:v>
      </x:c>
      <x:c r="C544" s="10" t="str">
        <x:v>VOICE:S3-05</x:v>
      </x:c>
      <x:c r="D544" s="10" t="str">
        <x:v>VOICE:M2522</x:v>
      </x:c>
      <x:c r="E544" s="15" t="n">
        <x:v>-54.42</x:v>
      </x:c>
      <x:c r="F544" s="15" t="str">
        <x:v>preparation</x:v>
      </x:c>
      <x:c r="G544" s="15" t="n">
        <x:v>0</x:v>
      </x:c>
      <x:c r="H544" s="15" t="n">
        <x:v>0</x:v>
      </x:c>
      <x:c r="I544" s="15" t="n">
        <x:v>0</x:v>
      </x:c>
      <x:c r="J544" s="15" t="n">
        <x:v>0</x:v>
      </x:c>
      <x:c r="K544" s="15" t="n">
        <x:v>0</x:v>
      </x:c>
      <x:c r="L544" s="15" t="n">
        <x:v>0</x:v>
      </x:c>
      <x:c r="M544" s="15" t="n">
        <x:v>180</x:v>
      </x:c>
      <x:c r="N544" s="15" t="n">
        <x:v>220</x:v>
      </x:c>
      <x:c r="O544" s="15" t="n">
        <x:v>96</x:v>
      </x:c>
      <x:c r="P544" s="15" t="n">
        <x:v>64</x:v>
      </x:c>
      <x:c r="Q544" s="15" t="n">
        <x:v>24</x:v>
      </x:c>
      <x:c r="R544" s="15" t="n">
        <x:v>60</x:v>
      </x:c>
      <x:c r="S544" s="15" t="n">
        <x:v>280</x:v>
      </x:c>
      <x:c r="T544" s="15" t="n">
        <x:v>420</x:v>
      </x:c>
      <x:c r="U544" s="15" t="n">
        <x:v>170</x:v>
      </x:c>
      <x:c r="V544" s="15" t="n">
        <x:v>180</x:v>
      </x:c>
      <x:c r="W544" s="15" t="n">
        <x:v>0</x:v>
      </x:c>
      <x:c r="X544" s="15" t="n">
        <x:v>680</x:v>
      </x:c>
      <x:c r="Y544" s="15" t="n">
        <x:v>0</x:v>
      </x:c>
      <x:c r="Z544" s="15" t="n">
        <x:v>0</x:v>
      </x:c>
      <x:c r="AA544" s="15" t="n">
        <x:v>0</x:v>
      </x:c>
      <x:c r="AB544" s="15" t="n">
        <x:f>SUM(G544:AA544)</x:f>
        <x:v>2374</x:v>
      </x:c>
    </x:row>
    <x:row r="545" ht="36" customHeight="1">
      <x:c r="A545" s="10" t="str">
        <x:v>V-R3</x:v>
      </x:c>
      <x:c r="B545" s="10" t="str">
        <x:v>VOICE</x:v>
      </x:c>
      <x:c r="C545" s="10" t="str">
        <x:v>VOICE:S3-05</x:v>
      </x:c>
      <x:c r="D545" s="10" t="str">
        <x:v>VOICE:M2551</x:v>
      </x:c>
      <x:c r="E545" s="15" t="n">
        <x:v>-54.120000000000005</x:v>
      </x:c>
      <x:c r="F545" s="15" t="str">
        <x:v>preparation</x:v>
      </x:c>
      <x:c r="G545" s="15" t="n">
        <x:v>0</x:v>
      </x:c>
      <x:c r="H545" s="15" t="n">
        <x:v>0</x:v>
      </x:c>
      <x:c r="I545" s="15" t="n">
        <x:v>0</x:v>
      </x:c>
      <x:c r="J545" s="15" t="n">
        <x:v>0</x:v>
      </x:c>
      <x:c r="K545" s="15" t="n">
        <x:v>0</x:v>
      </x:c>
      <x:c r="L545" s="15" t="n">
        <x:v>0</x:v>
      </x:c>
      <x:c r="M545" s="15" t="n">
        <x:v>180</x:v>
      </x:c>
      <x:c r="N545" s="15" t="n">
        <x:v>220</x:v>
      </x:c>
      <x:c r="O545" s="15" t="n">
        <x:v>96</x:v>
      </x:c>
      <x:c r="P545" s="15" t="n">
        <x:v>64</x:v>
      </x:c>
      <x:c r="Q545" s="15" t="n">
        <x:v>32</x:v>
      </x:c>
      <x:c r="R545" s="15" t="n">
        <x:v>60</x:v>
      </x:c>
      <x:c r="S545" s="15" t="n">
        <x:v>560</x:v>
      </x:c>
      <x:c r="T545" s="15" t="n">
        <x:v>420</x:v>
      </x:c>
      <x:c r="U545" s="15" t="n">
        <x:v>170</x:v>
      </x:c>
      <x:c r="V545" s="15" t="n">
        <x:v>180</x:v>
      </x:c>
      <x:c r="W545" s="15" t="n">
        <x:v>0</x:v>
      </x:c>
      <x:c r="X545" s="15" t="n">
        <x:v>680</x:v>
      </x:c>
      <x:c r="Y545" s="15" t="n">
        <x:v>0</x:v>
      </x:c>
      <x:c r="Z545" s="15" t="n">
        <x:v>0</x:v>
      </x:c>
      <x:c r="AA545" s="15" t="n">
        <x:v>0</x:v>
      </x:c>
      <x:c r="AB545" s="15" t="n">
        <x:f>SUM(G545:AA545)</x:f>
        <x:v>2662</x:v>
      </x:c>
    </x:row>
    <x:row r="546" ht="36" customHeight="1">
      <x:c r="A546" s="10" t="str">
        <x:v>V-A</x:v>
      </x:c>
      <x:c r="B546" s="10" t="str">
        <x:v>VOICE</x:v>
      </x:c>
      <x:c r="C546" s="10" t="str">
        <x:v>VOICE:S3-06</x:v>
      </x:c>
      <x:c r="D546" s="10" t="str">
        <x:v>VOICE:M2575</x:v>
      </x:c>
      <x:c r="E546" s="15" t="n">
        <x:v>-60</x:v>
      </x:c>
      <x:c r="F546" s="15" t="str">
        <x:v>preparation</x:v>
      </x:c>
      <x:c r="G546" s="15" t="n">
        <x:v>0</x:v>
      </x:c>
      <x:c r="H546" s="15" t="n">
        <x:v>0</x:v>
      </x:c>
      <x:c r="I546" s="15" t="n">
        <x:v>0</x:v>
      </x:c>
      <x:c r="J546" s="15" t="n">
        <x:v>0</x:v>
      </x:c>
      <x:c r="K546" s="15" t="n">
        <x:v>0</x:v>
      </x:c>
      <x:c r="L546" s="15" t="n">
        <x:v>0</x:v>
      </x:c>
      <x:c r="M546" s="15" t="n">
        <x:v>180</x:v>
      </x:c>
      <x:c r="N546" s="15" t="n">
        <x:v>220</x:v>
      </x:c>
      <x:c r="O546" s="15" t="n">
        <x:v>96</x:v>
      </x:c>
      <x:c r="P546" s="15" t="n">
        <x:v>64</x:v>
      </x:c>
      <x:c r="Q546" s="15" t="n">
        <x:v>32</x:v>
      </x:c>
      <x:c r="R546" s="15" t="n">
        <x:v>0</x:v>
      </x:c>
      <x:c r="S546" s="15" t="n">
        <x:v>0</x:v>
      </x:c>
      <x:c r="T546" s="15" t="n">
        <x:v>0</x:v>
      </x:c>
      <x:c r="U546" s="15" t="n">
        <x:v>0</x:v>
      </x:c>
      <x:c r="V546" s="15" t="n">
        <x:v>0</x:v>
      </x:c>
      <x:c r="W546" s="15" t="n">
        <x:v>0</x:v>
      </x:c>
      <x:c r="X546" s="15" t="n">
        <x:v>0</x:v>
      </x:c>
      <x:c r="Y546" s="15" t="n">
        <x:v>0</x:v>
      </x:c>
      <x:c r="Z546" s="15" t="n">
        <x:v>0</x:v>
      </x:c>
      <x:c r="AA546" s="15" t="n">
        <x:v>0</x:v>
      </x:c>
      <x:c r="AB546" s="15" t="n">
        <x:f>SUM(G546:AA546)</x:f>
        <x:v>592</x:v>
      </x:c>
    </x:row>
    <x:row r="547" ht="36" customHeight="1">
      <x:c r="A547" s="10" t="str">
        <x:v>V-R1</x:v>
      </x:c>
      <x:c r="B547" s="10" t="str">
        <x:v>VOICE</x:v>
      </x:c>
      <x:c r="C547" s="10" t="str">
        <x:v>VOICE:S3-06</x:v>
      </x:c>
      <x:c r="D547" s="10" t="str">
        <x:v>VOICE:M2607</x:v>
      </x:c>
      <x:c r="E547" s="15" t="n">
        <x:v>-54.27</x:v>
      </x:c>
      <x:c r="F547" s="15" t="str">
        <x:v>preparation</x:v>
      </x:c>
      <x:c r="G547" s="15" t="n">
        <x:v>0</x:v>
      </x:c>
      <x:c r="H547" s="15" t="n">
        <x:v>0</x:v>
      </x:c>
      <x:c r="I547" s="15" t="n">
        <x:v>0</x:v>
      </x:c>
      <x:c r="J547" s="15" t="n">
        <x:v>0</x:v>
      </x:c>
      <x:c r="K547" s="15" t="n">
        <x:v>0</x:v>
      </x:c>
      <x:c r="L547" s="15" t="n">
        <x:v>0</x:v>
      </x:c>
      <x:c r="M547" s="15" t="n">
        <x:v>180</x:v>
      </x:c>
      <x:c r="N547" s="15" t="n">
        <x:v>220</x:v>
      </x:c>
      <x:c r="O547" s="15" t="n">
        <x:v>96</x:v>
      </x:c>
      <x:c r="P547" s="15" t="n">
        <x:v>64</x:v>
      </x:c>
      <x:c r="Q547" s="15" t="n">
        <x:v>24</x:v>
      </x:c>
      <x:c r="R547" s="15" t="n">
        <x:v>60</x:v>
      </x:c>
      <x:c r="S547" s="15" t="n">
        <x:v>280</x:v>
      </x:c>
      <x:c r="T547" s="15" t="n">
        <x:v>0</x:v>
      </x:c>
      <x:c r="U547" s="15" t="n">
        <x:v>170</x:v>
      </x:c>
      <x:c r="V547" s="15" t="n">
        <x:v>180</x:v>
      </x:c>
      <x:c r="W547" s="15" t="n">
        <x:v>0</x:v>
      </x:c>
      <x:c r="X547" s="15" t="n">
        <x:v>680</x:v>
      </x:c>
      <x:c r="Y547" s="15" t="n">
        <x:v>0</x:v>
      </x:c>
      <x:c r="Z547" s="15" t="n">
        <x:v>0</x:v>
      </x:c>
      <x:c r="AA547" s="15" t="n">
        <x:v>0</x:v>
      </x:c>
      <x:c r="AB547" s="15" t="n">
        <x:f>SUM(G547:AA547)</x:f>
        <x:v>1954</x:v>
      </x:c>
    </x:row>
    <x:row r="548" ht="36" customHeight="1">
      <x:c r="A548" s="10" t="str">
        <x:v>V-R2</x:v>
      </x:c>
      <x:c r="B548" s="10" t="str">
        <x:v>VOICE</x:v>
      </x:c>
      <x:c r="C548" s="10" t="str">
        <x:v>VOICE:S3-06</x:v>
      </x:c>
      <x:c r="D548" s="10" t="str">
        <x:v>VOICE:M2641</x:v>
      </x:c>
      <x:c r="E548" s="15" t="n">
        <x:v>-54.42</x:v>
      </x:c>
      <x:c r="F548" s="15" t="str">
        <x:v>preparation</x:v>
      </x:c>
      <x:c r="G548" s="15" t="n">
        <x:v>0</x:v>
      </x:c>
      <x:c r="H548" s="15" t="n">
        <x:v>0</x:v>
      </x:c>
      <x:c r="I548" s="15" t="n">
        <x:v>0</x:v>
      </x:c>
      <x:c r="J548" s="15" t="n">
        <x:v>0</x:v>
      </x:c>
      <x:c r="K548" s="15" t="n">
        <x:v>0</x:v>
      </x:c>
      <x:c r="L548" s="15" t="n">
        <x:v>0</x:v>
      </x:c>
      <x:c r="M548" s="15" t="n">
        <x:v>180</x:v>
      </x:c>
      <x:c r="N548" s="15" t="n">
        <x:v>220</x:v>
      </x:c>
      <x:c r="O548" s="15" t="n">
        <x:v>96</x:v>
      </x:c>
      <x:c r="P548" s="15" t="n">
        <x:v>64</x:v>
      </x:c>
      <x:c r="Q548" s="15" t="n">
        <x:v>24</x:v>
      </x:c>
      <x:c r="R548" s="15" t="n">
        <x:v>60</x:v>
      </x:c>
      <x:c r="S548" s="15" t="n">
        <x:v>280</x:v>
      </x:c>
      <x:c r="T548" s="15" t="n">
        <x:v>420</x:v>
      </x:c>
      <x:c r="U548" s="15" t="n">
        <x:v>170</x:v>
      </x:c>
      <x:c r="V548" s="15" t="n">
        <x:v>180</x:v>
      </x:c>
      <x:c r="W548" s="15" t="n">
        <x:v>0</x:v>
      </x:c>
      <x:c r="X548" s="15" t="n">
        <x:v>680</x:v>
      </x:c>
      <x:c r="Y548" s="15" t="n">
        <x:v>0</x:v>
      </x:c>
      <x:c r="Z548" s="15" t="n">
        <x:v>0</x:v>
      </x:c>
      <x:c r="AA548" s="15" t="n">
        <x:v>0</x:v>
      </x:c>
      <x:c r="AB548" s="15" t="n">
        <x:f>SUM(G548:AA548)</x:f>
        <x:v>2374</x:v>
      </x:c>
    </x:row>
    <x:row r="549" ht="36" customHeight="1">
      <x:c r="A549" s="10" t="str">
        <x:v>V-R3</x:v>
      </x:c>
      <x:c r="B549" s="10" t="str">
        <x:v>VOICE</x:v>
      </x:c>
      <x:c r="C549" s="10" t="str">
        <x:v>VOICE:S3-06</x:v>
      </x:c>
      <x:c r="D549" s="10" t="str">
        <x:v>VOICE:M2670</x:v>
      </x:c>
      <x:c r="E549" s="15" t="n">
        <x:v>-54.120000000000005</x:v>
      </x:c>
      <x:c r="F549" s="15" t="str">
        <x:v>preparation</x:v>
      </x:c>
      <x:c r="G549" s="15" t="n">
        <x:v>0</x:v>
      </x:c>
      <x:c r="H549" s="15" t="n">
        <x:v>0</x:v>
      </x:c>
      <x:c r="I549" s="15" t="n">
        <x:v>0</x:v>
      </x:c>
      <x:c r="J549" s="15" t="n">
        <x:v>0</x:v>
      </x:c>
      <x:c r="K549" s="15" t="n">
        <x:v>0</x:v>
      </x:c>
      <x:c r="L549" s="15" t="n">
        <x:v>0</x:v>
      </x:c>
      <x:c r="M549" s="15" t="n">
        <x:v>180</x:v>
      </x:c>
      <x:c r="N549" s="15" t="n">
        <x:v>220</x:v>
      </x:c>
      <x:c r="O549" s="15" t="n">
        <x:v>96</x:v>
      </x:c>
      <x:c r="P549" s="15" t="n">
        <x:v>64</x:v>
      </x:c>
      <x:c r="Q549" s="15" t="n">
        <x:v>32</x:v>
      </x:c>
      <x:c r="R549" s="15" t="n">
        <x:v>60</x:v>
      </x:c>
      <x:c r="S549" s="15" t="n">
        <x:v>560</x:v>
      </x:c>
      <x:c r="T549" s="15" t="n">
        <x:v>420</x:v>
      </x:c>
      <x:c r="U549" s="15" t="n">
        <x:v>170</x:v>
      </x:c>
      <x:c r="V549" s="15" t="n">
        <x:v>180</x:v>
      </x:c>
      <x:c r="W549" s="15" t="n">
        <x:v>0</x:v>
      </x:c>
      <x:c r="X549" s="15" t="n">
        <x:v>680</x:v>
      </x:c>
      <x:c r="Y549" s="15" t="n">
        <x:v>0</x:v>
      </x:c>
      <x:c r="Z549" s="15" t="n">
        <x:v>0</x:v>
      </x:c>
      <x:c r="AA549" s="15" t="n">
        <x:v>0</x:v>
      </x:c>
      <x:c r="AB549" s="15" t="n">
        <x:f>SUM(G549:AA549)</x:f>
        <x:v>2662</x:v>
      </x:c>
    </x:row>
    <x:row r="550" ht="36" customHeight="1">
      <x:c r="A550" s="10" t="str">
        <x:v>V-A</x:v>
      </x:c>
      <x:c r="B550" s="10" t="str">
        <x:v>VOICE</x:v>
      </x:c>
      <x:c r="C550" s="10" t="str">
        <x:v>VOICE:S3-07</x:v>
      </x:c>
      <x:c r="D550" s="10" t="str">
        <x:v>VOICE:M2694</x:v>
      </x:c>
      <x:c r="E550" s="15" t="n">
        <x:v>-60</x:v>
      </x:c>
      <x:c r="F550" s="15" t="str">
        <x:v>preparation</x:v>
      </x:c>
      <x:c r="G550" s="15" t="n">
        <x:v>0</x:v>
      </x:c>
      <x:c r="H550" s="15" t="n">
        <x:v>0</x:v>
      </x:c>
      <x:c r="I550" s="15" t="n">
        <x:v>0</x:v>
      </x:c>
      <x:c r="J550" s="15" t="n">
        <x:v>0</x:v>
      </x:c>
      <x:c r="K550" s="15" t="n">
        <x:v>0</x:v>
      </x:c>
      <x:c r="L550" s="15" t="n">
        <x:v>0</x:v>
      </x:c>
      <x:c r="M550" s="15" t="n">
        <x:v>180</x:v>
      </x:c>
      <x:c r="N550" s="15" t="n">
        <x:v>220</x:v>
      </x:c>
      <x:c r="O550" s="15" t="n">
        <x:v>96</x:v>
      </x:c>
      <x:c r="P550" s="15" t="n">
        <x:v>64</x:v>
      </x:c>
      <x:c r="Q550" s="15" t="n">
        <x:v>32</x:v>
      </x:c>
      <x:c r="R550" s="15" t="n">
        <x:v>0</x:v>
      </x:c>
      <x:c r="S550" s="15" t="n">
        <x:v>0</x:v>
      </x:c>
      <x:c r="T550" s="15" t="n">
        <x:v>0</x:v>
      </x:c>
      <x:c r="U550" s="15" t="n">
        <x:v>0</x:v>
      </x:c>
      <x:c r="V550" s="15" t="n">
        <x:v>0</x:v>
      </x:c>
      <x:c r="W550" s="15" t="n">
        <x:v>0</x:v>
      </x:c>
      <x:c r="X550" s="15" t="n">
        <x:v>0</x:v>
      </x:c>
      <x:c r="Y550" s="15" t="n">
        <x:v>0</x:v>
      </x:c>
      <x:c r="Z550" s="15" t="n">
        <x:v>0</x:v>
      </x:c>
      <x:c r="AA550" s="15" t="n">
        <x:v>0</x:v>
      </x:c>
      <x:c r="AB550" s="15" t="n">
        <x:f>SUM(G550:AA550)</x:f>
        <x:v>592</x:v>
      </x:c>
    </x:row>
    <x:row r="551" ht="36" customHeight="1">
      <x:c r="A551" s="10" t="str">
        <x:v>V-R1</x:v>
      </x:c>
      <x:c r="B551" s="10" t="str">
        <x:v>VOICE</x:v>
      </x:c>
      <x:c r="C551" s="10" t="str">
        <x:v>VOICE:S3-07</x:v>
      </x:c>
      <x:c r="D551" s="10" t="str">
        <x:v>VOICE:M2726</x:v>
      </x:c>
      <x:c r="E551" s="15" t="n">
        <x:v>-54.27</x:v>
      </x:c>
      <x:c r="F551" s="15" t="str">
        <x:v>preparation</x:v>
      </x:c>
      <x:c r="G551" s="15" t="n">
        <x:v>0</x:v>
      </x:c>
      <x:c r="H551" s="15" t="n">
        <x:v>0</x:v>
      </x:c>
      <x:c r="I551" s="15" t="n">
        <x:v>0</x:v>
      </x:c>
      <x:c r="J551" s="15" t="n">
        <x:v>0</x:v>
      </x:c>
      <x:c r="K551" s="15" t="n">
        <x:v>0</x:v>
      </x:c>
      <x:c r="L551" s="15" t="n">
        <x:v>0</x:v>
      </x:c>
      <x:c r="M551" s="15" t="n">
        <x:v>180</x:v>
      </x:c>
      <x:c r="N551" s="15" t="n">
        <x:v>220</x:v>
      </x:c>
      <x:c r="O551" s="15" t="n">
        <x:v>96</x:v>
      </x:c>
      <x:c r="P551" s="15" t="n">
        <x:v>64</x:v>
      </x:c>
      <x:c r="Q551" s="15" t="n">
        <x:v>24</x:v>
      </x:c>
      <x:c r="R551" s="15" t="n">
        <x:v>60</x:v>
      </x:c>
      <x:c r="S551" s="15" t="n">
        <x:v>280</x:v>
      </x:c>
      <x:c r="T551" s="15" t="n">
        <x:v>0</x:v>
      </x:c>
      <x:c r="U551" s="15" t="n">
        <x:v>170</x:v>
      </x:c>
      <x:c r="V551" s="15" t="n">
        <x:v>180</x:v>
      </x:c>
      <x:c r="W551" s="15" t="n">
        <x:v>0</x:v>
      </x:c>
      <x:c r="X551" s="15" t="n">
        <x:v>680</x:v>
      </x:c>
      <x:c r="Y551" s="15" t="n">
        <x:v>0</x:v>
      </x:c>
      <x:c r="Z551" s="15" t="n">
        <x:v>0</x:v>
      </x:c>
      <x:c r="AA551" s="15" t="n">
        <x:v>0</x:v>
      </x:c>
      <x:c r="AB551" s="15" t="n">
        <x:f>SUM(G551:AA551)</x:f>
        <x:v>1954</x:v>
      </x:c>
    </x:row>
    <x:row r="552" ht="36" customHeight="1">
      <x:c r="A552" s="10" t="str">
        <x:v>V-R2</x:v>
      </x:c>
      <x:c r="B552" s="10" t="str">
        <x:v>VOICE</x:v>
      </x:c>
      <x:c r="C552" s="10" t="str">
        <x:v>VOICE:S3-07</x:v>
      </x:c>
      <x:c r="D552" s="10" t="str">
        <x:v>VOICE:M2760</x:v>
      </x:c>
      <x:c r="E552" s="15" t="n">
        <x:v>-54.42</x:v>
      </x:c>
      <x:c r="F552" s="15" t="str">
        <x:v>preparation</x:v>
      </x:c>
      <x:c r="G552" s="15" t="n">
        <x:v>0</x:v>
      </x:c>
      <x:c r="H552" s="15" t="n">
        <x:v>0</x:v>
      </x:c>
      <x:c r="I552" s="15" t="n">
        <x:v>0</x:v>
      </x:c>
      <x:c r="J552" s="15" t="n">
        <x:v>0</x:v>
      </x:c>
      <x:c r="K552" s="15" t="n">
        <x:v>0</x:v>
      </x:c>
      <x:c r="L552" s="15" t="n">
        <x:v>0</x:v>
      </x:c>
      <x:c r="M552" s="15" t="n">
        <x:v>180</x:v>
      </x:c>
      <x:c r="N552" s="15" t="n">
        <x:v>220</x:v>
      </x:c>
      <x:c r="O552" s="15" t="n">
        <x:v>96</x:v>
      </x:c>
      <x:c r="P552" s="15" t="n">
        <x:v>64</x:v>
      </x:c>
      <x:c r="Q552" s="15" t="n">
        <x:v>24</x:v>
      </x:c>
      <x:c r="R552" s="15" t="n">
        <x:v>60</x:v>
      </x:c>
      <x:c r="S552" s="15" t="n">
        <x:v>280</x:v>
      </x:c>
      <x:c r="T552" s="15" t="n">
        <x:v>420</x:v>
      </x:c>
      <x:c r="U552" s="15" t="n">
        <x:v>170</x:v>
      </x:c>
      <x:c r="V552" s="15" t="n">
        <x:v>180</x:v>
      </x:c>
      <x:c r="W552" s="15" t="n">
        <x:v>0</x:v>
      </x:c>
      <x:c r="X552" s="15" t="n">
        <x:v>680</x:v>
      </x:c>
      <x:c r="Y552" s="15" t="n">
        <x:v>0</x:v>
      </x:c>
      <x:c r="Z552" s="15" t="n">
        <x:v>0</x:v>
      </x:c>
      <x:c r="AA552" s="15" t="n">
        <x:v>0</x:v>
      </x:c>
      <x:c r="AB552" s="15" t="n">
        <x:f>SUM(G552:AA552)</x:f>
        <x:v>2374</x:v>
      </x:c>
    </x:row>
    <x:row r="553" ht="36" customHeight="1">
      <x:c r="A553" s="10" t="str">
        <x:v>V-R3</x:v>
      </x:c>
      <x:c r="B553" s="10" t="str">
        <x:v>VOICE</x:v>
      </x:c>
      <x:c r="C553" s="10" t="str">
        <x:v>VOICE:S3-07</x:v>
      </x:c>
      <x:c r="D553" s="10" t="str">
        <x:v>VOICE:M2789</x:v>
      </x:c>
      <x:c r="E553" s="15" t="n">
        <x:v>-54.120000000000005</x:v>
      </x:c>
      <x:c r="F553" s="15" t="str">
        <x:v>preparation</x:v>
      </x:c>
      <x:c r="G553" s="15" t="n">
        <x:v>0</x:v>
      </x:c>
      <x:c r="H553" s="15" t="n">
        <x:v>0</x:v>
      </x:c>
      <x:c r="I553" s="15" t="n">
        <x:v>0</x:v>
      </x:c>
      <x:c r="J553" s="15" t="n">
        <x:v>0</x:v>
      </x:c>
      <x:c r="K553" s="15" t="n">
        <x:v>0</x:v>
      </x:c>
      <x:c r="L553" s="15" t="n">
        <x:v>0</x:v>
      </x:c>
      <x:c r="M553" s="15" t="n">
        <x:v>180</x:v>
      </x:c>
      <x:c r="N553" s="15" t="n">
        <x:v>220</x:v>
      </x:c>
      <x:c r="O553" s="15" t="n">
        <x:v>96</x:v>
      </x:c>
      <x:c r="P553" s="15" t="n">
        <x:v>64</x:v>
      </x:c>
      <x:c r="Q553" s="15" t="n">
        <x:v>32</x:v>
      </x:c>
      <x:c r="R553" s="15" t="n">
        <x:v>60</x:v>
      </x:c>
      <x:c r="S553" s="15" t="n">
        <x:v>560</x:v>
      </x:c>
      <x:c r="T553" s="15" t="n">
        <x:v>420</x:v>
      </x:c>
      <x:c r="U553" s="15" t="n">
        <x:v>170</x:v>
      </x:c>
      <x:c r="V553" s="15" t="n">
        <x:v>180</x:v>
      </x:c>
      <x:c r="W553" s="15" t="n">
        <x:v>0</x:v>
      </x:c>
      <x:c r="X553" s="15" t="n">
        <x:v>680</x:v>
      </x:c>
      <x:c r="Y553" s="15" t="n">
        <x:v>0</x:v>
      </x:c>
      <x:c r="Z553" s="15" t="n">
        <x:v>0</x:v>
      </x:c>
      <x:c r="AA553" s="15" t="n">
        <x:v>0</x:v>
      </x:c>
      <x:c r="AB553" s="15" t="n">
        <x:f>SUM(G553:AA553)</x:f>
        <x:v>2662</x:v>
      </x:c>
    </x:row>
    <x:row r="554" ht="36" customHeight="1">
      <x:c r="A554" s="10" t="str">
        <x:v>V-A</x:v>
      </x:c>
      <x:c r="B554" s="10" t="str">
        <x:v>VOICE</x:v>
      </x:c>
      <x:c r="C554" s="10" t="str">
        <x:v>VOICE:S3-08</x:v>
      </x:c>
      <x:c r="D554" s="10" t="str">
        <x:v>VOICE:M2813</x:v>
      </x:c>
      <x:c r="E554" s="15" t="n">
        <x:v>-60</x:v>
      </x:c>
      <x:c r="F554" s="15" t="str">
        <x:v>preparation</x:v>
      </x:c>
      <x:c r="G554" s="15" t="n">
        <x:v>0</x:v>
      </x:c>
      <x:c r="H554" s="15" t="n">
        <x:v>0</x:v>
      </x:c>
      <x:c r="I554" s="15" t="n">
        <x:v>0</x:v>
      </x:c>
      <x:c r="J554" s="15" t="n">
        <x:v>0</x:v>
      </x:c>
      <x:c r="K554" s="15" t="n">
        <x:v>0</x:v>
      </x:c>
      <x:c r="L554" s="15" t="n">
        <x:v>0</x:v>
      </x:c>
      <x:c r="M554" s="15" t="n">
        <x:v>180</x:v>
      </x:c>
      <x:c r="N554" s="15" t="n">
        <x:v>220</x:v>
      </x:c>
      <x:c r="O554" s="15" t="n">
        <x:v>96</x:v>
      </x:c>
      <x:c r="P554" s="15" t="n">
        <x:v>64</x:v>
      </x:c>
      <x:c r="Q554" s="15" t="n">
        <x:v>32</x:v>
      </x:c>
      <x:c r="R554" s="15" t="n">
        <x:v>0</x:v>
      </x:c>
      <x:c r="S554" s="15" t="n">
        <x:v>0</x:v>
      </x:c>
      <x:c r="T554" s="15" t="n">
        <x:v>0</x:v>
      </x:c>
      <x:c r="U554" s="15" t="n">
        <x:v>0</x:v>
      </x:c>
      <x:c r="V554" s="15" t="n">
        <x:v>0</x:v>
      </x:c>
      <x:c r="W554" s="15" t="n">
        <x:v>0</x:v>
      </x:c>
      <x:c r="X554" s="15" t="n">
        <x:v>0</x:v>
      </x:c>
      <x:c r="Y554" s="15" t="n">
        <x:v>0</x:v>
      </x:c>
      <x:c r="Z554" s="15" t="n">
        <x:v>0</x:v>
      </x:c>
      <x:c r="AA554" s="15" t="n">
        <x:v>0</x:v>
      </x:c>
      <x:c r="AB554" s="15" t="n">
        <x:f>SUM(G554:AA554)</x:f>
        <x:v>592</x:v>
      </x:c>
    </x:row>
    <x:row r="555" ht="36" customHeight="1">
      <x:c r="A555" s="10" t="str">
        <x:v>V-R1</x:v>
      </x:c>
      <x:c r="B555" s="10" t="str">
        <x:v>VOICE</x:v>
      </x:c>
      <x:c r="C555" s="10" t="str">
        <x:v>VOICE:S3-08</x:v>
      </x:c>
      <x:c r="D555" s="10" t="str">
        <x:v>VOICE:M2845</x:v>
      </x:c>
      <x:c r="E555" s="15" t="n">
        <x:v>-54.27</x:v>
      </x:c>
      <x:c r="F555" s="15" t="str">
        <x:v>preparation</x:v>
      </x:c>
      <x:c r="G555" s="15" t="n">
        <x:v>0</x:v>
      </x:c>
      <x:c r="H555" s="15" t="n">
        <x:v>0</x:v>
      </x:c>
      <x:c r="I555" s="15" t="n">
        <x:v>0</x:v>
      </x:c>
      <x:c r="J555" s="15" t="n">
        <x:v>0</x:v>
      </x:c>
      <x:c r="K555" s="15" t="n">
        <x:v>0</x:v>
      </x:c>
      <x:c r="L555" s="15" t="n">
        <x:v>0</x:v>
      </x:c>
      <x:c r="M555" s="15" t="n">
        <x:v>180</x:v>
      </x:c>
      <x:c r="N555" s="15" t="n">
        <x:v>220</x:v>
      </x:c>
      <x:c r="O555" s="15" t="n">
        <x:v>96</x:v>
      </x:c>
      <x:c r="P555" s="15" t="n">
        <x:v>64</x:v>
      </x:c>
      <x:c r="Q555" s="15" t="n">
        <x:v>24</x:v>
      </x:c>
      <x:c r="R555" s="15" t="n">
        <x:v>60</x:v>
      </x:c>
      <x:c r="S555" s="15" t="n">
        <x:v>280</x:v>
      </x:c>
      <x:c r="T555" s="15" t="n">
        <x:v>0</x:v>
      </x:c>
      <x:c r="U555" s="15" t="n">
        <x:v>170</x:v>
      </x:c>
      <x:c r="V555" s="15" t="n">
        <x:v>180</x:v>
      </x:c>
      <x:c r="W555" s="15" t="n">
        <x:v>0</x:v>
      </x:c>
      <x:c r="X555" s="15" t="n">
        <x:v>680</x:v>
      </x:c>
      <x:c r="Y555" s="15" t="n">
        <x:v>0</x:v>
      </x:c>
      <x:c r="Z555" s="15" t="n">
        <x:v>0</x:v>
      </x:c>
      <x:c r="AA555" s="15" t="n">
        <x:v>0</x:v>
      </x:c>
      <x:c r="AB555" s="15" t="n">
        <x:f>SUM(G555:AA555)</x:f>
        <x:v>1954</x:v>
      </x:c>
    </x:row>
    <x:row r="556" ht="36" customHeight="1">
      <x:c r="A556" s="10" t="str">
        <x:v>V-R2</x:v>
      </x:c>
      <x:c r="B556" s="10" t="str">
        <x:v>VOICE</x:v>
      </x:c>
      <x:c r="C556" s="10" t="str">
        <x:v>VOICE:S3-08</x:v>
      </x:c>
      <x:c r="D556" s="10" t="str">
        <x:v>VOICE:M2879</x:v>
      </x:c>
      <x:c r="E556" s="15" t="n">
        <x:v>-54.42</x:v>
      </x:c>
      <x:c r="F556" s="15" t="str">
        <x:v>preparation</x:v>
      </x:c>
      <x:c r="G556" s="15" t="n">
        <x:v>0</x:v>
      </x:c>
      <x:c r="H556" s="15" t="n">
        <x:v>0</x:v>
      </x:c>
      <x:c r="I556" s="15" t="n">
        <x:v>0</x:v>
      </x:c>
      <x:c r="J556" s="15" t="n">
        <x:v>0</x:v>
      </x:c>
      <x:c r="K556" s="15" t="n">
        <x:v>0</x:v>
      </x:c>
      <x:c r="L556" s="15" t="n">
        <x:v>0</x:v>
      </x:c>
      <x:c r="M556" s="15" t="n">
        <x:v>180</x:v>
      </x:c>
      <x:c r="N556" s="15" t="n">
        <x:v>220</x:v>
      </x:c>
      <x:c r="O556" s="15" t="n">
        <x:v>96</x:v>
      </x:c>
      <x:c r="P556" s="15" t="n">
        <x:v>64</x:v>
      </x:c>
      <x:c r="Q556" s="15" t="n">
        <x:v>24</x:v>
      </x:c>
      <x:c r="R556" s="15" t="n">
        <x:v>60</x:v>
      </x:c>
      <x:c r="S556" s="15" t="n">
        <x:v>280</x:v>
      </x:c>
      <x:c r="T556" s="15" t="n">
        <x:v>420</x:v>
      </x:c>
      <x:c r="U556" s="15" t="n">
        <x:v>170</x:v>
      </x:c>
      <x:c r="V556" s="15" t="n">
        <x:v>180</x:v>
      </x:c>
      <x:c r="W556" s="15" t="n">
        <x:v>0</x:v>
      </x:c>
      <x:c r="X556" s="15" t="n">
        <x:v>680</x:v>
      </x:c>
      <x:c r="Y556" s="15" t="n">
        <x:v>0</x:v>
      </x:c>
      <x:c r="Z556" s="15" t="n">
        <x:v>0</x:v>
      </x:c>
      <x:c r="AA556" s="15" t="n">
        <x:v>0</x:v>
      </x:c>
      <x:c r="AB556" s="15" t="n">
        <x:f>SUM(G556:AA556)</x:f>
        <x:v>2374</x:v>
      </x:c>
    </x:row>
    <x:row r="557" ht="36" customHeight="1">
      <x:c r="A557" s="10" t="str">
        <x:v>V-R3</x:v>
      </x:c>
      <x:c r="B557" s="10" t="str">
        <x:v>VOICE</x:v>
      </x:c>
      <x:c r="C557" s="10" t="str">
        <x:v>VOICE:S3-08</x:v>
      </x:c>
      <x:c r="D557" s="10" t="str">
        <x:v>VOICE:M2908</x:v>
      </x:c>
      <x:c r="E557" s="15" t="n">
        <x:v>-54.120000000000005</x:v>
      </x:c>
      <x:c r="F557" s="15" t="str">
        <x:v>preparation</x:v>
      </x:c>
      <x:c r="G557" s="15" t="n">
        <x:v>0</x:v>
      </x:c>
      <x:c r="H557" s="15" t="n">
        <x:v>0</x:v>
      </x:c>
      <x:c r="I557" s="15" t="n">
        <x:v>0</x:v>
      </x:c>
      <x:c r="J557" s="15" t="n">
        <x:v>0</x:v>
      </x:c>
      <x:c r="K557" s="15" t="n">
        <x:v>0</x:v>
      </x:c>
      <x:c r="L557" s="15" t="n">
        <x:v>0</x:v>
      </x:c>
      <x:c r="M557" s="15" t="n">
        <x:v>180</x:v>
      </x:c>
      <x:c r="N557" s="15" t="n">
        <x:v>220</x:v>
      </x:c>
      <x:c r="O557" s="15" t="n">
        <x:v>96</x:v>
      </x:c>
      <x:c r="P557" s="15" t="n">
        <x:v>64</x:v>
      </x:c>
      <x:c r="Q557" s="15" t="n">
        <x:v>32</x:v>
      </x:c>
      <x:c r="R557" s="15" t="n">
        <x:v>60</x:v>
      </x:c>
      <x:c r="S557" s="15" t="n">
        <x:v>560</x:v>
      </x:c>
      <x:c r="T557" s="15" t="n">
        <x:v>420</x:v>
      </x:c>
      <x:c r="U557" s="15" t="n">
        <x:v>170</x:v>
      </x:c>
      <x:c r="V557" s="15" t="n">
        <x:v>180</x:v>
      </x:c>
      <x:c r="W557" s="15" t="n">
        <x:v>0</x:v>
      </x:c>
      <x:c r="X557" s="15" t="n">
        <x:v>680</x:v>
      </x:c>
      <x:c r="Y557" s="15" t="n">
        <x:v>0</x:v>
      </x:c>
      <x:c r="Z557" s="15" t="n">
        <x:v>0</x:v>
      </x:c>
      <x:c r="AA557" s="15" t="n">
        <x:v>0</x:v>
      </x:c>
      <x:c r="AB557" s="15" t="n">
        <x:f>SUM(G557:AA557)</x:f>
        <x:v>2662</x:v>
      </x:c>
    </x:row>
    <x:row r="558" ht="36" customHeight="1">
      <x:c r="A558" s="10" t="str">
        <x:v>V-A</x:v>
      </x:c>
      <x:c r="B558" s="10" t="str">
        <x:v>VOICE</x:v>
      </x:c>
      <x:c r="C558" s="10" t="str">
        <x:v>VOICE:S3-09</x:v>
      </x:c>
      <x:c r="D558" s="10" t="str">
        <x:v>VOICE:M2932</x:v>
      </x:c>
      <x:c r="E558" s="15" t="n">
        <x:v>-60</x:v>
      </x:c>
      <x:c r="F558" s="15" t="str">
        <x:v>preparation</x:v>
      </x:c>
      <x:c r="G558" s="15" t="n">
        <x:v>0</x:v>
      </x:c>
      <x:c r="H558" s="15" t="n">
        <x:v>0</x:v>
      </x:c>
      <x:c r="I558" s="15" t="n">
        <x:v>0</x:v>
      </x:c>
      <x:c r="J558" s="15" t="n">
        <x:v>0</x:v>
      </x:c>
      <x:c r="K558" s="15" t="n">
        <x:v>0</x:v>
      </x:c>
      <x:c r="L558" s="15" t="n">
        <x:v>0</x:v>
      </x:c>
      <x:c r="M558" s="15" t="n">
        <x:v>180</x:v>
      </x:c>
      <x:c r="N558" s="15" t="n">
        <x:v>220</x:v>
      </x:c>
      <x:c r="O558" s="15" t="n">
        <x:v>96</x:v>
      </x:c>
      <x:c r="P558" s="15" t="n">
        <x:v>64</x:v>
      </x:c>
      <x:c r="Q558" s="15" t="n">
        <x:v>32</x:v>
      </x:c>
      <x:c r="R558" s="15" t="n">
        <x:v>0</x:v>
      </x:c>
      <x:c r="S558" s="15" t="n">
        <x:v>0</x:v>
      </x:c>
      <x:c r="T558" s="15" t="n">
        <x:v>0</x:v>
      </x:c>
      <x:c r="U558" s="15" t="n">
        <x:v>0</x:v>
      </x:c>
      <x:c r="V558" s="15" t="n">
        <x:v>0</x:v>
      </x:c>
      <x:c r="W558" s="15" t="n">
        <x:v>0</x:v>
      </x:c>
      <x:c r="X558" s="15" t="n">
        <x:v>0</x:v>
      </x:c>
      <x:c r="Y558" s="15" t="n">
        <x:v>0</x:v>
      </x:c>
      <x:c r="Z558" s="15" t="n">
        <x:v>0</x:v>
      </x:c>
      <x:c r="AA558" s="15" t="n">
        <x:v>0</x:v>
      </x:c>
      <x:c r="AB558" s="15" t="n">
        <x:f>SUM(G558:AA558)</x:f>
        <x:v>592</x:v>
      </x:c>
    </x:row>
    <x:row r="559" ht="36" customHeight="1">
      <x:c r="A559" s="10" t="str">
        <x:v>V-R1</x:v>
      </x:c>
      <x:c r="B559" s="10" t="str">
        <x:v>VOICE</x:v>
      </x:c>
      <x:c r="C559" s="10" t="str">
        <x:v>VOICE:S3-09</x:v>
      </x:c>
      <x:c r="D559" s="10" t="str">
        <x:v>VOICE:M2964</x:v>
      </x:c>
      <x:c r="E559" s="15" t="n">
        <x:v>-54.27</x:v>
      </x:c>
      <x:c r="F559" s="15" t="str">
        <x:v>preparation</x:v>
      </x:c>
      <x:c r="G559" s="15" t="n">
        <x:v>0</x:v>
      </x:c>
      <x:c r="H559" s="15" t="n">
        <x:v>0</x:v>
      </x:c>
      <x:c r="I559" s="15" t="n">
        <x:v>0</x:v>
      </x:c>
      <x:c r="J559" s="15" t="n">
        <x:v>0</x:v>
      </x:c>
      <x:c r="K559" s="15" t="n">
        <x:v>0</x:v>
      </x:c>
      <x:c r="L559" s="15" t="n">
        <x:v>0</x:v>
      </x:c>
      <x:c r="M559" s="15" t="n">
        <x:v>180</x:v>
      </x:c>
      <x:c r="N559" s="15" t="n">
        <x:v>220</x:v>
      </x:c>
      <x:c r="O559" s="15" t="n">
        <x:v>96</x:v>
      </x:c>
      <x:c r="P559" s="15" t="n">
        <x:v>64</x:v>
      </x:c>
      <x:c r="Q559" s="15" t="n">
        <x:v>24</x:v>
      </x:c>
      <x:c r="R559" s="15" t="n">
        <x:v>60</x:v>
      </x:c>
      <x:c r="S559" s="15" t="n">
        <x:v>280</x:v>
      </x:c>
      <x:c r="T559" s="15" t="n">
        <x:v>0</x:v>
      </x:c>
      <x:c r="U559" s="15" t="n">
        <x:v>170</x:v>
      </x:c>
      <x:c r="V559" s="15" t="n">
        <x:v>180</x:v>
      </x:c>
      <x:c r="W559" s="15" t="n">
        <x:v>0</x:v>
      </x:c>
      <x:c r="X559" s="15" t="n">
        <x:v>680</x:v>
      </x:c>
      <x:c r="Y559" s="15" t="n">
        <x:v>0</x:v>
      </x:c>
      <x:c r="Z559" s="15" t="n">
        <x:v>0</x:v>
      </x:c>
      <x:c r="AA559" s="15" t="n">
        <x:v>0</x:v>
      </x:c>
      <x:c r="AB559" s="15" t="n">
        <x:f>SUM(G559:AA559)</x:f>
        <x:v>1954</x:v>
      </x:c>
    </x:row>
    <x:row r="560" ht="36" customHeight="1">
      <x:c r="A560" s="10" t="str">
        <x:v>V-R2</x:v>
      </x:c>
      <x:c r="B560" s="10" t="str">
        <x:v>VOICE</x:v>
      </x:c>
      <x:c r="C560" s="10" t="str">
        <x:v>VOICE:S3-09</x:v>
      </x:c>
      <x:c r="D560" s="10" t="str">
        <x:v>VOICE:M2998</x:v>
      </x:c>
      <x:c r="E560" s="15" t="n">
        <x:v>-54.42</x:v>
      </x:c>
      <x:c r="F560" s="15" t="str">
        <x:v>preparation</x:v>
      </x:c>
      <x:c r="G560" s="15" t="n">
        <x:v>0</x:v>
      </x:c>
      <x:c r="H560" s="15" t="n">
        <x:v>0</x:v>
      </x:c>
      <x:c r="I560" s="15" t="n">
        <x:v>0</x:v>
      </x:c>
      <x:c r="J560" s="15" t="n">
        <x:v>0</x:v>
      </x:c>
      <x:c r="K560" s="15" t="n">
        <x:v>0</x:v>
      </x:c>
      <x:c r="L560" s="15" t="n">
        <x:v>0</x:v>
      </x:c>
      <x:c r="M560" s="15" t="n">
        <x:v>180</x:v>
      </x:c>
      <x:c r="N560" s="15" t="n">
        <x:v>220</x:v>
      </x:c>
      <x:c r="O560" s="15" t="n">
        <x:v>96</x:v>
      </x:c>
      <x:c r="P560" s="15" t="n">
        <x:v>64</x:v>
      </x:c>
      <x:c r="Q560" s="15" t="n">
        <x:v>24</x:v>
      </x:c>
      <x:c r="R560" s="15" t="n">
        <x:v>60</x:v>
      </x:c>
      <x:c r="S560" s="15" t="n">
        <x:v>280</x:v>
      </x:c>
      <x:c r="T560" s="15" t="n">
        <x:v>420</x:v>
      </x:c>
      <x:c r="U560" s="15" t="n">
        <x:v>170</x:v>
      </x:c>
      <x:c r="V560" s="15" t="n">
        <x:v>180</x:v>
      </x:c>
      <x:c r="W560" s="15" t="n">
        <x:v>0</x:v>
      </x:c>
      <x:c r="X560" s="15" t="n">
        <x:v>680</x:v>
      </x:c>
      <x:c r="Y560" s="15" t="n">
        <x:v>0</x:v>
      </x:c>
      <x:c r="Z560" s="15" t="n">
        <x:v>0</x:v>
      </x:c>
      <x:c r="AA560" s="15" t="n">
        <x:v>0</x:v>
      </x:c>
      <x:c r="AB560" s="15" t="n">
        <x:f>SUM(G560:AA560)</x:f>
        <x:v>2374</x:v>
      </x:c>
    </x:row>
    <x:row r="561" ht="36" customHeight="1">
      <x:c r="A561" s="10" t="str">
        <x:v>V-R3</x:v>
      </x:c>
      <x:c r="B561" s="10" t="str">
        <x:v>VOICE</x:v>
      </x:c>
      <x:c r="C561" s="10" t="str">
        <x:v>VOICE:S3-09</x:v>
      </x:c>
      <x:c r="D561" s="10" t="str">
        <x:v>VOICE:M3027</x:v>
      </x:c>
      <x:c r="E561" s="15" t="n">
        <x:v>-54.120000000000005</x:v>
      </x:c>
      <x:c r="F561" s="15" t="str">
        <x:v>preparation</x:v>
      </x:c>
      <x:c r="G561" s="15" t="n">
        <x:v>0</x:v>
      </x:c>
      <x:c r="H561" s="15" t="n">
        <x:v>0</x:v>
      </x:c>
      <x:c r="I561" s="15" t="n">
        <x:v>0</x:v>
      </x:c>
      <x:c r="J561" s="15" t="n">
        <x:v>0</x:v>
      </x:c>
      <x:c r="K561" s="15" t="n">
        <x:v>0</x:v>
      </x:c>
      <x:c r="L561" s="15" t="n">
        <x:v>0</x:v>
      </x:c>
      <x:c r="M561" s="15" t="n">
        <x:v>180</x:v>
      </x:c>
      <x:c r="N561" s="15" t="n">
        <x:v>220</x:v>
      </x:c>
      <x:c r="O561" s="15" t="n">
        <x:v>96</x:v>
      </x:c>
      <x:c r="P561" s="15" t="n">
        <x:v>64</x:v>
      </x:c>
      <x:c r="Q561" s="15" t="n">
        <x:v>32</x:v>
      </x:c>
      <x:c r="R561" s="15" t="n">
        <x:v>60</x:v>
      </x:c>
      <x:c r="S561" s="15" t="n">
        <x:v>560</x:v>
      </x:c>
      <x:c r="T561" s="15" t="n">
        <x:v>420</x:v>
      </x:c>
      <x:c r="U561" s="15" t="n">
        <x:v>170</x:v>
      </x:c>
      <x:c r="V561" s="15" t="n">
        <x:v>180</x:v>
      </x:c>
      <x:c r="W561" s="15" t="n">
        <x:v>0</x:v>
      </x:c>
      <x:c r="X561" s="15" t="n">
        <x:v>680</x:v>
      </x:c>
      <x:c r="Y561" s="15" t="n">
        <x:v>0</x:v>
      </x:c>
      <x:c r="Z561" s="15" t="n">
        <x:v>0</x:v>
      </x:c>
      <x:c r="AA561" s="15" t="n">
        <x:v>0</x:v>
      </x:c>
      <x:c r="AB561" s="15" t="n">
        <x:f>SUM(G561:AA561)</x:f>
        <x:v>2662</x:v>
      </x:c>
    </x:row>
    <x:row r="562" ht="36" customHeight="1">
      <x:c r="A562" s="10" t="str">
        <x:v>V-A</x:v>
      </x:c>
      <x:c r="B562" s="10" t="str">
        <x:v>VOICE</x:v>
      </x:c>
      <x:c r="C562" s="10" t="str">
        <x:v>VOICE:S3-10</x:v>
      </x:c>
      <x:c r="D562" s="10" t="str">
        <x:v>VOICE:M3051</x:v>
      </x:c>
      <x:c r="E562" s="15" t="n">
        <x:v>-60</x:v>
      </x:c>
      <x:c r="F562" s="15" t="str">
        <x:v>preparation</x:v>
      </x:c>
      <x:c r="G562" s="15" t="n">
        <x:v>0</x:v>
      </x:c>
      <x:c r="H562" s="15" t="n">
        <x:v>0</x:v>
      </x:c>
      <x:c r="I562" s="15" t="n">
        <x:v>0</x:v>
      </x:c>
      <x:c r="J562" s="15" t="n">
        <x:v>0</x:v>
      </x:c>
      <x:c r="K562" s="15" t="n">
        <x:v>0</x:v>
      </x:c>
      <x:c r="L562" s="15" t="n">
        <x:v>0</x:v>
      </x:c>
      <x:c r="M562" s="15" t="n">
        <x:v>180</x:v>
      </x:c>
      <x:c r="N562" s="15" t="n">
        <x:v>220</x:v>
      </x:c>
      <x:c r="O562" s="15" t="n">
        <x:v>96</x:v>
      </x:c>
      <x:c r="P562" s="15" t="n">
        <x:v>64</x:v>
      </x:c>
      <x:c r="Q562" s="15" t="n">
        <x:v>32</x:v>
      </x:c>
      <x:c r="R562" s="15" t="n">
        <x:v>0</x:v>
      </x:c>
      <x:c r="S562" s="15" t="n">
        <x:v>0</x:v>
      </x:c>
      <x:c r="T562" s="15" t="n">
        <x:v>0</x:v>
      </x:c>
      <x:c r="U562" s="15" t="n">
        <x:v>0</x:v>
      </x:c>
      <x:c r="V562" s="15" t="n">
        <x:v>0</x:v>
      </x:c>
      <x:c r="W562" s="15" t="n">
        <x:v>0</x:v>
      </x:c>
      <x:c r="X562" s="15" t="n">
        <x:v>0</x:v>
      </x:c>
      <x:c r="Y562" s="15" t="n">
        <x:v>0</x:v>
      </x:c>
      <x:c r="Z562" s="15" t="n">
        <x:v>0</x:v>
      </x:c>
      <x:c r="AA562" s="15" t="n">
        <x:v>0</x:v>
      </x:c>
      <x:c r="AB562" s="15" t="n">
        <x:f>SUM(G562:AA562)</x:f>
        <x:v>592</x:v>
      </x:c>
    </x:row>
    <x:row r="563" ht="36" customHeight="1">
      <x:c r="A563" s="10" t="str">
        <x:v>V-R1</x:v>
      </x:c>
      <x:c r="B563" s="10" t="str">
        <x:v>VOICE</x:v>
      </x:c>
      <x:c r="C563" s="10" t="str">
        <x:v>VOICE:S3-10</x:v>
      </x:c>
      <x:c r="D563" s="10" t="str">
        <x:v>VOICE:M3083</x:v>
      </x:c>
      <x:c r="E563" s="15" t="n">
        <x:v>-54.27</x:v>
      </x:c>
      <x:c r="F563" s="15" t="str">
        <x:v>preparation</x:v>
      </x:c>
      <x:c r="G563" s="15" t="n">
        <x:v>0</x:v>
      </x:c>
      <x:c r="H563" s="15" t="n">
        <x:v>0</x:v>
      </x:c>
      <x:c r="I563" s="15" t="n">
        <x:v>0</x:v>
      </x:c>
      <x:c r="J563" s="15" t="n">
        <x:v>0</x:v>
      </x:c>
      <x:c r="K563" s="15" t="n">
        <x:v>0</x:v>
      </x:c>
      <x:c r="L563" s="15" t="n">
        <x:v>0</x:v>
      </x:c>
      <x:c r="M563" s="15" t="n">
        <x:v>180</x:v>
      </x:c>
      <x:c r="N563" s="15" t="n">
        <x:v>220</x:v>
      </x:c>
      <x:c r="O563" s="15" t="n">
        <x:v>96</x:v>
      </x:c>
      <x:c r="P563" s="15" t="n">
        <x:v>64</x:v>
      </x:c>
      <x:c r="Q563" s="15" t="n">
        <x:v>24</x:v>
      </x:c>
      <x:c r="R563" s="15" t="n">
        <x:v>60</x:v>
      </x:c>
      <x:c r="S563" s="15" t="n">
        <x:v>280</x:v>
      </x:c>
      <x:c r="T563" s="15" t="n">
        <x:v>0</x:v>
      </x:c>
      <x:c r="U563" s="15" t="n">
        <x:v>170</x:v>
      </x:c>
      <x:c r="V563" s="15" t="n">
        <x:v>180</x:v>
      </x:c>
      <x:c r="W563" s="15" t="n">
        <x:v>0</x:v>
      </x:c>
      <x:c r="X563" s="15" t="n">
        <x:v>680</x:v>
      </x:c>
      <x:c r="Y563" s="15" t="n">
        <x:v>0</x:v>
      </x:c>
      <x:c r="Z563" s="15" t="n">
        <x:v>0</x:v>
      </x:c>
      <x:c r="AA563" s="15" t="n">
        <x:v>0</x:v>
      </x:c>
      <x:c r="AB563" s="15" t="n">
        <x:f>SUM(G563:AA563)</x:f>
        <x:v>1954</x:v>
      </x:c>
    </x:row>
    <x:row r="564" ht="36" customHeight="1">
      <x:c r="A564" s="10" t="str">
        <x:v>V-R2</x:v>
      </x:c>
      <x:c r="B564" s="10" t="str">
        <x:v>VOICE</x:v>
      </x:c>
      <x:c r="C564" s="10" t="str">
        <x:v>VOICE:S3-10</x:v>
      </x:c>
      <x:c r="D564" s="10" t="str">
        <x:v>VOICE:M3117</x:v>
      </x:c>
      <x:c r="E564" s="15" t="n">
        <x:v>-54.42</x:v>
      </x:c>
      <x:c r="F564" s="15" t="str">
        <x:v>preparation</x:v>
      </x:c>
      <x:c r="G564" s="15" t="n">
        <x:v>0</x:v>
      </x:c>
      <x:c r="H564" s="15" t="n">
        <x:v>0</x:v>
      </x:c>
      <x:c r="I564" s="15" t="n">
        <x:v>0</x:v>
      </x:c>
      <x:c r="J564" s="15" t="n">
        <x:v>0</x:v>
      </x:c>
      <x:c r="K564" s="15" t="n">
        <x:v>0</x:v>
      </x:c>
      <x:c r="L564" s="15" t="n">
        <x:v>0</x:v>
      </x:c>
      <x:c r="M564" s="15" t="n">
        <x:v>180</x:v>
      </x:c>
      <x:c r="N564" s="15" t="n">
        <x:v>220</x:v>
      </x:c>
      <x:c r="O564" s="15" t="n">
        <x:v>96</x:v>
      </x:c>
      <x:c r="P564" s="15" t="n">
        <x:v>64</x:v>
      </x:c>
      <x:c r="Q564" s="15" t="n">
        <x:v>24</x:v>
      </x:c>
      <x:c r="R564" s="15" t="n">
        <x:v>60</x:v>
      </x:c>
      <x:c r="S564" s="15" t="n">
        <x:v>280</x:v>
      </x:c>
      <x:c r="T564" s="15" t="n">
        <x:v>420</x:v>
      </x:c>
      <x:c r="U564" s="15" t="n">
        <x:v>170</x:v>
      </x:c>
      <x:c r="V564" s="15" t="n">
        <x:v>180</x:v>
      </x:c>
      <x:c r="W564" s="15" t="n">
        <x:v>0</x:v>
      </x:c>
      <x:c r="X564" s="15" t="n">
        <x:v>680</x:v>
      </x:c>
      <x:c r="Y564" s="15" t="n">
        <x:v>0</x:v>
      </x:c>
      <x:c r="Z564" s="15" t="n">
        <x:v>0</x:v>
      </x:c>
      <x:c r="AA564" s="15" t="n">
        <x:v>0</x:v>
      </x:c>
      <x:c r="AB564" s="15" t="n">
        <x:f>SUM(G564:AA564)</x:f>
        <x:v>2374</x:v>
      </x:c>
    </x:row>
    <x:row r="565" ht="36" customHeight="1">
      <x:c r="A565" s="10" t="str">
        <x:v>V-R3</x:v>
      </x:c>
      <x:c r="B565" s="10" t="str">
        <x:v>VOICE</x:v>
      </x:c>
      <x:c r="C565" s="10" t="str">
        <x:v>VOICE:S3-10</x:v>
      </x:c>
      <x:c r="D565" s="10" t="str">
        <x:v>VOICE:M3146</x:v>
      </x:c>
      <x:c r="E565" s="15" t="n">
        <x:v>-54.120000000000005</x:v>
      </x:c>
      <x:c r="F565" s="15" t="str">
        <x:v>preparation</x:v>
      </x:c>
      <x:c r="G565" s="15" t="n">
        <x:v>0</x:v>
      </x:c>
      <x:c r="H565" s="15" t="n">
        <x:v>0</x:v>
      </x:c>
      <x:c r="I565" s="15" t="n">
        <x:v>0</x:v>
      </x:c>
      <x:c r="J565" s="15" t="n">
        <x:v>0</x:v>
      </x:c>
      <x:c r="K565" s="15" t="n">
        <x:v>0</x:v>
      </x:c>
      <x:c r="L565" s="15" t="n">
        <x:v>0</x:v>
      </x:c>
      <x:c r="M565" s="15" t="n">
        <x:v>180</x:v>
      </x:c>
      <x:c r="N565" s="15" t="n">
        <x:v>220</x:v>
      </x:c>
      <x:c r="O565" s="15" t="n">
        <x:v>96</x:v>
      </x:c>
      <x:c r="P565" s="15" t="n">
        <x:v>64</x:v>
      </x:c>
      <x:c r="Q565" s="15" t="n">
        <x:v>32</x:v>
      </x:c>
      <x:c r="R565" s="15" t="n">
        <x:v>60</x:v>
      </x:c>
      <x:c r="S565" s="15" t="n">
        <x:v>560</x:v>
      </x:c>
      <x:c r="T565" s="15" t="n">
        <x:v>420</x:v>
      </x:c>
      <x:c r="U565" s="15" t="n">
        <x:v>170</x:v>
      </x:c>
      <x:c r="V565" s="15" t="n">
        <x:v>180</x:v>
      </x:c>
      <x:c r="W565" s="15" t="n">
        <x:v>0</x:v>
      </x:c>
      <x:c r="X565" s="15" t="n">
        <x:v>680</x:v>
      </x:c>
      <x:c r="Y565" s="15" t="n">
        <x:v>0</x:v>
      </x:c>
      <x:c r="Z565" s="15" t="n">
        <x:v>0</x:v>
      </x:c>
      <x:c r="AA565" s="15" t="n">
        <x:v>0</x:v>
      </x:c>
      <x:c r="AB565" s="15" t="n">
        <x:f>SUM(G565:AA565)</x:f>
        <x:v>2662</x:v>
      </x:c>
    </x:row>
    <x:row r="566" ht="36" customHeight="1">
      <x:c r="A566" s="10" t="str">
        <x:v>V-A</x:v>
      </x:c>
      <x:c r="B566" s="10" t="str">
        <x:v>VOICE</x:v>
      </x:c>
      <x:c r="C566" s="10" t="str">
        <x:v>VOICE:S3-11</x:v>
      </x:c>
      <x:c r="D566" s="10" t="str">
        <x:v>VOICE:M3170</x:v>
      </x:c>
      <x:c r="E566" s="15" t="n">
        <x:v>-60</x:v>
      </x:c>
      <x:c r="F566" s="15" t="str">
        <x:v>preparation</x:v>
      </x:c>
      <x:c r="G566" s="15" t="n">
        <x:v>0</x:v>
      </x:c>
      <x:c r="H566" s="15" t="n">
        <x:v>0</x:v>
      </x:c>
      <x:c r="I566" s="15" t="n">
        <x:v>0</x:v>
      </x:c>
      <x:c r="J566" s="15" t="n">
        <x:v>0</x:v>
      </x:c>
      <x:c r="K566" s="15" t="n">
        <x:v>0</x:v>
      </x:c>
      <x:c r="L566" s="15" t="n">
        <x:v>0</x:v>
      </x:c>
      <x:c r="M566" s="15" t="n">
        <x:v>180</x:v>
      </x:c>
      <x:c r="N566" s="15" t="n">
        <x:v>220</x:v>
      </x:c>
      <x:c r="O566" s="15" t="n">
        <x:v>96</x:v>
      </x:c>
      <x:c r="P566" s="15" t="n">
        <x:v>64</x:v>
      </x:c>
      <x:c r="Q566" s="15" t="n">
        <x:v>32</x:v>
      </x:c>
      <x:c r="R566" s="15" t="n">
        <x:v>0</x:v>
      </x:c>
      <x:c r="S566" s="15" t="n">
        <x:v>0</x:v>
      </x:c>
      <x:c r="T566" s="15" t="n">
        <x:v>0</x:v>
      </x:c>
      <x:c r="U566" s="15" t="n">
        <x:v>0</x:v>
      </x:c>
      <x:c r="V566" s="15" t="n">
        <x:v>0</x:v>
      </x:c>
      <x:c r="W566" s="15" t="n">
        <x:v>0</x:v>
      </x:c>
      <x:c r="X566" s="15" t="n">
        <x:v>0</x:v>
      </x:c>
      <x:c r="Y566" s="15" t="n">
        <x:v>0</x:v>
      </x:c>
      <x:c r="Z566" s="15" t="n">
        <x:v>0</x:v>
      </x:c>
      <x:c r="AA566" s="15" t="n">
        <x:v>0</x:v>
      </x:c>
      <x:c r="AB566" s="15" t="n">
        <x:f>SUM(G566:AA566)</x:f>
        <x:v>592</x:v>
      </x:c>
    </x:row>
    <x:row r="567" ht="36" customHeight="1">
      <x:c r="A567" s="10" t="str">
        <x:v>V-R1</x:v>
      </x:c>
      <x:c r="B567" s="10" t="str">
        <x:v>VOICE</x:v>
      </x:c>
      <x:c r="C567" s="10" t="str">
        <x:v>VOICE:S3-11</x:v>
      </x:c>
      <x:c r="D567" s="10" t="str">
        <x:v>VOICE:M3202</x:v>
      </x:c>
      <x:c r="E567" s="15" t="n">
        <x:v>-54.27</x:v>
      </x:c>
      <x:c r="F567" s="15" t="str">
        <x:v>preparation</x:v>
      </x:c>
      <x:c r="G567" s="15" t="n">
        <x:v>0</x:v>
      </x:c>
      <x:c r="H567" s="15" t="n">
        <x:v>0</x:v>
      </x:c>
      <x:c r="I567" s="15" t="n">
        <x:v>0</x:v>
      </x:c>
      <x:c r="J567" s="15" t="n">
        <x:v>0</x:v>
      </x:c>
      <x:c r="K567" s="15" t="n">
        <x:v>0</x:v>
      </x:c>
      <x:c r="L567" s="15" t="n">
        <x:v>0</x:v>
      </x:c>
      <x:c r="M567" s="15" t="n">
        <x:v>180</x:v>
      </x:c>
      <x:c r="N567" s="15" t="n">
        <x:v>220</x:v>
      </x:c>
      <x:c r="O567" s="15" t="n">
        <x:v>96</x:v>
      </x:c>
      <x:c r="P567" s="15" t="n">
        <x:v>64</x:v>
      </x:c>
      <x:c r="Q567" s="15" t="n">
        <x:v>24</x:v>
      </x:c>
      <x:c r="R567" s="15" t="n">
        <x:v>60</x:v>
      </x:c>
      <x:c r="S567" s="15" t="n">
        <x:v>280</x:v>
      </x:c>
      <x:c r="T567" s="15" t="n">
        <x:v>0</x:v>
      </x:c>
      <x:c r="U567" s="15" t="n">
        <x:v>170</x:v>
      </x:c>
      <x:c r="V567" s="15" t="n">
        <x:v>180</x:v>
      </x:c>
      <x:c r="W567" s="15" t="n">
        <x:v>0</x:v>
      </x:c>
      <x:c r="X567" s="15" t="n">
        <x:v>680</x:v>
      </x:c>
      <x:c r="Y567" s="15" t="n">
        <x:v>0</x:v>
      </x:c>
      <x:c r="Z567" s="15" t="n">
        <x:v>0</x:v>
      </x:c>
      <x:c r="AA567" s="15" t="n">
        <x:v>0</x:v>
      </x:c>
      <x:c r="AB567" s="15" t="n">
        <x:f>SUM(G567:AA567)</x:f>
        <x:v>1954</x:v>
      </x:c>
    </x:row>
    <x:row r="568" ht="36" customHeight="1">
      <x:c r="A568" s="10" t="str">
        <x:v>V-R2</x:v>
      </x:c>
      <x:c r="B568" s="10" t="str">
        <x:v>VOICE</x:v>
      </x:c>
      <x:c r="C568" s="10" t="str">
        <x:v>VOICE:S3-11</x:v>
      </x:c>
      <x:c r="D568" s="10" t="str">
        <x:v>VOICE:M3236</x:v>
      </x:c>
      <x:c r="E568" s="15" t="n">
        <x:v>-54.42</x:v>
      </x:c>
      <x:c r="F568" s="15" t="str">
        <x:v>preparation</x:v>
      </x:c>
      <x:c r="G568" s="15" t="n">
        <x:v>0</x:v>
      </x:c>
      <x:c r="H568" s="15" t="n">
        <x:v>0</x:v>
      </x:c>
      <x:c r="I568" s="15" t="n">
        <x:v>0</x:v>
      </x:c>
      <x:c r="J568" s="15" t="n">
        <x:v>0</x:v>
      </x:c>
      <x:c r="K568" s="15" t="n">
        <x:v>0</x:v>
      </x:c>
      <x:c r="L568" s="15" t="n">
        <x:v>0</x:v>
      </x:c>
      <x:c r="M568" s="15" t="n">
        <x:v>180</x:v>
      </x:c>
      <x:c r="N568" s="15" t="n">
        <x:v>220</x:v>
      </x:c>
      <x:c r="O568" s="15" t="n">
        <x:v>96</x:v>
      </x:c>
      <x:c r="P568" s="15" t="n">
        <x:v>64</x:v>
      </x:c>
      <x:c r="Q568" s="15" t="n">
        <x:v>24</x:v>
      </x:c>
      <x:c r="R568" s="15" t="n">
        <x:v>60</x:v>
      </x:c>
      <x:c r="S568" s="15" t="n">
        <x:v>280</x:v>
      </x:c>
      <x:c r="T568" s="15" t="n">
        <x:v>420</x:v>
      </x:c>
      <x:c r="U568" s="15" t="n">
        <x:v>170</x:v>
      </x:c>
      <x:c r="V568" s="15" t="n">
        <x:v>180</x:v>
      </x:c>
      <x:c r="W568" s="15" t="n">
        <x:v>0</x:v>
      </x:c>
      <x:c r="X568" s="15" t="n">
        <x:v>680</x:v>
      </x:c>
      <x:c r="Y568" s="15" t="n">
        <x:v>0</x:v>
      </x:c>
      <x:c r="Z568" s="15" t="n">
        <x:v>0</x:v>
      </x:c>
      <x:c r="AA568" s="15" t="n">
        <x:v>0</x:v>
      </x:c>
      <x:c r="AB568" s="15" t="n">
        <x:f>SUM(G568:AA568)</x:f>
        <x:v>2374</x:v>
      </x:c>
    </x:row>
    <x:row r="569" ht="36" customHeight="1">
      <x:c r="A569" s="10" t="str">
        <x:v>V-R3</x:v>
      </x:c>
      <x:c r="B569" s="10" t="str">
        <x:v>VOICE</x:v>
      </x:c>
      <x:c r="C569" s="10" t="str">
        <x:v>VOICE:S3-11</x:v>
      </x:c>
      <x:c r="D569" s="10" t="str">
        <x:v>VOICE:M3265</x:v>
      </x:c>
      <x:c r="E569" s="15" t="n">
        <x:v>-54.120000000000005</x:v>
      </x:c>
      <x:c r="F569" s="15" t="str">
        <x:v>preparation</x:v>
      </x:c>
      <x:c r="G569" s="15" t="n">
        <x:v>0</x:v>
      </x:c>
      <x:c r="H569" s="15" t="n">
        <x:v>0</x:v>
      </x:c>
      <x:c r="I569" s="15" t="n">
        <x:v>0</x:v>
      </x:c>
      <x:c r="J569" s="15" t="n">
        <x:v>0</x:v>
      </x:c>
      <x:c r="K569" s="15" t="n">
        <x:v>0</x:v>
      </x:c>
      <x:c r="L569" s="15" t="n">
        <x:v>0</x:v>
      </x:c>
      <x:c r="M569" s="15" t="n">
        <x:v>180</x:v>
      </x:c>
      <x:c r="N569" s="15" t="n">
        <x:v>220</x:v>
      </x:c>
      <x:c r="O569" s="15" t="n">
        <x:v>96</x:v>
      </x:c>
      <x:c r="P569" s="15" t="n">
        <x:v>64</x:v>
      </x:c>
      <x:c r="Q569" s="15" t="n">
        <x:v>32</x:v>
      </x:c>
      <x:c r="R569" s="15" t="n">
        <x:v>60</x:v>
      </x:c>
      <x:c r="S569" s="15" t="n">
        <x:v>560</x:v>
      </x:c>
      <x:c r="T569" s="15" t="n">
        <x:v>420</x:v>
      </x:c>
      <x:c r="U569" s="15" t="n">
        <x:v>170</x:v>
      </x:c>
      <x:c r="V569" s="15" t="n">
        <x:v>180</x:v>
      </x:c>
      <x:c r="W569" s="15" t="n">
        <x:v>0</x:v>
      </x:c>
      <x:c r="X569" s="15" t="n">
        <x:v>680</x:v>
      </x:c>
      <x:c r="Y569" s="15" t="n">
        <x:v>0</x:v>
      </x:c>
      <x:c r="Z569" s="15" t="n">
        <x:v>0</x:v>
      </x:c>
      <x:c r="AA569" s="15" t="n">
        <x:v>0</x:v>
      </x:c>
      <x:c r="AB569" s="15" t="n">
        <x:f>SUM(G569:AA569)</x:f>
        <x:v>2662</x:v>
      </x:c>
    </x:row>
    <x:row r="570" ht="36" customHeight="1">
      <x:c r="A570" s="10" t="str">
        <x:v>V-A</x:v>
      </x:c>
      <x:c r="B570" s="10" t="str">
        <x:v>VOICE</x:v>
      </x:c>
      <x:c r="C570" s="10" t="str">
        <x:v>VOICE:S3-12</x:v>
      </x:c>
      <x:c r="D570" s="10" t="str">
        <x:v>VOICE:M3289</x:v>
      </x:c>
      <x:c r="E570" s="15" t="n">
        <x:v>-60</x:v>
      </x:c>
      <x:c r="F570" s="15" t="str">
        <x:v>preparation</x:v>
      </x:c>
      <x:c r="G570" s="15" t="n">
        <x:v>0</x:v>
      </x:c>
      <x:c r="H570" s="15" t="n">
        <x:v>0</x:v>
      </x:c>
      <x:c r="I570" s="15" t="n">
        <x:v>0</x:v>
      </x:c>
      <x:c r="J570" s="15" t="n">
        <x:v>0</x:v>
      </x:c>
      <x:c r="K570" s="15" t="n">
        <x:v>0</x:v>
      </x:c>
      <x:c r="L570" s="15" t="n">
        <x:v>0</x:v>
      </x:c>
      <x:c r="M570" s="15" t="n">
        <x:v>180</x:v>
      </x:c>
      <x:c r="N570" s="15" t="n">
        <x:v>220</x:v>
      </x:c>
      <x:c r="O570" s="15" t="n">
        <x:v>96</x:v>
      </x:c>
      <x:c r="P570" s="15" t="n">
        <x:v>64</x:v>
      </x:c>
      <x:c r="Q570" s="15" t="n">
        <x:v>32</x:v>
      </x:c>
      <x:c r="R570" s="15" t="n">
        <x:v>0</x:v>
      </x:c>
      <x:c r="S570" s="15" t="n">
        <x:v>0</x:v>
      </x:c>
      <x:c r="T570" s="15" t="n">
        <x:v>0</x:v>
      </x:c>
      <x:c r="U570" s="15" t="n">
        <x:v>0</x:v>
      </x:c>
      <x:c r="V570" s="15" t="n">
        <x:v>0</x:v>
      </x:c>
      <x:c r="W570" s="15" t="n">
        <x:v>0</x:v>
      </x:c>
      <x:c r="X570" s="15" t="n">
        <x:v>0</x:v>
      </x:c>
      <x:c r="Y570" s="15" t="n">
        <x:v>0</x:v>
      </x:c>
      <x:c r="Z570" s="15" t="n">
        <x:v>0</x:v>
      </x:c>
      <x:c r="AA570" s="15" t="n">
        <x:v>0</x:v>
      </x:c>
      <x:c r="AB570" s="15" t="n">
        <x:f>SUM(G570:AA570)</x:f>
        <x:v>592</x:v>
      </x:c>
    </x:row>
    <x:row r="571" ht="36" customHeight="1">
      <x:c r="A571" s="10" t="str">
        <x:v>V-R1</x:v>
      </x:c>
      <x:c r="B571" s="10" t="str">
        <x:v>VOICE</x:v>
      </x:c>
      <x:c r="C571" s="10" t="str">
        <x:v>VOICE:S3-12</x:v>
      </x:c>
      <x:c r="D571" s="10" t="str">
        <x:v>VOICE:M3321</x:v>
      </x:c>
      <x:c r="E571" s="15" t="n">
        <x:v>-54.27</x:v>
      </x:c>
      <x:c r="F571" s="15" t="str">
        <x:v>preparation</x:v>
      </x:c>
      <x:c r="G571" s="15" t="n">
        <x:v>0</x:v>
      </x:c>
      <x:c r="H571" s="15" t="n">
        <x:v>0</x:v>
      </x:c>
      <x:c r="I571" s="15" t="n">
        <x:v>0</x:v>
      </x:c>
      <x:c r="J571" s="15" t="n">
        <x:v>0</x:v>
      </x:c>
      <x:c r="K571" s="15" t="n">
        <x:v>0</x:v>
      </x:c>
      <x:c r="L571" s="15" t="n">
        <x:v>0</x:v>
      </x:c>
      <x:c r="M571" s="15" t="n">
        <x:v>180</x:v>
      </x:c>
      <x:c r="N571" s="15" t="n">
        <x:v>220</x:v>
      </x:c>
      <x:c r="O571" s="15" t="n">
        <x:v>96</x:v>
      </x:c>
      <x:c r="P571" s="15" t="n">
        <x:v>64</x:v>
      </x:c>
      <x:c r="Q571" s="15" t="n">
        <x:v>24</x:v>
      </x:c>
      <x:c r="R571" s="15" t="n">
        <x:v>60</x:v>
      </x:c>
      <x:c r="S571" s="15" t="n">
        <x:v>280</x:v>
      </x:c>
      <x:c r="T571" s="15" t="n">
        <x:v>0</x:v>
      </x:c>
      <x:c r="U571" s="15" t="n">
        <x:v>170</x:v>
      </x:c>
      <x:c r="V571" s="15" t="n">
        <x:v>180</x:v>
      </x:c>
      <x:c r="W571" s="15" t="n">
        <x:v>0</x:v>
      </x:c>
      <x:c r="X571" s="15" t="n">
        <x:v>680</x:v>
      </x:c>
      <x:c r="Y571" s="15" t="n">
        <x:v>0</x:v>
      </x:c>
      <x:c r="Z571" s="15" t="n">
        <x:v>0</x:v>
      </x:c>
      <x:c r="AA571" s="15" t="n">
        <x:v>0</x:v>
      </x:c>
      <x:c r="AB571" s="15" t="n">
        <x:f>SUM(G571:AA571)</x:f>
        <x:v>1954</x:v>
      </x:c>
    </x:row>
    <x:row r="572" ht="36" customHeight="1">
      <x:c r="A572" s="10" t="str">
        <x:v>V-R2</x:v>
      </x:c>
      <x:c r="B572" s="10" t="str">
        <x:v>VOICE</x:v>
      </x:c>
      <x:c r="C572" s="10" t="str">
        <x:v>VOICE:S3-12</x:v>
      </x:c>
      <x:c r="D572" s="10" t="str">
        <x:v>VOICE:M3355</x:v>
      </x:c>
      <x:c r="E572" s="15" t="n">
        <x:v>-54.42</x:v>
      </x:c>
      <x:c r="F572" s="15" t="str">
        <x:v>preparation</x:v>
      </x:c>
      <x:c r="G572" s="15" t="n">
        <x:v>0</x:v>
      </x:c>
      <x:c r="H572" s="15" t="n">
        <x:v>0</x:v>
      </x:c>
      <x:c r="I572" s="15" t="n">
        <x:v>0</x:v>
      </x:c>
      <x:c r="J572" s="15" t="n">
        <x:v>0</x:v>
      </x:c>
      <x:c r="K572" s="15" t="n">
        <x:v>0</x:v>
      </x:c>
      <x:c r="L572" s="15" t="n">
        <x:v>0</x:v>
      </x:c>
      <x:c r="M572" s="15" t="n">
        <x:v>180</x:v>
      </x:c>
      <x:c r="N572" s="15" t="n">
        <x:v>220</x:v>
      </x:c>
      <x:c r="O572" s="15" t="n">
        <x:v>96</x:v>
      </x:c>
      <x:c r="P572" s="15" t="n">
        <x:v>64</x:v>
      </x:c>
      <x:c r="Q572" s="15" t="n">
        <x:v>24</x:v>
      </x:c>
      <x:c r="R572" s="15" t="n">
        <x:v>60</x:v>
      </x:c>
      <x:c r="S572" s="15" t="n">
        <x:v>280</x:v>
      </x:c>
      <x:c r="T572" s="15" t="n">
        <x:v>420</x:v>
      </x:c>
      <x:c r="U572" s="15" t="n">
        <x:v>170</x:v>
      </x:c>
      <x:c r="V572" s="15" t="n">
        <x:v>180</x:v>
      </x:c>
      <x:c r="W572" s="15" t="n">
        <x:v>0</x:v>
      </x:c>
      <x:c r="X572" s="15" t="n">
        <x:v>680</x:v>
      </x:c>
      <x:c r="Y572" s="15" t="n">
        <x:v>0</x:v>
      </x:c>
      <x:c r="Z572" s="15" t="n">
        <x:v>0</x:v>
      </x:c>
      <x:c r="AA572" s="15" t="n">
        <x:v>0</x:v>
      </x:c>
      <x:c r="AB572" s="15" t="n">
        <x:f>SUM(G572:AA572)</x:f>
        <x:v>2374</x:v>
      </x:c>
    </x:row>
    <x:row r="573" ht="36" customHeight="1">
      <x:c r="A573" s="10" t="str">
        <x:v>V-R3</x:v>
      </x:c>
      <x:c r="B573" s="10" t="str">
        <x:v>VOICE</x:v>
      </x:c>
      <x:c r="C573" s="10" t="str">
        <x:v>VOICE:S3-12</x:v>
      </x:c>
      <x:c r="D573" s="10" t="str">
        <x:v>VOICE:M3384</x:v>
      </x:c>
      <x:c r="E573" s="15" t="n">
        <x:v>-54.120000000000005</x:v>
      </x:c>
      <x:c r="F573" s="15" t="str">
        <x:v>preparation</x:v>
      </x:c>
      <x:c r="G573" s="15" t="n">
        <x:v>0</x:v>
      </x:c>
      <x:c r="H573" s="15" t="n">
        <x:v>0</x:v>
      </x:c>
      <x:c r="I573" s="15" t="n">
        <x:v>0</x:v>
      </x:c>
      <x:c r="J573" s="15" t="n">
        <x:v>0</x:v>
      </x:c>
      <x:c r="K573" s="15" t="n">
        <x:v>0</x:v>
      </x:c>
      <x:c r="L573" s="15" t="n">
        <x:v>0</x:v>
      </x:c>
      <x:c r="M573" s="15" t="n">
        <x:v>180</x:v>
      </x:c>
      <x:c r="N573" s="15" t="n">
        <x:v>220</x:v>
      </x:c>
      <x:c r="O573" s="15" t="n">
        <x:v>96</x:v>
      </x:c>
      <x:c r="P573" s="15" t="n">
        <x:v>64</x:v>
      </x:c>
      <x:c r="Q573" s="15" t="n">
        <x:v>32</x:v>
      </x:c>
      <x:c r="R573" s="15" t="n">
        <x:v>60</x:v>
      </x:c>
      <x:c r="S573" s="15" t="n">
        <x:v>560</x:v>
      </x:c>
      <x:c r="T573" s="15" t="n">
        <x:v>420</x:v>
      </x:c>
      <x:c r="U573" s="15" t="n">
        <x:v>170</x:v>
      </x:c>
      <x:c r="V573" s="15" t="n">
        <x:v>180</x:v>
      </x:c>
      <x:c r="W573" s="15" t="n">
        <x:v>0</x:v>
      </x:c>
      <x:c r="X573" s="15" t="n">
        <x:v>680</x:v>
      </x:c>
      <x:c r="Y573" s="15" t="n">
        <x:v>0</x:v>
      </x:c>
      <x:c r="Z573" s="15" t="n">
        <x:v>0</x:v>
      </x:c>
      <x:c r="AA573" s="15" t="n">
        <x:v>0</x:v>
      </x:c>
      <x:c r="AB573" s="15" t="n">
        <x:f>SUM(G573:AA573)</x:f>
        <x:v>2662</x:v>
      </x:c>
    </x:row>
    <x:row r="574" ht="36" customHeight="1">
      <x:c r="A574" s="10" t="str">
        <x:v>V-A</x:v>
      </x:c>
      <x:c r="B574" s="10" t="str">
        <x:v>VOICE</x:v>
      </x:c>
      <x:c r="C574" s="10" t="str">
        <x:v>VOICE:S3-13</x:v>
      </x:c>
      <x:c r="D574" s="10" t="str">
        <x:v>VOICE:M3408</x:v>
      </x:c>
      <x:c r="E574" s="15" t="n">
        <x:v>-60</x:v>
      </x:c>
      <x:c r="F574" s="15" t="str">
        <x:v>preparation</x:v>
      </x:c>
      <x:c r="G574" s="15" t="n">
        <x:v>0</x:v>
      </x:c>
      <x:c r="H574" s="15" t="n">
        <x:v>0</x:v>
      </x:c>
      <x:c r="I574" s="15" t="n">
        <x:v>0</x:v>
      </x:c>
      <x:c r="J574" s="15" t="n">
        <x:v>0</x:v>
      </x:c>
      <x:c r="K574" s="15" t="n">
        <x:v>0</x:v>
      </x:c>
      <x:c r="L574" s="15" t="n">
        <x:v>0</x:v>
      </x:c>
      <x:c r="M574" s="15" t="n">
        <x:v>180</x:v>
      </x:c>
      <x:c r="N574" s="15" t="n">
        <x:v>220</x:v>
      </x:c>
      <x:c r="O574" s="15" t="n">
        <x:v>96</x:v>
      </x:c>
      <x:c r="P574" s="15" t="n">
        <x:v>64</x:v>
      </x:c>
      <x:c r="Q574" s="15" t="n">
        <x:v>32</x:v>
      </x:c>
      <x:c r="R574" s="15" t="n">
        <x:v>0</x:v>
      </x:c>
      <x:c r="S574" s="15" t="n">
        <x:v>0</x:v>
      </x:c>
      <x:c r="T574" s="15" t="n">
        <x:v>0</x:v>
      </x:c>
      <x:c r="U574" s="15" t="n">
        <x:v>0</x:v>
      </x:c>
      <x:c r="V574" s="15" t="n">
        <x:v>0</x:v>
      </x:c>
      <x:c r="W574" s="15" t="n">
        <x:v>0</x:v>
      </x:c>
      <x:c r="X574" s="15" t="n">
        <x:v>0</x:v>
      </x:c>
      <x:c r="Y574" s="15" t="n">
        <x:v>0</x:v>
      </x:c>
      <x:c r="Z574" s="15" t="n">
        <x:v>0</x:v>
      </x:c>
      <x:c r="AA574" s="15" t="n">
        <x:v>0</x:v>
      </x:c>
      <x:c r="AB574" s="15" t="n">
        <x:f>SUM(G574:AA574)</x:f>
        <x:v>592</x:v>
      </x:c>
    </x:row>
    <x:row r="575" ht="36" customHeight="1">
      <x:c r="A575" s="10" t="str">
        <x:v>V-R1</x:v>
      </x:c>
      <x:c r="B575" s="10" t="str">
        <x:v>VOICE</x:v>
      </x:c>
      <x:c r="C575" s="10" t="str">
        <x:v>VOICE:S3-13</x:v>
      </x:c>
      <x:c r="D575" s="10" t="str">
        <x:v>VOICE:M3440</x:v>
      </x:c>
      <x:c r="E575" s="15" t="n">
        <x:v>-54.27</x:v>
      </x:c>
      <x:c r="F575" s="15" t="str">
        <x:v>preparation</x:v>
      </x:c>
      <x:c r="G575" s="15" t="n">
        <x:v>0</x:v>
      </x:c>
      <x:c r="H575" s="15" t="n">
        <x:v>0</x:v>
      </x:c>
      <x:c r="I575" s="15" t="n">
        <x:v>0</x:v>
      </x:c>
      <x:c r="J575" s="15" t="n">
        <x:v>0</x:v>
      </x:c>
      <x:c r="K575" s="15" t="n">
        <x:v>0</x:v>
      </x:c>
      <x:c r="L575" s="15" t="n">
        <x:v>0</x:v>
      </x:c>
      <x:c r="M575" s="15" t="n">
        <x:v>180</x:v>
      </x:c>
      <x:c r="N575" s="15" t="n">
        <x:v>220</x:v>
      </x:c>
      <x:c r="O575" s="15" t="n">
        <x:v>96</x:v>
      </x:c>
      <x:c r="P575" s="15" t="n">
        <x:v>64</x:v>
      </x:c>
      <x:c r="Q575" s="15" t="n">
        <x:v>24</x:v>
      </x:c>
      <x:c r="R575" s="15" t="n">
        <x:v>60</x:v>
      </x:c>
      <x:c r="S575" s="15" t="n">
        <x:v>280</x:v>
      </x:c>
      <x:c r="T575" s="15" t="n">
        <x:v>0</x:v>
      </x:c>
      <x:c r="U575" s="15" t="n">
        <x:v>170</x:v>
      </x:c>
      <x:c r="V575" s="15" t="n">
        <x:v>180</x:v>
      </x:c>
      <x:c r="W575" s="15" t="n">
        <x:v>0</x:v>
      </x:c>
      <x:c r="X575" s="15" t="n">
        <x:v>680</x:v>
      </x:c>
      <x:c r="Y575" s="15" t="n">
        <x:v>0</x:v>
      </x:c>
      <x:c r="Z575" s="15" t="n">
        <x:v>0</x:v>
      </x:c>
      <x:c r="AA575" s="15" t="n">
        <x:v>0</x:v>
      </x:c>
      <x:c r="AB575" s="15" t="n">
        <x:f>SUM(G575:AA575)</x:f>
        <x:v>1954</x:v>
      </x:c>
    </x:row>
    <x:row r="576" ht="36" customHeight="1">
      <x:c r="A576" s="10" t="str">
        <x:v>V-R2</x:v>
      </x:c>
      <x:c r="B576" s="10" t="str">
        <x:v>VOICE</x:v>
      </x:c>
      <x:c r="C576" s="10" t="str">
        <x:v>VOICE:S3-13</x:v>
      </x:c>
      <x:c r="D576" s="10" t="str">
        <x:v>VOICE:M3474</x:v>
      </x:c>
      <x:c r="E576" s="15" t="n">
        <x:v>-54.42</x:v>
      </x:c>
      <x:c r="F576" s="15" t="str">
        <x:v>preparation</x:v>
      </x:c>
      <x:c r="G576" s="15" t="n">
        <x:v>0</x:v>
      </x:c>
      <x:c r="H576" s="15" t="n">
        <x:v>0</x:v>
      </x:c>
      <x:c r="I576" s="15" t="n">
        <x:v>0</x:v>
      </x:c>
      <x:c r="J576" s="15" t="n">
        <x:v>0</x:v>
      </x:c>
      <x:c r="K576" s="15" t="n">
        <x:v>0</x:v>
      </x:c>
      <x:c r="L576" s="15" t="n">
        <x:v>0</x:v>
      </x:c>
      <x:c r="M576" s="15" t="n">
        <x:v>180</x:v>
      </x:c>
      <x:c r="N576" s="15" t="n">
        <x:v>220</x:v>
      </x:c>
      <x:c r="O576" s="15" t="n">
        <x:v>96</x:v>
      </x:c>
      <x:c r="P576" s="15" t="n">
        <x:v>64</x:v>
      </x:c>
      <x:c r="Q576" s="15" t="n">
        <x:v>24</x:v>
      </x:c>
      <x:c r="R576" s="15" t="n">
        <x:v>60</x:v>
      </x:c>
      <x:c r="S576" s="15" t="n">
        <x:v>280</x:v>
      </x:c>
      <x:c r="T576" s="15" t="n">
        <x:v>420</x:v>
      </x:c>
      <x:c r="U576" s="15" t="n">
        <x:v>170</x:v>
      </x:c>
      <x:c r="V576" s="15" t="n">
        <x:v>180</x:v>
      </x:c>
      <x:c r="W576" s="15" t="n">
        <x:v>0</x:v>
      </x:c>
      <x:c r="X576" s="15" t="n">
        <x:v>680</x:v>
      </x:c>
      <x:c r="Y576" s="15" t="n">
        <x:v>0</x:v>
      </x:c>
      <x:c r="Z576" s="15" t="n">
        <x:v>0</x:v>
      </x:c>
      <x:c r="AA576" s="15" t="n">
        <x:v>0</x:v>
      </x:c>
      <x:c r="AB576" s="15" t="n">
        <x:f>SUM(G576:AA576)</x:f>
        <x:v>2374</x:v>
      </x:c>
    </x:row>
    <x:row r="577" ht="36" customHeight="1">
      <x:c r="A577" s="10" t="str">
        <x:v>V-R3</x:v>
      </x:c>
      <x:c r="B577" s="10" t="str">
        <x:v>VOICE</x:v>
      </x:c>
      <x:c r="C577" s="10" t="str">
        <x:v>VOICE:S3-13</x:v>
      </x:c>
      <x:c r="D577" s="10" t="str">
        <x:v>VOICE:M3503</x:v>
      </x:c>
      <x:c r="E577" s="15" t="n">
        <x:v>-54.120000000000005</x:v>
      </x:c>
      <x:c r="F577" s="15" t="str">
        <x:v>preparation</x:v>
      </x:c>
      <x:c r="G577" s="15" t="n">
        <x:v>0</x:v>
      </x:c>
      <x:c r="H577" s="15" t="n">
        <x:v>0</x:v>
      </x:c>
      <x:c r="I577" s="15" t="n">
        <x:v>0</x:v>
      </x:c>
      <x:c r="J577" s="15" t="n">
        <x:v>0</x:v>
      </x:c>
      <x:c r="K577" s="15" t="n">
        <x:v>0</x:v>
      </x:c>
      <x:c r="L577" s="15" t="n">
        <x:v>0</x:v>
      </x:c>
      <x:c r="M577" s="15" t="n">
        <x:v>180</x:v>
      </x:c>
      <x:c r="N577" s="15" t="n">
        <x:v>220</x:v>
      </x:c>
      <x:c r="O577" s="15" t="n">
        <x:v>96</x:v>
      </x:c>
      <x:c r="P577" s="15" t="n">
        <x:v>64</x:v>
      </x:c>
      <x:c r="Q577" s="15" t="n">
        <x:v>32</x:v>
      </x:c>
      <x:c r="R577" s="15" t="n">
        <x:v>60</x:v>
      </x:c>
      <x:c r="S577" s="15" t="n">
        <x:v>560</x:v>
      </x:c>
      <x:c r="T577" s="15" t="n">
        <x:v>420</x:v>
      </x:c>
      <x:c r="U577" s="15" t="n">
        <x:v>170</x:v>
      </x:c>
      <x:c r="V577" s="15" t="n">
        <x:v>180</x:v>
      </x:c>
      <x:c r="W577" s="15" t="n">
        <x:v>0</x:v>
      </x:c>
      <x:c r="X577" s="15" t="n">
        <x:v>680</x:v>
      </x:c>
      <x:c r="Y577" s="15" t="n">
        <x:v>0</x:v>
      </x:c>
      <x:c r="Z577" s="15" t="n">
        <x:v>0</x:v>
      </x:c>
      <x:c r="AA577" s="15" t="n">
        <x:v>0</x:v>
      </x:c>
      <x:c r="AB577" s="15" t="n">
        <x:f>SUM(G577:AA577)</x:f>
        <x:v>2662</x:v>
      </x:c>
    </x:row>
    <x:row r="578" ht="36" customHeight="1">
      <x:c r="A578" s="10" t="str">
        <x:v>V-A</x:v>
      </x:c>
      <x:c r="B578" s="10" t="str">
        <x:v>VOICE</x:v>
      </x:c>
      <x:c r="C578" s="10" t="str">
        <x:v>VOICE:S3-14</x:v>
      </x:c>
      <x:c r="D578" s="10" t="str">
        <x:v>VOICE:M3527</x:v>
      </x:c>
      <x:c r="E578" s="15" t="n">
        <x:v>-60</x:v>
      </x:c>
      <x:c r="F578" s="15" t="str">
        <x:v>preparation</x:v>
      </x:c>
      <x:c r="G578" s="15" t="n">
        <x:v>0</x:v>
      </x:c>
      <x:c r="H578" s="15" t="n">
        <x:v>0</x:v>
      </x:c>
      <x:c r="I578" s="15" t="n">
        <x:v>0</x:v>
      </x:c>
      <x:c r="J578" s="15" t="n">
        <x:v>0</x:v>
      </x:c>
      <x:c r="K578" s="15" t="n">
        <x:v>0</x:v>
      </x:c>
      <x:c r="L578" s="15" t="n">
        <x:v>0</x:v>
      </x:c>
      <x:c r="M578" s="15" t="n">
        <x:v>180</x:v>
      </x:c>
      <x:c r="N578" s="15" t="n">
        <x:v>220</x:v>
      </x:c>
      <x:c r="O578" s="15" t="n">
        <x:v>96</x:v>
      </x:c>
      <x:c r="P578" s="15" t="n">
        <x:v>64</x:v>
      </x:c>
      <x:c r="Q578" s="15" t="n">
        <x:v>32</x:v>
      </x:c>
      <x:c r="R578" s="15" t="n">
        <x:v>0</x:v>
      </x:c>
      <x:c r="S578" s="15" t="n">
        <x:v>0</x:v>
      </x:c>
      <x:c r="T578" s="15" t="n">
        <x:v>0</x:v>
      </x:c>
      <x:c r="U578" s="15" t="n">
        <x:v>0</x:v>
      </x:c>
      <x:c r="V578" s="15" t="n">
        <x:v>0</x:v>
      </x:c>
      <x:c r="W578" s="15" t="n">
        <x:v>0</x:v>
      </x:c>
      <x:c r="X578" s="15" t="n">
        <x:v>0</x:v>
      </x:c>
      <x:c r="Y578" s="15" t="n">
        <x:v>0</x:v>
      </x:c>
      <x:c r="Z578" s="15" t="n">
        <x:v>0</x:v>
      </x:c>
      <x:c r="AA578" s="15" t="n">
        <x:v>0</x:v>
      </x:c>
      <x:c r="AB578" s="15" t="n">
        <x:f>SUM(G578:AA578)</x:f>
        <x:v>592</x:v>
      </x:c>
    </x:row>
    <x:row r="579" ht="36" customHeight="1">
      <x:c r="A579" s="10" t="str">
        <x:v>V-R1</x:v>
      </x:c>
      <x:c r="B579" s="10" t="str">
        <x:v>VOICE</x:v>
      </x:c>
      <x:c r="C579" s="10" t="str">
        <x:v>VOICE:S3-14</x:v>
      </x:c>
      <x:c r="D579" s="10" t="str">
        <x:v>VOICE:M3559</x:v>
      </x:c>
      <x:c r="E579" s="15" t="n">
        <x:v>-54.27</x:v>
      </x:c>
      <x:c r="F579" s="15" t="str">
        <x:v>preparation</x:v>
      </x:c>
      <x:c r="G579" s="15" t="n">
        <x:v>0</x:v>
      </x:c>
      <x:c r="H579" s="15" t="n">
        <x:v>0</x:v>
      </x:c>
      <x:c r="I579" s="15" t="n">
        <x:v>0</x:v>
      </x:c>
      <x:c r="J579" s="15" t="n">
        <x:v>0</x:v>
      </x:c>
      <x:c r="K579" s="15" t="n">
        <x:v>0</x:v>
      </x:c>
      <x:c r="L579" s="15" t="n">
        <x:v>0</x:v>
      </x:c>
      <x:c r="M579" s="15" t="n">
        <x:v>180</x:v>
      </x:c>
      <x:c r="N579" s="15" t="n">
        <x:v>220</x:v>
      </x:c>
      <x:c r="O579" s="15" t="n">
        <x:v>96</x:v>
      </x:c>
      <x:c r="P579" s="15" t="n">
        <x:v>64</x:v>
      </x:c>
      <x:c r="Q579" s="15" t="n">
        <x:v>24</x:v>
      </x:c>
      <x:c r="R579" s="15" t="n">
        <x:v>60</x:v>
      </x:c>
      <x:c r="S579" s="15" t="n">
        <x:v>280</x:v>
      </x:c>
      <x:c r="T579" s="15" t="n">
        <x:v>0</x:v>
      </x:c>
      <x:c r="U579" s="15" t="n">
        <x:v>170</x:v>
      </x:c>
      <x:c r="V579" s="15" t="n">
        <x:v>180</x:v>
      </x:c>
      <x:c r="W579" s="15" t="n">
        <x:v>0</x:v>
      </x:c>
      <x:c r="X579" s="15" t="n">
        <x:v>680</x:v>
      </x:c>
      <x:c r="Y579" s="15" t="n">
        <x:v>0</x:v>
      </x:c>
      <x:c r="Z579" s="15" t="n">
        <x:v>0</x:v>
      </x:c>
      <x:c r="AA579" s="15" t="n">
        <x:v>0</x:v>
      </x:c>
      <x:c r="AB579" s="15" t="n">
        <x:f>SUM(G579:AA579)</x:f>
        <x:v>1954</x:v>
      </x:c>
    </x:row>
    <x:row r="580" ht="36" customHeight="1">
      <x:c r="A580" s="10" t="str">
        <x:v>V-R2</x:v>
      </x:c>
      <x:c r="B580" s="10" t="str">
        <x:v>VOICE</x:v>
      </x:c>
      <x:c r="C580" s="10" t="str">
        <x:v>VOICE:S3-14</x:v>
      </x:c>
      <x:c r="D580" s="10" t="str">
        <x:v>VOICE:M3593</x:v>
      </x:c>
      <x:c r="E580" s="15" t="n">
        <x:v>-54.42</x:v>
      </x:c>
      <x:c r="F580" s="15" t="str">
        <x:v>preparation</x:v>
      </x:c>
      <x:c r="G580" s="15" t="n">
        <x:v>0</x:v>
      </x:c>
      <x:c r="H580" s="15" t="n">
        <x:v>0</x:v>
      </x:c>
      <x:c r="I580" s="15" t="n">
        <x:v>0</x:v>
      </x:c>
      <x:c r="J580" s="15" t="n">
        <x:v>0</x:v>
      </x:c>
      <x:c r="K580" s="15" t="n">
        <x:v>0</x:v>
      </x:c>
      <x:c r="L580" s="15" t="n">
        <x:v>0</x:v>
      </x:c>
      <x:c r="M580" s="15" t="n">
        <x:v>180</x:v>
      </x:c>
      <x:c r="N580" s="15" t="n">
        <x:v>220</x:v>
      </x:c>
      <x:c r="O580" s="15" t="n">
        <x:v>96</x:v>
      </x:c>
      <x:c r="P580" s="15" t="n">
        <x:v>64</x:v>
      </x:c>
      <x:c r="Q580" s="15" t="n">
        <x:v>24</x:v>
      </x:c>
      <x:c r="R580" s="15" t="n">
        <x:v>60</x:v>
      </x:c>
      <x:c r="S580" s="15" t="n">
        <x:v>280</x:v>
      </x:c>
      <x:c r="T580" s="15" t="n">
        <x:v>420</x:v>
      </x:c>
      <x:c r="U580" s="15" t="n">
        <x:v>170</x:v>
      </x:c>
      <x:c r="V580" s="15" t="n">
        <x:v>180</x:v>
      </x:c>
      <x:c r="W580" s="15" t="n">
        <x:v>0</x:v>
      </x:c>
      <x:c r="X580" s="15" t="n">
        <x:v>680</x:v>
      </x:c>
      <x:c r="Y580" s="15" t="n">
        <x:v>0</x:v>
      </x:c>
      <x:c r="Z580" s="15" t="n">
        <x:v>0</x:v>
      </x:c>
      <x:c r="AA580" s="15" t="n">
        <x:v>0</x:v>
      </x:c>
      <x:c r="AB580" s="15" t="n">
        <x:f>SUM(G580:AA580)</x:f>
        <x:v>2374</x:v>
      </x:c>
    </x:row>
    <x:row r="581" ht="36" customHeight="1">
      <x:c r="A581" s="10" t="str">
        <x:v>V-R3</x:v>
      </x:c>
      <x:c r="B581" s="10" t="str">
        <x:v>VOICE</x:v>
      </x:c>
      <x:c r="C581" s="10" t="str">
        <x:v>VOICE:S3-14</x:v>
      </x:c>
      <x:c r="D581" s="10" t="str">
        <x:v>VOICE:M3622</x:v>
      </x:c>
      <x:c r="E581" s="15" t="n">
        <x:v>-54.120000000000005</x:v>
      </x:c>
      <x:c r="F581" s="15" t="str">
        <x:v>preparation</x:v>
      </x:c>
      <x:c r="G581" s="15" t="n">
        <x:v>0</x:v>
      </x:c>
      <x:c r="H581" s="15" t="n">
        <x:v>0</x:v>
      </x:c>
      <x:c r="I581" s="15" t="n">
        <x:v>0</x:v>
      </x:c>
      <x:c r="J581" s="15" t="n">
        <x:v>0</x:v>
      </x:c>
      <x:c r="K581" s="15" t="n">
        <x:v>0</x:v>
      </x:c>
      <x:c r="L581" s="15" t="n">
        <x:v>0</x:v>
      </x:c>
      <x:c r="M581" s="15" t="n">
        <x:v>180</x:v>
      </x:c>
      <x:c r="N581" s="15" t="n">
        <x:v>220</x:v>
      </x:c>
      <x:c r="O581" s="15" t="n">
        <x:v>96</x:v>
      </x:c>
      <x:c r="P581" s="15" t="n">
        <x:v>64</x:v>
      </x:c>
      <x:c r="Q581" s="15" t="n">
        <x:v>32</x:v>
      </x:c>
      <x:c r="R581" s="15" t="n">
        <x:v>60</x:v>
      </x:c>
      <x:c r="S581" s="15" t="n">
        <x:v>560</x:v>
      </x:c>
      <x:c r="T581" s="15" t="n">
        <x:v>420</x:v>
      </x:c>
      <x:c r="U581" s="15" t="n">
        <x:v>170</x:v>
      </x:c>
      <x:c r="V581" s="15" t="n">
        <x:v>180</x:v>
      </x:c>
      <x:c r="W581" s="15" t="n">
        <x:v>0</x:v>
      </x:c>
      <x:c r="X581" s="15" t="n">
        <x:v>680</x:v>
      </x:c>
      <x:c r="Y581" s="15" t="n">
        <x:v>0</x:v>
      </x:c>
      <x:c r="Z581" s="15" t="n">
        <x:v>0</x:v>
      </x:c>
      <x:c r="AA581" s="15" t="n">
        <x:v>0</x:v>
      </x:c>
      <x:c r="AB581" s="15" t="n">
        <x:f>SUM(G581:AA581)</x:f>
        <x:v>2662</x:v>
      </x:c>
    </x:row>
    <x:row r="582" ht="36" customHeight="1">
      <x:c r="A582" s="10" t="str">
        <x:v>V-A</x:v>
      </x:c>
      <x:c r="B582" s="10" t="str">
        <x:v>VOICE</x:v>
      </x:c>
      <x:c r="C582" s="10" t="str">
        <x:v>VOICE:S3-15</x:v>
      </x:c>
      <x:c r="D582" s="10" t="str">
        <x:v>VOICE:M3646</x:v>
      </x:c>
      <x:c r="E582" s="15" t="n">
        <x:v>-60</x:v>
      </x:c>
      <x:c r="F582" s="15" t="str">
        <x:v>preparation</x:v>
      </x:c>
      <x:c r="G582" s="15" t="n">
        <x:v>0</x:v>
      </x:c>
      <x:c r="H582" s="15" t="n">
        <x:v>0</x:v>
      </x:c>
      <x:c r="I582" s="15" t="n">
        <x:v>0</x:v>
      </x:c>
      <x:c r="J582" s="15" t="n">
        <x:v>0</x:v>
      </x:c>
      <x:c r="K582" s="15" t="n">
        <x:v>0</x:v>
      </x:c>
      <x:c r="L582" s="15" t="n">
        <x:v>0</x:v>
      </x:c>
      <x:c r="M582" s="15" t="n">
        <x:v>180</x:v>
      </x:c>
      <x:c r="N582" s="15" t="n">
        <x:v>220</x:v>
      </x:c>
      <x:c r="O582" s="15" t="n">
        <x:v>96</x:v>
      </x:c>
      <x:c r="P582" s="15" t="n">
        <x:v>64</x:v>
      </x:c>
      <x:c r="Q582" s="15" t="n">
        <x:v>32</x:v>
      </x:c>
      <x:c r="R582" s="15" t="n">
        <x:v>0</x:v>
      </x:c>
      <x:c r="S582" s="15" t="n">
        <x:v>0</x:v>
      </x:c>
      <x:c r="T582" s="15" t="n">
        <x:v>0</x:v>
      </x:c>
      <x:c r="U582" s="15" t="n">
        <x:v>0</x:v>
      </x:c>
      <x:c r="V582" s="15" t="n">
        <x:v>0</x:v>
      </x:c>
      <x:c r="W582" s="15" t="n">
        <x:v>0</x:v>
      </x:c>
      <x:c r="X582" s="15" t="n">
        <x:v>0</x:v>
      </x:c>
      <x:c r="Y582" s="15" t="n">
        <x:v>0</x:v>
      </x:c>
      <x:c r="Z582" s="15" t="n">
        <x:v>0</x:v>
      </x:c>
      <x:c r="AA582" s="15" t="n">
        <x:v>0</x:v>
      </x:c>
      <x:c r="AB582" s="15" t="n">
        <x:f>SUM(G582:AA582)</x:f>
        <x:v>592</x:v>
      </x:c>
    </x:row>
    <x:row r="583" ht="36" customHeight="1">
      <x:c r="A583" s="10" t="str">
        <x:v>V-R1</x:v>
      </x:c>
      <x:c r="B583" s="10" t="str">
        <x:v>VOICE</x:v>
      </x:c>
      <x:c r="C583" s="10" t="str">
        <x:v>VOICE:S3-15</x:v>
      </x:c>
      <x:c r="D583" s="10" t="str">
        <x:v>VOICE:M3678</x:v>
      </x:c>
      <x:c r="E583" s="15" t="n">
        <x:v>-54.27</x:v>
      </x:c>
      <x:c r="F583" s="15" t="str">
        <x:v>preparation</x:v>
      </x:c>
      <x:c r="G583" s="15" t="n">
        <x:v>0</x:v>
      </x:c>
      <x:c r="H583" s="15" t="n">
        <x:v>0</x:v>
      </x:c>
      <x:c r="I583" s="15" t="n">
        <x:v>0</x:v>
      </x:c>
      <x:c r="J583" s="15" t="n">
        <x:v>0</x:v>
      </x:c>
      <x:c r="K583" s="15" t="n">
        <x:v>0</x:v>
      </x:c>
      <x:c r="L583" s="15" t="n">
        <x:v>0</x:v>
      </x:c>
      <x:c r="M583" s="15" t="n">
        <x:v>180</x:v>
      </x:c>
      <x:c r="N583" s="15" t="n">
        <x:v>220</x:v>
      </x:c>
      <x:c r="O583" s="15" t="n">
        <x:v>96</x:v>
      </x:c>
      <x:c r="P583" s="15" t="n">
        <x:v>64</x:v>
      </x:c>
      <x:c r="Q583" s="15" t="n">
        <x:v>24</x:v>
      </x:c>
      <x:c r="R583" s="15" t="n">
        <x:v>60</x:v>
      </x:c>
      <x:c r="S583" s="15" t="n">
        <x:v>280</x:v>
      </x:c>
      <x:c r="T583" s="15" t="n">
        <x:v>0</x:v>
      </x:c>
      <x:c r="U583" s="15" t="n">
        <x:v>170</x:v>
      </x:c>
      <x:c r="V583" s="15" t="n">
        <x:v>180</x:v>
      </x:c>
      <x:c r="W583" s="15" t="n">
        <x:v>0</x:v>
      </x:c>
      <x:c r="X583" s="15" t="n">
        <x:v>680</x:v>
      </x:c>
      <x:c r="Y583" s="15" t="n">
        <x:v>0</x:v>
      </x:c>
      <x:c r="Z583" s="15" t="n">
        <x:v>0</x:v>
      </x:c>
      <x:c r="AA583" s="15" t="n">
        <x:v>0</x:v>
      </x:c>
      <x:c r="AB583" s="15" t="n">
        <x:f>SUM(G583:AA583)</x:f>
        <x:v>1954</x:v>
      </x:c>
    </x:row>
    <x:row r="584" ht="36" customHeight="1">
      <x:c r="A584" s="10" t="str">
        <x:v>V-R2</x:v>
      </x:c>
      <x:c r="B584" s="10" t="str">
        <x:v>VOICE</x:v>
      </x:c>
      <x:c r="C584" s="10" t="str">
        <x:v>VOICE:S3-15</x:v>
      </x:c>
      <x:c r="D584" s="10" t="str">
        <x:v>VOICE:M3712</x:v>
      </x:c>
      <x:c r="E584" s="15" t="n">
        <x:v>-54.42</x:v>
      </x:c>
      <x:c r="F584" s="15" t="str">
        <x:v>preparation</x:v>
      </x:c>
      <x:c r="G584" s="15" t="n">
        <x:v>0</x:v>
      </x:c>
      <x:c r="H584" s="15" t="n">
        <x:v>0</x:v>
      </x:c>
      <x:c r="I584" s="15" t="n">
        <x:v>0</x:v>
      </x:c>
      <x:c r="J584" s="15" t="n">
        <x:v>0</x:v>
      </x:c>
      <x:c r="K584" s="15" t="n">
        <x:v>0</x:v>
      </x:c>
      <x:c r="L584" s="15" t="n">
        <x:v>0</x:v>
      </x:c>
      <x:c r="M584" s="15" t="n">
        <x:v>180</x:v>
      </x:c>
      <x:c r="N584" s="15" t="n">
        <x:v>220</x:v>
      </x:c>
      <x:c r="O584" s="15" t="n">
        <x:v>96</x:v>
      </x:c>
      <x:c r="P584" s="15" t="n">
        <x:v>64</x:v>
      </x:c>
      <x:c r="Q584" s="15" t="n">
        <x:v>24</x:v>
      </x:c>
      <x:c r="R584" s="15" t="n">
        <x:v>60</x:v>
      </x:c>
      <x:c r="S584" s="15" t="n">
        <x:v>280</x:v>
      </x:c>
      <x:c r="T584" s="15" t="n">
        <x:v>420</x:v>
      </x:c>
      <x:c r="U584" s="15" t="n">
        <x:v>170</x:v>
      </x:c>
      <x:c r="V584" s="15" t="n">
        <x:v>180</x:v>
      </x:c>
      <x:c r="W584" s="15" t="n">
        <x:v>0</x:v>
      </x:c>
      <x:c r="X584" s="15" t="n">
        <x:v>680</x:v>
      </x:c>
      <x:c r="Y584" s="15" t="n">
        <x:v>0</x:v>
      </x:c>
      <x:c r="Z584" s="15" t="n">
        <x:v>0</x:v>
      </x:c>
      <x:c r="AA584" s="15" t="n">
        <x:v>0</x:v>
      </x:c>
      <x:c r="AB584" s="15" t="n">
        <x:f>SUM(G584:AA584)</x:f>
        <x:v>2374</x:v>
      </x:c>
    </x:row>
    <x:row r="585" ht="36" customHeight="1">
      <x:c r="A585" s="10" t="str">
        <x:v>V-R3</x:v>
      </x:c>
      <x:c r="B585" s="10" t="str">
        <x:v>VOICE</x:v>
      </x:c>
      <x:c r="C585" s="10" t="str">
        <x:v>VOICE:S3-15</x:v>
      </x:c>
      <x:c r="D585" s="10" t="str">
        <x:v>VOICE:M3741</x:v>
      </x:c>
      <x:c r="E585" s="15" t="n">
        <x:v>-54.120000000000005</x:v>
      </x:c>
      <x:c r="F585" s="15" t="str">
        <x:v>preparation</x:v>
      </x:c>
      <x:c r="G585" s="15" t="n">
        <x:v>0</x:v>
      </x:c>
      <x:c r="H585" s="15" t="n">
        <x:v>0</x:v>
      </x:c>
      <x:c r="I585" s="15" t="n">
        <x:v>0</x:v>
      </x:c>
      <x:c r="J585" s="15" t="n">
        <x:v>0</x:v>
      </x:c>
      <x:c r="K585" s="15" t="n">
        <x:v>0</x:v>
      </x:c>
      <x:c r="L585" s="15" t="n">
        <x:v>0</x:v>
      </x:c>
      <x:c r="M585" s="15" t="n">
        <x:v>180</x:v>
      </x:c>
      <x:c r="N585" s="15" t="n">
        <x:v>220</x:v>
      </x:c>
      <x:c r="O585" s="15" t="n">
        <x:v>96</x:v>
      </x:c>
      <x:c r="P585" s="15" t="n">
        <x:v>64</x:v>
      </x:c>
      <x:c r="Q585" s="15" t="n">
        <x:v>32</x:v>
      </x:c>
      <x:c r="R585" s="15" t="n">
        <x:v>60</x:v>
      </x:c>
      <x:c r="S585" s="15" t="n">
        <x:v>560</x:v>
      </x:c>
      <x:c r="T585" s="15" t="n">
        <x:v>420</x:v>
      </x:c>
      <x:c r="U585" s="15" t="n">
        <x:v>170</x:v>
      </x:c>
      <x:c r="V585" s="15" t="n">
        <x:v>180</x:v>
      </x:c>
      <x:c r="W585" s="15" t="n">
        <x:v>0</x:v>
      </x:c>
      <x:c r="X585" s="15" t="n">
        <x:v>680</x:v>
      </x:c>
      <x:c r="Y585" s="15" t="n">
        <x:v>0</x:v>
      </x:c>
      <x:c r="Z585" s="15" t="n">
        <x:v>0</x:v>
      </x:c>
      <x:c r="AA585" s="15" t="n">
        <x:v>0</x:v>
      </x:c>
      <x:c r="AB585" s="15" t="n">
        <x:f>SUM(G585:AA585)</x:f>
        <x:v>2662</x:v>
      </x:c>
    </x:row>
    <x:row r="586" ht="36" customHeight="1">
      <x:c r="A586" s="10" t="str">
        <x:v>V-A</x:v>
      </x:c>
      <x:c r="B586" s="10" t="str">
        <x:v>VOICE</x:v>
      </x:c>
      <x:c r="C586" s="10" t="str">
        <x:v>VOICE:S3-16</x:v>
      </x:c>
      <x:c r="D586" s="10" t="str">
        <x:v>VOICE:M3765</x:v>
      </x:c>
      <x:c r="E586" s="15" t="n">
        <x:v>-60</x:v>
      </x:c>
      <x:c r="F586" s="15" t="str">
        <x:v>preparation</x:v>
      </x:c>
      <x:c r="G586" s="15" t="n">
        <x:v>0</x:v>
      </x:c>
      <x:c r="H586" s="15" t="n">
        <x:v>0</x:v>
      </x:c>
      <x:c r="I586" s="15" t="n">
        <x:v>0</x:v>
      </x:c>
      <x:c r="J586" s="15" t="n">
        <x:v>0</x:v>
      </x:c>
      <x:c r="K586" s="15" t="n">
        <x:v>0</x:v>
      </x:c>
      <x:c r="L586" s="15" t="n">
        <x:v>0</x:v>
      </x:c>
      <x:c r="M586" s="15" t="n">
        <x:v>180</x:v>
      </x:c>
      <x:c r="N586" s="15" t="n">
        <x:v>220</x:v>
      </x:c>
      <x:c r="O586" s="15" t="n">
        <x:v>96</x:v>
      </x:c>
      <x:c r="P586" s="15" t="n">
        <x:v>64</x:v>
      </x:c>
      <x:c r="Q586" s="15" t="n">
        <x:v>32</x:v>
      </x:c>
      <x:c r="R586" s="15" t="n">
        <x:v>0</x:v>
      </x:c>
      <x:c r="S586" s="15" t="n">
        <x:v>0</x:v>
      </x:c>
      <x:c r="T586" s="15" t="n">
        <x:v>0</x:v>
      </x:c>
      <x:c r="U586" s="15" t="n">
        <x:v>0</x:v>
      </x:c>
      <x:c r="V586" s="15" t="n">
        <x:v>0</x:v>
      </x:c>
      <x:c r="W586" s="15" t="n">
        <x:v>0</x:v>
      </x:c>
      <x:c r="X586" s="15" t="n">
        <x:v>0</x:v>
      </x:c>
      <x:c r="Y586" s="15" t="n">
        <x:v>0</x:v>
      </x:c>
      <x:c r="Z586" s="15" t="n">
        <x:v>0</x:v>
      </x:c>
      <x:c r="AA586" s="15" t="n">
        <x:v>0</x:v>
      </x:c>
      <x:c r="AB586" s="15" t="n">
        <x:f>SUM(G586:AA586)</x:f>
        <x:v>592</x:v>
      </x:c>
    </x:row>
    <x:row r="587" ht="36" customHeight="1">
      <x:c r="A587" s="10" t="str">
        <x:v>V-R1</x:v>
      </x:c>
      <x:c r="B587" s="10" t="str">
        <x:v>VOICE</x:v>
      </x:c>
      <x:c r="C587" s="10" t="str">
        <x:v>VOICE:S3-16</x:v>
      </x:c>
      <x:c r="D587" s="10" t="str">
        <x:v>VOICE:M3797</x:v>
      </x:c>
      <x:c r="E587" s="15" t="n">
        <x:v>-54.27</x:v>
      </x:c>
      <x:c r="F587" s="15" t="str">
        <x:v>preparation</x:v>
      </x:c>
      <x:c r="G587" s="15" t="n">
        <x:v>0</x:v>
      </x:c>
      <x:c r="H587" s="15" t="n">
        <x:v>0</x:v>
      </x:c>
      <x:c r="I587" s="15" t="n">
        <x:v>0</x:v>
      </x:c>
      <x:c r="J587" s="15" t="n">
        <x:v>0</x:v>
      </x:c>
      <x:c r="K587" s="15" t="n">
        <x:v>0</x:v>
      </x:c>
      <x:c r="L587" s="15" t="n">
        <x:v>0</x:v>
      </x:c>
      <x:c r="M587" s="15" t="n">
        <x:v>180</x:v>
      </x:c>
      <x:c r="N587" s="15" t="n">
        <x:v>220</x:v>
      </x:c>
      <x:c r="O587" s="15" t="n">
        <x:v>96</x:v>
      </x:c>
      <x:c r="P587" s="15" t="n">
        <x:v>64</x:v>
      </x:c>
      <x:c r="Q587" s="15" t="n">
        <x:v>24</x:v>
      </x:c>
      <x:c r="R587" s="15" t="n">
        <x:v>60</x:v>
      </x:c>
      <x:c r="S587" s="15" t="n">
        <x:v>280</x:v>
      </x:c>
      <x:c r="T587" s="15" t="n">
        <x:v>0</x:v>
      </x:c>
      <x:c r="U587" s="15" t="n">
        <x:v>170</x:v>
      </x:c>
      <x:c r="V587" s="15" t="n">
        <x:v>180</x:v>
      </x:c>
      <x:c r="W587" s="15" t="n">
        <x:v>0</x:v>
      </x:c>
      <x:c r="X587" s="15" t="n">
        <x:v>680</x:v>
      </x:c>
      <x:c r="Y587" s="15" t="n">
        <x:v>0</x:v>
      </x:c>
      <x:c r="Z587" s="15" t="n">
        <x:v>0</x:v>
      </x:c>
      <x:c r="AA587" s="15" t="n">
        <x:v>0</x:v>
      </x:c>
      <x:c r="AB587" s="15" t="n">
        <x:f>SUM(G587:AA587)</x:f>
        <x:v>1954</x:v>
      </x:c>
    </x:row>
    <x:row r="588" ht="36" customHeight="1">
      <x:c r="A588" s="10" t="str">
        <x:v>V-R2</x:v>
      </x:c>
      <x:c r="B588" s="10" t="str">
        <x:v>VOICE</x:v>
      </x:c>
      <x:c r="C588" s="10" t="str">
        <x:v>VOICE:S3-16</x:v>
      </x:c>
      <x:c r="D588" s="10" t="str">
        <x:v>VOICE:M3831</x:v>
      </x:c>
      <x:c r="E588" s="15" t="n">
        <x:v>-54.42</x:v>
      </x:c>
      <x:c r="F588" s="15" t="str">
        <x:v>preparation</x:v>
      </x:c>
      <x:c r="G588" s="15" t="n">
        <x:v>0</x:v>
      </x:c>
      <x:c r="H588" s="15" t="n">
        <x:v>0</x:v>
      </x:c>
      <x:c r="I588" s="15" t="n">
        <x:v>0</x:v>
      </x:c>
      <x:c r="J588" s="15" t="n">
        <x:v>0</x:v>
      </x:c>
      <x:c r="K588" s="15" t="n">
        <x:v>0</x:v>
      </x:c>
      <x:c r="L588" s="15" t="n">
        <x:v>0</x:v>
      </x:c>
      <x:c r="M588" s="15" t="n">
        <x:v>180</x:v>
      </x:c>
      <x:c r="N588" s="15" t="n">
        <x:v>220</x:v>
      </x:c>
      <x:c r="O588" s="15" t="n">
        <x:v>96</x:v>
      </x:c>
      <x:c r="P588" s="15" t="n">
        <x:v>64</x:v>
      </x:c>
      <x:c r="Q588" s="15" t="n">
        <x:v>24</x:v>
      </x:c>
      <x:c r="R588" s="15" t="n">
        <x:v>60</x:v>
      </x:c>
      <x:c r="S588" s="15" t="n">
        <x:v>280</x:v>
      </x:c>
      <x:c r="T588" s="15" t="n">
        <x:v>420</x:v>
      </x:c>
      <x:c r="U588" s="15" t="n">
        <x:v>170</x:v>
      </x:c>
      <x:c r="V588" s="15" t="n">
        <x:v>180</x:v>
      </x:c>
      <x:c r="W588" s="15" t="n">
        <x:v>0</x:v>
      </x:c>
      <x:c r="X588" s="15" t="n">
        <x:v>680</x:v>
      </x:c>
      <x:c r="Y588" s="15" t="n">
        <x:v>0</x:v>
      </x:c>
      <x:c r="Z588" s="15" t="n">
        <x:v>0</x:v>
      </x:c>
      <x:c r="AA588" s="15" t="n">
        <x:v>0</x:v>
      </x:c>
      <x:c r="AB588" s="15" t="n">
        <x:f>SUM(G588:AA588)</x:f>
        <x:v>2374</x:v>
      </x:c>
    </x:row>
    <x:row r="589" ht="36" customHeight="1">
      <x:c r="A589" s="10" t="str">
        <x:v>V-R3</x:v>
      </x:c>
      <x:c r="B589" s="10" t="str">
        <x:v>VOICE</x:v>
      </x:c>
      <x:c r="C589" s="10" t="str">
        <x:v>VOICE:S3-16</x:v>
      </x:c>
      <x:c r="D589" s="10" t="str">
        <x:v>VOICE:M3860</x:v>
      </x:c>
      <x:c r="E589" s="15" t="n">
        <x:v>-54.120000000000005</x:v>
      </x:c>
      <x:c r="F589" s="15" t="str">
        <x:v>preparation</x:v>
      </x:c>
      <x:c r="G589" s="15" t="n">
        <x:v>0</x:v>
      </x:c>
      <x:c r="H589" s="15" t="n">
        <x:v>0</x:v>
      </x:c>
      <x:c r="I589" s="15" t="n">
        <x:v>0</x:v>
      </x:c>
      <x:c r="J589" s="15" t="n">
        <x:v>0</x:v>
      </x:c>
      <x:c r="K589" s="15" t="n">
        <x:v>0</x:v>
      </x:c>
      <x:c r="L589" s="15" t="n">
        <x:v>0</x:v>
      </x:c>
      <x:c r="M589" s="15" t="n">
        <x:v>180</x:v>
      </x:c>
      <x:c r="N589" s="15" t="n">
        <x:v>220</x:v>
      </x:c>
      <x:c r="O589" s="15" t="n">
        <x:v>96</x:v>
      </x:c>
      <x:c r="P589" s="15" t="n">
        <x:v>64</x:v>
      </x:c>
      <x:c r="Q589" s="15" t="n">
        <x:v>32</x:v>
      </x:c>
      <x:c r="R589" s="15" t="n">
        <x:v>60</x:v>
      </x:c>
      <x:c r="S589" s="15" t="n">
        <x:v>560</x:v>
      </x:c>
      <x:c r="T589" s="15" t="n">
        <x:v>420</x:v>
      </x:c>
      <x:c r="U589" s="15" t="n">
        <x:v>170</x:v>
      </x:c>
      <x:c r="V589" s="15" t="n">
        <x:v>180</x:v>
      </x:c>
      <x:c r="W589" s="15" t="n">
        <x:v>0</x:v>
      </x:c>
      <x:c r="X589" s="15" t="n">
        <x:v>680</x:v>
      </x:c>
      <x:c r="Y589" s="15" t="n">
        <x:v>0</x:v>
      </x:c>
      <x:c r="Z589" s="15" t="n">
        <x:v>0</x:v>
      </x:c>
      <x:c r="AA589" s="15" t="n">
        <x:v>0</x:v>
      </x:c>
      <x:c r="AB589" s="15" t="n">
        <x:f>SUM(G589:AA589)</x:f>
        <x:v>2662</x:v>
      </x:c>
    </x:row>
    <x:row r="590" ht="36" customHeight="1">
      <x:c r="A590" s="10" t="str">
        <x:v>V-A</x:v>
      </x:c>
      <x:c r="B590" s="10" t="str">
        <x:v>VOICE</x:v>
      </x:c>
      <x:c r="C590" s="10" t="str">
        <x:v>VOICE:S3-17</x:v>
      </x:c>
      <x:c r="D590" s="10" t="str">
        <x:v>VOICE:M3884</x:v>
      </x:c>
      <x:c r="E590" s="15" t="n">
        <x:v>-60</x:v>
      </x:c>
      <x:c r="F590" s="15" t="str">
        <x:v>preparation</x:v>
      </x:c>
      <x:c r="G590" s="15" t="n">
        <x:v>0</x:v>
      </x:c>
      <x:c r="H590" s="15" t="n">
        <x:v>0</x:v>
      </x:c>
      <x:c r="I590" s="15" t="n">
        <x:v>0</x:v>
      </x:c>
      <x:c r="J590" s="15" t="n">
        <x:v>0</x:v>
      </x:c>
      <x:c r="K590" s="15" t="n">
        <x:v>0</x:v>
      </x:c>
      <x:c r="L590" s="15" t="n">
        <x:v>0</x:v>
      </x:c>
      <x:c r="M590" s="15" t="n">
        <x:v>180</x:v>
      </x:c>
      <x:c r="N590" s="15" t="n">
        <x:v>220</x:v>
      </x:c>
      <x:c r="O590" s="15" t="n">
        <x:v>96</x:v>
      </x:c>
      <x:c r="P590" s="15" t="n">
        <x:v>64</x:v>
      </x:c>
      <x:c r="Q590" s="15" t="n">
        <x:v>32</x:v>
      </x:c>
      <x:c r="R590" s="15" t="n">
        <x:v>0</x:v>
      </x:c>
      <x:c r="S590" s="15" t="n">
        <x:v>0</x:v>
      </x:c>
      <x:c r="T590" s="15" t="n">
        <x:v>0</x:v>
      </x:c>
      <x:c r="U590" s="15" t="n">
        <x:v>0</x:v>
      </x:c>
      <x:c r="V590" s="15" t="n">
        <x:v>0</x:v>
      </x:c>
      <x:c r="W590" s="15" t="n">
        <x:v>0</x:v>
      </x:c>
      <x:c r="X590" s="15" t="n">
        <x:v>0</x:v>
      </x:c>
      <x:c r="Y590" s="15" t="n">
        <x:v>0</x:v>
      </x:c>
      <x:c r="Z590" s="15" t="n">
        <x:v>0</x:v>
      </x:c>
      <x:c r="AA590" s="15" t="n">
        <x:v>0</x:v>
      </x:c>
      <x:c r="AB590" s="15" t="n">
        <x:f>SUM(G590:AA590)</x:f>
        <x:v>592</x:v>
      </x:c>
    </x:row>
    <x:row r="591" ht="36" customHeight="1">
      <x:c r="A591" s="10" t="str">
        <x:v>V-R1</x:v>
      </x:c>
      <x:c r="B591" s="10" t="str">
        <x:v>VOICE</x:v>
      </x:c>
      <x:c r="C591" s="10" t="str">
        <x:v>VOICE:S3-17</x:v>
      </x:c>
      <x:c r="D591" s="10" t="str">
        <x:v>VOICE:M3916</x:v>
      </x:c>
      <x:c r="E591" s="15" t="n">
        <x:v>-54.27</x:v>
      </x:c>
      <x:c r="F591" s="15" t="str">
        <x:v>preparation</x:v>
      </x:c>
      <x:c r="G591" s="15" t="n">
        <x:v>0</x:v>
      </x:c>
      <x:c r="H591" s="15" t="n">
        <x:v>0</x:v>
      </x:c>
      <x:c r="I591" s="15" t="n">
        <x:v>0</x:v>
      </x:c>
      <x:c r="J591" s="15" t="n">
        <x:v>0</x:v>
      </x:c>
      <x:c r="K591" s="15" t="n">
        <x:v>0</x:v>
      </x:c>
      <x:c r="L591" s="15" t="n">
        <x:v>0</x:v>
      </x:c>
      <x:c r="M591" s="15" t="n">
        <x:v>180</x:v>
      </x:c>
      <x:c r="N591" s="15" t="n">
        <x:v>220</x:v>
      </x:c>
      <x:c r="O591" s="15" t="n">
        <x:v>96</x:v>
      </x:c>
      <x:c r="P591" s="15" t="n">
        <x:v>64</x:v>
      </x:c>
      <x:c r="Q591" s="15" t="n">
        <x:v>24</x:v>
      </x:c>
      <x:c r="R591" s="15" t="n">
        <x:v>60</x:v>
      </x:c>
      <x:c r="S591" s="15" t="n">
        <x:v>280</x:v>
      </x:c>
      <x:c r="T591" s="15" t="n">
        <x:v>0</x:v>
      </x:c>
      <x:c r="U591" s="15" t="n">
        <x:v>170</x:v>
      </x:c>
      <x:c r="V591" s="15" t="n">
        <x:v>180</x:v>
      </x:c>
      <x:c r="W591" s="15" t="n">
        <x:v>0</x:v>
      </x:c>
      <x:c r="X591" s="15" t="n">
        <x:v>680</x:v>
      </x:c>
      <x:c r="Y591" s="15" t="n">
        <x:v>0</x:v>
      </x:c>
      <x:c r="Z591" s="15" t="n">
        <x:v>0</x:v>
      </x:c>
      <x:c r="AA591" s="15" t="n">
        <x:v>0</x:v>
      </x:c>
      <x:c r="AB591" s="15" t="n">
        <x:f>SUM(G591:AA591)</x:f>
        <x:v>1954</x:v>
      </x:c>
    </x:row>
    <x:row r="592" ht="36" customHeight="1">
      <x:c r="A592" s="10" t="str">
        <x:v>V-R2</x:v>
      </x:c>
      <x:c r="B592" s="10" t="str">
        <x:v>VOICE</x:v>
      </x:c>
      <x:c r="C592" s="10" t="str">
        <x:v>VOICE:S3-17</x:v>
      </x:c>
      <x:c r="D592" s="10" t="str">
        <x:v>VOICE:M3950</x:v>
      </x:c>
      <x:c r="E592" s="15" t="n">
        <x:v>-54.42</x:v>
      </x:c>
      <x:c r="F592" s="15" t="str">
        <x:v>preparation</x:v>
      </x:c>
      <x:c r="G592" s="15" t="n">
        <x:v>0</x:v>
      </x:c>
      <x:c r="H592" s="15" t="n">
        <x:v>0</x:v>
      </x:c>
      <x:c r="I592" s="15" t="n">
        <x:v>0</x:v>
      </x:c>
      <x:c r="J592" s="15" t="n">
        <x:v>0</x:v>
      </x:c>
      <x:c r="K592" s="15" t="n">
        <x:v>0</x:v>
      </x:c>
      <x:c r="L592" s="15" t="n">
        <x:v>0</x:v>
      </x:c>
      <x:c r="M592" s="15" t="n">
        <x:v>180</x:v>
      </x:c>
      <x:c r="N592" s="15" t="n">
        <x:v>220</x:v>
      </x:c>
      <x:c r="O592" s="15" t="n">
        <x:v>96</x:v>
      </x:c>
      <x:c r="P592" s="15" t="n">
        <x:v>64</x:v>
      </x:c>
      <x:c r="Q592" s="15" t="n">
        <x:v>24</x:v>
      </x:c>
      <x:c r="R592" s="15" t="n">
        <x:v>60</x:v>
      </x:c>
      <x:c r="S592" s="15" t="n">
        <x:v>280</x:v>
      </x:c>
      <x:c r="T592" s="15" t="n">
        <x:v>420</x:v>
      </x:c>
      <x:c r="U592" s="15" t="n">
        <x:v>170</x:v>
      </x:c>
      <x:c r="V592" s="15" t="n">
        <x:v>180</x:v>
      </x:c>
      <x:c r="W592" s="15" t="n">
        <x:v>0</x:v>
      </x:c>
      <x:c r="X592" s="15" t="n">
        <x:v>680</x:v>
      </x:c>
      <x:c r="Y592" s="15" t="n">
        <x:v>0</x:v>
      </x:c>
      <x:c r="Z592" s="15" t="n">
        <x:v>0</x:v>
      </x:c>
      <x:c r="AA592" s="15" t="n">
        <x:v>0</x:v>
      </x:c>
      <x:c r="AB592" s="15" t="n">
        <x:f>SUM(G592:AA592)</x:f>
        <x:v>2374</x:v>
      </x:c>
    </x:row>
    <x:row r="593" ht="36" customHeight="1">
      <x:c r="A593" s="10" t="str">
        <x:v>V-R3</x:v>
      </x:c>
      <x:c r="B593" s="10" t="str">
        <x:v>VOICE</x:v>
      </x:c>
      <x:c r="C593" s="10" t="str">
        <x:v>VOICE:S3-17</x:v>
      </x:c>
      <x:c r="D593" s="10" t="str">
        <x:v>VOICE:M3979</x:v>
      </x:c>
      <x:c r="E593" s="15" t="n">
        <x:v>-54.120000000000005</x:v>
      </x:c>
      <x:c r="F593" s="15" t="str">
        <x:v>preparation</x:v>
      </x:c>
      <x:c r="G593" s="15" t="n">
        <x:v>0</x:v>
      </x:c>
      <x:c r="H593" s="15" t="n">
        <x:v>0</x:v>
      </x:c>
      <x:c r="I593" s="15" t="n">
        <x:v>0</x:v>
      </x:c>
      <x:c r="J593" s="15" t="n">
        <x:v>0</x:v>
      </x:c>
      <x:c r="K593" s="15" t="n">
        <x:v>0</x:v>
      </x:c>
      <x:c r="L593" s="15" t="n">
        <x:v>0</x:v>
      </x:c>
      <x:c r="M593" s="15" t="n">
        <x:v>180</x:v>
      </x:c>
      <x:c r="N593" s="15" t="n">
        <x:v>220</x:v>
      </x:c>
      <x:c r="O593" s="15" t="n">
        <x:v>96</x:v>
      </x:c>
      <x:c r="P593" s="15" t="n">
        <x:v>64</x:v>
      </x:c>
      <x:c r="Q593" s="15" t="n">
        <x:v>32</x:v>
      </x:c>
      <x:c r="R593" s="15" t="n">
        <x:v>60</x:v>
      </x:c>
      <x:c r="S593" s="15" t="n">
        <x:v>560</x:v>
      </x:c>
      <x:c r="T593" s="15" t="n">
        <x:v>420</x:v>
      </x:c>
      <x:c r="U593" s="15" t="n">
        <x:v>170</x:v>
      </x:c>
      <x:c r="V593" s="15" t="n">
        <x:v>180</x:v>
      </x:c>
      <x:c r="W593" s="15" t="n">
        <x:v>0</x:v>
      </x:c>
      <x:c r="X593" s="15" t="n">
        <x:v>680</x:v>
      </x:c>
      <x:c r="Y593" s="15" t="n">
        <x:v>0</x:v>
      </x:c>
      <x:c r="Z593" s="15" t="n">
        <x:v>0</x:v>
      </x:c>
      <x:c r="AA593" s="15" t="n">
        <x:v>0</x:v>
      </x:c>
      <x:c r="AB593" s="15" t="n">
        <x:f>SUM(G593:AA593)</x:f>
        <x:v>2662</x:v>
      </x:c>
    </x:row>
    <x:row r="594" ht="36" customHeight="1">
      <x:c r="A594" s="10" t="str">
        <x:v>V-A</x:v>
      </x:c>
      <x:c r="B594" s="10" t="str">
        <x:v>VOICE</x:v>
      </x:c>
      <x:c r="C594" s="10" t="str">
        <x:v>VOICE:S3-18</x:v>
      </x:c>
      <x:c r="D594" s="10" t="str">
        <x:v>VOICE:M4003</x:v>
      </x:c>
      <x:c r="E594" s="15" t="n">
        <x:v>-60</x:v>
      </x:c>
      <x:c r="F594" s="15" t="str">
        <x:v>preparation</x:v>
      </x:c>
      <x:c r="G594" s="15" t="n">
        <x:v>0</x:v>
      </x:c>
      <x:c r="H594" s="15" t="n">
        <x:v>0</x:v>
      </x:c>
      <x:c r="I594" s="15" t="n">
        <x:v>0</x:v>
      </x:c>
      <x:c r="J594" s="15" t="n">
        <x:v>0</x:v>
      </x:c>
      <x:c r="K594" s="15" t="n">
        <x:v>0</x:v>
      </x:c>
      <x:c r="L594" s="15" t="n">
        <x:v>0</x:v>
      </x:c>
      <x:c r="M594" s="15" t="n">
        <x:v>180</x:v>
      </x:c>
      <x:c r="N594" s="15" t="n">
        <x:v>220</x:v>
      </x:c>
      <x:c r="O594" s="15" t="n">
        <x:v>96</x:v>
      </x:c>
      <x:c r="P594" s="15" t="n">
        <x:v>64</x:v>
      </x:c>
      <x:c r="Q594" s="15" t="n">
        <x:v>32</x:v>
      </x:c>
      <x:c r="R594" s="15" t="n">
        <x:v>0</x:v>
      </x:c>
      <x:c r="S594" s="15" t="n">
        <x:v>0</x:v>
      </x:c>
      <x:c r="T594" s="15" t="n">
        <x:v>0</x:v>
      </x:c>
      <x:c r="U594" s="15" t="n">
        <x:v>0</x:v>
      </x:c>
      <x:c r="V594" s="15" t="n">
        <x:v>0</x:v>
      </x:c>
      <x:c r="W594" s="15" t="n">
        <x:v>0</x:v>
      </x:c>
      <x:c r="X594" s="15" t="n">
        <x:v>0</x:v>
      </x:c>
      <x:c r="Y594" s="15" t="n">
        <x:v>0</x:v>
      </x:c>
      <x:c r="Z594" s="15" t="n">
        <x:v>0</x:v>
      </x:c>
      <x:c r="AA594" s="15" t="n">
        <x:v>0</x:v>
      </x:c>
      <x:c r="AB594" s="15" t="n">
        <x:f>SUM(G594:AA594)</x:f>
        <x:v>592</x:v>
      </x:c>
    </x:row>
    <x:row r="595" ht="36" customHeight="1">
      <x:c r="A595" s="10" t="str">
        <x:v>V-R1</x:v>
      </x:c>
      <x:c r="B595" s="10" t="str">
        <x:v>VOICE</x:v>
      </x:c>
      <x:c r="C595" s="10" t="str">
        <x:v>VOICE:S3-18</x:v>
      </x:c>
      <x:c r="D595" s="10" t="str">
        <x:v>VOICE:M4035</x:v>
      </x:c>
      <x:c r="E595" s="15" t="n">
        <x:v>-54.27</x:v>
      </x:c>
      <x:c r="F595" s="15" t="str">
        <x:v>preparation</x:v>
      </x:c>
      <x:c r="G595" s="15" t="n">
        <x:v>0</x:v>
      </x:c>
      <x:c r="H595" s="15" t="n">
        <x:v>0</x:v>
      </x:c>
      <x:c r="I595" s="15" t="n">
        <x:v>0</x:v>
      </x:c>
      <x:c r="J595" s="15" t="n">
        <x:v>0</x:v>
      </x:c>
      <x:c r="K595" s="15" t="n">
        <x:v>0</x:v>
      </x:c>
      <x:c r="L595" s="15" t="n">
        <x:v>0</x:v>
      </x:c>
      <x:c r="M595" s="15" t="n">
        <x:v>180</x:v>
      </x:c>
      <x:c r="N595" s="15" t="n">
        <x:v>220</x:v>
      </x:c>
      <x:c r="O595" s="15" t="n">
        <x:v>96</x:v>
      </x:c>
      <x:c r="P595" s="15" t="n">
        <x:v>64</x:v>
      </x:c>
      <x:c r="Q595" s="15" t="n">
        <x:v>24</x:v>
      </x:c>
      <x:c r="R595" s="15" t="n">
        <x:v>60</x:v>
      </x:c>
      <x:c r="S595" s="15" t="n">
        <x:v>280</x:v>
      </x:c>
      <x:c r="T595" s="15" t="n">
        <x:v>0</x:v>
      </x:c>
      <x:c r="U595" s="15" t="n">
        <x:v>170</x:v>
      </x:c>
      <x:c r="V595" s="15" t="n">
        <x:v>180</x:v>
      </x:c>
      <x:c r="W595" s="15" t="n">
        <x:v>0</x:v>
      </x:c>
      <x:c r="X595" s="15" t="n">
        <x:v>680</x:v>
      </x:c>
      <x:c r="Y595" s="15" t="n">
        <x:v>0</x:v>
      </x:c>
      <x:c r="Z595" s="15" t="n">
        <x:v>0</x:v>
      </x:c>
      <x:c r="AA595" s="15" t="n">
        <x:v>0</x:v>
      </x:c>
      <x:c r="AB595" s="15" t="n">
        <x:f>SUM(G595:AA595)</x:f>
        <x:v>1954</x:v>
      </x:c>
    </x:row>
    <x:row r="596" ht="36" customHeight="1">
      <x:c r="A596" s="10" t="str">
        <x:v>V-R2</x:v>
      </x:c>
      <x:c r="B596" s="10" t="str">
        <x:v>VOICE</x:v>
      </x:c>
      <x:c r="C596" s="10" t="str">
        <x:v>VOICE:S3-18</x:v>
      </x:c>
      <x:c r="D596" s="10" t="str">
        <x:v>VOICE:M4069</x:v>
      </x:c>
      <x:c r="E596" s="15" t="n">
        <x:v>-54.42</x:v>
      </x:c>
      <x:c r="F596" s="15" t="str">
        <x:v>preparation</x:v>
      </x:c>
      <x:c r="G596" s="15" t="n">
        <x:v>0</x:v>
      </x:c>
      <x:c r="H596" s="15" t="n">
        <x:v>0</x:v>
      </x:c>
      <x:c r="I596" s="15" t="n">
        <x:v>0</x:v>
      </x:c>
      <x:c r="J596" s="15" t="n">
        <x:v>0</x:v>
      </x:c>
      <x:c r="K596" s="15" t="n">
        <x:v>0</x:v>
      </x:c>
      <x:c r="L596" s="15" t="n">
        <x:v>0</x:v>
      </x:c>
      <x:c r="M596" s="15" t="n">
        <x:v>180</x:v>
      </x:c>
      <x:c r="N596" s="15" t="n">
        <x:v>220</x:v>
      </x:c>
      <x:c r="O596" s="15" t="n">
        <x:v>96</x:v>
      </x:c>
      <x:c r="P596" s="15" t="n">
        <x:v>64</x:v>
      </x:c>
      <x:c r="Q596" s="15" t="n">
        <x:v>24</x:v>
      </x:c>
      <x:c r="R596" s="15" t="n">
        <x:v>60</x:v>
      </x:c>
      <x:c r="S596" s="15" t="n">
        <x:v>280</x:v>
      </x:c>
      <x:c r="T596" s="15" t="n">
        <x:v>420</x:v>
      </x:c>
      <x:c r="U596" s="15" t="n">
        <x:v>170</x:v>
      </x:c>
      <x:c r="V596" s="15" t="n">
        <x:v>180</x:v>
      </x:c>
      <x:c r="W596" s="15" t="n">
        <x:v>0</x:v>
      </x:c>
      <x:c r="X596" s="15" t="n">
        <x:v>680</x:v>
      </x:c>
      <x:c r="Y596" s="15" t="n">
        <x:v>0</x:v>
      </x:c>
      <x:c r="Z596" s="15" t="n">
        <x:v>0</x:v>
      </x:c>
      <x:c r="AA596" s="15" t="n">
        <x:v>0</x:v>
      </x:c>
      <x:c r="AB596" s="15" t="n">
        <x:f>SUM(G596:AA596)</x:f>
        <x:v>2374</x:v>
      </x:c>
    </x:row>
    <x:row r="597" ht="36" customHeight="1">
      <x:c r="A597" s="10" t="str">
        <x:v>V-R3</x:v>
      </x:c>
      <x:c r="B597" s="10" t="str">
        <x:v>VOICE</x:v>
      </x:c>
      <x:c r="C597" s="10" t="str">
        <x:v>VOICE:S3-18</x:v>
      </x:c>
      <x:c r="D597" s="10" t="str">
        <x:v>VOICE:M4098</x:v>
      </x:c>
      <x:c r="E597" s="15" t="n">
        <x:v>-54.120000000000005</x:v>
      </x:c>
      <x:c r="F597" s="15" t="str">
        <x:v>preparation</x:v>
      </x:c>
      <x:c r="G597" s="15" t="n">
        <x:v>0</x:v>
      </x:c>
      <x:c r="H597" s="15" t="n">
        <x:v>0</x:v>
      </x:c>
      <x:c r="I597" s="15" t="n">
        <x:v>0</x:v>
      </x:c>
      <x:c r="J597" s="15" t="n">
        <x:v>0</x:v>
      </x:c>
      <x:c r="K597" s="15" t="n">
        <x:v>0</x:v>
      </x:c>
      <x:c r="L597" s="15" t="n">
        <x:v>0</x:v>
      </x:c>
      <x:c r="M597" s="15" t="n">
        <x:v>180</x:v>
      </x:c>
      <x:c r="N597" s="15" t="n">
        <x:v>220</x:v>
      </x:c>
      <x:c r="O597" s="15" t="n">
        <x:v>96</x:v>
      </x:c>
      <x:c r="P597" s="15" t="n">
        <x:v>64</x:v>
      </x:c>
      <x:c r="Q597" s="15" t="n">
        <x:v>32</x:v>
      </x:c>
      <x:c r="R597" s="15" t="n">
        <x:v>60</x:v>
      </x:c>
      <x:c r="S597" s="15" t="n">
        <x:v>560</x:v>
      </x:c>
      <x:c r="T597" s="15" t="n">
        <x:v>420</x:v>
      </x:c>
      <x:c r="U597" s="15" t="n">
        <x:v>170</x:v>
      </x:c>
      <x:c r="V597" s="15" t="n">
        <x:v>180</x:v>
      </x:c>
      <x:c r="W597" s="15" t="n">
        <x:v>0</x:v>
      </x:c>
      <x:c r="X597" s="15" t="n">
        <x:v>680</x:v>
      </x:c>
      <x:c r="Y597" s="15" t="n">
        <x:v>0</x:v>
      </x:c>
      <x:c r="Z597" s="15" t="n">
        <x:v>0</x:v>
      </x:c>
      <x:c r="AA597" s="15" t="n">
        <x:v>0</x:v>
      </x:c>
      <x:c r="AB597" s="15" t="n">
        <x:f>SUM(G597:AA597)</x:f>
        <x:v>2662</x:v>
      </x:c>
    </x:row>
    <x:row r="598" ht="36" customHeight="1">
      <x:c r="A598" s="10" t="str">
        <x:v>V-A</x:v>
      </x:c>
      <x:c r="B598" s="10" t="str">
        <x:v>VOICE</x:v>
      </x:c>
      <x:c r="C598" s="10" t="str">
        <x:v>VOICE:S3-19</x:v>
      </x:c>
      <x:c r="D598" s="10" t="str">
        <x:v>VOICE:M4122</x:v>
      </x:c>
      <x:c r="E598" s="15" t="n">
        <x:v>-60</x:v>
      </x:c>
      <x:c r="F598" s="15" t="str">
        <x:v>preparation</x:v>
      </x:c>
      <x:c r="G598" s="15" t="n">
        <x:v>0</x:v>
      </x:c>
      <x:c r="H598" s="15" t="n">
        <x:v>0</x:v>
      </x:c>
      <x:c r="I598" s="15" t="n">
        <x:v>0</x:v>
      </x:c>
      <x:c r="J598" s="15" t="n">
        <x:v>0</x:v>
      </x:c>
      <x:c r="K598" s="15" t="n">
        <x:v>0</x:v>
      </x:c>
      <x:c r="L598" s="15" t="n">
        <x:v>0</x:v>
      </x:c>
      <x:c r="M598" s="15" t="n">
        <x:v>180</x:v>
      </x:c>
      <x:c r="N598" s="15" t="n">
        <x:v>220</x:v>
      </x:c>
      <x:c r="O598" s="15" t="n">
        <x:v>96</x:v>
      </x:c>
      <x:c r="P598" s="15" t="n">
        <x:v>64</x:v>
      </x:c>
      <x:c r="Q598" s="15" t="n">
        <x:v>32</x:v>
      </x:c>
      <x:c r="R598" s="15" t="n">
        <x:v>0</x:v>
      </x:c>
      <x:c r="S598" s="15" t="n">
        <x:v>0</x:v>
      </x:c>
      <x:c r="T598" s="15" t="n">
        <x:v>0</x:v>
      </x:c>
      <x:c r="U598" s="15" t="n">
        <x:v>0</x:v>
      </x:c>
      <x:c r="V598" s="15" t="n">
        <x:v>0</x:v>
      </x:c>
      <x:c r="W598" s="15" t="n">
        <x:v>0</x:v>
      </x:c>
      <x:c r="X598" s="15" t="n">
        <x:v>0</x:v>
      </x:c>
      <x:c r="Y598" s="15" t="n">
        <x:v>0</x:v>
      </x:c>
      <x:c r="Z598" s="15" t="n">
        <x:v>0</x:v>
      </x:c>
      <x:c r="AA598" s="15" t="n">
        <x:v>0</x:v>
      </x:c>
      <x:c r="AB598" s="15" t="n">
        <x:f>SUM(G598:AA598)</x:f>
        <x:v>592</x:v>
      </x:c>
    </x:row>
    <x:row r="599" ht="36" customHeight="1">
      <x:c r="A599" s="10" t="str">
        <x:v>V-R1</x:v>
      </x:c>
      <x:c r="B599" s="10" t="str">
        <x:v>VOICE</x:v>
      </x:c>
      <x:c r="C599" s="10" t="str">
        <x:v>VOICE:S3-19</x:v>
      </x:c>
      <x:c r="D599" s="10" t="str">
        <x:v>VOICE:M4154</x:v>
      </x:c>
      <x:c r="E599" s="15" t="n">
        <x:v>-54.27</x:v>
      </x:c>
      <x:c r="F599" s="15" t="str">
        <x:v>preparation</x:v>
      </x:c>
      <x:c r="G599" s="15" t="n">
        <x:v>0</x:v>
      </x:c>
      <x:c r="H599" s="15" t="n">
        <x:v>0</x:v>
      </x:c>
      <x:c r="I599" s="15" t="n">
        <x:v>0</x:v>
      </x:c>
      <x:c r="J599" s="15" t="n">
        <x:v>0</x:v>
      </x:c>
      <x:c r="K599" s="15" t="n">
        <x:v>0</x:v>
      </x:c>
      <x:c r="L599" s="15" t="n">
        <x:v>0</x:v>
      </x:c>
      <x:c r="M599" s="15" t="n">
        <x:v>180</x:v>
      </x:c>
      <x:c r="N599" s="15" t="n">
        <x:v>220</x:v>
      </x:c>
      <x:c r="O599" s="15" t="n">
        <x:v>96</x:v>
      </x:c>
      <x:c r="P599" s="15" t="n">
        <x:v>64</x:v>
      </x:c>
      <x:c r="Q599" s="15" t="n">
        <x:v>24</x:v>
      </x:c>
      <x:c r="R599" s="15" t="n">
        <x:v>60</x:v>
      </x:c>
      <x:c r="S599" s="15" t="n">
        <x:v>280</x:v>
      </x:c>
      <x:c r="T599" s="15" t="n">
        <x:v>0</x:v>
      </x:c>
      <x:c r="U599" s="15" t="n">
        <x:v>170</x:v>
      </x:c>
      <x:c r="V599" s="15" t="n">
        <x:v>180</x:v>
      </x:c>
      <x:c r="W599" s="15" t="n">
        <x:v>0</x:v>
      </x:c>
      <x:c r="X599" s="15" t="n">
        <x:v>680</x:v>
      </x:c>
      <x:c r="Y599" s="15" t="n">
        <x:v>0</x:v>
      </x:c>
      <x:c r="Z599" s="15" t="n">
        <x:v>0</x:v>
      </x:c>
      <x:c r="AA599" s="15" t="n">
        <x:v>0</x:v>
      </x:c>
      <x:c r="AB599" s="15" t="n">
        <x:f>SUM(G599:AA599)</x:f>
        <x:v>1954</x:v>
      </x:c>
    </x:row>
    <x:row r="600" ht="36" customHeight="1">
      <x:c r="A600" s="10" t="str">
        <x:v>V-R2</x:v>
      </x:c>
      <x:c r="B600" s="10" t="str">
        <x:v>VOICE</x:v>
      </x:c>
      <x:c r="C600" s="10" t="str">
        <x:v>VOICE:S3-19</x:v>
      </x:c>
      <x:c r="D600" s="10" t="str">
        <x:v>VOICE:M4188</x:v>
      </x:c>
      <x:c r="E600" s="15" t="n">
        <x:v>-54.42</x:v>
      </x:c>
      <x:c r="F600" s="15" t="str">
        <x:v>preparation</x:v>
      </x:c>
      <x:c r="G600" s="15" t="n">
        <x:v>0</x:v>
      </x:c>
      <x:c r="H600" s="15" t="n">
        <x:v>0</x:v>
      </x:c>
      <x:c r="I600" s="15" t="n">
        <x:v>0</x:v>
      </x:c>
      <x:c r="J600" s="15" t="n">
        <x:v>0</x:v>
      </x:c>
      <x:c r="K600" s="15" t="n">
        <x:v>0</x:v>
      </x:c>
      <x:c r="L600" s="15" t="n">
        <x:v>0</x:v>
      </x:c>
      <x:c r="M600" s="15" t="n">
        <x:v>180</x:v>
      </x:c>
      <x:c r="N600" s="15" t="n">
        <x:v>220</x:v>
      </x:c>
      <x:c r="O600" s="15" t="n">
        <x:v>96</x:v>
      </x:c>
      <x:c r="P600" s="15" t="n">
        <x:v>64</x:v>
      </x:c>
      <x:c r="Q600" s="15" t="n">
        <x:v>24</x:v>
      </x:c>
      <x:c r="R600" s="15" t="n">
        <x:v>60</x:v>
      </x:c>
      <x:c r="S600" s="15" t="n">
        <x:v>280</x:v>
      </x:c>
      <x:c r="T600" s="15" t="n">
        <x:v>420</x:v>
      </x:c>
      <x:c r="U600" s="15" t="n">
        <x:v>170</x:v>
      </x:c>
      <x:c r="V600" s="15" t="n">
        <x:v>180</x:v>
      </x:c>
      <x:c r="W600" s="15" t="n">
        <x:v>0</x:v>
      </x:c>
      <x:c r="X600" s="15" t="n">
        <x:v>680</x:v>
      </x:c>
      <x:c r="Y600" s="15" t="n">
        <x:v>0</x:v>
      </x:c>
      <x:c r="Z600" s="15" t="n">
        <x:v>0</x:v>
      </x:c>
      <x:c r="AA600" s="15" t="n">
        <x:v>0</x:v>
      </x:c>
      <x:c r="AB600" s="15" t="n">
        <x:f>SUM(G600:AA600)</x:f>
        <x:v>2374</x:v>
      </x:c>
    </x:row>
    <x:row r="601" ht="36" customHeight="1">
      <x:c r="A601" s="10" t="str">
        <x:v>V-R3</x:v>
      </x:c>
      <x:c r="B601" s="10" t="str">
        <x:v>VOICE</x:v>
      </x:c>
      <x:c r="C601" s="10" t="str">
        <x:v>VOICE:S3-19</x:v>
      </x:c>
      <x:c r="D601" s="10" t="str">
        <x:v>VOICE:M4217</x:v>
      </x:c>
      <x:c r="E601" s="15" t="n">
        <x:v>-54.120000000000005</x:v>
      </x:c>
      <x:c r="F601" s="15" t="str">
        <x:v>preparation</x:v>
      </x:c>
      <x:c r="G601" s="15" t="n">
        <x:v>0</x:v>
      </x:c>
      <x:c r="H601" s="15" t="n">
        <x:v>0</x:v>
      </x:c>
      <x:c r="I601" s="15" t="n">
        <x:v>0</x:v>
      </x:c>
      <x:c r="J601" s="15" t="n">
        <x:v>0</x:v>
      </x:c>
      <x:c r="K601" s="15" t="n">
        <x:v>0</x:v>
      </x:c>
      <x:c r="L601" s="15" t="n">
        <x:v>0</x:v>
      </x:c>
      <x:c r="M601" s="15" t="n">
        <x:v>180</x:v>
      </x:c>
      <x:c r="N601" s="15" t="n">
        <x:v>220</x:v>
      </x:c>
      <x:c r="O601" s="15" t="n">
        <x:v>96</x:v>
      </x:c>
      <x:c r="P601" s="15" t="n">
        <x:v>64</x:v>
      </x:c>
      <x:c r="Q601" s="15" t="n">
        <x:v>32</x:v>
      </x:c>
      <x:c r="R601" s="15" t="n">
        <x:v>60</x:v>
      </x:c>
      <x:c r="S601" s="15" t="n">
        <x:v>560</x:v>
      </x:c>
      <x:c r="T601" s="15" t="n">
        <x:v>420</x:v>
      </x:c>
      <x:c r="U601" s="15" t="n">
        <x:v>170</x:v>
      </x:c>
      <x:c r="V601" s="15" t="n">
        <x:v>180</x:v>
      </x:c>
      <x:c r="W601" s="15" t="n">
        <x:v>0</x:v>
      </x:c>
      <x:c r="X601" s="15" t="n">
        <x:v>680</x:v>
      </x:c>
      <x:c r="Y601" s="15" t="n">
        <x:v>0</x:v>
      </x:c>
      <x:c r="Z601" s="15" t="n">
        <x:v>0</x:v>
      </x:c>
      <x:c r="AA601" s="15" t="n">
        <x:v>0</x:v>
      </x:c>
      <x:c r="AB601" s="15" t="n">
        <x:f>SUM(G601:AA601)</x:f>
        <x:v>2662</x:v>
      </x:c>
    </x:row>
    <x:row r="602" ht="36" customHeight="1">
      <x:c r="A602" s="10" t="str">
        <x:v>V-A</x:v>
      </x:c>
      <x:c r="B602" s="10" t="str">
        <x:v>VOICE</x:v>
      </x:c>
      <x:c r="C602" s="10" t="str">
        <x:v>VOICE:S3-20</x:v>
      </x:c>
      <x:c r="D602" s="10" t="str">
        <x:v>VOICE:M4241</x:v>
      </x:c>
      <x:c r="E602" s="15" t="n">
        <x:v>-60</x:v>
      </x:c>
      <x:c r="F602" s="15" t="str">
        <x:v>preparation</x:v>
      </x:c>
      <x:c r="G602" s="15" t="n">
        <x:v>0</x:v>
      </x:c>
      <x:c r="H602" s="15" t="n">
        <x:v>0</x:v>
      </x:c>
      <x:c r="I602" s="15" t="n">
        <x:v>0</x:v>
      </x:c>
      <x:c r="J602" s="15" t="n">
        <x:v>0</x:v>
      </x:c>
      <x:c r="K602" s="15" t="n">
        <x:v>0</x:v>
      </x:c>
      <x:c r="L602" s="15" t="n">
        <x:v>0</x:v>
      </x:c>
      <x:c r="M602" s="15" t="n">
        <x:v>180</x:v>
      </x:c>
      <x:c r="N602" s="15" t="n">
        <x:v>220</x:v>
      </x:c>
      <x:c r="O602" s="15" t="n">
        <x:v>96</x:v>
      </x:c>
      <x:c r="P602" s="15" t="n">
        <x:v>64</x:v>
      </x:c>
      <x:c r="Q602" s="15" t="n">
        <x:v>32</x:v>
      </x:c>
      <x:c r="R602" s="15" t="n">
        <x:v>0</x:v>
      </x:c>
      <x:c r="S602" s="15" t="n">
        <x:v>0</x:v>
      </x:c>
      <x:c r="T602" s="15" t="n">
        <x:v>0</x:v>
      </x:c>
      <x:c r="U602" s="15" t="n">
        <x:v>0</x:v>
      </x:c>
      <x:c r="V602" s="15" t="n">
        <x:v>0</x:v>
      </x:c>
      <x:c r="W602" s="15" t="n">
        <x:v>0</x:v>
      </x:c>
      <x:c r="X602" s="15" t="n">
        <x:v>0</x:v>
      </x:c>
      <x:c r="Y602" s="15" t="n">
        <x:v>0</x:v>
      </x:c>
      <x:c r="Z602" s="15" t="n">
        <x:v>0</x:v>
      </x:c>
      <x:c r="AA602" s="15" t="n">
        <x:v>0</x:v>
      </x:c>
      <x:c r="AB602" s="15" t="n">
        <x:f>SUM(G602:AA602)</x:f>
        <x:v>592</x:v>
      </x:c>
    </x:row>
    <x:row r="603" ht="36" customHeight="1">
      <x:c r="A603" s="10" t="str">
        <x:v>V-R1</x:v>
      </x:c>
      <x:c r="B603" s="10" t="str">
        <x:v>VOICE</x:v>
      </x:c>
      <x:c r="C603" s="10" t="str">
        <x:v>VOICE:S3-20</x:v>
      </x:c>
      <x:c r="D603" s="10" t="str">
        <x:v>VOICE:M4273</x:v>
      </x:c>
      <x:c r="E603" s="15" t="n">
        <x:v>-54.27</x:v>
      </x:c>
      <x:c r="F603" s="15" t="str">
        <x:v>preparation</x:v>
      </x:c>
      <x:c r="G603" s="15" t="n">
        <x:v>0</x:v>
      </x:c>
      <x:c r="H603" s="15" t="n">
        <x:v>0</x:v>
      </x:c>
      <x:c r="I603" s="15" t="n">
        <x:v>0</x:v>
      </x:c>
      <x:c r="J603" s="15" t="n">
        <x:v>0</x:v>
      </x:c>
      <x:c r="K603" s="15" t="n">
        <x:v>0</x:v>
      </x:c>
      <x:c r="L603" s="15" t="n">
        <x:v>0</x:v>
      </x:c>
      <x:c r="M603" s="15" t="n">
        <x:v>180</x:v>
      </x:c>
      <x:c r="N603" s="15" t="n">
        <x:v>220</x:v>
      </x:c>
      <x:c r="O603" s="15" t="n">
        <x:v>96</x:v>
      </x:c>
      <x:c r="P603" s="15" t="n">
        <x:v>64</x:v>
      </x:c>
      <x:c r="Q603" s="15" t="n">
        <x:v>24</x:v>
      </x:c>
      <x:c r="R603" s="15" t="n">
        <x:v>60</x:v>
      </x:c>
      <x:c r="S603" s="15" t="n">
        <x:v>280</x:v>
      </x:c>
      <x:c r="T603" s="15" t="n">
        <x:v>0</x:v>
      </x:c>
      <x:c r="U603" s="15" t="n">
        <x:v>170</x:v>
      </x:c>
      <x:c r="V603" s="15" t="n">
        <x:v>180</x:v>
      </x:c>
      <x:c r="W603" s="15" t="n">
        <x:v>0</x:v>
      </x:c>
      <x:c r="X603" s="15" t="n">
        <x:v>680</x:v>
      </x:c>
      <x:c r="Y603" s="15" t="n">
        <x:v>0</x:v>
      </x:c>
      <x:c r="Z603" s="15" t="n">
        <x:v>0</x:v>
      </x:c>
      <x:c r="AA603" s="15" t="n">
        <x:v>0</x:v>
      </x:c>
      <x:c r="AB603" s="15" t="n">
        <x:f>SUM(G603:AA603)</x:f>
        <x:v>1954</x:v>
      </x:c>
    </x:row>
    <x:row r="604" ht="36" customHeight="1">
      <x:c r="A604" s="10" t="str">
        <x:v>V-R2</x:v>
      </x:c>
      <x:c r="B604" s="10" t="str">
        <x:v>VOICE</x:v>
      </x:c>
      <x:c r="C604" s="10" t="str">
        <x:v>VOICE:S3-20</x:v>
      </x:c>
      <x:c r="D604" s="10" t="str">
        <x:v>VOICE:M4307</x:v>
      </x:c>
      <x:c r="E604" s="15" t="n">
        <x:v>-54.42</x:v>
      </x:c>
      <x:c r="F604" s="15" t="str">
        <x:v>preparation</x:v>
      </x:c>
      <x:c r="G604" s="15" t="n">
        <x:v>0</x:v>
      </x:c>
      <x:c r="H604" s="15" t="n">
        <x:v>0</x:v>
      </x:c>
      <x:c r="I604" s="15" t="n">
        <x:v>0</x:v>
      </x:c>
      <x:c r="J604" s="15" t="n">
        <x:v>0</x:v>
      </x:c>
      <x:c r="K604" s="15" t="n">
        <x:v>0</x:v>
      </x:c>
      <x:c r="L604" s="15" t="n">
        <x:v>0</x:v>
      </x:c>
      <x:c r="M604" s="15" t="n">
        <x:v>180</x:v>
      </x:c>
      <x:c r="N604" s="15" t="n">
        <x:v>220</x:v>
      </x:c>
      <x:c r="O604" s="15" t="n">
        <x:v>96</x:v>
      </x:c>
      <x:c r="P604" s="15" t="n">
        <x:v>64</x:v>
      </x:c>
      <x:c r="Q604" s="15" t="n">
        <x:v>24</x:v>
      </x:c>
      <x:c r="R604" s="15" t="n">
        <x:v>60</x:v>
      </x:c>
      <x:c r="S604" s="15" t="n">
        <x:v>280</x:v>
      </x:c>
      <x:c r="T604" s="15" t="n">
        <x:v>420</x:v>
      </x:c>
      <x:c r="U604" s="15" t="n">
        <x:v>170</x:v>
      </x:c>
      <x:c r="V604" s="15" t="n">
        <x:v>180</x:v>
      </x:c>
      <x:c r="W604" s="15" t="n">
        <x:v>0</x:v>
      </x:c>
      <x:c r="X604" s="15" t="n">
        <x:v>680</x:v>
      </x:c>
      <x:c r="Y604" s="15" t="n">
        <x:v>0</x:v>
      </x:c>
      <x:c r="Z604" s="15" t="n">
        <x:v>0</x:v>
      </x:c>
      <x:c r="AA604" s="15" t="n">
        <x:v>0</x:v>
      </x:c>
      <x:c r="AB604" s="15" t="n">
        <x:f>SUM(G604:AA604)</x:f>
        <x:v>2374</x:v>
      </x:c>
    </x:row>
    <x:row r="605" ht="36" customHeight="1">
      <x:c r="A605" s="10" t="str">
        <x:v>V-R3</x:v>
      </x:c>
      <x:c r="B605" s="10" t="str">
        <x:v>VOICE</x:v>
      </x:c>
      <x:c r="C605" s="10" t="str">
        <x:v>VOICE:S3-20</x:v>
      </x:c>
      <x:c r="D605" s="10" t="str">
        <x:v>VOICE:M4336</x:v>
      </x:c>
      <x:c r="E605" s="15" t="n">
        <x:v>-54.120000000000005</x:v>
      </x:c>
      <x:c r="F605" s="15" t="str">
        <x:v>preparation</x:v>
      </x:c>
      <x:c r="G605" s="15" t="n">
        <x:v>0</x:v>
      </x:c>
      <x:c r="H605" s="15" t="n">
        <x:v>0</x:v>
      </x:c>
      <x:c r="I605" s="15" t="n">
        <x:v>0</x:v>
      </x:c>
      <x:c r="J605" s="15" t="n">
        <x:v>0</x:v>
      </x:c>
      <x:c r="K605" s="15" t="n">
        <x:v>0</x:v>
      </x:c>
      <x:c r="L605" s="15" t="n">
        <x:v>0</x:v>
      </x:c>
      <x:c r="M605" s="15" t="n">
        <x:v>180</x:v>
      </x:c>
      <x:c r="N605" s="15" t="n">
        <x:v>220</x:v>
      </x:c>
      <x:c r="O605" s="15" t="n">
        <x:v>96</x:v>
      </x:c>
      <x:c r="P605" s="15" t="n">
        <x:v>64</x:v>
      </x:c>
      <x:c r="Q605" s="15" t="n">
        <x:v>32</x:v>
      </x:c>
      <x:c r="R605" s="15" t="n">
        <x:v>60</x:v>
      </x:c>
      <x:c r="S605" s="15" t="n">
        <x:v>560</x:v>
      </x:c>
      <x:c r="T605" s="15" t="n">
        <x:v>420</x:v>
      </x:c>
      <x:c r="U605" s="15" t="n">
        <x:v>170</x:v>
      </x:c>
      <x:c r="V605" s="15" t="n">
        <x:v>180</x:v>
      </x:c>
      <x:c r="W605" s="15" t="n">
        <x:v>0</x:v>
      </x:c>
      <x:c r="X605" s="15" t="n">
        <x:v>680</x:v>
      </x:c>
      <x:c r="Y605" s="15" t="n">
        <x:v>0</x:v>
      </x:c>
      <x:c r="Z605" s="15" t="n">
        <x:v>0</x:v>
      </x:c>
      <x:c r="AA605" s="15" t="n">
        <x:v>0</x:v>
      </x:c>
      <x:c r="AB605" s="15" t="n">
        <x:f>SUM(G605:AA605)</x:f>
        <x:v>2662</x:v>
      </x:c>
    </x:row>
    <x:row r="606" ht="36" customHeight="1">
      <x:c r="A606" s="10" t="str">
        <x:v>V-A</x:v>
      </x:c>
      <x:c r="B606" s="10" t="str">
        <x:v>VOICE</x:v>
      </x:c>
      <x:c r="C606" s="10" t="str">
        <x:v>VOICE:S4-01</x:v>
      </x:c>
      <x:c r="D606" s="10" t="str">
        <x:v>VOICE:M4360</x:v>
      </x:c>
      <x:c r="E606" s="15" t="n">
        <x:v>-60</x:v>
      </x:c>
      <x:c r="F606" s="15" t="str">
        <x:v>preparation</x:v>
      </x:c>
      <x:c r="G606" s="15" t="n">
        <x:v>0</x:v>
      </x:c>
      <x:c r="H606" s="15" t="n">
        <x:v>0</x:v>
      </x:c>
      <x:c r="I606" s="15" t="n">
        <x:v>0</x:v>
      </x:c>
      <x:c r="J606" s="15" t="n">
        <x:v>0</x:v>
      </x:c>
      <x:c r="K606" s="15" t="n">
        <x:v>0</x:v>
      </x:c>
      <x:c r="L606" s="15" t="n">
        <x:v>0</x:v>
      </x:c>
      <x:c r="M606" s="15" t="n">
        <x:v>180</x:v>
      </x:c>
      <x:c r="N606" s="15" t="n">
        <x:v>220</x:v>
      </x:c>
      <x:c r="O606" s="15" t="n">
        <x:v>96</x:v>
      </x:c>
      <x:c r="P606" s="15" t="n">
        <x:v>64</x:v>
      </x:c>
      <x:c r="Q606" s="15" t="n">
        <x:v>32</x:v>
      </x:c>
      <x:c r="R606" s="15" t="n">
        <x:v>0</x:v>
      </x:c>
      <x:c r="S606" s="15" t="n">
        <x:v>0</x:v>
      </x:c>
      <x:c r="T606" s="15" t="n">
        <x:v>0</x:v>
      </x:c>
      <x:c r="U606" s="15" t="n">
        <x:v>0</x:v>
      </x:c>
      <x:c r="V606" s="15" t="n">
        <x:v>0</x:v>
      </x:c>
      <x:c r="W606" s="15" t="n">
        <x:v>0</x:v>
      </x:c>
      <x:c r="X606" s="15" t="n">
        <x:v>0</x:v>
      </x:c>
      <x:c r="Y606" s="15" t="n">
        <x:v>0</x:v>
      </x:c>
      <x:c r="Z606" s="15" t="n">
        <x:v>0</x:v>
      </x:c>
      <x:c r="AA606" s="15" t="n">
        <x:v>0</x:v>
      </x:c>
      <x:c r="AB606" s="15" t="n">
        <x:f>SUM(G606:AA606)</x:f>
        <x:v>592</x:v>
      </x:c>
    </x:row>
    <x:row r="607" ht="36" customHeight="1">
      <x:c r="A607" s="10" t="str">
        <x:v>V-R1</x:v>
      </x:c>
      <x:c r="B607" s="10" t="str">
        <x:v>VOICE</x:v>
      </x:c>
      <x:c r="C607" s="10" t="str">
        <x:v>VOICE:S4-01</x:v>
      </x:c>
      <x:c r="D607" s="10" t="str">
        <x:v>VOICE:M4386</x:v>
      </x:c>
      <x:c r="E607" s="15" t="n">
        <x:v>-57.77</x:v>
      </x:c>
      <x:c r="F607" s="15" t="str">
        <x:v>preparation</x:v>
      </x:c>
      <x:c r="G607" s="15" t="n">
        <x:v>0</x:v>
      </x:c>
      <x:c r="H607" s="15" t="n">
        <x:v>0</x:v>
      </x:c>
      <x:c r="I607" s="15" t="n">
        <x:v>0</x:v>
      </x:c>
      <x:c r="J607" s="15" t="n">
        <x:v>0</x:v>
      </x:c>
      <x:c r="K607" s="15" t="n">
        <x:v>0</x:v>
      </x:c>
      <x:c r="L607" s="15" t="n">
        <x:v>0</x:v>
      </x:c>
      <x:c r="M607" s="15" t="n">
        <x:v>180</x:v>
      </x:c>
      <x:c r="N607" s="15" t="n">
        <x:v>220</x:v>
      </x:c>
      <x:c r="O607" s="15" t="n">
        <x:v>96</x:v>
      </x:c>
      <x:c r="P607" s="15" t="n">
        <x:v>64</x:v>
      </x:c>
      <x:c r="Q607" s="15" t="n">
        <x:v>24</x:v>
      </x:c>
      <x:c r="R607" s="15" t="n">
        <x:v>60</x:v>
      </x:c>
      <x:c r="S607" s="15" t="n">
        <x:v>280</x:v>
      </x:c>
      <x:c r="T607" s="15" t="n">
        <x:v>420</x:v>
      </x:c>
      <x:c r="U607" s="15" t="n">
        <x:v>0</x:v>
      </x:c>
      <x:c r="V607" s="15" t="n">
        <x:v>180</x:v>
      </x:c>
      <x:c r="W607" s="15" t="n">
        <x:v>380</x:v>
      </x:c>
      <x:c r="X607" s="15" t="n">
        <x:v>0</x:v>
      </x:c>
      <x:c r="Y607" s="15" t="n">
        <x:v>0</x:v>
      </x:c>
      <x:c r="Z607" s="15" t="n">
        <x:v>0</x:v>
      </x:c>
      <x:c r="AA607" s="15" t="n">
        <x:v>0</x:v>
      </x:c>
      <x:c r="AB607" s="15" t="n">
        <x:f>SUM(G607:AA607)</x:f>
        <x:v>1904</x:v>
      </x:c>
    </x:row>
    <x:row r="608" ht="36" customHeight="1">
      <x:c r="A608" s="10" t="str">
        <x:v>V-R2</x:v>
      </x:c>
      <x:c r="B608" s="10" t="str">
        <x:v>VOICE</x:v>
      </x:c>
      <x:c r="C608" s="10" t="str">
        <x:v>VOICE:S4-01</x:v>
      </x:c>
      <x:c r="D608" s="10" t="str">
        <x:v>VOICE:M4415</x:v>
      </x:c>
      <x:c r="E608" s="15" t="n">
        <x:v>-57.77</x:v>
      </x:c>
      <x:c r="F608" s="15" t="str">
        <x:v>preparation</x:v>
      </x:c>
      <x:c r="G608" s="15" t="n">
        <x:v>0</x:v>
      </x:c>
      <x:c r="H608" s="15" t="n">
        <x:v>0</x:v>
      </x:c>
      <x:c r="I608" s="15" t="n">
        <x:v>0</x:v>
      </x:c>
      <x:c r="J608" s="15" t="n">
        <x:v>0</x:v>
      </x:c>
      <x:c r="K608" s="15" t="n">
        <x:v>0</x:v>
      </x:c>
      <x:c r="L608" s="15" t="n">
        <x:v>0</x:v>
      </x:c>
      <x:c r="M608" s="15" t="n">
        <x:v>180</x:v>
      </x:c>
      <x:c r="N608" s="15" t="n">
        <x:v>220</x:v>
      </x:c>
      <x:c r="O608" s="15" t="n">
        <x:v>96</x:v>
      </x:c>
      <x:c r="P608" s="15" t="n">
        <x:v>64</x:v>
      </x:c>
      <x:c r="Q608" s="15" t="n">
        <x:v>24</x:v>
      </x:c>
      <x:c r="R608" s="15" t="n">
        <x:v>60</x:v>
      </x:c>
      <x:c r="S608" s="15" t="n">
        <x:v>280</x:v>
      </x:c>
      <x:c r="T608" s="15" t="n">
        <x:v>420</x:v>
      </x:c>
      <x:c r="U608" s="15" t="n">
        <x:v>0</x:v>
      </x:c>
      <x:c r="V608" s="15" t="n">
        <x:v>180</x:v>
      </x:c>
      <x:c r="W608" s="15" t="n">
        <x:v>380</x:v>
      </x:c>
      <x:c r="X608" s="15" t="n">
        <x:v>0</x:v>
      </x:c>
      <x:c r="Y608" s="15" t="n">
        <x:v>0</x:v>
      </x:c>
      <x:c r="Z608" s="15" t="n">
        <x:v>0</x:v>
      </x:c>
      <x:c r="AA608" s="15" t="n">
        <x:v>0</x:v>
      </x:c>
      <x:c r="AB608" s="15" t="n">
        <x:f>SUM(G608:AA608)</x:f>
        <x:v>1904</x:v>
      </x:c>
    </x:row>
    <x:row r="609" ht="36" customHeight="1">
      <x:c r="A609" s="10" t="str">
        <x:v>V-R3</x:v>
      </x:c>
      <x:c r="B609" s="10" t="str">
        <x:v>VOICE</x:v>
      </x:c>
      <x:c r="C609" s="10" t="str">
        <x:v>VOICE:S4-01</x:v>
      </x:c>
      <x:c r="D609" s="10" t="str">
        <x:v>VOICE:M4441</x:v>
      </x:c>
      <x:c r="E609" s="15" t="n">
        <x:v>-57.77</x:v>
      </x:c>
      <x:c r="F609" s="15" t="str">
        <x:v>preparation</x:v>
      </x:c>
      <x:c r="G609" s="15" t="n">
        <x:v>0</x:v>
      </x:c>
      <x:c r="H609" s="15" t="n">
        <x:v>0</x:v>
      </x:c>
      <x:c r="I609" s="15" t="n">
        <x:v>0</x:v>
      </x:c>
      <x:c r="J609" s="15" t="n">
        <x:v>0</x:v>
      </x:c>
      <x:c r="K609" s="15" t="n">
        <x:v>0</x:v>
      </x:c>
      <x:c r="L609" s="15" t="n">
        <x:v>0</x:v>
      </x:c>
      <x:c r="M609" s="15" t="n">
        <x:v>180</x:v>
      </x:c>
      <x:c r="N609" s="15" t="n">
        <x:v>220</x:v>
      </x:c>
      <x:c r="O609" s="15" t="n">
        <x:v>96</x:v>
      </x:c>
      <x:c r="P609" s="15" t="n">
        <x:v>64</x:v>
      </x:c>
      <x:c r="Q609" s="15" t="n">
        <x:v>32</x:v>
      </x:c>
      <x:c r="R609" s="15" t="n">
        <x:v>60</x:v>
      </x:c>
      <x:c r="S609" s="15" t="n">
        <x:v>280</x:v>
      </x:c>
      <x:c r="T609" s="15" t="n">
        <x:v>420</x:v>
      </x:c>
      <x:c r="U609" s="15" t="n">
        <x:v>0</x:v>
      </x:c>
      <x:c r="V609" s="15" t="n">
        <x:v>180</x:v>
      </x:c>
      <x:c r="W609" s="15" t="n">
        <x:v>380</x:v>
      </x:c>
      <x:c r="X609" s="15" t="n">
        <x:v>0</x:v>
      </x:c>
      <x:c r="Y609" s="15" t="n">
        <x:v>0</x:v>
      </x:c>
      <x:c r="Z609" s="15" t="n">
        <x:v>0</x:v>
      </x:c>
      <x:c r="AA609" s="15" t="n">
        <x:v>0</x:v>
      </x:c>
      <x:c r="AB609" s="15" t="n">
        <x:f>SUM(G609:AA609)</x:f>
        <x:v>1912</x:v>
      </x:c>
    </x:row>
    <x:row r="610" ht="36" customHeight="1">
      <x:c r="A610" s="10" t="str">
        <x:v>V-A</x:v>
      </x:c>
      <x:c r="B610" s="10" t="str">
        <x:v>VOICE</x:v>
      </x:c>
      <x:c r="C610" s="10" t="str">
        <x:v>VOICE:S4-02</x:v>
      </x:c>
      <x:c r="D610" s="10" t="str">
        <x:v>VOICE:M4465</x:v>
      </x:c>
      <x:c r="E610" s="15" t="n">
        <x:v>-60</x:v>
      </x:c>
      <x:c r="F610" s="15" t="str">
        <x:v>preparation</x:v>
      </x:c>
      <x:c r="G610" s="15" t="n">
        <x:v>0</x:v>
      </x:c>
      <x:c r="H610" s="15" t="n">
        <x:v>0</x:v>
      </x:c>
      <x:c r="I610" s="15" t="n">
        <x:v>0</x:v>
      </x:c>
      <x:c r="J610" s="15" t="n">
        <x:v>0</x:v>
      </x:c>
      <x:c r="K610" s="15" t="n">
        <x:v>0</x:v>
      </x:c>
      <x:c r="L610" s="15" t="n">
        <x:v>0</x:v>
      </x:c>
      <x:c r="M610" s="15" t="n">
        <x:v>180</x:v>
      </x:c>
      <x:c r="N610" s="15" t="n">
        <x:v>220</x:v>
      </x:c>
      <x:c r="O610" s="15" t="n">
        <x:v>96</x:v>
      </x:c>
      <x:c r="P610" s="15" t="n">
        <x:v>64</x:v>
      </x:c>
      <x:c r="Q610" s="15" t="n">
        <x:v>32</x:v>
      </x:c>
      <x:c r="R610" s="15" t="n">
        <x:v>0</x:v>
      </x:c>
      <x:c r="S610" s="15" t="n">
        <x:v>0</x:v>
      </x:c>
      <x:c r="T610" s="15" t="n">
        <x:v>0</x:v>
      </x:c>
      <x:c r="U610" s="15" t="n">
        <x:v>0</x:v>
      </x:c>
      <x:c r="V610" s="15" t="n">
        <x:v>0</x:v>
      </x:c>
      <x:c r="W610" s="15" t="n">
        <x:v>0</x:v>
      </x:c>
      <x:c r="X610" s="15" t="n">
        <x:v>0</x:v>
      </x:c>
      <x:c r="Y610" s="15" t="n">
        <x:v>0</x:v>
      </x:c>
      <x:c r="Z610" s="15" t="n">
        <x:v>0</x:v>
      </x:c>
      <x:c r="AA610" s="15" t="n">
        <x:v>0</x:v>
      </x:c>
      <x:c r="AB610" s="15" t="n">
        <x:f>SUM(G610:AA610)</x:f>
        <x:v>592</x:v>
      </x:c>
    </x:row>
    <x:row r="611" ht="36" customHeight="1">
      <x:c r="A611" s="10" t="str">
        <x:v>V-R1</x:v>
      </x:c>
      <x:c r="B611" s="10" t="str">
        <x:v>VOICE</x:v>
      </x:c>
      <x:c r="C611" s="10" t="str">
        <x:v>VOICE:S4-02</x:v>
      </x:c>
      <x:c r="D611" s="10" t="str">
        <x:v>VOICE:M4491</x:v>
      </x:c>
      <x:c r="E611" s="15" t="n">
        <x:v>-57.77</x:v>
      </x:c>
      <x:c r="F611" s="15" t="str">
        <x:v>preparation</x:v>
      </x:c>
      <x:c r="G611" s="15" t="n">
        <x:v>0</x:v>
      </x:c>
      <x:c r="H611" s="15" t="n">
        <x:v>0</x:v>
      </x:c>
      <x:c r="I611" s="15" t="n">
        <x:v>0</x:v>
      </x:c>
      <x:c r="J611" s="15" t="n">
        <x:v>0</x:v>
      </x:c>
      <x:c r="K611" s="15" t="n">
        <x:v>0</x:v>
      </x:c>
      <x:c r="L611" s="15" t="n">
        <x:v>0</x:v>
      </x:c>
      <x:c r="M611" s="15" t="n">
        <x:v>180</x:v>
      </x:c>
      <x:c r="N611" s="15" t="n">
        <x:v>220</x:v>
      </x:c>
      <x:c r="O611" s="15" t="n">
        <x:v>96</x:v>
      </x:c>
      <x:c r="P611" s="15" t="n">
        <x:v>64</x:v>
      </x:c>
      <x:c r="Q611" s="15" t="n">
        <x:v>24</x:v>
      </x:c>
      <x:c r="R611" s="15" t="n">
        <x:v>60</x:v>
      </x:c>
      <x:c r="S611" s="15" t="n">
        <x:v>280</x:v>
      </x:c>
      <x:c r="T611" s="15" t="n">
        <x:v>420</x:v>
      </x:c>
      <x:c r="U611" s="15" t="n">
        <x:v>0</x:v>
      </x:c>
      <x:c r="V611" s="15" t="n">
        <x:v>180</x:v>
      </x:c>
      <x:c r="W611" s="15" t="n">
        <x:v>380</x:v>
      </x:c>
      <x:c r="X611" s="15" t="n">
        <x:v>0</x:v>
      </x:c>
      <x:c r="Y611" s="15" t="n">
        <x:v>0</x:v>
      </x:c>
      <x:c r="Z611" s="15" t="n">
        <x:v>0</x:v>
      </x:c>
      <x:c r="AA611" s="15" t="n">
        <x:v>0</x:v>
      </x:c>
      <x:c r="AB611" s="15" t="n">
        <x:f>SUM(G611:AA611)</x:f>
        <x:v>1904</x:v>
      </x:c>
    </x:row>
    <x:row r="612" ht="36" customHeight="1">
      <x:c r="A612" s="10" t="str">
        <x:v>V-R2</x:v>
      </x:c>
      <x:c r="B612" s="10" t="str">
        <x:v>VOICE</x:v>
      </x:c>
      <x:c r="C612" s="10" t="str">
        <x:v>VOICE:S4-02</x:v>
      </x:c>
      <x:c r="D612" s="10" t="str">
        <x:v>VOICE:M4520</x:v>
      </x:c>
      <x:c r="E612" s="15" t="n">
        <x:v>-57.77</x:v>
      </x:c>
      <x:c r="F612" s="15" t="str">
        <x:v>preparation</x:v>
      </x:c>
      <x:c r="G612" s="15" t="n">
        <x:v>0</x:v>
      </x:c>
      <x:c r="H612" s="15" t="n">
        <x:v>0</x:v>
      </x:c>
      <x:c r="I612" s="15" t="n">
        <x:v>0</x:v>
      </x:c>
      <x:c r="J612" s="15" t="n">
        <x:v>0</x:v>
      </x:c>
      <x:c r="K612" s="15" t="n">
        <x:v>0</x:v>
      </x:c>
      <x:c r="L612" s="15" t="n">
        <x:v>0</x:v>
      </x:c>
      <x:c r="M612" s="15" t="n">
        <x:v>180</x:v>
      </x:c>
      <x:c r="N612" s="15" t="n">
        <x:v>220</x:v>
      </x:c>
      <x:c r="O612" s="15" t="n">
        <x:v>96</x:v>
      </x:c>
      <x:c r="P612" s="15" t="n">
        <x:v>64</x:v>
      </x:c>
      <x:c r="Q612" s="15" t="n">
        <x:v>24</x:v>
      </x:c>
      <x:c r="R612" s="15" t="n">
        <x:v>60</x:v>
      </x:c>
      <x:c r="S612" s="15" t="n">
        <x:v>280</x:v>
      </x:c>
      <x:c r="T612" s="15" t="n">
        <x:v>420</x:v>
      </x:c>
      <x:c r="U612" s="15" t="n">
        <x:v>0</x:v>
      </x:c>
      <x:c r="V612" s="15" t="n">
        <x:v>180</x:v>
      </x:c>
      <x:c r="W612" s="15" t="n">
        <x:v>380</x:v>
      </x:c>
      <x:c r="X612" s="15" t="n">
        <x:v>0</x:v>
      </x:c>
      <x:c r="Y612" s="15" t="n">
        <x:v>0</x:v>
      </x:c>
      <x:c r="Z612" s="15" t="n">
        <x:v>0</x:v>
      </x:c>
      <x:c r="AA612" s="15" t="n">
        <x:v>0</x:v>
      </x:c>
      <x:c r="AB612" s="15" t="n">
        <x:f>SUM(G612:AA612)</x:f>
        <x:v>1904</x:v>
      </x:c>
    </x:row>
    <x:row r="613" ht="36" customHeight="1">
      <x:c r="A613" s="10" t="str">
        <x:v>V-R3</x:v>
      </x:c>
      <x:c r="B613" s="10" t="str">
        <x:v>VOICE</x:v>
      </x:c>
      <x:c r="C613" s="10" t="str">
        <x:v>VOICE:S4-02</x:v>
      </x:c>
      <x:c r="D613" s="10" t="str">
        <x:v>VOICE:M4546</x:v>
      </x:c>
      <x:c r="E613" s="15" t="n">
        <x:v>-57.77</x:v>
      </x:c>
      <x:c r="F613" s="15" t="str">
        <x:v>preparation</x:v>
      </x:c>
      <x:c r="G613" s="15" t="n">
        <x:v>0</x:v>
      </x:c>
      <x:c r="H613" s="15" t="n">
        <x:v>0</x:v>
      </x:c>
      <x:c r="I613" s="15" t="n">
        <x:v>0</x:v>
      </x:c>
      <x:c r="J613" s="15" t="n">
        <x:v>0</x:v>
      </x:c>
      <x:c r="K613" s="15" t="n">
        <x:v>0</x:v>
      </x:c>
      <x:c r="L613" s="15" t="n">
        <x:v>0</x:v>
      </x:c>
      <x:c r="M613" s="15" t="n">
        <x:v>180</x:v>
      </x:c>
      <x:c r="N613" s="15" t="n">
        <x:v>220</x:v>
      </x:c>
      <x:c r="O613" s="15" t="n">
        <x:v>96</x:v>
      </x:c>
      <x:c r="P613" s="15" t="n">
        <x:v>64</x:v>
      </x:c>
      <x:c r="Q613" s="15" t="n">
        <x:v>32</x:v>
      </x:c>
      <x:c r="R613" s="15" t="n">
        <x:v>60</x:v>
      </x:c>
      <x:c r="S613" s="15" t="n">
        <x:v>280</x:v>
      </x:c>
      <x:c r="T613" s="15" t="n">
        <x:v>420</x:v>
      </x:c>
      <x:c r="U613" s="15" t="n">
        <x:v>0</x:v>
      </x:c>
      <x:c r="V613" s="15" t="n">
        <x:v>180</x:v>
      </x:c>
      <x:c r="W613" s="15" t="n">
        <x:v>380</x:v>
      </x:c>
      <x:c r="X613" s="15" t="n">
        <x:v>0</x:v>
      </x:c>
      <x:c r="Y613" s="15" t="n">
        <x:v>0</x:v>
      </x:c>
      <x:c r="Z613" s="15" t="n">
        <x:v>0</x:v>
      </x:c>
      <x:c r="AA613" s="15" t="n">
        <x:v>0</x:v>
      </x:c>
      <x:c r="AB613" s="15" t="n">
        <x:f>SUM(G613:AA613)</x:f>
        <x:v>1912</x:v>
      </x:c>
    </x:row>
    <x:row r="614" ht="36" customHeight="1">
      <x:c r="A614" s="10" t="str">
        <x:v>V-A</x:v>
      </x:c>
      <x:c r="B614" s="10" t="str">
        <x:v>VOICE</x:v>
      </x:c>
      <x:c r="C614" s="10" t="str">
        <x:v>VOICE:S4-03</x:v>
      </x:c>
      <x:c r="D614" s="10" t="str">
        <x:v>VOICE:M4570</x:v>
      </x:c>
      <x:c r="E614" s="15" t="n">
        <x:v>-60</x:v>
      </x:c>
      <x:c r="F614" s="15" t="str">
        <x:v>preparation</x:v>
      </x:c>
      <x:c r="G614" s="15" t="n">
        <x:v>0</x:v>
      </x:c>
      <x:c r="H614" s="15" t="n">
        <x:v>0</x:v>
      </x:c>
      <x:c r="I614" s="15" t="n">
        <x:v>0</x:v>
      </x:c>
      <x:c r="J614" s="15" t="n">
        <x:v>0</x:v>
      </x:c>
      <x:c r="K614" s="15" t="n">
        <x:v>0</x:v>
      </x:c>
      <x:c r="L614" s="15" t="n">
        <x:v>0</x:v>
      </x:c>
      <x:c r="M614" s="15" t="n">
        <x:v>180</x:v>
      </x:c>
      <x:c r="N614" s="15" t="n">
        <x:v>220</x:v>
      </x:c>
      <x:c r="O614" s="15" t="n">
        <x:v>96</x:v>
      </x:c>
      <x:c r="P614" s="15" t="n">
        <x:v>64</x:v>
      </x:c>
      <x:c r="Q614" s="15" t="n">
        <x:v>32</x:v>
      </x:c>
      <x:c r="R614" s="15" t="n">
        <x:v>0</x:v>
      </x:c>
      <x:c r="S614" s="15" t="n">
        <x:v>0</x:v>
      </x:c>
      <x:c r="T614" s="15" t="n">
        <x:v>0</x:v>
      </x:c>
      <x:c r="U614" s="15" t="n">
        <x:v>0</x:v>
      </x:c>
      <x:c r="V614" s="15" t="n">
        <x:v>0</x:v>
      </x:c>
      <x:c r="W614" s="15" t="n">
        <x:v>0</x:v>
      </x:c>
      <x:c r="X614" s="15" t="n">
        <x:v>0</x:v>
      </x:c>
      <x:c r="Y614" s="15" t="n">
        <x:v>0</x:v>
      </x:c>
      <x:c r="Z614" s="15" t="n">
        <x:v>0</x:v>
      </x:c>
      <x:c r="AA614" s="15" t="n">
        <x:v>0</x:v>
      </x:c>
      <x:c r="AB614" s="15" t="n">
        <x:f>SUM(G614:AA614)</x:f>
        <x:v>592</x:v>
      </x:c>
    </x:row>
    <x:row r="615" ht="36" customHeight="1">
      <x:c r="A615" s="10" t="str">
        <x:v>V-R1</x:v>
      </x:c>
      <x:c r="B615" s="10" t="str">
        <x:v>VOICE</x:v>
      </x:c>
      <x:c r="C615" s="10" t="str">
        <x:v>VOICE:S4-03</x:v>
      </x:c>
      <x:c r="D615" s="10" t="str">
        <x:v>VOICE:M4596</x:v>
      </x:c>
      <x:c r="E615" s="15" t="n">
        <x:v>-57.77</x:v>
      </x:c>
      <x:c r="F615" s="15" t="str">
        <x:v>preparation</x:v>
      </x:c>
      <x:c r="G615" s="15" t="n">
        <x:v>0</x:v>
      </x:c>
      <x:c r="H615" s="15" t="n">
        <x:v>0</x:v>
      </x:c>
      <x:c r="I615" s="15" t="n">
        <x:v>0</x:v>
      </x:c>
      <x:c r="J615" s="15" t="n">
        <x:v>0</x:v>
      </x:c>
      <x:c r="K615" s="15" t="n">
        <x:v>0</x:v>
      </x:c>
      <x:c r="L615" s="15" t="n">
        <x:v>0</x:v>
      </x:c>
      <x:c r="M615" s="15" t="n">
        <x:v>180</x:v>
      </x:c>
      <x:c r="N615" s="15" t="n">
        <x:v>220</x:v>
      </x:c>
      <x:c r="O615" s="15" t="n">
        <x:v>96</x:v>
      </x:c>
      <x:c r="P615" s="15" t="n">
        <x:v>64</x:v>
      </x:c>
      <x:c r="Q615" s="15" t="n">
        <x:v>24</x:v>
      </x:c>
      <x:c r="R615" s="15" t="n">
        <x:v>60</x:v>
      </x:c>
      <x:c r="S615" s="15" t="n">
        <x:v>280</x:v>
      </x:c>
      <x:c r="T615" s="15" t="n">
        <x:v>420</x:v>
      </x:c>
      <x:c r="U615" s="15" t="n">
        <x:v>0</x:v>
      </x:c>
      <x:c r="V615" s="15" t="n">
        <x:v>180</x:v>
      </x:c>
      <x:c r="W615" s="15" t="n">
        <x:v>380</x:v>
      </x:c>
      <x:c r="X615" s="15" t="n">
        <x:v>0</x:v>
      </x:c>
      <x:c r="Y615" s="15" t="n">
        <x:v>0</x:v>
      </x:c>
      <x:c r="Z615" s="15" t="n">
        <x:v>0</x:v>
      </x:c>
      <x:c r="AA615" s="15" t="n">
        <x:v>0</x:v>
      </x:c>
      <x:c r="AB615" s="15" t="n">
        <x:f>SUM(G615:AA615)</x:f>
        <x:v>1904</x:v>
      </x:c>
    </x:row>
    <x:row r="616" ht="36" customHeight="1">
      <x:c r="A616" s="10" t="str">
        <x:v>V-R2</x:v>
      </x:c>
      <x:c r="B616" s="10" t="str">
        <x:v>VOICE</x:v>
      </x:c>
      <x:c r="C616" s="10" t="str">
        <x:v>VOICE:S4-03</x:v>
      </x:c>
      <x:c r="D616" s="10" t="str">
        <x:v>VOICE:M4625</x:v>
      </x:c>
      <x:c r="E616" s="15" t="n">
        <x:v>-57.77</x:v>
      </x:c>
      <x:c r="F616" s="15" t="str">
        <x:v>preparation</x:v>
      </x:c>
      <x:c r="G616" s="15" t="n">
        <x:v>0</x:v>
      </x:c>
      <x:c r="H616" s="15" t="n">
        <x:v>0</x:v>
      </x:c>
      <x:c r="I616" s="15" t="n">
        <x:v>0</x:v>
      </x:c>
      <x:c r="J616" s="15" t="n">
        <x:v>0</x:v>
      </x:c>
      <x:c r="K616" s="15" t="n">
        <x:v>0</x:v>
      </x:c>
      <x:c r="L616" s="15" t="n">
        <x:v>0</x:v>
      </x:c>
      <x:c r="M616" s="15" t="n">
        <x:v>180</x:v>
      </x:c>
      <x:c r="N616" s="15" t="n">
        <x:v>220</x:v>
      </x:c>
      <x:c r="O616" s="15" t="n">
        <x:v>96</x:v>
      </x:c>
      <x:c r="P616" s="15" t="n">
        <x:v>64</x:v>
      </x:c>
      <x:c r="Q616" s="15" t="n">
        <x:v>24</x:v>
      </x:c>
      <x:c r="R616" s="15" t="n">
        <x:v>60</x:v>
      </x:c>
      <x:c r="S616" s="15" t="n">
        <x:v>280</x:v>
      </x:c>
      <x:c r="T616" s="15" t="n">
        <x:v>420</x:v>
      </x:c>
      <x:c r="U616" s="15" t="n">
        <x:v>0</x:v>
      </x:c>
      <x:c r="V616" s="15" t="n">
        <x:v>180</x:v>
      </x:c>
      <x:c r="W616" s="15" t="n">
        <x:v>380</x:v>
      </x:c>
      <x:c r="X616" s="15" t="n">
        <x:v>0</x:v>
      </x:c>
      <x:c r="Y616" s="15" t="n">
        <x:v>0</x:v>
      </x:c>
      <x:c r="Z616" s="15" t="n">
        <x:v>0</x:v>
      </x:c>
      <x:c r="AA616" s="15" t="n">
        <x:v>0</x:v>
      </x:c>
      <x:c r="AB616" s="15" t="n">
        <x:f>SUM(G616:AA616)</x:f>
        <x:v>1904</x:v>
      </x:c>
    </x:row>
    <x:row r="617" ht="36" customHeight="1">
      <x:c r="A617" s="10" t="str">
        <x:v>V-R3</x:v>
      </x:c>
      <x:c r="B617" s="10" t="str">
        <x:v>VOICE</x:v>
      </x:c>
      <x:c r="C617" s="10" t="str">
        <x:v>VOICE:S4-03</x:v>
      </x:c>
      <x:c r="D617" s="10" t="str">
        <x:v>VOICE:M4651</x:v>
      </x:c>
      <x:c r="E617" s="15" t="n">
        <x:v>-57.77</x:v>
      </x:c>
      <x:c r="F617" s="15" t="str">
        <x:v>preparation</x:v>
      </x:c>
      <x:c r="G617" s="15" t="n">
        <x:v>0</x:v>
      </x:c>
      <x:c r="H617" s="15" t="n">
        <x:v>0</x:v>
      </x:c>
      <x:c r="I617" s="15" t="n">
        <x:v>0</x:v>
      </x:c>
      <x:c r="J617" s="15" t="n">
        <x:v>0</x:v>
      </x:c>
      <x:c r="K617" s="15" t="n">
        <x:v>0</x:v>
      </x:c>
      <x:c r="L617" s="15" t="n">
        <x:v>0</x:v>
      </x:c>
      <x:c r="M617" s="15" t="n">
        <x:v>180</x:v>
      </x:c>
      <x:c r="N617" s="15" t="n">
        <x:v>220</x:v>
      </x:c>
      <x:c r="O617" s="15" t="n">
        <x:v>96</x:v>
      </x:c>
      <x:c r="P617" s="15" t="n">
        <x:v>64</x:v>
      </x:c>
      <x:c r="Q617" s="15" t="n">
        <x:v>32</x:v>
      </x:c>
      <x:c r="R617" s="15" t="n">
        <x:v>60</x:v>
      </x:c>
      <x:c r="S617" s="15" t="n">
        <x:v>280</x:v>
      </x:c>
      <x:c r="T617" s="15" t="n">
        <x:v>420</x:v>
      </x:c>
      <x:c r="U617" s="15" t="n">
        <x:v>0</x:v>
      </x:c>
      <x:c r="V617" s="15" t="n">
        <x:v>180</x:v>
      </x:c>
      <x:c r="W617" s="15" t="n">
        <x:v>380</x:v>
      </x:c>
      <x:c r="X617" s="15" t="n">
        <x:v>0</x:v>
      </x:c>
      <x:c r="Y617" s="15" t="n">
        <x:v>0</x:v>
      </x:c>
      <x:c r="Z617" s="15" t="n">
        <x:v>0</x:v>
      </x:c>
      <x:c r="AA617" s="15" t="n">
        <x:v>0</x:v>
      </x:c>
      <x:c r="AB617" s="15" t="n">
        <x:f>SUM(G617:AA617)</x:f>
        <x:v>1912</x:v>
      </x:c>
    </x:row>
    <x:row r="618" ht="36" customHeight="1">
      <x:c r="A618" s="10" t="str">
        <x:v>V-A</x:v>
      </x:c>
      <x:c r="B618" s="10" t="str">
        <x:v>VOICE</x:v>
      </x:c>
      <x:c r="C618" s="10" t="str">
        <x:v>VOICE:S4-04</x:v>
      </x:c>
      <x:c r="D618" s="10" t="str">
        <x:v>VOICE:M4675</x:v>
      </x:c>
      <x:c r="E618" s="15" t="n">
        <x:v>-60</x:v>
      </x:c>
      <x:c r="F618" s="15" t="str">
        <x:v>preparation</x:v>
      </x:c>
      <x:c r="G618" s="15" t="n">
        <x:v>0</x:v>
      </x:c>
      <x:c r="H618" s="15" t="n">
        <x:v>0</x:v>
      </x:c>
      <x:c r="I618" s="15" t="n">
        <x:v>0</x:v>
      </x:c>
      <x:c r="J618" s="15" t="n">
        <x:v>0</x:v>
      </x:c>
      <x:c r="K618" s="15" t="n">
        <x:v>0</x:v>
      </x:c>
      <x:c r="L618" s="15" t="n">
        <x:v>0</x:v>
      </x:c>
      <x:c r="M618" s="15" t="n">
        <x:v>180</x:v>
      </x:c>
      <x:c r="N618" s="15" t="n">
        <x:v>220</x:v>
      </x:c>
      <x:c r="O618" s="15" t="n">
        <x:v>96</x:v>
      </x:c>
      <x:c r="P618" s="15" t="n">
        <x:v>64</x:v>
      </x:c>
      <x:c r="Q618" s="15" t="n">
        <x:v>32</x:v>
      </x:c>
      <x:c r="R618" s="15" t="n">
        <x:v>0</x:v>
      </x:c>
      <x:c r="S618" s="15" t="n">
        <x:v>0</x:v>
      </x:c>
      <x:c r="T618" s="15" t="n">
        <x:v>0</x:v>
      </x:c>
      <x:c r="U618" s="15" t="n">
        <x:v>0</x:v>
      </x:c>
      <x:c r="V618" s="15" t="n">
        <x:v>0</x:v>
      </x:c>
      <x:c r="W618" s="15" t="n">
        <x:v>0</x:v>
      </x:c>
      <x:c r="X618" s="15" t="n">
        <x:v>0</x:v>
      </x:c>
      <x:c r="Y618" s="15" t="n">
        <x:v>0</x:v>
      </x:c>
      <x:c r="Z618" s="15" t="n">
        <x:v>0</x:v>
      </x:c>
      <x:c r="AA618" s="15" t="n">
        <x:v>0</x:v>
      </x:c>
      <x:c r="AB618" s="15" t="n">
        <x:f>SUM(G618:AA618)</x:f>
        <x:v>592</x:v>
      </x:c>
    </x:row>
    <x:row r="619" ht="36" customHeight="1">
      <x:c r="A619" s="10" t="str">
        <x:v>V-R1</x:v>
      </x:c>
      <x:c r="B619" s="10" t="str">
        <x:v>VOICE</x:v>
      </x:c>
      <x:c r="C619" s="10" t="str">
        <x:v>VOICE:S4-04</x:v>
      </x:c>
      <x:c r="D619" s="10" t="str">
        <x:v>VOICE:M4701</x:v>
      </x:c>
      <x:c r="E619" s="15" t="n">
        <x:v>-57.77</x:v>
      </x:c>
      <x:c r="F619" s="15" t="str">
        <x:v>preparation</x:v>
      </x:c>
      <x:c r="G619" s="15" t="n">
        <x:v>0</x:v>
      </x:c>
      <x:c r="H619" s="15" t="n">
        <x:v>0</x:v>
      </x:c>
      <x:c r="I619" s="15" t="n">
        <x:v>0</x:v>
      </x:c>
      <x:c r="J619" s="15" t="n">
        <x:v>0</x:v>
      </x:c>
      <x:c r="K619" s="15" t="n">
        <x:v>0</x:v>
      </x:c>
      <x:c r="L619" s="15" t="n">
        <x:v>0</x:v>
      </x:c>
      <x:c r="M619" s="15" t="n">
        <x:v>180</x:v>
      </x:c>
      <x:c r="N619" s="15" t="n">
        <x:v>220</x:v>
      </x:c>
      <x:c r="O619" s="15" t="n">
        <x:v>96</x:v>
      </x:c>
      <x:c r="P619" s="15" t="n">
        <x:v>64</x:v>
      </x:c>
      <x:c r="Q619" s="15" t="n">
        <x:v>24</x:v>
      </x:c>
      <x:c r="R619" s="15" t="n">
        <x:v>60</x:v>
      </x:c>
      <x:c r="S619" s="15" t="n">
        <x:v>280</x:v>
      </x:c>
      <x:c r="T619" s="15" t="n">
        <x:v>420</x:v>
      </x:c>
      <x:c r="U619" s="15" t="n">
        <x:v>0</x:v>
      </x:c>
      <x:c r="V619" s="15" t="n">
        <x:v>180</x:v>
      </x:c>
      <x:c r="W619" s="15" t="n">
        <x:v>380</x:v>
      </x:c>
      <x:c r="X619" s="15" t="n">
        <x:v>0</x:v>
      </x:c>
      <x:c r="Y619" s="15" t="n">
        <x:v>0</x:v>
      </x:c>
      <x:c r="Z619" s="15" t="n">
        <x:v>0</x:v>
      </x:c>
      <x:c r="AA619" s="15" t="n">
        <x:v>0</x:v>
      </x:c>
      <x:c r="AB619" s="15" t="n">
        <x:f>SUM(G619:AA619)</x:f>
        <x:v>1904</x:v>
      </x:c>
    </x:row>
    <x:row r="620" ht="36" customHeight="1">
      <x:c r="A620" s="10" t="str">
        <x:v>V-R2</x:v>
      </x:c>
      <x:c r="B620" s="10" t="str">
        <x:v>VOICE</x:v>
      </x:c>
      <x:c r="C620" s="10" t="str">
        <x:v>VOICE:S4-04</x:v>
      </x:c>
      <x:c r="D620" s="10" t="str">
        <x:v>VOICE:M4730</x:v>
      </x:c>
      <x:c r="E620" s="15" t="n">
        <x:v>-57.77</x:v>
      </x:c>
      <x:c r="F620" s="15" t="str">
        <x:v>preparation</x:v>
      </x:c>
      <x:c r="G620" s="15" t="n">
        <x:v>0</x:v>
      </x:c>
      <x:c r="H620" s="15" t="n">
        <x:v>0</x:v>
      </x:c>
      <x:c r="I620" s="15" t="n">
        <x:v>0</x:v>
      </x:c>
      <x:c r="J620" s="15" t="n">
        <x:v>0</x:v>
      </x:c>
      <x:c r="K620" s="15" t="n">
        <x:v>0</x:v>
      </x:c>
      <x:c r="L620" s="15" t="n">
        <x:v>0</x:v>
      </x:c>
      <x:c r="M620" s="15" t="n">
        <x:v>180</x:v>
      </x:c>
      <x:c r="N620" s="15" t="n">
        <x:v>220</x:v>
      </x:c>
      <x:c r="O620" s="15" t="n">
        <x:v>96</x:v>
      </x:c>
      <x:c r="P620" s="15" t="n">
        <x:v>64</x:v>
      </x:c>
      <x:c r="Q620" s="15" t="n">
        <x:v>24</x:v>
      </x:c>
      <x:c r="R620" s="15" t="n">
        <x:v>60</x:v>
      </x:c>
      <x:c r="S620" s="15" t="n">
        <x:v>280</x:v>
      </x:c>
      <x:c r="T620" s="15" t="n">
        <x:v>420</x:v>
      </x:c>
      <x:c r="U620" s="15" t="n">
        <x:v>0</x:v>
      </x:c>
      <x:c r="V620" s="15" t="n">
        <x:v>180</x:v>
      </x:c>
      <x:c r="W620" s="15" t="n">
        <x:v>380</x:v>
      </x:c>
      <x:c r="X620" s="15" t="n">
        <x:v>0</x:v>
      </x:c>
      <x:c r="Y620" s="15" t="n">
        <x:v>0</x:v>
      </x:c>
      <x:c r="Z620" s="15" t="n">
        <x:v>0</x:v>
      </x:c>
      <x:c r="AA620" s="15" t="n">
        <x:v>0</x:v>
      </x:c>
      <x:c r="AB620" s="15" t="n">
        <x:f>SUM(G620:AA620)</x:f>
        <x:v>1904</x:v>
      </x:c>
    </x:row>
    <x:row r="621" ht="36" customHeight="1">
      <x:c r="A621" s="10" t="str">
        <x:v>V-R3</x:v>
      </x:c>
      <x:c r="B621" s="10" t="str">
        <x:v>VOICE</x:v>
      </x:c>
      <x:c r="C621" s="10" t="str">
        <x:v>VOICE:S4-04</x:v>
      </x:c>
      <x:c r="D621" s="10" t="str">
        <x:v>VOICE:M4756</x:v>
      </x:c>
      <x:c r="E621" s="15" t="n">
        <x:v>-57.77</x:v>
      </x:c>
      <x:c r="F621" s="15" t="str">
        <x:v>preparation</x:v>
      </x:c>
      <x:c r="G621" s="15" t="n">
        <x:v>0</x:v>
      </x:c>
      <x:c r="H621" s="15" t="n">
        <x:v>0</x:v>
      </x:c>
      <x:c r="I621" s="15" t="n">
        <x:v>0</x:v>
      </x:c>
      <x:c r="J621" s="15" t="n">
        <x:v>0</x:v>
      </x:c>
      <x:c r="K621" s="15" t="n">
        <x:v>0</x:v>
      </x:c>
      <x:c r="L621" s="15" t="n">
        <x:v>0</x:v>
      </x:c>
      <x:c r="M621" s="15" t="n">
        <x:v>180</x:v>
      </x:c>
      <x:c r="N621" s="15" t="n">
        <x:v>220</x:v>
      </x:c>
      <x:c r="O621" s="15" t="n">
        <x:v>96</x:v>
      </x:c>
      <x:c r="P621" s="15" t="n">
        <x:v>64</x:v>
      </x:c>
      <x:c r="Q621" s="15" t="n">
        <x:v>32</x:v>
      </x:c>
      <x:c r="R621" s="15" t="n">
        <x:v>60</x:v>
      </x:c>
      <x:c r="S621" s="15" t="n">
        <x:v>280</x:v>
      </x:c>
      <x:c r="T621" s="15" t="n">
        <x:v>420</x:v>
      </x:c>
      <x:c r="U621" s="15" t="n">
        <x:v>0</x:v>
      </x:c>
      <x:c r="V621" s="15" t="n">
        <x:v>180</x:v>
      </x:c>
      <x:c r="W621" s="15" t="n">
        <x:v>380</x:v>
      </x:c>
      <x:c r="X621" s="15" t="n">
        <x:v>0</x:v>
      </x:c>
      <x:c r="Y621" s="15" t="n">
        <x:v>0</x:v>
      </x:c>
      <x:c r="Z621" s="15" t="n">
        <x:v>0</x:v>
      </x:c>
      <x:c r="AA621" s="15" t="n">
        <x:v>0</x:v>
      </x:c>
      <x:c r="AB621" s="15" t="n">
        <x:f>SUM(G621:AA621)</x:f>
        <x:v>1912</x:v>
      </x:c>
    </x:row>
    <x:row r="622" ht="36" customHeight="1">
      <x:c r="A622" s="10" t="str">
        <x:v>V-A</x:v>
      </x:c>
      <x:c r="B622" s="10" t="str">
        <x:v>VOICE</x:v>
      </x:c>
      <x:c r="C622" s="10" t="str">
        <x:v>VOICE:S4-05</x:v>
      </x:c>
      <x:c r="D622" s="10" t="str">
        <x:v>VOICE:M4780</x:v>
      </x:c>
      <x:c r="E622" s="15" t="n">
        <x:v>-60</x:v>
      </x:c>
      <x:c r="F622" s="15" t="str">
        <x:v>preparation</x:v>
      </x:c>
      <x:c r="G622" s="15" t="n">
        <x:v>0</x:v>
      </x:c>
      <x:c r="H622" s="15" t="n">
        <x:v>0</x:v>
      </x:c>
      <x:c r="I622" s="15" t="n">
        <x:v>0</x:v>
      </x:c>
      <x:c r="J622" s="15" t="n">
        <x:v>0</x:v>
      </x:c>
      <x:c r="K622" s="15" t="n">
        <x:v>0</x:v>
      </x:c>
      <x:c r="L622" s="15" t="n">
        <x:v>0</x:v>
      </x:c>
      <x:c r="M622" s="15" t="n">
        <x:v>180</x:v>
      </x:c>
      <x:c r="N622" s="15" t="n">
        <x:v>220</x:v>
      </x:c>
      <x:c r="O622" s="15" t="n">
        <x:v>96</x:v>
      </x:c>
      <x:c r="P622" s="15" t="n">
        <x:v>64</x:v>
      </x:c>
      <x:c r="Q622" s="15" t="n">
        <x:v>32</x:v>
      </x:c>
      <x:c r="R622" s="15" t="n">
        <x:v>0</x:v>
      </x:c>
      <x:c r="S622" s="15" t="n">
        <x:v>0</x:v>
      </x:c>
      <x:c r="T622" s="15" t="n">
        <x:v>0</x:v>
      </x:c>
      <x:c r="U622" s="15" t="n">
        <x:v>0</x:v>
      </x:c>
      <x:c r="V622" s="15" t="n">
        <x:v>0</x:v>
      </x:c>
      <x:c r="W622" s="15" t="n">
        <x:v>0</x:v>
      </x:c>
      <x:c r="X622" s="15" t="n">
        <x:v>0</x:v>
      </x:c>
      <x:c r="Y622" s="15" t="n">
        <x:v>0</x:v>
      </x:c>
      <x:c r="Z622" s="15" t="n">
        <x:v>0</x:v>
      </x:c>
      <x:c r="AA622" s="15" t="n">
        <x:v>0</x:v>
      </x:c>
      <x:c r="AB622" s="15" t="n">
        <x:f>SUM(G622:AA622)</x:f>
        <x:v>592</x:v>
      </x:c>
    </x:row>
    <x:row r="623" ht="36" customHeight="1">
      <x:c r="A623" s="10" t="str">
        <x:v>V-R1</x:v>
      </x:c>
      <x:c r="B623" s="10" t="str">
        <x:v>VOICE</x:v>
      </x:c>
      <x:c r="C623" s="10" t="str">
        <x:v>VOICE:S4-05</x:v>
      </x:c>
      <x:c r="D623" s="10" t="str">
        <x:v>VOICE:M4806</x:v>
      </x:c>
      <x:c r="E623" s="15" t="n">
        <x:v>-57.77</x:v>
      </x:c>
      <x:c r="F623" s="15" t="str">
        <x:v>preparation</x:v>
      </x:c>
      <x:c r="G623" s="15" t="n">
        <x:v>0</x:v>
      </x:c>
      <x:c r="H623" s="15" t="n">
        <x:v>0</x:v>
      </x:c>
      <x:c r="I623" s="15" t="n">
        <x:v>0</x:v>
      </x:c>
      <x:c r="J623" s="15" t="n">
        <x:v>0</x:v>
      </x:c>
      <x:c r="K623" s="15" t="n">
        <x:v>0</x:v>
      </x:c>
      <x:c r="L623" s="15" t="n">
        <x:v>0</x:v>
      </x:c>
      <x:c r="M623" s="15" t="n">
        <x:v>180</x:v>
      </x:c>
      <x:c r="N623" s="15" t="n">
        <x:v>220</x:v>
      </x:c>
      <x:c r="O623" s="15" t="n">
        <x:v>96</x:v>
      </x:c>
      <x:c r="P623" s="15" t="n">
        <x:v>64</x:v>
      </x:c>
      <x:c r="Q623" s="15" t="n">
        <x:v>24</x:v>
      </x:c>
      <x:c r="R623" s="15" t="n">
        <x:v>60</x:v>
      </x:c>
      <x:c r="S623" s="15" t="n">
        <x:v>280</x:v>
      </x:c>
      <x:c r="T623" s="15" t="n">
        <x:v>420</x:v>
      </x:c>
      <x:c r="U623" s="15" t="n">
        <x:v>0</x:v>
      </x:c>
      <x:c r="V623" s="15" t="n">
        <x:v>180</x:v>
      </x:c>
      <x:c r="W623" s="15" t="n">
        <x:v>380</x:v>
      </x:c>
      <x:c r="X623" s="15" t="n">
        <x:v>0</x:v>
      </x:c>
      <x:c r="Y623" s="15" t="n">
        <x:v>0</x:v>
      </x:c>
      <x:c r="Z623" s="15" t="n">
        <x:v>0</x:v>
      </x:c>
      <x:c r="AA623" s="15" t="n">
        <x:v>0</x:v>
      </x:c>
      <x:c r="AB623" s="15" t="n">
        <x:f>SUM(G623:AA623)</x:f>
        <x:v>1904</x:v>
      </x:c>
    </x:row>
    <x:row r="624" ht="36" customHeight="1">
      <x:c r="A624" s="10" t="str">
        <x:v>V-R2</x:v>
      </x:c>
      <x:c r="B624" s="10" t="str">
        <x:v>VOICE</x:v>
      </x:c>
      <x:c r="C624" s="10" t="str">
        <x:v>VOICE:S4-05</x:v>
      </x:c>
      <x:c r="D624" s="10" t="str">
        <x:v>VOICE:M4835</x:v>
      </x:c>
      <x:c r="E624" s="15" t="n">
        <x:v>-57.77</x:v>
      </x:c>
      <x:c r="F624" s="15" t="str">
        <x:v>preparation</x:v>
      </x:c>
      <x:c r="G624" s="15" t="n">
        <x:v>0</x:v>
      </x:c>
      <x:c r="H624" s="15" t="n">
        <x:v>0</x:v>
      </x:c>
      <x:c r="I624" s="15" t="n">
        <x:v>0</x:v>
      </x:c>
      <x:c r="J624" s="15" t="n">
        <x:v>0</x:v>
      </x:c>
      <x:c r="K624" s="15" t="n">
        <x:v>0</x:v>
      </x:c>
      <x:c r="L624" s="15" t="n">
        <x:v>0</x:v>
      </x:c>
      <x:c r="M624" s="15" t="n">
        <x:v>180</x:v>
      </x:c>
      <x:c r="N624" s="15" t="n">
        <x:v>220</x:v>
      </x:c>
      <x:c r="O624" s="15" t="n">
        <x:v>96</x:v>
      </x:c>
      <x:c r="P624" s="15" t="n">
        <x:v>64</x:v>
      </x:c>
      <x:c r="Q624" s="15" t="n">
        <x:v>24</x:v>
      </x:c>
      <x:c r="R624" s="15" t="n">
        <x:v>60</x:v>
      </x:c>
      <x:c r="S624" s="15" t="n">
        <x:v>280</x:v>
      </x:c>
      <x:c r="T624" s="15" t="n">
        <x:v>420</x:v>
      </x:c>
      <x:c r="U624" s="15" t="n">
        <x:v>0</x:v>
      </x:c>
      <x:c r="V624" s="15" t="n">
        <x:v>180</x:v>
      </x:c>
      <x:c r="W624" s="15" t="n">
        <x:v>380</x:v>
      </x:c>
      <x:c r="X624" s="15" t="n">
        <x:v>0</x:v>
      </x:c>
      <x:c r="Y624" s="15" t="n">
        <x:v>0</x:v>
      </x:c>
      <x:c r="Z624" s="15" t="n">
        <x:v>0</x:v>
      </x:c>
      <x:c r="AA624" s="15" t="n">
        <x:v>0</x:v>
      </x:c>
      <x:c r="AB624" s="15" t="n">
        <x:f>SUM(G624:AA624)</x:f>
        <x:v>1904</x:v>
      </x:c>
    </x:row>
    <x:row r="625" ht="36" customHeight="1">
      <x:c r="A625" s="10" t="str">
        <x:v>V-R3</x:v>
      </x:c>
      <x:c r="B625" s="10" t="str">
        <x:v>VOICE</x:v>
      </x:c>
      <x:c r="C625" s="10" t="str">
        <x:v>VOICE:S4-05</x:v>
      </x:c>
      <x:c r="D625" s="10" t="str">
        <x:v>VOICE:M4861</x:v>
      </x:c>
      <x:c r="E625" s="15" t="n">
        <x:v>-57.77</x:v>
      </x:c>
      <x:c r="F625" s="15" t="str">
        <x:v>preparation</x:v>
      </x:c>
      <x:c r="G625" s="15" t="n">
        <x:v>0</x:v>
      </x:c>
      <x:c r="H625" s="15" t="n">
        <x:v>0</x:v>
      </x:c>
      <x:c r="I625" s="15" t="n">
        <x:v>0</x:v>
      </x:c>
      <x:c r="J625" s="15" t="n">
        <x:v>0</x:v>
      </x:c>
      <x:c r="K625" s="15" t="n">
        <x:v>0</x:v>
      </x:c>
      <x:c r="L625" s="15" t="n">
        <x:v>0</x:v>
      </x:c>
      <x:c r="M625" s="15" t="n">
        <x:v>180</x:v>
      </x:c>
      <x:c r="N625" s="15" t="n">
        <x:v>220</x:v>
      </x:c>
      <x:c r="O625" s="15" t="n">
        <x:v>96</x:v>
      </x:c>
      <x:c r="P625" s="15" t="n">
        <x:v>64</x:v>
      </x:c>
      <x:c r="Q625" s="15" t="n">
        <x:v>32</x:v>
      </x:c>
      <x:c r="R625" s="15" t="n">
        <x:v>60</x:v>
      </x:c>
      <x:c r="S625" s="15" t="n">
        <x:v>280</x:v>
      </x:c>
      <x:c r="T625" s="15" t="n">
        <x:v>420</x:v>
      </x:c>
      <x:c r="U625" s="15" t="n">
        <x:v>0</x:v>
      </x:c>
      <x:c r="V625" s="15" t="n">
        <x:v>180</x:v>
      </x:c>
      <x:c r="W625" s="15" t="n">
        <x:v>380</x:v>
      </x:c>
      <x:c r="X625" s="15" t="n">
        <x:v>0</x:v>
      </x:c>
      <x:c r="Y625" s="15" t="n">
        <x:v>0</x:v>
      </x:c>
      <x:c r="Z625" s="15" t="n">
        <x:v>0</x:v>
      </x:c>
      <x:c r="AA625" s="15" t="n">
        <x:v>0</x:v>
      </x:c>
      <x:c r="AB625" s="15" t="n">
        <x:f>SUM(G625:AA625)</x:f>
        <x:v>1912</x:v>
      </x:c>
    </x:row>
    <x:row r="626" ht="36" customHeight="1">
      <x:c r="A626" s="10" t="str">
        <x:v>V-A</x:v>
      </x:c>
      <x:c r="B626" s="10" t="str">
        <x:v>VOICE</x:v>
      </x:c>
      <x:c r="C626" s="10" t="str">
        <x:v>VOICE:S4-06</x:v>
      </x:c>
      <x:c r="D626" s="10" t="str">
        <x:v>VOICE:M4885</x:v>
      </x:c>
      <x:c r="E626" s="15" t="n">
        <x:v>-60</x:v>
      </x:c>
      <x:c r="F626" s="15" t="str">
        <x:v>preparation</x:v>
      </x:c>
      <x:c r="G626" s="15" t="n">
        <x:v>0</x:v>
      </x:c>
      <x:c r="H626" s="15" t="n">
        <x:v>0</x:v>
      </x:c>
      <x:c r="I626" s="15" t="n">
        <x:v>0</x:v>
      </x:c>
      <x:c r="J626" s="15" t="n">
        <x:v>0</x:v>
      </x:c>
      <x:c r="K626" s="15" t="n">
        <x:v>0</x:v>
      </x:c>
      <x:c r="L626" s="15" t="n">
        <x:v>0</x:v>
      </x:c>
      <x:c r="M626" s="15" t="n">
        <x:v>180</x:v>
      </x:c>
      <x:c r="N626" s="15" t="n">
        <x:v>220</x:v>
      </x:c>
      <x:c r="O626" s="15" t="n">
        <x:v>96</x:v>
      </x:c>
      <x:c r="P626" s="15" t="n">
        <x:v>64</x:v>
      </x:c>
      <x:c r="Q626" s="15" t="n">
        <x:v>32</x:v>
      </x:c>
      <x:c r="R626" s="15" t="n">
        <x:v>0</x:v>
      </x:c>
      <x:c r="S626" s="15" t="n">
        <x:v>0</x:v>
      </x:c>
      <x:c r="T626" s="15" t="n">
        <x:v>0</x:v>
      </x:c>
      <x:c r="U626" s="15" t="n">
        <x:v>0</x:v>
      </x:c>
      <x:c r="V626" s="15" t="n">
        <x:v>0</x:v>
      </x:c>
      <x:c r="W626" s="15" t="n">
        <x:v>0</x:v>
      </x:c>
      <x:c r="X626" s="15" t="n">
        <x:v>0</x:v>
      </x:c>
      <x:c r="Y626" s="15" t="n">
        <x:v>0</x:v>
      </x:c>
      <x:c r="Z626" s="15" t="n">
        <x:v>0</x:v>
      </x:c>
      <x:c r="AA626" s="15" t="n">
        <x:v>0</x:v>
      </x:c>
      <x:c r="AB626" s="15" t="n">
        <x:f>SUM(G626:AA626)</x:f>
        <x:v>592</x:v>
      </x:c>
    </x:row>
    <x:row r="627" ht="36" customHeight="1">
      <x:c r="A627" s="10" t="str">
        <x:v>V-R1</x:v>
      </x:c>
      <x:c r="B627" s="10" t="str">
        <x:v>VOICE</x:v>
      </x:c>
      <x:c r="C627" s="10" t="str">
        <x:v>VOICE:S4-06</x:v>
      </x:c>
      <x:c r="D627" s="10" t="str">
        <x:v>VOICE:M4911</x:v>
      </x:c>
      <x:c r="E627" s="15" t="n">
        <x:v>-57.77</x:v>
      </x:c>
      <x:c r="F627" s="15" t="str">
        <x:v>preparation</x:v>
      </x:c>
      <x:c r="G627" s="15" t="n">
        <x:v>0</x:v>
      </x:c>
      <x:c r="H627" s="15" t="n">
        <x:v>0</x:v>
      </x:c>
      <x:c r="I627" s="15" t="n">
        <x:v>0</x:v>
      </x:c>
      <x:c r="J627" s="15" t="n">
        <x:v>0</x:v>
      </x:c>
      <x:c r="K627" s="15" t="n">
        <x:v>0</x:v>
      </x:c>
      <x:c r="L627" s="15" t="n">
        <x:v>0</x:v>
      </x:c>
      <x:c r="M627" s="15" t="n">
        <x:v>180</x:v>
      </x:c>
      <x:c r="N627" s="15" t="n">
        <x:v>220</x:v>
      </x:c>
      <x:c r="O627" s="15" t="n">
        <x:v>96</x:v>
      </x:c>
      <x:c r="P627" s="15" t="n">
        <x:v>64</x:v>
      </x:c>
      <x:c r="Q627" s="15" t="n">
        <x:v>24</x:v>
      </x:c>
      <x:c r="R627" s="15" t="n">
        <x:v>60</x:v>
      </x:c>
      <x:c r="S627" s="15" t="n">
        <x:v>280</x:v>
      </x:c>
      <x:c r="T627" s="15" t="n">
        <x:v>420</x:v>
      </x:c>
      <x:c r="U627" s="15" t="n">
        <x:v>0</x:v>
      </x:c>
      <x:c r="V627" s="15" t="n">
        <x:v>180</x:v>
      </x:c>
      <x:c r="W627" s="15" t="n">
        <x:v>380</x:v>
      </x:c>
      <x:c r="X627" s="15" t="n">
        <x:v>0</x:v>
      </x:c>
      <x:c r="Y627" s="15" t="n">
        <x:v>0</x:v>
      </x:c>
      <x:c r="Z627" s="15" t="n">
        <x:v>0</x:v>
      </x:c>
      <x:c r="AA627" s="15" t="n">
        <x:v>0</x:v>
      </x:c>
      <x:c r="AB627" s="15" t="n">
        <x:f>SUM(G627:AA627)</x:f>
        <x:v>1904</x:v>
      </x:c>
    </x:row>
    <x:row r="628" ht="36" customHeight="1">
      <x:c r="A628" s="10" t="str">
        <x:v>V-R2</x:v>
      </x:c>
      <x:c r="B628" s="10" t="str">
        <x:v>VOICE</x:v>
      </x:c>
      <x:c r="C628" s="10" t="str">
        <x:v>VOICE:S4-06</x:v>
      </x:c>
      <x:c r="D628" s="10" t="str">
        <x:v>VOICE:M4940</x:v>
      </x:c>
      <x:c r="E628" s="15" t="n">
        <x:v>-57.77</x:v>
      </x:c>
      <x:c r="F628" s="15" t="str">
        <x:v>preparation</x:v>
      </x:c>
      <x:c r="G628" s="15" t="n">
        <x:v>0</x:v>
      </x:c>
      <x:c r="H628" s="15" t="n">
        <x:v>0</x:v>
      </x:c>
      <x:c r="I628" s="15" t="n">
        <x:v>0</x:v>
      </x:c>
      <x:c r="J628" s="15" t="n">
        <x:v>0</x:v>
      </x:c>
      <x:c r="K628" s="15" t="n">
        <x:v>0</x:v>
      </x:c>
      <x:c r="L628" s="15" t="n">
        <x:v>0</x:v>
      </x:c>
      <x:c r="M628" s="15" t="n">
        <x:v>180</x:v>
      </x:c>
      <x:c r="N628" s="15" t="n">
        <x:v>220</x:v>
      </x:c>
      <x:c r="O628" s="15" t="n">
        <x:v>96</x:v>
      </x:c>
      <x:c r="P628" s="15" t="n">
        <x:v>64</x:v>
      </x:c>
      <x:c r="Q628" s="15" t="n">
        <x:v>24</x:v>
      </x:c>
      <x:c r="R628" s="15" t="n">
        <x:v>60</x:v>
      </x:c>
      <x:c r="S628" s="15" t="n">
        <x:v>280</x:v>
      </x:c>
      <x:c r="T628" s="15" t="n">
        <x:v>420</x:v>
      </x:c>
      <x:c r="U628" s="15" t="n">
        <x:v>0</x:v>
      </x:c>
      <x:c r="V628" s="15" t="n">
        <x:v>180</x:v>
      </x:c>
      <x:c r="W628" s="15" t="n">
        <x:v>380</x:v>
      </x:c>
      <x:c r="X628" s="15" t="n">
        <x:v>0</x:v>
      </x:c>
      <x:c r="Y628" s="15" t="n">
        <x:v>0</x:v>
      </x:c>
      <x:c r="Z628" s="15" t="n">
        <x:v>0</x:v>
      </x:c>
      <x:c r="AA628" s="15" t="n">
        <x:v>0</x:v>
      </x:c>
      <x:c r="AB628" s="15" t="n">
        <x:f>SUM(G628:AA628)</x:f>
        <x:v>1904</x:v>
      </x:c>
    </x:row>
    <x:row r="629" ht="36" customHeight="1">
      <x:c r="A629" s="10" t="str">
        <x:v>V-R3</x:v>
      </x:c>
      <x:c r="B629" s="10" t="str">
        <x:v>VOICE</x:v>
      </x:c>
      <x:c r="C629" s="10" t="str">
        <x:v>VOICE:S4-06</x:v>
      </x:c>
      <x:c r="D629" s="10" t="str">
        <x:v>VOICE:M4966</x:v>
      </x:c>
      <x:c r="E629" s="15" t="n">
        <x:v>-57.77</x:v>
      </x:c>
      <x:c r="F629" s="15" t="str">
        <x:v>preparation</x:v>
      </x:c>
      <x:c r="G629" s="15" t="n">
        <x:v>0</x:v>
      </x:c>
      <x:c r="H629" s="15" t="n">
        <x:v>0</x:v>
      </x:c>
      <x:c r="I629" s="15" t="n">
        <x:v>0</x:v>
      </x:c>
      <x:c r="J629" s="15" t="n">
        <x:v>0</x:v>
      </x:c>
      <x:c r="K629" s="15" t="n">
        <x:v>0</x:v>
      </x:c>
      <x:c r="L629" s="15" t="n">
        <x:v>0</x:v>
      </x:c>
      <x:c r="M629" s="15" t="n">
        <x:v>180</x:v>
      </x:c>
      <x:c r="N629" s="15" t="n">
        <x:v>220</x:v>
      </x:c>
      <x:c r="O629" s="15" t="n">
        <x:v>96</x:v>
      </x:c>
      <x:c r="P629" s="15" t="n">
        <x:v>64</x:v>
      </x:c>
      <x:c r="Q629" s="15" t="n">
        <x:v>32</x:v>
      </x:c>
      <x:c r="R629" s="15" t="n">
        <x:v>60</x:v>
      </x:c>
      <x:c r="S629" s="15" t="n">
        <x:v>280</x:v>
      </x:c>
      <x:c r="T629" s="15" t="n">
        <x:v>420</x:v>
      </x:c>
      <x:c r="U629" s="15" t="n">
        <x:v>0</x:v>
      </x:c>
      <x:c r="V629" s="15" t="n">
        <x:v>180</x:v>
      </x:c>
      <x:c r="W629" s="15" t="n">
        <x:v>380</x:v>
      </x:c>
      <x:c r="X629" s="15" t="n">
        <x:v>0</x:v>
      </x:c>
      <x:c r="Y629" s="15" t="n">
        <x:v>0</x:v>
      </x:c>
      <x:c r="Z629" s="15" t="n">
        <x:v>0</x:v>
      </x:c>
      <x:c r="AA629" s="15" t="n">
        <x:v>0</x:v>
      </x:c>
      <x:c r="AB629" s="15" t="n">
        <x:f>SUM(G629:AA629)</x:f>
        <x:v>1912</x:v>
      </x:c>
    </x:row>
    <x:row r="630" ht="36" customHeight="1">
      <x:c r="A630" s="10" t="str">
        <x:v>V-A</x:v>
      </x:c>
      <x:c r="B630" s="10" t="str">
        <x:v>VOICE</x:v>
      </x:c>
      <x:c r="C630" s="10" t="str">
        <x:v>VOICE:S4-07</x:v>
      </x:c>
      <x:c r="D630" s="10" t="str">
        <x:v>VOICE:M4990</x:v>
      </x:c>
      <x:c r="E630" s="15" t="n">
        <x:v>-60</x:v>
      </x:c>
      <x:c r="F630" s="15" t="str">
        <x:v>preparation</x:v>
      </x:c>
      <x:c r="G630" s="15" t="n">
        <x:v>0</x:v>
      </x:c>
      <x:c r="H630" s="15" t="n">
        <x:v>0</x:v>
      </x:c>
      <x:c r="I630" s="15" t="n">
        <x:v>0</x:v>
      </x:c>
      <x:c r="J630" s="15" t="n">
        <x:v>0</x:v>
      </x:c>
      <x:c r="K630" s="15" t="n">
        <x:v>0</x:v>
      </x:c>
      <x:c r="L630" s="15" t="n">
        <x:v>0</x:v>
      </x:c>
      <x:c r="M630" s="15" t="n">
        <x:v>180</x:v>
      </x:c>
      <x:c r="N630" s="15" t="n">
        <x:v>220</x:v>
      </x:c>
      <x:c r="O630" s="15" t="n">
        <x:v>96</x:v>
      </x:c>
      <x:c r="P630" s="15" t="n">
        <x:v>64</x:v>
      </x:c>
      <x:c r="Q630" s="15" t="n">
        <x:v>32</x:v>
      </x:c>
      <x:c r="R630" s="15" t="n">
        <x:v>0</x:v>
      </x:c>
      <x:c r="S630" s="15" t="n">
        <x:v>0</x:v>
      </x:c>
      <x:c r="T630" s="15" t="n">
        <x:v>0</x:v>
      </x:c>
      <x:c r="U630" s="15" t="n">
        <x:v>0</x:v>
      </x:c>
      <x:c r="V630" s="15" t="n">
        <x:v>0</x:v>
      </x:c>
      <x:c r="W630" s="15" t="n">
        <x:v>0</x:v>
      </x:c>
      <x:c r="X630" s="15" t="n">
        <x:v>0</x:v>
      </x:c>
      <x:c r="Y630" s="15" t="n">
        <x:v>0</x:v>
      </x:c>
      <x:c r="Z630" s="15" t="n">
        <x:v>0</x:v>
      </x:c>
      <x:c r="AA630" s="15" t="n">
        <x:v>0</x:v>
      </x:c>
      <x:c r="AB630" s="15" t="n">
        <x:f>SUM(G630:AA630)</x:f>
        <x:v>592</x:v>
      </x:c>
    </x:row>
    <x:row r="631" ht="36" customHeight="1">
      <x:c r="A631" s="10" t="str">
        <x:v>V-R1</x:v>
      </x:c>
      <x:c r="B631" s="10" t="str">
        <x:v>VOICE</x:v>
      </x:c>
      <x:c r="C631" s="10" t="str">
        <x:v>VOICE:S4-07</x:v>
      </x:c>
      <x:c r="D631" s="10" t="str">
        <x:v>VOICE:M5016</x:v>
      </x:c>
      <x:c r="E631" s="15" t="n">
        <x:v>-57.77</x:v>
      </x:c>
      <x:c r="F631" s="15" t="str">
        <x:v>preparation</x:v>
      </x:c>
      <x:c r="G631" s="15" t="n">
        <x:v>0</x:v>
      </x:c>
      <x:c r="H631" s="15" t="n">
        <x:v>0</x:v>
      </x:c>
      <x:c r="I631" s="15" t="n">
        <x:v>0</x:v>
      </x:c>
      <x:c r="J631" s="15" t="n">
        <x:v>0</x:v>
      </x:c>
      <x:c r="K631" s="15" t="n">
        <x:v>0</x:v>
      </x:c>
      <x:c r="L631" s="15" t="n">
        <x:v>0</x:v>
      </x:c>
      <x:c r="M631" s="15" t="n">
        <x:v>180</x:v>
      </x:c>
      <x:c r="N631" s="15" t="n">
        <x:v>220</x:v>
      </x:c>
      <x:c r="O631" s="15" t="n">
        <x:v>96</x:v>
      </x:c>
      <x:c r="P631" s="15" t="n">
        <x:v>64</x:v>
      </x:c>
      <x:c r="Q631" s="15" t="n">
        <x:v>24</x:v>
      </x:c>
      <x:c r="R631" s="15" t="n">
        <x:v>60</x:v>
      </x:c>
      <x:c r="S631" s="15" t="n">
        <x:v>280</x:v>
      </x:c>
      <x:c r="T631" s="15" t="n">
        <x:v>420</x:v>
      </x:c>
      <x:c r="U631" s="15" t="n">
        <x:v>0</x:v>
      </x:c>
      <x:c r="V631" s="15" t="n">
        <x:v>180</x:v>
      </x:c>
      <x:c r="W631" s="15" t="n">
        <x:v>380</x:v>
      </x:c>
      <x:c r="X631" s="15" t="n">
        <x:v>0</x:v>
      </x:c>
      <x:c r="Y631" s="15" t="n">
        <x:v>0</x:v>
      </x:c>
      <x:c r="Z631" s="15" t="n">
        <x:v>0</x:v>
      </x:c>
      <x:c r="AA631" s="15" t="n">
        <x:v>0</x:v>
      </x:c>
      <x:c r="AB631" s="15" t="n">
        <x:f>SUM(G631:AA631)</x:f>
        <x:v>1904</x:v>
      </x:c>
    </x:row>
    <x:row r="632" ht="36" customHeight="1">
      <x:c r="A632" s="10" t="str">
        <x:v>V-R2</x:v>
      </x:c>
      <x:c r="B632" s="10" t="str">
        <x:v>VOICE</x:v>
      </x:c>
      <x:c r="C632" s="10" t="str">
        <x:v>VOICE:S4-07</x:v>
      </x:c>
      <x:c r="D632" s="10" t="str">
        <x:v>VOICE:M5045</x:v>
      </x:c>
      <x:c r="E632" s="15" t="n">
        <x:v>-57.77</x:v>
      </x:c>
      <x:c r="F632" s="15" t="str">
        <x:v>preparation</x:v>
      </x:c>
      <x:c r="G632" s="15" t="n">
        <x:v>0</x:v>
      </x:c>
      <x:c r="H632" s="15" t="n">
        <x:v>0</x:v>
      </x:c>
      <x:c r="I632" s="15" t="n">
        <x:v>0</x:v>
      </x:c>
      <x:c r="J632" s="15" t="n">
        <x:v>0</x:v>
      </x:c>
      <x:c r="K632" s="15" t="n">
        <x:v>0</x:v>
      </x:c>
      <x:c r="L632" s="15" t="n">
        <x:v>0</x:v>
      </x:c>
      <x:c r="M632" s="15" t="n">
        <x:v>180</x:v>
      </x:c>
      <x:c r="N632" s="15" t="n">
        <x:v>220</x:v>
      </x:c>
      <x:c r="O632" s="15" t="n">
        <x:v>96</x:v>
      </x:c>
      <x:c r="P632" s="15" t="n">
        <x:v>64</x:v>
      </x:c>
      <x:c r="Q632" s="15" t="n">
        <x:v>24</x:v>
      </x:c>
      <x:c r="R632" s="15" t="n">
        <x:v>60</x:v>
      </x:c>
      <x:c r="S632" s="15" t="n">
        <x:v>280</x:v>
      </x:c>
      <x:c r="T632" s="15" t="n">
        <x:v>420</x:v>
      </x:c>
      <x:c r="U632" s="15" t="n">
        <x:v>0</x:v>
      </x:c>
      <x:c r="V632" s="15" t="n">
        <x:v>180</x:v>
      </x:c>
      <x:c r="W632" s="15" t="n">
        <x:v>380</x:v>
      </x:c>
      <x:c r="X632" s="15" t="n">
        <x:v>0</x:v>
      </x:c>
      <x:c r="Y632" s="15" t="n">
        <x:v>0</x:v>
      </x:c>
      <x:c r="Z632" s="15" t="n">
        <x:v>0</x:v>
      </x:c>
      <x:c r="AA632" s="15" t="n">
        <x:v>0</x:v>
      </x:c>
      <x:c r="AB632" s="15" t="n">
        <x:f>SUM(G632:AA632)</x:f>
        <x:v>1904</x:v>
      </x:c>
    </x:row>
    <x:row r="633" ht="36" customHeight="1">
      <x:c r="A633" s="10" t="str">
        <x:v>V-R3</x:v>
      </x:c>
      <x:c r="B633" s="10" t="str">
        <x:v>VOICE</x:v>
      </x:c>
      <x:c r="C633" s="10" t="str">
        <x:v>VOICE:S4-07</x:v>
      </x:c>
      <x:c r="D633" s="10" t="str">
        <x:v>VOICE:M5071</x:v>
      </x:c>
      <x:c r="E633" s="15" t="n">
        <x:v>-57.77</x:v>
      </x:c>
      <x:c r="F633" s="15" t="str">
        <x:v>preparation</x:v>
      </x:c>
      <x:c r="G633" s="15" t="n">
        <x:v>0</x:v>
      </x:c>
      <x:c r="H633" s="15" t="n">
        <x:v>0</x:v>
      </x:c>
      <x:c r="I633" s="15" t="n">
        <x:v>0</x:v>
      </x:c>
      <x:c r="J633" s="15" t="n">
        <x:v>0</x:v>
      </x:c>
      <x:c r="K633" s="15" t="n">
        <x:v>0</x:v>
      </x:c>
      <x:c r="L633" s="15" t="n">
        <x:v>0</x:v>
      </x:c>
      <x:c r="M633" s="15" t="n">
        <x:v>180</x:v>
      </x:c>
      <x:c r="N633" s="15" t="n">
        <x:v>220</x:v>
      </x:c>
      <x:c r="O633" s="15" t="n">
        <x:v>96</x:v>
      </x:c>
      <x:c r="P633" s="15" t="n">
        <x:v>64</x:v>
      </x:c>
      <x:c r="Q633" s="15" t="n">
        <x:v>32</x:v>
      </x:c>
      <x:c r="R633" s="15" t="n">
        <x:v>60</x:v>
      </x:c>
      <x:c r="S633" s="15" t="n">
        <x:v>280</x:v>
      </x:c>
      <x:c r="T633" s="15" t="n">
        <x:v>420</x:v>
      </x:c>
      <x:c r="U633" s="15" t="n">
        <x:v>0</x:v>
      </x:c>
      <x:c r="V633" s="15" t="n">
        <x:v>180</x:v>
      </x:c>
      <x:c r="W633" s="15" t="n">
        <x:v>380</x:v>
      </x:c>
      <x:c r="X633" s="15" t="n">
        <x:v>0</x:v>
      </x:c>
      <x:c r="Y633" s="15" t="n">
        <x:v>0</x:v>
      </x:c>
      <x:c r="Z633" s="15" t="n">
        <x:v>0</x:v>
      </x:c>
      <x:c r="AA633" s="15" t="n">
        <x:v>0</x:v>
      </x:c>
      <x:c r="AB633" s="15" t="n">
        <x:f>SUM(G633:AA633)</x:f>
        <x:v>1912</x:v>
      </x:c>
    </x:row>
    <x:row r="634" ht="36" customHeight="1">
      <x:c r="A634" s="10" t="str">
        <x:v>V-A</x:v>
      </x:c>
      <x:c r="B634" s="10" t="str">
        <x:v>VOICE</x:v>
      </x:c>
      <x:c r="C634" s="10" t="str">
        <x:v>VOICE:S4-08</x:v>
      </x:c>
      <x:c r="D634" s="10" t="str">
        <x:v>VOICE:M5095</x:v>
      </x:c>
      <x:c r="E634" s="15" t="n">
        <x:v>-60</x:v>
      </x:c>
      <x:c r="F634" s="15" t="str">
        <x:v>preparation</x:v>
      </x:c>
      <x:c r="G634" s="15" t="n">
        <x:v>0</x:v>
      </x:c>
      <x:c r="H634" s="15" t="n">
        <x:v>0</x:v>
      </x:c>
      <x:c r="I634" s="15" t="n">
        <x:v>0</x:v>
      </x:c>
      <x:c r="J634" s="15" t="n">
        <x:v>0</x:v>
      </x:c>
      <x:c r="K634" s="15" t="n">
        <x:v>0</x:v>
      </x:c>
      <x:c r="L634" s="15" t="n">
        <x:v>0</x:v>
      </x:c>
      <x:c r="M634" s="15" t="n">
        <x:v>180</x:v>
      </x:c>
      <x:c r="N634" s="15" t="n">
        <x:v>220</x:v>
      </x:c>
      <x:c r="O634" s="15" t="n">
        <x:v>96</x:v>
      </x:c>
      <x:c r="P634" s="15" t="n">
        <x:v>64</x:v>
      </x:c>
      <x:c r="Q634" s="15" t="n">
        <x:v>32</x:v>
      </x:c>
      <x:c r="R634" s="15" t="n">
        <x:v>0</x:v>
      </x:c>
      <x:c r="S634" s="15" t="n">
        <x:v>0</x:v>
      </x:c>
      <x:c r="T634" s="15" t="n">
        <x:v>0</x:v>
      </x:c>
      <x:c r="U634" s="15" t="n">
        <x:v>0</x:v>
      </x:c>
      <x:c r="V634" s="15" t="n">
        <x:v>0</x:v>
      </x:c>
      <x:c r="W634" s="15" t="n">
        <x:v>0</x:v>
      </x:c>
      <x:c r="X634" s="15" t="n">
        <x:v>0</x:v>
      </x:c>
      <x:c r="Y634" s="15" t="n">
        <x:v>0</x:v>
      </x:c>
      <x:c r="Z634" s="15" t="n">
        <x:v>0</x:v>
      </x:c>
      <x:c r="AA634" s="15" t="n">
        <x:v>0</x:v>
      </x:c>
      <x:c r="AB634" s="15" t="n">
        <x:f>SUM(G634:AA634)</x:f>
        <x:v>592</x:v>
      </x:c>
    </x:row>
    <x:row r="635" ht="36" customHeight="1">
      <x:c r="A635" s="10" t="str">
        <x:v>V-R1</x:v>
      </x:c>
      <x:c r="B635" s="10" t="str">
        <x:v>VOICE</x:v>
      </x:c>
      <x:c r="C635" s="10" t="str">
        <x:v>VOICE:S4-08</x:v>
      </x:c>
      <x:c r="D635" s="10" t="str">
        <x:v>VOICE:M5121</x:v>
      </x:c>
      <x:c r="E635" s="15" t="n">
        <x:v>-57.77</x:v>
      </x:c>
      <x:c r="F635" s="15" t="str">
        <x:v>preparation</x:v>
      </x:c>
      <x:c r="G635" s="15" t="n">
        <x:v>0</x:v>
      </x:c>
      <x:c r="H635" s="15" t="n">
        <x:v>0</x:v>
      </x:c>
      <x:c r="I635" s="15" t="n">
        <x:v>0</x:v>
      </x:c>
      <x:c r="J635" s="15" t="n">
        <x:v>0</x:v>
      </x:c>
      <x:c r="K635" s="15" t="n">
        <x:v>0</x:v>
      </x:c>
      <x:c r="L635" s="15" t="n">
        <x:v>0</x:v>
      </x:c>
      <x:c r="M635" s="15" t="n">
        <x:v>180</x:v>
      </x:c>
      <x:c r="N635" s="15" t="n">
        <x:v>220</x:v>
      </x:c>
      <x:c r="O635" s="15" t="n">
        <x:v>96</x:v>
      </x:c>
      <x:c r="P635" s="15" t="n">
        <x:v>64</x:v>
      </x:c>
      <x:c r="Q635" s="15" t="n">
        <x:v>24</x:v>
      </x:c>
      <x:c r="R635" s="15" t="n">
        <x:v>60</x:v>
      </x:c>
      <x:c r="S635" s="15" t="n">
        <x:v>280</x:v>
      </x:c>
      <x:c r="T635" s="15" t="n">
        <x:v>420</x:v>
      </x:c>
      <x:c r="U635" s="15" t="n">
        <x:v>0</x:v>
      </x:c>
      <x:c r="V635" s="15" t="n">
        <x:v>180</x:v>
      </x:c>
      <x:c r="W635" s="15" t="n">
        <x:v>380</x:v>
      </x:c>
      <x:c r="X635" s="15" t="n">
        <x:v>0</x:v>
      </x:c>
      <x:c r="Y635" s="15" t="n">
        <x:v>0</x:v>
      </x:c>
      <x:c r="Z635" s="15" t="n">
        <x:v>0</x:v>
      </x:c>
      <x:c r="AA635" s="15" t="n">
        <x:v>0</x:v>
      </x:c>
      <x:c r="AB635" s="15" t="n">
        <x:f>SUM(G635:AA635)</x:f>
        <x:v>1904</x:v>
      </x:c>
    </x:row>
    <x:row r="636" ht="36" customHeight="1">
      <x:c r="A636" s="10" t="str">
        <x:v>V-R2</x:v>
      </x:c>
      <x:c r="B636" s="10" t="str">
        <x:v>VOICE</x:v>
      </x:c>
      <x:c r="C636" s="10" t="str">
        <x:v>VOICE:S4-08</x:v>
      </x:c>
      <x:c r="D636" s="10" t="str">
        <x:v>VOICE:M5150</x:v>
      </x:c>
      <x:c r="E636" s="15" t="n">
        <x:v>-57.77</x:v>
      </x:c>
      <x:c r="F636" s="15" t="str">
        <x:v>preparation</x:v>
      </x:c>
      <x:c r="G636" s="15" t="n">
        <x:v>0</x:v>
      </x:c>
      <x:c r="H636" s="15" t="n">
        <x:v>0</x:v>
      </x:c>
      <x:c r="I636" s="15" t="n">
        <x:v>0</x:v>
      </x:c>
      <x:c r="J636" s="15" t="n">
        <x:v>0</x:v>
      </x:c>
      <x:c r="K636" s="15" t="n">
        <x:v>0</x:v>
      </x:c>
      <x:c r="L636" s="15" t="n">
        <x:v>0</x:v>
      </x:c>
      <x:c r="M636" s="15" t="n">
        <x:v>180</x:v>
      </x:c>
      <x:c r="N636" s="15" t="n">
        <x:v>220</x:v>
      </x:c>
      <x:c r="O636" s="15" t="n">
        <x:v>96</x:v>
      </x:c>
      <x:c r="P636" s="15" t="n">
        <x:v>64</x:v>
      </x:c>
      <x:c r="Q636" s="15" t="n">
        <x:v>24</x:v>
      </x:c>
      <x:c r="R636" s="15" t="n">
        <x:v>60</x:v>
      </x:c>
      <x:c r="S636" s="15" t="n">
        <x:v>280</x:v>
      </x:c>
      <x:c r="T636" s="15" t="n">
        <x:v>420</x:v>
      </x:c>
      <x:c r="U636" s="15" t="n">
        <x:v>0</x:v>
      </x:c>
      <x:c r="V636" s="15" t="n">
        <x:v>180</x:v>
      </x:c>
      <x:c r="W636" s="15" t="n">
        <x:v>380</x:v>
      </x:c>
      <x:c r="X636" s="15" t="n">
        <x:v>0</x:v>
      </x:c>
      <x:c r="Y636" s="15" t="n">
        <x:v>0</x:v>
      </x:c>
      <x:c r="Z636" s="15" t="n">
        <x:v>0</x:v>
      </x:c>
      <x:c r="AA636" s="15" t="n">
        <x:v>0</x:v>
      </x:c>
      <x:c r="AB636" s="15" t="n">
        <x:f>SUM(G636:AA636)</x:f>
        <x:v>1904</x:v>
      </x:c>
    </x:row>
    <x:row r="637" ht="36" customHeight="1">
      <x:c r="A637" s="10" t="str">
        <x:v>V-R3</x:v>
      </x:c>
      <x:c r="B637" s="10" t="str">
        <x:v>VOICE</x:v>
      </x:c>
      <x:c r="C637" s="10" t="str">
        <x:v>VOICE:S4-08</x:v>
      </x:c>
      <x:c r="D637" s="10" t="str">
        <x:v>VOICE:M5176</x:v>
      </x:c>
      <x:c r="E637" s="15" t="n">
        <x:v>-57.77</x:v>
      </x:c>
      <x:c r="F637" s="15" t="str">
        <x:v>preparation</x:v>
      </x:c>
      <x:c r="G637" s="15" t="n">
        <x:v>0</x:v>
      </x:c>
      <x:c r="H637" s="15" t="n">
        <x:v>0</x:v>
      </x:c>
      <x:c r="I637" s="15" t="n">
        <x:v>0</x:v>
      </x:c>
      <x:c r="J637" s="15" t="n">
        <x:v>0</x:v>
      </x:c>
      <x:c r="K637" s="15" t="n">
        <x:v>0</x:v>
      </x:c>
      <x:c r="L637" s="15" t="n">
        <x:v>0</x:v>
      </x:c>
      <x:c r="M637" s="15" t="n">
        <x:v>180</x:v>
      </x:c>
      <x:c r="N637" s="15" t="n">
        <x:v>220</x:v>
      </x:c>
      <x:c r="O637" s="15" t="n">
        <x:v>96</x:v>
      </x:c>
      <x:c r="P637" s="15" t="n">
        <x:v>64</x:v>
      </x:c>
      <x:c r="Q637" s="15" t="n">
        <x:v>32</x:v>
      </x:c>
      <x:c r="R637" s="15" t="n">
        <x:v>60</x:v>
      </x:c>
      <x:c r="S637" s="15" t="n">
        <x:v>280</x:v>
      </x:c>
      <x:c r="T637" s="15" t="n">
        <x:v>420</x:v>
      </x:c>
      <x:c r="U637" s="15" t="n">
        <x:v>0</x:v>
      </x:c>
      <x:c r="V637" s="15" t="n">
        <x:v>180</x:v>
      </x:c>
      <x:c r="W637" s="15" t="n">
        <x:v>380</x:v>
      </x:c>
      <x:c r="X637" s="15" t="n">
        <x:v>0</x:v>
      </x:c>
      <x:c r="Y637" s="15" t="n">
        <x:v>0</x:v>
      </x:c>
      <x:c r="Z637" s="15" t="n">
        <x:v>0</x:v>
      </x:c>
      <x:c r="AA637" s="15" t="n">
        <x:v>0</x:v>
      </x:c>
      <x:c r="AB637" s="15" t="n">
        <x:f>SUM(G637:AA637)</x:f>
        <x:v>1912</x:v>
      </x:c>
    </x:row>
    <x:row r="638" ht="36" customHeight="1">
      <x:c r="A638" s="10" t="str">
        <x:v>V-A</x:v>
      </x:c>
      <x:c r="B638" s="10" t="str">
        <x:v>VOICE</x:v>
      </x:c>
      <x:c r="C638" s="10" t="str">
        <x:v>VOICE:S4-09</x:v>
      </x:c>
      <x:c r="D638" s="10" t="str">
        <x:v>VOICE:M5200</x:v>
      </x:c>
      <x:c r="E638" s="15" t="n">
        <x:v>-60</x:v>
      </x:c>
      <x:c r="F638" s="15" t="str">
        <x:v>preparation</x:v>
      </x:c>
      <x:c r="G638" s="15" t="n">
        <x:v>0</x:v>
      </x:c>
      <x:c r="H638" s="15" t="n">
        <x:v>0</x:v>
      </x:c>
      <x:c r="I638" s="15" t="n">
        <x:v>0</x:v>
      </x:c>
      <x:c r="J638" s="15" t="n">
        <x:v>0</x:v>
      </x:c>
      <x:c r="K638" s="15" t="n">
        <x:v>0</x:v>
      </x:c>
      <x:c r="L638" s="15" t="n">
        <x:v>0</x:v>
      </x:c>
      <x:c r="M638" s="15" t="n">
        <x:v>180</x:v>
      </x:c>
      <x:c r="N638" s="15" t="n">
        <x:v>220</x:v>
      </x:c>
      <x:c r="O638" s="15" t="n">
        <x:v>96</x:v>
      </x:c>
      <x:c r="P638" s="15" t="n">
        <x:v>64</x:v>
      </x:c>
      <x:c r="Q638" s="15" t="n">
        <x:v>32</x:v>
      </x:c>
      <x:c r="R638" s="15" t="n">
        <x:v>0</x:v>
      </x:c>
      <x:c r="S638" s="15" t="n">
        <x:v>0</x:v>
      </x:c>
      <x:c r="T638" s="15" t="n">
        <x:v>0</x:v>
      </x:c>
      <x:c r="U638" s="15" t="n">
        <x:v>0</x:v>
      </x:c>
      <x:c r="V638" s="15" t="n">
        <x:v>0</x:v>
      </x:c>
      <x:c r="W638" s="15" t="n">
        <x:v>0</x:v>
      </x:c>
      <x:c r="X638" s="15" t="n">
        <x:v>0</x:v>
      </x:c>
      <x:c r="Y638" s="15" t="n">
        <x:v>0</x:v>
      </x:c>
      <x:c r="Z638" s="15" t="n">
        <x:v>0</x:v>
      </x:c>
      <x:c r="AA638" s="15" t="n">
        <x:v>0</x:v>
      </x:c>
      <x:c r="AB638" s="15" t="n">
        <x:f>SUM(G638:AA638)</x:f>
        <x:v>592</x:v>
      </x:c>
    </x:row>
    <x:row r="639" ht="36" customHeight="1">
      <x:c r="A639" s="10" t="str">
        <x:v>V-R1</x:v>
      </x:c>
      <x:c r="B639" s="10" t="str">
        <x:v>VOICE</x:v>
      </x:c>
      <x:c r="C639" s="10" t="str">
        <x:v>VOICE:S4-09</x:v>
      </x:c>
      <x:c r="D639" s="10" t="str">
        <x:v>VOICE:M5226</x:v>
      </x:c>
      <x:c r="E639" s="15" t="n">
        <x:v>-57.77</x:v>
      </x:c>
      <x:c r="F639" s="15" t="str">
        <x:v>preparation</x:v>
      </x:c>
      <x:c r="G639" s="15" t="n">
        <x:v>0</x:v>
      </x:c>
      <x:c r="H639" s="15" t="n">
        <x:v>0</x:v>
      </x:c>
      <x:c r="I639" s="15" t="n">
        <x:v>0</x:v>
      </x:c>
      <x:c r="J639" s="15" t="n">
        <x:v>0</x:v>
      </x:c>
      <x:c r="K639" s="15" t="n">
        <x:v>0</x:v>
      </x:c>
      <x:c r="L639" s="15" t="n">
        <x:v>0</x:v>
      </x:c>
      <x:c r="M639" s="15" t="n">
        <x:v>180</x:v>
      </x:c>
      <x:c r="N639" s="15" t="n">
        <x:v>220</x:v>
      </x:c>
      <x:c r="O639" s="15" t="n">
        <x:v>96</x:v>
      </x:c>
      <x:c r="P639" s="15" t="n">
        <x:v>64</x:v>
      </x:c>
      <x:c r="Q639" s="15" t="n">
        <x:v>24</x:v>
      </x:c>
      <x:c r="R639" s="15" t="n">
        <x:v>60</x:v>
      </x:c>
      <x:c r="S639" s="15" t="n">
        <x:v>280</x:v>
      </x:c>
      <x:c r="T639" s="15" t="n">
        <x:v>420</x:v>
      </x:c>
      <x:c r="U639" s="15" t="n">
        <x:v>0</x:v>
      </x:c>
      <x:c r="V639" s="15" t="n">
        <x:v>180</x:v>
      </x:c>
      <x:c r="W639" s="15" t="n">
        <x:v>380</x:v>
      </x:c>
      <x:c r="X639" s="15" t="n">
        <x:v>0</x:v>
      </x:c>
      <x:c r="Y639" s="15" t="n">
        <x:v>0</x:v>
      </x:c>
      <x:c r="Z639" s="15" t="n">
        <x:v>0</x:v>
      </x:c>
      <x:c r="AA639" s="15" t="n">
        <x:v>0</x:v>
      </x:c>
      <x:c r="AB639" s="15" t="n">
        <x:f>SUM(G639:AA639)</x:f>
        <x:v>1904</x:v>
      </x:c>
    </x:row>
    <x:row r="640" ht="36" customHeight="1">
      <x:c r="A640" s="10" t="str">
        <x:v>V-R2</x:v>
      </x:c>
      <x:c r="B640" s="10" t="str">
        <x:v>VOICE</x:v>
      </x:c>
      <x:c r="C640" s="10" t="str">
        <x:v>VOICE:S4-09</x:v>
      </x:c>
      <x:c r="D640" s="10" t="str">
        <x:v>VOICE:M5255</x:v>
      </x:c>
      <x:c r="E640" s="15" t="n">
        <x:v>-57.77</x:v>
      </x:c>
      <x:c r="F640" s="15" t="str">
        <x:v>preparation</x:v>
      </x:c>
      <x:c r="G640" s="15" t="n">
        <x:v>0</x:v>
      </x:c>
      <x:c r="H640" s="15" t="n">
        <x:v>0</x:v>
      </x:c>
      <x:c r="I640" s="15" t="n">
        <x:v>0</x:v>
      </x:c>
      <x:c r="J640" s="15" t="n">
        <x:v>0</x:v>
      </x:c>
      <x:c r="K640" s="15" t="n">
        <x:v>0</x:v>
      </x:c>
      <x:c r="L640" s="15" t="n">
        <x:v>0</x:v>
      </x:c>
      <x:c r="M640" s="15" t="n">
        <x:v>180</x:v>
      </x:c>
      <x:c r="N640" s="15" t="n">
        <x:v>220</x:v>
      </x:c>
      <x:c r="O640" s="15" t="n">
        <x:v>96</x:v>
      </x:c>
      <x:c r="P640" s="15" t="n">
        <x:v>64</x:v>
      </x:c>
      <x:c r="Q640" s="15" t="n">
        <x:v>24</x:v>
      </x:c>
      <x:c r="R640" s="15" t="n">
        <x:v>60</x:v>
      </x:c>
      <x:c r="S640" s="15" t="n">
        <x:v>280</x:v>
      </x:c>
      <x:c r="T640" s="15" t="n">
        <x:v>420</x:v>
      </x:c>
      <x:c r="U640" s="15" t="n">
        <x:v>0</x:v>
      </x:c>
      <x:c r="V640" s="15" t="n">
        <x:v>180</x:v>
      </x:c>
      <x:c r="W640" s="15" t="n">
        <x:v>380</x:v>
      </x:c>
      <x:c r="X640" s="15" t="n">
        <x:v>0</x:v>
      </x:c>
      <x:c r="Y640" s="15" t="n">
        <x:v>0</x:v>
      </x:c>
      <x:c r="Z640" s="15" t="n">
        <x:v>0</x:v>
      </x:c>
      <x:c r="AA640" s="15" t="n">
        <x:v>0</x:v>
      </x:c>
      <x:c r="AB640" s="15" t="n">
        <x:f>SUM(G640:AA640)</x:f>
        <x:v>1904</x:v>
      </x:c>
    </x:row>
    <x:row r="641" ht="36" customHeight="1">
      <x:c r="A641" s="10" t="str">
        <x:v>V-R3</x:v>
      </x:c>
      <x:c r="B641" s="10" t="str">
        <x:v>VOICE</x:v>
      </x:c>
      <x:c r="C641" s="10" t="str">
        <x:v>VOICE:S4-09</x:v>
      </x:c>
      <x:c r="D641" s="10" t="str">
        <x:v>VOICE:M5281</x:v>
      </x:c>
      <x:c r="E641" s="15" t="n">
        <x:v>-57.77</x:v>
      </x:c>
      <x:c r="F641" s="15" t="str">
        <x:v>preparation</x:v>
      </x:c>
      <x:c r="G641" s="15" t="n">
        <x:v>0</x:v>
      </x:c>
      <x:c r="H641" s="15" t="n">
        <x:v>0</x:v>
      </x:c>
      <x:c r="I641" s="15" t="n">
        <x:v>0</x:v>
      </x:c>
      <x:c r="J641" s="15" t="n">
        <x:v>0</x:v>
      </x:c>
      <x:c r="K641" s="15" t="n">
        <x:v>0</x:v>
      </x:c>
      <x:c r="L641" s="15" t="n">
        <x:v>0</x:v>
      </x:c>
      <x:c r="M641" s="15" t="n">
        <x:v>180</x:v>
      </x:c>
      <x:c r="N641" s="15" t="n">
        <x:v>220</x:v>
      </x:c>
      <x:c r="O641" s="15" t="n">
        <x:v>96</x:v>
      </x:c>
      <x:c r="P641" s="15" t="n">
        <x:v>64</x:v>
      </x:c>
      <x:c r="Q641" s="15" t="n">
        <x:v>32</x:v>
      </x:c>
      <x:c r="R641" s="15" t="n">
        <x:v>60</x:v>
      </x:c>
      <x:c r="S641" s="15" t="n">
        <x:v>280</x:v>
      </x:c>
      <x:c r="T641" s="15" t="n">
        <x:v>420</x:v>
      </x:c>
      <x:c r="U641" s="15" t="n">
        <x:v>0</x:v>
      </x:c>
      <x:c r="V641" s="15" t="n">
        <x:v>180</x:v>
      </x:c>
      <x:c r="W641" s="15" t="n">
        <x:v>380</x:v>
      </x:c>
      <x:c r="X641" s="15" t="n">
        <x:v>0</x:v>
      </x:c>
      <x:c r="Y641" s="15" t="n">
        <x:v>0</x:v>
      </x:c>
      <x:c r="Z641" s="15" t="n">
        <x:v>0</x:v>
      </x:c>
      <x:c r="AA641" s="15" t="n">
        <x:v>0</x:v>
      </x:c>
      <x:c r="AB641" s="15" t="n">
        <x:f>SUM(G641:AA641)</x:f>
        <x:v>1912</x:v>
      </x:c>
    </x:row>
    <x:row r="642" ht="36" customHeight="1">
      <x:c r="A642" s="10" t="str">
        <x:v>V-A</x:v>
      </x:c>
      <x:c r="B642" s="10" t="str">
        <x:v>VOICE</x:v>
      </x:c>
      <x:c r="C642" s="10" t="str">
        <x:v>VOICE:S4-10</x:v>
      </x:c>
      <x:c r="D642" s="10" t="str">
        <x:v>VOICE:M5305</x:v>
      </x:c>
      <x:c r="E642" s="15" t="n">
        <x:v>-60</x:v>
      </x:c>
      <x:c r="F642" s="15" t="str">
        <x:v>preparation</x:v>
      </x:c>
      <x:c r="G642" s="15" t="n">
        <x:v>0</x:v>
      </x:c>
      <x:c r="H642" s="15" t="n">
        <x:v>0</x:v>
      </x:c>
      <x:c r="I642" s="15" t="n">
        <x:v>0</x:v>
      </x:c>
      <x:c r="J642" s="15" t="n">
        <x:v>0</x:v>
      </x:c>
      <x:c r="K642" s="15" t="n">
        <x:v>0</x:v>
      </x:c>
      <x:c r="L642" s="15" t="n">
        <x:v>0</x:v>
      </x:c>
      <x:c r="M642" s="15" t="n">
        <x:v>180</x:v>
      </x:c>
      <x:c r="N642" s="15" t="n">
        <x:v>220</x:v>
      </x:c>
      <x:c r="O642" s="15" t="n">
        <x:v>96</x:v>
      </x:c>
      <x:c r="P642" s="15" t="n">
        <x:v>64</x:v>
      </x:c>
      <x:c r="Q642" s="15" t="n">
        <x:v>32</x:v>
      </x:c>
      <x:c r="R642" s="15" t="n">
        <x:v>0</x:v>
      </x:c>
      <x:c r="S642" s="15" t="n">
        <x:v>0</x:v>
      </x:c>
      <x:c r="T642" s="15" t="n">
        <x:v>0</x:v>
      </x:c>
      <x:c r="U642" s="15" t="n">
        <x:v>0</x:v>
      </x:c>
      <x:c r="V642" s="15" t="n">
        <x:v>0</x:v>
      </x:c>
      <x:c r="W642" s="15" t="n">
        <x:v>0</x:v>
      </x:c>
      <x:c r="X642" s="15" t="n">
        <x:v>0</x:v>
      </x:c>
      <x:c r="Y642" s="15" t="n">
        <x:v>0</x:v>
      </x:c>
      <x:c r="Z642" s="15" t="n">
        <x:v>0</x:v>
      </x:c>
      <x:c r="AA642" s="15" t="n">
        <x:v>0</x:v>
      </x:c>
      <x:c r="AB642" s="15" t="n">
        <x:f>SUM(G642:AA642)</x:f>
        <x:v>592</x:v>
      </x:c>
    </x:row>
    <x:row r="643" ht="36" customHeight="1">
      <x:c r="A643" s="10" t="str">
        <x:v>V-R1</x:v>
      </x:c>
      <x:c r="B643" s="10" t="str">
        <x:v>VOICE</x:v>
      </x:c>
      <x:c r="C643" s="10" t="str">
        <x:v>VOICE:S4-10</x:v>
      </x:c>
      <x:c r="D643" s="10" t="str">
        <x:v>VOICE:M5331</x:v>
      </x:c>
      <x:c r="E643" s="15" t="n">
        <x:v>-57.77</x:v>
      </x:c>
      <x:c r="F643" s="15" t="str">
        <x:v>preparation</x:v>
      </x:c>
      <x:c r="G643" s="15" t="n">
        <x:v>0</x:v>
      </x:c>
      <x:c r="H643" s="15" t="n">
        <x:v>0</x:v>
      </x:c>
      <x:c r="I643" s="15" t="n">
        <x:v>0</x:v>
      </x:c>
      <x:c r="J643" s="15" t="n">
        <x:v>0</x:v>
      </x:c>
      <x:c r="K643" s="15" t="n">
        <x:v>0</x:v>
      </x:c>
      <x:c r="L643" s="15" t="n">
        <x:v>0</x:v>
      </x:c>
      <x:c r="M643" s="15" t="n">
        <x:v>180</x:v>
      </x:c>
      <x:c r="N643" s="15" t="n">
        <x:v>220</x:v>
      </x:c>
      <x:c r="O643" s="15" t="n">
        <x:v>96</x:v>
      </x:c>
      <x:c r="P643" s="15" t="n">
        <x:v>64</x:v>
      </x:c>
      <x:c r="Q643" s="15" t="n">
        <x:v>24</x:v>
      </x:c>
      <x:c r="R643" s="15" t="n">
        <x:v>60</x:v>
      </x:c>
      <x:c r="S643" s="15" t="n">
        <x:v>280</x:v>
      </x:c>
      <x:c r="T643" s="15" t="n">
        <x:v>420</x:v>
      </x:c>
      <x:c r="U643" s="15" t="n">
        <x:v>0</x:v>
      </x:c>
      <x:c r="V643" s="15" t="n">
        <x:v>180</x:v>
      </x:c>
      <x:c r="W643" s="15" t="n">
        <x:v>380</x:v>
      </x:c>
      <x:c r="X643" s="15" t="n">
        <x:v>0</x:v>
      </x:c>
      <x:c r="Y643" s="15" t="n">
        <x:v>0</x:v>
      </x:c>
      <x:c r="Z643" s="15" t="n">
        <x:v>0</x:v>
      </x:c>
      <x:c r="AA643" s="15" t="n">
        <x:v>0</x:v>
      </x:c>
      <x:c r="AB643" s="15" t="n">
        <x:f>SUM(G643:AA643)</x:f>
        <x:v>1904</x:v>
      </x:c>
    </x:row>
    <x:row r="644" ht="36" customHeight="1">
      <x:c r="A644" s="10" t="str">
        <x:v>V-R2</x:v>
      </x:c>
      <x:c r="B644" s="10" t="str">
        <x:v>VOICE</x:v>
      </x:c>
      <x:c r="C644" s="10" t="str">
        <x:v>VOICE:S4-10</x:v>
      </x:c>
      <x:c r="D644" s="10" t="str">
        <x:v>VOICE:M5360</x:v>
      </x:c>
      <x:c r="E644" s="15" t="n">
        <x:v>-57.77</x:v>
      </x:c>
      <x:c r="F644" s="15" t="str">
        <x:v>preparation</x:v>
      </x:c>
      <x:c r="G644" s="15" t="n">
        <x:v>0</x:v>
      </x:c>
      <x:c r="H644" s="15" t="n">
        <x:v>0</x:v>
      </x:c>
      <x:c r="I644" s="15" t="n">
        <x:v>0</x:v>
      </x:c>
      <x:c r="J644" s="15" t="n">
        <x:v>0</x:v>
      </x:c>
      <x:c r="K644" s="15" t="n">
        <x:v>0</x:v>
      </x:c>
      <x:c r="L644" s="15" t="n">
        <x:v>0</x:v>
      </x:c>
      <x:c r="M644" s="15" t="n">
        <x:v>180</x:v>
      </x:c>
      <x:c r="N644" s="15" t="n">
        <x:v>220</x:v>
      </x:c>
      <x:c r="O644" s="15" t="n">
        <x:v>96</x:v>
      </x:c>
      <x:c r="P644" s="15" t="n">
        <x:v>64</x:v>
      </x:c>
      <x:c r="Q644" s="15" t="n">
        <x:v>24</x:v>
      </x:c>
      <x:c r="R644" s="15" t="n">
        <x:v>60</x:v>
      </x:c>
      <x:c r="S644" s="15" t="n">
        <x:v>280</x:v>
      </x:c>
      <x:c r="T644" s="15" t="n">
        <x:v>420</x:v>
      </x:c>
      <x:c r="U644" s="15" t="n">
        <x:v>0</x:v>
      </x:c>
      <x:c r="V644" s="15" t="n">
        <x:v>180</x:v>
      </x:c>
      <x:c r="W644" s="15" t="n">
        <x:v>380</x:v>
      </x:c>
      <x:c r="X644" s="15" t="n">
        <x:v>0</x:v>
      </x:c>
      <x:c r="Y644" s="15" t="n">
        <x:v>0</x:v>
      </x:c>
      <x:c r="Z644" s="15" t="n">
        <x:v>0</x:v>
      </x:c>
      <x:c r="AA644" s="15" t="n">
        <x:v>0</x:v>
      </x:c>
      <x:c r="AB644" s="15" t="n">
        <x:f>SUM(G644:AA644)</x:f>
        <x:v>1904</x:v>
      </x:c>
    </x:row>
    <x:row r="645" ht="36" customHeight="1">
      <x:c r="A645" s="10" t="str">
        <x:v>V-R3</x:v>
      </x:c>
      <x:c r="B645" s="10" t="str">
        <x:v>VOICE</x:v>
      </x:c>
      <x:c r="C645" s="10" t="str">
        <x:v>VOICE:S4-10</x:v>
      </x:c>
      <x:c r="D645" s="10" t="str">
        <x:v>VOICE:M5386</x:v>
      </x:c>
      <x:c r="E645" s="15" t="n">
        <x:v>-57.77</x:v>
      </x:c>
      <x:c r="F645" s="15" t="str">
        <x:v>preparation</x:v>
      </x:c>
      <x:c r="G645" s="15" t="n">
        <x:v>0</x:v>
      </x:c>
      <x:c r="H645" s="15" t="n">
        <x:v>0</x:v>
      </x:c>
      <x:c r="I645" s="15" t="n">
        <x:v>0</x:v>
      </x:c>
      <x:c r="J645" s="15" t="n">
        <x:v>0</x:v>
      </x:c>
      <x:c r="K645" s="15" t="n">
        <x:v>0</x:v>
      </x:c>
      <x:c r="L645" s="15" t="n">
        <x:v>0</x:v>
      </x:c>
      <x:c r="M645" s="15" t="n">
        <x:v>180</x:v>
      </x:c>
      <x:c r="N645" s="15" t="n">
        <x:v>220</x:v>
      </x:c>
      <x:c r="O645" s="15" t="n">
        <x:v>96</x:v>
      </x:c>
      <x:c r="P645" s="15" t="n">
        <x:v>64</x:v>
      </x:c>
      <x:c r="Q645" s="15" t="n">
        <x:v>32</x:v>
      </x:c>
      <x:c r="R645" s="15" t="n">
        <x:v>60</x:v>
      </x:c>
      <x:c r="S645" s="15" t="n">
        <x:v>280</x:v>
      </x:c>
      <x:c r="T645" s="15" t="n">
        <x:v>420</x:v>
      </x:c>
      <x:c r="U645" s="15" t="n">
        <x:v>0</x:v>
      </x:c>
      <x:c r="V645" s="15" t="n">
        <x:v>180</x:v>
      </x:c>
      <x:c r="W645" s="15" t="n">
        <x:v>380</x:v>
      </x:c>
      <x:c r="X645" s="15" t="n">
        <x:v>0</x:v>
      </x:c>
      <x:c r="Y645" s="15" t="n">
        <x:v>0</x:v>
      </x:c>
      <x:c r="Z645" s="15" t="n">
        <x:v>0</x:v>
      </x:c>
      <x:c r="AA645" s="15" t="n">
        <x:v>0</x:v>
      </x:c>
      <x:c r="AB645" s="15" t="n">
        <x:f>SUM(G645:AA645)</x:f>
        <x:v>1912</x:v>
      </x:c>
    </x:row>
    <x:row r="646" ht="36" customHeight="1">
      <x:c r="A646" s="10" t="str">
        <x:v>V-A</x:v>
      </x:c>
      <x:c r="B646" s="10" t="str">
        <x:v>VOICE</x:v>
      </x:c>
      <x:c r="C646" s="10" t="str">
        <x:v>VOICE:S4-11</x:v>
      </x:c>
      <x:c r="D646" s="10" t="str">
        <x:v>VOICE:M5410</x:v>
      </x:c>
      <x:c r="E646" s="15" t="n">
        <x:v>-60</x:v>
      </x:c>
      <x:c r="F646" s="15" t="str">
        <x:v>preparation</x:v>
      </x:c>
      <x:c r="G646" s="15" t="n">
        <x:v>0</x:v>
      </x:c>
      <x:c r="H646" s="15" t="n">
        <x:v>0</x:v>
      </x:c>
      <x:c r="I646" s="15" t="n">
        <x:v>0</x:v>
      </x:c>
      <x:c r="J646" s="15" t="n">
        <x:v>0</x:v>
      </x:c>
      <x:c r="K646" s="15" t="n">
        <x:v>0</x:v>
      </x:c>
      <x:c r="L646" s="15" t="n">
        <x:v>0</x:v>
      </x:c>
      <x:c r="M646" s="15" t="n">
        <x:v>180</x:v>
      </x:c>
      <x:c r="N646" s="15" t="n">
        <x:v>220</x:v>
      </x:c>
      <x:c r="O646" s="15" t="n">
        <x:v>96</x:v>
      </x:c>
      <x:c r="P646" s="15" t="n">
        <x:v>64</x:v>
      </x:c>
      <x:c r="Q646" s="15" t="n">
        <x:v>32</x:v>
      </x:c>
      <x:c r="R646" s="15" t="n">
        <x:v>0</x:v>
      </x:c>
      <x:c r="S646" s="15" t="n">
        <x:v>0</x:v>
      </x:c>
      <x:c r="T646" s="15" t="n">
        <x:v>0</x:v>
      </x:c>
      <x:c r="U646" s="15" t="n">
        <x:v>0</x:v>
      </x:c>
      <x:c r="V646" s="15" t="n">
        <x:v>0</x:v>
      </x:c>
      <x:c r="W646" s="15" t="n">
        <x:v>0</x:v>
      </x:c>
      <x:c r="X646" s="15" t="n">
        <x:v>0</x:v>
      </x:c>
      <x:c r="Y646" s="15" t="n">
        <x:v>0</x:v>
      </x:c>
      <x:c r="Z646" s="15" t="n">
        <x:v>0</x:v>
      </x:c>
      <x:c r="AA646" s="15" t="n">
        <x:v>0</x:v>
      </x:c>
      <x:c r="AB646" s="15" t="n">
        <x:f>SUM(G646:AA646)</x:f>
        <x:v>592</x:v>
      </x:c>
    </x:row>
    <x:row r="647" ht="36" customHeight="1">
      <x:c r="A647" s="10" t="str">
        <x:v>V-R1</x:v>
      </x:c>
      <x:c r="B647" s="10" t="str">
        <x:v>VOICE</x:v>
      </x:c>
      <x:c r="C647" s="10" t="str">
        <x:v>VOICE:S4-11</x:v>
      </x:c>
      <x:c r="D647" s="10" t="str">
        <x:v>VOICE:M5436</x:v>
      </x:c>
      <x:c r="E647" s="15" t="n">
        <x:v>-57.77</x:v>
      </x:c>
      <x:c r="F647" s="15" t="str">
        <x:v>preparation</x:v>
      </x:c>
      <x:c r="G647" s="15" t="n">
        <x:v>0</x:v>
      </x:c>
      <x:c r="H647" s="15" t="n">
        <x:v>0</x:v>
      </x:c>
      <x:c r="I647" s="15" t="n">
        <x:v>0</x:v>
      </x:c>
      <x:c r="J647" s="15" t="n">
        <x:v>0</x:v>
      </x:c>
      <x:c r="K647" s="15" t="n">
        <x:v>0</x:v>
      </x:c>
      <x:c r="L647" s="15" t="n">
        <x:v>0</x:v>
      </x:c>
      <x:c r="M647" s="15" t="n">
        <x:v>180</x:v>
      </x:c>
      <x:c r="N647" s="15" t="n">
        <x:v>220</x:v>
      </x:c>
      <x:c r="O647" s="15" t="n">
        <x:v>96</x:v>
      </x:c>
      <x:c r="P647" s="15" t="n">
        <x:v>64</x:v>
      </x:c>
      <x:c r="Q647" s="15" t="n">
        <x:v>24</x:v>
      </x:c>
      <x:c r="R647" s="15" t="n">
        <x:v>60</x:v>
      </x:c>
      <x:c r="S647" s="15" t="n">
        <x:v>280</x:v>
      </x:c>
      <x:c r="T647" s="15" t="n">
        <x:v>420</x:v>
      </x:c>
      <x:c r="U647" s="15" t="n">
        <x:v>0</x:v>
      </x:c>
      <x:c r="V647" s="15" t="n">
        <x:v>180</x:v>
      </x:c>
      <x:c r="W647" s="15" t="n">
        <x:v>380</x:v>
      </x:c>
      <x:c r="X647" s="15" t="n">
        <x:v>0</x:v>
      </x:c>
      <x:c r="Y647" s="15" t="n">
        <x:v>0</x:v>
      </x:c>
      <x:c r="Z647" s="15" t="n">
        <x:v>0</x:v>
      </x:c>
      <x:c r="AA647" s="15" t="n">
        <x:v>0</x:v>
      </x:c>
      <x:c r="AB647" s="15" t="n">
        <x:f>SUM(G647:AA647)</x:f>
        <x:v>1904</x:v>
      </x:c>
    </x:row>
    <x:row r="648" ht="36" customHeight="1">
      <x:c r="A648" s="10" t="str">
        <x:v>V-R2</x:v>
      </x:c>
      <x:c r="B648" s="10" t="str">
        <x:v>VOICE</x:v>
      </x:c>
      <x:c r="C648" s="10" t="str">
        <x:v>VOICE:S4-11</x:v>
      </x:c>
      <x:c r="D648" s="10" t="str">
        <x:v>VOICE:M5465</x:v>
      </x:c>
      <x:c r="E648" s="15" t="n">
        <x:v>-57.77</x:v>
      </x:c>
      <x:c r="F648" s="15" t="str">
        <x:v>preparation</x:v>
      </x:c>
      <x:c r="G648" s="15" t="n">
        <x:v>0</x:v>
      </x:c>
      <x:c r="H648" s="15" t="n">
        <x:v>0</x:v>
      </x:c>
      <x:c r="I648" s="15" t="n">
        <x:v>0</x:v>
      </x:c>
      <x:c r="J648" s="15" t="n">
        <x:v>0</x:v>
      </x:c>
      <x:c r="K648" s="15" t="n">
        <x:v>0</x:v>
      </x:c>
      <x:c r="L648" s="15" t="n">
        <x:v>0</x:v>
      </x:c>
      <x:c r="M648" s="15" t="n">
        <x:v>180</x:v>
      </x:c>
      <x:c r="N648" s="15" t="n">
        <x:v>220</x:v>
      </x:c>
      <x:c r="O648" s="15" t="n">
        <x:v>96</x:v>
      </x:c>
      <x:c r="P648" s="15" t="n">
        <x:v>64</x:v>
      </x:c>
      <x:c r="Q648" s="15" t="n">
        <x:v>24</x:v>
      </x:c>
      <x:c r="R648" s="15" t="n">
        <x:v>60</x:v>
      </x:c>
      <x:c r="S648" s="15" t="n">
        <x:v>280</x:v>
      </x:c>
      <x:c r="T648" s="15" t="n">
        <x:v>420</x:v>
      </x:c>
      <x:c r="U648" s="15" t="n">
        <x:v>0</x:v>
      </x:c>
      <x:c r="V648" s="15" t="n">
        <x:v>180</x:v>
      </x:c>
      <x:c r="W648" s="15" t="n">
        <x:v>380</x:v>
      </x:c>
      <x:c r="X648" s="15" t="n">
        <x:v>0</x:v>
      </x:c>
      <x:c r="Y648" s="15" t="n">
        <x:v>0</x:v>
      </x:c>
      <x:c r="Z648" s="15" t="n">
        <x:v>0</x:v>
      </x:c>
      <x:c r="AA648" s="15" t="n">
        <x:v>0</x:v>
      </x:c>
      <x:c r="AB648" s="15" t="n">
        <x:f>SUM(G648:AA648)</x:f>
        <x:v>1904</x:v>
      </x:c>
    </x:row>
    <x:row r="649" ht="36" customHeight="1">
      <x:c r="A649" s="10" t="str">
        <x:v>V-R3</x:v>
      </x:c>
      <x:c r="B649" s="10" t="str">
        <x:v>VOICE</x:v>
      </x:c>
      <x:c r="C649" s="10" t="str">
        <x:v>VOICE:S4-11</x:v>
      </x:c>
      <x:c r="D649" s="10" t="str">
        <x:v>VOICE:M5491</x:v>
      </x:c>
      <x:c r="E649" s="15" t="n">
        <x:v>-57.77</x:v>
      </x:c>
      <x:c r="F649" s="15" t="str">
        <x:v>preparation</x:v>
      </x:c>
      <x:c r="G649" s="15" t="n">
        <x:v>0</x:v>
      </x:c>
      <x:c r="H649" s="15" t="n">
        <x:v>0</x:v>
      </x:c>
      <x:c r="I649" s="15" t="n">
        <x:v>0</x:v>
      </x:c>
      <x:c r="J649" s="15" t="n">
        <x:v>0</x:v>
      </x:c>
      <x:c r="K649" s="15" t="n">
        <x:v>0</x:v>
      </x:c>
      <x:c r="L649" s="15" t="n">
        <x:v>0</x:v>
      </x:c>
      <x:c r="M649" s="15" t="n">
        <x:v>180</x:v>
      </x:c>
      <x:c r="N649" s="15" t="n">
        <x:v>220</x:v>
      </x:c>
      <x:c r="O649" s="15" t="n">
        <x:v>96</x:v>
      </x:c>
      <x:c r="P649" s="15" t="n">
        <x:v>64</x:v>
      </x:c>
      <x:c r="Q649" s="15" t="n">
        <x:v>32</x:v>
      </x:c>
      <x:c r="R649" s="15" t="n">
        <x:v>60</x:v>
      </x:c>
      <x:c r="S649" s="15" t="n">
        <x:v>280</x:v>
      </x:c>
      <x:c r="T649" s="15" t="n">
        <x:v>420</x:v>
      </x:c>
      <x:c r="U649" s="15" t="n">
        <x:v>0</x:v>
      </x:c>
      <x:c r="V649" s="15" t="n">
        <x:v>180</x:v>
      </x:c>
      <x:c r="W649" s="15" t="n">
        <x:v>380</x:v>
      </x:c>
      <x:c r="X649" s="15" t="n">
        <x:v>0</x:v>
      </x:c>
      <x:c r="Y649" s="15" t="n">
        <x:v>0</x:v>
      </x:c>
      <x:c r="Z649" s="15" t="n">
        <x:v>0</x:v>
      </x:c>
      <x:c r="AA649" s="15" t="n">
        <x:v>0</x:v>
      </x:c>
      <x:c r="AB649" s="15" t="n">
        <x:f>SUM(G649:AA649)</x:f>
        <x:v>1912</x:v>
      </x:c>
    </x:row>
    <x:row r="650" ht="36" customHeight="1">
      <x:c r="A650" s="10" t="str">
        <x:v>V-A</x:v>
      </x:c>
      <x:c r="B650" s="10" t="str">
        <x:v>VOICE</x:v>
      </x:c>
      <x:c r="C650" s="10" t="str">
        <x:v>VOICE:S4-12</x:v>
      </x:c>
      <x:c r="D650" s="10" t="str">
        <x:v>VOICE:M5515</x:v>
      </x:c>
      <x:c r="E650" s="15" t="n">
        <x:v>-60</x:v>
      </x:c>
      <x:c r="F650" s="15" t="str">
        <x:v>preparation</x:v>
      </x:c>
      <x:c r="G650" s="15" t="n">
        <x:v>0</x:v>
      </x:c>
      <x:c r="H650" s="15" t="n">
        <x:v>0</x:v>
      </x:c>
      <x:c r="I650" s="15" t="n">
        <x:v>0</x:v>
      </x:c>
      <x:c r="J650" s="15" t="n">
        <x:v>0</x:v>
      </x:c>
      <x:c r="K650" s="15" t="n">
        <x:v>0</x:v>
      </x:c>
      <x:c r="L650" s="15" t="n">
        <x:v>0</x:v>
      </x:c>
      <x:c r="M650" s="15" t="n">
        <x:v>180</x:v>
      </x:c>
      <x:c r="N650" s="15" t="n">
        <x:v>220</x:v>
      </x:c>
      <x:c r="O650" s="15" t="n">
        <x:v>96</x:v>
      </x:c>
      <x:c r="P650" s="15" t="n">
        <x:v>64</x:v>
      </x:c>
      <x:c r="Q650" s="15" t="n">
        <x:v>32</x:v>
      </x:c>
      <x:c r="R650" s="15" t="n">
        <x:v>0</x:v>
      </x:c>
      <x:c r="S650" s="15" t="n">
        <x:v>0</x:v>
      </x:c>
      <x:c r="T650" s="15" t="n">
        <x:v>0</x:v>
      </x:c>
      <x:c r="U650" s="15" t="n">
        <x:v>0</x:v>
      </x:c>
      <x:c r="V650" s="15" t="n">
        <x:v>0</x:v>
      </x:c>
      <x:c r="W650" s="15" t="n">
        <x:v>0</x:v>
      </x:c>
      <x:c r="X650" s="15" t="n">
        <x:v>0</x:v>
      </x:c>
      <x:c r="Y650" s="15" t="n">
        <x:v>0</x:v>
      </x:c>
      <x:c r="Z650" s="15" t="n">
        <x:v>0</x:v>
      </x:c>
      <x:c r="AA650" s="15" t="n">
        <x:v>0</x:v>
      </x:c>
      <x:c r="AB650" s="15" t="n">
        <x:f>SUM(G650:AA650)</x:f>
        <x:v>592</x:v>
      </x:c>
    </x:row>
    <x:row r="651" ht="36" customHeight="1">
      <x:c r="A651" s="10" t="str">
        <x:v>V-R1</x:v>
      </x:c>
      <x:c r="B651" s="10" t="str">
        <x:v>VOICE</x:v>
      </x:c>
      <x:c r="C651" s="10" t="str">
        <x:v>VOICE:S4-12</x:v>
      </x:c>
      <x:c r="D651" s="10" t="str">
        <x:v>VOICE:M5541</x:v>
      </x:c>
      <x:c r="E651" s="15" t="n">
        <x:v>-57.77</x:v>
      </x:c>
      <x:c r="F651" s="15" t="str">
        <x:v>preparation</x:v>
      </x:c>
      <x:c r="G651" s="15" t="n">
        <x:v>0</x:v>
      </x:c>
      <x:c r="H651" s="15" t="n">
        <x:v>0</x:v>
      </x:c>
      <x:c r="I651" s="15" t="n">
        <x:v>0</x:v>
      </x:c>
      <x:c r="J651" s="15" t="n">
        <x:v>0</x:v>
      </x:c>
      <x:c r="K651" s="15" t="n">
        <x:v>0</x:v>
      </x:c>
      <x:c r="L651" s="15" t="n">
        <x:v>0</x:v>
      </x:c>
      <x:c r="M651" s="15" t="n">
        <x:v>180</x:v>
      </x:c>
      <x:c r="N651" s="15" t="n">
        <x:v>220</x:v>
      </x:c>
      <x:c r="O651" s="15" t="n">
        <x:v>96</x:v>
      </x:c>
      <x:c r="P651" s="15" t="n">
        <x:v>64</x:v>
      </x:c>
      <x:c r="Q651" s="15" t="n">
        <x:v>24</x:v>
      </x:c>
      <x:c r="R651" s="15" t="n">
        <x:v>60</x:v>
      </x:c>
      <x:c r="S651" s="15" t="n">
        <x:v>280</x:v>
      </x:c>
      <x:c r="T651" s="15" t="n">
        <x:v>420</x:v>
      </x:c>
      <x:c r="U651" s="15" t="n">
        <x:v>0</x:v>
      </x:c>
      <x:c r="V651" s="15" t="n">
        <x:v>180</x:v>
      </x:c>
      <x:c r="W651" s="15" t="n">
        <x:v>380</x:v>
      </x:c>
      <x:c r="X651" s="15" t="n">
        <x:v>0</x:v>
      </x:c>
      <x:c r="Y651" s="15" t="n">
        <x:v>0</x:v>
      </x:c>
      <x:c r="Z651" s="15" t="n">
        <x:v>0</x:v>
      </x:c>
      <x:c r="AA651" s="15" t="n">
        <x:v>0</x:v>
      </x:c>
      <x:c r="AB651" s="15" t="n">
        <x:f>SUM(G651:AA651)</x:f>
        <x:v>1904</x:v>
      </x:c>
    </x:row>
    <x:row r="652" ht="36" customHeight="1">
      <x:c r="A652" s="10" t="str">
        <x:v>V-R2</x:v>
      </x:c>
      <x:c r="B652" s="10" t="str">
        <x:v>VOICE</x:v>
      </x:c>
      <x:c r="C652" s="10" t="str">
        <x:v>VOICE:S4-12</x:v>
      </x:c>
      <x:c r="D652" s="10" t="str">
        <x:v>VOICE:M5570</x:v>
      </x:c>
      <x:c r="E652" s="15" t="n">
        <x:v>-57.77</x:v>
      </x:c>
      <x:c r="F652" s="15" t="str">
        <x:v>preparation</x:v>
      </x:c>
      <x:c r="G652" s="15" t="n">
        <x:v>0</x:v>
      </x:c>
      <x:c r="H652" s="15" t="n">
        <x:v>0</x:v>
      </x:c>
      <x:c r="I652" s="15" t="n">
        <x:v>0</x:v>
      </x:c>
      <x:c r="J652" s="15" t="n">
        <x:v>0</x:v>
      </x:c>
      <x:c r="K652" s="15" t="n">
        <x:v>0</x:v>
      </x:c>
      <x:c r="L652" s="15" t="n">
        <x:v>0</x:v>
      </x:c>
      <x:c r="M652" s="15" t="n">
        <x:v>180</x:v>
      </x:c>
      <x:c r="N652" s="15" t="n">
        <x:v>220</x:v>
      </x:c>
      <x:c r="O652" s="15" t="n">
        <x:v>96</x:v>
      </x:c>
      <x:c r="P652" s="15" t="n">
        <x:v>64</x:v>
      </x:c>
      <x:c r="Q652" s="15" t="n">
        <x:v>24</x:v>
      </x:c>
      <x:c r="R652" s="15" t="n">
        <x:v>60</x:v>
      </x:c>
      <x:c r="S652" s="15" t="n">
        <x:v>280</x:v>
      </x:c>
      <x:c r="T652" s="15" t="n">
        <x:v>420</x:v>
      </x:c>
      <x:c r="U652" s="15" t="n">
        <x:v>0</x:v>
      </x:c>
      <x:c r="V652" s="15" t="n">
        <x:v>180</x:v>
      </x:c>
      <x:c r="W652" s="15" t="n">
        <x:v>380</x:v>
      </x:c>
      <x:c r="X652" s="15" t="n">
        <x:v>0</x:v>
      </x:c>
      <x:c r="Y652" s="15" t="n">
        <x:v>0</x:v>
      </x:c>
      <x:c r="Z652" s="15" t="n">
        <x:v>0</x:v>
      </x:c>
      <x:c r="AA652" s="15" t="n">
        <x:v>0</x:v>
      </x:c>
      <x:c r="AB652" s="15" t="n">
        <x:f>SUM(G652:AA652)</x:f>
        <x:v>1904</x:v>
      </x:c>
    </x:row>
    <x:row r="653" ht="36" customHeight="1">
      <x:c r="A653" s="10" t="str">
        <x:v>V-R3</x:v>
      </x:c>
      <x:c r="B653" s="10" t="str">
        <x:v>VOICE</x:v>
      </x:c>
      <x:c r="C653" s="10" t="str">
        <x:v>VOICE:S4-12</x:v>
      </x:c>
      <x:c r="D653" s="10" t="str">
        <x:v>VOICE:M5596</x:v>
      </x:c>
      <x:c r="E653" s="15" t="n">
        <x:v>-57.77</x:v>
      </x:c>
      <x:c r="F653" s="15" t="str">
        <x:v>preparation</x:v>
      </x:c>
      <x:c r="G653" s="15" t="n">
        <x:v>0</x:v>
      </x:c>
      <x:c r="H653" s="15" t="n">
        <x:v>0</x:v>
      </x:c>
      <x:c r="I653" s="15" t="n">
        <x:v>0</x:v>
      </x:c>
      <x:c r="J653" s="15" t="n">
        <x:v>0</x:v>
      </x:c>
      <x:c r="K653" s="15" t="n">
        <x:v>0</x:v>
      </x:c>
      <x:c r="L653" s="15" t="n">
        <x:v>0</x:v>
      </x:c>
      <x:c r="M653" s="15" t="n">
        <x:v>180</x:v>
      </x:c>
      <x:c r="N653" s="15" t="n">
        <x:v>220</x:v>
      </x:c>
      <x:c r="O653" s="15" t="n">
        <x:v>96</x:v>
      </x:c>
      <x:c r="P653" s="15" t="n">
        <x:v>64</x:v>
      </x:c>
      <x:c r="Q653" s="15" t="n">
        <x:v>32</x:v>
      </x:c>
      <x:c r="R653" s="15" t="n">
        <x:v>60</x:v>
      </x:c>
      <x:c r="S653" s="15" t="n">
        <x:v>280</x:v>
      </x:c>
      <x:c r="T653" s="15" t="n">
        <x:v>420</x:v>
      </x:c>
      <x:c r="U653" s="15" t="n">
        <x:v>0</x:v>
      </x:c>
      <x:c r="V653" s="15" t="n">
        <x:v>180</x:v>
      </x:c>
      <x:c r="W653" s="15" t="n">
        <x:v>380</x:v>
      </x:c>
      <x:c r="X653" s="15" t="n">
        <x:v>0</x:v>
      </x:c>
      <x:c r="Y653" s="15" t="n">
        <x:v>0</x:v>
      </x:c>
      <x:c r="Z653" s="15" t="n">
        <x:v>0</x:v>
      </x:c>
      <x:c r="AA653" s="15" t="n">
        <x:v>0</x:v>
      </x:c>
      <x:c r="AB653" s="15" t="n">
        <x:f>SUM(G653:AA653)</x:f>
        <x:v>1912</x:v>
      </x:c>
    </x:row>
    <x:row r="654" ht="36" customHeight="1">
      <x:c r="A654" s="10" t="str">
        <x:v>V-A</x:v>
      </x:c>
      <x:c r="B654" s="10" t="str">
        <x:v>VOICE</x:v>
      </x:c>
      <x:c r="C654" s="10" t="str">
        <x:v>VOICE:S4-13</x:v>
      </x:c>
      <x:c r="D654" s="10" t="str">
        <x:v>VOICE:M5620</x:v>
      </x:c>
      <x:c r="E654" s="15" t="n">
        <x:v>-60</x:v>
      </x:c>
      <x:c r="F654" s="15" t="str">
        <x:v>preparation</x:v>
      </x:c>
      <x:c r="G654" s="15" t="n">
        <x:v>0</x:v>
      </x:c>
      <x:c r="H654" s="15" t="n">
        <x:v>0</x:v>
      </x:c>
      <x:c r="I654" s="15" t="n">
        <x:v>0</x:v>
      </x:c>
      <x:c r="J654" s="15" t="n">
        <x:v>0</x:v>
      </x:c>
      <x:c r="K654" s="15" t="n">
        <x:v>0</x:v>
      </x:c>
      <x:c r="L654" s="15" t="n">
        <x:v>0</x:v>
      </x:c>
      <x:c r="M654" s="15" t="n">
        <x:v>180</x:v>
      </x:c>
      <x:c r="N654" s="15" t="n">
        <x:v>220</x:v>
      </x:c>
      <x:c r="O654" s="15" t="n">
        <x:v>96</x:v>
      </x:c>
      <x:c r="P654" s="15" t="n">
        <x:v>64</x:v>
      </x:c>
      <x:c r="Q654" s="15" t="n">
        <x:v>32</x:v>
      </x:c>
      <x:c r="R654" s="15" t="n">
        <x:v>0</x:v>
      </x:c>
      <x:c r="S654" s="15" t="n">
        <x:v>0</x:v>
      </x:c>
      <x:c r="T654" s="15" t="n">
        <x:v>0</x:v>
      </x:c>
      <x:c r="U654" s="15" t="n">
        <x:v>0</x:v>
      </x:c>
      <x:c r="V654" s="15" t="n">
        <x:v>0</x:v>
      </x:c>
      <x:c r="W654" s="15" t="n">
        <x:v>0</x:v>
      </x:c>
      <x:c r="X654" s="15" t="n">
        <x:v>0</x:v>
      </x:c>
      <x:c r="Y654" s="15" t="n">
        <x:v>0</x:v>
      </x:c>
      <x:c r="Z654" s="15" t="n">
        <x:v>0</x:v>
      </x:c>
      <x:c r="AA654" s="15" t="n">
        <x:v>0</x:v>
      </x:c>
      <x:c r="AB654" s="15" t="n">
        <x:f>SUM(G654:AA654)</x:f>
        <x:v>592</x:v>
      </x:c>
    </x:row>
    <x:row r="655" ht="36" customHeight="1">
      <x:c r="A655" s="10" t="str">
        <x:v>V-R1</x:v>
      </x:c>
      <x:c r="B655" s="10" t="str">
        <x:v>VOICE</x:v>
      </x:c>
      <x:c r="C655" s="10" t="str">
        <x:v>VOICE:S4-13</x:v>
      </x:c>
      <x:c r="D655" s="10" t="str">
        <x:v>VOICE:M5646</x:v>
      </x:c>
      <x:c r="E655" s="15" t="n">
        <x:v>-57.77</x:v>
      </x:c>
      <x:c r="F655" s="15" t="str">
        <x:v>preparation</x:v>
      </x:c>
      <x:c r="G655" s="15" t="n">
        <x:v>0</x:v>
      </x:c>
      <x:c r="H655" s="15" t="n">
        <x:v>0</x:v>
      </x:c>
      <x:c r="I655" s="15" t="n">
        <x:v>0</x:v>
      </x:c>
      <x:c r="J655" s="15" t="n">
        <x:v>0</x:v>
      </x:c>
      <x:c r="K655" s="15" t="n">
        <x:v>0</x:v>
      </x:c>
      <x:c r="L655" s="15" t="n">
        <x:v>0</x:v>
      </x:c>
      <x:c r="M655" s="15" t="n">
        <x:v>180</x:v>
      </x:c>
      <x:c r="N655" s="15" t="n">
        <x:v>220</x:v>
      </x:c>
      <x:c r="O655" s="15" t="n">
        <x:v>96</x:v>
      </x:c>
      <x:c r="P655" s="15" t="n">
        <x:v>64</x:v>
      </x:c>
      <x:c r="Q655" s="15" t="n">
        <x:v>24</x:v>
      </x:c>
      <x:c r="R655" s="15" t="n">
        <x:v>60</x:v>
      </x:c>
      <x:c r="S655" s="15" t="n">
        <x:v>280</x:v>
      </x:c>
      <x:c r="T655" s="15" t="n">
        <x:v>420</x:v>
      </x:c>
      <x:c r="U655" s="15" t="n">
        <x:v>0</x:v>
      </x:c>
      <x:c r="V655" s="15" t="n">
        <x:v>180</x:v>
      </x:c>
      <x:c r="W655" s="15" t="n">
        <x:v>380</x:v>
      </x:c>
      <x:c r="X655" s="15" t="n">
        <x:v>0</x:v>
      </x:c>
      <x:c r="Y655" s="15" t="n">
        <x:v>0</x:v>
      </x:c>
      <x:c r="Z655" s="15" t="n">
        <x:v>0</x:v>
      </x:c>
      <x:c r="AA655" s="15" t="n">
        <x:v>0</x:v>
      </x:c>
      <x:c r="AB655" s="15" t="n">
        <x:f>SUM(G655:AA655)</x:f>
        <x:v>1904</x:v>
      </x:c>
    </x:row>
    <x:row r="656" ht="36" customHeight="1">
      <x:c r="A656" s="10" t="str">
        <x:v>V-R2</x:v>
      </x:c>
      <x:c r="B656" s="10" t="str">
        <x:v>VOICE</x:v>
      </x:c>
      <x:c r="C656" s="10" t="str">
        <x:v>VOICE:S4-13</x:v>
      </x:c>
      <x:c r="D656" s="10" t="str">
        <x:v>VOICE:M5675</x:v>
      </x:c>
      <x:c r="E656" s="15" t="n">
        <x:v>-57.77</x:v>
      </x:c>
      <x:c r="F656" s="15" t="str">
        <x:v>preparation</x:v>
      </x:c>
      <x:c r="G656" s="15" t="n">
        <x:v>0</x:v>
      </x:c>
      <x:c r="H656" s="15" t="n">
        <x:v>0</x:v>
      </x:c>
      <x:c r="I656" s="15" t="n">
        <x:v>0</x:v>
      </x:c>
      <x:c r="J656" s="15" t="n">
        <x:v>0</x:v>
      </x:c>
      <x:c r="K656" s="15" t="n">
        <x:v>0</x:v>
      </x:c>
      <x:c r="L656" s="15" t="n">
        <x:v>0</x:v>
      </x:c>
      <x:c r="M656" s="15" t="n">
        <x:v>180</x:v>
      </x:c>
      <x:c r="N656" s="15" t="n">
        <x:v>220</x:v>
      </x:c>
      <x:c r="O656" s="15" t="n">
        <x:v>96</x:v>
      </x:c>
      <x:c r="P656" s="15" t="n">
        <x:v>64</x:v>
      </x:c>
      <x:c r="Q656" s="15" t="n">
        <x:v>24</x:v>
      </x:c>
      <x:c r="R656" s="15" t="n">
        <x:v>60</x:v>
      </x:c>
      <x:c r="S656" s="15" t="n">
        <x:v>280</x:v>
      </x:c>
      <x:c r="T656" s="15" t="n">
        <x:v>420</x:v>
      </x:c>
      <x:c r="U656" s="15" t="n">
        <x:v>0</x:v>
      </x:c>
      <x:c r="V656" s="15" t="n">
        <x:v>180</x:v>
      </x:c>
      <x:c r="W656" s="15" t="n">
        <x:v>380</x:v>
      </x:c>
      <x:c r="X656" s="15" t="n">
        <x:v>0</x:v>
      </x:c>
      <x:c r="Y656" s="15" t="n">
        <x:v>0</x:v>
      </x:c>
      <x:c r="Z656" s="15" t="n">
        <x:v>0</x:v>
      </x:c>
      <x:c r="AA656" s="15" t="n">
        <x:v>0</x:v>
      </x:c>
      <x:c r="AB656" s="15" t="n">
        <x:f>SUM(G656:AA656)</x:f>
        <x:v>1904</x:v>
      </x:c>
    </x:row>
    <x:row r="657" ht="36" customHeight="1">
      <x:c r="A657" s="10" t="str">
        <x:v>V-R3</x:v>
      </x:c>
      <x:c r="B657" s="10" t="str">
        <x:v>VOICE</x:v>
      </x:c>
      <x:c r="C657" s="10" t="str">
        <x:v>VOICE:S4-13</x:v>
      </x:c>
      <x:c r="D657" s="10" t="str">
        <x:v>VOICE:M5701</x:v>
      </x:c>
      <x:c r="E657" s="15" t="n">
        <x:v>-57.77</x:v>
      </x:c>
      <x:c r="F657" s="15" t="str">
        <x:v>preparation</x:v>
      </x:c>
      <x:c r="G657" s="15" t="n">
        <x:v>0</x:v>
      </x:c>
      <x:c r="H657" s="15" t="n">
        <x:v>0</x:v>
      </x:c>
      <x:c r="I657" s="15" t="n">
        <x:v>0</x:v>
      </x:c>
      <x:c r="J657" s="15" t="n">
        <x:v>0</x:v>
      </x:c>
      <x:c r="K657" s="15" t="n">
        <x:v>0</x:v>
      </x:c>
      <x:c r="L657" s="15" t="n">
        <x:v>0</x:v>
      </x:c>
      <x:c r="M657" s="15" t="n">
        <x:v>180</x:v>
      </x:c>
      <x:c r="N657" s="15" t="n">
        <x:v>220</x:v>
      </x:c>
      <x:c r="O657" s="15" t="n">
        <x:v>96</x:v>
      </x:c>
      <x:c r="P657" s="15" t="n">
        <x:v>64</x:v>
      </x:c>
      <x:c r="Q657" s="15" t="n">
        <x:v>32</x:v>
      </x:c>
      <x:c r="R657" s="15" t="n">
        <x:v>60</x:v>
      </x:c>
      <x:c r="S657" s="15" t="n">
        <x:v>280</x:v>
      </x:c>
      <x:c r="T657" s="15" t="n">
        <x:v>420</x:v>
      </x:c>
      <x:c r="U657" s="15" t="n">
        <x:v>0</x:v>
      </x:c>
      <x:c r="V657" s="15" t="n">
        <x:v>180</x:v>
      </x:c>
      <x:c r="W657" s="15" t="n">
        <x:v>380</x:v>
      </x:c>
      <x:c r="X657" s="15" t="n">
        <x:v>0</x:v>
      </x:c>
      <x:c r="Y657" s="15" t="n">
        <x:v>0</x:v>
      </x:c>
      <x:c r="Z657" s="15" t="n">
        <x:v>0</x:v>
      </x:c>
      <x:c r="AA657" s="15" t="n">
        <x:v>0</x:v>
      </x:c>
      <x:c r="AB657" s="15" t="n">
        <x:f>SUM(G657:AA657)</x:f>
        <x:v>1912</x:v>
      </x:c>
    </x:row>
    <x:row r="658" ht="36" customHeight="1">
      <x:c r="A658" s="10" t="str">
        <x:v>V-A</x:v>
      </x:c>
      <x:c r="B658" s="10" t="str">
        <x:v>VOICE</x:v>
      </x:c>
      <x:c r="C658" s="10" t="str">
        <x:v>VOICE:S4-14</x:v>
      </x:c>
      <x:c r="D658" s="10" t="str">
        <x:v>VOICE:M5725</x:v>
      </x:c>
      <x:c r="E658" s="15" t="n">
        <x:v>-60</x:v>
      </x:c>
      <x:c r="F658" s="15" t="str">
        <x:v>preparation</x:v>
      </x:c>
      <x:c r="G658" s="15" t="n">
        <x:v>0</x:v>
      </x:c>
      <x:c r="H658" s="15" t="n">
        <x:v>0</x:v>
      </x:c>
      <x:c r="I658" s="15" t="n">
        <x:v>0</x:v>
      </x:c>
      <x:c r="J658" s="15" t="n">
        <x:v>0</x:v>
      </x:c>
      <x:c r="K658" s="15" t="n">
        <x:v>0</x:v>
      </x:c>
      <x:c r="L658" s="15" t="n">
        <x:v>0</x:v>
      </x:c>
      <x:c r="M658" s="15" t="n">
        <x:v>180</x:v>
      </x:c>
      <x:c r="N658" s="15" t="n">
        <x:v>220</x:v>
      </x:c>
      <x:c r="O658" s="15" t="n">
        <x:v>96</x:v>
      </x:c>
      <x:c r="P658" s="15" t="n">
        <x:v>64</x:v>
      </x:c>
      <x:c r="Q658" s="15" t="n">
        <x:v>32</x:v>
      </x:c>
      <x:c r="R658" s="15" t="n">
        <x:v>0</x:v>
      </x:c>
      <x:c r="S658" s="15" t="n">
        <x:v>0</x:v>
      </x:c>
      <x:c r="T658" s="15" t="n">
        <x:v>0</x:v>
      </x:c>
      <x:c r="U658" s="15" t="n">
        <x:v>0</x:v>
      </x:c>
      <x:c r="V658" s="15" t="n">
        <x:v>0</x:v>
      </x:c>
      <x:c r="W658" s="15" t="n">
        <x:v>0</x:v>
      </x:c>
      <x:c r="X658" s="15" t="n">
        <x:v>0</x:v>
      </x:c>
      <x:c r="Y658" s="15" t="n">
        <x:v>0</x:v>
      </x:c>
      <x:c r="Z658" s="15" t="n">
        <x:v>0</x:v>
      </x:c>
      <x:c r="AA658" s="15" t="n">
        <x:v>0</x:v>
      </x:c>
      <x:c r="AB658" s="15" t="n">
        <x:f>SUM(G658:AA658)</x:f>
        <x:v>592</x:v>
      </x:c>
    </x:row>
    <x:row r="659" ht="36" customHeight="1">
      <x:c r="A659" s="10" t="str">
        <x:v>V-R1</x:v>
      </x:c>
      <x:c r="B659" s="10" t="str">
        <x:v>VOICE</x:v>
      </x:c>
      <x:c r="C659" s="10" t="str">
        <x:v>VOICE:S4-14</x:v>
      </x:c>
      <x:c r="D659" s="10" t="str">
        <x:v>VOICE:M5751</x:v>
      </x:c>
      <x:c r="E659" s="15" t="n">
        <x:v>-57.77</x:v>
      </x:c>
      <x:c r="F659" s="15" t="str">
        <x:v>preparation</x:v>
      </x:c>
      <x:c r="G659" s="15" t="n">
        <x:v>0</x:v>
      </x:c>
      <x:c r="H659" s="15" t="n">
        <x:v>0</x:v>
      </x:c>
      <x:c r="I659" s="15" t="n">
        <x:v>0</x:v>
      </x:c>
      <x:c r="J659" s="15" t="n">
        <x:v>0</x:v>
      </x:c>
      <x:c r="K659" s="15" t="n">
        <x:v>0</x:v>
      </x:c>
      <x:c r="L659" s="15" t="n">
        <x:v>0</x:v>
      </x:c>
      <x:c r="M659" s="15" t="n">
        <x:v>180</x:v>
      </x:c>
      <x:c r="N659" s="15" t="n">
        <x:v>220</x:v>
      </x:c>
      <x:c r="O659" s="15" t="n">
        <x:v>96</x:v>
      </x:c>
      <x:c r="P659" s="15" t="n">
        <x:v>64</x:v>
      </x:c>
      <x:c r="Q659" s="15" t="n">
        <x:v>24</x:v>
      </x:c>
      <x:c r="R659" s="15" t="n">
        <x:v>60</x:v>
      </x:c>
      <x:c r="S659" s="15" t="n">
        <x:v>280</x:v>
      </x:c>
      <x:c r="T659" s="15" t="n">
        <x:v>420</x:v>
      </x:c>
      <x:c r="U659" s="15" t="n">
        <x:v>0</x:v>
      </x:c>
      <x:c r="V659" s="15" t="n">
        <x:v>180</x:v>
      </x:c>
      <x:c r="W659" s="15" t="n">
        <x:v>380</x:v>
      </x:c>
      <x:c r="X659" s="15" t="n">
        <x:v>0</x:v>
      </x:c>
      <x:c r="Y659" s="15" t="n">
        <x:v>0</x:v>
      </x:c>
      <x:c r="Z659" s="15" t="n">
        <x:v>0</x:v>
      </x:c>
      <x:c r="AA659" s="15" t="n">
        <x:v>0</x:v>
      </x:c>
      <x:c r="AB659" s="15" t="n">
        <x:f>SUM(G659:AA659)</x:f>
        <x:v>1904</x:v>
      </x:c>
    </x:row>
    <x:row r="660" ht="36" customHeight="1">
      <x:c r="A660" s="10" t="str">
        <x:v>V-R2</x:v>
      </x:c>
      <x:c r="B660" s="10" t="str">
        <x:v>VOICE</x:v>
      </x:c>
      <x:c r="C660" s="10" t="str">
        <x:v>VOICE:S4-14</x:v>
      </x:c>
      <x:c r="D660" s="10" t="str">
        <x:v>VOICE:M5780</x:v>
      </x:c>
      <x:c r="E660" s="15" t="n">
        <x:v>-57.77</x:v>
      </x:c>
      <x:c r="F660" s="15" t="str">
        <x:v>preparation</x:v>
      </x:c>
      <x:c r="G660" s="15" t="n">
        <x:v>0</x:v>
      </x:c>
      <x:c r="H660" s="15" t="n">
        <x:v>0</x:v>
      </x:c>
      <x:c r="I660" s="15" t="n">
        <x:v>0</x:v>
      </x:c>
      <x:c r="J660" s="15" t="n">
        <x:v>0</x:v>
      </x:c>
      <x:c r="K660" s="15" t="n">
        <x:v>0</x:v>
      </x:c>
      <x:c r="L660" s="15" t="n">
        <x:v>0</x:v>
      </x:c>
      <x:c r="M660" s="15" t="n">
        <x:v>180</x:v>
      </x:c>
      <x:c r="N660" s="15" t="n">
        <x:v>220</x:v>
      </x:c>
      <x:c r="O660" s="15" t="n">
        <x:v>96</x:v>
      </x:c>
      <x:c r="P660" s="15" t="n">
        <x:v>64</x:v>
      </x:c>
      <x:c r="Q660" s="15" t="n">
        <x:v>24</x:v>
      </x:c>
      <x:c r="R660" s="15" t="n">
        <x:v>60</x:v>
      </x:c>
      <x:c r="S660" s="15" t="n">
        <x:v>280</x:v>
      </x:c>
      <x:c r="T660" s="15" t="n">
        <x:v>420</x:v>
      </x:c>
      <x:c r="U660" s="15" t="n">
        <x:v>0</x:v>
      </x:c>
      <x:c r="V660" s="15" t="n">
        <x:v>180</x:v>
      </x:c>
      <x:c r="W660" s="15" t="n">
        <x:v>380</x:v>
      </x:c>
      <x:c r="X660" s="15" t="n">
        <x:v>0</x:v>
      </x:c>
      <x:c r="Y660" s="15" t="n">
        <x:v>0</x:v>
      </x:c>
      <x:c r="Z660" s="15" t="n">
        <x:v>0</x:v>
      </x:c>
      <x:c r="AA660" s="15" t="n">
        <x:v>0</x:v>
      </x:c>
      <x:c r="AB660" s="15" t="n">
        <x:f>SUM(G660:AA660)</x:f>
        <x:v>1904</x:v>
      </x:c>
    </x:row>
    <x:row r="661" ht="36" customHeight="1">
      <x:c r="A661" s="10" t="str">
        <x:v>V-R3</x:v>
      </x:c>
      <x:c r="B661" s="10" t="str">
        <x:v>VOICE</x:v>
      </x:c>
      <x:c r="C661" s="10" t="str">
        <x:v>VOICE:S4-14</x:v>
      </x:c>
      <x:c r="D661" s="10" t="str">
        <x:v>VOICE:M5806</x:v>
      </x:c>
      <x:c r="E661" s="15" t="n">
        <x:v>-57.77</x:v>
      </x:c>
      <x:c r="F661" s="15" t="str">
        <x:v>preparation</x:v>
      </x:c>
      <x:c r="G661" s="15" t="n">
        <x:v>0</x:v>
      </x:c>
      <x:c r="H661" s="15" t="n">
        <x:v>0</x:v>
      </x:c>
      <x:c r="I661" s="15" t="n">
        <x:v>0</x:v>
      </x:c>
      <x:c r="J661" s="15" t="n">
        <x:v>0</x:v>
      </x:c>
      <x:c r="K661" s="15" t="n">
        <x:v>0</x:v>
      </x:c>
      <x:c r="L661" s="15" t="n">
        <x:v>0</x:v>
      </x:c>
      <x:c r="M661" s="15" t="n">
        <x:v>180</x:v>
      </x:c>
      <x:c r="N661" s="15" t="n">
        <x:v>220</x:v>
      </x:c>
      <x:c r="O661" s="15" t="n">
        <x:v>96</x:v>
      </x:c>
      <x:c r="P661" s="15" t="n">
        <x:v>64</x:v>
      </x:c>
      <x:c r="Q661" s="15" t="n">
        <x:v>32</x:v>
      </x:c>
      <x:c r="R661" s="15" t="n">
        <x:v>60</x:v>
      </x:c>
      <x:c r="S661" s="15" t="n">
        <x:v>280</x:v>
      </x:c>
      <x:c r="T661" s="15" t="n">
        <x:v>420</x:v>
      </x:c>
      <x:c r="U661" s="15" t="n">
        <x:v>0</x:v>
      </x:c>
      <x:c r="V661" s="15" t="n">
        <x:v>180</x:v>
      </x:c>
      <x:c r="W661" s="15" t="n">
        <x:v>380</x:v>
      </x:c>
      <x:c r="X661" s="15" t="n">
        <x:v>0</x:v>
      </x:c>
      <x:c r="Y661" s="15" t="n">
        <x:v>0</x:v>
      </x:c>
      <x:c r="Z661" s="15" t="n">
        <x:v>0</x:v>
      </x:c>
      <x:c r="AA661" s="15" t="n">
        <x:v>0</x:v>
      </x:c>
      <x:c r="AB661" s="15" t="n">
        <x:f>SUM(G661:AA661)</x:f>
        <x:v>1912</x:v>
      </x:c>
    </x:row>
    <x:row r="662" ht="36" customHeight="1">
      <x:c r="A662" s="10" t="str">
        <x:v>V-A</x:v>
      </x:c>
      <x:c r="B662" s="10" t="str">
        <x:v>VOICE</x:v>
      </x:c>
      <x:c r="C662" s="10" t="str">
        <x:v>VOICE:S4-15</x:v>
      </x:c>
      <x:c r="D662" s="10" t="str">
        <x:v>VOICE:M5830</x:v>
      </x:c>
      <x:c r="E662" s="15" t="n">
        <x:v>-60</x:v>
      </x:c>
      <x:c r="F662" s="15" t="str">
        <x:v>preparation</x:v>
      </x:c>
      <x:c r="G662" s="15" t="n">
        <x:v>0</x:v>
      </x:c>
      <x:c r="H662" s="15" t="n">
        <x:v>0</x:v>
      </x:c>
      <x:c r="I662" s="15" t="n">
        <x:v>0</x:v>
      </x:c>
      <x:c r="J662" s="15" t="n">
        <x:v>0</x:v>
      </x:c>
      <x:c r="K662" s="15" t="n">
        <x:v>0</x:v>
      </x:c>
      <x:c r="L662" s="15" t="n">
        <x:v>0</x:v>
      </x:c>
      <x:c r="M662" s="15" t="n">
        <x:v>180</x:v>
      </x:c>
      <x:c r="N662" s="15" t="n">
        <x:v>220</x:v>
      </x:c>
      <x:c r="O662" s="15" t="n">
        <x:v>96</x:v>
      </x:c>
      <x:c r="P662" s="15" t="n">
        <x:v>64</x:v>
      </x:c>
      <x:c r="Q662" s="15" t="n">
        <x:v>32</x:v>
      </x:c>
      <x:c r="R662" s="15" t="n">
        <x:v>0</x:v>
      </x:c>
      <x:c r="S662" s="15" t="n">
        <x:v>0</x:v>
      </x:c>
      <x:c r="T662" s="15" t="n">
        <x:v>0</x:v>
      </x:c>
      <x:c r="U662" s="15" t="n">
        <x:v>0</x:v>
      </x:c>
      <x:c r="V662" s="15" t="n">
        <x:v>0</x:v>
      </x:c>
      <x:c r="W662" s="15" t="n">
        <x:v>0</x:v>
      </x:c>
      <x:c r="X662" s="15" t="n">
        <x:v>0</x:v>
      </x:c>
      <x:c r="Y662" s="15" t="n">
        <x:v>0</x:v>
      </x:c>
      <x:c r="Z662" s="15" t="n">
        <x:v>0</x:v>
      </x:c>
      <x:c r="AA662" s="15" t="n">
        <x:v>0</x:v>
      </x:c>
      <x:c r="AB662" s="15" t="n">
        <x:f>SUM(G662:AA662)</x:f>
        <x:v>592</x:v>
      </x:c>
    </x:row>
    <x:row r="663" ht="36" customHeight="1">
      <x:c r="A663" s="10" t="str">
        <x:v>V-R1</x:v>
      </x:c>
      <x:c r="B663" s="10" t="str">
        <x:v>VOICE</x:v>
      </x:c>
      <x:c r="C663" s="10" t="str">
        <x:v>VOICE:S4-15</x:v>
      </x:c>
      <x:c r="D663" s="10" t="str">
        <x:v>VOICE:M5856</x:v>
      </x:c>
      <x:c r="E663" s="15" t="n">
        <x:v>-57.77</x:v>
      </x:c>
      <x:c r="F663" s="15" t="str">
        <x:v>preparation</x:v>
      </x:c>
      <x:c r="G663" s="15" t="n">
        <x:v>0</x:v>
      </x:c>
      <x:c r="H663" s="15" t="n">
        <x:v>0</x:v>
      </x:c>
      <x:c r="I663" s="15" t="n">
        <x:v>0</x:v>
      </x:c>
      <x:c r="J663" s="15" t="n">
        <x:v>0</x:v>
      </x:c>
      <x:c r="K663" s="15" t="n">
        <x:v>0</x:v>
      </x:c>
      <x:c r="L663" s="15" t="n">
        <x:v>0</x:v>
      </x:c>
      <x:c r="M663" s="15" t="n">
        <x:v>180</x:v>
      </x:c>
      <x:c r="N663" s="15" t="n">
        <x:v>220</x:v>
      </x:c>
      <x:c r="O663" s="15" t="n">
        <x:v>96</x:v>
      </x:c>
      <x:c r="P663" s="15" t="n">
        <x:v>64</x:v>
      </x:c>
      <x:c r="Q663" s="15" t="n">
        <x:v>24</x:v>
      </x:c>
      <x:c r="R663" s="15" t="n">
        <x:v>60</x:v>
      </x:c>
      <x:c r="S663" s="15" t="n">
        <x:v>280</x:v>
      </x:c>
      <x:c r="T663" s="15" t="n">
        <x:v>420</x:v>
      </x:c>
      <x:c r="U663" s="15" t="n">
        <x:v>0</x:v>
      </x:c>
      <x:c r="V663" s="15" t="n">
        <x:v>180</x:v>
      </x:c>
      <x:c r="W663" s="15" t="n">
        <x:v>380</x:v>
      </x:c>
      <x:c r="X663" s="15" t="n">
        <x:v>0</x:v>
      </x:c>
      <x:c r="Y663" s="15" t="n">
        <x:v>0</x:v>
      </x:c>
      <x:c r="Z663" s="15" t="n">
        <x:v>0</x:v>
      </x:c>
      <x:c r="AA663" s="15" t="n">
        <x:v>0</x:v>
      </x:c>
      <x:c r="AB663" s="15" t="n">
        <x:f>SUM(G663:AA663)</x:f>
        <x:v>1904</x:v>
      </x:c>
    </x:row>
    <x:row r="664" ht="36" customHeight="1">
      <x:c r="A664" s="10" t="str">
        <x:v>V-R2</x:v>
      </x:c>
      <x:c r="B664" s="10" t="str">
        <x:v>VOICE</x:v>
      </x:c>
      <x:c r="C664" s="10" t="str">
        <x:v>VOICE:S4-15</x:v>
      </x:c>
      <x:c r="D664" s="10" t="str">
        <x:v>VOICE:M5885</x:v>
      </x:c>
      <x:c r="E664" s="15" t="n">
        <x:v>-57.77</x:v>
      </x:c>
      <x:c r="F664" s="15" t="str">
        <x:v>preparation</x:v>
      </x:c>
      <x:c r="G664" s="15" t="n">
        <x:v>0</x:v>
      </x:c>
      <x:c r="H664" s="15" t="n">
        <x:v>0</x:v>
      </x:c>
      <x:c r="I664" s="15" t="n">
        <x:v>0</x:v>
      </x:c>
      <x:c r="J664" s="15" t="n">
        <x:v>0</x:v>
      </x:c>
      <x:c r="K664" s="15" t="n">
        <x:v>0</x:v>
      </x:c>
      <x:c r="L664" s="15" t="n">
        <x:v>0</x:v>
      </x:c>
      <x:c r="M664" s="15" t="n">
        <x:v>180</x:v>
      </x:c>
      <x:c r="N664" s="15" t="n">
        <x:v>220</x:v>
      </x:c>
      <x:c r="O664" s="15" t="n">
        <x:v>96</x:v>
      </x:c>
      <x:c r="P664" s="15" t="n">
        <x:v>64</x:v>
      </x:c>
      <x:c r="Q664" s="15" t="n">
        <x:v>24</x:v>
      </x:c>
      <x:c r="R664" s="15" t="n">
        <x:v>60</x:v>
      </x:c>
      <x:c r="S664" s="15" t="n">
        <x:v>280</x:v>
      </x:c>
      <x:c r="T664" s="15" t="n">
        <x:v>420</x:v>
      </x:c>
      <x:c r="U664" s="15" t="n">
        <x:v>0</x:v>
      </x:c>
      <x:c r="V664" s="15" t="n">
        <x:v>180</x:v>
      </x:c>
      <x:c r="W664" s="15" t="n">
        <x:v>380</x:v>
      </x:c>
      <x:c r="X664" s="15" t="n">
        <x:v>0</x:v>
      </x:c>
      <x:c r="Y664" s="15" t="n">
        <x:v>0</x:v>
      </x:c>
      <x:c r="Z664" s="15" t="n">
        <x:v>0</x:v>
      </x:c>
      <x:c r="AA664" s="15" t="n">
        <x:v>0</x:v>
      </x:c>
      <x:c r="AB664" s="15" t="n">
        <x:f>SUM(G664:AA664)</x:f>
        <x:v>1904</x:v>
      </x:c>
    </x:row>
    <x:row r="665" ht="36" customHeight="1">
      <x:c r="A665" s="10" t="str">
        <x:v>V-R3</x:v>
      </x:c>
      <x:c r="B665" s="10" t="str">
        <x:v>VOICE</x:v>
      </x:c>
      <x:c r="C665" s="10" t="str">
        <x:v>VOICE:S4-15</x:v>
      </x:c>
      <x:c r="D665" s="10" t="str">
        <x:v>VOICE:M5911</x:v>
      </x:c>
      <x:c r="E665" s="15" t="n">
        <x:v>-57.77</x:v>
      </x:c>
      <x:c r="F665" s="15" t="str">
        <x:v>preparation</x:v>
      </x:c>
      <x:c r="G665" s="15" t="n">
        <x:v>0</x:v>
      </x:c>
      <x:c r="H665" s="15" t="n">
        <x:v>0</x:v>
      </x:c>
      <x:c r="I665" s="15" t="n">
        <x:v>0</x:v>
      </x:c>
      <x:c r="J665" s="15" t="n">
        <x:v>0</x:v>
      </x:c>
      <x:c r="K665" s="15" t="n">
        <x:v>0</x:v>
      </x:c>
      <x:c r="L665" s="15" t="n">
        <x:v>0</x:v>
      </x:c>
      <x:c r="M665" s="15" t="n">
        <x:v>180</x:v>
      </x:c>
      <x:c r="N665" s="15" t="n">
        <x:v>220</x:v>
      </x:c>
      <x:c r="O665" s="15" t="n">
        <x:v>96</x:v>
      </x:c>
      <x:c r="P665" s="15" t="n">
        <x:v>64</x:v>
      </x:c>
      <x:c r="Q665" s="15" t="n">
        <x:v>32</x:v>
      </x:c>
      <x:c r="R665" s="15" t="n">
        <x:v>60</x:v>
      </x:c>
      <x:c r="S665" s="15" t="n">
        <x:v>280</x:v>
      </x:c>
      <x:c r="T665" s="15" t="n">
        <x:v>420</x:v>
      </x:c>
      <x:c r="U665" s="15" t="n">
        <x:v>0</x:v>
      </x:c>
      <x:c r="V665" s="15" t="n">
        <x:v>180</x:v>
      </x:c>
      <x:c r="W665" s="15" t="n">
        <x:v>380</x:v>
      </x:c>
      <x:c r="X665" s="15" t="n">
        <x:v>0</x:v>
      </x:c>
      <x:c r="Y665" s="15" t="n">
        <x:v>0</x:v>
      </x:c>
      <x:c r="Z665" s="15" t="n">
        <x:v>0</x:v>
      </x:c>
      <x:c r="AA665" s="15" t="n">
        <x:v>0</x:v>
      </x:c>
      <x:c r="AB665" s="15" t="n">
        <x:f>SUM(G665:AA665)</x:f>
        <x:v>1912</x:v>
      </x:c>
    </x:row>
    <x:row r="666" ht="36" customHeight="1">
      <x:c r="A666" s="10" t="str">
        <x:v>V-A</x:v>
      </x:c>
      <x:c r="B666" s="10" t="str">
        <x:v>VOICE</x:v>
      </x:c>
      <x:c r="C666" s="10" t="str">
        <x:v>VOICE:S4-16</x:v>
      </x:c>
      <x:c r="D666" s="10" t="str">
        <x:v>VOICE:M5935</x:v>
      </x:c>
      <x:c r="E666" s="15" t="n">
        <x:v>-60</x:v>
      </x:c>
      <x:c r="F666" s="15" t="str">
        <x:v>preparation</x:v>
      </x:c>
      <x:c r="G666" s="15" t="n">
        <x:v>0</x:v>
      </x:c>
      <x:c r="H666" s="15" t="n">
        <x:v>0</x:v>
      </x:c>
      <x:c r="I666" s="15" t="n">
        <x:v>0</x:v>
      </x:c>
      <x:c r="J666" s="15" t="n">
        <x:v>0</x:v>
      </x:c>
      <x:c r="K666" s="15" t="n">
        <x:v>0</x:v>
      </x:c>
      <x:c r="L666" s="15" t="n">
        <x:v>0</x:v>
      </x:c>
      <x:c r="M666" s="15" t="n">
        <x:v>180</x:v>
      </x:c>
      <x:c r="N666" s="15" t="n">
        <x:v>220</x:v>
      </x:c>
      <x:c r="O666" s="15" t="n">
        <x:v>96</x:v>
      </x:c>
      <x:c r="P666" s="15" t="n">
        <x:v>64</x:v>
      </x:c>
      <x:c r="Q666" s="15" t="n">
        <x:v>32</x:v>
      </x:c>
      <x:c r="R666" s="15" t="n">
        <x:v>0</x:v>
      </x:c>
      <x:c r="S666" s="15" t="n">
        <x:v>0</x:v>
      </x:c>
      <x:c r="T666" s="15" t="n">
        <x:v>0</x:v>
      </x:c>
      <x:c r="U666" s="15" t="n">
        <x:v>0</x:v>
      </x:c>
      <x:c r="V666" s="15" t="n">
        <x:v>0</x:v>
      </x:c>
      <x:c r="W666" s="15" t="n">
        <x:v>0</x:v>
      </x:c>
      <x:c r="X666" s="15" t="n">
        <x:v>0</x:v>
      </x:c>
      <x:c r="Y666" s="15" t="n">
        <x:v>0</x:v>
      </x:c>
      <x:c r="Z666" s="15" t="n">
        <x:v>0</x:v>
      </x:c>
      <x:c r="AA666" s="15" t="n">
        <x:v>0</x:v>
      </x:c>
      <x:c r="AB666" s="15" t="n">
        <x:f>SUM(G666:AA666)</x:f>
        <x:v>592</x:v>
      </x:c>
    </x:row>
    <x:row r="667" ht="36" customHeight="1">
      <x:c r="A667" s="10" t="str">
        <x:v>V-R1</x:v>
      </x:c>
      <x:c r="B667" s="10" t="str">
        <x:v>VOICE</x:v>
      </x:c>
      <x:c r="C667" s="10" t="str">
        <x:v>VOICE:S4-16</x:v>
      </x:c>
      <x:c r="D667" s="10" t="str">
        <x:v>VOICE:M5961</x:v>
      </x:c>
      <x:c r="E667" s="15" t="n">
        <x:v>-57.77</x:v>
      </x:c>
      <x:c r="F667" s="15" t="str">
        <x:v>preparation</x:v>
      </x:c>
      <x:c r="G667" s="15" t="n">
        <x:v>0</x:v>
      </x:c>
      <x:c r="H667" s="15" t="n">
        <x:v>0</x:v>
      </x:c>
      <x:c r="I667" s="15" t="n">
        <x:v>0</x:v>
      </x:c>
      <x:c r="J667" s="15" t="n">
        <x:v>0</x:v>
      </x:c>
      <x:c r="K667" s="15" t="n">
        <x:v>0</x:v>
      </x:c>
      <x:c r="L667" s="15" t="n">
        <x:v>0</x:v>
      </x:c>
      <x:c r="M667" s="15" t="n">
        <x:v>180</x:v>
      </x:c>
      <x:c r="N667" s="15" t="n">
        <x:v>220</x:v>
      </x:c>
      <x:c r="O667" s="15" t="n">
        <x:v>96</x:v>
      </x:c>
      <x:c r="P667" s="15" t="n">
        <x:v>64</x:v>
      </x:c>
      <x:c r="Q667" s="15" t="n">
        <x:v>24</x:v>
      </x:c>
      <x:c r="R667" s="15" t="n">
        <x:v>60</x:v>
      </x:c>
      <x:c r="S667" s="15" t="n">
        <x:v>280</x:v>
      </x:c>
      <x:c r="T667" s="15" t="n">
        <x:v>420</x:v>
      </x:c>
      <x:c r="U667" s="15" t="n">
        <x:v>0</x:v>
      </x:c>
      <x:c r="V667" s="15" t="n">
        <x:v>180</x:v>
      </x:c>
      <x:c r="W667" s="15" t="n">
        <x:v>380</x:v>
      </x:c>
      <x:c r="X667" s="15" t="n">
        <x:v>0</x:v>
      </x:c>
      <x:c r="Y667" s="15" t="n">
        <x:v>0</x:v>
      </x:c>
      <x:c r="Z667" s="15" t="n">
        <x:v>0</x:v>
      </x:c>
      <x:c r="AA667" s="15" t="n">
        <x:v>0</x:v>
      </x:c>
      <x:c r="AB667" s="15" t="n">
        <x:f>SUM(G667:AA667)</x:f>
        <x:v>1904</x:v>
      </x:c>
    </x:row>
    <x:row r="668" ht="36" customHeight="1">
      <x:c r="A668" s="10" t="str">
        <x:v>V-R2</x:v>
      </x:c>
      <x:c r="B668" s="10" t="str">
        <x:v>VOICE</x:v>
      </x:c>
      <x:c r="C668" s="10" t="str">
        <x:v>VOICE:S4-16</x:v>
      </x:c>
      <x:c r="D668" s="10" t="str">
        <x:v>VOICE:M5990</x:v>
      </x:c>
      <x:c r="E668" s="15" t="n">
        <x:v>-57.77</x:v>
      </x:c>
      <x:c r="F668" s="15" t="str">
        <x:v>preparation</x:v>
      </x:c>
      <x:c r="G668" s="15" t="n">
        <x:v>0</x:v>
      </x:c>
      <x:c r="H668" s="15" t="n">
        <x:v>0</x:v>
      </x:c>
      <x:c r="I668" s="15" t="n">
        <x:v>0</x:v>
      </x:c>
      <x:c r="J668" s="15" t="n">
        <x:v>0</x:v>
      </x:c>
      <x:c r="K668" s="15" t="n">
        <x:v>0</x:v>
      </x:c>
      <x:c r="L668" s="15" t="n">
        <x:v>0</x:v>
      </x:c>
      <x:c r="M668" s="15" t="n">
        <x:v>180</x:v>
      </x:c>
      <x:c r="N668" s="15" t="n">
        <x:v>220</x:v>
      </x:c>
      <x:c r="O668" s="15" t="n">
        <x:v>96</x:v>
      </x:c>
      <x:c r="P668" s="15" t="n">
        <x:v>64</x:v>
      </x:c>
      <x:c r="Q668" s="15" t="n">
        <x:v>24</x:v>
      </x:c>
      <x:c r="R668" s="15" t="n">
        <x:v>60</x:v>
      </x:c>
      <x:c r="S668" s="15" t="n">
        <x:v>280</x:v>
      </x:c>
      <x:c r="T668" s="15" t="n">
        <x:v>420</x:v>
      </x:c>
      <x:c r="U668" s="15" t="n">
        <x:v>0</x:v>
      </x:c>
      <x:c r="V668" s="15" t="n">
        <x:v>180</x:v>
      </x:c>
      <x:c r="W668" s="15" t="n">
        <x:v>380</x:v>
      </x:c>
      <x:c r="X668" s="15" t="n">
        <x:v>0</x:v>
      </x:c>
      <x:c r="Y668" s="15" t="n">
        <x:v>0</x:v>
      </x:c>
      <x:c r="Z668" s="15" t="n">
        <x:v>0</x:v>
      </x:c>
      <x:c r="AA668" s="15" t="n">
        <x:v>0</x:v>
      </x:c>
      <x:c r="AB668" s="15" t="n">
        <x:f>SUM(G668:AA668)</x:f>
        <x:v>1904</x:v>
      </x:c>
    </x:row>
    <x:row r="669" ht="36" customHeight="1">
      <x:c r="A669" s="10" t="str">
        <x:v>V-R3</x:v>
      </x:c>
      <x:c r="B669" s="10" t="str">
        <x:v>VOICE</x:v>
      </x:c>
      <x:c r="C669" s="10" t="str">
        <x:v>VOICE:S4-16</x:v>
      </x:c>
      <x:c r="D669" s="10" t="str">
        <x:v>VOICE:M6016</x:v>
      </x:c>
      <x:c r="E669" s="15" t="n">
        <x:v>-57.77</x:v>
      </x:c>
      <x:c r="F669" s="15" t="str">
        <x:v>preparation</x:v>
      </x:c>
      <x:c r="G669" s="15" t="n">
        <x:v>0</x:v>
      </x:c>
      <x:c r="H669" s="15" t="n">
        <x:v>0</x:v>
      </x:c>
      <x:c r="I669" s="15" t="n">
        <x:v>0</x:v>
      </x:c>
      <x:c r="J669" s="15" t="n">
        <x:v>0</x:v>
      </x:c>
      <x:c r="K669" s="15" t="n">
        <x:v>0</x:v>
      </x:c>
      <x:c r="L669" s="15" t="n">
        <x:v>0</x:v>
      </x:c>
      <x:c r="M669" s="15" t="n">
        <x:v>180</x:v>
      </x:c>
      <x:c r="N669" s="15" t="n">
        <x:v>220</x:v>
      </x:c>
      <x:c r="O669" s="15" t="n">
        <x:v>96</x:v>
      </x:c>
      <x:c r="P669" s="15" t="n">
        <x:v>64</x:v>
      </x:c>
      <x:c r="Q669" s="15" t="n">
        <x:v>32</x:v>
      </x:c>
      <x:c r="R669" s="15" t="n">
        <x:v>60</x:v>
      </x:c>
      <x:c r="S669" s="15" t="n">
        <x:v>280</x:v>
      </x:c>
      <x:c r="T669" s="15" t="n">
        <x:v>420</x:v>
      </x:c>
      <x:c r="U669" s="15" t="n">
        <x:v>0</x:v>
      </x:c>
      <x:c r="V669" s="15" t="n">
        <x:v>180</x:v>
      </x:c>
      <x:c r="W669" s="15" t="n">
        <x:v>380</x:v>
      </x:c>
      <x:c r="X669" s="15" t="n">
        <x:v>0</x:v>
      </x:c>
      <x:c r="Y669" s="15" t="n">
        <x:v>0</x:v>
      </x:c>
      <x:c r="Z669" s="15" t="n">
        <x:v>0</x:v>
      </x:c>
      <x:c r="AA669" s="15" t="n">
        <x:v>0</x:v>
      </x:c>
      <x:c r="AB669" s="15" t="n">
        <x:f>SUM(G669:AA669)</x:f>
        <x:v>1912</x:v>
      </x:c>
    </x:row>
    <x:row r="670" ht="36" customHeight="1">
      <x:c r="A670" s="10" t="str">
        <x:v>V-A</x:v>
      </x:c>
      <x:c r="B670" s="10" t="str">
        <x:v>VOICE</x:v>
      </x:c>
      <x:c r="C670" s="10" t="str">
        <x:v>VOICE:S4-17</x:v>
      </x:c>
      <x:c r="D670" s="10" t="str">
        <x:v>VOICE:M6040</x:v>
      </x:c>
      <x:c r="E670" s="15" t="n">
        <x:v>-60</x:v>
      </x:c>
      <x:c r="F670" s="15" t="str">
        <x:v>preparation</x:v>
      </x:c>
      <x:c r="G670" s="15" t="n">
        <x:v>0</x:v>
      </x:c>
      <x:c r="H670" s="15" t="n">
        <x:v>0</x:v>
      </x:c>
      <x:c r="I670" s="15" t="n">
        <x:v>0</x:v>
      </x:c>
      <x:c r="J670" s="15" t="n">
        <x:v>0</x:v>
      </x:c>
      <x:c r="K670" s="15" t="n">
        <x:v>0</x:v>
      </x:c>
      <x:c r="L670" s="15" t="n">
        <x:v>0</x:v>
      </x:c>
      <x:c r="M670" s="15" t="n">
        <x:v>180</x:v>
      </x:c>
      <x:c r="N670" s="15" t="n">
        <x:v>220</x:v>
      </x:c>
      <x:c r="O670" s="15" t="n">
        <x:v>96</x:v>
      </x:c>
      <x:c r="P670" s="15" t="n">
        <x:v>64</x:v>
      </x:c>
      <x:c r="Q670" s="15" t="n">
        <x:v>32</x:v>
      </x:c>
      <x:c r="R670" s="15" t="n">
        <x:v>0</x:v>
      </x:c>
      <x:c r="S670" s="15" t="n">
        <x:v>0</x:v>
      </x:c>
      <x:c r="T670" s="15" t="n">
        <x:v>0</x:v>
      </x:c>
      <x:c r="U670" s="15" t="n">
        <x:v>0</x:v>
      </x:c>
      <x:c r="V670" s="15" t="n">
        <x:v>0</x:v>
      </x:c>
      <x:c r="W670" s="15" t="n">
        <x:v>0</x:v>
      </x:c>
      <x:c r="X670" s="15" t="n">
        <x:v>0</x:v>
      </x:c>
      <x:c r="Y670" s="15" t="n">
        <x:v>0</x:v>
      </x:c>
      <x:c r="Z670" s="15" t="n">
        <x:v>0</x:v>
      </x:c>
      <x:c r="AA670" s="15" t="n">
        <x:v>0</x:v>
      </x:c>
      <x:c r="AB670" s="15" t="n">
        <x:f>SUM(G670:AA670)</x:f>
        <x:v>592</x:v>
      </x:c>
    </x:row>
    <x:row r="671" ht="36" customHeight="1">
      <x:c r="A671" s="10" t="str">
        <x:v>V-R1</x:v>
      </x:c>
      <x:c r="B671" s="10" t="str">
        <x:v>VOICE</x:v>
      </x:c>
      <x:c r="C671" s="10" t="str">
        <x:v>VOICE:S4-17</x:v>
      </x:c>
      <x:c r="D671" s="10" t="str">
        <x:v>VOICE:M6066</x:v>
      </x:c>
      <x:c r="E671" s="15" t="n">
        <x:v>-57.77</x:v>
      </x:c>
      <x:c r="F671" s="15" t="str">
        <x:v>preparation</x:v>
      </x:c>
      <x:c r="G671" s="15" t="n">
        <x:v>0</x:v>
      </x:c>
      <x:c r="H671" s="15" t="n">
        <x:v>0</x:v>
      </x:c>
      <x:c r="I671" s="15" t="n">
        <x:v>0</x:v>
      </x:c>
      <x:c r="J671" s="15" t="n">
        <x:v>0</x:v>
      </x:c>
      <x:c r="K671" s="15" t="n">
        <x:v>0</x:v>
      </x:c>
      <x:c r="L671" s="15" t="n">
        <x:v>0</x:v>
      </x:c>
      <x:c r="M671" s="15" t="n">
        <x:v>180</x:v>
      </x:c>
      <x:c r="N671" s="15" t="n">
        <x:v>220</x:v>
      </x:c>
      <x:c r="O671" s="15" t="n">
        <x:v>96</x:v>
      </x:c>
      <x:c r="P671" s="15" t="n">
        <x:v>64</x:v>
      </x:c>
      <x:c r="Q671" s="15" t="n">
        <x:v>24</x:v>
      </x:c>
      <x:c r="R671" s="15" t="n">
        <x:v>60</x:v>
      </x:c>
      <x:c r="S671" s="15" t="n">
        <x:v>280</x:v>
      </x:c>
      <x:c r="T671" s="15" t="n">
        <x:v>420</x:v>
      </x:c>
      <x:c r="U671" s="15" t="n">
        <x:v>0</x:v>
      </x:c>
      <x:c r="V671" s="15" t="n">
        <x:v>180</x:v>
      </x:c>
      <x:c r="W671" s="15" t="n">
        <x:v>380</x:v>
      </x:c>
      <x:c r="X671" s="15" t="n">
        <x:v>0</x:v>
      </x:c>
      <x:c r="Y671" s="15" t="n">
        <x:v>0</x:v>
      </x:c>
      <x:c r="Z671" s="15" t="n">
        <x:v>0</x:v>
      </x:c>
      <x:c r="AA671" s="15" t="n">
        <x:v>0</x:v>
      </x:c>
      <x:c r="AB671" s="15" t="n">
        <x:f>SUM(G671:AA671)</x:f>
        <x:v>1904</x:v>
      </x:c>
    </x:row>
    <x:row r="672" ht="36" customHeight="1">
      <x:c r="A672" s="10" t="str">
        <x:v>V-R2</x:v>
      </x:c>
      <x:c r="B672" s="10" t="str">
        <x:v>VOICE</x:v>
      </x:c>
      <x:c r="C672" s="10" t="str">
        <x:v>VOICE:S4-17</x:v>
      </x:c>
      <x:c r="D672" s="10" t="str">
        <x:v>VOICE:M6095</x:v>
      </x:c>
      <x:c r="E672" s="15" t="n">
        <x:v>-57.77</x:v>
      </x:c>
      <x:c r="F672" s="15" t="str">
        <x:v>preparation</x:v>
      </x:c>
      <x:c r="G672" s="15" t="n">
        <x:v>0</x:v>
      </x:c>
      <x:c r="H672" s="15" t="n">
        <x:v>0</x:v>
      </x:c>
      <x:c r="I672" s="15" t="n">
        <x:v>0</x:v>
      </x:c>
      <x:c r="J672" s="15" t="n">
        <x:v>0</x:v>
      </x:c>
      <x:c r="K672" s="15" t="n">
        <x:v>0</x:v>
      </x:c>
      <x:c r="L672" s="15" t="n">
        <x:v>0</x:v>
      </x:c>
      <x:c r="M672" s="15" t="n">
        <x:v>180</x:v>
      </x:c>
      <x:c r="N672" s="15" t="n">
        <x:v>220</x:v>
      </x:c>
      <x:c r="O672" s="15" t="n">
        <x:v>96</x:v>
      </x:c>
      <x:c r="P672" s="15" t="n">
        <x:v>64</x:v>
      </x:c>
      <x:c r="Q672" s="15" t="n">
        <x:v>24</x:v>
      </x:c>
      <x:c r="R672" s="15" t="n">
        <x:v>60</x:v>
      </x:c>
      <x:c r="S672" s="15" t="n">
        <x:v>280</x:v>
      </x:c>
      <x:c r="T672" s="15" t="n">
        <x:v>420</x:v>
      </x:c>
      <x:c r="U672" s="15" t="n">
        <x:v>0</x:v>
      </x:c>
      <x:c r="V672" s="15" t="n">
        <x:v>180</x:v>
      </x:c>
      <x:c r="W672" s="15" t="n">
        <x:v>380</x:v>
      </x:c>
      <x:c r="X672" s="15" t="n">
        <x:v>0</x:v>
      </x:c>
      <x:c r="Y672" s="15" t="n">
        <x:v>0</x:v>
      </x:c>
      <x:c r="Z672" s="15" t="n">
        <x:v>0</x:v>
      </x:c>
      <x:c r="AA672" s="15" t="n">
        <x:v>0</x:v>
      </x:c>
      <x:c r="AB672" s="15" t="n">
        <x:f>SUM(G672:AA672)</x:f>
        <x:v>1904</x:v>
      </x:c>
    </x:row>
    <x:row r="673" ht="36" customHeight="1">
      <x:c r="A673" s="10" t="str">
        <x:v>V-R3</x:v>
      </x:c>
      <x:c r="B673" s="10" t="str">
        <x:v>VOICE</x:v>
      </x:c>
      <x:c r="C673" s="10" t="str">
        <x:v>VOICE:S4-17</x:v>
      </x:c>
      <x:c r="D673" s="10" t="str">
        <x:v>VOICE:M6121</x:v>
      </x:c>
      <x:c r="E673" s="15" t="n">
        <x:v>-57.77</x:v>
      </x:c>
      <x:c r="F673" s="15" t="str">
        <x:v>preparation</x:v>
      </x:c>
      <x:c r="G673" s="15" t="n">
        <x:v>0</x:v>
      </x:c>
      <x:c r="H673" s="15" t="n">
        <x:v>0</x:v>
      </x:c>
      <x:c r="I673" s="15" t="n">
        <x:v>0</x:v>
      </x:c>
      <x:c r="J673" s="15" t="n">
        <x:v>0</x:v>
      </x:c>
      <x:c r="K673" s="15" t="n">
        <x:v>0</x:v>
      </x:c>
      <x:c r="L673" s="15" t="n">
        <x:v>0</x:v>
      </x:c>
      <x:c r="M673" s="15" t="n">
        <x:v>180</x:v>
      </x:c>
      <x:c r="N673" s="15" t="n">
        <x:v>220</x:v>
      </x:c>
      <x:c r="O673" s="15" t="n">
        <x:v>96</x:v>
      </x:c>
      <x:c r="P673" s="15" t="n">
        <x:v>64</x:v>
      </x:c>
      <x:c r="Q673" s="15" t="n">
        <x:v>32</x:v>
      </x:c>
      <x:c r="R673" s="15" t="n">
        <x:v>60</x:v>
      </x:c>
      <x:c r="S673" s="15" t="n">
        <x:v>280</x:v>
      </x:c>
      <x:c r="T673" s="15" t="n">
        <x:v>420</x:v>
      </x:c>
      <x:c r="U673" s="15" t="n">
        <x:v>0</x:v>
      </x:c>
      <x:c r="V673" s="15" t="n">
        <x:v>180</x:v>
      </x:c>
      <x:c r="W673" s="15" t="n">
        <x:v>380</x:v>
      </x:c>
      <x:c r="X673" s="15" t="n">
        <x:v>0</x:v>
      </x:c>
      <x:c r="Y673" s="15" t="n">
        <x:v>0</x:v>
      </x:c>
      <x:c r="Z673" s="15" t="n">
        <x:v>0</x:v>
      </x:c>
      <x:c r="AA673" s="15" t="n">
        <x:v>0</x:v>
      </x:c>
      <x:c r="AB673" s="15" t="n">
        <x:f>SUM(G673:AA673)</x:f>
        <x:v>1912</x:v>
      </x:c>
    </x:row>
    <x:row r="674" ht="36" customHeight="1">
      <x:c r="A674" s="10" t="str">
        <x:v>V-A</x:v>
      </x:c>
      <x:c r="B674" s="10" t="str">
        <x:v>VOICE</x:v>
      </x:c>
      <x:c r="C674" s="10" t="str">
        <x:v>VOICE:S4-18</x:v>
      </x:c>
      <x:c r="D674" s="10" t="str">
        <x:v>VOICE:M6145</x:v>
      </x:c>
      <x:c r="E674" s="15" t="n">
        <x:v>-60</x:v>
      </x:c>
      <x:c r="F674" s="15" t="str">
        <x:v>preparation</x:v>
      </x:c>
      <x:c r="G674" s="15" t="n">
        <x:v>0</x:v>
      </x:c>
      <x:c r="H674" s="15" t="n">
        <x:v>0</x:v>
      </x:c>
      <x:c r="I674" s="15" t="n">
        <x:v>0</x:v>
      </x:c>
      <x:c r="J674" s="15" t="n">
        <x:v>0</x:v>
      </x:c>
      <x:c r="K674" s="15" t="n">
        <x:v>0</x:v>
      </x:c>
      <x:c r="L674" s="15" t="n">
        <x:v>0</x:v>
      </x:c>
      <x:c r="M674" s="15" t="n">
        <x:v>180</x:v>
      </x:c>
      <x:c r="N674" s="15" t="n">
        <x:v>220</x:v>
      </x:c>
      <x:c r="O674" s="15" t="n">
        <x:v>96</x:v>
      </x:c>
      <x:c r="P674" s="15" t="n">
        <x:v>64</x:v>
      </x:c>
      <x:c r="Q674" s="15" t="n">
        <x:v>32</x:v>
      </x:c>
      <x:c r="R674" s="15" t="n">
        <x:v>0</x:v>
      </x:c>
      <x:c r="S674" s="15" t="n">
        <x:v>0</x:v>
      </x:c>
      <x:c r="T674" s="15" t="n">
        <x:v>0</x:v>
      </x:c>
      <x:c r="U674" s="15" t="n">
        <x:v>0</x:v>
      </x:c>
      <x:c r="V674" s="15" t="n">
        <x:v>0</x:v>
      </x:c>
      <x:c r="W674" s="15" t="n">
        <x:v>0</x:v>
      </x:c>
      <x:c r="X674" s="15" t="n">
        <x:v>0</x:v>
      </x:c>
      <x:c r="Y674" s="15" t="n">
        <x:v>0</x:v>
      </x:c>
      <x:c r="Z674" s="15" t="n">
        <x:v>0</x:v>
      </x:c>
      <x:c r="AA674" s="15" t="n">
        <x:v>0</x:v>
      </x:c>
      <x:c r="AB674" s="15" t="n">
        <x:f>SUM(G674:AA674)</x:f>
        <x:v>592</x:v>
      </x:c>
    </x:row>
    <x:row r="675" ht="36" customHeight="1">
      <x:c r="A675" s="10" t="str">
        <x:v>V-R1</x:v>
      </x:c>
      <x:c r="B675" s="10" t="str">
        <x:v>VOICE</x:v>
      </x:c>
      <x:c r="C675" s="10" t="str">
        <x:v>VOICE:S4-18</x:v>
      </x:c>
      <x:c r="D675" s="10" t="str">
        <x:v>VOICE:M6171</x:v>
      </x:c>
      <x:c r="E675" s="15" t="n">
        <x:v>-57.77</x:v>
      </x:c>
      <x:c r="F675" s="15" t="str">
        <x:v>preparation</x:v>
      </x:c>
      <x:c r="G675" s="15" t="n">
        <x:v>0</x:v>
      </x:c>
      <x:c r="H675" s="15" t="n">
        <x:v>0</x:v>
      </x:c>
      <x:c r="I675" s="15" t="n">
        <x:v>0</x:v>
      </x:c>
      <x:c r="J675" s="15" t="n">
        <x:v>0</x:v>
      </x:c>
      <x:c r="K675" s="15" t="n">
        <x:v>0</x:v>
      </x:c>
      <x:c r="L675" s="15" t="n">
        <x:v>0</x:v>
      </x:c>
      <x:c r="M675" s="15" t="n">
        <x:v>180</x:v>
      </x:c>
      <x:c r="N675" s="15" t="n">
        <x:v>220</x:v>
      </x:c>
      <x:c r="O675" s="15" t="n">
        <x:v>96</x:v>
      </x:c>
      <x:c r="P675" s="15" t="n">
        <x:v>64</x:v>
      </x:c>
      <x:c r="Q675" s="15" t="n">
        <x:v>24</x:v>
      </x:c>
      <x:c r="R675" s="15" t="n">
        <x:v>60</x:v>
      </x:c>
      <x:c r="S675" s="15" t="n">
        <x:v>280</x:v>
      </x:c>
      <x:c r="T675" s="15" t="n">
        <x:v>420</x:v>
      </x:c>
      <x:c r="U675" s="15" t="n">
        <x:v>0</x:v>
      </x:c>
      <x:c r="V675" s="15" t="n">
        <x:v>180</x:v>
      </x:c>
      <x:c r="W675" s="15" t="n">
        <x:v>380</x:v>
      </x:c>
      <x:c r="X675" s="15" t="n">
        <x:v>0</x:v>
      </x:c>
      <x:c r="Y675" s="15" t="n">
        <x:v>0</x:v>
      </x:c>
      <x:c r="Z675" s="15" t="n">
        <x:v>0</x:v>
      </x:c>
      <x:c r="AA675" s="15" t="n">
        <x:v>0</x:v>
      </x:c>
      <x:c r="AB675" s="15" t="n">
        <x:f>SUM(G675:AA675)</x:f>
        <x:v>1904</x:v>
      </x:c>
    </x:row>
    <x:row r="676" ht="36" customHeight="1">
      <x:c r="A676" s="10" t="str">
        <x:v>V-R2</x:v>
      </x:c>
      <x:c r="B676" s="10" t="str">
        <x:v>VOICE</x:v>
      </x:c>
      <x:c r="C676" s="10" t="str">
        <x:v>VOICE:S4-18</x:v>
      </x:c>
      <x:c r="D676" s="10" t="str">
        <x:v>VOICE:M6200</x:v>
      </x:c>
      <x:c r="E676" s="15" t="n">
        <x:v>-57.77</x:v>
      </x:c>
      <x:c r="F676" s="15" t="str">
        <x:v>preparation</x:v>
      </x:c>
      <x:c r="G676" s="15" t="n">
        <x:v>0</x:v>
      </x:c>
      <x:c r="H676" s="15" t="n">
        <x:v>0</x:v>
      </x:c>
      <x:c r="I676" s="15" t="n">
        <x:v>0</x:v>
      </x:c>
      <x:c r="J676" s="15" t="n">
        <x:v>0</x:v>
      </x:c>
      <x:c r="K676" s="15" t="n">
        <x:v>0</x:v>
      </x:c>
      <x:c r="L676" s="15" t="n">
        <x:v>0</x:v>
      </x:c>
      <x:c r="M676" s="15" t="n">
        <x:v>180</x:v>
      </x:c>
      <x:c r="N676" s="15" t="n">
        <x:v>220</x:v>
      </x:c>
      <x:c r="O676" s="15" t="n">
        <x:v>96</x:v>
      </x:c>
      <x:c r="P676" s="15" t="n">
        <x:v>64</x:v>
      </x:c>
      <x:c r="Q676" s="15" t="n">
        <x:v>24</x:v>
      </x:c>
      <x:c r="R676" s="15" t="n">
        <x:v>60</x:v>
      </x:c>
      <x:c r="S676" s="15" t="n">
        <x:v>280</x:v>
      </x:c>
      <x:c r="T676" s="15" t="n">
        <x:v>420</x:v>
      </x:c>
      <x:c r="U676" s="15" t="n">
        <x:v>0</x:v>
      </x:c>
      <x:c r="V676" s="15" t="n">
        <x:v>180</x:v>
      </x:c>
      <x:c r="W676" s="15" t="n">
        <x:v>380</x:v>
      </x:c>
      <x:c r="X676" s="15" t="n">
        <x:v>0</x:v>
      </x:c>
      <x:c r="Y676" s="15" t="n">
        <x:v>0</x:v>
      </x:c>
      <x:c r="Z676" s="15" t="n">
        <x:v>0</x:v>
      </x:c>
      <x:c r="AA676" s="15" t="n">
        <x:v>0</x:v>
      </x:c>
      <x:c r="AB676" s="15" t="n">
        <x:f>SUM(G676:AA676)</x:f>
        <x:v>1904</x:v>
      </x:c>
    </x:row>
    <x:row r="677" ht="36" customHeight="1">
      <x:c r="A677" s="10" t="str">
        <x:v>V-R3</x:v>
      </x:c>
      <x:c r="B677" s="10" t="str">
        <x:v>VOICE</x:v>
      </x:c>
      <x:c r="C677" s="10" t="str">
        <x:v>VOICE:S4-18</x:v>
      </x:c>
      <x:c r="D677" s="10" t="str">
        <x:v>VOICE:M6226</x:v>
      </x:c>
      <x:c r="E677" s="15" t="n">
        <x:v>-57.77</x:v>
      </x:c>
      <x:c r="F677" s="15" t="str">
        <x:v>preparation</x:v>
      </x:c>
      <x:c r="G677" s="15" t="n">
        <x:v>0</x:v>
      </x:c>
      <x:c r="H677" s="15" t="n">
        <x:v>0</x:v>
      </x:c>
      <x:c r="I677" s="15" t="n">
        <x:v>0</x:v>
      </x:c>
      <x:c r="J677" s="15" t="n">
        <x:v>0</x:v>
      </x:c>
      <x:c r="K677" s="15" t="n">
        <x:v>0</x:v>
      </x:c>
      <x:c r="L677" s="15" t="n">
        <x:v>0</x:v>
      </x:c>
      <x:c r="M677" s="15" t="n">
        <x:v>180</x:v>
      </x:c>
      <x:c r="N677" s="15" t="n">
        <x:v>220</x:v>
      </x:c>
      <x:c r="O677" s="15" t="n">
        <x:v>96</x:v>
      </x:c>
      <x:c r="P677" s="15" t="n">
        <x:v>64</x:v>
      </x:c>
      <x:c r="Q677" s="15" t="n">
        <x:v>32</x:v>
      </x:c>
      <x:c r="R677" s="15" t="n">
        <x:v>60</x:v>
      </x:c>
      <x:c r="S677" s="15" t="n">
        <x:v>280</x:v>
      </x:c>
      <x:c r="T677" s="15" t="n">
        <x:v>420</x:v>
      </x:c>
      <x:c r="U677" s="15" t="n">
        <x:v>0</x:v>
      </x:c>
      <x:c r="V677" s="15" t="n">
        <x:v>180</x:v>
      </x:c>
      <x:c r="W677" s="15" t="n">
        <x:v>380</x:v>
      </x:c>
      <x:c r="X677" s="15" t="n">
        <x:v>0</x:v>
      </x:c>
      <x:c r="Y677" s="15" t="n">
        <x:v>0</x:v>
      </x:c>
      <x:c r="Z677" s="15" t="n">
        <x:v>0</x:v>
      </x:c>
      <x:c r="AA677" s="15" t="n">
        <x:v>0</x:v>
      </x:c>
      <x:c r="AB677" s="15" t="n">
        <x:f>SUM(G677:AA677)</x:f>
        <x:v>1912</x:v>
      </x:c>
    </x:row>
    <x:row r="678" ht="36" customHeight="1">
      <x:c r="A678" s="10" t="str">
        <x:v>V-A</x:v>
      </x:c>
      <x:c r="B678" s="10" t="str">
        <x:v>VOICE</x:v>
      </x:c>
      <x:c r="C678" s="10" t="str">
        <x:v>VOICE:S4-19</x:v>
      </x:c>
      <x:c r="D678" s="10" t="str">
        <x:v>VOICE:M6250</x:v>
      </x:c>
      <x:c r="E678" s="15" t="n">
        <x:v>-60</x:v>
      </x:c>
      <x:c r="F678" s="15" t="str">
        <x:v>preparation</x:v>
      </x:c>
      <x:c r="G678" s="15" t="n">
        <x:v>0</x:v>
      </x:c>
      <x:c r="H678" s="15" t="n">
        <x:v>0</x:v>
      </x:c>
      <x:c r="I678" s="15" t="n">
        <x:v>0</x:v>
      </x:c>
      <x:c r="J678" s="15" t="n">
        <x:v>0</x:v>
      </x:c>
      <x:c r="K678" s="15" t="n">
        <x:v>0</x:v>
      </x:c>
      <x:c r="L678" s="15" t="n">
        <x:v>0</x:v>
      </x:c>
      <x:c r="M678" s="15" t="n">
        <x:v>180</x:v>
      </x:c>
      <x:c r="N678" s="15" t="n">
        <x:v>220</x:v>
      </x:c>
      <x:c r="O678" s="15" t="n">
        <x:v>96</x:v>
      </x:c>
      <x:c r="P678" s="15" t="n">
        <x:v>64</x:v>
      </x:c>
      <x:c r="Q678" s="15" t="n">
        <x:v>32</x:v>
      </x:c>
      <x:c r="R678" s="15" t="n">
        <x:v>0</x:v>
      </x:c>
      <x:c r="S678" s="15" t="n">
        <x:v>0</x:v>
      </x:c>
      <x:c r="T678" s="15" t="n">
        <x:v>0</x:v>
      </x:c>
      <x:c r="U678" s="15" t="n">
        <x:v>0</x:v>
      </x:c>
      <x:c r="V678" s="15" t="n">
        <x:v>0</x:v>
      </x:c>
      <x:c r="W678" s="15" t="n">
        <x:v>0</x:v>
      </x:c>
      <x:c r="X678" s="15" t="n">
        <x:v>0</x:v>
      </x:c>
      <x:c r="Y678" s="15" t="n">
        <x:v>0</x:v>
      </x:c>
      <x:c r="Z678" s="15" t="n">
        <x:v>0</x:v>
      </x:c>
      <x:c r="AA678" s="15" t="n">
        <x:v>0</x:v>
      </x:c>
      <x:c r="AB678" s="15" t="n">
        <x:f>SUM(G678:AA678)</x:f>
        <x:v>592</x:v>
      </x:c>
    </x:row>
    <x:row r="679" ht="36" customHeight="1">
      <x:c r="A679" s="10" t="str">
        <x:v>V-R1</x:v>
      </x:c>
      <x:c r="B679" s="10" t="str">
        <x:v>VOICE</x:v>
      </x:c>
      <x:c r="C679" s="10" t="str">
        <x:v>VOICE:S4-19</x:v>
      </x:c>
      <x:c r="D679" s="10" t="str">
        <x:v>VOICE:M6276</x:v>
      </x:c>
      <x:c r="E679" s="15" t="n">
        <x:v>-57.77</x:v>
      </x:c>
      <x:c r="F679" s="15" t="str">
        <x:v>preparation</x:v>
      </x:c>
      <x:c r="G679" s="15" t="n">
        <x:v>0</x:v>
      </x:c>
      <x:c r="H679" s="15" t="n">
        <x:v>0</x:v>
      </x:c>
      <x:c r="I679" s="15" t="n">
        <x:v>0</x:v>
      </x:c>
      <x:c r="J679" s="15" t="n">
        <x:v>0</x:v>
      </x:c>
      <x:c r="K679" s="15" t="n">
        <x:v>0</x:v>
      </x:c>
      <x:c r="L679" s="15" t="n">
        <x:v>0</x:v>
      </x:c>
      <x:c r="M679" s="15" t="n">
        <x:v>180</x:v>
      </x:c>
      <x:c r="N679" s="15" t="n">
        <x:v>220</x:v>
      </x:c>
      <x:c r="O679" s="15" t="n">
        <x:v>96</x:v>
      </x:c>
      <x:c r="P679" s="15" t="n">
        <x:v>64</x:v>
      </x:c>
      <x:c r="Q679" s="15" t="n">
        <x:v>24</x:v>
      </x:c>
      <x:c r="R679" s="15" t="n">
        <x:v>60</x:v>
      </x:c>
      <x:c r="S679" s="15" t="n">
        <x:v>280</x:v>
      </x:c>
      <x:c r="T679" s="15" t="n">
        <x:v>420</x:v>
      </x:c>
      <x:c r="U679" s="15" t="n">
        <x:v>0</x:v>
      </x:c>
      <x:c r="V679" s="15" t="n">
        <x:v>180</x:v>
      </x:c>
      <x:c r="W679" s="15" t="n">
        <x:v>380</x:v>
      </x:c>
      <x:c r="X679" s="15" t="n">
        <x:v>0</x:v>
      </x:c>
      <x:c r="Y679" s="15" t="n">
        <x:v>0</x:v>
      </x:c>
      <x:c r="Z679" s="15" t="n">
        <x:v>0</x:v>
      </x:c>
      <x:c r="AA679" s="15" t="n">
        <x:v>0</x:v>
      </x:c>
      <x:c r="AB679" s="15" t="n">
        <x:f>SUM(G679:AA679)</x:f>
        <x:v>1904</x:v>
      </x:c>
    </x:row>
    <x:row r="680" ht="36" customHeight="1">
      <x:c r="A680" s="10" t="str">
        <x:v>V-R2</x:v>
      </x:c>
      <x:c r="B680" s="10" t="str">
        <x:v>VOICE</x:v>
      </x:c>
      <x:c r="C680" s="10" t="str">
        <x:v>VOICE:S4-19</x:v>
      </x:c>
      <x:c r="D680" s="10" t="str">
        <x:v>VOICE:M6305</x:v>
      </x:c>
      <x:c r="E680" s="15" t="n">
        <x:v>-57.77</x:v>
      </x:c>
      <x:c r="F680" s="15" t="str">
        <x:v>preparation</x:v>
      </x:c>
      <x:c r="G680" s="15" t="n">
        <x:v>0</x:v>
      </x:c>
      <x:c r="H680" s="15" t="n">
        <x:v>0</x:v>
      </x:c>
      <x:c r="I680" s="15" t="n">
        <x:v>0</x:v>
      </x:c>
      <x:c r="J680" s="15" t="n">
        <x:v>0</x:v>
      </x:c>
      <x:c r="K680" s="15" t="n">
        <x:v>0</x:v>
      </x:c>
      <x:c r="L680" s="15" t="n">
        <x:v>0</x:v>
      </x:c>
      <x:c r="M680" s="15" t="n">
        <x:v>180</x:v>
      </x:c>
      <x:c r="N680" s="15" t="n">
        <x:v>220</x:v>
      </x:c>
      <x:c r="O680" s="15" t="n">
        <x:v>96</x:v>
      </x:c>
      <x:c r="P680" s="15" t="n">
        <x:v>64</x:v>
      </x:c>
      <x:c r="Q680" s="15" t="n">
        <x:v>24</x:v>
      </x:c>
      <x:c r="R680" s="15" t="n">
        <x:v>60</x:v>
      </x:c>
      <x:c r="S680" s="15" t="n">
        <x:v>280</x:v>
      </x:c>
      <x:c r="T680" s="15" t="n">
        <x:v>420</x:v>
      </x:c>
      <x:c r="U680" s="15" t="n">
        <x:v>0</x:v>
      </x:c>
      <x:c r="V680" s="15" t="n">
        <x:v>180</x:v>
      </x:c>
      <x:c r="W680" s="15" t="n">
        <x:v>380</x:v>
      </x:c>
      <x:c r="X680" s="15" t="n">
        <x:v>0</x:v>
      </x:c>
      <x:c r="Y680" s="15" t="n">
        <x:v>0</x:v>
      </x:c>
      <x:c r="Z680" s="15" t="n">
        <x:v>0</x:v>
      </x:c>
      <x:c r="AA680" s="15" t="n">
        <x:v>0</x:v>
      </x:c>
      <x:c r="AB680" s="15" t="n">
        <x:f>SUM(G680:AA680)</x:f>
        <x:v>1904</x:v>
      </x:c>
    </x:row>
    <x:row r="681" ht="36" customHeight="1">
      <x:c r="A681" s="10" t="str">
        <x:v>V-R3</x:v>
      </x:c>
      <x:c r="B681" s="10" t="str">
        <x:v>VOICE</x:v>
      </x:c>
      <x:c r="C681" s="10" t="str">
        <x:v>VOICE:S4-19</x:v>
      </x:c>
      <x:c r="D681" s="10" t="str">
        <x:v>VOICE:M6331</x:v>
      </x:c>
      <x:c r="E681" s="15" t="n">
        <x:v>-57.77</x:v>
      </x:c>
      <x:c r="F681" s="15" t="str">
        <x:v>preparation</x:v>
      </x:c>
      <x:c r="G681" s="15" t="n">
        <x:v>0</x:v>
      </x:c>
      <x:c r="H681" s="15" t="n">
        <x:v>0</x:v>
      </x:c>
      <x:c r="I681" s="15" t="n">
        <x:v>0</x:v>
      </x:c>
      <x:c r="J681" s="15" t="n">
        <x:v>0</x:v>
      </x:c>
      <x:c r="K681" s="15" t="n">
        <x:v>0</x:v>
      </x:c>
      <x:c r="L681" s="15" t="n">
        <x:v>0</x:v>
      </x:c>
      <x:c r="M681" s="15" t="n">
        <x:v>180</x:v>
      </x:c>
      <x:c r="N681" s="15" t="n">
        <x:v>220</x:v>
      </x:c>
      <x:c r="O681" s="15" t="n">
        <x:v>96</x:v>
      </x:c>
      <x:c r="P681" s="15" t="n">
        <x:v>64</x:v>
      </x:c>
      <x:c r="Q681" s="15" t="n">
        <x:v>32</x:v>
      </x:c>
      <x:c r="R681" s="15" t="n">
        <x:v>60</x:v>
      </x:c>
      <x:c r="S681" s="15" t="n">
        <x:v>280</x:v>
      </x:c>
      <x:c r="T681" s="15" t="n">
        <x:v>420</x:v>
      </x:c>
      <x:c r="U681" s="15" t="n">
        <x:v>0</x:v>
      </x:c>
      <x:c r="V681" s="15" t="n">
        <x:v>180</x:v>
      </x:c>
      <x:c r="W681" s="15" t="n">
        <x:v>380</x:v>
      </x:c>
      <x:c r="X681" s="15" t="n">
        <x:v>0</x:v>
      </x:c>
      <x:c r="Y681" s="15" t="n">
        <x:v>0</x:v>
      </x:c>
      <x:c r="Z681" s="15" t="n">
        <x:v>0</x:v>
      </x:c>
      <x:c r="AA681" s="15" t="n">
        <x:v>0</x:v>
      </x:c>
      <x:c r="AB681" s="15" t="n">
        <x:f>SUM(G681:AA681)</x:f>
        <x:v>1912</x:v>
      </x:c>
    </x:row>
    <x:row r="682" ht="36" customHeight="1">
      <x:c r="A682" s="10" t="str">
        <x:v>V-A</x:v>
      </x:c>
      <x:c r="B682" s="10" t="str">
        <x:v>VOICE</x:v>
      </x:c>
      <x:c r="C682" s="10" t="str">
        <x:v>VOICE:S4-20</x:v>
      </x:c>
      <x:c r="D682" s="10" t="str">
        <x:v>VOICE:M6355</x:v>
      </x:c>
      <x:c r="E682" s="15" t="n">
        <x:v>-60</x:v>
      </x:c>
      <x:c r="F682" s="15" t="str">
        <x:v>preparation</x:v>
      </x:c>
      <x:c r="G682" s="15" t="n">
        <x:v>0</x:v>
      </x:c>
      <x:c r="H682" s="15" t="n">
        <x:v>0</x:v>
      </x:c>
      <x:c r="I682" s="15" t="n">
        <x:v>0</x:v>
      </x:c>
      <x:c r="J682" s="15" t="n">
        <x:v>0</x:v>
      </x:c>
      <x:c r="K682" s="15" t="n">
        <x:v>0</x:v>
      </x:c>
      <x:c r="L682" s="15" t="n">
        <x:v>0</x:v>
      </x:c>
      <x:c r="M682" s="15" t="n">
        <x:v>180</x:v>
      </x:c>
      <x:c r="N682" s="15" t="n">
        <x:v>220</x:v>
      </x:c>
      <x:c r="O682" s="15" t="n">
        <x:v>96</x:v>
      </x:c>
      <x:c r="P682" s="15" t="n">
        <x:v>64</x:v>
      </x:c>
      <x:c r="Q682" s="15" t="n">
        <x:v>32</x:v>
      </x:c>
      <x:c r="R682" s="15" t="n">
        <x:v>0</x:v>
      </x:c>
      <x:c r="S682" s="15" t="n">
        <x:v>0</x:v>
      </x:c>
      <x:c r="T682" s="15" t="n">
        <x:v>0</x:v>
      </x:c>
      <x:c r="U682" s="15" t="n">
        <x:v>0</x:v>
      </x:c>
      <x:c r="V682" s="15" t="n">
        <x:v>0</x:v>
      </x:c>
      <x:c r="W682" s="15" t="n">
        <x:v>0</x:v>
      </x:c>
      <x:c r="X682" s="15" t="n">
        <x:v>0</x:v>
      </x:c>
      <x:c r="Y682" s="15" t="n">
        <x:v>0</x:v>
      </x:c>
      <x:c r="Z682" s="15" t="n">
        <x:v>0</x:v>
      </x:c>
      <x:c r="AA682" s="15" t="n">
        <x:v>0</x:v>
      </x:c>
      <x:c r="AB682" s="15" t="n">
        <x:f>SUM(G682:AA682)</x:f>
        <x:v>592</x:v>
      </x:c>
    </x:row>
    <x:row r="683" ht="36" customHeight="1">
      <x:c r="A683" s="10" t="str">
        <x:v>V-R1</x:v>
      </x:c>
      <x:c r="B683" s="10" t="str">
        <x:v>VOICE</x:v>
      </x:c>
      <x:c r="C683" s="10" t="str">
        <x:v>VOICE:S4-20</x:v>
      </x:c>
      <x:c r="D683" s="10" t="str">
        <x:v>VOICE:M6381</x:v>
      </x:c>
      <x:c r="E683" s="15" t="n">
        <x:v>-57.77</x:v>
      </x:c>
      <x:c r="F683" s="15" t="str">
        <x:v>preparation</x:v>
      </x:c>
      <x:c r="G683" s="15" t="n">
        <x:v>0</x:v>
      </x:c>
      <x:c r="H683" s="15" t="n">
        <x:v>0</x:v>
      </x:c>
      <x:c r="I683" s="15" t="n">
        <x:v>0</x:v>
      </x:c>
      <x:c r="J683" s="15" t="n">
        <x:v>0</x:v>
      </x:c>
      <x:c r="K683" s="15" t="n">
        <x:v>0</x:v>
      </x:c>
      <x:c r="L683" s="15" t="n">
        <x:v>0</x:v>
      </x:c>
      <x:c r="M683" s="15" t="n">
        <x:v>180</x:v>
      </x:c>
      <x:c r="N683" s="15" t="n">
        <x:v>220</x:v>
      </x:c>
      <x:c r="O683" s="15" t="n">
        <x:v>96</x:v>
      </x:c>
      <x:c r="P683" s="15" t="n">
        <x:v>64</x:v>
      </x:c>
      <x:c r="Q683" s="15" t="n">
        <x:v>24</x:v>
      </x:c>
      <x:c r="R683" s="15" t="n">
        <x:v>60</x:v>
      </x:c>
      <x:c r="S683" s="15" t="n">
        <x:v>280</x:v>
      </x:c>
      <x:c r="T683" s="15" t="n">
        <x:v>420</x:v>
      </x:c>
      <x:c r="U683" s="15" t="n">
        <x:v>0</x:v>
      </x:c>
      <x:c r="V683" s="15" t="n">
        <x:v>180</x:v>
      </x:c>
      <x:c r="W683" s="15" t="n">
        <x:v>380</x:v>
      </x:c>
      <x:c r="X683" s="15" t="n">
        <x:v>0</x:v>
      </x:c>
      <x:c r="Y683" s="15" t="n">
        <x:v>0</x:v>
      </x:c>
      <x:c r="Z683" s="15" t="n">
        <x:v>0</x:v>
      </x:c>
      <x:c r="AA683" s="15" t="n">
        <x:v>0</x:v>
      </x:c>
      <x:c r="AB683" s="15" t="n">
        <x:f>SUM(G683:AA683)</x:f>
        <x:v>1904</x:v>
      </x:c>
    </x:row>
    <x:row r="684" ht="36" customHeight="1">
      <x:c r="A684" s="10" t="str">
        <x:v>V-R2</x:v>
      </x:c>
      <x:c r="B684" s="10" t="str">
        <x:v>VOICE</x:v>
      </x:c>
      <x:c r="C684" s="10" t="str">
        <x:v>VOICE:S4-20</x:v>
      </x:c>
      <x:c r="D684" s="10" t="str">
        <x:v>VOICE:M6410</x:v>
      </x:c>
      <x:c r="E684" s="15" t="n">
        <x:v>-57.77</x:v>
      </x:c>
      <x:c r="F684" s="15" t="str">
        <x:v>preparation</x:v>
      </x:c>
      <x:c r="G684" s="15" t="n">
        <x:v>0</x:v>
      </x:c>
      <x:c r="H684" s="15" t="n">
        <x:v>0</x:v>
      </x:c>
      <x:c r="I684" s="15" t="n">
        <x:v>0</x:v>
      </x:c>
      <x:c r="J684" s="15" t="n">
        <x:v>0</x:v>
      </x:c>
      <x:c r="K684" s="15" t="n">
        <x:v>0</x:v>
      </x:c>
      <x:c r="L684" s="15" t="n">
        <x:v>0</x:v>
      </x:c>
      <x:c r="M684" s="15" t="n">
        <x:v>180</x:v>
      </x:c>
      <x:c r="N684" s="15" t="n">
        <x:v>220</x:v>
      </x:c>
      <x:c r="O684" s="15" t="n">
        <x:v>96</x:v>
      </x:c>
      <x:c r="P684" s="15" t="n">
        <x:v>64</x:v>
      </x:c>
      <x:c r="Q684" s="15" t="n">
        <x:v>24</x:v>
      </x:c>
      <x:c r="R684" s="15" t="n">
        <x:v>60</x:v>
      </x:c>
      <x:c r="S684" s="15" t="n">
        <x:v>280</x:v>
      </x:c>
      <x:c r="T684" s="15" t="n">
        <x:v>420</x:v>
      </x:c>
      <x:c r="U684" s="15" t="n">
        <x:v>0</x:v>
      </x:c>
      <x:c r="V684" s="15" t="n">
        <x:v>180</x:v>
      </x:c>
      <x:c r="W684" s="15" t="n">
        <x:v>380</x:v>
      </x:c>
      <x:c r="X684" s="15" t="n">
        <x:v>0</x:v>
      </x:c>
      <x:c r="Y684" s="15" t="n">
        <x:v>0</x:v>
      </x:c>
      <x:c r="Z684" s="15" t="n">
        <x:v>0</x:v>
      </x:c>
      <x:c r="AA684" s="15" t="n">
        <x:v>0</x:v>
      </x:c>
      <x:c r="AB684" s="15" t="n">
        <x:f>SUM(G684:AA684)</x:f>
        <x:v>1904</x:v>
      </x:c>
    </x:row>
    <x:row r="685" ht="36" customHeight="1">
      <x:c r="A685" s="10" t="str">
        <x:v>V-R3</x:v>
      </x:c>
      <x:c r="B685" s="10" t="str">
        <x:v>VOICE</x:v>
      </x:c>
      <x:c r="C685" s="10" t="str">
        <x:v>VOICE:S4-20</x:v>
      </x:c>
      <x:c r="D685" s="10" t="str">
        <x:v>VOICE:M6436</x:v>
      </x:c>
      <x:c r="E685" s="15" t="n">
        <x:v>-57.77</x:v>
      </x:c>
      <x:c r="F685" s="15" t="str">
        <x:v>preparation</x:v>
      </x:c>
      <x:c r="G685" s="15" t="n">
        <x:v>0</x:v>
      </x:c>
      <x:c r="H685" s="15" t="n">
        <x:v>0</x:v>
      </x:c>
      <x:c r="I685" s="15" t="n">
        <x:v>0</x:v>
      </x:c>
      <x:c r="J685" s="15" t="n">
        <x:v>0</x:v>
      </x:c>
      <x:c r="K685" s="15" t="n">
        <x:v>0</x:v>
      </x:c>
      <x:c r="L685" s="15" t="n">
        <x:v>0</x:v>
      </x:c>
      <x:c r="M685" s="15" t="n">
        <x:v>180</x:v>
      </x:c>
      <x:c r="N685" s="15" t="n">
        <x:v>220</x:v>
      </x:c>
      <x:c r="O685" s="15" t="n">
        <x:v>96</x:v>
      </x:c>
      <x:c r="P685" s="15" t="n">
        <x:v>64</x:v>
      </x:c>
      <x:c r="Q685" s="15" t="n">
        <x:v>32</x:v>
      </x:c>
      <x:c r="R685" s="15" t="n">
        <x:v>60</x:v>
      </x:c>
      <x:c r="S685" s="15" t="n">
        <x:v>280</x:v>
      </x:c>
      <x:c r="T685" s="15" t="n">
        <x:v>420</x:v>
      </x:c>
      <x:c r="U685" s="15" t="n">
        <x:v>0</x:v>
      </x:c>
      <x:c r="V685" s="15" t="n">
        <x:v>180</x:v>
      </x:c>
      <x:c r="W685" s="15" t="n">
        <x:v>380</x:v>
      </x:c>
      <x:c r="X685" s="15" t="n">
        <x:v>0</x:v>
      </x:c>
      <x:c r="Y685" s="15" t="n">
        <x:v>0</x:v>
      </x:c>
      <x:c r="Z685" s="15" t="n">
        <x:v>0</x:v>
      </x:c>
      <x:c r="AA685" s="15" t="n">
        <x:v>0</x:v>
      </x:c>
      <x:c r="AB685" s="15" t="n">
        <x:f>SUM(G685:AA685)</x:f>
        <x:v>1912</x:v>
      </x:c>
    </x:row>
    <x:row r="686" ht="36" customHeight="1">
      <x:c r="A686" s="10" t="str">
        <x:v>V-A</x:v>
      </x:c>
      <x:c r="B686" s="10" t="str">
        <x:v>VOICE</x:v>
      </x:c>
      <x:c r="C686" s="10" t="str">
        <x:v>VOICE:S5-01</x:v>
      </x:c>
      <x:c r="D686" s="10" t="str">
        <x:v>VOICE:M6460</x:v>
      </x:c>
      <x:c r="E686" s="15" t="n">
        <x:v>-60</x:v>
      </x:c>
      <x:c r="F686" s="15" t="str">
        <x:v>preparation</x:v>
      </x:c>
      <x:c r="G686" s="15" t="n">
        <x:v>0</x:v>
      </x:c>
      <x:c r="H686" s="15" t="n">
        <x:v>0</x:v>
      </x:c>
      <x:c r="I686" s="15" t="n">
        <x:v>0</x:v>
      </x:c>
      <x:c r="J686" s="15" t="n">
        <x:v>0</x:v>
      </x:c>
      <x:c r="K686" s="15" t="n">
        <x:v>0</x:v>
      </x:c>
      <x:c r="L686" s="15" t="n">
        <x:v>0</x:v>
      </x:c>
      <x:c r="M686" s="15" t="n">
        <x:v>180</x:v>
      </x:c>
      <x:c r="N686" s="15" t="n">
        <x:v>220</x:v>
      </x:c>
      <x:c r="O686" s="15" t="n">
        <x:v>96</x:v>
      </x:c>
      <x:c r="P686" s="15" t="n">
        <x:v>64</x:v>
      </x:c>
      <x:c r="Q686" s="15" t="n">
        <x:v>32</x:v>
      </x:c>
      <x:c r="R686" s="15" t="n">
        <x:v>0</x:v>
      </x:c>
      <x:c r="S686" s="15" t="n">
        <x:v>0</x:v>
      </x:c>
      <x:c r="T686" s="15" t="n">
        <x:v>0</x:v>
      </x:c>
      <x:c r="U686" s="15" t="n">
        <x:v>0</x:v>
      </x:c>
      <x:c r="V686" s="15" t="n">
        <x:v>0</x:v>
      </x:c>
      <x:c r="W686" s="15" t="n">
        <x:v>0</x:v>
      </x:c>
      <x:c r="X686" s="15" t="n">
        <x:v>0</x:v>
      </x:c>
      <x:c r="Y686" s="15" t="n">
        <x:v>0</x:v>
      </x:c>
      <x:c r="Z686" s="15" t="n">
        <x:v>0</x:v>
      </x:c>
      <x:c r="AA686" s="15" t="n">
        <x:v>0</x:v>
      </x:c>
      <x:c r="AB686" s="15" t="n">
        <x:f>SUM(G686:AA686)</x:f>
        <x:v>592</x:v>
      </x:c>
    </x:row>
    <x:row r="687" ht="36" customHeight="1">
      <x:c r="A687" s="10" t="str">
        <x:v>V-R1</x:v>
      </x:c>
      <x:c r="B687" s="10" t="str">
        <x:v>VOICE</x:v>
      </x:c>
      <x:c r="C687" s="10" t="str">
        <x:v>VOICE:S5-01</x:v>
      </x:c>
      <x:c r="D687" s="10" t="str">
        <x:v>VOICE:M6486</x:v>
      </x:c>
      <x:c r="E687" s="15" t="n">
        <x:v>-57.77</x:v>
      </x:c>
      <x:c r="F687" s="15" t="str">
        <x:v>preparation</x:v>
      </x:c>
      <x:c r="G687" s="15" t="n">
        <x:v>0</x:v>
      </x:c>
      <x:c r="H687" s="15" t="n">
        <x:v>0</x:v>
      </x:c>
      <x:c r="I687" s="15" t="n">
        <x:v>0</x:v>
      </x:c>
      <x:c r="J687" s="15" t="n">
        <x:v>0</x:v>
      </x:c>
      <x:c r="K687" s="15" t="n">
        <x:v>0</x:v>
      </x:c>
      <x:c r="L687" s="15" t="n">
        <x:v>0</x:v>
      </x:c>
      <x:c r="M687" s="15" t="n">
        <x:v>180</x:v>
      </x:c>
      <x:c r="N687" s="15" t="n">
        <x:v>220</x:v>
      </x:c>
      <x:c r="O687" s="15" t="n">
        <x:v>96</x:v>
      </x:c>
      <x:c r="P687" s="15" t="n">
        <x:v>64</x:v>
      </x:c>
      <x:c r="Q687" s="15" t="n">
        <x:v>24</x:v>
      </x:c>
      <x:c r="R687" s="15" t="n">
        <x:v>60</x:v>
      </x:c>
      <x:c r="S687" s="15" t="n">
        <x:v>280</x:v>
      </x:c>
      <x:c r="T687" s="15" t="n">
        <x:v>420</x:v>
      </x:c>
      <x:c r="U687" s="15" t="n">
        <x:v>0</x:v>
      </x:c>
      <x:c r="V687" s="15" t="n">
        <x:v>180</x:v>
      </x:c>
      <x:c r="W687" s="15" t="n">
        <x:v>380</x:v>
      </x:c>
      <x:c r="X687" s="15" t="n">
        <x:v>0</x:v>
      </x:c>
      <x:c r="Y687" s="15" t="n">
        <x:v>0</x:v>
      </x:c>
      <x:c r="Z687" s="15" t="n">
        <x:v>0</x:v>
      </x:c>
      <x:c r="AA687" s="15" t="n">
        <x:v>0</x:v>
      </x:c>
      <x:c r="AB687" s="15" t="n">
        <x:f>SUM(G687:AA687)</x:f>
        <x:v>1904</x:v>
      </x:c>
    </x:row>
    <x:row r="688" ht="36" customHeight="1">
      <x:c r="A688" s="10" t="str">
        <x:v>V-R2</x:v>
      </x:c>
      <x:c r="B688" s="10" t="str">
        <x:v>VOICE</x:v>
      </x:c>
      <x:c r="C688" s="10" t="str">
        <x:v>VOICE:S5-01</x:v>
      </x:c>
      <x:c r="D688" s="10" t="str">
        <x:v>VOICE:M6512</x:v>
      </x:c>
      <x:c r="E688" s="15" t="n">
        <x:v>-57.77</x:v>
      </x:c>
      <x:c r="F688" s="15" t="str">
        <x:v>preparation</x:v>
      </x:c>
      <x:c r="G688" s="15" t="n">
        <x:v>0</x:v>
      </x:c>
      <x:c r="H688" s="15" t="n">
        <x:v>0</x:v>
      </x:c>
      <x:c r="I688" s="15" t="n">
        <x:v>0</x:v>
      </x:c>
      <x:c r="J688" s="15" t="n">
        <x:v>0</x:v>
      </x:c>
      <x:c r="K688" s="15" t="n">
        <x:v>0</x:v>
      </x:c>
      <x:c r="L688" s="15" t="n">
        <x:v>0</x:v>
      </x:c>
      <x:c r="M688" s="15" t="n">
        <x:v>180</x:v>
      </x:c>
      <x:c r="N688" s="15" t="n">
        <x:v>220</x:v>
      </x:c>
      <x:c r="O688" s="15" t="n">
        <x:v>96</x:v>
      </x:c>
      <x:c r="P688" s="15" t="n">
        <x:v>64</x:v>
      </x:c>
      <x:c r="Q688" s="15" t="n">
        <x:v>24</x:v>
      </x:c>
      <x:c r="R688" s="15" t="n">
        <x:v>60</x:v>
      </x:c>
      <x:c r="S688" s="15" t="n">
        <x:v>280</x:v>
      </x:c>
      <x:c r="T688" s="15" t="n">
        <x:v>420</x:v>
      </x:c>
      <x:c r="U688" s="15" t="n">
        <x:v>0</x:v>
      </x:c>
      <x:c r="V688" s="15" t="n">
        <x:v>180</x:v>
      </x:c>
      <x:c r="W688" s="15" t="n">
        <x:v>380</x:v>
      </x:c>
      <x:c r="X688" s="15" t="n">
        <x:v>0</x:v>
      </x:c>
      <x:c r="Y688" s="15" t="n">
        <x:v>0</x:v>
      </x:c>
      <x:c r="Z688" s="15" t="n">
        <x:v>0</x:v>
      </x:c>
      <x:c r="AA688" s="15" t="n">
        <x:v>0</x:v>
      </x:c>
      <x:c r="AB688" s="15" t="n">
        <x:f>SUM(G688:AA688)</x:f>
        <x:v>1904</x:v>
      </x:c>
    </x:row>
    <x:row r="689" ht="36" customHeight="1">
      <x:c r="A689" s="10" t="str">
        <x:v>V-R3</x:v>
      </x:c>
      <x:c r="B689" s="10" t="str">
        <x:v>VOICE</x:v>
      </x:c>
      <x:c r="C689" s="10" t="str">
        <x:v>VOICE:S5-01</x:v>
      </x:c>
      <x:c r="D689" s="10" t="str">
        <x:v>VOICE:M6537</x:v>
      </x:c>
      <x:c r="E689" s="15" t="n">
        <x:v>-57.77</x:v>
      </x:c>
      <x:c r="F689" s="15" t="str">
        <x:v>preparation</x:v>
      </x:c>
      <x:c r="G689" s="15" t="n">
        <x:v>0</x:v>
      </x:c>
      <x:c r="H689" s="15" t="n">
        <x:v>0</x:v>
      </x:c>
      <x:c r="I689" s="15" t="n">
        <x:v>0</x:v>
      </x:c>
      <x:c r="J689" s="15" t="n">
        <x:v>0</x:v>
      </x:c>
      <x:c r="K689" s="15" t="n">
        <x:v>0</x:v>
      </x:c>
      <x:c r="L689" s="15" t="n">
        <x:v>0</x:v>
      </x:c>
      <x:c r="M689" s="15" t="n">
        <x:v>180</x:v>
      </x:c>
      <x:c r="N689" s="15" t="n">
        <x:v>220</x:v>
      </x:c>
      <x:c r="O689" s="15" t="n">
        <x:v>96</x:v>
      </x:c>
      <x:c r="P689" s="15" t="n">
        <x:v>64</x:v>
      </x:c>
      <x:c r="Q689" s="15" t="n">
        <x:v>32</x:v>
      </x:c>
      <x:c r="R689" s="15" t="n">
        <x:v>60</x:v>
      </x:c>
      <x:c r="S689" s="15" t="n">
        <x:v>280</x:v>
      </x:c>
      <x:c r="T689" s="15" t="n">
        <x:v>420</x:v>
      </x:c>
      <x:c r="U689" s="15" t="n">
        <x:v>0</x:v>
      </x:c>
      <x:c r="V689" s="15" t="n">
        <x:v>180</x:v>
      </x:c>
      <x:c r="W689" s="15" t="n">
        <x:v>380</x:v>
      </x:c>
      <x:c r="X689" s="15" t="n">
        <x:v>0</x:v>
      </x:c>
      <x:c r="Y689" s="15" t="n">
        <x:v>0</x:v>
      </x:c>
      <x:c r="Z689" s="15" t="n">
        <x:v>0</x:v>
      </x:c>
      <x:c r="AA689" s="15" t="n">
        <x:v>0</x:v>
      </x:c>
      <x:c r="AB689" s="15" t="n">
        <x:f>SUM(G689:AA689)</x:f>
        <x:v>1912</x:v>
      </x:c>
    </x:row>
    <x:row r="690" ht="36" customHeight="1">
      <x:c r="A690" s="10" t="str">
        <x:v>V-A</x:v>
      </x:c>
      <x:c r="B690" s="10" t="str">
        <x:v>VOICE</x:v>
      </x:c>
      <x:c r="C690" s="10" t="str">
        <x:v>VOICE:S5-02</x:v>
      </x:c>
      <x:c r="D690" s="10" t="str">
        <x:v>VOICE:M6559</x:v>
      </x:c>
      <x:c r="E690" s="15" t="n">
        <x:v>-60</x:v>
      </x:c>
      <x:c r="F690" s="15" t="str">
        <x:v>preparation</x:v>
      </x:c>
      <x:c r="G690" s="15" t="n">
        <x:v>0</x:v>
      </x:c>
      <x:c r="H690" s="15" t="n">
        <x:v>0</x:v>
      </x:c>
      <x:c r="I690" s="15" t="n">
        <x:v>0</x:v>
      </x:c>
      <x:c r="J690" s="15" t="n">
        <x:v>0</x:v>
      </x:c>
      <x:c r="K690" s="15" t="n">
        <x:v>0</x:v>
      </x:c>
      <x:c r="L690" s="15" t="n">
        <x:v>0</x:v>
      </x:c>
      <x:c r="M690" s="15" t="n">
        <x:v>180</x:v>
      </x:c>
      <x:c r="N690" s="15" t="n">
        <x:v>220</x:v>
      </x:c>
      <x:c r="O690" s="15" t="n">
        <x:v>96</x:v>
      </x:c>
      <x:c r="P690" s="15" t="n">
        <x:v>64</x:v>
      </x:c>
      <x:c r="Q690" s="15" t="n">
        <x:v>32</x:v>
      </x:c>
      <x:c r="R690" s="15" t="n">
        <x:v>0</x:v>
      </x:c>
      <x:c r="S690" s="15" t="n">
        <x:v>0</x:v>
      </x:c>
      <x:c r="T690" s="15" t="n">
        <x:v>0</x:v>
      </x:c>
      <x:c r="U690" s="15" t="n">
        <x:v>0</x:v>
      </x:c>
      <x:c r="V690" s="15" t="n">
        <x:v>0</x:v>
      </x:c>
      <x:c r="W690" s="15" t="n">
        <x:v>0</x:v>
      </x:c>
      <x:c r="X690" s="15" t="n">
        <x:v>0</x:v>
      </x:c>
      <x:c r="Y690" s="15" t="n">
        <x:v>0</x:v>
      </x:c>
      <x:c r="Z690" s="15" t="n">
        <x:v>0</x:v>
      </x:c>
      <x:c r="AA690" s="15" t="n">
        <x:v>0</x:v>
      </x:c>
      <x:c r="AB690" s="15" t="n">
        <x:f>SUM(G690:AA690)</x:f>
        <x:v>592</x:v>
      </x:c>
    </x:row>
    <x:row r="691" ht="36" customHeight="1">
      <x:c r="A691" s="10" t="str">
        <x:v>V-R1</x:v>
      </x:c>
      <x:c r="B691" s="10" t="str">
        <x:v>VOICE</x:v>
      </x:c>
      <x:c r="C691" s="10" t="str">
        <x:v>VOICE:S5-02</x:v>
      </x:c>
      <x:c r="D691" s="10" t="str">
        <x:v>VOICE:M6585</x:v>
      </x:c>
      <x:c r="E691" s="15" t="n">
        <x:v>-57.77</x:v>
      </x:c>
      <x:c r="F691" s="15" t="str">
        <x:v>preparation</x:v>
      </x:c>
      <x:c r="G691" s="15" t="n">
        <x:v>0</x:v>
      </x:c>
      <x:c r="H691" s="15" t="n">
        <x:v>0</x:v>
      </x:c>
      <x:c r="I691" s="15" t="n">
        <x:v>0</x:v>
      </x:c>
      <x:c r="J691" s="15" t="n">
        <x:v>0</x:v>
      </x:c>
      <x:c r="K691" s="15" t="n">
        <x:v>0</x:v>
      </x:c>
      <x:c r="L691" s="15" t="n">
        <x:v>0</x:v>
      </x:c>
      <x:c r="M691" s="15" t="n">
        <x:v>180</x:v>
      </x:c>
      <x:c r="N691" s="15" t="n">
        <x:v>220</x:v>
      </x:c>
      <x:c r="O691" s="15" t="n">
        <x:v>96</x:v>
      </x:c>
      <x:c r="P691" s="15" t="n">
        <x:v>64</x:v>
      </x:c>
      <x:c r="Q691" s="15" t="n">
        <x:v>24</x:v>
      </x:c>
      <x:c r="R691" s="15" t="n">
        <x:v>60</x:v>
      </x:c>
      <x:c r="S691" s="15" t="n">
        <x:v>280</x:v>
      </x:c>
      <x:c r="T691" s="15" t="n">
        <x:v>420</x:v>
      </x:c>
      <x:c r="U691" s="15" t="n">
        <x:v>0</x:v>
      </x:c>
      <x:c r="V691" s="15" t="n">
        <x:v>180</x:v>
      </x:c>
      <x:c r="W691" s="15" t="n">
        <x:v>380</x:v>
      </x:c>
      <x:c r="X691" s="15" t="n">
        <x:v>0</x:v>
      </x:c>
      <x:c r="Y691" s="15" t="n">
        <x:v>0</x:v>
      </x:c>
      <x:c r="Z691" s="15" t="n">
        <x:v>0</x:v>
      </x:c>
      <x:c r="AA691" s="15" t="n">
        <x:v>0</x:v>
      </x:c>
      <x:c r="AB691" s="15" t="n">
        <x:f>SUM(G691:AA691)</x:f>
        <x:v>1904</x:v>
      </x:c>
    </x:row>
    <x:row r="692" ht="36" customHeight="1">
      <x:c r="A692" s="10" t="str">
        <x:v>V-R2</x:v>
      </x:c>
      <x:c r="B692" s="10" t="str">
        <x:v>VOICE</x:v>
      </x:c>
      <x:c r="C692" s="10" t="str">
        <x:v>VOICE:S5-02</x:v>
      </x:c>
      <x:c r="D692" s="10" t="str">
        <x:v>VOICE:M6611</x:v>
      </x:c>
      <x:c r="E692" s="15" t="n">
        <x:v>-57.77</x:v>
      </x:c>
      <x:c r="F692" s="15" t="str">
        <x:v>preparation</x:v>
      </x:c>
      <x:c r="G692" s="15" t="n">
        <x:v>0</x:v>
      </x:c>
      <x:c r="H692" s="15" t="n">
        <x:v>0</x:v>
      </x:c>
      <x:c r="I692" s="15" t="n">
        <x:v>0</x:v>
      </x:c>
      <x:c r="J692" s="15" t="n">
        <x:v>0</x:v>
      </x:c>
      <x:c r="K692" s="15" t="n">
        <x:v>0</x:v>
      </x:c>
      <x:c r="L692" s="15" t="n">
        <x:v>0</x:v>
      </x:c>
      <x:c r="M692" s="15" t="n">
        <x:v>180</x:v>
      </x:c>
      <x:c r="N692" s="15" t="n">
        <x:v>220</x:v>
      </x:c>
      <x:c r="O692" s="15" t="n">
        <x:v>96</x:v>
      </x:c>
      <x:c r="P692" s="15" t="n">
        <x:v>64</x:v>
      </x:c>
      <x:c r="Q692" s="15" t="n">
        <x:v>24</x:v>
      </x:c>
      <x:c r="R692" s="15" t="n">
        <x:v>60</x:v>
      </x:c>
      <x:c r="S692" s="15" t="n">
        <x:v>280</x:v>
      </x:c>
      <x:c r="T692" s="15" t="n">
        <x:v>420</x:v>
      </x:c>
      <x:c r="U692" s="15" t="n">
        <x:v>0</x:v>
      </x:c>
      <x:c r="V692" s="15" t="n">
        <x:v>180</x:v>
      </x:c>
      <x:c r="W692" s="15" t="n">
        <x:v>380</x:v>
      </x:c>
      <x:c r="X692" s="15" t="n">
        <x:v>0</x:v>
      </x:c>
      <x:c r="Y692" s="15" t="n">
        <x:v>0</x:v>
      </x:c>
      <x:c r="Z692" s="15" t="n">
        <x:v>0</x:v>
      </x:c>
      <x:c r="AA692" s="15" t="n">
        <x:v>0</x:v>
      </x:c>
      <x:c r="AB692" s="15" t="n">
        <x:f>SUM(G692:AA692)</x:f>
        <x:v>1904</x:v>
      </x:c>
    </x:row>
    <x:row r="693" ht="36" customHeight="1">
      <x:c r="A693" s="10" t="str">
        <x:v>V-R3</x:v>
      </x:c>
      <x:c r="B693" s="10" t="str">
        <x:v>VOICE</x:v>
      </x:c>
      <x:c r="C693" s="10" t="str">
        <x:v>VOICE:S5-02</x:v>
      </x:c>
      <x:c r="D693" s="10" t="str">
        <x:v>VOICE:M6636</x:v>
      </x:c>
      <x:c r="E693" s="15" t="n">
        <x:v>-57.77</x:v>
      </x:c>
      <x:c r="F693" s="15" t="str">
        <x:v>preparation</x:v>
      </x:c>
      <x:c r="G693" s="15" t="n">
        <x:v>0</x:v>
      </x:c>
      <x:c r="H693" s="15" t="n">
        <x:v>0</x:v>
      </x:c>
      <x:c r="I693" s="15" t="n">
        <x:v>0</x:v>
      </x:c>
      <x:c r="J693" s="15" t="n">
        <x:v>0</x:v>
      </x:c>
      <x:c r="K693" s="15" t="n">
        <x:v>0</x:v>
      </x:c>
      <x:c r="L693" s="15" t="n">
        <x:v>0</x:v>
      </x:c>
      <x:c r="M693" s="15" t="n">
        <x:v>180</x:v>
      </x:c>
      <x:c r="N693" s="15" t="n">
        <x:v>220</x:v>
      </x:c>
      <x:c r="O693" s="15" t="n">
        <x:v>96</x:v>
      </x:c>
      <x:c r="P693" s="15" t="n">
        <x:v>64</x:v>
      </x:c>
      <x:c r="Q693" s="15" t="n">
        <x:v>32</x:v>
      </x:c>
      <x:c r="R693" s="15" t="n">
        <x:v>60</x:v>
      </x:c>
      <x:c r="S693" s="15" t="n">
        <x:v>280</x:v>
      </x:c>
      <x:c r="T693" s="15" t="n">
        <x:v>420</x:v>
      </x:c>
      <x:c r="U693" s="15" t="n">
        <x:v>0</x:v>
      </x:c>
      <x:c r="V693" s="15" t="n">
        <x:v>180</x:v>
      </x:c>
      <x:c r="W693" s="15" t="n">
        <x:v>380</x:v>
      </x:c>
      <x:c r="X693" s="15" t="n">
        <x:v>0</x:v>
      </x:c>
      <x:c r="Y693" s="15" t="n">
        <x:v>0</x:v>
      </x:c>
      <x:c r="Z693" s="15" t="n">
        <x:v>0</x:v>
      </x:c>
      <x:c r="AA693" s="15" t="n">
        <x:v>0</x:v>
      </x:c>
      <x:c r="AB693" s="15" t="n">
        <x:f>SUM(G693:AA693)</x:f>
        <x:v>1912</x:v>
      </x:c>
    </x:row>
    <x:row r="694" ht="36" customHeight="1">
      <x:c r="A694" s="10" t="str">
        <x:v>V-A</x:v>
      </x:c>
      <x:c r="B694" s="10" t="str">
        <x:v>VOICE</x:v>
      </x:c>
      <x:c r="C694" s="10" t="str">
        <x:v>VOICE:S5-03</x:v>
      </x:c>
      <x:c r="D694" s="10" t="str">
        <x:v>VOICE:M6658</x:v>
      </x:c>
      <x:c r="E694" s="15" t="n">
        <x:v>-60</x:v>
      </x:c>
      <x:c r="F694" s="15" t="str">
        <x:v>preparation</x:v>
      </x:c>
      <x:c r="G694" s="15" t="n">
        <x:v>0</x:v>
      </x:c>
      <x:c r="H694" s="15" t="n">
        <x:v>0</x:v>
      </x:c>
      <x:c r="I694" s="15" t="n">
        <x:v>0</x:v>
      </x:c>
      <x:c r="J694" s="15" t="n">
        <x:v>0</x:v>
      </x:c>
      <x:c r="K694" s="15" t="n">
        <x:v>0</x:v>
      </x:c>
      <x:c r="L694" s="15" t="n">
        <x:v>0</x:v>
      </x:c>
      <x:c r="M694" s="15" t="n">
        <x:v>180</x:v>
      </x:c>
      <x:c r="N694" s="15" t="n">
        <x:v>220</x:v>
      </x:c>
      <x:c r="O694" s="15" t="n">
        <x:v>96</x:v>
      </x:c>
      <x:c r="P694" s="15" t="n">
        <x:v>64</x:v>
      </x:c>
      <x:c r="Q694" s="15" t="n">
        <x:v>32</x:v>
      </x:c>
      <x:c r="R694" s="15" t="n">
        <x:v>0</x:v>
      </x:c>
      <x:c r="S694" s="15" t="n">
        <x:v>0</x:v>
      </x:c>
      <x:c r="T694" s="15" t="n">
        <x:v>0</x:v>
      </x:c>
      <x:c r="U694" s="15" t="n">
        <x:v>0</x:v>
      </x:c>
      <x:c r="V694" s="15" t="n">
        <x:v>0</x:v>
      </x:c>
      <x:c r="W694" s="15" t="n">
        <x:v>0</x:v>
      </x:c>
      <x:c r="X694" s="15" t="n">
        <x:v>0</x:v>
      </x:c>
      <x:c r="Y694" s="15" t="n">
        <x:v>0</x:v>
      </x:c>
      <x:c r="Z694" s="15" t="n">
        <x:v>0</x:v>
      </x:c>
      <x:c r="AA694" s="15" t="n">
        <x:v>0</x:v>
      </x:c>
      <x:c r="AB694" s="15" t="n">
        <x:f>SUM(G694:AA694)</x:f>
        <x:v>592</x:v>
      </x:c>
    </x:row>
    <x:row r="695" ht="36" customHeight="1">
      <x:c r="A695" s="10" t="str">
        <x:v>V-R1</x:v>
      </x:c>
      <x:c r="B695" s="10" t="str">
        <x:v>VOICE</x:v>
      </x:c>
      <x:c r="C695" s="10" t="str">
        <x:v>VOICE:S5-03</x:v>
      </x:c>
      <x:c r="D695" s="10" t="str">
        <x:v>VOICE:M6684</x:v>
      </x:c>
      <x:c r="E695" s="15" t="n">
        <x:v>-57.77</x:v>
      </x:c>
      <x:c r="F695" s="15" t="str">
        <x:v>preparation</x:v>
      </x:c>
      <x:c r="G695" s="15" t="n">
        <x:v>0</x:v>
      </x:c>
      <x:c r="H695" s="15" t="n">
        <x:v>0</x:v>
      </x:c>
      <x:c r="I695" s="15" t="n">
        <x:v>0</x:v>
      </x:c>
      <x:c r="J695" s="15" t="n">
        <x:v>0</x:v>
      </x:c>
      <x:c r="K695" s="15" t="n">
        <x:v>0</x:v>
      </x:c>
      <x:c r="L695" s="15" t="n">
        <x:v>0</x:v>
      </x:c>
      <x:c r="M695" s="15" t="n">
        <x:v>180</x:v>
      </x:c>
      <x:c r="N695" s="15" t="n">
        <x:v>220</x:v>
      </x:c>
      <x:c r="O695" s="15" t="n">
        <x:v>96</x:v>
      </x:c>
      <x:c r="P695" s="15" t="n">
        <x:v>64</x:v>
      </x:c>
      <x:c r="Q695" s="15" t="n">
        <x:v>24</x:v>
      </x:c>
      <x:c r="R695" s="15" t="n">
        <x:v>60</x:v>
      </x:c>
      <x:c r="S695" s="15" t="n">
        <x:v>280</x:v>
      </x:c>
      <x:c r="T695" s="15" t="n">
        <x:v>420</x:v>
      </x:c>
      <x:c r="U695" s="15" t="n">
        <x:v>0</x:v>
      </x:c>
      <x:c r="V695" s="15" t="n">
        <x:v>180</x:v>
      </x:c>
      <x:c r="W695" s="15" t="n">
        <x:v>380</x:v>
      </x:c>
      <x:c r="X695" s="15" t="n">
        <x:v>0</x:v>
      </x:c>
      <x:c r="Y695" s="15" t="n">
        <x:v>0</x:v>
      </x:c>
      <x:c r="Z695" s="15" t="n">
        <x:v>0</x:v>
      </x:c>
      <x:c r="AA695" s="15" t="n">
        <x:v>0</x:v>
      </x:c>
      <x:c r="AB695" s="15" t="n">
        <x:f>SUM(G695:AA695)</x:f>
        <x:v>1904</x:v>
      </x:c>
    </x:row>
    <x:row r="696" ht="36" customHeight="1">
      <x:c r="A696" s="10" t="str">
        <x:v>V-R2</x:v>
      </x:c>
      <x:c r="B696" s="10" t="str">
        <x:v>VOICE</x:v>
      </x:c>
      <x:c r="C696" s="10" t="str">
        <x:v>VOICE:S5-03</x:v>
      </x:c>
      <x:c r="D696" s="10" t="str">
        <x:v>VOICE:M6710</x:v>
      </x:c>
      <x:c r="E696" s="15" t="n">
        <x:v>-57.77</x:v>
      </x:c>
      <x:c r="F696" s="15" t="str">
        <x:v>preparation</x:v>
      </x:c>
      <x:c r="G696" s="15" t="n">
        <x:v>0</x:v>
      </x:c>
      <x:c r="H696" s="15" t="n">
        <x:v>0</x:v>
      </x:c>
      <x:c r="I696" s="15" t="n">
        <x:v>0</x:v>
      </x:c>
      <x:c r="J696" s="15" t="n">
        <x:v>0</x:v>
      </x:c>
      <x:c r="K696" s="15" t="n">
        <x:v>0</x:v>
      </x:c>
      <x:c r="L696" s="15" t="n">
        <x:v>0</x:v>
      </x:c>
      <x:c r="M696" s="15" t="n">
        <x:v>180</x:v>
      </x:c>
      <x:c r="N696" s="15" t="n">
        <x:v>220</x:v>
      </x:c>
      <x:c r="O696" s="15" t="n">
        <x:v>96</x:v>
      </x:c>
      <x:c r="P696" s="15" t="n">
        <x:v>64</x:v>
      </x:c>
      <x:c r="Q696" s="15" t="n">
        <x:v>24</x:v>
      </x:c>
      <x:c r="R696" s="15" t="n">
        <x:v>60</x:v>
      </x:c>
      <x:c r="S696" s="15" t="n">
        <x:v>280</x:v>
      </x:c>
      <x:c r="T696" s="15" t="n">
        <x:v>420</x:v>
      </x:c>
      <x:c r="U696" s="15" t="n">
        <x:v>0</x:v>
      </x:c>
      <x:c r="V696" s="15" t="n">
        <x:v>180</x:v>
      </x:c>
      <x:c r="W696" s="15" t="n">
        <x:v>380</x:v>
      </x:c>
      <x:c r="X696" s="15" t="n">
        <x:v>0</x:v>
      </x:c>
      <x:c r="Y696" s="15" t="n">
        <x:v>0</x:v>
      </x:c>
      <x:c r="Z696" s="15" t="n">
        <x:v>0</x:v>
      </x:c>
      <x:c r="AA696" s="15" t="n">
        <x:v>0</x:v>
      </x:c>
      <x:c r="AB696" s="15" t="n">
        <x:f>SUM(G696:AA696)</x:f>
        <x:v>1904</x:v>
      </x:c>
    </x:row>
    <x:row r="697" ht="36" customHeight="1">
      <x:c r="A697" s="10" t="str">
        <x:v>V-R3</x:v>
      </x:c>
      <x:c r="B697" s="10" t="str">
        <x:v>VOICE</x:v>
      </x:c>
      <x:c r="C697" s="10" t="str">
        <x:v>VOICE:S5-03</x:v>
      </x:c>
      <x:c r="D697" s="10" t="str">
        <x:v>VOICE:M6735</x:v>
      </x:c>
      <x:c r="E697" s="15" t="n">
        <x:v>-57.77</x:v>
      </x:c>
      <x:c r="F697" s="15" t="str">
        <x:v>preparation</x:v>
      </x:c>
      <x:c r="G697" s="15" t="n">
        <x:v>0</x:v>
      </x:c>
      <x:c r="H697" s="15" t="n">
        <x:v>0</x:v>
      </x:c>
      <x:c r="I697" s="15" t="n">
        <x:v>0</x:v>
      </x:c>
      <x:c r="J697" s="15" t="n">
        <x:v>0</x:v>
      </x:c>
      <x:c r="K697" s="15" t="n">
        <x:v>0</x:v>
      </x:c>
      <x:c r="L697" s="15" t="n">
        <x:v>0</x:v>
      </x:c>
      <x:c r="M697" s="15" t="n">
        <x:v>180</x:v>
      </x:c>
      <x:c r="N697" s="15" t="n">
        <x:v>220</x:v>
      </x:c>
      <x:c r="O697" s="15" t="n">
        <x:v>96</x:v>
      </x:c>
      <x:c r="P697" s="15" t="n">
        <x:v>64</x:v>
      </x:c>
      <x:c r="Q697" s="15" t="n">
        <x:v>32</x:v>
      </x:c>
      <x:c r="R697" s="15" t="n">
        <x:v>60</x:v>
      </x:c>
      <x:c r="S697" s="15" t="n">
        <x:v>280</x:v>
      </x:c>
      <x:c r="T697" s="15" t="n">
        <x:v>420</x:v>
      </x:c>
      <x:c r="U697" s="15" t="n">
        <x:v>0</x:v>
      </x:c>
      <x:c r="V697" s="15" t="n">
        <x:v>180</x:v>
      </x:c>
      <x:c r="W697" s="15" t="n">
        <x:v>380</x:v>
      </x:c>
      <x:c r="X697" s="15" t="n">
        <x:v>0</x:v>
      </x:c>
      <x:c r="Y697" s="15" t="n">
        <x:v>0</x:v>
      </x:c>
      <x:c r="Z697" s="15" t="n">
        <x:v>0</x:v>
      </x:c>
      <x:c r="AA697" s="15" t="n">
        <x:v>0</x:v>
      </x:c>
      <x:c r="AB697" s="15" t="n">
        <x:f>SUM(G697:AA697)</x:f>
        <x:v>1912</x:v>
      </x:c>
    </x:row>
    <x:row r="698" ht="36" customHeight="1">
      <x:c r="A698" s="10" t="str">
        <x:v>V-A</x:v>
      </x:c>
      <x:c r="B698" s="10" t="str">
        <x:v>VOICE</x:v>
      </x:c>
      <x:c r="C698" s="10" t="str">
        <x:v>VOICE:S5-04</x:v>
      </x:c>
      <x:c r="D698" s="10" t="str">
        <x:v>VOICE:M6757</x:v>
      </x:c>
      <x:c r="E698" s="15" t="n">
        <x:v>-60</x:v>
      </x:c>
      <x:c r="F698" s="15" t="str">
        <x:v>preparation</x:v>
      </x:c>
      <x:c r="G698" s="15" t="n">
        <x:v>0</x:v>
      </x:c>
      <x:c r="H698" s="15" t="n">
        <x:v>0</x:v>
      </x:c>
      <x:c r="I698" s="15" t="n">
        <x:v>0</x:v>
      </x:c>
      <x:c r="J698" s="15" t="n">
        <x:v>0</x:v>
      </x:c>
      <x:c r="K698" s="15" t="n">
        <x:v>0</x:v>
      </x:c>
      <x:c r="L698" s="15" t="n">
        <x:v>0</x:v>
      </x:c>
      <x:c r="M698" s="15" t="n">
        <x:v>180</x:v>
      </x:c>
      <x:c r="N698" s="15" t="n">
        <x:v>220</x:v>
      </x:c>
      <x:c r="O698" s="15" t="n">
        <x:v>96</x:v>
      </x:c>
      <x:c r="P698" s="15" t="n">
        <x:v>64</x:v>
      </x:c>
      <x:c r="Q698" s="15" t="n">
        <x:v>32</x:v>
      </x:c>
      <x:c r="R698" s="15" t="n">
        <x:v>0</x:v>
      </x:c>
      <x:c r="S698" s="15" t="n">
        <x:v>0</x:v>
      </x:c>
      <x:c r="T698" s="15" t="n">
        <x:v>0</x:v>
      </x:c>
      <x:c r="U698" s="15" t="n">
        <x:v>0</x:v>
      </x:c>
      <x:c r="V698" s="15" t="n">
        <x:v>0</x:v>
      </x:c>
      <x:c r="W698" s="15" t="n">
        <x:v>0</x:v>
      </x:c>
      <x:c r="X698" s="15" t="n">
        <x:v>0</x:v>
      </x:c>
      <x:c r="Y698" s="15" t="n">
        <x:v>0</x:v>
      </x:c>
      <x:c r="Z698" s="15" t="n">
        <x:v>0</x:v>
      </x:c>
      <x:c r="AA698" s="15" t="n">
        <x:v>0</x:v>
      </x:c>
      <x:c r="AB698" s="15" t="n">
        <x:f>SUM(G698:AA698)</x:f>
        <x:v>592</x:v>
      </x:c>
    </x:row>
    <x:row r="699" ht="36" customHeight="1">
      <x:c r="A699" s="10" t="str">
        <x:v>V-R1</x:v>
      </x:c>
      <x:c r="B699" s="10" t="str">
        <x:v>VOICE</x:v>
      </x:c>
      <x:c r="C699" s="10" t="str">
        <x:v>VOICE:S5-04</x:v>
      </x:c>
      <x:c r="D699" s="10" t="str">
        <x:v>VOICE:M6783</x:v>
      </x:c>
      <x:c r="E699" s="15" t="n">
        <x:v>-57.77</x:v>
      </x:c>
      <x:c r="F699" s="15" t="str">
        <x:v>preparation</x:v>
      </x:c>
      <x:c r="G699" s="15" t="n">
        <x:v>0</x:v>
      </x:c>
      <x:c r="H699" s="15" t="n">
        <x:v>0</x:v>
      </x:c>
      <x:c r="I699" s="15" t="n">
        <x:v>0</x:v>
      </x:c>
      <x:c r="J699" s="15" t="n">
        <x:v>0</x:v>
      </x:c>
      <x:c r="K699" s="15" t="n">
        <x:v>0</x:v>
      </x:c>
      <x:c r="L699" s="15" t="n">
        <x:v>0</x:v>
      </x:c>
      <x:c r="M699" s="15" t="n">
        <x:v>180</x:v>
      </x:c>
      <x:c r="N699" s="15" t="n">
        <x:v>220</x:v>
      </x:c>
      <x:c r="O699" s="15" t="n">
        <x:v>96</x:v>
      </x:c>
      <x:c r="P699" s="15" t="n">
        <x:v>64</x:v>
      </x:c>
      <x:c r="Q699" s="15" t="n">
        <x:v>24</x:v>
      </x:c>
      <x:c r="R699" s="15" t="n">
        <x:v>60</x:v>
      </x:c>
      <x:c r="S699" s="15" t="n">
        <x:v>280</x:v>
      </x:c>
      <x:c r="T699" s="15" t="n">
        <x:v>420</x:v>
      </x:c>
      <x:c r="U699" s="15" t="n">
        <x:v>0</x:v>
      </x:c>
      <x:c r="V699" s="15" t="n">
        <x:v>180</x:v>
      </x:c>
      <x:c r="W699" s="15" t="n">
        <x:v>380</x:v>
      </x:c>
      <x:c r="X699" s="15" t="n">
        <x:v>0</x:v>
      </x:c>
      <x:c r="Y699" s="15" t="n">
        <x:v>0</x:v>
      </x:c>
      <x:c r="Z699" s="15" t="n">
        <x:v>0</x:v>
      </x:c>
      <x:c r="AA699" s="15" t="n">
        <x:v>0</x:v>
      </x:c>
      <x:c r="AB699" s="15" t="n">
        <x:f>SUM(G699:AA699)</x:f>
        <x:v>1904</x:v>
      </x:c>
    </x:row>
    <x:row r="700" ht="36" customHeight="1">
      <x:c r="A700" s="10" t="str">
        <x:v>V-R2</x:v>
      </x:c>
      <x:c r="B700" s="10" t="str">
        <x:v>VOICE</x:v>
      </x:c>
      <x:c r="C700" s="10" t="str">
        <x:v>VOICE:S5-04</x:v>
      </x:c>
      <x:c r="D700" s="10" t="str">
        <x:v>VOICE:M6809</x:v>
      </x:c>
      <x:c r="E700" s="15" t="n">
        <x:v>-57.77</x:v>
      </x:c>
      <x:c r="F700" s="15" t="str">
        <x:v>preparation</x:v>
      </x:c>
      <x:c r="G700" s="15" t="n">
        <x:v>0</x:v>
      </x:c>
      <x:c r="H700" s="15" t="n">
        <x:v>0</x:v>
      </x:c>
      <x:c r="I700" s="15" t="n">
        <x:v>0</x:v>
      </x:c>
      <x:c r="J700" s="15" t="n">
        <x:v>0</x:v>
      </x:c>
      <x:c r="K700" s="15" t="n">
        <x:v>0</x:v>
      </x:c>
      <x:c r="L700" s="15" t="n">
        <x:v>0</x:v>
      </x:c>
      <x:c r="M700" s="15" t="n">
        <x:v>180</x:v>
      </x:c>
      <x:c r="N700" s="15" t="n">
        <x:v>220</x:v>
      </x:c>
      <x:c r="O700" s="15" t="n">
        <x:v>96</x:v>
      </x:c>
      <x:c r="P700" s="15" t="n">
        <x:v>64</x:v>
      </x:c>
      <x:c r="Q700" s="15" t="n">
        <x:v>24</x:v>
      </x:c>
      <x:c r="R700" s="15" t="n">
        <x:v>60</x:v>
      </x:c>
      <x:c r="S700" s="15" t="n">
        <x:v>280</x:v>
      </x:c>
      <x:c r="T700" s="15" t="n">
        <x:v>420</x:v>
      </x:c>
      <x:c r="U700" s="15" t="n">
        <x:v>0</x:v>
      </x:c>
      <x:c r="V700" s="15" t="n">
        <x:v>180</x:v>
      </x:c>
      <x:c r="W700" s="15" t="n">
        <x:v>380</x:v>
      </x:c>
      <x:c r="X700" s="15" t="n">
        <x:v>0</x:v>
      </x:c>
      <x:c r="Y700" s="15" t="n">
        <x:v>0</x:v>
      </x:c>
      <x:c r="Z700" s="15" t="n">
        <x:v>0</x:v>
      </x:c>
      <x:c r="AA700" s="15" t="n">
        <x:v>0</x:v>
      </x:c>
      <x:c r="AB700" s="15" t="n">
        <x:f>SUM(G700:AA700)</x:f>
        <x:v>1904</x:v>
      </x:c>
    </x:row>
    <x:row r="701" ht="36" customHeight="1">
      <x:c r="A701" s="10" t="str">
        <x:v>V-R3</x:v>
      </x:c>
      <x:c r="B701" s="10" t="str">
        <x:v>VOICE</x:v>
      </x:c>
      <x:c r="C701" s="10" t="str">
        <x:v>VOICE:S5-04</x:v>
      </x:c>
      <x:c r="D701" s="10" t="str">
        <x:v>VOICE:M6834</x:v>
      </x:c>
      <x:c r="E701" s="15" t="n">
        <x:v>-57.77</x:v>
      </x:c>
      <x:c r="F701" s="15" t="str">
        <x:v>preparation</x:v>
      </x:c>
      <x:c r="G701" s="15" t="n">
        <x:v>0</x:v>
      </x:c>
      <x:c r="H701" s="15" t="n">
        <x:v>0</x:v>
      </x:c>
      <x:c r="I701" s="15" t="n">
        <x:v>0</x:v>
      </x:c>
      <x:c r="J701" s="15" t="n">
        <x:v>0</x:v>
      </x:c>
      <x:c r="K701" s="15" t="n">
        <x:v>0</x:v>
      </x:c>
      <x:c r="L701" s="15" t="n">
        <x:v>0</x:v>
      </x:c>
      <x:c r="M701" s="15" t="n">
        <x:v>180</x:v>
      </x:c>
      <x:c r="N701" s="15" t="n">
        <x:v>220</x:v>
      </x:c>
      <x:c r="O701" s="15" t="n">
        <x:v>96</x:v>
      </x:c>
      <x:c r="P701" s="15" t="n">
        <x:v>64</x:v>
      </x:c>
      <x:c r="Q701" s="15" t="n">
        <x:v>32</x:v>
      </x:c>
      <x:c r="R701" s="15" t="n">
        <x:v>60</x:v>
      </x:c>
      <x:c r="S701" s="15" t="n">
        <x:v>280</x:v>
      </x:c>
      <x:c r="T701" s="15" t="n">
        <x:v>420</x:v>
      </x:c>
      <x:c r="U701" s="15" t="n">
        <x:v>0</x:v>
      </x:c>
      <x:c r="V701" s="15" t="n">
        <x:v>180</x:v>
      </x:c>
      <x:c r="W701" s="15" t="n">
        <x:v>380</x:v>
      </x:c>
      <x:c r="X701" s="15" t="n">
        <x:v>0</x:v>
      </x:c>
      <x:c r="Y701" s="15" t="n">
        <x:v>0</x:v>
      </x:c>
      <x:c r="Z701" s="15" t="n">
        <x:v>0</x:v>
      </x:c>
      <x:c r="AA701" s="15" t="n">
        <x:v>0</x:v>
      </x:c>
      <x:c r="AB701" s="15" t="n">
        <x:f>SUM(G701:AA701)</x:f>
        <x:v>1912</x:v>
      </x:c>
    </x:row>
    <x:row r="702" ht="36" customHeight="1">
      <x:c r="A702" s="10" t="str">
        <x:v>V-A</x:v>
      </x:c>
      <x:c r="B702" s="10" t="str">
        <x:v>VOICE</x:v>
      </x:c>
      <x:c r="C702" s="10" t="str">
        <x:v>VOICE:S5-05</x:v>
      </x:c>
      <x:c r="D702" s="10" t="str">
        <x:v>VOICE:M6856</x:v>
      </x:c>
      <x:c r="E702" s="15" t="n">
        <x:v>-60</x:v>
      </x:c>
      <x:c r="F702" s="15" t="str">
        <x:v>preparation</x:v>
      </x:c>
      <x:c r="G702" s="15" t="n">
        <x:v>0</x:v>
      </x:c>
      <x:c r="H702" s="15" t="n">
        <x:v>0</x:v>
      </x:c>
      <x:c r="I702" s="15" t="n">
        <x:v>0</x:v>
      </x:c>
      <x:c r="J702" s="15" t="n">
        <x:v>0</x:v>
      </x:c>
      <x:c r="K702" s="15" t="n">
        <x:v>0</x:v>
      </x:c>
      <x:c r="L702" s="15" t="n">
        <x:v>0</x:v>
      </x:c>
      <x:c r="M702" s="15" t="n">
        <x:v>180</x:v>
      </x:c>
      <x:c r="N702" s="15" t="n">
        <x:v>220</x:v>
      </x:c>
      <x:c r="O702" s="15" t="n">
        <x:v>96</x:v>
      </x:c>
      <x:c r="P702" s="15" t="n">
        <x:v>64</x:v>
      </x:c>
      <x:c r="Q702" s="15" t="n">
        <x:v>32</x:v>
      </x:c>
      <x:c r="R702" s="15" t="n">
        <x:v>0</x:v>
      </x:c>
      <x:c r="S702" s="15" t="n">
        <x:v>0</x:v>
      </x:c>
      <x:c r="T702" s="15" t="n">
        <x:v>0</x:v>
      </x:c>
      <x:c r="U702" s="15" t="n">
        <x:v>0</x:v>
      </x:c>
      <x:c r="V702" s="15" t="n">
        <x:v>0</x:v>
      </x:c>
      <x:c r="W702" s="15" t="n">
        <x:v>0</x:v>
      </x:c>
      <x:c r="X702" s="15" t="n">
        <x:v>0</x:v>
      </x:c>
      <x:c r="Y702" s="15" t="n">
        <x:v>0</x:v>
      </x:c>
      <x:c r="Z702" s="15" t="n">
        <x:v>0</x:v>
      </x:c>
      <x:c r="AA702" s="15" t="n">
        <x:v>0</x:v>
      </x:c>
      <x:c r="AB702" s="15" t="n">
        <x:f>SUM(G702:AA702)</x:f>
        <x:v>592</x:v>
      </x:c>
    </x:row>
    <x:row r="703" ht="36" customHeight="1">
      <x:c r="A703" s="10" t="str">
        <x:v>V-R1</x:v>
      </x:c>
      <x:c r="B703" s="10" t="str">
        <x:v>VOICE</x:v>
      </x:c>
      <x:c r="C703" s="10" t="str">
        <x:v>VOICE:S5-05</x:v>
      </x:c>
      <x:c r="D703" s="10" t="str">
        <x:v>VOICE:M6882</x:v>
      </x:c>
      <x:c r="E703" s="15" t="n">
        <x:v>-57.77</x:v>
      </x:c>
      <x:c r="F703" s="15" t="str">
        <x:v>preparation</x:v>
      </x:c>
      <x:c r="G703" s="15" t="n">
        <x:v>0</x:v>
      </x:c>
      <x:c r="H703" s="15" t="n">
        <x:v>0</x:v>
      </x:c>
      <x:c r="I703" s="15" t="n">
        <x:v>0</x:v>
      </x:c>
      <x:c r="J703" s="15" t="n">
        <x:v>0</x:v>
      </x:c>
      <x:c r="K703" s="15" t="n">
        <x:v>0</x:v>
      </x:c>
      <x:c r="L703" s="15" t="n">
        <x:v>0</x:v>
      </x:c>
      <x:c r="M703" s="15" t="n">
        <x:v>180</x:v>
      </x:c>
      <x:c r="N703" s="15" t="n">
        <x:v>220</x:v>
      </x:c>
      <x:c r="O703" s="15" t="n">
        <x:v>96</x:v>
      </x:c>
      <x:c r="P703" s="15" t="n">
        <x:v>64</x:v>
      </x:c>
      <x:c r="Q703" s="15" t="n">
        <x:v>24</x:v>
      </x:c>
      <x:c r="R703" s="15" t="n">
        <x:v>60</x:v>
      </x:c>
      <x:c r="S703" s="15" t="n">
        <x:v>280</x:v>
      </x:c>
      <x:c r="T703" s="15" t="n">
        <x:v>420</x:v>
      </x:c>
      <x:c r="U703" s="15" t="n">
        <x:v>0</x:v>
      </x:c>
      <x:c r="V703" s="15" t="n">
        <x:v>180</x:v>
      </x:c>
      <x:c r="W703" s="15" t="n">
        <x:v>380</x:v>
      </x:c>
      <x:c r="X703" s="15" t="n">
        <x:v>0</x:v>
      </x:c>
      <x:c r="Y703" s="15" t="n">
        <x:v>0</x:v>
      </x:c>
      <x:c r="Z703" s="15" t="n">
        <x:v>0</x:v>
      </x:c>
      <x:c r="AA703" s="15" t="n">
        <x:v>0</x:v>
      </x:c>
      <x:c r="AB703" s="15" t="n">
        <x:f>SUM(G703:AA703)</x:f>
        <x:v>1904</x:v>
      </x:c>
    </x:row>
    <x:row r="704" ht="36" customHeight="1">
      <x:c r="A704" s="10" t="str">
        <x:v>V-R2</x:v>
      </x:c>
      <x:c r="B704" s="10" t="str">
        <x:v>VOICE</x:v>
      </x:c>
      <x:c r="C704" s="10" t="str">
        <x:v>VOICE:S5-05</x:v>
      </x:c>
      <x:c r="D704" s="10" t="str">
        <x:v>VOICE:M6908</x:v>
      </x:c>
      <x:c r="E704" s="15" t="n">
        <x:v>-57.77</x:v>
      </x:c>
      <x:c r="F704" s="15" t="str">
        <x:v>preparation</x:v>
      </x:c>
      <x:c r="G704" s="15" t="n">
        <x:v>0</x:v>
      </x:c>
      <x:c r="H704" s="15" t="n">
        <x:v>0</x:v>
      </x:c>
      <x:c r="I704" s="15" t="n">
        <x:v>0</x:v>
      </x:c>
      <x:c r="J704" s="15" t="n">
        <x:v>0</x:v>
      </x:c>
      <x:c r="K704" s="15" t="n">
        <x:v>0</x:v>
      </x:c>
      <x:c r="L704" s="15" t="n">
        <x:v>0</x:v>
      </x:c>
      <x:c r="M704" s="15" t="n">
        <x:v>180</x:v>
      </x:c>
      <x:c r="N704" s="15" t="n">
        <x:v>220</x:v>
      </x:c>
      <x:c r="O704" s="15" t="n">
        <x:v>96</x:v>
      </x:c>
      <x:c r="P704" s="15" t="n">
        <x:v>64</x:v>
      </x:c>
      <x:c r="Q704" s="15" t="n">
        <x:v>24</x:v>
      </x:c>
      <x:c r="R704" s="15" t="n">
        <x:v>60</x:v>
      </x:c>
      <x:c r="S704" s="15" t="n">
        <x:v>280</x:v>
      </x:c>
      <x:c r="T704" s="15" t="n">
        <x:v>420</x:v>
      </x:c>
      <x:c r="U704" s="15" t="n">
        <x:v>0</x:v>
      </x:c>
      <x:c r="V704" s="15" t="n">
        <x:v>180</x:v>
      </x:c>
      <x:c r="W704" s="15" t="n">
        <x:v>380</x:v>
      </x:c>
      <x:c r="X704" s="15" t="n">
        <x:v>0</x:v>
      </x:c>
      <x:c r="Y704" s="15" t="n">
        <x:v>0</x:v>
      </x:c>
      <x:c r="Z704" s="15" t="n">
        <x:v>0</x:v>
      </x:c>
      <x:c r="AA704" s="15" t="n">
        <x:v>0</x:v>
      </x:c>
      <x:c r="AB704" s="15" t="n">
        <x:f>SUM(G704:AA704)</x:f>
        <x:v>1904</x:v>
      </x:c>
    </x:row>
    <x:row r="705" ht="36" customHeight="1">
      <x:c r="A705" s="10" t="str">
        <x:v>V-R3</x:v>
      </x:c>
      <x:c r="B705" s="10" t="str">
        <x:v>VOICE</x:v>
      </x:c>
      <x:c r="C705" s="10" t="str">
        <x:v>VOICE:S5-05</x:v>
      </x:c>
      <x:c r="D705" s="10" t="str">
        <x:v>VOICE:M6933</x:v>
      </x:c>
      <x:c r="E705" s="15" t="n">
        <x:v>-57.77</x:v>
      </x:c>
      <x:c r="F705" s="15" t="str">
        <x:v>preparation</x:v>
      </x:c>
      <x:c r="G705" s="15" t="n">
        <x:v>0</x:v>
      </x:c>
      <x:c r="H705" s="15" t="n">
        <x:v>0</x:v>
      </x:c>
      <x:c r="I705" s="15" t="n">
        <x:v>0</x:v>
      </x:c>
      <x:c r="J705" s="15" t="n">
        <x:v>0</x:v>
      </x:c>
      <x:c r="K705" s="15" t="n">
        <x:v>0</x:v>
      </x:c>
      <x:c r="L705" s="15" t="n">
        <x:v>0</x:v>
      </x:c>
      <x:c r="M705" s="15" t="n">
        <x:v>180</x:v>
      </x:c>
      <x:c r="N705" s="15" t="n">
        <x:v>220</x:v>
      </x:c>
      <x:c r="O705" s="15" t="n">
        <x:v>96</x:v>
      </x:c>
      <x:c r="P705" s="15" t="n">
        <x:v>64</x:v>
      </x:c>
      <x:c r="Q705" s="15" t="n">
        <x:v>32</x:v>
      </x:c>
      <x:c r="R705" s="15" t="n">
        <x:v>60</x:v>
      </x:c>
      <x:c r="S705" s="15" t="n">
        <x:v>280</x:v>
      </x:c>
      <x:c r="T705" s="15" t="n">
        <x:v>420</x:v>
      </x:c>
      <x:c r="U705" s="15" t="n">
        <x:v>0</x:v>
      </x:c>
      <x:c r="V705" s="15" t="n">
        <x:v>180</x:v>
      </x:c>
      <x:c r="W705" s="15" t="n">
        <x:v>380</x:v>
      </x:c>
      <x:c r="X705" s="15" t="n">
        <x:v>0</x:v>
      </x:c>
      <x:c r="Y705" s="15" t="n">
        <x:v>0</x:v>
      </x:c>
      <x:c r="Z705" s="15" t="n">
        <x:v>0</x:v>
      </x:c>
      <x:c r="AA705" s="15" t="n">
        <x:v>0</x:v>
      </x:c>
      <x:c r="AB705" s="15" t="n">
        <x:f>SUM(G705:AA705)</x:f>
        <x:v>1912</x:v>
      </x:c>
    </x:row>
    <x:row r="706" ht="36" customHeight="1">
      <x:c r="A706" s="10" t="str">
        <x:v>V-A</x:v>
      </x:c>
      <x:c r="B706" s="10" t="str">
        <x:v>VOICE</x:v>
      </x:c>
      <x:c r="C706" s="10" t="str">
        <x:v>VOICE:S5-06</x:v>
      </x:c>
      <x:c r="D706" s="10" t="str">
        <x:v>VOICE:M6955</x:v>
      </x:c>
      <x:c r="E706" s="15" t="n">
        <x:v>-60</x:v>
      </x:c>
      <x:c r="F706" s="15" t="str">
        <x:v>preparation</x:v>
      </x:c>
      <x:c r="G706" s="15" t="n">
        <x:v>0</x:v>
      </x:c>
      <x:c r="H706" s="15" t="n">
        <x:v>0</x:v>
      </x:c>
      <x:c r="I706" s="15" t="n">
        <x:v>0</x:v>
      </x:c>
      <x:c r="J706" s="15" t="n">
        <x:v>0</x:v>
      </x:c>
      <x:c r="K706" s="15" t="n">
        <x:v>0</x:v>
      </x:c>
      <x:c r="L706" s="15" t="n">
        <x:v>0</x:v>
      </x:c>
      <x:c r="M706" s="15" t="n">
        <x:v>180</x:v>
      </x:c>
      <x:c r="N706" s="15" t="n">
        <x:v>220</x:v>
      </x:c>
      <x:c r="O706" s="15" t="n">
        <x:v>96</x:v>
      </x:c>
      <x:c r="P706" s="15" t="n">
        <x:v>64</x:v>
      </x:c>
      <x:c r="Q706" s="15" t="n">
        <x:v>32</x:v>
      </x:c>
      <x:c r="R706" s="15" t="n">
        <x:v>0</x:v>
      </x:c>
      <x:c r="S706" s="15" t="n">
        <x:v>0</x:v>
      </x:c>
      <x:c r="T706" s="15" t="n">
        <x:v>0</x:v>
      </x:c>
      <x:c r="U706" s="15" t="n">
        <x:v>0</x:v>
      </x:c>
      <x:c r="V706" s="15" t="n">
        <x:v>0</x:v>
      </x:c>
      <x:c r="W706" s="15" t="n">
        <x:v>0</x:v>
      </x:c>
      <x:c r="X706" s="15" t="n">
        <x:v>0</x:v>
      </x:c>
      <x:c r="Y706" s="15" t="n">
        <x:v>0</x:v>
      </x:c>
      <x:c r="Z706" s="15" t="n">
        <x:v>0</x:v>
      </x:c>
      <x:c r="AA706" s="15" t="n">
        <x:v>0</x:v>
      </x:c>
      <x:c r="AB706" s="15" t="n">
        <x:f>SUM(G706:AA706)</x:f>
        <x:v>592</x:v>
      </x:c>
    </x:row>
    <x:row r="707" ht="36" customHeight="1">
      <x:c r="A707" s="10" t="str">
        <x:v>V-R1</x:v>
      </x:c>
      <x:c r="B707" s="10" t="str">
        <x:v>VOICE</x:v>
      </x:c>
      <x:c r="C707" s="10" t="str">
        <x:v>VOICE:S5-06</x:v>
      </x:c>
      <x:c r="D707" s="10" t="str">
        <x:v>VOICE:M6981</x:v>
      </x:c>
      <x:c r="E707" s="15" t="n">
        <x:v>-57.77</x:v>
      </x:c>
      <x:c r="F707" s="15" t="str">
        <x:v>preparation</x:v>
      </x:c>
      <x:c r="G707" s="15" t="n">
        <x:v>0</x:v>
      </x:c>
      <x:c r="H707" s="15" t="n">
        <x:v>0</x:v>
      </x:c>
      <x:c r="I707" s="15" t="n">
        <x:v>0</x:v>
      </x:c>
      <x:c r="J707" s="15" t="n">
        <x:v>0</x:v>
      </x:c>
      <x:c r="K707" s="15" t="n">
        <x:v>0</x:v>
      </x:c>
      <x:c r="L707" s="15" t="n">
        <x:v>0</x:v>
      </x:c>
      <x:c r="M707" s="15" t="n">
        <x:v>180</x:v>
      </x:c>
      <x:c r="N707" s="15" t="n">
        <x:v>220</x:v>
      </x:c>
      <x:c r="O707" s="15" t="n">
        <x:v>96</x:v>
      </x:c>
      <x:c r="P707" s="15" t="n">
        <x:v>64</x:v>
      </x:c>
      <x:c r="Q707" s="15" t="n">
        <x:v>24</x:v>
      </x:c>
      <x:c r="R707" s="15" t="n">
        <x:v>60</x:v>
      </x:c>
      <x:c r="S707" s="15" t="n">
        <x:v>280</x:v>
      </x:c>
      <x:c r="T707" s="15" t="n">
        <x:v>420</x:v>
      </x:c>
      <x:c r="U707" s="15" t="n">
        <x:v>0</x:v>
      </x:c>
      <x:c r="V707" s="15" t="n">
        <x:v>180</x:v>
      </x:c>
      <x:c r="W707" s="15" t="n">
        <x:v>380</x:v>
      </x:c>
      <x:c r="X707" s="15" t="n">
        <x:v>0</x:v>
      </x:c>
      <x:c r="Y707" s="15" t="n">
        <x:v>0</x:v>
      </x:c>
      <x:c r="Z707" s="15" t="n">
        <x:v>0</x:v>
      </x:c>
      <x:c r="AA707" s="15" t="n">
        <x:v>0</x:v>
      </x:c>
      <x:c r="AB707" s="15" t="n">
        <x:f>SUM(G707:AA707)</x:f>
        <x:v>1904</x:v>
      </x:c>
    </x:row>
    <x:row r="708" ht="36" customHeight="1">
      <x:c r="A708" s="10" t="str">
        <x:v>V-R2</x:v>
      </x:c>
      <x:c r="B708" s="10" t="str">
        <x:v>VOICE</x:v>
      </x:c>
      <x:c r="C708" s="10" t="str">
        <x:v>VOICE:S5-06</x:v>
      </x:c>
      <x:c r="D708" s="10" t="str">
        <x:v>VOICE:M7007</x:v>
      </x:c>
      <x:c r="E708" s="15" t="n">
        <x:v>-57.77</x:v>
      </x:c>
      <x:c r="F708" s="15" t="str">
        <x:v>preparation</x:v>
      </x:c>
      <x:c r="G708" s="15" t="n">
        <x:v>0</x:v>
      </x:c>
      <x:c r="H708" s="15" t="n">
        <x:v>0</x:v>
      </x:c>
      <x:c r="I708" s="15" t="n">
        <x:v>0</x:v>
      </x:c>
      <x:c r="J708" s="15" t="n">
        <x:v>0</x:v>
      </x:c>
      <x:c r="K708" s="15" t="n">
        <x:v>0</x:v>
      </x:c>
      <x:c r="L708" s="15" t="n">
        <x:v>0</x:v>
      </x:c>
      <x:c r="M708" s="15" t="n">
        <x:v>180</x:v>
      </x:c>
      <x:c r="N708" s="15" t="n">
        <x:v>220</x:v>
      </x:c>
      <x:c r="O708" s="15" t="n">
        <x:v>96</x:v>
      </x:c>
      <x:c r="P708" s="15" t="n">
        <x:v>64</x:v>
      </x:c>
      <x:c r="Q708" s="15" t="n">
        <x:v>24</x:v>
      </x:c>
      <x:c r="R708" s="15" t="n">
        <x:v>60</x:v>
      </x:c>
      <x:c r="S708" s="15" t="n">
        <x:v>280</x:v>
      </x:c>
      <x:c r="T708" s="15" t="n">
        <x:v>420</x:v>
      </x:c>
      <x:c r="U708" s="15" t="n">
        <x:v>0</x:v>
      </x:c>
      <x:c r="V708" s="15" t="n">
        <x:v>180</x:v>
      </x:c>
      <x:c r="W708" s="15" t="n">
        <x:v>380</x:v>
      </x:c>
      <x:c r="X708" s="15" t="n">
        <x:v>0</x:v>
      </x:c>
      <x:c r="Y708" s="15" t="n">
        <x:v>0</x:v>
      </x:c>
      <x:c r="Z708" s="15" t="n">
        <x:v>0</x:v>
      </x:c>
      <x:c r="AA708" s="15" t="n">
        <x:v>0</x:v>
      </x:c>
      <x:c r="AB708" s="15" t="n">
        <x:f>SUM(G708:AA708)</x:f>
        <x:v>1904</x:v>
      </x:c>
    </x:row>
    <x:row r="709" ht="36" customHeight="1">
      <x:c r="A709" s="10" t="str">
        <x:v>V-R3</x:v>
      </x:c>
      <x:c r="B709" s="10" t="str">
        <x:v>VOICE</x:v>
      </x:c>
      <x:c r="C709" s="10" t="str">
        <x:v>VOICE:S5-06</x:v>
      </x:c>
      <x:c r="D709" s="10" t="str">
        <x:v>VOICE:M7032</x:v>
      </x:c>
      <x:c r="E709" s="15" t="n">
        <x:v>-57.77</x:v>
      </x:c>
      <x:c r="F709" s="15" t="str">
        <x:v>preparation</x:v>
      </x:c>
      <x:c r="G709" s="15" t="n">
        <x:v>0</x:v>
      </x:c>
      <x:c r="H709" s="15" t="n">
        <x:v>0</x:v>
      </x:c>
      <x:c r="I709" s="15" t="n">
        <x:v>0</x:v>
      </x:c>
      <x:c r="J709" s="15" t="n">
        <x:v>0</x:v>
      </x:c>
      <x:c r="K709" s="15" t="n">
        <x:v>0</x:v>
      </x:c>
      <x:c r="L709" s="15" t="n">
        <x:v>0</x:v>
      </x:c>
      <x:c r="M709" s="15" t="n">
        <x:v>180</x:v>
      </x:c>
      <x:c r="N709" s="15" t="n">
        <x:v>220</x:v>
      </x:c>
      <x:c r="O709" s="15" t="n">
        <x:v>96</x:v>
      </x:c>
      <x:c r="P709" s="15" t="n">
        <x:v>64</x:v>
      </x:c>
      <x:c r="Q709" s="15" t="n">
        <x:v>32</x:v>
      </x:c>
      <x:c r="R709" s="15" t="n">
        <x:v>60</x:v>
      </x:c>
      <x:c r="S709" s="15" t="n">
        <x:v>280</x:v>
      </x:c>
      <x:c r="T709" s="15" t="n">
        <x:v>420</x:v>
      </x:c>
      <x:c r="U709" s="15" t="n">
        <x:v>0</x:v>
      </x:c>
      <x:c r="V709" s="15" t="n">
        <x:v>180</x:v>
      </x:c>
      <x:c r="W709" s="15" t="n">
        <x:v>380</x:v>
      </x:c>
      <x:c r="X709" s="15" t="n">
        <x:v>0</x:v>
      </x:c>
      <x:c r="Y709" s="15" t="n">
        <x:v>0</x:v>
      </x:c>
      <x:c r="Z709" s="15" t="n">
        <x:v>0</x:v>
      </x:c>
      <x:c r="AA709" s="15" t="n">
        <x:v>0</x:v>
      </x:c>
      <x:c r="AB709" s="15" t="n">
        <x:f>SUM(G709:AA709)</x:f>
        <x:v>1912</x:v>
      </x:c>
    </x:row>
    <x:row r="710" ht="36" customHeight="1">
      <x:c r="A710" s="10" t="str">
        <x:v>V-A</x:v>
      </x:c>
      <x:c r="B710" s="10" t="str">
        <x:v>VOICE</x:v>
      </x:c>
      <x:c r="C710" s="10" t="str">
        <x:v>VOICE:S5-07</x:v>
      </x:c>
      <x:c r="D710" s="10" t="str">
        <x:v>VOICE:M7054</x:v>
      </x:c>
      <x:c r="E710" s="15" t="n">
        <x:v>-60</x:v>
      </x:c>
      <x:c r="F710" s="15" t="str">
        <x:v>preparation</x:v>
      </x:c>
      <x:c r="G710" s="15" t="n">
        <x:v>0</x:v>
      </x:c>
      <x:c r="H710" s="15" t="n">
        <x:v>0</x:v>
      </x:c>
      <x:c r="I710" s="15" t="n">
        <x:v>0</x:v>
      </x:c>
      <x:c r="J710" s="15" t="n">
        <x:v>0</x:v>
      </x:c>
      <x:c r="K710" s="15" t="n">
        <x:v>0</x:v>
      </x:c>
      <x:c r="L710" s="15" t="n">
        <x:v>0</x:v>
      </x:c>
      <x:c r="M710" s="15" t="n">
        <x:v>180</x:v>
      </x:c>
      <x:c r="N710" s="15" t="n">
        <x:v>220</x:v>
      </x:c>
      <x:c r="O710" s="15" t="n">
        <x:v>96</x:v>
      </x:c>
      <x:c r="P710" s="15" t="n">
        <x:v>64</x:v>
      </x:c>
      <x:c r="Q710" s="15" t="n">
        <x:v>32</x:v>
      </x:c>
      <x:c r="R710" s="15" t="n">
        <x:v>0</x:v>
      </x:c>
      <x:c r="S710" s="15" t="n">
        <x:v>0</x:v>
      </x:c>
      <x:c r="T710" s="15" t="n">
        <x:v>0</x:v>
      </x:c>
      <x:c r="U710" s="15" t="n">
        <x:v>0</x:v>
      </x:c>
      <x:c r="V710" s="15" t="n">
        <x:v>0</x:v>
      </x:c>
      <x:c r="W710" s="15" t="n">
        <x:v>0</x:v>
      </x:c>
      <x:c r="X710" s="15" t="n">
        <x:v>0</x:v>
      </x:c>
      <x:c r="Y710" s="15" t="n">
        <x:v>0</x:v>
      </x:c>
      <x:c r="Z710" s="15" t="n">
        <x:v>0</x:v>
      </x:c>
      <x:c r="AA710" s="15" t="n">
        <x:v>0</x:v>
      </x:c>
      <x:c r="AB710" s="15" t="n">
        <x:f>SUM(G710:AA710)</x:f>
        <x:v>592</x:v>
      </x:c>
    </x:row>
    <x:row r="711" ht="36" customHeight="1">
      <x:c r="A711" s="10" t="str">
        <x:v>V-R1</x:v>
      </x:c>
      <x:c r="B711" s="10" t="str">
        <x:v>VOICE</x:v>
      </x:c>
      <x:c r="C711" s="10" t="str">
        <x:v>VOICE:S5-07</x:v>
      </x:c>
      <x:c r="D711" s="10" t="str">
        <x:v>VOICE:M7080</x:v>
      </x:c>
      <x:c r="E711" s="15" t="n">
        <x:v>-57.77</x:v>
      </x:c>
      <x:c r="F711" s="15" t="str">
        <x:v>preparation</x:v>
      </x:c>
      <x:c r="G711" s="15" t="n">
        <x:v>0</x:v>
      </x:c>
      <x:c r="H711" s="15" t="n">
        <x:v>0</x:v>
      </x:c>
      <x:c r="I711" s="15" t="n">
        <x:v>0</x:v>
      </x:c>
      <x:c r="J711" s="15" t="n">
        <x:v>0</x:v>
      </x:c>
      <x:c r="K711" s="15" t="n">
        <x:v>0</x:v>
      </x:c>
      <x:c r="L711" s="15" t="n">
        <x:v>0</x:v>
      </x:c>
      <x:c r="M711" s="15" t="n">
        <x:v>180</x:v>
      </x:c>
      <x:c r="N711" s="15" t="n">
        <x:v>220</x:v>
      </x:c>
      <x:c r="O711" s="15" t="n">
        <x:v>96</x:v>
      </x:c>
      <x:c r="P711" s="15" t="n">
        <x:v>64</x:v>
      </x:c>
      <x:c r="Q711" s="15" t="n">
        <x:v>24</x:v>
      </x:c>
      <x:c r="R711" s="15" t="n">
        <x:v>60</x:v>
      </x:c>
      <x:c r="S711" s="15" t="n">
        <x:v>280</x:v>
      </x:c>
      <x:c r="T711" s="15" t="n">
        <x:v>420</x:v>
      </x:c>
      <x:c r="U711" s="15" t="n">
        <x:v>0</x:v>
      </x:c>
      <x:c r="V711" s="15" t="n">
        <x:v>180</x:v>
      </x:c>
      <x:c r="W711" s="15" t="n">
        <x:v>380</x:v>
      </x:c>
      <x:c r="X711" s="15" t="n">
        <x:v>0</x:v>
      </x:c>
      <x:c r="Y711" s="15" t="n">
        <x:v>0</x:v>
      </x:c>
      <x:c r="Z711" s="15" t="n">
        <x:v>0</x:v>
      </x:c>
      <x:c r="AA711" s="15" t="n">
        <x:v>0</x:v>
      </x:c>
      <x:c r="AB711" s="15" t="n">
        <x:f>SUM(G711:AA711)</x:f>
        <x:v>1904</x:v>
      </x:c>
    </x:row>
    <x:row r="712" ht="36" customHeight="1">
      <x:c r="A712" s="10" t="str">
        <x:v>V-R2</x:v>
      </x:c>
      <x:c r="B712" s="10" t="str">
        <x:v>VOICE</x:v>
      </x:c>
      <x:c r="C712" s="10" t="str">
        <x:v>VOICE:S5-07</x:v>
      </x:c>
      <x:c r="D712" s="10" t="str">
        <x:v>VOICE:M7106</x:v>
      </x:c>
      <x:c r="E712" s="15" t="n">
        <x:v>-57.77</x:v>
      </x:c>
      <x:c r="F712" s="15" t="str">
        <x:v>preparation</x:v>
      </x:c>
      <x:c r="G712" s="15" t="n">
        <x:v>0</x:v>
      </x:c>
      <x:c r="H712" s="15" t="n">
        <x:v>0</x:v>
      </x:c>
      <x:c r="I712" s="15" t="n">
        <x:v>0</x:v>
      </x:c>
      <x:c r="J712" s="15" t="n">
        <x:v>0</x:v>
      </x:c>
      <x:c r="K712" s="15" t="n">
        <x:v>0</x:v>
      </x:c>
      <x:c r="L712" s="15" t="n">
        <x:v>0</x:v>
      </x:c>
      <x:c r="M712" s="15" t="n">
        <x:v>180</x:v>
      </x:c>
      <x:c r="N712" s="15" t="n">
        <x:v>220</x:v>
      </x:c>
      <x:c r="O712" s="15" t="n">
        <x:v>96</x:v>
      </x:c>
      <x:c r="P712" s="15" t="n">
        <x:v>64</x:v>
      </x:c>
      <x:c r="Q712" s="15" t="n">
        <x:v>24</x:v>
      </x:c>
      <x:c r="R712" s="15" t="n">
        <x:v>60</x:v>
      </x:c>
      <x:c r="S712" s="15" t="n">
        <x:v>280</x:v>
      </x:c>
      <x:c r="T712" s="15" t="n">
        <x:v>420</x:v>
      </x:c>
      <x:c r="U712" s="15" t="n">
        <x:v>0</x:v>
      </x:c>
      <x:c r="V712" s="15" t="n">
        <x:v>180</x:v>
      </x:c>
      <x:c r="W712" s="15" t="n">
        <x:v>380</x:v>
      </x:c>
      <x:c r="X712" s="15" t="n">
        <x:v>0</x:v>
      </x:c>
      <x:c r="Y712" s="15" t="n">
        <x:v>0</x:v>
      </x:c>
      <x:c r="Z712" s="15" t="n">
        <x:v>0</x:v>
      </x:c>
      <x:c r="AA712" s="15" t="n">
        <x:v>0</x:v>
      </x:c>
      <x:c r="AB712" s="15" t="n">
        <x:f>SUM(G712:AA712)</x:f>
        <x:v>1904</x:v>
      </x:c>
    </x:row>
    <x:row r="713" ht="36" customHeight="1">
      <x:c r="A713" s="10" t="str">
        <x:v>V-R3</x:v>
      </x:c>
      <x:c r="B713" s="10" t="str">
        <x:v>VOICE</x:v>
      </x:c>
      <x:c r="C713" s="10" t="str">
        <x:v>VOICE:S5-07</x:v>
      </x:c>
      <x:c r="D713" s="10" t="str">
        <x:v>VOICE:M7131</x:v>
      </x:c>
      <x:c r="E713" s="15" t="n">
        <x:v>-57.77</x:v>
      </x:c>
      <x:c r="F713" s="15" t="str">
        <x:v>preparation</x:v>
      </x:c>
      <x:c r="G713" s="15" t="n">
        <x:v>0</x:v>
      </x:c>
      <x:c r="H713" s="15" t="n">
        <x:v>0</x:v>
      </x:c>
      <x:c r="I713" s="15" t="n">
        <x:v>0</x:v>
      </x:c>
      <x:c r="J713" s="15" t="n">
        <x:v>0</x:v>
      </x:c>
      <x:c r="K713" s="15" t="n">
        <x:v>0</x:v>
      </x:c>
      <x:c r="L713" s="15" t="n">
        <x:v>0</x:v>
      </x:c>
      <x:c r="M713" s="15" t="n">
        <x:v>180</x:v>
      </x:c>
      <x:c r="N713" s="15" t="n">
        <x:v>220</x:v>
      </x:c>
      <x:c r="O713" s="15" t="n">
        <x:v>96</x:v>
      </x:c>
      <x:c r="P713" s="15" t="n">
        <x:v>64</x:v>
      </x:c>
      <x:c r="Q713" s="15" t="n">
        <x:v>32</x:v>
      </x:c>
      <x:c r="R713" s="15" t="n">
        <x:v>60</x:v>
      </x:c>
      <x:c r="S713" s="15" t="n">
        <x:v>280</x:v>
      </x:c>
      <x:c r="T713" s="15" t="n">
        <x:v>420</x:v>
      </x:c>
      <x:c r="U713" s="15" t="n">
        <x:v>0</x:v>
      </x:c>
      <x:c r="V713" s="15" t="n">
        <x:v>180</x:v>
      </x:c>
      <x:c r="W713" s="15" t="n">
        <x:v>380</x:v>
      </x:c>
      <x:c r="X713" s="15" t="n">
        <x:v>0</x:v>
      </x:c>
      <x:c r="Y713" s="15" t="n">
        <x:v>0</x:v>
      </x:c>
      <x:c r="Z713" s="15" t="n">
        <x:v>0</x:v>
      </x:c>
      <x:c r="AA713" s="15" t="n">
        <x:v>0</x:v>
      </x:c>
      <x:c r="AB713" s="15" t="n">
        <x:f>SUM(G713:AA713)</x:f>
        <x:v>1912</x:v>
      </x:c>
    </x:row>
    <x:row r="714" ht="36" customHeight="1">
      <x:c r="A714" s="10" t="str">
        <x:v>V-A</x:v>
      </x:c>
      <x:c r="B714" s="10" t="str">
        <x:v>VOICE</x:v>
      </x:c>
      <x:c r="C714" s="10" t="str">
        <x:v>VOICE:S5-08</x:v>
      </x:c>
      <x:c r="D714" s="10" t="str">
        <x:v>VOICE:M7153</x:v>
      </x:c>
      <x:c r="E714" s="15" t="n">
        <x:v>-60</x:v>
      </x:c>
      <x:c r="F714" s="15" t="str">
        <x:v>preparation</x:v>
      </x:c>
      <x:c r="G714" s="15" t="n">
        <x:v>0</x:v>
      </x:c>
      <x:c r="H714" s="15" t="n">
        <x:v>0</x:v>
      </x:c>
      <x:c r="I714" s="15" t="n">
        <x:v>0</x:v>
      </x:c>
      <x:c r="J714" s="15" t="n">
        <x:v>0</x:v>
      </x:c>
      <x:c r="K714" s="15" t="n">
        <x:v>0</x:v>
      </x:c>
      <x:c r="L714" s="15" t="n">
        <x:v>0</x:v>
      </x:c>
      <x:c r="M714" s="15" t="n">
        <x:v>180</x:v>
      </x:c>
      <x:c r="N714" s="15" t="n">
        <x:v>220</x:v>
      </x:c>
      <x:c r="O714" s="15" t="n">
        <x:v>96</x:v>
      </x:c>
      <x:c r="P714" s="15" t="n">
        <x:v>64</x:v>
      </x:c>
      <x:c r="Q714" s="15" t="n">
        <x:v>32</x:v>
      </x:c>
      <x:c r="R714" s="15" t="n">
        <x:v>0</x:v>
      </x:c>
      <x:c r="S714" s="15" t="n">
        <x:v>0</x:v>
      </x:c>
      <x:c r="T714" s="15" t="n">
        <x:v>0</x:v>
      </x:c>
      <x:c r="U714" s="15" t="n">
        <x:v>0</x:v>
      </x:c>
      <x:c r="V714" s="15" t="n">
        <x:v>0</x:v>
      </x:c>
      <x:c r="W714" s="15" t="n">
        <x:v>0</x:v>
      </x:c>
      <x:c r="X714" s="15" t="n">
        <x:v>0</x:v>
      </x:c>
      <x:c r="Y714" s="15" t="n">
        <x:v>0</x:v>
      </x:c>
      <x:c r="Z714" s="15" t="n">
        <x:v>0</x:v>
      </x:c>
      <x:c r="AA714" s="15" t="n">
        <x:v>0</x:v>
      </x:c>
      <x:c r="AB714" s="15" t="n">
        <x:f>SUM(G714:AA714)</x:f>
        <x:v>592</x:v>
      </x:c>
    </x:row>
    <x:row r="715" ht="36" customHeight="1">
      <x:c r="A715" s="10" t="str">
        <x:v>V-R1</x:v>
      </x:c>
      <x:c r="B715" s="10" t="str">
        <x:v>VOICE</x:v>
      </x:c>
      <x:c r="C715" s="10" t="str">
        <x:v>VOICE:S5-08</x:v>
      </x:c>
      <x:c r="D715" s="10" t="str">
        <x:v>VOICE:M7179</x:v>
      </x:c>
      <x:c r="E715" s="15" t="n">
        <x:v>-57.77</x:v>
      </x:c>
      <x:c r="F715" s="15" t="str">
        <x:v>preparation</x:v>
      </x:c>
      <x:c r="G715" s="15" t="n">
        <x:v>0</x:v>
      </x:c>
      <x:c r="H715" s="15" t="n">
        <x:v>0</x:v>
      </x:c>
      <x:c r="I715" s="15" t="n">
        <x:v>0</x:v>
      </x:c>
      <x:c r="J715" s="15" t="n">
        <x:v>0</x:v>
      </x:c>
      <x:c r="K715" s="15" t="n">
        <x:v>0</x:v>
      </x:c>
      <x:c r="L715" s="15" t="n">
        <x:v>0</x:v>
      </x:c>
      <x:c r="M715" s="15" t="n">
        <x:v>180</x:v>
      </x:c>
      <x:c r="N715" s="15" t="n">
        <x:v>220</x:v>
      </x:c>
      <x:c r="O715" s="15" t="n">
        <x:v>96</x:v>
      </x:c>
      <x:c r="P715" s="15" t="n">
        <x:v>64</x:v>
      </x:c>
      <x:c r="Q715" s="15" t="n">
        <x:v>24</x:v>
      </x:c>
      <x:c r="R715" s="15" t="n">
        <x:v>60</x:v>
      </x:c>
      <x:c r="S715" s="15" t="n">
        <x:v>280</x:v>
      </x:c>
      <x:c r="T715" s="15" t="n">
        <x:v>420</x:v>
      </x:c>
      <x:c r="U715" s="15" t="n">
        <x:v>0</x:v>
      </x:c>
      <x:c r="V715" s="15" t="n">
        <x:v>180</x:v>
      </x:c>
      <x:c r="W715" s="15" t="n">
        <x:v>380</x:v>
      </x:c>
      <x:c r="X715" s="15" t="n">
        <x:v>0</x:v>
      </x:c>
      <x:c r="Y715" s="15" t="n">
        <x:v>0</x:v>
      </x:c>
      <x:c r="Z715" s="15" t="n">
        <x:v>0</x:v>
      </x:c>
      <x:c r="AA715" s="15" t="n">
        <x:v>0</x:v>
      </x:c>
      <x:c r="AB715" s="15" t="n">
        <x:f>SUM(G715:AA715)</x:f>
        <x:v>1904</x:v>
      </x:c>
    </x:row>
    <x:row r="716" ht="36" customHeight="1">
      <x:c r="A716" s="10" t="str">
        <x:v>V-R2</x:v>
      </x:c>
      <x:c r="B716" s="10" t="str">
        <x:v>VOICE</x:v>
      </x:c>
      <x:c r="C716" s="10" t="str">
        <x:v>VOICE:S5-08</x:v>
      </x:c>
      <x:c r="D716" s="10" t="str">
        <x:v>VOICE:M7205</x:v>
      </x:c>
      <x:c r="E716" s="15" t="n">
        <x:v>-57.77</x:v>
      </x:c>
      <x:c r="F716" s="15" t="str">
        <x:v>preparation</x:v>
      </x:c>
      <x:c r="G716" s="15" t="n">
        <x:v>0</x:v>
      </x:c>
      <x:c r="H716" s="15" t="n">
        <x:v>0</x:v>
      </x:c>
      <x:c r="I716" s="15" t="n">
        <x:v>0</x:v>
      </x:c>
      <x:c r="J716" s="15" t="n">
        <x:v>0</x:v>
      </x:c>
      <x:c r="K716" s="15" t="n">
        <x:v>0</x:v>
      </x:c>
      <x:c r="L716" s="15" t="n">
        <x:v>0</x:v>
      </x:c>
      <x:c r="M716" s="15" t="n">
        <x:v>180</x:v>
      </x:c>
      <x:c r="N716" s="15" t="n">
        <x:v>220</x:v>
      </x:c>
      <x:c r="O716" s="15" t="n">
        <x:v>96</x:v>
      </x:c>
      <x:c r="P716" s="15" t="n">
        <x:v>64</x:v>
      </x:c>
      <x:c r="Q716" s="15" t="n">
        <x:v>24</x:v>
      </x:c>
      <x:c r="R716" s="15" t="n">
        <x:v>60</x:v>
      </x:c>
      <x:c r="S716" s="15" t="n">
        <x:v>280</x:v>
      </x:c>
      <x:c r="T716" s="15" t="n">
        <x:v>420</x:v>
      </x:c>
      <x:c r="U716" s="15" t="n">
        <x:v>0</x:v>
      </x:c>
      <x:c r="V716" s="15" t="n">
        <x:v>180</x:v>
      </x:c>
      <x:c r="W716" s="15" t="n">
        <x:v>380</x:v>
      </x:c>
      <x:c r="X716" s="15" t="n">
        <x:v>0</x:v>
      </x:c>
      <x:c r="Y716" s="15" t="n">
        <x:v>0</x:v>
      </x:c>
      <x:c r="Z716" s="15" t="n">
        <x:v>0</x:v>
      </x:c>
      <x:c r="AA716" s="15" t="n">
        <x:v>0</x:v>
      </x:c>
      <x:c r="AB716" s="15" t="n">
        <x:f>SUM(G716:AA716)</x:f>
        <x:v>1904</x:v>
      </x:c>
    </x:row>
    <x:row r="717" ht="36" customHeight="1">
      <x:c r="A717" s="10" t="str">
        <x:v>V-R3</x:v>
      </x:c>
      <x:c r="B717" s="10" t="str">
        <x:v>VOICE</x:v>
      </x:c>
      <x:c r="C717" s="10" t="str">
        <x:v>VOICE:S5-08</x:v>
      </x:c>
      <x:c r="D717" s="10" t="str">
        <x:v>VOICE:M7230</x:v>
      </x:c>
      <x:c r="E717" s="15" t="n">
        <x:v>-57.77</x:v>
      </x:c>
      <x:c r="F717" s="15" t="str">
        <x:v>preparation</x:v>
      </x:c>
      <x:c r="G717" s="15" t="n">
        <x:v>0</x:v>
      </x:c>
      <x:c r="H717" s="15" t="n">
        <x:v>0</x:v>
      </x:c>
      <x:c r="I717" s="15" t="n">
        <x:v>0</x:v>
      </x:c>
      <x:c r="J717" s="15" t="n">
        <x:v>0</x:v>
      </x:c>
      <x:c r="K717" s="15" t="n">
        <x:v>0</x:v>
      </x:c>
      <x:c r="L717" s="15" t="n">
        <x:v>0</x:v>
      </x:c>
      <x:c r="M717" s="15" t="n">
        <x:v>180</x:v>
      </x:c>
      <x:c r="N717" s="15" t="n">
        <x:v>220</x:v>
      </x:c>
      <x:c r="O717" s="15" t="n">
        <x:v>96</x:v>
      </x:c>
      <x:c r="P717" s="15" t="n">
        <x:v>64</x:v>
      </x:c>
      <x:c r="Q717" s="15" t="n">
        <x:v>32</x:v>
      </x:c>
      <x:c r="R717" s="15" t="n">
        <x:v>60</x:v>
      </x:c>
      <x:c r="S717" s="15" t="n">
        <x:v>280</x:v>
      </x:c>
      <x:c r="T717" s="15" t="n">
        <x:v>420</x:v>
      </x:c>
      <x:c r="U717" s="15" t="n">
        <x:v>0</x:v>
      </x:c>
      <x:c r="V717" s="15" t="n">
        <x:v>180</x:v>
      </x:c>
      <x:c r="W717" s="15" t="n">
        <x:v>380</x:v>
      </x:c>
      <x:c r="X717" s="15" t="n">
        <x:v>0</x:v>
      </x:c>
      <x:c r="Y717" s="15" t="n">
        <x:v>0</x:v>
      </x:c>
      <x:c r="Z717" s="15" t="n">
        <x:v>0</x:v>
      </x:c>
      <x:c r="AA717" s="15" t="n">
        <x:v>0</x:v>
      </x:c>
      <x:c r="AB717" s="15" t="n">
        <x:f>SUM(G717:AA717)</x:f>
        <x:v>1912</x:v>
      </x:c>
    </x:row>
    <x:row r="718" ht="36" customHeight="1">
      <x:c r="A718" s="10" t="str">
        <x:v>V-A</x:v>
      </x:c>
      <x:c r="B718" s="10" t="str">
        <x:v>VOICE</x:v>
      </x:c>
      <x:c r="C718" s="10" t="str">
        <x:v>VOICE:S5-09</x:v>
      </x:c>
      <x:c r="D718" s="10" t="str">
        <x:v>VOICE:M7252</x:v>
      </x:c>
      <x:c r="E718" s="15" t="n">
        <x:v>-60</x:v>
      </x:c>
      <x:c r="F718" s="15" t="str">
        <x:v>preparation</x:v>
      </x:c>
      <x:c r="G718" s="15" t="n">
        <x:v>0</x:v>
      </x:c>
      <x:c r="H718" s="15" t="n">
        <x:v>0</x:v>
      </x:c>
      <x:c r="I718" s="15" t="n">
        <x:v>0</x:v>
      </x:c>
      <x:c r="J718" s="15" t="n">
        <x:v>0</x:v>
      </x:c>
      <x:c r="K718" s="15" t="n">
        <x:v>0</x:v>
      </x:c>
      <x:c r="L718" s="15" t="n">
        <x:v>0</x:v>
      </x:c>
      <x:c r="M718" s="15" t="n">
        <x:v>180</x:v>
      </x:c>
      <x:c r="N718" s="15" t="n">
        <x:v>220</x:v>
      </x:c>
      <x:c r="O718" s="15" t="n">
        <x:v>96</x:v>
      </x:c>
      <x:c r="P718" s="15" t="n">
        <x:v>64</x:v>
      </x:c>
      <x:c r="Q718" s="15" t="n">
        <x:v>32</x:v>
      </x:c>
      <x:c r="R718" s="15" t="n">
        <x:v>0</x:v>
      </x:c>
      <x:c r="S718" s="15" t="n">
        <x:v>0</x:v>
      </x:c>
      <x:c r="T718" s="15" t="n">
        <x:v>0</x:v>
      </x:c>
      <x:c r="U718" s="15" t="n">
        <x:v>0</x:v>
      </x:c>
      <x:c r="V718" s="15" t="n">
        <x:v>0</x:v>
      </x:c>
      <x:c r="W718" s="15" t="n">
        <x:v>0</x:v>
      </x:c>
      <x:c r="X718" s="15" t="n">
        <x:v>0</x:v>
      </x:c>
      <x:c r="Y718" s="15" t="n">
        <x:v>0</x:v>
      </x:c>
      <x:c r="Z718" s="15" t="n">
        <x:v>0</x:v>
      </x:c>
      <x:c r="AA718" s="15" t="n">
        <x:v>0</x:v>
      </x:c>
      <x:c r="AB718" s="15" t="n">
        <x:f>SUM(G718:AA718)</x:f>
        <x:v>592</x:v>
      </x:c>
    </x:row>
    <x:row r="719" ht="36" customHeight="1">
      <x:c r="A719" s="10" t="str">
        <x:v>V-R1</x:v>
      </x:c>
      <x:c r="B719" s="10" t="str">
        <x:v>VOICE</x:v>
      </x:c>
      <x:c r="C719" s="10" t="str">
        <x:v>VOICE:S5-09</x:v>
      </x:c>
      <x:c r="D719" s="10" t="str">
        <x:v>VOICE:M7278</x:v>
      </x:c>
      <x:c r="E719" s="15" t="n">
        <x:v>-57.77</x:v>
      </x:c>
      <x:c r="F719" s="15" t="str">
        <x:v>preparation</x:v>
      </x:c>
      <x:c r="G719" s="15" t="n">
        <x:v>0</x:v>
      </x:c>
      <x:c r="H719" s="15" t="n">
        <x:v>0</x:v>
      </x:c>
      <x:c r="I719" s="15" t="n">
        <x:v>0</x:v>
      </x:c>
      <x:c r="J719" s="15" t="n">
        <x:v>0</x:v>
      </x:c>
      <x:c r="K719" s="15" t="n">
        <x:v>0</x:v>
      </x:c>
      <x:c r="L719" s="15" t="n">
        <x:v>0</x:v>
      </x:c>
      <x:c r="M719" s="15" t="n">
        <x:v>180</x:v>
      </x:c>
      <x:c r="N719" s="15" t="n">
        <x:v>220</x:v>
      </x:c>
      <x:c r="O719" s="15" t="n">
        <x:v>96</x:v>
      </x:c>
      <x:c r="P719" s="15" t="n">
        <x:v>64</x:v>
      </x:c>
      <x:c r="Q719" s="15" t="n">
        <x:v>24</x:v>
      </x:c>
      <x:c r="R719" s="15" t="n">
        <x:v>60</x:v>
      </x:c>
      <x:c r="S719" s="15" t="n">
        <x:v>280</x:v>
      </x:c>
      <x:c r="T719" s="15" t="n">
        <x:v>420</x:v>
      </x:c>
      <x:c r="U719" s="15" t="n">
        <x:v>0</x:v>
      </x:c>
      <x:c r="V719" s="15" t="n">
        <x:v>180</x:v>
      </x:c>
      <x:c r="W719" s="15" t="n">
        <x:v>380</x:v>
      </x:c>
      <x:c r="X719" s="15" t="n">
        <x:v>0</x:v>
      </x:c>
      <x:c r="Y719" s="15" t="n">
        <x:v>0</x:v>
      </x:c>
      <x:c r="Z719" s="15" t="n">
        <x:v>0</x:v>
      </x:c>
      <x:c r="AA719" s="15" t="n">
        <x:v>0</x:v>
      </x:c>
      <x:c r="AB719" s="15" t="n">
        <x:f>SUM(G719:AA719)</x:f>
        <x:v>1904</x:v>
      </x:c>
    </x:row>
    <x:row r="720" ht="36" customHeight="1">
      <x:c r="A720" s="10" t="str">
        <x:v>V-R2</x:v>
      </x:c>
      <x:c r="B720" s="10" t="str">
        <x:v>VOICE</x:v>
      </x:c>
      <x:c r="C720" s="10" t="str">
        <x:v>VOICE:S5-09</x:v>
      </x:c>
      <x:c r="D720" s="10" t="str">
        <x:v>VOICE:M7304</x:v>
      </x:c>
      <x:c r="E720" s="15" t="n">
        <x:v>-57.77</x:v>
      </x:c>
      <x:c r="F720" s="15" t="str">
        <x:v>preparation</x:v>
      </x:c>
      <x:c r="G720" s="15" t="n">
        <x:v>0</x:v>
      </x:c>
      <x:c r="H720" s="15" t="n">
        <x:v>0</x:v>
      </x:c>
      <x:c r="I720" s="15" t="n">
        <x:v>0</x:v>
      </x:c>
      <x:c r="J720" s="15" t="n">
        <x:v>0</x:v>
      </x:c>
      <x:c r="K720" s="15" t="n">
        <x:v>0</x:v>
      </x:c>
      <x:c r="L720" s="15" t="n">
        <x:v>0</x:v>
      </x:c>
      <x:c r="M720" s="15" t="n">
        <x:v>180</x:v>
      </x:c>
      <x:c r="N720" s="15" t="n">
        <x:v>220</x:v>
      </x:c>
      <x:c r="O720" s="15" t="n">
        <x:v>96</x:v>
      </x:c>
      <x:c r="P720" s="15" t="n">
        <x:v>64</x:v>
      </x:c>
      <x:c r="Q720" s="15" t="n">
        <x:v>24</x:v>
      </x:c>
      <x:c r="R720" s="15" t="n">
        <x:v>60</x:v>
      </x:c>
      <x:c r="S720" s="15" t="n">
        <x:v>280</x:v>
      </x:c>
      <x:c r="T720" s="15" t="n">
        <x:v>420</x:v>
      </x:c>
      <x:c r="U720" s="15" t="n">
        <x:v>0</x:v>
      </x:c>
      <x:c r="V720" s="15" t="n">
        <x:v>180</x:v>
      </x:c>
      <x:c r="W720" s="15" t="n">
        <x:v>380</x:v>
      </x:c>
      <x:c r="X720" s="15" t="n">
        <x:v>0</x:v>
      </x:c>
      <x:c r="Y720" s="15" t="n">
        <x:v>0</x:v>
      </x:c>
      <x:c r="Z720" s="15" t="n">
        <x:v>0</x:v>
      </x:c>
      <x:c r="AA720" s="15" t="n">
        <x:v>0</x:v>
      </x:c>
      <x:c r="AB720" s="15" t="n">
        <x:f>SUM(G720:AA720)</x:f>
        <x:v>1904</x:v>
      </x:c>
    </x:row>
    <x:row r="721" ht="36" customHeight="1">
      <x:c r="A721" s="10" t="str">
        <x:v>V-R3</x:v>
      </x:c>
      <x:c r="B721" s="10" t="str">
        <x:v>VOICE</x:v>
      </x:c>
      <x:c r="C721" s="10" t="str">
        <x:v>VOICE:S5-09</x:v>
      </x:c>
      <x:c r="D721" s="10" t="str">
        <x:v>VOICE:M7329</x:v>
      </x:c>
      <x:c r="E721" s="15" t="n">
        <x:v>-57.77</x:v>
      </x:c>
      <x:c r="F721" s="15" t="str">
        <x:v>preparation</x:v>
      </x:c>
      <x:c r="G721" s="15" t="n">
        <x:v>0</x:v>
      </x:c>
      <x:c r="H721" s="15" t="n">
        <x:v>0</x:v>
      </x:c>
      <x:c r="I721" s="15" t="n">
        <x:v>0</x:v>
      </x:c>
      <x:c r="J721" s="15" t="n">
        <x:v>0</x:v>
      </x:c>
      <x:c r="K721" s="15" t="n">
        <x:v>0</x:v>
      </x:c>
      <x:c r="L721" s="15" t="n">
        <x:v>0</x:v>
      </x:c>
      <x:c r="M721" s="15" t="n">
        <x:v>180</x:v>
      </x:c>
      <x:c r="N721" s="15" t="n">
        <x:v>220</x:v>
      </x:c>
      <x:c r="O721" s="15" t="n">
        <x:v>96</x:v>
      </x:c>
      <x:c r="P721" s="15" t="n">
        <x:v>64</x:v>
      </x:c>
      <x:c r="Q721" s="15" t="n">
        <x:v>32</x:v>
      </x:c>
      <x:c r="R721" s="15" t="n">
        <x:v>60</x:v>
      </x:c>
      <x:c r="S721" s="15" t="n">
        <x:v>280</x:v>
      </x:c>
      <x:c r="T721" s="15" t="n">
        <x:v>420</x:v>
      </x:c>
      <x:c r="U721" s="15" t="n">
        <x:v>0</x:v>
      </x:c>
      <x:c r="V721" s="15" t="n">
        <x:v>180</x:v>
      </x:c>
      <x:c r="W721" s="15" t="n">
        <x:v>380</x:v>
      </x:c>
      <x:c r="X721" s="15" t="n">
        <x:v>0</x:v>
      </x:c>
      <x:c r="Y721" s="15" t="n">
        <x:v>0</x:v>
      </x:c>
      <x:c r="Z721" s="15" t="n">
        <x:v>0</x:v>
      </x:c>
      <x:c r="AA721" s="15" t="n">
        <x:v>0</x:v>
      </x:c>
      <x:c r="AB721" s="15" t="n">
        <x:f>SUM(G721:AA721)</x:f>
        <x:v>1912</x:v>
      </x:c>
    </x:row>
    <x:row r="722" ht="36" customHeight="1">
      <x:c r="A722" s="10" t="str">
        <x:v>V-A</x:v>
      </x:c>
      <x:c r="B722" s="10" t="str">
        <x:v>VOICE</x:v>
      </x:c>
      <x:c r="C722" s="10" t="str">
        <x:v>VOICE:S5-10</x:v>
      </x:c>
      <x:c r="D722" s="10" t="str">
        <x:v>VOICE:M7351</x:v>
      </x:c>
      <x:c r="E722" s="15" t="n">
        <x:v>-60</x:v>
      </x:c>
      <x:c r="F722" s="15" t="str">
        <x:v>preparation</x:v>
      </x:c>
      <x:c r="G722" s="15" t="n">
        <x:v>0</x:v>
      </x:c>
      <x:c r="H722" s="15" t="n">
        <x:v>0</x:v>
      </x:c>
      <x:c r="I722" s="15" t="n">
        <x:v>0</x:v>
      </x:c>
      <x:c r="J722" s="15" t="n">
        <x:v>0</x:v>
      </x:c>
      <x:c r="K722" s="15" t="n">
        <x:v>0</x:v>
      </x:c>
      <x:c r="L722" s="15" t="n">
        <x:v>0</x:v>
      </x:c>
      <x:c r="M722" s="15" t="n">
        <x:v>180</x:v>
      </x:c>
      <x:c r="N722" s="15" t="n">
        <x:v>220</x:v>
      </x:c>
      <x:c r="O722" s="15" t="n">
        <x:v>96</x:v>
      </x:c>
      <x:c r="P722" s="15" t="n">
        <x:v>64</x:v>
      </x:c>
      <x:c r="Q722" s="15" t="n">
        <x:v>32</x:v>
      </x:c>
      <x:c r="R722" s="15" t="n">
        <x:v>0</x:v>
      </x:c>
      <x:c r="S722" s="15" t="n">
        <x:v>0</x:v>
      </x:c>
      <x:c r="T722" s="15" t="n">
        <x:v>0</x:v>
      </x:c>
      <x:c r="U722" s="15" t="n">
        <x:v>0</x:v>
      </x:c>
      <x:c r="V722" s="15" t="n">
        <x:v>0</x:v>
      </x:c>
      <x:c r="W722" s="15" t="n">
        <x:v>0</x:v>
      </x:c>
      <x:c r="X722" s="15" t="n">
        <x:v>0</x:v>
      </x:c>
      <x:c r="Y722" s="15" t="n">
        <x:v>0</x:v>
      </x:c>
      <x:c r="Z722" s="15" t="n">
        <x:v>0</x:v>
      </x:c>
      <x:c r="AA722" s="15" t="n">
        <x:v>0</x:v>
      </x:c>
      <x:c r="AB722" s="15" t="n">
        <x:f>SUM(G722:AA722)</x:f>
        <x:v>592</x:v>
      </x:c>
    </x:row>
    <x:row r="723" ht="36" customHeight="1">
      <x:c r="A723" s="10" t="str">
        <x:v>V-R1</x:v>
      </x:c>
      <x:c r="B723" s="10" t="str">
        <x:v>VOICE</x:v>
      </x:c>
      <x:c r="C723" s="10" t="str">
        <x:v>VOICE:S5-10</x:v>
      </x:c>
      <x:c r="D723" s="10" t="str">
        <x:v>VOICE:M7377</x:v>
      </x:c>
      <x:c r="E723" s="15" t="n">
        <x:v>-57.77</x:v>
      </x:c>
      <x:c r="F723" s="15" t="str">
        <x:v>preparation</x:v>
      </x:c>
      <x:c r="G723" s="15" t="n">
        <x:v>0</x:v>
      </x:c>
      <x:c r="H723" s="15" t="n">
        <x:v>0</x:v>
      </x:c>
      <x:c r="I723" s="15" t="n">
        <x:v>0</x:v>
      </x:c>
      <x:c r="J723" s="15" t="n">
        <x:v>0</x:v>
      </x:c>
      <x:c r="K723" s="15" t="n">
        <x:v>0</x:v>
      </x:c>
      <x:c r="L723" s="15" t="n">
        <x:v>0</x:v>
      </x:c>
      <x:c r="M723" s="15" t="n">
        <x:v>180</x:v>
      </x:c>
      <x:c r="N723" s="15" t="n">
        <x:v>220</x:v>
      </x:c>
      <x:c r="O723" s="15" t="n">
        <x:v>96</x:v>
      </x:c>
      <x:c r="P723" s="15" t="n">
        <x:v>64</x:v>
      </x:c>
      <x:c r="Q723" s="15" t="n">
        <x:v>24</x:v>
      </x:c>
      <x:c r="R723" s="15" t="n">
        <x:v>60</x:v>
      </x:c>
      <x:c r="S723" s="15" t="n">
        <x:v>280</x:v>
      </x:c>
      <x:c r="T723" s="15" t="n">
        <x:v>420</x:v>
      </x:c>
      <x:c r="U723" s="15" t="n">
        <x:v>0</x:v>
      </x:c>
      <x:c r="V723" s="15" t="n">
        <x:v>180</x:v>
      </x:c>
      <x:c r="W723" s="15" t="n">
        <x:v>380</x:v>
      </x:c>
      <x:c r="X723" s="15" t="n">
        <x:v>0</x:v>
      </x:c>
      <x:c r="Y723" s="15" t="n">
        <x:v>0</x:v>
      </x:c>
      <x:c r="Z723" s="15" t="n">
        <x:v>0</x:v>
      </x:c>
      <x:c r="AA723" s="15" t="n">
        <x:v>0</x:v>
      </x:c>
      <x:c r="AB723" s="15" t="n">
        <x:f>SUM(G723:AA723)</x:f>
        <x:v>1904</x:v>
      </x:c>
    </x:row>
    <x:row r="724" ht="36" customHeight="1">
      <x:c r="A724" s="10" t="str">
        <x:v>V-R2</x:v>
      </x:c>
      <x:c r="B724" s="10" t="str">
        <x:v>VOICE</x:v>
      </x:c>
      <x:c r="C724" s="10" t="str">
        <x:v>VOICE:S5-10</x:v>
      </x:c>
      <x:c r="D724" s="10" t="str">
        <x:v>VOICE:M7403</x:v>
      </x:c>
      <x:c r="E724" s="15" t="n">
        <x:v>-57.77</x:v>
      </x:c>
      <x:c r="F724" s="15" t="str">
        <x:v>preparation</x:v>
      </x:c>
      <x:c r="G724" s="15" t="n">
        <x:v>0</x:v>
      </x:c>
      <x:c r="H724" s="15" t="n">
        <x:v>0</x:v>
      </x:c>
      <x:c r="I724" s="15" t="n">
        <x:v>0</x:v>
      </x:c>
      <x:c r="J724" s="15" t="n">
        <x:v>0</x:v>
      </x:c>
      <x:c r="K724" s="15" t="n">
        <x:v>0</x:v>
      </x:c>
      <x:c r="L724" s="15" t="n">
        <x:v>0</x:v>
      </x:c>
      <x:c r="M724" s="15" t="n">
        <x:v>180</x:v>
      </x:c>
      <x:c r="N724" s="15" t="n">
        <x:v>220</x:v>
      </x:c>
      <x:c r="O724" s="15" t="n">
        <x:v>96</x:v>
      </x:c>
      <x:c r="P724" s="15" t="n">
        <x:v>64</x:v>
      </x:c>
      <x:c r="Q724" s="15" t="n">
        <x:v>24</x:v>
      </x:c>
      <x:c r="R724" s="15" t="n">
        <x:v>60</x:v>
      </x:c>
      <x:c r="S724" s="15" t="n">
        <x:v>280</x:v>
      </x:c>
      <x:c r="T724" s="15" t="n">
        <x:v>420</x:v>
      </x:c>
      <x:c r="U724" s="15" t="n">
        <x:v>0</x:v>
      </x:c>
      <x:c r="V724" s="15" t="n">
        <x:v>180</x:v>
      </x:c>
      <x:c r="W724" s="15" t="n">
        <x:v>380</x:v>
      </x:c>
      <x:c r="X724" s="15" t="n">
        <x:v>0</x:v>
      </x:c>
      <x:c r="Y724" s="15" t="n">
        <x:v>0</x:v>
      </x:c>
      <x:c r="Z724" s="15" t="n">
        <x:v>0</x:v>
      </x:c>
      <x:c r="AA724" s="15" t="n">
        <x:v>0</x:v>
      </x:c>
      <x:c r="AB724" s="15" t="n">
        <x:f>SUM(G724:AA724)</x:f>
        <x:v>1904</x:v>
      </x:c>
    </x:row>
    <x:row r="725" ht="36" customHeight="1">
      <x:c r="A725" s="10" t="str">
        <x:v>V-R3</x:v>
      </x:c>
      <x:c r="B725" s="10" t="str">
        <x:v>VOICE</x:v>
      </x:c>
      <x:c r="C725" s="10" t="str">
        <x:v>VOICE:S5-10</x:v>
      </x:c>
      <x:c r="D725" s="10" t="str">
        <x:v>VOICE:M7428</x:v>
      </x:c>
      <x:c r="E725" s="15" t="n">
        <x:v>-57.77</x:v>
      </x:c>
      <x:c r="F725" s="15" t="str">
        <x:v>preparation</x:v>
      </x:c>
      <x:c r="G725" s="15" t="n">
        <x:v>0</x:v>
      </x:c>
      <x:c r="H725" s="15" t="n">
        <x:v>0</x:v>
      </x:c>
      <x:c r="I725" s="15" t="n">
        <x:v>0</x:v>
      </x:c>
      <x:c r="J725" s="15" t="n">
        <x:v>0</x:v>
      </x:c>
      <x:c r="K725" s="15" t="n">
        <x:v>0</x:v>
      </x:c>
      <x:c r="L725" s="15" t="n">
        <x:v>0</x:v>
      </x:c>
      <x:c r="M725" s="15" t="n">
        <x:v>180</x:v>
      </x:c>
      <x:c r="N725" s="15" t="n">
        <x:v>220</x:v>
      </x:c>
      <x:c r="O725" s="15" t="n">
        <x:v>96</x:v>
      </x:c>
      <x:c r="P725" s="15" t="n">
        <x:v>64</x:v>
      </x:c>
      <x:c r="Q725" s="15" t="n">
        <x:v>32</x:v>
      </x:c>
      <x:c r="R725" s="15" t="n">
        <x:v>60</x:v>
      </x:c>
      <x:c r="S725" s="15" t="n">
        <x:v>280</x:v>
      </x:c>
      <x:c r="T725" s="15" t="n">
        <x:v>420</x:v>
      </x:c>
      <x:c r="U725" s="15" t="n">
        <x:v>0</x:v>
      </x:c>
      <x:c r="V725" s="15" t="n">
        <x:v>180</x:v>
      </x:c>
      <x:c r="W725" s="15" t="n">
        <x:v>380</x:v>
      </x:c>
      <x:c r="X725" s="15" t="n">
        <x:v>0</x:v>
      </x:c>
      <x:c r="Y725" s="15" t="n">
        <x:v>0</x:v>
      </x:c>
      <x:c r="Z725" s="15" t="n">
        <x:v>0</x:v>
      </x:c>
      <x:c r="AA725" s="15" t="n">
        <x:v>0</x:v>
      </x:c>
      <x:c r="AB725" s="15" t="n">
        <x:f>SUM(G725:AA725)</x:f>
        <x:v>1912</x:v>
      </x:c>
    </x:row>
    <x:row r="726" ht="36" customHeight="1">
      <x:c r="A726" s="10" t="str">
        <x:v>V-A</x:v>
      </x:c>
      <x:c r="B726" s="10" t="str">
        <x:v>VOICE</x:v>
      </x:c>
      <x:c r="C726" s="10" t="str">
        <x:v>VOICE:S5-11</x:v>
      </x:c>
      <x:c r="D726" s="10" t="str">
        <x:v>VOICE:M7450</x:v>
      </x:c>
      <x:c r="E726" s="15" t="n">
        <x:v>-60</x:v>
      </x:c>
      <x:c r="F726" s="15" t="str">
        <x:v>preparation</x:v>
      </x:c>
      <x:c r="G726" s="15" t="n">
        <x:v>0</x:v>
      </x:c>
      <x:c r="H726" s="15" t="n">
        <x:v>0</x:v>
      </x:c>
      <x:c r="I726" s="15" t="n">
        <x:v>0</x:v>
      </x:c>
      <x:c r="J726" s="15" t="n">
        <x:v>0</x:v>
      </x:c>
      <x:c r="K726" s="15" t="n">
        <x:v>0</x:v>
      </x:c>
      <x:c r="L726" s="15" t="n">
        <x:v>0</x:v>
      </x:c>
      <x:c r="M726" s="15" t="n">
        <x:v>180</x:v>
      </x:c>
      <x:c r="N726" s="15" t="n">
        <x:v>220</x:v>
      </x:c>
      <x:c r="O726" s="15" t="n">
        <x:v>96</x:v>
      </x:c>
      <x:c r="P726" s="15" t="n">
        <x:v>64</x:v>
      </x:c>
      <x:c r="Q726" s="15" t="n">
        <x:v>32</x:v>
      </x:c>
      <x:c r="R726" s="15" t="n">
        <x:v>0</x:v>
      </x:c>
      <x:c r="S726" s="15" t="n">
        <x:v>0</x:v>
      </x:c>
      <x:c r="T726" s="15" t="n">
        <x:v>0</x:v>
      </x:c>
      <x:c r="U726" s="15" t="n">
        <x:v>0</x:v>
      </x:c>
      <x:c r="V726" s="15" t="n">
        <x:v>0</x:v>
      </x:c>
      <x:c r="W726" s="15" t="n">
        <x:v>0</x:v>
      </x:c>
      <x:c r="X726" s="15" t="n">
        <x:v>0</x:v>
      </x:c>
      <x:c r="Y726" s="15" t="n">
        <x:v>0</x:v>
      </x:c>
      <x:c r="Z726" s="15" t="n">
        <x:v>0</x:v>
      </x:c>
      <x:c r="AA726" s="15" t="n">
        <x:v>0</x:v>
      </x:c>
      <x:c r="AB726" s="15" t="n">
        <x:f>SUM(G726:AA726)</x:f>
        <x:v>592</x:v>
      </x:c>
    </x:row>
    <x:row r="727" ht="36" customHeight="1">
      <x:c r="A727" s="10" t="str">
        <x:v>V-R1</x:v>
      </x:c>
      <x:c r="B727" s="10" t="str">
        <x:v>VOICE</x:v>
      </x:c>
      <x:c r="C727" s="10" t="str">
        <x:v>VOICE:S5-11</x:v>
      </x:c>
      <x:c r="D727" s="10" t="str">
        <x:v>VOICE:M7476</x:v>
      </x:c>
      <x:c r="E727" s="15" t="n">
        <x:v>-57.77</x:v>
      </x:c>
      <x:c r="F727" s="15" t="str">
        <x:v>preparation</x:v>
      </x:c>
      <x:c r="G727" s="15" t="n">
        <x:v>0</x:v>
      </x:c>
      <x:c r="H727" s="15" t="n">
        <x:v>0</x:v>
      </x:c>
      <x:c r="I727" s="15" t="n">
        <x:v>0</x:v>
      </x:c>
      <x:c r="J727" s="15" t="n">
        <x:v>0</x:v>
      </x:c>
      <x:c r="K727" s="15" t="n">
        <x:v>0</x:v>
      </x:c>
      <x:c r="L727" s="15" t="n">
        <x:v>0</x:v>
      </x:c>
      <x:c r="M727" s="15" t="n">
        <x:v>180</x:v>
      </x:c>
      <x:c r="N727" s="15" t="n">
        <x:v>220</x:v>
      </x:c>
      <x:c r="O727" s="15" t="n">
        <x:v>96</x:v>
      </x:c>
      <x:c r="P727" s="15" t="n">
        <x:v>64</x:v>
      </x:c>
      <x:c r="Q727" s="15" t="n">
        <x:v>24</x:v>
      </x:c>
      <x:c r="R727" s="15" t="n">
        <x:v>60</x:v>
      </x:c>
      <x:c r="S727" s="15" t="n">
        <x:v>280</x:v>
      </x:c>
      <x:c r="T727" s="15" t="n">
        <x:v>420</x:v>
      </x:c>
      <x:c r="U727" s="15" t="n">
        <x:v>0</x:v>
      </x:c>
      <x:c r="V727" s="15" t="n">
        <x:v>180</x:v>
      </x:c>
      <x:c r="W727" s="15" t="n">
        <x:v>380</x:v>
      </x:c>
      <x:c r="X727" s="15" t="n">
        <x:v>0</x:v>
      </x:c>
      <x:c r="Y727" s="15" t="n">
        <x:v>0</x:v>
      </x:c>
      <x:c r="Z727" s="15" t="n">
        <x:v>0</x:v>
      </x:c>
      <x:c r="AA727" s="15" t="n">
        <x:v>0</x:v>
      </x:c>
      <x:c r="AB727" s="15" t="n">
        <x:f>SUM(G727:AA727)</x:f>
        <x:v>1904</x:v>
      </x:c>
    </x:row>
    <x:row r="728" ht="36" customHeight="1">
      <x:c r="A728" s="10" t="str">
        <x:v>V-R2</x:v>
      </x:c>
      <x:c r="B728" s="10" t="str">
        <x:v>VOICE</x:v>
      </x:c>
      <x:c r="C728" s="10" t="str">
        <x:v>VOICE:S5-11</x:v>
      </x:c>
      <x:c r="D728" s="10" t="str">
        <x:v>VOICE:M7502</x:v>
      </x:c>
      <x:c r="E728" s="15" t="n">
        <x:v>-57.77</x:v>
      </x:c>
      <x:c r="F728" s="15" t="str">
        <x:v>preparation</x:v>
      </x:c>
      <x:c r="G728" s="15" t="n">
        <x:v>0</x:v>
      </x:c>
      <x:c r="H728" s="15" t="n">
        <x:v>0</x:v>
      </x:c>
      <x:c r="I728" s="15" t="n">
        <x:v>0</x:v>
      </x:c>
      <x:c r="J728" s="15" t="n">
        <x:v>0</x:v>
      </x:c>
      <x:c r="K728" s="15" t="n">
        <x:v>0</x:v>
      </x:c>
      <x:c r="L728" s="15" t="n">
        <x:v>0</x:v>
      </x:c>
      <x:c r="M728" s="15" t="n">
        <x:v>180</x:v>
      </x:c>
      <x:c r="N728" s="15" t="n">
        <x:v>220</x:v>
      </x:c>
      <x:c r="O728" s="15" t="n">
        <x:v>96</x:v>
      </x:c>
      <x:c r="P728" s="15" t="n">
        <x:v>64</x:v>
      </x:c>
      <x:c r="Q728" s="15" t="n">
        <x:v>24</x:v>
      </x:c>
      <x:c r="R728" s="15" t="n">
        <x:v>60</x:v>
      </x:c>
      <x:c r="S728" s="15" t="n">
        <x:v>280</x:v>
      </x:c>
      <x:c r="T728" s="15" t="n">
        <x:v>420</x:v>
      </x:c>
      <x:c r="U728" s="15" t="n">
        <x:v>0</x:v>
      </x:c>
      <x:c r="V728" s="15" t="n">
        <x:v>180</x:v>
      </x:c>
      <x:c r="W728" s="15" t="n">
        <x:v>380</x:v>
      </x:c>
      <x:c r="X728" s="15" t="n">
        <x:v>0</x:v>
      </x:c>
      <x:c r="Y728" s="15" t="n">
        <x:v>0</x:v>
      </x:c>
      <x:c r="Z728" s="15" t="n">
        <x:v>0</x:v>
      </x:c>
      <x:c r="AA728" s="15" t="n">
        <x:v>0</x:v>
      </x:c>
      <x:c r="AB728" s="15" t="n">
        <x:f>SUM(G728:AA728)</x:f>
        <x:v>1904</x:v>
      </x:c>
    </x:row>
    <x:row r="729" ht="36" customHeight="1">
      <x:c r="A729" s="10" t="str">
        <x:v>V-R3</x:v>
      </x:c>
      <x:c r="B729" s="10" t="str">
        <x:v>VOICE</x:v>
      </x:c>
      <x:c r="C729" s="10" t="str">
        <x:v>VOICE:S5-11</x:v>
      </x:c>
      <x:c r="D729" s="10" t="str">
        <x:v>VOICE:M7527</x:v>
      </x:c>
      <x:c r="E729" s="15" t="n">
        <x:v>-57.77</x:v>
      </x:c>
      <x:c r="F729" s="15" t="str">
        <x:v>preparation</x:v>
      </x:c>
      <x:c r="G729" s="15" t="n">
        <x:v>0</x:v>
      </x:c>
      <x:c r="H729" s="15" t="n">
        <x:v>0</x:v>
      </x:c>
      <x:c r="I729" s="15" t="n">
        <x:v>0</x:v>
      </x:c>
      <x:c r="J729" s="15" t="n">
        <x:v>0</x:v>
      </x:c>
      <x:c r="K729" s="15" t="n">
        <x:v>0</x:v>
      </x:c>
      <x:c r="L729" s="15" t="n">
        <x:v>0</x:v>
      </x:c>
      <x:c r="M729" s="15" t="n">
        <x:v>180</x:v>
      </x:c>
      <x:c r="N729" s="15" t="n">
        <x:v>220</x:v>
      </x:c>
      <x:c r="O729" s="15" t="n">
        <x:v>96</x:v>
      </x:c>
      <x:c r="P729" s="15" t="n">
        <x:v>64</x:v>
      </x:c>
      <x:c r="Q729" s="15" t="n">
        <x:v>32</x:v>
      </x:c>
      <x:c r="R729" s="15" t="n">
        <x:v>60</x:v>
      </x:c>
      <x:c r="S729" s="15" t="n">
        <x:v>280</x:v>
      </x:c>
      <x:c r="T729" s="15" t="n">
        <x:v>420</x:v>
      </x:c>
      <x:c r="U729" s="15" t="n">
        <x:v>0</x:v>
      </x:c>
      <x:c r="V729" s="15" t="n">
        <x:v>180</x:v>
      </x:c>
      <x:c r="W729" s="15" t="n">
        <x:v>380</x:v>
      </x:c>
      <x:c r="X729" s="15" t="n">
        <x:v>0</x:v>
      </x:c>
      <x:c r="Y729" s="15" t="n">
        <x:v>0</x:v>
      </x:c>
      <x:c r="Z729" s="15" t="n">
        <x:v>0</x:v>
      </x:c>
      <x:c r="AA729" s="15" t="n">
        <x:v>0</x:v>
      </x:c>
      <x:c r="AB729" s="15" t="n">
        <x:f>SUM(G729:AA729)</x:f>
        <x:v>1912</x:v>
      </x:c>
    </x:row>
    <x:row r="730" ht="36" customHeight="1">
      <x:c r="A730" s="10" t="str">
        <x:v>V-A</x:v>
      </x:c>
      <x:c r="B730" s="10" t="str">
        <x:v>VOICE</x:v>
      </x:c>
      <x:c r="C730" s="10" t="str">
        <x:v>VOICE:S5-12</x:v>
      </x:c>
      <x:c r="D730" s="10" t="str">
        <x:v>VOICE:M7549</x:v>
      </x:c>
      <x:c r="E730" s="15" t="n">
        <x:v>-60</x:v>
      </x:c>
      <x:c r="F730" s="15" t="str">
        <x:v>preparation</x:v>
      </x:c>
      <x:c r="G730" s="15" t="n">
        <x:v>0</x:v>
      </x:c>
      <x:c r="H730" s="15" t="n">
        <x:v>0</x:v>
      </x:c>
      <x:c r="I730" s="15" t="n">
        <x:v>0</x:v>
      </x:c>
      <x:c r="J730" s="15" t="n">
        <x:v>0</x:v>
      </x:c>
      <x:c r="K730" s="15" t="n">
        <x:v>0</x:v>
      </x:c>
      <x:c r="L730" s="15" t="n">
        <x:v>0</x:v>
      </x:c>
      <x:c r="M730" s="15" t="n">
        <x:v>180</x:v>
      </x:c>
      <x:c r="N730" s="15" t="n">
        <x:v>220</x:v>
      </x:c>
      <x:c r="O730" s="15" t="n">
        <x:v>96</x:v>
      </x:c>
      <x:c r="P730" s="15" t="n">
        <x:v>64</x:v>
      </x:c>
      <x:c r="Q730" s="15" t="n">
        <x:v>32</x:v>
      </x:c>
      <x:c r="R730" s="15" t="n">
        <x:v>0</x:v>
      </x:c>
      <x:c r="S730" s="15" t="n">
        <x:v>0</x:v>
      </x:c>
      <x:c r="T730" s="15" t="n">
        <x:v>0</x:v>
      </x:c>
      <x:c r="U730" s="15" t="n">
        <x:v>0</x:v>
      </x:c>
      <x:c r="V730" s="15" t="n">
        <x:v>0</x:v>
      </x:c>
      <x:c r="W730" s="15" t="n">
        <x:v>0</x:v>
      </x:c>
      <x:c r="X730" s="15" t="n">
        <x:v>0</x:v>
      </x:c>
      <x:c r="Y730" s="15" t="n">
        <x:v>0</x:v>
      </x:c>
      <x:c r="Z730" s="15" t="n">
        <x:v>0</x:v>
      </x:c>
      <x:c r="AA730" s="15" t="n">
        <x:v>0</x:v>
      </x:c>
      <x:c r="AB730" s="15" t="n">
        <x:f>SUM(G730:AA730)</x:f>
        <x:v>592</x:v>
      </x:c>
    </x:row>
    <x:row r="731" ht="36" customHeight="1">
      <x:c r="A731" s="10" t="str">
        <x:v>V-R1</x:v>
      </x:c>
      <x:c r="B731" s="10" t="str">
        <x:v>VOICE</x:v>
      </x:c>
      <x:c r="C731" s="10" t="str">
        <x:v>VOICE:S5-12</x:v>
      </x:c>
      <x:c r="D731" s="10" t="str">
        <x:v>VOICE:M7575</x:v>
      </x:c>
      <x:c r="E731" s="15" t="n">
        <x:v>-57.77</x:v>
      </x:c>
      <x:c r="F731" s="15" t="str">
        <x:v>preparation</x:v>
      </x:c>
      <x:c r="G731" s="15" t="n">
        <x:v>0</x:v>
      </x:c>
      <x:c r="H731" s="15" t="n">
        <x:v>0</x:v>
      </x:c>
      <x:c r="I731" s="15" t="n">
        <x:v>0</x:v>
      </x:c>
      <x:c r="J731" s="15" t="n">
        <x:v>0</x:v>
      </x:c>
      <x:c r="K731" s="15" t="n">
        <x:v>0</x:v>
      </x:c>
      <x:c r="L731" s="15" t="n">
        <x:v>0</x:v>
      </x:c>
      <x:c r="M731" s="15" t="n">
        <x:v>180</x:v>
      </x:c>
      <x:c r="N731" s="15" t="n">
        <x:v>220</x:v>
      </x:c>
      <x:c r="O731" s="15" t="n">
        <x:v>96</x:v>
      </x:c>
      <x:c r="P731" s="15" t="n">
        <x:v>64</x:v>
      </x:c>
      <x:c r="Q731" s="15" t="n">
        <x:v>24</x:v>
      </x:c>
      <x:c r="R731" s="15" t="n">
        <x:v>60</x:v>
      </x:c>
      <x:c r="S731" s="15" t="n">
        <x:v>280</x:v>
      </x:c>
      <x:c r="T731" s="15" t="n">
        <x:v>420</x:v>
      </x:c>
      <x:c r="U731" s="15" t="n">
        <x:v>0</x:v>
      </x:c>
      <x:c r="V731" s="15" t="n">
        <x:v>180</x:v>
      </x:c>
      <x:c r="W731" s="15" t="n">
        <x:v>380</x:v>
      </x:c>
      <x:c r="X731" s="15" t="n">
        <x:v>0</x:v>
      </x:c>
      <x:c r="Y731" s="15" t="n">
        <x:v>0</x:v>
      </x:c>
      <x:c r="Z731" s="15" t="n">
        <x:v>0</x:v>
      </x:c>
      <x:c r="AA731" s="15" t="n">
        <x:v>0</x:v>
      </x:c>
      <x:c r="AB731" s="15" t="n">
        <x:f>SUM(G731:AA731)</x:f>
        <x:v>1904</x:v>
      </x:c>
    </x:row>
    <x:row r="732" ht="36" customHeight="1">
      <x:c r="A732" s="10" t="str">
        <x:v>V-R2</x:v>
      </x:c>
      <x:c r="B732" s="10" t="str">
        <x:v>VOICE</x:v>
      </x:c>
      <x:c r="C732" s="10" t="str">
        <x:v>VOICE:S5-12</x:v>
      </x:c>
      <x:c r="D732" s="10" t="str">
        <x:v>VOICE:M7601</x:v>
      </x:c>
      <x:c r="E732" s="15" t="n">
        <x:v>-57.77</x:v>
      </x:c>
      <x:c r="F732" s="15" t="str">
        <x:v>preparation</x:v>
      </x:c>
      <x:c r="G732" s="15" t="n">
        <x:v>0</x:v>
      </x:c>
      <x:c r="H732" s="15" t="n">
        <x:v>0</x:v>
      </x:c>
      <x:c r="I732" s="15" t="n">
        <x:v>0</x:v>
      </x:c>
      <x:c r="J732" s="15" t="n">
        <x:v>0</x:v>
      </x:c>
      <x:c r="K732" s="15" t="n">
        <x:v>0</x:v>
      </x:c>
      <x:c r="L732" s="15" t="n">
        <x:v>0</x:v>
      </x:c>
      <x:c r="M732" s="15" t="n">
        <x:v>180</x:v>
      </x:c>
      <x:c r="N732" s="15" t="n">
        <x:v>220</x:v>
      </x:c>
      <x:c r="O732" s="15" t="n">
        <x:v>96</x:v>
      </x:c>
      <x:c r="P732" s="15" t="n">
        <x:v>64</x:v>
      </x:c>
      <x:c r="Q732" s="15" t="n">
        <x:v>24</x:v>
      </x:c>
      <x:c r="R732" s="15" t="n">
        <x:v>60</x:v>
      </x:c>
      <x:c r="S732" s="15" t="n">
        <x:v>280</x:v>
      </x:c>
      <x:c r="T732" s="15" t="n">
        <x:v>420</x:v>
      </x:c>
      <x:c r="U732" s="15" t="n">
        <x:v>0</x:v>
      </x:c>
      <x:c r="V732" s="15" t="n">
        <x:v>180</x:v>
      </x:c>
      <x:c r="W732" s="15" t="n">
        <x:v>380</x:v>
      </x:c>
      <x:c r="X732" s="15" t="n">
        <x:v>0</x:v>
      </x:c>
      <x:c r="Y732" s="15" t="n">
        <x:v>0</x:v>
      </x:c>
      <x:c r="Z732" s="15" t="n">
        <x:v>0</x:v>
      </x:c>
      <x:c r="AA732" s="15" t="n">
        <x:v>0</x:v>
      </x:c>
      <x:c r="AB732" s="15" t="n">
        <x:f>SUM(G732:AA732)</x:f>
        <x:v>1904</x:v>
      </x:c>
    </x:row>
    <x:row r="733" ht="36" customHeight="1">
      <x:c r="A733" s="10" t="str">
        <x:v>V-R3</x:v>
      </x:c>
      <x:c r="B733" s="10" t="str">
        <x:v>VOICE</x:v>
      </x:c>
      <x:c r="C733" s="10" t="str">
        <x:v>VOICE:S5-12</x:v>
      </x:c>
      <x:c r="D733" s="10" t="str">
        <x:v>VOICE:M7626</x:v>
      </x:c>
      <x:c r="E733" s="15" t="n">
        <x:v>-57.77</x:v>
      </x:c>
      <x:c r="F733" s="15" t="str">
        <x:v>preparation</x:v>
      </x:c>
      <x:c r="G733" s="15" t="n">
        <x:v>0</x:v>
      </x:c>
      <x:c r="H733" s="15" t="n">
        <x:v>0</x:v>
      </x:c>
      <x:c r="I733" s="15" t="n">
        <x:v>0</x:v>
      </x:c>
      <x:c r="J733" s="15" t="n">
        <x:v>0</x:v>
      </x:c>
      <x:c r="K733" s="15" t="n">
        <x:v>0</x:v>
      </x:c>
      <x:c r="L733" s="15" t="n">
        <x:v>0</x:v>
      </x:c>
      <x:c r="M733" s="15" t="n">
        <x:v>180</x:v>
      </x:c>
      <x:c r="N733" s="15" t="n">
        <x:v>220</x:v>
      </x:c>
      <x:c r="O733" s="15" t="n">
        <x:v>96</x:v>
      </x:c>
      <x:c r="P733" s="15" t="n">
        <x:v>64</x:v>
      </x:c>
      <x:c r="Q733" s="15" t="n">
        <x:v>32</x:v>
      </x:c>
      <x:c r="R733" s="15" t="n">
        <x:v>60</x:v>
      </x:c>
      <x:c r="S733" s="15" t="n">
        <x:v>280</x:v>
      </x:c>
      <x:c r="T733" s="15" t="n">
        <x:v>420</x:v>
      </x:c>
      <x:c r="U733" s="15" t="n">
        <x:v>0</x:v>
      </x:c>
      <x:c r="V733" s="15" t="n">
        <x:v>180</x:v>
      </x:c>
      <x:c r="W733" s="15" t="n">
        <x:v>380</x:v>
      </x:c>
      <x:c r="X733" s="15" t="n">
        <x:v>0</x:v>
      </x:c>
      <x:c r="Y733" s="15" t="n">
        <x:v>0</x:v>
      </x:c>
      <x:c r="Z733" s="15" t="n">
        <x:v>0</x:v>
      </x:c>
      <x:c r="AA733" s="15" t="n">
        <x:v>0</x:v>
      </x:c>
      <x:c r="AB733" s="15" t="n">
        <x:f>SUM(G733:AA733)</x:f>
        <x:v>1912</x:v>
      </x:c>
    </x:row>
    <x:row r="734" ht="36" customHeight="1">
      <x:c r="A734" s="10" t="str">
        <x:v>V-A</x:v>
      </x:c>
      <x:c r="B734" s="10" t="str">
        <x:v>VOICE</x:v>
      </x:c>
      <x:c r="C734" s="10" t="str">
        <x:v>VOICE:S5-13</x:v>
      </x:c>
      <x:c r="D734" s="10" t="str">
        <x:v>VOICE:M7648</x:v>
      </x:c>
      <x:c r="E734" s="15" t="n">
        <x:v>-60</x:v>
      </x:c>
      <x:c r="F734" s="15" t="str">
        <x:v>preparation</x:v>
      </x:c>
      <x:c r="G734" s="15" t="n">
        <x:v>0</x:v>
      </x:c>
      <x:c r="H734" s="15" t="n">
        <x:v>0</x:v>
      </x:c>
      <x:c r="I734" s="15" t="n">
        <x:v>0</x:v>
      </x:c>
      <x:c r="J734" s="15" t="n">
        <x:v>0</x:v>
      </x:c>
      <x:c r="K734" s="15" t="n">
        <x:v>0</x:v>
      </x:c>
      <x:c r="L734" s="15" t="n">
        <x:v>0</x:v>
      </x:c>
      <x:c r="M734" s="15" t="n">
        <x:v>180</x:v>
      </x:c>
      <x:c r="N734" s="15" t="n">
        <x:v>220</x:v>
      </x:c>
      <x:c r="O734" s="15" t="n">
        <x:v>96</x:v>
      </x:c>
      <x:c r="P734" s="15" t="n">
        <x:v>64</x:v>
      </x:c>
      <x:c r="Q734" s="15" t="n">
        <x:v>32</x:v>
      </x:c>
      <x:c r="R734" s="15" t="n">
        <x:v>0</x:v>
      </x:c>
      <x:c r="S734" s="15" t="n">
        <x:v>0</x:v>
      </x:c>
      <x:c r="T734" s="15" t="n">
        <x:v>0</x:v>
      </x:c>
      <x:c r="U734" s="15" t="n">
        <x:v>0</x:v>
      </x:c>
      <x:c r="V734" s="15" t="n">
        <x:v>0</x:v>
      </x:c>
      <x:c r="W734" s="15" t="n">
        <x:v>0</x:v>
      </x:c>
      <x:c r="X734" s="15" t="n">
        <x:v>0</x:v>
      </x:c>
      <x:c r="Y734" s="15" t="n">
        <x:v>0</x:v>
      </x:c>
      <x:c r="Z734" s="15" t="n">
        <x:v>0</x:v>
      </x:c>
      <x:c r="AA734" s="15" t="n">
        <x:v>0</x:v>
      </x:c>
      <x:c r="AB734" s="15" t="n">
        <x:f>SUM(G734:AA734)</x:f>
        <x:v>592</x:v>
      </x:c>
    </x:row>
    <x:row r="735" ht="36" customHeight="1">
      <x:c r="A735" s="10" t="str">
        <x:v>V-R1</x:v>
      </x:c>
      <x:c r="B735" s="10" t="str">
        <x:v>VOICE</x:v>
      </x:c>
      <x:c r="C735" s="10" t="str">
        <x:v>VOICE:S5-13</x:v>
      </x:c>
      <x:c r="D735" s="10" t="str">
        <x:v>VOICE:M7674</x:v>
      </x:c>
      <x:c r="E735" s="15" t="n">
        <x:v>-57.77</x:v>
      </x:c>
      <x:c r="F735" s="15" t="str">
        <x:v>preparation</x:v>
      </x:c>
      <x:c r="G735" s="15" t="n">
        <x:v>0</x:v>
      </x:c>
      <x:c r="H735" s="15" t="n">
        <x:v>0</x:v>
      </x:c>
      <x:c r="I735" s="15" t="n">
        <x:v>0</x:v>
      </x:c>
      <x:c r="J735" s="15" t="n">
        <x:v>0</x:v>
      </x:c>
      <x:c r="K735" s="15" t="n">
        <x:v>0</x:v>
      </x:c>
      <x:c r="L735" s="15" t="n">
        <x:v>0</x:v>
      </x:c>
      <x:c r="M735" s="15" t="n">
        <x:v>180</x:v>
      </x:c>
      <x:c r="N735" s="15" t="n">
        <x:v>220</x:v>
      </x:c>
      <x:c r="O735" s="15" t="n">
        <x:v>96</x:v>
      </x:c>
      <x:c r="P735" s="15" t="n">
        <x:v>64</x:v>
      </x:c>
      <x:c r="Q735" s="15" t="n">
        <x:v>24</x:v>
      </x:c>
      <x:c r="R735" s="15" t="n">
        <x:v>60</x:v>
      </x:c>
      <x:c r="S735" s="15" t="n">
        <x:v>280</x:v>
      </x:c>
      <x:c r="T735" s="15" t="n">
        <x:v>420</x:v>
      </x:c>
      <x:c r="U735" s="15" t="n">
        <x:v>0</x:v>
      </x:c>
      <x:c r="V735" s="15" t="n">
        <x:v>180</x:v>
      </x:c>
      <x:c r="W735" s="15" t="n">
        <x:v>380</x:v>
      </x:c>
      <x:c r="X735" s="15" t="n">
        <x:v>0</x:v>
      </x:c>
      <x:c r="Y735" s="15" t="n">
        <x:v>0</x:v>
      </x:c>
      <x:c r="Z735" s="15" t="n">
        <x:v>0</x:v>
      </x:c>
      <x:c r="AA735" s="15" t="n">
        <x:v>0</x:v>
      </x:c>
      <x:c r="AB735" s="15" t="n">
        <x:f>SUM(G735:AA735)</x:f>
        <x:v>1904</x:v>
      </x:c>
    </x:row>
    <x:row r="736" ht="36" customHeight="1">
      <x:c r="A736" s="10" t="str">
        <x:v>V-R2</x:v>
      </x:c>
      <x:c r="B736" s="10" t="str">
        <x:v>VOICE</x:v>
      </x:c>
      <x:c r="C736" s="10" t="str">
        <x:v>VOICE:S5-13</x:v>
      </x:c>
      <x:c r="D736" s="10" t="str">
        <x:v>VOICE:M7700</x:v>
      </x:c>
      <x:c r="E736" s="15" t="n">
        <x:v>-57.77</x:v>
      </x:c>
      <x:c r="F736" s="15" t="str">
        <x:v>preparation</x:v>
      </x:c>
      <x:c r="G736" s="15" t="n">
        <x:v>0</x:v>
      </x:c>
      <x:c r="H736" s="15" t="n">
        <x:v>0</x:v>
      </x:c>
      <x:c r="I736" s="15" t="n">
        <x:v>0</x:v>
      </x:c>
      <x:c r="J736" s="15" t="n">
        <x:v>0</x:v>
      </x:c>
      <x:c r="K736" s="15" t="n">
        <x:v>0</x:v>
      </x:c>
      <x:c r="L736" s="15" t="n">
        <x:v>0</x:v>
      </x:c>
      <x:c r="M736" s="15" t="n">
        <x:v>180</x:v>
      </x:c>
      <x:c r="N736" s="15" t="n">
        <x:v>220</x:v>
      </x:c>
      <x:c r="O736" s="15" t="n">
        <x:v>96</x:v>
      </x:c>
      <x:c r="P736" s="15" t="n">
        <x:v>64</x:v>
      </x:c>
      <x:c r="Q736" s="15" t="n">
        <x:v>24</x:v>
      </x:c>
      <x:c r="R736" s="15" t="n">
        <x:v>60</x:v>
      </x:c>
      <x:c r="S736" s="15" t="n">
        <x:v>280</x:v>
      </x:c>
      <x:c r="T736" s="15" t="n">
        <x:v>420</x:v>
      </x:c>
      <x:c r="U736" s="15" t="n">
        <x:v>0</x:v>
      </x:c>
      <x:c r="V736" s="15" t="n">
        <x:v>180</x:v>
      </x:c>
      <x:c r="W736" s="15" t="n">
        <x:v>380</x:v>
      </x:c>
      <x:c r="X736" s="15" t="n">
        <x:v>0</x:v>
      </x:c>
      <x:c r="Y736" s="15" t="n">
        <x:v>0</x:v>
      </x:c>
      <x:c r="Z736" s="15" t="n">
        <x:v>0</x:v>
      </x:c>
      <x:c r="AA736" s="15" t="n">
        <x:v>0</x:v>
      </x:c>
      <x:c r="AB736" s="15" t="n">
        <x:f>SUM(G736:AA736)</x:f>
        <x:v>1904</x:v>
      </x:c>
    </x:row>
    <x:row r="737" ht="36" customHeight="1">
      <x:c r="A737" s="10" t="str">
        <x:v>V-R3</x:v>
      </x:c>
      <x:c r="B737" s="10" t="str">
        <x:v>VOICE</x:v>
      </x:c>
      <x:c r="C737" s="10" t="str">
        <x:v>VOICE:S5-13</x:v>
      </x:c>
      <x:c r="D737" s="10" t="str">
        <x:v>VOICE:M7725</x:v>
      </x:c>
      <x:c r="E737" s="15" t="n">
        <x:v>-57.77</x:v>
      </x:c>
      <x:c r="F737" s="15" t="str">
        <x:v>preparation</x:v>
      </x:c>
      <x:c r="G737" s="15" t="n">
        <x:v>0</x:v>
      </x:c>
      <x:c r="H737" s="15" t="n">
        <x:v>0</x:v>
      </x:c>
      <x:c r="I737" s="15" t="n">
        <x:v>0</x:v>
      </x:c>
      <x:c r="J737" s="15" t="n">
        <x:v>0</x:v>
      </x:c>
      <x:c r="K737" s="15" t="n">
        <x:v>0</x:v>
      </x:c>
      <x:c r="L737" s="15" t="n">
        <x:v>0</x:v>
      </x:c>
      <x:c r="M737" s="15" t="n">
        <x:v>180</x:v>
      </x:c>
      <x:c r="N737" s="15" t="n">
        <x:v>220</x:v>
      </x:c>
      <x:c r="O737" s="15" t="n">
        <x:v>96</x:v>
      </x:c>
      <x:c r="P737" s="15" t="n">
        <x:v>64</x:v>
      </x:c>
      <x:c r="Q737" s="15" t="n">
        <x:v>32</x:v>
      </x:c>
      <x:c r="R737" s="15" t="n">
        <x:v>60</x:v>
      </x:c>
      <x:c r="S737" s="15" t="n">
        <x:v>280</x:v>
      </x:c>
      <x:c r="T737" s="15" t="n">
        <x:v>420</x:v>
      </x:c>
      <x:c r="U737" s="15" t="n">
        <x:v>0</x:v>
      </x:c>
      <x:c r="V737" s="15" t="n">
        <x:v>180</x:v>
      </x:c>
      <x:c r="W737" s="15" t="n">
        <x:v>380</x:v>
      </x:c>
      <x:c r="X737" s="15" t="n">
        <x:v>0</x:v>
      </x:c>
      <x:c r="Y737" s="15" t="n">
        <x:v>0</x:v>
      </x:c>
      <x:c r="Z737" s="15" t="n">
        <x:v>0</x:v>
      </x:c>
      <x:c r="AA737" s="15" t="n">
        <x:v>0</x:v>
      </x:c>
      <x:c r="AB737" s="15" t="n">
        <x:f>SUM(G737:AA737)</x:f>
        <x:v>1912</x:v>
      </x:c>
    </x:row>
    <x:row r="738" ht="36" customHeight="1">
      <x:c r="A738" s="10" t="str">
        <x:v>V-A</x:v>
      </x:c>
      <x:c r="B738" s="10" t="str">
        <x:v>VOICE</x:v>
      </x:c>
      <x:c r="C738" s="10" t="str">
        <x:v>VOICE:S5-14</x:v>
      </x:c>
      <x:c r="D738" s="10" t="str">
        <x:v>VOICE:M7747</x:v>
      </x:c>
      <x:c r="E738" s="15" t="n">
        <x:v>-60</x:v>
      </x:c>
      <x:c r="F738" s="15" t="str">
        <x:v>preparation</x:v>
      </x:c>
      <x:c r="G738" s="15" t="n">
        <x:v>0</x:v>
      </x:c>
      <x:c r="H738" s="15" t="n">
        <x:v>0</x:v>
      </x:c>
      <x:c r="I738" s="15" t="n">
        <x:v>0</x:v>
      </x:c>
      <x:c r="J738" s="15" t="n">
        <x:v>0</x:v>
      </x:c>
      <x:c r="K738" s="15" t="n">
        <x:v>0</x:v>
      </x:c>
      <x:c r="L738" s="15" t="n">
        <x:v>0</x:v>
      </x:c>
      <x:c r="M738" s="15" t="n">
        <x:v>180</x:v>
      </x:c>
      <x:c r="N738" s="15" t="n">
        <x:v>220</x:v>
      </x:c>
      <x:c r="O738" s="15" t="n">
        <x:v>96</x:v>
      </x:c>
      <x:c r="P738" s="15" t="n">
        <x:v>64</x:v>
      </x:c>
      <x:c r="Q738" s="15" t="n">
        <x:v>32</x:v>
      </x:c>
      <x:c r="R738" s="15" t="n">
        <x:v>0</x:v>
      </x:c>
      <x:c r="S738" s="15" t="n">
        <x:v>0</x:v>
      </x:c>
      <x:c r="T738" s="15" t="n">
        <x:v>0</x:v>
      </x:c>
      <x:c r="U738" s="15" t="n">
        <x:v>0</x:v>
      </x:c>
      <x:c r="V738" s="15" t="n">
        <x:v>0</x:v>
      </x:c>
      <x:c r="W738" s="15" t="n">
        <x:v>0</x:v>
      </x:c>
      <x:c r="X738" s="15" t="n">
        <x:v>0</x:v>
      </x:c>
      <x:c r="Y738" s="15" t="n">
        <x:v>0</x:v>
      </x:c>
      <x:c r="Z738" s="15" t="n">
        <x:v>0</x:v>
      </x:c>
      <x:c r="AA738" s="15" t="n">
        <x:v>0</x:v>
      </x:c>
      <x:c r="AB738" s="15" t="n">
        <x:f>SUM(G738:AA738)</x:f>
        <x:v>592</x:v>
      </x:c>
    </x:row>
    <x:row r="739" ht="36" customHeight="1">
      <x:c r="A739" s="10" t="str">
        <x:v>V-R1</x:v>
      </x:c>
      <x:c r="B739" s="10" t="str">
        <x:v>VOICE</x:v>
      </x:c>
      <x:c r="C739" s="10" t="str">
        <x:v>VOICE:S5-14</x:v>
      </x:c>
      <x:c r="D739" s="10" t="str">
        <x:v>VOICE:M7773</x:v>
      </x:c>
      <x:c r="E739" s="15" t="n">
        <x:v>-57.77</x:v>
      </x:c>
      <x:c r="F739" s="15" t="str">
        <x:v>preparation</x:v>
      </x:c>
      <x:c r="G739" s="15" t="n">
        <x:v>0</x:v>
      </x:c>
      <x:c r="H739" s="15" t="n">
        <x:v>0</x:v>
      </x:c>
      <x:c r="I739" s="15" t="n">
        <x:v>0</x:v>
      </x:c>
      <x:c r="J739" s="15" t="n">
        <x:v>0</x:v>
      </x:c>
      <x:c r="K739" s="15" t="n">
        <x:v>0</x:v>
      </x:c>
      <x:c r="L739" s="15" t="n">
        <x:v>0</x:v>
      </x:c>
      <x:c r="M739" s="15" t="n">
        <x:v>180</x:v>
      </x:c>
      <x:c r="N739" s="15" t="n">
        <x:v>220</x:v>
      </x:c>
      <x:c r="O739" s="15" t="n">
        <x:v>96</x:v>
      </x:c>
      <x:c r="P739" s="15" t="n">
        <x:v>64</x:v>
      </x:c>
      <x:c r="Q739" s="15" t="n">
        <x:v>24</x:v>
      </x:c>
      <x:c r="R739" s="15" t="n">
        <x:v>60</x:v>
      </x:c>
      <x:c r="S739" s="15" t="n">
        <x:v>280</x:v>
      </x:c>
      <x:c r="T739" s="15" t="n">
        <x:v>420</x:v>
      </x:c>
      <x:c r="U739" s="15" t="n">
        <x:v>0</x:v>
      </x:c>
      <x:c r="V739" s="15" t="n">
        <x:v>180</x:v>
      </x:c>
      <x:c r="W739" s="15" t="n">
        <x:v>380</x:v>
      </x:c>
      <x:c r="X739" s="15" t="n">
        <x:v>0</x:v>
      </x:c>
      <x:c r="Y739" s="15" t="n">
        <x:v>0</x:v>
      </x:c>
      <x:c r="Z739" s="15" t="n">
        <x:v>0</x:v>
      </x:c>
      <x:c r="AA739" s="15" t="n">
        <x:v>0</x:v>
      </x:c>
      <x:c r="AB739" s="15" t="n">
        <x:f>SUM(G739:AA739)</x:f>
        <x:v>1904</x:v>
      </x:c>
    </x:row>
    <x:row r="740" ht="36" customHeight="1">
      <x:c r="A740" s="10" t="str">
        <x:v>V-R2</x:v>
      </x:c>
      <x:c r="B740" s="10" t="str">
        <x:v>VOICE</x:v>
      </x:c>
      <x:c r="C740" s="10" t="str">
        <x:v>VOICE:S5-14</x:v>
      </x:c>
      <x:c r="D740" s="10" t="str">
        <x:v>VOICE:M7799</x:v>
      </x:c>
      <x:c r="E740" s="15" t="n">
        <x:v>-57.77</x:v>
      </x:c>
      <x:c r="F740" s="15" t="str">
        <x:v>preparation</x:v>
      </x:c>
      <x:c r="G740" s="15" t="n">
        <x:v>0</x:v>
      </x:c>
      <x:c r="H740" s="15" t="n">
        <x:v>0</x:v>
      </x:c>
      <x:c r="I740" s="15" t="n">
        <x:v>0</x:v>
      </x:c>
      <x:c r="J740" s="15" t="n">
        <x:v>0</x:v>
      </x:c>
      <x:c r="K740" s="15" t="n">
        <x:v>0</x:v>
      </x:c>
      <x:c r="L740" s="15" t="n">
        <x:v>0</x:v>
      </x:c>
      <x:c r="M740" s="15" t="n">
        <x:v>180</x:v>
      </x:c>
      <x:c r="N740" s="15" t="n">
        <x:v>220</x:v>
      </x:c>
      <x:c r="O740" s="15" t="n">
        <x:v>96</x:v>
      </x:c>
      <x:c r="P740" s="15" t="n">
        <x:v>64</x:v>
      </x:c>
      <x:c r="Q740" s="15" t="n">
        <x:v>24</x:v>
      </x:c>
      <x:c r="R740" s="15" t="n">
        <x:v>60</x:v>
      </x:c>
      <x:c r="S740" s="15" t="n">
        <x:v>280</x:v>
      </x:c>
      <x:c r="T740" s="15" t="n">
        <x:v>420</x:v>
      </x:c>
      <x:c r="U740" s="15" t="n">
        <x:v>0</x:v>
      </x:c>
      <x:c r="V740" s="15" t="n">
        <x:v>180</x:v>
      </x:c>
      <x:c r="W740" s="15" t="n">
        <x:v>380</x:v>
      </x:c>
      <x:c r="X740" s="15" t="n">
        <x:v>0</x:v>
      </x:c>
      <x:c r="Y740" s="15" t="n">
        <x:v>0</x:v>
      </x:c>
      <x:c r="Z740" s="15" t="n">
        <x:v>0</x:v>
      </x:c>
      <x:c r="AA740" s="15" t="n">
        <x:v>0</x:v>
      </x:c>
      <x:c r="AB740" s="15" t="n">
        <x:f>SUM(G740:AA740)</x:f>
        <x:v>1904</x:v>
      </x:c>
    </x:row>
    <x:row r="741" ht="36" customHeight="1">
      <x:c r="A741" s="10" t="str">
        <x:v>V-R3</x:v>
      </x:c>
      <x:c r="B741" s="10" t="str">
        <x:v>VOICE</x:v>
      </x:c>
      <x:c r="C741" s="10" t="str">
        <x:v>VOICE:S5-14</x:v>
      </x:c>
      <x:c r="D741" s="10" t="str">
        <x:v>VOICE:M7824</x:v>
      </x:c>
      <x:c r="E741" s="15" t="n">
        <x:v>-57.77</x:v>
      </x:c>
      <x:c r="F741" s="15" t="str">
        <x:v>preparation</x:v>
      </x:c>
      <x:c r="G741" s="15" t="n">
        <x:v>0</x:v>
      </x:c>
      <x:c r="H741" s="15" t="n">
        <x:v>0</x:v>
      </x:c>
      <x:c r="I741" s="15" t="n">
        <x:v>0</x:v>
      </x:c>
      <x:c r="J741" s="15" t="n">
        <x:v>0</x:v>
      </x:c>
      <x:c r="K741" s="15" t="n">
        <x:v>0</x:v>
      </x:c>
      <x:c r="L741" s="15" t="n">
        <x:v>0</x:v>
      </x:c>
      <x:c r="M741" s="15" t="n">
        <x:v>180</x:v>
      </x:c>
      <x:c r="N741" s="15" t="n">
        <x:v>220</x:v>
      </x:c>
      <x:c r="O741" s="15" t="n">
        <x:v>96</x:v>
      </x:c>
      <x:c r="P741" s="15" t="n">
        <x:v>64</x:v>
      </x:c>
      <x:c r="Q741" s="15" t="n">
        <x:v>32</x:v>
      </x:c>
      <x:c r="R741" s="15" t="n">
        <x:v>60</x:v>
      </x:c>
      <x:c r="S741" s="15" t="n">
        <x:v>280</x:v>
      </x:c>
      <x:c r="T741" s="15" t="n">
        <x:v>420</x:v>
      </x:c>
      <x:c r="U741" s="15" t="n">
        <x:v>0</x:v>
      </x:c>
      <x:c r="V741" s="15" t="n">
        <x:v>180</x:v>
      </x:c>
      <x:c r="W741" s="15" t="n">
        <x:v>380</x:v>
      </x:c>
      <x:c r="X741" s="15" t="n">
        <x:v>0</x:v>
      </x:c>
      <x:c r="Y741" s="15" t="n">
        <x:v>0</x:v>
      </x:c>
      <x:c r="Z741" s="15" t="n">
        <x:v>0</x:v>
      </x:c>
      <x:c r="AA741" s="15" t="n">
        <x:v>0</x:v>
      </x:c>
      <x:c r="AB741" s="15" t="n">
        <x:f>SUM(G741:AA741)</x:f>
        <x:v>1912</x:v>
      </x:c>
    </x:row>
    <x:row r="742" ht="36" customHeight="1">
      <x:c r="A742" s="10" t="str">
        <x:v>V-A</x:v>
      </x:c>
      <x:c r="B742" s="10" t="str">
        <x:v>VOICE</x:v>
      </x:c>
      <x:c r="C742" s="10" t="str">
        <x:v>VOICE:S5-15</x:v>
      </x:c>
      <x:c r="D742" s="10" t="str">
        <x:v>VOICE:M7846</x:v>
      </x:c>
      <x:c r="E742" s="15" t="n">
        <x:v>-60</x:v>
      </x:c>
      <x:c r="F742" s="15" t="str">
        <x:v>preparation</x:v>
      </x:c>
      <x:c r="G742" s="15" t="n">
        <x:v>0</x:v>
      </x:c>
      <x:c r="H742" s="15" t="n">
        <x:v>0</x:v>
      </x:c>
      <x:c r="I742" s="15" t="n">
        <x:v>0</x:v>
      </x:c>
      <x:c r="J742" s="15" t="n">
        <x:v>0</x:v>
      </x:c>
      <x:c r="K742" s="15" t="n">
        <x:v>0</x:v>
      </x:c>
      <x:c r="L742" s="15" t="n">
        <x:v>0</x:v>
      </x:c>
      <x:c r="M742" s="15" t="n">
        <x:v>180</x:v>
      </x:c>
      <x:c r="N742" s="15" t="n">
        <x:v>220</x:v>
      </x:c>
      <x:c r="O742" s="15" t="n">
        <x:v>96</x:v>
      </x:c>
      <x:c r="P742" s="15" t="n">
        <x:v>64</x:v>
      </x:c>
      <x:c r="Q742" s="15" t="n">
        <x:v>32</x:v>
      </x:c>
      <x:c r="R742" s="15" t="n">
        <x:v>0</x:v>
      </x:c>
      <x:c r="S742" s="15" t="n">
        <x:v>0</x:v>
      </x:c>
      <x:c r="T742" s="15" t="n">
        <x:v>0</x:v>
      </x:c>
      <x:c r="U742" s="15" t="n">
        <x:v>0</x:v>
      </x:c>
      <x:c r="V742" s="15" t="n">
        <x:v>0</x:v>
      </x:c>
      <x:c r="W742" s="15" t="n">
        <x:v>0</x:v>
      </x:c>
      <x:c r="X742" s="15" t="n">
        <x:v>0</x:v>
      </x:c>
      <x:c r="Y742" s="15" t="n">
        <x:v>0</x:v>
      </x:c>
      <x:c r="Z742" s="15" t="n">
        <x:v>0</x:v>
      </x:c>
      <x:c r="AA742" s="15" t="n">
        <x:v>0</x:v>
      </x:c>
      <x:c r="AB742" s="15" t="n">
        <x:f>SUM(G742:AA742)</x:f>
        <x:v>592</x:v>
      </x:c>
    </x:row>
    <x:row r="743" ht="36" customHeight="1">
      <x:c r="A743" s="10" t="str">
        <x:v>V-R1</x:v>
      </x:c>
      <x:c r="B743" s="10" t="str">
        <x:v>VOICE</x:v>
      </x:c>
      <x:c r="C743" s="10" t="str">
        <x:v>VOICE:S5-15</x:v>
      </x:c>
      <x:c r="D743" s="10" t="str">
        <x:v>VOICE:M7872</x:v>
      </x:c>
      <x:c r="E743" s="15" t="n">
        <x:v>-57.77</x:v>
      </x:c>
      <x:c r="F743" s="15" t="str">
        <x:v>preparation</x:v>
      </x:c>
      <x:c r="G743" s="15" t="n">
        <x:v>0</x:v>
      </x:c>
      <x:c r="H743" s="15" t="n">
        <x:v>0</x:v>
      </x:c>
      <x:c r="I743" s="15" t="n">
        <x:v>0</x:v>
      </x:c>
      <x:c r="J743" s="15" t="n">
        <x:v>0</x:v>
      </x:c>
      <x:c r="K743" s="15" t="n">
        <x:v>0</x:v>
      </x:c>
      <x:c r="L743" s="15" t="n">
        <x:v>0</x:v>
      </x:c>
      <x:c r="M743" s="15" t="n">
        <x:v>180</x:v>
      </x:c>
      <x:c r="N743" s="15" t="n">
        <x:v>220</x:v>
      </x:c>
      <x:c r="O743" s="15" t="n">
        <x:v>96</x:v>
      </x:c>
      <x:c r="P743" s="15" t="n">
        <x:v>64</x:v>
      </x:c>
      <x:c r="Q743" s="15" t="n">
        <x:v>24</x:v>
      </x:c>
      <x:c r="R743" s="15" t="n">
        <x:v>60</x:v>
      </x:c>
      <x:c r="S743" s="15" t="n">
        <x:v>280</x:v>
      </x:c>
      <x:c r="T743" s="15" t="n">
        <x:v>420</x:v>
      </x:c>
      <x:c r="U743" s="15" t="n">
        <x:v>0</x:v>
      </x:c>
      <x:c r="V743" s="15" t="n">
        <x:v>180</x:v>
      </x:c>
      <x:c r="W743" s="15" t="n">
        <x:v>380</x:v>
      </x:c>
      <x:c r="X743" s="15" t="n">
        <x:v>0</x:v>
      </x:c>
      <x:c r="Y743" s="15" t="n">
        <x:v>0</x:v>
      </x:c>
      <x:c r="Z743" s="15" t="n">
        <x:v>0</x:v>
      </x:c>
      <x:c r="AA743" s="15" t="n">
        <x:v>0</x:v>
      </x:c>
      <x:c r="AB743" s="15" t="n">
        <x:f>SUM(G743:AA743)</x:f>
        <x:v>1904</x:v>
      </x:c>
    </x:row>
    <x:row r="744" ht="36" customHeight="1">
      <x:c r="A744" s="10" t="str">
        <x:v>V-R2</x:v>
      </x:c>
      <x:c r="B744" s="10" t="str">
        <x:v>VOICE</x:v>
      </x:c>
      <x:c r="C744" s="10" t="str">
        <x:v>VOICE:S5-15</x:v>
      </x:c>
      <x:c r="D744" s="10" t="str">
        <x:v>VOICE:M7898</x:v>
      </x:c>
      <x:c r="E744" s="15" t="n">
        <x:v>-57.77</x:v>
      </x:c>
      <x:c r="F744" s="15" t="str">
        <x:v>preparation</x:v>
      </x:c>
      <x:c r="G744" s="15" t="n">
        <x:v>0</x:v>
      </x:c>
      <x:c r="H744" s="15" t="n">
        <x:v>0</x:v>
      </x:c>
      <x:c r="I744" s="15" t="n">
        <x:v>0</x:v>
      </x:c>
      <x:c r="J744" s="15" t="n">
        <x:v>0</x:v>
      </x:c>
      <x:c r="K744" s="15" t="n">
        <x:v>0</x:v>
      </x:c>
      <x:c r="L744" s="15" t="n">
        <x:v>0</x:v>
      </x:c>
      <x:c r="M744" s="15" t="n">
        <x:v>180</x:v>
      </x:c>
      <x:c r="N744" s="15" t="n">
        <x:v>220</x:v>
      </x:c>
      <x:c r="O744" s="15" t="n">
        <x:v>96</x:v>
      </x:c>
      <x:c r="P744" s="15" t="n">
        <x:v>64</x:v>
      </x:c>
      <x:c r="Q744" s="15" t="n">
        <x:v>24</x:v>
      </x:c>
      <x:c r="R744" s="15" t="n">
        <x:v>60</x:v>
      </x:c>
      <x:c r="S744" s="15" t="n">
        <x:v>280</x:v>
      </x:c>
      <x:c r="T744" s="15" t="n">
        <x:v>420</x:v>
      </x:c>
      <x:c r="U744" s="15" t="n">
        <x:v>0</x:v>
      </x:c>
      <x:c r="V744" s="15" t="n">
        <x:v>180</x:v>
      </x:c>
      <x:c r="W744" s="15" t="n">
        <x:v>380</x:v>
      </x:c>
      <x:c r="X744" s="15" t="n">
        <x:v>0</x:v>
      </x:c>
      <x:c r="Y744" s="15" t="n">
        <x:v>0</x:v>
      </x:c>
      <x:c r="Z744" s="15" t="n">
        <x:v>0</x:v>
      </x:c>
      <x:c r="AA744" s="15" t="n">
        <x:v>0</x:v>
      </x:c>
      <x:c r="AB744" s="15" t="n">
        <x:f>SUM(G744:AA744)</x:f>
        <x:v>1904</x:v>
      </x:c>
    </x:row>
    <x:row r="745" ht="36" customHeight="1">
      <x:c r="A745" s="10" t="str">
        <x:v>V-R3</x:v>
      </x:c>
      <x:c r="B745" s="10" t="str">
        <x:v>VOICE</x:v>
      </x:c>
      <x:c r="C745" s="10" t="str">
        <x:v>VOICE:S5-15</x:v>
      </x:c>
      <x:c r="D745" s="10" t="str">
        <x:v>VOICE:M7923</x:v>
      </x:c>
      <x:c r="E745" s="15" t="n">
        <x:v>-57.77</x:v>
      </x:c>
      <x:c r="F745" s="15" t="str">
        <x:v>preparation</x:v>
      </x:c>
      <x:c r="G745" s="15" t="n">
        <x:v>0</x:v>
      </x:c>
      <x:c r="H745" s="15" t="n">
        <x:v>0</x:v>
      </x:c>
      <x:c r="I745" s="15" t="n">
        <x:v>0</x:v>
      </x:c>
      <x:c r="J745" s="15" t="n">
        <x:v>0</x:v>
      </x:c>
      <x:c r="K745" s="15" t="n">
        <x:v>0</x:v>
      </x:c>
      <x:c r="L745" s="15" t="n">
        <x:v>0</x:v>
      </x:c>
      <x:c r="M745" s="15" t="n">
        <x:v>180</x:v>
      </x:c>
      <x:c r="N745" s="15" t="n">
        <x:v>220</x:v>
      </x:c>
      <x:c r="O745" s="15" t="n">
        <x:v>96</x:v>
      </x:c>
      <x:c r="P745" s="15" t="n">
        <x:v>64</x:v>
      </x:c>
      <x:c r="Q745" s="15" t="n">
        <x:v>32</x:v>
      </x:c>
      <x:c r="R745" s="15" t="n">
        <x:v>60</x:v>
      </x:c>
      <x:c r="S745" s="15" t="n">
        <x:v>280</x:v>
      </x:c>
      <x:c r="T745" s="15" t="n">
        <x:v>420</x:v>
      </x:c>
      <x:c r="U745" s="15" t="n">
        <x:v>0</x:v>
      </x:c>
      <x:c r="V745" s="15" t="n">
        <x:v>180</x:v>
      </x:c>
      <x:c r="W745" s="15" t="n">
        <x:v>380</x:v>
      </x:c>
      <x:c r="X745" s="15" t="n">
        <x:v>0</x:v>
      </x:c>
      <x:c r="Y745" s="15" t="n">
        <x:v>0</x:v>
      </x:c>
      <x:c r="Z745" s="15" t="n">
        <x:v>0</x:v>
      </x:c>
      <x:c r="AA745" s="15" t="n">
        <x:v>0</x:v>
      </x:c>
      <x:c r="AB745" s="15" t="n">
        <x:f>SUM(G745:AA745)</x:f>
        <x:v>1912</x:v>
      </x:c>
    </x:row>
    <x:row r="746" ht="36" customHeight="1">
      <x:c r="A746" s="10" t="str">
        <x:v>V-A</x:v>
      </x:c>
      <x:c r="B746" s="10" t="str">
        <x:v>VOICE</x:v>
      </x:c>
      <x:c r="C746" s="10" t="str">
        <x:v>VOICE:S5-16</x:v>
      </x:c>
      <x:c r="D746" s="10" t="str">
        <x:v>VOICE:M7945</x:v>
      </x:c>
      <x:c r="E746" s="15" t="n">
        <x:v>-60</x:v>
      </x:c>
      <x:c r="F746" s="15" t="str">
        <x:v>preparation</x:v>
      </x:c>
      <x:c r="G746" s="15" t="n">
        <x:v>0</x:v>
      </x:c>
      <x:c r="H746" s="15" t="n">
        <x:v>0</x:v>
      </x:c>
      <x:c r="I746" s="15" t="n">
        <x:v>0</x:v>
      </x:c>
      <x:c r="J746" s="15" t="n">
        <x:v>0</x:v>
      </x:c>
      <x:c r="K746" s="15" t="n">
        <x:v>0</x:v>
      </x:c>
      <x:c r="L746" s="15" t="n">
        <x:v>0</x:v>
      </x:c>
      <x:c r="M746" s="15" t="n">
        <x:v>180</x:v>
      </x:c>
      <x:c r="N746" s="15" t="n">
        <x:v>220</x:v>
      </x:c>
      <x:c r="O746" s="15" t="n">
        <x:v>96</x:v>
      </x:c>
      <x:c r="P746" s="15" t="n">
        <x:v>64</x:v>
      </x:c>
      <x:c r="Q746" s="15" t="n">
        <x:v>32</x:v>
      </x:c>
      <x:c r="R746" s="15" t="n">
        <x:v>0</x:v>
      </x:c>
      <x:c r="S746" s="15" t="n">
        <x:v>0</x:v>
      </x:c>
      <x:c r="T746" s="15" t="n">
        <x:v>0</x:v>
      </x:c>
      <x:c r="U746" s="15" t="n">
        <x:v>0</x:v>
      </x:c>
      <x:c r="V746" s="15" t="n">
        <x:v>0</x:v>
      </x:c>
      <x:c r="W746" s="15" t="n">
        <x:v>0</x:v>
      </x:c>
      <x:c r="X746" s="15" t="n">
        <x:v>0</x:v>
      </x:c>
      <x:c r="Y746" s="15" t="n">
        <x:v>0</x:v>
      </x:c>
      <x:c r="Z746" s="15" t="n">
        <x:v>0</x:v>
      </x:c>
      <x:c r="AA746" s="15" t="n">
        <x:v>0</x:v>
      </x:c>
      <x:c r="AB746" s="15" t="n">
        <x:f>SUM(G746:AA746)</x:f>
        <x:v>592</x:v>
      </x:c>
    </x:row>
    <x:row r="747" ht="36" customHeight="1">
      <x:c r="A747" s="10" t="str">
        <x:v>V-R1</x:v>
      </x:c>
      <x:c r="B747" s="10" t="str">
        <x:v>VOICE</x:v>
      </x:c>
      <x:c r="C747" s="10" t="str">
        <x:v>VOICE:S5-16</x:v>
      </x:c>
      <x:c r="D747" s="10" t="str">
        <x:v>VOICE:M7971</x:v>
      </x:c>
      <x:c r="E747" s="15" t="n">
        <x:v>-57.77</x:v>
      </x:c>
      <x:c r="F747" s="15" t="str">
        <x:v>preparation</x:v>
      </x:c>
      <x:c r="G747" s="15" t="n">
        <x:v>0</x:v>
      </x:c>
      <x:c r="H747" s="15" t="n">
        <x:v>0</x:v>
      </x:c>
      <x:c r="I747" s="15" t="n">
        <x:v>0</x:v>
      </x:c>
      <x:c r="J747" s="15" t="n">
        <x:v>0</x:v>
      </x:c>
      <x:c r="K747" s="15" t="n">
        <x:v>0</x:v>
      </x:c>
      <x:c r="L747" s="15" t="n">
        <x:v>0</x:v>
      </x:c>
      <x:c r="M747" s="15" t="n">
        <x:v>180</x:v>
      </x:c>
      <x:c r="N747" s="15" t="n">
        <x:v>220</x:v>
      </x:c>
      <x:c r="O747" s="15" t="n">
        <x:v>96</x:v>
      </x:c>
      <x:c r="P747" s="15" t="n">
        <x:v>64</x:v>
      </x:c>
      <x:c r="Q747" s="15" t="n">
        <x:v>24</x:v>
      </x:c>
      <x:c r="R747" s="15" t="n">
        <x:v>60</x:v>
      </x:c>
      <x:c r="S747" s="15" t="n">
        <x:v>280</x:v>
      </x:c>
      <x:c r="T747" s="15" t="n">
        <x:v>420</x:v>
      </x:c>
      <x:c r="U747" s="15" t="n">
        <x:v>0</x:v>
      </x:c>
      <x:c r="V747" s="15" t="n">
        <x:v>180</x:v>
      </x:c>
      <x:c r="W747" s="15" t="n">
        <x:v>380</x:v>
      </x:c>
      <x:c r="X747" s="15" t="n">
        <x:v>0</x:v>
      </x:c>
      <x:c r="Y747" s="15" t="n">
        <x:v>0</x:v>
      </x:c>
      <x:c r="Z747" s="15" t="n">
        <x:v>0</x:v>
      </x:c>
      <x:c r="AA747" s="15" t="n">
        <x:v>0</x:v>
      </x:c>
      <x:c r="AB747" s="15" t="n">
        <x:f>SUM(G747:AA747)</x:f>
        <x:v>1904</x:v>
      </x:c>
    </x:row>
    <x:row r="748" ht="36" customHeight="1">
      <x:c r="A748" s="10" t="str">
        <x:v>V-R2</x:v>
      </x:c>
      <x:c r="B748" s="10" t="str">
        <x:v>VOICE</x:v>
      </x:c>
      <x:c r="C748" s="10" t="str">
        <x:v>VOICE:S5-16</x:v>
      </x:c>
      <x:c r="D748" s="10" t="str">
        <x:v>VOICE:M7997</x:v>
      </x:c>
      <x:c r="E748" s="15" t="n">
        <x:v>-57.77</x:v>
      </x:c>
      <x:c r="F748" s="15" t="str">
        <x:v>preparation</x:v>
      </x:c>
      <x:c r="G748" s="15" t="n">
        <x:v>0</x:v>
      </x:c>
      <x:c r="H748" s="15" t="n">
        <x:v>0</x:v>
      </x:c>
      <x:c r="I748" s="15" t="n">
        <x:v>0</x:v>
      </x:c>
      <x:c r="J748" s="15" t="n">
        <x:v>0</x:v>
      </x:c>
      <x:c r="K748" s="15" t="n">
        <x:v>0</x:v>
      </x:c>
      <x:c r="L748" s="15" t="n">
        <x:v>0</x:v>
      </x:c>
      <x:c r="M748" s="15" t="n">
        <x:v>180</x:v>
      </x:c>
      <x:c r="N748" s="15" t="n">
        <x:v>220</x:v>
      </x:c>
      <x:c r="O748" s="15" t="n">
        <x:v>96</x:v>
      </x:c>
      <x:c r="P748" s="15" t="n">
        <x:v>64</x:v>
      </x:c>
      <x:c r="Q748" s="15" t="n">
        <x:v>24</x:v>
      </x:c>
      <x:c r="R748" s="15" t="n">
        <x:v>60</x:v>
      </x:c>
      <x:c r="S748" s="15" t="n">
        <x:v>280</x:v>
      </x:c>
      <x:c r="T748" s="15" t="n">
        <x:v>420</x:v>
      </x:c>
      <x:c r="U748" s="15" t="n">
        <x:v>0</x:v>
      </x:c>
      <x:c r="V748" s="15" t="n">
        <x:v>180</x:v>
      </x:c>
      <x:c r="W748" s="15" t="n">
        <x:v>380</x:v>
      </x:c>
      <x:c r="X748" s="15" t="n">
        <x:v>0</x:v>
      </x:c>
      <x:c r="Y748" s="15" t="n">
        <x:v>0</x:v>
      </x:c>
      <x:c r="Z748" s="15" t="n">
        <x:v>0</x:v>
      </x:c>
      <x:c r="AA748" s="15" t="n">
        <x:v>0</x:v>
      </x:c>
      <x:c r="AB748" s="15" t="n">
        <x:f>SUM(G748:AA748)</x:f>
        <x:v>1904</x:v>
      </x:c>
    </x:row>
    <x:row r="749" ht="36" customHeight="1">
      <x:c r="A749" s="10" t="str">
        <x:v>V-R3</x:v>
      </x:c>
      <x:c r="B749" s="10" t="str">
        <x:v>VOICE</x:v>
      </x:c>
      <x:c r="C749" s="10" t="str">
        <x:v>VOICE:S5-16</x:v>
      </x:c>
      <x:c r="D749" s="10" t="str">
        <x:v>VOICE:M8022</x:v>
      </x:c>
      <x:c r="E749" s="15" t="n">
        <x:v>-57.77</x:v>
      </x:c>
      <x:c r="F749" s="15" t="str">
        <x:v>preparation</x:v>
      </x:c>
      <x:c r="G749" s="15" t="n">
        <x:v>0</x:v>
      </x:c>
      <x:c r="H749" s="15" t="n">
        <x:v>0</x:v>
      </x:c>
      <x:c r="I749" s="15" t="n">
        <x:v>0</x:v>
      </x:c>
      <x:c r="J749" s="15" t="n">
        <x:v>0</x:v>
      </x:c>
      <x:c r="K749" s="15" t="n">
        <x:v>0</x:v>
      </x:c>
      <x:c r="L749" s="15" t="n">
        <x:v>0</x:v>
      </x:c>
      <x:c r="M749" s="15" t="n">
        <x:v>180</x:v>
      </x:c>
      <x:c r="N749" s="15" t="n">
        <x:v>220</x:v>
      </x:c>
      <x:c r="O749" s="15" t="n">
        <x:v>96</x:v>
      </x:c>
      <x:c r="P749" s="15" t="n">
        <x:v>64</x:v>
      </x:c>
      <x:c r="Q749" s="15" t="n">
        <x:v>32</x:v>
      </x:c>
      <x:c r="R749" s="15" t="n">
        <x:v>60</x:v>
      </x:c>
      <x:c r="S749" s="15" t="n">
        <x:v>280</x:v>
      </x:c>
      <x:c r="T749" s="15" t="n">
        <x:v>420</x:v>
      </x:c>
      <x:c r="U749" s="15" t="n">
        <x:v>0</x:v>
      </x:c>
      <x:c r="V749" s="15" t="n">
        <x:v>180</x:v>
      </x:c>
      <x:c r="W749" s="15" t="n">
        <x:v>380</x:v>
      </x:c>
      <x:c r="X749" s="15" t="n">
        <x:v>0</x:v>
      </x:c>
      <x:c r="Y749" s="15" t="n">
        <x:v>0</x:v>
      </x:c>
      <x:c r="Z749" s="15" t="n">
        <x:v>0</x:v>
      </x:c>
      <x:c r="AA749" s="15" t="n">
        <x:v>0</x:v>
      </x:c>
      <x:c r="AB749" s="15" t="n">
        <x:f>SUM(G749:AA749)</x:f>
        <x:v>1912</x:v>
      </x:c>
    </x:row>
    <x:row r="750" ht="36" customHeight="1">
      <x:c r="A750" s="10" t="str">
        <x:v>V-A</x:v>
      </x:c>
      <x:c r="B750" s="10" t="str">
        <x:v>VOICE</x:v>
      </x:c>
      <x:c r="C750" s="10" t="str">
        <x:v>VOICE:S5-17</x:v>
      </x:c>
      <x:c r="D750" s="10" t="str">
        <x:v>VOICE:M8044</x:v>
      </x:c>
      <x:c r="E750" s="15" t="n">
        <x:v>-60</x:v>
      </x:c>
      <x:c r="F750" s="15" t="str">
        <x:v>preparation</x:v>
      </x:c>
      <x:c r="G750" s="15" t="n">
        <x:v>0</x:v>
      </x:c>
      <x:c r="H750" s="15" t="n">
        <x:v>0</x:v>
      </x:c>
      <x:c r="I750" s="15" t="n">
        <x:v>0</x:v>
      </x:c>
      <x:c r="J750" s="15" t="n">
        <x:v>0</x:v>
      </x:c>
      <x:c r="K750" s="15" t="n">
        <x:v>0</x:v>
      </x:c>
      <x:c r="L750" s="15" t="n">
        <x:v>0</x:v>
      </x:c>
      <x:c r="M750" s="15" t="n">
        <x:v>180</x:v>
      </x:c>
      <x:c r="N750" s="15" t="n">
        <x:v>220</x:v>
      </x:c>
      <x:c r="O750" s="15" t="n">
        <x:v>96</x:v>
      </x:c>
      <x:c r="P750" s="15" t="n">
        <x:v>64</x:v>
      </x:c>
      <x:c r="Q750" s="15" t="n">
        <x:v>32</x:v>
      </x:c>
      <x:c r="R750" s="15" t="n">
        <x:v>0</x:v>
      </x:c>
      <x:c r="S750" s="15" t="n">
        <x:v>0</x:v>
      </x:c>
      <x:c r="T750" s="15" t="n">
        <x:v>0</x:v>
      </x:c>
      <x:c r="U750" s="15" t="n">
        <x:v>0</x:v>
      </x:c>
      <x:c r="V750" s="15" t="n">
        <x:v>0</x:v>
      </x:c>
      <x:c r="W750" s="15" t="n">
        <x:v>0</x:v>
      </x:c>
      <x:c r="X750" s="15" t="n">
        <x:v>0</x:v>
      </x:c>
      <x:c r="Y750" s="15" t="n">
        <x:v>0</x:v>
      </x:c>
      <x:c r="Z750" s="15" t="n">
        <x:v>0</x:v>
      </x:c>
      <x:c r="AA750" s="15" t="n">
        <x:v>0</x:v>
      </x:c>
      <x:c r="AB750" s="15" t="n">
        <x:f>SUM(G750:AA750)</x:f>
        <x:v>592</x:v>
      </x:c>
    </x:row>
    <x:row r="751" ht="36" customHeight="1">
      <x:c r="A751" s="10" t="str">
        <x:v>V-R1</x:v>
      </x:c>
      <x:c r="B751" s="10" t="str">
        <x:v>VOICE</x:v>
      </x:c>
      <x:c r="C751" s="10" t="str">
        <x:v>VOICE:S5-17</x:v>
      </x:c>
      <x:c r="D751" s="10" t="str">
        <x:v>VOICE:M8070</x:v>
      </x:c>
      <x:c r="E751" s="15" t="n">
        <x:v>-57.77</x:v>
      </x:c>
      <x:c r="F751" s="15" t="str">
        <x:v>preparation</x:v>
      </x:c>
      <x:c r="G751" s="15" t="n">
        <x:v>0</x:v>
      </x:c>
      <x:c r="H751" s="15" t="n">
        <x:v>0</x:v>
      </x:c>
      <x:c r="I751" s="15" t="n">
        <x:v>0</x:v>
      </x:c>
      <x:c r="J751" s="15" t="n">
        <x:v>0</x:v>
      </x:c>
      <x:c r="K751" s="15" t="n">
        <x:v>0</x:v>
      </x:c>
      <x:c r="L751" s="15" t="n">
        <x:v>0</x:v>
      </x:c>
      <x:c r="M751" s="15" t="n">
        <x:v>180</x:v>
      </x:c>
      <x:c r="N751" s="15" t="n">
        <x:v>220</x:v>
      </x:c>
      <x:c r="O751" s="15" t="n">
        <x:v>96</x:v>
      </x:c>
      <x:c r="P751" s="15" t="n">
        <x:v>64</x:v>
      </x:c>
      <x:c r="Q751" s="15" t="n">
        <x:v>24</x:v>
      </x:c>
      <x:c r="R751" s="15" t="n">
        <x:v>60</x:v>
      </x:c>
      <x:c r="S751" s="15" t="n">
        <x:v>280</x:v>
      </x:c>
      <x:c r="T751" s="15" t="n">
        <x:v>420</x:v>
      </x:c>
      <x:c r="U751" s="15" t="n">
        <x:v>0</x:v>
      </x:c>
      <x:c r="V751" s="15" t="n">
        <x:v>180</x:v>
      </x:c>
      <x:c r="W751" s="15" t="n">
        <x:v>380</x:v>
      </x:c>
      <x:c r="X751" s="15" t="n">
        <x:v>0</x:v>
      </x:c>
      <x:c r="Y751" s="15" t="n">
        <x:v>0</x:v>
      </x:c>
      <x:c r="Z751" s="15" t="n">
        <x:v>0</x:v>
      </x:c>
      <x:c r="AA751" s="15" t="n">
        <x:v>0</x:v>
      </x:c>
      <x:c r="AB751" s="15" t="n">
        <x:f>SUM(G751:AA751)</x:f>
        <x:v>1904</x:v>
      </x:c>
    </x:row>
    <x:row r="752" ht="36" customHeight="1">
      <x:c r="A752" s="10" t="str">
        <x:v>V-R2</x:v>
      </x:c>
      <x:c r="B752" s="10" t="str">
        <x:v>VOICE</x:v>
      </x:c>
      <x:c r="C752" s="10" t="str">
        <x:v>VOICE:S5-17</x:v>
      </x:c>
      <x:c r="D752" s="10" t="str">
        <x:v>VOICE:M8096</x:v>
      </x:c>
      <x:c r="E752" s="15" t="n">
        <x:v>-57.77</x:v>
      </x:c>
      <x:c r="F752" s="15" t="str">
        <x:v>preparation</x:v>
      </x:c>
      <x:c r="G752" s="15" t="n">
        <x:v>0</x:v>
      </x:c>
      <x:c r="H752" s="15" t="n">
        <x:v>0</x:v>
      </x:c>
      <x:c r="I752" s="15" t="n">
        <x:v>0</x:v>
      </x:c>
      <x:c r="J752" s="15" t="n">
        <x:v>0</x:v>
      </x:c>
      <x:c r="K752" s="15" t="n">
        <x:v>0</x:v>
      </x:c>
      <x:c r="L752" s="15" t="n">
        <x:v>0</x:v>
      </x:c>
      <x:c r="M752" s="15" t="n">
        <x:v>180</x:v>
      </x:c>
      <x:c r="N752" s="15" t="n">
        <x:v>220</x:v>
      </x:c>
      <x:c r="O752" s="15" t="n">
        <x:v>96</x:v>
      </x:c>
      <x:c r="P752" s="15" t="n">
        <x:v>64</x:v>
      </x:c>
      <x:c r="Q752" s="15" t="n">
        <x:v>24</x:v>
      </x:c>
      <x:c r="R752" s="15" t="n">
        <x:v>60</x:v>
      </x:c>
      <x:c r="S752" s="15" t="n">
        <x:v>280</x:v>
      </x:c>
      <x:c r="T752" s="15" t="n">
        <x:v>420</x:v>
      </x:c>
      <x:c r="U752" s="15" t="n">
        <x:v>0</x:v>
      </x:c>
      <x:c r="V752" s="15" t="n">
        <x:v>180</x:v>
      </x:c>
      <x:c r="W752" s="15" t="n">
        <x:v>380</x:v>
      </x:c>
      <x:c r="X752" s="15" t="n">
        <x:v>0</x:v>
      </x:c>
      <x:c r="Y752" s="15" t="n">
        <x:v>0</x:v>
      </x:c>
      <x:c r="Z752" s="15" t="n">
        <x:v>0</x:v>
      </x:c>
      <x:c r="AA752" s="15" t="n">
        <x:v>0</x:v>
      </x:c>
      <x:c r="AB752" s="15" t="n">
        <x:f>SUM(G752:AA752)</x:f>
        <x:v>1904</x:v>
      </x:c>
    </x:row>
    <x:row r="753" ht="36" customHeight="1">
      <x:c r="A753" s="10" t="str">
        <x:v>V-R3</x:v>
      </x:c>
      <x:c r="B753" s="10" t="str">
        <x:v>VOICE</x:v>
      </x:c>
      <x:c r="C753" s="10" t="str">
        <x:v>VOICE:S5-17</x:v>
      </x:c>
      <x:c r="D753" s="10" t="str">
        <x:v>VOICE:M8121</x:v>
      </x:c>
      <x:c r="E753" s="15" t="n">
        <x:v>-57.77</x:v>
      </x:c>
      <x:c r="F753" s="15" t="str">
        <x:v>preparation</x:v>
      </x:c>
      <x:c r="G753" s="15" t="n">
        <x:v>0</x:v>
      </x:c>
      <x:c r="H753" s="15" t="n">
        <x:v>0</x:v>
      </x:c>
      <x:c r="I753" s="15" t="n">
        <x:v>0</x:v>
      </x:c>
      <x:c r="J753" s="15" t="n">
        <x:v>0</x:v>
      </x:c>
      <x:c r="K753" s="15" t="n">
        <x:v>0</x:v>
      </x:c>
      <x:c r="L753" s="15" t="n">
        <x:v>0</x:v>
      </x:c>
      <x:c r="M753" s="15" t="n">
        <x:v>180</x:v>
      </x:c>
      <x:c r="N753" s="15" t="n">
        <x:v>220</x:v>
      </x:c>
      <x:c r="O753" s="15" t="n">
        <x:v>96</x:v>
      </x:c>
      <x:c r="P753" s="15" t="n">
        <x:v>64</x:v>
      </x:c>
      <x:c r="Q753" s="15" t="n">
        <x:v>32</x:v>
      </x:c>
      <x:c r="R753" s="15" t="n">
        <x:v>60</x:v>
      </x:c>
      <x:c r="S753" s="15" t="n">
        <x:v>280</x:v>
      </x:c>
      <x:c r="T753" s="15" t="n">
        <x:v>420</x:v>
      </x:c>
      <x:c r="U753" s="15" t="n">
        <x:v>0</x:v>
      </x:c>
      <x:c r="V753" s="15" t="n">
        <x:v>180</x:v>
      </x:c>
      <x:c r="W753" s="15" t="n">
        <x:v>380</x:v>
      </x:c>
      <x:c r="X753" s="15" t="n">
        <x:v>0</x:v>
      </x:c>
      <x:c r="Y753" s="15" t="n">
        <x:v>0</x:v>
      </x:c>
      <x:c r="Z753" s="15" t="n">
        <x:v>0</x:v>
      </x:c>
      <x:c r="AA753" s="15" t="n">
        <x:v>0</x:v>
      </x:c>
      <x:c r="AB753" s="15" t="n">
        <x:f>SUM(G753:AA753)</x:f>
        <x:v>1912</x:v>
      </x:c>
    </x:row>
    <x:row r="754" ht="36" customHeight="1">
      <x:c r="A754" s="10" t="str">
        <x:v>V-A</x:v>
      </x:c>
      <x:c r="B754" s="10" t="str">
        <x:v>VOICE</x:v>
      </x:c>
      <x:c r="C754" s="10" t="str">
        <x:v>VOICE:S5-18</x:v>
      </x:c>
      <x:c r="D754" s="10" t="str">
        <x:v>VOICE:M8143</x:v>
      </x:c>
      <x:c r="E754" s="15" t="n">
        <x:v>-60</x:v>
      </x:c>
      <x:c r="F754" s="15" t="str">
        <x:v>preparation</x:v>
      </x:c>
      <x:c r="G754" s="15" t="n">
        <x:v>0</x:v>
      </x:c>
      <x:c r="H754" s="15" t="n">
        <x:v>0</x:v>
      </x:c>
      <x:c r="I754" s="15" t="n">
        <x:v>0</x:v>
      </x:c>
      <x:c r="J754" s="15" t="n">
        <x:v>0</x:v>
      </x:c>
      <x:c r="K754" s="15" t="n">
        <x:v>0</x:v>
      </x:c>
      <x:c r="L754" s="15" t="n">
        <x:v>0</x:v>
      </x:c>
      <x:c r="M754" s="15" t="n">
        <x:v>180</x:v>
      </x:c>
      <x:c r="N754" s="15" t="n">
        <x:v>220</x:v>
      </x:c>
      <x:c r="O754" s="15" t="n">
        <x:v>96</x:v>
      </x:c>
      <x:c r="P754" s="15" t="n">
        <x:v>64</x:v>
      </x:c>
      <x:c r="Q754" s="15" t="n">
        <x:v>32</x:v>
      </x:c>
      <x:c r="R754" s="15" t="n">
        <x:v>0</x:v>
      </x:c>
      <x:c r="S754" s="15" t="n">
        <x:v>0</x:v>
      </x:c>
      <x:c r="T754" s="15" t="n">
        <x:v>0</x:v>
      </x:c>
      <x:c r="U754" s="15" t="n">
        <x:v>0</x:v>
      </x:c>
      <x:c r="V754" s="15" t="n">
        <x:v>0</x:v>
      </x:c>
      <x:c r="W754" s="15" t="n">
        <x:v>0</x:v>
      </x:c>
      <x:c r="X754" s="15" t="n">
        <x:v>0</x:v>
      </x:c>
      <x:c r="Y754" s="15" t="n">
        <x:v>0</x:v>
      </x:c>
      <x:c r="Z754" s="15" t="n">
        <x:v>0</x:v>
      </x:c>
      <x:c r="AA754" s="15" t="n">
        <x:v>0</x:v>
      </x:c>
      <x:c r="AB754" s="15" t="n">
        <x:f>SUM(G754:AA754)</x:f>
        <x:v>592</x:v>
      </x:c>
    </x:row>
    <x:row r="755" ht="36" customHeight="1">
      <x:c r="A755" s="10" t="str">
        <x:v>V-R1</x:v>
      </x:c>
      <x:c r="B755" s="10" t="str">
        <x:v>VOICE</x:v>
      </x:c>
      <x:c r="C755" s="10" t="str">
        <x:v>VOICE:S5-18</x:v>
      </x:c>
      <x:c r="D755" s="10" t="str">
        <x:v>VOICE:M8169</x:v>
      </x:c>
      <x:c r="E755" s="15" t="n">
        <x:v>-57.77</x:v>
      </x:c>
      <x:c r="F755" s="15" t="str">
        <x:v>preparation</x:v>
      </x:c>
      <x:c r="G755" s="15" t="n">
        <x:v>0</x:v>
      </x:c>
      <x:c r="H755" s="15" t="n">
        <x:v>0</x:v>
      </x:c>
      <x:c r="I755" s="15" t="n">
        <x:v>0</x:v>
      </x:c>
      <x:c r="J755" s="15" t="n">
        <x:v>0</x:v>
      </x:c>
      <x:c r="K755" s="15" t="n">
        <x:v>0</x:v>
      </x:c>
      <x:c r="L755" s="15" t="n">
        <x:v>0</x:v>
      </x:c>
      <x:c r="M755" s="15" t="n">
        <x:v>180</x:v>
      </x:c>
      <x:c r="N755" s="15" t="n">
        <x:v>220</x:v>
      </x:c>
      <x:c r="O755" s="15" t="n">
        <x:v>96</x:v>
      </x:c>
      <x:c r="P755" s="15" t="n">
        <x:v>64</x:v>
      </x:c>
      <x:c r="Q755" s="15" t="n">
        <x:v>24</x:v>
      </x:c>
      <x:c r="R755" s="15" t="n">
        <x:v>60</x:v>
      </x:c>
      <x:c r="S755" s="15" t="n">
        <x:v>280</x:v>
      </x:c>
      <x:c r="T755" s="15" t="n">
        <x:v>420</x:v>
      </x:c>
      <x:c r="U755" s="15" t="n">
        <x:v>0</x:v>
      </x:c>
      <x:c r="V755" s="15" t="n">
        <x:v>180</x:v>
      </x:c>
      <x:c r="W755" s="15" t="n">
        <x:v>380</x:v>
      </x:c>
      <x:c r="X755" s="15" t="n">
        <x:v>0</x:v>
      </x:c>
      <x:c r="Y755" s="15" t="n">
        <x:v>0</x:v>
      </x:c>
      <x:c r="Z755" s="15" t="n">
        <x:v>0</x:v>
      </x:c>
      <x:c r="AA755" s="15" t="n">
        <x:v>0</x:v>
      </x:c>
      <x:c r="AB755" s="15" t="n">
        <x:f>SUM(G755:AA755)</x:f>
        <x:v>1904</x:v>
      </x:c>
    </x:row>
    <x:row r="756" ht="36" customHeight="1">
      <x:c r="A756" s="10" t="str">
        <x:v>V-R2</x:v>
      </x:c>
      <x:c r="B756" s="10" t="str">
        <x:v>VOICE</x:v>
      </x:c>
      <x:c r="C756" s="10" t="str">
        <x:v>VOICE:S5-18</x:v>
      </x:c>
      <x:c r="D756" s="10" t="str">
        <x:v>VOICE:M8195</x:v>
      </x:c>
      <x:c r="E756" s="15" t="n">
        <x:v>-57.77</x:v>
      </x:c>
      <x:c r="F756" s="15" t="str">
        <x:v>preparation</x:v>
      </x:c>
      <x:c r="G756" s="15" t="n">
        <x:v>0</x:v>
      </x:c>
      <x:c r="H756" s="15" t="n">
        <x:v>0</x:v>
      </x:c>
      <x:c r="I756" s="15" t="n">
        <x:v>0</x:v>
      </x:c>
      <x:c r="J756" s="15" t="n">
        <x:v>0</x:v>
      </x:c>
      <x:c r="K756" s="15" t="n">
        <x:v>0</x:v>
      </x:c>
      <x:c r="L756" s="15" t="n">
        <x:v>0</x:v>
      </x:c>
      <x:c r="M756" s="15" t="n">
        <x:v>180</x:v>
      </x:c>
      <x:c r="N756" s="15" t="n">
        <x:v>220</x:v>
      </x:c>
      <x:c r="O756" s="15" t="n">
        <x:v>96</x:v>
      </x:c>
      <x:c r="P756" s="15" t="n">
        <x:v>64</x:v>
      </x:c>
      <x:c r="Q756" s="15" t="n">
        <x:v>24</x:v>
      </x:c>
      <x:c r="R756" s="15" t="n">
        <x:v>60</x:v>
      </x:c>
      <x:c r="S756" s="15" t="n">
        <x:v>280</x:v>
      </x:c>
      <x:c r="T756" s="15" t="n">
        <x:v>420</x:v>
      </x:c>
      <x:c r="U756" s="15" t="n">
        <x:v>0</x:v>
      </x:c>
      <x:c r="V756" s="15" t="n">
        <x:v>180</x:v>
      </x:c>
      <x:c r="W756" s="15" t="n">
        <x:v>380</x:v>
      </x:c>
      <x:c r="X756" s="15" t="n">
        <x:v>0</x:v>
      </x:c>
      <x:c r="Y756" s="15" t="n">
        <x:v>0</x:v>
      </x:c>
      <x:c r="Z756" s="15" t="n">
        <x:v>0</x:v>
      </x:c>
      <x:c r="AA756" s="15" t="n">
        <x:v>0</x:v>
      </x:c>
      <x:c r="AB756" s="15" t="n">
        <x:f>SUM(G756:AA756)</x:f>
        <x:v>1904</x:v>
      </x:c>
    </x:row>
    <x:row r="757" ht="36" customHeight="1">
      <x:c r="A757" s="10" t="str">
        <x:v>V-R3</x:v>
      </x:c>
      <x:c r="B757" s="10" t="str">
        <x:v>VOICE</x:v>
      </x:c>
      <x:c r="C757" s="10" t="str">
        <x:v>VOICE:S5-18</x:v>
      </x:c>
      <x:c r="D757" s="10" t="str">
        <x:v>VOICE:M8220</x:v>
      </x:c>
      <x:c r="E757" s="15" t="n">
        <x:v>-57.77</x:v>
      </x:c>
      <x:c r="F757" s="15" t="str">
        <x:v>preparation</x:v>
      </x:c>
      <x:c r="G757" s="15" t="n">
        <x:v>0</x:v>
      </x:c>
      <x:c r="H757" s="15" t="n">
        <x:v>0</x:v>
      </x:c>
      <x:c r="I757" s="15" t="n">
        <x:v>0</x:v>
      </x:c>
      <x:c r="J757" s="15" t="n">
        <x:v>0</x:v>
      </x:c>
      <x:c r="K757" s="15" t="n">
        <x:v>0</x:v>
      </x:c>
      <x:c r="L757" s="15" t="n">
        <x:v>0</x:v>
      </x:c>
      <x:c r="M757" s="15" t="n">
        <x:v>180</x:v>
      </x:c>
      <x:c r="N757" s="15" t="n">
        <x:v>220</x:v>
      </x:c>
      <x:c r="O757" s="15" t="n">
        <x:v>96</x:v>
      </x:c>
      <x:c r="P757" s="15" t="n">
        <x:v>64</x:v>
      </x:c>
      <x:c r="Q757" s="15" t="n">
        <x:v>32</x:v>
      </x:c>
      <x:c r="R757" s="15" t="n">
        <x:v>60</x:v>
      </x:c>
      <x:c r="S757" s="15" t="n">
        <x:v>280</x:v>
      </x:c>
      <x:c r="T757" s="15" t="n">
        <x:v>420</x:v>
      </x:c>
      <x:c r="U757" s="15" t="n">
        <x:v>0</x:v>
      </x:c>
      <x:c r="V757" s="15" t="n">
        <x:v>180</x:v>
      </x:c>
      <x:c r="W757" s="15" t="n">
        <x:v>380</x:v>
      </x:c>
      <x:c r="X757" s="15" t="n">
        <x:v>0</x:v>
      </x:c>
      <x:c r="Y757" s="15" t="n">
        <x:v>0</x:v>
      </x:c>
      <x:c r="Z757" s="15" t="n">
        <x:v>0</x:v>
      </x:c>
      <x:c r="AA757" s="15" t="n">
        <x:v>0</x:v>
      </x:c>
      <x:c r="AB757" s="15" t="n">
        <x:f>SUM(G757:AA757)</x:f>
        <x:v>1912</x:v>
      </x:c>
    </x:row>
    <x:row r="758" ht="36" customHeight="1">
      <x:c r="A758" s="10" t="str">
        <x:v>V-A</x:v>
      </x:c>
      <x:c r="B758" s="10" t="str">
        <x:v>VOICE</x:v>
      </x:c>
      <x:c r="C758" s="10" t="str">
        <x:v>VOICE:S5-19</x:v>
      </x:c>
      <x:c r="D758" s="10" t="str">
        <x:v>VOICE:M8242</x:v>
      </x:c>
      <x:c r="E758" s="15" t="n">
        <x:v>-60</x:v>
      </x:c>
      <x:c r="F758" s="15" t="str">
        <x:v>preparation</x:v>
      </x:c>
      <x:c r="G758" s="15" t="n">
        <x:v>0</x:v>
      </x:c>
      <x:c r="H758" s="15" t="n">
        <x:v>0</x:v>
      </x:c>
      <x:c r="I758" s="15" t="n">
        <x:v>0</x:v>
      </x:c>
      <x:c r="J758" s="15" t="n">
        <x:v>0</x:v>
      </x:c>
      <x:c r="K758" s="15" t="n">
        <x:v>0</x:v>
      </x:c>
      <x:c r="L758" s="15" t="n">
        <x:v>0</x:v>
      </x:c>
      <x:c r="M758" s="15" t="n">
        <x:v>180</x:v>
      </x:c>
      <x:c r="N758" s="15" t="n">
        <x:v>220</x:v>
      </x:c>
      <x:c r="O758" s="15" t="n">
        <x:v>96</x:v>
      </x:c>
      <x:c r="P758" s="15" t="n">
        <x:v>64</x:v>
      </x:c>
      <x:c r="Q758" s="15" t="n">
        <x:v>32</x:v>
      </x:c>
      <x:c r="R758" s="15" t="n">
        <x:v>0</x:v>
      </x:c>
      <x:c r="S758" s="15" t="n">
        <x:v>0</x:v>
      </x:c>
      <x:c r="T758" s="15" t="n">
        <x:v>0</x:v>
      </x:c>
      <x:c r="U758" s="15" t="n">
        <x:v>0</x:v>
      </x:c>
      <x:c r="V758" s="15" t="n">
        <x:v>0</x:v>
      </x:c>
      <x:c r="W758" s="15" t="n">
        <x:v>0</x:v>
      </x:c>
      <x:c r="X758" s="15" t="n">
        <x:v>0</x:v>
      </x:c>
      <x:c r="Y758" s="15" t="n">
        <x:v>0</x:v>
      </x:c>
      <x:c r="Z758" s="15" t="n">
        <x:v>0</x:v>
      </x:c>
      <x:c r="AA758" s="15" t="n">
        <x:v>0</x:v>
      </x:c>
      <x:c r="AB758" s="15" t="n">
        <x:f>SUM(G758:AA758)</x:f>
        <x:v>592</x:v>
      </x:c>
    </x:row>
    <x:row r="759" ht="36" customHeight="1">
      <x:c r="A759" s="10" t="str">
        <x:v>V-R1</x:v>
      </x:c>
      <x:c r="B759" s="10" t="str">
        <x:v>VOICE</x:v>
      </x:c>
      <x:c r="C759" s="10" t="str">
        <x:v>VOICE:S5-19</x:v>
      </x:c>
      <x:c r="D759" s="10" t="str">
        <x:v>VOICE:M8268</x:v>
      </x:c>
      <x:c r="E759" s="15" t="n">
        <x:v>-57.77</x:v>
      </x:c>
      <x:c r="F759" s="15" t="str">
        <x:v>preparation</x:v>
      </x:c>
      <x:c r="G759" s="15" t="n">
        <x:v>0</x:v>
      </x:c>
      <x:c r="H759" s="15" t="n">
        <x:v>0</x:v>
      </x:c>
      <x:c r="I759" s="15" t="n">
        <x:v>0</x:v>
      </x:c>
      <x:c r="J759" s="15" t="n">
        <x:v>0</x:v>
      </x:c>
      <x:c r="K759" s="15" t="n">
        <x:v>0</x:v>
      </x:c>
      <x:c r="L759" s="15" t="n">
        <x:v>0</x:v>
      </x:c>
      <x:c r="M759" s="15" t="n">
        <x:v>180</x:v>
      </x:c>
      <x:c r="N759" s="15" t="n">
        <x:v>220</x:v>
      </x:c>
      <x:c r="O759" s="15" t="n">
        <x:v>96</x:v>
      </x:c>
      <x:c r="P759" s="15" t="n">
        <x:v>64</x:v>
      </x:c>
      <x:c r="Q759" s="15" t="n">
        <x:v>24</x:v>
      </x:c>
      <x:c r="R759" s="15" t="n">
        <x:v>60</x:v>
      </x:c>
      <x:c r="S759" s="15" t="n">
        <x:v>280</x:v>
      </x:c>
      <x:c r="T759" s="15" t="n">
        <x:v>420</x:v>
      </x:c>
      <x:c r="U759" s="15" t="n">
        <x:v>0</x:v>
      </x:c>
      <x:c r="V759" s="15" t="n">
        <x:v>180</x:v>
      </x:c>
      <x:c r="W759" s="15" t="n">
        <x:v>380</x:v>
      </x:c>
      <x:c r="X759" s="15" t="n">
        <x:v>0</x:v>
      </x:c>
      <x:c r="Y759" s="15" t="n">
        <x:v>0</x:v>
      </x:c>
      <x:c r="Z759" s="15" t="n">
        <x:v>0</x:v>
      </x:c>
      <x:c r="AA759" s="15" t="n">
        <x:v>0</x:v>
      </x:c>
      <x:c r="AB759" s="15" t="n">
        <x:f>SUM(G759:AA759)</x:f>
        <x:v>1904</x:v>
      </x:c>
    </x:row>
    <x:row r="760" ht="36" customHeight="1">
      <x:c r="A760" s="10" t="str">
        <x:v>V-R2</x:v>
      </x:c>
      <x:c r="B760" s="10" t="str">
        <x:v>VOICE</x:v>
      </x:c>
      <x:c r="C760" s="10" t="str">
        <x:v>VOICE:S5-19</x:v>
      </x:c>
      <x:c r="D760" s="10" t="str">
        <x:v>VOICE:M8294</x:v>
      </x:c>
      <x:c r="E760" s="15" t="n">
        <x:v>-57.77</x:v>
      </x:c>
      <x:c r="F760" s="15" t="str">
        <x:v>preparation</x:v>
      </x:c>
      <x:c r="G760" s="15" t="n">
        <x:v>0</x:v>
      </x:c>
      <x:c r="H760" s="15" t="n">
        <x:v>0</x:v>
      </x:c>
      <x:c r="I760" s="15" t="n">
        <x:v>0</x:v>
      </x:c>
      <x:c r="J760" s="15" t="n">
        <x:v>0</x:v>
      </x:c>
      <x:c r="K760" s="15" t="n">
        <x:v>0</x:v>
      </x:c>
      <x:c r="L760" s="15" t="n">
        <x:v>0</x:v>
      </x:c>
      <x:c r="M760" s="15" t="n">
        <x:v>180</x:v>
      </x:c>
      <x:c r="N760" s="15" t="n">
        <x:v>220</x:v>
      </x:c>
      <x:c r="O760" s="15" t="n">
        <x:v>96</x:v>
      </x:c>
      <x:c r="P760" s="15" t="n">
        <x:v>64</x:v>
      </x:c>
      <x:c r="Q760" s="15" t="n">
        <x:v>24</x:v>
      </x:c>
      <x:c r="R760" s="15" t="n">
        <x:v>60</x:v>
      </x:c>
      <x:c r="S760" s="15" t="n">
        <x:v>280</x:v>
      </x:c>
      <x:c r="T760" s="15" t="n">
        <x:v>420</x:v>
      </x:c>
      <x:c r="U760" s="15" t="n">
        <x:v>0</x:v>
      </x:c>
      <x:c r="V760" s="15" t="n">
        <x:v>180</x:v>
      </x:c>
      <x:c r="W760" s="15" t="n">
        <x:v>380</x:v>
      </x:c>
      <x:c r="X760" s="15" t="n">
        <x:v>0</x:v>
      </x:c>
      <x:c r="Y760" s="15" t="n">
        <x:v>0</x:v>
      </x:c>
      <x:c r="Z760" s="15" t="n">
        <x:v>0</x:v>
      </x:c>
      <x:c r="AA760" s="15" t="n">
        <x:v>0</x:v>
      </x:c>
      <x:c r="AB760" s="15" t="n">
        <x:f>SUM(G760:AA760)</x:f>
        <x:v>1904</x:v>
      </x:c>
    </x:row>
    <x:row r="761" ht="36" customHeight="1">
      <x:c r="A761" s="10" t="str">
        <x:v>V-R3</x:v>
      </x:c>
      <x:c r="B761" s="10" t="str">
        <x:v>VOICE</x:v>
      </x:c>
      <x:c r="C761" s="10" t="str">
        <x:v>VOICE:S5-19</x:v>
      </x:c>
      <x:c r="D761" s="10" t="str">
        <x:v>VOICE:M8319</x:v>
      </x:c>
      <x:c r="E761" s="15" t="n">
        <x:v>-57.77</x:v>
      </x:c>
      <x:c r="F761" s="15" t="str">
        <x:v>preparation</x:v>
      </x:c>
      <x:c r="G761" s="15" t="n">
        <x:v>0</x:v>
      </x:c>
      <x:c r="H761" s="15" t="n">
        <x:v>0</x:v>
      </x:c>
      <x:c r="I761" s="15" t="n">
        <x:v>0</x:v>
      </x:c>
      <x:c r="J761" s="15" t="n">
        <x:v>0</x:v>
      </x:c>
      <x:c r="K761" s="15" t="n">
        <x:v>0</x:v>
      </x:c>
      <x:c r="L761" s="15" t="n">
        <x:v>0</x:v>
      </x:c>
      <x:c r="M761" s="15" t="n">
        <x:v>180</x:v>
      </x:c>
      <x:c r="N761" s="15" t="n">
        <x:v>220</x:v>
      </x:c>
      <x:c r="O761" s="15" t="n">
        <x:v>96</x:v>
      </x:c>
      <x:c r="P761" s="15" t="n">
        <x:v>64</x:v>
      </x:c>
      <x:c r="Q761" s="15" t="n">
        <x:v>32</x:v>
      </x:c>
      <x:c r="R761" s="15" t="n">
        <x:v>60</x:v>
      </x:c>
      <x:c r="S761" s="15" t="n">
        <x:v>280</x:v>
      </x:c>
      <x:c r="T761" s="15" t="n">
        <x:v>420</x:v>
      </x:c>
      <x:c r="U761" s="15" t="n">
        <x:v>0</x:v>
      </x:c>
      <x:c r="V761" s="15" t="n">
        <x:v>180</x:v>
      </x:c>
      <x:c r="W761" s="15" t="n">
        <x:v>380</x:v>
      </x:c>
      <x:c r="X761" s="15" t="n">
        <x:v>0</x:v>
      </x:c>
      <x:c r="Y761" s="15" t="n">
        <x:v>0</x:v>
      </x:c>
      <x:c r="Z761" s="15" t="n">
        <x:v>0</x:v>
      </x:c>
      <x:c r="AA761" s="15" t="n">
        <x:v>0</x:v>
      </x:c>
      <x:c r="AB761" s="15" t="n">
        <x:f>SUM(G761:AA761)</x:f>
        <x:v>1912</x:v>
      </x:c>
    </x:row>
    <x:row r="762" ht="36" customHeight="1">
      <x:c r="A762" s="10" t="str">
        <x:v>V-A</x:v>
      </x:c>
      <x:c r="B762" s="10" t="str">
        <x:v>VOICE</x:v>
      </x:c>
      <x:c r="C762" s="10" t="str">
        <x:v>VOICE:S5-20</x:v>
      </x:c>
      <x:c r="D762" s="10" t="str">
        <x:v>VOICE:M8341</x:v>
      </x:c>
      <x:c r="E762" s="15" t="n">
        <x:v>-60</x:v>
      </x:c>
      <x:c r="F762" s="15" t="str">
        <x:v>preparation</x:v>
      </x:c>
      <x:c r="G762" s="15" t="n">
        <x:v>0</x:v>
      </x:c>
      <x:c r="H762" s="15" t="n">
        <x:v>0</x:v>
      </x:c>
      <x:c r="I762" s="15" t="n">
        <x:v>0</x:v>
      </x:c>
      <x:c r="J762" s="15" t="n">
        <x:v>0</x:v>
      </x:c>
      <x:c r="K762" s="15" t="n">
        <x:v>0</x:v>
      </x:c>
      <x:c r="L762" s="15" t="n">
        <x:v>0</x:v>
      </x:c>
      <x:c r="M762" s="15" t="n">
        <x:v>180</x:v>
      </x:c>
      <x:c r="N762" s="15" t="n">
        <x:v>220</x:v>
      </x:c>
      <x:c r="O762" s="15" t="n">
        <x:v>96</x:v>
      </x:c>
      <x:c r="P762" s="15" t="n">
        <x:v>64</x:v>
      </x:c>
      <x:c r="Q762" s="15" t="n">
        <x:v>32</x:v>
      </x:c>
      <x:c r="R762" s="15" t="n">
        <x:v>0</x:v>
      </x:c>
      <x:c r="S762" s="15" t="n">
        <x:v>0</x:v>
      </x:c>
      <x:c r="T762" s="15" t="n">
        <x:v>0</x:v>
      </x:c>
      <x:c r="U762" s="15" t="n">
        <x:v>0</x:v>
      </x:c>
      <x:c r="V762" s="15" t="n">
        <x:v>0</x:v>
      </x:c>
      <x:c r="W762" s="15" t="n">
        <x:v>0</x:v>
      </x:c>
      <x:c r="X762" s="15" t="n">
        <x:v>0</x:v>
      </x:c>
      <x:c r="Y762" s="15" t="n">
        <x:v>0</x:v>
      </x:c>
      <x:c r="Z762" s="15" t="n">
        <x:v>0</x:v>
      </x:c>
      <x:c r="AA762" s="15" t="n">
        <x:v>0</x:v>
      </x:c>
      <x:c r="AB762" s="15" t="n">
        <x:f>SUM(G762:AA762)</x:f>
        <x:v>592</x:v>
      </x:c>
    </x:row>
    <x:row r="763" ht="36" customHeight="1">
      <x:c r="A763" s="10" t="str">
        <x:v>V-R1</x:v>
      </x:c>
      <x:c r="B763" s="10" t="str">
        <x:v>VOICE</x:v>
      </x:c>
      <x:c r="C763" s="10" t="str">
        <x:v>VOICE:S5-20</x:v>
      </x:c>
      <x:c r="D763" s="10" t="str">
        <x:v>VOICE:M8367</x:v>
      </x:c>
      <x:c r="E763" s="15" t="n">
        <x:v>-57.77</x:v>
      </x:c>
      <x:c r="F763" s="15" t="str">
        <x:v>preparation</x:v>
      </x:c>
      <x:c r="G763" s="15" t="n">
        <x:v>0</x:v>
      </x:c>
      <x:c r="H763" s="15" t="n">
        <x:v>0</x:v>
      </x:c>
      <x:c r="I763" s="15" t="n">
        <x:v>0</x:v>
      </x:c>
      <x:c r="J763" s="15" t="n">
        <x:v>0</x:v>
      </x:c>
      <x:c r="K763" s="15" t="n">
        <x:v>0</x:v>
      </x:c>
      <x:c r="L763" s="15" t="n">
        <x:v>0</x:v>
      </x:c>
      <x:c r="M763" s="15" t="n">
        <x:v>180</x:v>
      </x:c>
      <x:c r="N763" s="15" t="n">
        <x:v>220</x:v>
      </x:c>
      <x:c r="O763" s="15" t="n">
        <x:v>96</x:v>
      </x:c>
      <x:c r="P763" s="15" t="n">
        <x:v>64</x:v>
      </x:c>
      <x:c r="Q763" s="15" t="n">
        <x:v>24</x:v>
      </x:c>
      <x:c r="R763" s="15" t="n">
        <x:v>60</x:v>
      </x:c>
      <x:c r="S763" s="15" t="n">
        <x:v>280</x:v>
      </x:c>
      <x:c r="T763" s="15" t="n">
        <x:v>420</x:v>
      </x:c>
      <x:c r="U763" s="15" t="n">
        <x:v>0</x:v>
      </x:c>
      <x:c r="V763" s="15" t="n">
        <x:v>180</x:v>
      </x:c>
      <x:c r="W763" s="15" t="n">
        <x:v>380</x:v>
      </x:c>
      <x:c r="X763" s="15" t="n">
        <x:v>0</x:v>
      </x:c>
      <x:c r="Y763" s="15" t="n">
        <x:v>0</x:v>
      </x:c>
      <x:c r="Z763" s="15" t="n">
        <x:v>0</x:v>
      </x:c>
      <x:c r="AA763" s="15" t="n">
        <x:v>0</x:v>
      </x:c>
      <x:c r="AB763" s="15" t="n">
        <x:f>SUM(G763:AA763)</x:f>
        <x:v>1904</x:v>
      </x:c>
    </x:row>
    <x:row r="764" ht="36" customHeight="1">
      <x:c r="A764" s="10" t="str">
        <x:v>V-R2</x:v>
      </x:c>
      <x:c r="B764" s="10" t="str">
        <x:v>VOICE</x:v>
      </x:c>
      <x:c r="C764" s="10" t="str">
        <x:v>VOICE:S5-20</x:v>
      </x:c>
      <x:c r="D764" s="10" t="str">
        <x:v>VOICE:M8393</x:v>
      </x:c>
      <x:c r="E764" s="15" t="n">
        <x:v>-57.77</x:v>
      </x:c>
      <x:c r="F764" s="15" t="str">
        <x:v>preparation</x:v>
      </x:c>
      <x:c r="G764" s="15" t="n">
        <x:v>0</x:v>
      </x:c>
      <x:c r="H764" s="15" t="n">
        <x:v>0</x:v>
      </x:c>
      <x:c r="I764" s="15" t="n">
        <x:v>0</x:v>
      </x:c>
      <x:c r="J764" s="15" t="n">
        <x:v>0</x:v>
      </x:c>
      <x:c r="K764" s="15" t="n">
        <x:v>0</x:v>
      </x:c>
      <x:c r="L764" s="15" t="n">
        <x:v>0</x:v>
      </x:c>
      <x:c r="M764" s="15" t="n">
        <x:v>180</x:v>
      </x:c>
      <x:c r="N764" s="15" t="n">
        <x:v>220</x:v>
      </x:c>
      <x:c r="O764" s="15" t="n">
        <x:v>96</x:v>
      </x:c>
      <x:c r="P764" s="15" t="n">
        <x:v>64</x:v>
      </x:c>
      <x:c r="Q764" s="15" t="n">
        <x:v>24</x:v>
      </x:c>
      <x:c r="R764" s="15" t="n">
        <x:v>60</x:v>
      </x:c>
      <x:c r="S764" s="15" t="n">
        <x:v>280</x:v>
      </x:c>
      <x:c r="T764" s="15" t="n">
        <x:v>420</x:v>
      </x:c>
      <x:c r="U764" s="15" t="n">
        <x:v>0</x:v>
      </x:c>
      <x:c r="V764" s="15" t="n">
        <x:v>180</x:v>
      </x:c>
      <x:c r="W764" s="15" t="n">
        <x:v>380</x:v>
      </x:c>
      <x:c r="X764" s="15" t="n">
        <x:v>0</x:v>
      </x:c>
      <x:c r="Y764" s="15" t="n">
        <x:v>0</x:v>
      </x:c>
      <x:c r="Z764" s="15" t="n">
        <x:v>0</x:v>
      </x:c>
      <x:c r="AA764" s="15" t="n">
        <x:v>0</x:v>
      </x:c>
      <x:c r="AB764" s="15" t="n">
        <x:f>SUM(G764:AA764)</x:f>
        <x:v>1904</x:v>
      </x:c>
    </x:row>
    <x:row r="765" ht="36" customHeight="1">
      <x:c r="A765" s="10" t="str">
        <x:v>V-R3</x:v>
      </x:c>
      <x:c r="B765" s="10" t="str">
        <x:v>VOICE</x:v>
      </x:c>
      <x:c r="C765" s="10" t="str">
        <x:v>VOICE:S5-20</x:v>
      </x:c>
      <x:c r="D765" s="10" t="str">
        <x:v>VOICE:M8418</x:v>
      </x:c>
      <x:c r="E765" s="15" t="n">
        <x:v>-57.77</x:v>
      </x:c>
      <x:c r="F765" s="15" t="str">
        <x:v>preparation</x:v>
      </x:c>
      <x:c r="G765" s="15" t="n">
        <x:v>0</x:v>
      </x:c>
      <x:c r="H765" s="15" t="n">
        <x:v>0</x:v>
      </x:c>
      <x:c r="I765" s="15" t="n">
        <x:v>0</x:v>
      </x:c>
      <x:c r="J765" s="15" t="n">
        <x:v>0</x:v>
      </x:c>
      <x:c r="K765" s="15" t="n">
        <x:v>0</x:v>
      </x:c>
      <x:c r="L765" s="15" t="n">
        <x:v>0</x:v>
      </x:c>
      <x:c r="M765" s="15" t="n">
        <x:v>180</x:v>
      </x:c>
      <x:c r="N765" s="15" t="n">
        <x:v>220</x:v>
      </x:c>
      <x:c r="O765" s="15" t="n">
        <x:v>96</x:v>
      </x:c>
      <x:c r="P765" s="15" t="n">
        <x:v>64</x:v>
      </x:c>
      <x:c r="Q765" s="15" t="n">
        <x:v>32</x:v>
      </x:c>
      <x:c r="R765" s="15" t="n">
        <x:v>60</x:v>
      </x:c>
      <x:c r="S765" s="15" t="n">
        <x:v>280</x:v>
      </x:c>
      <x:c r="T765" s="15" t="n">
        <x:v>420</x:v>
      </x:c>
      <x:c r="U765" s="15" t="n">
        <x:v>0</x:v>
      </x:c>
      <x:c r="V765" s="15" t="n">
        <x:v>180</x:v>
      </x:c>
      <x:c r="W765" s="15" t="n">
        <x:v>380</x:v>
      </x:c>
      <x:c r="X765" s="15" t="n">
        <x:v>0</x:v>
      </x:c>
      <x:c r="Y765" s="15" t="n">
        <x:v>0</x:v>
      </x:c>
      <x:c r="Z765" s="15" t="n">
        <x:v>0</x:v>
      </x:c>
      <x:c r="AA765" s="15" t="n">
        <x:v>0</x:v>
      </x:c>
      <x:c r="AB765" s="15" t="n">
        <x:f>SUM(G765:AA765)</x:f>
        <x:v>1912</x:v>
      </x:c>
    </x:row>
    <x:row r="766" ht="36" customHeight="1">
      <x:c r="A766" s="10" t="str">
        <x:v>V-A</x:v>
      </x:c>
      <x:c r="B766" s="10" t="str">
        <x:v>VOICE</x:v>
      </x:c>
      <x:c r="C766" s="10" t="str">
        <x:v>VOICE:S6-01</x:v>
      </x:c>
      <x:c r="D766" s="10" t="str">
        <x:v>VOICE:M8440</x:v>
      </x:c>
      <x:c r="E766" s="15" t="n">
        <x:v>0</x:v>
      </x:c>
      <x:c r="F766" s="15" t="str">
        <x:v>scored</x:v>
      </x:c>
      <x:c r="G766" s="15" t="n">
        <x:v>0</x:v>
      </x:c>
      <x:c r="H766" s="15" t="n">
        <x:v>0</x:v>
      </x:c>
      <x:c r="I766" s="15" t="n">
        <x:v>0</x:v>
      </x:c>
      <x:c r="J766" s="15" t="n">
        <x:v>0</x:v>
      </x:c>
      <x:c r="K766" s="15" t="n">
        <x:v>0</x:v>
      </x:c>
      <x:c r="L766" s="15" t="n">
        <x:v>0</x:v>
      </x:c>
      <x:c r="M766" s="15" t="n">
        <x:v>180</x:v>
      </x:c>
      <x:c r="N766" s="15" t="n">
        <x:v>220</x:v>
      </x:c>
      <x:c r="O766" s="15" t="n">
        <x:v>96</x:v>
      </x:c>
      <x:c r="P766" s="15" t="n">
        <x:v>64</x:v>
      </x:c>
      <x:c r="Q766" s="15" t="n">
        <x:v>32</x:v>
      </x:c>
      <x:c r="R766" s="15" t="n">
        <x:v>0</x:v>
      </x:c>
      <x:c r="S766" s="15" t="n">
        <x:v>0</x:v>
      </x:c>
      <x:c r="T766" s="15" t="n">
        <x:v>0</x:v>
      </x:c>
      <x:c r="U766" s="15" t="n">
        <x:v>0</x:v>
      </x:c>
      <x:c r="V766" s="15" t="n">
        <x:v>0</x:v>
      </x:c>
      <x:c r="W766" s="15" t="n">
        <x:v>0</x:v>
      </x:c>
      <x:c r="X766" s="15" t="n">
        <x:v>0</x:v>
      </x:c>
      <x:c r="Y766" s="15" t="n">
        <x:v>0</x:v>
      </x:c>
      <x:c r="Z766" s="15" t="n">
        <x:v>0</x:v>
      </x:c>
      <x:c r="AA766" s="15" t="n">
        <x:v>0</x:v>
      </x:c>
      <x:c r="AB766" s="15" t="n">
        <x:f>SUM(G766:AA766)</x:f>
        <x:v>592</x:v>
      </x:c>
    </x:row>
    <x:row r="767" ht="36" customHeight="1">
      <x:c r="A767" s="10" t="str">
        <x:v>V-R1</x:v>
      </x:c>
      <x:c r="B767" s="10" t="str">
        <x:v>VOICE</x:v>
      </x:c>
      <x:c r="C767" s="10" t="str">
        <x:v>VOICE:S6-01</x:v>
      </x:c>
      <x:c r="D767" s="10" t="str">
        <x:v>VOICE:M8455</x:v>
      </x:c>
      <x:c r="E767" s="15" t="n">
        <x:v>2.23</x:v>
      </x:c>
      <x:c r="F767" s="15" t="str">
        <x:v>scored</x:v>
      </x:c>
      <x:c r="G767" s="15" t="n">
        <x:v>0</x:v>
      </x:c>
      <x:c r="H767" s="15" t="n">
        <x:v>0</x:v>
      </x:c>
      <x:c r="I767" s="15" t="n">
        <x:v>0</x:v>
      </x:c>
      <x:c r="J767" s="15" t="n">
        <x:v>0</x:v>
      </x:c>
      <x:c r="K767" s="15" t="n">
        <x:v>0</x:v>
      </x:c>
      <x:c r="L767" s="15" t="n">
        <x:v>0</x:v>
      </x:c>
      <x:c r="M767" s="15" t="n">
        <x:v>180</x:v>
      </x:c>
      <x:c r="N767" s="15" t="n">
        <x:v>220</x:v>
      </x:c>
      <x:c r="O767" s="15" t="n">
        <x:v>96</x:v>
      </x:c>
      <x:c r="P767" s="15" t="n">
        <x:v>64</x:v>
      </x:c>
      <x:c r="Q767" s="15" t="n">
        <x:v>24</x:v>
      </x:c>
      <x:c r="R767" s="15" t="n">
        <x:v>60</x:v>
      </x:c>
      <x:c r="S767" s="15" t="n">
        <x:v>280</x:v>
      </x:c>
      <x:c r="T767" s="15" t="n">
        <x:v>420</x:v>
      </x:c>
      <x:c r="U767" s="15" t="n">
        <x:v>0</x:v>
      </x:c>
      <x:c r="V767" s="15" t="n">
        <x:v>48</x:v>
      </x:c>
      <x:c r="W767" s="15" t="n">
        <x:v>380</x:v>
      </x:c>
      <x:c r="X767" s="15" t="n">
        <x:v>0</x:v>
      </x:c>
      <x:c r="Y767" s="15" t="n">
        <x:v>0</x:v>
      </x:c>
      <x:c r="Z767" s="15" t="n">
        <x:v>0</x:v>
      </x:c>
      <x:c r="AA767" s="15" t="n">
        <x:v>0</x:v>
      </x:c>
      <x:c r="AB767" s="15" t="n">
        <x:f>SUM(G767:AA767)</x:f>
        <x:v>1772</x:v>
      </x:c>
    </x:row>
    <x:row r="768" ht="36" customHeight="1">
      <x:c r="A768" s="10" t="str">
        <x:v>V-R2</x:v>
      </x:c>
      <x:c r="B768" s="10" t="str">
        <x:v>VOICE</x:v>
      </x:c>
      <x:c r="C768" s="10" t="str">
        <x:v>VOICE:S6-01</x:v>
      </x:c>
      <x:c r="D768" s="10" t="str">
        <x:v>VOICE:M8470</x:v>
      </x:c>
      <x:c r="E768" s="15" t="n">
        <x:v>2.23</x:v>
      </x:c>
      <x:c r="F768" s="15" t="str">
        <x:v>scored</x:v>
      </x:c>
      <x:c r="G768" s="15" t="n">
        <x:v>0</x:v>
      </x:c>
      <x:c r="H768" s="15" t="n">
        <x:v>0</x:v>
      </x:c>
      <x:c r="I768" s="15" t="n">
        <x:v>0</x:v>
      </x:c>
      <x:c r="J768" s="15" t="n">
        <x:v>0</x:v>
      </x:c>
      <x:c r="K768" s="15" t="n">
        <x:v>0</x:v>
      </x:c>
      <x:c r="L768" s="15" t="n">
        <x:v>0</x:v>
      </x:c>
      <x:c r="M768" s="15" t="n">
        <x:v>180</x:v>
      </x:c>
      <x:c r="N768" s="15" t="n">
        <x:v>220</x:v>
      </x:c>
      <x:c r="O768" s="15" t="n">
        <x:v>96</x:v>
      </x:c>
      <x:c r="P768" s="15" t="n">
        <x:v>64</x:v>
      </x:c>
      <x:c r="Q768" s="15" t="n">
        <x:v>24</x:v>
      </x:c>
      <x:c r="R768" s="15" t="n">
        <x:v>60</x:v>
      </x:c>
      <x:c r="S768" s="15" t="n">
        <x:v>280</x:v>
      </x:c>
      <x:c r="T768" s="15" t="n">
        <x:v>420</x:v>
      </x:c>
      <x:c r="U768" s="15" t="n">
        <x:v>0</x:v>
      </x:c>
      <x:c r="V768" s="15" t="n">
        <x:v>48</x:v>
      </x:c>
      <x:c r="W768" s="15" t="n">
        <x:v>380</x:v>
      </x:c>
      <x:c r="X768" s="15" t="n">
        <x:v>0</x:v>
      </x:c>
      <x:c r="Y768" s="15" t="n">
        <x:v>0</x:v>
      </x:c>
      <x:c r="Z768" s="15" t="n">
        <x:v>0</x:v>
      </x:c>
      <x:c r="AA768" s="15" t="n">
        <x:v>0</x:v>
      </x:c>
      <x:c r="AB768" s="15" t="n">
        <x:f>SUM(G768:AA768)</x:f>
        <x:v>1772</x:v>
      </x:c>
    </x:row>
    <x:row r="769" ht="36" customHeight="1">
      <x:c r="A769" s="10" t="str">
        <x:v>V-R3</x:v>
      </x:c>
      <x:c r="B769" s="10" t="str">
        <x:v>VOICE</x:v>
      </x:c>
      <x:c r="C769" s="10" t="str">
        <x:v>VOICE:S6-01</x:v>
      </x:c>
      <x:c r="D769" s="10" t="str">
        <x:v>VOICE:M8484</x:v>
      </x:c>
      <x:c r="E769" s="15" t="n">
        <x:v>2.23</x:v>
      </x:c>
      <x:c r="F769" s="15" t="str">
        <x:v>scored</x:v>
      </x:c>
      <x:c r="G769" s="15" t="n">
        <x:v>0</x:v>
      </x:c>
      <x:c r="H769" s="15" t="n">
        <x:v>0</x:v>
      </x:c>
      <x:c r="I769" s="15" t="n">
        <x:v>0</x:v>
      </x:c>
      <x:c r="J769" s="15" t="n">
        <x:v>0</x:v>
      </x:c>
      <x:c r="K769" s="15" t="n">
        <x:v>0</x:v>
      </x:c>
      <x:c r="L769" s="15" t="n">
        <x:v>0</x:v>
      </x:c>
      <x:c r="M769" s="15" t="n">
        <x:v>180</x:v>
      </x:c>
      <x:c r="N769" s="15" t="n">
        <x:v>220</x:v>
      </x:c>
      <x:c r="O769" s="15" t="n">
        <x:v>96</x:v>
      </x:c>
      <x:c r="P769" s="15" t="n">
        <x:v>64</x:v>
      </x:c>
      <x:c r="Q769" s="15" t="n">
        <x:v>32</x:v>
      </x:c>
      <x:c r="R769" s="15" t="n">
        <x:v>60</x:v>
      </x:c>
      <x:c r="S769" s="15" t="n">
        <x:v>280</x:v>
      </x:c>
      <x:c r="T769" s="15" t="n">
        <x:v>420</x:v>
      </x:c>
      <x:c r="U769" s="15" t="n">
        <x:v>0</x:v>
      </x:c>
      <x:c r="V769" s="15" t="n">
        <x:v>48</x:v>
      </x:c>
      <x:c r="W769" s="15" t="n">
        <x:v>380</x:v>
      </x:c>
      <x:c r="X769" s="15" t="n">
        <x:v>0</x:v>
      </x:c>
      <x:c r="Y769" s="15" t="n">
        <x:v>0</x:v>
      </x:c>
      <x:c r="Z769" s="15" t="n">
        <x:v>0</x:v>
      </x:c>
      <x:c r="AA769" s="15" t="n">
        <x:v>0</x:v>
      </x:c>
      <x:c r="AB769" s="15" t="n">
        <x:f>SUM(G769:AA769)</x:f>
        <x:v>1780</x:v>
      </x:c>
    </x:row>
    <x:row r="770" ht="36" customHeight="1">
      <x:c r="A770" s="10" t="str">
        <x:v>V-A</x:v>
      </x:c>
      <x:c r="B770" s="10" t="str">
        <x:v>VOICE</x:v>
      </x:c>
      <x:c r="C770" s="10" t="str">
        <x:v>VOICE:S6-02</x:v>
      </x:c>
      <x:c r="D770" s="10" t="str">
        <x:v>VOICE:M8495</x:v>
      </x:c>
      <x:c r="E770" s="15" t="n">
        <x:v>0</x:v>
      </x:c>
      <x:c r="F770" s="15" t="str">
        <x:v>scored</x:v>
      </x:c>
      <x:c r="G770" s="15" t="n">
        <x:v>0</x:v>
      </x:c>
      <x:c r="H770" s="15" t="n">
        <x:v>0</x:v>
      </x:c>
      <x:c r="I770" s="15" t="n">
        <x:v>0</x:v>
      </x:c>
      <x:c r="J770" s="15" t="n">
        <x:v>0</x:v>
      </x:c>
      <x:c r="K770" s="15" t="n">
        <x:v>0</x:v>
      </x:c>
      <x:c r="L770" s="15" t="n">
        <x:v>0</x:v>
      </x:c>
      <x:c r="M770" s="15" t="n">
        <x:v>180</x:v>
      </x:c>
      <x:c r="N770" s="15" t="n">
        <x:v>220</x:v>
      </x:c>
      <x:c r="O770" s="15" t="n">
        <x:v>96</x:v>
      </x:c>
      <x:c r="P770" s="15" t="n">
        <x:v>64</x:v>
      </x:c>
      <x:c r="Q770" s="15" t="n">
        <x:v>32</x:v>
      </x:c>
      <x:c r="R770" s="15" t="n">
        <x:v>0</x:v>
      </x:c>
      <x:c r="S770" s="15" t="n">
        <x:v>0</x:v>
      </x:c>
      <x:c r="T770" s="15" t="n">
        <x:v>0</x:v>
      </x:c>
      <x:c r="U770" s="15" t="n">
        <x:v>0</x:v>
      </x:c>
      <x:c r="V770" s="15" t="n">
        <x:v>0</x:v>
      </x:c>
      <x:c r="W770" s="15" t="n">
        <x:v>0</x:v>
      </x:c>
      <x:c r="X770" s="15" t="n">
        <x:v>0</x:v>
      </x:c>
      <x:c r="Y770" s="15" t="n">
        <x:v>0</x:v>
      </x:c>
      <x:c r="Z770" s="15" t="n">
        <x:v>0</x:v>
      </x:c>
      <x:c r="AA770" s="15" t="n">
        <x:v>0</x:v>
      </x:c>
      <x:c r="AB770" s="15" t="n">
        <x:f>SUM(G770:AA770)</x:f>
        <x:v>592</x:v>
      </x:c>
    </x:row>
    <x:row r="771" ht="36" customHeight="1">
      <x:c r="A771" s="10" t="str">
        <x:v>V-R1</x:v>
      </x:c>
      <x:c r="B771" s="10" t="str">
        <x:v>VOICE</x:v>
      </x:c>
      <x:c r="C771" s="10" t="str">
        <x:v>VOICE:S6-02</x:v>
      </x:c>
      <x:c r="D771" s="10" t="str">
        <x:v>VOICE:M8510</x:v>
      </x:c>
      <x:c r="E771" s="15" t="n">
        <x:v>2.23</x:v>
      </x:c>
      <x:c r="F771" s="15" t="str">
        <x:v>scored</x:v>
      </x:c>
      <x:c r="G771" s="15" t="n">
        <x:v>0</x:v>
      </x:c>
      <x:c r="H771" s="15" t="n">
        <x:v>0</x:v>
      </x:c>
      <x:c r="I771" s="15" t="n">
        <x:v>0</x:v>
      </x:c>
      <x:c r="J771" s="15" t="n">
        <x:v>0</x:v>
      </x:c>
      <x:c r="K771" s="15" t="n">
        <x:v>0</x:v>
      </x:c>
      <x:c r="L771" s="15" t="n">
        <x:v>0</x:v>
      </x:c>
      <x:c r="M771" s="15" t="n">
        <x:v>180</x:v>
      </x:c>
      <x:c r="N771" s="15" t="n">
        <x:v>220</x:v>
      </x:c>
      <x:c r="O771" s="15" t="n">
        <x:v>96</x:v>
      </x:c>
      <x:c r="P771" s="15" t="n">
        <x:v>64</x:v>
      </x:c>
      <x:c r="Q771" s="15" t="n">
        <x:v>24</x:v>
      </x:c>
      <x:c r="R771" s="15" t="n">
        <x:v>60</x:v>
      </x:c>
      <x:c r="S771" s="15" t="n">
        <x:v>280</x:v>
      </x:c>
      <x:c r="T771" s="15" t="n">
        <x:v>420</x:v>
      </x:c>
      <x:c r="U771" s="15" t="n">
        <x:v>0</x:v>
      </x:c>
      <x:c r="V771" s="15" t="n">
        <x:v>48</x:v>
      </x:c>
      <x:c r="W771" s="15" t="n">
        <x:v>380</x:v>
      </x:c>
      <x:c r="X771" s="15" t="n">
        <x:v>0</x:v>
      </x:c>
      <x:c r="Y771" s="15" t="n">
        <x:v>0</x:v>
      </x:c>
      <x:c r="Z771" s="15" t="n">
        <x:v>0</x:v>
      </x:c>
      <x:c r="AA771" s="15" t="n">
        <x:v>0</x:v>
      </x:c>
      <x:c r="AB771" s="15" t="n">
        <x:f>SUM(G771:AA771)</x:f>
        <x:v>1772</x:v>
      </x:c>
    </x:row>
    <x:row r="772" ht="36" customHeight="1">
      <x:c r="A772" s="10" t="str">
        <x:v>V-R2</x:v>
      </x:c>
      <x:c r="B772" s="10" t="str">
        <x:v>VOICE</x:v>
      </x:c>
      <x:c r="C772" s="10" t="str">
        <x:v>VOICE:S6-02</x:v>
      </x:c>
      <x:c r="D772" s="10" t="str">
        <x:v>VOICE:M8525</x:v>
      </x:c>
      <x:c r="E772" s="15" t="n">
        <x:v>2.23</x:v>
      </x:c>
      <x:c r="F772" s="15" t="str">
        <x:v>scored</x:v>
      </x:c>
      <x:c r="G772" s="15" t="n">
        <x:v>0</x:v>
      </x:c>
      <x:c r="H772" s="15" t="n">
        <x:v>0</x:v>
      </x:c>
      <x:c r="I772" s="15" t="n">
        <x:v>0</x:v>
      </x:c>
      <x:c r="J772" s="15" t="n">
        <x:v>0</x:v>
      </x:c>
      <x:c r="K772" s="15" t="n">
        <x:v>0</x:v>
      </x:c>
      <x:c r="L772" s="15" t="n">
        <x:v>0</x:v>
      </x:c>
      <x:c r="M772" s="15" t="n">
        <x:v>180</x:v>
      </x:c>
      <x:c r="N772" s="15" t="n">
        <x:v>220</x:v>
      </x:c>
      <x:c r="O772" s="15" t="n">
        <x:v>96</x:v>
      </x:c>
      <x:c r="P772" s="15" t="n">
        <x:v>64</x:v>
      </x:c>
      <x:c r="Q772" s="15" t="n">
        <x:v>24</x:v>
      </x:c>
      <x:c r="R772" s="15" t="n">
        <x:v>60</x:v>
      </x:c>
      <x:c r="S772" s="15" t="n">
        <x:v>280</x:v>
      </x:c>
      <x:c r="T772" s="15" t="n">
        <x:v>420</x:v>
      </x:c>
      <x:c r="U772" s="15" t="n">
        <x:v>0</x:v>
      </x:c>
      <x:c r="V772" s="15" t="n">
        <x:v>48</x:v>
      </x:c>
      <x:c r="W772" s="15" t="n">
        <x:v>380</x:v>
      </x:c>
      <x:c r="X772" s="15" t="n">
        <x:v>0</x:v>
      </x:c>
      <x:c r="Y772" s="15" t="n">
        <x:v>0</x:v>
      </x:c>
      <x:c r="Z772" s="15" t="n">
        <x:v>0</x:v>
      </x:c>
      <x:c r="AA772" s="15" t="n">
        <x:v>0</x:v>
      </x:c>
      <x:c r="AB772" s="15" t="n">
        <x:f>SUM(G772:AA772)</x:f>
        <x:v>1772</x:v>
      </x:c>
    </x:row>
    <x:row r="773" ht="36" customHeight="1">
      <x:c r="A773" s="10" t="str">
        <x:v>V-R3</x:v>
      </x:c>
      <x:c r="B773" s="10" t="str">
        <x:v>VOICE</x:v>
      </x:c>
      <x:c r="C773" s="10" t="str">
        <x:v>VOICE:S6-02</x:v>
      </x:c>
      <x:c r="D773" s="10" t="str">
        <x:v>VOICE:M8539</x:v>
      </x:c>
      <x:c r="E773" s="15" t="n">
        <x:v>2.23</x:v>
      </x:c>
      <x:c r="F773" s="15" t="str">
        <x:v>scored</x:v>
      </x:c>
      <x:c r="G773" s="15" t="n">
        <x:v>0</x:v>
      </x:c>
      <x:c r="H773" s="15" t="n">
        <x:v>0</x:v>
      </x:c>
      <x:c r="I773" s="15" t="n">
        <x:v>0</x:v>
      </x:c>
      <x:c r="J773" s="15" t="n">
        <x:v>0</x:v>
      </x:c>
      <x:c r="K773" s="15" t="n">
        <x:v>0</x:v>
      </x:c>
      <x:c r="L773" s="15" t="n">
        <x:v>0</x:v>
      </x:c>
      <x:c r="M773" s="15" t="n">
        <x:v>180</x:v>
      </x:c>
      <x:c r="N773" s="15" t="n">
        <x:v>220</x:v>
      </x:c>
      <x:c r="O773" s="15" t="n">
        <x:v>96</x:v>
      </x:c>
      <x:c r="P773" s="15" t="n">
        <x:v>64</x:v>
      </x:c>
      <x:c r="Q773" s="15" t="n">
        <x:v>32</x:v>
      </x:c>
      <x:c r="R773" s="15" t="n">
        <x:v>60</x:v>
      </x:c>
      <x:c r="S773" s="15" t="n">
        <x:v>280</x:v>
      </x:c>
      <x:c r="T773" s="15" t="n">
        <x:v>420</x:v>
      </x:c>
      <x:c r="U773" s="15" t="n">
        <x:v>0</x:v>
      </x:c>
      <x:c r="V773" s="15" t="n">
        <x:v>48</x:v>
      </x:c>
      <x:c r="W773" s="15" t="n">
        <x:v>380</x:v>
      </x:c>
      <x:c r="X773" s="15" t="n">
        <x:v>0</x:v>
      </x:c>
      <x:c r="Y773" s="15" t="n">
        <x:v>0</x:v>
      </x:c>
      <x:c r="Z773" s="15" t="n">
        <x:v>0</x:v>
      </x:c>
      <x:c r="AA773" s="15" t="n">
        <x:v>0</x:v>
      </x:c>
      <x:c r="AB773" s="15" t="n">
        <x:f>SUM(G773:AA773)</x:f>
        <x:v>1780</x:v>
      </x:c>
    </x:row>
    <x:row r="774" ht="36" customHeight="1">
      <x:c r="A774" s="10" t="str">
        <x:v>V-A</x:v>
      </x:c>
      <x:c r="B774" s="10" t="str">
        <x:v>VOICE</x:v>
      </x:c>
      <x:c r="C774" s="10" t="str">
        <x:v>VOICE:S6-03</x:v>
      </x:c>
      <x:c r="D774" s="10" t="str">
        <x:v>VOICE:M8550</x:v>
      </x:c>
      <x:c r="E774" s="15" t="n">
        <x:v>0</x:v>
      </x:c>
      <x:c r="F774" s="15" t="str">
        <x:v>scored</x:v>
      </x:c>
      <x:c r="G774" s="15" t="n">
        <x:v>0</x:v>
      </x:c>
      <x:c r="H774" s="15" t="n">
        <x:v>0</x:v>
      </x:c>
      <x:c r="I774" s="15" t="n">
        <x:v>0</x:v>
      </x:c>
      <x:c r="J774" s="15" t="n">
        <x:v>0</x:v>
      </x:c>
      <x:c r="K774" s="15" t="n">
        <x:v>0</x:v>
      </x:c>
      <x:c r="L774" s="15" t="n">
        <x:v>0</x:v>
      </x:c>
      <x:c r="M774" s="15" t="n">
        <x:v>180</x:v>
      </x:c>
      <x:c r="N774" s="15" t="n">
        <x:v>220</x:v>
      </x:c>
      <x:c r="O774" s="15" t="n">
        <x:v>96</x:v>
      </x:c>
      <x:c r="P774" s="15" t="n">
        <x:v>64</x:v>
      </x:c>
      <x:c r="Q774" s="15" t="n">
        <x:v>32</x:v>
      </x:c>
      <x:c r="R774" s="15" t="n">
        <x:v>0</x:v>
      </x:c>
      <x:c r="S774" s="15" t="n">
        <x:v>0</x:v>
      </x:c>
      <x:c r="T774" s="15" t="n">
        <x:v>0</x:v>
      </x:c>
      <x:c r="U774" s="15" t="n">
        <x:v>0</x:v>
      </x:c>
      <x:c r="V774" s="15" t="n">
        <x:v>0</x:v>
      </x:c>
      <x:c r="W774" s="15" t="n">
        <x:v>0</x:v>
      </x:c>
      <x:c r="X774" s="15" t="n">
        <x:v>0</x:v>
      </x:c>
      <x:c r="Y774" s="15" t="n">
        <x:v>0</x:v>
      </x:c>
      <x:c r="Z774" s="15" t="n">
        <x:v>0</x:v>
      </x:c>
      <x:c r="AA774" s="15" t="n">
        <x:v>0</x:v>
      </x:c>
      <x:c r="AB774" s="15" t="n">
        <x:f>SUM(G774:AA774)</x:f>
        <x:v>592</x:v>
      </x:c>
    </x:row>
    <x:row r="775" ht="36" customHeight="1">
      <x:c r="A775" s="10" t="str">
        <x:v>V-R1</x:v>
      </x:c>
      <x:c r="B775" s="10" t="str">
        <x:v>VOICE</x:v>
      </x:c>
      <x:c r="C775" s="10" t="str">
        <x:v>VOICE:S6-03</x:v>
      </x:c>
      <x:c r="D775" s="10" t="str">
        <x:v>VOICE:M8565</x:v>
      </x:c>
      <x:c r="E775" s="15" t="n">
        <x:v>2.23</x:v>
      </x:c>
      <x:c r="F775" s="15" t="str">
        <x:v>scored</x:v>
      </x:c>
      <x:c r="G775" s="15" t="n">
        <x:v>0</x:v>
      </x:c>
      <x:c r="H775" s="15" t="n">
        <x:v>0</x:v>
      </x:c>
      <x:c r="I775" s="15" t="n">
        <x:v>0</x:v>
      </x:c>
      <x:c r="J775" s="15" t="n">
        <x:v>0</x:v>
      </x:c>
      <x:c r="K775" s="15" t="n">
        <x:v>0</x:v>
      </x:c>
      <x:c r="L775" s="15" t="n">
        <x:v>0</x:v>
      </x:c>
      <x:c r="M775" s="15" t="n">
        <x:v>180</x:v>
      </x:c>
      <x:c r="N775" s="15" t="n">
        <x:v>220</x:v>
      </x:c>
      <x:c r="O775" s="15" t="n">
        <x:v>96</x:v>
      </x:c>
      <x:c r="P775" s="15" t="n">
        <x:v>64</x:v>
      </x:c>
      <x:c r="Q775" s="15" t="n">
        <x:v>24</x:v>
      </x:c>
      <x:c r="R775" s="15" t="n">
        <x:v>60</x:v>
      </x:c>
      <x:c r="S775" s="15" t="n">
        <x:v>280</x:v>
      </x:c>
      <x:c r="T775" s="15" t="n">
        <x:v>420</x:v>
      </x:c>
      <x:c r="U775" s="15" t="n">
        <x:v>0</x:v>
      </x:c>
      <x:c r="V775" s="15" t="n">
        <x:v>48</x:v>
      </x:c>
      <x:c r="W775" s="15" t="n">
        <x:v>380</x:v>
      </x:c>
      <x:c r="X775" s="15" t="n">
        <x:v>0</x:v>
      </x:c>
      <x:c r="Y775" s="15" t="n">
        <x:v>0</x:v>
      </x:c>
      <x:c r="Z775" s="15" t="n">
        <x:v>0</x:v>
      </x:c>
      <x:c r="AA775" s="15" t="n">
        <x:v>0</x:v>
      </x:c>
      <x:c r="AB775" s="15" t="n">
        <x:f>SUM(G775:AA775)</x:f>
        <x:v>1772</x:v>
      </x:c>
    </x:row>
    <x:row r="776" ht="36" customHeight="1">
      <x:c r="A776" s="10" t="str">
        <x:v>V-R2</x:v>
      </x:c>
      <x:c r="B776" s="10" t="str">
        <x:v>VOICE</x:v>
      </x:c>
      <x:c r="C776" s="10" t="str">
        <x:v>VOICE:S6-03</x:v>
      </x:c>
      <x:c r="D776" s="10" t="str">
        <x:v>VOICE:M8580</x:v>
      </x:c>
      <x:c r="E776" s="15" t="n">
        <x:v>2.23</x:v>
      </x:c>
      <x:c r="F776" s="15" t="str">
        <x:v>scored</x:v>
      </x:c>
      <x:c r="G776" s="15" t="n">
        <x:v>0</x:v>
      </x:c>
      <x:c r="H776" s="15" t="n">
        <x:v>0</x:v>
      </x:c>
      <x:c r="I776" s="15" t="n">
        <x:v>0</x:v>
      </x:c>
      <x:c r="J776" s="15" t="n">
        <x:v>0</x:v>
      </x:c>
      <x:c r="K776" s="15" t="n">
        <x:v>0</x:v>
      </x:c>
      <x:c r="L776" s="15" t="n">
        <x:v>0</x:v>
      </x:c>
      <x:c r="M776" s="15" t="n">
        <x:v>180</x:v>
      </x:c>
      <x:c r="N776" s="15" t="n">
        <x:v>220</x:v>
      </x:c>
      <x:c r="O776" s="15" t="n">
        <x:v>96</x:v>
      </x:c>
      <x:c r="P776" s="15" t="n">
        <x:v>64</x:v>
      </x:c>
      <x:c r="Q776" s="15" t="n">
        <x:v>24</x:v>
      </x:c>
      <x:c r="R776" s="15" t="n">
        <x:v>60</x:v>
      </x:c>
      <x:c r="S776" s="15" t="n">
        <x:v>280</x:v>
      </x:c>
      <x:c r="T776" s="15" t="n">
        <x:v>420</x:v>
      </x:c>
      <x:c r="U776" s="15" t="n">
        <x:v>0</x:v>
      </x:c>
      <x:c r="V776" s="15" t="n">
        <x:v>48</x:v>
      </x:c>
      <x:c r="W776" s="15" t="n">
        <x:v>380</x:v>
      </x:c>
      <x:c r="X776" s="15" t="n">
        <x:v>0</x:v>
      </x:c>
      <x:c r="Y776" s="15" t="n">
        <x:v>0</x:v>
      </x:c>
      <x:c r="Z776" s="15" t="n">
        <x:v>0</x:v>
      </x:c>
      <x:c r="AA776" s="15" t="n">
        <x:v>0</x:v>
      </x:c>
      <x:c r="AB776" s="15" t="n">
        <x:f>SUM(G776:AA776)</x:f>
        <x:v>1772</x:v>
      </x:c>
    </x:row>
    <x:row r="777" ht="36" customHeight="1">
      <x:c r="A777" s="10" t="str">
        <x:v>V-R3</x:v>
      </x:c>
      <x:c r="B777" s="10" t="str">
        <x:v>VOICE</x:v>
      </x:c>
      <x:c r="C777" s="10" t="str">
        <x:v>VOICE:S6-03</x:v>
      </x:c>
      <x:c r="D777" s="10" t="str">
        <x:v>VOICE:M8594</x:v>
      </x:c>
      <x:c r="E777" s="15" t="n">
        <x:v>2.23</x:v>
      </x:c>
      <x:c r="F777" s="15" t="str">
        <x:v>scored</x:v>
      </x:c>
      <x:c r="G777" s="15" t="n">
        <x:v>0</x:v>
      </x:c>
      <x:c r="H777" s="15" t="n">
        <x:v>0</x:v>
      </x:c>
      <x:c r="I777" s="15" t="n">
        <x:v>0</x:v>
      </x:c>
      <x:c r="J777" s="15" t="n">
        <x:v>0</x:v>
      </x:c>
      <x:c r="K777" s="15" t="n">
        <x:v>0</x:v>
      </x:c>
      <x:c r="L777" s="15" t="n">
        <x:v>0</x:v>
      </x:c>
      <x:c r="M777" s="15" t="n">
        <x:v>180</x:v>
      </x:c>
      <x:c r="N777" s="15" t="n">
        <x:v>220</x:v>
      </x:c>
      <x:c r="O777" s="15" t="n">
        <x:v>96</x:v>
      </x:c>
      <x:c r="P777" s="15" t="n">
        <x:v>64</x:v>
      </x:c>
      <x:c r="Q777" s="15" t="n">
        <x:v>32</x:v>
      </x:c>
      <x:c r="R777" s="15" t="n">
        <x:v>60</x:v>
      </x:c>
      <x:c r="S777" s="15" t="n">
        <x:v>280</x:v>
      </x:c>
      <x:c r="T777" s="15" t="n">
        <x:v>420</x:v>
      </x:c>
      <x:c r="U777" s="15" t="n">
        <x:v>0</x:v>
      </x:c>
      <x:c r="V777" s="15" t="n">
        <x:v>48</x:v>
      </x:c>
      <x:c r="W777" s="15" t="n">
        <x:v>380</x:v>
      </x:c>
      <x:c r="X777" s="15" t="n">
        <x:v>0</x:v>
      </x:c>
      <x:c r="Y777" s="15" t="n">
        <x:v>0</x:v>
      </x:c>
      <x:c r="Z777" s="15" t="n">
        <x:v>0</x:v>
      </x:c>
      <x:c r="AA777" s="15" t="n">
        <x:v>0</x:v>
      </x:c>
      <x:c r="AB777" s="15" t="n">
        <x:f>SUM(G777:AA777)</x:f>
        <x:v>1780</x:v>
      </x:c>
    </x:row>
    <x:row r="778" ht="36" customHeight="1">
      <x:c r="A778" s="10" t="str">
        <x:v>V-A</x:v>
      </x:c>
      <x:c r="B778" s="10" t="str">
        <x:v>VOICE</x:v>
      </x:c>
      <x:c r="C778" s="10" t="str">
        <x:v>VOICE:S6-04</x:v>
      </x:c>
      <x:c r="D778" s="10" t="str">
        <x:v>VOICE:M8605</x:v>
      </x:c>
      <x:c r="E778" s="15" t="n">
        <x:v>0</x:v>
      </x:c>
      <x:c r="F778" s="15" t="str">
        <x:v>scored</x:v>
      </x:c>
      <x:c r="G778" s="15" t="n">
        <x:v>0</x:v>
      </x:c>
      <x:c r="H778" s="15" t="n">
        <x:v>0</x:v>
      </x:c>
      <x:c r="I778" s="15" t="n">
        <x:v>0</x:v>
      </x:c>
      <x:c r="J778" s="15" t="n">
        <x:v>0</x:v>
      </x:c>
      <x:c r="K778" s="15" t="n">
        <x:v>0</x:v>
      </x:c>
      <x:c r="L778" s="15" t="n">
        <x:v>0</x:v>
      </x:c>
      <x:c r="M778" s="15" t="n">
        <x:v>180</x:v>
      </x:c>
      <x:c r="N778" s="15" t="n">
        <x:v>220</x:v>
      </x:c>
      <x:c r="O778" s="15" t="n">
        <x:v>96</x:v>
      </x:c>
      <x:c r="P778" s="15" t="n">
        <x:v>64</x:v>
      </x:c>
      <x:c r="Q778" s="15" t="n">
        <x:v>32</x:v>
      </x:c>
      <x:c r="R778" s="15" t="n">
        <x:v>0</x:v>
      </x:c>
      <x:c r="S778" s="15" t="n">
        <x:v>0</x:v>
      </x:c>
      <x:c r="T778" s="15" t="n">
        <x:v>0</x:v>
      </x:c>
      <x:c r="U778" s="15" t="n">
        <x:v>0</x:v>
      </x:c>
      <x:c r="V778" s="15" t="n">
        <x:v>0</x:v>
      </x:c>
      <x:c r="W778" s="15" t="n">
        <x:v>0</x:v>
      </x:c>
      <x:c r="X778" s="15" t="n">
        <x:v>0</x:v>
      </x:c>
      <x:c r="Y778" s="15" t="n">
        <x:v>0</x:v>
      </x:c>
      <x:c r="Z778" s="15" t="n">
        <x:v>0</x:v>
      </x:c>
      <x:c r="AA778" s="15" t="n">
        <x:v>0</x:v>
      </x:c>
      <x:c r="AB778" s="15" t="n">
        <x:f>SUM(G778:AA778)</x:f>
        <x:v>592</x:v>
      </x:c>
    </x:row>
    <x:row r="779" ht="36" customHeight="1">
      <x:c r="A779" s="10" t="str">
        <x:v>V-R1</x:v>
      </x:c>
      <x:c r="B779" s="10" t="str">
        <x:v>VOICE</x:v>
      </x:c>
      <x:c r="C779" s="10" t="str">
        <x:v>VOICE:S6-04</x:v>
      </x:c>
      <x:c r="D779" s="10" t="str">
        <x:v>VOICE:M8620</x:v>
      </x:c>
      <x:c r="E779" s="15" t="n">
        <x:v>2.23</x:v>
      </x:c>
      <x:c r="F779" s="15" t="str">
        <x:v>scored</x:v>
      </x:c>
      <x:c r="G779" s="15" t="n">
        <x:v>0</x:v>
      </x:c>
      <x:c r="H779" s="15" t="n">
        <x:v>0</x:v>
      </x:c>
      <x:c r="I779" s="15" t="n">
        <x:v>0</x:v>
      </x:c>
      <x:c r="J779" s="15" t="n">
        <x:v>0</x:v>
      </x:c>
      <x:c r="K779" s="15" t="n">
        <x:v>0</x:v>
      </x:c>
      <x:c r="L779" s="15" t="n">
        <x:v>0</x:v>
      </x:c>
      <x:c r="M779" s="15" t="n">
        <x:v>180</x:v>
      </x:c>
      <x:c r="N779" s="15" t="n">
        <x:v>220</x:v>
      </x:c>
      <x:c r="O779" s="15" t="n">
        <x:v>96</x:v>
      </x:c>
      <x:c r="P779" s="15" t="n">
        <x:v>64</x:v>
      </x:c>
      <x:c r="Q779" s="15" t="n">
        <x:v>24</x:v>
      </x:c>
      <x:c r="R779" s="15" t="n">
        <x:v>60</x:v>
      </x:c>
      <x:c r="S779" s="15" t="n">
        <x:v>280</x:v>
      </x:c>
      <x:c r="T779" s="15" t="n">
        <x:v>420</x:v>
      </x:c>
      <x:c r="U779" s="15" t="n">
        <x:v>0</x:v>
      </x:c>
      <x:c r="V779" s="15" t="n">
        <x:v>48</x:v>
      </x:c>
      <x:c r="W779" s="15" t="n">
        <x:v>380</x:v>
      </x:c>
      <x:c r="X779" s="15" t="n">
        <x:v>0</x:v>
      </x:c>
      <x:c r="Y779" s="15" t="n">
        <x:v>0</x:v>
      </x:c>
      <x:c r="Z779" s="15" t="n">
        <x:v>0</x:v>
      </x:c>
      <x:c r="AA779" s="15" t="n">
        <x:v>0</x:v>
      </x:c>
      <x:c r="AB779" s="15" t="n">
        <x:f>SUM(G779:AA779)</x:f>
        <x:v>1772</x:v>
      </x:c>
    </x:row>
    <x:row r="780" ht="36" customHeight="1">
      <x:c r="A780" s="10" t="str">
        <x:v>V-R2</x:v>
      </x:c>
      <x:c r="B780" s="10" t="str">
        <x:v>VOICE</x:v>
      </x:c>
      <x:c r="C780" s="10" t="str">
        <x:v>VOICE:S6-04</x:v>
      </x:c>
      <x:c r="D780" s="10" t="str">
        <x:v>VOICE:M8635</x:v>
      </x:c>
      <x:c r="E780" s="15" t="n">
        <x:v>2.23</x:v>
      </x:c>
      <x:c r="F780" s="15" t="str">
        <x:v>scored</x:v>
      </x:c>
      <x:c r="G780" s="15" t="n">
        <x:v>0</x:v>
      </x:c>
      <x:c r="H780" s="15" t="n">
        <x:v>0</x:v>
      </x:c>
      <x:c r="I780" s="15" t="n">
        <x:v>0</x:v>
      </x:c>
      <x:c r="J780" s="15" t="n">
        <x:v>0</x:v>
      </x:c>
      <x:c r="K780" s="15" t="n">
        <x:v>0</x:v>
      </x:c>
      <x:c r="L780" s="15" t="n">
        <x:v>0</x:v>
      </x:c>
      <x:c r="M780" s="15" t="n">
        <x:v>180</x:v>
      </x:c>
      <x:c r="N780" s="15" t="n">
        <x:v>220</x:v>
      </x:c>
      <x:c r="O780" s="15" t="n">
        <x:v>96</x:v>
      </x:c>
      <x:c r="P780" s="15" t="n">
        <x:v>64</x:v>
      </x:c>
      <x:c r="Q780" s="15" t="n">
        <x:v>24</x:v>
      </x:c>
      <x:c r="R780" s="15" t="n">
        <x:v>60</x:v>
      </x:c>
      <x:c r="S780" s="15" t="n">
        <x:v>280</x:v>
      </x:c>
      <x:c r="T780" s="15" t="n">
        <x:v>420</x:v>
      </x:c>
      <x:c r="U780" s="15" t="n">
        <x:v>0</x:v>
      </x:c>
      <x:c r="V780" s="15" t="n">
        <x:v>48</x:v>
      </x:c>
      <x:c r="W780" s="15" t="n">
        <x:v>380</x:v>
      </x:c>
      <x:c r="X780" s="15" t="n">
        <x:v>0</x:v>
      </x:c>
      <x:c r="Y780" s="15" t="n">
        <x:v>0</x:v>
      </x:c>
      <x:c r="Z780" s="15" t="n">
        <x:v>0</x:v>
      </x:c>
      <x:c r="AA780" s="15" t="n">
        <x:v>0</x:v>
      </x:c>
      <x:c r="AB780" s="15" t="n">
        <x:f>SUM(G780:AA780)</x:f>
        <x:v>1772</x:v>
      </x:c>
    </x:row>
    <x:row r="781" ht="36" customHeight="1">
      <x:c r="A781" s="10" t="str">
        <x:v>V-R3</x:v>
      </x:c>
      <x:c r="B781" s="10" t="str">
        <x:v>VOICE</x:v>
      </x:c>
      <x:c r="C781" s="10" t="str">
        <x:v>VOICE:S6-04</x:v>
      </x:c>
      <x:c r="D781" s="10" t="str">
        <x:v>VOICE:M8649</x:v>
      </x:c>
      <x:c r="E781" s="15" t="n">
        <x:v>2.23</x:v>
      </x:c>
      <x:c r="F781" s="15" t="str">
        <x:v>scored</x:v>
      </x:c>
      <x:c r="G781" s="15" t="n">
        <x:v>0</x:v>
      </x:c>
      <x:c r="H781" s="15" t="n">
        <x:v>0</x:v>
      </x:c>
      <x:c r="I781" s="15" t="n">
        <x:v>0</x:v>
      </x:c>
      <x:c r="J781" s="15" t="n">
        <x:v>0</x:v>
      </x:c>
      <x:c r="K781" s="15" t="n">
        <x:v>0</x:v>
      </x:c>
      <x:c r="L781" s="15" t="n">
        <x:v>0</x:v>
      </x:c>
      <x:c r="M781" s="15" t="n">
        <x:v>180</x:v>
      </x:c>
      <x:c r="N781" s="15" t="n">
        <x:v>220</x:v>
      </x:c>
      <x:c r="O781" s="15" t="n">
        <x:v>96</x:v>
      </x:c>
      <x:c r="P781" s="15" t="n">
        <x:v>64</x:v>
      </x:c>
      <x:c r="Q781" s="15" t="n">
        <x:v>32</x:v>
      </x:c>
      <x:c r="R781" s="15" t="n">
        <x:v>60</x:v>
      </x:c>
      <x:c r="S781" s="15" t="n">
        <x:v>280</x:v>
      </x:c>
      <x:c r="T781" s="15" t="n">
        <x:v>420</x:v>
      </x:c>
      <x:c r="U781" s="15" t="n">
        <x:v>0</x:v>
      </x:c>
      <x:c r="V781" s="15" t="n">
        <x:v>48</x:v>
      </x:c>
      <x:c r="W781" s="15" t="n">
        <x:v>380</x:v>
      </x:c>
      <x:c r="X781" s="15" t="n">
        <x:v>0</x:v>
      </x:c>
      <x:c r="Y781" s="15" t="n">
        <x:v>0</x:v>
      </x:c>
      <x:c r="Z781" s="15" t="n">
        <x:v>0</x:v>
      </x:c>
      <x:c r="AA781" s="15" t="n">
        <x:v>0</x:v>
      </x:c>
      <x:c r="AB781" s="15" t="n">
        <x:f>SUM(G781:AA781)</x:f>
        <x:v>1780</x:v>
      </x:c>
    </x:row>
    <x:row r="782" ht="36" customHeight="1">
      <x:c r="A782" s="10" t="str">
        <x:v>V-A</x:v>
      </x:c>
      <x:c r="B782" s="10" t="str">
        <x:v>VOICE</x:v>
      </x:c>
      <x:c r="C782" s="10" t="str">
        <x:v>VOICE:S6-05</x:v>
      </x:c>
      <x:c r="D782" s="10" t="str">
        <x:v>VOICE:M8660</x:v>
      </x:c>
      <x:c r="E782" s="15" t="n">
        <x:v>0</x:v>
      </x:c>
      <x:c r="F782" s="15" t="str">
        <x:v>scored</x:v>
      </x:c>
      <x:c r="G782" s="15" t="n">
        <x:v>0</x:v>
      </x:c>
      <x:c r="H782" s="15" t="n">
        <x:v>0</x:v>
      </x:c>
      <x:c r="I782" s="15" t="n">
        <x:v>0</x:v>
      </x:c>
      <x:c r="J782" s="15" t="n">
        <x:v>0</x:v>
      </x:c>
      <x:c r="K782" s="15" t="n">
        <x:v>0</x:v>
      </x:c>
      <x:c r="L782" s="15" t="n">
        <x:v>0</x:v>
      </x:c>
      <x:c r="M782" s="15" t="n">
        <x:v>180</x:v>
      </x:c>
      <x:c r="N782" s="15" t="n">
        <x:v>220</x:v>
      </x:c>
      <x:c r="O782" s="15" t="n">
        <x:v>96</x:v>
      </x:c>
      <x:c r="P782" s="15" t="n">
        <x:v>64</x:v>
      </x:c>
      <x:c r="Q782" s="15" t="n">
        <x:v>32</x:v>
      </x:c>
      <x:c r="R782" s="15" t="n">
        <x:v>0</x:v>
      </x:c>
      <x:c r="S782" s="15" t="n">
        <x:v>0</x:v>
      </x:c>
      <x:c r="T782" s="15" t="n">
        <x:v>0</x:v>
      </x:c>
      <x:c r="U782" s="15" t="n">
        <x:v>0</x:v>
      </x:c>
      <x:c r="V782" s="15" t="n">
        <x:v>0</x:v>
      </x:c>
      <x:c r="W782" s="15" t="n">
        <x:v>0</x:v>
      </x:c>
      <x:c r="X782" s="15" t="n">
        <x:v>0</x:v>
      </x:c>
      <x:c r="Y782" s="15" t="n">
        <x:v>0</x:v>
      </x:c>
      <x:c r="Z782" s="15" t="n">
        <x:v>0</x:v>
      </x:c>
      <x:c r="AA782" s="15" t="n">
        <x:v>0</x:v>
      </x:c>
      <x:c r="AB782" s="15" t="n">
        <x:f>SUM(G782:AA782)</x:f>
        <x:v>592</x:v>
      </x:c>
    </x:row>
    <x:row r="783" ht="36" customHeight="1">
      <x:c r="A783" s="10" t="str">
        <x:v>V-R1</x:v>
      </x:c>
      <x:c r="B783" s="10" t="str">
        <x:v>VOICE</x:v>
      </x:c>
      <x:c r="C783" s="10" t="str">
        <x:v>VOICE:S6-05</x:v>
      </x:c>
      <x:c r="D783" s="10" t="str">
        <x:v>VOICE:M8675</x:v>
      </x:c>
      <x:c r="E783" s="15" t="n">
        <x:v>2.23</x:v>
      </x:c>
      <x:c r="F783" s="15" t="str">
        <x:v>scored</x:v>
      </x:c>
      <x:c r="G783" s="15" t="n">
        <x:v>0</x:v>
      </x:c>
      <x:c r="H783" s="15" t="n">
        <x:v>0</x:v>
      </x:c>
      <x:c r="I783" s="15" t="n">
        <x:v>0</x:v>
      </x:c>
      <x:c r="J783" s="15" t="n">
        <x:v>0</x:v>
      </x:c>
      <x:c r="K783" s="15" t="n">
        <x:v>0</x:v>
      </x:c>
      <x:c r="L783" s="15" t="n">
        <x:v>0</x:v>
      </x:c>
      <x:c r="M783" s="15" t="n">
        <x:v>180</x:v>
      </x:c>
      <x:c r="N783" s="15" t="n">
        <x:v>220</x:v>
      </x:c>
      <x:c r="O783" s="15" t="n">
        <x:v>96</x:v>
      </x:c>
      <x:c r="P783" s="15" t="n">
        <x:v>64</x:v>
      </x:c>
      <x:c r="Q783" s="15" t="n">
        <x:v>24</x:v>
      </x:c>
      <x:c r="R783" s="15" t="n">
        <x:v>60</x:v>
      </x:c>
      <x:c r="S783" s="15" t="n">
        <x:v>280</x:v>
      </x:c>
      <x:c r="T783" s="15" t="n">
        <x:v>420</x:v>
      </x:c>
      <x:c r="U783" s="15" t="n">
        <x:v>0</x:v>
      </x:c>
      <x:c r="V783" s="15" t="n">
        <x:v>48</x:v>
      </x:c>
      <x:c r="W783" s="15" t="n">
        <x:v>380</x:v>
      </x:c>
      <x:c r="X783" s="15" t="n">
        <x:v>0</x:v>
      </x:c>
      <x:c r="Y783" s="15" t="n">
        <x:v>0</x:v>
      </x:c>
      <x:c r="Z783" s="15" t="n">
        <x:v>0</x:v>
      </x:c>
      <x:c r="AA783" s="15" t="n">
        <x:v>0</x:v>
      </x:c>
      <x:c r="AB783" s="15" t="n">
        <x:f>SUM(G783:AA783)</x:f>
        <x:v>1772</x:v>
      </x:c>
    </x:row>
    <x:row r="784" ht="36" customHeight="1">
      <x:c r="A784" s="10" t="str">
        <x:v>V-R2</x:v>
      </x:c>
      <x:c r="B784" s="10" t="str">
        <x:v>VOICE</x:v>
      </x:c>
      <x:c r="C784" s="10" t="str">
        <x:v>VOICE:S6-05</x:v>
      </x:c>
      <x:c r="D784" s="10" t="str">
        <x:v>VOICE:M8690</x:v>
      </x:c>
      <x:c r="E784" s="15" t="n">
        <x:v>2.23</x:v>
      </x:c>
      <x:c r="F784" s="15" t="str">
        <x:v>scored</x:v>
      </x:c>
      <x:c r="G784" s="15" t="n">
        <x:v>0</x:v>
      </x:c>
      <x:c r="H784" s="15" t="n">
        <x:v>0</x:v>
      </x:c>
      <x:c r="I784" s="15" t="n">
        <x:v>0</x:v>
      </x:c>
      <x:c r="J784" s="15" t="n">
        <x:v>0</x:v>
      </x:c>
      <x:c r="K784" s="15" t="n">
        <x:v>0</x:v>
      </x:c>
      <x:c r="L784" s="15" t="n">
        <x:v>0</x:v>
      </x:c>
      <x:c r="M784" s="15" t="n">
        <x:v>180</x:v>
      </x:c>
      <x:c r="N784" s="15" t="n">
        <x:v>220</x:v>
      </x:c>
      <x:c r="O784" s="15" t="n">
        <x:v>96</x:v>
      </x:c>
      <x:c r="P784" s="15" t="n">
        <x:v>64</x:v>
      </x:c>
      <x:c r="Q784" s="15" t="n">
        <x:v>24</x:v>
      </x:c>
      <x:c r="R784" s="15" t="n">
        <x:v>60</x:v>
      </x:c>
      <x:c r="S784" s="15" t="n">
        <x:v>280</x:v>
      </x:c>
      <x:c r="T784" s="15" t="n">
        <x:v>420</x:v>
      </x:c>
      <x:c r="U784" s="15" t="n">
        <x:v>0</x:v>
      </x:c>
      <x:c r="V784" s="15" t="n">
        <x:v>48</x:v>
      </x:c>
      <x:c r="W784" s="15" t="n">
        <x:v>380</x:v>
      </x:c>
      <x:c r="X784" s="15" t="n">
        <x:v>0</x:v>
      </x:c>
      <x:c r="Y784" s="15" t="n">
        <x:v>0</x:v>
      </x:c>
      <x:c r="Z784" s="15" t="n">
        <x:v>0</x:v>
      </x:c>
      <x:c r="AA784" s="15" t="n">
        <x:v>0</x:v>
      </x:c>
      <x:c r="AB784" s="15" t="n">
        <x:f>SUM(G784:AA784)</x:f>
        <x:v>1772</x:v>
      </x:c>
    </x:row>
    <x:row r="785" ht="36" customHeight="1">
      <x:c r="A785" s="10" t="str">
        <x:v>V-R3</x:v>
      </x:c>
      <x:c r="B785" s="10" t="str">
        <x:v>VOICE</x:v>
      </x:c>
      <x:c r="C785" s="10" t="str">
        <x:v>VOICE:S6-05</x:v>
      </x:c>
      <x:c r="D785" s="10" t="str">
        <x:v>VOICE:M8704</x:v>
      </x:c>
      <x:c r="E785" s="15" t="n">
        <x:v>2.23</x:v>
      </x:c>
      <x:c r="F785" s="15" t="str">
        <x:v>scored</x:v>
      </x:c>
      <x:c r="G785" s="15" t="n">
        <x:v>0</x:v>
      </x:c>
      <x:c r="H785" s="15" t="n">
        <x:v>0</x:v>
      </x:c>
      <x:c r="I785" s="15" t="n">
        <x:v>0</x:v>
      </x:c>
      <x:c r="J785" s="15" t="n">
        <x:v>0</x:v>
      </x:c>
      <x:c r="K785" s="15" t="n">
        <x:v>0</x:v>
      </x:c>
      <x:c r="L785" s="15" t="n">
        <x:v>0</x:v>
      </x:c>
      <x:c r="M785" s="15" t="n">
        <x:v>180</x:v>
      </x:c>
      <x:c r="N785" s="15" t="n">
        <x:v>220</x:v>
      </x:c>
      <x:c r="O785" s="15" t="n">
        <x:v>96</x:v>
      </x:c>
      <x:c r="P785" s="15" t="n">
        <x:v>64</x:v>
      </x:c>
      <x:c r="Q785" s="15" t="n">
        <x:v>32</x:v>
      </x:c>
      <x:c r="R785" s="15" t="n">
        <x:v>60</x:v>
      </x:c>
      <x:c r="S785" s="15" t="n">
        <x:v>280</x:v>
      </x:c>
      <x:c r="T785" s="15" t="n">
        <x:v>420</x:v>
      </x:c>
      <x:c r="U785" s="15" t="n">
        <x:v>0</x:v>
      </x:c>
      <x:c r="V785" s="15" t="n">
        <x:v>48</x:v>
      </x:c>
      <x:c r="W785" s="15" t="n">
        <x:v>380</x:v>
      </x:c>
      <x:c r="X785" s="15" t="n">
        <x:v>0</x:v>
      </x:c>
      <x:c r="Y785" s="15" t="n">
        <x:v>0</x:v>
      </x:c>
      <x:c r="Z785" s="15" t="n">
        <x:v>0</x:v>
      </x:c>
      <x:c r="AA785" s="15" t="n">
        <x:v>0</x:v>
      </x:c>
      <x:c r="AB785" s="15" t="n">
        <x:f>SUM(G785:AA785)</x:f>
        <x:v>1780</x:v>
      </x:c>
    </x:row>
    <x:row r="786" ht="36" customHeight="1">
      <x:c r="A786" s="10" t="str">
        <x:v>V-A</x:v>
      </x:c>
      <x:c r="B786" s="10" t="str">
        <x:v>VOICE</x:v>
      </x:c>
      <x:c r="C786" s="10" t="str">
        <x:v>VOICE:S6-06</x:v>
      </x:c>
      <x:c r="D786" s="10" t="str">
        <x:v>VOICE:M8715</x:v>
      </x:c>
      <x:c r="E786" s="15" t="n">
        <x:v>0</x:v>
      </x:c>
      <x:c r="F786" s="15" t="str">
        <x:v>scored</x:v>
      </x:c>
      <x:c r="G786" s="15" t="n">
        <x:v>0</x:v>
      </x:c>
      <x:c r="H786" s="15" t="n">
        <x:v>0</x:v>
      </x:c>
      <x:c r="I786" s="15" t="n">
        <x:v>0</x:v>
      </x:c>
      <x:c r="J786" s="15" t="n">
        <x:v>0</x:v>
      </x:c>
      <x:c r="K786" s="15" t="n">
        <x:v>0</x:v>
      </x:c>
      <x:c r="L786" s="15" t="n">
        <x:v>0</x:v>
      </x:c>
      <x:c r="M786" s="15" t="n">
        <x:v>180</x:v>
      </x:c>
      <x:c r="N786" s="15" t="n">
        <x:v>220</x:v>
      </x:c>
      <x:c r="O786" s="15" t="n">
        <x:v>96</x:v>
      </x:c>
      <x:c r="P786" s="15" t="n">
        <x:v>64</x:v>
      </x:c>
      <x:c r="Q786" s="15" t="n">
        <x:v>32</x:v>
      </x:c>
      <x:c r="R786" s="15" t="n">
        <x:v>0</x:v>
      </x:c>
      <x:c r="S786" s="15" t="n">
        <x:v>0</x:v>
      </x:c>
      <x:c r="T786" s="15" t="n">
        <x:v>0</x:v>
      </x:c>
      <x:c r="U786" s="15" t="n">
        <x:v>0</x:v>
      </x:c>
      <x:c r="V786" s="15" t="n">
        <x:v>0</x:v>
      </x:c>
      <x:c r="W786" s="15" t="n">
        <x:v>0</x:v>
      </x:c>
      <x:c r="X786" s="15" t="n">
        <x:v>0</x:v>
      </x:c>
      <x:c r="Y786" s="15" t="n">
        <x:v>0</x:v>
      </x:c>
      <x:c r="Z786" s="15" t="n">
        <x:v>0</x:v>
      </x:c>
      <x:c r="AA786" s="15" t="n">
        <x:v>0</x:v>
      </x:c>
      <x:c r="AB786" s="15" t="n">
        <x:f>SUM(G786:AA786)</x:f>
        <x:v>592</x:v>
      </x:c>
    </x:row>
    <x:row r="787" ht="36" customHeight="1">
      <x:c r="A787" s="10" t="str">
        <x:v>V-R1</x:v>
      </x:c>
      <x:c r="B787" s="10" t="str">
        <x:v>VOICE</x:v>
      </x:c>
      <x:c r="C787" s="10" t="str">
        <x:v>VOICE:S6-06</x:v>
      </x:c>
      <x:c r="D787" s="10" t="str">
        <x:v>VOICE:M8730</x:v>
      </x:c>
      <x:c r="E787" s="15" t="n">
        <x:v>2.23</x:v>
      </x:c>
      <x:c r="F787" s="15" t="str">
        <x:v>scored</x:v>
      </x:c>
      <x:c r="G787" s="15" t="n">
        <x:v>0</x:v>
      </x:c>
      <x:c r="H787" s="15" t="n">
        <x:v>0</x:v>
      </x:c>
      <x:c r="I787" s="15" t="n">
        <x:v>0</x:v>
      </x:c>
      <x:c r="J787" s="15" t="n">
        <x:v>0</x:v>
      </x:c>
      <x:c r="K787" s="15" t="n">
        <x:v>0</x:v>
      </x:c>
      <x:c r="L787" s="15" t="n">
        <x:v>0</x:v>
      </x:c>
      <x:c r="M787" s="15" t="n">
        <x:v>180</x:v>
      </x:c>
      <x:c r="N787" s="15" t="n">
        <x:v>220</x:v>
      </x:c>
      <x:c r="O787" s="15" t="n">
        <x:v>96</x:v>
      </x:c>
      <x:c r="P787" s="15" t="n">
        <x:v>64</x:v>
      </x:c>
      <x:c r="Q787" s="15" t="n">
        <x:v>24</x:v>
      </x:c>
      <x:c r="R787" s="15" t="n">
        <x:v>60</x:v>
      </x:c>
      <x:c r="S787" s="15" t="n">
        <x:v>280</x:v>
      </x:c>
      <x:c r="T787" s="15" t="n">
        <x:v>420</x:v>
      </x:c>
      <x:c r="U787" s="15" t="n">
        <x:v>0</x:v>
      </x:c>
      <x:c r="V787" s="15" t="n">
        <x:v>48</x:v>
      </x:c>
      <x:c r="W787" s="15" t="n">
        <x:v>380</x:v>
      </x:c>
      <x:c r="X787" s="15" t="n">
        <x:v>0</x:v>
      </x:c>
      <x:c r="Y787" s="15" t="n">
        <x:v>0</x:v>
      </x:c>
      <x:c r="Z787" s="15" t="n">
        <x:v>0</x:v>
      </x:c>
      <x:c r="AA787" s="15" t="n">
        <x:v>0</x:v>
      </x:c>
      <x:c r="AB787" s="15" t="n">
        <x:f>SUM(G787:AA787)</x:f>
        <x:v>1772</x:v>
      </x:c>
    </x:row>
    <x:row r="788" ht="36" customHeight="1">
      <x:c r="A788" s="10" t="str">
        <x:v>V-R2</x:v>
      </x:c>
      <x:c r="B788" s="10" t="str">
        <x:v>VOICE</x:v>
      </x:c>
      <x:c r="C788" s="10" t="str">
        <x:v>VOICE:S6-06</x:v>
      </x:c>
      <x:c r="D788" s="10" t="str">
        <x:v>VOICE:M8745</x:v>
      </x:c>
      <x:c r="E788" s="15" t="n">
        <x:v>2.23</x:v>
      </x:c>
      <x:c r="F788" s="15" t="str">
        <x:v>scored</x:v>
      </x:c>
      <x:c r="G788" s="15" t="n">
        <x:v>0</x:v>
      </x:c>
      <x:c r="H788" s="15" t="n">
        <x:v>0</x:v>
      </x:c>
      <x:c r="I788" s="15" t="n">
        <x:v>0</x:v>
      </x:c>
      <x:c r="J788" s="15" t="n">
        <x:v>0</x:v>
      </x:c>
      <x:c r="K788" s="15" t="n">
        <x:v>0</x:v>
      </x:c>
      <x:c r="L788" s="15" t="n">
        <x:v>0</x:v>
      </x:c>
      <x:c r="M788" s="15" t="n">
        <x:v>180</x:v>
      </x:c>
      <x:c r="N788" s="15" t="n">
        <x:v>220</x:v>
      </x:c>
      <x:c r="O788" s="15" t="n">
        <x:v>96</x:v>
      </x:c>
      <x:c r="P788" s="15" t="n">
        <x:v>64</x:v>
      </x:c>
      <x:c r="Q788" s="15" t="n">
        <x:v>24</x:v>
      </x:c>
      <x:c r="R788" s="15" t="n">
        <x:v>60</x:v>
      </x:c>
      <x:c r="S788" s="15" t="n">
        <x:v>280</x:v>
      </x:c>
      <x:c r="T788" s="15" t="n">
        <x:v>420</x:v>
      </x:c>
      <x:c r="U788" s="15" t="n">
        <x:v>0</x:v>
      </x:c>
      <x:c r="V788" s="15" t="n">
        <x:v>48</x:v>
      </x:c>
      <x:c r="W788" s="15" t="n">
        <x:v>380</x:v>
      </x:c>
      <x:c r="X788" s="15" t="n">
        <x:v>0</x:v>
      </x:c>
      <x:c r="Y788" s="15" t="n">
        <x:v>0</x:v>
      </x:c>
      <x:c r="Z788" s="15" t="n">
        <x:v>0</x:v>
      </x:c>
      <x:c r="AA788" s="15" t="n">
        <x:v>0</x:v>
      </x:c>
      <x:c r="AB788" s="15" t="n">
        <x:f>SUM(G788:AA788)</x:f>
        <x:v>1772</x:v>
      </x:c>
    </x:row>
    <x:row r="789" ht="36" customHeight="1">
      <x:c r="A789" s="10" t="str">
        <x:v>V-R3</x:v>
      </x:c>
      <x:c r="B789" s="10" t="str">
        <x:v>VOICE</x:v>
      </x:c>
      <x:c r="C789" s="10" t="str">
        <x:v>VOICE:S6-06</x:v>
      </x:c>
      <x:c r="D789" s="10" t="str">
        <x:v>VOICE:M8759</x:v>
      </x:c>
      <x:c r="E789" s="15" t="n">
        <x:v>2.23</x:v>
      </x:c>
      <x:c r="F789" s="15" t="str">
        <x:v>scored</x:v>
      </x:c>
      <x:c r="G789" s="15" t="n">
        <x:v>0</x:v>
      </x:c>
      <x:c r="H789" s="15" t="n">
        <x:v>0</x:v>
      </x:c>
      <x:c r="I789" s="15" t="n">
        <x:v>0</x:v>
      </x:c>
      <x:c r="J789" s="15" t="n">
        <x:v>0</x:v>
      </x:c>
      <x:c r="K789" s="15" t="n">
        <x:v>0</x:v>
      </x:c>
      <x:c r="L789" s="15" t="n">
        <x:v>0</x:v>
      </x:c>
      <x:c r="M789" s="15" t="n">
        <x:v>180</x:v>
      </x:c>
      <x:c r="N789" s="15" t="n">
        <x:v>220</x:v>
      </x:c>
      <x:c r="O789" s="15" t="n">
        <x:v>96</x:v>
      </x:c>
      <x:c r="P789" s="15" t="n">
        <x:v>64</x:v>
      </x:c>
      <x:c r="Q789" s="15" t="n">
        <x:v>32</x:v>
      </x:c>
      <x:c r="R789" s="15" t="n">
        <x:v>60</x:v>
      </x:c>
      <x:c r="S789" s="15" t="n">
        <x:v>280</x:v>
      </x:c>
      <x:c r="T789" s="15" t="n">
        <x:v>420</x:v>
      </x:c>
      <x:c r="U789" s="15" t="n">
        <x:v>0</x:v>
      </x:c>
      <x:c r="V789" s="15" t="n">
        <x:v>48</x:v>
      </x:c>
      <x:c r="W789" s="15" t="n">
        <x:v>380</x:v>
      </x:c>
      <x:c r="X789" s="15" t="n">
        <x:v>0</x:v>
      </x:c>
      <x:c r="Y789" s="15" t="n">
        <x:v>0</x:v>
      </x:c>
      <x:c r="Z789" s="15" t="n">
        <x:v>0</x:v>
      </x:c>
      <x:c r="AA789" s="15" t="n">
        <x:v>0</x:v>
      </x:c>
      <x:c r="AB789" s="15" t="n">
        <x:f>SUM(G789:AA789)</x:f>
        <x:v>1780</x:v>
      </x:c>
    </x:row>
    <x:row r="790" ht="36" customHeight="1">
      <x:c r="A790" s="10" t="str">
        <x:v>V-A</x:v>
      </x:c>
      <x:c r="B790" s="10" t="str">
        <x:v>VOICE</x:v>
      </x:c>
      <x:c r="C790" s="10" t="str">
        <x:v>VOICE:S6-07</x:v>
      </x:c>
      <x:c r="D790" s="10" t="str">
        <x:v>VOICE:M8770</x:v>
      </x:c>
      <x:c r="E790" s="15" t="n">
        <x:v>0</x:v>
      </x:c>
      <x:c r="F790" s="15" t="str">
        <x:v>scored</x:v>
      </x:c>
      <x:c r="G790" s="15" t="n">
        <x:v>0</x:v>
      </x:c>
      <x:c r="H790" s="15" t="n">
        <x:v>0</x:v>
      </x:c>
      <x:c r="I790" s="15" t="n">
        <x:v>0</x:v>
      </x:c>
      <x:c r="J790" s="15" t="n">
        <x:v>0</x:v>
      </x:c>
      <x:c r="K790" s="15" t="n">
        <x:v>0</x:v>
      </x:c>
      <x:c r="L790" s="15" t="n">
        <x:v>0</x:v>
      </x:c>
      <x:c r="M790" s="15" t="n">
        <x:v>180</x:v>
      </x:c>
      <x:c r="N790" s="15" t="n">
        <x:v>220</x:v>
      </x:c>
      <x:c r="O790" s="15" t="n">
        <x:v>96</x:v>
      </x:c>
      <x:c r="P790" s="15" t="n">
        <x:v>64</x:v>
      </x:c>
      <x:c r="Q790" s="15" t="n">
        <x:v>32</x:v>
      </x:c>
      <x:c r="R790" s="15" t="n">
        <x:v>0</x:v>
      </x:c>
      <x:c r="S790" s="15" t="n">
        <x:v>0</x:v>
      </x:c>
      <x:c r="T790" s="15" t="n">
        <x:v>0</x:v>
      </x:c>
      <x:c r="U790" s="15" t="n">
        <x:v>0</x:v>
      </x:c>
      <x:c r="V790" s="15" t="n">
        <x:v>0</x:v>
      </x:c>
      <x:c r="W790" s="15" t="n">
        <x:v>0</x:v>
      </x:c>
      <x:c r="X790" s="15" t="n">
        <x:v>0</x:v>
      </x:c>
      <x:c r="Y790" s="15" t="n">
        <x:v>0</x:v>
      </x:c>
      <x:c r="Z790" s="15" t="n">
        <x:v>0</x:v>
      </x:c>
      <x:c r="AA790" s="15" t="n">
        <x:v>0</x:v>
      </x:c>
      <x:c r="AB790" s="15" t="n">
        <x:f>SUM(G790:AA790)</x:f>
        <x:v>592</x:v>
      </x:c>
    </x:row>
    <x:row r="791" ht="36" customHeight="1">
      <x:c r="A791" s="10" t="str">
        <x:v>V-R1</x:v>
      </x:c>
      <x:c r="B791" s="10" t="str">
        <x:v>VOICE</x:v>
      </x:c>
      <x:c r="C791" s="10" t="str">
        <x:v>VOICE:S6-07</x:v>
      </x:c>
      <x:c r="D791" s="10" t="str">
        <x:v>VOICE:M8785</x:v>
      </x:c>
      <x:c r="E791" s="15" t="n">
        <x:v>2.23</x:v>
      </x:c>
      <x:c r="F791" s="15" t="str">
        <x:v>scored</x:v>
      </x:c>
      <x:c r="G791" s="15" t="n">
        <x:v>0</x:v>
      </x:c>
      <x:c r="H791" s="15" t="n">
        <x:v>0</x:v>
      </x:c>
      <x:c r="I791" s="15" t="n">
        <x:v>0</x:v>
      </x:c>
      <x:c r="J791" s="15" t="n">
        <x:v>0</x:v>
      </x:c>
      <x:c r="K791" s="15" t="n">
        <x:v>0</x:v>
      </x:c>
      <x:c r="L791" s="15" t="n">
        <x:v>0</x:v>
      </x:c>
      <x:c r="M791" s="15" t="n">
        <x:v>180</x:v>
      </x:c>
      <x:c r="N791" s="15" t="n">
        <x:v>220</x:v>
      </x:c>
      <x:c r="O791" s="15" t="n">
        <x:v>96</x:v>
      </x:c>
      <x:c r="P791" s="15" t="n">
        <x:v>64</x:v>
      </x:c>
      <x:c r="Q791" s="15" t="n">
        <x:v>24</x:v>
      </x:c>
      <x:c r="R791" s="15" t="n">
        <x:v>60</x:v>
      </x:c>
      <x:c r="S791" s="15" t="n">
        <x:v>280</x:v>
      </x:c>
      <x:c r="T791" s="15" t="n">
        <x:v>420</x:v>
      </x:c>
      <x:c r="U791" s="15" t="n">
        <x:v>0</x:v>
      </x:c>
      <x:c r="V791" s="15" t="n">
        <x:v>48</x:v>
      </x:c>
      <x:c r="W791" s="15" t="n">
        <x:v>380</x:v>
      </x:c>
      <x:c r="X791" s="15" t="n">
        <x:v>0</x:v>
      </x:c>
      <x:c r="Y791" s="15" t="n">
        <x:v>0</x:v>
      </x:c>
      <x:c r="Z791" s="15" t="n">
        <x:v>0</x:v>
      </x:c>
      <x:c r="AA791" s="15" t="n">
        <x:v>0</x:v>
      </x:c>
      <x:c r="AB791" s="15" t="n">
        <x:f>SUM(G791:AA791)</x:f>
        <x:v>1772</x:v>
      </x:c>
    </x:row>
    <x:row r="792" ht="36" customHeight="1">
      <x:c r="A792" s="10" t="str">
        <x:v>V-R2</x:v>
      </x:c>
      <x:c r="B792" s="10" t="str">
        <x:v>VOICE</x:v>
      </x:c>
      <x:c r="C792" s="10" t="str">
        <x:v>VOICE:S6-07</x:v>
      </x:c>
      <x:c r="D792" s="10" t="str">
        <x:v>VOICE:M8800</x:v>
      </x:c>
      <x:c r="E792" s="15" t="n">
        <x:v>2.23</x:v>
      </x:c>
      <x:c r="F792" s="15" t="str">
        <x:v>scored</x:v>
      </x:c>
      <x:c r="G792" s="15" t="n">
        <x:v>0</x:v>
      </x:c>
      <x:c r="H792" s="15" t="n">
        <x:v>0</x:v>
      </x:c>
      <x:c r="I792" s="15" t="n">
        <x:v>0</x:v>
      </x:c>
      <x:c r="J792" s="15" t="n">
        <x:v>0</x:v>
      </x:c>
      <x:c r="K792" s="15" t="n">
        <x:v>0</x:v>
      </x:c>
      <x:c r="L792" s="15" t="n">
        <x:v>0</x:v>
      </x:c>
      <x:c r="M792" s="15" t="n">
        <x:v>180</x:v>
      </x:c>
      <x:c r="N792" s="15" t="n">
        <x:v>220</x:v>
      </x:c>
      <x:c r="O792" s="15" t="n">
        <x:v>96</x:v>
      </x:c>
      <x:c r="P792" s="15" t="n">
        <x:v>64</x:v>
      </x:c>
      <x:c r="Q792" s="15" t="n">
        <x:v>24</x:v>
      </x:c>
      <x:c r="R792" s="15" t="n">
        <x:v>60</x:v>
      </x:c>
      <x:c r="S792" s="15" t="n">
        <x:v>280</x:v>
      </x:c>
      <x:c r="T792" s="15" t="n">
        <x:v>420</x:v>
      </x:c>
      <x:c r="U792" s="15" t="n">
        <x:v>0</x:v>
      </x:c>
      <x:c r="V792" s="15" t="n">
        <x:v>48</x:v>
      </x:c>
      <x:c r="W792" s="15" t="n">
        <x:v>380</x:v>
      </x:c>
      <x:c r="X792" s="15" t="n">
        <x:v>0</x:v>
      </x:c>
      <x:c r="Y792" s="15" t="n">
        <x:v>0</x:v>
      </x:c>
      <x:c r="Z792" s="15" t="n">
        <x:v>0</x:v>
      </x:c>
      <x:c r="AA792" s="15" t="n">
        <x:v>0</x:v>
      </x:c>
      <x:c r="AB792" s="15" t="n">
        <x:f>SUM(G792:AA792)</x:f>
        <x:v>1772</x:v>
      </x:c>
    </x:row>
    <x:row r="793" ht="36" customHeight="1">
      <x:c r="A793" s="10" t="str">
        <x:v>V-R3</x:v>
      </x:c>
      <x:c r="B793" s="10" t="str">
        <x:v>VOICE</x:v>
      </x:c>
      <x:c r="C793" s="10" t="str">
        <x:v>VOICE:S6-07</x:v>
      </x:c>
      <x:c r="D793" s="10" t="str">
        <x:v>VOICE:M8814</x:v>
      </x:c>
      <x:c r="E793" s="15" t="n">
        <x:v>2.23</x:v>
      </x:c>
      <x:c r="F793" s="15" t="str">
        <x:v>scored</x:v>
      </x:c>
      <x:c r="G793" s="15" t="n">
        <x:v>0</x:v>
      </x:c>
      <x:c r="H793" s="15" t="n">
        <x:v>0</x:v>
      </x:c>
      <x:c r="I793" s="15" t="n">
        <x:v>0</x:v>
      </x:c>
      <x:c r="J793" s="15" t="n">
        <x:v>0</x:v>
      </x:c>
      <x:c r="K793" s="15" t="n">
        <x:v>0</x:v>
      </x:c>
      <x:c r="L793" s="15" t="n">
        <x:v>0</x:v>
      </x:c>
      <x:c r="M793" s="15" t="n">
        <x:v>180</x:v>
      </x:c>
      <x:c r="N793" s="15" t="n">
        <x:v>220</x:v>
      </x:c>
      <x:c r="O793" s="15" t="n">
        <x:v>96</x:v>
      </x:c>
      <x:c r="P793" s="15" t="n">
        <x:v>64</x:v>
      </x:c>
      <x:c r="Q793" s="15" t="n">
        <x:v>32</x:v>
      </x:c>
      <x:c r="R793" s="15" t="n">
        <x:v>60</x:v>
      </x:c>
      <x:c r="S793" s="15" t="n">
        <x:v>280</x:v>
      </x:c>
      <x:c r="T793" s="15" t="n">
        <x:v>420</x:v>
      </x:c>
      <x:c r="U793" s="15" t="n">
        <x:v>0</x:v>
      </x:c>
      <x:c r="V793" s="15" t="n">
        <x:v>48</x:v>
      </x:c>
      <x:c r="W793" s="15" t="n">
        <x:v>380</x:v>
      </x:c>
      <x:c r="X793" s="15" t="n">
        <x:v>0</x:v>
      </x:c>
      <x:c r="Y793" s="15" t="n">
        <x:v>0</x:v>
      </x:c>
      <x:c r="Z793" s="15" t="n">
        <x:v>0</x:v>
      </x:c>
      <x:c r="AA793" s="15" t="n">
        <x:v>0</x:v>
      </x:c>
      <x:c r="AB793" s="15" t="n">
        <x:f>SUM(G793:AA793)</x:f>
        <x:v>1780</x:v>
      </x:c>
    </x:row>
    <x:row r="794" ht="36" customHeight="1">
      <x:c r="A794" s="10" t="str">
        <x:v>V-A</x:v>
      </x:c>
      <x:c r="B794" s="10" t="str">
        <x:v>VOICE</x:v>
      </x:c>
      <x:c r="C794" s="10" t="str">
        <x:v>VOICE:S6-08</x:v>
      </x:c>
      <x:c r="D794" s="10" t="str">
        <x:v>VOICE:M8825</x:v>
      </x:c>
      <x:c r="E794" s="15" t="n">
        <x:v>0</x:v>
      </x:c>
      <x:c r="F794" s="15" t="str">
        <x:v>scored</x:v>
      </x:c>
      <x:c r="G794" s="15" t="n">
        <x:v>0</x:v>
      </x:c>
      <x:c r="H794" s="15" t="n">
        <x:v>0</x:v>
      </x:c>
      <x:c r="I794" s="15" t="n">
        <x:v>0</x:v>
      </x:c>
      <x:c r="J794" s="15" t="n">
        <x:v>0</x:v>
      </x:c>
      <x:c r="K794" s="15" t="n">
        <x:v>0</x:v>
      </x:c>
      <x:c r="L794" s="15" t="n">
        <x:v>0</x:v>
      </x:c>
      <x:c r="M794" s="15" t="n">
        <x:v>180</x:v>
      </x:c>
      <x:c r="N794" s="15" t="n">
        <x:v>220</x:v>
      </x:c>
      <x:c r="O794" s="15" t="n">
        <x:v>96</x:v>
      </x:c>
      <x:c r="P794" s="15" t="n">
        <x:v>64</x:v>
      </x:c>
      <x:c r="Q794" s="15" t="n">
        <x:v>32</x:v>
      </x:c>
      <x:c r="R794" s="15" t="n">
        <x:v>0</x:v>
      </x:c>
      <x:c r="S794" s="15" t="n">
        <x:v>0</x:v>
      </x:c>
      <x:c r="T794" s="15" t="n">
        <x:v>0</x:v>
      </x:c>
      <x:c r="U794" s="15" t="n">
        <x:v>0</x:v>
      </x:c>
      <x:c r="V794" s="15" t="n">
        <x:v>0</x:v>
      </x:c>
      <x:c r="W794" s="15" t="n">
        <x:v>0</x:v>
      </x:c>
      <x:c r="X794" s="15" t="n">
        <x:v>0</x:v>
      </x:c>
      <x:c r="Y794" s="15" t="n">
        <x:v>0</x:v>
      </x:c>
      <x:c r="Z794" s="15" t="n">
        <x:v>0</x:v>
      </x:c>
      <x:c r="AA794" s="15" t="n">
        <x:v>0</x:v>
      </x:c>
      <x:c r="AB794" s="15" t="n">
        <x:f>SUM(G794:AA794)</x:f>
        <x:v>592</x:v>
      </x:c>
    </x:row>
    <x:row r="795" ht="36" customHeight="1">
      <x:c r="A795" s="10" t="str">
        <x:v>V-R1</x:v>
      </x:c>
      <x:c r="B795" s="10" t="str">
        <x:v>VOICE</x:v>
      </x:c>
      <x:c r="C795" s="10" t="str">
        <x:v>VOICE:S6-08</x:v>
      </x:c>
      <x:c r="D795" s="10" t="str">
        <x:v>VOICE:M8840</x:v>
      </x:c>
      <x:c r="E795" s="15" t="n">
        <x:v>2.23</x:v>
      </x:c>
      <x:c r="F795" s="15" t="str">
        <x:v>scored</x:v>
      </x:c>
      <x:c r="G795" s="15" t="n">
        <x:v>0</x:v>
      </x:c>
      <x:c r="H795" s="15" t="n">
        <x:v>0</x:v>
      </x:c>
      <x:c r="I795" s="15" t="n">
        <x:v>0</x:v>
      </x:c>
      <x:c r="J795" s="15" t="n">
        <x:v>0</x:v>
      </x:c>
      <x:c r="K795" s="15" t="n">
        <x:v>0</x:v>
      </x:c>
      <x:c r="L795" s="15" t="n">
        <x:v>0</x:v>
      </x:c>
      <x:c r="M795" s="15" t="n">
        <x:v>180</x:v>
      </x:c>
      <x:c r="N795" s="15" t="n">
        <x:v>220</x:v>
      </x:c>
      <x:c r="O795" s="15" t="n">
        <x:v>96</x:v>
      </x:c>
      <x:c r="P795" s="15" t="n">
        <x:v>64</x:v>
      </x:c>
      <x:c r="Q795" s="15" t="n">
        <x:v>24</x:v>
      </x:c>
      <x:c r="R795" s="15" t="n">
        <x:v>60</x:v>
      </x:c>
      <x:c r="S795" s="15" t="n">
        <x:v>280</x:v>
      </x:c>
      <x:c r="T795" s="15" t="n">
        <x:v>420</x:v>
      </x:c>
      <x:c r="U795" s="15" t="n">
        <x:v>0</x:v>
      </x:c>
      <x:c r="V795" s="15" t="n">
        <x:v>48</x:v>
      </x:c>
      <x:c r="W795" s="15" t="n">
        <x:v>380</x:v>
      </x:c>
      <x:c r="X795" s="15" t="n">
        <x:v>0</x:v>
      </x:c>
      <x:c r="Y795" s="15" t="n">
        <x:v>0</x:v>
      </x:c>
      <x:c r="Z795" s="15" t="n">
        <x:v>0</x:v>
      </x:c>
      <x:c r="AA795" s="15" t="n">
        <x:v>0</x:v>
      </x:c>
      <x:c r="AB795" s="15" t="n">
        <x:f>SUM(G795:AA795)</x:f>
        <x:v>1772</x:v>
      </x:c>
    </x:row>
    <x:row r="796" ht="36" customHeight="1">
      <x:c r="A796" s="10" t="str">
        <x:v>V-R2</x:v>
      </x:c>
      <x:c r="B796" s="10" t="str">
        <x:v>VOICE</x:v>
      </x:c>
      <x:c r="C796" s="10" t="str">
        <x:v>VOICE:S6-08</x:v>
      </x:c>
      <x:c r="D796" s="10" t="str">
        <x:v>VOICE:M8855</x:v>
      </x:c>
      <x:c r="E796" s="15" t="n">
        <x:v>2.23</x:v>
      </x:c>
      <x:c r="F796" s="15" t="str">
        <x:v>scored</x:v>
      </x:c>
      <x:c r="G796" s="15" t="n">
        <x:v>0</x:v>
      </x:c>
      <x:c r="H796" s="15" t="n">
        <x:v>0</x:v>
      </x:c>
      <x:c r="I796" s="15" t="n">
        <x:v>0</x:v>
      </x:c>
      <x:c r="J796" s="15" t="n">
        <x:v>0</x:v>
      </x:c>
      <x:c r="K796" s="15" t="n">
        <x:v>0</x:v>
      </x:c>
      <x:c r="L796" s="15" t="n">
        <x:v>0</x:v>
      </x:c>
      <x:c r="M796" s="15" t="n">
        <x:v>180</x:v>
      </x:c>
      <x:c r="N796" s="15" t="n">
        <x:v>220</x:v>
      </x:c>
      <x:c r="O796" s="15" t="n">
        <x:v>96</x:v>
      </x:c>
      <x:c r="P796" s="15" t="n">
        <x:v>64</x:v>
      </x:c>
      <x:c r="Q796" s="15" t="n">
        <x:v>24</x:v>
      </x:c>
      <x:c r="R796" s="15" t="n">
        <x:v>60</x:v>
      </x:c>
      <x:c r="S796" s="15" t="n">
        <x:v>280</x:v>
      </x:c>
      <x:c r="T796" s="15" t="n">
        <x:v>420</x:v>
      </x:c>
      <x:c r="U796" s="15" t="n">
        <x:v>0</x:v>
      </x:c>
      <x:c r="V796" s="15" t="n">
        <x:v>48</x:v>
      </x:c>
      <x:c r="W796" s="15" t="n">
        <x:v>380</x:v>
      </x:c>
      <x:c r="X796" s="15" t="n">
        <x:v>0</x:v>
      </x:c>
      <x:c r="Y796" s="15" t="n">
        <x:v>0</x:v>
      </x:c>
      <x:c r="Z796" s="15" t="n">
        <x:v>0</x:v>
      </x:c>
      <x:c r="AA796" s="15" t="n">
        <x:v>0</x:v>
      </x:c>
      <x:c r="AB796" s="15" t="n">
        <x:f>SUM(G796:AA796)</x:f>
        <x:v>1772</x:v>
      </x:c>
    </x:row>
    <x:row r="797" ht="36" customHeight="1">
      <x:c r="A797" s="10" t="str">
        <x:v>V-R3</x:v>
      </x:c>
      <x:c r="B797" s="10" t="str">
        <x:v>VOICE</x:v>
      </x:c>
      <x:c r="C797" s="10" t="str">
        <x:v>VOICE:S6-08</x:v>
      </x:c>
      <x:c r="D797" s="10" t="str">
        <x:v>VOICE:M8869</x:v>
      </x:c>
      <x:c r="E797" s="15" t="n">
        <x:v>2.23</x:v>
      </x:c>
      <x:c r="F797" s="15" t="str">
        <x:v>scored</x:v>
      </x:c>
      <x:c r="G797" s="15" t="n">
        <x:v>0</x:v>
      </x:c>
      <x:c r="H797" s="15" t="n">
        <x:v>0</x:v>
      </x:c>
      <x:c r="I797" s="15" t="n">
        <x:v>0</x:v>
      </x:c>
      <x:c r="J797" s="15" t="n">
        <x:v>0</x:v>
      </x:c>
      <x:c r="K797" s="15" t="n">
        <x:v>0</x:v>
      </x:c>
      <x:c r="L797" s="15" t="n">
        <x:v>0</x:v>
      </x:c>
      <x:c r="M797" s="15" t="n">
        <x:v>180</x:v>
      </x:c>
      <x:c r="N797" s="15" t="n">
        <x:v>220</x:v>
      </x:c>
      <x:c r="O797" s="15" t="n">
        <x:v>96</x:v>
      </x:c>
      <x:c r="P797" s="15" t="n">
        <x:v>64</x:v>
      </x:c>
      <x:c r="Q797" s="15" t="n">
        <x:v>32</x:v>
      </x:c>
      <x:c r="R797" s="15" t="n">
        <x:v>60</x:v>
      </x:c>
      <x:c r="S797" s="15" t="n">
        <x:v>280</x:v>
      </x:c>
      <x:c r="T797" s="15" t="n">
        <x:v>420</x:v>
      </x:c>
      <x:c r="U797" s="15" t="n">
        <x:v>0</x:v>
      </x:c>
      <x:c r="V797" s="15" t="n">
        <x:v>48</x:v>
      </x:c>
      <x:c r="W797" s="15" t="n">
        <x:v>380</x:v>
      </x:c>
      <x:c r="X797" s="15" t="n">
        <x:v>0</x:v>
      </x:c>
      <x:c r="Y797" s="15" t="n">
        <x:v>0</x:v>
      </x:c>
      <x:c r="Z797" s="15" t="n">
        <x:v>0</x:v>
      </x:c>
      <x:c r="AA797" s="15" t="n">
        <x:v>0</x:v>
      </x:c>
      <x:c r="AB797" s="15" t="n">
        <x:f>SUM(G797:AA797)</x:f>
        <x:v>1780</x:v>
      </x:c>
    </x:row>
    <x:row r="798" ht="36" customHeight="1">
      <x:c r="A798" s="10" t="str">
        <x:v>V-A</x:v>
      </x:c>
      <x:c r="B798" s="10" t="str">
        <x:v>VOICE</x:v>
      </x:c>
      <x:c r="C798" s="10" t="str">
        <x:v>VOICE:S6-09</x:v>
      </x:c>
      <x:c r="D798" s="10" t="str">
        <x:v>VOICE:M8880</x:v>
      </x:c>
      <x:c r="E798" s="15" t="n">
        <x:v>0</x:v>
      </x:c>
      <x:c r="F798" s="15" t="str">
        <x:v>scored</x:v>
      </x:c>
      <x:c r="G798" s="15" t="n">
        <x:v>0</x:v>
      </x:c>
      <x:c r="H798" s="15" t="n">
        <x:v>0</x:v>
      </x:c>
      <x:c r="I798" s="15" t="n">
        <x:v>0</x:v>
      </x:c>
      <x:c r="J798" s="15" t="n">
        <x:v>0</x:v>
      </x:c>
      <x:c r="K798" s="15" t="n">
        <x:v>0</x:v>
      </x:c>
      <x:c r="L798" s="15" t="n">
        <x:v>0</x:v>
      </x:c>
      <x:c r="M798" s="15" t="n">
        <x:v>180</x:v>
      </x:c>
      <x:c r="N798" s="15" t="n">
        <x:v>220</x:v>
      </x:c>
      <x:c r="O798" s="15" t="n">
        <x:v>96</x:v>
      </x:c>
      <x:c r="P798" s="15" t="n">
        <x:v>64</x:v>
      </x:c>
      <x:c r="Q798" s="15" t="n">
        <x:v>32</x:v>
      </x:c>
      <x:c r="R798" s="15" t="n">
        <x:v>0</x:v>
      </x:c>
      <x:c r="S798" s="15" t="n">
        <x:v>0</x:v>
      </x:c>
      <x:c r="T798" s="15" t="n">
        <x:v>0</x:v>
      </x:c>
      <x:c r="U798" s="15" t="n">
        <x:v>0</x:v>
      </x:c>
      <x:c r="V798" s="15" t="n">
        <x:v>0</x:v>
      </x:c>
      <x:c r="W798" s="15" t="n">
        <x:v>0</x:v>
      </x:c>
      <x:c r="X798" s="15" t="n">
        <x:v>0</x:v>
      </x:c>
      <x:c r="Y798" s="15" t="n">
        <x:v>0</x:v>
      </x:c>
      <x:c r="Z798" s="15" t="n">
        <x:v>0</x:v>
      </x:c>
      <x:c r="AA798" s="15" t="n">
        <x:v>0</x:v>
      </x:c>
      <x:c r="AB798" s="15" t="n">
        <x:f>SUM(G798:AA798)</x:f>
        <x:v>592</x:v>
      </x:c>
    </x:row>
    <x:row r="799" ht="36" customHeight="1">
      <x:c r="A799" s="10" t="str">
        <x:v>V-R1</x:v>
      </x:c>
      <x:c r="B799" s="10" t="str">
        <x:v>VOICE</x:v>
      </x:c>
      <x:c r="C799" s="10" t="str">
        <x:v>VOICE:S6-09</x:v>
      </x:c>
      <x:c r="D799" s="10" t="str">
        <x:v>VOICE:M8895</x:v>
      </x:c>
      <x:c r="E799" s="15" t="n">
        <x:v>2.23</x:v>
      </x:c>
      <x:c r="F799" s="15" t="str">
        <x:v>scored</x:v>
      </x:c>
      <x:c r="G799" s="15" t="n">
        <x:v>0</x:v>
      </x:c>
      <x:c r="H799" s="15" t="n">
        <x:v>0</x:v>
      </x:c>
      <x:c r="I799" s="15" t="n">
        <x:v>0</x:v>
      </x:c>
      <x:c r="J799" s="15" t="n">
        <x:v>0</x:v>
      </x:c>
      <x:c r="K799" s="15" t="n">
        <x:v>0</x:v>
      </x:c>
      <x:c r="L799" s="15" t="n">
        <x:v>0</x:v>
      </x:c>
      <x:c r="M799" s="15" t="n">
        <x:v>180</x:v>
      </x:c>
      <x:c r="N799" s="15" t="n">
        <x:v>220</x:v>
      </x:c>
      <x:c r="O799" s="15" t="n">
        <x:v>96</x:v>
      </x:c>
      <x:c r="P799" s="15" t="n">
        <x:v>64</x:v>
      </x:c>
      <x:c r="Q799" s="15" t="n">
        <x:v>24</x:v>
      </x:c>
      <x:c r="R799" s="15" t="n">
        <x:v>60</x:v>
      </x:c>
      <x:c r="S799" s="15" t="n">
        <x:v>280</x:v>
      </x:c>
      <x:c r="T799" s="15" t="n">
        <x:v>420</x:v>
      </x:c>
      <x:c r="U799" s="15" t="n">
        <x:v>0</x:v>
      </x:c>
      <x:c r="V799" s="15" t="n">
        <x:v>48</x:v>
      </x:c>
      <x:c r="W799" s="15" t="n">
        <x:v>380</x:v>
      </x:c>
      <x:c r="X799" s="15" t="n">
        <x:v>0</x:v>
      </x:c>
      <x:c r="Y799" s="15" t="n">
        <x:v>0</x:v>
      </x:c>
      <x:c r="Z799" s="15" t="n">
        <x:v>0</x:v>
      </x:c>
      <x:c r="AA799" s="15" t="n">
        <x:v>0</x:v>
      </x:c>
      <x:c r="AB799" s="15" t="n">
        <x:f>SUM(G799:AA799)</x:f>
        <x:v>1772</x:v>
      </x:c>
    </x:row>
    <x:row r="800" ht="36" customHeight="1">
      <x:c r="A800" s="10" t="str">
        <x:v>V-R2</x:v>
      </x:c>
      <x:c r="B800" s="10" t="str">
        <x:v>VOICE</x:v>
      </x:c>
      <x:c r="C800" s="10" t="str">
        <x:v>VOICE:S6-09</x:v>
      </x:c>
      <x:c r="D800" s="10" t="str">
        <x:v>VOICE:M8910</x:v>
      </x:c>
      <x:c r="E800" s="15" t="n">
        <x:v>2.23</x:v>
      </x:c>
      <x:c r="F800" s="15" t="str">
        <x:v>scored</x:v>
      </x:c>
      <x:c r="G800" s="15" t="n">
        <x:v>0</x:v>
      </x:c>
      <x:c r="H800" s="15" t="n">
        <x:v>0</x:v>
      </x:c>
      <x:c r="I800" s="15" t="n">
        <x:v>0</x:v>
      </x:c>
      <x:c r="J800" s="15" t="n">
        <x:v>0</x:v>
      </x:c>
      <x:c r="K800" s="15" t="n">
        <x:v>0</x:v>
      </x:c>
      <x:c r="L800" s="15" t="n">
        <x:v>0</x:v>
      </x:c>
      <x:c r="M800" s="15" t="n">
        <x:v>180</x:v>
      </x:c>
      <x:c r="N800" s="15" t="n">
        <x:v>220</x:v>
      </x:c>
      <x:c r="O800" s="15" t="n">
        <x:v>96</x:v>
      </x:c>
      <x:c r="P800" s="15" t="n">
        <x:v>64</x:v>
      </x:c>
      <x:c r="Q800" s="15" t="n">
        <x:v>24</x:v>
      </x:c>
      <x:c r="R800" s="15" t="n">
        <x:v>60</x:v>
      </x:c>
      <x:c r="S800" s="15" t="n">
        <x:v>280</x:v>
      </x:c>
      <x:c r="T800" s="15" t="n">
        <x:v>420</x:v>
      </x:c>
      <x:c r="U800" s="15" t="n">
        <x:v>0</x:v>
      </x:c>
      <x:c r="V800" s="15" t="n">
        <x:v>48</x:v>
      </x:c>
      <x:c r="W800" s="15" t="n">
        <x:v>380</x:v>
      </x:c>
      <x:c r="X800" s="15" t="n">
        <x:v>0</x:v>
      </x:c>
      <x:c r="Y800" s="15" t="n">
        <x:v>0</x:v>
      </x:c>
      <x:c r="Z800" s="15" t="n">
        <x:v>0</x:v>
      </x:c>
      <x:c r="AA800" s="15" t="n">
        <x:v>0</x:v>
      </x:c>
      <x:c r="AB800" s="15" t="n">
        <x:f>SUM(G800:AA800)</x:f>
        <x:v>1772</x:v>
      </x:c>
    </x:row>
    <x:row r="801" ht="36" customHeight="1">
      <x:c r="A801" s="10" t="str">
        <x:v>V-R3</x:v>
      </x:c>
      <x:c r="B801" s="10" t="str">
        <x:v>VOICE</x:v>
      </x:c>
      <x:c r="C801" s="10" t="str">
        <x:v>VOICE:S6-09</x:v>
      </x:c>
      <x:c r="D801" s="10" t="str">
        <x:v>VOICE:M8924</x:v>
      </x:c>
      <x:c r="E801" s="15" t="n">
        <x:v>2.23</x:v>
      </x:c>
      <x:c r="F801" s="15" t="str">
        <x:v>scored</x:v>
      </x:c>
      <x:c r="G801" s="15" t="n">
        <x:v>0</x:v>
      </x:c>
      <x:c r="H801" s="15" t="n">
        <x:v>0</x:v>
      </x:c>
      <x:c r="I801" s="15" t="n">
        <x:v>0</x:v>
      </x:c>
      <x:c r="J801" s="15" t="n">
        <x:v>0</x:v>
      </x:c>
      <x:c r="K801" s="15" t="n">
        <x:v>0</x:v>
      </x:c>
      <x:c r="L801" s="15" t="n">
        <x:v>0</x:v>
      </x:c>
      <x:c r="M801" s="15" t="n">
        <x:v>180</x:v>
      </x:c>
      <x:c r="N801" s="15" t="n">
        <x:v>220</x:v>
      </x:c>
      <x:c r="O801" s="15" t="n">
        <x:v>96</x:v>
      </x:c>
      <x:c r="P801" s="15" t="n">
        <x:v>64</x:v>
      </x:c>
      <x:c r="Q801" s="15" t="n">
        <x:v>32</x:v>
      </x:c>
      <x:c r="R801" s="15" t="n">
        <x:v>60</x:v>
      </x:c>
      <x:c r="S801" s="15" t="n">
        <x:v>280</x:v>
      </x:c>
      <x:c r="T801" s="15" t="n">
        <x:v>420</x:v>
      </x:c>
      <x:c r="U801" s="15" t="n">
        <x:v>0</x:v>
      </x:c>
      <x:c r="V801" s="15" t="n">
        <x:v>48</x:v>
      </x:c>
      <x:c r="W801" s="15" t="n">
        <x:v>380</x:v>
      </x:c>
      <x:c r="X801" s="15" t="n">
        <x:v>0</x:v>
      </x:c>
      <x:c r="Y801" s="15" t="n">
        <x:v>0</x:v>
      </x:c>
      <x:c r="Z801" s="15" t="n">
        <x:v>0</x:v>
      </x:c>
      <x:c r="AA801" s="15" t="n">
        <x:v>0</x:v>
      </x:c>
      <x:c r="AB801" s="15" t="n">
        <x:f>SUM(G801:AA801)</x:f>
        <x:v>1780</x:v>
      </x:c>
    </x:row>
    <x:row r="802" ht="36" customHeight="1">
      <x:c r="A802" s="10" t="str">
        <x:v>V-A</x:v>
      </x:c>
      <x:c r="B802" s="10" t="str">
        <x:v>VOICE</x:v>
      </x:c>
      <x:c r="C802" s="10" t="str">
        <x:v>VOICE:S6-10</x:v>
      </x:c>
      <x:c r="D802" s="10" t="str">
        <x:v>VOICE:M8935</x:v>
      </x:c>
      <x:c r="E802" s="15" t="n">
        <x:v>0</x:v>
      </x:c>
      <x:c r="F802" s="15" t="str">
        <x:v>scored</x:v>
      </x:c>
      <x:c r="G802" s="15" t="n">
        <x:v>0</x:v>
      </x:c>
      <x:c r="H802" s="15" t="n">
        <x:v>0</x:v>
      </x:c>
      <x:c r="I802" s="15" t="n">
        <x:v>0</x:v>
      </x:c>
      <x:c r="J802" s="15" t="n">
        <x:v>0</x:v>
      </x:c>
      <x:c r="K802" s="15" t="n">
        <x:v>0</x:v>
      </x:c>
      <x:c r="L802" s="15" t="n">
        <x:v>0</x:v>
      </x:c>
      <x:c r="M802" s="15" t="n">
        <x:v>180</x:v>
      </x:c>
      <x:c r="N802" s="15" t="n">
        <x:v>220</x:v>
      </x:c>
      <x:c r="O802" s="15" t="n">
        <x:v>96</x:v>
      </x:c>
      <x:c r="P802" s="15" t="n">
        <x:v>64</x:v>
      </x:c>
      <x:c r="Q802" s="15" t="n">
        <x:v>32</x:v>
      </x:c>
      <x:c r="R802" s="15" t="n">
        <x:v>0</x:v>
      </x:c>
      <x:c r="S802" s="15" t="n">
        <x:v>0</x:v>
      </x:c>
      <x:c r="T802" s="15" t="n">
        <x:v>0</x:v>
      </x:c>
      <x:c r="U802" s="15" t="n">
        <x:v>0</x:v>
      </x:c>
      <x:c r="V802" s="15" t="n">
        <x:v>0</x:v>
      </x:c>
      <x:c r="W802" s="15" t="n">
        <x:v>0</x:v>
      </x:c>
      <x:c r="X802" s="15" t="n">
        <x:v>0</x:v>
      </x:c>
      <x:c r="Y802" s="15" t="n">
        <x:v>0</x:v>
      </x:c>
      <x:c r="Z802" s="15" t="n">
        <x:v>0</x:v>
      </x:c>
      <x:c r="AA802" s="15" t="n">
        <x:v>0</x:v>
      </x:c>
      <x:c r="AB802" s="15" t="n">
        <x:f>SUM(G802:AA802)</x:f>
        <x:v>592</x:v>
      </x:c>
    </x:row>
    <x:row r="803" ht="36" customHeight="1">
      <x:c r="A803" s="10" t="str">
        <x:v>V-R1</x:v>
      </x:c>
      <x:c r="B803" s="10" t="str">
        <x:v>VOICE</x:v>
      </x:c>
      <x:c r="C803" s="10" t="str">
        <x:v>VOICE:S6-10</x:v>
      </x:c>
      <x:c r="D803" s="10" t="str">
        <x:v>VOICE:M8950</x:v>
      </x:c>
      <x:c r="E803" s="15" t="n">
        <x:v>2.23</x:v>
      </x:c>
      <x:c r="F803" s="15" t="str">
        <x:v>scored</x:v>
      </x:c>
      <x:c r="G803" s="15" t="n">
        <x:v>0</x:v>
      </x:c>
      <x:c r="H803" s="15" t="n">
        <x:v>0</x:v>
      </x:c>
      <x:c r="I803" s="15" t="n">
        <x:v>0</x:v>
      </x:c>
      <x:c r="J803" s="15" t="n">
        <x:v>0</x:v>
      </x:c>
      <x:c r="K803" s="15" t="n">
        <x:v>0</x:v>
      </x:c>
      <x:c r="L803" s="15" t="n">
        <x:v>0</x:v>
      </x:c>
      <x:c r="M803" s="15" t="n">
        <x:v>180</x:v>
      </x:c>
      <x:c r="N803" s="15" t="n">
        <x:v>220</x:v>
      </x:c>
      <x:c r="O803" s="15" t="n">
        <x:v>96</x:v>
      </x:c>
      <x:c r="P803" s="15" t="n">
        <x:v>64</x:v>
      </x:c>
      <x:c r="Q803" s="15" t="n">
        <x:v>24</x:v>
      </x:c>
      <x:c r="R803" s="15" t="n">
        <x:v>60</x:v>
      </x:c>
      <x:c r="S803" s="15" t="n">
        <x:v>280</x:v>
      </x:c>
      <x:c r="T803" s="15" t="n">
        <x:v>420</x:v>
      </x:c>
      <x:c r="U803" s="15" t="n">
        <x:v>0</x:v>
      </x:c>
      <x:c r="V803" s="15" t="n">
        <x:v>48</x:v>
      </x:c>
      <x:c r="W803" s="15" t="n">
        <x:v>380</x:v>
      </x:c>
      <x:c r="X803" s="15" t="n">
        <x:v>0</x:v>
      </x:c>
      <x:c r="Y803" s="15" t="n">
        <x:v>0</x:v>
      </x:c>
      <x:c r="Z803" s="15" t="n">
        <x:v>0</x:v>
      </x:c>
      <x:c r="AA803" s="15" t="n">
        <x:v>0</x:v>
      </x:c>
      <x:c r="AB803" s="15" t="n">
        <x:f>SUM(G803:AA803)</x:f>
        <x:v>1772</x:v>
      </x:c>
    </x:row>
    <x:row r="804" ht="36" customHeight="1">
      <x:c r="A804" s="10" t="str">
        <x:v>V-R2</x:v>
      </x:c>
      <x:c r="B804" s="10" t="str">
        <x:v>VOICE</x:v>
      </x:c>
      <x:c r="C804" s="10" t="str">
        <x:v>VOICE:S6-10</x:v>
      </x:c>
      <x:c r="D804" s="10" t="str">
        <x:v>VOICE:M8965</x:v>
      </x:c>
      <x:c r="E804" s="15" t="n">
        <x:v>2.23</x:v>
      </x:c>
      <x:c r="F804" s="15" t="str">
        <x:v>scored</x:v>
      </x:c>
      <x:c r="G804" s="15" t="n">
        <x:v>0</x:v>
      </x:c>
      <x:c r="H804" s="15" t="n">
        <x:v>0</x:v>
      </x:c>
      <x:c r="I804" s="15" t="n">
        <x:v>0</x:v>
      </x:c>
      <x:c r="J804" s="15" t="n">
        <x:v>0</x:v>
      </x:c>
      <x:c r="K804" s="15" t="n">
        <x:v>0</x:v>
      </x:c>
      <x:c r="L804" s="15" t="n">
        <x:v>0</x:v>
      </x:c>
      <x:c r="M804" s="15" t="n">
        <x:v>180</x:v>
      </x:c>
      <x:c r="N804" s="15" t="n">
        <x:v>220</x:v>
      </x:c>
      <x:c r="O804" s="15" t="n">
        <x:v>96</x:v>
      </x:c>
      <x:c r="P804" s="15" t="n">
        <x:v>64</x:v>
      </x:c>
      <x:c r="Q804" s="15" t="n">
        <x:v>24</x:v>
      </x:c>
      <x:c r="R804" s="15" t="n">
        <x:v>60</x:v>
      </x:c>
      <x:c r="S804" s="15" t="n">
        <x:v>280</x:v>
      </x:c>
      <x:c r="T804" s="15" t="n">
        <x:v>420</x:v>
      </x:c>
      <x:c r="U804" s="15" t="n">
        <x:v>0</x:v>
      </x:c>
      <x:c r="V804" s="15" t="n">
        <x:v>48</x:v>
      </x:c>
      <x:c r="W804" s="15" t="n">
        <x:v>380</x:v>
      </x:c>
      <x:c r="X804" s="15" t="n">
        <x:v>0</x:v>
      </x:c>
      <x:c r="Y804" s="15" t="n">
        <x:v>0</x:v>
      </x:c>
      <x:c r="Z804" s="15" t="n">
        <x:v>0</x:v>
      </x:c>
      <x:c r="AA804" s="15" t="n">
        <x:v>0</x:v>
      </x:c>
      <x:c r="AB804" s="15" t="n">
        <x:f>SUM(G804:AA804)</x:f>
        <x:v>1772</x:v>
      </x:c>
    </x:row>
    <x:row r="805" ht="36" customHeight="1">
      <x:c r="A805" s="10" t="str">
        <x:v>V-R3</x:v>
      </x:c>
      <x:c r="B805" s="10" t="str">
        <x:v>VOICE</x:v>
      </x:c>
      <x:c r="C805" s="10" t="str">
        <x:v>VOICE:S6-10</x:v>
      </x:c>
      <x:c r="D805" s="10" t="str">
        <x:v>VOICE:M8979</x:v>
      </x:c>
      <x:c r="E805" s="15" t="n">
        <x:v>2.23</x:v>
      </x:c>
      <x:c r="F805" s="15" t="str">
        <x:v>scored</x:v>
      </x:c>
      <x:c r="G805" s="15" t="n">
        <x:v>0</x:v>
      </x:c>
      <x:c r="H805" s="15" t="n">
        <x:v>0</x:v>
      </x:c>
      <x:c r="I805" s="15" t="n">
        <x:v>0</x:v>
      </x:c>
      <x:c r="J805" s="15" t="n">
        <x:v>0</x:v>
      </x:c>
      <x:c r="K805" s="15" t="n">
        <x:v>0</x:v>
      </x:c>
      <x:c r="L805" s="15" t="n">
        <x:v>0</x:v>
      </x:c>
      <x:c r="M805" s="15" t="n">
        <x:v>180</x:v>
      </x:c>
      <x:c r="N805" s="15" t="n">
        <x:v>220</x:v>
      </x:c>
      <x:c r="O805" s="15" t="n">
        <x:v>96</x:v>
      </x:c>
      <x:c r="P805" s="15" t="n">
        <x:v>64</x:v>
      </x:c>
      <x:c r="Q805" s="15" t="n">
        <x:v>32</x:v>
      </x:c>
      <x:c r="R805" s="15" t="n">
        <x:v>60</x:v>
      </x:c>
      <x:c r="S805" s="15" t="n">
        <x:v>280</x:v>
      </x:c>
      <x:c r="T805" s="15" t="n">
        <x:v>420</x:v>
      </x:c>
      <x:c r="U805" s="15" t="n">
        <x:v>0</x:v>
      </x:c>
      <x:c r="V805" s="15" t="n">
        <x:v>48</x:v>
      </x:c>
      <x:c r="W805" s="15" t="n">
        <x:v>380</x:v>
      </x:c>
      <x:c r="X805" s="15" t="n">
        <x:v>0</x:v>
      </x:c>
      <x:c r="Y805" s="15" t="n">
        <x:v>0</x:v>
      </x:c>
      <x:c r="Z805" s="15" t="n">
        <x:v>0</x:v>
      </x:c>
      <x:c r="AA805" s="15" t="n">
        <x:v>0</x:v>
      </x:c>
      <x:c r="AB805" s="15" t="n">
        <x:f>SUM(G805:AA805)</x:f>
        <x:v>1780</x:v>
      </x:c>
    </x:row>
    <x:row r="806" ht="36" customHeight="1">
      <x:c r="A806" s="10" t="str">
        <x:v>V-A</x:v>
      </x:c>
      <x:c r="B806" s="10" t="str">
        <x:v>VOICE</x:v>
      </x:c>
      <x:c r="C806" s="10" t="str">
        <x:v>VOICE:S6-11</x:v>
      </x:c>
      <x:c r="D806" s="10" t="str">
        <x:v>VOICE:M8990</x:v>
      </x:c>
      <x:c r="E806" s="15" t="n">
        <x:v>0</x:v>
      </x:c>
      <x:c r="F806" s="15" t="str">
        <x:v>scored</x:v>
      </x:c>
      <x:c r="G806" s="15" t="n">
        <x:v>0</x:v>
      </x:c>
      <x:c r="H806" s="15" t="n">
        <x:v>0</x:v>
      </x:c>
      <x:c r="I806" s="15" t="n">
        <x:v>0</x:v>
      </x:c>
      <x:c r="J806" s="15" t="n">
        <x:v>0</x:v>
      </x:c>
      <x:c r="K806" s="15" t="n">
        <x:v>0</x:v>
      </x:c>
      <x:c r="L806" s="15" t="n">
        <x:v>0</x:v>
      </x:c>
      <x:c r="M806" s="15" t="n">
        <x:v>180</x:v>
      </x:c>
      <x:c r="N806" s="15" t="n">
        <x:v>220</x:v>
      </x:c>
      <x:c r="O806" s="15" t="n">
        <x:v>96</x:v>
      </x:c>
      <x:c r="P806" s="15" t="n">
        <x:v>64</x:v>
      </x:c>
      <x:c r="Q806" s="15" t="n">
        <x:v>32</x:v>
      </x:c>
      <x:c r="R806" s="15" t="n">
        <x:v>0</x:v>
      </x:c>
      <x:c r="S806" s="15" t="n">
        <x:v>0</x:v>
      </x:c>
      <x:c r="T806" s="15" t="n">
        <x:v>0</x:v>
      </x:c>
      <x:c r="U806" s="15" t="n">
        <x:v>0</x:v>
      </x:c>
      <x:c r="V806" s="15" t="n">
        <x:v>0</x:v>
      </x:c>
      <x:c r="W806" s="15" t="n">
        <x:v>0</x:v>
      </x:c>
      <x:c r="X806" s="15" t="n">
        <x:v>0</x:v>
      </x:c>
      <x:c r="Y806" s="15" t="n">
        <x:v>0</x:v>
      </x:c>
      <x:c r="Z806" s="15" t="n">
        <x:v>0</x:v>
      </x:c>
      <x:c r="AA806" s="15" t="n">
        <x:v>0</x:v>
      </x:c>
      <x:c r="AB806" s="15" t="n">
        <x:f>SUM(G806:AA806)</x:f>
        <x:v>592</x:v>
      </x:c>
    </x:row>
    <x:row r="807" ht="36" customHeight="1">
      <x:c r="A807" s="10" t="str">
        <x:v>V-R1</x:v>
      </x:c>
      <x:c r="B807" s="10" t="str">
        <x:v>VOICE</x:v>
      </x:c>
      <x:c r="C807" s="10" t="str">
        <x:v>VOICE:S6-11</x:v>
      </x:c>
      <x:c r="D807" s="10" t="str">
        <x:v>VOICE:M9005</x:v>
      </x:c>
      <x:c r="E807" s="15" t="n">
        <x:v>2.23</x:v>
      </x:c>
      <x:c r="F807" s="15" t="str">
        <x:v>scored</x:v>
      </x:c>
      <x:c r="G807" s="15" t="n">
        <x:v>0</x:v>
      </x:c>
      <x:c r="H807" s="15" t="n">
        <x:v>0</x:v>
      </x:c>
      <x:c r="I807" s="15" t="n">
        <x:v>0</x:v>
      </x:c>
      <x:c r="J807" s="15" t="n">
        <x:v>0</x:v>
      </x:c>
      <x:c r="K807" s="15" t="n">
        <x:v>0</x:v>
      </x:c>
      <x:c r="L807" s="15" t="n">
        <x:v>0</x:v>
      </x:c>
      <x:c r="M807" s="15" t="n">
        <x:v>180</x:v>
      </x:c>
      <x:c r="N807" s="15" t="n">
        <x:v>220</x:v>
      </x:c>
      <x:c r="O807" s="15" t="n">
        <x:v>96</x:v>
      </x:c>
      <x:c r="P807" s="15" t="n">
        <x:v>64</x:v>
      </x:c>
      <x:c r="Q807" s="15" t="n">
        <x:v>24</x:v>
      </x:c>
      <x:c r="R807" s="15" t="n">
        <x:v>60</x:v>
      </x:c>
      <x:c r="S807" s="15" t="n">
        <x:v>280</x:v>
      </x:c>
      <x:c r="T807" s="15" t="n">
        <x:v>420</x:v>
      </x:c>
      <x:c r="U807" s="15" t="n">
        <x:v>0</x:v>
      </x:c>
      <x:c r="V807" s="15" t="n">
        <x:v>48</x:v>
      </x:c>
      <x:c r="W807" s="15" t="n">
        <x:v>380</x:v>
      </x:c>
      <x:c r="X807" s="15" t="n">
        <x:v>0</x:v>
      </x:c>
      <x:c r="Y807" s="15" t="n">
        <x:v>0</x:v>
      </x:c>
      <x:c r="Z807" s="15" t="n">
        <x:v>0</x:v>
      </x:c>
      <x:c r="AA807" s="15" t="n">
        <x:v>0</x:v>
      </x:c>
      <x:c r="AB807" s="15" t="n">
        <x:f>SUM(G807:AA807)</x:f>
        <x:v>1772</x:v>
      </x:c>
    </x:row>
    <x:row r="808" ht="36" customHeight="1">
      <x:c r="A808" s="10" t="str">
        <x:v>V-R2</x:v>
      </x:c>
      <x:c r="B808" s="10" t="str">
        <x:v>VOICE</x:v>
      </x:c>
      <x:c r="C808" s="10" t="str">
        <x:v>VOICE:S6-11</x:v>
      </x:c>
      <x:c r="D808" s="10" t="str">
        <x:v>VOICE:M9020</x:v>
      </x:c>
      <x:c r="E808" s="15" t="n">
        <x:v>2.23</x:v>
      </x:c>
      <x:c r="F808" s="15" t="str">
        <x:v>scored</x:v>
      </x:c>
      <x:c r="G808" s="15" t="n">
        <x:v>0</x:v>
      </x:c>
      <x:c r="H808" s="15" t="n">
        <x:v>0</x:v>
      </x:c>
      <x:c r="I808" s="15" t="n">
        <x:v>0</x:v>
      </x:c>
      <x:c r="J808" s="15" t="n">
        <x:v>0</x:v>
      </x:c>
      <x:c r="K808" s="15" t="n">
        <x:v>0</x:v>
      </x:c>
      <x:c r="L808" s="15" t="n">
        <x:v>0</x:v>
      </x:c>
      <x:c r="M808" s="15" t="n">
        <x:v>180</x:v>
      </x:c>
      <x:c r="N808" s="15" t="n">
        <x:v>220</x:v>
      </x:c>
      <x:c r="O808" s="15" t="n">
        <x:v>96</x:v>
      </x:c>
      <x:c r="P808" s="15" t="n">
        <x:v>64</x:v>
      </x:c>
      <x:c r="Q808" s="15" t="n">
        <x:v>24</x:v>
      </x:c>
      <x:c r="R808" s="15" t="n">
        <x:v>60</x:v>
      </x:c>
      <x:c r="S808" s="15" t="n">
        <x:v>280</x:v>
      </x:c>
      <x:c r="T808" s="15" t="n">
        <x:v>420</x:v>
      </x:c>
      <x:c r="U808" s="15" t="n">
        <x:v>0</x:v>
      </x:c>
      <x:c r="V808" s="15" t="n">
        <x:v>48</x:v>
      </x:c>
      <x:c r="W808" s="15" t="n">
        <x:v>380</x:v>
      </x:c>
      <x:c r="X808" s="15" t="n">
        <x:v>0</x:v>
      </x:c>
      <x:c r="Y808" s="15" t="n">
        <x:v>0</x:v>
      </x:c>
      <x:c r="Z808" s="15" t="n">
        <x:v>0</x:v>
      </x:c>
      <x:c r="AA808" s="15" t="n">
        <x:v>0</x:v>
      </x:c>
      <x:c r="AB808" s="15" t="n">
        <x:f>SUM(G808:AA808)</x:f>
        <x:v>1772</x:v>
      </x:c>
    </x:row>
    <x:row r="809" ht="36" customHeight="1">
      <x:c r="A809" s="10" t="str">
        <x:v>V-R3</x:v>
      </x:c>
      <x:c r="B809" s="10" t="str">
        <x:v>VOICE</x:v>
      </x:c>
      <x:c r="C809" s="10" t="str">
        <x:v>VOICE:S6-11</x:v>
      </x:c>
      <x:c r="D809" s="10" t="str">
        <x:v>VOICE:M9034</x:v>
      </x:c>
      <x:c r="E809" s="15" t="n">
        <x:v>2.23</x:v>
      </x:c>
      <x:c r="F809" s="15" t="str">
        <x:v>scored</x:v>
      </x:c>
      <x:c r="G809" s="15" t="n">
        <x:v>0</x:v>
      </x:c>
      <x:c r="H809" s="15" t="n">
        <x:v>0</x:v>
      </x:c>
      <x:c r="I809" s="15" t="n">
        <x:v>0</x:v>
      </x:c>
      <x:c r="J809" s="15" t="n">
        <x:v>0</x:v>
      </x:c>
      <x:c r="K809" s="15" t="n">
        <x:v>0</x:v>
      </x:c>
      <x:c r="L809" s="15" t="n">
        <x:v>0</x:v>
      </x:c>
      <x:c r="M809" s="15" t="n">
        <x:v>180</x:v>
      </x:c>
      <x:c r="N809" s="15" t="n">
        <x:v>220</x:v>
      </x:c>
      <x:c r="O809" s="15" t="n">
        <x:v>96</x:v>
      </x:c>
      <x:c r="P809" s="15" t="n">
        <x:v>64</x:v>
      </x:c>
      <x:c r="Q809" s="15" t="n">
        <x:v>32</x:v>
      </x:c>
      <x:c r="R809" s="15" t="n">
        <x:v>60</x:v>
      </x:c>
      <x:c r="S809" s="15" t="n">
        <x:v>280</x:v>
      </x:c>
      <x:c r="T809" s="15" t="n">
        <x:v>420</x:v>
      </x:c>
      <x:c r="U809" s="15" t="n">
        <x:v>0</x:v>
      </x:c>
      <x:c r="V809" s="15" t="n">
        <x:v>48</x:v>
      </x:c>
      <x:c r="W809" s="15" t="n">
        <x:v>380</x:v>
      </x:c>
      <x:c r="X809" s="15" t="n">
        <x:v>0</x:v>
      </x:c>
      <x:c r="Y809" s="15" t="n">
        <x:v>0</x:v>
      </x:c>
      <x:c r="Z809" s="15" t="n">
        <x:v>0</x:v>
      </x:c>
      <x:c r="AA809" s="15" t="n">
        <x:v>0</x:v>
      </x:c>
      <x:c r="AB809" s="15" t="n">
        <x:f>SUM(G809:AA809)</x:f>
        <x:v>1780</x:v>
      </x:c>
    </x:row>
    <x:row r="810" ht="36" customHeight="1">
      <x:c r="A810" s="10" t="str">
        <x:v>V-A</x:v>
      </x:c>
      <x:c r="B810" s="10" t="str">
        <x:v>VOICE</x:v>
      </x:c>
      <x:c r="C810" s="10" t="str">
        <x:v>VOICE:S6-12</x:v>
      </x:c>
      <x:c r="D810" s="10" t="str">
        <x:v>VOICE:M9045</x:v>
      </x:c>
      <x:c r="E810" s="15" t="n">
        <x:v>0</x:v>
      </x:c>
      <x:c r="F810" s="15" t="str">
        <x:v>scored</x:v>
      </x:c>
      <x:c r="G810" s="15" t="n">
        <x:v>0</x:v>
      </x:c>
      <x:c r="H810" s="15" t="n">
        <x:v>0</x:v>
      </x:c>
      <x:c r="I810" s="15" t="n">
        <x:v>0</x:v>
      </x:c>
      <x:c r="J810" s="15" t="n">
        <x:v>0</x:v>
      </x:c>
      <x:c r="K810" s="15" t="n">
        <x:v>0</x:v>
      </x:c>
      <x:c r="L810" s="15" t="n">
        <x:v>0</x:v>
      </x:c>
      <x:c r="M810" s="15" t="n">
        <x:v>180</x:v>
      </x:c>
      <x:c r="N810" s="15" t="n">
        <x:v>220</x:v>
      </x:c>
      <x:c r="O810" s="15" t="n">
        <x:v>96</x:v>
      </x:c>
      <x:c r="P810" s="15" t="n">
        <x:v>64</x:v>
      </x:c>
      <x:c r="Q810" s="15" t="n">
        <x:v>32</x:v>
      </x:c>
      <x:c r="R810" s="15" t="n">
        <x:v>0</x:v>
      </x:c>
      <x:c r="S810" s="15" t="n">
        <x:v>0</x:v>
      </x:c>
      <x:c r="T810" s="15" t="n">
        <x:v>0</x:v>
      </x:c>
      <x:c r="U810" s="15" t="n">
        <x:v>0</x:v>
      </x:c>
      <x:c r="V810" s="15" t="n">
        <x:v>0</x:v>
      </x:c>
      <x:c r="W810" s="15" t="n">
        <x:v>0</x:v>
      </x:c>
      <x:c r="X810" s="15" t="n">
        <x:v>0</x:v>
      </x:c>
      <x:c r="Y810" s="15" t="n">
        <x:v>0</x:v>
      </x:c>
      <x:c r="Z810" s="15" t="n">
        <x:v>0</x:v>
      </x:c>
      <x:c r="AA810" s="15" t="n">
        <x:v>0</x:v>
      </x:c>
      <x:c r="AB810" s="15" t="n">
        <x:f>SUM(G810:AA810)</x:f>
        <x:v>592</x:v>
      </x:c>
    </x:row>
    <x:row r="811" ht="36" customHeight="1">
      <x:c r="A811" s="10" t="str">
        <x:v>V-R1</x:v>
      </x:c>
      <x:c r="B811" s="10" t="str">
        <x:v>VOICE</x:v>
      </x:c>
      <x:c r="C811" s="10" t="str">
        <x:v>VOICE:S6-12</x:v>
      </x:c>
      <x:c r="D811" s="10" t="str">
        <x:v>VOICE:M9060</x:v>
      </x:c>
      <x:c r="E811" s="15" t="n">
        <x:v>2.23</x:v>
      </x:c>
      <x:c r="F811" s="15" t="str">
        <x:v>scored</x:v>
      </x:c>
      <x:c r="G811" s="15" t="n">
        <x:v>0</x:v>
      </x:c>
      <x:c r="H811" s="15" t="n">
        <x:v>0</x:v>
      </x:c>
      <x:c r="I811" s="15" t="n">
        <x:v>0</x:v>
      </x:c>
      <x:c r="J811" s="15" t="n">
        <x:v>0</x:v>
      </x:c>
      <x:c r="K811" s="15" t="n">
        <x:v>0</x:v>
      </x:c>
      <x:c r="L811" s="15" t="n">
        <x:v>0</x:v>
      </x:c>
      <x:c r="M811" s="15" t="n">
        <x:v>180</x:v>
      </x:c>
      <x:c r="N811" s="15" t="n">
        <x:v>220</x:v>
      </x:c>
      <x:c r="O811" s="15" t="n">
        <x:v>96</x:v>
      </x:c>
      <x:c r="P811" s="15" t="n">
        <x:v>64</x:v>
      </x:c>
      <x:c r="Q811" s="15" t="n">
        <x:v>24</x:v>
      </x:c>
      <x:c r="R811" s="15" t="n">
        <x:v>60</x:v>
      </x:c>
      <x:c r="S811" s="15" t="n">
        <x:v>280</x:v>
      </x:c>
      <x:c r="T811" s="15" t="n">
        <x:v>420</x:v>
      </x:c>
      <x:c r="U811" s="15" t="n">
        <x:v>0</x:v>
      </x:c>
      <x:c r="V811" s="15" t="n">
        <x:v>48</x:v>
      </x:c>
      <x:c r="W811" s="15" t="n">
        <x:v>380</x:v>
      </x:c>
      <x:c r="X811" s="15" t="n">
        <x:v>0</x:v>
      </x:c>
      <x:c r="Y811" s="15" t="n">
        <x:v>0</x:v>
      </x:c>
      <x:c r="Z811" s="15" t="n">
        <x:v>0</x:v>
      </x:c>
      <x:c r="AA811" s="15" t="n">
        <x:v>0</x:v>
      </x:c>
      <x:c r="AB811" s="15" t="n">
        <x:f>SUM(G811:AA811)</x:f>
        <x:v>1772</x:v>
      </x:c>
    </x:row>
    <x:row r="812" ht="36" customHeight="1">
      <x:c r="A812" s="10" t="str">
        <x:v>V-R2</x:v>
      </x:c>
      <x:c r="B812" s="10" t="str">
        <x:v>VOICE</x:v>
      </x:c>
      <x:c r="C812" s="10" t="str">
        <x:v>VOICE:S6-12</x:v>
      </x:c>
      <x:c r="D812" s="10" t="str">
        <x:v>VOICE:M9075</x:v>
      </x:c>
      <x:c r="E812" s="15" t="n">
        <x:v>2.23</x:v>
      </x:c>
      <x:c r="F812" s="15" t="str">
        <x:v>scored</x:v>
      </x:c>
      <x:c r="G812" s="15" t="n">
        <x:v>0</x:v>
      </x:c>
      <x:c r="H812" s="15" t="n">
        <x:v>0</x:v>
      </x:c>
      <x:c r="I812" s="15" t="n">
        <x:v>0</x:v>
      </x:c>
      <x:c r="J812" s="15" t="n">
        <x:v>0</x:v>
      </x:c>
      <x:c r="K812" s="15" t="n">
        <x:v>0</x:v>
      </x:c>
      <x:c r="L812" s="15" t="n">
        <x:v>0</x:v>
      </x:c>
      <x:c r="M812" s="15" t="n">
        <x:v>180</x:v>
      </x:c>
      <x:c r="N812" s="15" t="n">
        <x:v>220</x:v>
      </x:c>
      <x:c r="O812" s="15" t="n">
        <x:v>96</x:v>
      </x:c>
      <x:c r="P812" s="15" t="n">
        <x:v>64</x:v>
      </x:c>
      <x:c r="Q812" s="15" t="n">
        <x:v>24</x:v>
      </x:c>
      <x:c r="R812" s="15" t="n">
        <x:v>60</x:v>
      </x:c>
      <x:c r="S812" s="15" t="n">
        <x:v>280</x:v>
      </x:c>
      <x:c r="T812" s="15" t="n">
        <x:v>420</x:v>
      </x:c>
      <x:c r="U812" s="15" t="n">
        <x:v>0</x:v>
      </x:c>
      <x:c r="V812" s="15" t="n">
        <x:v>48</x:v>
      </x:c>
      <x:c r="W812" s="15" t="n">
        <x:v>380</x:v>
      </x:c>
      <x:c r="X812" s="15" t="n">
        <x:v>0</x:v>
      </x:c>
      <x:c r="Y812" s="15" t="n">
        <x:v>0</x:v>
      </x:c>
      <x:c r="Z812" s="15" t="n">
        <x:v>0</x:v>
      </x:c>
      <x:c r="AA812" s="15" t="n">
        <x:v>0</x:v>
      </x:c>
      <x:c r="AB812" s="15" t="n">
        <x:f>SUM(G812:AA812)</x:f>
        <x:v>1772</x:v>
      </x:c>
    </x:row>
    <x:row r="813" ht="36" customHeight="1">
      <x:c r="A813" s="10" t="str">
        <x:v>V-R3</x:v>
      </x:c>
      <x:c r="B813" s="10" t="str">
        <x:v>VOICE</x:v>
      </x:c>
      <x:c r="C813" s="10" t="str">
        <x:v>VOICE:S6-12</x:v>
      </x:c>
      <x:c r="D813" s="10" t="str">
        <x:v>VOICE:M9089</x:v>
      </x:c>
      <x:c r="E813" s="15" t="n">
        <x:v>2.23</x:v>
      </x:c>
      <x:c r="F813" s="15" t="str">
        <x:v>scored</x:v>
      </x:c>
      <x:c r="G813" s="15" t="n">
        <x:v>0</x:v>
      </x:c>
      <x:c r="H813" s="15" t="n">
        <x:v>0</x:v>
      </x:c>
      <x:c r="I813" s="15" t="n">
        <x:v>0</x:v>
      </x:c>
      <x:c r="J813" s="15" t="n">
        <x:v>0</x:v>
      </x:c>
      <x:c r="K813" s="15" t="n">
        <x:v>0</x:v>
      </x:c>
      <x:c r="L813" s="15" t="n">
        <x:v>0</x:v>
      </x:c>
      <x:c r="M813" s="15" t="n">
        <x:v>180</x:v>
      </x:c>
      <x:c r="N813" s="15" t="n">
        <x:v>220</x:v>
      </x:c>
      <x:c r="O813" s="15" t="n">
        <x:v>96</x:v>
      </x:c>
      <x:c r="P813" s="15" t="n">
        <x:v>64</x:v>
      </x:c>
      <x:c r="Q813" s="15" t="n">
        <x:v>32</x:v>
      </x:c>
      <x:c r="R813" s="15" t="n">
        <x:v>60</x:v>
      </x:c>
      <x:c r="S813" s="15" t="n">
        <x:v>280</x:v>
      </x:c>
      <x:c r="T813" s="15" t="n">
        <x:v>420</x:v>
      </x:c>
      <x:c r="U813" s="15" t="n">
        <x:v>0</x:v>
      </x:c>
      <x:c r="V813" s="15" t="n">
        <x:v>48</x:v>
      </x:c>
      <x:c r="W813" s="15" t="n">
        <x:v>380</x:v>
      </x:c>
      <x:c r="X813" s="15" t="n">
        <x:v>0</x:v>
      </x:c>
      <x:c r="Y813" s="15" t="n">
        <x:v>0</x:v>
      </x:c>
      <x:c r="Z813" s="15" t="n">
        <x:v>0</x:v>
      </x:c>
      <x:c r="AA813" s="15" t="n">
        <x:v>0</x:v>
      </x:c>
      <x:c r="AB813" s="15" t="n">
        <x:f>SUM(G813:AA813)</x:f>
        <x:v>1780</x:v>
      </x:c>
    </x:row>
    <x:row r="814" ht="36" customHeight="1">
      <x:c r="A814" s="10" t="str">
        <x:v>V-A</x:v>
      </x:c>
      <x:c r="B814" s="10" t="str">
        <x:v>VOICE</x:v>
      </x:c>
      <x:c r="C814" s="10" t="str">
        <x:v>VOICE:S6-13</x:v>
      </x:c>
      <x:c r="D814" s="10" t="str">
        <x:v>VOICE:M9100</x:v>
      </x:c>
      <x:c r="E814" s="15" t="n">
        <x:v>0</x:v>
      </x:c>
      <x:c r="F814" s="15" t="str">
        <x:v>scored</x:v>
      </x:c>
      <x:c r="G814" s="15" t="n">
        <x:v>0</x:v>
      </x:c>
      <x:c r="H814" s="15" t="n">
        <x:v>0</x:v>
      </x:c>
      <x:c r="I814" s="15" t="n">
        <x:v>0</x:v>
      </x:c>
      <x:c r="J814" s="15" t="n">
        <x:v>0</x:v>
      </x:c>
      <x:c r="K814" s="15" t="n">
        <x:v>0</x:v>
      </x:c>
      <x:c r="L814" s="15" t="n">
        <x:v>0</x:v>
      </x:c>
      <x:c r="M814" s="15" t="n">
        <x:v>180</x:v>
      </x:c>
      <x:c r="N814" s="15" t="n">
        <x:v>220</x:v>
      </x:c>
      <x:c r="O814" s="15" t="n">
        <x:v>96</x:v>
      </x:c>
      <x:c r="P814" s="15" t="n">
        <x:v>64</x:v>
      </x:c>
      <x:c r="Q814" s="15" t="n">
        <x:v>32</x:v>
      </x:c>
      <x:c r="R814" s="15" t="n">
        <x:v>0</x:v>
      </x:c>
      <x:c r="S814" s="15" t="n">
        <x:v>0</x:v>
      </x:c>
      <x:c r="T814" s="15" t="n">
        <x:v>0</x:v>
      </x:c>
      <x:c r="U814" s="15" t="n">
        <x:v>0</x:v>
      </x:c>
      <x:c r="V814" s="15" t="n">
        <x:v>0</x:v>
      </x:c>
      <x:c r="W814" s="15" t="n">
        <x:v>0</x:v>
      </x:c>
      <x:c r="X814" s="15" t="n">
        <x:v>0</x:v>
      </x:c>
      <x:c r="Y814" s="15" t="n">
        <x:v>0</x:v>
      </x:c>
      <x:c r="Z814" s="15" t="n">
        <x:v>0</x:v>
      </x:c>
      <x:c r="AA814" s="15" t="n">
        <x:v>0</x:v>
      </x:c>
      <x:c r="AB814" s="15" t="n">
        <x:f>SUM(G814:AA814)</x:f>
        <x:v>592</x:v>
      </x:c>
    </x:row>
    <x:row r="815" ht="36" customHeight="1">
      <x:c r="A815" s="10" t="str">
        <x:v>V-R1</x:v>
      </x:c>
      <x:c r="B815" s="10" t="str">
        <x:v>VOICE</x:v>
      </x:c>
      <x:c r="C815" s="10" t="str">
        <x:v>VOICE:S6-13</x:v>
      </x:c>
      <x:c r="D815" s="10" t="str">
        <x:v>VOICE:M9115</x:v>
      </x:c>
      <x:c r="E815" s="15" t="n">
        <x:v>2.23</x:v>
      </x:c>
      <x:c r="F815" s="15" t="str">
        <x:v>scored</x:v>
      </x:c>
      <x:c r="G815" s="15" t="n">
        <x:v>0</x:v>
      </x:c>
      <x:c r="H815" s="15" t="n">
        <x:v>0</x:v>
      </x:c>
      <x:c r="I815" s="15" t="n">
        <x:v>0</x:v>
      </x:c>
      <x:c r="J815" s="15" t="n">
        <x:v>0</x:v>
      </x:c>
      <x:c r="K815" s="15" t="n">
        <x:v>0</x:v>
      </x:c>
      <x:c r="L815" s="15" t="n">
        <x:v>0</x:v>
      </x:c>
      <x:c r="M815" s="15" t="n">
        <x:v>180</x:v>
      </x:c>
      <x:c r="N815" s="15" t="n">
        <x:v>220</x:v>
      </x:c>
      <x:c r="O815" s="15" t="n">
        <x:v>96</x:v>
      </x:c>
      <x:c r="P815" s="15" t="n">
        <x:v>64</x:v>
      </x:c>
      <x:c r="Q815" s="15" t="n">
        <x:v>24</x:v>
      </x:c>
      <x:c r="R815" s="15" t="n">
        <x:v>60</x:v>
      </x:c>
      <x:c r="S815" s="15" t="n">
        <x:v>280</x:v>
      </x:c>
      <x:c r="T815" s="15" t="n">
        <x:v>420</x:v>
      </x:c>
      <x:c r="U815" s="15" t="n">
        <x:v>0</x:v>
      </x:c>
      <x:c r="V815" s="15" t="n">
        <x:v>48</x:v>
      </x:c>
      <x:c r="W815" s="15" t="n">
        <x:v>380</x:v>
      </x:c>
      <x:c r="X815" s="15" t="n">
        <x:v>0</x:v>
      </x:c>
      <x:c r="Y815" s="15" t="n">
        <x:v>0</x:v>
      </x:c>
      <x:c r="Z815" s="15" t="n">
        <x:v>0</x:v>
      </x:c>
      <x:c r="AA815" s="15" t="n">
        <x:v>0</x:v>
      </x:c>
      <x:c r="AB815" s="15" t="n">
        <x:f>SUM(G815:AA815)</x:f>
        <x:v>1772</x:v>
      </x:c>
    </x:row>
    <x:row r="816" ht="36" customHeight="1">
      <x:c r="A816" s="10" t="str">
        <x:v>V-R2</x:v>
      </x:c>
      <x:c r="B816" s="10" t="str">
        <x:v>VOICE</x:v>
      </x:c>
      <x:c r="C816" s="10" t="str">
        <x:v>VOICE:S6-13</x:v>
      </x:c>
      <x:c r="D816" s="10" t="str">
        <x:v>VOICE:M9130</x:v>
      </x:c>
      <x:c r="E816" s="15" t="n">
        <x:v>2.23</x:v>
      </x:c>
      <x:c r="F816" s="15" t="str">
        <x:v>scored</x:v>
      </x:c>
      <x:c r="G816" s="15" t="n">
        <x:v>0</x:v>
      </x:c>
      <x:c r="H816" s="15" t="n">
        <x:v>0</x:v>
      </x:c>
      <x:c r="I816" s="15" t="n">
        <x:v>0</x:v>
      </x:c>
      <x:c r="J816" s="15" t="n">
        <x:v>0</x:v>
      </x:c>
      <x:c r="K816" s="15" t="n">
        <x:v>0</x:v>
      </x:c>
      <x:c r="L816" s="15" t="n">
        <x:v>0</x:v>
      </x:c>
      <x:c r="M816" s="15" t="n">
        <x:v>180</x:v>
      </x:c>
      <x:c r="N816" s="15" t="n">
        <x:v>220</x:v>
      </x:c>
      <x:c r="O816" s="15" t="n">
        <x:v>96</x:v>
      </x:c>
      <x:c r="P816" s="15" t="n">
        <x:v>64</x:v>
      </x:c>
      <x:c r="Q816" s="15" t="n">
        <x:v>24</x:v>
      </x:c>
      <x:c r="R816" s="15" t="n">
        <x:v>60</x:v>
      </x:c>
      <x:c r="S816" s="15" t="n">
        <x:v>280</x:v>
      </x:c>
      <x:c r="T816" s="15" t="n">
        <x:v>420</x:v>
      </x:c>
      <x:c r="U816" s="15" t="n">
        <x:v>0</x:v>
      </x:c>
      <x:c r="V816" s="15" t="n">
        <x:v>48</x:v>
      </x:c>
      <x:c r="W816" s="15" t="n">
        <x:v>380</x:v>
      </x:c>
      <x:c r="X816" s="15" t="n">
        <x:v>0</x:v>
      </x:c>
      <x:c r="Y816" s="15" t="n">
        <x:v>0</x:v>
      </x:c>
      <x:c r="Z816" s="15" t="n">
        <x:v>0</x:v>
      </x:c>
      <x:c r="AA816" s="15" t="n">
        <x:v>0</x:v>
      </x:c>
      <x:c r="AB816" s="15" t="n">
        <x:f>SUM(G816:AA816)</x:f>
        <x:v>1772</x:v>
      </x:c>
    </x:row>
    <x:row r="817" ht="36" customHeight="1">
      <x:c r="A817" s="10" t="str">
        <x:v>V-R3</x:v>
      </x:c>
      <x:c r="B817" s="10" t="str">
        <x:v>VOICE</x:v>
      </x:c>
      <x:c r="C817" s="10" t="str">
        <x:v>VOICE:S6-13</x:v>
      </x:c>
      <x:c r="D817" s="10" t="str">
        <x:v>VOICE:M9144</x:v>
      </x:c>
      <x:c r="E817" s="15" t="n">
        <x:v>2.23</x:v>
      </x:c>
      <x:c r="F817" s="15" t="str">
        <x:v>scored</x:v>
      </x:c>
      <x:c r="G817" s="15" t="n">
        <x:v>0</x:v>
      </x:c>
      <x:c r="H817" s="15" t="n">
        <x:v>0</x:v>
      </x:c>
      <x:c r="I817" s="15" t="n">
        <x:v>0</x:v>
      </x:c>
      <x:c r="J817" s="15" t="n">
        <x:v>0</x:v>
      </x:c>
      <x:c r="K817" s="15" t="n">
        <x:v>0</x:v>
      </x:c>
      <x:c r="L817" s="15" t="n">
        <x:v>0</x:v>
      </x:c>
      <x:c r="M817" s="15" t="n">
        <x:v>180</x:v>
      </x:c>
      <x:c r="N817" s="15" t="n">
        <x:v>220</x:v>
      </x:c>
      <x:c r="O817" s="15" t="n">
        <x:v>96</x:v>
      </x:c>
      <x:c r="P817" s="15" t="n">
        <x:v>64</x:v>
      </x:c>
      <x:c r="Q817" s="15" t="n">
        <x:v>32</x:v>
      </x:c>
      <x:c r="R817" s="15" t="n">
        <x:v>60</x:v>
      </x:c>
      <x:c r="S817" s="15" t="n">
        <x:v>280</x:v>
      </x:c>
      <x:c r="T817" s="15" t="n">
        <x:v>420</x:v>
      </x:c>
      <x:c r="U817" s="15" t="n">
        <x:v>0</x:v>
      </x:c>
      <x:c r="V817" s="15" t="n">
        <x:v>48</x:v>
      </x:c>
      <x:c r="W817" s="15" t="n">
        <x:v>380</x:v>
      </x:c>
      <x:c r="X817" s="15" t="n">
        <x:v>0</x:v>
      </x:c>
      <x:c r="Y817" s="15" t="n">
        <x:v>0</x:v>
      </x:c>
      <x:c r="Z817" s="15" t="n">
        <x:v>0</x:v>
      </x:c>
      <x:c r="AA817" s="15" t="n">
        <x:v>0</x:v>
      </x:c>
      <x:c r="AB817" s="15" t="n">
        <x:f>SUM(G817:AA817)</x:f>
        <x:v>1780</x:v>
      </x:c>
    </x:row>
    <x:row r="818" ht="36" customHeight="1">
      <x:c r="A818" s="10" t="str">
        <x:v>V-A</x:v>
      </x:c>
      <x:c r="B818" s="10" t="str">
        <x:v>VOICE</x:v>
      </x:c>
      <x:c r="C818" s="10" t="str">
        <x:v>VOICE:S6-14</x:v>
      </x:c>
      <x:c r="D818" s="10" t="str">
        <x:v>VOICE:M9155</x:v>
      </x:c>
      <x:c r="E818" s="15" t="n">
        <x:v>0</x:v>
      </x:c>
      <x:c r="F818" s="15" t="str">
        <x:v>scored</x:v>
      </x:c>
      <x:c r="G818" s="15" t="n">
        <x:v>0</x:v>
      </x:c>
      <x:c r="H818" s="15" t="n">
        <x:v>0</x:v>
      </x:c>
      <x:c r="I818" s="15" t="n">
        <x:v>0</x:v>
      </x:c>
      <x:c r="J818" s="15" t="n">
        <x:v>0</x:v>
      </x:c>
      <x:c r="K818" s="15" t="n">
        <x:v>0</x:v>
      </x:c>
      <x:c r="L818" s="15" t="n">
        <x:v>0</x:v>
      </x:c>
      <x:c r="M818" s="15" t="n">
        <x:v>180</x:v>
      </x:c>
      <x:c r="N818" s="15" t="n">
        <x:v>220</x:v>
      </x:c>
      <x:c r="O818" s="15" t="n">
        <x:v>96</x:v>
      </x:c>
      <x:c r="P818" s="15" t="n">
        <x:v>64</x:v>
      </x:c>
      <x:c r="Q818" s="15" t="n">
        <x:v>32</x:v>
      </x:c>
      <x:c r="R818" s="15" t="n">
        <x:v>0</x:v>
      </x:c>
      <x:c r="S818" s="15" t="n">
        <x:v>0</x:v>
      </x:c>
      <x:c r="T818" s="15" t="n">
        <x:v>0</x:v>
      </x:c>
      <x:c r="U818" s="15" t="n">
        <x:v>0</x:v>
      </x:c>
      <x:c r="V818" s="15" t="n">
        <x:v>0</x:v>
      </x:c>
      <x:c r="W818" s="15" t="n">
        <x:v>0</x:v>
      </x:c>
      <x:c r="X818" s="15" t="n">
        <x:v>0</x:v>
      </x:c>
      <x:c r="Y818" s="15" t="n">
        <x:v>0</x:v>
      </x:c>
      <x:c r="Z818" s="15" t="n">
        <x:v>0</x:v>
      </x:c>
      <x:c r="AA818" s="15" t="n">
        <x:v>0</x:v>
      </x:c>
      <x:c r="AB818" s="15" t="n">
        <x:f>SUM(G818:AA818)</x:f>
        <x:v>592</x:v>
      </x:c>
    </x:row>
    <x:row r="819" ht="36" customHeight="1">
      <x:c r="A819" s="10" t="str">
        <x:v>V-R1</x:v>
      </x:c>
      <x:c r="B819" s="10" t="str">
        <x:v>VOICE</x:v>
      </x:c>
      <x:c r="C819" s="10" t="str">
        <x:v>VOICE:S6-14</x:v>
      </x:c>
      <x:c r="D819" s="10" t="str">
        <x:v>VOICE:M9170</x:v>
      </x:c>
      <x:c r="E819" s="15" t="n">
        <x:v>2.23</x:v>
      </x:c>
      <x:c r="F819" s="15" t="str">
        <x:v>scored</x:v>
      </x:c>
      <x:c r="G819" s="15" t="n">
        <x:v>0</x:v>
      </x:c>
      <x:c r="H819" s="15" t="n">
        <x:v>0</x:v>
      </x:c>
      <x:c r="I819" s="15" t="n">
        <x:v>0</x:v>
      </x:c>
      <x:c r="J819" s="15" t="n">
        <x:v>0</x:v>
      </x:c>
      <x:c r="K819" s="15" t="n">
        <x:v>0</x:v>
      </x:c>
      <x:c r="L819" s="15" t="n">
        <x:v>0</x:v>
      </x:c>
      <x:c r="M819" s="15" t="n">
        <x:v>180</x:v>
      </x:c>
      <x:c r="N819" s="15" t="n">
        <x:v>220</x:v>
      </x:c>
      <x:c r="O819" s="15" t="n">
        <x:v>96</x:v>
      </x:c>
      <x:c r="P819" s="15" t="n">
        <x:v>64</x:v>
      </x:c>
      <x:c r="Q819" s="15" t="n">
        <x:v>24</x:v>
      </x:c>
      <x:c r="R819" s="15" t="n">
        <x:v>60</x:v>
      </x:c>
      <x:c r="S819" s="15" t="n">
        <x:v>280</x:v>
      </x:c>
      <x:c r="T819" s="15" t="n">
        <x:v>420</x:v>
      </x:c>
      <x:c r="U819" s="15" t="n">
        <x:v>0</x:v>
      </x:c>
      <x:c r="V819" s="15" t="n">
        <x:v>48</x:v>
      </x:c>
      <x:c r="W819" s="15" t="n">
        <x:v>380</x:v>
      </x:c>
      <x:c r="X819" s="15" t="n">
        <x:v>0</x:v>
      </x:c>
      <x:c r="Y819" s="15" t="n">
        <x:v>0</x:v>
      </x:c>
      <x:c r="Z819" s="15" t="n">
        <x:v>0</x:v>
      </x:c>
      <x:c r="AA819" s="15" t="n">
        <x:v>0</x:v>
      </x:c>
      <x:c r="AB819" s="15" t="n">
        <x:f>SUM(G819:AA819)</x:f>
        <x:v>1772</x:v>
      </x:c>
    </x:row>
    <x:row r="820" ht="36" customHeight="1">
      <x:c r="A820" s="10" t="str">
        <x:v>V-R2</x:v>
      </x:c>
      <x:c r="B820" s="10" t="str">
        <x:v>VOICE</x:v>
      </x:c>
      <x:c r="C820" s="10" t="str">
        <x:v>VOICE:S6-14</x:v>
      </x:c>
      <x:c r="D820" s="10" t="str">
        <x:v>VOICE:M9185</x:v>
      </x:c>
      <x:c r="E820" s="15" t="n">
        <x:v>2.23</x:v>
      </x:c>
      <x:c r="F820" s="15" t="str">
        <x:v>scored</x:v>
      </x:c>
      <x:c r="G820" s="15" t="n">
        <x:v>0</x:v>
      </x:c>
      <x:c r="H820" s="15" t="n">
        <x:v>0</x:v>
      </x:c>
      <x:c r="I820" s="15" t="n">
        <x:v>0</x:v>
      </x:c>
      <x:c r="J820" s="15" t="n">
        <x:v>0</x:v>
      </x:c>
      <x:c r="K820" s="15" t="n">
        <x:v>0</x:v>
      </x:c>
      <x:c r="L820" s="15" t="n">
        <x:v>0</x:v>
      </x:c>
      <x:c r="M820" s="15" t="n">
        <x:v>180</x:v>
      </x:c>
      <x:c r="N820" s="15" t="n">
        <x:v>220</x:v>
      </x:c>
      <x:c r="O820" s="15" t="n">
        <x:v>96</x:v>
      </x:c>
      <x:c r="P820" s="15" t="n">
        <x:v>64</x:v>
      </x:c>
      <x:c r="Q820" s="15" t="n">
        <x:v>24</x:v>
      </x:c>
      <x:c r="R820" s="15" t="n">
        <x:v>60</x:v>
      </x:c>
      <x:c r="S820" s="15" t="n">
        <x:v>280</x:v>
      </x:c>
      <x:c r="T820" s="15" t="n">
        <x:v>420</x:v>
      </x:c>
      <x:c r="U820" s="15" t="n">
        <x:v>0</x:v>
      </x:c>
      <x:c r="V820" s="15" t="n">
        <x:v>48</x:v>
      </x:c>
      <x:c r="W820" s="15" t="n">
        <x:v>380</x:v>
      </x:c>
      <x:c r="X820" s="15" t="n">
        <x:v>0</x:v>
      </x:c>
      <x:c r="Y820" s="15" t="n">
        <x:v>0</x:v>
      </x:c>
      <x:c r="Z820" s="15" t="n">
        <x:v>0</x:v>
      </x:c>
      <x:c r="AA820" s="15" t="n">
        <x:v>0</x:v>
      </x:c>
      <x:c r="AB820" s="15" t="n">
        <x:f>SUM(G820:AA820)</x:f>
        <x:v>1772</x:v>
      </x:c>
    </x:row>
    <x:row r="821" ht="36" customHeight="1">
      <x:c r="A821" s="10" t="str">
        <x:v>V-R3</x:v>
      </x:c>
      <x:c r="B821" s="10" t="str">
        <x:v>VOICE</x:v>
      </x:c>
      <x:c r="C821" s="10" t="str">
        <x:v>VOICE:S6-14</x:v>
      </x:c>
      <x:c r="D821" s="10" t="str">
        <x:v>VOICE:M9199</x:v>
      </x:c>
      <x:c r="E821" s="15" t="n">
        <x:v>2.23</x:v>
      </x:c>
      <x:c r="F821" s="15" t="str">
        <x:v>scored</x:v>
      </x:c>
      <x:c r="G821" s="15" t="n">
        <x:v>0</x:v>
      </x:c>
      <x:c r="H821" s="15" t="n">
        <x:v>0</x:v>
      </x:c>
      <x:c r="I821" s="15" t="n">
        <x:v>0</x:v>
      </x:c>
      <x:c r="J821" s="15" t="n">
        <x:v>0</x:v>
      </x:c>
      <x:c r="K821" s="15" t="n">
        <x:v>0</x:v>
      </x:c>
      <x:c r="L821" s="15" t="n">
        <x:v>0</x:v>
      </x:c>
      <x:c r="M821" s="15" t="n">
        <x:v>180</x:v>
      </x:c>
      <x:c r="N821" s="15" t="n">
        <x:v>220</x:v>
      </x:c>
      <x:c r="O821" s="15" t="n">
        <x:v>96</x:v>
      </x:c>
      <x:c r="P821" s="15" t="n">
        <x:v>64</x:v>
      </x:c>
      <x:c r="Q821" s="15" t="n">
        <x:v>32</x:v>
      </x:c>
      <x:c r="R821" s="15" t="n">
        <x:v>60</x:v>
      </x:c>
      <x:c r="S821" s="15" t="n">
        <x:v>280</x:v>
      </x:c>
      <x:c r="T821" s="15" t="n">
        <x:v>420</x:v>
      </x:c>
      <x:c r="U821" s="15" t="n">
        <x:v>0</x:v>
      </x:c>
      <x:c r="V821" s="15" t="n">
        <x:v>48</x:v>
      </x:c>
      <x:c r="W821" s="15" t="n">
        <x:v>380</x:v>
      </x:c>
      <x:c r="X821" s="15" t="n">
        <x:v>0</x:v>
      </x:c>
      <x:c r="Y821" s="15" t="n">
        <x:v>0</x:v>
      </x:c>
      <x:c r="Z821" s="15" t="n">
        <x:v>0</x:v>
      </x:c>
      <x:c r="AA821" s="15" t="n">
        <x:v>0</x:v>
      </x:c>
      <x:c r="AB821" s="15" t="n">
        <x:f>SUM(G821:AA821)</x:f>
        <x:v>1780</x:v>
      </x:c>
    </x:row>
    <x:row r="822" ht="36" customHeight="1">
      <x:c r="A822" s="10" t="str">
        <x:v>V-A</x:v>
      </x:c>
      <x:c r="B822" s="10" t="str">
        <x:v>VOICE</x:v>
      </x:c>
      <x:c r="C822" s="10" t="str">
        <x:v>VOICE:S6-15</x:v>
      </x:c>
      <x:c r="D822" s="10" t="str">
        <x:v>VOICE:M9210</x:v>
      </x:c>
      <x:c r="E822" s="15" t="n">
        <x:v>0</x:v>
      </x:c>
      <x:c r="F822" s="15" t="str">
        <x:v>scored</x:v>
      </x:c>
      <x:c r="G822" s="15" t="n">
        <x:v>0</x:v>
      </x:c>
      <x:c r="H822" s="15" t="n">
        <x:v>0</x:v>
      </x:c>
      <x:c r="I822" s="15" t="n">
        <x:v>0</x:v>
      </x:c>
      <x:c r="J822" s="15" t="n">
        <x:v>0</x:v>
      </x:c>
      <x:c r="K822" s="15" t="n">
        <x:v>0</x:v>
      </x:c>
      <x:c r="L822" s="15" t="n">
        <x:v>0</x:v>
      </x:c>
      <x:c r="M822" s="15" t="n">
        <x:v>180</x:v>
      </x:c>
      <x:c r="N822" s="15" t="n">
        <x:v>220</x:v>
      </x:c>
      <x:c r="O822" s="15" t="n">
        <x:v>96</x:v>
      </x:c>
      <x:c r="P822" s="15" t="n">
        <x:v>64</x:v>
      </x:c>
      <x:c r="Q822" s="15" t="n">
        <x:v>32</x:v>
      </x:c>
      <x:c r="R822" s="15" t="n">
        <x:v>0</x:v>
      </x:c>
      <x:c r="S822" s="15" t="n">
        <x:v>0</x:v>
      </x:c>
      <x:c r="T822" s="15" t="n">
        <x:v>0</x:v>
      </x:c>
      <x:c r="U822" s="15" t="n">
        <x:v>0</x:v>
      </x:c>
      <x:c r="V822" s="15" t="n">
        <x:v>0</x:v>
      </x:c>
      <x:c r="W822" s="15" t="n">
        <x:v>0</x:v>
      </x:c>
      <x:c r="X822" s="15" t="n">
        <x:v>0</x:v>
      </x:c>
      <x:c r="Y822" s="15" t="n">
        <x:v>0</x:v>
      </x:c>
      <x:c r="Z822" s="15" t="n">
        <x:v>0</x:v>
      </x:c>
      <x:c r="AA822" s="15" t="n">
        <x:v>0</x:v>
      </x:c>
      <x:c r="AB822" s="15" t="n">
        <x:f>SUM(G822:AA822)</x:f>
        <x:v>592</x:v>
      </x:c>
    </x:row>
    <x:row r="823" ht="36" customHeight="1">
      <x:c r="A823" s="10" t="str">
        <x:v>V-R1</x:v>
      </x:c>
      <x:c r="B823" s="10" t="str">
        <x:v>VOICE</x:v>
      </x:c>
      <x:c r="C823" s="10" t="str">
        <x:v>VOICE:S6-15</x:v>
      </x:c>
      <x:c r="D823" s="10" t="str">
        <x:v>VOICE:M9225</x:v>
      </x:c>
      <x:c r="E823" s="15" t="n">
        <x:v>2.23</x:v>
      </x:c>
      <x:c r="F823" s="15" t="str">
        <x:v>scored</x:v>
      </x:c>
      <x:c r="G823" s="15" t="n">
        <x:v>0</x:v>
      </x:c>
      <x:c r="H823" s="15" t="n">
        <x:v>0</x:v>
      </x:c>
      <x:c r="I823" s="15" t="n">
        <x:v>0</x:v>
      </x:c>
      <x:c r="J823" s="15" t="n">
        <x:v>0</x:v>
      </x:c>
      <x:c r="K823" s="15" t="n">
        <x:v>0</x:v>
      </x:c>
      <x:c r="L823" s="15" t="n">
        <x:v>0</x:v>
      </x:c>
      <x:c r="M823" s="15" t="n">
        <x:v>180</x:v>
      </x:c>
      <x:c r="N823" s="15" t="n">
        <x:v>220</x:v>
      </x:c>
      <x:c r="O823" s="15" t="n">
        <x:v>96</x:v>
      </x:c>
      <x:c r="P823" s="15" t="n">
        <x:v>64</x:v>
      </x:c>
      <x:c r="Q823" s="15" t="n">
        <x:v>24</x:v>
      </x:c>
      <x:c r="R823" s="15" t="n">
        <x:v>60</x:v>
      </x:c>
      <x:c r="S823" s="15" t="n">
        <x:v>280</x:v>
      </x:c>
      <x:c r="T823" s="15" t="n">
        <x:v>420</x:v>
      </x:c>
      <x:c r="U823" s="15" t="n">
        <x:v>0</x:v>
      </x:c>
      <x:c r="V823" s="15" t="n">
        <x:v>48</x:v>
      </x:c>
      <x:c r="W823" s="15" t="n">
        <x:v>380</x:v>
      </x:c>
      <x:c r="X823" s="15" t="n">
        <x:v>0</x:v>
      </x:c>
      <x:c r="Y823" s="15" t="n">
        <x:v>0</x:v>
      </x:c>
      <x:c r="Z823" s="15" t="n">
        <x:v>0</x:v>
      </x:c>
      <x:c r="AA823" s="15" t="n">
        <x:v>0</x:v>
      </x:c>
      <x:c r="AB823" s="15" t="n">
        <x:f>SUM(G823:AA823)</x:f>
        <x:v>1772</x:v>
      </x:c>
    </x:row>
    <x:row r="824" ht="36" customHeight="1">
      <x:c r="A824" s="10" t="str">
        <x:v>V-R2</x:v>
      </x:c>
      <x:c r="B824" s="10" t="str">
        <x:v>VOICE</x:v>
      </x:c>
      <x:c r="C824" s="10" t="str">
        <x:v>VOICE:S6-15</x:v>
      </x:c>
      <x:c r="D824" s="10" t="str">
        <x:v>VOICE:M9240</x:v>
      </x:c>
      <x:c r="E824" s="15" t="n">
        <x:v>2.23</x:v>
      </x:c>
      <x:c r="F824" s="15" t="str">
        <x:v>scored</x:v>
      </x:c>
      <x:c r="G824" s="15" t="n">
        <x:v>0</x:v>
      </x:c>
      <x:c r="H824" s="15" t="n">
        <x:v>0</x:v>
      </x:c>
      <x:c r="I824" s="15" t="n">
        <x:v>0</x:v>
      </x:c>
      <x:c r="J824" s="15" t="n">
        <x:v>0</x:v>
      </x:c>
      <x:c r="K824" s="15" t="n">
        <x:v>0</x:v>
      </x:c>
      <x:c r="L824" s="15" t="n">
        <x:v>0</x:v>
      </x:c>
      <x:c r="M824" s="15" t="n">
        <x:v>180</x:v>
      </x:c>
      <x:c r="N824" s="15" t="n">
        <x:v>220</x:v>
      </x:c>
      <x:c r="O824" s="15" t="n">
        <x:v>96</x:v>
      </x:c>
      <x:c r="P824" s="15" t="n">
        <x:v>64</x:v>
      </x:c>
      <x:c r="Q824" s="15" t="n">
        <x:v>24</x:v>
      </x:c>
      <x:c r="R824" s="15" t="n">
        <x:v>60</x:v>
      </x:c>
      <x:c r="S824" s="15" t="n">
        <x:v>280</x:v>
      </x:c>
      <x:c r="T824" s="15" t="n">
        <x:v>420</x:v>
      </x:c>
      <x:c r="U824" s="15" t="n">
        <x:v>0</x:v>
      </x:c>
      <x:c r="V824" s="15" t="n">
        <x:v>48</x:v>
      </x:c>
      <x:c r="W824" s="15" t="n">
        <x:v>380</x:v>
      </x:c>
      <x:c r="X824" s="15" t="n">
        <x:v>0</x:v>
      </x:c>
      <x:c r="Y824" s="15" t="n">
        <x:v>0</x:v>
      </x:c>
      <x:c r="Z824" s="15" t="n">
        <x:v>0</x:v>
      </x:c>
      <x:c r="AA824" s="15" t="n">
        <x:v>0</x:v>
      </x:c>
      <x:c r="AB824" s="15" t="n">
        <x:f>SUM(G824:AA824)</x:f>
        <x:v>1772</x:v>
      </x:c>
    </x:row>
    <x:row r="825" ht="36" customHeight="1">
      <x:c r="A825" s="10" t="str">
        <x:v>V-R3</x:v>
      </x:c>
      <x:c r="B825" s="10" t="str">
        <x:v>VOICE</x:v>
      </x:c>
      <x:c r="C825" s="10" t="str">
        <x:v>VOICE:S6-15</x:v>
      </x:c>
      <x:c r="D825" s="10" t="str">
        <x:v>VOICE:M9254</x:v>
      </x:c>
      <x:c r="E825" s="15" t="n">
        <x:v>2.23</x:v>
      </x:c>
      <x:c r="F825" s="15" t="str">
        <x:v>scored</x:v>
      </x:c>
      <x:c r="G825" s="15" t="n">
        <x:v>0</x:v>
      </x:c>
      <x:c r="H825" s="15" t="n">
        <x:v>0</x:v>
      </x:c>
      <x:c r="I825" s="15" t="n">
        <x:v>0</x:v>
      </x:c>
      <x:c r="J825" s="15" t="n">
        <x:v>0</x:v>
      </x:c>
      <x:c r="K825" s="15" t="n">
        <x:v>0</x:v>
      </x:c>
      <x:c r="L825" s="15" t="n">
        <x:v>0</x:v>
      </x:c>
      <x:c r="M825" s="15" t="n">
        <x:v>180</x:v>
      </x:c>
      <x:c r="N825" s="15" t="n">
        <x:v>220</x:v>
      </x:c>
      <x:c r="O825" s="15" t="n">
        <x:v>96</x:v>
      </x:c>
      <x:c r="P825" s="15" t="n">
        <x:v>64</x:v>
      </x:c>
      <x:c r="Q825" s="15" t="n">
        <x:v>32</x:v>
      </x:c>
      <x:c r="R825" s="15" t="n">
        <x:v>60</x:v>
      </x:c>
      <x:c r="S825" s="15" t="n">
        <x:v>280</x:v>
      </x:c>
      <x:c r="T825" s="15" t="n">
        <x:v>420</x:v>
      </x:c>
      <x:c r="U825" s="15" t="n">
        <x:v>0</x:v>
      </x:c>
      <x:c r="V825" s="15" t="n">
        <x:v>48</x:v>
      </x:c>
      <x:c r="W825" s="15" t="n">
        <x:v>380</x:v>
      </x:c>
      <x:c r="X825" s="15" t="n">
        <x:v>0</x:v>
      </x:c>
      <x:c r="Y825" s="15" t="n">
        <x:v>0</x:v>
      </x:c>
      <x:c r="Z825" s="15" t="n">
        <x:v>0</x:v>
      </x:c>
      <x:c r="AA825" s="15" t="n">
        <x:v>0</x:v>
      </x:c>
      <x:c r="AB825" s="15" t="n">
        <x:f>SUM(G825:AA825)</x:f>
        <x:v>1780</x:v>
      </x:c>
    </x:row>
    <x:row r="826" ht="36" customHeight="1">
      <x:c r="A826" s="10" t="str">
        <x:v>V-A</x:v>
      </x:c>
      <x:c r="B826" s="10" t="str">
        <x:v>VOICE</x:v>
      </x:c>
      <x:c r="C826" s="10" t="str">
        <x:v>VOICE:S6-16</x:v>
      </x:c>
      <x:c r="D826" s="10" t="str">
        <x:v>VOICE:M9265</x:v>
      </x:c>
      <x:c r="E826" s="15" t="n">
        <x:v>0</x:v>
      </x:c>
      <x:c r="F826" s="15" t="str">
        <x:v>scored</x:v>
      </x:c>
      <x:c r="G826" s="15" t="n">
        <x:v>0</x:v>
      </x:c>
      <x:c r="H826" s="15" t="n">
        <x:v>0</x:v>
      </x:c>
      <x:c r="I826" s="15" t="n">
        <x:v>0</x:v>
      </x:c>
      <x:c r="J826" s="15" t="n">
        <x:v>0</x:v>
      </x:c>
      <x:c r="K826" s="15" t="n">
        <x:v>0</x:v>
      </x:c>
      <x:c r="L826" s="15" t="n">
        <x:v>0</x:v>
      </x:c>
      <x:c r="M826" s="15" t="n">
        <x:v>180</x:v>
      </x:c>
      <x:c r="N826" s="15" t="n">
        <x:v>220</x:v>
      </x:c>
      <x:c r="O826" s="15" t="n">
        <x:v>96</x:v>
      </x:c>
      <x:c r="P826" s="15" t="n">
        <x:v>64</x:v>
      </x:c>
      <x:c r="Q826" s="15" t="n">
        <x:v>32</x:v>
      </x:c>
      <x:c r="R826" s="15" t="n">
        <x:v>0</x:v>
      </x:c>
      <x:c r="S826" s="15" t="n">
        <x:v>0</x:v>
      </x:c>
      <x:c r="T826" s="15" t="n">
        <x:v>0</x:v>
      </x:c>
      <x:c r="U826" s="15" t="n">
        <x:v>0</x:v>
      </x:c>
      <x:c r="V826" s="15" t="n">
        <x:v>0</x:v>
      </x:c>
      <x:c r="W826" s="15" t="n">
        <x:v>0</x:v>
      </x:c>
      <x:c r="X826" s="15" t="n">
        <x:v>0</x:v>
      </x:c>
      <x:c r="Y826" s="15" t="n">
        <x:v>0</x:v>
      </x:c>
      <x:c r="Z826" s="15" t="n">
        <x:v>0</x:v>
      </x:c>
      <x:c r="AA826" s="15" t="n">
        <x:v>0</x:v>
      </x:c>
      <x:c r="AB826" s="15" t="n">
        <x:f>SUM(G826:AA826)</x:f>
        <x:v>592</x:v>
      </x:c>
    </x:row>
    <x:row r="827" ht="36" customHeight="1">
      <x:c r="A827" s="10" t="str">
        <x:v>V-R1</x:v>
      </x:c>
      <x:c r="B827" s="10" t="str">
        <x:v>VOICE</x:v>
      </x:c>
      <x:c r="C827" s="10" t="str">
        <x:v>VOICE:S6-16</x:v>
      </x:c>
      <x:c r="D827" s="10" t="str">
        <x:v>VOICE:M9280</x:v>
      </x:c>
      <x:c r="E827" s="15" t="n">
        <x:v>2.23</x:v>
      </x:c>
      <x:c r="F827" s="15" t="str">
        <x:v>scored</x:v>
      </x:c>
      <x:c r="G827" s="15" t="n">
        <x:v>0</x:v>
      </x:c>
      <x:c r="H827" s="15" t="n">
        <x:v>0</x:v>
      </x:c>
      <x:c r="I827" s="15" t="n">
        <x:v>0</x:v>
      </x:c>
      <x:c r="J827" s="15" t="n">
        <x:v>0</x:v>
      </x:c>
      <x:c r="K827" s="15" t="n">
        <x:v>0</x:v>
      </x:c>
      <x:c r="L827" s="15" t="n">
        <x:v>0</x:v>
      </x:c>
      <x:c r="M827" s="15" t="n">
        <x:v>180</x:v>
      </x:c>
      <x:c r="N827" s="15" t="n">
        <x:v>220</x:v>
      </x:c>
      <x:c r="O827" s="15" t="n">
        <x:v>96</x:v>
      </x:c>
      <x:c r="P827" s="15" t="n">
        <x:v>64</x:v>
      </x:c>
      <x:c r="Q827" s="15" t="n">
        <x:v>24</x:v>
      </x:c>
      <x:c r="R827" s="15" t="n">
        <x:v>60</x:v>
      </x:c>
      <x:c r="S827" s="15" t="n">
        <x:v>280</x:v>
      </x:c>
      <x:c r="T827" s="15" t="n">
        <x:v>420</x:v>
      </x:c>
      <x:c r="U827" s="15" t="n">
        <x:v>0</x:v>
      </x:c>
      <x:c r="V827" s="15" t="n">
        <x:v>48</x:v>
      </x:c>
      <x:c r="W827" s="15" t="n">
        <x:v>380</x:v>
      </x:c>
      <x:c r="X827" s="15" t="n">
        <x:v>0</x:v>
      </x:c>
      <x:c r="Y827" s="15" t="n">
        <x:v>0</x:v>
      </x:c>
      <x:c r="Z827" s="15" t="n">
        <x:v>0</x:v>
      </x:c>
      <x:c r="AA827" s="15" t="n">
        <x:v>0</x:v>
      </x:c>
      <x:c r="AB827" s="15" t="n">
        <x:f>SUM(G827:AA827)</x:f>
        <x:v>1772</x:v>
      </x:c>
    </x:row>
    <x:row r="828" ht="36" customHeight="1">
      <x:c r="A828" s="10" t="str">
        <x:v>V-R2</x:v>
      </x:c>
      <x:c r="B828" s="10" t="str">
        <x:v>VOICE</x:v>
      </x:c>
      <x:c r="C828" s="10" t="str">
        <x:v>VOICE:S6-16</x:v>
      </x:c>
      <x:c r="D828" s="10" t="str">
        <x:v>VOICE:M9295</x:v>
      </x:c>
      <x:c r="E828" s="15" t="n">
        <x:v>2.23</x:v>
      </x:c>
      <x:c r="F828" s="15" t="str">
        <x:v>scored</x:v>
      </x:c>
      <x:c r="G828" s="15" t="n">
        <x:v>0</x:v>
      </x:c>
      <x:c r="H828" s="15" t="n">
        <x:v>0</x:v>
      </x:c>
      <x:c r="I828" s="15" t="n">
        <x:v>0</x:v>
      </x:c>
      <x:c r="J828" s="15" t="n">
        <x:v>0</x:v>
      </x:c>
      <x:c r="K828" s="15" t="n">
        <x:v>0</x:v>
      </x:c>
      <x:c r="L828" s="15" t="n">
        <x:v>0</x:v>
      </x:c>
      <x:c r="M828" s="15" t="n">
        <x:v>180</x:v>
      </x:c>
      <x:c r="N828" s="15" t="n">
        <x:v>220</x:v>
      </x:c>
      <x:c r="O828" s="15" t="n">
        <x:v>96</x:v>
      </x:c>
      <x:c r="P828" s="15" t="n">
        <x:v>64</x:v>
      </x:c>
      <x:c r="Q828" s="15" t="n">
        <x:v>24</x:v>
      </x:c>
      <x:c r="R828" s="15" t="n">
        <x:v>60</x:v>
      </x:c>
      <x:c r="S828" s="15" t="n">
        <x:v>280</x:v>
      </x:c>
      <x:c r="T828" s="15" t="n">
        <x:v>420</x:v>
      </x:c>
      <x:c r="U828" s="15" t="n">
        <x:v>0</x:v>
      </x:c>
      <x:c r="V828" s="15" t="n">
        <x:v>48</x:v>
      </x:c>
      <x:c r="W828" s="15" t="n">
        <x:v>380</x:v>
      </x:c>
      <x:c r="X828" s="15" t="n">
        <x:v>0</x:v>
      </x:c>
      <x:c r="Y828" s="15" t="n">
        <x:v>0</x:v>
      </x:c>
      <x:c r="Z828" s="15" t="n">
        <x:v>0</x:v>
      </x:c>
      <x:c r="AA828" s="15" t="n">
        <x:v>0</x:v>
      </x:c>
      <x:c r="AB828" s="15" t="n">
        <x:f>SUM(G828:AA828)</x:f>
        <x:v>1772</x:v>
      </x:c>
    </x:row>
    <x:row r="829" ht="36" customHeight="1">
      <x:c r="A829" s="10" t="str">
        <x:v>V-R3</x:v>
      </x:c>
      <x:c r="B829" s="10" t="str">
        <x:v>VOICE</x:v>
      </x:c>
      <x:c r="C829" s="10" t="str">
        <x:v>VOICE:S6-16</x:v>
      </x:c>
      <x:c r="D829" s="10" t="str">
        <x:v>VOICE:M9309</x:v>
      </x:c>
      <x:c r="E829" s="15" t="n">
        <x:v>2.23</x:v>
      </x:c>
      <x:c r="F829" s="15" t="str">
        <x:v>scored</x:v>
      </x:c>
      <x:c r="G829" s="15" t="n">
        <x:v>0</x:v>
      </x:c>
      <x:c r="H829" s="15" t="n">
        <x:v>0</x:v>
      </x:c>
      <x:c r="I829" s="15" t="n">
        <x:v>0</x:v>
      </x:c>
      <x:c r="J829" s="15" t="n">
        <x:v>0</x:v>
      </x:c>
      <x:c r="K829" s="15" t="n">
        <x:v>0</x:v>
      </x:c>
      <x:c r="L829" s="15" t="n">
        <x:v>0</x:v>
      </x:c>
      <x:c r="M829" s="15" t="n">
        <x:v>180</x:v>
      </x:c>
      <x:c r="N829" s="15" t="n">
        <x:v>220</x:v>
      </x:c>
      <x:c r="O829" s="15" t="n">
        <x:v>96</x:v>
      </x:c>
      <x:c r="P829" s="15" t="n">
        <x:v>64</x:v>
      </x:c>
      <x:c r="Q829" s="15" t="n">
        <x:v>32</x:v>
      </x:c>
      <x:c r="R829" s="15" t="n">
        <x:v>60</x:v>
      </x:c>
      <x:c r="S829" s="15" t="n">
        <x:v>280</x:v>
      </x:c>
      <x:c r="T829" s="15" t="n">
        <x:v>420</x:v>
      </x:c>
      <x:c r="U829" s="15" t="n">
        <x:v>0</x:v>
      </x:c>
      <x:c r="V829" s="15" t="n">
        <x:v>48</x:v>
      </x:c>
      <x:c r="W829" s="15" t="n">
        <x:v>380</x:v>
      </x:c>
      <x:c r="X829" s="15" t="n">
        <x:v>0</x:v>
      </x:c>
      <x:c r="Y829" s="15" t="n">
        <x:v>0</x:v>
      </x:c>
      <x:c r="Z829" s="15" t="n">
        <x:v>0</x:v>
      </x:c>
      <x:c r="AA829" s="15" t="n">
        <x:v>0</x:v>
      </x:c>
      <x:c r="AB829" s="15" t="n">
        <x:f>SUM(G829:AA829)</x:f>
        <x:v>1780</x:v>
      </x:c>
    </x:row>
    <x:row r="830" ht="36" customHeight="1">
      <x:c r="A830" s="10" t="str">
        <x:v>V-A</x:v>
      </x:c>
      <x:c r="B830" s="10" t="str">
        <x:v>VOICE</x:v>
      </x:c>
      <x:c r="C830" s="10" t="str">
        <x:v>VOICE:S6-17</x:v>
      </x:c>
      <x:c r="D830" s="10" t="str">
        <x:v>VOICE:M9320</x:v>
      </x:c>
      <x:c r="E830" s="15" t="n">
        <x:v>0</x:v>
      </x:c>
      <x:c r="F830" s="15" t="str">
        <x:v>scored</x:v>
      </x:c>
      <x:c r="G830" s="15" t="n">
        <x:v>0</x:v>
      </x:c>
      <x:c r="H830" s="15" t="n">
        <x:v>0</x:v>
      </x:c>
      <x:c r="I830" s="15" t="n">
        <x:v>0</x:v>
      </x:c>
      <x:c r="J830" s="15" t="n">
        <x:v>0</x:v>
      </x:c>
      <x:c r="K830" s="15" t="n">
        <x:v>0</x:v>
      </x:c>
      <x:c r="L830" s="15" t="n">
        <x:v>0</x:v>
      </x:c>
      <x:c r="M830" s="15" t="n">
        <x:v>180</x:v>
      </x:c>
      <x:c r="N830" s="15" t="n">
        <x:v>220</x:v>
      </x:c>
      <x:c r="O830" s="15" t="n">
        <x:v>96</x:v>
      </x:c>
      <x:c r="P830" s="15" t="n">
        <x:v>64</x:v>
      </x:c>
      <x:c r="Q830" s="15" t="n">
        <x:v>32</x:v>
      </x:c>
      <x:c r="R830" s="15" t="n">
        <x:v>0</x:v>
      </x:c>
      <x:c r="S830" s="15" t="n">
        <x:v>0</x:v>
      </x:c>
      <x:c r="T830" s="15" t="n">
        <x:v>0</x:v>
      </x:c>
      <x:c r="U830" s="15" t="n">
        <x:v>0</x:v>
      </x:c>
      <x:c r="V830" s="15" t="n">
        <x:v>0</x:v>
      </x:c>
      <x:c r="W830" s="15" t="n">
        <x:v>0</x:v>
      </x:c>
      <x:c r="X830" s="15" t="n">
        <x:v>0</x:v>
      </x:c>
      <x:c r="Y830" s="15" t="n">
        <x:v>0</x:v>
      </x:c>
      <x:c r="Z830" s="15" t="n">
        <x:v>0</x:v>
      </x:c>
      <x:c r="AA830" s="15" t="n">
        <x:v>0</x:v>
      </x:c>
      <x:c r="AB830" s="15" t="n">
        <x:f>SUM(G830:AA830)</x:f>
        <x:v>592</x:v>
      </x:c>
    </x:row>
    <x:row r="831" ht="36" customHeight="1">
      <x:c r="A831" s="10" t="str">
        <x:v>V-R1</x:v>
      </x:c>
      <x:c r="B831" s="10" t="str">
        <x:v>VOICE</x:v>
      </x:c>
      <x:c r="C831" s="10" t="str">
        <x:v>VOICE:S6-17</x:v>
      </x:c>
      <x:c r="D831" s="10" t="str">
        <x:v>VOICE:M9335</x:v>
      </x:c>
      <x:c r="E831" s="15" t="n">
        <x:v>2.23</x:v>
      </x:c>
      <x:c r="F831" s="15" t="str">
        <x:v>scored</x:v>
      </x:c>
      <x:c r="G831" s="15" t="n">
        <x:v>0</x:v>
      </x:c>
      <x:c r="H831" s="15" t="n">
        <x:v>0</x:v>
      </x:c>
      <x:c r="I831" s="15" t="n">
        <x:v>0</x:v>
      </x:c>
      <x:c r="J831" s="15" t="n">
        <x:v>0</x:v>
      </x:c>
      <x:c r="K831" s="15" t="n">
        <x:v>0</x:v>
      </x:c>
      <x:c r="L831" s="15" t="n">
        <x:v>0</x:v>
      </x:c>
      <x:c r="M831" s="15" t="n">
        <x:v>180</x:v>
      </x:c>
      <x:c r="N831" s="15" t="n">
        <x:v>220</x:v>
      </x:c>
      <x:c r="O831" s="15" t="n">
        <x:v>96</x:v>
      </x:c>
      <x:c r="P831" s="15" t="n">
        <x:v>64</x:v>
      </x:c>
      <x:c r="Q831" s="15" t="n">
        <x:v>24</x:v>
      </x:c>
      <x:c r="R831" s="15" t="n">
        <x:v>60</x:v>
      </x:c>
      <x:c r="S831" s="15" t="n">
        <x:v>280</x:v>
      </x:c>
      <x:c r="T831" s="15" t="n">
        <x:v>420</x:v>
      </x:c>
      <x:c r="U831" s="15" t="n">
        <x:v>0</x:v>
      </x:c>
      <x:c r="V831" s="15" t="n">
        <x:v>48</x:v>
      </x:c>
      <x:c r="W831" s="15" t="n">
        <x:v>380</x:v>
      </x:c>
      <x:c r="X831" s="15" t="n">
        <x:v>0</x:v>
      </x:c>
      <x:c r="Y831" s="15" t="n">
        <x:v>0</x:v>
      </x:c>
      <x:c r="Z831" s="15" t="n">
        <x:v>0</x:v>
      </x:c>
      <x:c r="AA831" s="15" t="n">
        <x:v>0</x:v>
      </x:c>
      <x:c r="AB831" s="15" t="n">
        <x:f>SUM(G831:AA831)</x:f>
        <x:v>1772</x:v>
      </x:c>
    </x:row>
    <x:row r="832" ht="36" customHeight="1">
      <x:c r="A832" s="10" t="str">
        <x:v>V-R2</x:v>
      </x:c>
      <x:c r="B832" s="10" t="str">
        <x:v>VOICE</x:v>
      </x:c>
      <x:c r="C832" s="10" t="str">
        <x:v>VOICE:S6-17</x:v>
      </x:c>
      <x:c r="D832" s="10" t="str">
        <x:v>VOICE:M9350</x:v>
      </x:c>
      <x:c r="E832" s="15" t="n">
        <x:v>2.23</x:v>
      </x:c>
      <x:c r="F832" s="15" t="str">
        <x:v>scored</x:v>
      </x:c>
      <x:c r="G832" s="15" t="n">
        <x:v>0</x:v>
      </x:c>
      <x:c r="H832" s="15" t="n">
        <x:v>0</x:v>
      </x:c>
      <x:c r="I832" s="15" t="n">
        <x:v>0</x:v>
      </x:c>
      <x:c r="J832" s="15" t="n">
        <x:v>0</x:v>
      </x:c>
      <x:c r="K832" s="15" t="n">
        <x:v>0</x:v>
      </x:c>
      <x:c r="L832" s="15" t="n">
        <x:v>0</x:v>
      </x:c>
      <x:c r="M832" s="15" t="n">
        <x:v>180</x:v>
      </x:c>
      <x:c r="N832" s="15" t="n">
        <x:v>220</x:v>
      </x:c>
      <x:c r="O832" s="15" t="n">
        <x:v>96</x:v>
      </x:c>
      <x:c r="P832" s="15" t="n">
        <x:v>64</x:v>
      </x:c>
      <x:c r="Q832" s="15" t="n">
        <x:v>24</x:v>
      </x:c>
      <x:c r="R832" s="15" t="n">
        <x:v>60</x:v>
      </x:c>
      <x:c r="S832" s="15" t="n">
        <x:v>280</x:v>
      </x:c>
      <x:c r="T832" s="15" t="n">
        <x:v>420</x:v>
      </x:c>
      <x:c r="U832" s="15" t="n">
        <x:v>0</x:v>
      </x:c>
      <x:c r="V832" s="15" t="n">
        <x:v>48</x:v>
      </x:c>
      <x:c r="W832" s="15" t="n">
        <x:v>380</x:v>
      </x:c>
      <x:c r="X832" s="15" t="n">
        <x:v>0</x:v>
      </x:c>
      <x:c r="Y832" s="15" t="n">
        <x:v>0</x:v>
      </x:c>
      <x:c r="Z832" s="15" t="n">
        <x:v>0</x:v>
      </x:c>
      <x:c r="AA832" s="15" t="n">
        <x:v>0</x:v>
      </x:c>
      <x:c r="AB832" s="15" t="n">
        <x:f>SUM(G832:AA832)</x:f>
        <x:v>1772</x:v>
      </x:c>
    </x:row>
    <x:row r="833" ht="36" customHeight="1">
      <x:c r="A833" s="10" t="str">
        <x:v>V-R3</x:v>
      </x:c>
      <x:c r="B833" s="10" t="str">
        <x:v>VOICE</x:v>
      </x:c>
      <x:c r="C833" s="10" t="str">
        <x:v>VOICE:S6-17</x:v>
      </x:c>
      <x:c r="D833" s="10" t="str">
        <x:v>VOICE:M9364</x:v>
      </x:c>
      <x:c r="E833" s="15" t="n">
        <x:v>2.23</x:v>
      </x:c>
      <x:c r="F833" s="15" t="str">
        <x:v>scored</x:v>
      </x:c>
      <x:c r="G833" s="15" t="n">
        <x:v>0</x:v>
      </x:c>
      <x:c r="H833" s="15" t="n">
        <x:v>0</x:v>
      </x:c>
      <x:c r="I833" s="15" t="n">
        <x:v>0</x:v>
      </x:c>
      <x:c r="J833" s="15" t="n">
        <x:v>0</x:v>
      </x:c>
      <x:c r="K833" s="15" t="n">
        <x:v>0</x:v>
      </x:c>
      <x:c r="L833" s="15" t="n">
        <x:v>0</x:v>
      </x:c>
      <x:c r="M833" s="15" t="n">
        <x:v>180</x:v>
      </x:c>
      <x:c r="N833" s="15" t="n">
        <x:v>220</x:v>
      </x:c>
      <x:c r="O833" s="15" t="n">
        <x:v>96</x:v>
      </x:c>
      <x:c r="P833" s="15" t="n">
        <x:v>64</x:v>
      </x:c>
      <x:c r="Q833" s="15" t="n">
        <x:v>32</x:v>
      </x:c>
      <x:c r="R833" s="15" t="n">
        <x:v>60</x:v>
      </x:c>
      <x:c r="S833" s="15" t="n">
        <x:v>280</x:v>
      </x:c>
      <x:c r="T833" s="15" t="n">
        <x:v>420</x:v>
      </x:c>
      <x:c r="U833" s="15" t="n">
        <x:v>0</x:v>
      </x:c>
      <x:c r="V833" s="15" t="n">
        <x:v>48</x:v>
      </x:c>
      <x:c r="W833" s="15" t="n">
        <x:v>380</x:v>
      </x:c>
      <x:c r="X833" s="15" t="n">
        <x:v>0</x:v>
      </x:c>
      <x:c r="Y833" s="15" t="n">
        <x:v>0</x:v>
      </x:c>
      <x:c r="Z833" s="15" t="n">
        <x:v>0</x:v>
      </x:c>
      <x:c r="AA833" s="15" t="n">
        <x:v>0</x:v>
      </x:c>
      <x:c r="AB833" s="15" t="n">
        <x:f>SUM(G833:AA833)</x:f>
        <x:v>1780</x:v>
      </x:c>
    </x:row>
    <x:row r="834" ht="36" customHeight="1">
      <x:c r="A834" s="10" t="str">
        <x:v>V-A</x:v>
      </x:c>
      <x:c r="B834" s="10" t="str">
        <x:v>VOICE</x:v>
      </x:c>
      <x:c r="C834" s="10" t="str">
        <x:v>VOICE:S6-18</x:v>
      </x:c>
      <x:c r="D834" s="10" t="str">
        <x:v>VOICE:M9375</x:v>
      </x:c>
      <x:c r="E834" s="15" t="n">
        <x:v>0</x:v>
      </x:c>
      <x:c r="F834" s="15" t="str">
        <x:v>scored</x:v>
      </x:c>
      <x:c r="G834" s="15" t="n">
        <x:v>0</x:v>
      </x:c>
      <x:c r="H834" s="15" t="n">
        <x:v>0</x:v>
      </x:c>
      <x:c r="I834" s="15" t="n">
        <x:v>0</x:v>
      </x:c>
      <x:c r="J834" s="15" t="n">
        <x:v>0</x:v>
      </x:c>
      <x:c r="K834" s="15" t="n">
        <x:v>0</x:v>
      </x:c>
      <x:c r="L834" s="15" t="n">
        <x:v>0</x:v>
      </x:c>
      <x:c r="M834" s="15" t="n">
        <x:v>180</x:v>
      </x:c>
      <x:c r="N834" s="15" t="n">
        <x:v>220</x:v>
      </x:c>
      <x:c r="O834" s="15" t="n">
        <x:v>96</x:v>
      </x:c>
      <x:c r="P834" s="15" t="n">
        <x:v>64</x:v>
      </x:c>
      <x:c r="Q834" s="15" t="n">
        <x:v>32</x:v>
      </x:c>
      <x:c r="R834" s="15" t="n">
        <x:v>0</x:v>
      </x:c>
      <x:c r="S834" s="15" t="n">
        <x:v>0</x:v>
      </x:c>
      <x:c r="T834" s="15" t="n">
        <x:v>0</x:v>
      </x:c>
      <x:c r="U834" s="15" t="n">
        <x:v>0</x:v>
      </x:c>
      <x:c r="V834" s="15" t="n">
        <x:v>0</x:v>
      </x:c>
      <x:c r="W834" s="15" t="n">
        <x:v>0</x:v>
      </x:c>
      <x:c r="X834" s="15" t="n">
        <x:v>0</x:v>
      </x:c>
      <x:c r="Y834" s="15" t="n">
        <x:v>0</x:v>
      </x:c>
      <x:c r="Z834" s="15" t="n">
        <x:v>0</x:v>
      </x:c>
      <x:c r="AA834" s="15" t="n">
        <x:v>0</x:v>
      </x:c>
      <x:c r="AB834" s="15" t="n">
        <x:f>SUM(G834:AA834)</x:f>
        <x:v>592</x:v>
      </x:c>
    </x:row>
    <x:row r="835" ht="36" customHeight="1">
      <x:c r="A835" s="10" t="str">
        <x:v>V-R1</x:v>
      </x:c>
      <x:c r="B835" s="10" t="str">
        <x:v>VOICE</x:v>
      </x:c>
      <x:c r="C835" s="10" t="str">
        <x:v>VOICE:S6-18</x:v>
      </x:c>
      <x:c r="D835" s="10" t="str">
        <x:v>VOICE:M9390</x:v>
      </x:c>
      <x:c r="E835" s="15" t="n">
        <x:v>2.23</x:v>
      </x:c>
      <x:c r="F835" s="15" t="str">
        <x:v>scored</x:v>
      </x:c>
      <x:c r="G835" s="15" t="n">
        <x:v>0</x:v>
      </x:c>
      <x:c r="H835" s="15" t="n">
        <x:v>0</x:v>
      </x:c>
      <x:c r="I835" s="15" t="n">
        <x:v>0</x:v>
      </x:c>
      <x:c r="J835" s="15" t="n">
        <x:v>0</x:v>
      </x:c>
      <x:c r="K835" s="15" t="n">
        <x:v>0</x:v>
      </x:c>
      <x:c r="L835" s="15" t="n">
        <x:v>0</x:v>
      </x:c>
      <x:c r="M835" s="15" t="n">
        <x:v>180</x:v>
      </x:c>
      <x:c r="N835" s="15" t="n">
        <x:v>220</x:v>
      </x:c>
      <x:c r="O835" s="15" t="n">
        <x:v>96</x:v>
      </x:c>
      <x:c r="P835" s="15" t="n">
        <x:v>64</x:v>
      </x:c>
      <x:c r="Q835" s="15" t="n">
        <x:v>24</x:v>
      </x:c>
      <x:c r="R835" s="15" t="n">
        <x:v>60</x:v>
      </x:c>
      <x:c r="S835" s="15" t="n">
        <x:v>280</x:v>
      </x:c>
      <x:c r="T835" s="15" t="n">
        <x:v>420</x:v>
      </x:c>
      <x:c r="U835" s="15" t="n">
        <x:v>0</x:v>
      </x:c>
      <x:c r="V835" s="15" t="n">
        <x:v>48</x:v>
      </x:c>
      <x:c r="W835" s="15" t="n">
        <x:v>380</x:v>
      </x:c>
      <x:c r="X835" s="15" t="n">
        <x:v>0</x:v>
      </x:c>
      <x:c r="Y835" s="15" t="n">
        <x:v>0</x:v>
      </x:c>
      <x:c r="Z835" s="15" t="n">
        <x:v>0</x:v>
      </x:c>
      <x:c r="AA835" s="15" t="n">
        <x:v>0</x:v>
      </x:c>
      <x:c r="AB835" s="15" t="n">
        <x:f>SUM(G835:AA835)</x:f>
        <x:v>1772</x:v>
      </x:c>
    </x:row>
    <x:row r="836" ht="36" customHeight="1">
      <x:c r="A836" s="10" t="str">
        <x:v>V-R2</x:v>
      </x:c>
      <x:c r="B836" s="10" t="str">
        <x:v>VOICE</x:v>
      </x:c>
      <x:c r="C836" s="10" t="str">
        <x:v>VOICE:S6-18</x:v>
      </x:c>
      <x:c r="D836" s="10" t="str">
        <x:v>VOICE:M9405</x:v>
      </x:c>
      <x:c r="E836" s="15" t="n">
        <x:v>2.23</x:v>
      </x:c>
      <x:c r="F836" s="15" t="str">
        <x:v>scored</x:v>
      </x:c>
      <x:c r="G836" s="15" t="n">
        <x:v>0</x:v>
      </x:c>
      <x:c r="H836" s="15" t="n">
        <x:v>0</x:v>
      </x:c>
      <x:c r="I836" s="15" t="n">
        <x:v>0</x:v>
      </x:c>
      <x:c r="J836" s="15" t="n">
        <x:v>0</x:v>
      </x:c>
      <x:c r="K836" s="15" t="n">
        <x:v>0</x:v>
      </x:c>
      <x:c r="L836" s="15" t="n">
        <x:v>0</x:v>
      </x:c>
      <x:c r="M836" s="15" t="n">
        <x:v>180</x:v>
      </x:c>
      <x:c r="N836" s="15" t="n">
        <x:v>220</x:v>
      </x:c>
      <x:c r="O836" s="15" t="n">
        <x:v>96</x:v>
      </x:c>
      <x:c r="P836" s="15" t="n">
        <x:v>64</x:v>
      </x:c>
      <x:c r="Q836" s="15" t="n">
        <x:v>24</x:v>
      </x:c>
      <x:c r="R836" s="15" t="n">
        <x:v>60</x:v>
      </x:c>
      <x:c r="S836" s="15" t="n">
        <x:v>280</x:v>
      </x:c>
      <x:c r="T836" s="15" t="n">
        <x:v>420</x:v>
      </x:c>
      <x:c r="U836" s="15" t="n">
        <x:v>0</x:v>
      </x:c>
      <x:c r="V836" s="15" t="n">
        <x:v>48</x:v>
      </x:c>
      <x:c r="W836" s="15" t="n">
        <x:v>380</x:v>
      </x:c>
      <x:c r="X836" s="15" t="n">
        <x:v>0</x:v>
      </x:c>
      <x:c r="Y836" s="15" t="n">
        <x:v>0</x:v>
      </x:c>
      <x:c r="Z836" s="15" t="n">
        <x:v>0</x:v>
      </x:c>
      <x:c r="AA836" s="15" t="n">
        <x:v>0</x:v>
      </x:c>
      <x:c r="AB836" s="15" t="n">
        <x:f>SUM(G836:AA836)</x:f>
        <x:v>1772</x:v>
      </x:c>
    </x:row>
    <x:row r="837" ht="36" customHeight="1">
      <x:c r="A837" s="10" t="str">
        <x:v>V-R3</x:v>
      </x:c>
      <x:c r="B837" s="10" t="str">
        <x:v>VOICE</x:v>
      </x:c>
      <x:c r="C837" s="10" t="str">
        <x:v>VOICE:S6-18</x:v>
      </x:c>
      <x:c r="D837" s="10" t="str">
        <x:v>VOICE:M9419</x:v>
      </x:c>
      <x:c r="E837" s="15" t="n">
        <x:v>2.23</x:v>
      </x:c>
      <x:c r="F837" s="15" t="str">
        <x:v>scored</x:v>
      </x:c>
      <x:c r="G837" s="15" t="n">
        <x:v>0</x:v>
      </x:c>
      <x:c r="H837" s="15" t="n">
        <x:v>0</x:v>
      </x:c>
      <x:c r="I837" s="15" t="n">
        <x:v>0</x:v>
      </x:c>
      <x:c r="J837" s="15" t="n">
        <x:v>0</x:v>
      </x:c>
      <x:c r="K837" s="15" t="n">
        <x:v>0</x:v>
      </x:c>
      <x:c r="L837" s="15" t="n">
        <x:v>0</x:v>
      </x:c>
      <x:c r="M837" s="15" t="n">
        <x:v>180</x:v>
      </x:c>
      <x:c r="N837" s="15" t="n">
        <x:v>220</x:v>
      </x:c>
      <x:c r="O837" s="15" t="n">
        <x:v>96</x:v>
      </x:c>
      <x:c r="P837" s="15" t="n">
        <x:v>64</x:v>
      </x:c>
      <x:c r="Q837" s="15" t="n">
        <x:v>32</x:v>
      </x:c>
      <x:c r="R837" s="15" t="n">
        <x:v>60</x:v>
      </x:c>
      <x:c r="S837" s="15" t="n">
        <x:v>280</x:v>
      </x:c>
      <x:c r="T837" s="15" t="n">
        <x:v>420</x:v>
      </x:c>
      <x:c r="U837" s="15" t="n">
        <x:v>0</x:v>
      </x:c>
      <x:c r="V837" s="15" t="n">
        <x:v>48</x:v>
      </x:c>
      <x:c r="W837" s="15" t="n">
        <x:v>380</x:v>
      </x:c>
      <x:c r="X837" s="15" t="n">
        <x:v>0</x:v>
      </x:c>
      <x:c r="Y837" s="15" t="n">
        <x:v>0</x:v>
      </x:c>
      <x:c r="Z837" s="15" t="n">
        <x:v>0</x:v>
      </x:c>
      <x:c r="AA837" s="15" t="n">
        <x:v>0</x:v>
      </x:c>
      <x:c r="AB837" s="15" t="n">
        <x:f>SUM(G837:AA837)</x:f>
        <x:v>1780</x:v>
      </x:c>
    </x:row>
    <x:row r="838" ht="36" customHeight="1">
      <x:c r="A838" s="10" t="str">
        <x:v>V-A</x:v>
      </x:c>
      <x:c r="B838" s="10" t="str">
        <x:v>VOICE</x:v>
      </x:c>
      <x:c r="C838" s="10" t="str">
        <x:v>VOICE:S6-19</x:v>
      </x:c>
      <x:c r="D838" s="10" t="str">
        <x:v>VOICE:M9430</x:v>
      </x:c>
      <x:c r="E838" s="15" t="n">
        <x:v>0</x:v>
      </x:c>
      <x:c r="F838" s="15" t="str">
        <x:v>scored</x:v>
      </x:c>
      <x:c r="G838" s="15" t="n">
        <x:v>0</x:v>
      </x:c>
      <x:c r="H838" s="15" t="n">
        <x:v>0</x:v>
      </x:c>
      <x:c r="I838" s="15" t="n">
        <x:v>0</x:v>
      </x:c>
      <x:c r="J838" s="15" t="n">
        <x:v>0</x:v>
      </x:c>
      <x:c r="K838" s="15" t="n">
        <x:v>0</x:v>
      </x:c>
      <x:c r="L838" s="15" t="n">
        <x:v>0</x:v>
      </x:c>
      <x:c r="M838" s="15" t="n">
        <x:v>180</x:v>
      </x:c>
      <x:c r="N838" s="15" t="n">
        <x:v>220</x:v>
      </x:c>
      <x:c r="O838" s="15" t="n">
        <x:v>96</x:v>
      </x:c>
      <x:c r="P838" s="15" t="n">
        <x:v>64</x:v>
      </x:c>
      <x:c r="Q838" s="15" t="n">
        <x:v>32</x:v>
      </x:c>
      <x:c r="R838" s="15" t="n">
        <x:v>0</x:v>
      </x:c>
      <x:c r="S838" s="15" t="n">
        <x:v>0</x:v>
      </x:c>
      <x:c r="T838" s="15" t="n">
        <x:v>0</x:v>
      </x:c>
      <x:c r="U838" s="15" t="n">
        <x:v>0</x:v>
      </x:c>
      <x:c r="V838" s="15" t="n">
        <x:v>0</x:v>
      </x:c>
      <x:c r="W838" s="15" t="n">
        <x:v>0</x:v>
      </x:c>
      <x:c r="X838" s="15" t="n">
        <x:v>0</x:v>
      </x:c>
      <x:c r="Y838" s="15" t="n">
        <x:v>0</x:v>
      </x:c>
      <x:c r="Z838" s="15" t="n">
        <x:v>0</x:v>
      </x:c>
      <x:c r="AA838" s="15" t="n">
        <x:v>0</x:v>
      </x:c>
      <x:c r="AB838" s="15" t="n">
        <x:f>SUM(G838:AA838)</x:f>
        <x:v>592</x:v>
      </x:c>
    </x:row>
    <x:row r="839" ht="36" customHeight="1">
      <x:c r="A839" s="10" t="str">
        <x:v>V-R1</x:v>
      </x:c>
      <x:c r="B839" s="10" t="str">
        <x:v>VOICE</x:v>
      </x:c>
      <x:c r="C839" s="10" t="str">
        <x:v>VOICE:S6-19</x:v>
      </x:c>
      <x:c r="D839" s="10" t="str">
        <x:v>VOICE:M9445</x:v>
      </x:c>
      <x:c r="E839" s="15" t="n">
        <x:v>2.23</x:v>
      </x:c>
      <x:c r="F839" s="15" t="str">
        <x:v>scored</x:v>
      </x:c>
      <x:c r="G839" s="15" t="n">
        <x:v>0</x:v>
      </x:c>
      <x:c r="H839" s="15" t="n">
        <x:v>0</x:v>
      </x:c>
      <x:c r="I839" s="15" t="n">
        <x:v>0</x:v>
      </x:c>
      <x:c r="J839" s="15" t="n">
        <x:v>0</x:v>
      </x:c>
      <x:c r="K839" s="15" t="n">
        <x:v>0</x:v>
      </x:c>
      <x:c r="L839" s="15" t="n">
        <x:v>0</x:v>
      </x:c>
      <x:c r="M839" s="15" t="n">
        <x:v>180</x:v>
      </x:c>
      <x:c r="N839" s="15" t="n">
        <x:v>220</x:v>
      </x:c>
      <x:c r="O839" s="15" t="n">
        <x:v>96</x:v>
      </x:c>
      <x:c r="P839" s="15" t="n">
        <x:v>64</x:v>
      </x:c>
      <x:c r="Q839" s="15" t="n">
        <x:v>24</x:v>
      </x:c>
      <x:c r="R839" s="15" t="n">
        <x:v>60</x:v>
      </x:c>
      <x:c r="S839" s="15" t="n">
        <x:v>280</x:v>
      </x:c>
      <x:c r="T839" s="15" t="n">
        <x:v>420</x:v>
      </x:c>
      <x:c r="U839" s="15" t="n">
        <x:v>0</x:v>
      </x:c>
      <x:c r="V839" s="15" t="n">
        <x:v>48</x:v>
      </x:c>
      <x:c r="W839" s="15" t="n">
        <x:v>380</x:v>
      </x:c>
      <x:c r="X839" s="15" t="n">
        <x:v>0</x:v>
      </x:c>
      <x:c r="Y839" s="15" t="n">
        <x:v>0</x:v>
      </x:c>
      <x:c r="Z839" s="15" t="n">
        <x:v>0</x:v>
      </x:c>
      <x:c r="AA839" s="15" t="n">
        <x:v>0</x:v>
      </x:c>
      <x:c r="AB839" s="15" t="n">
        <x:f>SUM(G839:AA839)</x:f>
        <x:v>1772</x:v>
      </x:c>
    </x:row>
    <x:row r="840" ht="36" customHeight="1">
      <x:c r="A840" s="10" t="str">
        <x:v>V-R2</x:v>
      </x:c>
      <x:c r="B840" s="10" t="str">
        <x:v>VOICE</x:v>
      </x:c>
      <x:c r="C840" s="10" t="str">
        <x:v>VOICE:S6-19</x:v>
      </x:c>
      <x:c r="D840" s="10" t="str">
        <x:v>VOICE:M9460</x:v>
      </x:c>
      <x:c r="E840" s="15" t="n">
        <x:v>2.23</x:v>
      </x:c>
      <x:c r="F840" s="15" t="str">
        <x:v>scored</x:v>
      </x:c>
      <x:c r="G840" s="15" t="n">
        <x:v>0</x:v>
      </x:c>
      <x:c r="H840" s="15" t="n">
        <x:v>0</x:v>
      </x:c>
      <x:c r="I840" s="15" t="n">
        <x:v>0</x:v>
      </x:c>
      <x:c r="J840" s="15" t="n">
        <x:v>0</x:v>
      </x:c>
      <x:c r="K840" s="15" t="n">
        <x:v>0</x:v>
      </x:c>
      <x:c r="L840" s="15" t="n">
        <x:v>0</x:v>
      </x:c>
      <x:c r="M840" s="15" t="n">
        <x:v>180</x:v>
      </x:c>
      <x:c r="N840" s="15" t="n">
        <x:v>220</x:v>
      </x:c>
      <x:c r="O840" s="15" t="n">
        <x:v>96</x:v>
      </x:c>
      <x:c r="P840" s="15" t="n">
        <x:v>64</x:v>
      </x:c>
      <x:c r="Q840" s="15" t="n">
        <x:v>24</x:v>
      </x:c>
      <x:c r="R840" s="15" t="n">
        <x:v>60</x:v>
      </x:c>
      <x:c r="S840" s="15" t="n">
        <x:v>280</x:v>
      </x:c>
      <x:c r="T840" s="15" t="n">
        <x:v>420</x:v>
      </x:c>
      <x:c r="U840" s="15" t="n">
        <x:v>0</x:v>
      </x:c>
      <x:c r="V840" s="15" t="n">
        <x:v>48</x:v>
      </x:c>
      <x:c r="W840" s="15" t="n">
        <x:v>380</x:v>
      </x:c>
      <x:c r="X840" s="15" t="n">
        <x:v>0</x:v>
      </x:c>
      <x:c r="Y840" s="15" t="n">
        <x:v>0</x:v>
      </x:c>
      <x:c r="Z840" s="15" t="n">
        <x:v>0</x:v>
      </x:c>
      <x:c r="AA840" s="15" t="n">
        <x:v>0</x:v>
      </x:c>
      <x:c r="AB840" s="15" t="n">
        <x:f>SUM(G840:AA840)</x:f>
        <x:v>1772</x:v>
      </x:c>
    </x:row>
    <x:row r="841" ht="36" customHeight="1">
      <x:c r="A841" s="10" t="str">
        <x:v>V-R3</x:v>
      </x:c>
      <x:c r="B841" s="10" t="str">
        <x:v>VOICE</x:v>
      </x:c>
      <x:c r="C841" s="10" t="str">
        <x:v>VOICE:S6-19</x:v>
      </x:c>
      <x:c r="D841" s="10" t="str">
        <x:v>VOICE:M9474</x:v>
      </x:c>
      <x:c r="E841" s="15" t="n">
        <x:v>2.23</x:v>
      </x:c>
      <x:c r="F841" s="15" t="str">
        <x:v>scored</x:v>
      </x:c>
      <x:c r="G841" s="15" t="n">
        <x:v>0</x:v>
      </x:c>
      <x:c r="H841" s="15" t="n">
        <x:v>0</x:v>
      </x:c>
      <x:c r="I841" s="15" t="n">
        <x:v>0</x:v>
      </x:c>
      <x:c r="J841" s="15" t="n">
        <x:v>0</x:v>
      </x:c>
      <x:c r="K841" s="15" t="n">
        <x:v>0</x:v>
      </x:c>
      <x:c r="L841" s="15" t="n">
        <x:v>0</x:v>
      </x:c>
      <x:c r="M841" s="15" t="n">
        <x:v>180</x:v>
      </x:c>
      <x:c r="N841" s="15" t="n">
        <x:v>220</x:v>
      </x:c>
      <x:c r="O841" s="15" t="n">
        <x:v>96</x:v>
      </x:c>
      <x:c r="P841" s="15" t="n">
        <x:v>64</x:v>
      </x:c>
      <x:c r="Q841" s="15" t="n">
        <x:v>32</x:v>
      </x:c>
      <x:c r="R841" s="15" t="n">
        <x:v>60</x:v>
      </x:c>
      <x:c r="S841" s="15" t="n">
        <x:v>280</x:v>
      </x:c>
      <x:c r="T841" s="15" t="n">
        <x:v>420</x:v>
      </x:c>
      <x:c r="U841" s="15" t="n">
        <x:v>0</x:v>
      </x:c>
      <x:c r="V841" s="15" t="n">
        <x:v>48</x:v>
      </x:c>
      <x:c r="W841" s="15" t="n">
        <x:v>380</x:v>
      </x:c>
      <x:c r="X841" s="15" t="n">
        <x:v>0</x:v>
      </x:c>
      <x:c r="Y841" s="15" t="n">
        <x:v>0</x:v>
      </x:c>
      <x:c r="Z841" s="15" t="n">
        <x:v>0</x:v>
      </x:c>
      <x:c r="AA841" s="15" t="n">
        <x:v>0</x:v>
      </x:c>
      <x:c r="AB841" s="15" t="n">
        <x:f>SUM(G841:AA841)</x:f>
        <x:v>1780</x:v>
      </x:c>
    </x:row>
    <x:row r="842" ht="36" customHeight="1">
      <x:c r="A842" s="10" t="str">
        <x:v>V-A</x:v>
      </x:c>
      <x:c r="B842" s="10" t="str">
        <x:v>VOICE</x:v>
      </x:c>
      <x:c r="C842" s="10" t="str">
        <x:v>VOICE:S6-20</x:v>
      </x:c>
      <x:c r="D842" s="10" t="str">
        <x:v>VOICE:M9485</x:v>
      </x:c>
      <x:c r="E842" s="15" t="n">
        <x:v>0</x:v>
      </x:c>
      <x:c r="F842" s="15" t="str">
        <x:v>scored</x:v>
      </x:c>
      <x:c r="G842" s="15" t="n">
        <x:v>0</x:v>
      </x:c>
      <x:c r="H842" s="15" t="n">
        <x:v>0</x:v>
      </x:c>
      <x:c r="I842" s="15" t="n">
        <x:v>0</x:v>
      </x:c>
      <x:c r="J842" s="15" t="n">
        <x:v>0</x:v>
      </x:c>
      <x:c r="K842" s="15" t="n">
        <x:v>0</x:v>
      </x:c>
      <x:c r="L842" s="15" t="n">
        <x:v>0</x:v>
      </x:c>
      <x:c r="M842" s="15" t="n">
        <x:v>180</x:v>
      </x:c>
      <x:c r="N842" s="15" t="n">
        <x:v>220</x:v>
      </x:c>
      <x:c r="O842" s="15" t="n">
        <x:v>96</x:v>
      </x:c>
      <x:c r="P842" s="15" t="n">
        <x:v>64</x:v>
      </x:c>
      <x:c r="Q842" s="15" t="n">
        <x:v>32</x:v>
      </x:c>
      <x:c r="R842" s="15" t="n">
        <x:v>0</x:v>
      </x:c>
      <x:c r="S842" s="15" t="n">
        <x:v>0</x:v>
      </x:c>
      <x:c r="T842" s="15" t="n">
        <x:v>0</x:v>
      </x:c>
      <x:c r="U842" s="15" t="n">
        <x:v>0</x:v>
      </x:c>
      <x:c r="V842" s="15" t="n">
        <x:v>0</x:v>
      </x:c>
      <x:c r="W842" s="15" t="n">
        <x:v>0</x:v>
      </x:c>
      <x:c r="X842" s="15" t="n">
        <x:v>0</x:v>
      </x:c>
      <x:c r="Y842" s="15" t="n">
        <x:v>0</x:v>
      </x:c>
      <x:c r="Z842" s="15" t="n">
        <x:v>0</x:v>
      </x:c>
      <x:c r="AA842" s="15" t="n">
        <x:v>0</x:v>
      </x:c>
      <x:c r="AB842" s="15" t="n">
        <x:f>SUM(G842:AA842)</x:f>
        <x:v>592</x:v>
      </x:c>
    </x:row>
    <x:row r="843" ht="36" customHeight="1">
      <x:c r="A843" s="10" t="str">
        <x:v>V-R1</x:v>
      </x:c>
      <x:c r="B843" s="10" t="str">
        <x:v>VOICE</x:v>
      </x:c>
      <x:c r="C843" s="10" t="str">
        <x:v>VOICE:S6-20</x:v>
      </x:c>
      <x:c r="D843" s="10" t="str">
        <x:v>VOICE:M9500</x:v>
      </x:c>
      <x:c r="E843" s="15" t="n">
        <x:v>2.23</x:v>
      </x:c>
      <x:c r="F843" s="15" t="str">
        <x:v>scored</x:v>
      </x:c>
      <x:c r="G843" s="15" t="n">
        <x:v>0</x:v>
      </x:c>
      <x:c r="H843" s="15" t="n">
        <x:v>0</x:v>
      </x:c>
      <x:c r="I843" s="15" t="n">
        <x:v>0</x:v>
      </x:c>
      <x:c r="J843" s="15" t="n">
        <x:v>0</x:v>
      </x:c>
      <x:c r="K843" s="15" t="n">
        <x:v>0</x:v>
      </x:c>
      <x:c r="L843" s="15" t="n">
        <x:v>0</x:v>
      </x:c>
      <x:c r="M843" s="15" t="n">
        <x:v>180</x:v>
      </x:c>
      <x:c r="N843" s="15" t="n">
        <x:v>220</x:v>
      </x:c>
      <x:c r="O843" s="15" t="n">
        <x:v>96</x:v>
      </x:c>
      <x:c r="P843" s="15" t="n">
        <x:v>64</x:v>
      </x:c>
      <x:c r="Q843" s="15" t="n">
        <x:v>24</x:v>
      </x:c>
      <x:c r="R843" s="15" t="n">
        <x:v>60</x:v>
      </x:c>
      <x:c r="S843" s="15" t="n">
        <x:v>280</x:v>
      </x:c>
      <x:c r="T843" s="15" t="n">
        <x:v>420</x:v>
      </x:c>
      <x:c r="U843" s="15" t="n">
        <x:v>0</x:v>
      </x:c>
      <x:c r="V843" s="15" t="n">
        <x:v>48</x:v>
      </x:c>
      <x:c r="W843" s="15" t="n">
        <x:v>380</x:v>
      </x:c>
      <x:c r="X843" s="15" t="n">
        <x:v>0</x:v>
      </x:c>
      <x:c r="Y843" s="15" t="n">
        <x:v>0</x:v>
      </x:c>
      <x:c r="Z843" s="15" t="n">
        <x:v>0</x:v>
      </x:c>
      <x:c r="AA843" s="15" t="n">
        <x:v>0</x:v>
      </x:c>
      <x:c r="AB843" s="15" t="n">
        <x:f>SUM(G843:AA843)</x:f>
        <x:v>1772</x:v>
      </x:c>
    </x:row>
    <x:row r="844" ht="36" customHeight="1">
      <x:c r="A844" s="10" t="str">
        <x:v>V-R2</x:v>
      </x:c>
      <x:c r="B844" s="10" t="str">
        <x:v>VOICE</x:v>
      </x:c>
      <x:c r="C844" s="10" t="str">
        <x:v>VOICE:S6-20</x:v>
      </x:c>
      <x:c r="D844" s="10" t="str">
        <x:v>VOICE:M9515</x:v>
      </x:c>
      <x:c r="E844" s="15" t="n">
        <x:v>2.23</x:v>
      </x:c>
      <x:c r="F844" s="15" t="str">
        <x:v>scored</x:v>
      </x:c>
      <x:c r="G844" s="15" t="n">
        <x:v>0</x:v>
      </x:c>
      <x:c r="H844" s="15" t="n">
        <x:v>0</x:v>
      </x:c>
      <x:c r="I844" s="15" t="n">
        <x:v>0</x:v>
      </x:c>
      <x:c r="J844" s="15" t="n">
        <x:v>0</x:v>
      </x:c>
      <x:c r="K844" s="15" t="n">
        <x:v>0</x:v>
      </x:c>
      <x:c r="L844" s="15" t="n">
        <x:v>0</x:v>
      </x:c>
      <x:c r="M844" s="15" t="n">
        <x:v>180</x:v>
      </x:c>
      <x:c r="N844" s="15" t="n">
        <x:v>220</x:v>
      </x:c>
      <x:c r="O844" s="15" t="n">
        <x:v>96</x:v>
      </x:c>
      <x:c r="P844" s="15" t="n">
        <x:v>64</x:v>
      </x:c>
      <x:c r="Q844" s="15" t="n">
        <x:v>24</x:v>
      </x:c>
      <x:c r="R844" s="15" t="n">
        <x:v>60</x:v>
      </x:c>
      <x:c r="S844" s="15" t="n">
        <x:v>280</x:v>
      </x:c>
      <x:c r="T844" s="15" t="n">
        <x:v>420</x:v>
      </x:c>
      <x:c r="U844" s="15" t="n">
        <x:v>0</x:v>
      </x:c>
      <x:c r="V844" s="15" t="n">
        <x:v>48</x:v>
      </x:c>
      <x:c r="W844" s="15" t="n">
        <x:v>380</x:v>
      </x:c>
      <x:c r="X844" s="15" t="n">
        <x:v>0</x:v>
      </x:c>
      <x:c r="Y844" s="15" t="n">
        <x:v>0</x:v>
      </x:c>
      <x:c r="Z844" s="15" t="n">
        <x:v>0</x:v>
      </x:c>
      <x:c r="AA844" s="15" t="n">
        <x:v>0</x:v>
      </x:c>
      <x:c r="AB844" s="15" t="n">
        <x:f>SUM(G844:AA844)</x:f>
        <x:v>1772</x:v>
      </x:c>
    </x:row>
    <x:row r="845" ht="36" customHeight="1">
      <x:c r="A845" s="10" t="str">
        <x:v>V-R3</x:v>
      </x:c>
      <x:c r="B845" s="10" t="str">
        <x:v>VOICE</x:v>
      </x:c>
      <x:c r="C845" s="10" t="str">
        <x:v>VOICE:S6-20</x:v>
      </x:c>
      <x:c r="D845" s="10" t="str">
        <x:v>VOICE:M9529</x:v>
      </x:c>
      <x:c r="E845" s="15" t="n">
        <x:v>2.23</x:v>
      </x:c>
      <x:c r="F845" s="15" t="str">
        <x:v>scored</x:v>
      </x:c>
      <x:c r="G845" s="15" t="n">
        <x:v>0</x:v>
      </x:c>
      <x:c r="H845" s="15" t="n">
        <x:v>0</x:v>
      </x:c>
      <x:c r="I845" s="15" t="n">
        <x:v>0</x:v>
      </x:c>
      <x:c r="J845" s="15" t="n">
        <x:v>0</x:v>
      </x:c>
      <x:c r="K845" s="15" t="n">
        <x:v>0</x:v>
      </x:c>
      <x:c r="L845" s="15" t="n">
        <x:v>0</x:v>
      </x:c>
      <x:c r="M845" s="15" t="n">
        <x:v>180</x:v>
      </x:c>
      <x:c r="N845" s="15" t="n">
        <x:v>220</x:v>
      </x:c>
      <x:c r="O845" s="15" t="n">
        <x:v>96</x:v>
      </x:c>
      <x:c r="P845" s="15" t="n">
        <x:v>64</x:v>
      </x:c>
      <x:c r="Q845" s="15" t="n">
        <x:v>32</x:v>
      </x:c>
      <x:c r="R845" s="15" t="n">
        <x:v>60</x:v>
      </x:c>
      <x:c r="S845" s="15" t="n">
        <x:v>280</x:v>
      </x:c>
      <x:c r="T845" s="15" t="n">
        <x:v>420</x:v>
      </x:c>
      <x:c r="U845" s="15" t="n">
        <x:v>0</x:v>
      </x:c>
      <x:c r="V845" s="15" t="n">
        <x:v>48</x:v>
      </x:c>
      <x:c r="W845" s="15" t="n">
        <x:v>380</x:v>
      </x:c>
      <x:c r="X845" s="15" t="n">
        <x:v>0</x:v>
      </x:c>
      <x:c r="Y845" s="15" t="n">
        <x:v>0</x:v>
      </x:c>
      <x:c r="Z845" s="15" t="n">
        <x:v>0</x:v>
      </x:c>
      <x:c r="AA845" s="15" t="n">
        <x:v>0</x:v>
      </x:c>
      <x:c r="AB845" s="15" t="n">
        <x:f>SUM(G845:AA845)</x:f>
        <x:v>1780</x:v>
      </x:c>
    </x:row>
    <x:row r="846" ht="36" customHeight="1">
      <x:c r="A846" s="10" t="str">
        <x:v>D-A</x:v>
      </x:c>
      <x:c r="B846" s="10" t="str">
        <x:v>DELIVERY</x:v>
      </x:c>
      <x:c r="C846" s="10" t="str">
        <x:v>DELIVERY:S01-01</x:v>
      </x:c>
      <x:c r="D846" s="10" t="str">
        <x:v>DELIVERY:M16</x:v>
      </x:c>
      <x:c r="E846" s="15" t="n">
        <x:v>1.9595</x:v>
      </x:c>
      <x:c r="F846" s="15" t="str">
        <x:v>scored</x:v>
      </x:c>
      <x:c r="G846" s="15" t="n">
        <x:v>0</x:v>
      </x:c>
      <x:c r="H846" s="15" t="n">
        <x:v>0</x:v>
      </x:c>
      <x:c r="I846" s="15" t="n">
        <x:v>0</x:v>
      </x:c>
      <x:c r="J846" s="15" t="n">
        <x:v>0</x:v>
      </x:c>
      <x:c r="K846" s="15" t="n">
        <x:v>0</x:v>
      </x:c>
      <x:c r="L846" s="15" t="n">
        <x:v>0</x:v>
      </x:c>
      <x:c r="M846" s="15" t="n">
        <x:v>0</x:v>
      </x:c>
      <x:c r="N846" s="15" t="n">
        <x:v>0</x:v>
      </x:c>
      <x:c r="O846" s="15" t="n">
        <x:v>0</x:v>
      </x:c>
      <x:c r="P846" s="15" t="n">
        <x:v>0</x:v>
      </x:c>
      <x:c r="Q846" s="15" t="n">
        <x:v>0</x:v>
      </x:c>
      <x:c r="R846" s="15" t="n">
        <x:v>0</x:v>
      </x:c>
      <x:c r="S846" s="15" t="n">
        <x:v>0</x:v>
      </x:c>
      <x:c r="T846" s="15" t="n">
        <x:v>0</x:v>
      </x:c>
      <x:c r="U846" s="15" t="n">
        <x:v>0</x:v>
      </x:c>
      <x:c r="V846" s="15" t="n">
        <x:v>0</x:v>
      </x:c>
      <x:c r="W846" s="15" t="n">
        <x:v>0</x:v>
      </x:c>
      <x:c r="X846" s="15" t="n">
        <x:v>0</x:v>
      </x:c>
      <x:c r="Y846" s="15" t="n">
        <x:v>560</x:v>
      </x:c>
      <x:c r="Z846" s="15" t="n">
        <x:v>0.110376</x:v>
      </x:c>
      <x:c r="AA846" s="15" t="n">
        <x:v>0.004096</x:v>
      </x:c>
      <x:c r="AB846" s="15" t="n">
        <x:f>SUM(G846:AA846)</x:f>
        <x:v>560.114472</x:v>
      </x:c>
    </x:row>
    <x:row r="847" ht="36" customHeight="1">
      <x:c r="A847" s="10" t="str">
        <x:v>D-B</x:v>
      </x:c>
      <x:c r="B847" s="10" t="str">
        <x:v>DELIVERY</x:v>
      </x:c>
      <x:c r="C847" s="10" t="str">
        <x:v>DELIVERY:S01-01</x:v>
      </x:c>
      <x:c r="D847" s="10" t="str">
        <x:v>DELIVERY:M37</x:v>
      </x:c>
      <x:c r="E847" s="15" t="n">
        <x:v>1.9595</x:v>
      </x:c>
      <x:c r="F847" s="15" t="str">
        <x:v>scored</x:v>
      </x:c>
      <x:c r="G847" s="15" t="n">
        <x:v>0</x:v>
      </x:c>
      <x:c r="H847" s="15" t="n">
        <x:v>0</x:v>
      </x:c>
      <x:c r="I847" s="15" t="n">
        <x:v>0</x:v>
      </x:c>
      <x:c r="J847" s="15" t="n">
        <x:v>0</x:v>
      </x:c>
      <x:c r="K847" s="15" t="n">
        <x:v>0</x:v>
      </x:c>
      <x:c r="L847" s="15" t="n">
        <x:v>0</x:v>
      </x:c>
      <x:c r="M847" s="15" t="n">
        <x:v>0</x:v>
      </x:c>
      <x:c r="N847" s="15" t="n">
        <x:v>0</x:v>
      </x:c>
      <x:c r="O847" s="15" t="n">
        <x:v>0</x:v>
      </x:c>
      <x:c r="P847" s="15" t="n">
        <x:v>0</x:v>
      </x:c>
      <x:c r="Q847" s="15" t="n">
        <x:v>0</x:v>
      </x:c>
      <x:c r="R847" s="15" t="n">
        <x:v>0</x:v>
      </x:c>
      <x:c r="S847" s="15" t="n">
        <x:v>0</x:v>
      </x:c>
      <x:c r="T847" s="15" t="n">
        <x:v>0</x:v>
      </x:c>
      <x:c r="U847" s="15" t="n">
        <x:v>0</x:v>
      </x:c>
      <x:c r="V847" s="15" t="n">
        <x:v>0</x:v>
      </x:c>
      <x:c r="W847" s="15" t="n">
        <x:v>0</x:v>
      </x:c>
      <x:c r="X847" s="15" t="n">
        <x:v>0</x:v>
      </x:c>
      <x:c r="Y847" s="15" t="n">
        <x:v>560</x:v>
      </x:c>
      <x:c r="Z847" s="15" t="n">
        <x:v>0.110376</x:v>
      </x:c>
      <x:c r="AA847" s="15" t="n">
        <x:v>0.004096</x:v>
      </x:c>
      <x:c r="AB847" s="15" t="n">
        <x:f>SUM(G847:AA847)</x:f>
        <x:v>560.114472</x:v>
      </x:c>
    </x:row>
    <x:row r="848" ht="36" customHeight="1">
      <x:c r="A848" s="10" t="str">
        <x:v>D-A</x:v>
      </x:c>
      <x:c r="B848" s="10" t="str">
        <x:v>DELIVERY</x:v>
      </x:c>
      <x:c r="C848" s="10" t="str">
        <x:v>DELIVERY:S01-02</x:v>
      </x:c>
      <x:c r="D848" s="10" t="str">
        <x:v>DELIVERY:M58</x:v>
      </x:c>
      <x:c r="E848" s="15" t="n">
        <x:v>1.990833334</x:v>
      </x:c>
      <x:c r="F848" s="15" t="str">
        <x:v>scored</x:v>
      </x:c>
      <x:c r="G848" s="15" t="n">
        <x:v>0</x:v>
      </x:c>
      <x:c r="H848" s="15" t="n">
        <x:v>0</x:v>
      </x:c>
      <x:c r="I848" s="15" t="n">
        <x:v>0</x:v>
      </x:c>
      <x:c r="J848" s="15" t="n">
        <x:v>0</x:v>
      </x:c>
      <x:c r="K848" s="15" t="n">
        <x:v>0</x:v>
      </x:c>
      <x:c r="L848" s="15" t="n">
        <x:v>0</x:v>
      </x:c>
      <x:c r="M848" s="15" t="n">
        <x:v>0</x:v>
      </x:c>
      <x:c r="N848" s="15" t="n">
        <x:v>0</x:v>
      </x:c>
      <x:c r="O848" s="15" t="n">
        <x:v>0</x:v>
      </x:c>
      <x:c r="P848" s="15" t="n">
        <x:v>0</x:v>
      </x:c>
      <x:c r="Q848" s="15" t="n">
        <x:v>0</x:v>
      </x:c>
      <x:c r="R848" s="15" t="n">
        <x:v>0</x:v>
      </x:c>
      <x:c r="S848" s="15" t="n">
        <x:v>0</x:v>
      </x:c>
      <x:c r="T848" s="15" t="n">
        <x:v>0</x:v>
      </x:c>
      <x:c r="U848" s="15" t="n">
        <x:v>0</x:v>
      </x:c>
      <x:c r="V848" s="15" t="n">
        <x:v>0</x:v>
      </x:c>
      <x:c r="W848" s="15" t="n">
        <x:v>0</x:v>
      </x:c>
      <x:c r="X848" s="15" t="n">
        <x:v>0</x:v>
      </x:c>
      <x:c r="Y848" s="15" t="n">
        <x:v>560</x:v>
      </x:c>
      <x:c r="Z848" s="15" t="n">
        <x:v>0.110808</x:v>
      </x:c>
      <x:c r="AA848" s="15" t="n">
        <x:v>0.004096</x:v>
      </x:c>
      <x:c r="AB848" s="15" t="n">
        <x:f>SUM(G848:AA848)</x:f>
        <x:v>560.114904</x:v>
      </x:c>
    </x:row>
    <x:row r="849" ht="36" customHeight="1">
      <x:c r="A849" s="10" t="str">
        <x:v>D-B</x:v>
      </x:c>
      <x:c r="B849" s="10" t="str">
        <x:v>DELIVERY</x:v>
      </x:c>
      <x:c r="C849" s="10" t="str">
        <x:v>DELIVERY:S01-02</x:v>
      </x:c>
      <x:c r="D849" s="10" t="str">
        <x:v>DELIVERY:M79</x:v>
      </x:c>
      <x:c r="E849" s="15" t="n">
        <x:v>1.990833334</x:v>
      </x:c>
      <x:c r="F849" s="15" t="str">
        <x:v>scored</x:v>
      </x:c>
      <x:c r="G849" s="15" t="n">
        <x:v>0</x:v>
      </x:c>
      <x:c r="H849" s="15" t="n">
        <x:v>0</x:v>
      </x:c>
      <x:c r="I849" s="15" t="n">
        <x:v>0</x:v>
      </x:c>
      <x:c r="J849" s="15" t="n">
        <x:v>0</x:v>
      </x:c>
      <x:c r="K849" s="15" t="n">
        <x:v>0</x:v>
      </x:c>
      <x:c r="L849" s="15" t="n">
        <x:v>0</x:v>
      </x:c>
      <x:c r="M849" s="15" t="n">
        <x:v>0</x:v>
      </x:c>
      <x:c r="N849" s="15" t="n">
        <x:v>0</x:v>
      </x:c>
      <x:c r="O849" s="15" t="n">
        <x:v>0</x:v>
      </x:c>
      <x:c r="P849" s="15" t="n">
        <x:v>0</x:v>
      </x:c>
      <x:c r="Q849" s="15" t="n">
        <x:v>0</x:v>
      </x:c>
      <x:c r="R849" s="15" t="n">
        <x:v>0</x:v>
      </x:c>
      <x:c r="S849" s="15" t="n">
        <x:v>0</x:v>
      </x:c>
      <x:c r="T849" s="15" t="n">
        <x:v>0</x:v>
      </x:c>
      <x:c r="U849" s="15" t="n">
        <x:v>0</x:v>
      </x:c>
      <x:c r="V849" s="15" t="n">
        <x:v>0</x:v>
      </x:c>
      <x:c r="W849" s="15" t="n">
        <x:v>0</x:v>
      </x:c>
      <x:c r="X849" s="15" t="n">
        <x:v>0</x:v>
      </x:c>
      <x:c r="Y849" s="15" t="n">
        <x:v>560</x:v>
      </x:c>
      <x:c r="Z849" s="15" t="n">
        <x:v>0.110808</x:v>
      </x:c>
      <x:c r="AA849" s="15" t="n">
        <x:v>0.004096</x:v>
      </x:c>
      <x:c r="AB849" s="15" t="n">
        <x:f>SUM(G849:AA849)</x:f>
        <x:v>560.114904</x:v>
      </x:c>
    </x:row>
    <x:row r="850" ht="36" customHeight="1">
      <x:c r="A850" s="10" t="str">
        <x:v>D-A</x:v>
      </x:c>
      <x:c r="B850" s="10" t="str">
        <x:v>DELIVERY</x:v>
      </x:c>
      <x:c r="C850" s="10" t="str">
        <x:v>DELIVERY:S01-03</x:v>
      </x:c>
      <x:c r="D850" s="10" t="str">
        <x:v>DELIVERY:M100</x:v>
      </x:c>
      <x:c r="E850" s="15" t="n">
        <x:v>1.947166667</x:v>
      </x:c>
      <x:c r="F850" s="15" t="str">
        <x:v>scored</x:v>
      </x:c>
      <x:c r="G850" s="15" t="n">
        <x:v>0</x:v>
      </x:c>
      <x:c r="H850" s="15" t="n">
        <x:v>0</x:v>
      </x:c>
      <x:c r="I850" s="15" t="n">
        <x:v>0</x:v>
      </x:c>
      <x:c r="J850" s="15" t="n">
        <x:v>0</x:v>
      </x:c>
      <x:c r="K850" s="15" t="n">
        <x:v>0</x:v>
      </x:c>
      <x:c r="L850" s="15" t="n">
        <x:v>0</x:v>
      </x:c>
      <x:c r="M850" s="15" t="n">
        <x:v>0</x:v>
      </x:c>
      <x:c r="N850" s="15" t="n">
        <x:v>0</x:v>
      </x:c>
      <x:c r="O850" s="15" t="n">
        <x:v>0</x:v>
      </x:c>
      <x:c r="P850" s="15" t="n">
        <x:v>0</x:v>
      </x:c>
      <x:c r="Q850" s="15" t="n">
        <x:v>0</x:v>
      </x:c>
      <x:c r="R850" s="15" t="n">
        <x:v>0</x:v>
      </x:c>
      <x:c r="S850" s="15" t="n">
        <x:v>0</x:v>
      </x:c>
      <x:c r="T850" s="15" t="n">
        <x:v>0</x:v>
      </x:c>
      <x:c r="U850" s="15" t="n">
        <x:v>0</x:v>
      </x:c>
      <x:c r="V850" s="15" t="n">
        <x:v>0</x:v>
      </x:c>
      <x:c r="W850" s="15" t="n">
        <x:v>0</x:v>
      </x:c>
      <x:c r="X850" s="15" t="n">
        <x:v>0</x:v>
      </x:c>
      <x:c r="Y850" s="15" t="n">
        <x:v>560</x:v>
      </x:c>
      <x:c r="Z850" s="15" t="n">
        <x:v>0.11124</x:v>
      </x:c>
      <x:c r="AA850" s="15" t="n">
        <x:v>0.004096</x:v>
      </x:c>
      <x:c r="AB850" s="15" t="n">
        <x:f>SUM(G850:AA850)</x:f>
        <x:v>560.115336</x:v>
      </x:c>
    </x:row>
    <x:row r="851" ht="36" customHeight="1">
      <x:c r="A851" s="10" t="str">
        <x:v>D-B</x:v>
      </x:c>
      <x:c r="B851" s="10" t="str">
        <x:v>DELIVERY</x:v>
      </x:c>
      <x:c r="C851" s="10" t="str">
        <x:v>DELIVERY:S01-03</x:v>
      </x:c>
      <x:c r="D851" s="10" t="str">
        <x:v>DELIVERY:M121</x:v>
      </x:c>
      <x:c r="E851" s="15" t="n">
        <x:v>1.947166667</x:v>
      </x:c>
      <x:c r="F851" s="15" t="str">
        <x:v>scored</x:v>
      </x:c>
      <x:c r="G851" s="15" t="n">
        <x:v>0</x:v>
      </x:c>
      <x:c r="H851" s="15" t="n">
        <x:v>0</x:v>
      </x:c>
      <x:c r="I851" s="15" t="n">
        <x:v>0</x:v>
      </x:c>
      <x:c r="J851" s="15" t="n">
        <x:v>0</x:v>
      </x:c>
      <x:c r="K851" s="15" t="n">
        <x:v>0</x:v>
      </x:c>
      <x:c r="L851" s="15" t="n">
        <x:v>0</x:v>
      </x:c>
      <x:c r="M851" s="15" t="n">
        <x:v>0</x:v>
      </x:c>
      <x:c r="N851" s="15" t="n">
        <x:v>0</x:v>
      </x:c>
      <x:c r="O851" s="15" t="n">
        <x:v>0</x:v>
      </x:c>
      <x:c r="P851" s="15" t="n">
        <x:v>0</x:v>
      </x:c>
      <x:c r="Q851" s="15" t="n">
        <x:v>0</x:v>
      </x:c>
      <x:c r="R851" s="15" t="n">
        <x:v>0</x:v>
      </x:c>
      <x:c r="S851" s="15" t="n">
        <x:v>0</x:v>
      </x:c>
      <x:c r="T851" s="15" t="n">
        <x:v>0</x:v>
      </x:c>
      <x:c r="U851" s="15" t="n">
        <x:v>0</x:v>
      </x:c>
      <x:c r="V851" s="15" t="n">
        <x:v>0</x:v>
      </x:c>
      <x:c r="W851" s="15" t="n">
        <x:v>0</x:v>
      </x:c>
      <x:c r="X851" s="15" t="n">
        <x:v>0</x:v>
      </x:c>
      <x:c r="Y851" s="15" t="n">
        <x:v>560</x:v>
      </x:c>
      <x:c r="Z851" s="15" t="n">
        <x:v>0.11124</x:v>
      </x:c>
      <x:c r="AA851" s="15" t="n">
        <x:v>0.004096</x:v>
      </x:c>
      <x:c r="AB851" s="15" t="n">
        <x:f>SUM(G851:AA851)</x:f>
        <x:v>560.115336</x:v>
      </x:c>
    </x:row>
    <x:row r="852" ht="36" customHeight="1">
      <x:c r="A852" s="10" t="str">
        <x:v>D-A</x:v>
      </x:c>
      <x:c r="B852" s="10" t="str">
        <x:v>DELIVERY</x:v>
      </x:c>
      <x:c r="C852" s="10" t="str">
        <x:v>DELIVERY:S01-04</x:v>
      </x:c>
      <x:c r="D852" s="10" t="str">
        <x:v>DELIVERY:M142</x:v>
      </x:c>
      <x:c r="E852" s="15" t="n">
        <x:v>1.9785</x:v>
      </x:c>
      <x:c r="F852" s="15" t="str">
        <x:v>scored</x:v>
      </x:c>
      <x:c r="G852" s="15" t="n">
        <x:v>0</x:v>
      </x:c>
      <x:c r="H852" s="15" t="n">
        <x:v>0</x:v>
      </x:c>
      <x:c r="I852" s="15" t="n">
        <x:v>0</x:v>
      </x:c>
      <x:c r="J852" s="15" t="n">
        <x:v>0</x:v>
      </x:c>
      <x:c r="K852" s="15" t="n">
        <x:v>0</x:v>
      </x:c>
      <x:c r="L852" s="15" t="n">
        <x:v>0</x:v>
      </x:c>
      <x:c r="M852" s="15" t="n">
        <x:v>0</x:v>
      </x:c>
      <x:c r="N852" s="15" t="n">
        <x:v>0</x:v>
      </x:c>
      <x:c r="O852" s="15" t="n">
        <x:v>0</x:v>
      </x:c>
      <x:c r="P852" s="15" t="n">
        <x:v>0</x:v>
      </x:c>
      <x:c r="Q852" s="15" t="n">
        <x:v>0</x:v>
      </x:c>
      <x:c r="R852" s="15" t="n">
        <x:v>0</x:v>
      </x:c>
      <x:c r="S852" s="15" t="n">
        <x:v>0</x:v>
      </x:c>
      <x:c r="T852" s="15" t="n">
        <x:v>0</x:v>
      </x:c>
      <x:c r="U852" s="15" t="n">
        <x:v>0</x:v>
      </x:c>
      <x:c r="V852" s="15" t="n">
        <x:v>0</x:v>
      </x:c>
      <x:c r="W852" s="15" t="n">
        <x:v>0</x:v>
      </x:c>
      <x:c r="X852" s="15" t="n">
        <x:v>0</x:v>
      </x:c>
      <x:c r="Y852" s="15" t="n">
        <x:v>560</x:v>
      </x:c>
      <x:c r="Z852" s="15" t="n">
        <x:v>0.111672</x:v>
      </x:c>
      <x:c r="AA852" s="15" t="n">
        <x:v>0.004096</x:v>
      </x:c>
      <x:c r="AB852" s="15" t="n">
        <x:f>SUM(G852:AA852)</x:f>
        <x:v>560.115768</x:v>
      </x:c>
    </x:row>
    <x:row r="853" ht="36" customHeight="1">
      <x:c r="A853" s="10" t="str">
        <x:v>D-B</x:v>
      </x:c>
      <x:c r="B853" s="10" t="str">
        <x:v>DELIVERY</x:v>
      </x:c>
      <x:c r="C853" s="10" t="str">
        <x:v>DELIVERY:S01-04</x:v>
      </x:c>
      <x:c r="D853" s="10" t="str">
        <x:v>DELIVERY:M163</x:v>
      </x:c>
      <x:c r="E853" s="15" t="n">
        <x:v>1.9785</x:v>
      </x:c>
      <x:c r="F853" s="15" t="str">
        <x:v>scored</x:v>
      </x:c>
      <x:c r="G853" s="15" t="n">
        <x:v>0</x:v>
      </x:c>
      <x:c r="H853" s="15" t="n">
        <x:v>0</x:v>
      </x:c>
      <x:c r="I853" s="15" t="n">
        <x:v>0</x:v>
      </x:c>
      <x:c r="J853" s="15" t="n">
        <x:v>0</x:v>
      </x:c>
      <x:c r="K853" s="15" t="n">
        <x:v>0</x:v>
      </x:c>
      <x:c r="L853" s="15" t="n">
        <x:v>0</x:v>
      </x:c>
      <x:c r="M853" s="15" t="n">
        <x:v>0</x:v>
      </x:c>
      <x:c r="N853" s="15" t="n">
        <x:v>0</x:v>
      </x:c>
      <x:c r="O853" s="15" t="n">
        <x:v>0</x:v>
      </x:c>
      <x:c r="P853" s="15" t="n">
        <x:v>0</x:v>
      </x:c>
      <x:c r="Q853" s="15" t="n">
        <x:v>0</x:v>
      </x:c>
      <x:c r="R853" s="15" t="n">
        <x:v>0</x:v>
      </x:c>
      <x:c r="S853" s="15" t="n">
        <x:v>0</x:v>
      </x:c>
      <x:c r="T853" s="15" t="n">
        <x:v>0</x:v>
      </x:c>
      <x:c r="U853" s="15" t="n">
        <x:v>0</x:v>
      </x:c>
      <x:c r="V853" s="15" t="n">
        <x:v>0</x:v>
      </x:c>
      <x:c r="W853" s="15" t="n">
        <x:v>0</x:v>
      </x:c>
      <x:c r="X853" s="15" t="n">
        <x:v>0</x:v>
      </x:c>
      <x:c r="Y853" s="15" t="n">
        <x:v>560</x:v>
      </x:c>
      <x:c r="Z853" s="15" t="n">
        <x:v>0.111672</x:v>
      </x:c>
      <x:c r="AA853" s="15" t="n">
        <x:v>0.004096</x:v>
      </x:c>
      <x:c r="AB853" s="15" t="n">
        <x:f>SUM(G853:AA853)</x:f>
        <x:v>560.115768</x:v>
      </x:c>
    </x:row>
    <x:row r="854" ht="36" customHeight="1">
      <x:c r="A854" s="10" t="str">
        <x:v>D-A</x:v>
      </x:c>
      <x:c r="B854" s="10" t="str">
        <x:v>DELIVERY</x:v>
      </x:c>
      <x:c r="C854" s="10" t="str">
        <x:v>DELIVERY:S01-05</x:v>
      </x:c>
      <x:c r="D854" s="10" t="str">
        <x:v>DELIVERY:M184</x:v>
      </x:c>
      <x:c r="E854" s="15" t="n">
        <x:v>2.009833334</x:v>
      </x:c>
      <x:c r="F854" s="15" t="str">
        <x:v>scored</x:v>
      </x:c>
      <x:c r="G854" s="15" t="n">
        <x:v>0</x:v>
      </x:c>
      <x:c r="H854" s="15" t="n">
        <x:v>0</x:v>
      </x:c>
      <x:c r="I854" s="15" t="n">
        <x:v>0</x:v>
      </x:c>
      <x:c r="J854" s="15" t="n">
        <x:v>0</x:v>
      </x:c>
      <x:c r="K854" s="15" t="n">
        <x:v>0</x:v>
      </x:c>
      <x:c r="L854" s="15" t="n">
        <x:v>0</x:v>
      </x:c>
      <x:c r="M854" s="15" t="n">
        <x:v>0</x:v>
      </x:c>
      <x:c r="N854" s="15" t="n">
        <x:v>0</x:v>
      </x:c>
      <x:c r="O854" s="15" t="n">
        <x:v>0</x:v>
      </x:c>
      <x:c r="P854" s="15" t="n">
        <x:v>0</x:v>
      </x:c>
      <x:c r="Q854" s="15" t="n">
        <x:v>0</x:v>
      </x:c>
      <x:c r="R854" s="15" t="n">
        <x:v>0</x:v>
      </x:c>
      <x:c r="S854" s="15" t="n">
        <x:v>0</x:v>
      </x:c>
      <x:c r="T854" s="15" t="n">
        <x:v>0</x:v>
      </x:c>
      <x:c r="U854" s="15" t="n">
        <x:v>0</x:v>
      </x:c>
      <x:c r="V854" s="15" t="n">
        <x:v>0</x:v>
      </x:c>
      <x:c r="W854" s="15" t="n">
        <x:v>0</x:v>
      </x:c>
      <x:c r="X854" s="15" t="n">
        <x:v>0</x:v>
      </x:c>
      <x:c r="Y854" s="15" t="n">
        <x:v>560</x:v>
      </x:c>
      <x:c r="Z854" s="15" t="n">
        <x:v>0.112104</x:v>
      </x:c>
      <x:c r="AA854" s="15" t="n">
        <x:v>0.004096</x:v>
      </x:c>
      <x:c r="AB854" s="15" t="n">
        <x:f>SUM(G854:AA854)</x:f>
        <x:v>560.1162</x:v>
      </x:c>
    </x:row>
    <x:row r="855" ht="36" customHeight="1">
      <x:c r="A855" s="10" t="str">
        <x:v>D-B</x:v>
      </x:c>
      <x:c r="B855" s="10" t="str">
        <x:v>DELIVERY</x:v>
      </x:c>
      <x:c r="C855" s="10" t="str">
        <x:v>DELIVERY:S01-05</x:v>
      </x:c>
      <x:c r="D855" s="10" t="str">
        <x:v>DELIVERY:M205</x:v>
      </x:c>
      <x:c r="E855" s="15" t="n">
        <x:v>2.009833334</x:v>
      </x:c>
      <x:c r="F855" s="15" t="str">
        <x:v>scored</x:v>
      </x:c>
      <x:c r="G855" s="15" t="n">
        <x:v>0</x:v>
      </x:c>
      <x:c r="H855" s="15" t="n">
        <x:v>0</x:v>
      </x:c>
      <x:c r="I855" s="15" t="n">
        <x:v>0</x:v>
      </x:c>
      <x:c r="J855" s="15" t="n">
        <x:v>0</x:v>
      </x:c>
      <x:c r="K855" s="15" t="n">
        <x:v>0</x:v>
      </x:c>
      <x:c r="L855" s="15" t="n">
        <x:v>0</x:v>
      </x:c>
      <x:c r="M855" s="15" t="n">
        <x:v>0</x:v>
      </x:c>
      <x:c r="N855" s="15" t="n">
        <x:v>0</x:v>
      </x:c>
      <x:c r="O855" s="15" t="n">
        <x:v>0</x:v>
      </x:c>
      <x:c r="P855" s="15" t="n">
        <x:v>0</x:v>
      </x:c>
      <x:c r="Q855" s="15" t="n">
        <x:v>0</x:v>
      </x:c>
      <x:c r="R855" s="15" t="n">
        <x:v>0</x:v>
      </x:c>
      <x:c r="S855" s="15" t="n">
        <x:v>0</x:v>
      </x:c>
      <x:c r="T855" s="15" t="n">
        <x:v>0</x:v>
      </x:c>
      <x:c r="U855" s="15" t="n">
        <x:v>0</x:v>
      </x:c>
      <x:c r="V855" s="15" t="n">
        <x:v>0</x:v>
      </x:c>
      <x:c r="W855" s="15" t="n">
        <x:v>0</x:v>
      </x:c>
      <x:c r="X855" s="15" t="n">
        <x:v>0</x:v>
      </x:c>
      <x:c r="Y855" s="15" t="n">
        <x:v>560</x:v>
      </x:c>
      <x:c r="Z855" s="15" t="n">
        <x:v>0.112104</x:v>
      </x:c>
      <x:c r="AA855" s="15" t="n">
        <x:v>0.004096</x:v>
      </x:c>
      <x:c r="AB855" s="15" t="n">
        <x:f>SUM(G855:AA855)</x:f>
        <x:v>560.1162</x:v>
      </x:c>
    </x:row>
    <x:row r="856" ht="36" customHeight="1">
      <x:c r="A856" s="10" t="str">
        <x:v>D-A</x:v>
      </x:c>
      <x:c r="B856" s="10" t="str">
        <x:v>DELIVERY</x:v>
      </x:c>
      <x:c r="C856" s="10" t="str">
        <x:v>DELIVERY:S01-06</x:v>
      </x:c>
      <x:c r="D856" s="10" t="str">
        <x:v>DELIVERY:M226</x:v>
      </x:c>
      <x:c r="E856" s="15" t="n">
        <x:v>1.966166667</x:v>
      </x:c>
      <x:c r="F856" s="15" t="str">
        <x:v>scored</x:v>
      </x:c>
      <x:c r="G856" s="15" t="n">
        <x:v>0</x:v>
      </x:c>
      <x:c r="H856" s="15" t="n">
        <x:v>0</x:v>
      </x:c>
      <x:c r="I856" s="15" t="n">
        <x:v>0</x:v>
      </x:c>
      <x:c r="J856" s="15" t="n">
        <x:v>0</x:v>
      </x:c>
      <x:c r="K856" s="15" t="n">
        <x:v>0</x:v>
      </x:c>
      <x:c r="L856" s="15" t="n">
        <x:v>0</x:v>
      </x:c>
      <x:c r="M856" s="15" t="n">
        <x:v>0</x:v>
      </x:c>
      <x:c r="N856" s="15" t="n">
        <x:v>0</x:v>
      </x:c>
      <x:c r="O856" s="15" t="n">
        <x:v>0</x:v>
      </x:c>
      <x:c r="P856" s="15" t="n">
        <x:v>0</x:v>
      </x:c>
      <x:c r="Q856" s="15" t="n">
        <x:v>0</x:v>
      </x:c>
      <x:c r="R856" s="15" t="n">
        <x:v>0</x:v>
      </x:c>
      <x:c r="S856" s="15" t="n">
        <x:v>0</x:v>
      </x:c>
      <x:c r="T856" s="15" t="n">
        <x:v>0</x:v>
      </x:c>
      <x:c r="U856" s="15" t="n">
        <x:v>0</x:v>
      </x:c>
      <x:c r="V856" s="15" t="n">
        <x:v>0</x:v>
      </x:c>
      <x:c r="W856" s="15" t="n">
        <x:v>0</x:v>
      </x:c>
      <x:c r="X856" s="15" t="n">
        <x:v>0</x:v>
      </x:c>
      <x:c r="Y856" s="15" t="n">
        <x:v>560</x:v>
      </x:c>
      <x:c r="Z856" s="15" t="n">
        <x:v>0.112536</x:v>
      </x:c>
      <x:c r="AA856" s="15" t="n">
        <x:v>0.004096</x:v>
      </x:c>
      <x:c r="AB856" s="15" t="n">
        <x:f>SUM(G856:AA856)</x:f>
        <x:v>560.116632</x:v>
      </x:c>
    </x:row>
    <x:row r="857" ht="36" customHeight="1">
      <x:c r="A857" s="10" t="str">
        <x:v>D-B</x:v>
      </x:c>
      <x:c r="B857" s="10" t="str">
        <x:v>DELIVERY</x:v>
      </x:c>
      <x:c r="C857" s="10" t="str">
        <x:v>DELIVERY:S01-06</x:v>
      </x:c>
      <x:c r="D857" s="10" t="str">
        <x:v>DELIVERY:M247</x:v>
      </x:c>
      <x:c r="E857" s="15" t="n">
        <x:v>1.966166667</x:v>
      </x:c>
      <x:c r="F857" s="15" t="str">
        <x:v>scored</x:v>
      </x:c>
      <x:c r="G857" s="15" t="n">
        <x:v>0</x:v>
      </x:c>
      <x:c r="H857" s="15" t="n">
        <x:v>0</x:v>
      </x:c>
      <x:c r="I857" s="15" t="n">
        <x:v>0</x:v>
      </x:c>
      <x:c r="J857" s="15" t="n">
        <x:v>0</x:v>
      </x:c>
      <x:c r="K857" s="15" t="n">
        <x:v>0</x:v>
      </x:c>
      <x:c r="L857" s="15" t="n">
        <x:v>0</x:v>
      </x:c>
      <x:c r="M857" s="15" t="n">
        <x:v>0</x:v>
      </x:c>
      <x:c r="N857" s="15" t="n">
        <x:v>0</x:v>
      </x:c>
      <x:c r="O857" s="15" t="n">
        <x:v>0</x:v>
      </x:c>
      <x:c r="P857" s="15" t="n">
        <x:v>0</x:v>
      </x:c>
      <x:c r="Q857" s="15" t="n">
        <x:v>0</x:v>
      </x:c>
      <x:c r="R857" s="15" t="n">
        <x:v>0</x:v>
      </x:c>
      <x:c r="S857" s="15" t="n">
        <x:v>0</x:v>
      </x:c>
      <x:c r="T857" s="15" t="n">
        <x:v>0</x:v>
      </x:c>
      <x:c r="U857" s="15" t="n">
        <x:v>0</x:v>
      </x:c>
      <x:c r="V857" s="15" t="n">
        <x:v>0</x:v>
      </x:c>
      <x:c r="W857" s="15" t="n">
        <x:v>0</x:v>
      </x:c>
      <x:c r="X857" s="15" t="n">
        <x:v>0</x:v>
      </x:c>
      <x:c r="Y857" s="15" t="n">
        <x:v>560</x:v>
      </x:c>
      <x:c r="Z857" s="15" t="n">
        <x:v>0.112536</x:v>
      </x:c>
      <x:c r="AA857" s="15" t="n">
        <x:v>0.004096</x:v>
      </x:c>
      <x:c r="AB857" s="15" t="n">
        <x:f>SUM(G857:AA857)</x:f>
        <x:v>560.116632</x:v>
      </x:c>
    </x:row>
    <x:row r="858" ht="36" customHeight="1">
      <x:c r="A858" s="10" t="str">
        <x:v>D-A</x:v>
      </x:c>
      <x:c r="B858" s="10" t="str">
        <x:v>DELIVERY</x:v>
      </x:c>
      <x:c r="C858" s="10" t="str">
        <x:v>DELIVERY:S01-07</x:v>
      </x:c>
      <x:c r="D858" s="10" t="str">
        <x:v>DELIVERY:M268</x:v>
      </x:c>
      <x:c r="E858" s="15" t="n">
        <x:v>1.9975</x:v>
      </x:c>
      <x:c r="F858" s="15" t="str">
        <x:v>scored</x:v>
      </x:c>
      <x:c r="G858" s="15" t="n">
        <x:v>0</x:v>
      </x:c>
      <x:c r="H858" s="15" t="n">
        <x:v>0</x:v>
      </x:c>
      <x:c r="I858" s="15" t="n">
        <x:v>0</x:v>
      </x:c>
      <x:c r="J858" s="15" t="n">
        <x:v>0</x:v>
      </x:c>
      <x:c r="K858" s="15" t="n">
        <x:v>0</x:v>
      </x:c>
      <x:c r="L858" s="15" t="n">
        <x:v>0</x:v>
      </x:c>
      <x:c r="M858" s="15" t="n">
        <x:v>0</x:v>
      </x:c>
      <x:c r="N858" s="15" t="n">
        <x:v>0</x:v>
      </x:c>
      <x:c r="O858" s="15" t="n">
        <x:v>0</x:v>
      </x:c>
      <x:c r="P858" s="15" t="n">
        <x:v>0</x:v>
      </x:c>
      <x:c r="Q858" s="15" t="n">
        <x:v>0</x:v>
      </x:c>
      <x:c r="R858" s="15" t="n">
        <x:v>0</x:v>
      </x:c>
      <x:c r="S858" s="15" t="n">
        <x:v>0</x:v>
      </x:c>
      <x:c r="T858" s="15" t="n">
        <x:v>0</x:v>
      </x:c>
      <x:c r="U858" s="15" t="n">
        <x:v>0</x:v>
      </x:c>
      <x:c r="V858" s="15" t="n">
        <x:v>0</x:v>
      </x:c>
      <x:c r="W858" s="15" t="n">
        <x:v>0</x:v>
      </x:c>
      <x:c r="X858" s="15" t="n">
        <x:v>0</x:v>
      </x:c>
      <x:c r="Y858" s="15" t="n">
        <x:v>560</x:v>
      </x:c>
      <x:c r="Z858" s="15" t="n">
        <x:v>0.112968</x:v>
      </x:c>
      <x:c r="AA858" s="15" t="n">
        <x:v>0.004096</x:v>
      </x:c>
      <x:c r="AB858" s="15" t="n">
        <x:f>SUM(G858:AA858)</x:f>
        <x:v>560.117064</x:v>
      </x:c>
    </x:row>
    <x:row r="859" ht="36" customHeight="1">
      <x:c r="A859" s="10" t="str">
        <x:v>D-B</x:v>
      </x:c>
      <x:c r="B859" s="10" t="str">
        <x:v>DELIVERY</x:v>
      </x:c>
      <x:c r="C859" s="10" t="str">
        <x:v>DELIVERY:S01-07</x:v>
      </x:c>
      <x:c r="D859" s="10" t="str">
        <x:v>DELIVERY:M289</x:v>
      </x:c>
      <x:c r="E859" s="15" t="n">
        <x:v>1.9975</x:v>
      </x:c>
      <x:c r="F859" s="15" t="str">
        <x:v>scored</x:v>
      </x:c>
      <x:c r="G859" s="15" t="n">
        <x:v>0</x:v>
      </x:c>
      <x:c r="H859" s="15" t="n">
        <x:v>0</x:v>
      </x:c>
      <x:c r="I859" s="15" t="n">
        <x:v>0</x:v>
      </x:c>
      <x:c r="J859" s="15" t="n">
        <x:v>0</x:v>
      </x:c>
      <x:c r="K859" s="15" t="n">
        <x:v>0</x:v>
      </x:c>
      <x:c r="L859" s="15" t="n">
        <x:v>0</x:v>
      </x:c>
      <x:c r="M859" s="15" t="n">
        <x:v>0</x:v>
      </x:c>
      <x:c r="N859" s="15" t="n">
        <x:v>0</x:v>
      </x:c>
      <x:c r="O859" s="15" t="n">
        <x:v>0</x:v>
      </x:c>
      <x:c r="P859" s="15" t="n">
        <x:v>0</x:v>
      </x:c>
      <x:c r="Q859" s="15" t="n">
        <x:v>0</x:v>
      </x:c>
      <x:c r="R859" s="15" t="n">
        <x:v>0</x:v>
      </x:c>
      <x:c r="S859" s="15" t="n">
        <x:v>0</x:v>
      </x:c>
      <x:c r="T859" s="15" t="n">
        <x:v>0</x:v>
      </x:c>
      <x:c r="U859" s="15" t="n">
        <x:v>0</x:v>
      </x:c>
      <x:c r="V859" s="15" t="n">
        <x:v>0</x:v>
      </x:c>
      <x:c r="W859" s="15" t="n">
        <x:v>0</x:v>
      </x:c>
      <x:c r="X859" s="15" t="n">
        <x:v>0</x:v>
      </x:c>
      <x:c r="Y859" s="15" t="n">
        <x:v>560</x:v>
      </x:c>
      <x:c r="Z859" s="15" t="n">
        <x:v>0.112968</x:v>
      </x:c>
      <x:c r="AA859" s="15" t="n">
        <x:v>0.004096</x:v>
      </x:c>
      <x:c r="AB859" s="15" t="n">
        <x:f>SUM(G859:AA859)</x:f>
        <x:v>560.117064</x:v>
      </x:c>
    </x:row>
    <x:row r="860" ht="36" customHeight="1">
      <x:c r="A860" s="10" t="str">
        <x:v>D-A</x:v>
      </x:c>
      <x:c r="B860" s="10" t="str">
        <x:v>DELIVERY</x:v>
      </x:c>
      <x:c r="C860" s="10" t="str">
        <x:v>DELIVERY:S01-08</x:v>
      </x:c>
      <x:c r="D860" s="10" t="str">
        <x:v>DELIVERY:M310</x:v>
      </x:c>
      <x:c r="E860" s="15" t="n">
        <x:v>2.028833334</x:v>
      </x:c>
      <x:c r="F860" s="15" t="str">
        <x:v>scored</x:v>
      </x:c>
      <x:c r="G860" s="15" t="n">
        <x:v>0</x:v>
      </x:c>
      <x:c r="H860" s="15" t="n">
        <x:v>0</x:v>
      </x:c>
      <x:c r="I860" s="15" t="n">
        <x:v>0</x:v>
      </x:c>
      <x:c r="J860" s="15" t="n">
        <x:v>0</x:v>
      </x:c>
      <x:c r="K860" s="15" t="n">
        <x:v>0</x:v>
      </x:c>
      <x:c r="L860" s="15" t="n">
        <x:v>0</x:v>
      </x:c>
      <x:c r="M860" s="15" t="n">
        <x:v>0</x:v>
      </x:c>
      <x:c r="N860" s="15" t="n">
        <x:v>0</x:v>
      </x:c>
      <x:c r="O860" s="15" t="n">
        <x:v>0</x:v>
      </x:c>
      <x:c r="P860" s="15" t="n">
        <x:v>0</x:v>
      </x:c>
      <x:c r="Q860" s="15" t="n">
        <x:v>0</x:v>
      </x:c>
      <x:c r="R860" s="15" t="n">
        <x:v>0</x:v>
      </x:c>
      <x:c r="S860" s="15" t="n">
        <x:v>0</x:v>
      </x:c>
      <x:c r="T860" s="15" t="n">
        <x:v>0</x:v>
      </x:c>
      <x:c r="U860" s="15" t="n">
        <x:v>0</x:v>
      </x:c>
      <x:c r="V860" s="15" t="n">
        <x:v>0</x:v>
      </x:c>
      <x:c r="W860" s="15" t="n">
        <x:v>0</x:v>
      </x:c>
      <x:c r="X860" s="15" t="n">
        <x:v>0</x:v>
      </x:c>
      <x:c r="Y860" s="15" t="n">
        <x:v>560</x:v>
      </x:c>
      <x:c r="Z860" s="15" t="n">
        <x:v>0.1134</x:v>
      </x:c>
      <x:c r="AA860" s="15" t="n">
        <x:v>0.004096</x:v>
      </x:c>
      <x:c r="AB860" s="15" t="n">
        <x:f>SUM(G860:AA860)</x:f>
        <x:v>560.117496</x:v>
      </x:c>
    </x:row>
    <x:row r="861" ht="36" customHeight="1">
      <x:c r="A861" s="10" t="str">
        <x:v>D-B</x:v>
      </x:c>
      <x:c r="B861" s="10" t="str">
        <x:v>DELIVERY</x:v>
      </x:c>
      <x:c r="C861" s="10" t="str">
        <x:v>DELIVERY:S01-08</x:v>
      </x:c>
      <x:c r="D861" s="10" t="str">
        <x:v>DELIVERY:M331</x:v>
      </x:c>
      <x:c r="E861" s="15" t="n">
        <x:v>2.028833334</x:v>
      </x:c>
      <x:c r="F861" s="15" t="str">
        <x:v>scored</x:v>
      </x:c>
      <x:c r="G861" s="15" t="n">
        <x:v>0</x:v>
      </x:c>
      <x:c r="H861" s="15" t="n">
        <x:v>0</x:v>
      </x:c>
      <x:c r="I861" s="15" t="n">
        <x:v>0</x:v>
      </x:c>
      <x:c r="J861" s="15" t="n">
        <x:v>0</x:v>
      </x:c>
      <x:c r="K861" s="15" t="n">
        <x:v>0</x:v>
      </x:c>
      <x:c r="L861" s="15" t="n">
        <x:v>0</x:v>
      </x:c>
      <x:c r="M861" s="15" t="n">
        <x:v>0</x:v>
      </x:c>
      <x:c r="N861" s="15" t="n">
        <x:v>0</x:v>
      </x:c>
      <x:c r="O861" s="15" t="n">
        <x:v>0</x:v>
      </x:c>
      <x:c r="P861" s="15" t="n">
        <x:v>0</x:v>
      </x:c>
      <x:c r="Q861" s="15" t="n">
        <x:v>0</x:v>
      </x:c>
      <x:c r="R861" s="15" t="n">
        <x:v>0</x:v>
      </x:c>
      <x:c r="S861" s="15" t="n">
        <x:v>0</x:v>
      </x:c>
      <x:c r="T861" s="15" t="n">
        <x:v>0</x:v>
      </x:c>
      <x:c r="U861" s="15" t="n">
        <x:v>0</x:v>
      </x:c>
      <x:c r="V861" s="15" t="n">
        <x:v>0</x:v>
      </x:c>
      <x:c r="W861" s="15" t="n">
        <x:v>0</x:v>
      </x:c>
      <x:c r="X861" s="15" t="n">
        <x:v>0</x:v>
      </x:c>
      <x:c r="Y861" s="15" t="n">
        <x:v>560</x:v>
      </x:c>
      <x:c r="Z861" s="15" t="n">
        <x:v>0.1134</x:v>
      </x:c>
      <x:c r="AA861" s="15" t="n">
        <x:v>0.004096</x:v>
      </x:c>
      <x:c r="AB861" s="15" t="n">
        <x:f>SUM(G861:AA861)</x:f>
        <x:v>560.117496</x:v>
      </x:c>
    </x:row>
    <x:row r="862" ht="36" customHeight="1">
      <x:c r="A862" s="10" t="str">
        <x:v>D-A</x:v>
      </x:c>
      <x:c r="B862" s="10" t="str">
        <x:v>DELIVERY</x:v>
      </x:c>
      <x:c r="C862" s="10" t="str">
        <x:v>DELIVERY:S01-09</x:v>
      </x:c>
      <x:c r="D862" s="10" t="str">
        <x:v>DELIVERY:M352</x:v>
      </x:c>
      <x:c r="E862" s="15" t="n">
        <x:v>1.985166667</x:v>
      </x:c>
      <x:c r="F862" s="15" t="str">
        <x:v>scored</x:v>
      </x:c>
      <x:c r="G862" s="15" t="n">
        <x:v>0</x:v>
      </x:c>
      <x:c r="H862" s="15" t="n">
        <x:v>0</x:v>
      </x:c>
      <x:c r="I862" s="15" t="n">
        <x:v>0</x:v>
      </x:c>
      <x:c r="J862" s="15" t="n">
        <x:v>0</x:v>
      </x:c>
      <x:c r="K862" s="15" t="n">
        <x:v>0</x:v>
      </x:c>
      <x:c r="L862" s="15" t="n">
        <x:v>0</x:v>
      </x:c>
      <x:c r="M862" s="15" t="n">
        <x:v>0</x:v>
      </x:c>
      <x:c r="N862" s="15" t="n">
        <x:v>0</x:v>
      </x:c>
      <x:c r="O862" s="15" t="n">
        <x:v>0</x:v>
      </x:c>
      <x:c r="P862" s="15" t="n">
        <x:v>0</x:v>
      </x:c>
      <x:c r="Q862" s="15" t="n">
        <x:v>0</x:v>
      </x:c>
      <x:c r="R862" s="15" t="n">
        <x:v>0</x:v>
      </x:c>
      <x:c r="S862" s="15" t="n">
        <x:v>0</x:v>
      </x:c>
      <x:c r="T862" s="15" t="n">
        <x:v>0</x:v>
      </x:c>
      <x:c r="U862" s="15" t="n">
        <x:v>0</x:v>
      </x:c>
      <x:c r="V862" s="15" t="n">
        <x:v>0</x:v>
      </x:c>
      <x:c r="W862" s="15" t="n">
        <x:v>0</x:v>
      </x:c>
      <x:c r="X862" s="15" t="n">
        <x:v>0</x:v>
      </x:c>
      <x:c r="Y862" s="15" t="n">
        <x:v>560</x:v>
      </x:c>
      <x:c r="Z862" s="15" t="n">
        <x:v>0.113832</x:v>
      </x:c>
      <x:c r="AA862" s="15" t="n">
        <x:v>0.004096</x:v>
      </x:c>
      <x:c r="AB862" s="15" t="n">
        <x:f>SUM(G862:AA862)</x:f>
        <x:v>560.117928</x:v>
      </x:c>
    </x:row>
    <x:row r="863" ht="36" customHeight="1">
      <x:c r="A863" s="10" t="str">
        <x:v>D-B</x:v>
      </x:c>
      <x:c r="B863" s="10" t="str">
        <x:v>DELIVERY</x:v>
      </x:c>
      <x:c r="C863" s="10" t="str">
        <x:v>DELIVERY:S01-09</x:v>
      </x:c>
      <x:c r="D863" s="10" t="str">
        <x:v>DELIVERY:M373</x:v>
      </x:c>
      <x:c r="E863" s="15" t="n">
        <x:v>1.985166667</x:v>
      </x:c>
      <x:c r="F863" s="15" t="str">
        <x:v>scored</x:v>
      </x:c>
      <x:c r="G863" s="15" t="n">
        <x:v>0</x:v>
      </x:c>
      <x:c r="H863" s="15" t="n">
        <x:v>0</x:v>
      </x:c>
      <x:c r="I863" s="15" t="n">
        <x:v>0</x:v>
      </x:c>
      <x:c r="J863" s="15" t="n">
        <x:v>0</x:v>
      </x:c>
      <x:c r="K863" s="15" t="n">
        <x:v>0</x:v>
      </x:c>
      <x:c r="L863" s="15" t="n">
        <x:v>0</x:v>
      </x:c>
      <x:c r="M863" s="15" t="n">
        <x:v>0</x:v>
      </x:c>
      <x:c r="N863" s="15" t="n">
        <x:v>0</x:v>
      </x:c>
      <x:c r="O863" s="15" t="n">
        <x:v>0</x:v>
      </x:c>
      <x:c r="P863" s="15" t="n">
        <x:v>0</x:v>
      </x:c>
      <x:c r="Q863" s="15" t="n">
        <x:v>0</x:v>
      </x:c>
      <x:c r="R863" s="15" t="n">
        <x:v>0</x:v>
      </x:c>
      <x:c r="S863" s="15" t="n">
        <x:v>0</x:v>
      </x:c>
      <x:c r="T863" s="15" t="n">
        <x:v>0</x:v>
      </x:c>
      <x:c r="U863" s="15" t="n">
        <x:v>0</x:v>
      </x:c>
      <x:c r="V863" s="15" t="n">
        <x:v>0</x:v>
      </x:c>
      <x:c r="W863" s="15" t="n">
        <x:v>0</x:v>
      </x:c>
      <x:c r="X863" s="15" t="n">
        <x:v>0</x:v>
      </x:c>
      <x:c r="Y863" s="15" t="n">
        <x:v>560</x:v>
      </x:c>
      <x:c r="Z863" s="15" t="n">
        <x:v>0.113832</x:v>
      </x:c>
      <x:c r="AA863" s="15" t="n">
        <x:v>0.004096</x:v>
      </x:c>
      <x:c r="AB863" s="15" t="n">
        <x:f>SUM(G863:AA863)</x:f>
        <x:v>560.117928</x:v>
      </x:c>
    </x:row>
    <x:row r="864" ht="36" customHeight="1">
      <x:c r="A864" s="10" t="str">
        <x:v>D-A</x:v>
      </x:c>
      <x:c r="B864" s="10" t="str">
        <x:v>DELIVERY</x:v>
      </x:c>
      <x:c r="C864" s="10" t="str">
        <x:v>DELIVERY:S01-10</x:v>
      </x:c>
      <x:c r="D864" s="10" t="str">
        <x:v>DELIVERY:M394</x:v>
      </x:c>
      <x:c r="E864" s="15" t="n">
        <x:v>2.0165</x:v>
      </x:c>
      <x:c r="F864" s="15" t="str">
        <x:v>scored</x:v>
      </x:c>
      <x:c r="G864" s="15" t="n">
        <x:v>0</x:v>
      </x:c>
      <x:c r="H864" s="15" t="n">
        <x:v>0</x:v>
      </x:c>
      <x:c r="I864" s="15" t="n">
        <x:v>0</x:v>
      </x:c>
      <x:c r="J864" s="15" t="n">
        <x:v>0</x:v>
      </x:c>
      <x:c r="K864" s="15" t="n">
        <x:v>0</x:v>
      </x:c>
      <x:c r="L864" s="15" t="n">
        <x:v>0</x:v>
      </x:c>
      <x:c r="M864" s="15" t="n">
        <x:v>0</x:v>
      </x:c>
      <x:c r="N864" s="15" t="n">
        <x:v>0</x:v>
      </x:c>
      <x:c r="O864" s="15" t="n">
        <x:v>0</x:v>
      </x:c>
      <x:c r="P864" s="15" t="n">
        <x:v>0</x:v>
      </x:c>
      <x:c r="Q864" s="15" t="n">
        <x:v>0</x:v>
      </x:c>
      <x:c r="R864" s="15" t="n">
        <x:v>0</x:v>
      </x:c>
      <x:c r="S864" s="15" t="n">
        <x:v>0</x:v>
      </x:c>
      <x:c r="T864" s="15" t="n">
        <x:v>0</x:v>
      </x:c>
      <x:c r="U864" s="15" t="n">
        <x:v>0</x:v>
      </x:c>
      <x:c r="V864" s="15" t="n">
        <x:v>0</x:v>
      </x:c>
      <x:c r="W864" s="15" t="n">
        <x:v>0</x:v>
      </x:c>
      <x:c r="X864" s="15" t="n">
        <x:v>0</x:v>
      </x:c>
      <x:c r="Y864" s="15" t="n">
        <x:v>560</x:v>
      </x:c>
      <x:c r="Z864" s="15" t="n">
        <x:v>0.114264</x:v>
      </x:c>
      <x:c r="AA864" s="15" t="n">
        <x:v>0.004096</x:v>
      </x:c>
      <x:c r="AB864" s="15" t="n">
        <x:f>SUM(G864:AA864)</x:f>
        <x:v>560.11836</x:v>
      </x:c>
    </x:row>
    <x:row r="865" ht="36" customHeight="1">
      <x:c r="A865" s="10" t="str">
        <x:v>D-B</x:v>
      </x:c>
      <x:c r="B865" s="10" t="str">
        <x:v>DELIVERY</x:v>
      </x:c>
      <x:c r="C865" s="10" t="str">
        <x:v>DELIVERY:S01-10</x:v>
      </x:c>
      <x:c r="D865" s="10" t="str">
        <x:v>DELIVERY:M415</x:v>
      </x:c>
      <x:c r="E865" s="15" t="n">
        <x:v>2.0165</x:v>
      </x:c>
      <x:c r="F865" s="15" t="str">
        <x:v>scored</x:v>
      </x:c>
      <x:c r="G865" s="15" t="n">
        <x:v>0</x:v>
      </x:c>
      <x:c r="H865" s="15" t="n">
        <x:v>0</x:v>
      </x:c>
      <x:c r="I865" s="15" t="n">
        <x:v>0</x:v>
      </x:c>
      <x:c r="J865" s="15" t="n">
        <x:v>0</x:v>
      </x:c>
      <x:c r="K865" s="15" t="n">
        <x:v>0</x:v>
      </x:c>
      <x:c r="L865" s="15" t="n">
        <x:v>0</x:v>
      </x:c>
      <x:c r="M865" s="15" t="n">
        <x:v>0</x:v>
      </x:c>
      <x:c r="N865" s="15" t="n">
        <x:v>0</x:v>
      </x:c>
      <x:c r="O865" s="15" t="n">
        <x:v>0</x:v>
      </x:c>
      <x:c r="P865" s="15" t="n">
        <x:v>0</x:v>
      </x:c>
      <x:c r="Q865" s="15" t="n">
        <x:v>0</x:v>
      </x:c>
      <x:c r="R865" s="15" t="n">
        <x:v>0</x:v>
      </x:c>
      <x:c r="S865" s="15" t="n">
        <x:v>0</x:v>
      </x:c>
      <x:c r="T865" s="15" t="n">
        <x:v>0</x:v>
      </x:c>
      <x:c r="U865" s="15" t="n">
        <x:v>0</x:v>
      </x:c>
      <x:c r="V865" s="15" t="n">
        <x:v>0</x:v>
      </x:c>
      <x:c r="W865" s="15" t="n">
        <x:v>0</x:v>
      </x:c>
      <x:c r="X865" s="15" t="n">
        <x:v>0</x:v>
      </x:c>
      <x:c r="Y865" s="15" t="n">
        <x:v>560</x:v>
      </x:c>
      <x:c r="Z865" s="15" t="n">
        <x:v>0.114264</x:v>
      </x:c>
      <x:c r="AA865" s="15" t="n">
        <x:v>0.004096</x:v>
      </x:c>
      <x:c r="AB865" s="15" t="n">
        <x:f>SUM(G865:AA865)</x:f>
        <x:v>560.11836</x:v>
      </x:c>
    </x:row>
    <x:row r="866" ht="36" customHeight="1">
      <x:c r="A866" s="10" t="str">
        <x:v>D-A</x:v>
      </x:c>
      <x:c r="B866" s="10" t="str">
        <x:v>DELIVERY</x:v>
      </x:c>
      <x:c r="C866" s="10" t="str">
        <x:v>DELIVERY:S02-01</x:v>
      </x:c>
      <x:c r="D866" s="10" t="str">
        <x:v>DELIVERY:M430</x:v>
      </x:c>
      <x:c r="E866" s="15" t="n">
        <x:v>-0.3625</x:v>
      </x:c>
      <x:c r="F866" s="15" t="str">
        <x:v>preparation</x:v>
      </x:c>
      <x:c r="G866" s="15" t="n">
        <x:v>0</x:v>
      </x:c>
      <x:c r="H866" s="15" t="n">
        <x:v>0</x:v>
      </x:c>
      <x:c r="I866" s="15" t="n">
        <x:v>0</x:v>
      </x:c>
      <x:c r="J866" s="15" t="n">
        <x:v>0</x:v>
      </x:c>
      <x:c r="K866" s="15" t="n">
        <x:v>0</x:v>
      </x:c>
      <x:c r="L866" s="15" t="n">
        <x:v>0</x:v>
      </x:c>
      <x:c r="M866" s="15" t="n">
        <x:v>0</x:v>
      </x:c>
      <x:c r="N866" s="15" t="n">
        <x:v>0</x:v>
      </x:c>
      <x:c r="O866" s="15" t="n">
        <x:v>0</x:v>
      </x:c>
      <x:c r="P866" s="15" t="n">
        <x:v>0</x:v>
      </x:c>
      <x:c r="Q866" s="15" t="n">
        <x:v>0</x:v>
      </x:c>
      <x:c r="R866" s="15" t="n">
        <x:v>0</x:v>
      </x:c>
      <x:c r="S866" s="15" t="n">
        <x:v>0</x:v>
      </x:c>
      <x:c r="T866" s="15" t="n">
        <x:v>0</x:v>
      </x:c>
      <x:c r="U866" s="15" t="n">
        <x:v>0</x:v>
      </x:c>
      <x:c r="V866" s="15" t="n">
        <x:v>0</x:v>
      </x:c>
      <x:c r="W866" s="15" t="n">
        <x:v>0</x:v>
      </x:c>
      <x:c r="X866" s="15" t="n">
        <x:v>0</x:v>
      </x:c>
      <x:c r="Y866" s="15" t="n">
        <x:v>560</x:v>
      </x:c>
      <x:c r="Z866" s="15" t="n">
        <x:v>0.131808</x:v>
      </x:c>
      <x:c r="AA866" s="15" t="n">
        <x:v>0.004096</x:v>
      </x:c>
      <x:c r="AB866" s="15" t="n">
        <x:f>SUM(G866:AA866)</x:f>
        <x:v>560.135904</x:v>
      </x:c>
    </x:row>
    <x:row r="867" ht="36" customHeight="1">
      <x:c r="A867" s="10" t="str">
        <x:v>D-B</x:v>
      </x:c>
      <x:c r="B867" s="10" t="str">
        <x:v>DELIVERY</x:v>
      </x:c>
      <x:c r="C867" s="10" t="str">
        <x:v>DELIVERY:S02-01</x:v>
      </x:c>
      <x:c r="D867" s="10" t="str">
        <x:v>DELIVERY:M460</x:v>
      </x:c>
      <x:c r="E867" s="15" t="n">
        <x:v>1.905833333</x:v>
      </x:c>
      <x:c r="F867" s="15" t="str">
        <x:v>scored</x:v>
      </x:c>
      <x:c r="G867" s="15" t="n">
        <x:v>0</x:v>
      </x:c>
      <x:c r="H867" s="15" t="n">
        <x:v>0</x:v>
      </x:c>
      <x:c r="I867" s="15" t="n">
        <x:v>0</x:v>
      </x:c>
      <x:c r="J867" s="15" t="n">
        <x:v>0</x:v>
      </x:c>
      <x:c r="K867" s="15" t="n">
        <x:v>0</x:v>
      </x:c>
      <x:c r="L867" s="15" t="n">
        <x:v>0</x:v>
      </x:c>
      <x:c r="M867" s="15" t="n">
        <x:v>0</x:v>
      </x:c>
      <x:c r="N867" s="15" t="n">
        <x:v>0</x:v>
      </x:c>
      <x:c r="O867" s="15" t="n">
        <x:v>0</x:v>
      </x:c>
      <x:c r="P867" s="15" t="n">
        <x:v>0</x:v>
      </x:c>
      <x:c r="Q867" s="15" t="n">
        <x:v>0</x:v>
      </x:c>
      <x:c r="R867" s="15" t="n">
        <x:v>0</x:v>
      </x:c>
      <x:c r="S867" s="15" t="n">
        <x:v>0</x:v>
      </x:c>
      <x:c r="T867" s="15" t="n">
        <x:v>0</x:v>
      </x:c>
      <x:c r="U867" s="15" t="n">
        <x:v>0</x:v>
      </x:c>
      <x:c r="V867" s="15" t="n">
        <x:v>0</x:v>
      </x:c>
      <x:c r="W867" s="15" t="n">
        <x:v>0</x:v>
      </x:c>
      <x:c r="X867" s="15" t="n">
        <x:v>0</x:v>
      </x:c>
      <x:c r="Y867" s="15" t="n">
        <x:v>560</x:v>
      </x:c>
      <x:c r="Z867" s="15" t="n">
        <x:v>0.103176</x:v>
      </x:c>
      <x:c r="AA867" s="15" t="n">
        <x:v>0.004096</x:v>
      </x:c>
      <x:c r="AB867" s="15" t="n">
        <x:f>SUM(G867:AA867)</x:f>
        <x:v>560.107272</x:v>
      </x:c>
    </x:row>
    <x:row r="868" ht="36" customHeight="1">
      <x:c r="A868" s="10" t="str">
        <x:v>D-A</x:v>
      </x:c>
      <x:c r="B868" s="10" t="str">
        <x:v>DELIVERY</x:v>
      </x:c>
      <x:c r="C868" s="10" t="str">
        <x:v>DELIVERY:S02-02</x:v>
      </x:c>
      <x:c r="D868" s="10" t="str">
        <x:v>DELIVERY:M475</x:v>
      </x:c>
      <x:c r="E868" s="15" t="n">
        <x:v>-0.3595</x:v>
      </x:c>
      <x:c r="F868" s="15" t="str">
        <x:v>preparation</x:v>
      </x:c>
      <x:c r="G868" s="15" t="n">
        <x:v>0</x:v>
      </x:c>
      <x:c r="H868" s="15" t="n">
        <x:v>0</x:v>
      </x:c>
      <x:c r="I868" s="15" t="n">
        <x:v>0</x:v>
      </x:c>
      <x:c r="J868" s="15" t="n">
        <x:v>0</x:v>
      </x:c>
      <x:c r="K868" s="15" t="n">
        <x:v>0</x:v>
      </x:c>
      <x:c r="L868" s="15" t="n">
        <x:v>0</x:v>
      </x:c>
      <x:c r="M868" s="15" t="n">
        <x:v>0</x:v>
      </x:c>
      <x:c r="N868" s="15" t="n">
        <x:v>0</x:v>
      </x:c>
      <x:c r="O868" s="15" t="n">
        <x:v>0</x:v>
      </x:c>
      <x:c r="P868" s="15" t="n">
        <x:v>0</x:v>
      </x:c>
      <x:c r="Q868" s="15" t="n">
        <x:v>0</x:v>
      </x:c>
      <x:c r="R868" s="15" t="n">
        <x:v>0</x:v>
      </x:c>
      <x:c r="S868" s="15" t="n">
        <x:v>0</x:v>
      </x:c>
      <x:c r="T868" s="15" t="n">
        <x:v>0</x:v>
      </x:c>
      <x:c r="U868" s="15" t="n">
        <x:v>0</x:v>
      </x:c>
      <x:c r="V868" s="15" t="n">
        <x:v>0</x:v>
      </x:c>
      <x:c r="W868" s="15" t="n">
        <x:v>0</x:v>
      </x:c>
      <x:c r="X868" s="15" t="n">
        <x:v>0</x:v>
      </x:c>
      <x:c r="Y868" s="15" t="n">
        <x:v>560</x:v>
      </x:c>
      <x:c r="Z868" s="15" t="n">
        <x:v>0.132384</x:v>
      </x:c>
      <x:c r="AA868" s="15" t="n">
        <x:v>0.004096</x:v>
      </x:c>
      <x:c r="AB868" s="15" t="n">
        <x:f>SUM(G868:AA868)</x:f>
        <x:v>560.13648</x:v>
      </x:c>
    </x:row>
    <x:row r="869" ht="36" customHeight="1">
      <x:c r="A869" s="10" t="str">
        <x:v>D-B</x:v>
      </x:c>
      <x:c r="B869" s="10" t="str">
        <x:v>DELIVERY</x:v>
      </x:c>
      <x:c r="C869" s="10" t="str">
        <x:v>DELIVERY:S02-02</x:v>
      </x:c>
      <x:c r="D869" s="10" t="str">
        <x:v>DELIVERY:M505</x:v>
      </x:c>
      <x:c r="E869" s="15" t="n">
        <x:v>1.937166667</x:v>
      </x:c>
      <x:c r="F869" s="15" t="str">
        <x:v>scored</x:v>
      </x:c>
      <x:c r="G869" s="15" t="n">
        <x:v>0</x:v>
      </x:c>
      <x:c r="H869" s="15" t="n">
        <x:v>0</x:v>
      </x:c>
      <x:c r="I869" s="15" t="n">
        <x:v>0</x:v>
      </x:c>
      <x:c r="J869" s="15" t="n">
        <x:v>0</x:v>
      </x:c>
      <x:c r="K869" s="15" t="n">
        <x:v>0</x:v>
      </x:c>
      <x:c r="L869" s="15" t="n">
        <x:v>0</x:v>
      </x:c>
      <x:c r="M869" s="15" t="n">
        <x:v>0</x:v>
      </x:c>
      <x:c r="N869" s="15" t="n">
        <x:v>0</x:v>
      </x:c>
      <x:c r="O869" s="15" t="n">
        <x:v>0</x:v>
      </x:c>
      <x:c r="P869" s="15" t="n">
        <x:v>0</x:v>
      </x:c>
      <x:c r="Q869" s="15" t="n">
        <x:v>0</x:v>
      </x:c>
      <x:c r="R869" s="15" t="n">
        <x:v>0</x:v>
      </x:c>
      <x:c r="S869" s="15" t="n">
        <x:v>0</x:v>
      </x:c>
      <x:c r="T869" s="15" t="n">
        <x:v>0</x:v>
      </x:c>
      <x:c r="U869" s="15" t="n">
        <x:v>0</x:v>
      </x:c>
      <x:c r="V869" s="15" t="n">
        <x:v>0</x:v>
      </x:c>
      <x:c r="W869" s="15" t="n">
        <x:v>0</x:v>
      </x:c>
      <x:c r="X869" s="15" t="n">
        <x:v>0</x:v>
      </x:c>
      <x:c r="Y869" s="15" t="n">
        <x:v>560</x:v>
      </x:c>
      <x:c r="Z869" s="15" t="n">
        <x:v>0.103608</x:v>
      </x:c>
      <x:c r="AA869" s="15" t="n">
        <x:v>0.004096</x:v>
      </x:c>
      <x:c r="AB869" s="15" t="n">
        <x:f>SUM(G869:AA869)</x:f>
        <x:v>560.107704</x:v>
      </x:c>
    </x:row>
    <x:row r="870" ht="36" customHeight="1">
      <x:c r="A870" s="10" t="str">
        <x:v>D-A</x:v>
      </x:c>
      <x:c r="B870" s="10" t="str">
        <x:v>DELIVERY</x:v>
      </x:c>
      <x:c r="C870" s="10" t="str">
        <x:v>DELIVERY:S02-03</x:v>
      </x:c>
      <x:c r="D870" s="10" t="str">
        <x:v>DELIVERY:M520</x:v>
      </x:c>
      <x:c r="E870" s="15" t="n">
        <x:v>-0.3565</x:v>
      </x:c>
      <x:c r="F870" s="15" t="str">
        <x:v>preparation</x:v>
      </x:c>
      <x:c r="G870" s="15" t="n">
        <x:v>0</x:v>
      </x:c>
      <x:c r="H870" s="15" t="n">
        <x:v>0</x:v>
      </x:c>
      <x:c r="I870" s="15" t="n">
        <x:v>0</x:v>
      </x:c>
      <x:c r="J870" s="15" t="n">
        <x:v>0</x:v>
      </x:c>
      <x:c r="K870" s="15" t="n">
        <x:v>0</x:v>
      </x:c>
      <x:c r="L870" s="15" t="n">
        <x:v>0</x:v>
      </x:c>
      <x:c r="M870" s="15" t="n">
        <x:v>0</x:v>
      </x:c>
      <x:c r="N870" s="15" t="n">
        <x:v>0</x:v>
      </x:c>
      <x:c r="O870" s="15" t="n">
        <x:v>0</x:v>
      </x:c>
      <x:c r="P870" s="15" t="n">
        <x:v>0</x:v>
      </x:c>
      <x:c r="Q870" s="15" t="n">
        <x:v>0</x:v>
      </x:c>
      <x:c r="R870" s="15" t="n">
        <x:v>0</x:v>
      </x:c>
      <x:c r="S870" s="15" t="n">
        <x:v>0</x:v>
      </x:c>
      <x:c r="T870" s="15" t="n">
        <x:v>0</x:v>
      </x:c>
      <x:c r="U870" s="15" t="n">
        <x:v>0</x:v>
      </x:c>
      <x:c r="V870" s="15" t="n">
        <x:v>0</x:v>
      </x:c>
      <x:c r="W870" s="15" t="n">
        <x:v>0</x:v>
      </x:c>
      <x:c r="X870" s="15" t="n">
        <x:v>0</x:v>
      </x:c>
      <x:c r="Y870" s="15" t="n">
        <x:v>560</x:v>
      </x:c>
      <x:c r="Z870" s="15" t="n">
        <x:v>0.13296</x:v>
      </x:c>
      <x:c r="AA870" s="15" t="n">
        <x:v>0.004096</x:v>
      </x:c>
      <x:c r="AB870" s="15" t="n">
        <x:f>SUM(G870:AA870)</x:f>
        <x:v>560.137056</x:v>
      </x:c>
    </x:row>
    <x:row r="871" ht="36" customHeight="1">
      <x:c r="A871" s="10" t="str">
        <x:v>D-B</x:v>
      </x:c>
      <x:c r="B871" s="10" t="str">
        <x:v>DELIVERY</x:v>
      </x:c>
      <x:c r="C871" s="10" t="str">
        <x:v>DELIVERY:S02-03</x:v>
      </x:c>
      <x:c r="D871" s="10" t="str">
        <x:v>DELIVERY:M550</x:v>
      </x:c>
      <x:c r="E871" s="15" t="n">
        <x:v>1.8935</x:v>
      </x:c>
      <x:c r="F871" s="15" t="str">
        <x:v>scored</x:v>
      </x:c>
      <x:c r="G871" s="15" t="n">
        <x:v>0</x:v>
      </x:c>
      <x:c r="H871" s="15" t="n">
        <x:v>0</x:v>
      </x:c>
      <x:c r="I871" s="15" t="n">
        <x:v>0</x:v>
      </x:c>
      <x:c r="J871" s="15" t="n">
        <x:v>0</x:v>
      </x:c>
      <x:c r="K871" s="15" t="n">
        <x:v>0</x:v>
      </x:c>
      <x:c r="L871" s="15" t="n">
        <x:v>0</x:v>
      </x:c>
      <x:c r="M871" s="15" t="n">
        <x:v>0</x:v>
      </x:c>
      <x:c r="N871" s="15" t="n">
        <x:v>0</x:v>
      </x:c>
      <x:c r="O871" s="15" t="n">
        <x:v>0</x:v>
      </x:c>
      <x:c r="P871" s="15" t="n">
        <x:v>0</x:v>
      </x:c>
      <x:c r="Q871" s="15" t="n">
        <x:v>0</x:v>
      </x:c>
      <x:c r="R871" s="15" t="n">
        <x:v>0</x:v>
      </x:c>
      <x:c r="S871" s="15" t="n">
        <x:v>0</x:v>
      </x:c>
      <x:c r="T871" s="15" t="n">
        <x:v>0</x:v>
      </x:c>
      <x:c r="U871" s="15" t="n">
        <x:v>0</x:v>
      </x:c>
      <x:c r="V871" s="15" t="n">
        <x:v>0</x:v>
      </x:c>
      <x:c r="W871" s="15" t="n">
        <x:v>0</x:v>
      </x:c>
      <x:c r="X871" s="15" t="n">
        <x:v>0</x:v>
      </x:c>
      <x:c r="Y871" s="15" t="n">
        <x:v>560</x:v>
      </x:c>
      <x:c r="Z871" s="15" t="n">
        <x:v>0.10404</x:v>
      </x:c>
      <x:c r="AA871" s="15" t="n">
        <x:v>0.004096</x:v>
      </x:c>
      <x:c r="AB871" s="15" t="n">
        <x:f>SUM(G871:AA871)</x:f>
        <x:v>560.1081360000001</x:v>
      </x:c>
    </x:row>
    <x:row r="872" ht="36" customHeight="1">
      <x:c r="A872" s="10" t="str">
        <x:v>D-A</x:v>
      </x:c>
      <x:c r="B872" s="10" t="str">
        <x:v>DELIVERY</x:v>
      </x:c>
      <x:c r="C872" s="10" t="str">
        <x:v>DELIVERY:S02-04</x:v>
      </x:c>
      <x:c r="D872" s="10" t="str">
        <x:v>DELIVERY:M565</x:v>
      </x:c>
      <x:c r="E872" s="15" t="n">
        <x:v>-0.3535</x:v>
      </x:c>
      <x:c r="F872" s="15" t="str">
        <x:v>preparation</x:v>
      </x:c>
      <x:c r="G872" s="15" t="n">
        <x:v>0</x:v>
      </x:c>
      <x:c r="H872" s="15" t="n">
        <x:v>0</x:v>
      </x:c>
      <x:c r="I872" s="15" t="n">
        <x:v>0</x:v>
      </x:c>
      <x:c r="J872" s="15" t="n">
        <x:v>0</x:v>
      </x:c>
      <x:c r="K872" s="15" t="n">
        <x:v>0</x:v>
      </x:c>
      <x:c r="L872" s="15" t="n">
        <x:v>0</x:v>
      </x:c>
      <x:c r="M872" s="15" t="n">
        <x:v>0</x:v>
      </x:c>
      <x:c r="N872" s="15" t="n">
        <x:v>0</x:v>
      </x:c>
      <x:c r="O872" s="15" t="n">
        <x:v>0</x:v>
      </x:c>
      <x:c r="P872" s="15" t="n">
        <x:v>0</x:v>
      </x:c>
      <x:c r="Q872" s="15" t="n">
        <x:v>0</x:v>
      </x:c>
      <x:c r="R872" s="15" t="n">
        <x:v>0</x:v>
      </x:c>
      <x:c r="S872" s="15" t="n">
        <x:v>0</x:v>
      </x:c>
      <x:c r="T872" s="15" t="n">
        <x:v>0</x:v>
      </x:c>
      <x:c r="U872" s="15" t="n">
        <x:v>0</x:v>
      </x:c>
      <x:c r="V872" s="15" t="n">
        <x:v>0</x:v>
      </x:c>
      <x:c r="W872" s="15" t="n">
        <x:v>0</x:v>
      </x:c>
      <x:c r="X872" s="15" t="n">
        <x:v>0</x:v>
      </x:c>
      <x:c r="Y872" s="15" t="n">
        <x:v>560</x:v>
      </x:c>
      <x:c r="Z872" s="15" t="n">
        <x:v>0.133536</x:v>
      </x:c>
      <x:c r="AA872" s="15" t="n">
        <x:v>0.004096</x:v>
      </x:c>
      <x:c r="AB872" s="15" t="n">
        <x:f>SUM(G872:AA872)</x:f>
        <x:v>560.137632</x:v>
      </x:c>
    </x:row>
    <x:row r="873" ht="36" customHeight="1">
      <x:c r="A873" s="10" t="str">
        <x:v>D-B</x:v>
      </x:c>
      <x:c r="B873" s="10" t="str">
        <x:v>DELIVERY</x:v>
      </x:c>
      <x:c r="C873" s="10" t="str">
        <x:v>DELIVERY:S02-04</x:v>
      </x:c>
      <x:c r="D873" s="10" t="str">
        <x:v>DELIVERY:M595</x:v>
      </x:c>
      <x:c r="E873" s="15" t="n">
        <x:v>1.924833333</x:v>
      </x:c>
      <x:c r="F873" s="15" t="str">
        <x:v>scored</x:v>
      </x:c>
      <x:c r="G873" s="15" t="n">
        <x:v>0</x:v>
      </x:c>
      <x:c r="H873" s="15" t="n">
        <x:v>0</x:v>
      </x:c>
      <x:c r="I873" s="15" t="n">
        <x:v>0</x:v>
      </x:c>
      <x:c r="J873" s="15" t="n">
        <x:v>0</x:v>
      </x:c>
      <x:c r="K873" s="15" t="n">
        <x:v>0</x:v>
      </x:c>
      <x:c r="L873" s="15" t="n">
        <x:v>0</x:v>
      </x:c>
      <x:c r="M873" s="15" t="n">
        <x:v>0</x:v>
      </x:c>
      <x:c r="N873" s="15" t="n">
        <x:v>0</x:v>
      </x:c>
      <x:c r="O873" s="15" t="n">
        <x:v>0</x:v>
      </x:c>
      <x:c r="P873" s="15" t="n">
        <x:v>0</x:v>
      </x:c>
      <x:c r="Q873" s="15" t="n">
        <x:v>0</x:v>
      </x:c>
      <x:c r="R873" s="15" t="n">
        <x:v>0</x:v>
      </x:c>
      <x:c r="S873" s="15" t="n">
        <x:v>0</x:v>
      </x:c>
      <x:c r="T873" s="15" t="n">
        <x:v>0</x:v>
      </x:c>
      <x:c r="U873" s="15" t="n">
        <x:v>0</x:v>
      </x:c>
      <x:c r="V873" s="15" t="n">
        <x:v>0</x:v>
      </x:c>
      <x:c r="W873" s="15" t="n">
        <x:v>0</x:v>
      </x:c>
      <x:c r="X873" s="15" t="n">
        <x:v>0</x:v>
      </x:c>
      <x:c r="Y873" s="15" t="n">
        <x:v>560</x:v>
      </x:c>
      <x:c r="Z873" s="15" t="n">
        <x:v>0.104472</x:v>
      </x:c>
      <x:c r="AA873" s="15" t="n">
        <x:v>0.004096</x:v>
      </x:c>
      <x:c r="AB873" s="15" t="n">
        <x:f>SUM(G873:AA873)</x:f>
        <x:v>560.108568</x:v>
      </x:c>
    </x:row>
    <x:row r="874" ht="36" customHeight="1">
      <x:c r="A874" s="10" t="str">
        <x:v>D-A</x:v>
      </x:c>
      <x:c r="B874" s="10" t="str">
        <x:v>DELIVERY</x:v>
      </x:c>
      <x:c r="C874" s="10" t="str">
        <x:v>DELIVERY:S02-05</x:v>
      </x:c>
      <x:c r="D874" s="10" t="str">
        <x:v>DELIVERY:M610</x:v>
      </x:c>
      <x:c r="E874" s="15" t="n">
        <x:v>-0.3505</x:v>
      </x:c>
      <x:c r="F874" s="15" t="str">
        <x:v>preparation</x:v>
      </x:c>
      <x:c r="G874" s="15" t="n">
        <x:v>0</x:v>
      </x:c>
      <x:c r="H874" s="15" t="n">
        <x:v>0</x:v>
      </x:c>
      <x:c r="I874" s="15" t="n">
        <x:v>0</x:v>
      </x:c>
      <x:c r="J874" s="15" t="n">
        <x:v>0</x:v>
      </x:c>
      <x:c r="K874" s="15" t="n">
        <x:v>0</x:v>
      </x:c>
      <x:c r="L874" s="15" t="n">
        <x:v>0</x:v>
      </x:c>
      <x:c r="M874" s="15" t="n">
        <x:v>0</x:v>
      </x:c>
      <x:c r="N874" s="15" t="n">
        <x:v>0</x:v>
      </x:c>
      <x:c r="O874" s="15" t="n">
        <x:v>0</x:v>
      </x:c>
      <x:c r="P874" s="15" t="n">
        <x:v>0</x:v>
      </x:c>
      <x:c r="Q874" s="15" t="n">
        <x:v>0</x:v>
      </x:c>
      <x:c r="R874" s="15" t="n">
        <x:v>0</x:v>
      </x:c>
      <x:c r="S874" s="15" t="n">
        <x:v>0</x:v>
      </x:c>
      <x:c r="T874" s="15" t="n">
        <x:v>0</x:v>
      </x:c>
      <x:c r="U874" s="15" t="n">
        <x:v>0</x:v>
      </x:c>
      <x:c r="V874" s="15" t="n">
        <x:v>0</x:v>
      </x:c>
      <x:c r="W874" s="15" t="n">
        <x:v>0</x:v>
      </x:c>
      <x:c r="X874" s="15" t="n">
        <x:v>0</x:v>
      </x:c>
      <x:c r="Y874" s="15" t="n">
        <x:v>560</x:v>
      </x:c>
      <x:c r="Z874" s="15" t="n">
        <x:v>0.134112</x:v>
      </x:c>
      <x:c r="AA874" s="15" t="n">
        <x:v>0.004096</x:v>
      </x:c>
      <x:c r="AB874" s="15" t="n">
        <x:f>SUM(G874:AA874)</x:f>
        <x:v>560.138208</x:v>
      </x:c>
    </x:row>
    <x:row r="875" ht="36" customHeight="1">
      <x:c r="A875" s="10" t="str">
        <x:v>D-B</x:v>
      </x:c>
      <x:c r="B875" s="10" t="str">
        <x:v>DELIVERY</x:v>
      </x:c>
      <x:c r="C875" s="10" t="str">
        <x:v>DELIVERY:S02-05</x:v>
      </x:c>
      <x:c r="D875" s="10" t="str">
        <x:v>DELIVERY:M640</x:v>
      </x:c>
      <x:c r="E875" s="15" t="n">
        <x:v>1.956166667</x:v>
      </x:c>
      <x:c r="F875" s="15" t="str">
        <x:v>scored</x:v>
      </x:c>
      <x:c r="G875" s="15" t="n">
        <x:v>0</x:v>
      </x:c>
      <x:c r="H875" s="15" t="n">
        <x:v>0</x:v>
      </x:c>
      <x:c r="I875" s="15" t="n">
        <x:v>0</x:v>
      </x:c>
      <x:c r="J875" s="15" t="n">
        <x:v>0</x:v>
      </x:c>
      <x:c r="K875" s="15" t="n">
        <x:v>0</x:v>
      </x:c>
      <x:c r="L875" s="15" t="n">
        <x:v>0</x:v>
      </x:c>
      <x:c r="M875" s="15" t="n">
        <x:v>0</x:v>
      </x:c>
      <x:c r="N875" s="15" t="n">
        <x:v>0</x:v>
      </x:c>
      <x:c r="O875" s="15" t="n">
        <x:v>0</x:v>
      </x:c>
      <x:c r="P875" s="15" t="n">
        <x:v>0</x:v>
      </x:c>
      <x:c r="Q875" s="15" t="n">
        <x:v>0</x:v>
      </x:c>
      <x:c r="R875" s="15" t="n">
        <x:v>0</x:v>
      </x:c>
      <x:c r="S875" s="15" t="n">
        <x:v>0</x:v>
      </x:c>
      <x:c r="T875" s="15" t="n">
        <x:v>0</x:v>
      </x:c>
      <x:c r="U875" s="15" t="n">
        <x:v>0</x:v>
      </x:c>
      <x:c r="V875" s="15" t="n">
        <x:v>0</x:v>
      </x:c>
      <x:c r="W875" s="15" t="n">
        <x:v>0</x:v>
      </x:c>
      <x:c r="X875" s="15" t="n">
        <x:v>0</x:v>
      </x:c>
      <x:c r="Y875" s="15" t="n">
        <x:v>560</x:v>
      </x:c>
      <x:c r="Z875" s="15" t="n">
        <x:v>0.104904</x:v>
      </x:c>
      <x:c r="AA875" s="15" t="n">
        <x:v>0.004096</x:v>
      </x:c>
      <x:c r="AB875" s="15" t="n">
        <x:f>SUM(G875:AA875)</x:f>
        <x:v>560.109</x:v>
      </x:c>
    </x:row>
    <x:row r="876" ht="36" customHeight="1">
      <x:c r="A876" s="10" t="str">
        <x:v>D-A</x:v>
      </x:c>
      <x:c r="B876" s="10" t="str">
        <x:v>DELIVERY</x:v>
      </x:c>
      <x:c r="C876" s="10" t="str">
        <x:v>DELIVERY:S02-06</x:v>
      </x:c>
      <x:c r="D876" s="10" t="str">
        <x:v>DELIVERY:M655</x:v>
      </x:c>
      <x:c r="E876" s="15" t="n">
        <x:v>-0.3475</x:v>
      </x:c>
      <x:c r="F876" s="15" t="str">
        <x:v>preparation</x:v>
      </x:c>
      <x:c r="G876" s="15" t="n">
        <x:v>0</x:v>
      </x:c>
      <x:c r="H876" s="15" t="n">
        <x:v>0</x:v>
      </x:c>
      <x:c r="I876" s="15" t="n">
        <x:v>0</x:v>
      </x:c>
      <x:c r="J876" s="15" t="n">
        <x:v>0</x:v>
      </x:c>
      <x:c r="K876" s="15" t="n">
        <x:v>0</x:v>
      </x:c>
      <x:c r="L876" s="15" t="n">
        <x:v>0</x:v>
      </x:c>
      <x:c r="M876" s="15" t="n">
        <x:v>0</x:v>
      </x:c>
      <x:c r="N876" s="15" t="n">
        <x:v>0</x:v>
      </x:c>
      <x:c r="O876" s="15" t="n">
        <x:v>0</x:v>
      </x:c>
      <x:c r="P876" s="15" t="n">
        <x:v>0</x:v>
      </x:c>
      <x:c r="Q876" s="15" t="n">
        <x:v>0</x:v>
      </x:c>
      <x:c r="R876" s="15" t="n">
        <x:v>0</x:v>
      </x:c>
      <x:c r="S876" s="15" t="n">
        <x:v>0</x:v>
      </x:c>
      <x:c r="T876" s="15" t="n">
        <x:v>0</x:v>
      </x:c>
      <x:c r="U876" s="15" t="n">
        <x:v>0</x:v>
      </x:c>
      <x:c r="V876" s="15" t="n">
        <x:v>0</x:v>
      </x:c>
      <x:c r="W876" s="15" t="n">
        <x:v>0</x:v>
      </x:c>
      <x:c r="X876" s="15" t="n">
        <x:v>0</x:v>
      </x:c>
      <x:c r="Y876" s="15" t="n">
        <x:v>560</x:v>
      </x:c>
      <x:c r="Z876" s="15" t="n">
        <x:v>0.134688</x:v>
      </x:c>
      <x:c r="AA876" s="15" t="n">
        <x:v>0.004096</x:v>
      </x:c>
      <x:c r="AB876" s="15" t="n">
        <x:f>SUM(G876:AA876)</x:f>
        <x:v>560.138784</x:v>
      </x:c>
    </x:row>
    <x:row r="877" ht="36" customHeight="1">
      <x:c r="A877" s="10" t="str">
        <x:v>D-B</x:v>
      </x:c>
      <x:c r="B877" s="10" t="str">
        <x:v>DELIVERY</x:v>
      </x:c>
      <x:c r="C877" s="10" t="str">
        <x:v>DELIVERY:S02-06</x:v>
      </x:c>
      <x:c r="D877" s="10" t="str">
        <x:v>DELIVERY:M685</x:v>
      </x:c>
      <x:c r="E877" s="15" t="n">
        <x:v>1.9125</x:v>
      </x:c>
      <x:c r="F877" s="15" t="str">
        <x:v>scored</x:v>
      </x:c>
      <x:c r="G877" s="15" t="n">
        <x:v>0</x:v>
      </x:c>
      <x:c r="H877" s="15" t="n">
        <x:v>0</x:v>
      </x:c>
      <x:c r="I877" s="15" t="n">
        <x:v>0</x:v>
      </x:c>
      <x:c r="J877" s="15" t="n">
        <x:v>0</x:v>
      </x:c>
      <x:c r="K877" s="15" t="n">
        <x:v>0</x:v>
      </x:c>
      <x:c r="L877" s="15" t="n">
        <x:v>0</x:v>
      </x:c>
      <x:c r="M877" s="15" t="n">
        <x:v>0</x:v>
      </x:c>
      <x:c r="N877" s="15" t="n">
        <x:v>0</x:v>
      </x:c>
      <x:c r="O877" s="15" t="n">
        <x:v>0</x:v>
      </x:c>
      <x:c r="P877" s="15" t="n">
        <x:v>0</x:v>
      </x:c>
      <x:c r="Q877" s="15" t="n">
        <x:v>0</x:v>
      </x:c>
      <x:c r="R877" s="15" t="n">
        <x:v>0</x:v>
      </x:c>
      <x:c r="S877" s="15" t="n">
        <x:v>0</x:v>
      </x:c>
      <x:c r="T877" s="15" t="n">
        <x:v>0</x:v>
      </x:c>
      <x:c r="U877" s="15" t="n">
        <x:v>0</x:v>
      </x:c>
      <x:c r="V877" s="15" t="n">
        <x:v>0</x:v>
      </x:c>
      <x:c r="W877" s="15" t="n">
        <x:v>0</x:v>
      </x:c>
      <x:c r="X877" s="15" t="n">
        <x:v>0</x:v>
      </x:c>
      <x:c r="Y877" s="15" t="n">
        <x:v>560</x:v>
      </x:c>
      <x:c r="Z877" s="15" t="n">
        <x:v>0.105336</x:v>
      </x:c>
      <x:c r="AA877" s="15" t="n">
        <x:v>0.004096</x:v>
      </x:c>
      <x:c r="AB877" s="15" t="n">
        <x:f>SUM(G877:AA877)</x:f>
        <x:v>560.109432</x:v>
      </x:c>
    </x:row>
    <x:row r="878" ht="36" customHeight="1">
      <x:c r="A878" s="10" t="str">
        <x:v>D-A</x:v>
      </x:c>
      <x:c r="B878" s="10" t="str">
        <x:v>DELIVERY</x:v>
      </x:c>
      <x:c r="C878" s="10" t="str">
        <x:v>DELIVERY:S02-07</x:v>
      </x:c>
      <x:c r="D878" s="10" t="str">
        <x:v>DELIVERY:M700</x:v>
      </x:c>
      <x:c r="E878" s="15" t="n">
        <x:v>-0.3445</x:v>
      </x:c>
      <x:c r="F878" s="15" t="str">
        <x:v>preparation</x:v>
      </x:c>
      <x:c r="G878" s="15" t="n">
        <x:v>0</x:v>
      </x:c>
      <x:c r="H878" s="15" t="n">
        <x:v>0</x:v>
      </x:c>
      <x:c r="I878" s="15" t="n">
        <x:v>0</x:v>
      </x:c>
      <x:c r="J878" s="15" t="n">
        <x:v>0</x:v>
      </x:c>
      <x:c r="K878" s="15" t="n">
        <x:v>0</x:v>
      </x:c>
      <x:c r="L878" s="15" t="n">
        <x:v>0</x:v>
      </x:c>
      <x:c r="M878" s="15" t="n">
        <x:v>0</x:v>
      </x:c>
      <x:c r="N878" s="15" t="n">
        <x:v>0</x:v>
      </x:c>
      <x:c r="O878" s="15" t="n">
        <x:v>0</x:v>
      </x:c>
      <x:c r="P878" s="15" t="n">
        <x:v>0</x:v>
      </x:c>
      <x:c r="Q878" s="15" t="n">
        <x:v>0</x:v>
      </x:c>
      <x:c r="R878" s="15" t="n">
        <x:v>0</x:v>
      </x:c>
      <x:c r="S878" s="15" t="n">
        <x:v>0</x:v>
      </x:c>
      <x:c r="T878" s="15" t="n">
        <x:v>0</x:v>
      </x:c>
      <x:c r="U878" s="15" t="n">
        <x:v>0</x:v>
      </x:c>
      <x:c r="V878" s="15" t="n">
        <x:v>0</x:v>
      </x:c>
      <x:c r="W878" s="15" t="n">
        <x:v>0</x:v>
      </x:c>
      <x:c r="X878" s="15" t="n">
        <x:v>0</x:v>
      </x:c>
      <x:c r="Y878" s="15" t="n">
        <x:v>560</x:v>
      </x:c>
      <x:c r="Z878" s="15" t="n">
        <x:v>0.135264</x:v>
      </x:c>
      <x:c r="AA878" s="15" t="n">
        <x:v>0.004096</x:v>
      </x:c>
      <x:c r="AB878" s="15" t="n">
        <x:f>SUM(G878:AA878)</x:f>
        <x:v>560.13936</x:v>
      </x:c>
    </x:row>
    <x:row r="879" ht="36" customHeight="1">
      <x:c r="A879" s="10" t="str">
        <x:v>D-B</x:v>
      </x:c>
      <x:c r="B879" s="10" t="str">
        <x:v>DELIVERY</x:v>
      </x:c>
      <x:c r="C879" s="10" t="str">
        <x:v>DELIVERY:S02-07</x:v>
      </x:c>
      <x:c r="D879" s="10" t="str">
        <x:v>DELIVERY:M730</x:v>
      </x:c>
      <x:c r="E879" s="15" t="n">
        <x:v>1.943833333</x:v>
      </x:c>
      <x:c r="F879" s="15" t="str">
        <x:v>scored</x:v>
      </x:c>
      <x:c r="G879" s="15" t="n">
        <x:v>0</x:v>
      </x:c>
      <x:c r="H879" s="15" t="n">
        <x:v>0</x:v>
      </x:c>
      <x:c r="I879" s="15" t="n">
        <x:v>0</x:v>
      </x:c>
      <x:c r="J879" s="15" t="n">
        <x:v>0</x:v>
      </x:c>
      <x:c r="K879" s="15" t="n">
        <x:v>0</x:v>
      </x:c>
      <x:c r="L879" s="15" t="n">
        <x:v>0</x:v>
      </x:c>
      <x:c r="M879" s="15" t="n">
        <x:v>0</x:v>
      </x:c>
      <x:c r="N879" s="15" t="n">
        <x:v>0</x:v>
      </x:c>
      <x:c r="O879" s="15" t="n">
        <x:v>0</x:v>
      </x:c>
      <x:c r="P879" s="15" t="n">
        <x:v>0</x:v>
      </x:c>
      <x:c r="Q879" s="15" t="n">
        <x:v>0</x:v>
      </x:c>
      <x:c r="R879" s="15" t="n">
        <x:v>0</x:v>
      </x:c>
      <x:c r="S879" s="15" t="n">
        <x:v>0</x:v>
      </x:c>
      <x:c r="T879" s="15" t="n">
        <x:v>0</x:v>
      </x:c>
      <x:c r="U879" s="15" t="n">
        <x:v>0</x:v>
      </x:c>
      <x:c r="V879" s="15" t="n">
        <x:v>0</x:v>
      </x:c>
      <x:c r="W879" s="15" t="n">
        <x:v>0</x:v>
      </x:c>
      <x:c r="X879" s="15" t="n">
        <x:v>0</x:v>
      </x:c>
      <x:c r="Y879" s="15" t="n">
        <x:v>560</x:v>
      </x:c>
      <x:c r="Z879" s="15" t="n">
        <x:v>0.105768</x:v>
      </x:c>
      <x:c r="AA879" s="15" t="n">
        <x:v>0.004096</x:v>
      </x:c>
      <x:c r="AB879" s="15" t="n">
        <x:f>SUM(G879:AA879)</x:f>
        <x:v>560.109864</x:v>
      </x:c>
    </x:row>
    <x:row r="880" ht="36" customHeight="1">
      <x:c r="A880" s="10" t="str">
        <x:v>D-A</x:v>
      </x:c>
      <x:c r="B880" s="10" t="str">
        <x:v>DELIVERY</x:v>
      </x:c>
      <x:c r="C880" s="10" t="str">
        <x:v>DELIVERY:S02-08</x:v>
      </x:c>
      <x:c r="D880" s="10" t="str">
        <x:v>DELIVERY:M745</x:v>
      </x:c>
      <x:c r="E880" s="15" t="n">
        <x:v>-0.3415</x:v>
      </x:c>
      <x:c r="F880" s="15" t="str">
        <x:v>preparation</x:v>
      </x:c>
      <x:c r="G880" s="15" t="n">
        <x:v>0</x:v>
      </x:c>
      <x:c r="H880" s="15" t="n">
        <x:v>0</x:v>
      </x:c>
      <x:c r="I880" s="15" t="n">
        <x:v>0</x:v>
      </x:c>
      <x:c r="J880" s="15" t="n">
        <x:v>0</x:v>
      </x:c>
      <x:c r="K880" s="15" t="n">
        <x:v>0</x:v>
      </x:c>
      <x:c r="L880" s="15" t="n">
        <x:v>0</x:v>
      </x:c>
      <x:c r="M880" s="15" t="n">
        <x:v>0</x:v>
      </x:c>
      <x:c r="N880" s="15" t="n">
        <x:v>0</x:v>
      </x:c>
      <x:c r="O880" s="15" t="n">
        <x:v>0</x:v>
      </x:c>
      <x:c r="P880" s="15" t="n">
        <x:v>0</x:v>
      </x:c>
      <x:c r="Q880" s="15" t="n">
        <x:v>0</x:v>
      </x:c>
      <x:c r="R880" s="15" t="n">
        <x:v>0</x:v>
      </x:c>
      <x:c r="S880" s="15" t="n">
        <x:v>0</x:v>
      </x:c>
      <x:c r="T880" s="15" t="n">
        <x:v>0</x:v>
      </x:c>
      <x:c r="U880" s="15" t="n">
        <x:v>0</x:v>
      </x:c>
      <x:c r="V880" s="15" t="n">
        <x:v>0</x:v>
      </x:c>
      <x:c r="W880" s="15" t="n">
        <x:v>0</x:v>
      </x:c>
      <x:c r="X880" s="15" t="n">
        <x:v>0</x:v>
      </x:c>
      <x:c r="Y880" s="15" t="n">
        <x:v>560</x:v>
      </x:c>
      <x:c r="Z880" s="15" t="n">
        <x:v>0.13584</x:v>
      </x:c>
      <x:c r="AA880" s="15" t="n">
        <x:v>0.004096</x:v>
      </x:c>
      <x:c r="AB880" s="15" t="n">
        <x:f>SUM(G880:AA880)</x:f>
        <x:v>560.139936</x:v>
      </x:c>
    </x:row>
    <x:row r="881" ht="36" customHeight="1">
      <x:c r="A881" s="10" t="str">
        <x:v>D-B</x:v>
      </x:c>
      <x:c r="B881" s="10" t="str">
        <x:v>DELIVERY</x:v>
      </x:c>
      <x:c r="C881" s="10" t="str">
        <x:v>DELIVERY:S02-08</x:v>
      </x:c>
      <x:c r="D881" s="10" t="str">
        <x:v>DELIVERY:M775</x:v>
      </x:c>
      <x:c r="E881" s="15" t="n">
        <x:v>1.975166667</x:v>
      </x:c>
      <x:c r="F881" s="15" t="str">
        <x:v>scored</x:v>
      </x:c>
      <x:c r="G881" s="15" t="n">
        <x:v>0</x:v>
      </x:c>
      <x:c r="H881" s="15" t="n">
        <x:v>0</x:v>
      </x:c>
      <x:c r="I881" s="15" t="n">
        <x:v>0</x:v>
      </x:c>
      <x:c r="J881" s="15" t="n">
        <x:v>0</x:v>
      </x:c>
      <x:c r="K881" s="15" t="n">
        <x:v>0</x:v>
      </x:c>
      <x:c r="L881" s="15" t="n">
        <x:v>0</x:v>
      </x:c>
      <x:c r="M881" s="15" t="n">
        <x:v>0</x:v>
      </x:c>
      <x:c r="N881" s="15" t="n">
        <x:v>0</x:v>
      </x:c>
      <x:c r="O881" s="15" t="n">
        <x:v>0</x:v>
      </x:c>
      <x:c r="P881" s="15" t="n">
        <x:v>0</x:v>
      </x:c>
      <x:c r="Q881" s="15" t="n">
        <x:v>0</x:v>
      </x:c>
      <x:c r="R881" s="15" t="n">
        <x:v>0</x:v>
      </x:c>
      <x:c r="S881" s="15" t="n">
        <x:v>0</x:v>
      </x:c>
      <x:c r="T881" s="15" t="n">
        <x:v>0</x:v>
      </x:c>
      <x:c r="U881" s="15" t="n">
        <x:v>0</x:v>
      </x:c>
      <x:c r="V881" s="15" t="n">
        <x:v>0</x:v>
      </x:c>
      <x:c r="W881" s="15" t="n">
        <x:v>0</x:v>
      </x:c>
      <x:c r="X881" s="15" t="n">
        <x:v>0</x:v>
      </x:c>
      <x:c r="Y881" s="15" t="n">
        <x:v>560</x:v>
      </x:c>
      <x:c r="Z881" s="15" t="n">
        <x:v>0.1062</x:v>
      </x:c>
      <x:c r="AA881" s="15" t="n">
        <x:v>0.004096</x:v>
      </x:c>
      <x:c r="AB881" s="15" t="n">
        <x:f>SUM(G881:AA881)</x:f>
        <x:v>560.110296</x:v>
      </x:c>
    </x:row>
    <x:row r="882" ht="36" customHeight="1">
      <x:c r="A882" s="10" t="str">
        <x:v>D-A</x:v>
      </x:c>
      <x:c r="B882" s="10" t="str">
        <x:v>DELIVERY</x:v>
      </x:c>
      <x:c r="C882" s="10" t="str">
        <x:v>DELIVERY:S02-09</x:v>
      </x:c>
      <x:c r="D882" s="10" t="str">
        <x:v>DELIVERY:M790</x:v>
      </x:c>
      <x:c r="E882" s="15" t="n">
        <x:v>-0.3385</x:v>
      </x:c>
      <x:c r="F882" s="15" t="str">
        <x:v>preparation</x:v>
      </x:c>
      <x:c r="G882" s="15" t="n">
        <x:v>0</x:v>
      </x:c>
      <x:c r="H882" s="15" t="n">
        <x:v>0</x:v>
      </x:c>
      <x:c r="I882" s="15" t="n">
        <x:v>0</x:v>
      </x:c>
      <x:c r="J882" s="15" t="n">
        <x:v>0</x:v>
      </x:c>
      <x:c r="K882" s="15" t="n">
        <x:v>0</x:v>
      </x:c>
      <x:c r="L882" s="15" t="n">
        <x:v>0</x:v>
      </x:c>
      <x:c r="M882" s="15" t="n">
        <x:v>0</x:v>
      </x:c>
      <x:c r="N882" s="15" t="n">
        <x:v>0</x:v>
      </x:c>
      <x:c r="O882" s="15" t="n">
        <x:v>0</x:v>
      </x:c>
      <x:c r="P882" s="15" t="n">
        <x:v>0</x:v>
      </x:c>
      <x:c r="Q882" s="15" t="n">
        <x:v>0</x:v>
      </x:c>
      <x:c r="R882" s="15" t="n">
        <x:v>0</x:v>
      </x:c>
      <x:c r="S882" s="15" t="n">
        <x:v>0</x:v>
      </x:c>
      <x:c r="T882" s="15" t="n">
        <x:v>0</x:v>
      </x:c>
      <x:c r="U882" s="15" t="n">
        <x:v>0</x:v>
      </x:c>
      <x:c r="V882" s="15" t="n">
        <x:v>0</x:v>
      </x:c>
      <x:c r="W882" s="15" t="n">
        <x:v>0</x:v>
      </x:c>
      <x:c r="X882" s="15" t="n">
        <x:v>0</x:v>
      </x:c>
      <x:c r="Y882" s="15" t="n">
        <x:v>560</x:v>
      </x:c>
      <x:c r="Z882" s="15" t="n">
        <x:v>0.136416</x:v>
      </x:c>
      <x:c r="AA882" s="15" t="n">
        <x:v>0.004096</x:v>
      </x:c>
      <x:c r="AB882" s="15" t="n">
        <x:f>SUM(G882:AA882)</x:f>
        <x:v>560.1405120000001</x:v>
      </x:c>
    </x:row>
    <x:row r="883" ht="36" customHeight="1">
      <x:c r="A883" s="10" t="str">
        <x:v>D-B</x:v>
      </x:c>
      <x:c r="B883" s="10" t="str">
        <x:v>DELIVERY</x:v>
      </x:c>
      <x:c r="C883" s="10" t="str">
        <x:v>DELIVERY:S02-09</x:v>
      </x:c>
      <x:c r="D883" s="10" t="str">
        <x:v>DELIVERY:M820</x:v>
      </x:c>
      <x:c r="E883" s="15" t="n">
        <x:v>1.9315</x:v>
      </x:c>
      <x:c r="F883" s="15" t="str">
        <x:v>scored</x:v>
      </x:c>
      <x:c r="G883" s="15" t="n">
        <x:v>0</x:v>
      </x:c>
      <x:c r="H883" s="15" t="n">
        <x:v>0</x:v>
      </x:c>
      <x:c r="I883" s="15" t="n">
        <x:v>0</x:v>
      </x:c>
      <x:c r="J883" s="15" t="n">
        <x:v>0</x:v>
      </x:c>
      <x:c r="K883" s="15" t="n">
        <x:v>0</x:v>
      </x:c>
      <x:c r="L883" s="15" t="n">
        <x:v>0</x:v>
      </x:c>
      <x:c r="M883" s="15" t="n">
        <x:v>0</x:v>
      </x:c>
      <x:c r="N883" s="15" t="n">
        <x:v>0</x:v>
      </x:c>
      <x:c r="O883" s="15" t="n">
        <x:v>0</x:v>
      </x:c>
      <x:c r="P883" s="15" t="n">
        <x:v>0</x:v>
      </x:c>
      <x:c r="Q883" s="15" t="n">
        <x:v>0</x:v>
      </x:c>
      <x:c r="R883" s="15" t="n">
        <x:v>0</x:v>
      </x:c>
      <x:c r="S883" s="15" t="n">
        <x:v>0</x:v>
      </x:c>
      <x:c r="T883" s="15" t="n">
        <x:v>0</x:v>
      </x:c>
      <x:c r="U883" s="15" t="n">
        <x:v>0</x:v>
      </x:c>
      <x:c r="V883" s="15" t="n">
        <x:v>0</x:v>
      </x:c>
      <x:c r="W883" s="15" t="n">
        <x:v>0</x:v>
      </x:c>
      <x:c r="X883" s="15" t="n">
        <x:v>0</x:v>
      </x:c>
      <x:c r="Y883" s="15" t="n">
        <x:v>560</x:v>
      </x:c>
      <x:c r="Z883" s="15" t="n">
        <x:v>0.106632</x:v>
      </x:c>
      <x:c r="AA883" s="15" t="n">
        <x:v>0.004096</x:v>
      </x:c>
      <x:c r="AB883" s="15" t="n">
        <x:f>SUM(G883:AA883)</x:f>
        <x:v>560.110728</x:v>
      </x:c>
    </x:row>
    <x:row r="884" ht="36" customHeight="1">
      <x:c r="A884" s="10" t="str">
        <x:v>D-A</x:v>
      </x:c>
      <x:c r="B884" s="10" t="str">
        <x:v>DELIVERY</x:v>
      </x:c>
      <x:c r="C884" s="10" t="str">
        <x:v>DELIVERY:S02-10</x:v>
      </x:c>
      <x:c r="D884" s="10" t="str">
        <x:v>DELIVERY:M835</x:v>
      </x:c>
      <x:c r="E884" s="15" t="n">
        <x:v>-0.3355</x:v>
      </x:c>
      <x:c r="F884" s="15" t="str">
        <x:v>preparation</x:v>
      </x:c>
      <x:c r="G884" s="15" t="n">
        <x:v>0</x:v>
      </x:c>
      <x:c r="H884" s="15" t="n">
        <x:v>0</x:v>
      </x:c>
      <x:c r="I884" s="15" t="n">
        <x:v>0</x:v>
      </x:c>
      <x:c r="J884" s="15" t="n">
        <x:v>0</x:v>
      </x:c>
      <x:c r="K884" s="15" t="n">
        <x:v>0</x:v>
      </x:c>
      <x:c r="L884" s="15" t="n">
        <x:v>0</x:v>
      </x:c>
      <x:c r="M884" s="15" t="n">
        <x:v>0</x:v>
      </x:c>
      <x:c r="N884" s="15" t="n">
        <x:v>0</x:v>
      </x:c>
      <x:c r="O884" s="15" t="n">
        <x:v>0</x:v>
      </x:c>
      <x:c r="P884" s="15" t="n">
        <x:v>0</x:v>
      </x:c>
      <x:c r="Q884" s="15" t="n">
        <x:v>0</x:v>
      </x:c>
      <x:c r="R884" s="15" t="n">
        <x:v>0</x:v>
      </x:c>
      <x:c r="S884" s="15" t="n">
        <x:v>0</x:v>
      </x:c>
      <x:c r="T884" s="15" t="n">
        <x:v>0</x:v>
      </x:c>
      <x:c r="U884" s="15" t="n">
        <x:v>0</x:v>
      </x:c>
      <x:c r="V884" s="15" t="n">
        <x:v>0</x:v>
      </x:c>
      <x:c r="W884" s="15" t="n">
        <x:v>0</x:v>
      </x:c>
      <x:c r="X884" s="15" t="n">
        <x:v>0</x:v>
      </x:c>
      <x:c r="Y884" s="15" t="n">
        <x:v>560</x:v>
      </x:c>
      <x:c r="Z884" s="15" t="n">
        <x:v>0.136992</x:v>
      </x:c>
      <x:c r="AA884" s="15" t="n">
        <x:v>0.004096</x:v>
      </x:c>
      <x:c r="AB884" s="15" t="n">
        <x:f>SUM(G884:AA884)</x:f>
        <x:v>560.141088</x:v>
      </x:c>
    </x:row>
    <x:row r="885" ht="36" customHeight="1">
      <x:c r="A885" s="10" t="str">
        <x:v>D-B</x:v>
      </x:c>
      <x:c r="B885" s="10" t="str">
        <x:v>DELIVERY</x:v>
      </x:c>
      <x:c r="C885" s="10" t="str">
        <x:v>DELIVERY:S02-10</x:v>
      </x:c>
      <x:c r="D885" s="10" t="str">
        <x:v>DELIVERY:M865</x:v>
      </x:c>
      <x:c r="E885" s="15" t="n">
        <x:v>1.962833333</x:v>
      </x:c>
      <x:c r="F885" s="15" t="str">
        <x:v>scored</x:v>
      </x:c>
      <x:c r="G885" s="15" t="n">
        <x:v>0</x:v>
      </x:c>
      <x:c r="H885" s="15" t="n">
        <x:v>0</x:v>
      </x:c>
      <x:c r="I885" s="15" t="n">
        <x:v>0</x:v>
      </x:c>
      <x:c r="J885" s="15" t="n">
        <x:v>0</x:v>
      </x:c>
      <x:c r="K885" s="15" t="n">
        <x:v>0</x:v>
      </x:c>
      <x:c r="L885" s="15" t="n">
        <x:v>0</x:v>
      </x:c>
      <x:c r="M885" s="15" t="n">
        <x:v>0</x:v>
      </x:c>
      <x:c r="N885" s="15" t="n">
        <x:v>0</x:v>
      </x:c>
      <x:c r="O885" s="15" t="n">
        <x:v>0</x:v>
      </x:c>
      <x:c r="P885" s="15" t="n">
        <x:v>0</x:v>
      </x:c>
      <x:c r="Q885" s="15" t="n">
        <x:v>0</x:v>
      </x:c>
      <x:c r="R885" s="15" t="n">
        <x:v>0</x:v>
      </x:c>
      <x:c r="S885" s="15" t="n">
        <x:v>0</x:v>
      </x:c>
      <x:c r="T885" s="15" t="n">
        <x:v>0</x:v>
      </x:c>
      <x:c r="U885" s="15" t="n">
        <x:v>0</x:v>
      </x:c>
      <x:c r="V885" s="15" t="n">
        <x:v>0</x:v>
      </x:c>
      <x:c r="W885" s="15" t="n">
        <x:v>0</x:v>
      </x:c>
      <x:c r="X885" s="15" t="n">
        <x:v>0</x:v>
      </x:c>
      <x:c r="Y885" s="15" t="n">
        <x:v>560</x:v>
      </x:c>
      <x:c r="Z885" s="15" t="n">
        <x:v>0.107064</x:v>
      </x:c>
      <x:c r="AA885" s="15" t="n">
        <x:v>0.004096</x:v>
      </x:c>
      <x:c r="AB885" s="15" t="n">
        <x:f>SUM(G885:AA885)</x:f>
        <x:v>560.11116</x:v>
      </x:c>
    </x:row>
    <x:row r="886" ht="36" customHeight="1">
      <x:c r="A886" s="10" t="str">
        <x:v>D-A</x:v>
      </x:c>
      <x:c r="B886" s="10" t="str">
        <x:v>DELIVERY</x:v>
      </x:c>
      <x:c r="C886" s="10" t="str">
        <x:v>DELIVERY:S03-01</x:v>
      </x:c>
      <x:c r="D886" s="10" t="str">
        <x:v>DELIVERY:M898</x:v>
      </x:c>
      <x:c r="E886" s="15" t="n">
        <x:v>0.968333333</x:v>
      </x:c>
      <x:c r="F886" s="15" t="str">
        <x:v>scored</x:v>
      </x:c>
      <x:c r="G886" s="15" t="n">
        <x:v>0</x:v>
      </x:c>
      <x:c r="H886" s="15" t="n">
        <x:v>0</x:v>
      </x:c>
      <x:c r="I886" s="15" t="n">
        <x:v>0</x:v>
      </x:c>
      <x:c r="J886" s="15" t="n">
        <x:v>0</x:v>
      </x:c>
      <x:c r="K886" s="15" t="n">
        <x:v>0</x:v>
      </x:c>
      <x:c r="L886" s="15" t="n">
        <x:v>0</x:v>
      </x:c>
      <x:c r="M886" s="15" t="n">
        <x:v>0</x:v>
      </x:c>
      <x:c r="N886" s="15" t="n">
        <x:v>0</x:v>
      </x:c>
      <x:c r="O886" s="15" t="n">
        <x:v>0</x:v>
      </x:c>
      <x:c r="P886" s="15" t="n">
        <x:v>0</x:v>
      </x:c>
      <x:c r="Q886" s="15" t="n">
        <x:v>0</x:v>
      </x:c>
      <x:c r="R886" s="15" t="n">
        <x:v>0</x:v>
      </x:c>
      <x:c r="S886" s="15" t="n">
        <x:v>0</x:v>
      </x:c>
      <x:c r="T886" s="15" t="n">
        <x:v>0</x:v>
      </x:c>
      <x:c r="U886" s="15" t="n">
        <x:v>0</x:v>
      </x:c>
      <x:c r="V886" s="15" t="n">
        <x:v>0</x:v>
      </x:c>
      <x:c r="W886" s="15" t="n">
        <x:v>0</x:v>
      </x:c>
      <x:c r="X886" s="15" t="n">
        <x:v>0</x:v>
      </x:c>
      <x:c r="Y886" s="15" t="n">
        <x:v>560</x:v>
      </x:c>
      <x:c r="Z886" s="15" t="n">
        <x:v>0.437728</x:v>
      </x:c>
      <x:c r="AA886" s="15" t="n">
        <x:v>0.008192</x:v>
      </x:c>
      <x:c r="AB886" s="15" t="n">
        <x:f>SUM(G886:AA886)</x:f>
        <x:v>560.44592</x:v>
      </x:c>
    </x:row>
    <x:row r="887" ht="36" customHeight="1">
      <x:c r="A887" s="10" t="str">
        <x:v>D-B</x:v>
      </x:c>
      <x:c r="B887" s="10" t="str">
        <x:v>DELIVERY</x:v>
      </x:c>
      <x:c r="C887" s="10" t="str">
        <x:v>DELIVERY:S03-01</x:v>
      </x:c>
      <x:c r="D887" s="10" t="str">
        <x:v>DELIVERY:M946</x:v>
      </x:c>
      <x:c r="E887" s="15" t="n">
        <x:v>6.400833333</x:v>
      </x:c>
      <x:c r="F887" s="15" t="str">
        <x:v>scored</x:v>
      </x:c>
      <x:c r="G887" s="15" t="n">
        <x:v>0</x:v>
      </x:c>
      <x:c r="H887" s="15" t="n">
        <x:v>0</x:v>
      </x:c>
      <x:c r="I887" s="15" t="n">
        <x:v>0</x:v>
      </x:c>
      <x:c r="J887" s="15" t="n">
        <x:v>0</x:v>
      </x:c>
      <x:c r="K887" s="15" t="n">
        <x:v>0</x:v>
      </x:c>
      <x:c r="L887" s="15" t="n">
        <x:v>0</x:v>
      </x:c>
      <x:c r="M887" s="15" t="n">
        <x:v>0</x:v>
      </x:c>
      <x:c r="N887" s="15" t="n">
        <x:v>0</x:v>
      </x:c>
      <x:c r="O887" s="15" t="n">
        <x:v>0</x:v>
      </x:c>
      <x:c r="P887" s="15" t="n">
        <x:v>0</x:v>
      </x:c>
      <x:c r="Q887" s="15" t="n">
        <x:v>0</x:v>
      </x:c>
      <x:c r="R887" s="15" t="n">
        <x:v>0</x:v>
      </x:c>
      <x:c r="S887" s="15" t="n">
        <x:v>0</x:v>
      </x:c>
      <x:c r="T887" s="15" t="n">
        <x:v>0</x:v>
      </x:c>
      <x:c r="U887" s="15" t="n">
        <x:v>0</x:v>
      </x:c>
      <x:c r="V887" s="15" t="n">
        <x:v>0</x:v>
      </x:c>
      <x:c r="W887" s="15" t="n">
        <x:v>0</x:v>
      </x:c>
      <x:c r="X887" s="15" t="n">
        <x:v>0</x:v>
      </x:c>
      <x:c r="Y887" s="15" t="n">
        <x:v>560</x:v>
      </x:c>
      <x:c r="Z887" s="15" t="n">
        <x:v>0.290376</x:v>
      </x:c>
      <x:c r="AA887" s="15" t="n">
        <x:v>0.004096</x:v>
      </x:c>
      <x:c r="AB887" s="15" t="n">
        <x:f>SUM(G887:AA887)</x:f>
        <x:v>560.294472</x:v>
      </x:c>
    </x:row>
    <x:row r="888" ht="36" customHeight="1">
      <x:c r="A888" s="10" t="str">
        <x:v>D-A</x:v>
      </x:c>
      <x:c r="B888" s="10" t="str">
        <x:v>DELIVERY</x:v>
      </x:c>
      <x:c r="C888" s="10" t="str">
        <x:v>DELIVERY:S03-02</x:v>
      </x:c>
      <x:c r="D888" s="10" t="str">
        <x:v>DELIVERY:M979</x:v>
      </x:c>
      <x:c r="E888" s="15" t="n">
        <x:v>0.996666667</x:v>
      </x:c>
      <x:c r="F888" s="15" t="str">
        <x:v>scored</x:v>
      </x:c>
      <x:c r="G888" s="15" t="n">
        <x:v>0</x:v>
      </x:c>
      <x:c r="H888" s="15" t="n">
        <x:v>0</x:v>
      </x:c>
      <x:c r="I888" s="15" t="n">
        <x:v>0</x:v>
      </x:c>
      <x:c r="J888" s="15" t="n">
        <x:v>0</x:v>
      </x:c>
      <x:c r="K888" s="15" t="n">
        <x:v>0</x:v>
      </x:c>
      <x:c r="L888" s="15" t="n">
        <x:v>0</x:v>
      </x:c>
      <x:c r="M888" s="15" t="n">
        <x:v>0</x:v>
      </x:c>
      <x:c r="N888" s="15" t="n">
        <x:v>0</x:v>
      </x:c>
      <x:c r="O888" s="15" t="n">
        <x:v>0</x:v>
      </x:c>
      <x:c r="P888" s="15" t="n">
        <x:v>0</x:v>
      </x:c>
      <x:c r="Q888" s="15" t="n">
        <x:v>0</x:v>
      </x:c>
      <x:c r="R888" s="15" t="n">
        <x:v>0</x:v>
      </x:c>
      <x:c r="S888" s="15" t="n">
        <x:v>0</x:v>
      </x:c>
      <x:c r="T888" s="15" t="n">
        <x:v>0</x:v>
      </x:c>
      <x:c r="U888" s="15" t="n">
        <x:v>0</x:v>
      </x:c>
      <x:c r="V888" s="15" t="n">
        <x:v>0</x:v>
      </x:c>
      <x:c r="W888" s="15" t="n">
        <x:v>0</x:v>
      </x:c>
      <x:c r="X888" s="15" t="n">
        <x:v>0</x:v>
      </x:c>
      <x:c r="Y888" s="15" t="n">
        <x:v>560</x:v>
      </x:c>
      <x:c r="Z888" s="15" t="n">
        <x:v>0.443744</x:v>
      </x:c>
      <x:c r="AA888" s="15" t="n">
        <x:v>0.008192</x:v>
      </x:c>
      <x:c r="AB888" s="15" t="n">
        <x:f>SUM(G888:AA888)</x:f>
        <x:v>560.451936</x:v>
      </x:c>
    </x:row>
    <x:row r="889" ht="36" customHeight="1">
      <x:c r="A889" s="10" t="str">
        <x:v>D-B</x:v>
      </x:c>
      <x:c r="B889" s="10" t="str">
        <x:v>DELIVERY</x:v>
      </x:c>
      <x:c r="C889" s="10" t="str">
        <x:v>DELIVERY:S03-02</x:v>
      </x:c>
      <x:c r="D889" s="10" t="str">
        <x:v>DELIVERY:M1027</x:v>
      </x:c>
      <x:c r="E889" s="15" t="n">
        <x:v>6.444166667</x:v>
      </x:c>
      <x:c r="F889" s="15" t="str">
        <x:v>scored</x:v>
      </x:c>
      <x:c r="G889" s="15" t="n">
        <x:v>0</x:v>
      </x:c>
      <x:c r="H889" s="15" t="n">
        <x:v>0</x:v>
      </x:c>
      <x:c r="I889" s="15" t="n">
        <x:v>0</x:v>
      </x:c>
      <x:c r="J889" s="15" t="n">
        <x:v>0</x:v>
      </x:c>
      <x:c r="K889" s="15" t="n">
        <x:v>0</x:v>
      </x:c>
      <x:c r="L889" s="15" t="n">
        <x:v>0</x:v>
      </x:c>
      <x:c r="M889" s="15" t="n">
        <x:v>0</x:v>
      </x:c>
      <x:c r="N889" s="15" t="n">
        <x:v>0</x:v>
      </x:c>
      <x:c r="O889" s="15" t="n">
        <x:v>0</x:v>
      </x:c>
      <x:c r="P889" s="15" t="n">
        <x:v>0</x:v>
      </x:c>
      <x:c r="Q889" s="15" t="n">
        <x:v>0</x:v>
      </x:c>
      <x:c r="R889" s="15" t="n">
        <x:v>0</x:v>
      </x:c>
      <x:c r="S889" s="15" t="n">
        <x:v>0</x:v>
      </x:c>
      <x:c r="T889" s="15" t="n">
        <x:v>0</x:v>
      </x:c>
      <x:c r="U889" s="15" t="n">
        <x:v>0</x:v>
      </x:c>
      <x:c r="V889" s="15" t="n">
        <x:v>0</x:v>
      </x:c>
      <x:c r="W889" s="15" t="n">
        <x:v>0</x:v>
      </x:c>
      <x:c r="X889" s="15" t="n">
        <x:v>0</x:v>
      </x:c>
      <x:c r="Y889" s="15" t="n">
        <x:v>560</x:v>
      </x:c>
      <x:c r="Z889" s="15" t="n">
        <x:v>0.290808</x:v>
      </x:c>
      <x:c r="AA889" s="15" t="n">
        <x:v>0.004096</x:v>
      </x:c>
      <x:c r="AB889" s="15" t="n">
        <x:f>SUM(G889:AA889)</x:f>
        <x:v>560.294904</x:v>
      </x:c>
    </x:row>
    <x:row r="890" ht="36" customHeight="1">
      <x:c r="A890" s="10" t="str">
        <x:v>D-A</x:v>
      </x:c>
      <x:c r="B890" s="10" t="str">
        <x:v>DELIVERY</x:v>
      </x:c>
      <x:c r="C890" s="10" t="str">
        <x:v>DELIVERY:S03-03</x:v>
      </x:c>
      <x:c r="D890" s="10" t="str">
        <x:v>DELIVERY:M1060</x:v>
      </x:c>
      <x:c r="E890" s="15" t="n">
        <x:v>0.95</x:v>
      </x:c>
      <x:c r="F890" s="15" t="str">
        <x:v>scored</x:v>
      </x:c>
      <x:c r="G890" s="15" t="n">
        <x:v>0</x:v>
      </x:c>
      <x:c r="H890" s="15" t="n">
        <x:v>0</x:v>
      </x:c>
      <x:c r="I890" s="15" t="n">
        <x:v>0</x:v>
      </x:c>
      <x:c r="J890" s="15" t="n">
        <x:v>0</x:v>
      </x:c>
      <x:c r="K890" s="15" t="n">
        <x:v>0</x:v>
      </x:c>
      <x:c r="L890" s="15" t="n">
        <x:v>0</x:v>
      </x:c>
      <x:c r="M890" s="15" t="n">
        <x:v>0</x:v>
      </x:c>
      <x:c r="N890" s="15" t="n">
        <x:v>0</x:v>
      </x:c>
      <x:c r="O890" s="15" t="n">
        <x:v>0</x:v>
      </x:c>
      <x:c r="P890" s="15" t="n">
        <x:v>0</x:v>
      </x:c>
      <x:c r="Q890" s="15" t="n">
        <x:v>0</x:v>
      </x:c>
      <x:c r="R890" s="15" t="n">
        <x:v>0</x:v>
      </x:c>
      <x:c r="S890" s="15" t="n">
        <x:v>0</x:v>
      </x:c>
      <x:c r="T890" s="15" t="n">
        <x:v>0</x:v>
      </x:c>
      <x:c r="U890" s="15" t="n">
        <x:v>0</x:v>
      </x:c>
      <x:c r="V890" s="15" t="n">
        <x:v>0</x:v>
      </x:c>
      <x:c r="W890" s="15" t="n">
        <x:v>0</x:v>
      </x:c>
      <x:c r="X890" s="15" t="n">
        <x:v>0</x:v>
      </x:c>
      <x:c r="Y890" s="15" t="n">
        <x:v>560</x:v>
      </x:c>
      <x:c r="Z890" s="15" t="n">
        <x:v>0.43536</x:v>
      </x:c>
      <x:c r="AA890" s="15" t="n">
        <x:v>0.008192</x:v>
      </x:c>
      <x:c r="AB890" s="15" t="n">
        <x:f>SUM(G890:AA890)</x:f>
        <x:v>560.443552</x:v>
      </x:c>
    </x:row>
    <x:row r="891" ht="36" customHeight="1">
      <x:c r="A891" s="10" t="str">
        <x:v>D-B</x:v>
      </x:c>
      <x:c r="B891" s="10" t="str">
        <x:v>DELIVERY</x:v>
      </x:c>
      <x:c r="C891" s="10" t="str">
        <x:v>DELIVERY:S03-03</x:v>
      </x:c>
      <x:c r="D891" s="10" t="str">
        <x:v>DELIVERY:M1108</x:v>
      </x:c>
      <x:c r="E891" s="15" t="n">
        <x:v>6.4125</x:v>
      </x:c>
      <x:c r="F891" s="15" t="str">
        <x:v>scored</x:v>
      </x:c>
      <x:c r="G891" s="15" t="n">
        <x:v>0</x:v>
      </x:c>
      <x:c r="H891" s="15" t="n">
        <x:v>0</x:v>
      </x:c>
      <x:c r="I891" s="15" t="n">
        <x:v>0</x:v>
      </x:c>
      <x:c r="J891" s="15" t="n">
        <x:v>0</x:v>
      </x:c>
      <x:c r="K891" s="15" t="n">
        <x:v>0</x:v>
      </x:c>
      <x:c r="L891" s="15" t="n">
        <x:v>0</x:v>
      </x:c>
      <x:c r="M891" s="15" t="n">
        <x:v>0</x:v>
      </x:c>
      <x:c r="N891" s="15" t="n">
        <x:v>0</x:v>
      </x:c>
      <x:c r="O891" s="15" t="n">
        <x:v>0</x:v>
      </x:c>
      <x:c r="P891" s="15" t="n">
        <x:v>0</x:v>
      </x:c>
      <x:c r="Q891" s="15" t="n">
        <x:v>0</x:v>
      </x:c>
      <x:c r="R891" s="15" t="n">
        <x:v>0</x:v>
      </x:c>
      <x:c r="S891" s="15" t="n">
        <x:v>0</x:v>
      </x:c>
      <x:c r="T891" s="15" t="n">
        <x:v>0</x:v>
      </x:c>
      <x:c r="U891" s="15" t="n">
        <x:v>0</x:v>
      </x:c>
      <x:c r="V891" s="15" t="n">
        <x:v>0</x:v>
      </x:c>
      <x:c r="W891" s="15" t="n">
        <x:v>0</x:v>
      </x:c>
      <x:c r="X891" s="15" t="n">
        <x:v>0</x:v>
      </x:c>
      <x:c r="Y891" s="15" t="n">
        <x:v>560</x:v>
      </x:c>
      <x:c r="Z891" s="15" t="n">
        <x:v>0.29124</x:v>
      </x:c>
      <x:c r="AA891" s="15" t="n">
        <x:v>0.004096</x:v>
      </x:c>
      <x:c r="AB891" s="15" t="n">
        <x:f>SUM(G891:AA891)</x:f>
        <x:v>560.295336</x:v>
      </x:c>
    </x:row>
    <x:row r="892" ht="36" customHeight="1">
      <x:c r="A892" s="10" t="str">
        <x:v>D-A</x:v>
      </x:c>
      <x:c r="B892" s="10" t="str">
        <x:v>DELIVERY</x:v>
      </x:c>
      <x:c r="C892" s="10" t="str">
        <x:v>DELIVERY:S03-04</x:v>
      </x:c>
      <x:c r="D892" s="10" t="str">
        <x:v>DELIVERY:M1141</x:v>
      </x:c>
      <x:c r="E892" s="15" t="n">
        <x:v>0.978333333</x:v>
      </x:c>
      <x:c r="F892" s="15" t="str">
        <x:v>scored</x:v>
      </x:c>
      <x:c r="G892" s="15" t="n">
        <x:v>0</x:v>
      </x:c>
      <x:c r="H892" s="15" t="n">
        <x:v>0</x:v>
      </x:c>
      <x:c r="I892" s="15" t="n">
        <x:v>0</x:v>
      </x:c>
      <x:c r="J892" s="15" t="n">
        <x:v>0</x:v>
      </x:c>
      <x:c r="K892" s="15" t="n">
        <x:v>0</x:v>
      </x:c>
      <x:c r="L892" s="15" t="n">
        <x:v>0</x:v>
      </x:c>
      <x:c r="M892" s="15" t="n">
        <x:v>0</x:v>
      </x:c>
      <x:c r="N892" s="15" t="n">
        <x:v>0</x:v>
      </x:c>
      <x:c r="O892" s="15" t="n">
        <x:v>0</x:v>
      </x:c>
      <x:c r="P892" s="15" t="n">
        <x:v>0</x:v>
      </x:c>
      <x:c r="Q892" s="15" t="n">
        <x:v>0</x:v>
      </x:c>
      <x:c r="R892" s="15" t="n">
        <x:v>0</x:v>
      </x:c>
      <x:c r="S892" s="15" t="n">
        <x:v>0</x:v>
      </x:c>
      <x:c r="T892" s="15" t="n">
        <x:v>0</x:v>
      </x:c>
      <x:c r="U892" s="15" t="n">
        <x:v>0</x:v>
      </x:c>
      <x:c r="V892" s="15" t="n">
        <x:v>0</x:v>
      </x:c>
      <x:c r="W892" s="15" t="n">
        <x:v>0</x:v>
      </x:c>
      <x:c r="X892" s="15" t="n">
        <x:v>0</x:v>
      </x:c>
      <x:c r="Y892" s="15" t="n">
        <x:v>560</x:v>
      </x:c>
      <x:c r="Z892" s="15" t="n">
        <x:v>0.441376</x:v>
      </x:c>
      <x:c r="AA892" s="15" t="n">
        <x:v>0.008192</x:v>
      </x:c>
      <x:c r="AB892" s="15" t="n">
        <x:f>SUM(G892:AA892)</x:f>
        <x:v>560.449568</x:v>
      </x:c>
    </x:row>
    <x:row r="893" ht="36" customHeight="1">
      <x:c r="A893" s="10" t="str">
        <x:v>D-B</x:v>
      </x:c>
      <x:c r="B893" s="10" t="str">
        <x:v>DELIVERY</x:v>
      </x:c>
      <x:c r="C893" s="10" t="str">
        <x:v>DELIVERY:S03-04</x:v>
      </x:c>
      <x:c r="D893" s="10" t="str">
        <x:v>DELIVERY:M1189</x:v>
      </x:c>
      <x:c r="E893" s="15" t="n">
        <x:v>6.455833333</x:v>
      </x:c>
      <x:c r="F893" s="15" t="str">
        <x:v>scored</x:v>
      </x:c>
      <x:c r="G893" s="15" t="n">
        <x:v>0</x:v>
      </x:c>
      <x:c r="H893" s="15" t="n">
        <x:v>0</x:v>
      </x:c>
      <x:c r="I893" s="15" t="n">
        <x:v>0</x:v>
      </x:c>
      <x:c r="J893" s="15" t="n">
        <x:v>0</x:v>
      </x:c>
      <x:c r="K893" s="15" t="n">
        <x:v>0</x:v>
      </x:c>
      <x:c r="L893" s="15" t="n">
        <x:v>0</x:v>
      </x:c>
      <x:c r="M893" s="15" t="n">
        <x:v>0</x:v>
      </x:c>
      <x:c r="N893" s="15" t="n">
        <x:v>0</x:v>
      </x:c>
      <x:c r="O893" s="15" t="n">
        <x:v>0</x:v>
      </x:c>
      <x:c r="P893" s="15" t="n">
        <x:v>0</x:v>
      </x:c>
      <x:c r="Q893" s="15" t="n">
        <x:v>0</x:v>
      </x:c>
      <x:c r="R893" s="15" t="n">
        <x:v>0</x:v>
      </x:c>
      <x:c r="S893" s="15" t="n">
        <x:v>0</x:v>
      </x:c>
      <x:c r="T893" s="15" t="n">
        <x:v>0</x:v>
      </x:c>
      <x:c r="U893" s="15" t="n">
        <x:v>0</x:v>
      </x:c>
      <x:c r="V893" s="15" t="n">
        <x:v>0</x:v>
      </x:c>
      <x:c r="W893" s="15" t="n">
        <x:v>0</x:v>
      </x:c>
      <x:c r="X893" s="15" t="n">
        <x:v>0</x:v>
      </x:c>
      <x:c r="Y893" s="15" t="n">
        <x:v>560</x:v>
      </x:c>
      <x:c r="Z893" s="15" t="n">
        <x:v>0.291672</x:v>
      </x:c>
      <x:c r="AA893" s="15" t="n">
        <x:v>0.004096</x:v>
      </x:c>
      <x:c r="AB893" s="15" t="n">
        <x:f>SUM(G893:AA893)</x:f>
        <x:v>560.295768</x:v>
      </x:c>
    </x:row>
    <x:row r="894" ht="36" customHeight="1">
      <x:c r="A894" s="10" t="str">
        <x:v>D-A</x:v>
      </x:c>
      <x:c r="B894" s="10" t="str">
        <x:v>DELIVERY</x:v>
      </x:c>
      <x:c r="C894" s="10" t="str">
        <x:v>DELIVERY:S03-05</x:v>
      </x:c>
      <x:c r="D894" s="10" t="str">
        <x:v>DELIVERY:M1222</x:v>
      </x:c>
      <x:c r="E894" s="15" t="n">
        <x:v>1.006666667</x:v>
      </x:c>
      <x:c r="F894" s="15" t="str">
        <x:v>scored</x:v>
      </x:c>
      <x:c r="G894" s="15" t="n">
        <x:v>0</x:v>
      </x:c>
      <x:c r="H894" s="15" t="n">
        <x:v>0</x:v>
      </x:c>
      <x:c r="I894" s="15" t="n">
        <x:v>0</x:v>
      </x:c>
      <x:c r="J894" s="15" t="n">
        <x:v>0</x:v>
      </x:c>
      <x:c r="K894" s="15" t="n">
        <x:v>0</x:v>
      </x:c>
      <x:c r="L894" s="15" t="n">
        <x:v>0</x:v>
      </x:c>
      <x:c r="M894" s="15" t="n">
        <x:v>0</x:v>
      </x:c>
      <x:c r="N894" s="15" t="n">
        <x:v>0</x:v>
      </x:c>
      <x:c r="O894" s="15" t="n">
        <x:v>0</x:v>
      </x:c>
      <x:c r="P894" s="15" t="n">
        <x:v>0</x:v>
      </x:c>
      <x:c r="Q894" s="15" t="n">
        <x:v>0</x:v>
      </x:c>
      <x:c r="R894" s="15" t="n">
        <x:v>0</x:v>
      </x:c>
      <x:c r="S894" s="15" t="n">
        <x:v>0</x:v>
      </x:c>
      <x:c r="T894" s="15" t="n">
        <x:v>0</x:v>
      </x:c>
      <x:c r="U894" s="15" t="n">
        <x:v>0</x:v>
      </x:c>
      <x:c r="V894" s="15" t="n">
        <x:v>0</x:v>
      </x:c>
      <x:c r="W894" s="15" t="n">
        <x:v>0</x:v>
      </x:c>
      <x:c r="X894" s="15" t="n">
        <x:v>0</x:v>
      </x:c>
      <x:c r="Y894" s="15" t="n">
        <x:v>560</x:v>
      </x:c>
      <x:c r="Z894" s="15" t="n">
        <x:v>0.447392</x:v>
      </x:c>
      <x:c r="AA894" s="15" t="n">
        <x:v>0.008192</x:v>
      </x:c>
      <x:c r="AB894" s="15" t="n">
        <x:f>SUM(G894:AA894)</x:f>
        <x:v>560.455584</x:v>
      </x:c>
    </x:row>
    <x:row r="895" ht="36" customHeight="1">
      <x:c r="A895" s="10" t="str">
        <x:v>D-B</x:v>
      </x:c>
      <x:c r="B895" s="10" t="str">
        <x:v>DELIVERY</x:v>
      </x:c>
      <x:c r="C895" s="10" t="str">
        <x:v>DELIVERY:S03-05</x:v>
      </x:c>
      <x:c r="D895" s="10" t="str">
        <x:v>DELIVERY:M1270</x:v>
      </x:c>
      <x:c r="E895" s="15" t="n">
        <x:v>6.499166667</x:v>
      </x:c>
      <x:c r="F895" s="15" t="str">
        <x:v>scored</x:v>
      </x:c>
      <x:c r="G895" s="15" t="n">
        <x:v>0</x:v>
      </x:c>
      <x:c r="H895" s="15" t="n">
        <x:v>0</x:v>
      </x:c>
      <x:c r="I895" s="15" t="n">
        <x:v>0</x:v>
      </x:c>
      <x:c r="J895" s="15" t="n">
        <x:v>0</x:v>
      </x:c>
      <x:c r="K895" s="15" t="n">
        <x:v>0</x:v>
      </x:c>
      <x:c r="L895" s="15" t="n">
        <x:v>0</x:v>
      </x:c>
      <x:c r="M895" s="15" t="n">
        <x:v>0</x:v>
      </x:c>
      <x:c r="N895" s="15" t="n">
        <x:v>0</x:v>
      </x:c>
      <x:c r="O895" s="15" t="n">
        <x:v>0</x:v>
      </x:c>
      <x:c r="P895" s="15" t="n">
        <x:v>0</x:v>
      </x:c>
      <x:c r="Q895" s="15" t="n">
        <x:v>0</x:v>
      </x:c>
      <x:c r="R895" s="15" t="n">
        <x:v>0</x:v>
      </x:c>
      <x:c r="S895" s="15" t="n">
        <x:v>0</x:v>
      </x:c>
      <x:c r="T895" s="15" t="n">
        <x:v>0</x:v>
      </x:c>
      <x:c r="U895" s="15" t="n">
        <x:v>0</x:v>
      </x:c>
      <x:c r="V895" s="15" t="n">
        <x:v>0</x:v>
      </x:c>
      <x:c r="W895" s="15" t="n">
        <x:v>0</x:v>
      </x:c>
      <x:c r="X895" s="15" t="n">
        <x:v>0</x:v>
      </x:c>
      <x:c r="Y895" s="15" t="n">
        <x:v>560</x:v>
      </x:c>
      <x:c r="Z895" s="15" t="n">
        <x:v>0.292104</x:v>
      </x:c>
      <x:c r="AA895" s="15" t="n">
        <x:v>0.004096</x:v>
      </x:c>
      <x:c r="AB895" s="15" t="n">
        <x:f>SUM(G895:AA895)</x:f>
        <x:v>560.2962</x:v>
      </x:c>
    </x:row>
    <x:row r="896" ht="36" customHeight="1">
      <x:c r="A896" s="10" t="str">
        <x:v>D-A</x:v>
      </x:c>
      <x:c r="B896" s="10" t="str">
        <x:v>DELIVERY</x:v>
      </x:c>
      <x:c r="C896" s="10" t="str">
        <x:v>DELIVERY:S03-06</x:v>
      </x:c>
      <x:c r="D896" s="10" t="str">
        <x:v>DELIVERY:M1303</x:v>
      </x:c>
      <x:c r="E896" s="15" t="n">
        <x:v>0.96</x:v>
      </x:c>
      <x:c r="F896" s="15" t="str">
        <x:v>scored</x:v>
      </x:c>
      <x:c r="G896" s="15" t="n">
        <x:v>0</x:v>
      </x:c>
      <x:c r="H896" s="15" t="n">
        <x:v>0</x:v>
      </x:c>
      <x:c r="I896" s="15" t="n">
        <x:v>0</x:v>
      </x:c>
      <x:c r="J896" s="15" t="n">
        <x:v>0</x:v>
      </x:c>
      <x:c r="K896" s="15" t="n">
        <x:v>0</x:v>
      </x:c>
      <x:c r="L896" s="15" t="n">
        <x:v>0</x:v>
      </x:c>
      <x:c r="M896" s="15" t="n">
        <x:v>0</x:v>
      </x:c>
      <x:c r="N896" s="15" t="n">
        <x:v>0</x:v>
      </x:c>
      <x:c r="O896" s="15" t="n">
        <x:v>0</x:v>
      </x:c>
      <x:c r="P896" s="15" t="n">
        <x:v>0</x:v>
      </x:c>
      <x:c r="Q896" s="15" t="n">
        <x:v>0</x:v>
      </x:c>
      <x:c r="R896" s="15" t="n">
        <x:v>0</x:v>
      </x:c>
      <x:c r="S896" s="15" t="n">
        <x:v>0</x:v>
      </x:c>
      <x:c r="T896" s="15" t="n">
        <x:v>0</x:v>
      </x:c>
      <x:c r="U896" s="15" t="n">
        <x:v>0</x:v>
      </x:c>
      <x:c r="V896" s="15" t="n">
        <x:v>0</x:v>
      </x:c>
      <x:c r="W896" s="15" t="n">
        <x:v>0</x:v>
      </x:c>
      <x:c r="X896" s="15" t="n">
        <x:v>0</x:v>
      </x:c>
      <x:c r="Y896" s="15" t="n">
        <x:v>560</x:v>
      </x:c>
      <x:c r="Z896" s="15" t="n">
        <x:v>0.439008</x:v>
      </x:c>
      <x:c r="AA896" s="15" t="n">
        <x:v>0.008192</x:v>
      </x:c>
      <x:c r="AB896" s="15" t="n">
        <x:f>SUM(G896:AA896)</x:f>
        <x:v>560.4472</x:v>
      </x:c>
    </x:row>
    <x:row r="897" ht="36" customHeight="1">
      <x:c r="A897" s="10" t="str">
        <x:v>D-B</x:v>
      </x:c>
      <x:c r="B897" s="10" t="str">
        <x:v>DELIVERY</x:v>
      </x:c>
      <x:c r="C897" s="10" t="str">
        <x:v>DELIVERY:S03-06</x:v>
      </x:c>
      <x:c r="D897" s="10" t="str">
        <x:v>DELIVERY:M1351</x:v>
      </x:c>
      <x:c r="E897" s="15" t="n">
        <x:v>6.4675</x:v>
      </x:c>
      <x:c r="F897" s="15" t="str">
        <x:v>scored</x:v>
      </x:c>
      <x:c r="G897" s="15" t="n">
        <x:v>0</x:v>
      </x:c>
      <x:c r="H897" s="15" t="n">
        <x:v>0</x:v>
      </x:c>
      <x:c r="I897" s="15" t="n">
        <x:v>0</x:v>
      </x:c>
      <x:c r="J897" s="15" t="n">
        <x:v>0</x:v>
      </x:c>
      <x:c r="K897" s="15" t="n">
        <x:v>0</x:v>
      </x:c>
      <x:c r="L897" s="15" t="n">
        <x:v>0</x:v>
      </x:c>
      <x:c r="M897" s="15" t="n">
        <x:v>0</x:v>
      </x:c>
      <x:c r="N897" s="15" t="n">
        <x:v>0</x:v>
      </x:c>
      <x:c r="O897" s="15" t="n">
        <x:v>0</x:v>
      </x:c>
      <x:c r="P897" s="15" t="n">
        <x:v>0</x:v>
      </x:c>
      <x:c r="Q897" s="15" t="n">
        <x:v>0</x:v>
      </x:c>
      <x:c r="R897" s="15" t="n">
        <x:v>0</x:v>
      </x:c>
      <x:c r="S897" s="15" t="n">
        <x:v>0</x:v>
      </x:c>
      <x:c r="T897" s="15" t="n">
        <x:v>0</x:v>
      </x:c>
      <x:c r="U897" s="15" t="n">
        <x:v>0</x:v>
      </x:c>
      <x:c r="V897" s="15" t="n">
        <x:v>0</x:v>
      </x:c>
      <x:c r="W897" s="15" t="n">
        <x:v>0</x:v>
      </x:c>
      <x:c r="X897" s="15" t="n">
        <x:v>0</x:v>
      </x:c>
      <x:c r="Y897" s="15" t="n">
        <x:v>560</x:v>
      </x:c>
      <x:c r="Z897" s="15" t="n">
        <x:v>0.292536</x:v>
      </x:c>
      <x:c r="AA897" s="15" t="n">
        <x:v>0.004096</x:v>
      </x:c>
      <x:c r="AB897" s="15" t="n">
        <x:f>SUM(G897:AA897)</x:f>
        <x:v>560.296632</x:v>
      </x:c>
    </x:row>
    <x:row r="898" ht="36" customHeight="1">
      <x:c r="A898" s="10" t="str">
        <x:v>D-A</x:v>
      </x:c>
      <x:c r="B898" s="10" t="str">
        <x:v>DELIVERY</x:v>
      </x:c>
      <x:c r="C898" s="10" t="str">
        <x:v>DELIVERY:S03-07</x:v>
      </x:c>
      <x:c r="D898" s="10" t="str">
        <x:v>DELIVERY:M1384</x:v>
      </x:c>
      <x:c r="E898" s="15" t="n">
        <x:v>0.988333333</x:v>
      </x:c>
      <x:c r="F898" s="15" t="str">
        <x:v>scored</x:v>
      </x:c>
      <x:c r="G898" s="15" t="n">
        <x:v>0</x:v>
      </x:c>
      <x:c r="H898" s="15" t="n">
        <x:v>0</x:v>
      </x:c>
      <x:c r="I898" s="15" t="n">
        <x:v>0</x:v>
      </x:c>
      <x:c r="J898" s="15" t="n">
        <x:v>0</x:v>
      </x:c>
      <x:c r="K898" s="15" t="n">
        <x:v>0</x:v>
      </x:c>
      <x:c r="L898" s="15" t="n">
        <x:v>0</x:v>
      </x:c>
      <x:c r="M898" s="15" t="n">
        <x:v>0</x:v>
      </x:c>
      <x:c r="N898" s="15" t="n">
        <x:v>0</x:v>
      </x:c>
      <x:c r="O898" s="15" t="n">
        <x:v>0</x:v>
      </x:c>
      <x:c r="P898" s="15" t="n">
        <x:v>0</x:v>
      </x:c>
      <x:c r="Q898" s="15" t="n">
        <x:v>0</x:v>
      </x:c>
      <x:c r="R898" s="15" t="n">
        <x:v>0</x:v>
      </x:c>
      <x:c r="S898" s="15" t="n">
        <x:v>0</x:v>
      </x:c>
      <x:c r="T898" s="15" t="n">
        <x:v>0</x:v>
      </x:c>
      <x:c r="U898" s="15" t="n">
        <x:v>0</x:v>
      </x:c>
      <x:c r="V898" s="15" t="n">
        <x:v>0</x:v>
      </x:c>
      <x:c r="W898" s="15" t="n">
        <x:v>0</x:v>
      </x:c>
      <x:c r="X898" s="15" t="n">
        <x:v>0</x:v>
      </x:c>
      <x:c r="Y898" s="15" t="n">
        <x:v>560</x:v>
      </x:c>
      <x:c r="Z898" s="15" t="n">
        <x:v>0.445024</x:v>
      </x:c>
      <x:c r="AA898" s="15" t="n">
        <x:v>0.008192</x:v>
      </x:c>
      <x:c r="AB898" s="15" t="n">
        <x:f>SUM(G898:AA898)</x:f>
        <x:v>560.453216</x:v>
      </x:c>
    </x:row>
    <x:row r="899" ht="36" customHeight="1">
      <x:c r="A899" s="10" t="str">
        <x:v>D-B</x:v>
      </x:c>
      <x:c r="B899" s="10" t="str">
        <x:v>DELIVERY</x:v>
      </x:c>
      <x:c r="C899" s="10" t="str">
        <x:v>DELIVERY:S03-07</x:v>
      </x:c>
      <x:c r="D899" s="10" t="str">
        <x:v>DELIVERY:M1432</x:v>
      </x:c>
      <x:c r="E899" s="15" t="n">
        <x:v>6.510833333</x:v>
      </x:c>
      <x:c r="F899" s="15" t="str">
        <x:v>scored</x:v>
      </x:c>
      <x:c r="G899" s="15" t="n">
        <x:v>0</x:v>
      </x:c>
      <x:c r="H899" s="15" t="n">
        <x:v>0</x:v>
      </x:c>
      <x:c r="I899" s="15" t="n">
        <x:v>0</x:v>
      </x:c>
      <x:c r="J899" s="15" t="n">
        <x:v>0</x:v>
      </x:c>
      <x:c r="K899" s="15" t="n">
        <x:v>0</x:v>
      </x:c>
      <x:c r="L899" s="15" t="n">
        <x:v>0</x:v>
      </x:c>
      <x:c r="M899" s="15" t="n">
        <x:v>0</x:v>
      </x:c>
      <x:c r="N899" s="15" t="n">
        <x:v>0</x:v>
      </x:c>
      <x:c r="O899" s="15" t="n">
        <x:v>0</x:v>
      </x:c>
      <x:c r="P899" s="15" t="n">
        <x:v>0</x:v>
      </x:c>
      <x:c r="Q899" s="15" t="n">
        <x:v>0</x:v>
      </x:c>
      <x:c r="R899" s="15" t="n">
        <x:v>0</x:v>
      </x:c>
      <x:c r="S899" s="15" t="n">
        <x:v>0</x:v>
      </x:c>
      <x:c r="T899" s="15" t="n">
        <x:v>0</x:v>
      </x:c>
      <x:c r="U899" s="15" t="n">
        <x:v>0</x:v>
      </x:c>
      <x:c r="V899" s="15" t="n">
        <x:v>0</x:v>
      </x:c>
      <x:c r="W899" s="15" t="n">
        <x:v>0</x:v>
      </x:c>
      <x:c r="X899" s="15" t="n">
        <x:v>0</x:v>
      </x:c>
      <x:c r="Y899" s="15" t="n">
        <x:v>560</x:v>
      </x:c>
      <x:c r="Z899" s="15" t="n">
        <x:v>0.292968</x:v>
      </x:c>
      <x:c r="AA899" s="15" t="n">
        <x:v>0.004096</x:v>
      </x:c>
      <x:c r="AB899" s="15" t="n">
        <x:f>SUM(G899:AA899)</x:f>
        <x:v>560.297064</x:v>
      </x:c>
    </x:row>
    <x:row r="900" ht="36" customHeight="1">
      <x:c r="A900" s="10" t="str">
        <x:v>D-A</x:v>
      </x:c>
      <x:c r="B900" s="10" t="str">
        <x:v>DELIVERY</x:v>
      </x:c>
      <x:c r="C900" s="10" t="str">
        <x:v>DELIVERY:S03-08</x:v>
      </x:c>
      <x:c r="D900" s="10" t="str">
        <x:v>DELIVERY:M1465</x:v>
      </x:c>
      <x:c r="E900" s="15" t="n">
        <x:v>1.016666667</x:v>
      </x:c>
      <x:c r="F900" s="15" t="str">
        <x:v>scored</x:v>
      </x:c>
      <x:c r="G900" s="15" t="n">
        <x:v>0</x:v>
      </x:c>
      <x:c r="H900" s="15" t="n">
        <x:v>0</x:v>
      </x:c>
      <x:c r="I900" s="15" t="n">
        <x:v>0</x:v>
      </x:c>
      <x:c r="J900" s="15" t="n">
        <x:v>0</x:v>
      </x:c>
      <x:c r="K900" s="15" t="n">
        <x:v>0</x:v>
      </x:c>
      <x:c r="L900" s="15" t="n">
        <x:v>0</x:v>
      </x:c>
      <x:c r="M900" s="15" t="n">
        <x:v>0</x:v>
      </x:c>
      <x:c r="N900" s="15" t="n">
        <x:v>0</x:v>
      </x:c>
      <x:c r="O900" s="15" t="n">
        <x:v>0</x:v>
      </x:c>
      <x:c r="P900" s="15" t="n">
        <x:v>0</x:v>
      </x:c>
      <x:c r="Q900" s="15" t="n">
        <x:v>0</x:v>
      </x:c>
      <x:c r="R900" s="15" t="n">
        <x:v>0</x:v>
      </x:c>
      <x:c r="S900" s="15" t="n">
        <x:v>0</x:v>
      </x:c>
      <x:c r="T900" s="15" t="n">
        <x:v>0</x:v>
      </x:c>
      <x:c r="U900" s="15" t="n">
        <x:v>0</x:v>
      </x:c>
      <x:c r="V900" s="15" t="n">
        <x:v>0</x:v>
      </x:c>
      <x:c r="W900" s="15" t="n">
        <x:v>0</x:v>
      </x:c>
      <x:c r="X900" s="15" t="n">
        <x:v>0</x:v>
      </x:c>
      <x:c r="Y900" s="15" t="n">
        <x:v>560</x:v>
      </x:c>
      <x:c r="Z900" s="15" t="n">
        <x:v>0.45104</x:v>
      </x:c>
      <x:c r="AA900" s="15" t="n">
        <x:v>0.008192</x:v>
      </x:c>
      <x:c r="AB900" s="15" t="n">
        <x:f>SUM(G900:AA900)</x:f>
        <x:v>560.459232</x:v>
      </x:c>
    </x:row>
    <x:row r="901" ht="36" customHeight="1">
      <x:c r="A901" s="10" t="str">
        <x:v>D-B</x:v>
      </x:c>
      <x:c r="B901" s="10" t="str">
        <x:v>DELIVERY</x:v>
      </x:c>
      <x:c r="C901" s="10" t="str">
        <x:v>DELIVERY:S03-08</x:v>
      </x:c>
      <x:c r="D901" s="10" t="str">
        <x:v>DELIVERY:M1513</x:v>
      </x:c>
      <x:c r="E901" s="15" t="n">
        <x:v>6.554166667</x:v>
      </x:c>
      <x:c r="F901" s="15" t="str">
        <x:v>scored</x:v>
      </x:c>
      <x:c r="G901" s="15" t="n">
        <x:v>0</x:v>
      </x:c>
      <x:c r="H901" s="15" t="n">
        <x:v>0</x:v>
      </x:c>
      <x:c r="I901" s="15" t="n">
        <x:v>0</x:v>
      </x:c>
      <x:c r="J901" s="15" t="n">
        <x:v>0</x:v>
      </x:c>
      <x:c r="K901" s="15" t="n">
        <x:v>0</x:v>
      </x:c>
      <x:c r="L901" s="15" t="n">
        <x:v>0</x:v>
      </x:c>
      <x:c r="M901" s="15" t="n">
        <x:v>0</x:v>
      </x:c>
      <x:c r="N901" s="15" t="n">
        <x:v>0</x:v>
      </x:c>
      <x:c r="O901" s="15" t="n">
        <x:v>0</x:v>
      </x:c>
      <x:c r="P901" s="15" t="n">
        <x:v>0</x:v>
      </x:c>
      <x:c r="Q901" s="15" t="n">
        <x:v>0</x:v>
      </x:c>
      <x:c r="R901" s="15" t="n">
        <x:v>0</x:v>
      </x:c>
      <x:c r="S901" s="15" t="n">
        <x:v>0</x:v>
      </x:c>
      <x:c r="T901" s="15" t="n">
        <x:v>0</x:v>
      </x:c>
      <x:c r="U901" s="15" t="n">
        <x:v>0</x:v>
      </x:c>
      <x:c r="V901" s="15" t="n">
        <x:v>0</x:v>
      </x:c>
      <x:c r="W901" s="15" t="n">
        <x:v>0</x:v>
      </x:c>
      <x:c r="X901" s="15" t="n">
        <x:v>0</x:v>
      </x:c>
      <x:c r="Y901" s="15" t="n">
        <x:v>560</x:v>
      </x:c>
      <x:c r="Z901" s="15" t="n">
        <x:v>0.2934</x:v>
      </x:c>
      <x:c r="AA901" s="15" t="n">
        <x:v>0.004096</x:v>
      </x:c>
      <x:c r="AB901" s="15" t="n">
        <x:f>SUM(G901:AA901)</x:f>
        <x:v>560.297496</x:v>
      </x:c>
    </x:row>
    <x:row r="902" ht="36" customHeight="1">
      <x:c r="A902" s="10" t="str">
        <x:v>D-A</x:v>
      </x:c>
      <x:c r="B902" s="10" t="str">
        <x:v>DELIVERY</x:v>
      </x:c>
      <x:c r="C902" s="10" t="str">
        <x:v>DELIVERY:S03-09</x:v>
      </x:c>
      <x:c r="D902" s="10" t="str">
        <x:v>DELIVERY:M1546</x:v>
      </x:c>
      <x:c r="E902" s="15" t="n">
        <x:v>0.97</x:v>
      </x:c>
      <x:c r="F902" s="15" t="str">
        <x:v>scored</x:v>
      </x:c>
      <x:c r="G902" s="15" t="n">
        <x:v>0</x:v>
      </x:c>
      <x:c r="H902" s="15" t="n">
        <x:v>0</x:v>
      </x:c>
      <x:c r="I902" s="15" t="n">
        <x:v>0</x:v>
      </x:c>
      <x:c r="J902" s="15" t="n">
        <x:v>0</x:v>
      </x:c>
      <x:c r="K902" s="15" t="n">
        <x:v>0</x:v>
      </x:c>
      <x:c r="L902" s="15" t="n">
        <x:v>0</x:v>
      </x:c>
      <x:c r="M902" s="15" t="n">
        <x:v>0</x:v>
      </x:c>
      <x:c r="N902" s="15" t="n">
        <x:v>0</x:v>
      </x:c>
      <x:c r="O902" s="15" t="n">
        <x:v>0</x:v>
      </x:c>
      <x:c r="P902" s="15" t="n">
        <x:v>0</x:v>
      </x:c>
      <x:c r="Q902" s="15" t="n">
        <x:v>0</x:v>
      </x:c>
      <x:c r="R902" s="15" t="n">
        <x:v>0</x:v>
      </x:c>
      <x:c r="S902" s="15" t="n">
        <x:v>0</x:v>
      </x:c>
      <x:c r="T902" s="15" t="n">
        <x:v>0</x:v>
      </x:c>
      <x:c r="U902" s="15" t="n">
        <x:v>0</x:v>
      </x:c>
      <x:c r="V902" s="15" t="n">
        <x:v>0</x:v>
      </x:c>
      <x:c r="W902" s="15" t="n">
        <x:v>0</x:v>
      </x:c>
      <x:c r="X902" s="15" t="n">
        <x:v>0</x:v>
      </x:c>
      <x:c r="Y902" s="15" t="n">
        <x:v>560</x:v>
      </x:c>
      <x:c r="Z902" s="15" t="n">
        <x:v>0.442656</x:v>
      </x:c>
      <x:c r="AA902" s="15" t="n">
        <x:v>0.008192</x:v>
      </x:c>
      <x:c r="AB902" s="15" t="n">
        <x:f>SUM(G902:AA902)</x:f>
        <x:v>560.4508480000001</x:v>
      </x:c>
    </x:row>
    <x:row r="903" ht="36" customHeight="1">
      <x:c r="A903" s="10" t="str">
        <x:v>D-B</x:v>
      </x:c>
      <x:c r="B903" s="10" t="str">
        <x:v>DELIVERY</x:v>
      </x:c>
      <x:c r="C903" s="10" t="str">
        <x:v>DELIVERY:S03-09</x:v>
      </x:c>
      <x:c r="D903" s="10" t="str">
        <x:v>DELIVERY:M1594</x:v>
      </x:c>
      <x:c r="E903" s="15" t="n">
        <x:v>6.5225</x:v>
      </x:c>
      <x:c r="F903" s="15" t="str">
        <x:v>scored</x:v>
      </x:c>
      <x:c r="G903" s="15" t="n">
        <x:v>0</x:v>
      </x:c>
      <x:c r="H903" s="15" t="n">
        <x:v>0</x:v>
      </x:c>
      <x:c r="I903" s="15" t="n">
        <x:v>0</x:v>
      </x:c>
      <x:c r="J903" s="15" t="n">
        <x:v>0</x:v>
      </x:c>
      <x:c r="K903" s="15" t="n">
        <x:v>0</x:v>
      </x:c>
      <x:c r="L903" s="15" t="n">
        <x:v>0</x:v>
      </x:c>
      <x:c r="M903" s="15" t="n">
        <x:v>0</x:v>
      </x:c>
      <x:c r="N903" s="15" t="n">
        <x:v>0</x:v>
      </x:c>
      <x:c r="O903" s="15" t="n">
        <x:v>0</x:v>
      </x:c>
      <x:c r="P903" s="15" t="n">
        <x:v>0</x:v>
      </x:c>
      <x:c r="Q903" s="15" t="n">
        <x:v>0</x:v>
      </x:c>
      <x:c r="R903" s="15" t="n">
        <x:v>0</x:v>
      </x:c>
      <x:c r="S903" s="15" t="n">
        <x:v>0</x:v>
      </x:c>
      <x:c r="T903" s="15" t="n">
        <x:v>0</x:v>
      </x:c>
      <x:c r="U903" s="15" t="n">
        <x:v>0</x:v>
      </x:c>
      <x:c r="V903" s="15" t="n">
        <x:v>0</x:v>
      </x:c>
      <x:c r="W903" s="15" t="n">
        <x:v>0</x:v>
      </x:c>
      <x:c r="X903" s="15" t="n">
        <x:v>0</x:v>
      </x:c>
      <x:c r="Y903" s="15" t="n">
        <x:v>560</x:v>
      </x:c>
      <x:c r="Z903" s="15" t="n">
        <x:v>0.293832</x:v>
      </x:c>
      <x:c r="AA903" s="15" t="n">
        <x:v>0.004096</x:v>
      </x:c>
      <x:c r="AB903" s="15" t="n">
        <x:f>SUM(G903:AA903)</x:f>
        <x:v>560.297928</x:v>
      </x:c>
    </x:row>
    <x:row r="904" ht="36" customHeight="1">
      <x:c r="A904" s="10" t="str">
        <x:v>D-A</x:v>
      </x:c>
      <x:c r="B904" s="10" t="str">
        <x:v>DELIVERY</x:v>
      </x:c>
      <x:c r="C904" s="10" t="str">
        <x:v>DELIVERY:S03-10</x:v>
      </x:c>
      <x:c r="D904" s="10" t="str">
        <x:v>DELIVERY:M1627</x:v>
      </x:c>
      <x:c r="E904" s="15" t="n">
        <x:v>0.998333333</x:v>
      </x:c>
      <x:c r="F904" s="15" t="str">
        <x:v>scored</x:v>
      </x:c>
      <x:c r="G904" s="15" t="n">
        <x:v>0</x:v>
      </x:c>
      <x:c r="H904" s="15" t="n">
        <x:v>0</x:v>
      </x:c>
      <x:c r="I904" s="15" t="n">
        <x:v>0</x:v>
      </x:c>
      <x:c r="J904" s="15" t="n">
        <x:v>0</x:v>
      </x:c>
      <x:c r="K904" s="15" t="n">
        <x:v>0</x:v>
      </x:c>
      <x:c r="L904" s="15" t="n">
        <x:v>0</x:v>
      </x:c>
      <x:c r="M904" s="15" t="n">
        <x:v>0</x:v>
      </x:c>
      <x:c r="N904" s="15" t="n">
        <x:v>0</x:v>
      </x:c>
      <x:c r="O904" s="15" t="n">
        <x:v>0</x:v>
      </x:c>
      <x:c r="P904" s="15" t="n">
        <x:v>0</x:v>
      </x:c>
      <x:c r="Q904" s="15" t="n">
        <x:v>0</x:v>
      </x:c>
      <x:c r="R904" s="15" t="n">
        <x:v>0</x:v>
      </x:c>
      <x:c r="S904" s="15" t="n">
        <x:v>0</x:v>
      </x:c>
      <x:c r="T904" s="15" t="n">
        <x:v>0</x:v>
      </x:c>
      <x:c r="U904" s="15" t="n">
        <x:v>0</x:v>
      </x:c>
      <x:c r="V904" s="15" t="n">
        <x:v>0</x:v>
      </x:c>
      <x:c r="W904" s="15" t="n">
        <x:v>0</x:v>
      </x:c>
      <x:c r="X904" s="15" t="n">
        <x:v>0</x:v>
      </x:c>
      <x:c r="Y904" s="15" t="n">
        <x:v>560</x:v>
      </x:c>
      <x:c r="Z904" s="15" t="n">
        <x:v>0.448672</x:v>
      </x:c>
      <x:c r="AA904" s="15" t="n">
        <x:v>0.008192</x:v>
      </x:c>
      <x:c r="AB904" s="15" t="n">
        <x:f>SUM(G904:AA904)</x:f>
        <x:v>560.456864</x:v>
      </x:c>
    </x:row>
    <x:row r="905" ht="36" customHeight="1">
      <x:c r="A905" s="10" t="str">
        <x:v>D-B</x:v>
      </x:c>
      <x:c r="B905" s="10" t="str">
        <x:v>DELIVERY</x:v>
      </x:c>
      <x:c r="C905" s="10" t="str">
        <x:v>DELIVERY:S03-10</x:v>
      </x:c>
      <x:c r="D905" s="10" t="str">
        <x:v>DELIVERY:M1675</x:v>
      </x:c>
      <x:c r="E905" s="15" t="n">
        <x:v>6.565833333</x:v>
      </x:c>
      <x:c r="F905" s="15" t="str">
        <x:v>scored</x:v>
      </x:c>
      <x:c r="G905" s="15" t="n">
        <x:v>0</x:v>
      </x:c>
      <x:c r="H905" s="15" t="n">
        <x:v>0</x:v>
      </x:c>
      <x:c r="I905" s="15" t="n">
        <x:v>0</x:v>
      </x:c>
      <x:c r="J905" s="15" t="n">
        <x:v>0</x:v>
      </x:c>
      <x:c r="K905" s="15" t="n">
        <x:v>0</x:v>
      </x:c>
      <x:c r="L905" s="15" t="n">
        <x:v>0</x:v>
      </x:c>
      <x:c r="M905" s="15" t="n">
        <x:v>0</x:v>
      </x:c>
      <x:c r="N905" s="15" t="n">
        <x:v>0</x:v>
      </x:c>
      <x:c r="O905" s="15" t="n">
        <x:v>0</x:v>
      </x:c>
      <x:c r="P905" s="15" t="n">
        <x:v>0</x:v>
      </x:c>
      <x:c r="Q905" s="15" t="n">
        <x:v>0</x:v>
      </x:c>
      <x:c r="R905" s="15" t="n">
        <x:v>0</x:v>
      </x:c>
      <x:c r="S905" s="15" t="n">
        <x:v>0</x:v>
      </x:c>
      <x:c r="T905" s="15" t="n">
        <x:v>0</x:v>
      </x:c>
      <x:c r="U905" s="15" t="n">
        <x:v>0</x:v>
      </x:c>
      <x:c r="V905" s="15" t="n">
        <x:v>0</x:v>
      </x:c>
      <x:c r="W905" s="15" t="n">
        <x:v>0</x:v>
      </x:c>
      <x:c r="X905" s="15" t="n">
        <x:v>0</x:v>
      </x:c>
      <x:c r="Y905" s="15" t="n">
        <x:v>560</x:v>
      </x:c>
      <x:c r="Z905" s="15" t="n">
        <x:v>0.294264</x:v>
      </x:c>
      <x:c r="AA905" s="15" t="n">
        <x:v>0.004096</x:v>
      </x:c>
      <x:c r="AB905" s="15" t="n">
        <x:f>SUM(G905:AA905)</x:f>
        <x:v>560.29836</x:v>
      </x:c>
    </x:row>
    <x:row r="906" ht="36" customHeight="1">
      <x:c r="A906" s="10" t="str">
        <x:v>D-A</x:v>
      </x:c>
      <x:c r="B906" s="10" t="str">
        <x:v>DELIVERY</x:v>
      </x:c>
      <x:c r="C906" s="10" t="str">
        <x:v>DELIVERY:S04-01</x:v>
      </x:c>
      <x:c r="D906" s="10" t="str">
        <x:v>DELIVERY:M1696</x:v>
      </x:c>
      <x:c r="E906" s="15" t="n">
        <x:v>0.968333333</x:v>
      </x:c>
      <x:c r="F906" s="15" t="str">
        <x:v>scored</x:v>
      </x:c>
      <x:c r="G906" s="15" t="n">
        <x:v>0</x:v>
      </x:c>
      <x:c r="H906" s="15" t="n">
        <x:v>0</x:v>
      </x:c>
      <x:c r="I906" s="15" t="n">
        <x:v>0</x:v>
      </x:c>
      <x:c r="J906" s="15" t="n">
        <x:v>0</x:v>
      </x:c>
      <x:c r="K906" s="15" t="n">
        <x:v>0</x:v>
      </x:c>
      <x:c r="L906" s="15" t="n">
        <x:v>0</x:v>
      </x:c>
      <x:c r="M906" s="15" t="n">
        <x:v>0</x:v>
      </x:c>
      <x:c r="N906" s="15" t="n">
        <x:v>0</x:v>
      </x:c>
      <x:c r="O906" s="15" t="n">
        <x:v>0</x:v>
      </x:c>
      <x:c r="P906" s="15" t="n">
        <x:v>0</x:v>
      </x:c>
      <x:c r="Q906" s="15" t="n">
        <x:v>0</x:v>
      </x:c>
      <x:c r="R906" s="15" t="n">
        <x:v>0</x:v>
      </x:c>
      <x:c r="S906" s="15" t="n">
        <x:v>0</x:v>
      </x:c>
      <x:c r="T906" s="15" t="n">
        <x:v>0</x:v>
      </x:c>
      <x:c r="U906" s="15" t="n">
        <x:v>0</x:v>
      </x:c>
      <x:c r="V906" s="15" t="n">
        <x:v>0</x:v>
      </x:c>
      <x:c r="W906" s="15" t="n">
        <x:v>0</x:v>
      </x:c>
      <x:c r="X906" s="15" t="n">
        <x:v>0</x:v>
      </x:c>
      <x:c r="Y906" s="15" t="n">
        <x:v>560</x:v>
      </x:c>
      <x:c r="Z906" s="15" t="n">
        <x:v>0.3088</x:v>
      </x:c>
      <x:c r="AA906" s="15" t="n">
        <x:v>0.008192</x:v>
      </x:c>
      <x:c r="AB906" s="15" t="n">
        <x:f>SUM(G906:AA906)</x:f>
        <x:v>560.316992</x:v>
      </x:c>
    </x:row>
    <x:row r="907" ht="36" customHeight="1">
      <x:c r="A907" s="10" t="str">
        <x:v>D-B</x:v>
      </x:c>
      <x:c r="B907" s="10" t="str">
        <x:v>DELIVERY</x:v>
      </x:c>
      <x:c r="C907" s="10" t="str">
        <x:v>DELIVERY:S04-01</x:v>
      </x:c>
      <x:c r="D907" s="10" t="str">
        <x:v>DELIVERY:M1726</x:v>
      </x:c>
      <x:c r="E907" s="15" t="n">
        <x:v>2.112166666</x:v>
      </x:c>
      <x:c r="F907" s="15" t="str">
        <x:v>scored</x:v>
      </x:c>
      <x:c r="G907" s="15" t="n">
        <x:v>0</x:v>
      </x:c>
      <x:c r="H907" s="15" t="n">
        <x:v>0</x:v>
      </x:c>
      <x:c r="I907" s="15" t="n">
        <x:v>0</x:v>
      </x:c>
      <x:c r="J907" s="15" t="n">
        <x:v>0</x:v>
      </x:c>
      <x:c r="K907" s="15" t="n">
        <x:v>0</x:v>
      </x:c>
      <x:c r="L907" s="15" t="n">
        <x:v>0</x:v>
      </x:c>
      <x:c r="M907" s="15" t="n">
        <x:v>0</x:v>
      </x:c>
      <x:c r="N907" s="15" t="n">
        <x:v>0</x:v>
      </x:c>
      <x:c r="O907" s="15" t="n">
        <x:v>0</x:v>
      </x:c>
      <x:c r="P907" s="15" t="n">
        <x:v>0</x:v>
      </x:c>
      <x:c r="Q907" s="15" t="n">
        <x:v>0</x:v>
      </x:c>
      <x:c r="R907" s="15" t="n">
        <x:v>0</x:v>
      </x:c>
      <x:c r="S907" s="15" t="n">
        <x:v>0</x:v>
      </x:c>
      <x:c r="T907" s="15" t="n">
        <x:v>0</x:v>
      </x:c>
      <x:c r="U907" s="15" t="n">
        <x:v>0</x:v>
      </x:c>
      <x:c r="V907" s="15" t="n">
        <x:v>0</x:v>
      </x:c>
      <x:c r="W907" s="15" t="n">
        <x:v>0</x:v>
      </x:c>
      <x:c r="X907" s="15" t="n">
        <x:v>0</x:v>
      </x:c>
      <x:c r="Y907" s="15" t="n">
        <x:v>560</x:v>
      </x:c>
      <x:c r="Z907" s="15" t="n">
        <x:v>0.131976</x:v>
      </x:c>
      <x:c r="AA907" s="15" t="n">
        <x:v>0.004096</x:v>
      </x:c>
      <x:c r="AB907" s="15" t="n">
        <x:f>SUM(G907:AA907)</x:f>
        <x:v>560.136072</x:v>
      </x:c>
    </x:row>
    <x:row r="908" ht="36" customHeight="1">
      <x:c r="A908" s="10" t="str">
        <x:v>D-A</x:v>
      </x:c>
      <x:c r="B908" s="10" t="str">
        <x:v>DELIVERY</x:v>
      </x:c>
      <x:c r="C908" s="10" t="str">
        <x:v>DELIVERY:S04-02</x:v>
      </x:c>
      <x:c r="D908" s="10" t="str">
        <x:v>DELIVERY:M1747</x:v>
      </x:c>
      <x:c r="E908" s="15" t="n">
        <x:v>0.996666667</x:v>
      </x:c>
      <x:c r="F908" s="15" t="str">
        <x:v>scored</x:v>
      </x:c>
      <x:c r="G908" s="15" t="n">
        <x:v>0</x:v>
      </x:c>
      <x:c r="H908" s="15" t="n">
        <x:v>0</x:v>
      </x:c>
      <x:c r="I908" s="15" t="n">
        <x:v>0</x:v>
      </x:c>
      <x:c r="J908" s="15" t="n">
        <x:v>0</x:v>
      </x:c>
      <x:c r="K908" s="15" t="n">
        <x:v>0</x:v>
      </x:c>
      <x:c r="L908" s="15" t="n">
        <x:v>0</x:v>
      </x:c>
      <x:c r="M908" s="15" t="n">
        <x:v>0</x:v>
      </x:c>
      <x:c r="N908" s="15" t="n">
        <x:v>0</x:v>
      </x:c>
      <x:c r="O908" s="15" t="n">
        <x:v>0</x:v>
      </x:c>
      <x:c r="P908" s="15" t="n">
        <x:v>0</x:v>
      </x:c>
      <x:c r="Q908" s="15" t="n">
        <x:v>0</x:v>
      </x:c>
      <x:c r="R908" s="15" t="n">
        <x:v>0</x:v>
      </x:c>
      <x:c r="S908" s="15" t="n">
        <x:v>0</x:v>
      </x:c>
      <x:c r="T908" s="15" t="n">
        <x:v>0</x:v>
      </x:c>
      <x:c r="U908" s="15" t="n">
        <x:v>0</x:v>
      </x:c>
      <x:c r="V908" s="15" t="n">
        <x:v>0</x:v>
      </x:c>
      <x:c r="W908" s="15" t="n">
        <x:v>0</x:v>
      </x:c>
      <x:c r="X908" s="15" t="n">
        <x:v>0</x:v>
      </x:c>
      <x:c r="Y908" s="15" t="n">
        <x:v>560</x:v>
      </x:c>
      <x:c r="Z908" s="15" t="n">
        <x:v>0.31424</x:v>
      </x:c>
      <x:c r="AA908" s="15" t="n">
        <x:v>0.008192</x:v>
      </x:c>
      <x:c r="AB908" s="15" t="n">
        <x:f>SUM(G908:AA908)</x:f>
        <x:v>560.322432</x:v>
      </x:c>
    </x:row>
    <x:row r="909" ht="36" customHeight="1">
      <x:c r="A909" s="10" t="str">
        <x:v>D-B</x:v>
      </x:c>
      <x:c r="B909" s="10" t="str">
        <x:v>DELIVERY</x:v>
      </x:c>
      <x:c r="C909" s="10" t="str">
        <x:v>DELIVERY:S04-02</x:v>
      </x:c>
      <x:c r="D909" s="10" t="str">
        <x:v>DELIVERY:M1777</x:v>
      </x:c>
      <x:c r="E909" s="15" t="n">
        <x:v>2.1435</x:v>
      </x:c>
      <x:c r="F909" s="15" t="str">
        <x:v>scored</x:v>
      </x:c>
      <x:c r="G909" s="15" t="n">
        <x:v>0</x:v>
      </x:c>
      <x:c r="H909" s="15" t="n">
        <x:v>0</x:v>
      </x:c>
      <x:c r="I909" s="15" t="n">
        <x:v>0</x:v>
      </x:c>
      <x:c r="J909" s="15" t="n">
        <x:v>0</x:v>
      </x:c>
      <x:c r="K909" s="15" t="n">
        <x:v>0</x:v>
      </x:c>
      <x:c r="L909" s="15" t="n">
        <x:v>0</x:v>
      </x:c>
      <x:c r="M909" s="15" t="n">
        <x:v>0</x:v>
      </x:c>
      <x:c r="N909" s="15" t="n">
        <x:v>0</x:v>
      </x:c>
      <x:c r="O909" s="15" t="n">
        <x:v>0</x:v>
      </x:c>
      <x:c r="P909" s="15" t="n">
        <x:v>0</x:v>
      </x:c>
      <x:c r="Q909" s="15" t="n">
        <x:v>0</x:v>
      </x:c>
      <x:c r="R909" s="15" t="n">
        <x:v>0</x:v>
      </x:c>
      <x:c r="S909" s="15" t="n">
        <x:v>0</x:v>
      </x:c>
      <x:c r="T909" s="15" t="n">
        <x:v>0</x:v>
      </x:c>
      <x:c r="U909" s="15" t="n">
        <x:v>0</x:v>
      </x:c>
      <x:c r="V909" s="15" t="n">
        <x:v>0</x:v>
      </x:c>
      <x:c r="W909" s="15" t="n">
        <x:v>0</x:v>
      </x:c>
      <x:c r="X909" s="15" t="n">
        <x:v>0</x:v>
      </x:c>
      <x:c r="Y909" s="15" t="n">
        <x:v>560</x:v>
      </x:c>
      <x:c r="Z909" s="15" t="n">
        <x:v>0.132408</x:v>
      </x:c>
      <x:c r="AA909" s="15" t="n">
        <x:v>0.004096</x:v>
      </x:c>
      <x:c r="AB909" s="15" t="n">
        <x:f>SUM(G909:AA909)</x:f>
        <x:v>560.1365040000001</x:v>
      </x:c>
    </x:row>
    <x:row r="910" ht="36" customHeight="1">
      <x:c r="A910" s="10" t="str">
        <x:v>D-A</x:v>
      </x:c>
      <x:c r="B910" s="10" t="str">
        <x:v>DELIVERY</x:v>
      </x:c>
      <x:c r="C910" s="10" t="str">
        <x:v>DELIVERY:S04-03</x:v>
      </x:c>
      <x:c r="D910" s="10" t="str">
        <x:v>DELIVERY:M1798</x:v>
      </x:c>
      <x:c r="E910" s="15" t="n">
        <x:v>0.95</x:v>
      </x:c>
      <x:c r="F910" s="15" t="str">
        <x:v>scored</x:v>
      </x:c>
      <x:c r="G910" s="15" t="n">
        <x:v>0</x:v>
      </x:c>
      <x:c r="H910" s="15" t="n">
        <x:v>0</x:v>
      </x:c>
      <x:c r="I910" s="15" t="n">
        <x:v>0</x:v>
      </x:c>
      <x:c r="J910" s="15" t="n">
        <x:v>0</x:v>
      </x:c>
      <x:c r="K910" s="15" t="n">
        <x:v>0</x:v>
      </x:c>
      <x:c r="L910" s="15" t="n">
        <x:v>0</x:v>
      </x:c>
      <x:c r="M910" s="15" t="n">
        <x:v>0</x:v>
      </x:c>
      <x:c r="N910" s="15" t="n">
        <x:v>0</x:v>
      </x:c>
      <x:c r="O910" s="15" t="n">
        <x:v>0</x:v>
      </x:c>
      <x:c r="P910" s="15" t="n">
        <x:v>0</x:v>
      </x:c>
      <x:c r="Q910" s="15" t="n">
        <x:v>0</x:v>
      </x:c>
      <x:c r="R910" s="15" t="n">
        <x:v>0</x:v>
      </x:c>
      <x:c r="S910" s="15" t="n">
        <x:v>0</x:v>
      </x:c>
      <x:c r="T910" s="15" t="n">
        <x:v>0</x:v>
      </x:c>
      <x:c r="U910" s="15" t="n">
        <x:v>0</x:v>
      </x:c>
      <x:c r="V910" s="15" t="n">
        <x:v>0</x:v>
      </x:c>
      <x:c r="W910" s="15" t="n">
        <x:v>0</x:v>
      </x:c>
      <x:c r="X910" s="15" t="n">
        <x:v>0</x:v>
      </x:c>
      <x:c r="Y910" s="15" t="n">
        <x:v>560</x:v>
      </x:c>
      <x:c r="Z910" s="15" t="n">
        <x:v>0.30528</x:v>
      </x:c>
      <x:c r="AA910" s="15" t="n">
        <x:v>0.008192</x:v>
      </x:c>
      <x:c r="AB910" s="15" t="n">
        <x:f>SUM(G910:AA910)</x:f>
        <x:v>560.313472</x:v>
      </x:c>
    </x:row>
    <x:row r="911" ht="36" customHeight="1">
      <x:c r="A911" s="10" t="str">
        <x:v>D-B</x:v>
      </x:c>
      <x:c r="B911" s="10" t="str">
        <x:v>DELIVERY</x:v>
      </x:c>
      <x:c r="C911" s="10" t="str">
        <x:v>DELIVERY:S04-03</x:v>
      </x:c>
      <x:c r="D911" s="10" t="str">
        <x:v>DELIVERY:M1828</x:v>
      </x:c>
      <x:c r="E911" s="15" t="n">
        <x:v>2.099833333</x:v>
      </x:c>
      <x:c r="F911" s="15" t="str">
        <x:v>scored</x:v>
      </x:c>
      <x:c r="G911" s="15" t="n">
        <x:v>0</x:v>
      </x:c>
      <x:c r="H911" s="15" t="n">
        <x:v>0</x:v>
      </x:c>
      <x:c r="I911" s="15" t="n">
        <x:v>0</x:v>
      </x:c>
      <x:c r="J911" s="15" t="n">
        <x:v>0</x:v>
      </x:c>
      <x:c r="K911" s="15" t="n">
        <x:v>0</x:v>
      </x:c>
      <x:c r="L911" s="15" t="n">
        <x:v>0</x:v>
      </x:c>
      <x:c r="M911" s="15" t="n">
        <x:v>0</x:v>
      </x:c>
      <x:c r="N911" s="15" t="n">
        <x:v>0</x:v>
      </x:c>
      <x:c r="O911" s="15" t="n">
        <x:v>0</x:v>
      </x:c>
      <x:c r="P911" s="15" t="n">
        <x:v>0</x:v>
      </x:c>
      <x:c r="Q911" s="15" t="n">
        <x:v>0</x:v>
      </x:c>
      <x:c r="R911" s="15" t="n">
        <x:v>0</x:v>
      </x:c>
      <x:c r="S911" s="15" t="n">
        <x:v>0</x:v>
      </x:c>
      <x:c r="T911" s="15" t="n">
        <x:v>0</x:v>
      </x:c>
      <x:c r="U911" s="15" t="n">
        <x:v>0</x:v>
      </x:c>
      <x:c r="V911" s="15" t="n">
        <x:v>0</x:v>
      </x:c>
      <x:c r="W911" s="15" t="n">
        <x:v>0</x:v>
      </x:c>
      <x:c r="X911" s="15" t="n">
        <x:v>0</x:v>
      </x:c>
      <x:c r="Y911" s="15" t="n">
        <x:v>560</x:v>
      </x:c>
      <x:c r="Z911" s="15" t="n">
        <x:v>0.13284</x:v>
      </x:c>
      <x:c r="AA911" s="15" t="n">
        <x:v>0.004096</x:v>
      </x:c>
      <x:c r="AB911" s="15" t="n">
        <x:f>SUM(G911:AA911)</x:f>
        <x:v>560.136936</x:v>
      </x:c>
    </x:row>
    <x:row r="912" ht="36" customHeight="1">
      <x:c r="A912" s="10" t="str">
        <x:v>D-A</x:v>
      </x:c>
      <x:c r="B912" s="10" t="str">
        <x:v>DELIVERY</x:v>
      </x:c>
      <x:c r="C912" s="10" t="str">
        <x:v>DELIVERY:S04-04</x:v>
      </x:c>
      <x:c r="D912" s="10" t="str">
        <x:v>DELIVERY:M1849</x:v>
      </x:c>
      <x:c r="E912" s="15" t="n">
        <x:v>0.978333333</x:v>
      </x:c>
      <x:c r="F912" s="15" t="str">
        <x:v>scored</x:v>
      </x:c>
      <x:c r="G912" s="15" t="n">
        <x:v>0</x:v>
      </x:c>
      <x:c r="H912" s="15" t="n">
        <x:v>0</x:v>
      </x:c>
      <x:c r="I912" s="15" t="n">
        <x:v>0</x:v>
      </x:c>
      <x:c r="J912" s="15" t="n">
        <x:v>0</x:v>
      </x:c>
      <x:c r="K912" s="15" t="n">
        <x:v>0</x:v>
      </x:c>
      <x:c r="L912" s="15" t="n">
        <x:v>0</x:v>
      </x:c>
      <x:c r="M912" s="15" t="n">
        <x:v>0</x:v>
      </x:c>
      <x:c r="N912" s="15" t="n">
        <x:v>0</x:v>
      </x:c>
      <x:c r="O912" s="15" t="n">
        <x:v>0</x:v>
      </x:c>
      <x:c r="P912" s="15" t="n">
        <x:v>0</x:v>
      </x:c>
      <x:c r="Q912" s="15" t="n">
        <x:v>0</x:v>
      </x:c>
      <x:c r="R912" s="15" t="n">
        <x:v>0</x:v>
      </x:c>
      <x:c r="S912" s="15" t="n">
        <x:v>0</x:v>
      </x:c>
      <x:c r="T912" s="15" t="n">
        <x:v>0</x:v>
      </x:c>
      <x:c r="U912" s="15" t="n">
        <x:v>0</x:v>
      </x:c>
      <x:c r="V912" s="15" t="n">
        <x:v>0</x:v>
      </x:c>
      <x:c r="W912" s="15" t="n">
        <x:v>0</x:v>
      </x:c>
      <x:c r="X912" s="15" t="n">
        <x:v>0</x:v>
      </x:c>
      <x:c r="Y912" s="15" t="n">
        <x:v>560</x:v>
      </x:c>
      <x:c r="Z912" s="15" t="n">
        <x:v>0.31072</x:v>
      </x:c>
      <x:c r="AA912" s="15" t="n">
        <x:v>0.008192</x:v>
      </x:c>
      <x:c r="AB912" s="15" t="n">
        <x:f>SUM(G912:AA912)</x:f>
        <x:v>560.318912</x:v>
      </x:c>
    </x:row>
    <x:row r="913" ht="36" customHeight="1">
      <x:c r="A913" s="10" t="str">
        <x:v>D-B</x:v>
      </x:c>
      <x:c r="B913" s="10" t="str">
        <x:v>DELIVERY</x:v>
      </x:c>
      <x:c r="C913" s="10" t="str">
        <x:v>DELIVERY:S04-04</x:v>
      </x:c>
      <x:c r="D913" s="10" t="str">
        <x:v>DELIVERY:M1879</x:v>
      </x:c>
      <x:c r="E913" s="15" t="n">
        <x:v>2.131166666</x:v>
      </x:c>
      <x:c r="F913" s="15" t="str">
        <x:v>scored</x:v>
      </x:c>
      <x:c r="G913" s="15" t="n">
        <x:v>0</x:v>
      </x:c>
      <x:c r="H913" s="15" t="n">
        <x:v>0</x:v>
      </x:c>
      <x:c r="I913" s="15" t="n">
        <x:v>0</x:v>
      </x:c>
      <x:c r="J913" s="15" t="n">
        <x:v>0</x:v>
      </x:c>
      <x:c r="K913" s="15" t="n">
        <x:v>0</x:v>
      </x:c>
      <x:c r="L913" s="15" t="n">
        <x:v>0</x:v>
      </x:c>
      <x:c r="M913" s="15" t="n">
        <x:v>0</x:v>
      </x:c>
      <x:c r="N913" s="15" t="n">
        <x:v>0</x:v>
      </x:c>
      <x:c r="O913" s="15" t="n">
        <x:v>0</x:v>
      </x:c>
      <x:c r="P913" s="15" t="n">
        <x:v>0</x:v>
      </x:c>
      <x:c r="Q913" s="15" t="n">
        <x:v>0</x:v>
      </x:c>
      <x:c r="R913" s="15" t="n">
        <x:v>0</x:v>
      </x:c>
      <x:c r="S913" s="15" t="n">
        <x:v>0</x:v>
      </x:c>
      <x:c r="T913" s="15" t="n">
        <x:v>0</x:v>
      </x:c>
      <x:c r="U913" s="15" t="n">
        <x:v>0</x:v>
      </x:c>
      <x:c r="V913" s="15" t="n">
        <x:v>0</x:v>
      </x:c>
      <x:c r="W913" s="15" t="n">
        <x:v>0</x:v>
      </x:c>
      <x:c r="X913" s="15" t="n">
        <x:v>0</x:v>
      </x:c>
      <x:c r="Y913" s="15" t="n">
        <x:v>560</x:v>
      </x:c>
      <x:c r="Z913" s="15" t="n">
        <x:v>0.133272</x:v>
      </x:c>
      <x:c r="AA913" s="15" t="n">
        <x:v>0.004096</x:v>
      </x:c>
      <x:c r="AB913" s="15" t="n">
        <x:f>SUM(G913:AA913)</x:f>
        <x:v>560.137368</x:v>
      </x:c>
    </x:row>
    <x:row r="914" ht="36" customHeight="1">
      <x:c r="A914" s="10" t="str">
        <x:v>D-A</x:v>
      </x:c>
      <x:c r="B914" s="10" t="str">
        <x:v>DELIVERY</x:v>
      </x:c>
      <x:c r="C914" s="10" t="str">
        <x:v>DELIVERY:S04-05</x:v>
      </x:c>
      <x:c r="D914" s="10" t="str">
        <x:v>DELIVERY:M1900</x:v>
      </x:c>
      <x:c r="E914" s="15" t="n">
        <x:v>1.006666667</x:v>
      </x:c>
      <x:c r="F914" s="15" t="str">
        <x:v>scored</x:v>
      </x:c>
      <x:c r="G914" s="15" t="n">
        <x:v>0</x:v>
      </x:c>
      <x:c r="H914" s="15" t="n">
        <x:v>0</x:v>
      </x:c>
      <x:c r="I914" s="15" t="n">
        <x:v>0</x:v>
      </x:c>
      <x:c r="J914" s="15" t="n">
        <x:v>0</x:v>
      </x:c>
      <x:c r="K914" s="15" t="n">
        <x:v>0</x:v>
      </x:c>
      <x:c r="L914" s="15" t="n">
        <x:v>0</x:v>
      </x:c>
      <x:c r="M914" s="15" t="n">
        <x:v>0</x:v>
      </x:c>
      <x:c r="N914" s="15" t="n">
        <x:v>0</x:v>
      </x:c>
      <x:c r="O914" s="15" t="n">
        <x:v>0</x:v>
      </x:c>
      <x:c r="P914" s="15" t="n">
        <x:v>0</x:v>
      </x:c>
      <x:c r="Q914" s="15" t="n">
        <x:v>0</x:v>
      </x:c>
      <x:c r="R914" s="15" t="n">
        <x:v>0</x:v>
      </x:c>
      <x:c r="S914" s="15" t="n">
        <x:v>0</x:v>
      </x:c>
      <x:c r="T914" s="15" t="n">
        <x:v>0</x:v>
      </x:c>
      <x:c r="U914" s="15" t="n">
        <x:v>0</x:v>
      </x:c>
      <x:c r="V914" s="15" t="n">
        <x:v>0</x:v>
      </x:c>
      <x:c r="W914" s="15" t="n">
        <x:v>0</x:v>
      </x:c>
      <x:c r="X914" s="15" t="n">
        <x:v>0</x:v>
      </x:c>
      <x:c r="Y914" s="15" t="n">
        <x:v>560</x:v>
      </x:c>
      <x:c r="Z914" s="15" t="n">
        <x:v>0.31616</x:v>
      </x:c>
      <x:c r="AA914" s="15" t="n">
        <x:v>0.008192</x:v>
      </x:c>
      <x:c r="AB914" s="15" t="n">
        <x:f>SUM(G914:AA914)</x:f>
        <x:v>560.324352</x:v>
      </x:c>
    </x:row>
    <x:row r="915" ht="36" customHeight="1">
      <x:c r="A915" s="10" t="str">
        <x:v>D-B</x:v>
      </x:c>
      <x:c r="B915" s="10" t="str">
        <x:v>DELIVERY</x:v>
      </x:c>
      <x:c r="C915" s="10" t="str">
        <x:v>DELIVERY:S04-05</x:v>
      </x:c>
      <x:c r="D915" s="10" t="str">
        <x:v>DELIVERY:M1930</x:v>
      </x:c>
      <x:c r="E915" s="15" t="n">
        <x:v>2.1625</x:v>
      </x:c>
      <x:c r="F915" s="15" t="str">
        <x:v>scored</x:v>
      </x:c>
      <x:c r="G915" s="15" t="n">
        <x:v>0</x:v>
      </x:c>
      <x:c r="H915" s="15" t="n">
        <x:v>0</x:v>
      </x:c>
      <x:c r="I915" s="15" t="n">
        <x:v>0</x:v>
      </x:c>
      <x:c r="J915" s="15" t="n">
        <x:v>0</x:v>
      </x:c>
      <x:c r="K915" s="15" t="n">
        <x:v>0</x:v>
      </x:c>
      <x:c r="L915" s="15" t="n">
        <x:v>0</x:v>
      </x:c>
      <x:c r="M915" s="15" t="n">
        <x:v>0</x:v>
      </x:c>
      <x:c r="N915" s="15" t="n">
        <x:v>0</x:v>
      </x:c>
      <x:c r="O915" s="15" t="n">
        <x:v>0</x:v>
      </x:c>
      <x:c r="P915" s="15" t="n">
        <x:v>0</x:v>
      </x:c>
      <x:c r="Q915" s="15" t="n">
        <x:v>0</x:v>
      </x:c>
      <x:c r="R915" s="15" t="n">
        <x:v>0</x:v>
      </x:c>
      <x:c r="S915" s="15" t="n">
        <x:v>0</x:v>
      </x:c>
      <x:c r="T915" s="15" t="n">
        <x:v>0</x:v>
      </x:c>
      <x:c r="U915" s="15" t="n">
        <x:v>0</x:v>
      </x:c>
      <x:c r="V915" s="15" t="n">
        <x:v>0</x:v>
      </x:c>
      <x:c r="W915" s="15" t="n">
        <x:v>0</x:v>
      </x:c>
      <x:c r="X915" s="15" t="n">
        <x:v>0</x:v>
      </x:c>
      <x:c r="Y915" s="15" t="n">
        <x:v>560</x:v>
      </x:c>
      <x:c r="Z915" s="15" t="n">
        <x:v>0.133704</x:v>
      </x:c>
      <x:c r="AA915" s="15" t="n">
        <x:v>0.004096</x:v>
      </x:c>
      <x:c r="AB915" s="15" t="n">
        <x:f>SUM(G915:AA915)</x:f>
        <x:v>560.1378</x:v>
      </x:c>
    </x:row>
    <x:row r="916" ht="36" customHeight="1">
      <x:c r="A916" s="10" t="str">
        <x:v>D-A</x:v>
      </x:c>
      <x:c r="B916" s="10" t="str">
        <x:v>DELIVERY</x:v>
      </x:c>
      <x:c r="C916" s="10" t="str">
        <x:v>DELIVERY:S04-06</x:v>
      </x:c>
      <x:c r="D916" s="10" t="str">
        <x:v>DELIVERY:M1951</x:v>
      </x:c>
      <x:c r="E916" s="15" t="n">
        <x:v>0.96</x:v>
      </x:c>
      <x:c r="F916" s="15" t="str">
        <x:v>scored</x:v>
      </x:c>
      <x:c r="G916" s="15" t="n">
        <x:v>0</x:v>
      </x:c>
      <x:c r="H916" s="15" t="n">
        <x:v>0</x:v>
      </x:c>
      <x:c r="I916" s="15" t="n">
        <x:v>0</x:v>
      </x:c>
      <x:c r="J916" s="15" t="n">
        <x:v>0</x:v>
      </x:c>
      <x:c r="K916" s="15" t="n">
        <x:v>0</x:v>
      </x:c>
      <x:c r="L916" s="15" t="n">
        <x:v>0</x:v>
      </x:c>
      <x:c r="M916" s="15" t="n">
        <x:v>0</x:v>
      </x:c>
      <x:c r="N916" s="15" t="n">
        <x:v>0</x:v>
      </x:c>
      <x:c r="O916" s="15" t="n">
        <x:v>0</x:v>
      </x:c>
      <x:c r="P916" s="15" t="n">
        <x:v>0</x:v>
      </x:c>
      <x:c r="Q916" s="15" t="n">
        <x:v>0</x:v>
      </x:c>
      <x:c r="R916" s="15" t="n">
        <x:v>0</x:v>
      </x:c>
      <x:c r="S916" s="15" t="n">
        <x:v>0</x:v>
      </x:c>
      <x:c r="T916" s="15" t="n">
        <x:v>0</x:v>
      </x:c>
      <x:c r="U916" s="15" t="n">
        <x:v>0</x:v>
      </x:c>
      <x:c r="V916" s="15" t="n">
        <x:v>0</x:v>
      </x:c>
      <x:c r="W916" s="15" t="n">
        <x:v>0</x:v>
      </x:c>
      <x:c r="X916" s="15" t="n">
        <x:v>0</x:v>
      </x:c>
      <x:c r="Y916" s="15" t="n">
        <x:v>560</x:v>
      </x:c>
      <x:c r="Z916" s="15" t="n">
        <x:v>0.3072</x:v>
      </x:c>
      <x:c r="AA916" s="15" t="n">
        <x:v>0.008192</x:v>
      </x:c>
      <x:c r="AB916" s="15" t="n">
        <x:f>SUM(G916:AA916)</x:f>
        <x:v>560.315392</x:v>
      </x:c>
    </x:row>
    <x:row r="917" ht="36" customHeight="1">
      <x:c r="A917" s="10" t="str">
        <x:v>D-B</x:v>
      </x:c>
      <x:c r="B917" s="10" t="str">
        <x:v>DELIVERY</x:v>
      </x:c>
      <x:c r="C917" s="10" t="str">
        <x:v>DELIVERY:S04-06</x:v>
      </x:c>
      <x:c r="D917" s="10" t="str">
        <x:v>DELIVERY:M1981</x:v>
      </x:c>
      <x:c r="E917" s="15" t="n">
        <x:v>2.118833333</x:v>
      </x:c>
      <x:c r="F917" s="15" t="str">
        <x:v>scored</x:v>
      </x:c>
      <x:c r="G917" s="15" t="n">
        <x:v>0</x:v>
      </x:c>
      <x:c r="H917" s="15" t="n">
        <x:v>0</x:v>
      </x:c>
      <x:c r="I917" s="15" t="n">
        <x:v>0</x:v>
      </x:c>
      <x:c r="J917" s="15" t="n">
        <x:v>0</x:v>
      </x:c>
      <x:c r="K917" s="15" t="n">
        <x:v>0</x:v>
      </x:c>
      <x:c r="L917" s="15" t="n">
        <x:v>0</x:v>
      </x:c>
      <x:c r="M917" s="15" t="n">
        <x:v>0</x:v>
      </x:c>
      <x:c r="N917" s="15" t="n">
        <x:v>0</x:v>
      </x:c>
      <x:c r="O917" s="15" t="n">
        <x:v>0</x:v>
      </x:c>
      <x:c r="P917" s="15" t="n">
        <x:v>0</x:v>
      </x:c>
      <x:c r="Q917" s="15" t="n">
        <x:v>0</x:v>
      </x:c>
      <x:c r="R917" s="15" t="n">
        <x:v>0</x:v>
      </x:c>
      <x:c r="S917" s="15" t="n">
        <x:v>0</x:v>
      </x:c>
      <x:c r="T917" s="15" t="n">
        <x:v>0</x:v>
      </x:c>
      <x:c r="U917" s="15" t="n">
        <x:v>0</x:v>
      </x:c>
      <x:c r="V917" s="15" t="n">
        <x:v>0</x:v>
      </x:c>
      <x:c r="W917" s="15" t="n">
        <x:v>0</x:v>
      </x:c>
      <x:c r="X917" s="15" t="n">
        <x:v>0</x:v>
      </x:c>
      <x:c r="Y917" s="15" t="n">
        <x:v>560</x:v>
      </x:c>
      <x:c r="Z917" s="15" t="n">
        <x:v>0.134136</x:v>
      </x:c>
      <x:c r="AA917" s="15" t="n">
        <x:v>0.004096</x:v>
      </x:c>
      <x:c r="AB917" s="15" t="n">
        <x:f>SUM(G917:AA917)</x:f>
        <x:v>560.138232</x:v>
      </x:c>
    </x:row>
    <x:row r="918" ht="36" customHeight="1">
      <x:c r="A918" s="10" t="str">
        <x:v>D-A</x:v>
      </x:c>
      <x:c r="B918" s="10" t="str">
        <x:v>DELIVERY</x:v>
      </x:c>
      <x:c r="C918" s="10" t="str">
        <x:v>DELIVERY:S04-07</x:v>
      </x:c>
      <x:c r="D918" s="10" t="str">
        <x:v>DELIVERY:M2002</x:v>
      </x:c>
      <x:c r="E918" s="15" t="n">
        <x:v>0.988333333</x:v>
      </x:c>
      <x:c r="F918" s="15" t="str">
        <x:v>scored</x:v>
      </x:c>
      <x:c r="G918" s="15" t="n">
        <x:v>0</x:v>
      </x:c>
      <x:c r="H918" s="15" t="n">
        <x:v>0</x:v>
      </x:c>
      <x:c r="I918" s="15" t="n">
        <x:v>0</x:v>
      </x:c>
      <x:c r="J918" s="15" t="n">
        <x:v>0</x:v>
      </x:c>
      <x:c r="K918" s="15" t="n">
        <x:v>0</x:v>
      </x:c>
      <x:c r="L918" s="15" t="n">
        <x:v>0</x:v>
      </x:c>
      <x:c r="M918" s="15" t="n">
        <x:v>0</x:v>
      </x:c>
      <x:c r="N918" s="15" t="n">
        <x:v>0</x:v>
      </x:c>
      <x:c r="O918" s="15" t="n">
        <x:v>0</x:v>
      </x:c>
      <x:c r="P918" s="15" t="n">
        <x:v>0</x:v>
      </x:c>
      <x:c r="Q918" s="15" t="n">
        <x:v>0</x:v>
      </x:c>
      <x:c r="R918" s="15" t="n">
        <x:v>0</x:v>
      </x:c>
      <x:c r="S918" s="15" t="n">
        <x:v>0</x:v>
      </x:c>
      <x:c r="T918" s="15" t="n">
        <x:v>0</x:v>
      </x:c>
      <x:c r="U918" s="15" t="n">
        <x:v>0</x:v>
      </x:c>
      <x:c r="V918" s="15" t="n">
        <x:v>0</x:v>
      </x:c>
      <x:c r="W918" s="15" t="n">
        <x:v>0</x:v>
      </x:c>
      <x:c r="X918" s="15" t="n">
        <x:v>0</x:v>
      </x:c>
      <x:c r="Y918" s="15" t="n">
        <x:v>560</x:v>
      </x:c>
      <x:c r="Z918" s="15" t="n">
        <x:v>0.31264</x:v>
      </x:c>
      <x:c r="AA918" s="15" t="n">
        <x:v>0.008192</x:v>
      </x:c>
      <x:c r="AB918" s="15" t="n">
        <x:f>SUM(G918:AA918)</x:f>
        <x:v>560.320832</x:v>
      </x:c>
    </x:row>
    <x:row r="919" ht="36" customHeight="1">
      <x:c r="A919" s="10" t="str">
        <x:v>D-B</x:v>
      </x:c>
      <x:c r="B919" s="10" t="str">
        <x:v>DELIVERY</x:v>
      </x:c>
      <x:c r="C919" s="10" t="str">
        <x:v>DELIVERY:S04-07</x:v>
      </x:c>
      <x:c r="D919" s="10" t="str">
        <x:v>DELIVERY:M2032</x:v>
      </x:c>
      <x:c r="E919" s="15" t="n">
        <x:v>2.150166666</x:v>
      </x:c>
      <x:c r="F919" s="15" t="str">
        <x:v>scored</x:v>
      </x:c>
      <x:c r="G919" s="15" t="n">
        <x:v>0</x:v>
      </x:c>
      <x:c r="H919" s="15" t="n">
        <x:v>0</x:v>
      </x:c>
      <x:c r="I919" s="15" t="n">
        <x:v>0</x:v>
      </x:c>
      <x:c r="J919" s="15" t="n">
        <x:v>0</x:v>
      </x:c>
      <x:c r="K919" s="15" t="n">
        <x:v>0</x:v>
      </x:c>
      <x:c r="L919" s="15" t="n">
        <x:v>0</x:v>
      </x:c>
      <x:c r="M919" s="15" t="n">
        <x:v>0</x:v>
      </x:c>
      <x:c r="N919" s="15" t="n">
        <x:v>0</x:v>
      </x:c>
      <x:c r="O919" s="15" t="n">
        <x:v>0</x:v>
      </x:c>
      <x:c r="P919" s="15" t="n">
        <x:v>0</x:v>
      </x:c>
      <x:c r="Q919" s="15" t="n">
        <x:v>0</x:v>
      </x:c>
      <x:c r="R919" s="15" t="n">
        <x:v>0</x:v>
      </x:c>
      <x:c r="S919" s="15" t="n">
        <x:v>0</x:v>
      </x:c>
      <x:c r="T919" s="15" t="n">
        <x:v>0</x:v>
      </x:c>
      <x:c r="U919" s="15" t="n">
        <x:v>0</x:v>
      </x:c>
      <x:c r="V919" s="15" t="n">
        <x:v>0</x:v>
      </x:c>
      <x:c r="W919" s="15" t="n">
        <x:v>0</x:v>
      </x:c>
      <x:c r="X919" s="15" t="n">
        <x:v>0</x:v>
      </x:c>
      <x:c r="Y919" s="15" t="n">
        <x:v>560</x:v>
      </x:c>
      <x:c r="Z919" s="15" t="n">
        <x:v>0.134568</x:v>
      </x:c>
      <x:c r="AA919" s="15" t="n">
        <x:v>0.004096</x:v>
      </x:c>
      <x:c r="AB919" s="15" t="n">
        <x:f>SUM(G919:AA919)</x:f>
        <x:v>560.138664</x:v>
      </x:c>
    </x:row>
    <x:row r="920" ht="36" customHeight="1">
      <x:c r="A920" s="10" t="str">
        <x:v>D-A</x:v>
      </x:c>
      <x:c r="B920" s="10" t="str">
        <x:v>DELIVERY</x:v>
      </x:c>
      <x:c r="C920" s="10" t="str">
        <x:v>DELIVERY:S04-08</x:v>
      </x:c>
      <x:c r="D920" s="10" t="str">
        <x:v>DELIVERY:M2053</x:v>
      </x:c>
      <x:c r="E920" s="15" t="n">
        <x:v>1.016666667</x:v>
      </x:c>
      <x:c r="F920" s="15" t="str">
        <x:v>scored</x:v>
      </x:c>
      <x:c r="G920" s="15" t="n">
        <x:v>0</x:v>
      </x:c>
      <x:c r="H920" s="15" t="n">
        <x:v>0</x:v>
      </x:c>
      <x:c r="I920" s="15" t="n">
        <x:v>0</x:v>
      </x:c>
      <x:c r="J920" s="15" t="n">
        <x:v>0</x:v>
      </x:c>
      <x:c r="K920" s="15" t="n">
        <x:v>0</x:v>
      </x:c>
      <x:c r="L920" s="15" t="n">
        <x:v>0</x:v>
      </x:c>
      <x:c r="M920" s="15" t="n">
        <x:v>0</x:v>
      </x:c>
      <x:c r="N920" s="15" t="n">
        <x:v>0</x:v>
      </x:c>
      <x:c r="O920" s="15" t="n">
        <x:v>0</x:v>
      </x:c>
      <x:c r="P920" s="15" t="n">
        <x:v>0</x:v>
      </x:c>
      <x:c r="Q920" s="15" t="n">
        <x:v>0</x:v>
      </x:c>
      <x:c r="R920" s="15" t="n">
        <x:v>0</x:v>
      </x:c>
      <x:c r="S920" s="15" t="n">
        <x:v>0</x:v>
      </x:c>
      <x:c r="T920" s="15" t="n">
        <x:v>0</x:v>
      </x:c>
      <x:c r="U920" s="15" t="n">
        <x:v>0</x:v>
      </x:c>
      <x:c r="V920" s="15" t="n">
        <x:v>0</x:v>
      </x:c>
      <x:c r="W920" s="15" t="n">
        <x:v>0</x:v>
      </x:c>
      <x:c r="X920" s="15" t="n">
        <x:v>0</x:v>
      </x:c>
      <x:c r="Y920" s="15" t="n">
        <x:v>560</x:v>
      </x:c>
      <x:c r="Z920" s="15" t="n">
        <x:v>0.31808</x:v>
      </x:c>
      <x:c r="AA920" s="15" t="n">
        <x:v>0.008192</x:v>
      </x:c>
      <x:c r="AB920" s="15" t="n">
        <x:f>SUM(G920:AA920)</x:f>
        <x:v>560.326272</x:v>
      </x:c>
    </x:row>
    <x:row r="921" ht="36" customHeight="1">
      <x:c r="A921" s="10" t="str">
        <x:v>D-B</x:v>
      </x:c>
      <x:c r="B921" s="10" t="str">
        <x:v>DELIVERY</x:v>
      </x:c>
      <x:c r="C921" s="10" t="str">
        <x:v>DELIVERY:S04-08</x:v>
      </x:c>
      <x:c r="D921" s="10" t="str">
        <x:v>DELIVERY:M2083</x:v>
      </x:c>
      <x:c r="E921" s="15" t="n">
        <x:v>2.1815</x:v>
      </x:c>
      <x:c r="F921" s="15" t="str">
        <x:v>scored</x:v>
      </x:c>
      <x:c r="G921" s="15" t="n">
        <x:v>0</x:v>
      </x:c>
      <x:c r="H921" s="15" t="n">
        <x:v>0</x:v>
      </x:c>
      <x:c r="I921" s="15" t="n">
        <x:v>0</x:v>
      </x:c>
      <x:c r="J921" s="15" t="n">
        <x:v>0</x:v>
      </x:c>
      <x:c r="K921" s="15" t="n">
        <x:v>0</x:v>
      </x:c>
      <x:c r="L921" s="15" t="n">
        <x:v>0</x:v>
      </x:c>
      <x:c r="M921" s="15" t="n">
        <x:v>0</x:v>
      </x:c>
      <x:c r="N921" s="15" t="n">
        <x:v>0</x:v>
      </x:c>
      <x:c r="O921" s="15" t="n">
        <x:v>0</x:v>
      </x:c>
      <x:c r="P921" s="15" t="n">
        <x:v>0</x:v>
      </x:c>
      <x:c r="Q921" s="15" t="n">
        <x:v>0</x:v>
      </x:c>
      <x:c r="R921" s="15" t="n">
        <x:v>0</x:v>
      </x:c>
      <x:c r="S921" s="15" t="n">
        <x:v>0</x:v>
      </x:c>
      <x:c r="T921" s="15" t="n">
        <x:v>0</x:v>
      </x:c>
      <x:c r="U921" s="15" t="n">
        <x:v>0</x:v>
      </x:c>
      <x:c r="V921" s="15" t="n">
        <x:v>0</x:v>
      </x:c>
      <x:c r="W921" s="15" t="n">
        <x:v>0</x:v>
      </x:c>
      <x:c r="X921" s="15" t="n">
        <x:v>0</x:v>
      </x:c>
      <x:c r="Y921" s="15" t="n">
        <x:v>560</x:v>
      </x:c>
      <x:c r="Z921" s="15" t="n">
        <x:v>0.135</x:v>
      </x:c>
      <x:c r="AA921" s="15" t="n">
        <x:v>0.004096</x:v>
      </x:c>
      <x:c r="AB921" s="15" t="n">
        <x:f>SUM(G921:AA921)</x:f>
        <x:v>560.139096</x:v>
      </x:c>
    </x:row>
    <x:row r="922" ht="36" customHeight="1">
      <x:c r="A922" s="10" t="str">
        <x:v>D-A</x:v>
      </x:c>
      <x:c r="B922" s="10" t="str">
        <x:v>DELIVERY</x:v>
      </x:c>
      <x:c r="C922" s="10" t="str">
        <x:v>DELIVERY:S04-09</x:v>
      </x:c>
      <x:c r="D922" s="10" t="str">
        <x:v>DELIVERY:M2104</x:v>
      </x:c>
      <x:c r="E922" s="15" t="n">
        <x:v>0.97</x:v>
      </x:c>
      <x:c r="F922" s="15" t="str">
        <x:v>scored</x:v>
      </x:c>
      <x:c r="G922" s="15" t="n">
        <x:v>0</x:v>
      </x:c>
      <x:c r="H922" s="15" t="n">
        <x:v>0</x:v>
      </x:c>
      <x:c r="I922" s="15" t="n">
        <x:v>0</x:v>
      </x:c>
      <x:c r="J922" s="15" t="n">
        <x:v>0</x:v>
      </x:c>
      <x:c r="K922" s="15" t="n">
        <x:v>0</x:v>
      </x:c>
      <x:c r="L922" s="15" t="n">
        <x:v>0</x:v>
      </x:c>
      <x:c r="M922" s="15" t="n">
        <x:v>0</x:v>
      </x:c>
      <x:c r="N922" s="15" t="n">
        <x:v>0</x:v>
      </x:c>
      <x:c r="O922" s="15" t="n">
        <x:v>0</x:v>
      </x:c>
      <x:c r="P922" s="15" t="n">
        <x:v>0</x:v>
      </x:c>
      <x:c r="Q922" s="15" t="n">
        <x:v>0</x:v>
      </x:c>
      <x:c r="R922" s="15" t="n">
        <x:v>0</x:v>
      </x:c>
      <x:c r="S922" s="15" t="n">
        <x:v>0</x:v>
      </x:c>
      <x:c r="T922" s="15" t="n">
        <x:v>0</x:v>
      </x:c>
      <x:c r="U922" s="15" t="n">
        <x:v>0</x:v>
      </x:c>
      <x:c r="V922" s="15" t="n">
        <x:v>0</x:v>
      </x:c>
      <x:c r="W922" s="15" t="n">
        <x:v>0</x:v>
      </x:c>
      <x:c r="X922" s="15" t="n">
        <x:v>0</x:v>
      </x:c>
      <x:c r="Y922" s="15" t="n">
        <x:v>560</x:v>
      </x:c>
      <x:c r="Z922" s="15" t="n">
        <x:v>0.30912</x:v>
      </x:c>
      <x:c r="AA922" s="15" t="n">
        <x:v>0.008192</x:v>
      </x:c>
      <x:c r="AB922" s="15" t="n">
        <x:f>SUM(G922:AA922)</x:f>
        <x:v>560.317312</x:v>
      </x:c>
    </x:row>
    <x:row r="923" ht="36" customHeight="1">
      <x:c r="A923" s="10" t="str">
        <x:v>D-B</x:v>
      </x:c>
      <x:c r="B923" s="10" t="str">
        <x:v>DELIVERY</x:v>
      </x:c>
      <x:c r="C923" s="10" t="str">
        <x:v>DELIVERY:S04-09</x:v>
      </x:c>
      <x:c r="D923" s="10" t="str">
        <x:v>DELIVERY:M2134</x:v>
      </x:c>
      <x:c r="E923" s="15" t="n">
        <x:v>2.137833333</x:v>
      </x:c>
      <x:c r="F923" s="15" t="str">
        <x:v>scored</x:v>
      </x:c>
      <x:c r="G923" s="15" t="n">
        <x:v>0</x:v>
      </x:c>
      <x:c r="H923" s="15" t="n">
        <x:v>0</x:v>
      </x:c>
      <x:c r="I923" s="15" t="n">
        <x:v>0</x:v>
      </x:c>
      <x:c r="J923" s="15" t="n">
        <x:v>0</x:v>
      </x:c>
      <x:c r="K923" s="15" t="n">
        <x:v>0</x:v>
      </x:c>
      <x:c r="L923" s="15" t="n">
        <x:v>0</x:v>
      </x:c>
      <x:c r="M923" s="15" t="n">
        <x:v>0</x:v>
      </x:c>
      <x:c r="N923" s="15" t="n">
        <x:v>0</x:v>
      </x:c>
      <x:c r="O923" s="15" t="n">
        <x:v>0</x:v>
      </x:c>
      <x:c r="P923" s="15" t="n">
        <x:v>0</x:v>
      </x:c>
      <x:c r="Q923" s="15" t="n">
        <x:v>0</x:v>
      </x:c>
      <x:c r="R923" s="15" t="n">
        <x:v>0</x:v>
      </x:c>
      <x:c r="S923" s="15" t="n">
        <x:v>0</x:v>
      </x:c>
      <x:c r="T923" s="15" t="n">
        <x:v>0</x:v>
      </x:c>
      <x:c r="U923" s="15" t="n">
        <x:v>0</x:v>
      </x:c>
      <x:c r="V923" s="15" t="n">
        <x:v>0</x:v>
      </x:c>
      <x:c r="W923" s="15" t="n">
        <x:v>0</x:v>
      </x:c>
      <x:c r="X923" s="15" t="n">
        <x:v>0</x:v>
      </x:c>
      <x:c r="Y923" s="15" t="n">
        <x:v>560</x:v>
      </x:c>
      <x:c r="Z923" s="15" t="n">
        <x:v>0.135432</x:v>
      </x:c>
      <x:c r="AA923" s="15" t="n">
        <x:v>0.004096</x:v>
      </x:c>
      <x:c r="AB923" s="15" t="n">
        <x:f>SUM(G923:AA923)</x:f>
        <x:v>560.139528</x:v>
      </x:c>
    </x:row>
    <x:row r="924" ht="36" customHeight="1">
      <x:c r="A924" s="10" t="str">
        <x:v>D-A</x:v>
      </x:c>
      <x:c r="B924" s="10" t="str">
        <x:v>DELIVERY</x:v>
      </x:c>
      <x:c r="C924" s="10" t="str">
        <x:v>DELIVERY:S04-10</x:v>
      </x:c>
      <x:c r="D924" s="10" t="str">
        <x:v>DELIVERY:M2155</x:v>
      </x:c>
      <x:c r="E924" s="15" t="n">
        <x:v>0.998333333</x:v>
      </x:c>
      <x:c r="F924" s="15" t="str">
        <x:v>scored</x:v>
      </x:c>
      <x:c r="G924" s="15" t="n">
        <x:v>0</x:v>
      </x:c>
      <x:c r="H924" s="15" t="n">
        <x:v>0</x:v>
      </x:c>
      <x:c r="I924" s="15" t="n">
        <x:v>0</x:v>
      </x:c>
      <x:c r="J924" s="15" t="n">
        <x:v>0</x:v>
      </x:c>
      <x:c r="K924" s="15" t="n">
        <x:v>0</x:v>
      </x:c>
      <x:c r="L924" s="15" t="n">
        <x:v>0</x:v>
      </x:c>
      <x:c r="M924" s="15" t="n">
        <x:v>0</x:v>
      </x:c>
      <x:c r="N924" s="15" t="n">
        <x:v>0</x:v>
      </x:c>
      <x:c r="O924" s="15" t="n">
        <x:v>0</x:v>
      </x:c>
      <x:c r="P924" s="15" t="n">
        <x:v>0</x:v>
      </x:c>
      <x:c r="Q924" s="15" t="n">
        <x:v>0</x:v>
      </x:c>
      <x:c r="R924" s="15" t="n">
        <x:v>0</x:v>
      </x:c>
      <x:c r="S924" s="15" t="n">
        <x:v>0</x:v>
      </x:c>
      <x:c r="T924" s="15" t="n">
        <x:v>0</x:v>
      </x:c>
      <x:c r="U924" s="15" t="n">
        <x:v>0</x:v>
      </x:c>
      <x:c r="V924" s="15" t="n">
        <x:v>0</x:v>
      </x:c>
      <x:c r="W924" s="15" t="n">
        <x:v>0</x:v>
      </x:c>
      <x:c r="X924" s="15" t="n">
        <x:v>0</x:v>
      </x:c>
      <x:c r="Y924" s="15" t="n">
        <x:v>560</x:v>
      </x:c>
      <x:c r="Z924" s="15" t="n">
        <x:v>0.31456</x:v>
      </x:c>
      <x:c r="AA924" s="15" t="n">
        <x:v>0.008192</x:v>
      </x:c>
      <x:c r="AB924" s="15" t="n">
        <x:f>SUM(G924:AA924)</x:f>
        <x:v>560.322752</x:v>
      </x:c>
    </x:row>
    <x:row r="925" ht="36" customHeight="1">
      <x:c r="A925" s="10" t="str">
        <x:v>D-B</x:v>
      </x:c>
      <x:c r="B925" s="10" t="str">
        <x:v>DELIVERY</x:v>
      </x:c>
      <x:c r="C925" s="10" t="str">
        <x:v>DELIVERY:S04-10</x:v>
      </x:c>
      <x:c r="D925" s="10" t="str">
        <x:v>DELIVERY:M2185</x:v>
      </x:c>
      <x:c r="E925" s="15" t="n">
        <x:v>2.169166666</x:v>
      </x:c>
      <x:c r="F925" s="15" t="str">
        <x:v>scored</x:v>
      </x:c>
      <x:c r="G925" s="15" t="n">
        <x:v>0</x:v>
      </x:c>
      <x:c r="H925" s="15" t="n">
        <x:v>0</x:v>
      </x:c>
      <x:c r="I925" s="15" t="n">
        <x:v>0</x:v>
      </x:c>
      <x:c r="J925" s="15" t="n">
        <x:v>0</x:v>
      </x:c>
      <x:c r="K925" s="15" t="n">
        <x:v>0</x:v>
      </x:c>
      <x:c r="L925" s="15" t="n">
        <x:v>0</x:v>
      </x:c>
      <x:c r="M925" s="15" t="n">
        <x:v>0</x:v>
      </x:c>
      <x:c r="N925" s="15" t="n">
        <x:v>0</x:v>
      </x:c>
      <x:c r="O925" s="15" t="n">
        <x:v>0</x:v>
      </x:c>
      <x:c r="P925" s="15" t="n">
        <x:v>0</x:v>
      </x:c>
      <x:c r="Q925" s="15" t="n">
        <x:v>0</x:v>
      </x:c>
      <x:c r="R925" s="15" t="n">
        <x:v>0</x:v>
      </x:c>
      <x:c r="S925" s="15" t="n">
        <x:v>0</x:v>
      </x:c>
      <x:c r="T925" s="15" t="n">
        <x:v>0</x:v>
      </x:c>
      <x:c r="U925" s="15" t="n">
        <x:v>0</x:v>
      </x:c>
      <x:c r="V925" s="15" t="n">
        <x:v>0</x:v>
      </x:c>
      <x:c r="W925" s="15" t="n">
        <x:v>0</x:v>
      </x:c>
      <x:c r="X925" s="15" t="n">
        <x:v>0</x:v>
      </x:c>
      <x:c r="Y925" s="15" t="n">
        <x:v>560</x:v>
      </x:c>
      <x:c r="Z925" s="15" t="n">
        <x:v>0.135864</x:v>
      </x:c>
      <x:c r="AA925" s="15" t="n">
        <x:v>0.004096</x:v>
      </x:c>
      <x:c r="AB925" s="15" t="n">
        <x:f>SUM(G925:AA925)</x:f>
        <x:v>560.13996</x:v>
      </x:c>
    </x:row>
    <x:row r="926" ht="36" customHeight="1">
      <x:c r="A926" s="10" t="str">
        <x:v>D-A</x:v>
      </x:c>
      <x:c r="B926" s="10" t="str">
        <x:v>DELIVERY</x:v>
      </x:c>
      <x:c r="C926" s="10" t="str">
        <x:v>DELIVERY:S05-01</x:v>
      </x:c>
      <x:c r="D926" s="10" t="str">
        <x:v>DELIVERY:M2230</x:v>
      </x:c>
      <x:c r="E926" s="15" t="n">
        <x:v>4.611833333</x:v>
      </x:c>
      <x:c r="F926" s="15" t="str">
        <x:v>scored</x:v>
      </x:c>
      <x:c r="G926" s="15" t="n">
        <x:v>0</x:v>
      </x:c>
      <x:c r="H926" s="15" t="n">
        <x:v>0</x:v>
      </x:c>
      <x:c r="I926" s="15" t="n">
        <x:v>0</x:v>
      </x:c>
      <x:c r="J926" s="15" t="n">
        <x:v>0</x:v>
      </x:c>
      <x:c r="K926" s="15" t="n">
        <x:v>0</x:v>
      </x:c>
      <x:c r="L926" s="15" t="n">
        <x:v>0</x:v>
      </x:c>
      <x:c r="M926" s="15" t="n">
        <x:v>0</x:v>
      </x:c>
      <x:c r="N926" s="15" t="n">
        <x:v>0</x:v>
      </x:c>
      <x:c r="O926" s="15" t="n">
        <x:v>0</x:v>
      </x:c>
      <x:c r="P926" s="15" t="n">
        <x:v>0</x:v>
      </x:c>
      <x:c r="Q926" s="15" t="n">
        <x:v>0</x:v>
      </x:c>
      <x:c r="R926" s="15" t="n">
        <x:v>0</x:v>
      </x:c>
      <x:c r="S926" s="15" t="n">
        <x:v>0</x:v>
      </x:c>
      <x:c r="T926" s="15" t="n">
        <x:v>0</x:v>
      </x:c>
      <x:c r="U926" s="15" t="n">
        <x:v>0</x:v>
      </x:c>
      <x:c r="V926" s="15" t="n">
        <x:v>0</x:v>
      </x:c>
      <x:c r="W926" s="15" t="n">
        <x:v>0</x:v>
      </x:c>
      <x:c r="X926" s="15" t="n">
        <x:v>0</x:v>
      </x:c>
      <x:c r="Y926" s="15" t="n">
        <x:v>560</x:v>
      </x:c>
      <x:c r="Z926" s="15" t="n">
        <x:v>1.644664</x:v>
      </x:c>
      <x:c r="AA926" s="15" t="n">
        <x:v>0.004096</x:v>
      </x:c>
      <x:c r="AB926" s="15" t="n">
        <x:f>SUM(G926:AA926)</x:f>
        <x:v>561.64876</x:v>
      </x:c>
    </x:row>
    <x:row r="927" ht="36" customHeight="1">
      <x:c r="A927" s="10" t="str">
        <x:v>D-B</x:v>
      </x:c>
      <x:c r="B927" s="10" t="str">
        <x:v>DELIVERY</x:v>
      </x:c>
      <x:c r="C927" s="10" t="str">
        <x:v>DELIVERY:S05-01</x:v>
      </x:c>
      <x:c r="D927" s="10" t="str">
        <x:v>DELIVERY:M2278</x:v>
      </x:c>
      <x:c r="E927" s="15" t="n">
        <x:v>8.164166666</x:v>
      </x:c>
      <x:c r="F927" s="15" t="str">
        <x:v>scored</x:v>
      </x:c>
      <x:c r="G927" s="15" t="n">
        <x:v>0</x:v>
      </x:c>
      <x:c r="H927" s="15" t="n">
        <x:v>0</x:v>
      </x:c>
      <x:c r="I927" s="15" t="n">
        <x:v>0</x:v>
      </x:c>
      <x:c r="J927" s="15" t="n">
        <x:v>0</x:v>
      </x:c>
      <x:c r="K927" s="15" t="n">
        <x:v>0</x:v>
      </x:c>
      <x:c r="L927" s="15" t="n">
        <x:v>0</x:v>
      </x:c>
      <x:c r="M927" s="15" t="n">
        <x:v>0</x:v>
      </x:c>
      <x:c r="N927" s="15" t="n">
        <x:v>0</x:v>
      </x:c>
      <x:c r="O927" s="15" t="n">
        <x:v>0</x:v>
      </x:c>
      <x:c r="P927" s="15" t="n">
        <x:v>0</x:v>
      </x:c>
      <x:c r="Q927" s="15" t="n">
        <x:v>0</x:v>
      </x:c>
      <x:c r="R927" s="15" t="n">
        <x:v>0</x:v>
      </x:c>
      <x:c r="S927" s="15" t="n">
        <x:v>0</x:v>
      </x:c>
      <x:c r="T927" s="15" t="n">
        <x:v>0</x:v>
      </x:c>
      <x:c r="U927" s="15" t="n">
        <x:v>0</x:v>
      </x:c>
      <x:c r="V927" s="15" t="n">
        <x:v>0</x:v>
      </x:c>
      <x:c r="W927" s="15" t="n">
        <x:v>0</x:v>
      </x:c>
      <x:c r="X927" s="15" t="n">
        <x:v>0</x:v>
      </x:c>
      <x:c r="Y927" s="15" t="n">
        <x:v>560</x:v>
      </x:c>
      <x:c r="Z927" s="15" t="n">
        <x:v>1.4934</x:v>
      </x:c>
      <x:c r="AA927" s="15" t="n">
        <x:v>0.008192</x:v>
      </x:c>
      <x:c r="AB927" s="15" t="n">
        <x:f>SUM(G927:AA927)</x:f>
        <x:v>561.501592</x:v>
      </x:c>
    </x:row>
    <x:row r="928" ht="36" customHeight="1">
      <x:c r="A928" s="10" t="str">
        <x:v>D-A</x:v>
      </x:c>
      <x:c r="B928" s="10" t="str">
        <x:v>DELIVERY</x:v>
      </x:c>
      <x:c r="C928" s="10" t="str">
        <x:v>DELIVERY:S05-02</x:v>
      </x:c>
      <x:c r="D928" s="10" t="str">
        <x:v>DELIVERY:M2329</x:v>
      </x:c>
      <x:c r="E928" s="15" t="n">
        <x:v>4.614833333</x:v>
      </x:c>
      <x:c r="F928" s="15" t="str">
        <x:v>scored</x:v>
      </x:c>
      <x:c r="G928" s="15" t="n">
        <x:v>0</x:v>
      </x:c>
      <x:c r="H928" s="15" t="n">
        <x:v>0</x:v>
      </x:c>
      <x:c r="I928" s="15" t="n">
        <x:v>0</x:v>
      </x:c>
      <x:c r="J928" s="15" t="n">
        <x:v>0</x:v>
      </x:c>
      <x:c r="K928" s="15" t="n">
        <x:v>0</x:v>
      </x:c>
      <x:c r="L928" s="15" t="n">
        <x:v>0</x:v>
      </x:c>
      <x:c r="M928" s="15" t="n">
        <x:v>0</x:v>
      </x:c>
      <x:c r="N928" s="15" t="n">
        <x:v>0</x:v>
      </x:c>
      <x:c r="O928" s="15" t="n">
        <x:v>0</x:v>
      </x:c>
      <x:c r="P928" s="15" t="n">
        <x:v>0</x:v>
      </x:c>
      <x:c r="Q928" s="15" t="n">
        <x:v>0</x:v>
      </x:c>
      <x:c r="R928" s="15" t="n">
        <x:v>0</x:v>
      </x:c>
      <x:c r="S928" s="15" t="n">
        <x:v>0</x:v>
      </x:c>
      <x:c r="T928" s="15" t="n">
        <x:v>0</x:v>
      </x:c>
      <x:c r="U928" s="15" t="n">
        <x:v>0</x:v>
      </x:c>
      <x:c r="V928" s="15" t="n">
        <x:v>0</x:v>
      </x:c>
      <x:c r="W928" s="15" t="n">
        <x:v>0</x:v>
      </x:c>
      <x:c r="X928" s="15" t="n">
        <x:v>0</x:v>
      </x:c>
      <x:c r="Y928" s="15" t="n">
        <x:v>560</x:v>
      </x:c>
      <x:c r="Z928" s="15" t="n">
        <x:v>1.647032</x:v>
      </x:c>
      <x:c r="AA928" s="15" t="n">
        <x:v>0.004096</x:v>
      </x:c>
      <x:c r="AB928" s="15" t="n">
        <x:f>SUM(G928:AA928)</x:f>
        <x:v>561.651128</x:v>
      </x:c>
    </x:row>
    <x:row r="929" ht="36" customHeight="1">
      <x:c r="A929" s="10" t="str">
        <x:v>D-B</x:v>
      </x:c>
      <x:c r="B929" s="10" t="str">
        <x:v>DELIVERY</x:v>
      </x:c>
      <x:c r="C929" s="10" t="str">
        <x:v>DELIVERY:S05-02</x:v>
      </x:c>
      <x:c r="D929" s="10" t="str">
        <x:v>DELIVERY:M2377</x:v>
      </x:c>
      <x:c r="E929" s="15" t="n">
        <x:v>8.179166666</x:v>
      </x:c>
      <x:c r="F929" s="15" t="str">
        <x:v>scored</x:v>
      </x:c>
      <x:c r="G929" s="15" t="n">
        <x:v>0</x:v>
      </x:c>
      <x:c r="H929" s="15" t="n">
        <x:v>0</x:v>
      </x:c>
      <x:c r="I929" s="15" t="n">
        <x:v>0</x:v>
      </x:c>
      <x:c r="J929" s="15" t="n">
        <x:v>0</x:v>
      </x:c>
      <x:c r="K929" s="15" t="n">
        <x:v>0</x:v>
      </x:c>
      <x:c r="L929" s="15" t="n">
        <x:v>0</x:v>
      </x:c>
      <x:c r="M929" s="15" t="n">
        <x:v>0</x:v>
      </x:c>
      <x:c r="N929" s="15" t="n">
        <x:v>0</x:v>
      </x:c>
      <x:c r="O929" s="15" t="n">
        <x:v>0</x:v>
      </x:c>
      <x:c r="P929" s="15" t="n">
        <x:v>0</x:v>
      </x:c>
      <x:c r="Q929" s="15" t="n">
        <x:v>0</x:v>
      </x:c>
      <x:c r="R929" s="15" t="n">
        <x:v>0</x:v>
      </x:c>
      <x:c r="S929" s="15" t="n">
        <x:v>0</x:v>
      </x:c>
      <x:c r="T929" s="15" t="n">
        <x:v>0</x:v>
      </x:c>
      <x:c r="U929" s="15" t="n">
        <x:v>0</x:v>
      </x:c>
      <x:c r="V929" s="15" t="n">
        <x:v>0</x:v>
      </x:c>
      <x:c r="W929" s="15" t="n">
        <x:v>0</x:v>
      </x:c>
      <x:c r="X929" s="15" t="n">
        <x:v>0</x:v>
      </x:c>
      <x:c r="Y929" s="15" t="n">
        <x:v>560</x:v>
      </x:c>
      <x:c r="Z929" s="15" t="n">
        <x:v>1.495192</x:v>
      </x:c>
      <x:c r="AA929" s="15" t="n">
        <x:v>0.008192</x:v>
      </x:c>
      <x:c r="AB929" s="15" t="n">
        <x:f>SUM(G929:AA929)</x:f>
        <x:v>561.503384</x:v>
      </x:c>
    </x:row>
    <x:row r="930" ht="36" customHeight="1">
      <x:c r="A930" s="10" t="str">
        <x:v>D-A</x:v>
      </x:c>
      <x:c r="B930" s="10" t="str">
        <x:v>DELIVERY</x:v>
      </x:c>
      <x:c r="C930" s="10" t="str">
        <x:v>DELIVERY:S05-03</x:v>
      </x:c>
      <x:c r="D930" s="10" t="str">
        <x:v>DELIVERY:M2428</x:v>
      </x:c>
      <x:c r="E930" s="15" t="n">
        <x:v>4.617833333</x:v>
      </x:c>
      <x:c r="F930" s="15" t="str">
        <x:v>scored</x:v>
      </x:c>
      <x:c r="G930" s="15" t="n">
        <x:v>0</x:v>
      </x:c>
      <x:c r="H930" s="15" t="n">
        <x:v>0</x:v>
      </x:c>
      <x:c r="I930" s="15" t="n">
        <x:v>0</x:v>
      </x:c>
      <x:c r="J930" s="15" t="n">
        <x:v>0</x:v>
      </x:c>
      <x:c r="K930" s="15" t="n">
        <x:v>0</x:v>
      </x:c>
      <x:c r="L930" s="15" t="n">
        <x:v>0</x:v>
      </x:c>
      <x:c r="M930" s="15" t="n">
        <x:v>0</x:v>
      </x:c>
      <x:c r="N930" s="15" t="n">
        <x:v>0</x:v>
      </x:c>
      <x:c r="O930" s="15" t="n">
        <x:v>0</x:v>
      </x:c>
      <x:c r="P930" s="15" t="n">
        <x:v>0</x:v>
      </x:c>
      <x:c r="Q930" s="15" t="n">
        <x:v>0</x:v>
      </x:c>
      <x:c r="R930" s="15" t="n">
        <x:v>0</x:v>
      </x:c>
      <x:c r="S930" s="15" t="n">
        <x:v>0</x:v>
      </x:c>
      <x:c r="T930" s="15" t="n">
        <x:v>0</x:v>
      </x:c>
      <x:c r="U930" s="15" t="n">
        <x:v>0</x:v>
      </x:c>
      <x:c r="V930" s="15" t="n">
        <x:v>0</x:v>
      </x:c>
      <x:c r="W930" s="15" t="n">
        <x:v>0</x:v>
      </x:c>
      <x:c r="X930" s="15" t="n">
        <x:v>0</x:v>
      </x:c>
      <x:c r="Y930" s="15" t="n">
        <x:v>560</x:v>
      </x:c>
      <x:c r="Z930" s="15" t="n">
        <x:v>1.6458</x:v>
      </x:c>
      <x:c r="AA930" s="15" t="n">
        <x:v>0.004096</x:v>
      </x:c>
      <x:c r="AB930" s="15" t="n">
        <x:f>SUM(G930:AA930)</x:f>
        <x:v>561.649896</x:v>
      </x:c>
    </x:row>
    <x:row r="931" ht="36" customHeight="1">
      <x:c r="A931" s="10" t="str">
        <x:v>D-B</x:v>
      </x:c>
      <x:c r="B931" s="10" t="str">
        <x:v>DELIVERY</x:v>
      </x:c>
      <x:c r="C931" s="10" t="str">
        <x:v>DELIVERY:S05-03</x:v>
      </x:c>
      <x:c r="D931" s="10" t="str">
        <x:v>DELIVERY:M2476</x:v>
      </x:c>
      <x:c r="E931" s="15" t="n">
        <x:v>8.194166666</x:v>
      </x:c>
      <x:c r="F931" s="15" t="str">
        <x:v>scored</x:v>
      </x:c>
      <x:c r="G931" s="15" t="n">
        <x:v>0</x:v>
      </x:c>
      <x:c r="H931" s="15" t="n">
        <x:v>0</x:v>
      </x:c>
      <x:c r="I931" s="15" t="n">
        <x:v>0</x:v>
      </x:c>
      <x:c r="J931" s="15" t="n">
        <x:v>0</x:v>
      </x:c>
      <x:c r="K931" s="15" t="n">
        <x:v>0</x:v>
      </x:c>
      <x:c r="L931" s="15" t="n">
        <x:v>0</x:v>
      </x:c>
      <x:c r="M931" s="15" t="n">
        <x:v>0</x:v>
      </x:c>
      <x:c r="N931" s="15" t="n">
        <x:v>0</x:v>
      </x:c>
      <x:c r="O931" s="15" t="n">
        <x:v>0</x:v>
      </x:c>
      <x:c r="P931" s="15" t="n">
        <x:v>0</x:v>
      </x:c>
      <x:c r="Q931" s="15" t="n">
        <x:v>0</x:v>
      </x:c>
      <x:c r="R931" s="15" t="n">
        <x:v>0</x:v>
      </x:c>
      <x:c r="S931" s="15" t="n">
        <x:v>0</x:v>
      </x:c>
      <x:c r="T931" s="15" t="n">
        <x:v>0</x:v>
      </x:c>
      <x:c r="U931" s="15" t="n">
        <x:v>0</x:v>
      </x:c>
      <x:c r="V931" s="15" t="n">
        <x:v>0</x:v>
      </x:c>
      <x:c r="W931" s="15" t="n">
        <x:v>0</x:v>
      </x:c>
      <x:c r="X931" s="15" t="n">
        <x:v>0</x:v>
      </x:c>
      <x:c r="Y931" s="15" t="n">
        <x:v>560</x:v>
      </x:c>
      <x:c r="Z931" s="15" t="n">
        <x:v>1.493384</x:v>
      </x:c>
      <x:c r="AA931" s="15" t="n">
        <x:v>0.008192</x:v>
      </x:c>
      <x:c r="AB931" s="15" t="n">
        <x:f>SUM(G931:AA931)</x:f>
        <x:v>561.501576</x:v>
      </x:c>
    </x:row>
    <x:row r="932" ht="36" customHeight="1">
      <x:c r="A932" s="10" t="str">
        <x:v>D-A</x:v>
      </x:c>
      <x:c r="B932" s="10" t="str">
        <x:v>DELIVERY</x:v>
      </x:c>
      <x:c r="C932" s="10" t="str">
        <x:v>DELIVERY:S05-04</x:v>
      </x:c>
      <x:c r="D932" s="10" t="str">
        <x:v>DELIVERY:M2527</x:v>
      </x:c>
      <x:c r="E932" s="15" t="n">
        <x:v>4.620833333</x:v>
      </x:c>
      <x:c r="F932" s="15" t="str">
        <x:v>scored</x:v>
      </x:c>
      <x:c r="G932" s="15" t="n">
        <x:v>0</x:v>
      </x:c>
      <x:c r="H932" s="15" t="n">
        <x:v>0</x:v>
      </x:c>
      <x:c r="I932" s="15" t="n">
        <x:v>0</x:v>
      </x:c>
      <x:c r="J932" s="15" t="n">
        <x:v>0</x:v>
      </x:c>
      <x:c r="K932" s="15" t="n">
        <x:v>0</x:v>
      </x:c>
      <x:c r="L932" s="15" t="n">
        <x:v>0</x:v>
      </x:c>
      <x:c r="M932" s="15" t="n">
        <x:v>0</x:v>
      </x:c>
      <x:c r="N932" s="15" t="n">
        <x:v>0</x:v>
      </x:c>
      <x:c r="O932" s="15" t="n">
        <x:v>0</x:v>
      </x:c>
      <x:c r="P932" s="15" t="n">
        <x:v>0</x:v>
      </x:c>
      <x:c r="Q932" s="15" t="n">
        <x:v>0</x:v>
      </x:c>
      <x:c r="R932" s="15" t="n">
        <x:v>0</x:v>
      </x:c>
      <x:c r="S932" s="15" t="n">
        <x:v>0</x:v>
      </x:c>
      <x:c r="T932" s="15" t="n">
        <x:v>0</x:v>
      </x:c>
      <x:c r="U932" s="15" t="n">
        <x:v>0</x:v>
      </x:c>
      <x:c r="V932" s="15" t="n">
        <x:v>0</x:v>
      </x:c>
      <x:c r="W932" s="15" t="n">
        <x:v>0</x:v>
      </x:c>
      <x:c r="X932" s="15" t="n">
        <x:v>0</x:v>
      </x:c>
      <x:c r="Y932" s="15" t="n">
        <x:v>560</x:v>
      </x:c>
      <x:c r="Z932" s="15" t="n">
        <x:v>1.648168</x:v>
      </x:c>
      <x:c r="AA932" s="15" t="n">
        <x:v>0.004096</x:v>
      </x:c>
      <x:c r="AB932" s="15" t="n">
        <x:f>SUM(G932:AA932)</x:f>
        <x:v>561.6522640000001</x:v>
      </x:c>
    </x:row>
    <x:row r="933" ht="36" customHeight="1">
      <x:c r="A933" s="10" t="str">
        <x:v>D-B</x:v>
      </x:c>
      <x:c r="B933" s="10" t="str">
        <x:v>DELIVERY</x:v>
      </x:c>
      <x:c r="C933" s="10" t="str">
        <x:v>DELIVERY:S05-04</x:v>
      </x:c>
      <x:c r="D933" s="10" t="str">
        <x:v>DELIVERY:M2575</x:v>
      </x:c>
      <x:c r="E933" s="15" t="n">
        <x:v>8.209166666</x:v>
      </x:c>
      <x:c r="F933" s="15" t="str">
        <x:v>scored</x:v>
      </x:c>
      <x:c r="G933" s="15" t="n">
        <x:v>0</x:v>
      </x:c>
      <x:c r="H933" s="15" t="n">
        <x:v>0</x:v>
      </x:c>
      <x:c r="I933" s="15" t="n">
        <x:v>0</x:v>
      </x:c>
      <x:c r="J933" s="15" t="n">
        <x:v>0</x:v>
      </x:c>
      <x:c r="K933" s="15" t="n">
        <x:v>0</x:v>
      </x:c>
      <x:c r="L933" s="15" t="n">
        <x:v>0</x:v>
      </x:c>
      <x:c r="M933" s="15" t="n">
        <x:v>0</x:v>
      </x:c>
      <x:c r="N933" s="15" t="n">
        <x:v>0</x:v>
      </x:c>
      <x:c r="O933" s="15" t="n">
        <x:v>0</x:v>
      </x:c>
      <x:c r="P933" s="15" t="n">
        <x:v>0</x:v>
      </x:c>
      <x:c r="Q933" s="15" t="n">
        <x:v>0</x:v>
      </x:c>
      <x:c r="R933" s="15" t="n">
        <x:v>0</x:v>
      </x:c>
      <x:c r="S933" s="15" t="n">
        <x:v>0</x:v>
      </x:c>
      <x:c r="T933" s="15" t="n">
        <x:v>0</x:v>
      </x:c>
      <x:c r="U933" s="15" t="n">
        <x:v>0</x:v>
      </x:c>
      <x:c r="V933" s="15" t="n">
        <x:v>0</x:v>
      </x:c>
      <x:c r="W933" s="15" t="n">
        <x:v>0</x:v>
      </x:c>
      <x:c r="X933" s="15" t="n">
        <x:v>0</x:v>
      </x:c>
      <x:c r="Y933" s="15" t="n">
        <x:v>560</x:v>
      </x:c>
      <x:c r="Z933" s="15" t="n">
        <x:v>1.495176</x:v>
      </x:c>
      <x:c r="AA933" s="15" t="n">
        <x:v>0.008192</x:v>
      </x:c>
      <x:c r="AB933" s="15" t="n">
        <x:f>SUM(G933:AA933)</x:f>
        <x:v>561.503368</x:v>
      </x:c>
    </x:row>
    <x:row r="934" ht="36" customHeight="1">
      <x:c r="A934" s="10" t="str">
        <x:v>D-A</x:v>
      </x:c>
      <x:c r="B934" s="10" t="str">
        <x:v>DELIVERY</x:v>
      </x:c>
      <x:c r="C934" s="10" t="str">
        <x:v>DELIVERY:S05-05</x:v>
      </x:c>
      <x:c r="D934" s="10" t="str">
        <x:v>DELIVERY:M2626</x:v>
      </x:c>
      <x:c r="E934" s="15" t="n">
        <x:v>4.623833333</x:v>
      </x:c>
      <x:c r="F934" s="15" t="str">
        <x:v>scored</x:v>
      </x:c>
      <x:c r="G934" s="15" t="n">
        <x:v>0</x:v>
      </x:c>
      <x:c r="H934" s="15" t="n">
        <x:v>0</x:v>
      </x:c>
      <x:c r="I934" s="15" t="n">
        <x:v>0</x:v>
      </x:c>
      <x:c r="J934" s="15" t="n">
        <x:v>0</x:v>
      </x:c>
      <x:c r="K934" s="15" t="n">
        <x:v>0</x:v>
      </x:c>
      <x:c r="L934" s="15" t="n">
        <x:v>0</x:v>
      </x:c>
      <x:c r="M934" s="15" t="n">
        <x:v>0</x:v>
      </x:c>
      <x:c r="N934" s="15" t="n">
        <x:v>0</x:v>
      </x:c>
      <x:c r="O934" s="15" t="n">
        <x:v>0</x:v>
      </x:c>
      <x:c r="P934" s="15" t="n">
        <x:v>0</x:v>
      </x:c>
      <x:c r="Q934" s="15" t="n">
        <x:v>0</x:v>
      </x:c>
      <x:c r="R934" s="15" t="n">
        <x:v>0</x:v>
      </x:c>
      <x:c r="S934" s="15" t="n">
        <x:v>0</x:v>
      </x:c>
      <x:c r="T934" s="15" t="n">
        <x:v>0</x:v>
      </x:c>
      <x:c r="U934" s="15" t="n">
        <x:v>0</x:v>
      </x:c>
      <x:c r="V934" s="15" t="n">
        <x:v>0</x:v>
      </x:c>
      <x:c r="W934" s="15" t="n">
        <x:v>0</x:v>
      </x:c>
      <x:c r="X934" s="15" t="n">
        <x:v>0</x:v>
      </x:c>
      <x:c r="Y934" s="15" t="n">
        <x:v>560</x:v>
      </x:c>
      <x:c r="Z934" s="15" t="n">
        <x:v>1.650536</x:v>
      </x:c>
      <x:c r="AA934" s="15" t="n">
        <x:v>0.004096</x:v>
      </x:c>
      <x:c r="AB934" s="15" t="n">
        <x:f>SUM(G934:AA934)</x:f>
        <x:v>561.654632</x:v>
      </x:c>
    </x:row>
    <x:row r="935" ht="36" customHeight="1">
      <x:c r="A935" s="10" t="str">
        <x:v>D-B</x:v>
      </x:c>
      <x:c r="B935" s="10" t="str">
        <x:v>DELIVERY</x:v>
      </x:c>
      <x:c r="C935" s="10" t="str">
        <x:v>DELIVERY:S05-05</x:v>
      </x:c>
      <x:c r="D935" s="10" t="str">
        <x:v>DELIVERY:M2674</x:v>
      </x:c>
      <x:c r="E935" s="15" t="n">
        <x:v>8.224166666</x:v>
      </x:c>
      <x:c r="F935" s="15" t="str">
        <x:v>scored</x:v>
      </x:c>
      <x:c r="G935" s="15" t="n">
        <x:v>0</x:v>
      </x:c>
      <x:c r="H935" s="15" t="n">
        <x:v>0</x:v>
      </x:c>
      <x:c r="I935" s="15" t="n">
        <x:v>0</x:v>
      </x:c>
      <x:c r="J935" s="15" t="n">
        <x:v>0</x:v>
      </x:c>
      <x:c r="K935" s="15" t="n">
        <x:v>0</x:v>
      </x:c>
      <x:c r="L935" s="15" t="n">
        <x:v>0</x:v>
      </x:c>
      <x:c r="M935" s="15" t="n">
        <x:v>0</x:v>
      </x:c>
      <x:c r="N935" s="15" t="n">
        <x:v>0</x:v>
      </x:c>
      <x:c r="O935" s="15" t="n">
        <x:v>0</x:v>
      </x:c>
      <x:c r="P935" s="15" t="n">
        <x:v>0</x:v>
      </x:c>
      <x:c r="Q935" s="15" t="n">
        <x:v>0</x:v>
      </x:c>
      <x:c r="R935" s="15" t="n">
        <x:v>0</x:v>
      </x:c>
      <x:c r="S935" s="15" t="n">
        <x:v>0</x:v>
      </x:c>
      <x:c r="T935" s="15" t="n">
        <x:v>0</x:v>
      </x:c>
      <x:c r="U935" s="15" t="n">
        <x:v>0</x:v>
      </x:c>
      <x:c r="V935" s="15" t="n">
        <x:v>0</x:v>
      </x:c>
      <x:c r="W935" s="15" t="n">
        <x:v>0</x:v>
      </x:c>
      <x:c r="X935" s="15" t="n">
        <x:v>0</x:v>
      </x:c>
      <x:c r="Y935" s="15" t="n">
        <x:v>560</x:v>
      </x:c>
      <x:c r="Z935" s="15" t="n">
        <x:v>1.496968</x:v>
      </x:c>
      <x:c r="AA935" s="15" t="n">
        <x:v>0.008192</x:v>
      </x:c>
      <x:c r="AB935" s="15" t="n">
        <x:f>SUM(G935:AA935)</x:f>
        <x:v>561.50516</x:v>
      </x:c>
    </x:row>
    <x:row r="936" ht="36" customHeight="1">
      <x:c r="A936" s="10" t="str">
        <x:v>D-A</x:v>
      </x:c>
      <x:c r="B936" s="10" t="str">
        <x:v>DELIVERY</x:v>
      </x:c>
      <x:c r="C936" s="10" t="str">
        <x:v>DELIVERY:S05-06</x:v>
      </x:c>
      <x:c r="D936" s="10" t="str">
        <x:v>DELIVERY:M2725</x:v>
      </x:c>
      <x:c r="E936" s="15" t="n">
        <x:v>4.626833333</x:v>
      </x:c>
      <x:c r="F936" s="15" t="str">
        <x:v>scored</x:v>
      </x:c>
      <x:c r="G936" s="15" t="n">
        <x:v>0</x:v>
      </x:c>
      <x:c r="H936" s="15" t="n">
        <x:v>0</x:v>
      </x:c>
      <x:c r="I936" s="15" t="n">
        <x:v>0</x:v>
      </x:c>
      <x:c r="J936" s="15" t="n">
        <x:v>0</x:v>
      </x:c>
      <x:c r="K936" s="15" t="n">
        <x:v>0</x:v>
      </x:c>
      <x:c r="L936" s="15" t="n">
        <x:v>0</x:v>
      </x:c>
      <x:c r="M936" s="15" t="n">
        <x:v>0</x:v>
      </x:c>
      <x:c r="N936" s="15" t="n">
        <x:v>0</x:v>
      </x:c>
      <x:c r="O936" s="15" t="n">
        <x:v>0</x:v>
      </x:c>
      <x:c r="P936" s="15" t="n">
        <x:v>0</x:v>
      </x:c>
      <x:c r="Q936" s="15" t="n">
        <x:v>0</x:v>
      </x:c>
      <x:c r="R936" s="15" t="n">
        <x:v>0</x:v>
      </x:c>
      <x:c r="S936" s="15" t="n">
        <x:v>0</x:v>
      </x:c>
      <x:c r="T936" s="15" t="n">
        <x:v>0</x:v>
      </x:c>
      <x:c r="U936" s="15" t="n">
        <x:v>0</x:v>
      </x:c>
      <x:c r="V936" s="15" t="n">
        <x:v>0</x:v>
      </x:c>
      <x:c r="W936" s="15" t="n">
        <x:v>0</x:v>
      </x:c>
      <x:c r="X936" s="15" t="n">
        <x:v>0</x:v>
      </x:c>
      <x:c r="Y936" s="15" t="n">
        <x:v>560</x:v>
      </x:c>
      <x:c r="Z936" s="15" t="n">
        <x:v>1.649304</x:v>
      </x:c>
      <x:c r="AA936" s="15" t="n">
        <x:v>0.004096</x:v>
      </x:c>
      <x:c r="AB936" s="15" t="n">
        <x:f>SUM(G936:AA936)</x:f>
        <x:v>561.6534</x:v>
      </x:c>
    </x:row>
    <x:row r="937" ht="36" customHeight="1">
      <x:c r="A937" s="10" t="str">
        <x:v>D-B</x:v>
      </x:c>
      <x:c r="B937" s="10" t="str">
        <x:v>DELIVERY</x:v>
      </x:c>
      <x:c r="C937" s="10" t="str">
        <x:v>DELIVERY:S05-06</x:v>
      </x:c>
      <x:c r="D937" s="10" t="str">
        <x:v>DELIVERY:M2773</x:v>
      </x:c>
      <x:c r="E937" s="15" t="n">
        <x:v>8.239166666</x:v>
      </x:c>
      <x:c r="F937" s="15" t="str">
        <x:v>scored</x:v>
      </x:c>
      <x:c r="G937" s="15" t="n">
        <x:v>0</x:v>
      </x:c>
      <x:c r="H937" s="15" t="n">
        <x:v>0</x:v>
      </x:c>
      <x:c r="I937" s="15" t="n">
        <x:v>0</x:v>
      </x:c>
      <x:c r="J937" s="15" t="n">
        <x:v>0</x:v>
      </x:c>
      <x:c r="K937" s="15" t="n">
        <x:v>0</x:v>
      </x:c>
      <x:c r="L937" s="15" t="n">
        <x:v>0</x:v>
      </x:c>
      <x:c r="M937" s="15" t="n">
        <x:v>0</x:v>
      </x:c>
      <x:c r="N937" s="15" t="n">
        <x:v>0</x:v>
      </x:c>
      <x:c r="O937" s="15" t="n">
        <x:v>0</x:v>
      </x:c>
      <x:c r="P937" s="15" t="n">
        <x:v>0</x:v>
      </x:c>
      <x:c r="Q937" s="15" t="n">
        <x:v>0</x:v>
      </x:c>
      <x:c r="R937" s="15" t="n">
        <x:v>0</x:v>
      </x:c>
      <x:c r="S937" s="15" t="n">
        <x:v>0</x:v>
      </x:c>
      <x:c r="T937" s="15" t="n">
        <x:v>0</x:v>
      </x:c>
      <x:c r="U937" s="15" t="n">
        <x:v>0</x:v>
      </x:c>
      <x:c r="V937" s="15" t="n">
        <x:v>0</x:v>
      </x:c>
      <x:c r="W937" s="15" t="n">
        <x:v>0</x:v>
      </x:c>
      <x:c r="X937" s="15" t="n">
        <x:v>0</x:v>
      </x:c>
      <x:c r="Y937" s="15" t="n">
        <x:v>560</x:v>
      </x:c>
      <x:c r="Z937" s="15" t="n">
        <x:v>1.49516</x:v>
      </x:c>
      <x:c r="AA937" s="15" t="n">
        <x:v>0.008192</x:v>
      </x:c>
      <x:c r="AB937" s="15" t="n">
        <x:f>SUM(G937:AA937)</x:f>
        <x:v>561.5033520000001</x:v>
      </x:c>
    </x:row>
    <x:row r="938" ht="36" customHeight="1">
      <x:c r="A938" s="10" t="str">
        <x:v>D-A</x:v>
      </x:c>
      <x:c r="B938" s="10" t="str">
        <x:v>DELIVERY</x:v>
      </x:c>
      <x:c r="C938" s="10" t="str">
        <x:v>DELIVERY:S05-07</x:v>
      </x:c>
      <x:c r="D938" s="10" t="str">
        <x:v>DELIVERY:M2824</x:v>
      </x:c>
      <x:c r="E938" s="15" t="n">
        <x:v>4.629833333</x:v>
      </x:c>
      <x:c r="F938" s="15" t="str">
        <x:v>scored</x:v>
      </x:c>
      <x:c r="G938" s="15" t="n">
        <x:v>0</x:v>
      </x:c>
      <x:c r="H938" s="15" t="n">
        <x:v>0</x:v>
      </x:c>
      <x:c r="I938" s="15" t="n">
        <x:v>0</x:v>
      </x:c>
      <x:c r="J938" s="15" t="n">
        <x:v>0</x:v>
      </x:c>
      <x:c r="K938" s="15" t="n">
        <x:v>0</x:v>
      </x:c>
      <x:c r="L938" s="15" t="n">
        <x:v>0</x:v>
      </x:c>
      <x:c r="M938" s="15" t="n">
        <x:v>0</x:v>
      </x:c>
      <x:c r="N938" s="15" t="n">
        <x:v>0</x:v>
      </x:c>
      <x:c r="O938" s="15" t="n">
        <x:v>0</x:v>
      </x:c>
      <x:c r="P938" s="15" t="n">
        <x:v>0</x:v>
      </x:c>
      <x:c r="Q938" s="15" t="n">
        <x:v>0</x:v>
      </x:c>
      <x:c r="R938" s="15" t="n">
        <x:v>0</x:v>
      </x:c>
      <x:c r="S938" s="15" t="n">
        <x:v>0</x:v>
      </x:c>
      <x:c r="T938" s="15" t="n">
        <x:v>0</x:v>
      </x:c>
      <x:c r="U938" s="15" t="n">
        <x:v>0</x:v>
      </x:c>
      <x:c r="V938" s="15" t="n">
        <x:v>0</x:v>
      </x:c>
      <x:c r="W938" s="15" t="n">
        <x:v>0</x:v>
      </x:c>
      <x:c r="X938" s="15" t="n">
        <x:v>0</x:v>
      </x:c>
      <x:c r="Y938" s="15" t="n">
        <x:v>560</x:v>
      </x:c>
      <x:c r="Z938" s="15" t="n">
        <x:v>1.651672</x:v>
      </x:c>
      <x:c r="AA938" s="15" t="n">
        <x:v>0.004096</x:v>
      </x:c>
      <x:c r="AB938" s="15" t="n">
        <x:f>SUM(G938:AA938)</x:f>
        <x:v>561.655768</x:v>
      </x:c>
    </x:row>
    <x:row r="939" ht="36" customHeight="1">
      <x:c r="A939" s="10" t="str">
        <x:v>D-B</x:v>
      </x:c>
      <x:c r="B939" s="10" t="str">
        <x:v>DELIVERY</x:v>
      </x:c>
      <x:c r="C939" s="10" t="str">
        <x:v>DELIVERY:S05-07</x:v>
      </x:c>
      <x:c r="D939" s="10" t="str">
        <x:v>DELIVERY:M2872</x:v>
      </x:c>
      <x:c r="E939" s="15" t="n">
        <x:v>8.254166666</x:v>
      </x:c>
      <x:c r="F939" s="15" t="str">
        <x:v>scored</x:v>
      </x:c>
      <x:c r="G939" s="15" t="n">
        <x:v>0</x:v>
      </x:c>
      <x:c r="H939" s="15" t="n">
        <x:v>0</x:v>
      </x:c>
      <x:c r="I939" s="15" t="n">
        <x:v>0</x:v>
      </x:c>
      <x:c r="J939" s="15" t="n">
        <x:v>0</x:v>
      </x:c>
      <x:c r="K939" s="15" t="n">
        <x:v>0</x:v>
      </x:c>
      <x:c r="L939" s="15" t="n">
        <x:v>0</x:v>
      </x:c>
      <x:c r="M939" s="15" t="n">
        <x:v>0</x:v>
      </x:c>
      <x:c r="N939" s="15" t="n">
        <x:v>0</x:v>
      </x:c>
      <x:c r="O939" s="15" t="n">
        <x:v>0</x:v>
      </x:c>
      <x:c r="P939" s="15" t="n">
        <x:v>0</x:v>
      </x:c>
      <x:c r="Q939" s="15" t="n">
        <x:v>0</x:v>
      </x:c>
      <x:c r="R939" s="15" t="n">
        <x:v>0</x:v>
      </x:c>
      <x:c r="S939" s="15" t="n">
        <x:v>0</x:v>
      </x:c>
      <x:c r="T939" s="15" t="n">
        <x:v>0</x:v>
      </x:c>
      <x:c r="U939" s="15" t="n">
        <x:v>0</x:v>
      </x:c>
      <x:c r="V939" s="15" t="n">
        <x:v>0</x:v>
      </x:c>
      <x:c r="W939" s="15" t="n">
        <x:v>0</x:v>
      </x:c>
      <x:c r="X939" s="15" t="n">
        <x:v>0</x:v>
      </x:c>
      <x:c r="Y939" s="15" t="n">
        <x:v>560</x:v>
      </x:c>
      <x:c r="Z939" s="15" t="n">
        <x:v>1.496952</x:v>
      </x:c>
      <x:c r="AA939" s="15" t="n">
        <x:v>0.008192</x:v>
      </x:c>
      <x:c r="AB939" s="15" t="n">
        <x:f>SUM(G939:AA939)</x:f>
        <x:v>561.505144</x:v>
      </x:c>
    </x:row>
    <x:row r="940" ht="36" customHeight="1">
      <x:c r="A940" s="10" t="str">
        <x:v>D-A</x:v>
      </x:c>
      <x:c r="B940" s="10" t="str">
        <x:v>DELIVERY</x:v>
      </x:c>
      <x:c r="C940" s="10" t="str">
        <x:v>DELIVERY:S05-08</x:v>
      </x:c>
      <x:c r="D940" s="10" t="str">
        <x:v>DELIVERY:M2923</x:v>
      </x:c>
      <x:c r="E940" s="15" t="n">
        <x:v>4.632833333</x:v>
      </x:c>
      <x:c r="F940" s="15" t="str">
        <x:v>scored</x:v>
      </x:c>
      <x:c r="G940" s="15" t="n">
        <x:v>0</x:v>
      </x:c>
      <x:c r="H940" s="15" t="n">
        <x:v>0</x:v>
      </x:c>
      <x:c r="I940" s="15" t="n">
        <x:v>0</x:v>
      </x:c>
      <x:c r="J940" s="15" t="n">
        <x:v>0</x:v>
      </x:c>
      <x:c r="K940" s="15" t="n">
        <x:v>0</x:v>
      </x:c>
      <x:c r="L940" s="15" t="n">
        <x:v>0</x:v>
      </x:c>
      <x:c r="M940" s="15" t="n">
        <x:v>0</x:v>
      </x:c>
      <x:c r="N940" s="15" t="n">
        <x:v>0</x:v>
      </x:c>
      <x:c r="O940" s="15" t="n">
        <x:v>0</x:v>
      </x:c>
      <x:c r="P940" s="15" t="n">
        <x:v>0</x:v>
      </x:c>
      <x:c r="Q940" s="15" t="n">
        <x:v>0</x:v>
      </x:c>
      <x:c r="R940" s="15" t="n">
        <x:v>0</x:v>
      </x:c>
      <x:c r="S940" s="15" t="n">
        <x:v>0</x:v>
      </x:c>
      <x:c r="T940" s="15" t="n">
        <x:v>0</x:v>
      </x:c>
      <x:c r="U940" s="15" t="n">
        <x:v>0</x:v>
      </x:c>
      <x:c r="V940" s="15" t="n">
        <x:v>0</x:v>
      </x:c>
      <x:c r="W940" s="15" t="n">
        <x:v>0</x:v>
      </x:c>
      <x:c r="X940" s="15" t="n">
        <x:v>0</x:v>
      </x:c>
      <x:c r="Y940" s="15" t="n">
        <x:v>560</x:v>
      </x:c>
      <x:c r="Z940" s="15" t="n">
        <x:v>1.65404</x:v>
      </x:c>
      <x:c r="AA940" s="15" t="n">
        <x:v>0.004096</x:v>
      </x:c>
      <x:c r="AB940" s="15" t="n">
        <x:f>SUM(G940:AA940)</x:f>
        <x:v>561.658136</x:v>
      </x:c>
    </x:row>
    <x:row r="941" ht="36" customHeight="1">
      <x:c r="A941" s="10" t="str">
        <x:v>D-B</x:v>
      </x:c>
      <x:c r="B941" s="10" t="str">
        <x:v>DELIVERY</x:v>
      </x:c>
      <x:c r="C941" s="10" t="str">
        <x:v>DELIVERY:S05-08</x:v>
      </x:c>
      <x:c r="D941" s="10" t="str">
        <x:v>DELIVERY:M2971</x:v>
      </x:c>
      <x:c r="E941" s="15" t="n">
        <x:v>8.269166666</x:v>
      </x:c>
      <x:c r="F941" s="15" t="str">
        <x:v>scored</x:v>
      </x:c>
      <x:c r="G941" s="15" t="n">
        <x:v>0</x:v>
      </x:c>
      <x:c r="H941" s="15" t="n">
        <x:v>0</x:v>
      </x:c>
      <x:c r="I941" s="15" t="n">
        <x:v>0</x:v>
      </x:c>
      <x:c r="J941" s="15" t="n">
        <x:v>0</x:v>
      </x:c>
      <x:c r="K941" s="15" t="n">
        <x:v>0</x:v>
      </x:c>
      <x:c r="L941" s="15" t="n">
        <x:v>0</x:v>
      </x:c>
      <x:c r="M941" s="15" t="n">
        <x:v>0</x:v>
      </x:c>
      <x:c r="N941" s="15" t="n">
        <x:v>0</x:v>
      </x:c>
      <x:c r="O941" s="15" t="n">
        <x:v>0</x:v>
      </x:c>
      <x:c r="P941" s="15" t="n">
        <x:v>0</x:v>
      </x:c>
      <x:c r="Q941" s="15" t="n">
        <x:v>0</x:v>
      </x:c>
      <x:c r="R941" s="15" t="n">
        <x:v>0</x:v>
      </x:c>
      <x:c r="S941" s="15" t="n">
        <x:v>0</x:v>
      </x:c>
      <x:c r="T941" s="15" t="n">
        <x:v>0</x:v>
      </x:c>
      <x:c r="U941" s="15" t="n">
        <x:v>0</x:v>
      </x:c>
      <x:c r="V941" s="15" t="n">
        <x:v>0</x:v>
      </x:c>
      <x:c r="W941" s="15" t="n">
        <x:v>0</x:v>
      </x:c>
      <x:c r="X941" s="15" t="n">
        <x:v>0</x:v>
      </x:c>
      <x:c r="Y941" s="15" t="n">
        <x:v>560</x:v>
      </x:c>
      <x:c r="Z941" s="15" t="n">
        <x:v>1.498744</x:v>
      </x:c>
      <x:c r="AA941" s="15" t="n">
        <x:v>0.008192</x:v>
      </x:c>
      <x:c r="AB941" s="15" t="n">
        <x:f>SUM(G941:AA941)</x:f>
        <x:v>561.506936</x:v>
      </x:c>
    </x:row>
    <x:row r="942" ht="36" customHeight="1">
      <x:c r="A942" s="10" t="str">
        <x:v>D-A</x:v>
      </x:c>
      <x:c r="B942" s="10" t="str">
        <x:v>DELIVERY</x:v>
      </x:c>
      <x:c r="C942" s="10" t="str">
        <x:v>DELIVERY:S05-09</x:v>
      </x:c>
      <x:c r="D942" s="10" t="str">
        <x:v>DELIVERY:M3022</x:v>
      </x:c>
      <x:c r="E942" s="15" t="n">
        <x:v>4.635833333</x:v>
      </x:c>
      <x:c r="F942" s="15" t="str">
        <x:v>scored</x:v>
      </x:c>
      <x:c r="G942" s="15" t="n">
        <x:v>0</x:v>
      </x:c>
      <x:c r="H942" s="15" t="n">
        <x:v>0</x:v>
      </x:c>
      <x:c r="I942" s="15" t="n">
        <x:v>0</x:v>
      </x:c>
      <x:c r="J942" s="15" t="n">
        <x:v>0</x:v>
      </x:c>
      <x:c r="K942" s="15" t="n">
        <x:v>0</x:v>
      </x:c>
      <x:c r="L942" s="15" t="n">
        <x:v>0</x:v>
      </x:c>
      <x:c r="M942" s="15" t="n">
        <x:v>0</x:v>
      </x:c>
      <x:c r="N942" s="15" t="n">
        <x:v>0</x:v>
      </x:c>
      <x:c r="O942" s="15" t="n">
        <x:v>0</x:v>
      </x:c>
      <x:c r="P942" s="15" t="n">
        <x:v>0</x:v>
      </x:c>
      <x:c r="Q942" s="15" t="n">
        <x:v>0</x:v>
      </x:c>
      <x:c r="R942" s="15" t="n">
        <x:v>0</x:v>
      </x:c>
      <x:c r="S942" s="15" t="n">
        <x:v>0</x:v>
      </x:c>
      <x:c r="T942" s="15" t="n">
        <x:v>0</x:v>
      </x:c>
      <x:c r="U942" s="15" t="n">
        <x:v>0</x:v>
      </x:c>
      <x:c r="V942" s="15" t="n">
        <x:v>0</x:v>
      </x:c>
      <x:c r="W942" s="15" t="n">
        <x:v>0</x:v>
      </x:c>
      <x:c r="X942" s="15" t="n">
        <x:v>0</x:v>
      </x:c>
      <x:c r="Y942" s="15" t="n">
        <x:v>560</x:v>
      </x:c>
      <x:c r="Z942" s="15" t="n">
        <x:v>1.652808</x:v>
      </x:c>
      <x:c r="AA942" s="15" t="n">
        <x:v>0.004096</x:v>
      </x:c>
      <x:c r="AB942" s="15" t="n">
        <x:f>SUM(G942:AA942)</x:f>
        <x:v>561.656904</x:v>
      </x:c>
    </x:row>
    <x:row r="943" ht="36" customHeight="1">
      <x:c r="A943" s="10" t="str">
        <x:v>D-B</x:v>
      </x:c>
      <x:c r="B943" s="10" t="str">
        <x:v>DELIVERY</x:v>
      </x:c>
      <x:c r="C943" s="10" t="str">
        <x:v>DELIVERY:S05-09</x:v>
      </x:c>
      <x:c r="D943" s="10" t="str">
        <x:v>DELIVERY:M3070</x:v>
      </x:c>
      <x:c r="E943" s="15" t="n">
        <x:v>8.284166666</x:v>
      </x:c>
      <x:c r="F943" s="15" t="str">
        <x:v>scored</x:v>
      </x:c>
      <x:c r="G943" s="15" t="n">
        <x:v>0</x:v>
      </x:c>
      <x:c r="H943" s="15" t="n">
        <x:v>0</x:v>
      </x:c>
      <x:c r="I943" s="15" t="n">
        <x:v>0</x:v>
      </x:c>
      <x:c r="J943" s="15" t="n">
        <x:v>0</x:v>
      </x:c>
      <x:c r="K943" s="15" t="n">
        <x:v>0</x:v>
      </x:c>
      <x:c r="L943" s="15" t="n">
        <x:v>0</x:v>
      </x:c>
      <x:c r="M943" s="15" t="n">
        <x:v>0</x:v>
      </x:c>
      <x:c r="N943" s="15" t="n">
        <x:v>0</x:v>
      </x:c>
      <x:c r="O943" s="15" t="n">
        <x:v>0</x:v>
      </x:c>
      <x:c r="P943" s="15" t="n">
        <x:v>0</x:v>
      </x:c>
      <x:c r="Q943" s="15" t="n">
        <x:v>0</x:v>
      </x:c>
      <x:c r="R943" s="15" t="n">
        <x:v>0</x:v>
      </x:c>
      <x:c r="S943" s="15" t="n">
        <x:v>0</x:v>
      </x:c>
      <x:c r="T943" s="15" t="n">
        <x:v>0</x:v>
      </x:c>
      <x:c r="U943" s="15" t="n">
        <x:v>0</x:v>
      </x:c>
      <x:c r="V943" s="15" t="n">
        <x:v>0</x:v>
      </x:c>
      <x:c r="W943" s="15" t="n">
        <x:v>0</x:v>
      </x:c>
      <x:c r="X943" s="15" t="n">
        <x:v>0</x:v>
      </x:c>
      <x:c r="Y943" s="15" t="n">
        <x:v>560</x:v>
      </x:c>
      <x:c r="Z943" s="15" t="n">
        <x:v>1.496936</x:v>
      </x:c>
      <x:c r="AA943" s="15" t="n">
        <x:v>0.008192</x:v>
      </x:c>
      <x:c r="AB943" s="15" t="n">
        <x:f>SUM(G943:AA943)</x:f>
        <x:v>561.505128</x:v>
      </x:c>
    </x:row>
    <x:row r="944" ht="36" customHeight="1">
      <x:c r="A944" s="10" t="str">
        <x:v>D-A</x:v>
      </x:c>
      <x:c r="B944" s="10" t="str">
        <x:v>DELIVERY</x:v>
      </x:c>
      <x:c r="C944" s="10" t="str">
        <x:v>DELIVERY:S05-10</x:v>
      </x:c>
      <x:c r="D944" s="10" t="str">
        <x:v>DELIVERY:M3121</x:v>
      </x:c>
      <x:c r="E944" s="15" t="n">
        <x:v>4.638833333</x:v>
      </x:c>
      <x:c r="F944" s="15" t="str">
        <x:v>scored</x:v>
      </x:c>
      <x:c r="G944" s="15" t="n">
        <x:v>0</x:v>
      </x:c>
      <x:c r="H944" s="15" t="n">
        <x:v>0</x:v>
      </x:c>
      <x:c r="I944" s="15" t="n">
        <x:v>0</x:v>
      </x:c>
      <x:c r="J944" s="15" t="n">
        <x:v>0</x:v>
      </x:c>
      <x:c r="K944" s="15" t="n">
        <x:v>0</x:v>
      </x:c>
      <x:c r="L944" s="15" t="n">
        <x:v>0</x:v>
      </x:c>
      <x:c r="M944" s="15" t="n">
        <x:v>0</x:v>
      </x:c>
      <x:c r="N944" s="15" t="n">
        <x:v>0</x:v>
      </x:c>
      <x:c r="O944" s="15" t="n">
        <x:v>0</x:v>
      </x:c>
      <x:c r="P944" s="15" t="n">
        <x:v>0</x:v>
      </x:c>
      <x:c r="Q944" s="15" t="n">
        <x:v>0</x:v>
      </x:c>
      <x:c r="R944" s="15" t="n">
        <x:v>0</x:v>
      </x:c>
      <x:c r="S944" s="15" t="n">
        <x:v>0</x:v>
      </x:c>
      <x:c r="T944" s="15" t="n">
        <x:v>0</x:v>
      </x:c>
      <x:c r="U944" s="15" t="n">
        <x:v>0</x:v>
      </x:c>
      <x:c r="V944" s="15" t="n">
        <x:v>0</x:v>
      </x:c>
      <x:c r="W944" s="15" t="n">
        <x:v>0</x:v>
      </x:c>
      <x:c r="X944" s="15" t="n">
        <x:v>0</x:v>
      </x:c>
      <x:c r="Y944" s="15" t="n">
        <x:v>560</x:v>
      </x:c>
      <x:c r="Z944" s="15" t="n">
        <x:v>1.655176</x:v>
      </x:c>
      <x:c r="AA944" s="15" t="n">
        <x:v>0.004096</x:v>
      </x:c>
      <x:c r="AB944" s="15" t="n">
        <x:f>SUM(G944:AA944)</x:f>
        <x:v>561.659272</x:v>
      </x:c>
    </x:row>
    <x:row r="945" ht="36" customHeight="1">
      <x:c r="A945" s="10" t="str">
        <x:v>D-B</x:v>
      </x:c>
      <x:c r="B945" s="10" t="str">
        <x:v>DELIVERY</x:v>
      </x:c>
      <x:c r="C945" s="10" t="str">
        <x:v>DELIVERY:S05-10</x:v>
      </x:c>
      <x:c r="D945" s="10" t="str">
        <x:v>DELIVERY:M3169</x:v>
      </x:c>
      <x:c r="E945" s="15" t="n">
        <x:v>8.299166666</x:v>
      </x:c>
      <x:c r="F945" s="15" t="str">
        <x:v>scored</x:v>
      </x:c>
      <x:c r="G945" s="15" t="n">
        <x:v>0</x:v>
      </x:c>
      <x:c r="H945" s="15" t="n">
        <x:v>0</x:v>
      </x:c>
      <x:c r="I945" s="15" t="n">
        <x:v>0</x:v>
      </x:c>
      <x:c r="J945" s="15" t="n">
        <x:v>0</x:v>
      </x:c>
      <x:c r="K945" s="15" t="n">
        <x:v>0</x:v>
      </x:c>
      <x:c r="L945" s="15" t="n">
        <x:v>0</x:v>
      </x:c>
      <x:c r="M945" s="15" t="n">
        <x:v>0</x:v>
      </x:c>
      <x:c r="N945" s="15" t="n">
        <x:v>0</x:v>
      </x:c>
      <x:c r="O945" s="15" t="n">
        <x:v>0</x:v>
      </x:c>
      <x:c r="P945" s="15" t="n">
        <x:v>0</x:v>
      </x:c>
      <x:c r="Q945" s="15" t="n">
        <x:v>0</x:v>
      </x:c>
      <x:c r="R945" s="15" t="n">
        <x:v>0</x:v>
      </x:c>
      <x:c r="S945" s="15" t="n">
        <x:v>0</x:v>
      </x:c>
      <x:c r="T945" s="15" t="n">
        <x:v>0</x:v>
      </x:c>
      <x:c r="U945" s="15" t="n">
        <x:v>0</x:v>
      </x:c>
      <x:c r="V945" s="15" t="n">
        <x:v>0</x:v>
      </x:c>
      <x:c r="W945" s="15" t="n">
        <x:v>0</x:v>
      </x:c>
      <x:c r="X945" s="15" t="n">
        <x:v>0</x:v>
      </x:c>
      <x:c r="Y945" s="15" t="n">
        <x:v>560</x:v>
      </x:c>
      <x:c r="Z945" s="15" t="n">
        <x:v>1.498728</x:v>
      </x:c>
      <x:c r="AA945" s="15" t="n">
        <x:v>0.008192</x:v>
      </x:c>
      <x:c r="AB945" s="15" t="n">
        <x:f>SUM(G945:AA945)</x:f>
        <x:v>561.50692</x:v>
      </x:c>
    </x:row>
    <x:row r="946" ht="36" customHeight="1">
      <x:c r="A946" s="10" t="str">
        <x:v>D-A</x:v>
      </x:c>
      <x:c r="B946" s="10" t="str">
        <x:v>DELIVERY</x:v>
      </x:c>
      <x:c r="C946" s="10" t="str">
        <x:v>DELIVERY:S06-01</x:v>
      </x:c>
      <x:c r="D946" s="10" t="str">
        <x:v>DELIVERY:M3196</x:v>
      </x:c>
      <x:c r="E946" s="15" t="n">
        <x:v>-1.657833333</x:v>
      </x:c>
      <x:c r="F946" s="15" t="str">
        <x:v>preparation</x:v>
      </x:c>
      <x:c r="G946" s="15" t="n">
        <x:v>0</x:v>
      </x:c>
      <x:c r="H946" s="15" t="n">
        <x:v>0</x:v>
      </x:c>
      <x:c r="I946" s="15" t="n">
        <x:v>0</x:v>
      </x:c>
      <x:c r="J946" s="15" t="n">
        <x:v>0</x:v>
      </x:c>
      <x:c r="K946" s="15" t="n">
        <x:v>0</x:v>
      </x:c>
      <x:c r="L946" s="15" t="n">
        <x:v>0</x:v>
      </x:c>
      <x:c r="M946" s="15" t="n">
        <x:v>0</x:v>
      </x:c>
      <x:c r="N946" s="15" t="n">
        <x:v>0</x:v>
      </x:c>
      <x:c r="O946" s="15" t="n">
        <x:v>0</x:v>
      </x:c>
      <x:c r="P946" s="15" t="n">
        <x:v>0</x:v>
      </x:c>
      <x:c r="Q946" s="15" t="n">
        <x:v>0</x:v>
      </x:c>
      <x:c r="R946" s="15" t="n">
        <x:v>0</x:v>
      </x:c>
      <x:c r="S946" s="15" t="n">
        <x:v>0</x:v>
      </x:c>
      <x:c r="T946" s="15" t="n">
        <x:v>0</x:v>
      </x:c>
      <x:c r="U946" s="15" t="n">
        <x:v>0</x:v>
      </x:c>
      <x:c r="V946" s="15" t="n">
        <x:v>0</x:v>
      </x:c>
      <x:c r="W946" s="15" t="n">
        <x:v>0</x:v>
      </x:c>
      <x:c r="X946" s="15" t="n">
        <x:v>0</x:v>
      </x:c>
      <x:c r="Y946" s="15" t="n">
        <x:v>560</x:v>
      </x:c>
      <x:c r="Z946" s="15" t="n">
        <x:v>0.333408</x:v>
      </x:c>
      <x:c r="AA946" s="15" t="n">
        <x:v>0.004096</x:v>
      </x:c>
      <x:c r="AB946" s="15" t="n">
        <x:f>SUM(G946:AA946)</x:f>
        <x:v>560.337504</x:v>
      </x:c>
    </x:row>
    <x:row r="947" ht="36" customHeight="1">
      <x:c r="A947" s="10" t="str">
        <x:v>D-B</x:v>
      </x:c>
      <x:c r="B947" s="10" t="str">
        <x:v>DELIVERY</x:v>
      </x:c>
      <x:c r="C947" s="10" t="str">
        <x:v>DELIVERY:S06-01</x:v>
      </x:c>
      <x:c r="D947" s="10" t="str">
        <x:v>DELIVERY:M3232</x:v>
      </x:c>
      <x:c r="E947" s="15" t="n">
        <x:v>-1.657833333</x:v>
      </x:c>
      <x:c r="F947" s="15" t="str">
        <x:v>preparation</x:v>
      </x:c>
      <x:c r="G947" s="15" t="n">
        <x:v>0</x:v>
      </x:c>
      <x:c r="H947" s="15" t="n">
        <x:v>0</x:v>
      </x:c>
      <x:c r="I947" s="15" t="n">
        <x:v>0</x:v>
      </x:c>
      <x:c r="J947" s="15" t="n">
        <x:v>0</x:v>
      </x:c>
      <x:c r="K947" s="15" t="n">
        <x:v>0</x:v>
      </x:c>
      <x:c r="L947" s="15" t="n">
        <x:v>0</x:v>
      </x:c>
      <x:c r="M947" s="15" t="n">
        <x:v>0</x:v>
      </x:c>
      <x:c r="N947" s="15" t="n">
        <x:v>0</x:v>
      </x:c>
      <x:c r="O947" s="15" t="n">
        <x:v>0</x:v>
      </x:c>
      <x:c r="P947" s="15" t="n">
        <x:v>0</x:v>
      </x:c>
      <x:c r="Q947" s="15" t="n">
        <x:v>0</x:v>
      </x:c>
      <x:c r="R947" s="15" t="n">
        <x:v>0</x:v>
      </x:c>
      <x:c r="S947" s="15" t="n">
        <x:v>0</x:v>
      </x:c>
      <x:c r="T947" s="15" t="n">
        <x:v>0</x:v>
      </x:c>
      <x:c r="U947" s="15" t="n">
        <x:v>0</x:v>
      </x:c>
      <x:c r="V947" s="15" t="n">
        <x:v>0</x:v>
      </x:c>
      <x:c r="W947" s="15" t="n">
        <x:v>0</x:v>
      </x:c>
      <x:c r="X947" s="15" t="n">
        <x:v>0</x:v>
      </x:c>
      <x:c r="Y947" s="15" t="n">
        <x:v>560</x:v>
      </x:c>
      <x:c r="Z947" s="15" t="n">
        <x:v>0.333408</x:v>
      </x:c>
      <x:c r="AA947" s="15" t="n">
        <x:v>0.004096</x:v>
      </x:c>
      <x:c r="AB947" s="15" t="n">
        <x:f>SUM(G947:AA947)</x:f>
        <x:v>560.337504</x:v>
      </x:c>
    </x:row>
    <x:row r="948" ht="36" customHeight="1">
      <x:c r="A948" s="10" t="str">
        <x:v>D-A</x:v>
      </x:c>
      <x:c r="B948" s="10" t="str">
        <x:v>DELIVERY</x:v>
      </x:c>
      <x:c r="C948" s="10" t="str">
        <x:v>DELIVERY:S06-02</x:v>
      </x:c>
      <x:c r="D948" s="10" t="str">
        <x:v>DELIVERY:M3268</x:v>
      </x:c>
      <x:c r="E948" s="15" t="n">
        <x:v>-1.654833333</x:v>
      </x:c>
      <x:c r="F948" s="15" t="str">
        <x:v>preparation</x:v>
      </x:c>
      <x:c r="G948" s="15" t="n">
        <x:v>0</x:v>
      </x:c>
      <x:c r="H948" s="15" t="n">
        <x:v>0</x:v>
      </x:c>
      <x:c r="I948" s="15" t="n">
        <x:v>0</x:v>
      </x:c>
      <x:c r="J948" s="15" t="n">
        <x:v>0</x:v>
      </x:c>
      <x:c r="K948" s="15" t="n">
        <x:v>0</x:v>
      </x:c>
      <x:c r="L948" s="15" t="n">
        <x:v>0</x:v>
      </x:c>
      <x:c r="M948" s="15" t="n">
        <x:v>0</x:v>
      </x:c>
      <x:c r="N948" s="15" t="n">
        <x:v>0</x:v>
      </x:c>
      <x:c r="O948" s="15" t="n">
        <x:v>0</x:v>
      </x:c>
      <x:c r="P948" s="15" t="n">
        <x:v>0</x:v>
      </x:c>
      <x:c r="Q948" s="15" t="n">
        <x:v>0</x:v>
      </x:c>
      <x:c r="R948" s="15" t="n">
        <x:v>0</x:v>
      </x:c>
      <x:c r="S948" s="15" t="n">
        <x:v>0</x:v>
      </x:c>
      <x:c r="T948" s="15" t="n">
        <x:v>0</x:v>
      </x:c>
      <x:c r="U948" s="15" t="n">
        <x:v>0</x:v>
      </x:c>
      <x:c r="V948" s="15" t="n">
        <x:v>0</x:v>
      </x:c>
      <x:c r="W948" s="15" t="n">
        <x:v>0</x:v>
      </x:c>
      <x:c r="X948" s="15" t="n">
        <x:v>0</x:v>
      </x:c>
      <x:c r="Y948" s="15" t="n">
        <x:v>560</x:v>
      </x:c>
      <x:c r="Z948" s="15" t="n">
        <x:v>0.333984</x:v>
      </x:c>
      <x:c r="AA948" s="15" t="n">
        <x:v>0.004096</x:v>
      </x:c>
      <x:c r="AB948" s="15" t="n">
        <x:f>SUM(G948:AA948)</x:f>
        <x:v>560.33808</x:v>
      </x:c>
    </x:row>
    <x:row r="949" ht="36" customHeight="1">
      <x:c r="A949" s="10" t="str">
        <x:v>D-B</x:v>
      </x:c>
      <x:c r="B949" s="10" t="str">
        <x:v>DELIVERY</x:v>
      </x:c>
      <x:c r="C949" s="10" t="str">
        <x:v>DELIVERY:S06-02</x:v>
      </x:c>
      <x:c r="D949" s="10" t="str">
        <x:v>DELIVERY:M3304</x:v>
      </x:c>
      <x:c r="E949" s="15" t="n">
        <x:v>-1.654833333</x:v>
      </x:c>
      <x:c r="F949" s="15" t="str">
        <x:v>preparation</x:v>
      </x:c>
      <x:c r="G949" s="15" t="n">
        <x:v>0</x:v>
      </x:c>
      <x:c r="H949" s="15" t="n">
        <x:v>0</x:v>
      </x:c>
      <x:c r="I949" s="15" t="n">
        <x:v>0</x:v>
      </x:c>
      <x:c r="J949" s="15" t="n">
        <x:v>0</x:v>
      </x:c>
      <x:c r="K949" s="15" t="n">
        <x:v>0</x:v>
      </x:c>
      <x:c r="L949" s="15" t="n">
        <x:v>0</x:v>
      </x:c>
      <x:c r="M949" s="15" t="n">
        <x:v>0</x:v>
      </x:c>
      <x:c r="N949" s="15" t="n">
        <x:v>0</x:v>
      </x:c>
      <x:c r="O949" s="15" t="n">
        <x:v>0</x:v>
      </x:c>
      <x:c r="P949" s="15" t="n">
        <x:v>0</x:v>
      </x:c>
      <x:c r="Q949" s="15" t="n">
        <x:v>0</x:v>
      </x:c>
      <x:c r="R949" s="15" t="n">
        <x:v>0</x:v>
      </x:c>
      <x:c r="S949" s="15" t="n">
        <x:v>0</x:v>
      </x:c>
      <x:c r="T949" s="15" t="n">
        <x:v>0</x:v>
      </x:c>
      <x:c r="U949" s="15" t="n">
        <x:v>0</x:v>
      </x:c>
      <x:c r="V949" s="15" t="n">
        <x:v>0</x:v>
      </x:c>
      <x:c r="W949" s="15" t="n">
        <x:v>0</x:v>
      </x:c>
      <x:c r="X949" s="15" t="n">
        <x:v>0</x:v>
      </x:c>
      <x:c r="Y949" s="15" t="n">
        <x:v>560</x:v>
      </x:c>
      <x:c r="Z949" s="15" t="n">
        <x:v>0.333984</x:v>
      </x:c>
      <x:c r="AA949" s="15" t="n">
        <x:v>0.004096</x:v>
      </x:c>
      <x:c r="AB949" s="15" t="n">
        <x:f>SUM(G949:AA949)</x:f>
        <x:v>560.33808</x:v>
      </x:c>
    </x:row>
    <x:row r="950" ht="36" customHeight="1">
      <x:c r="A950" s="10" t="str">
        <x:v>D-A</x:v>
      </x:c>
      <x:c r="B950" s="10" t="str">
        <x:v>DELIVERY</x:v>
      </x:c>
      <x:c r="C950" s="10" t="str">
        <x:v>DELIVERY:S06-03</x:v>
      </x:c>
      <x:c r="D950" s="10" t="str">
        <x:v>DELIVERY:M3340</x:v>
      </x:c>
      <x:c r="E950" s="15" t="n">
        <x:v>-1.651833333</x:v>
      </x:c>
      <x:c r="F950" s="15" t="str">
        <x:v>preparation</x:v>
      </x:c>
      <x:c r="G950" s="15" t="n">
        <x:v>0</x:v>
      </x:c>
      <x:c r="H950" s="15" t="n">
        <x:v>0</x:v>
      </x:c>
      <x:c r="I950" s="15" t="n">
        <x:v>0</x:v>
      </x:c>
      <x:c r="J950" s="15" t="n">
        <x:v>0</x:v>
      </x:c>
      <x:c r="K950" s="15" t="n">
        <x:v>0</x:v>
      </x:c>
      <x:c r="L950" s="15" t="n">
        <x:v>0</x:v>
      </x:c>
      <x:c r="M950" s="15" t="n">
        <x:v>0</x:v>
      </x:c>
      <x:c r="N950" s="15" t="n">
        <x:v>0</x:v>
      </x:c>
      <x:c r="O950" s="15" t="n">
        <x:v>0</x:v>
      </x:c>
      <x:c r="P950" s="15" t="n">
        <x:v>0</x:v>
      </x:c>
      <x:c r="Q950" s="15" t="n">
        <x:v>0</x:v>
      </x:c>
      <x:c r="R950" s="15" t="n">
        <x:v>0</x:v>
      </x:c>
      <x:c r="S950" s="15" t="n">
        <x:v>0</x:v>
      </x:c>
      <x:c r="T950" s="15" t="n">
        <x:v>0</x:v>
      </x:c>
      <x:c r="U950" s="15" t="n">
        <x:v>0</x:v>
      </x:c>
      <x:c r="V950" s="15" t="n">
        <x:v>0</x:v>
      </x:c>
      <x:c r="W950" s="15" t="n">
        <x:v>0</x:v>
      </x:c>
      <x:c r="X950" s="15" t="n">
        <x:v>0</x:v>
      </x:c>
      <x:c r="Y950" s="15" t="n">
        <x:v>560</x:v>
      </x:c>
      <x:c r="Z950" s="15" t="n">
        <x:v>0.33456</x:v>
      </x:c>
      <x:c r="AA950" s="15" t="n">
        <x:v>0.004096</x:v>
      </x:c>
      <x:c r="AB950" s="15" t="n">
        <x:f>SUM(G950:AA950)</x:f>
        <x:v>560.338656</x:v>
      </x:c>
    </x:row>
    <x:row r="951" ht="36" customHeight="1">
      <x:c r="A951" s="10" t="str">
        <x:v>D-B</x:v>
      </x:c>
      <x:c r="B951" s="10" t="str">
        <x:v>DELIVERY</x:v>
      </x:c>
      <x:c r="C951" s="10" t="str">
        <x:v>DELIVERY:S06-03</x:v>
      </x:c>
      <x:c r="D951" s="10" t="str">
        <x:v>DELIVERY:M3376</x:v>
      </x:c>
      <x:c r="E951" s="15" t="n">
        <x:v>-1.651833333</x:v>
      </x:c>
      <x:c r="F951" s="15" t="str">
        <x:v>preparation</x:v>
      </x:c>
      <x:c r="G951" s="15" t="n">
        <x:v>0</x:v>
      </x:c>
      <x:c r="H951" s="15" t="n">
        <x:v>0</x:v>
      </x:c>
      <x:c r="I951" s="15" t="n">
        <x:v>0</x:v>
      </x:c>
      <x:c r="J951" s="15" t="n">
        <x:v>0</x:v>
      </x:c>
      <x:c r="K951" s="15" t="n">
        <x:v>0</x:v>
      </x:c>
      <x:c r="L951" s="15" t="n">
        <x:v>0</x:v>
      </x:c>
      <x:c r="M951" s="15" t="n">
        <x:v>0</x:v>
      </x:c>
      <x:c r="N951" s="15" t="n">
        <x:v>0</x:v>
      </x:c>
      <x:c r="O951" s="15" t="n">
        <x:v>0</x:v>
      </x:c>
      <x:c r="P951" s="15" t="n">
        <x:v>0</x:v>
      </x:c>
      <x:c r="Q951" s="15" t="n">
        <x:v>0</x:v>
      </x:c>
      <x:c r="R951" s="15" t="n">
        <x:v>0</x:v>
      </x:c>
      <x:c r="S951" s="15" t="n">
        <x:v>0</x:v>
      </x:c>
      <x:c r="T951" s="15" t="n">
        <x:v>0</x:v>
      </x:c>
      <x:c r="U951" s="15" t="n">
        <x:v>0</x:v>
      </x:c>
      <x:c r="V951" s="15" t="n">
        <x:v>0</x:v>
      </x:c>
      <x:c r="W951" s="15" t="n">
        <x:v>0</x:v>
      </x:c>
      <x:c r="X951" s="15" t="n">
        <x:v>0</x:v>
      </x:c>
      <x:c r="Y951" s="15" t="n">
        <x:v>560</x:v>
      </x:c>
      <x:c r="Z951" s="15" t="n">
        <x:v>0.33456</x:v>
      </x:c>
      <x:c r="AA951" s="15" t="n">
        <x:v>0.004096</x:v>
      </x:c>
      <x:c r="AB951" s="15" t="n">
        <x:f>SUM(G951:AA951)</x:f>
        <x:v>560.338656</x:v>
      </x:c>
    </x:row>
    <x:row r="952" ht="36" customHeight="1">
      <x:c r="A952" s="10" t="str">
        <x:v>D-A</x:v>
      </x:c>
      <x:c r="B952" s="10" t="str">
        <x:v>DELIVERY</x:v>
      </x:c>
      <x:c r="C952" s="10" t="str">
        <x:v>DELIVERY:S06-04</x:v>
      </x:c>
      <x:c r="D952" s="10" t="str">
        <x:v>DELIVERY:M3412</x:v>
      </x:c>
      <x:c r="E952" s="15" t="n">
        <x:v>-1.648833333</x:v>
      </x:c>
      <x:c r="F952" s="15" t="str">
        <x:v>preparation</x:v>
      </x:c>
      <x:c r="G952" s="15" t="n">
        <x:v>0</x:v>
      </x:c>
      <x:c r="H952" s="15" t="n">
        <x:v>0</x:v>
      </x:c>
      <x:c r="I952" s="15" t="n">
        <x:v>0</x:v>
      </x:c>
      <x:c r="J952" s="15" t="n">
        <x:v>0</x:v>
      </x:c>
      <x:c r="K952" s="15" t="n">
        <x:v>0</x:v>
      </x:c>
      <x:c r="L952" s="15" t="n">
        <x:v>0</x:v>
      </x:c>
      <x:c r="M952" s="15" t="n">
        <x:v>0</x:v>
      </x:c>
      <x:c r="N952" s="15" t="n">
        <x:v>0</x:v>
      </x:c>
      <x:c r="O952" s="15" t="n">
        <x:v>0</x:v>
      </x:c>
      <x:c r="P952" s="15" t="n">
        <x:v>0</x:v>
      </x:c>
      <x:c r="Q952" s="15" t="n">
        <x:v>0</x:v>
      </x:c>
      <x:c r="R952" s="15" t="n">
        <x:v>0</x:v>
      </x:c>
      <x:c r="S952" s="15" t="n">
        <x:v>0</x:v>
      </x:c>
      <x:c r="T952" s="15" t="n">
        <x:v>0</x:v>
      </x:c>
      <x:c r="U952" s="15" t="n">
        <x:v>0</x:v>
      </x:c>
      <x:c r="V952" s="15" t="n">
        <x:v>0</x:v>
      </x:c>
      <x:c r="W952" s="15" t="n">
        <x:v>0</x:v>
      </x:c>
      <x:c r="X952" s="15" t="n">
        <x:v>0</x:v>
      </x:c>
      <x:c r="Y952" s="15" t="n">
        <x:v>560</x:v>
      </x:c>
      <x:c r="Z952" s="15" t="n">
        <x:v>0.335136</x:v>
      </x:c>
      <x:c r="AA952" s="15" t="n">
        <x:v>0.004096</x:v>
      </x:c>
      <x:c r="AB952" s="15" t="n">
        <x:f>SUM(G952:AA952)</x:f>
        <x:v>560.339232</x:v>
      </x:c>
    </x:row>
    <x:row r="953" ht="36" customHeight="1">
      <x:c r="A953" s="10" t="str">
        <x:v>D-B</x:v>
      </x:c>
      <x:c r="B953" s="10" t="str">
        <x:v>DELIVERY</x:v>
      </x:c>
      <x:c r="C953" s="10" t="str">
        <x:v>DELIVERY:S06-04</x:v>
      </x:c>
      <x:c r="D953" s="10" t="str">
        <x:v>DELIVERY:M3448</x:v>
      </x:c>
      <x:c r="E953" s="15" t="n">
        <x:v>-1.648833333</x:v>
      </x:c>
      <x:c r="F953" s="15" t="str">
        <x:v>preparation</x:v>
      </x:c>
      <x:c r="G953" s="15" t="n">
        <x:v>0</x:v>
      </x:c>
      <x:c r="H953" s="15" t="n">
        <x:v>0</x:v>
      </x:c>
      <x:c r="I953" s="15" t="n">
        <x:v>0</x:v>
      </x:c>
      <x:c r="J953" s="15" t="n">
        <x:v>0</x:v>
      </x:c>
      <x:c r="K953" s="15" t="n">
        <x:v>0</x:v>
      </x:c>
      <x:c r="L953" s="15" t="n">
        <x:v>0</x:v>
      </x:c>
      <x:c r="M953" s="15" t="n">
        <x:v>0</x:v>
      </x:c>
      <x:c r="N953" s="15" t="n">
        <x:v>0</x:v>
      </x:c>
      <x:c r="O953" s="15" t="n">
        <x:v>0</x:v>
      </x:c>
      <x:c r="P953" s="15" t="n">
        <x:v>0</x:v>
      </x:c>
      <x:c r="Q953" s="15" t="n">
        <x:v>0</x:v>
      </x:c>
      <x:c r="R953" s="15" t="n">
        <x:v>0</x:v>
      </x:c>
      <x:c r="S953" s="15" t="n">
        <x:v>0</x:v>
      </x:c>
      <x:c r="T953" s="15" t="n">
        <x:v>0</x:v>
      </x:c>
      <x:c r="U953" s="15" t="n">
        <x:v>0</x:v>
      </x:c>
      <x:c r="V953" s="15" t="n">
        <x:v>0</x:v>
      </x:c>
      <x:c r="W953" s="15" t="n">
        <x:v>0</x:v>
      </x:c>
      <x:c r="X953" s="15" t="n">
        <x:v>0</x:v>
      </x:c>
      <x:c r="Y953" s="15" t="n">
        <x:v>560</x:v>
      </x:c>
      <x:c r="Z953" s="15" t="n">
        <x:v>0.335136</x:v>
      </x:c>
      <x:c r="AA953" s="15" t="n">
        <x:v>0.004096</x:v>
      </x:c>
      <x:c r="AB953" s="15" t="n">
        <x:f>SUM(G953:AA953)</x:f>
        <x:v>560.339232</x:v>
      </x:c>
    </x:row>
    <x:row r="954" ht="36" customHeight="1">
      <x:c r="A954" s="10" t="str">
        <x:v>D-A</x:v>
      </x:c>
      <x:c r="B954" s="10" t="str">
        <x:v>DELIVERY</x:v>
      </x:c>
      <x:c r="C954" s="10" t="str">
        <x:v>DELIVERY:S06-05</x:v>
      </x:c>
      <x:c r="D954" s="10" t="str">
        <x:v>DELIVERY:M3484</x:v>
      </x:c>
      <x:c r="E954" s="15" t="n">
        <x:v>-1.645833333</x:v>
      </x:c>
      <x:c r="F954" s="15" t="str">
        <x:v>preparation</x:v>
      </x:c>
      <x:c r="G954" s="15" t="n">
        <x:v>0</x:v>
      </x:c>
      <x:c r="H954" s="15" t="n">
        <x:v>0</x:v>
      </x:c>
      <x:c r="I954" s="15" t="n">
        <x:v>0</x:v>
      </x:c>
      <x:c r="J954" s="15" t="n">
        <x:v>0</x:v>
      </x:c>
      <x:c r="K954" s="15" t="n">
        <x:v>0</x:v>
      </x:c>
      <x:c r="L954" s="15" t="n">
        <x:v>0</x:v>
      </x:c>
      <x:c r="M954" s="15" t="n">
        <x:v>0</x:v>
      </x:c>
      <x:c r="N954" s="15" t="n">
        <x:v>0</x:v>
      </x:c>
      <x:c r="O954" s="15" t="n">
        <x:v>0</x:v>
      </x:c>
      <x:c r="P954" s="15" t="n">
        <x:v>0</x:v>
      </x:c>
      <x:c r="Q954" s="15" t="n">
        <x:v>0</x:v>
      </x:c>
      <x:c r="R954" s="15" t="n">
        <x:v>0</x:v>
      </x:c>
      <x:c r="S954" s="15" t="n">
        <x:v>0</x:v>
      </x:c>
      <x:c r="T954" s="15" t="n">
        <x:v>0</x:v>
      </x:c>
      <x:c r="U954" s="15" t="n">
        <x:v>0</x:v>
      </x:c>
      <x:c r="V954" s="15" t="n">
        <x:v>0</x:v>
      </x:c>
      <x:c r="W954" s="15" t="n">
        <x:v>0</x:v>
      </x:c>
      <x:c r="X954" s="15" t="n">
        <x:v>0</x:v>
      </x:c>
      <x:c r="Y954" s="15" t="n">
        <x:v>560</x:v>
      </x:c>
      <x:c r="Z954" s="15" t="n">
        <x:v>0.335712</x:v>
      </x:c>
      <x:c r="AA954" s="15" t="n">
        <x:v>0.004096</x:v>
      </x:c>
      <x:c r="AB954" s="15" t="n">
        <x:f>SUM(G954:AA954)</x:f>
        <x:v>560.339808</x:v>
      </x:c>
    </x:row>
    <x:row r="955" ht="36" customHeight="1">
      <x:c r="A955" s="10" t="str">
        <x:v>D-B</x:v>
      </x:c>
      <x:c r="B955" s="10" t="str">
        <x:v>DELIVERY</x:v>
      </x:c>
      <x:c r="C955" s="10" t="str">
        <x:v>DELIVERY:S06-05</x:v>
      </x:c>
      <x:c r="D955" s="10" t="str">
        <x:v>DELIVERY:M3520</x:v>
      </x:c>
      <x:c r="E955" s="15" t="n">
        <x:v>-1.645833333</x:v>
      </x:c>
      <x:c r="F955" s="15" t="str">
        <x:v>preparation</x:v>
      </x:c>
      <x:c r="G955" s="15" t="n">
        <x:v>0</x:v>
      </x:c>
      <x:c r="H955" s="15" t="n">
        <x:v>0</x:v>
      </x:c>
      <x:c r="I955" s="15" t="n">
        <x:v>0</x:v>
      </x:c>
      <x:c r="J955" s="15" t="n">
        <x:v>0</x:v>
      </x:c>
      <x:c r="K955" s="15" t="n">
        <x:v>0</x:v>
      </x:c>
      <x:c r="L955" s="15" t="n">
        <x:v>0</x:v>
      </x:c>
      <x:c r="M955" s="15" t="n">
        <x:v>0</x:v>
      </x:c>
      <x:c r="N955" s="15" t="n">
        <x:v>0</x:v>
      </x:c>
      <x:c r="O955" s="15" t="n">
        <x:v>0</x:v>
      </x:c>
      <x:c r="P955" s="15" t="n">
        <x:v>0</x:v>
      </x:c>
      <x:c r="Q955" s="15" t="n">
        <x:v>0</x:v>
      </x:c>
      <x:c r="R955" s="15" t="n">
        <x:v>0</x:v>
      </x:c>
      <x:c r="S955" s="15" t="n">
        <x:v>0</x:v>
      </x:c>
      <x:c r="T955" s="15" t="n">
        <x:v>0</x:v>
      </x:c>
      <x:c r="U955" s="15" t="n">
        <x:v>0</x:v>
      </x:c>
      <x:c r="V955" s="15" t="n">
        <x:v>0</x:v>
      </x:c>
      <x:c r="W955" s="15" t="n">
        <x:v>0</x:v>
      </x:c>
      <x:c r="X955" s="15" t="n">
        <x:v>0</x:v>
      </x:c>
      <x:c r="Y955" s="15" t="n">
        <x:v>560</x:v>
      </x:c>
      <x:c r="Z955" s="15" t="n">
        <x:v>0.335712</x:v>
      </x:c>
      <x:c r="AA955" s="15" t="n">
        <x:v>0.004096</x:v>
      </x:c>
      <x:c r="AB955" s="15" t="n">
        <x:f>SUM(G955:AA955)</x:f>
        <x:v>560.339808</x:v>
      </x:c>
    </x:row>
    <x:row r="956" ht="36" customHeight="1">
      <x:c r="A956" s="10" t="str">
        <x:v>D-A</x:v>
      </x:c>
      <x:c r="B956" s="10" t="str">
        <x:v>DELIVERY</x:v>
      </x:c>
      <x:c r="C956" s="10" t="str">
        <x:v>DELIVERY:S06-06</x:v>
      </x:c>
      <x:c r="D956" s="10" t="str">
        <x:v>DELIVERY:M3556</x:v>
      </x:c>
      <x:c r="E956" s="15" t="n">
        <x:v>-1.642833333</x:v>
      </x:c>
      <x:c r="F956" s="15" t="str">
        <x:v>preparation</x:v>
      </x:c>
      <x:c r="G956" s="15" t="n">
        <x:v>0</x:v>
      </x:c>
      <x:c r="H956" s="15" t="n">
        <x:v>0</x:v>
      </x:c>
      <x:c r="I956" s="15" t="n">
        <x:v>0</x:v>
      </x:c>
      <x:c r="J956" s="15" t="n">
        <x:v>0</x:v>
      </x:c>
      <x:c r="K956" s="15" t="n">
        <x:v>0</x:v>
      </x:c>
      <x:c r="L956" s="15" t="n">
        <x:v>0</x:v>
      </x:c>
      <x:c r="M956" s="15" t="n">
        <x:v>0</x:v>
      </x:c>
      <x:c r="N956" s="15" t="n">
        <x:v>0</x:v>
      </x:c>
      <x:c r="O956" s="15" t="n">
        <x:v>0</x:v>
      </x:c>
      <x:c r="P956" s="15" t="n">
        <x:v>0</x:v>
      </x:c>
      <x:c r="Q956" s="15" t="n">
        <x:v>0</x:v>
      </x:c>
      <x:c r="R956" s="15" t="n">
        <x:v>0</x:v>
      </x:c>
      <x:c r="S956" s="15" t="n">
        <x:v>0</x:v>
      </x:c>
      <x:c r="T956" s="15" t="n">
        <x:v>0</x:v>
      </x:c>
      <x:c r="U956" s="15" t="n">
        <x:v>0</x:v>
      </x:c>
      <x:c r="V956" s="15" t="n">
        <x:v>0</x:v>
      </x:c>
      <x:c r="W956" s="15" t="n">
        <x:v>0</x:v>
      </x:c>
      <x:c r="X956" s="15" t="n">
        <x:v>0</x:v>
      </x:c>
      <x:c r="Y956" s="15" t="n">
        <x:v>560</x:v>
      </x:c>
      <x:c r="Z956" s="15" t="n">
        <x:v>0.336288</x:v>
      </x:c>
      <x:c r="AA956" s="15" t="n">
        <x:v>0.004096</x:v>
      </x:c>
      <x:c r="AB956" s="15" t="n">
        <x:f>SUM(G956:AA956)</x:f>
        <x:v>560.340384</x:v>
      </x:c>
    </x:row>
    <x:row r="957" ht="36" customHeight="1">
      <x:c r="A957" s="10" t="str">
        <x:v>D-B</x:v>
      </x:c>
      <x:c r="B957" s="10" t="str">
        <x:v>DELIVERY</x:v>
      </x:c>
      <x:c r="C957" s="10" t="str">
        <x:v>DELIVERY:S06-06</x:v>
      </x:c>
      <x:c r="D957" s="10" t="str">
        <x:v>DELIVERY:M3592</x:v>
      </x:c>
      <x:c r="E957" s="15" t="n">
        <x:v>-1.642833333</x:v>
      </x:c>
      <x:c r="F957" s="15" t="str">
        <x:v>preparation</x:v>
      </x:c>
      <x:c r="G957" s="15" t="n">
        <x:v>0</x:v>
      </x:c>
      <x:c r="H957" s="15" t="n">
        <x:v>0</x:v>
      </x:c>
      <x:c r="I957" s="15" t="n">
        <x:v>0</x:v>
      </x:c>
      <x:c r="J957" s="15" t="n">
        <x:v>0</x:v>
      </x:c>
      <x:c r="K957" s="15" t="n">
        <x:v>0</x:v>
      </x:c>
      <x:c r="L957" s="15" t="n">
        <x:v>0</x:v>
      </x:c>
      <x:c r="M957" s="15" t="n">
        <x:v>0</x:v>
      </x:c>
      <x:c r="N957" s="15" t="n">
        <x:v>0</x:v>
      </x:c>
      <x:c r="O957" s="15" t="n">
        <x:v>0</x:v>
      </x:c>
      <x:c r="P957" s="15" t="n">
        <x:v>0</x:v>
      </x:c>
      <x:c r="Q957" s="15" t="n">
        <x:v>0</x:v>
      </x:c>
      <x:c r="R957" s="15" t="n">
        <x:v>0</x:v>
      </x:c>
      <x:c r="S957" s="15" t="n">
        <x:v>0</x:v>
      </x:c>
      <x:c r="T957" s="15" t="n">
        <x:v>0</x:v>
      </x:c>
      <x:c r="U957" s="15" t="n">
        <x:v>0</x:v>
      </x:c>
      <x:c r="V957" s="15" t="n">
        <x:v>0</x:v>
      </x:c>
      <x:c r="W957" s="15" t="n">
        <x:v>0</x:v>
      </x:c>
      <x:c r="X957" s="15" t="n">
        <x:v>0</x:v>
      </x:c>
      <x:c r="Y957" s="15" t="n">
        <x:v>560</x:v>
      </x:c>
      <x:c r="Z957" s="15" t="n">
        <x:v>0.336288</x:v>
      </x:c>
      <x:c r="AA957" s="15" t="n">
        <x:v>0.004096</x:v>
      </x:c>
      <x:c r="AB957" s="15" t="n">
        <x:f>SUM(G957:AA957)</x:f>
        <x:v>560.340384</x:v>
      </x:c>
    </x:row>
    <x:row r="958" ht="36" customHeight="1">
      <x:c r="A958" s="10" t="str">
        <x:v>D-A</x:v>
      </x:c>
      <x:c r="B958" s="10" t="str">
        <x:v>DELIVERY</x:v>
      </x:c>
      <x:c r="C958" s="10" t="str">
        <x:v>DELIVERY:S06-07</x:v>
      </x:c>
      <x:c r="D958" s="10" t="str">
        <x:v>DELIVERY:M3628</x:v>
      </x:c>
      <x:c r="E958" s="15" t="n">
        <x:v>-1.639833333</x:v>
      </x:c>
      <x:c r="F958" s="15" t="str">
        <x:v>preparation</x:v>
      </x:c>
      <x:c r="G958" s="15" t="n">
        <x:v>0</x:v>
      </x:c>
      <x:c r="H958" s="15" t="n">
        <x:v>0</x:v>
      </x:c>
      <x:c r="I958" s="15" t="n">
        <x:v>0</x:v>
      </x:c>
      <x:c r="J958" s="15" t="n">
        <x:v>0</x:v>
      </x:c>
      <x:c r="K958" s="15" t="n">
        <x:v>0</x:v>
      </x:c>
      <x:c r="L958" s="15" t="n">
        <x:v>0</x:v>
      </x:c>
      <x:c r="M958" s="15" t="n">
        <x:v>0</x:v>
      </x:c>
      <x:c r="N958" s="15" t="n">
        <x:v>0</x:v>
      </x:c>
      <x:c r="O958" s="15" t="n">
        <x:v>0</x:v>
      </x:c>
      <x:c r="P958" s="15" t="n">
        <x:v>0</x:v>
      </x:c>
      <x:c r="Q958" s="15" t="n">
        <x:v>0</x:v>
      </x:c>
      <x:c r="R958" s="15" t="n">
        <x:v>0</x:v>
      </x:c>
      <x:c r="S958" s="15" t="n">
        <x:v>0</x:v>
      </x:c>
      <x:c r="T958" s="15" t="n">
        <x:v>0</x:v>
      </x:c>
      <x:c r="U958" s="15" t="n">
        <x:v>0</x:v>
      </x:c>
      <x:c r="V958" s="15" t="n">
        <x:v>0</x:v>
      </x:c>
      <x:c r="W958" s="15" t="n">
        <x:v>0</x:v>
      </x:c>
      <x:c r="X958" s="15" t="n">
        <x:v>0</x:v>
      </x:c>
      <x:c r="Y958" s="15" t="n">
        <x:v>560</x:v>
      </x:c>
      <x:c r="Z958" s="15" t="n">
        <x:v>0.336864</x:v>
      </x:c>
      <x:c r="AA958" s="15" t="n">
        <x:v>0.004096</x:v>
      </x:c>
      <x:c r="AB958" s="15" t="n">
        <x:f>SUM(G958:AA958)</x:f>
        <x:v>560.34096</x:v>
      </x:c>
    </x:row>
    <x:row r="959" ht="36" customHeight="1">
      <x:c r="A959" s="10" t="str">
        <x:v>D-B</x:v>
      </x:c>
      <x:c r="B959" s="10" t="str">
        <x:v>DELIVERY</x:v>
      </x:c>
      <x:c r="C959" s="10" t="str">
        <x:v>DELIVERY:S06-07</x:v>
      </x:c>
      <x:c r="D959" s="10" t="str">
        <x:v>DELIVERY:M3664</x:v>
      </x:c>
      <x:c r="E959" s="15" t="n">
        <x:v>-1.639833333</x:v>
      </x:c>
      <x:c r="F959" s="15" t="str">
        <x:v>preparation</x:v>
      </x:c>
      <x:c r="G959" s="15" t="n">
        <x:v>0</x:v>
      </x:c>
      <x:c r="H959" s="15" t="n">
        <x:v>0</x:v>
      </x:c>
      <x:c r="I959" s="15" t="n">
        <x:v>0</x:v>
      </x:c>
      <x:c r="J959" s="15" t="n">
        <x:v>0</x:v>
      </x:c>
      <x:c r="K959" s="15" t="n">
        <x:v>0</x:v>
      </x:c>
      <x:c r="L959" s="15" t="n">
        <x:v>0</x:v>
      </x:c>
      <x:c r="M959" s="15" t="n">
        <x:v>0</x:v>
      </x:c>
      <x:c r="N959" s="15" t="n">
        <x:v>0</x:v>
      </x:c>
      <x:c r="O959" s="15" t="n">
        <x:v>0</x:v>
      </x:c>
      <x:c r="P959" s="15" t="n">
        <x:v>0</x:v>
      </x:c>
      <x:c r="Q959" s="15" t="n">
        <x:v>0</x:v>
      </x:c>
      <x:c r="R959" s="15" t="n">
        <x:v>0</x:v>
      </x:c>
      <x:c r="S959" s="15" t="n">
        <x:v>0</x:v>
      </x:c>
      <x:c r="T959" s="15" t="n">
        <x:v>0</x:v>
      </x:c>
      <x:c r="U959" s="15" t="n">
        <x:v>0</x:v>
      </x:c>
      <x:c r="V959" s="15" t="n">
        <x:v>0</x:v>
      </x:c>
      <x:c r="W959" s="15" t="n">
        <x:v>0</x:v>
      </x:c>
      <x:c r="X959" s="15" t="n">
        <x:v>0</x:v>
      </x:c>
      <x:c r="Y959" s="15" t="n">
        <x:v>560</x:v>
      </x:c>
      <x:c r="Z959" s="15" t="n">
        <x:v>0.336864</x:v>
      </x:c>
      <x:c r="AA959" s="15" t="n">
        <x:v>0.004096</x:v>
      </x:c>
      <x:c r="AB959" s="15" t="n">
        <x:f>SUM(G959:AA959)</x:f>
        <x:v>560.34096</x:v>
      </x:c>
    </x:row>
    <x:row r="960" ht="36" customHeight="1">
      <x:c r="A960" s="10" t="str">
        <x:v>D-A</x:v>
      </x:c>
      <x:c r="B960" s="10" t="str">
        <x:v>DELIVERY</x:v>
      </x:c>
      <x:c r="C960" s="10" t="str">
        <x:v>DELIVERY:S06-08</x:v>
      </x:c>
      <x:c r="D960" s="10" t="str">
        <x:v>DELIVERY:M3700</x:v>
      </x:c>
      <x:c r="E960" s="15" t="n">
        <x:v>-1.636833333</x:v>
      </x:c>
      <x:c r="F960" s="15" t="str">
        <x:v>preparation</x:v>
      </x:c>
      <x:c r="G960" s="15" t="n">
        <x:v>0</x:v>
      </x:c>
      <x:c r="H960" s="15" t="n">
        <x:v>0</x:v>
      </x:c>
      <x:c r="I960" s="15" t="n">
        <x:v>0</x:v>
      </x:c>
      <x:c r="J960" s="15" t="n">
        <x:v>0</x:v>
      </x:c>
      <x:c r="K960" s="15" t="n">
        <x:v>0</x:v>
      </x:c>
      <x:c r="L960" s="15" t="n">
        <x:v>0</x:v>
      </x:c>
      <x:c r="M960" s="15" t="n">
        <x:v>0</x:v>
      </x:c>
      <x:c r="N960" s="15" t="n">
        <x:v>0</x:v>
      </x:c>
      <x:c r="O960" s="15" t="n">
        <x:v>0</x:v>
      </x:c>
      <x:c r="P960" s="15" t="n">
        <x:v>0</x:v>
      </x:c>
      <x:c r="Q960" s="15" t="n">
        <x:v>0</x:v>
      </x:c>
      <x:c r="R960" s="15" t="n">
        <x:v>0</x:v>
      </x:c>
      <x:c r="S960" s="15" t="n">
        <x:v>0</x:v>
      </x:c>
      <x:c r="T960" s="15" t="n">
        <x:v>0</x:v>
      </x:c>
      <x:c r="U960" s="15" t="n">
        <x:v>0</x:v>
      </x:c>
      <x:c r="V960" s="15" t="n">
        <x:v>0</x:v>
      </x:c>
      <x:c r="W960" s="15" t="n">
        <x:v>0</x:v>
      </x:c>
      <x:c r="X960" s="15" t="n">
        <x:v>0</x:v>
      </x:c>
      <x:c r="Y960" s="15" t="n">
        <x:v>560</x:v>
      </x:c>
      <x:c r="Z960" s="15" t="n">
        <x:v>0.33744</x:v>
      </x:c>
      <x:c r="AA960" s="15" t="n">
        <x:v>0.004096</x:v>
      </x:c>
      <x:c r="AB960" s="15" t="n">
        <x:f>SUM(G960:AA960)</x:f>
        <x:v>560.341536</x:v>
      </x:c>
    </x:row>
    <x:row r="961" ht="36" customHeight="1">
      <x:c r="A961" s="10" t="str">
        <x:v>D-B</x:v>
      </x:c>
      <x:c r="B961" s="10" t="str">
        <x:v>DELIVERY</x:v>
      </x:c>
      <x:c r="C961" s="10" t="str">
        <x:v>DELIVERY:S06-08</x:v>
      </x:c>
      <x:c r="D961" s="10" t="str">
        <x:v>DELIVERY:M3736</x:v>
      </x:c>
      <x:c r="E961" s="15" t="n">
        <x:v>-1.636833333</x:v>
      </x:c>
      <x:c r="F961" s="15" t="str">
        <x:v>preparation</x:v>
      </x:c>
      <x:c r="G961" s="15" t="n">
        <x:v>0</x:v>
      </x:c>
      <x:c r="H961" s="15" t="n">
        <x:v>0</x:v>
      </x:c>
      <x:c r="I961" s="15" t="n">
        <x:v>0</x:v>
      </x:c>
      <x:c r="J961" s="15" t="n">
        <x:v>0</x:v>
      </x:c>
      <x:c r="K961" s="15" t="n">
        <x:v>0</x:v>
      </x:c>
      <x:c r="L961" s="15" t="n">
        <x:v>0</x:v>
      </x:c>
      <x:c r="M961" s="15" t="n">
        <x:v>0</x:v>
      </x:c>
      <x:c r="N961" s="15" t="n">
        <x:v>0</x:v>
      </x:c>
      <x:c r="O961" s="15" t="n">
        <x:v>0</x:v>
      </x:c>
      <x:c r="P961" s="15" t="n">
        <x:v>0</x:v>
      </x:c>
      <x:c r="Q961" s="15" t="n">
        <x:v>0</x:v>
      </x:c>
      <x:c r="R961" s="15" t="n">
        <x:v>0</x:v>
      </x:c>
      <x:c r="S961" s="15" t="n">
        <x:v>0</x:v>
      </x:c>
      <x:c r="T961" s="15" t="n">
        <x:v>0</x:v>
      </x:c>
      <x:c r="U961" s="15" t="n">
        <x:v>0</x:v>
      </x:c>
      <x:c r="V961" s="15" t="n">
        <x:v>0</x:v>
      </x:c>
      <x:c r="W961" s="15" t="n">
        <x:v>0</x:v>
      </x:c>
      <x:c r="X961" s="15" t="n">
        <x:v>0</x:v>
      </x:c>
      <x:c r="Y961" s="15" t="n">
        <x:v>560</x:v>
      </x:c>
      <x:c r="Z961" s="15" t="n">
        <x:v>0.33744</x:v>
      </x:c>
      <x:c r="AA961" s="15" t="n">
        <x:v>0.004096</x:v>
      </x:c>
      <x:c r="AB961" s="15" t="n">
        <x:f>SUM(G961:AA961)</x:f>
        <x:v>560.341536</x:v>
      </x:c>
    </x:row>
    <x:row r="962" ht="36" customHeight="1">
      <x:c r="A962" s="10" t="str">
        <x:v>D-A</x:v>
      </x:c>
      <x:c r="B962" s="10" t="str">
        <x:v>DELIVERY</x:v>
      </x:c>
      <x:c r="C962" s="10" t="str">
        <x:v>DELIVERY:S06-09</x:v>
      </x:c>
      <x:c r="D962" s="10" t="str">
        <x:v>DELIVERY:M3772</x:v>
      </x:c>
      <x:c r="E962" s="15" t="n">
        <x:v>-1.633833333</x:v>
      </x:c>
      <x:c r="F962" s="15" t="str">
        <x:v>preparation</x:v>
      </x:c>
      <x:c r="G962" s="15" t="n">
        <x:v>0</x:v>
      </x:c>
      <x:c r="H962" s="15" t="n">
        <x:v>0</x:v>
      </x:c>
      <x:c r="I962" s="15" t="n">
        <x:v>0</x:v>
      </x:c>
      <x:c r="J962" s="15" t="n">
        <x:v>0</x:v>
      </x:c>
      <x:c r="K962" s="15" t="n">
        <x:v>0</x:v>
      </x:c>
      <x:c r="L962" s="15" t="n">
        <x:v>0</x:v>
      </x:c>
      <x:c r="M962" s="15" t="n">
        <x:v>0</x:v>
      </x:c>
      <x:c r="N962" s="15" t="n">
        <x:v>0</x:v>
      </x:c>
      <x:c r="O962" s="15" t="n">
        <x:v>0</x:v>
      </x:c>
      <x:c r="P962" s="15" t="n">
        <x:v>0</x:v>
      </x:c>
      <x:c r="Q962" s="15" t="n">
        <x:v>0</x:v>
      </x:c>
      <x:c r="R962" s="15" t="n">
        <x:v>0</x:v>
      </x:c>
      <x:c r="S962" s="15" t="n">
        <x:v>0</x:v>
      </x:c>
      <x:c r="T962" s="15" t="n">
        <x:v>0</x:v>
      </x:c>
      <x:c r="U962" s="15" t="n">
        <x:v>0</x:v>
      </x:c>
      <x:c r="V962" s="15" t="n">
        <x:v>0</x:v>
      </x:c>
      <x:c r="W962" s="15" t="n">
        <x:v>0</x:v>
      </x:c>
      <x:c r="X962" s="15" t="n">
        <x:v>0</x:v>
      </x:c>
      <x:c r="Y962" s="15" t="n">
        <x:v>560</x:v>
      </x:c>
      <x:c r="Z962" s="15" t="n">
        <x:v>0.338016</x:v>
      </x:c>
      <x:c r="AA962" s="15" t="n">
        <x:v>0.004096</x:v>
      </x:c>
      <x:c r="AB962" s="15" t="n">
        <x:f>SUM(G962:AA962)</x:f>
        <x:v>560.342112</x:v>
      </x:c>
    </x:row>
    <x:row r="963" ht="36" customHeight="1">
      <x:c r="A963" s="10" t="str">
        <x:v>D-B</x:v>
      </x:c>
      <x:c r="B963" s="10" t="str">
        <x:v>DELIVERY</x:v>
      </x:c>
      <x:c r="C963" s="10" t="str">
        <x:v>DELIVERY:S06-09</x:v>
      </x:c>
      <x:c r="D963" s="10" t="str">
        <x:v>DELIVERY:M3808</x:v>
      </x:c>
      <x:c r="E963" s="15" t="n">
        <x:v>-1.633833333</x:v>
      </x:c>
      <x:c r="F963" s="15" t="str">
        <x:v>preparation</x:v>
      </x:c>
      <x:c r="G963" s="15" t="n">
        <x:v>0</x:v>
      </x:c>
      <x:c r="H963" s="15" t="n">
        <x:v>0</x:v>
      </x:c>
      <x:c r="I963" s="15" t="n">
        <x:v>0</x:v>
      </x:c>
      <x:c r="J963" s="15" t="n">
        <x:v>0</x:v>
      </x:c>
      <x:c r="K963" s="15" t="n">
        <x:v>0</x:v>
      </x:c>
      <x:c r="L963" s="15" t="n">
        <x:v>0</x:v>
      </x:c>
      <x:c r="M963" s="15" t="n">
        <x:v>0</x:v>
      </x:c>
      <x:c r="N963" s="15" t="n">
        <x:v>0</x:v>
      </x:c>
      <x:c r="O963" s="15" t="n">
        <x:v>0</x:v>
      </x:c>
      <x:c r="P963" s="15" t="n">
        <x:v>0</x:v>
      </x:c>
      <x:c r="Q963" s="15" t="n">
        <x:v>0</x:v>
      </x:c>
      <x:c r="R963" s="15" t="n">
        <x:v>0</x:v>
      </x:c>
      <x:c r="S963" s="15" t="n">
        <x:v>0</x:v>
      </x:c>
      <x:c r="T963" s="15" t="n">
        <x:v>0</x:v>
      </x:c>
      <x:c r="U963" s="15" t="n">
        <x:v>0</x:v>
      </x:c>
      <x:c r="V963" s="15" t="n">
        <x:v>0</x:v>
      </x:c>
      <x:c r="W963" s="15" t="n">
        <x:v>0</x:v>
      </x:c>
      <x:c r="X963" s="15" t="n">
        <x:v>0</x:v>
      </x:c>
      <x:c r="Y963" s="15" t="n">
        <x:v>560</x:v>
      </x:c>
      <x:c r="Z963" s="15" t="n">
        <x:v>0.338016</x:v>
      </x:c>
      <x:c r="AA963" s="15" t="n">
        <x:v>0.004096</x:v>
      </x:c>
      <x:c r="AB963" s="15" t="n">
        <x:f>SUM(G963:AA963)</x:f>
        <x:v>560.342112</x:v>
      </x:c>
    </x:row>
    <x:row r="964" ht="36" customHeight="1">
      <x:c r="A964" s="10" t="str">
        <x:v>D-A</x:v>
      </x:c>
      <x:c r="B964" s="10" t="str">
        <x:v>DELIVERY</x:v>
      </x:c>
      <x:c r="C964" s="10" t="str">
        <x:v>DELIVERY:S06-10</x:v>
      </x:c>
      <x:c r="D964" s="10" t="str">
        <x:v>DELIVERY:M3844</x:v>
      </x:c>
      <x:c r="E964" s="15" t="n">
        <x:v>-1.630833333</x:v>
      </x:c>
      <x:c r="F964" s="15" t="str">
        <x:v>preparation</x:v>
      </x:c>
      <x:c r="G964" s="15" t="n">
        <x:v>0</x:v>
      </x:c>
      <x:c r="H964" s="15" t="n">
        <x:v>0</x:v>
      </x:c>
      <x:c r="I964" s="15" t="n">
        <x:v>0</x:v>
      </x:c>
      <x:c r="J964" s="15" t="n">
        <x:v>0</x:v>
      </x:c>
      <x:c r="K964" s="15" t="n">
        <x:v>0</x:v>
      </x:c>
      <x:c r="L964" s="15" t="n">
        <x:v>0</x:v>
      </x:c>
      <x:c r="M964" s="15" t="n">
        <x:v>0</x:v>
      </x:c>
      <x:c r="N964" s="15" t="n">
        <x:v>0</x:v>
      </x:c>
      <x:c r="O964" s="15" t="n">
        <x:v>0</x:v>
      </x:c>
      <x:c r="P964" s="15" t="n">
        <x:v>0</x:v>
      </x:c>
      <x:c r="Q964" s="15" t="n">
        <x:v>0</x:v>
      </x:c>
      <x:c r="R964" s="15" t="n">
        <x:v>0</x:v>
      </x:c>
      <x:c r="S964" s="15" t="n">
        <x:v>0</x:v>
      </x:c>
      <x:c r="T964" s="15" t="n">
        <x:v>0</x:v>
      </x:c>
      <x:c r="U964" s="15" t="n">
        <x:v>0</x:v>
      </x:c>
      <x:c r="V964" s="15" t="n">
        <x:v>0</x:v>
      </x:c>
      <x:c r="W964" s="15" t="n">
        <x:v>0</x:v>
      </x:c>
      <x:c r="X964" s="15" t="n">
        <x:v>0</x:v>
      </x:c>
      <x:c r="Y964" s="15" t="n">
        <x:v>560</x:v>
      </x:c>
      <x:c r="Z964" s="15" t="n">
        <x:v>0.338592</x:v>
      </x:c>
      <x:c r="AA964" s="15" t="n">
        <x:v>0.004096</x:v>
      </x:c>
      <x:c r="AB964" s="15" t="n">
        <x:f>SUM(G964:AA964)</x:f>
        <x:v>560.342688</x:v>
      </x:c>
    </x:row>
    <x:row r="965" ht="36" customHeight="1">
      <x:c r="A965" s="10" t="str">
        <x:v>D-B</x:v>
      </x:c>
      <x:c r="B965" s="10" t="str">
        <x:v>DELIVERY</x:v>
      </x:c>
      <x:c r="C965" s="10" t="str">
        <x:v>DELIVERY:S06-10</x:v>
      </x:c>
      <x:c r="D965" s="10" t="str">
        <x:v>DELIVERY:M3880</x:v>
      </x:c>
      <x:c r="E965" s="15" t="n">
        <x:v>-1.630833333</x:v>
      </x:c>
      <x:c r="F965" s="15" t="str">
        <x:v>preparation</x:v>
      </x:c>
      <x:c r="G965" s="15" t="n">
        <x:v>0</x:v>
      </x:c>
      <x:c r="H965" s="15" t="n">
        <x:v>0</x:v>
      </x:c>
      <x:c r="I965" s="15" t="n">
        <x:v>0</x:v>
      </x:c>
      <x:c r="J965" s="15" t="n">
        <x:v>0</x:v>
      </x:c>
      <x:c r="K965" s="15" t="n">
        <x:v>0</x:v>
      </x:c>
      <x:c r="L965" s="15" t="n">
        <x:v>0</x:v>
      </x:c>
      <x:c r="M965" s="15" t="n">
        <x:v>0</x:v>
      </x:c>
      <x:c r="N965" s="15" t="n">
        <x:v>0</x:v>
      </x:c>
      <x:c r="O965" s="15" t="n">
        <x:v>0</x:v>
      </x:c>
      <x:c r="P965" s="15" t="n">
        <x:v>0</x:v>
      </x:c>
      <x:c r="Q965" s="15" t="n">
        <x:v>0</x:v>
      </x:c>
      <x:c r="R965" s="15" t="n">
        <x:v>0</x:v>
      </x:c>
      <x:c r="S965" s="15" t="n">
        <x:v>0</x:v>
      </x:c>
      <x:c r="T965" s="15" t="n">
        <x:v>0</x:v>
      </x:c>
      <x:c r="U965" s="15" t="n">
        <x:v>0</x:v>
      </x:c>
      <x:c r="V965" s="15" t="n">
        <x:v>0</x:v>
      </x:c>
      <x:c r="W965" s="15" t="n">
        <x:v>0</x:v>
      </x:c>
      <x:c r="X965" s="15" t="n">
        <x:v>0</x:v>
      </x:c>
      <x:c r="Y965" s="15" t="n">
        <x:v>560</x:v>
      </x:c>
      <x:c r="Z965" s="15" t="n">
        <x:v>0.338592</x:v>
      </x:c>
      <x:c r="AA965" s="15" t="n">
        <x:v>0.004096</x:v>
      </x:c>
      <x:c r="AB965" s="15" t="n">
        <x:f>SUM(G965:AA965)</x:f>
        <x:v>560.342688</x:v>
      </x:c>
    </x:row>
    <x:row r="966" ht="36" customHeight="1">
      <x:c r="A966" s="10" t="str">
        <x:v>D-A</x:v>
      </x:c>
      <x:c r="B966" s="10" t="str">
        <x:v>DELIVERY</x:v>
      </x:c>
      <x:c r="C966" s="10" t="str">
        <x:v>DELIVERY:S07-01</x:v>
      </x:c>
      <x:c r="D966" s="10" t="str">
        <x:v>DELIVERY:M3937</x:v>
      </x:c>
      <x:c r="E966" s="15" t="n">
        <x:v>1.1965</x:v>
      </x:c>
      <x:c r="F966" s="15" t="str">
        <x:v>scored</x:v>
      </x:c>
      <x:c r="G966" s="15" t="n">
        <x:v>0</x:v>
      </x:c>
      <x:c r="H966" s="15" t="n">
        <x:v>0</x:v>
      </x:c>
      <x:c r="I966" s="15" t="n">
        <x:v>0</x:v>
      </x:c>
      <x:c r="J966" s="15" t="n">
        <x:v>0</x:v>
      </x:c>
      <x:c r="K966" s="15" t="n">
        <x:v>0</x:v>
      </x:c>
      <x:c r="L966" s="15" t="n">
        <x:v>0</x:v>
      </x:c>
      <x:c r="M966" s="15" t="n">
        <x:v>0</x:v>
      </x:c>
      <x:c r="N966" s="15" t="n">
        <x:v>0</x:v>
      </x:c>
      <x:c r="O966" s="15" t="n">
        <x:v>0</x:v>
      </x:c>
      <x:c r="P966" s="15" t="n">
        <x:v>0</x:v>
      </x:c>
      <x:c r="Q966" s="15" t="n">
        <x:v>0</x:v>
      </x:c>
      <x:c r="R966" s="15" t="n">
        <x:v>0</x:v>
      </x:c>
      <x:c r="S966" s="15" t="n">
        <x:v>0</x:v>
      </x:c>
      <x:c r="T966" s="15" t="n">
        <x:v>0</x:v>
      </x:c>
      <x:c r="U966" s="15" t="n">
        <x:v>0</x:v>
      </x:c>
      <x:c r="V966" s="15" t="n">
        <x:v>0</x:v>
      </x:c>
      <x:c r="W966" s="15" t="n">
        <x:v>0</x:v>
      </x:c>
      <x:c r="X966" s="15" t="n">
        <x:v>0</x:v>
      </x:c>
      <x:c r="Y966" s="15" t="n">
        <x:v>560</x:v>
      </x:c>
      <x:c r="Z966" s="15" t="n">
        <x:v>0.650392</x:v>
      </x:c>
      <x:c r="AA966" s="15" t="n">
        <x:v>0.012288</x:v>
      </x:c>
      <x:c r="AB966" s="15" t="n">
        <x:f>SUM(G966:AA966)</x:f>
        <x:v>560.66268</x:v>
      </x:c>
    </x:row>
    <x:row r="967" ht="36" customHeight="1">
      <x:c r="A967" s="10" t="str">
        <x:v>D-B</x:v>
      </x:c>
      <x:c r="B967" s="10" t="str">
        <x:v>DELIVERY</x:v>
      </x:c>
      <x:c r="C967" s="10" t="str">
        <x:v>DELIVERY:S07-01</x:v>
      </x:c>
      <x:c r="D967" s="10" t="str">
        <x:v>DELIVERY:M3994</x:v>
      </x:c>
      <x:c r="E967" s="15" t="n">
        <x:v>10.745166666</x:v>
      </x:c>
      <x:c r="F967" s="15" t="str">
        <x:v>scored</x:v>
      </x:c>
      <x:c r="G967" s="15" t="n">
        <x:v>0</x:v>
      </x:c>
      <x:c r="H967" s="15" t="n">
        <x:v>0</x:v>
      </x:c>
      <x:c r="I967" s="15" t="n">
        <x:v>0</x:v>
      </x:c>
      <x:c r="J967" s="15" t="n">
        <x:v>0</x:v>
      </x:c>
      <x:c r="K967" s="15" t="n">
        <x:v>0</x:v>
      </x:c>
      <x:c r="L967" s="15" t="n">
        <x:v>0</x:v>
      </x:c>
      <x:c r="M967" s="15" t="n">
        <x:v>0</x:v>
      </x:c>
      <x:c r="N967" s="15" t="n">
        <x:v>0</x:v>
      </x:c>
      <x:c r="O967" s="15" t="n">
        <x:v>0</x:v>
      </x:c>
      <x:c r="P967" s="15" t="n">
        <x:v>0</x:v>
      </x:c>
      <x:c r="Q967" s="15" t="n">
        <x:v>0</x:v>
      </x:c>
      <x:c r="R967" s="15" t="n">
        <x:v>0</x:v>
      </x:c>
      <x:c r="S967" s="15" t="n">
        <x:v>0</x:v>
      </x:c>
      <x:c r="T967" s="15" t="n">
        <x:v>0</x:v>
      </x:c>
      <x:c r="U967" s="15" t="n">
        <x:v>0</x:v>
      </x:c>
      <x:c r="V967" s="15" t="n">
        <x:v>0</x:v>
      </x:c>
      <x:c r="W967" s="15" t="n">
        <x:v>0</x:v>
      </x:c>
      <x:c r="X967" s="15" t="n">
        <x:v>0</x:v>
      </x:c>
      <x:c r="Y967" s="15" t="n">
        <x:v>560</x:v>
      </x:c>
      <x:c r="Z967" s="15" t="n">
        <x:v>0.254376</x:v>
      </x:c>
      <x:c r="AA967" s="15" t="n">
        <x:v>0.004096</x:v>
      </x:c>
      <x:c r="AB967" s="15" t="n">
        <x:f>SUM(G967:AA967)</x:f>
        <x:v>560.258472</x:v>
      </x:c>
    </x:row>
    <x:row r="968" ht="36" customHeight="1">
      <x:c r="A968" s="10" t="str">
        <x:v>D-A</x:v>
      </x:c>
      <x:c r="B968" s="10" t="str">
        <x:v>DELIVERY</x:v>
      </x:c>
      <x:c r="C968" s="10" t="str">
        <x:v>DELIVERY:S07-02</x:v>
      </x:c>
      <x:c r="D968" s="10" t="str">
        <x:v>DELIVERY:M4036</x:v>
      </x:c>
      <x:c r="E968" s="15" t="n">
        <x:v>1.1995</x:v>
      </x:c>
      <x:c r="F968" s="15" t="str">
        <x:v>scored</x:v>
      </x:c>
      <x:c r="G968" s="15" t="n">
        <x:v>0</x:v>
      </x:c>
      <x:c r="H968" s="15" t="n">
        <x:v>0</x:v>
      </x:c>
      <x:c r="I968" s="15" t="n">
        <x:v>0</x:v>
      </x:c>
      <x:c r="J968" s="15" t="n">
        <x:v>0</x:v>
      </x:c>
      <x:c r="K968" s="15" t="n">
        <x:v>0</x:v>
      </x:c>
      <x:c r="L968" s="15" t="n">
        <x:v>0</x:v>
      </x:c>
      <x:c r="M968" s="15" t="n">
        <x:v>0</x:v>
      </x:c>
      <x:c r="N968" s="15" t="n">
        <x:v>0</x:v>
      </x:c>
      <x:c r="O968" s="15" t="n">
        <x:v>0</x:v>
      </x:c>
      <x:c r="P968" s="15" t="n">
        <x:v>0</x:v>
      </x:c>
      <x:c r="Q968" s="15" t="n">
        <x:v>0</x:v>
      </x:c>
      <x:c r="R968" s="15" t="n">
        <x:v>0</x:v>
      </x:c>
      <x:c r="S968" s="15" t="n">
        <x:v>0</x:v>
      </x:c>
      <x:c r="T968" s="15" t="n">
        <x:v>0</x:v>
      </x:c>
      <x:c r="U968" s="15" t="n">
        <x:v>0</x:v>
      </x:c>
      <x:c r="V968" s="15" t="n">
        <x:v>0</x:v>
      </x:c>
      <x:c r="W968" s="15" t="n">
        <x:v>0</x:v>
      </x:c>
      <x:c r="X968" s="15" t="n">
        <x:v>0</x:v>
      </x:c>
      <x:c r="Y968" s="15" t="n">
        <x:v>560</x:v>
      </x:c>
      <x:c r="Z968" s="15" t="n">
        <x:v>0.653336</x:v>
      </x:c>
      <x:c r="AA968" s="15" t="n">
        <x:v>0.012288</x:v>
      </x:c>
      <x:c r="AB968" s="15" t="n">
        <x:f>SUM(G968:AA968)</x:f>
        <x:v>560.665624</x:v>
      </x:c>
    </x:row>
    <x:row r="969" ht="36" customHeight="1">
      <x:c r="A969" s="10" t="str">
        <x:v>D-B</x:v>
      </x:c>
      <x:c r="B969" s="10" t="str">
        <x:v>DELIVERY</x:v>
      </x:c>
      <x:c r="C969" s="10" t="str">
        <x:v>DELIVERY:S07-02</x:v>
      </x:c>
      <x:c r="D969" s="10" t="str">
        <x:v>DELIVERY:M4093</x:v>
      </x:c>
      <x:c r="E969" s="15" t="n">
        <x:v>10.8005</x:v>
      </x:c>
      <x:c r="F969" s="15" t="str">
        <x:v>scored</x:v>
      </x:c>
      <x:c r="G969" s="15" t="n">
        <x:v>0</x:v>
      </x:c>
      <x:c r="H969" s="15" t="n">
        <x:v>0</x:v>
      </x:c>
      <x:c r="I969" s="15" t="n">
        <x:v>0</x:v>
      </x:c>
      <x:c r="J969" s="15" t="n">
        <x:v>0</x:v>
      </x:c>
      <x:c r="K969" s="15" t="n">
        <x:v>0</x:v>
      </x:c>
      <x:c r="L969" s="15" t="n">
        <x:v>0</x:v>
      </x:c>
      <x:c r="M969" s="15" t="n">
        <x:v>0</x:v>
      </x:c>
      <x:c r="N969" s="15" t="n">
        <x:v>0</x:v>
      </x:c>
      <x:c r="O969" s="15" t="n">
        <x:v>0</x:v>
      </x:c>
      <x:c r="P969" s="15" t="n">
        <x:v>0</x:v>
      </x:c>
      <x:c r="Q969" s="15" t="n">
        <x:v>0</x:v>
      </x:c>
      <x:c r="R969" s="15" t="n">
        <x:v>0</x:v>
      </x:c>
      <x:c r="S969" s="15" t="n">
        <x:v>0</x:v>
      </x:c>
      <x:c r="T969" s="15" t="n">
        <x:v>0</x:v>
      </x:c>
      <x:c r="U969" s="15" t="n">
        <x:v>0</x:v>
      </x:c>
      <x:c r="V969" s="15" t="n">
        <x:v>0</x:v>
      </x:c>
      <x:c r="W969" s="15" t="n">
        <x:v>0</x:v>
      </x:c>
      <x:c r="X969" s="15" t="n">
        <x:v>0</x:v>
      </x:c>
      <x:c r="Y969" s="15" t="n">
        <x:v>560</x:v>
      </x:c>
      <x:c r="Z969" s="15" t="n">
        <x:v>0.254808</x:v>
      </x:c>
      <x:c r="AA969" s="15" t="n">
        <x:v>0.004096</x:v>
      </x:c>
      <x:c r="AB969" s="15" t="n">
        <x:f>SUM(G969:AA969)</x:f>
        <x:v>560.258904</x:v>
      </x:c>
    </x:row>
    <x:row r="970" ht="36" customHeight="1">
      <x:c r="A970" s="10" t="str">
        <x:v>D-A</x:v>
      </x:c>
      <x:c r="B970" s="10" t="str">
        <x:v>DELIVERY</x:v>
      </x:c>
      <x:c r="C970" s="10" t="str">
        <x:v>DELIVERY:S07-03</x:v>
      </x:c>
      <x:c r="D970" s="10" t="str">
        <x:v>DELIVERY:M4135</x:v>
      </x:c>
      <x:c r="E970" s="15" t="n">
        <x:v>1.2025</x:v>
      </x:c>
      <x:c r="F970" s="15" t="str">
        <x:v>scored</x:v>
      </x:c>
      <x:c r="G970" s="15" t="n">
        <x:v>0</x:v>
      </x:c>
      <x:c r="H970" s="15" t="n">
        <x:v>0</x:v>
      </x:c>
      <x:c r="I970" s="15" t="n">
        <x:v>0</x:v>
      </x:c>
      <x:c r="J970" s="15" t="n">
        <x:v>0</x:v>
      </x:c>
      <x:c r="K970" s="15" t="n">
        <x:v>0</x:v>
      </x:c>
      <x:c r="L970" s="15" t="n">
        <x:v>0</x:v>
      </x:c>
      <x:c r="M970" s="15" t="n">
        <x:v>0</x:v>
      </x:c>
      <x:c r="N970" s="15" t="n">
        <x:v>0</x:v>
      </x:c>
      <x:c r="O970" s="15" t="n">
        <x:v>0</x:v>
      </x:c>
      <x:c r="P970" s="15" t="n">
        <x:v>0</x:v>
      </x:c>
      <x:c r="Q970" s="15" t="n">
        <x:v>0</x:v>
      </x:c>
      <x:c r="R970" s="15" t="n">
        <x:v>0</x:v>
      </x:c>
      <x:c r="S970" s="15" t="n">
        <x:v>0</x:v>
      </x:c>
      <x:c r="T970" s="15" t="n">
        <x:v>0</x:v>
      </x:c>
      <x:c r="U970" s="15" t="n">
        <x:v>0</x:v>
      </x:c>
      <x:c r="V970" s="15" t="n">
        <x:v>0</x:v>
      </x:c>
      <x:c r="W970" s="15" t="n">
        <x:v>0</x:v>
      </x:c>
      <x:c r="X970" s="15" t="n">
        <x:v>0</x:v>
      </x:c>
      <x:c r="Y970" s="15" t="n">
        <x:v>560</x:v>
      </x:c>
      <x:c r="Z970" s="15" t="n">
        <x:v>0.65268</x:v>
      </x:c>
      <x:c r="AA970" s="15" t="n">
        <x:v>0.012288</x:v>
      </x:c>
      <x:c r="AB970" s="15" t="n">
        <x:f>SUM(G970:AA970)</x:f>
        <x:v>560.664968</x:v>
      </x:c>
    </x:row>
    <x:row r="971" ht="36" customHeight="1">
      <x:c r="A971" s="10" t="str">
        <x:v>D-B</x:v>
      </x:c>
      <x:c r="B971" s="10" t="str">
        <x:v>DELIVERY</x:v>
      </x:c>
      <x:c r="C971" s="10" t="str">
        <x:v>DELIVERY:S07-03</x:v>
      </x:c>
      <x:c r="D971" s="10" t="str">
        <x:v>DELIVERY:M4192</x:v>
      </x:c>
      <x:c r="E971" s="15" t="n">
        <x:v>10.780833333</x:v>
      </x:c>
      <x:c r="F971" s="15" t="str">
        <x:v>scored</x:v>
      </x:c>
      <x:c r="G971" s="15" t="n">
        <x:v>0</x:v>
      </x:c>
      <x:c r="H971" s="15" t="n">
        <x:v>0</x:v>
      </x:c>
      <x:c r="I971" s="15" t="n">
        <x:v>0</x:v>
      </x:c>
      <x:c r="J971" s="15" t="n">
        <x:v>0</x:v>
      </x:c>
      <x:c r="K971" s="15" t="n">
        <x:v>0</x:v>
      </x:c>
      <x:c r="L971" s="15" t="n">
        <x:v>0</x:v>
      </x:c>
      <x:c r="M971" s="15" t="n">
        <x:v>0</x:v>
      </x:c>
      <x:c r="N971" s="15" t="n">
        <x:v>0</x:v>
      </x:c>
      <x:c r="O971" s="15" t="n">
        <x:v>0</x:v>
      </x:c>
      <x:c r="P971" s="15" t="n">
        <x:v>0</x:v>
      </x:c>
      <x:c r="Q971" s="15" t="n">
        <x:v>0</x:v>
      </x:c>
      <x:c r="R971" s="15" t="n">
        <x:v>0</x:v>
      </x:c>
      <x:c r="S971" s="15" t="n">
        <x:v>0</x:v>
      </x:c>
      <x:c r="T971" s="15" t="n">
        <x:v>0</x:v>
      </x:c>
      <x:c r="U971" s="15" t="n">
        <x:v>0</x:v>
      </x:c>
      <x:c r="V971" s="15" t="n">
        <x:v>0</x:v>
      </x:c>
      <x:c r="W971" s="15" t="n">
        <x:v>0</x:v>
      </x:c>
      <x:c r="X971" s="15" t="n">
        <x:v>0</x:v>
      </x:c>
      <x:c r="Y971" s="15" t="n">
        <x:v>560</x:v>
      </x:c>
      <x:c r="Z971" s="15" t="n">
        <x:v>0.25524</x:v>
      </x:c>
      <x:c r="AA971" s="15" t="n">
        <x:v>0.004096</x:v>
      </x:c>
      <x:c r="AB971" s="15" t="n">
        <x:f>SUM(G971:AA971)</x:f>
        <x:v>560.259336</x:v>
      </x:c>
    </x:row>
    <x:row r="972" ht="36" customHeight="1">
      <x:c r="A972" s="10" t="str">
        <x:v>D-A</x:v>
      </x:c>
      <x:c r="B972" s="10" t="str">
        <x:v>DELIVERY</x:v>
      </x:c>
      <x:c r="C972" s="10" t="str">
        <x:v>DELIVERY:S07-04</x:v>
      </x:c>
      <x:c r="D972" s="10" t="str">
        <x:v>DELIVERY:M4234</x:v>
      </x:c>
      <x:c r="E972" s="15" t="n">
        <x:v>1.2055</x:v>
      </x:c>
      <x:c r="F972" s="15" t="str">
        <x:v>scored</x:v>
      </x:c>
      <x:c r="G972" s="15" t="n">
        <x:v>0</x:v>
      </x:c>
      <x:c r="H972" s="15" t="n">
        <x:v>0</x:v>
      </x:c>
      <x:c r="I972" s="15" t="n">
        <x:v>0</x:v>
      </x:c>
      <x:c r="J972" s="15" t="n">
        <x:v>0</x:v>
      </x:c>
      <x:c r="K972" s="15" t="n">
        <x:v>0</x:v>
      </x:c>
      <x:c r="L972" s="15" t="n">
        <x:v>0</x:v>
      </x:c>
      <x:c r="M972" s="15" t="n">
        <x:v>0</x:v>
      </x:c>
      <x:c r="N972" s="15" t="n">
        <x:v>0</x:v>
      </x:c>
      <x:c r="O972" s="15" t="n">
        <x:v>0</x:v>
      </x:c>
      <x:c r="P972" s="15" t="n">
        <x:v>0</x:v>
      </x:c>
      <x:c r="Q972" s="15" t="n">
        <x:v>0</x:v>
      </x:c>
      <x:c r="R972" s="15" t="n">
        <x:v>0</x:v>
      </x:c>
      <x:c r="S972" s="15" t="n">
        <x:v>0</x:v>
      </x:c>
      <x:c r="T972" s="15" t="n">
        <x:v>0</x:v>
      </x:c>
      <x:c r="U972" s="15" t="n">
        <x:v>0</x:v>
      </x:c>
      <x:c r="V972" s="15" t="n">
        <x:v>0</x:v>
      </x:c>
      <x:c r="W972" s="15" t="n">
        <x:v>0</x:v>
      </x:c>
      <x:c r="X972" s="15" t="n">
        <x:v>0</x:v>
      </x:c>
      <x:c r="Y972" s="15" t="n">
        <x:v>560</x:v>
      </x:c>
      <x:c r="Z972" s="15" t="n">
        <x:v>0.655624</x:v>
      </x:c>
      <x:c r="AA972" s="15" t="n">
        <x:v>0.012288</x:v>
      </x:c>
      <x:c r="AB972" s="15" t="n">
        <x:f>SUM(G972:AA972)</x:f>
        <x:v>560.667912</x:v>
      </x:c>
    </x:row>
    <x:row r="973" ht="36" customHeight="1">
      <x:c r="A973" s="10" t="str">
        <x:v>D-B</x:v>
      </x:c>
      <x:c r="B973" s="10" t="str">
        <x:v>DELIVERY</x:v>
      </x:c>
      <x:c r="C973" s="10" t="str">
        <x:v>DELIVERY:S07-04</x:v>
      </x:c>
      <x:c r="D973" s="10" t="str">
        <x:v>DELIVERY:M4291</x:v>
      </x:c>
      <x:c r="E973" s="15" t="n">
        <x:v>10.836166666</x:v>
      </x:c>
      <x:c r="F973" s="15" t="str">
        <x:v>scored</x:v>
      </x:c>
      <x:c r="G973" s="15" t="n">
        <x:v>0</x:v>
      </x:c>
      <x:c r="H973" s="15" t="n">
        <x:v>0</x:v>
      </x:c>
      <x:c r="I973" s="15" t="n">
        <x:v>0</x:v>
      </x:c>
      <x:c r="J973" s="15" t="n">
        <x:v>0</x:v>
      </x:c>
      <x:c r="K973" s="15" t="n">
        <x:v>0</x:v>
      </x:c>
      <x:c r="L973" s="15" t="n">
        <x:v>0</x:v>
      </x:c>
      <x:c r="M973" s="15" t="n">
        <x:v>0</x:v>
      </x:c>
      <x:c r="N973" s="15" t="n">
        <x:v>0</x:v>
      </x:c>
      <x:c r="O973" s="15" t="n">
        <x:v>0</x:v>
      </x:c>
      <x:c r="P973" s="15" t="n">
        <x:v>0</x:v>
      </x:c>
      <x:c r="Q973" s="15" t="n">
        <x:v>0</x:v>
      </x:c>
      <x:c r="R973" s="15" t="n">
        <x:v>0</x:v>
      </x:c>
      <x:c r="S973" s="15" t="n">
        <x:v>0</x:v>
      </x:c>
      <x:c r="T973" s="15" t="n">
        <x:v>0</x:v>
      </x:c>
      <x:c r="U973" s="15" t="n">
        <x:v>0</x:v>
      </x:c>
      <x:c r="V973" s="15" t="n">
        <x:v>0</x:v>
      </x:c>
      <x:c r="W973" s="15" t="n">
        <x:v>0</x:v>
      </x:c>
      <x:c r="X973" s="15" t="n">
        <x:v>0</x:v>
      </x:c>
      <x:c r="Y973" s="15" t="n">
        <x:v>560</x:v>
      </x:c>
      <x:c r="Z973" s="15" t="n">
        <x:v>0.255672</x:v>
      </x:c>
      <x:c r="AA973" s="15" t="n">
        <x:v>0.004096</x:v>
      </x:c>
      <x:c r="AB973" s="15" t="n">
        <x:f>SUM(G973:AA973)</x:f>
        <x:v>560.259768</x:v>
      </x:c>
    </x:row>
    <x:row r="974" ht="36" customHeight="1">
      <x:c r="A974" s="10" t="str">
        <x:v>D-A</x:v>
      </x:c>
      <x:c r="B974" s="10" t="str">
        <x:v>DELIVERY</x:v>
      </x:c>
      <x:c r="C974" s="10" t="str">
        <x:v>DELIVERY:S07-05</x:v>
      </x:c>
      <x:c r="D974" s="10" t="str">
        <x:v>DELIVERY:M4333</x:v>
      </x:c>
      <x:c r="E974" s="15" t="n">
        <x:v>1.2085</x:v>
      </x:c>
      <x:c r="F974" s="15" t="str">
        <x:v>scored</x:v>
      </x:c>
      <x:c r="G974" s="15" t="n">
        <x:v>0</x:v>
      </x:c>
      <x:c r="H974" s="15" t="n">
        <x:v>0</x:v>
      </x:c>
      <x:c r="I974" s="15" t="n">
        <x:v>0</x:v>
      </x:c>
      <x:c r="J974" s="15" t="n">
        <x:v>0</x:v>
      </x:c>
      <x:c r="K974" s="15" t="n">
        <x:v>0</x:v>
      </x:c>
      <x:c r="L974" s="15" t="n">
        <x:v>0</x:v>
      </x:c>
      <x:c r="M974" s="15" t="n">
        <x:v>0</x:v>
      </x:c>
      <x:c r="N974" s="15" t="n">
        <x:v>0</x:v>
      </x:c>
      <x:c r="O974" s="15" t="n">
        <x:v>0</x:v>
      </x:c>
      <x:c r="P974" s="15" t="n">
        <x:v>0</x:v>
      </x:c>
      <x:c r="Q974" s="15" t="n">
        <x:v>0</x:v>
      </x:c>
      <x:c r="R974" s="15" t="n">
        <x:v>0</x:v>
      </x:c>
      <x:c r="S974" s="15" t="n">
        <x:v>0</x:v>
      </x:c>
      <x:c r="T974" s="15" t="n">
        <x:v>0</x:v>
      </x:c>
      <x:c r="U974" s="15" t="n">
        <x:v>0</x:v>
      </x:c>
      <x:c r="V974" s="15" t="n">
        <x:v>0</x:v>
      </x:c>
      <x:c r="W974" s="15" t="n">
        <x:v>0</x:v>
      </x:c>
      <x:c r="X974" s="15" t="n">
        <x:v>0</x:v>
      </x:c>
      <x:c r="Y974" s="15" t="n">
        <x:v>560</x:v>
      </x:c>
      <x:c r="Z974" s="15" t="n">
        <x:v>0.658568</x:v>
      </x:c>
      <x:c r="AA974" s="15" t="n">
        <x:v>0.012288</x:v>
      </x:c>
      <x:c r="AB974" s="15" t="n">
        <x:f>SUM(G974:AA974)</x:f>
        <x:v>560.670856</x:v>
      </x:c>
    </x:row>
    <x:row r="975" ht="36" customHeight="1">
      <x:c r="A975" s="10" t="str">
        <x:v>D-B</x:v>
      </x:c>
      <x:c r="B975" s="10" t="str">
        <x:v>DELIVERY</x:v>
      </x:c>
      <x:c r="C975" s="10" t="str">
        <x:v>DELIVERY:S07-05</x:v>
      </x:c>
      <x:c r="D975" s="10" t="str">
        <x:v>DELIVERY:M4390</x:v>
      </x:c>
      <x:c r="E975" s="15" t="n">
        <x:v>10.8915</x:v>
      </x:c>
      <x:c r="F975" s="15" t="str">
        <x:v>scored</x:v>
      </x:c>
      <x:c r="G975" s="15" t="n">
        <x:v>0</x:v>
      </x:c>
      <x:c r="H975" s="15" t="n">
        <x:v>0</x:v>
      </x:c>
      <x:c r="I975" s="15" t="n">
        <x:v>0</x:v>
      </x:c>
      <x:c r="J975" s="15" t="n">
        <x:v>0</x:v>
      </x:c>
      <x:c r="K975" s="15" t="n">
        <x:v>0</x:v>
      </x:c>
      <x:c r="L975" s="15" t="n">
        <x:v>0</x:v>
      </x:c>
      <x:c r="M975" s="15" t="n">
        <x:v>0</x:v>
      </x:c>
      <x:c r="N975" s="15" t="n">
        <x:v>0</x:v>
      </x:c>
      <x:c r="O975" s="15" t="n">
        <x:v>0</x:v>
      </x:c>
      <x:c r="P975" s="15" t="n">
        <x:v>0</x:v>
      </x:c>
      <x:c r="Q975" s="15" t="n">
        <x:v>0</x:v>
      </x:c>
      <x:c r="R975" s="15" t="n">
        <x:v>0</x:v>
      </x:c>
      <x:c r="S975" s="15" t="n">
        <x:v>0</x:v>
      </x:c>
      <x:c r="T975" s="15" t="n">
        <x:v>0</x:v>
      </x:c>
      <x:c r="U975" s="15" t="n">
        <x:v>0</x:v>
      </x:c>
      <x:c r="V975" s="15" t="n">
        <x:v>0</x:v>
      </x:c>
      <x:c r="W975" s="15" t="n">
        <x:v>0</x:v>
      </x:c>
      <x:c r="X975" s="15" t="n">
        <x:v>0</x:v>
      </x:c>
      <x:c r="Y975" s="15" t="n">
        <x:v>560</x:v>
      </x:c>
      <x:c r="Z975" s="15" t="n">
        <x:v>0.256104</x:v>
      </x:c>
      <x:c r="AA975" s="15" t="n">
        <x:v>0.004096</x:v>
      </x:c>
      <x:c r="AB975" s="15" t="n">
        <x:f>SUM(G975:AA975)</x:f>
        <x:v>560.2602</x:v>
      </x:c>
    </x:row>
    <x:row r="976" ht="36" customHeight="1">
      <x:c r="A976" s="10" t="str">
        <x:v>D-A</x:v>
      </x:c>
      <x:c r="B976" s="10" t="str">
        <x:v>DELIVERY</x:v>
      </x:c>
      <x:c r="C976" s="10" t="str">
        <x:v>DELIVERY:S07-06</x:v>
      </x:c>
      <x:c r="D976" s="10" t="str">
        <x:v>DELIVERY:M4432</x:v>
      </x:c>
      <x:c r="E976" s="15" t="n">
        <x:v>1.2115</x:v>
      </x:c>
      <x:c r="F976" s="15" t="str">
        <x:v>scored</x:v>
      </x:c>
      <x:c r="G976" s="15" t="n">
        <x:v>0</x:v>
      </x:c>
      <x:c r="H976" s="15" t="n">
        <x:v>0</x:v>
      </x:c>
      <x:c r="I976" s="15" t="n">
        <x:v>0</x:v>
      </x:c>
      <x:c r="J976" s="15" t="n">
        <x:v>0</x:v>
      </x:c>
      <x:c r="K976" s="15" t="n">
        <x:v>0</x:v>
      </x:c>
      <x:c r="L976" s="15" t="n">
        <x:v>0</x:v>
      </x:c>
      <x:c r="M976" s="15" t="n">
        <x:v>0</x:v>
      </x:c>
      <x:c r="N976" s="15" t="n">
        <x:v>0</x:v>
      </x:c>
      <x:c r="O976" s="15" t="n">
        <x:v>0</x:v>
      </x:c>
      <x:c r="P976" s="15" t="n">
        <x:v>0</x:v>
      </x:c>
      <x:c r="Q976" s="15" t="n">
        <x:v>0</x:v>
      </x:c>
      <x:c r="R976" s="15" t="n">
        <x:v>0</x:v>
      </x:c>
      <x:c r="S976" s="15" t="n">
        <x:v>0</x:v>
      </x:c>
      <x:c r="T976" s="15" t="n">
        <x:v>0</x:v>
      </x:c>
      <x:c r="U976" s="15" t="n">
        <x:v>0</x:v>
      </x:c>
      <x:c r="V976" s="15" t="n">
        <x:v>0</x:v>
      </x:c>
      <x:c r="W976" s="15" t="n">
        <x:v>0</x:v>
      </x:c>
      <x:c r="X976" s="15" t="n">
        <x:v>0</x:v>
      </x:c>
      <x:c r="Y976" s="15" t="n">
        <x:v>560</x:v>
      </x:c>
      <x:c r="Z976" s="15" t="n">
        <x:v>0.657912</x:v>
      </x:c>
      <x:c r="AA976" s="15" t="n">
        <x:v>0.012288</x:v>
      </x:c>
      <x:c r="AB976" s="15" t="n">
        <x:f>SUM(G976:AA976)</x:f>
        <x:v>560.6702</x:v>
      </x:c>
    </x:row>
    <x:row r="977" ht="36" customHeight="1">
      <x:c r="A977" s="10" t="str">
        <x:v>D-B</x:v>
      </x:c>
      <x:c r="B977" s="10" t="str">
        <x:v>DELIVERY</x:v>
      </x:c>
      <x:c r="C977" s="10" t="str">
        <x:v>DELIVERY:S07-06</x:v>
      </x:c>
      <x:c r="D977" s="10" t="str">
        <x:v>DELIVERY:M4489</x:v>
      </x:c>
      <x:c r="E977" s="15" t="n">
        <x:v>10.871833333</x:v>
      </x:c>
      <x:c r="F977" s="15" t="str">
        <x:v>scored</x:v>
      </x:c>
      <x:c r="G977" s="15" t="n">
        <x:v>0</x:v>
      </x:c>
      <x:c r="H977" s="15" t="n">
        <x:v>0</x:v>
      </x:c>
      <x:c r="I977" s="15" t="n">
        <x:v>0</x:v>
      </x:c>
      <x:c r="J977" s="15" t="n">
        <x:v>0</x:v>
      </x:c>
      <x:c r="K977" s="15" t="n">
        <x:v>0</x:v>
      </x:c>
      <x:c r="L977" s="15" t="n">
        <x:v>0</x:v>
      </x:c>
      <x:c r="M977" s="15" t="n">
        <x:v>0</x:v>
      </x:c>
      <x:c r="N977" s="15" t="n">
        <x:v>0</x:v>
      </x:c>
      <x:c r="O977" s="15" t="n">
        <x:v>0</x:v>
      </x:c>
      <x:c r="P977" s="15" t="n">
        <x:v>0</x:v>
      </x:c>
      <x:c r="Q977" s="15" t="n">
        <x:v>0</x:v>
      </x:c>
      <x:c r="R977" s="15" t="n">
        <x:v>0</x:v>
      </x:c>
      <x:c r="S977" s="15" t="n">
        <x:v>0</x:v>
      </x:c>
      <x:c r="T977" s="15" t="n">
        <x:v>0</x:v>
      </x:c>
      <x:c r="U977" s="15" t="n">
        <x:v>0</x:v>
      </x:c>
      <x:c r="V977" s="15" t="n">
        <x:v>0</x:v>
      </x:c>
      <x:c r="W977" s="15" t="n">
        <x:v>0</x:v>
      </x:c>
      <x:c r="X977" s="15" t="n">
        <x:v>0</x:v>
      </x:c>
      <x:c r="Y977" s="15" t="n">
        <x:v>560</x:v>
      </x:c>
      <x:c r="Z977" s="15" t="n">
        <x:v>0.256536</x:v>
      </x:c>
      <x:c r="AA977" s="15" t="n">
        <x:v>0.004096</x:v>
      </x:c>
      <x:c r="AB977" s="15" t="n">
        <x:f>SUM(G977:AA977)</x:f>
        <x:v>560.260632</x:v>
      </x:c>
    </x:row>
    <x:row r="978" ht="36" customHeight="1">
      <x:c r="A978" s="10" t="str">
        <x:v>D-A</x:v>
      </x:c>
      <x:c r="B978" s="10" t="str">
        <x:v>DELIVERY</x:v>
      </x:c>
      <x:c r="C978" s="10" t="str">
        <x:v>DELIVERY:S07-07</x:v>
      </x:c>
      <x:c r="D978" s="10" t="str">
        <x:v>DELIVERY:M4531</x:v>
      </x:c>
      <x:c r="E978" s="15" t="n">
        <x:v>1.2145</x:v>
      </x:c>
      <x:c r="F978" s="15" t="str">
        <x:v>scored</x:v>
      </x:c>
      <x:c r="G978" s="15" t="n">
        <x:v>0</x:v>
      </x:c>
      <x:c r="H978" s="15" t="n">
        <x:v>0</x:v>
      </x:c>
      <x:c r="I978" s="15" t="n">
        <x:v>0</x:v>
      </x:c>
      <x:c r="J978" s="15" t="n">
        <x:v>0</x:v>
      </x:c>
      <x:c r="K978" s="15" t="n">
        <x:v>0</x:v>
      </x:c>
      <x:c r="L978" s="15" t="n">
        <x:v>0</x:v>
      </x:c>
      <x:c r="M978" s="15" t="n">
        <x:v>0</x:v>
      </x:c>
      <x:c r="N978" s="15" t="n">
        <x:v>0</x:v>
      </x:c>
      <x:c r="O978" s="15" t="n">
        <x:v>0</x:v>
      </x:c>
      <x:c r="P978" s="15" t="n">
        <x:v>0</x:v>
      </x:c>
      <x:c r="Q978" s="15" t="n">
        <x:v>0</x:v>
      </x:c>
      <x:c r="R978" s="15" t="n">
        <x:v>0</x:v>
      </x:c>
      <x:c r="S978" s="15" t="n">
        <x:v>0</x:v>
      </x:c>
      <x:c r="T978" s="15" t="n">
        <x:v>0</x:v>
      </x:c>
      <x:c r="U978" s="15" t="n">
        <x:v>0</x:v>
      </x:c>
      <x:c r="V978" s="15" t="n">
        <x:v>0</x:v>
      </x:c>
      <x:c r="W978" s="15" t="n">
        <x:v>0</x:v>
      </x:c>
      <x:c r="X978" s="15" t="n">
        <x:v>0</x:v>
      </x:c>
      <x:c r="Y978" s="15" t="n">
        <x:v>560</x:v>
      </x:c>
      <x:c r="Z978" s="15" t="n">
        <x:v>0.660856</x:v>
      </x:c>
      <x:c r="AA978" s="15" t="n">
        <x:v>0.012288</x:v>
      </x:c>
      <x:c r="AB978" s="15" t="n">
        <x:f>SUM(G978:AA978)</x:f>
        <x:v>560.673144</x:v>
      </x:c>
    </x:row>
    <x:row r="979" ht="36" customHeight="1">
      <x:c r="A979" s="10" t="str">
        <x:v>D-B</x:v>
      </x:c>
      <x:c r="B979" s="10" t="str">
        <x:v>DELIVERY</x:v>
      </x:c>
      <x:c r="C979" s="10" t="str">
        <x:v>DELIVERY:S07-07</x:v>
      </x:c>
      <x:c r="D979" s="10" t="str">
        <x:v>DELIVERY:M4588</x:v>
      </x:c>
      <x:c r="E979" s="15" t="n">
        <x:v>10.927166666</x:v>
      </x:c>
      <x:c r="F979" s="15" t="str">
        <x:v>scored</x:v>
      </x:c>
      <x:c r="G979" s="15" t="n">
        <x:v>0</x:v>
      </x:c>
      <x:c r="H979" s="15" t="n">
        <x:v>0</x:v>
      </x:c>
      <x:c r="I979" s="15" t="n">
        <x:v>0</x:v>
      </x:c>
      <x:c r="J979" s="15" t="n">
        <x:v>0</x:v>
      </x:c>
      <x:c r="K979" s="15" t="n">
        <x:v>0</x:v>
      </x:c>
      <x:c r="L979" s="15" t="n">
        <x:v>0</x:v>
      </x:c>
      <x:c r="M979" s="15" t="n">
        <x:v>0</x:v>
      </x:c>
      <x:c r="N979" s="15" t="n">
        <x:v>0</x:v>
      </x:c>
      <x:c r="O979" s="15" t="n">
        <x:v>0</x:v>
      </x:c>
      <x:c r="P979" s="15" t="n">
        <x:v>0</x:v>
      </x:c>
      <x:c r="Q979" s="15" t="n">
        <x:v>0</x:v>
      </x:c>
      <x:c r="R979" s="15" t="n">
        <x:v>0</x:v>
      </x:c>
      <x:c r="S979" s="15" t="n">
        <x:v>0</x:v>
      </x:c>
      <x:c r="T979" s="15" t="n">
        <x:v>0</x:v>
      </x:c>
      <x:c r="U979" s="15" t="n">
        <x:v>0</x:v>
      </x:c>
      <x:c r="V979" s="15" t="n">
        <x:v>0</x:v>
      </x:c>
      <x:c r="W979" s="15" t="n">
        <x:v>0</x:v>
      </x:c>
      <x:c r="X979" s="15" t="n">
        <x:v>0</x:v>
      </x:c>
      <x:c r="Y979" s="15" t="n">
        <x:v>560</x:v>
      </x:c>
      <x:c r="Z979" s="15" t="n">
        <x:v>0.256968</x:v>
      </x:c>
      <x:c r="AA979" s="15" t="n">
        <x:v>0.004096</x:v>
      </x:c>
      <x:c r="AB979" s="15" t="n">
        <x:f>SUM(G979:AA979)</x:f>
        <x:v>560.261064</x:v>
      </x:c>
    </x:row>
    <x:row r="980" ht="36" customHeight="1">
      <x:c r="A980" s="10" t="str">
        <x:v>D-A</x:v>
      </x:c>
      <x:c r="B980" s="10" t="str">
        <x:v>DELIVERY</x:v>
      </x:c>
      <x:c r="C980" s="10" t="str">
        <x:v>DELIVERY:S07-08</x:v>
      </x:c>
      <x:c r="D980" s="10" t="str">
        <x:v>DELIVERY:M4630</x:v>
      </x:c>
      <x:c r="E980" s="15" t="n">
        <x:v>1.2175</x:v>
      </x:c>
      <x:c r="F980" s="15" t="str">
        <x:v>scored</x:v>
      </x:c>
      <x:c r="G980" s="15" t="n">
        <x:v>0</x:v>
      </x:c>
      <x:c r="H980" s="15" t="n">
        <x:v>0</x:v>
      </x:c>
      <x:c r="I980" s="15" t="n">
        <x:v>0</x:v>
      </x:c>
      <x:c r="J980" s="15" t="n">
        <x:v>0</x:v>
      </x:c>
      <x:c r="K980" s="15" t="n">
        <x:v>0</x:v>
      </x:c>
      <x:c r="L980" s="15" t="n">
        <x:v>0</x:v>
      </x:c>
      <x:c r="M980" s="15" t="n">
        <x:v>0</x:v>
      </x:c>
      <x:c r="N980" s="15" t="n">
        <x:v>0</x:v>
      </x:c>
      <x:c r="O980" s="15" t="n">
        <x:v>0</x:v>
      </x:c>
      <x:c r="P980" s="15" t="n">
        <x:v>0</x:v>
      </x:c>
      <x:c r="Q980" s="15" t="n">
        <x:v>0</x:v>
      </x:c>
      <x:c r="R980" s="15" t="n">
        <x:v>0</x:v>
      </x:c>
      <x:c r="S980" s="15" t="n">
        <x:v>0</x:v>
      </x:c>
      <x:c r="T980" s="15" t="n">
        <x:v>0</x:v>
      </x:c>
      <x:c r="U980" s="15" t="n">
        <x:v>0</x:v>
      </x:c>
      <x:c r="V980" s="15" t="n">
        <x:v>0</x:v>
      </x:c>
      <x:c r="W980" s="15" t="n">
        <x:v>0</x:v>
      </x:c>
      <x:c r="X980" s="15" t="n">
        <x:v>0</x:v>
      </x:c>
      <x:c r="Y980" s="15" t="n">
        <x:v>560</x:v>
      </x:c>
      <x:c r="Z980" s="15" t="n">
        <x:v>0.6638</x:v>
      </x:c>
      <x:c r="AA980" s="15" t="n">
        <x:v>0.012288</x:v>
      </x:c>
      <x:c r="AB980" s="15" t="n">
        <x:f>SUM(G980:AA980)</x:f>
        <x:v>560.676088</x:v>
      </x:c>
    </x:row>
    <x:row r="981" ht="36" customHeight="1">
      <x:c r="A981" s="10" t="str">
        <x:v>D-B</x:v>
      </x:c>
      <x:c r="B981" s="10" t="str">
        <x:v>DELIVERY</x:v>
      </x:c>
      <x:c r="C981" s="10" t="str">
        <x:v>DELIVERY:S07-08</x:v>
      </x:c>
      <x:c r="D981" s="10" t="str">
        <x:v>DELIVERY:M4687</x:v>
      </x:c>
      <x:c r="E981" s="15" t="n">
        <x:v>10.9825</x:v>
      </x:c>
      <x:c r="F981" s="15" t="str">
        <x:v>scored</x:v>
      </x:c>
      <x:c r="G981" s="15" t="n">
        <x:v>0</x:v>
      </x:c>
      <x:c r="H981" s="15" t="n">
        <x:v>0</x:v>
      </x:c>
      <x:c r="I981" s="15" t="n">
        <x:v>0</x:v>
      </x:c>
      <x:c r="J981" s="15" t="n">
        <x:v>0</x:v>
      </x:c>
      <x:c r="K981" s="15" t="n">
        <x:v>0</x:v>
      </x:c>
      <x:c r="L981" s="15" t="n">
        <x:v>0</x:v>
      </x:c>
      <x:c r="M981" s="15" t="n">
        <x:v>0</x:v>
      </x:c>
      <x:c r="N981" s="15" t="n">
        <x:v>0</x:v>
      </x:c>
      <x:c r="O981" s="15" t="n">
        <x:v>0</x:v>
      </x:c>
      <x:c r="P981" s="15" t="n">
        <x:v>0</x:v>
      </x:c>
      <x:c r="Q981" s="15" t="n">
        <x:v>0</x:v>
      </x:c>
      <x:c r="R981" s="15" t="n">
        <x:v>0</x:v>
      </x:c>
      <x:c r="S981" s="15" t="n">
        <x:v>0</x:v>
      </x:c>
      <x:c r="T981" s="15" t="n">
        <x:v>0</x:v>
      </x:c>
      <x:c r="U981" s="15" t="n">
        <x:v>0</x:v>
      </x:c>
      <x:c r="V981" s="15" t="n">
        <x:v>0</x:v>
      </x:c>
      <x:c r="W981" s="15" t="n">
        <x:v>0</x:v>
      </x:c>
      <x:c r="X981" s="15" t="n">
        <x:v>0</x:v>
      </x:c>
      <x:c r="Y981" s="15" t="n">
        <x:v>560</x:v>
      </x:c>
      <x:c r="Z981" s="15" t="n">
        <x:v>0.2574</x:v>
      </x:c>
      <x:c r="AA981" s="15" t="n">
        <x:v>0.004096</x:v>
      </x:c>
      <x:c r="AB981" s="15" t="n">
        <x:f>SUM(G981:AA981)</x:f>
        <x:v>560.261496</x:v>
      </x:c>
    </x:row>
    <x:row r="982" ht="36" customHeight="1">
      <x:c r="A982" s="10" t="str">
        <x:v>D-A</x:v>
      </x:c>
      <x:c r="B982" s="10" t="str">
        <x:v>DELIVERY</x:v>
      </x:c>
      <x:c r="C982" s="10" t="str">
        <x:v>DELIVERY:S07-09</x:v>
      </x:c>
      <x:c r="D982" s="10" t="str">
        <x:v>DELIVERY:M4729</x:v>
      </x:c>
      <x:c r="E982" s="15" t="n">
        <x:v>1.2205</x:v>
      </x:c>
      <x:c r="F982" s="15" t="str">
        <x:v>scored</x:v>
      </x:c>
      <x:c r="G982" s="15" t="n">
        <x:v>0</x:v>
      </x:c>
      <x:c r="H982" s="15" t="n">
        <x:v>0</x:v>
      </x:c>
      <x:c r="I982" s="15" t="n">
        <x:v>0</x:v>
      </x:c>
      <x:c r="J982" s="15" t="n">
        <x:v>0</x:v>
      </x:c>
      <x:c r="K982" s="15" t="n">
        <x:v>0</x:v>
      </x:c>
      <x:c r="L982" s="15" t="n">
        <x:v>0</x:v>
      </x:c>
      <x:c r="M982" s="15" t="n">
        <x:v>0</x:v>
      </x:c>
      <x:c r="N982" s="15" t="n">
        <x:v>0</x:v>
      </x:c>
      <x:c r="O982" s="15" t="n">
        <x:v>0</x:v>
      </x:c>
      <x:c r="P982" s="15" t="n">
        <x:v>0</x:v>
      </x:c>
      <x:c r="Q982" s="15" t="n">
        <x:v>0</x:v>
      </x:c>
      <x:c r="R982" s="15" t="n">
        <x:v>0</x:v>
      </x:c>
      <x:c r="S982" s="15" t="n">
        <x:v>0</x:v>
      </x:c>
      <x:c r="T982" s="15" t="n">
        <x:v>0</x:v>
      </x:c>
      <x:c r="U982" s="15" t="n">
        <x:v>0</x:v>
      </x:c>
      <x:c r="V982" s="15" t="n">
        <x:v>0</x:v>
      </x:c>
      <x:c r="W982" s="15" t="n">
        <x:v>0</x:v>
      </x:c>
      <x:c r="X982" s="15" t="n">
        <x:v>0</x:v>
      </x:c>
      <x:c r="Y982" s="15" t="n">
        <x:v>560</x:v>
      </x:c>
      <x:c r="Z982" s="15" t="n">
        <x:v>0.663144</x:v>
      </x:c>
      <x:c r="AA982" s="15" t="n">
        <x:v>0.012288</x:v>
      </x:c>
      <x:c r="AB982" s="15" t="n">
        <x:f>SUM(G982:AA982)</x:f>
        <x:v>560.675432</x:v>
      </x:c>
    </x:row>
    <x:row r="983" ht="36" customHeight="1">
      <x:c r="A983" s="10" t="str">
        <x:v>D-B</x:v>
      </x:c>
      <x:c r="B983" s="10" t="str">
        <x:v>DELIVERY</x:v>
      </x:c>
      <x:c r="C983" s="10" t="str">
        <x:v>DELIVERY:S07-09</x:v>
      </x:c>
      <x:c r="D983" s="10" t="str">
        <x:v>DELIVERY:M4786</x:v>
      </x:c>
      <x:c r="E983" s="15" t="n">
        <x:v>10.962833333</x:v>
      </x:c>
      <x:c r="F983" s="15" t="str">
        <x:v>scored</x:v>
      </x:c>
      <x:c r="G983" s="15" t="n">
        <x:v>0</x:v>
      </x:c>
      <x:c r="H983" s="15" t="n">
        <x:v>0</x:v>
      </x:c>
      <x:c r="I983" s="15" t="n">
        <x:v>0</x:v>
      </x:c>
      <x:c r="J983" s="15" t="n">
        <x:v>0</x:v>
      </x:c>
      <x:c r="K983" s="15" t="n">
        <x:v>0</x:v>
      </x:c>
      <x:c r="L983" s="15" t="n">
        <x:v>0</x:v>
      </x:c>
      <x:c r="M983" s="15" t="n">
        <x:v>0</x:v>
      </x:c>
      <x:c r="N983" s="15" t="n">
        <x:v>0</x:v>
      </x:c>
      <x:c r="O983" s="15" t="n">
        <x:v>0</x:v>
      </x:c>
      <x:c r="P983" s="15" t="n">
        <x:v>0</x:v>
      </x:c>
      <x:c r="Q983" s="15" t="n">
        <x:v>0</x:v>
      </x:c>
      <x:c r="R983" s="15" t="n">
        <x:v>0</x:v>
      </x:c>
      <x:c r="S983" s="15" t="n">
        <x:v>0</x:v>
      </x:c>
      <x:c r="T983" s="15" t="n">
        <x:v>0</x:v>
      </x:c>
      <x:c r="U983" s="15" t="n">
        <x:v>0</x:v>
      </x:c>
      <x:c r="V983" s="15" t="n">
        <x:v>0</x:v>
      </x:c>
      <x:c r="W983" s="15" t="n">
        <x:v>0</x:v>
      </x:c>
      <x:c r="X983" s="15" t="n">
        <x:v>0</x:v>
      </x:c>
      <x:c r="Y983" s="15" t="n">
        <x:v>560</x:v>
      </x:c>
      <x:c r="Z983" s="15" t="n">
        <x:v>0.257832</x:v>
      </x:c>
      <x:c r="AA983" s="15" t="n">
        <x:v>0.004096</x:v>
      </x:c>
      <x:c r="AB983" s="15" t="n">
        <x:f>SUM(G983:AA983)</x:f>
        <x:v>560.261928</x:v>
      </x:c>
    </x:row>
    <x:row r="984" ht="36" customHeight="1">
      <x:c r="A984" s="10" t="str">
        <x:v>D-A</x:v>
      </x:c>
      <x:c r="B984" s="10" t="str">
        <x:v>DELIVERY</x:v>
      </x:c>
      <x:c r="C984" s="10" t="str">
        <x:v>DELIVERY:S07-10</x:v>
      </x:c>
      <x:c r="D984" s="10" t="str">
        <x:v>DELIVERY:M4828</x:v>
      </x:c>
      <x:c r="E984" s="15" t="n">
        <x:v>1.2235</x:v>
      </x:c>
      <x:c r="F984" s="15" t="str">
        <x:v>scored</x:v>
      </x:c>
      <x:c r="G984" s="15" t="n">
        <x:v>0</x:v>
      </x:c>
      <x:c r="H984" s="15" t="n">
        <x:v>0</x:v>
      </x:c>
      <x:c r="I984" s="15" t="n">
        <x:v>0</x:v>
      </x:c>
      <x:c r="J984" s="15" t="n">
        <x:v>0</x:v>
      </x:c>
      <x:c r="K984" s="15" t="n">
        <x:v>0</x:v>
      </x:c>
      <x:c r="L984" s="15" t="n">
        <x:v>0</x:v>
      </x:c>
      <x:c r="M984" s="15" t="n">
        <x:v>0</x:v>
      </x:c>
      <x:c r="N984" s="15" t="n">
        <x:v>0</x:v>
      </x:c>
      <x:c r="O984" s="15" t="n">
        <x:v>0</x:v>
      </x:c>
      <x:c r="P984" s="15" t="n">
        <x:v>0</x:v>
      </x:c>
      <x:c r="Q984" s="15" t="n">
        <x:v>0</x:v>
      </x:c>
      <x:c r="R984" s="15" t="n">
        <x:v>0</x:v>
      </x:c>
      <x:c r="S984" s="15" t="n">
        <x:v>0</x:v>
      </x:c>
      <x:c r="T984" s="15" t="n">
        <x:v>0</x:v>
      </x:c>
      <x:c r="U984" s="15" t="n">
        <x:v>0</x:v>
      </x:c>
      <x:c r="V984" s="15" t="n">
        <x:v>0</x:v>
      </x:c>
      <x:c r="W984" s="15" t="n">
        <x:v>0</x:v>
      </x:c>
      <x:c r="X984" s="15" t="n">
        <x:v>0</x:v>
      </x:c>
      <x:c r="Y984" s="15" t="n">
        <x:v>560</x:v>
      </x:c>
      <x:c r="Z984" s="15" t="n">
        <x:v>0.666088</x:v>
      </x:c>
      <x:c r="AA984" s="15" t="n">
        <x:v>0.012288</x:v>
      </x:c>
      <x:c r="AB984" s="15" t="n">
        <x:f>SUM(G984:AA984)</x:f>
        <x:v>560.678376</x:v>
      </x:c>
    </x:row>
    <x:row r="985" ht="36" customHeight="1">
      <x:c r="A985" s="10" t="str">
        <x:v>D-B</x:v>
      </x:c>
      <x:c r="B985" s="10" t="str">
        <x:v>DELIVERY</x:v>
      </x:c>
      <x:c r="C985" s="10" t="str">
        <x:v>DELIVERY:S07-10</x:v>
      </x:c>
      <x:c r="D985" s="10" t="str">
        <x:v>DELIVERY:M4885</x:v>
      </x:c>
      <x:c r="E985" s="15" t="n">
        <x:v>11.018166666</x:v>
      </x:c>
      <x:c r="F985" s="15" t="str">
        <x:v>scored</x:v>
      </x:c>
      <x:c r="G985" s="15" t="n">
        <x:v>0</x:v>
      </x:c>
      <x:c r="H985" s="15" t="n">
        <x:v>0</x:v>
      </x:c>
      <x:c r="I985" s="15" t="n">
        <x:v>0</x:v>
      </x:c>
      <x:c r="J985" s="15" t="n">
        <x:v>0</x:v>
      </x:c>
      <x:c r="K985" s="15" t="n">
        <x:v>0</x:v>
      </x:c>
      <x:c r="L985" s="15" t="n">
        <x:v>0</x:v>
      </x:c>
      <x:c r="M985" s="15" t="n">
        <x:v>0</x:v>
      </x:c>
      <x:c r="N985" s="15" t="n">
        <x:v>0</x:v>
      </x:c>
      <x:c r="O985" s="15" t="n">
        <x:v>0</x:v>
      </x:c>
      <x:c r="P985" s="15" t="n">
        <x:v>0</x:v>
      </x:c>
      <x:c r="Q985" s="15" t="n">
        <x:v>0</x:v>
      </x:c>
      <x:c r="R985" s="15" t="n">
        <x:v>0</x:v>
      </x:c>
      <x:c r="S985" s="15" t="n">
        <x:v>0</x:v>
      </x:c>
      <x:c r="T985" s="15" t="n">
        <x:v>0</x:v>
      </x:c>
      <x:c r="U985" s="15" t="n">
        <x:v>0</x:v>
      </x:c>
      <x:c r="V985" s="15" t="n">
        <x:v>0</x:v>
      </x:c>
      <x:c r="W985" s="15" t="n">
        <x:v>0</x:v>
      </x:c>
      <x:c r="X985" s="15" t="n">
        <x:v>0</x:v>
      </x:c>
      <x:c r="Y985" s="15" t="n">
        <x:v>560</x:v>
      </x:c>
      <x:c r="Z985" s="15" t="n">
        <x:v>0.258264</x:v>
      </x:c>
      <x:c r="AA985" s="15" t="n">
        <x:v>0.004096</x:v>
      </x:c>
      <x:c r="AB985" s="15" t="n">
        <x:f>SUM(G985:AA985)</x:f>
        <x:v>560.2623600000001</x:v>
      </x:c>
    </x:row>
    <x:row r="986" ht="36" customHeight="1">
      <x:c r="A986" s="10" t="str">
        <x:v>D-A</x:v>
      </x:c>
      <x:c r="B986" s="10" t="str">
        <x:v>DELIVERY</x:v>
      </x:c>
      <x:c r="C986" s="10" t="str">
        <x:v>DELIVERY:S08-01</x:v>
      </x:c>
      <x:c r="D986" s="10" t="str">
        <x:v>DELIVERY:M4909</x:v>
      </x:c>
      <x:c r="E986" s="15" t="n">
        <x:v>1.855833333</x:v>
      </x:c>
      <x:c r="F986" s="15" t="str">
        <x:v>scored</x:v>
      </x:c>
      <x:c r="G986" s="15" t="n">
        <x:v>0</x:v>
      </x:c>
      <x:c r="H986" s="15" t="n">
        <x:v>0</x:v>
      </x:c>
      <x:c r="I986" s="15" t="n">
        <x:v>0</x:v>
      </x:c>
      <x:c r="J986" s="15" t="n">
        <x:v>0</x:v>
      </x:c>
      <x:c r="K986" s="15" t="n">
        <x:v>0</x:v>
      </x:c>
      <x:c r="L986" s="15" t="n">
        <x:v>0</x:v>
      </x:c>
      <x:c r="M986" s="15" t="n">
        <x:v>0</x:v>
      </x:c>
      <x:c r="N986" s="15" t="n">
        <x:v>0</x:v>
      </x:c>
      <x:c r="O986" s="15" t="n">
        <x:v>0</x:v>
      </x:c>
      <x:c r="P986" s="15" t="n">
        <x:v>0</x:v>
      </x:c>
      <x:c r="Q986" s="15" t="n">
        <x:v>0</x:v>
      </x:c>
      <x:c r="R986" s="15" t="n">
        <x:v>0</x:v>
      </x:c>
      <x:c r="S986" s="15" t="n">
        <x:v>0</x:v>
      </x:c>
      <x:c r="T986" s="15" t="n">
        <x:v>0</x:v>
      </x:c>
      <x:c r="U986" s="15" t="n">
        <x:v>0</x:v>
      </x:c>
      <x:c r="V986" s="15" t="n">
        <x:v>0</x:v>
      </x:c>
      <x:c r="W986" s="15" t="n">
        <x:v>0</x:v>
      </x:c>
      <x:c r="X986" s="15" t="n">
        <x:v>0</x:v>
      </x:c>
      <x:c r="Y986" s="15" t="n">
        <x:v>560</x:v>
      </x:c>
      <x:c r="Z986" s="15" t="n">
        <x:v>0.103176</x:v>
      </x:c>
      <x:c r="AA986" s="15" t="n">
        <x:v>0.004096</x:v>
      </x:c>
      <x:c r="AB986" s="15" t="n">
        <x:f>SUM(G986:AA986)</x:f>
        <x:v>560.107272</x:v>
      </x:c>
    </x:row>
    <x:row r="987" ht="36" customHeight="1">
      <x:c r="A987" s="10" t="str">
        <x:v>D-B</x:v>
      </x:c>
      <x:c r="B987" s="10" t="str">
        <x:v>DELIVERY</x:v>
      </x:c>
      <x:c r="C987" s="10" t="str">
        <x:v>DELIVERY:S08-01</x:v>
      </x:c>
      <x:c r="D987" s="10" t="str">
        <x:v>DELIVERY:M4930</x:v>
      </x:c>
      <x:c r="E987" s="15" t="n">
        <x:v>1.905833333</x:v>
      </x:c>
      <x:c r="F987" s="15" t="str">
        <x:v>scored</x:v>
      </x:c>
      <x:c r="G987" s="15" t="n">
        <x:v>0</x:v>
      </x:c>
      <x:c r="H987" s="15" t="n">
        <x:v>0</x:v>
      </x:c>
      <x:c r="I987" s="15" t="n">
        <x:v>0</x:v>
      </x:c>
      <x:c r="J987" s="15" t="n">
        <x:v>0</x:v>
      </x:c>
      <x:c r="K987" s="15" t="n">
        <x:v>0</x:v>
      </x:c>
      <x:c r="L987" s="15" t="n">
        <x:v>0</x:v>
      </x:c>
      <x:c r="M987" s="15" t="n">
        <x:v>0</x:v>
      </x:c>
      <x:c r="N987" s="15" t="n">
        <x:v>0</x:v>
      </x:c>
      <x:c r="O987" s="15" t="n">
        <x:v>0</x:v>
      </x:c>
      <x:c r="P987" s="15" t="n">
        <x:v>0</x:v>
      </x:c>
      <x:c r="Q987" s="15" t="n">
        <x:v>0</x:v>
      </x:c>
      <x:c r="R987" s="15" t="n">
        <x:v>0</x:v>
      </x:c>
      <x:c r="S987" s="15" t="n">
        <x:v>0</x:v>
      </x:c>
      <x:c r="T987" s="15" t="n">
        <x:v>0</x:v>
      </x:c>
      <x:c r="U987" s="15" t="n">
        <x:v>0</x:v>
      </x:c>
      <x:c r="V987" s="15" t="n">
        <x:v>0</x:v>
      </x:c>
      <x:c r="W987" s="15" t="n">
        <x:v>0</x:v>
      </x:c>
      <x:c r="X987" s="15" t="n">
        <x:v>0</x:v>
      </x:c>
      <x:c r="Y987" s="15" t="n">
        <x:v>560</x:v>
      </x:c>
      <x:c r="Z987" s="15" t="n">
        <x:v>0.103176</x:v>
      </x:c>
      <x:c r="AA987" s="15" t="n">
        <x:v>0.004096</x:v>
      </x:c>
      <x:c r="AB987" s="15" t="n">
        <x:f>SUM(G987:AA987)</x:f>
        <x:v>560.107272</x:v>
      </x:c>
    </x:row>
    <x:row r="988" ht="36" customHeight="1">
      <x:c r="A988" s="10" t="str">
        <x:v>D-A</x:v>
      </x:c>
      <x:c r="B988" s="10" t="str">
        <x:v>DELIVERY</x:v>
      </x:c>
      <x:c r="C988" s="10" t="str">
        <x:v>DELIVERY:S08-02</x:v>
      </x:c>
      <x:c r="D988" s="10" t="str">
        <x:v>DELIVERY:M4954</x:v>
      </x:c>
      <x:c r="E988" s="15" t="n">
        <x:v>1.887166667</x:v>
      </x:c>
      <x:c r="F988" s="15" t="str">
        <x:v>scored</x:v>
      </x:c>
      <x:c r="G988" s="15" t="n">
        <x:v>0</x:v>
      </x:c>
      <x:c r="H988" s="15" t="n">
        <x:v>0</x:v>
      </x:c>
      <x:c r="I988" s="15" t="n">
        <x:v>0</x:v>
      </x:c>
      <x:c r="J988" s="15" t="n">
        <x:v>0</x:v>
      </x:c>
      <x:c r="K988" s="15" t="n">
        <x:v>0</x:v>
      </x:c>
      <x:c r="L988" s="15" t="n">
        <x:v>0</x:v>
      </x:c>
      <x:c r="M988" s="15" t="n">
        <x:v>0</x:v>
      </x:c>
      <x:c r="N988" s="15" t="n">
        <x:v>0</x:v>
      </x:c>
      <x:c r="O988" s="15" t="n">
        <x:v>0</x:v>
      </x:c>
      <x:c r="P988" s="15" t="n">
        <x:v>0</x:v>
      </x:c>
      <x:c r="Q988" s="15" t="n">
        <x:v>0</x:v>
      </x:c>
      <x:c r="R988" s="15" t="n">
        <x:v>0</x:v>
      </x:c>
      <x:c r="S988" s="15" t="n">
        <x:v>0</x:v>
      </x:c>
      <x:c r="T988" s="15" t="n">
        <x:v>0</x:v>
      </x:c>
      <x:c r="U988" s="15" t="n">
        <x:v>0</x:v>
      </x:c>
      <x:c r="V988" s="15" t="n">
        <x:v>0</x:v>
      </x:c>
      <x:c r="W988" s="15" t="n">
        <x:v>0</x:v>
      </x:c>
      <x:c r="X988" s="15" t="n">
        <x:v>0</x:v>
      </x:c>
      <x:c r="Y988" s="15" t="n">
        <x:v>560</x:v>
      </x:c>
      <x:c r="Z988" s="15" t="n">
        <x:v>0.103608</x:v>
      </x:c>
      <x:c r="AA988" s="15" t="n">
        <x:v>0.004096</x:v>
      </x:c>
      <x:c r="AB988" s="15" t="n">
        <x:f>SUM(G988:AA988)</x:f>
        <x:v>560.107704</x:v>
      </x:c>
    </x:row>
    <x:row r="989" ht="36" customHeight="1">
      <x:c r="A989" s="10" t="str">
        <x:v>D-B</x:v>
      </x:c>
      <x:c r="B989" s="10" t="str">
        <x:v>DELIVERY</x:v>
      </x:c>
      <x:c r="C989" s="10" t="str">
        <x:v>DELIVERY:S08-02</x:v>
      </x:c>
      <x:c r="D989" s="10" t="str">
        <x:v>DELIVERY:M4975</x:v>
      </x:c>
      <x:c r="E989" s="15" t="n">
        <x:v>1.937166667</x:v>
      </x:c>
      <x:c r="F989" s="15" t="str">
        <x:v>scored</x:v>
      </x:c>
      <x:c r="G989" s="15" t="n">
        <x:v>0</x:v>
      </x:c>
      <x:c r="H989" s="15" t="n">
        <x:v>0</x:v>
      </x:c>
      <x:c r="I989" s="15" t="n">
        <x:v>0</x:v>
      </x:c>
      <x:c r="J989" s="15" t="n">
        <x:v>0</x:v>
      </x:c>
      <x:c r="K989" s="15" t="n">
        <x:v>0</x:v>
      </x:c>
      <x:c r="L989" s="15" t="n">
        <x:v>0</x:v>
      </x:c>
      <x:c r="M989" s="15" t="n">
        <x:v>0</x:v>
      </x:c>
      <x:c r="N989" s="15" t="n">
        <x:v>0</x:v>
      </x:c>
      <x:c r="O989" s="15" t="n">
        <x:v>0</x:v>
      </x:c>
      <x:c r="P989" s="15" t="n">
        <x:v>0</x:v>
      </x:c>
      <x:c r="Q989" s="15" t="n">
        <x:v>0</x:v>
      </x:c>
      <x:c r="R989" s="15" t="n">
        <x:v>0</x:v>
      </x:c>
      <x:c r="S989" s="15" t="n">
        <x:v>0</x:v>
      </x:c>
      <x:c r="T989" s="15" t="n">
        <x:v>0</x:v>
      </x:c>
      <x:c r="U989" s="15" t="n">
        <x:v>0</x:v>
      </x:c>
      <x:c r="V989" s="15" t="n">
        <x:v>0</x:v>
      </x:c>
      <x:c r="W989" s="15" t="n">
        <x:v>0</x:v>
      </x:c>
      <x:c r="X989" s="15" t="n">
        <x:v>0</x:v>
      </x:c>
      <x:c r="Y989" s="15" t="n">
        <x:v>560</x:v>
      </x:c>
      <x:c r="Z989" s="15" t="n">
        <x:v>0.103608</x:v>
      </x:c>
      <x:c r="AA989" s="15" t="n">
        <x:v>0.004096</x:v>
      </x:c>
      <x:c r="AB989" s="15" t="n">
        <x:f>SUM(G989:AA989)</x:f>
        <x:v>560.107704</x:v>
      </x:c>
    </x:row>
    <x:row r="990" ht="36" customHeight="1">
      <x:c r="A990" s="10" t="str">
        <x:v>D-A</x:v>
      </x:c>
      <x:c r="B990" s="10" t="str">
        <x:v>DELIVERY</x:v>
      </x:c>
      <x:c r="C990" s="10" t="str">
        <x:v>DELIVERY:S08-03</x:v>
      </x:c>
      <x:c r="D990" s="10" t="str">
        <x:v>DELIVERY:M4999</x:v>
      </x:c>
      <x:c r="E990" s="15" t="n">
        <x:v>1.8435</x:v>
      </x:c>
      <x:c r="F990" s="15" t="str">
        <x:v>scored</x:v>
      </x:c>
      <x:c r="G990" s="15" t="n">
        <x:v>0</x:v>
      </x:c>
      <x:c r="H990" s="15" t="n">
        <x:v>0</x:v>
      </x:c>
      <x:c r="I990" s="15" t="n">
        <x:v>0</x:v>
      </x:c>
      <x:c r="J990" s="15" t="n">
        <x:v>0</x:v>
      </x:c>
      <x:c r="K990" s="15" t="n">
        <x:v>0</x:v>
      </x:c>
      <x:c r="L990" s="15" t="n">
        <x:v>0</x:v>
      </x:c>
      <x:c r="M990" s="15" t="n">
        <x:v>0</x:v>
      </x:c>
      <x:c r="N990" s="15" t="n">
        <x:v>0</x:v>
      </x:c>
      <x:c r="O990" s="15" t="n">
        <x:v>0</x:v>
      </x:c>
      <x:c r="P990" s="15" t="n">
        <x:v>0</x:v>
      </x:c>
      <x:c r="Q990" s="15" t="n">
        <x:v>0</x:v>
      </x:c>
      <x:c r="R990" s="15" t="n">
        <x:v>0</x:v>
      </x:c>
      <x:c r="S990" s="15" t="n">
        <x:v>0</x:v>
      </x:c>
      <x:c r="T990" s="15" t="n">
        <x:v>0</x:v>
      </x:c>
      <x:c r="U990" s="15" t="n">
        <x:v>0</x:v>
      </x:c>
      <x:c r="V990" s="15" t="n">
        <x:v>0</x:v>
      </x:c>
      <x:c r="W990" s="15" t="n">
        <x:v>0</x:v>
      </x:c>
      <x:c r="X990" s="15" t="n">
        <x:v>0</x:v>
      </x:c>
      <x:c r="Y990" s="15" t="n">
        <x:v>560</x:v>
      </x:c>
      <x:c r="Z990" s="15" t="n">
        <x:v>0.10404</x:v>
      </x:c>
      <x:c r="AA990" s="15" t="n">
        <x:v>0.004096</x:v>
      </x:c>
      <x:c r="AB990" s="15" t="n">
        <x:f>SUM(G990:AA990)</x:f>
        <x:v>560.1081360000001</x:v>
      </x:c>
    </x:row>
    <x:row r="991" ht="36" customHeight="1">
      <x:c r="A991" s="10" t="str">
        <x:v>D-B</x:v>
      </x:c>
      <x:c r="B991" s="10" t="str">
        <x:v>DELIVERY</x:v>
      </x:c>
      <x:c r="C991" s="10" t="str">
        <x:v>DELIVERY:S08-03</x:v>
      </x:c>
      <x:c r="D991" s="10" t="str">
        <x:v>DELIVERY:M5020</x:v>
      </x:c>
      <x:c r="E991" s="15" t="n">
        <x:v>1.8935</x:v>
      </x:c>
      <x:c r="F991" s="15" t="str">
        <x:v>scored</x:v>
      </x:c>
      <x:c r="G991" s="15" t="n">
        <x:v>0</x:v>
      </x:c>
      <x:c r="H991" s="15" t="n">
        <x:v>0</x:v>
      </x:c>
      <x:c r="I991" s="15" t="n">
        <x:v>0</x:v>
      </x:c>
      <x:c r="J991" s="15" t="n">
        <x:v>0</x:v>
      </x:c>
      <x:c r="K991" s="15" t="n">
        <x:v>0</x:v>
      </x:c>
      <x:c r="L991" s="15" t="n">
        <x:v>0</x:v>
      </x:c>
      <x:c r="M991" s="15" t="n">
        <x:v>0</x:v>
      </x:c>
      <x:c r="N991" s="15" t="n">
        <x:v>0</x:v>
      </x:c>
      <x:c r="O991" s="15" t="n">
        <x:v>0</x:v>
      </x:c>
      <x:c r="P991" s="15" t="n">
        <x:v>0</x:v>
      </x:c>
      <x:c r="Q991" s="15" t="n">
        <x:v>0</x:v>
      </x:c>
      <x:c r="R991" s="15" t="n">
        <x:v>0</x:v>
      </x:c>
      <x:c r="S991" s="15" t="n">
        <x:v>0</x:v>
      </x:c>
      <x:c r="T991" s="15" t="n">
        <x:v>0</x:v>
      </x:c>
      <x:c r="U991" s="15" t="n">
        <x:v>0</x:v>
      </x:c>
      <x:c r="V991" s="15" t="n">
        <x:v>0</x:v>
      </x:c>
      <x:c r="W991" s="15" t="n">
        <x:v>0</x:v>
      </x:c>
      <x:c r="X991" s="15" t="n">
        <x:v>0</x:v>
      </x:c>
      <x:c r="Y991" s="15" t="n">
        <x:v>560</x:v>
      </x:c>
      <x:c r="Z991" s="15" t="n">
        <x:v>0.10404</x:v>
      </x:c>
      <x:c r="AA991" s="15" t="n">
        <x:v>0.004096</x:v>
      </x:c>
      <x:c r="AB991" s="15" t="n">
        <x:f>SUM(G991:AA991)</x:f>
        <x:v>560.1081360000001</x:v>
      </x:c>
    </x:row>
    <x:row r="992" ht="36" customHeight="1">
      <x:c r="A992" s="10" t="str">
        <x:v>D-A</x:v>
      </x:c>
      <x:c r="B992" s="10" t="str">
        <x:v>DELIVERY</x:v>
      </x:c>
      <x:c r="C992" s="10" t="str">
        <x:v>DELIVERY:S08-04</x:v>
      </x:c>
      <x:c r="D992" s="10" t="str">
        <x:v>DELIVERY:M5044</x:v>
      </x:c>
      <x:c r="E992" s="15" t="n">
        <x:v>1.874833333</x:v>
      </x:c>
      <x:c r="F992" s="15" t="str">
        <x:v>scored</x:v>
      </x:c>
      <x:c r="G992" s="15" t="n">
        <x:v>0</x:v>
      </x:c>
      <x:c r="H992" s="15" t="n">
        <x:v>0</x:v>
      </x:c>
      <x:c r="I992" s="15" t="n">
        <x:v>0</x:v>
      </x:c>
      <x:c r="J992" s="15" t="n">
        <x:v>0</x:v>
      </x:c>
      <x:c r="K992" s="15" t="n">
        <x:v>0</x:v>
      </x:c>
      <x:c r="L992" s="15" t="n">
        <x:v>0</x:v>
      </x:c>
      <x:c r="M992" s="15" t="n">
        <x:v>0</x:v>
      </x:c>
      <x:c r="N992" s="15" t="n">
        <x:v>0</x:v>
      </x:c>
      <x:c r="O992" s="15" t="n">
        <x:v>0</x:v>
      </x:c>
      <x:c r="P992" s="15" t="n">
        <x:v>0</x:v>
      </x:c>
      <x:c r="Q992" s="15" t="n">
        <x:v>0</x:v>
      </x:c>
      <x:c r="R992" s="15" t="n">
        <x:v>0</x:v>
      </x:c>
      <x:c r="S992" s="15" t="n">
        <x:v>0</x:v>
      </x:c>
      <x:c r="T992" s="15" t="n">
        <x:v>0</x:v>
      </x:c>
      <x:c r="U992" s="15" t="n">
        <x:v>0</x:v>
      </x:c>
      <x:c r="V992" s="15" t="n">
        <x:v>0</x:v>
      </x:c>
      <x:c r="W992" s="15" t="n">
        <x:v>0</x:v>
      </x:c>
      <x:c r="X992" s="15" t="n">
        <x:v>0</x:v>
      </x:c>
      <x:c r="Y992" s="15" t="n">
        <x:v>560</x:v>
      </x:c>
      <x:c r="Z992" s="15" t="n">
        <x:v>0.104472</x:v>
      </x:c>
      <x:c r="AA992" s="15" t="n">
        <x:v>0.004096</x:v>
      </x:c>
      <x:c r="AB992" s="15" t="n">
        <x:f>SUM(G992:AA992)</x:f>
        <x:v>560.108568</x:v>
      </x:c>
    </x:row>
    <x:row r="993" ht="36" customHeight="1">
      <x:c r="A993" s="10" t="str">
        <x:v>D-B</x:v>
      </x:c>
      <x:c r="B993" s="10" t="str">
        <x:v>DELIVERY</x:v>
      </x:c>
      <x:c r="C993" s="10" t="str">
        <x:v>DELIVERY:S08-04</x:v>
      </x:c>
      <x:c r="D993" s="10" t="str">
        <x:v>DELIVERY:M5065</x:v>
      </x:c>
      <x:c r="E993" s="15" t="n">
        <x:v>1.924833333</x:v>
      </x:c>
      <x:c r="F993" s="15" t="str">
        <x:v>scored</x:v>
      </x:c>
      <x:c r="G993" s="15" t="n">
        <x:v>0</x:v>
      </x:c>
      <x:c r="H993" s="15" t="n">
        <x:v>0</x:v>
      </x:c>
      <x:c r="I993" s="15" t="n">
        <x:v>0</x:v>
      </x:c>
      <x:c r="J993" s="15" t="n">
        <x:v>0</x:v>
      </x:c>
      <x:c r="K993" s="15" t="n">
        <x:v>0</x:v>
      </x:c>
      <x:c r="L993" s="15" t="n">
        <x:v>0</x:v>
      </x:c>
      <x:c r="M993" s="15" t="n">
        <x:v>0</x:v>
      </x:c>
      <x:c r="N993" s="15" t="n">
        <x:v>0</x:v>
      </x:c>
      <x:c r="O993" s="15" t="n">
        <x:v>0</x:v>
      </x:c>
      <x:c r="P993" s="15" t="n">
        <x:v>0</x:v>
      </x:c>
      <x:c r="Q993" s="15" t="n">
        <x:v>0</x:v>
      </x:c>
      <x:c r="R993" s="15" t="n">
        <x:v>0</x:v>
      </x:c>
      <x:c r="S993" s="15" t="n">
        <x:v>0</x:v>
      </x:c>
      <x:c r="T993" s="15" t="n">
        <x:v>0</x:v>
      </x:c>
      <x:c r="U993" s="15" t="n">
        <x:v>0</x:v>
      </x:c>
      <x:c r="V993" s="15" t="n">
        <x:v>0</x:v>
      </x:c>
      <x:c r="W993" s="15" t="n">
        <x:v>0</x:v>
      </x:c>
      <x:c r="X993" s="15" t="n">
        <x:v>0</x:v>
      </x:c>
      <x:c r="Y993" s="15" t="n">
        <x:v>560</x:v>
      </x:c>
      <x:c r="Z993" s="15" t="n">
        <x:v>0.104472</x:v>
      </x:c>
      <x:c r="AA993" s="15" t="n">
        <x:v>0.004096</x:v>
      </x:c>
      <x:c r="AB993" s="15" t="n">
        <x:f>SUM(G993:AA993)</x:f>
        <x:v>560.108568</x:v>
      </x:c>
    </x:row>
    <x:row r="994" ht="36" customHeight="1">
      <x:c r="A994" s="10" t="str">
        <x:v>D-A</x:v>
      </x:c>
      <x:c r="B994" s="10" t="str">
        <x:v>DELIVERY</x:v>
      </x:c>
      <x:c r="C994" s="10" t="str">
        <x:v>DELIVERY:S08-05</x:v>
      </x:c>
      <x:c r="D994" s="10" t="str">
        <x:v>DELIVERY:M5089</x:v>
      </x:c>
      <x:c r="E994" s="15" t="n">
        <x:v>1.906166667</x:v>
      </x:c>
      <x:c r="F994" s="15" t="str">
        <x:v>scored</x:v>
      </x:c>
      <x:c r="G994" s="15" t="n">
        <x:v>0</x:v>
      </x:c>
      <x:c r="H994" s="15" t="n">
        <x:v>0</x:v>
      </x:c>
      <x:c r="I994" s="15" t="n">
        <x:v>0</x:v>
      </x:c>
      <x:c r="J994" s="15" t="n">
        <x:v>0</x:v>
      </x:c>
      <x:c r="K994" s="15" t="n">
        <x:v>0</x:v>
      </x:c>
      <x:c r="L994" s="15" t="n">
        <x:v>0</x:v>
      </x:c>
      <x:c r="M994" s="15" t="n">
        <x:v>0</x:v>
      </x:c>
      <x:c r="N994" s="15" t="n">
        <x:v>0</x:v>
      </x:c>
      <x:c r="O994" s="15" t="n">
        <x:v>0</x:v>
      </x:c>
      <x:c r="P994" s="15" t="n">
        <x:v>0</x:v>
      </x:c>
      <x:c r="Q994" s="15" t="n">
        <x:v>0</x:v>
      </x:c>
      <x:c r="R994" s="15" t="n">
        <x:v>0</x:v>
      </x:c>
      <x:c r="S994" s="15" t="n">
        <x:v>0</x:v>
      </x:c>
      <x:c r="T994" s="15" t="n">
        <x:v>0</x:v>
      </x:c>
      <x:c r="U994" s="15" t="n">
        <x:v>0</x:v>
      </x:c>
      <x:c r="V994" s="15" t="n">
        <x:v>0</x:v>
      </x:c>
      <x:c r="W994" s="15" t="n">
        <x:v>0</x:v>
      </x:c>
      <x:c r="X994" s="15" t="n">
        <x:v>0</x:v>
      </x:c>
      <x:c r="Y994" s="15" t="n">
        <x:v>560</x:v>
      </x:c>
      <x:c r="Z994" s="15" t="n">
        <x:v>0.104904</x:v>
      </x:c>
      <x:c r="AA994" s="15" t="n">
        <x:v>0.004096</x:v>
      </x:c>
      <x:c r="AB994" s="15" t="n">
        <x:f>SUM(G994:AA994)</x:f>
        <x:v>560.109</x:v>
      </x:c>
    </x:row>
    <x:row r="995" ht="36" customHeight="1">
      <x:c r="A995" s="10" t="str">
        <x:v>D-B</x:v>
      </x:c>
      <x:c r="B995" s="10" t="str">
        <x:v>DELIVERY</x:v>
      </x:c>
      <x:c r="C995" s="10" t="str">
        <x:v>DELIVERY:S08-05</x:v>
      </x:c>
      <x:c r="D995" s="10" t="str">
        <x:v>DELIVERY:M5110</x:v>
      </x:c>
      <x:c r="E995" s="15" t="n">
        <x:v>1.956166667</x:v>
      </x:c>
      <x:c r="F995" s="15" t="str">
        <x:v>scored</x:v>
      </x:c>
      <x:c r="G995" s="15" t="n">
        <x:v>0</x:v>
      </x:c>
      <x:c r="H995" s="15" t="n">
        <x:v>0</x:v>
      </x:c>
      <x:c r="I995" s="15" t="n">
        <x:v>0</x:v>
      </x:c>
      <x:c r="J995" s="15" t="n">
        <x:v>0</x:v>
      </x:c>
      <x:c r="K995" s="15" t="n">
        <x:v>0</x:v>
      </x:c>
      <x:c r="L995" s="15" t="n">
        <x:v>0</x:v>
      </x:c>
      <x:c r="M995" s="15" t="n">
        <x:v>0</x:v>
      </x:c>
      <x:c r="N995" s="15" t="n">
        <x:v>0</x:v>
      </x:c>
      <x:c r="O995" s="15" t="n">
        <x:v>0</x:v>
      </x:c>
      <x:c r="P995" s="15" t="n">
        <x:v>0</x:v>
      </x:c>
      <x:c r="Q995" s="15" t="n">
        <x:v>0</x:v>
      </x:c>
      <x:c r="R995" s="15" t="n">
        <x:v>0</x:v>
      </x:c>
      <x:c r="S995" s="15" t="n">
        <x:v>0</x:v>
      </x:c>
      <x:c r="T995" s="15" t="n">
        <x:v>0</x:v>
      </x:c>
      <x:c r="U995" s="15" t="n">
        <x:v>0</x:v>
      </x:c>
      <x:c r="V995" s="15" t="n">
        <x:v>0</x:v>
      </x:c>
      <x:c r="W995" s="15" t="n">
        <x:v>0</x:v>
      </x:c>
      <x:c r="X995" s="15" t="n">
        <x:v>0</x:v>
      </x:c>
      <x:c r="Y995" s="15" t="n">
        <x:v>560</x:v>
      </x:c>
      <x:c r="Z995" s="15" t="n">
        <x:v>0.104904</x:v>
      </x:c>
      <x:c r="AA995" s="15" t="n">
        <x:v>0.004096</x:v>
      </x:c>
      <x:c r="AB995" s="15" t="n">
        <x:f>SUM(G995:AA995)</x:f>
        <x:v>560.109</x:v>
      </x:c>
    </x:row>
    <x:row r="996" ht="36" customHeight="1">
      <x:c r="A996" s="10" t="str">
        <x:v>D-A</x:v>
      </x:c>
      <x:c r="B996" s="10" t="str">
        <x:v>DELIVERY</x:v>
      </x:c>
      <x:c r="C996" s="10" t="str">
        <x:v>DELIVERY:S08-06</x:v>
      </x:c>
      <x:c r="D996" s="10" t="str">
        <x:v>DELIVERY:M5134</x:v>
      </x:c>
      <x:c r="E996" s="15" t="n">
        <x:v>1.8625</x:v>
      </x:c>
      <x:c r="F996" s="15" t="str">
        <x:v>scored</x:v>
      </x:c>
      <x:c r="G996" s="15" t="n">
        <x:v>0</x:v>
      </x:c>
      <x:c r="H996" s="15" t="n">
        <x:v>0</x:v>
      </x:c>
      <x:c r="I996" s="15" t="n">
        <x:v>0</x:v>
      </x:c>
      <x:c r="J996" s="15" t="n">
        <x:v>0</x:v>
      </x:c>
      <x:c r="K996" s="15" t="n">
        <x:v>0</x:v>
      </x:c>
      <x:c r="L996" s="15" t="n">
        <x:v>0</x:v>
      </x:c>
      <x:c r="M996" s="15" t="n">
        <x:v>0</x:v>
      </x:c>
      <x:c r="N996" s="15" t="n">
        <x:v>0</x:v>
      </x:c>
      <x:c r="O996" s="15" t="n">
        <x:v>0</x:v>
      </x:c>
      <x:c r="P996" s="15" t="n">
        <x:v>0</x:v>
      </x:c>
      <x:c r="Q996" s="15" t="n">
        <x:v>0</x:v>
      </x:c>
      <x:c r="R996" s="15" t="n">
        <x:v>0</x:v>
      </x:c>
      <x:c r="S996" s="15" t="n">
        <x:v>0</x:v>
      </x:c>
      <x:c r="T996" s="15" t="n">
        <x:v>0</x:v>
      </x:c>
      <x:c r="U996" s="15" t="n">
        <x:v>0</x:v>
      </x:c>
      <x:c r="V996" s="15" t="n">
        <x:v>0</x:v>
      </x:c>
      <x:c r="W996" s="15" t="n">
        <x:v>0</x:v>
      </x:c>
      <x:c r="X996" s="15" t="n">
        <x:v>0</x:v>
      </x:c>
      <x:c r="Y996" s="15" t="n">
        <x:v>560</x:v>
      </x:c>
      <x:c r="Z996" s="15" t="n">
        <x:v>0.105336</x:v>
      </x:c>
      <x:c r="AA996" s="15" t="n">
        <x:v>0.004096</x:v>
      </x:c>
      <x:c r="AB996" s="15" t="n">
        <x:f>SUM(G996:AA996)</x:f>
        <x:v>560.109432</x:v>
      </x:c>
    </x:row>
    <x:row r="997" ht="36" customHeight="1">
      <x:c r="A997" s="10" t="str">
        <x:v>D-B</x:v>
      </x:c>
      <x:c r="B997" s="10" t="str">
        <x:v>DELIVERY</x:v>
      </x:c>
      <x:c r="C997" s="10" t="str">
        <x:v>DELIVERY:S08-06</x:v>
      </x:c>
      <x:c r="D997" s="10" t="str">
        <x:v>DELIVERY:M5155</x:v>
      </x:c>
      <x:c r="E997" s="15" t="n">
        <x:v>1.9125</x:v>
      </x:c>
      <x:c r="F997" s="15" t="str">
        <x:v>scored</x:v>
      </x:c>
      <x:c r="G997" s="15" t="n">
        <x:v>0</x:v>
      </x:c>
      <x:c r="H997" s="15" t="n">
        <x:v>0</x:v>
      </x:c>
      <x:c r="I997" s="15" t="n">
        <x:v>0</x:v>
      </x:c>
      <x:c r="J997" s="15" t="n">
        <x:v>0</x:v>
      </x:c>
      <x:c r="K997" s="15" t="n">
        <x:v>0</x:v>
      </x:c>
      <x:c r="L997" s="15" t="n">
        <x:v>0</x:v>
      </x:c>
      <x:c r="M997" s="15" t="n">
        <x:v>0</x:v>
      </x:c>
      <x:c r="N997" s="15" t="n">
        <x:v>0</x:v>
      </x:c>
      <x:c r="O997" s="15" t="n">
        <x:v>0</x:v>
      </x:c>
      <x:c r="P997" s="15" t="n">
        <x:v>0</x:v>
      </x:c>
      <x:c r="Q997" s="15" t="n">
        <x:v>0</x:v>
      </x:c>
      <x:c r="R997" s="15" t="n">
        <x:v>0</x:v>
      </x:c>
      <x:c r="S997" s="15" t="n">
        <x:v>0</x:v>
      </x:c>
      <x:c r="T997" s="15" t="n">
        <x:v>0</x:v>
      </x:c>
      <x:c r="U997" s="15" t="n">
        <x:v>0</x:v>
      </x:c>
      <x:c r="V997" s="15" t="n">
        <x:v>0</x:v>
      </x:c>
      <x:c r="W997" s="15" t="n">
        <x:v>0</x:v>
      </x:c>
      <x:c r="X997" s="15" t="n">
        <x:v>0</x:v>
      </x:c>
      <x:c r="Y997" s="15" t="n">
        <x:v>560</x:v>
      </x:c>
      <x:c r="Z997" s="15" t="n">
        <x:v>0.105336</x:v>
      </x:c>
      <x:c r="AA997" s="15" t="n">
        <x:v>0.004096</x:v>
      </x:c>
      <x:c r="AB997" s="15" t="n">
        <x:f>SUM(G997:AA997)</x:f>
        <x:v>560.109432</x:v>
      </x:c>
    </x:row>
    <x:row r="998" ht="36" customHeight="1">
      <x:c r="A998" s="10" t="str">
        <x:v>D-A</x:v>
      </x:c>
      <x:c r="B998" s="10" t="str">
        <x:v>DELIVERY</x:v>
      </x:c>
      <x:c r="C998" s="10" t="str">
        <x:v>DELIVERY:S08-07</x:v>
      </x:c>
      <x:c r="D998" s="10" t="str">
        <x:v>DELIVERY:M5179</x:v>
      </x:c>
      <x:c r="E998" s="15" t="n">
        <x:v>1.893833333</x:v>
      </x:c>
      <x:c r="F998" s="15" t="str">
        <x:v>scored</x:v>
      </x:c>
      <x:c r="G998" s="15" t="n">
        <x:v>0</x:v>
      </x:c>
      <x:c r="H998" s="15" t="n">
        <x:v>0</x:v>
      </x:c>
      <x:c r="I998" s="15" t="n">
        <x:v>0</x:v>
      </x:c>
      <x:c r="J998" s="15" t="n">
        <x:v>0</x:v>
      </x:c>
      <x:c r="K998" s="15" t="n">
        <x:v>0</x:v>
      </x:c>
      <x:c r="L998" s="15" t="n">
        <x:v>0</x:v>
      </x:c>
      <x:c r="M998" s="15" t="n">
        <x:v>0</x:v>
      </x:c>
      <x:c r="N998" s="15" t="n">
        <x:v>0</x:v>
      </x:c>
      <x:c r="O998" s="15" t="n">
        <x:v>0</x:v>
      </x:c>
      <x:c r="P998" s="15" t="n">
        <x:v>0</x:v>
      </x:c>
      <x:c r="Q998" s="15" t="n">
        <x:v>0</x:v>
      </x:c>
      <x:c r="R998" s="15" t="n">
        <x:v>0</x:v>
      </x:c>
      <x:c r="S998" s="15" t="n">
        <x:v>0</x:v>
      </x:c>
      <x:c r="T998" s="15" t="n">
        <x:v>0</x:v>
      </x:c>
      <x:c r="U998" s="15" t="n">
        <x:v>0</x:v>
      </x:c>
      <x:c r="V998" s="15" t="n">
        <x:v>0</x:v>
      </x:c>
      <x:c r="W998" s="15" t="n">
        <x:v>0</x:v>
      </x:c>
      <x:c r="X998" s="15" t="n">
        <x:v>0</x:v>
      </x:c>
      <x:c r="Y998" s="15" t="n">
        <x:v>560</x:v>
      </x:c>
      <x:c r="Z998" s="15" t="n">
        <x:v>0.105768</x:v>
      </x:c>
      <x:c r="AA998" s="15" t="n">
        <x:v>0.004096</x:v>
      </x:c>
      <x:c r="AB998" s="15" t="n">
        <x:f>SUM(G998:AA998)</x:f>
        <x:v>560.109864</x:v>
      </x:c>
    </x:row>
    <x:row r="999" ht="36" customHeight="1">
      <x:c r="A999" s="10" t="str">
        <x:v>D-B</x:v>
      </x:c>
      <x:c r="B999" s="10" t="str">
        <x:v>DELIVERY</x:v>
      </x:c>
      <x:c r="C999" s="10" t="str">
        <x:v>DELIVERY:S08-07</x:v>
      </x:c>
      <x:c r="D999" s="10" t="str">
        <x:v>DELIVERY:M5200</x:v>
      </x:c>
      <x:c r="E999" s="15" t="n">
        <x:v>1.943833333</x:v>
      </x:c>
      <x:c r="F999" s="15" t="str">
        <x:v>scored</x:v>
      </x:c>
      <x:c r="G999" s="15" t="n">
        <x:v>0</x:v>
      </x:c>
      <x:c r="H999" s="15" t="n">
        <x:v>0</x:v>
      </x:c>
      <x:c r="I999" s="15" t="n">
        <x:v>0</x:v>
      </x:c>
      <x:c r="J999" s="15" t="n">
        <x:v>0</x:v>
      </x:c>
      <x:c r="K999" s="15" t="n">
        <x:v>0</x:v>
      </x:c>
      <x:c r="L999" s="15" t="n">
        <x:v>0</x:v>
      </x:c>
      <x:c r="M999" s="15" t="n">
        <x:v>0</x:v>
      </x:c>
      <x:c r="N999" s="15" t="n">
        <x:v>0</x:v>
      </x:c>
      <x:c r="O999" s="15" t="n">
        <x:v>0</x:v>
      </x:c>
      <x:c r="P999" s="15" t="n">
        <x:v>0</x:v>
      </x:c>
      <x:c r="Q999" s="15" t="n">
        <x:v>0</x:v>
      </x:c>
      <x:c r="R999" s="15" t="n">
        <x:v>0</x:v>
      </x:c>
      <x:c r="S999" s="15" t="n">
        <x:v>0</x:v>
      </x:c>
      <x:c r="T999" s="15" t="n">
        <x:v>0</x:v>
      </x:c>
      <x:c r="U999" s="15" t="n">
        <x:v>0</x:v>
      </x:c>
      <x:c r="V999" s="15" t="n">
        <x:v>0</x:v>
      </x:c>
      <x:c r="W999" s="15" t="n">
        <x:v>0</x:v>
      </x:c>
      <x:c r="X999" s="15" t="n">
        <x:v>0</x:v>
      </x:c>
      <x:c r="Y999" s="15" t="n">
        <x:v>560</x:v>
      </x:c>
      <x:c r="Z999" s="15" t="n">
        <x:v>0.105768</x:v>
      </x:c>
      <x:c r="AA999" s="15" t="n">
        <x:v>0.004096</x:v>
      </x:c>
      <x:c r="AB999" s="15" t="n">
        <x:f>SUM(G999:AA999)</x:f>
        <x:v>560.109864</x:v>
      </x:c>
    </x:row>
    <x:row r="1000" ht="36" customHeight="1">
      <x:c r="A1000" s="10" t="str">
        <x:v>D-A</x:v>
      </x:c>
      <x:c r="B1000" s="10" t="str">
        <x:v>DELIVERY</x:v>
      </x:c>
      <x:c r="C1000" s="10" t="str">
        <x:v>DELIVERY:S08-08</x:v>
      </x:c>
      <x:c r="D1000" s="10" t="str">
        <x:v>DELIVERY:M5224</x:v>
      </x:c>
      <x:c r="E1000" s="15" t="n">
        <x:v>1.925166667</x:v>
      </x:c>
      <x:c r="F1000" s="15" t="str">
        <x:v>scored</x:v>
      </x:c>
      <x:c r="G1000" s="15" t="n">
        <x:v>0</x:v>
      </x:c>
      <x:c r="H1000" s="15" t="n">
        <x:v>0</x:v>
      </x:c>
      <x:c r="I1000" s="15" t="n">
        <x:v>0</x:v>
      </x:c>
      <x:c r="J1000" s="15" t="n">
        <x:v>0</x:v>
      </x:c>
      <x:c r="K1000" s="15" t="n">
        <x:v>0</x:v>
      </x:c>
      <x:c r="L1000" s="15" t="n">
        <x:v>0</x:v>
      </x:c>
      <x:c r="M1000" s="15" t="n">
        <x:v>0</x:v>
      </x:c>
      <x:c r="N1000" s="15" t="n">
        <x:v>0</x:v>
      </x:c>
      <x:c r="O1000" s="15" t="n">
        <x:v>0</x:v>
      </x:c>
      <x:c r="P1000" s="15" t="n">
        <x:v>0</x:v>
      </x:c>
      <x:c r="Q1000" s="15" t="n">
        <x:v>0</x:v>
      </x:c>
      <x:c r="R1000" s="15" t="n">
        <x:v>0</x:v>
      </x:c>
      <x:c r="S1000" s="15" t="n">
        <x:v>0</x:v>
      </x:c>
      <x:c r="T1000" s="15" t="n">
        <x:v>0</x:v>
      </x:c>
      <x:c r="U1000" s="15" t="n">
        <x:v>0</x:v>
      </x:c>
      <x:c r="V1000" s="15" t="n">
        <x:v>0</x:v>
      </x:c>
      <x:c r="W1000" s="15" t="n">
        <x:v>0</x:v>
      </x:c>
      <x:c r="X1000" s="15" t="n">
        <x:v>0</x:v>
      </x:c>
      <x:c r="Y1000" s="15" t="n">
        <x:v>560</x:v>
      </x:c>
      <x:c r="Z1000" s="15" t="n">
        <x:v>0.1062</x:v>
      </x:c>
      <x:c r="AA1000" s="15" t="n">
        <x:v>0.004096</x:v>
      </x:c>
      <x:c r="AB1000" s="15" t="n">
        <x:f>SUM(G1000:AA1000)</x:f>
        <x:v>560.110296</x:v>
      </x:c>
    </x:row>
    <x:row r="1001" ht="36" customHeight="1">
      <x:c r="A1001" s="10" t="str">
        <x:v>D-B</x:v>
      </x:c>
      <x:c r="B1001" s="10" t="str">
        <x:v>DELIVERY</x:v>
      </x:c>
      <x:c r="C1001" s="10" t="str">
        <x:v>DELIVERY:S08-08</x:v>
      </x:c>
      <x:c r="D1001" s="10" t="str">
        <x:v>DELIVERY:M5245</x:v>
      </x:c>
      <x:c r="E1001" s="15" t="n">
        <x:v>1.975166667</x:v>
      </x:c>
      <x:c r="F1001" s="15" t="str">
        <x:v>scored</x:v>
      </x:c>
      <x:c r="G1001" s="15" t="n">
        <x:v>0</x:v>
      </x:c>
      <x:c r="H1001" s="15" t="n">
        <x:v>0</x:v>
      </x:c>
      <x:c r="I1001" s="15" t="n">
        <x:v>0</x:v>
      </x:c>
      <x:c r="J1001" s="15" t="n">
        <x:v>0</x:v>
      </x:c>
      <x:c r="K1001" s="15" t="n">
        <x:v>0</x:v>
      </x:c>
      <x:c r="L1001" s="15" t="n">
        <x:v>0</x:v>
      </x:c>
      <x:c r="M1001" s="15" t="n">
        <x:v>0</x:v>
      </x:c>
      <x:c r="N1001" s="15" t="n">
        <x:v>0</x:v>
      </x:c>
      <x:c r="O1001" s="15" t="n">
        <x:v>0</x:v>
      </x:c>
      <x:c r="P1001" s="15" t="n">
        <x:v>0</x:v>
      </x:c>
      <x:c r="Q1001" s="15" t="n">
        <x:v>0</x:v>
      </x:c>
      <x:c r="R1001" s="15" t="n">
        <x:v>0</x:v>
      </x:c>
      <x:c r="S1001" s="15" t="n">
        <x:v>0</x:v>
      </x:c>
      <x:c r="T1001" s="15" t="n">
        <x:v>0</x:v>
      </x:c>
      <x:c r="U1001" s="15" t="n">
        <x:v>0</x:v>
      </x:c>
      <x:c r="V1001" s="15" t="n">
        <x:v>0</x:v>
      </x:c>
      <x:c r="W1001" s="15" t="n">
        <x:v>0</x:v>
      </x:c>
      <x:c r="X1001" s="15" t="n">
        <x:v>0</x:v>
      </x:c>
      <x:c r="Y1001" s="15" t="n">
        <x:v>560</x:v>
      </x:c>
      <x:c r="Z1001" s="15" t="n">
        <x:v>0.1062</x:v>
      </x:c>
      <x:c r="AA1001" s="15" t="n">
        <x:v>0.004096</x:v>
      </x:c>
      <x:c r="AB1001" s="15" t="n">
        <x:f>SUM(G1001:AA1001)</x:f>
        <x:v>560.110296</x:v>
      </x:c>
    </x:row>
    <x:row r="1002" ht="36" customHeight="1">
      <x:c r="A1002" s="10" t="str">
        <x:v>D-A</x:v>
      </x:c>
      <x:c r="B1002" s="10" t="str">
        <x:v>DELIVERY</x:v>
      </x:c>
      <x:c r="C1002" s="10" t="str">
        <x:v>DELIVERY:S08-09</x:v>
      </x:c>
      <x:c r="D1002" s="10" t="str">
        <x:v>DELIVERY:M5269</x:v>
      </x:c>
      <x:c r="E1002" s="15" t="n">
        <x:v>1.8815</x:v>
      </x:c>
      <x:c r="F1002" s="15" t="str">
        <x:v>scored</x:v>
      </x:c>
      <x:c r="G1002" s="15" t="n">
        <x:v>0</x:v>
      </x:c>
      <x:c r="H1002" s="15" t="n">
        <x:v>0</x:v>
      </x:c>
      <x:c r="I1002" s="15" t="n">
        <x:v>0</x:v>
      </x:c>
      <x:c r="J1002" s="15" t="n">
        <x:v>0</x:v>
      </x:c>
      <x:c r="K1002" s="15" t="n">
        <x:v>0</x:v>
      </x:c>
      <x:c r="L1002" s="15" t="n">
        <x:v>0</x:v>
      </x:c>
      <x:c r="M1002" s="15" t="n">
        <x:v>0</x:v>
      </x:c>
      <x:c r="N1002" s="15" t="n">
        <x:v>0</x:v>
      </x:c>
      <x:c r="O1002" s="15" t="n">
        <x:v>0</x:v>
      </x:c>
      <x:c r="P1002" s="15" t="n">
        <x:v>0</x:v>
      </x:c>
      <x:c r="Q1002" s="15" t="n">
        <x:v>0</x:v>
      </x:c>
      <x:c r="R1002" s="15" t="n">
        <x:v>0</x:v>
      </x:c>
      <x:c r="S1002" s="15" t="n">
        <x:v>0</x:v>
      </x:c>
      <x:c r="T1002" s="15" t="n">
        <x:v>0</x:v>
      </x:c>
      <x:c r="U1002" s="15" t="n">
        <x:v>0</x:v>
      </x:c>
      <x:c r="V1002" s="15" t="n">
        <x:v>0</x:v>
      </x:c>
      <x:c r="W1002" s="15" t="n">
        <x:v>0</x:v>
      </x:c>
      <x:c r="X1002" s="15" t="n">
        <x:v>0</x:v>
      </x:c>
      <x:c r="Y1002" s="15" t="n">
        <x:v>560</x:v>
      </x:c>
      <x:c r="Z1002" s="15" t="n">
        <x:v>0.106632</x:v>
      </x:c>
      <x:c r="AA1002" s="15" t="n">
        <x:v>0.004096</x:v>
      </x:c>
      <x:c r="AB1002" s="15" t="n">
        <x:f>SUM(G1002:AA1002)</x:f>
        <x:v>560.110728</x:v>
      </x:c>
    </x:row>
    <x:row r="1003" ht="36" customHeight="1">
      <x:c r="A1003" s="10" t="str">
        <x:v>D-B</x:v>
      </x:c>
      <x:c r="B1003" s="10" t="str">
        <x:v>DELIVERY</x:v>
      </x:c>
      <x:c r="C1003" s="10" t="str">
        <x:v>DELIVERY:S08-09</x:v>
      </x:c>
      <x:c r="D1003" s="10" t="str">
        <x:v>DELIVERY:M5290</x:v>
      </x:c>
      <x:c r="E1003" s="15" t="n">
        <x:v>1.9315</x:v>
      </x:c>
      <x:c r="F1003" s="15" t="str">
        <x:v>scored</x:v>
      </x:c>
      <x:c r="G1003" s="15" t="n">
        <x:v>0</x:v>
      </x:c>
      <x:c r="H1003" s="15" t="n">
        <x:v>0</x:v>
      </x:c>
      <x:c r="I1003" s="15" t="n">
        <x:v>0</x:v>
      </x:c>
      <x:c r="J1003" s="15" t="n">
        <x:v>0</x:v>
      </x:c>
      <x:c r="K1003" s="15" t="n">
        <x:v>0</x:v>
      </x:c>
      <x:c r="L1003" s="15" t="n">
        <x:v>0</x:v>
      </x:c>
      <x:c r="M1003" s="15" t="n">
        <x:v>0</x:v>
      </x:c>
      <x:c r="N1003" s="15" t="n">
        <x:v>0</x:v>
      </x:c>
      <x:c r="O1003" s="15" t="n">
        <x:v>0</x:v>
      </x:c>
      <x:c r="P1003" s="15" t="n">
        <x:v>0</x:v>
      </x:c>
      <x:c r="Q1003" s="15" t="n">
        <x:v>0</x:v>
      </x:c>
      <x:c r="R1003" s="15" t="n">
        <x:v>0</x:v>
      </x:c>
      <x:c r="S1003" s="15" t="n">
        <x:v>0</x:v>
      </x:c>
      <x:c r="T1003" s="15" t="n">
        <x:v>0</x:v>
      </x:c>
      <x:c r="U1003" s="15" t="n">
        <x:v>0</x:v>
      </x:c>
      <x:c r="V1003" s="15" t="n">
        <x:v>0</x:v>
      </x:c>
      <x:c r="W1003" s="15" t="n">
        <x:v>0</x:v>
      </x:c>
      <x:c r="X1003" s="15" t="n">
        <x:v>0</x:v>
      </x:c>
      <x:c r="Y1003" s="15" t="n">
        <x:v>560</x:v>
      </x:c>
      <x:c r="Z1003" s="15" t="n">
        <x:v>0.106632</x:v>
      </x:c>
      <x:c r="AA1003" s="15" t="n">
        <x:v>0.004096</x:v>
      </x:c>
      <x:c r="AB1003" s="15" t="n">
        <x:f>SUM(G1003:AA1003)</x:f>
        <x:v>560.110728</x:v>
      </x:c>
    </x:row>
    <x:row r="1004" ht="36" customHeight="1">
      <x:c r="A1004" s="10" t="str">
        <x:v>D-A</x:v>
      </x:c>
      <x:c r="B1004" s="10" t="str">
        <x:v>DELIVERY</x:v>
      </x:c>
      <x:c r="C1004" s="10" t="str">
        <x:v>DELIVERY:S08-10</x:v>
      </x:c>
      <x:c r="D1004" s="10" t="str">
        <x:v>DELIVERY:M5314</x:v>
      </x:c>
      <x:c r="E1004" s="15" t="n">
        <x:v>1.912833333</x:v>
      </x:c>
      <x:c r="F1004" s="15" t="str">
        <x:v>scored</x:v>
      </x:c>
      <x:c r="G1004" s="15" t="n">
        <x:v>0</x:v>
      </x:c>
      <x:c r="H1004" s="15" t="n">
        <x:v>0</x:v>
      </x:c>
      <x:c r="I1004" s="15" t="n">
        <x:v>0</x:v>
      </x:c>
      <x:c r="J1004" s="15" t="n">
        <x:v>0</x:v>
      </x:c>
      <x:c r="K1004" s="15" t="n">
        <x:v>0</x:v>
      </x:c>
      <x:c r="L1004" s="15" t="n">
        <x:v>0</x:v>
      </x:c>
      <x:c r="M1004" s="15" t="n">
        <x:v>0</x:v>
      </x:c>
      <x:c r="N1004" s="15" t="n">
        <x:v>0</x:v>
      </x:c>
      <x:c r="O1004" s="15" t="n">
        <x:v>0</x:v>
      </x:c>
      <x:c r="P1004" s="15" t="n">
        <x:v>0</x:v>
      </x:c>
      <x:c r="Q1004" s="15" t="n">
        <x:v>0</x:v>
      </x:c>
      <x:c r="R1004" s="15" t="n">
        <x:v>0</x:v>
      </x:c>
      <x:c r="S1004" s="15" t="n">
        <x:v>0</x:v>
      </x:c>
      <x:c r="T1004" s="15" t="n">
        <x:v>0</x:v>
      </x:c>
      <x:c r="U1004" s="15" t="n">
        <x:v>0</x:v>
      </x:c>
      <x:c r="V1004" s="15" t="n">
        <x:v>0</x:v>
      </x:c>
      <x:c r="W1004" s="15" t="n">
        <x:v>0</x:v>
      </x:c>
      <x:c r="X1004" s="15" t="n">
        <x:v>0</x:v>
      </x:c>
      <x:c r="Y1004" s="15" t="n">
        <x:v>560</x:v>
      </x:c>
      <x:c r="Z1004" s="15" t="n">
        <x:v>0.107064</x:v>
      </x:c>
      <x:c r="AA1004" s="15" t="n">
        <x:v>0.004096</x:v>
      </x:c>
      <x:c r="AB1004" s="15" t="n">
        <x:f>SUM(G1004:AA1004)</x:f>
        <x:v>560.11116</x:v>
      </x:c>
    </x:row>
    <x:row r="1005" ht="36" customHeight="1">
      <x:c r="A1005" s="10" t="str">
        <x:v>D-B</x:v>
      </x:c>
      <x:c r="B1005" s="10" t="str">
        <x:v>DELIVERY</x:v>
      </x:c>
      <x:c r="C1005" s="10" t="str">
        <x:v>DELIVERY:S08-10</x:v>
      </x:c>
      <x:c r="D1005" s="10" t="str">
        <x:v>DELIVERY:M5335</x:v>
      </x:c>
      <x:c r="E1005" s="15" t="n">
        <x:v>1.962833333</x:v>
      </x:c>
      <x:c r="F1005" s="15" t="str">
        <x:v>scored</x:v>
      </x:c>
      <x:c r="G1005" s="15" t="n">
        <x:v>0</x:v>
      </x:c>
      <x:c r="H1005" s="15" t="n">
        <x:v>0</x:v>
      </x:c>
      <x:c r="I1005" s="15" t="n">
        <x:v>0</x:v>
      </x:c>
      <x:c r="J1005" s="15" t="n">
        <x:v>0</x:v>
      </x:c>
      <x:c r="K1005" s="15" t="n">
        <x:v>0</x:v>
      </x:c>
      <x:c r="L1005" s="15" t="n">
        <x:v>0</x:v>
      </x:c>
      <x:c r="M1005" s="15" t="n">
        <x:v>0</x:v>
      </x:c>
      <x:c r="N1005" s="15" t="n">
        <x:v>0</x:v>
      </x:c>
      <x:c r="O1005" s="15" t="n">
        <x:v>0</x:v>
      </x:c>
      <x:c r="P1005" s="15" t="n">
        <x:v>0</x:v>
      </x:c>
      <x:c r="Q1005" s="15" t="n">
        <x:v>0</x:v>
      </x:c>
      <x:c r="R1005" s="15" t="n">
        <x:v>0</x:v>
      </x:c>
      <x:c r="S1005" s="15" t="n">
        <x:v>0</x:v>
      </x:c>
      <x:c r="T1005" s="15" t="n">
        <x:v>0</x:v>
      </x:c>
      <x:c r="U1005" s="15" t="n">
        <x:v>0</x:v>
      </x:c>
      <x:c r="V1005" s="15" t="n">
        <x:v>0</x:v>
      </x:c>
      <x:c r="W1005" s="15" t="n">
        <x:v>0</x:v>
      </x:c>
      <x:c r="X1005" s="15" t="n">
        <x:v>0</x:v>
      </x:c>
      <x:c r="Y1005" s="15" t="n">
        <x:v>560</x:v>
      </x:c>
      <x:c r="Z1005" s="15" t="n">
        <x:v>0.107064</x:v>
      </x:c>
      <x:c r="AA1005" s="15" t="n">
        <x:v>0.004096</x:v>
      </x:c>
      <x:c r="AB1005" s="15" t="n">
        <x:f>SUM(G1005:AA1005)</x:f>
        <x:v>560.11116</x:v>
      </x:c>
    </x:row>
  </x:sheetData>
  <x:pageMargins left="0.7" right="0.7" top="0.75" bottom="0.75" header="0.3" footer="0.3"/>
  <x:tableParts count="1">
    <x:tablePart xmlns:r="http://schemas.openxmlformats.org/officeDocument/2006/relationships" r:id="Rb58020fc51ba40e0"/>
  </x:tableParts>
</x:worksheet>
</file>

<file path=xl/worksheets/sheet9.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0.5600004196167" hidden="0" customWidth="1"/>
    <x:col min="2" max="2" width="8.329999923706055" hidden="0" customWidth="1"/>
    <x:col min="3" max="3" width="7.78000020980835" hidden="0" customWidth="1"/>
    <x:col min="4" max="4" width="35.560001373291016" hidden="0" customWidth="1"/>
    <x:col min="5" max="5" width="12.220000267028809" hidden="0" customWidth="1"/>
    <x:col min="6" max="6" width="48.88999938964844" hidden="0" customWidth="1"/>
    <x:col min="7" max="7" width="75.55999755859375" hidden="0" customWidth="1"/>
    <x:col min="8" max="8" width="66.66999816894531" hidden="0" customWidth="1"/>
    <x:col min="9" max="9" width="33.33000183105469" hidden="0" customWidth="1"/>
  </x:cols>
  <x:sheetData>
    <x:row r="1">
      <x:c r="A1" s="1"/>
      <x:c r="B1" s="1"/>
      <x:c r="C1" s="1"/>
      <x:c r="D1" s="1"/>
      <x:c r="E1" s="1"/>
      <x:c r="F1" s="1"/>
      <x:c r="G1" s="1"/>
      <x:c r="H1" s="1"/>
      <x:c r="I1" s="1"/>
    </x:row>
    <x:row r="2">
      <x:c r="A2" s="2" t="str">
        <x:v>공통 C01~C06 변경의 예상 운영 모듈</x:v>
      </x:c>
      <x:c r="B2" s="1"/>
      <x:c r="C2" s="1"/>
      <x:c r="D2" s="1"/>
      <x:c r="E2" s="1"/>
      <x:c r="F2" s="1"/>
      <x:c r="G2" s="1"/>
      <x:c r="H2" s="1"/>
      <x:c r="I2" s="1"/>
    </x:row>
    <x:row r="3">
      <x:c r="A3" s="3" t="str">
        <x:v>concept:: 식별자는 설계 예상이다. 실제 Rust diff나 변경 수행 결과가 아니다.</x:v>
      </x:c>
      <x:c r="B3" s="1"/>
      <x:c r="C3" s="1"/>
      <x:c r="D3" s="1"/>
      <x:c r="E3" s="1"/>
      <x:c r="F3" s="1"/>
      <x:c r="G3" s="1"/>
      <x:c r="H3" s="1"/>
      <x:c r="I3" s="1"/>
    </x:row>
    <x:row r="4">
      <x:c r="A4" s="1"/>
      <x:c r="B4" s="1"/>
      <x:c r="C4" s="1"/>
      <x:c r="D4" s="1"/>
      <x:c r="E4" s="1"/>
      <x:c r="F4" s="1"/>
      <x:c r="G4" s="1"/>
      <x:c r="H4" s="1"/>
      <x:c r="I4" s="1"/>
    </x:row>
    <x:row r="5" ht="35" customHeight="1">
      <x:c r="A5" s="8" t="str">
        <x:v>구성</x:v>
      </x:c>
      <x:c r="B5" s="8" t="str">
        <x:v>층</x:v>
      </x:c>
      <x:c r="C5" s="8" t="str">
        <x:v>과제</x:v>
      </x:c>
      <x:c r="D5" s="8" t="str">
        <x:v>변경 요구</x:v>
      </x:c>
      <x:c r="E5" s="8" t="str">
        <x:v>예상 모듈 수</x:v>
      </x:c>
      <x:c r="F5" s="8" t="str">
        <x:v>모듈 목록</x:v>
      </x:c>
      <x:c r="G5" s="8" t="str">
        <x:v>수용 조건</x:v>
      </x:c>
      <x:c r="H5" s="8" t="str">
        <x:v>범위 이유</x:v>
      </x:c>
      <x:c r="I5" s="8" t="str">
        <x:v>근거 종류</x:v>
      </x:c>
    </x:row>
    <x:row r="6" ht="130" customHeight="1">
      <x:c r="A6" s="10" t="str">
        <x:v>T-BASE</x:v>
      </x:c>
      <x:c r="B6" s="10" t="str">
        <x:v>TEXT</x:v>
      </x:c>
      <x:c r="C6" s="10" t="str">
        <x:v>C01</x:v>
      </x:c>
      <x:c r="D6" s="10" t="str">
        <x:v>모델 요청, 응답, 사용량 wire 형식 변경</x:v>
      </x:c>
      <x:c r="E6" s="10" t="n">
        <x:v>1</x:v>
      </x:c>
      <x:c r="F6" s="10" t="str">
        <x:v>concept::model_wire</x:v>
      </x:c>
      <x:c r="G6" s="10" t="str">
        <x:v>같은 의미 요청, 지칭 결과, 취소 상태와 usage bucket을 새 wire 형식으로 송수신하며 내부 의미 계약과 기존 기능을 유지한다.</x:v>
      </x:c>
      <x:c r="H6" s="10" t="str">
        <x:v>모든 의미 호출이 같은 모델 adapter를 사용한다는 가정이다. 직렬 대화 실행과 요청 시 관계 해석은 내부 정규화 결과를 그대로 사용한다.</x:v>
      </x:c>
      <x:c r="I6" s="10" t="str">
        <x:v>SYNTHETIC_DESIGN_CHANGE_REVIEW</x:v>
      </x:c>
    </x:row>
    <x:row r="7" ht="130" customHeight="1">
      <x:c r="A7" s="10" t="str">
        <x:v>T-EXEC</x:v>
      </x:c>
      <x:c r="B7" s="10" t="str">
        <x:v>TEXT</x:v>
      </x:c>
      <x:c r="C7" s="10" t="str">
        <x:v>C01</x:v>
      </x:c>
      <x:c r="D7" s="10" t="str">
        <x:v>모델 요청, 응답, 사용량 wire 형식 변경</x:v>
      </x:c>
      <x:c r="E7" s="10" t="n">
        <x:v>1</x:v>
      </x:c>
      <x:c r="F7" s="10" t="str">
        <x:v>concept::model_wire</x:v>
      </x:c>
      <x:c r="G7" s="10" t="str">
        <x:v>같은 의미 요청, 지칭 결과, 취소 상태와 usage bucket을 새 wire 형식으로 송수신하며 내부 의미 계약과 기존 기능을 유지한다.</x:v>
      </x:c>
      <x:c r="H7" s="10" t="str">
        <x:v>요청별 실행도 공통 adapter를 사용한다. worker 수가 늘었다는 이유로 같은 adapter 변경을 복제해 세지 않는다.</x:v>
      </x:c>
      <x:c r="I7" s="10" t="str">
        <x:v>SYNTHETIC_DESIGN_CHANGE_REVIEW</x:v>
      </x:c>
    </x:row>
    <x:row r="8" ht="130" customHeight="1">
      <x:c r="A8" s="10" t="str">
        <x:v>T-REL</x:v>
      </x:c>
      <x:c r="B8" s="10" t="str">
        <x:v>TEXT</x:v>
      </x:c>
      <x:c r="C8" s="10" t="str">
        <x:v>C01</x:v>
      </x:c>
      <x:c r="D8" s="10" t="str">
        <x:v>모델 요청, 응답, 사용량 wire 형식 변경</x:v>
      </x:c>
      <x:c r="E8" s="10" t="n">
        <x:v>1</x:v>
      </x:c>
      <x:c r="F8" s="10" t="str">
        <x:v>concept::model_wire</x:v>
      </x:c>
      <x:c r="G8" s="10" t="str">
        <x:v>같은 의미 요청, 지칭 결과, 취소 상태와 usage bucket을 새 wire 형식으로 송수신하며 내부 의미 계약과 기존 기능을 유지한다.</x:v>
      </x:c>
      <x:c r="H8" s="10" t="str">
        <x:v>사전 관계 생산도 공통 adapter를 사용한다. 추가 호출 경로의 존재만으로 별도 운영 모듈 변경을 가산하지 않는다.</x:v>
      </x:c>
      <x:c r="I8" s="10" t="str">
        <x:v>SYNTHETIC_DESIGN_CHANGE_REVIEW</x:v>
      </x:c>
    </x:row>
    <x:row r="9" ht="130" customHeight="1">
      <x:c r="A9" s="10" t="str">
        <x:v>T-BASE</x:v>
      </x:c>
      <x:c r="B9" s="10" t="str">
        <x:v>TEXT</x:v>
      </x:c>
      <x:c r="C9" s="10" t="str">
        <x:v>C02</x:v>
      </x:c>
      <x:c r="D9" s="10" t="str">
        <x:v>Agent 요청, 취소, 접수 확인 wire 형식 변경</x:v>
      </x:c>
      <x:c r="E9" s="10" t="n">
        <x:v>1</x:v>
      </x:c>
      <x:c r="F9" s="10" t="str">
        <x:v>concept::agent_wire</x:v>
      </x:c>
      <x:c r="G9" s="10" t="str">
        <x:v>같은 Task와 Agent Execution identity, 작업, 취소 요청 및 실제 접수, 완료, 취소 사실을 보존하고 새 wire 형식을 지원한다.</x:v>
      </x:c>
      <x:c r="H9" s="10" t="str">
        <x:v>후속 인계와 receipt 정규화는 공통 adapter에 모여 있으며 업무 의미와 자료 준비는 변경하지 않는 형식 과제다.</x:v>
      </x:c>
      <x:c r="I9" s="10" t="str">
        <x:v>SYNTHETIC_DESIGN_CHANGE_REVIEW</x:v>
      </x:c>
    </x:row>
    <x:row r="10" ht="130" customHeight="1">
      <x:c r="A10" s="10" t="str">
        <x:v>T-EXEC</x:v>
      </x:c>
      <x:c r="B10" s="10" t="str">
        <x:v>TEXT</x:v>
      </x:c>
      <x:c r="C10" s="10" t="str">
        <x:v>C02</x:v>
      </x:c>
      <x:c r="D10" s="10" t="str">
        <x:v>Agent 요청, 취소, 접수 확인 wire 형식 변경</x:v>
      </x:c>
      <x:c r="E10" s="10" t="n">
        <x:v>1</x:v>
      </x:c>
      <x:c r="F10" s="10" t="str">
        <x:v>concept::agent_wire</x:v>
      </x:c>
      <x:c r="G10" s="10" t="str">
        <x:v>같은 Task와 Agent Execution identity, 작업, 취소 요청 및 실제 접수, 완료, 취소 사실을 보존하고 새 wire 형식을 지원한다.</x:v>
      </x:c>
      <x:c r="H10" s="10" t="str">
        <x:v>요청별 실행은 정규화된 동일 접수 계약을 사용하므로 공통 adapter 한 곳의 변경을 가정한다.</x:v>
      </x:c>
      <x:c r="I10" s="10" t="str">
        <x:v>SYNTHETIC_DESIGN_CHANGE_REVIEW</x:v>
      </x:c>
    </x:row>
    <x:row r="11" ht="130" customHeight="1">
      <x:c r="A11" s="10" t="str">
        <x:v>T-REL</x:v>
      </x:c>
      <x:c r="B11" s="10" t="str">
        <x:v>TEXT</x:v>
      </x:c>
      <x:c r="C11" s="10" t="str">
        <x:v>C02</x:v>
      </x:c>
      <x:c r="D11" s="10" t="str">
        <x:v>Agent 요청, 취소, 접수 확인 wire 형식 변경</x:v>
      </x:c>
      <x:c r="E11" s="10" t="n">
        <x:v>1</x:v>
      </x:c>
      <x:c r="F11" s="10" t="str">
        <x:v>concept::agent_wire</x:v>
      </x:c>
      <x:c r="G11" s="10" t="str">
        <x:v>같은 Task와 Agent Execution identity, 작업, 취소 요청 및 실제 접수, 완료, 취소 사실을 보존하고 새 wire 형식을 지원한다.</x:v>
      </x:c>
      <x:c r="H11" s="10" t="str">
        <x:v>사전 관계는 최초 의미 채택 이전 근거이며 Agent wire를 소유하지 않는다. 인계 adapter의 같은 변경을 적용한다.</x:v>
      </x:c>
      <x:c r="I11" s="10" t="str">
        <x:v>SYNTHETIC_DESIGN_CHANGE_REVIEW</x:v>
      </x:c>
    </x:row>
    <x:row r="12" ht="130" customHeight="1">
      <x:c r="A12" s="10" t="str">
        <x:v>T-BASE</x:v>
      </x:c>
      <x:c r="B12" s="10" t="str">
        <x:v>TEXT</x:v>
      </x:c>
      <x:c r="C12" s="10" t="str">
        <x:v>C03</x:v>
      </x:c>
      <x:c r="D12" s="10" t="str">
        <x:v>화면, 과거 자료의 좌표, 시각, 판본 형식 변경</x:v>
      </x:c>
      <x:c r="E12" s="10" t="n">
        <x:v>1</x:v>
      </x:c>
      <x:c r="F12" s="10" t="str">
        <x:v>concept::source_normalization</x:v>
      </x:c>
      <x:c r="G12" s="10" t="str">
        <x:v>외부 표현이 바뀌어도 같은 source, revision, extent와 화면 좌표, 원본 시각을 내부 정규형으로 복원하고 같은 대상 집합을 가리킨다.</x:v>
      </x:c>
      <x:c r="H12" s="10" t="str">
        <x:v>외부 형식을 source 정규화 계층에서 흡수하며 원본 관계 해석은 내부 계약을 유지한다.</x:v>
      </x:c>
      <x:c r="I12" s="10" t="str">
        <x:v>SYNTHETIC_DESIGN_CHANGE_REVIEW</x:v>
      </x:c>
    </x:row>
    <x:row r="13" ht="130" customHeight="1">
      <x:c r="A13" s="10" t="str">
        <x:v>T-EXEC</x:v>
      </x:c>
      <x:c r="B13" s="10" t="str">
        <x:v>TEXT</x:v>
      </x:c>
      <x:c r="C13" s="10" t="str">
        <x:v>C03</x:v>
      </x:c>
      <x:c r="D13" s="10" t="str">
        <x:v>화면, 과거 자료의 좌표, 시각, 판본 형식 변경</x:v>
      </x:c>
      <x:c r="E13" s="10" t="n">
        <x:v>1</x:v>
      </x:c>
      <x:c r="F13" s="10" t="str">
        <x:v>concept::source_normalization</x:v>
      </x:c>
      <x:c r="G13" s="10" t="str">
        <x:v>외부 표현이 바뀌어도 같은 source, revision, extent와 화면 좌표, 원본 시각을 내부 정규형으로 복원하고 같은 대상 집합을 가리킨다.</x:v>
      </x:c>
      <x:c r="H13" s="10" t="str">
        <x:v>공통 source 정규형을 요청별 실행에 전달하므로 실행 상태 모듈을 별도로 수정하지 않는다고 가정한다.</x:v>
      </x:c>
      <x:c r="I13" s="10" t="str">
        <x:v>SYNTHETIC_DESIGN_CHANGE_REVIEW</x:v>
      </x:c>
    </x:row>
    <x:row r="14" ht="130" customHeight="1">
      <x:c r="A14" s="10" t="str">
        <x:v>T-REL</x:v>
      </x:c>
      <x:c r="B14" s="10" t="str">
        <x:v>TEXT</x:v>
      </x:c>
      <x:c r="C14" s="10" t="str">
        <x:v>C03</x:v>
      </x:c>
      <x:c r="D14" s="10" t="str">
        <x:v>화면, 과거 자료의 좌표, 시각, 판본 형식 변경</x:v>
      </x:c>
      <x:c r="E14" s="10" t="n">
        <x:v>1</x:v>
      </x:c>
      <x:c r="F14" s="10" t="str">
        <x:v>concept::source_normalization</x:v>
      </x:c>
      <x:c r="G14" s="10" t="str">
        <x:v>외부 표현이 바뀌어도 같은 source, revision, extent와 화면 좌표, 원본 시각을 내부 정규형으로 복원하고 같은 대상 집합을 가리킨다.</x:v>
      </x:c>
      <x:c r="H14" s="10" t="str">
        <x:v>관계 원장도 내부 source/revision/extent를 저장한다. 외부 형식 변경만으로 저장 schema나 producer를 변경할 이유를 만들지 않는다.</x:v>
      </x:c>
      <x:c r="I14" s="10" t="str">
        <x:v>SYNTHETIC_DESIGN_CHANGE_REVIEW</x:v>
      </x:c>
    </x:row>
    <x:row r="15" ht="130" customHeight="1">
      <x:c r="A15" s="10" t="str">
        <x:v>T-BASE</x:v>
      </x:c>
      <x:c r="B15" s="10" t="str">
        <x:v>TEXT</x:v>
      </x:c>
      <x:c r="C15" s="10" t="str">
        <x:v>C04</x:v>
      </x:c>
      <x:c r="D15" s="10" t="str">
        <x:v>Agent 답변의 지정 section만 수정하는 기능 추가</x:v>
      </x:c>
      <x:c r="E15" s="10" t="n">
        <x:v>3</x:v>
      </x:c>
      <x:c r="F15" s="10" t="str">
        <x:v>concept::response_sections
concept::delivered_history
concept::speech_queue</x:v>
      </x:c>
      <x:c r="G15" s="10" t="str">
        <x:v>section_id로 지정한 문단과 해당 문단의 대기 음성만 교체한다. 다른 section과 다른 Task를 보존하고 실제 전달 이력 및 후속 조회가 새 판본을 참조한다. 이미 전달된 내용의 기록은 소급 삭제하지 않는다.</x:v>
      </x:c>
      <x:c r="H15" s="10" t="str">
        <x:v>전체 응답 교체에서 section patch로 확장한다. 부분 표시 상태, 실제 전달 판본과 대기 음성의 교체 단위가 각각 바뀐다고 가정한다.</x:v>
      </x:c>
      <x:c r="I15" s="10" t="str">
        <x:v>SYNTHETIC_DESIGN_CHANGE_REVIEW</x:v>
      </x:c>
    </x:row>
    <x:row r="16" ht="130" customHeight="1">
      <x:c r="A16" s="10" t="str">
        <x:v>T-EXEC</x:v>
      </x:c>
      <x:c r="B16" s="10" t="str">
        <x:v>TEXT</x:v>
      </x:c>
      <x:c r="C16" s="10" t="str">
        <x:v>C04</x:v>
      </x:c>
      <x:c r="D16" s="10" t="str">
        <x:v>Agent 답변의 지정 section만 수정하는 기능 추가</x:v>
      </x:c>
      <x:c r="E16" s="10" t="n">
        <x:v>3</x:v>
      </x:c>
      <x:c r="F16" s="10" t="str">
        <x:v>concept::response_sections
concept::delivered_history
concept::speech_queue</x:v>
      </x:c>
      <x:c r="G16" s="10" t="str">
        <x:v>section_id로 지정한 문단과 해당 문단의 대기 음성만 교체한다. 다른 section과 다른 Task를 보존하고 실제 전달 이력 및 후속 조회가 새 판본을 참조한다. 이미 전달된 내용의 기록은 소급 삭제하지 않는다.</x:v>
      </x:c>
      <x:c r="H16" s="10" t="str">
        <x:v>요청별 실행은 동일 공통 결과 게시 계약을 호출한다. 실행 분리를 이유로 section 처리 규칙을 worker별로 복제하지 않는다.</x:v>
      </x:c>
      <x:c r="I16" s="10" t="str">
        <x:v>SYNTHETIC_DESIGN_CHANGE_REVIEW</x:v>
      </x:c>
    </x:row>
    <x:row r="17" ht="130" customHeight="1">
      <x:c r="A17" s="10" t="str">
        <x:v>T-REL</x:v>
      </x:c>
      <x:c r="B17" s="10" t="str">
        <x:v>TEXT</x:v>
      </x:c>
      <x:c r="C17" s="10" t="str">
        <x:v>C04</x:v>
      </x:c>
      <x:c r="D17" s="10" t="str">
        <x:v>Agent 답변의 지정 section만 수정하는 기능 추가</x:v>
      </x:c>
      <x:c r="E17" s="10" t="n">
        <x:v>3</x:v>
      </x:c>
      <x:c r="F17" s="10" t="str">
        <x:v>concept::response_sections
concept::delivered_history
concept::speech_queue</x:v>
      </x:c>
      <x:c r="G17" s="10" t="str">
        <x:v>section_id로 지정한 문단과 해당 문단의 대기 음성만 교체한다. 다른 section과 다른 Task를 보존하고 실제 전달 이력 및 후속 조회가 새 판본을 참조한다. 이미 전달된 내용의 기록은 소급 삭제하지 않는다.</x:v>
      </x:c>
      <x:c r="H17" s="10" t="str">
        <x:v>같은 세 공통 모듈을 바꾼다. 수정으로 생긴 source revision은 기존 관계 dirty/원본 보완 경로가 처리하므로 관계 모듈 변경을 자동 가산하지 않는다.</x:v>
      </x:c>
      <x:c r="I17" s="10" t="str">
        <x:v>SYNTHETIC_DESIGN_CHANGE_REVIEW</x:v>
      </x:c>
    </x:row>
    <x:row r="18" ht="130" customHeight="1">
      <x:c r="A18" s="10" t="str">
        <x:v>T-BASE</x:v>
      </x:c>
      <x:c r="B18" s="10" t="str">
        <x:v>TEXT</x:v>
      </x:c>
      <x:c r="C18" s="10" t="str">
        <x:v>C05</x:v>
      </x:c>
      <x:c r="D18" s="10" t="str">
        <x:v>실제 전달한 설명의 원본 위치와 판본 표시 추가</x:v>
      </x:c>
      <x:c r="E18" s="10" t="n">
        <x:v>2</x:v>
      </x:c>
      <x:c r="F18" s="10" t="str">
        <x:v>concept::delivered_history
concept::response_sections</x:v>
      </x:c>
      <x:c r="G18" s="10" t="str">
        <x:v>실제로 전달한 설명에 source_id/revision/extent 목록을 표시한다. 생성됐지만 전달하지 않은 자료를 전달 이력으로 만들지 않으며, 과거 판본과 최신 판본 및 관계 해석의 원본 근거를 구별한다.</x:v>
      </x:c>
      <x:c r="H18" s="10" t="str">
        <x:v>이미 보존한 source span을 실제 전달 기록의 외부 조회 결과와 UI 설명에 연결하는 변경이다. 원본 접근 모듈은 바꾸지 않는다고 가정한다.</x:v>
      </x:c>
      <x:c r="I18" s="10" t="str">
        <x:v>SYNTHETIC_DESIGN_CHANGE_REVIEW</x:v>
      </x:c>
    </x:row>
    <x:row r="19" ht="130" customHeight="1">
      <x:c r="A19" s="10" t="str">
        <x:v>T-EXEC</x:v>
      </x:c>
      <x:c r="B19" s="10" t="str">
        <x:v>TEXT</x:v>
      </x:c>
      <x:c r="C19" s="10" t="str">
        <x:v>C05</x:v>
      </x:c>
      <x:c r="D19" s="10" t="str">
        <x:v>실제 전달한 설명의 원본 위치와 판본 표시 추가</x:v>
      </x:c>
      <x:c r="E19" s="10" t="n">
        <x:v>2</x:v>
      </x:c>
      <x:c r="F19" s="10" t="str">
        <x:v>concept::delivered_history
concept::response_sections</x:v>
      </x:c>
      <x:c r="G19" s="10" t="str">
        <x:v>실제로 전달한 설명에 source_id/revision/extent 목록을 표시한다. 생성됐지만 전달하지 않은 자료를 전달 이력으로 만들지 않으며, 과거 판본과 최신 판본 및 관계 해석의 원본 근거를 구별한다.</x:v>
      </x:c>
      <x:c r="H19" s="10" t="str">
        <x:v>모든 요청별 실행의 실제 게시 결과가 같은 전달 기록을 사용하므로 BASE와 같은 두 모듈이다.</x:v>
      </x:c>
      <x:c r="I19" s="10" t="str">
        <x:v>SYNTHETIC_DESIGN_CHANGE_REVIEW</x:v>
      </x:c>
    </x:row>
    <x:row r="20" ht="130" customHeight="1">
      <x:c r="A20" s="10" t="str">
        <x:v>T-REL</x:v>
      </x:c>
      <x:c r="B20" s="10" t="str">
        <x:v>TEXT</x:v>
      </x:c>
      <x:c r="C20" s="10" t="str">
        <x:v>C05</x:v>
      </x:c>
      <x:c r="D20" s="10" t="str">
        <x:v>실제 전달한 설명의 원본 위치와 판본 표시 추가</x:v>
      </x:c>
      <x:c r="E20" s="10" t="n">
        <x:v>2</x:v>
      </x:c>
      <x:c r="F20" s="10" t="str">
        <x:v>concept::delivered_history
concept::response_sections</x:v>
      </x:c>
      <x:c r="G20" s="10" t="str">
        <x:v>실제로 전달한 설명에 source_id/revision/extent 목록을 표시한다. 생성됐지만 전달하지 않은 자료를 전달 이력으로 만들지 않으며, 과거 판본과 최신 판본 및 관계 해석의 원본 근거를 구별한다.</x:v>
      </x:c>
      <x:c r="H20" s="10" t="str">
        <x:v>기본 관계 저장 계약이 이미 원본 provenance를 보존하고 공통 출력 계약에 전달한다는 가정이다. 기존 자료의 재사용을 인정하며 생산자 변경을 추가하지 않는다.</x:v>
      </x:c>
      <x:c r="I20" s="10" t="str">
        <x:v>SYNTHETIC_DESIGN_CHANGE_REVIEW</x:v>
      </x:c>
    </x:row>
    <x:row r="21" ht="130" customHeight="1">
      <x:c r="A21" s="10" t="str">
        <x:v>T-BASE</x:v>
      </x:c>
      <x:c r="B21" s="10" t="str">
        <x:v>TEXT</x:v>
      </x:c>
      <x:c r="C21" s="10" t="str">
        <x:v>C06</x:v>
      </x:c>
      <x:c r="D21" s="10" t="str">
        <x:v>문서 전체 철회에서 지정 구간의 사용 허용 철회로 확장</x:v>
      </x:c>
      <x:c r="E21" s="10" t="n">
        <x:v>3</x:v>
      </x:c>
      <x:c r="F21" s="10" t="str">
        <x:v>concept::permission_scope
concept::evidence_access
concept::publication_guard</x:v>
      </x:c>
      <x:c r="G21" s="10" t="str">
        <x:v>source_id와 extent로 철회 범위를 지정한다. 철회 범위가 신규 조회, 모델 입력, 대기 응답, 새 인계에 쓰이지 않도록 하며 다른 허용 구간은 유지한다. 파생 관계도 철회된 근거에 의존하면 새로 사용하지 않는다.</x:v>
      </x:c>
      <x:c r="H21" s="10" t="str">
        <x:v>권한 원장의 범위 표현, 실제 읽기/모델 전달의 범위 필터와 대기 출력의 현재 권한 재검사를 구간 단위로 확장한다.</x:v>
      </x:c>
      <x:c r="I21" s="10" t="str">
        <x:v>SYNTHETIC_DESIGN_CHANGE_REVIEW</x:v>
      </x:c>
    </x:row>
    <x:row r="22" ht="130" customHeight="1">
      <x:c r="A22" s="10" t="str">
        <x:v>T-EXEC</x:v>
      </x:c>
      <x:c r="B22" s="10" t="str">
        <x:v>TEXT</x:v>
      </x:c>
      <x:c r="C22" s="10" t="str">
        <x:v>C06</x:v>
      </x:c>
      <x:c r="D22" s="10" t="str">
        <x:v>문서 전체 철회에서 지정 구간의 사용 허용 철회로 확장</x:v>
      </x:c>
      <x:c r="E22" s="10" t="n">
        <x:v>3</x:v>
      </x:c>
      <x:c r="F22" s="10" t="str">
        <x:v>concept::permission_scope
concept::evidence_access
concept::publication_guard</x:v>
      </x:c>
      <x:c r="G22" s="10" t="str">
        <x:v>source_id와 extent로 철회 범위를 지정한다. 철회 범위가 신규 조회, 모델 입력, 대기 응답, 새 인계에 쓰이지 않도록 하며 다른 허용 구간은 유지한다. 파생 관계도 철회된 근거에 의존하면 새로 사용하지 않는다.</x:v>
      </x:c>
      <x:c r="H22" s="10" t="str">
        <x:v>독립 실행도 같은 권한과 게시 검사를 사용한다. worker별로 권한 규칙을 복제하지 않으므로 BASE와 같은 변경 수다.</x:v>
      </x:c>
      <x:c r="I22" s="10" t="str">
        <x:v>SYNTHETIC_DESIGN_CHANGE_REVIEW</x:v>
      </x:c>
    </x:row>
    <x:row r="23" ht="130" customHeight="1">
      <x:c r="A23" s="10" t="str">
        <x:v>T-REL</x:v>
      </x:c>
      <x:c r="B23" s="10" t="str">
        <x:v>TEXT</x:v>
      </x:c>
      <x:c r="C23" s="10" t="str">
        <x:v>C06</x:v>
      </x:c>
      <x:c r="D23" s="10" t="str">
        <x:v>문서 전체 철회에서 지정 구간의 사용 허용 철회로 확장</x:v>
      </x:c>
      <x:c r="E23" s="10" t="n">
        <x:v>4</x:v>
      </x:c>
      <x:c r="F23" s="10" t="str">
        <x:v>concept::permission_scope
concept::evidence_access
concept::publication_guard
concept::relation_dependencies</x:v>
      </x:c>
      <x:c r="G23" s="10" t="str">
        <x:v>source_id와 extent로 철회 범위를 지정한다. 철회 범위가 신규 조회, 모델 입력, 대기 응답, 새 인계에 쓰이지 않도록 하며 다른 허용 구간은 유지한다. 파생 관계도 철회된 근거에 의존하면 새로 사용하지 않는다.</x:v>
      </x:c>
      <x:c r="H23" s="10" t="str">
        <x:v>세 공통 변경에 더해 기존 문서 단위 파생 관계 무효화를 extent 교집합 기반으로 확장한다고 가정한다. 의존 span은 이미 저장돼 있으며 새 의미 모델이나 별도 권한 정책을 만들지 않는다. 관계 무효화가 공통 범위 판정기를 그대로 사용할 수 있으면 이 추가 변경은 없어질 수 있다.</x:v>
      </x:c>
      <x:c r="I23" s="10" t="str">
        <x:v>SYNTHETIC_DESIGN_CHANGE_REVIEW</x:v>
      </x:c>
    </x:row>
    <x:row r="24" ht="130" customHeight="1">
      <x:c r="A24" s="10" t="str">
        <x:v>V-A</x:v>
      </x:c>
      <x:c r="B24" s="10" t="str">
        <x:v>VOICE</x:v>
      </x:c>
      <x:c r="C24" s="10" t="str">
        <x:v>C01</x:v>
      </x:c>
      <x:c r="D24" s="10" t="str">
        <x:v>모델 요청, 응답, 사용량 wire 형식 변경</x:v>
      </x:c>
      <x:c r="E24" s="10" t="n">
        <x:v>1</x:v>
      </x:c>
      <x:c r="F24" s="10" t="str">
        <x:v>concept::model_wire</x:v>
      </x:c>
      <x:c r="G24" s="10" t="str">
        <x:v>같은 의미 요청, 지칭 결과, 취소 상태와 usage bucket을 새 wire 형식으로 송수신하며 내부 의미 계약과 기존 기능을 유지한다.</x:v>
      </x:c>
      <x:c r="H24" s="10" t="str">
        <x:v>same normalized contract owner</x:v>
      </x:c>
      <x:c r="I24" s="10" t="str">
        <x:v>SYNTHETIC_DESIGN_CHANGE_REVIEW</x:v>
      </x:c>
    </x:row>
    <x:row r="25" ht="130" customHeight="1">
      <x:c r="A25" s="10" t="str">
        <x:v>V-A</x:v>
      </x:c>
      <x:c r="B25" s="10" t="str">
        <x:v>VOICE</x:v>
      </x:c>
      <x:c r="C25" s="10" t="str">
        <x:v>C02</x:v>
      </x:c>
      <x:c r="D25" s="10" t="str">
        <x:v>Agent 요청, 취소, 접수 확인 wire 형식 변경</x:v>
      </x:c>
      <x:c r="E25" s="10" t="n">
        <x:v>1</x:v>
      </x:c>
      <x:c r="F25" s="10" t="str">
        <x:v>concept::agent_wire</x:v>
      </x:c>
      <x:c r="G25" s="10" t="str">
        <x:v>같은 Task와 Agent Execution identity, 작업, 취소 요청 및 실제 접수, 완료, 취소 사실을 보존하고 새 wire 형식을 지원한다.</x:v>
      </x:c>
      <x:c r="H25" s="10" t="str">
        <x:v>same normalized contract owner</x:v>
      </x:c>
      <x:c r="I25" s="10" t="str">
        <x:v>SYNTHETIC_DESIGN_CHANGE_REVIEW</x:v>
      </x:c>
    </x:row>
    <x:row r="26" ht="130" customHeight="1">
      <x:c r="A26" s="10" t="str">
        <x:v>V-A</x:v>
      </x:c>
      <x:c r="B26" s="10" t="str">
        <x:v>VOICE</x:v>
      </x:c>
      <x:c r="C26" s="10" t="str">
        <x:v>C03</x:v>
      </x:c>
      <x:c r="D26" s="10" t="str">
        <x:v>화면, 과거 자료의 좌표, 시각, 판본 형식 변경</x:v>
      </x:c>
      <x:c r="E26" s="10" t="n">
        <x:v>1</x:v>
      </x:c>
      <x:c r="F26" s="10" t="str">
        <x:v>concept::source_normalization</x:v>
      </x:c>
      <x:c r="G26" s="10" t="str">
        <x:v>외부 표현이 바뀌어도 같은 source, revision, extent와 화면 좌표, 원본 시각을 내부 정규형으로 복원하고 같은 대상 집합을 가리킨다.</x:v>
      </x:c>
      <x:c r="H26" s="10" t="str">
        <x:v>same normalized contract owner</x:v>
      </x:c>
      <x:c r="I26" s="10" t="str">
        <x:v>SYNTHETIC_DESIGN_CHANGE_REVIEW</x:v>
      </x:c>
    </x:row>
    <x:row r="27" ht="130" customHeight="1">
      <x:c r="A27" s="10" t="str">
        <x:v>V-A</x:v>
      </x:c>
      <x:c r="B27" s="10" t="str">
        <x:v>VOICE</x:v>
      </x:c>
      <x:c r="C27" s="10" t="str">
        <x:v>C04</x:v>
      </x:c>
      <x:c r="D27" s="10" t="str">
        <x:v>Agent 답변의 지정 section만 수정하는 기능 추가</x:v>
      </x:c>
      <x:c r="E27" s="10" t="n">
        <x:v>3</x:v>
      </x:c>
      <x:c r="F27" s="10" t="str">
        <x:v>concept::response_sections
concept::delivered_history
concept::speech_queue</x:v>
      </x:c>
      <x:c r="G27" s="10" t="str">
        <x:v>section_id로 지정한 문단과 해당 문단의 대기 음성만 교체한다. 다른 section과 다른 Task를 보존하고 실제 전달 이력 및 후속 조회가 새 판본을 참조한다. 이미 전달된 내용의 기록은 소급 삭제하지 않는다.</x:v>
      </x:c>
      <x:c r="H27" s="10" t="str">
        <x:v>same normalized contract owner</x:v>
      </x:c>
      <x:c r="I27" s="10" t="str">
        <x:v>SYNTHETIC_DESIGN_CHANGE_REVIEW</x:v>
      </x:c>
    </x:row>
    <x:row r="28" ht="130" customHeight="1">
      <x:c r="A28" s="10" t="str">
        <x:v>V-A</x:v>
      </x:c>
      <x:c r="B28" s="10" t="str">
        <x:v>VOICE</x:v>
      </x:c>
      <x:c r="C28" s="10" t="str">
        <x:v>C05</x:v>
      </x:c>
      <x:c r="D28" s="10" t="str">
        <x:v>실제 전달한 설명의 원본 위치와 판본 표시 추가</x:v>
      </x:c>
      <x:c r="E28" s="10" t="n">
        <x:v>2</x:v>
      </x:c>
      <x:c r="F28" s="10" t="str">
        <x:v>concept::delivered_history
concept::response_sections</x:v>
      </x:c>
      <x:c r="G28" s="10" t="str">
        <x:v>실제로 전달한 설명에 source_id/revision/extent 목록을 표시한다. 생성됐지만 전달하지 않은 자료를 전달 이력으로 만들지 않으며, 과거 판본과 최신 판본 및 관계 해석의 원본 근거를 구별한다.</x:v>
      </x:c>
      <x:c r="H28" s="10" t="str">
        <x:v>same normalized contract owner</x:v>
      </x:c>
      <x:c r="I28" s="10" t="str">
        <x:v>SYNTHETIC_DESIGN_CHANGE_REVIEW</x:v>
      </x:c>
    </x:row>
    <x:row r="29" ht="130" customHeight="1">
      <x:c r="A29" s="10" t="str">
        <x:v>V-A</x:v>
      </x:c>
      <x:c r="B29" s="10" t="str">
        <x:v>VOICE</x:v>
      </x:c>
      <x:c r="C29" s="10" t="str">
        <x:v>C06</x:v>
      </x:c>
      <x:c r="D29" s="10" t="str">
        <x:v>문서 전체 철회에서 지정 구간의 사용 허용 철회로 확장</x:v>
      </x:c>
      <x:c r="E29" s="10" t="n">
        <x:v>3</x:v>
      </x:c>
      <x:c r="F29" s="10" t="str">
        <x:v>concept::permission_scope
concept::evidence_access
concept::publication_guard</x:v>
      </x:c>
      <x:c r="G29" s="10" t="str">
        <x:v>source_id와 extent로 철회 범위를 지정한다. 철회 범위가 신규 조회, 모델 입력, 대기 응답, 새 인계에 쓰이지 않도록 하며 다른 허용 구간은 유지한다. 파생 관계도 철회된 근거에 의존하면 새로 사용하지 않는다.</x:v>
      </x:c>
      <x:c r="H29" s="10" t="str">
        <x:v>C01~C06 same acceptance; B C06 additionally changes extent-based candidate invalidation</x:v>
      </x:c>
      <x:c r="I29" s="10" t="str">
        <x:v>SYNTHETIC_DESIGN_CHANGE_REVIEW</x:v>
      </x:c>
    </x:row>
    <x:row r="30" ht="130" customHeight="1">
      <x:c r="A30" s="10" t="str">
        <x:v>V-R1</x:v>
      </x:c>
      <x:c r="B30" s="10" t="str">
        <x:v>VOICE</x:v>
      </x:c>
      <x:c r="C30" s="10" t="str">
        <x:v>C01</x:v>
      </x:c>
      <x:c r="D30" s="10" t="str">
        <x:v>모델 요청, 응답, 사용량 wire 형식 변경</x:v>
      </x:c>
      <x:c r="E30" s="10" t="n">
        <x:v>1</x:v>
      </x:c>
      <x:c r="F30" s="10" t="str">
        <x:v>concept::model_wire</x:v>
      </x:c>
      <x:c r="G30" s="10" t="str">
        <x:v>같은 의미 요청, 지칭 결과, 취소 상태와 usage bucket을 새 wire 형식으로 송수신하며 내부 의미 계약과 기존 기능을 유지한다.</x:v>
      </x:c>
      <x:c r="H30" s="10" t="str">
        <x:v>same normalized contract owner</x:v>
      </x:c>
      <x:c r="I30" s="10" t="str">
        <x:v>SYNTHETIC_DESIGN_CHANGE_REVIEW</x:v>
      </x:c>
    </x:row>
    <x:row r="31" ht="130" customHeight="1">
      <x:c r="A31" s="10" t="str">
        <x:v>V-R1</x:v>
      </x:c>
      <x:c r="B31" s="10" t="str">
        <x:v>VOICE</x:v>
      </x:c>
      <x:c r="C31" s="10" t="str">
        <x:v>C02</x:v>
      </x:c>
      <x:c r="D31" s="10" t="str">
        <x:v>Agent 요청, 취소, 접수 확인 wire 형식 변경</x:v>
      </x:c>
      <x:c r="E31" s="10" t="n">
        <x:v>1</x:v>
      </x:c>
      <x:c r="F31" s="10" t="str">
        <x:v>concept::agent_wire</x:v>
      </x:c>
      <x:c r="G31" s="10" t="str">
        <x:v>같은 Task와 Agent Execution identity, 작업, 취소 요청 및 실제 접수, 완료, 취소 사실을 보존하고 새 wire 형식을 지원한다.</x:v>
      </x:c>
      <x:c r="H31" s="10" t="str">
        <x:v>same normalized contract owner</x:v>
      </x:c>
      <x:c r="I31" s="10" t="str">
        <x:v>SYNTHETIC_DESIGN_CHANGE_REVIEW</x:v>
      </x:c>
    </x:row>
    <x:row r="32" ht="130" customHeight="1">
      <x:c r="A32" s="10" t="str">
        <x:v>V-R1</x:v>
      </x:c>
      <x:c r="B32" s="10" t="str">
        <x:v>VOICE</x:v>
      </x:c>
      <x:c r="C32" s="10" t="str">
        <x:v>C03</x:v>
      </x:c>
      <x:c r="D32" s="10" t="str">
        <x:v>화면, 과거 자료의 좌표, 시각, 판본 형식 변경</x:v>
      </x:c>
      <x:c r="E32" s="10" t="n">
        <x:v>1</x:v>
      </x:c>
      <x:c r="F32" s="10" t="str">
        <x:v>concept::source_normalization</x:v>
      </x:c>
      <x:c r="G32" s="10" t="str">
        <x:v>외부 표현이 바뀌어도 같은 source, revision, extent와 화면 좌표, 원본 시각을 내부 정규형으로 복원하고 같은 대상 집합을 가리킨다.</x:v>
      </x:c>
      <x:c r="H32" s="10" t="str">
        <x:v>same normalized contract owner</x:v>
      </x:c>
      <x:c r="I32" s="10" t="str">
        <x:v>SYNTHETIC_DESIGN_CHANGE_REVIEW</x:v>
      </x:c>
    </x:row>
    <x:row r="33" ht="130" customHeight="1">
      <x:c r="A33" s="10" t="str">
        <x:v>V-R1</x:v>
      </x:c>
      <x:c r="B33" s="10" t="str">
        <x:v>VOICE</x:v>
      </x:c>
      <x:c r="C33" s="10" t="str">
        <x:v>C04</x:v>
      </x:c>
      <x:c r="D33" s="10" t="str">
        <x:v>Agent 답변의 지정 section만 수정하는 기능 추가</x:v>
      </x:c>
      <x:c r="E33" s="10" t="n">
        <x:v>3</x:v>
      </x:c>
      <x:c r="F33" s="10" t="str">
        <x:v>concept::response_sections
concept::delivered_history
concept::speech_queue</x:v>
      </x:c>
      <x:c r="G33" s="10" t="str">
        <x:v>section_id로 지정한 문단과 해당 문단의 대기 음성만 교체한다. 다른 section과 다른 Task를 보존하고 실제 전달 이력 및 후속 조회가 새 판본을 참조한다. 이미 전달된 내용의 기록은 소급 삭제하지 않는다.</x:v>
      </x:c>
      <x:c r="H33" s="10" t="str">
        <x:v>same normalized contract owner</x:v>
      </x:c>
      <x:c r="I33" s="10" t="str">
        <x:v>SYNTHETIC_DESIGN_CHANGE_REVIEW</x:v>
      </x:c>
    </x:row>
    <x:row r="34" ht="130" customHeight="1">
      <x:c r="A34" s="10" t="str">
        <x:v>V-R1</x:v>
      </x:c>
      <x:c r="B34" s="10" t="str">
        <x:v>VOICE</x:v>
      </x:c>
      <x:c r="C34" s="10" t="str">
        <x:v>C05</x:v>
      </x:c>
      <x:c r="D34" s="10" t="str">
        <x:v>실제 전달한 설명의 원본 위치와 판본 표시 추가</x:v>
      </x:c>
      <x:c r="E34" s="10" t="n">
        <x:v>2</x:v>
      </x:c>
      <x:c r="F34" s="10" t="str">
        <x:v>concept::delivered_history
concept::response_sections</x:v>
      </x:c>
      <x:c r="G34" s="10" t="str">
        <x:v>실제로 전달한 설명에 source_id/revision/extent 목록을 표시한다. 생성됐지만 전달하지 않은 자료를 전달 이력으로 만들지 않으며, 과거 판본과 최신 판본 및 관계 해석의 원본 근거를 구별한다.</x:v>
      </x:c>
      <x:c r="H34" s="10" t="str">
        <x:v>same normalized contract owner</x:v>
      </x:c>
      <x:c r="I34" s="10" t="str">
        <x:v>SYNTHETIC_DESIGN_CHANGE_REVIEW</x:v>
      </x:c>
    </x:row>
    <x:row r="35" ht="130" customHeight="1">
      <x:c r="A35" s="10" t="str">
        <x:v>V-R1</x:v>
      </x:c>
      <x:c r="B35" s="10" t="str">
        <x:v>VOICE</x:v>
      </x:c>
      <x:c r="C35" s="10" t="str">
        <x:v>C06</x:v>
      </x:c>
      <x:c r="D35" s="10" t="str">
        <x:v>문서 전체 철회에서 지정 구간의 사용 허용 철회로 확장</x:v>
      </x:c>
      <x:c r="E35" s="10" t="n">
        <x:v>4</x:v>
      </x:c>
      <x:c r="F35" s="10" t="str">
        <x:v>concept::permission_scope
concept::evidence_access
concept::publication_guard
concept::candidate_dependencies</x:v>
      </x:c>
      <x:c r="G35" s="10" t="str">
        <x:v>source_id와 extent로 철회 범위를 지정한다. 철회 범위가 신규 조회, 모델 입력, 대기 응답, 새 인계에 쓰이지 않도록 하며 다른 허용 구간은 유지한다. 파생 관계도 철회된 근거에 의존하면 새로 사용하지 않는다.</x:v>
      </x:c>
      <x:c r="H35" s="10" t="str">
        <x:v>C01~C06 same acceptance; B C06 additionally changes extent-based candidate invalidation</x:v>
      </x:c>
      <x:c r="I35" s="10" t="str">
        <x:v>SYNTHETIC_DESIGN_CHANGE_REVIEW</x:v>
      </x:c>
    </x:row>
    <x:row r="36" ht="130" customHeight="1">
      <x:c r="A36" s="10" t="str">
        <x:v>V-R2</x:v>
      </x:c>
      <x:c r="B36" s="10" t="str">
        <x:v>VOICE</x:v>
      </x:c>
      <x:c r="C36" s="10" t="str">
        <x:v>C01</x:v>
      </x:c>
      <x:c r="D36" s="10" t="str">
        <x:v>모델 요청, 응답, 사용량 wire 형식 변경</x:v>
      </x:c>
      <x:c r="E36" s="10" t="n">
        <x:v>1</x:v>
      </x:c>
      <x:c r="F36" s="10" t="str">
        <x:v>concept::model_wire</x:v>
      </x:c>
      <x:c r="G36" s="10" t="str">
        <x:v>같은 의미 요청, 지칭 결과, 취소 상태와 usage bucket을 새 wire 형식으로 송수신하며 내부 의미 계약과 기존 기능을 유지한다.</x:v>
      </x:c>
      <x:c r="H36" s="10" t="str">
        <x:v>same normalized contract owner</x:v>
      </x:c>
      <x:c r="I36" s="10" t="str">
        <x:v>SYNTHETIC_DESIGN_CHANGE_REVIEW</x:v>
      </x:c>
    </x:row>
    <x:row r="37" ht="130" customHeight="1">
      <x:c r="A37" s="10" t="str">
        <x:v>V-R2</x:v>
      </x:c>
      <x:c r="B37" s="10" t="str">
        <x:v>VOICE</x:v>
      </x:c>
      <x:c r="C37" s="10" t="str">
        <x:v>C02</x:v>
      </x:c>
      <x:c r="D37" s="10" t="str">
        <x:v>Agent 요청, 취소, 접수 확인 wire 형식 변경</x:v>
      </x:c>
      <x:c r="E37" s="10" t="n">
        <x:v>1</x:v>
      </x:c>
      <x:c r="F37" s="10" t="str">
        <x:v>concept::agent_wire</x:v>
      </x:c>
      <x:c r="G37" s="10" t="str">
        <x:v>같은 Task와 Agent Execution identity, 작업, 취소 요청 및 실제 접수, 완료, 취소 사실을 보존하고 새 wire 형식을 지원한다.</x:v>
      </x:c>
      <x:c r="H37" s="10" t="str">
        <x:v>same normalized contract owner</x:v>
      </x:c>
      <x:c r="I37" s="10" t="str">
        <x:v>SYNTHETIC_DESIGN_CHANGE_REVIEW</x:v>
      </x:c>
    </x:row>
    <x:row r="38" ht="130" customHeight="1">
      <x:c r="A38" s="10" t="str">
        <x:v>V-R2</x:v>
      </x:c>
      <x:c r="B38" s="10" t="str">
        <x:v>VOICE</x:v>
      </x:c>
      <x:c r="C38" s="10" t="str">
        <x:v>C03</x:v>
      </x:c>
      <x:c r="D38" s="10" t="str">
        <x:v>화면, 과거 자료의 좌표, 시각, 판본 형식 변경</x:v>
      </x:c>
      <x:c r="E38" s="10" t="n">
        <x:v>1</x:v>
      </x:c>
      <x:c r="F38" s="10" t="str">
        <x:v>concept::source_normalization</x:v>
      </x:c>
      <x:c r="G38" s="10" t="str">
        <x:v>외부 표현이 바뀌어도 같은 source, revision, extent와 화면 좌표, 원본 시각을 내부 정규형으로 복원하고 같은 대상 집합을 가리킨다.</x:v>
      </x:c>
      <x:c r="H38" s="10" t="str">
        <x:v>same normalized contract owner</x:v>
      </x:c>
      <x:c r="I38" s="10" t="str">
        <x:v>SYNTHETIC_DESIGN_CHANGE_REVIEW</x:v>
      </x:c>
    </x:row>
    <x:row r="39" ht="130" customHeight="1">
      <x:c r="A39" s="10" t="str">
        <x:v>V-R2</x:v>
      </x:c>
      <x:c r="B39" s="10" t="str">
        <x:v>VOICE</x:v>
      </x:c>
      <x:c r="C39" s="10" t="str">
        <x:v>C04</x:v>
      </x:c>
      <x:c r="D39" s="10" t="str">
        <x:v>Agent 답변의 지정 section만 수정하는 기능 추가</x:v>
      </x:c>
      <x:c r="E39" s="10" t="n">
        <x:v>3</x:v>
      </x:c>
      <x:c r="F39" s="10" t="str">
        <x:v>concept::response_sections
concept::delivered_history
concept::speech_queue</x:v>
      </x:c>
      <x:c r="G39" s="10" t="str">
        <x:v>section_id로 지정한 문단과 해당 문단의 대기 음성만 교체한다. 다른 section과 다른 Task를 보존하고 실제 전달 이력 및 후속 조회가 새 판본을 참조한다. 이미 전달된 내용의 기록은 소급 삭제하지 않는다.</x:v>
      </x:c>
      <x:c r="H39" s="10" t="str">
        <x:v>same normalized contract owner</x:v>
      </x:c>
      <x:c r="I39" s="10" t="str">
        <x:v>SYNTHETIC_DESIGN_CHANGE_REVIEW</x:v>
      </x:c>
    </x:row>
    <x:row r="40" ht="130" customHeight="1">
      <x:c r="A40" s="10" t="str">
        <x:v>V-R2</x:v>
      </x:c>
      <x:c r="B40" s="10" t="str">
        <x:v>VOICE</x:v>
      </x:c>
      <x:c r="C40" s="10" t="str">
        <x:v>C05</x:v>
      </x:c>
      <x:c r="D40" s="10" t="str">
        <x:v>실제 전달한 설명의 원본 위치와 판본 표시 추가</x:v>
      </x:c>
      <x:c r="E40" s="10" t="n">
        <x:v>2</x:v>
      </x:c>
      <x:c r="F40" s="10" t="str">
        <x:v>concept::delivered_history
concept::response_sections</x:v>
      </x:c>
      <x:c r="G40" s="10" t="str">
        <x:v>실제로 전달한 설명에 source_id/revision/extent 목록을 표시한다. 생성됐지만 전달하지 않은 자료를 전달 이력으로 만들지 않으며, 과거 판본과 최신 판본 및 관계 해석의 원본 근거를 구별한다.</x:v>
      </x:c>
      <x:c r="H40" s="10" t="str">
        <x:v>same normalized contract owner</x:v>
      </x:c>
      <x:c r="I40" s="10" t="str">
        <x:v>SYNTHETIC_DESIGN_CHANGE_REVIEW</x:v>
      </x:c>
    </x:row>
    <x:row r="41" ht="130" customHeight="1">
      <x:c r="A41" s="10" t="str">
        <x:v>V-R2</x:v>
      </x:c>
      <x:c r="B41" s="10" t="str">
        <x:v>VOICE</x:v>
      </x:c>
      <x:c r="C41" s="10" t="str">
        <x:v>C06</x:v>
      </x:c>
      <x:c r="D41" s="10" t="str">
        <x:v>문서 전체 철회에서 지정 구간의 사용 허용 철회로 확장</x:v>
      </x:c>
      <x:c r="E41" s="10" t="n">
        <x:v>4</x:v>
      </x:c>
      <x:c r="F41" s="10" t="str">
        <x:v>concept::permission_scope
concept::evidence_access
concept::publication_guard
concept::candidate_dependencies</x:v>
      </x:c>
      <x:c r="G41" s="10" t="str">
        <x:v>source_id와 extent로 철회 범위를 지정한다. 철회 범위가 신규 조회, 모델 입력, 대기 응답, 새 인계에 쓰이지 않도록 하며 다른 허용 구간은 유지한다. 파생 관계도 철회된 근거에 의존하면 새로 사용하지 않는다.</x:v>
      </x:c>
      <x:c r="H41" s="10" t="str">
        <x:v>C01~C06 same acceptance; B C06 additionally changes extent-based candidate invalidation</x:v>
      </x:c>
      <x:c r="I41" s="10" t="str">
        <x:v>SYNTHETIC_DESIGN_CHANGE_REVIEW</x:v>
      </x:c>
    </x:row>
    <x:row r="42" ht="130" customHeight="1">
      <x:c r="A42" s="10" t="str">
        <x:v>V-R3</x:v>
      </x:c>
      <x:c r="B42" s="10" t="str">
        <x:v>VOICE</x:v>
      </x:c>
      <x:c r="C42" s="10" t="str">
        <x:v>C01</x:v>
      </x:c>
      <x:c r="D42" s="10" t="str">
        <x:v>모델 요청, 응답, 사용량 wire 형식 변경</x:v>
      </x:c>
      <x:c r="E42" s="10" t="n">
        <x:v>1</x:v>
      </x:c>
      <x:c r="F42" s="10" t="str">
        <x:v>concept::model_wire</x:v>
      </x:c>
      <x:c r="G42" s="10" t="str">
        <x:v>같은 의미 요청, 지칭 결과, 취소 상태와 usage bucket을 새 wire 형식으로 송수신하며 내부 의미 계약과 기존 기능을 유지한다.</x:v>
      </x:c>
      <x:c r="H42" s="10" t="str">
        <x:v>same normalized contract owner</x:v>
      </x:c>
      <x:c r="I42" s="10" t="str">
        <x:v>SYNTHETIC_DESIGN_CHANGE_REVIEW</x:v>
      </x:c>
    </x:row>
    <x:row r="43" ht="130" customHeight="1">
      <x:c r="A43" s="10" t="str">
        <x:v>V-R3</x:v>
      </x:c>
      <x:c r="B43" s="10" t="str">
        <x:v>VOICE</x:v>
      </x:c>
      <x:c r="C43" s="10" t="str">
        <x:v>C02</x:v>
      </x:c>
      <x:c r="D43" s="10" t="str">
        <x:v>Agent 요청, 취소, 접수 확인 wire 형식 변경</x:v>
      </x:c>
      <x:c r="E43" s="10" t="n">
        <x:v>1</x:v>
      </x:c>
      <x:c r="F43" s="10" t="str">
        <x:v>concept::agent_wire</x:v>
      </x:c>
      <x:c r="G43" s="10" t="str">
        <x:v>같은 Task와 Agent Execution identity, 작업, 취소 요청 및 실제 접수, 완료, 취소 사실을 보존하고 새 wire 형식을 지원한다.</x:v>
      </x:c>
      <x:c r="H43" s="10" t="str">
        <x:v>same normalized contract owner</x:v>
      </x:c>
      <x:c r="I43" s="10" t="str">
        <x:v>SYNTHETIC_DESIGN_CHANGE_REVIEW</x:v>
      </x:c>
    </x:row>
    <x:row r="44" ht="130" customHeight="1">
      <x:c r="A44" s="10" t="str">
        <x:v>V-R3</x:v>
      </x:c>
      <x:c r="B44" s="10" t="str">
        <x:v>VOICE</x:v>
      </x:c>
      <x:c r="C44" s="10" t="str">
        <x:v>C03</x:v>
      </x:c>
      <x:c r="D44" s="10" t="str">
        <x:v>화면, 과거 자료의 좌표, 시각, 판본 형식 변경</x:v>
      </x:c>
      <x:c r="E44" s="10" t="n">
        <x:v>1</x:v>
      </x:c>
      <x:c r="F44" s="10" t="str">
        <x:v>concept::source_normalization</x:v>
      </x:c>
      <x:c r="G44" s="10" t="str">
        <x:v>외부 표현이 바뀌어도 같은 source, revision, extent와 화면 좌표, 원본 시각을 내부 정규형으로 복원하고 같은 대상 집합을 가리킨다.</x:v>
      </x:c>
      <x:c r="H44" s="10" t="str">
        <x:v>same normalized contract owner</x:v>
      </x:c>
      <x:c r="I44" s="10" t="str">
        <x:v>SYNTHETIC_DESIGN_CHANGE_REVIEW</x:v>
      </x:c>
    </x:row>
    <x:row r="45" ht="130" customHeight="1">
      <x:c r="A45" s="10" t="str">
        <x:v>V-R3</x:v>
      </x:c>
      <x:c r="B45" s="10" t="str">
        <x:v>VOICE</x:v>
      </x:c>
      <x:c r="C45" s="10" t="str">
        <x:v>C04</x:v>
      </x:c>
      <x:c r="D45" s="10" t="str">
        <x:v>Agent 답변의 지정 section만 수정하는 기능 추가</x:v>
      </x:c>
      <x:c r="E45" s="10" t="n">
        <x:v>3</x:v>
      </x:c>
      <x:c r="F45" s="10" t="str">
        <x:v>concept::response_sections
concept::delivered_history
concept::speech_queue</x:v>
      </x:c>
      <x:c r="G45" s="10" t="str">
        <x:v>section_id로 지정한 문단과 해당 문단의 대기 음성만 교체한다. 다른 section과 다른 Task를 보존하고 실제 전달 이력 및 후속 조회가 새 판본을 참조한다. 이미 전달된 내용의 기록은 소급 삭제하지 않는다.</x:v>
      </x:c>
      <x:c r="H45" s="10" t="str">
        <x:v>same normalized contract owner</x:v>
      </x:c>
      <x:c r="I45" s="10" t="str">
        <x:v>SYNTHETIC_DESIGN_CHANGE_REVIEW</x:v>
      </x:c>
    </x:row>
    <x:row r="46" ht="130" customHeight="1">
      <x:c r="A46" s="10" t="str">
        <x:v>V-R3</x:v>
      </x:c>
      <x:c r="B46" s="10" t="str">
        <x:v>VOICE</x:v>
      </x:c>
      <x:c r="C46" s="10" t="str">
        <x:v>C05</x:v>
      </x:c>
      <x:c r="D46" s="10" t="str">
        <x:v>실제 전달한 설명의 원본 위치와 판본 표시 추가</x:v>
      </x:c>
      <x:c r="E46" s="10" t="n">
        <x:v>2</x:v>
      </x:c>
      <x:c r="F46" s="10" t="str">
        <x:v>concept::delivered_history
concept::response_sections</x:v>
      </x:c>
      <x:c r="G46" s="10" t="str">
        <x:v>실제로 전달한 설명에 source_id/revision/extent 목록을 표시한다. 생성됐지만 전달하지 않은 자료를 전달 이력으로 만들지 않으며, 과거 판본과 최신 판본 및 관계 해석의 원본 근거를 구별한다.</x:v>
      </x:c>
      <x:c r="H46" s="10" t="str">
        <x:v>same normalized contract owner</x:v>
      </x:c>
      <x:c r="I46" s="10" t="str">
        <x:v>SYNTHETIC_DESIGN_CHANGE_REVIEW</x:v>
      </x:c>
    </x:row>
    <x:row r="47" ht="130" customHeight="1">
      <x:c r="A47" s="10" t="str">
        <x:v>V-R3</x:v>
      </x:c>
      <x:c r="B47" s="10" t="str">
        <x:v>VOICE</x:v>
      </x:c>
      <x:c r="C47" s="10" t="str">
        <x:v>C06</x:v>
      </x:c>
      <x:c r="D47" s="10" t="str">
        <x:v>문서 전체 철회에서 지정 구간의 사용 허용 철회로 확장</x:v>
      </x:c>
      <x:c r="E47" s="10" t="n">
        <x:v>4</x:v>
      </x:c>
      <x:c r="F47" s="10" t="str">
        <x:v>concept::permission_scope
concept::evidence_access
concept::publication_guard
concept::candidate_dependencies</x:v>
      </x:c>
      <x:c r="G47" s="10" t="str">
        <x:v>source_id와 extent로 철회 범위를 지정한다. 철회 범위가 신규 조회, 모델 입력, 대기 응답, 새 인계에 쓰이지 않도록 하며 다른 허용 구간은 유지한다. 파생 관계도 철회된 근거에 의존하면 새로 사용하지 않는다.</x:v>
      </x:c>
      <x:c r="H47" s="10" t="str">
        <x:v>C01~C06 same acceptance; B C06 additionally changes extent-based candidate invalidation</x:v>
      </x:c>
      <x:c r="I47" s="10" t="str">
        <x:v>SYNTHETIC_DESIGN_CHANGE_REVIEW</x:v>
      </x:c>
    </x:row>
    <x:row r="48" ht="130" customHeight="1">
      <x:c r="A48" s="10" t="str">
        <x:v>D-A</x:v>
      </x:c>
      <x:c r="B48" s="10" t="str">
        <x:v>DELIVERY</x:v>
      </x:c>
      <x:c r="C48" s="10" t="str">
        <x:v>C01</x:v>
      </x:c>
      <x:c r="D48" s="10" t="str">
        <x:v>모델 요청, 응답, 사용량 wire 형식 변경</x:v>
      </x:c>
      <x:c r="E48" s="10" t="n">
        <x:v>1</x:v>
      </x:c>
      <x:c r="F48" s="10" t="str">
        <x:v>concept::model_wire</x:v>
      </x:c>
      <x:c r="G48" s="10" t="str">
        <x:v>같은 의미 요청, 지칭 결과, 취소 상태와 usage bucket을 새 wire 형식으로 송수신하며 내부 의미 계약과 기존 기능을 유지한다.</x:v>
      </x:c>
      <x:c r="H48" s="10" t="str">
        <x:v>동일 외부 계약을 공통 adapter 또는 이력 경계에서 변경</x:v>
      </x:c>
      <x:c r="I48" s="10" t="str">
        <x:v>SYNTHETIC_DESIGN_CHANGE_REVIEW</x:v>
      </x:c>
    </x:row>
    <x:row r="49" ht="130" customHeight="1">
      <x:c r="A49" s="10" t="str">
        <x:v>D-B</x:v>
      </x:c>
      <x:c r="B49" s="10" t="str">
        <x:v>DELIVERY</x:v>
      </x:c>
      <x:c r="C49" s="10" t="str">
        <x:v>C01</x:v>
      </x:c>
      <x:c r="D49" s="10" t="str">
        <x:v>모델 요청, 응답, 사용량 wire 형식 변경</x:v>
      </x:c>
      <x:c r="E49" s="10" t="n">
        <x:v>1</x:v>
      </x:c>
      <x:c r="F49" s="10" t="str">
        <x:v>concept::model_wire</x:v>
      </x:c>
      <x:c r="G49" s="10" t="str">
        <x:v>같은 의미 요청, 지칭 결과, 취소 상태와 usage bucket을 새 wire 형식으로 송수신하며 내부 의미 계약과 기존 기능을 유지한다.</x:v>
      </x:c>
      <x:c r="H49" s="10" t="str">
        <x:v>동일 외부 계약을 공통 adapter 또는 이력 경계에서 변경</x:v>
      </x:c>
      <x:c r="I49" s="10" t="str">
        <x:v>SYNTHETIC_DESIGN_CHANGE_REVIEW</x:v>
      </x:c>
    </x:row>
    <x:row r="50" ht="130" customHeight="1">
      <x:c r="A50" s="10" t="str">
        <x:v>D-A</x:v>
      </x:c>
      <x:c r="B50" s="10" t="str">
        <x:v>DELIVERY</x:v>
      </x:c>
      <x:c r="C50" s="10" t="str">
        <x:v>C02</x:v>
      </x:c>
      <x:c r="D50" s="10" t="str">
        <x:v>Agent 요청, 취소, 접수 확인 wire 형식 변경</x:v>
      </x:c>
      <x:c r="E50" s="10" t="n">
        <x:v>1</x:v>
      </x:c>
      <x:c r="F50" s="10" t="str">
        <x:v>concept::agent_wire</x:v>
      </x:c>
      <x:c r="G50" s="10" t="str">
        <x:v>같은 Task와 Agent Execution identity, 작업, 취소 요청 및 실제 접수, 완료, 취소 사실을 보존하고 새 wire 형식을 지원한다.</x:v>
      </x:c>
      <x:c r="H50" s="10" t="str">
        <x:v>동일 외부 계약을 공통 adapter 또는 이력 경계에서 변경</x:v>
      </x:c>
      <x:c r="I50" s="10" t="str">
        <x:v>SYNTHETIC_DESIGN_CHANGE_REVIEW</x:v>
      </x:c>
    </x:row>
    <x:row r="51" ht="130" customHeight="1">
      <x:c r="A51" s="10" t="str">
        <x:v>D-B</x:v>
      </x:c>
      <x:c r="B51" s="10" t="str">
        <x:v>DELIVERY</x:v>
      </x:c>
      <x:c r="C51" s="10" t="str">
        <x:v>C02</x:v>
      </x:c>
      <x:c r="D51" s="10" t="str">
        <x:v>Agent 요청, 취소, 접수 확인 wire 형식 변경</x:v>
      </x:c>
      <x:c r="E51" s="10" t="n">
        <x:v>1</x:v>
      </x:c>
      <x:c r="F51" s="10" t="str">
        <x:v>concept::agent_wire</x:v>
      </x:c>
      <x:c r="G51" s="10" t="str">
        <x:v>같은 Task와 Agent Execution identity, 작업, 취소 요청 및 실제 접수, 완료, 취소 사실을 보존하고 새 wire 형식을 지원한다.</x:v>
      </x:c>
      <x:c r="H51" s="10" t="str">
        <x:v>동일 외부 계약을 공통 adapter 또는 이력 경계에서 변경</x:v>
      </x:c>
      <x:c r="I51" s="10" t="str">
        <x:v>SYNTHETIC_DESIGN_CHANGE_REVIEW</x:v>
      </x:c>
    </x:row>
    <x:row r="52" ht="130" customHeight="1">
      <x:c r="A52" s="10" t="str">
        <x:v>D-A</x:v>
      </x:c>
      <x:c r="B52" s="10" t="str">
        <x:v>DELIVERY</x:v>
      </x:c>
      <x:c r="C52" s="10" t="str">
        <x:v>C03</x:v>
      </x:c>
      <x:c r="D52" s="10" t="str">
        <x:v>화면, 과거 자료의 좌표, 시각, 판본 형식 변경</x:v>
      </x:c>
      <x:c r="E52" s="10" t="n">
        <x:v>1</x:v>
      </x:c>
      <x:c r="F52" s="10" t="str">
        <x:v>concept::source_normalization</x:v>
      </x:c>
      <x:c r="G52" s="10" t="str">
        <x:v>외부 표현이 바뀌어도 같은 source, revision, extent와 화면 좌표, 원본 시각을 내부 정규형으로 복원하고 같은 대상 집합을 가리킨다.</x:v>
      </x:c>
      <x:c r="H52" s="10" t="str">
        <x:v>동일 외부 계약을 공통 adapter 또는 이력 경계에서 변경</x:v>
      </x:c>
      <x:c r="I52" s="10" t="str">
        <x:v>SYNTHETIC_DESIGN_CHANGE_REVIEW</x:v>
      </x:c>
    </x:row>
    <x:row r="53" ht="130" customHeight="1">
      <x:c r="A53" s="10" t="str">
        <x:v>D-B</x:v>
      </x:c>
      <x:c r="B53" s="10" t="str">
        <x:v>DELIVERY</x:v>
      </x:c>
      <x:c r="C53" s="10" t="str">
        <x:v>C03</x:v>
      </x:c>
      <x:c r="D53" s="10" t="str">
        <x:v>화면, 과거 자료의 좌표, 시각, 판본 형식 변경</x:v>
      </x:c>
      <x:c r="E53" s="10" t="n">
        <x:v>1</x:v>
      </x:c>
      <x:c r="F53" s="10" t="str">
        <x:v>concept::source_normalization</x:v>
      </x:c>
      <x:c r="G53" s="10" t="str">
        <x:v>외부 표현이 바뀌어도 같은 source, revision, extent와 화면 좌표, 원본 시각을 내부 정규형으로 복원하고 같은 대상 집합을 가리킨다.</x:v>
      </x:c>
      <x:c r="H53" s="10" t="str">
        <x:v>동일 외부 계약을 공통 adapter 또는 이력 경계에서 변경</x:v>
      </x:c>
      <x:c r="I53" s="10" t="str">
        <x:v>SYNTHETIC_DESIGN_CHANGE_REVIEW</x:v>
      </x:c>
    </x:row>
    <x:row r="54" ht="130" customHeight="1">
      <x:c r="A54" s="10" t="str">
        <x:v>D-A</x:v>
      </x:c>
      <x:c r="B54" s="10" t="str">
        <x:v>DELIVERY</x:v>
      </x:c>
      <x:c r="C54" s="10" t="str">
        <x:v>C04</x:v>
      </x:c>
      <x:c r="D54" s="10" t="str">
        <x:v>Agent 답변의 지정 section만 수정하는 기능 추가</x:v>
      </x:c>
      <x:c r="E54" s="10" t="n">
        <x:v>5</x:v>
      </x:c>
      <x:c r="F54" s="10" t="str">
        <x:v>concept::response_sections
concept::delivered_history
concept::speech_playback
concept::speech_preparation
concept::prepared_audio</x:v>
      </x:c>
      <x:c r="G54" s="10" t="str">
        <x:v>section_id로 지정한 문단과 해당 문단의 대기 음성만 교체한다. 다른 section과 다른 Task를 보존하고 실제 전달 이력 및 후속 조회가 새 판본을 참조한다. 이미 전달된 내용의 기록은 소급 삭제하지 않는다.</x:v>
      </x:c>
      <x:c r="H54" s="10" t="str">
        <x:v>A의 준비 실행, 보관 구간 및 재생 커서 사이 section patch 계약 변경. B는 현재 발화 내부에서 일관된 section patch를 적용한다.</x:v>
      </x:c>
      <x:c r="I54" s="10" t="str">
        <x:v>SYNTHETIC_DESIGN_CHANGE_REVIEW</x:v>
      </x:c>
    </x:row>
    <x:row r="55" ht="130" customHeight="1">
      <x:c r="A55" s="10" t="str">
        <x:v>D-B</x:v>
      </x:c>
      <x:c r="B55" s="10" t="str">
        <x:v>DELIVERY</x:v>
      </x:c>
      <x:c r="C55" s="10" t="str">
        <x:v>C04</x:v>
      </x:c>
      <x:c r="D55" s="10" t="str">
        <x:v>Agent 답변의 지정 section만 수정하는 기능 추가</x:v>
      </x:c>
      <x:c r="E55" s="10" t="n">
        <x:v>4</x:v>
      </x:c>
      <x:c r="F55" s="10" t="str">
        <x:v>concept::response_sections
concept::delivered_history
concept::turn_execution
concept::turn_audio_buffer</x:v>
      </x:c>
      <x:c r="G55" s="10" t="str">
        <x:v>section_id로 지정한 문단과 해당 문단의 대기 음성만 교체한다. 다른 section과 다른 Task를 보존하고 실제 전달 이력 및 후속 조회가 새 판본을 참조한다. 이미 전달된 내용의 기록은 소급 삭제하지 않는다.</x:v>
      </x:c>
      <x:c r="H55" s="10" t="str">
        <x:v>A의 준비 실행, 보관 구간 및 재생 커서 사이 section patch 계약 변경. B는 현재 발화 내부에서 일관된 section patch를 적용한다.</x:v>
      </x:c>
      <x:c r="I55" s="10" t="str">
        <x:v>SYNTHETIC_DESIGN_CHANGE_REVIEW</x:v>
      </x:c>
    </x:row>
    <x:row r="56" ht="130" customHeight="1">
      <x:c r="A56" s="10" t="str">
        <x:v>D-A</x:v>
      </x:c>
      <x:c r="B56" s="10" t="str">
        <x:v>DELIVERY</x:v>
      </x:c>
      <x:c r="C56" s="10" t="str">
        <x:v>C05</x:v>
      </x:c>
      <x:c r="D56" s="10" t="str">
        <x:v>실제 전달한 설명의 원본 위치와 판본 표시 추가</x:v>
      </x:c>
      <x:c r="E56" s="10" t="n">
        <x:v>2</x:v>
      </x:c>
      <x:c r="F56" s="10" t="str">
        <x:v>concept::delivered_history
concept::response_sections</x:v>
      </x:c>
      <x:c r="G56" s="10" t="str">
        <x:v>실제로 전달한 설명에 source_id/revision/extent 목록을 표시한다. 생성됐지만 전달하지 않은 자료를 전달 이력으로 만들지 않으며, 과거 판본과 최신 판본 및 관계 해석의 원본 근거를 구별한다.</x:v>
      </x:c>
      <x:c r="H56" s="10" t="str">
        <x:v>동일 외부 계약을 공통 adapter 또는 이력 경계에서 변경</x:v>
      </x:c>
      <x:c r="I56" s="10" t="str">
        <x:v>SYNTHETIC_DESIGN_CHANGE_REVIEW</x:v>
      </x:c>
    </x:row>
    <x:row r="57" ht="130" customHeight="1">
      <x:c r="A57" s="10" t="str">
        <x:v>D-B</x:v>
      </x:c>
      <x:c r="B57" s="10" t="str">
        <x:v>DELIVERY</x:v>
      </x:c>
      <x:c r="C57" s="10" t="str">
        <x:v>C05</x:v>
      </x:c>
      <x:c r="D57" s="10" t="str">
        <x:v>실제 전달한 설명의 원본 위치와 판본 표시 추가</x:v>
      </x:c>
      <x:c r="E57" s="10" t="n">
        <x:v>2</x:v>
      </x:c>
      <x:c r="F57" s="10" t="str">
        <x:v>concept::delivered_history
concept::response_sections</x:v>
      </x:c>
      <x:c r="G57" s="10" t="str">
        <x:v>실제로 전달한 설명에 source_id/revision/extent 목록을 표시한다. 생성됐지만 전달하지 않은 자료를 전달 이력으로 만들지 않으며, 과거 판본과 최신 판본 및 관계 해석의 원본 근거를 구별한다.</x:v>
      </x:c>
      <x:c r="H57" s="10" t="str">
        <x:v>동일 외부 계약을 공통 adapter 또는 이력 경계에서 변경</x:v>
      </x:c>
      <x:c r="I57" s="10" t="str">
        <x:v>SYNTHETIC_DESIGN_CHANGE_REVIEW</x:v>
      </x:c>
    </x:row>
    <x:row r="58" ht="130" customHeight="1">
      <x:c r="A58" s="10" t="str">
        <x:v>D-A</x:v>
      </x:c>
      <x:c r="B58" s="10" t="str">
        <x:v>DELIVERY</x:v>
      </x:c>
      <x:c r="C58" s="10" t="str">
        <x:v>C06</x:v>
      </x:c>
      <x:c r="D58" s="10" t="str">
        <x:v>문서 전체 철회에서 지정 구간의 사용 허용 철회로 확장</x:v>
      </x:c>
      <x:c r="E58" s="10" t="n">
        <x:v>4</x:v>
      </x:c>
      <x:c r="F58" s="10" t="str">
        <x:v>concept::permission_scope
concept::evidence_access
concept::publication_guard
concept::preparation_dependencies</x:v>
      </x:c>
      <x:c r="G58" s="10" t="str">
        <x:v>source_id와 extent로 철회 범위를 지정한다. 철회 범위가 신규 조회, 모델 입력, 대기 응답, 새 인계에 쓰이지 않도록 하며 다른 허용 구간은 유지한다. 파생 관계도 철회된 근거에 의존하면 새로 사용하지 않는다.</x:v>
      </x:c>
      <x:c r="H58" s="10" t="str">
        <x:v>A의 응답 단위 준비 의존성 무효화를 범위 단위로 확장. 공통 guard로 흡수 가능하면 추가 변경은 사라짐.</x:v>
      </x:c>
      <x:c r="I58" s="10" t="str">
        <x:v>SYNTHETIC_DESIGN_CHANGE_REVIEW</x:v>
      </x:c>
    </x:row>
    <x:row r="59" ht="130" customHeight="1">
      <x:c r="A59" s="10" t="str">
        <x:v>D-B</x:v>
      </x:c>
      <x:c r="B59" s="10" t="str">
        <x:v>DELIVERY</x:v>
      </x:c>
      <x:c r="C59" s="10" t="str">
        <x:v>C06</x:v>
      </x:c>
      <x:c r="D59" s="10" t="str">
        <x:v>문서 전체 철회에서 지정 구간의 사용 허용 철회로 확장</x:v>
      </x:c>
      <x:c r="E59" s="10" t="n">
        <x:v>3</x:v>
      </x:c>
      <x:c r="F59" s="10" t="str">
        <x:v>concept::permission_scope
concept::evidence_access
concept::publication_guard</x:v>
      </x:c>
      <x:c r="G59" s="10" t="str">
        <x:v>source_id와 extent로 철회 범위를 지정한다. 철회 범위가 신규 조회, 모델 입력, 대기 응답, 새 인계에 쓰이지 않도록 하며 다른 허용 구간은 유지한다. 파생 관계도 철회된 근거에 의존하면 새로 사용하지 않는다.</x:v>
      </x:c>
      <x:c r="H59" s="10" t="str">
        <x:v>A의 응답 단위 준비 의존성 무효화를 범위 단위로 확장. 공통 guard로 흡수 가능하면 추가 변경은 사라짐.</x:v>
      </x:c>
      <x:c r="I59" s="10" t="str">
        <x:v>SYNTHETIC_DESIGN_CHANGE_REVIEW</x:v>
      </x:c>
    </x:row>
  </x:sheetData>
  <x:pageMargins left="0.7" right="0.7" top="0.75" bottom="0.75" header="0.3" footer="0.3"/>
  <x:tableParts count="1">
    <x:tablePart xmlns:r="http://schemas.openxmlformats.org/officeDocument/2006/relationships" r:id="Rf42900b7e83f45ee"/>
  </x:tableParts>
</x:worksheet>
</file>