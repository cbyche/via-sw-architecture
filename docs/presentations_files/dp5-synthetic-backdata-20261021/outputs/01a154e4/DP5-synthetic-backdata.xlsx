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44c0dab81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44082505b58c44d3"/>
    <x:sheet xmlns:r="http://schemas.openxmlformats.org/officeDocument/2006/relationships" name="평가기준" sheetId="2" r:id="Rdd16ad0ffa644f62"/>
    <x:sheet xmlns:r="http://schemas.openxmlformats.org/officeDocument/2006/relationships" name="사례군" sheetId="3" r:id="R446078a40eb94c15"/>
    <x:sheet xmlns:r="http://schemas.openxmlformats.org/officeDocument/2006/relationships" name="사례100" sheetId="4" r:id="R8c2d8e6c79354438"/>
    <x:sheet xmlns:r="http://schemas.openxmlformats.org/officeDocument/2006/relationships" name="공통원본" sheetId="5" r:id="Rd296b895cdb1450c"/>
    <x:sheet xmlns:r="http://schemas.openxmlformats.org/officeDocument/2006/relationships" name="응답판정" sheetId="6" r:id="Ree6f37f177b84d8f"/>
    <x:sheet xmlns:r="http://schemas.openxmlformats.org/officeDocument/2006/relationships" name="시간내역" sheetId="7" r:id="R3d0718b1d6de46c7"/>
    <x:sheet xmlns:r="http://schemas.openxmlformats.org/officeDocument/2006/relationships" name="비용원장" sheetId="8" r:id="Rfd17c7db8128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%"/>
  </x:numFmts>
  <x:fonts count="6">
    <x:font>
      <x:sz val="11"/>
      <x:name val="Carlito"/>
    </x:font>
    <x:font>
      <x:sz val="11"/>
      <x:color rgb="FF222222"/>
      <x:name val="Arial"/>
    </x:font>
    <x:font>
      <x:b/>
      <x:sz val="15"/>
      <x:color rgb="FF24435C"/>
      <x:name val="Arial"/>
    </x:font>
    <x:font>
      <x:sz val="10"/>
      <x:color rgb="FFA05A00"/>
      <x:name val="Arial"/>
    </x:font>
    <x:font>
      <x:b/>
      <x:sz val="11"/>
      <x:color rgb="FFFFFFFF"/>
      <x:name val="Arial"/>
    </x:font>
    <x:font>
      <x:sz val="10"/>
      <x:color rgb="FF5D657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3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A52121"/>
      </x:font>
      <x:fill>
        <x:patternFill patternType="solid">
          <x:bgColor rgb="FFFCE9E7"/>
        </x:patternFill>
      </x:fill>
    </x:dxf>
    <x:dxf>
      <x:font>
        <x:b/>
        <x:color rgb="FFA52121"/>
      </x:font>
      <x:fill>
        <x:patternFill patternType="solid">
          <x:bgColor rgb="FFFC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97ea926c8479c" /><Relationship Type="http://schemas.openxmlformats.org/officeDocument/2006/relationships/theme" Target="/xl/theme/theme1.xml" Id="R3aa4e0c4d28148cf" /><Relationship Type="http://schemas.openxmlformats.org/officeDocument/2006/relationships/sharedStrings" Target="/xl/sharedStrings.xml" Id="Rac15d2a40ee94201" /><Relationship Type="http://schemas.openxmlformats.org/officeDocument/2006/relationships/worksheet" Target="/xl/worksheets/sheet1.xml" Id="R44082505b58c44d3" /><Relationship Type="http://schemas.openxmlformats.org/officeDocument/2006/relationships/worksheet" Target="/xl/worksheets/sheet2.xml" Id="Rdd16ad0ffa644f62" /><Relationship Type="http://schemas.openxmlformats.org/officeDocument/2006/relationships/worksheet" Target="/xl/worksheets/sheet3.xml" Id="R446078a40eb94c15" /><Relationship Type="http://schemas.openxmlformats.org/officeDocument/2006/relationships/worksheet" Target="/xl/worksheets/sheet4.xml" Id="R8c2d8e6c79354438" /><Relationship Type="http://schemas.openxmlformats.org/officeDocument/2006/relationships/worksheet" Target="/xl/worksheets/sheet5.xml" Id="Rd296b895cdb1450c" /><Relationship Type="http://schemas.openxmlformats.org/officeDocument/2006/relationships/worksheet" Target="/xl/worksheets/sheet6.xml" Id="Ree6f37f177b84d8f" /><Relationship Type="http://schemas.openxmlformats.org/officeDocument/2006/relationships/worksheet" Target="/xl/worksheets/sheet7.xml" Id="R3d0718b1d6de46c7" /><Relationship Type="http://schemas.openxmlformats.org/officeDocument/2006/relationships/worksheet" Target="/xl/worksheets/sheet8.xml" Id="Rfd17c7db81284d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35C"/>
  </x:sheetPr>
  <x:sheetViews>
    <x:sheetView showGridLines="0" workbookViewId="0"/>
  </x:sheetViews>
  <x:sheetFormatPr defaultRowHeight="15"/>
  <x:cols>
    <x:col min="1" max="1" width="34.439998626708984" hidden="0" customWidth="1"/>
    <x:col min="2" max="2" width="11.109999656677246" hidden="0" customWidth="1"/>
    <x:col min="3" max="3" width="14.4399995803833" hidden="0" customWidth="1"/>
    <x:col min="4" max="4" width="14.4399995803833" hidden="0" customWidth="1"/>
    <x:col min="5" max="5" width="68.88999938964844" hidden="0" customWidth="1"/>
  </x:cols>
  <x:sheetData>
    <x:row r="1" ht="30" customHeight="1">
      <x:c r="A1" s="1"/>
      <x:c r="B1" s="1"/>
      <x:c r="C1" s="1"/>
      <x:c r="D1" s="1"/>
      <x:c r="E1" s="1"/>
    </x:row>
    <x:row r="2" ht="30" customHeight="1">
      <x:c r="A2" s="2" t="str">
        <x:v>DP5 가상 비교 백데이터</x:v>
      </x:c>
      <x:c r="B2" s="1"/>
      <x:c r="C2" s="1"/>
      <x:c r="D2" s="1"/>
      <x:c r="E2" s="1"/>
    </x:row>
    <x:row r="3" ht="30" customHeight="1">
      <x:c r="A3" s="3" t="str">
        <x:v>설명용 합성 데이터. 목표 수치에 맞춰 작성한 사례·응답·시간·비용이며 실제 관측/LLM 실행/통계 표본이 아님.</x:v>
      </x:c>
      <x:c r="B3" s="1"/>
      <x:c r="C3" s="1"/>
      <x:c r="D3" s="1"/>
      <x:c r="E3" s="1"/>
    </x:row>
    <x:row r="4" ht="30" customHeight="1">
      <x:c r="A4" s="1"/>
      <x:c r="B4" s="1"/>
      <x:c r="C4" s="1"/>
      <x:c r="D4" s="1"/>
      <x:c r="E4" s="1"/>
    </x:row>
    <x:row r="5" ht="32" customHeight="1">
      <x:c r="A5" s="5" t="str">
        <x:v>지표</x:v>
      </x:c>
      <x:c r="B5" s="20" t="str">
        <x:v>단위</x:v>
      </x:c>
      <x:c r="C5" s="20" t="str">
        <x:v>A</x:v>
      </x:c>
      <x:c r="D5" s="20" t="str">
        <x:v>B</x:v>
      </x:c>
      <x:c r="E5" s="5" t="str">
        <x:v>   가상 결과의 해석</x:v>
      </x:c>
    </x:row>
    <x:row r="6" ht="30" customHeight="1">
      <x:c r="A6" s="1" t="str">
        <x:v>QA01 첫 응답</x:v>
      </x:c>
      <x:c r="B6" s="1" t="str">
        <x:v>초</x:v>
      </x:c>
      <x:c r="C6" s="15" t="n">
        <x:f>AVERAGEIF('시간내역'!$B$6:$B$205,"A",'시간내역'!$I$6:$I$205)</x:f>
        <x:v>2.4</x:v>
      </x:c>
      <x:c r="D6" s="15" t="n">
        <x:f>AVERAGEIF('시간내역'!$B$6:$B$205,"B",'시간내역'!$I$6:$I$205)</x:f>
        <x:v>1.1</x:v>
      </x:c>
      <x:c r="E6" s="1" t="str">
        <x:v>   오답 포함 최초 내용 표시. 성공 응답만 고르지 않음</x:v>
      </x:c>
    </x:row>
    <x:row r="7" ht="30" customHeight="1">
      <x:c r="A7" s="1" t="str">
        <x:v>QA02 지칭 정확도</x:v>
      </x:c>
      <x:c r="B7" s="1" t="str">
        <x:v>%</x:v>
      </x:c>
      <x:c r="C7" s="16" t="n">
        <x:f>AVERAGEIF('응답판정'!$B$6:$B$205,"A",'응답판정'!$E$6:$E$205)</x:f>
        <x:v>0.92</x:v>
      </x:c>
      <x:c r="D7" s="16" t="n">
        <x:f>AVERAGEIF('응답판정'!$B$6:$B$205,"B",'응답판정'!$E$6:$E$205)</x:f>
        <x:v>0.96</x:v>
      </x:c>
      <x:c r="E7" s="1" t="str">
        <x:v>   단일 대상 집합의 최초 채택. A 92/100, B 96/100</x:v>
      </x:c>
    </x:row>
    <x:row r="8" ht="30" customHeight="1">
      <x:c r="A8" s="1" t="str">
        <x:v>QA03 VIA 처리</x:v>
      </x:c>
      <x:c r="B8" s="1" t="str">
        <x:v>초</x:v>
      </x:c>
      <x:c r="C8" s="15" t="n">
        <x:f>AVERAGEIF('시간내역'!$B$6:$B$205,"A",'시간내역'!$N$6:$N$205)</x:f>
        <x:v>4.000000000000002</x:v>
      </x:c>
      <x:c r="D8" s="15" t="n">
        <x:f>AVERAGEIF('시간내역'!$B$6:$B$205,"B",'시간내역'!$N$6:$N$205)</x:f>
        <x:v>2.3</x:v>
      </x:c>
      <x:c r="E8" s="1" t="str">
        <x:v>   외부 Agent 내부 시간 제외. 모든 합성 terminal 포함</x:v>
      </x:c>
    </x:row>
    <x:row r="9" ht="30" customHeight="1">
      <x:c r="A9" s="1" t="str">
        <x:v>QA05 전체 모델 비용</x:v>
      </x:c>
      <x:c r="B9" s="1" t="str">
        <x:v>비용 단위</x:v>
      </x:c>
      <x:c r="C9" s="15" t="n">
        <x:f>SUMIF('비용원장'!$C$6:$C$445,"A",'비용원장'!$G$6:$G$445)</x:f>
        <x:v>99.99999999999999</x:v>
      </x:c>
      <x:c r="D9" s="15" t="n">
        <x:f>SUMIF('비용원장'!$C$6:$C$445,"B",'비용원장'!$G$6:$G$445)</x:f>
        <x:v>175</x:v>
      </x:c>
      <x:c r="E9" s="1" t="str">
        <x:v>   요청 전 생산·갱신·미사용·수신자 포함</x:v>
      </x:c>
    </x:row>
    <x:row r="10" ht="30" customHeight="1">
      <x:c r="A10" s="1" t="str">
        <x:v>QA07 요청 의미 정확도</x:v>
      </x:c>
      <x:c r="B10" s="1" t="str">
        <x:v>%</x:v>
      </x:c>
      <x:c r="C10" s="16" t="n">
        <x:f>AVERAGEIF('응답판정'!$B$6:$B$205,"A",'응답판정'!$H$6:$H$205)</x:f>
        <x:v>0.9</x:v>
      </x:c>
      <x:c r="D10" s="16" t="n">
        <x:f>AVERAGEIF('응답판정'!$B$6:$B$205,"B",'응답판정'!$H$6:$H$205)</x:f>
        <x:v>0.86</x:v>
      </x:c>
      <x:c r="E10" s="1" t="str">
        <x:v>   대상과 필수 의미 전체. A 90/100, B 86/100</x:v>
      </x:c>
    </x:row>
    <x:row r="11" ht="30" customHeight="1">
      <x:c r="A11" s="1"/>
      <x:c r="B11" s="1"/>
      <x:c r="C11" s="17"/>
      <x:c r="D11" s="17"/>
      <x:c r="E11" s="1"/>
    </x:row>
    <x:row r="12" ht="30" customHeight="1">
      <x:c r="A12" s="13" t="str">
        <x:v>100개 입력, A/B 각 100개 출력. 시간·비용은 합계에 맞춘 설정값이고 정확도는 작성자가 배정한 오류다.</x:v>
      </x:c>
      <x:c r="B12" s="1"/>
      <x:c r="C12" s="17"/>
      <x:c r="D12" s="17"/>
      <x:c r="E12" s="1"/>
    </x:row>
    <x:row r="13" ht="30" customHeight="1">
      <x:c r="A13" s="1"/>
      <x:c r="B13" s="1"/>
      <x:c r="C13" s="17"/>
      <x:c r="D13" s="17"/>
      <x:c r="E13" s="1"/>
    </x:row>
    <x:row r="14" ht="32" customHeight="1">
      <x:c r="A14" s="5" t="str">
        <x:v>평균 시간 분해</x:v>
      </x:c>
      <x:c r="B14" s="20" t="str">
        <x:v>단위</x:v>
      </x:c>
      <x:c r="C14" s="20" t="str">
        <x:v>A</x:v>
      </x:c>
      <x:c r="D14" s="20" t="str">
        <x:v>B</x:v>
      </x:c>
      <x:c r="E14" s="5" t="str">
        <x:v>   포함 경로</x:v>
      </x:c>
    </x:row>
    <x:row r="15" ht="30" customHeight="1">
      <x:c r="A15" s="1" t="str">
        <x:v>입력 접수</x:v>
      </x:c>
      <x:c r="B15" s="1" t="str">
        <x:v>초</x:v>
      </x:c>
      <x:c r="C15" s="19" t="n">
        <x:f>AVERAGEIF('시간내역'!$B$6:$B$205,"A",'시간내역'!$D$6:$D$205)</x:f>
        <x:v>0.08000000000000006</x:v>
      </x:c>
      <x:c r="D15" s="19" t="n">
        <x:f>AVERAGEIF('시간내역'!$B$6:$B$205,"B",'시간내역'!$D$6:$D$205)</x:f>
        <x:v>0.08000000000000006</x:v>
      </x:c>
      <x:c r="E15" s="1" t="str">
        <x:v>   QA01 및 QA03에 포함</x:v>
      </x:c>
    </x:row>
    <x:row r="16" ht="30" customHeight="1">
      <x:c r="A16" s="1" t="str">
        <x:v>검색·조회</x:v>
      </x:c>
      <x:c r="B16" s="1" t="str">
        <x:v>초</x:v>
      </x:c>
      <x:c r="C16" s="19" t="n">
        <x:f>AVERAGEIF('시간내역'!$B$6:$B$205,"A",'시간내역'!$E$6:$E$205)</x:f>
        <x:v>0.48</x:v>
      </x:c>
      <x:c r="D16" s="19" t="n">
        <x:f>AVERAGEIF('시간내역'!$B$6:$B$205,"B",'시간내역'!$E$6:$E$205)</x:f>
        <x:v>0.15400000000000003</x:v>
      </x:c>
      <x:c r="E16" s="1" t="str">
        <x:v>   QA01 및 QA03에 포함</x:v>
      </x:c>
    </x:row>
    <x:row r="17" ht="30" customHeight="1">
      <x:c r="A17" s="1" t="str">
        <x:v>과거 관계 해석·원본 보완</x:v>
      </x:c>
      <x:c r="B17" s="1" t="str">
        <x:v>초</x:v>
      </x:c>
      <x:c r="C17" s="19" t="n">
        <x:f>AVERAGEIF('시간내역'!$B$6:$B$205,"A",'시간내역'!$F$6:$F$205)</x:f>
        <x:v>0.9782800000000003</x:v>
      </x:c>
      <x:c r="D17" s="19" t="n">
        <x:f>AVERAGEIF('시간내역'!$B$6:$B$205,"B",'시간내역'!$F$6:$F$205)</x:f>
        <x:v>0.17754999999999996</x:v>
      </x:c>
      <x:c r="E17" s="1" t="str">
        <x:v>   QA01 및 QA03에 포함</x:v>
      </x:c>
    </x:row>
    <x:row r="18" ht="30" customHeight="1">
      <x:c r="A18" s="1" t="str">
        <x:v>현재 요청 의미 해석</x:v>
      </x:c>
      <x:c r="B18" s="1" t="str">
        <x:v>초</x:v>
      </x:c>
      <x:c r="C18" s="19" t="n">
        <x:f>AVERAGEIF('시간내역'!$B$6:$B$205,"A",'시간내역'!$G$6:$G$205)</x:f>
        <x:v>0.7617199999999998</x:v>
      </x:c>
      <x:c r="D18" s="19" t="n">
        <x:f>AVERAGEIF('시간내역'!$B$6:$B$205,"B",'시간내역'!$G$6:$G$205)</x:f>
        <x:v>0.5884499999999999</x:v>
      </x:c>
      <x:c r="E18" s="1" t="str">
        <x:v>   QA01 및 QA03에 포함</x:v>
      </x:c>
    </x:row>
    <x:row r="19" ht="30" customHeight="1">
      <x:c r="A19" s="1" t="str">
        <x:v>채택·첫 내용 표시</x:v>
      </x:c>
      <x:c r="B19" s="1" t="str">
        <x:v>초</x:v>
      </x:c>
      <x:c r="C19" s="19" t="n">
        <x:f>AVERAGEIF('시간내역'!$B$6:$B$205,"A",'시간내역'!$H$6:$H$205)</x:f>
        <x:v>0.09999999999999981</x:v>
      </x:c>
      <x:c r="D19" s="19" t="n">
        <x:f>AVERAGEIF('시간내역'!$B$6:$B$205,"B",'시간내역'!$H$6:$H$205)</x:f>
        <x:v>0.09999999999999981</x:v>
      </x:c>
      <x:c r="E19" s="1" t="str">
        <x:v>   QA01 및 QA03에 포함</x:v>
      </x:c>
    </x:row>
    <x:row r="20" ht="30" customHeight="1">
      <x:c r="A20" s="1" t="str">
        <x:v>후속 근거 참조</x:v>
      </x:c>
      <x:c r="B20" s="1" t="str">
        <x:v>초</x:v>
      </x:c>
      <x:c r="C20" s="19" t="n">
        <x:f>AVERAGEIF('시간내역'!$B$6:$B$205,"A",'시간내역'!$J$6:$J$205)</x:f>
        <x:v>0.6</x:v>
      </x:c>
      <x:c r="D20" s="19" t="n">
        <x:f>AVERAGEIF('시간내역'!$B$6:$B$205,"B",'시간내역'!$J$6:$J$205)</x:f>
        <x:v>0.19999999999999996</x:v>
      </x:c>
      <x:c r="E20" s="1" t="str">
        <x:v>   QA03에만 포함</x:v>
      </x:c>
    </x:row>
    <x:row r="21" ht="30" customHeight="1">
      <x:c r="A21" s="1" t="str">
        <x:v>Agent 전달·접수</x:v>
      </x:c>
      <x:c r="B21" s="1" t="str">
        <x:v>초</x:v>
      </x:c>
      <x:c r="C21" s="19" t="n">
        <x:f>AVERAGEIF('시간내역'!$B$6:$B$205,"A",'시간내역'!$K$6:$K$205)</x:f>
        <x:v>0.3000000000000005</x:v>
      </x:c>
      <x:c r="D21" s="19" t="n">
        <x:f>AVERAGEIF('시간내역'!$B$6:$B$205,"B",'시간내역'!$K$6:$K$205)</x:f>
        <x:v>0.3000000000000005</x:v>
      </x:c>
      <x:c r="E21" s="1" t="str">
        <x:v>   QA03에만 포함</x:v>
      </x:c>
    </x:row>
    <x:row r="22" ht="30" customHeight="1">
      <x:c r="A22" s="1" t="str">
        <x:v>원본 serving</x:v>
      </x:c>
      <x:c r="B22" s="1" t="str">
        <x:v>초</x:v>
      </x:c>
      <x:c r="C22" s="19" t="n">
        <x:f>AVERAGEIF('시간내역'!$B$6:$B$205,"A",'시간내역'!$L$6:$L$205)</x:f>
        <x:v>0.25</x:v>
      </x:c>
      <x:c r="D22" s="19" t="n">
        <x:f>AVERAGEIF('시간내역'!$B$6:$B$205,"B",'시간내역'!$L$6:$L$205)</x:f>
        <x:v>0.25</x:v>
      </x:c>
      <x:c r="E22" s="1" t="str">
        <x:v>   QA03에만 포함</x:v>
      </x:c>
    </x:row>
    <x:row r="23" ht="30" customHeight="1">
      <x:c r="A23" s="1" t="str">
        <x:v>결과 연결·표시</x:v>
      </x:c>
      <x:c r="B23" s="1" t="str">
        <x:v>초</x:v>
      </x:c>
      <x:c r="C23" s="19" t="n">
        <x:f>AVERAGEIF('시간내역'!$B$6:$B$205,"A",'시간내역'!$M$6:$M$205)</x:f>
        <x:v>0.4500000000000004</x:v>
      </x:c>
      <x:c r="D23" s="19" t="n">
        <x:f>AVERAGEIF('시간내역'!$B$6:$B$205,"B",'시간내역'!$M$6:$M$205)</x:f>
        <x:v>0.4500000000000004</x:v>
      </x:c>
      <x:c r="E23" s="1" t="str">
        <x:v>   QA03에만 포함</x:v>
      </x:c>
    </x:row>
    <x:row r="24" ht="30" customHeight="1">
      <x:c r="A24" s="1" t="str">
        <x:v>VIA 합계</x:v>
      </x:c>
      <x:c r="B24" s="1" t="str">
        <x:v>초</x:v>
      </x:c>
      <x:c r="C24" s="19" t="n">
        <x:f>SUM(C15:C23)</x:f>
        <x:v>4.000000000000001</x:v>
      </x:c>
      <x:c r="D24" s="19" t="n">
        <x:f>SUM(D15:D23)</x:f>
        <x:v>2.3000000000000007</x:v>
      </x:c>
      <x:c r="E24" s="1" t="str">
        <x:v>   요청 전 작업 시간은 미설정. 비용은 아래 전체 비용에 포함</x:v>
      </x:c>
    </x:row>
    <x:row r="25" ht="30" customHeight="1">
      <x:c r="A25" s="1"/>
      <x:c r="B25" s="1"/>
      <x:c r="C25" s="17"/>
      <x:c r="D25" s="17"/>
      <x:c r="E25" s="1"/>
    </x:row>
    <x:row r="26" ht="30" customHeight="1">
      <x:c r="A26" s="1"/>
      <x:c r="B26" s="1"/>
      <x:c r="C26" s="17"/>
      <x:c r="D26" s="17"/>
      <x:c r="E26" s="1"/>
    </x:row>
    <x:row r="27" ht="32" customHeight="1">
      <x:c r="A27" s="5" t="str">
        <x:v>전체 비용 분해</x:v>
      </x:c>
      <x:c r="B27" s="20" t="str">
        <x:v>단위</x:v>
      </x:c>
      <x:c r="C27" s="20" t="str">
        <x:v>A</x:v>
      </x:c>
      <x:c r="D27" s="20" t="str">
        <x:v>B</x:v>
      </x:c>
      <x:c r="E27" s="5" t="str">
        <x:v>   비용 범위</x:v>
      </x:c>
    </x:row>
    <x:row r="28" ht="30" customHeight="1">
      <x:c r="A28" s="1" t="str">
        <x:v>사전 관계 생산</x:v>
      </x:c>
      <x:c r="B28" s="1" t="str">
        <x:v>비용 단위</x:v>
      </x:c>
      <x:c r="C28" s="19" t="n">
        <x:f>SUMIFS('비용원장'!$G$6:$G$445,'비용원장'!$C$6:$C$445,"A",'비용원장'!$D$6:$D$445,"생산")</x:f>
        <x:v>0</x:v>
      </x:c>
      <x:c r="D28" s="19" t="n">
        <x:f>SUMIFS('비용원장'!$G$6:$G$445,'비용원장'!$C$6:$C$445,"B",'비용원장'!$D$6:$D$445,"생산")</x:f>
        <x:v>85</x:v>
      </x:c>
      <x:c r="E28" s="1" t="str">
        <x:v>   사용·미사용 관계 모두 포함</x:v>
      </x:c>
    </x:row>
    <x:row r="29" ht="30" customHeight="1">
      <x:c r="A29" s="1" t="str">
        <x:v>파생 관계 갱신</x:v>
      </x:c>
      <x:c r="B29" s="1" t="str">
        <x:v>비용 단위</x:v>
      </x:c>
      <x:c r="C29" s="19" t="n">
        <x:f>SUMIFS('비용원장'!$G$6:$G$445,'비용원장'!$C$6:$C$445,"A",'비용원장'!$D$6:$D$445,"갱신")</x:f>
        <x:v>0</x:v>
      </x:c>
      <x:c r="D29" s="19" t="n">
        <x:f>SUMIFS('비용원장'!$G$6:$G$445,'비용원장'!$C$6:$C$445,"B",'비용원장'!$D$6:$D$445,"갱신")</x:f>
        <x:v>35</x:v>
      </x:c>
      <x:c r="E29" s="1" t="str">
        <x:v>   사용·미사용 관계 모두 포함</x:v>
      </x:c>
    </x:row>
    <x:row r="30" ht="30" customHeight="1">
      <x:c r="A30" s="1" t="str">
        <x:v>요청 시 VIA 처리</x:v>
      </x:c>
      <x:c r="B30" s="1" t="str">
        <x:v>비용 단위</x:v>
      </x:c>
      <x:c r="C30" s="19" t="n">
        <x:f>SUMIFS('비용원장'!$G$6:$G$445,'비용원장'!$C$6:$C$445,"A",'비용원장'!$D$6:$D$445,"요청")</x:f>
        <x:v>75.00000000000003</x:v>
      </x:c>
      <x:c r="D30" s="19" t="n">
        <x:f>SUMIFS('비용원장'!$G$6:$G$445,'비용원장'!$C$6:$C$445,"B",'비용원장'!$D$6:$D$445,"요청")</x:f>
        <x:v>30</x:v>
      </x:c>
      <x:c r="E30" s="1" t="str">
        <x:v>   해당 100건 전체 포함</x:v>
      </x:c>
    </x:row>
    <x:row r="31" ht="30" customHeight="1">
      <x:c r="A31" s="1" t="str">
        <x:v>공통 수신자</x:v>
      </x:c>
      <x:c r="B31" s="1" t="str">
        <x:v>비용 단위</x:v>
      </x:c>
      <x:c r="C31" s="19" t="n">
        <x:f>SUMIFS('비용원장'!$G$6:$G$445,'비용원장'!$C$6:$C$445,"A",'비용원장'!$D$6:$D$445,"수신자")</x:f>
        <x:v>25</x:v>
      </x:c>
      <x:c r="D31" s="19" t="n">
        <x:f>SUMIFS('비용원장'!$G$6:$G$445,'비용원장'!$C$6:$C$445,"B",'비용원장'!$D$6:$D$445,"수신자")</x:f>
        <x:v>25</x:v>
      </x:c>
      <x:c r="E31" s="1" t="str">
        <x:v>   해당 100건 전체 포함</x:v>
      </x:c>
    </x:row>
    <x:row r="32" ht="30" customHeight="1">
      <x:c r="A32" s="1" t="str">
        <x:v>전체 합계</x:v>
      </x:c>
      <x:c r="B32" s="1" t="str">
        <x:v>비용 단위</x:v>
      </x:c>
      <x:c r="C32" s="19" t="n">
        <x:f>SUM(C28:C31)</x:f>
        <x:v>100.00000000000003</x:v>
      </x:c>
      <x:c r="D32" s="19" t="n">
        <x:f>SUM(D28:D31)</x:f>
        <x:v>175</x:v>
      </x:c>
      <x:c r="E32" s="1"/>
    </x:row>
    <x:row r="33" ht="30" customHeight="1">
      <x:c r="A33" s="1"/>
      <x:c r="B33" s="1"/>
      <x:c r="C33" s="17"/>
      <x:c r="D33" s="17"/>
      <x:c r="E33" s="1"/>
    </x:row>
    <x:row r="34" ht="30" customHeight="1">
      <x:c r="A34" s="1"/>
      <x:c r="B34" s="1"/>
      <x:c r="C34" s="17"/>
      <x:c r="D34" s="17"/>
      <x:c r="E34" s="1"/>
    </x:row>
    <x:row r="35" ht="32" customHeight="1">
      <x:c r="A35" s="5" t="str">
        <x:v>최초 오류 분해</x:v>
      </x:c>
      <x:c r="B35" s="20" t="str">
        <x:v>단위</x:v>
      </x:c>
      <x:c r="C35" s="20" t="str">
        <x:v>A</x:v>
      </x:c>
      <x:c r="D35" s="20" t="str">
        <x:v>B</x:v>
      </x:c>
      <x:c r="E35" s="5" t="str">
        <x:v>   QA02와 QA07의 관계</x:v>
      </x:c>
    </x:row>
    <x:row r="36" ht="30" customHeight="1">
      <x:c r="A36" s="1" t="str">
        <x:v>대상부터 오류</x:v>
      </x:c>
      <x:c r="B36" s="1" t="str">
        <x:v>건</x:v>
      </x:c>
      <x:c r="C36" s="17" t="n">
        <x:f>COUNTIFS('응답판정'!$B$6:$B$205,"A",'응답판정'!$I$6:$I$205,"TARGET")</x:f>
        <x:v>8</x:v>
      </x:c>
      <x:c r="D36" s="17" t="n">
        <x:f>COUNTIFS('응답판정'!$B$6:$B$205,"B",'응답판정'!$I$6:$I$205,"TARGET")</x:f>
        <x:v>4</x:v>
      </x:c>
      <x:c r="E36" s="1" t="str">
        <x:v>   QA02 실패 및 QA07 실패</x:v>
      </x:c>
    </x:row>
    <x:row r="37" ht="30" customHeight="1">
      <x:c r="A37" s="1" t="str">
        <x:v>대상은 맞고 의미만 오류</x:v>
      </x:c>
      <x:c r="B37" s="1" t="str">
        <x:v>건</x:v>
      </x:c>
      <x:c r="C37" s="17" t="n">
        <x:f>COUNTIFS('응답판정'!$B$6:$B$205,"A",'응답판정'!$I$6:$I$205,"MEANING_ONLY")</x:f>
        <x:v>2</x:v>
      </x:c>
      <x:c r="D37" s="17" t="n">
        <x:f>COUNTIFS('응답판정'!$B$6:$B$205,"B",'응답판정'!$I$6:$I$205,"MEANING_ONLY")</x:f>
        <x:v>10</x:v>
      </x:c>
      <x:c r="E37" s="1" t="str">
        <x:v>   QA02 성공 및 QA07 실패</x:v>
      </x:c>
    </x:row>
    <x:row r="38" ht="30" customHeight="1">
      <x:c r="A38" s="1" t="str">
        <x:v>대상·의미 모두 정답</x:v>
      </x:c>
      <x:c r="B38" s="1" t="str">
        <x:v>건</x:v>
      </x:c>
      <x:c r="C38" s="17" t="n">
        <x:f>COUNTIFS('응답판정'!$B$6:$B$205,"A",'응답판정'!$I$6:$I$205,"NONE")</x:f>
        <x:v>90</x:v>
      </x:c>
      <x:c r="D38" s="17" t="n">
        <x:f>COUNTIFS('응답판정'!$B$6:$B$205,"B",'응답판정'!$I$6:$I$205,"NONE")</x:f>
        <x:v>86</x:v>
      </x:c>
      <x:c r="E38" s="1" t="str">
        <x:v>   QA02 성공 및 QA07 성공</x:v>
      </x:c>
    </x:row>
    <x:row r="39" ht="30" customHeight="1">
      <x:c r="A39" s="1"/>
      <x:c r="B39" s="1"/>
      <x:c r="C39" s="1"/>
      <x:c r="D39" s="1"/>
      <x:c r="E39" s="1"/>
    </x:row>
    <x:row r="40" ht="30" customHeight="1">
      <x:c r="A40" s="1"/>
      <x:c r="B40" s="1"/>
      <x:c r="C40" s="1"/>
      <x:c r="D40" s="1"/>
      <x:c r="E40" s="1"/>
    </x:row>
    <x:row r="41" ht="30" customHeight="1">
      <x:c r="A41" s="3" t="str">
        <x:v>이 파일은 합성 설계 예시다. 수치가 실제 구조 우위를 검증하지 않으며 기존 PPTX·실측 결과는 변경하지 않았다.</x:v>
      </x:c>
      <x:c r="B41" s="1"/>
      <x:c r="C41" s="1"/>
      <x:c r="D41" s="1"/>
      <x:c r="E41" s="1"/>
    </x:row>
    <x:row r="42" ht="30" customHeight="1">
      <x:c r="A42" s="1"/>
      <x:c r="B42" s="1"/>
      <x:c r="C42" s="1"/>
      <x:c r="D42" s="1"/>
      <x:c r="E42" s="1"/>
    </x:row>
    <x:row r="43" ht="30" customHeight="1">
      <x:c r="A43" s="1"/>
      <x:c r="B43" s="1"/>
      <x:c r="C43" s="1"/>
      <x:c r="D43" s="1"/>
      <x:c r="E43" s="1"/>
    </x:row>
    <x:row r="44" ht="30" customHeight="1">
      <x:c r="A44" s="1"/>
      <x:c r="B44" s="1"/>
      <x:c r="C44" s="1"/>
      <x:c r="D44" s="1"/>
      <x:c r="E44" s="1"/>
    </x:row>
    <x:row r="45" ht="30" customHeight="1">
      <x:c r="A45" s="1"/>
      <x:c r="B45" s="1"/>
      <x:c r="C45" s="1"/>
      <x:c r="D45" s="1"/>
      <x:c r="E45" s="1"/>
    </x:row>
    <x:row r="46" ht="30" customHeight="1">
      <x:c r="A46" s="1"/>
      <x:c r="B46" s="1"/>
      <x:c r="C46" s="1"/>
      <x:c r="D46" s="1"/>
      <x:c r="E46" s="1"/>
    </x:row>
    <x:row r="47" ht="30" customHeight="1">
      <x:c r="A47" s="1"/>
      <x:c r="B47" s="1"/>
      <x:c r="C47" s="1"/>
      <x:c r="D47" s="1"/>
      <x:c r="E47" s="1"/>
    </x:row>
    <x:row r="48" ht="30" customHeight="1">
      <x:c r="A48" s="1"/>
      <x:c r="B48" s="1"/>
      <x:c r="C48" s="1"/>
      <x:c r="D48" s="1"/>
      <x:c r="E4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219999313354492" hidden="0" customWidth="1"/>
    <x:col min="2" max="2" width="35.560001373291016" hidden="0" customWidth="1"/>
    <x:col min="3" max="3" width="41.11000061035156" hidden="0" customWidth="1"/>
    <x:col min="4" max="4" width="35.560001373291016" hidden="0" customWidth="1"/>
    <x:col min="5" max="5" width="53.33000183105469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평가 경계와 합성 가정 (합성)</x:v>
      </x:c>
      <x:c r="B2" s="1"/>
      <x:c r="C2" s="1"/>
      <x:c r="D2" s="1"/>
      <x:c r="E2" s="1"/>
    </x:row>
    <x:row r="3">
      <x:c r="A3" s="3" t="str">
        <x:v>설명용 합성 데이터. 목표 수치에 맞춰 작성한 사례·응답·시간·비용이며 실제 관측/LLM 실행/통계 표본이 아님.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8" customHeight="1">
      <x:c r="A5" s="7" t="str">
        <x:v>항목</x:v>
      </x:c>
      <x:c r="B5" s="7" t="str">
        <x:v>시작·대상</x:v>
      </x:c>
      <x:c r="C5" s="7" t="str">
        <x:v>종료·처리</x:v>
      </x:c>
      <x:c r="D5" s="7" t="str">
        <x:v>집계·단위</x:v>
      </x:c>
      <x:c r="E5" s="7" t="str">
        <x:v>주의 및 적용 범위</x:v>
      </x:c>
    </x:row>
    <x:row r="6" ht="80" customHeight="1">
      <x:c r="A6" s="9" t="str">
        <x:v>근거 수준</x:v>
      </x:c>
      <x:c r="B6" s="9" t="str">
        <x:v>SYNTHETIC_ILLUSTRATIVE_NOT_MEASURED</x:v>
      </x:c>
      <x:c r="C6" s="9" t="str">
        <x:v>수치·오답·문장은 목표 합계에 맞춰 작성</x:v>
      </x:c>
      <x:c r="D6" s="9" t="str">
        <x:v>모델 실행·관측 timestamp·실험 로그 없음</x:v>
      </x:c>
      <x:c r="E6" s="9" t="str">
        <x:v>실제 결과나 통계적 성능 근거로 사용하지 않음</x:v>
      </x:c>
    </x:row>
    <x:row r="7" ht="80" customHeight="1">
      <x:c r="A7" s="9" t="str">
        <x:v>모집단</x:v>
      </x:c>
      <x:c r="B7" s="9" t="str">
        <x:v>10개 가상 프로젝트 × 10개 사례군 = 100개 입력</x:v>
      </x:c>
      <x:c r="C7" s="9" t="str">
        <x:v>각 입력에 A/B 합성 출력 한 개씩. 200개 비교 행</x:v>
      </x:c>
      <x:c r="D7" s="9" t="str">
        <x:v>요청마다 평가 지칭 표현 하나, 필수 의미 전체 하나</x:v>
      </x:c>
      <x:c r="E7" s="9" t="str">
        <x:v>100건은 독립 시행 100회가 아님. G08은 G02의 확정 사실을 재사용</x:v>
      </x:c>
    </x:row>
    <x:row r="8" ht="80" customHeight="1">
      <x:c r="A8" s="9" t="str">
        <x:v>QA01</x:v>
      </x:c>
      <x:c r="B8" s="9" t="str">
        <x:v>텍스트 제출 t=0</x:v>
      </x:c>
      <x:c r="C8" s="9" t="str">
        <x:v>첫 채택된 완결된 내용 단위가 표시된 가정 시각</x:v>
      </x:c>
      <x:c r="D8" s="9" t="str">
        <x:v>100개 입력의 시간 산술평균; 오답도 포함</x:v>
      </x:c>
      <x:c r="E8" s="9" t="str">
        <x:v>앞선 채팅의 “첫 올바른 응답” 설명을 현재 QA-C01-v3 정의로 정정. ack/spinner/내부 proposal 제외</x:v>
      </x:c>
    </x:row>
    <x:row r="9" ht="80" customHeight="1">
      <x:c r="A9" s="9" t="str">
        <x:v>첫 응답 예</x:v>
      </x:c>
      <x:c r="B9" s="9" t="str">
        <x:v>대상 ID·작업·목적·수신 Agent를 구체적으로 안내</x:v>
      </x:c>
      <x:c r="C9" s="9" t="str">
        <x:v>아직 작성 완료나 전송 완료를 주장하지 않는 수행 의도</x:v>
      </x:c>
      <x:c r="D9" s="9" t="str">
        <x:v>응답판정의 QA01 종료 문장. 이어지는 상세 본문과 구분</x:v>
      </x:c>
      <x:c r="E9" s="9" t="str">
        <x:v>첫 토큰이 아니라 첫 완결 문장 표시. QA07은 그 전에 최초 채택한 전체 의미 필드로 평가</x:v>
      </x:c>
    </x:row>
    <x:row r="10" ht="80" customHeight="1">
      <x:c r="A10" s="9" t="str">
        <x:v>QA02</x:v>
      </x:c>
      <x:c r="B10" s="9" t="str">
        <x:v>지정한 과거자료 지칭 표현 하나와 입력 revision</x:v>
      </x:c>
      <x:c r="C10" s="9" t="str">
        <x:v>처음 채택한 canonical 대상 집합이 정답과 정확히 일치</x:v>
      </x:c>
      <x:c r="D10" s="9" t="str">
        <x:v>정확히 일치한 집합 수 / 100</x:v>
      </x:c>
      <x:c r="E10" s="9" t="str">
        <x:v>신규 조사 ID·Agent명은 공통 명시값. 모든 표현을 망라한 정확도가 아님. 최적 Agent 선택 점수로 확대하지 않음</x:v>
      </x:c>
    </x:row>
    <x:row r="11" ht="80" customHeight="1">
      <x:c r="A11" s="9" t="str">
        <x:v>QA07</x:v>
      </x:c>
      <x:c r="B11" s="9" t="str">
        <x:v>입력 하나와 revision</x:v>
      </x:c>
      <x:c r="C11" s="9" t="str">
        <x:v>지칭 집합 + 작업·측면·목적·조건·내용 출처·Agent·기존 Task 관계 전체</x:v>
      </x:c>
      <x:c r="D11" s="9" t="str">
        <x:v>필수 의미 전체가 맞은 입력 수 / 100</x:v>
      </x:c>
      <x:c r="E11" s="9" t="str">
        <x:v>부분 항목 평균 아님. 이후 정정해도 최초 채택 실패 유지. 인계 이후 누락·Agent 실행 실패 제외</x:v>
      </x:c>
    </x:row>
    <x:row r="12" ht="80" customHeight="1">
      <x:c r="A12" s="9" t="str">
        <x:v>QA03</x:v>
      </x:c>
      <x:c r="B12" s="9" t="str">
        <x:v>텍스트 제출 t=0부터 합성 terminal 표시까지</x:v>
      </x:c>
      <x:c r="C12" s="9" t="str">
        <x:v>입력·검색·관계 해석·현재 의미·표시·근거 보완·전달·serving·결과 연결</x:v>
      </x:c>
      <x:c r="D12" s="9" t="str">
        <x:v>전체경과 - 외부 Agent 내부 처리 구간</x:v>
      </x:c>
      <x:c r="E12" s="9" t="str">
        <x:v>합성 직렬 경로를 가정하므로 단계 합산 가능. 실제 병렬 제품에서는 interval union과 critical path로 검증 필요</x:v>
      </x:c>
    </x:row>
    <x:row r="13" ht="80" customHeight="1">
      <x:c r="A13" s="9" t="str">
        <x:v>QA03 terminal</x:v>
      </x:c>
      <x:c r="B13" s="9" t="str">
        <x:v>Downstream 공개 결과가 같은 Task에 연결되고 최종 결과 카드 표시</x:v>
      </x:c>
      <x:c r="C13" s="9" t="str">
        <x:v>실제 도메인 업무 수행은 미실행. 결과 연결 단계까지 모두 완료했다고 가정</x:v>
      </x:c>
      <x:c r="D13" s="9" t="str">
        <x:v>100개 모두 형식상 terminal 존재 가정, 내용 정확성과 별개</x:v>
      </x:c>
      <x:c r="E13" s="9" t="str">
        <x:v>오답에도 실제 경과에 해당하는 합성 시간을 유지. timeout 벌점·실패 제외 없음</x:v>
      </x:c>
    </x:row>
    <x:row r="14" ht="80" customHeight="1">
      <x:c r="A14" s="9" t="str">
        <x:v>후속 0.4초 차이</x:v>
      </x:c>
      <x:c r="B14" s="9" t="str">
        <x:v>A 평균 0.6초 / B 평균 0.2초의 근거 보완</x:v>
      </x:c>
      <x:c r="C14" s="9" t="str">
        <x:v>첫 안내 후 인계 manifest에 필요한 판본·근거 참조를 같은 계약으로 확보</x:v>
      </x:c>
      <x:c r="D14" s="9" t="str">
        <x:v>B가 저장한 provenance를 써서 추가 읽기를 줄인다는 별도 가정</x:v>
      </x:c>
      <x:c r="E14" s="9" t="str">
        <x:v>DP4 인계 정책·Downstream 지능 차이를 넣지 않음. 이 효과가 없으면 QA03 B는 2.7초가 되어 격차 축소</x:v>
      </x:c>
    </x:row>
    <x:row r="15" ht="80" customHeight="1">
      <x:c r="A15" s="9" t="str">
        <x:v>요청 전 시간</x:v>
      </x:c>
      <x:c r="B15" s="9" t="str">
        <x:v>B 생산·갱신은 요청 이전에 실행한다고 가정</x:v>
      </x:c>
      <x:c r="C15" s="9" t="str">
        <x:v>수치가 정해진 준비 시간은 없음; 가상 timestamp를 꾸며 넣지 않음</x:v>
      </x:c>
      <x:c r="D15" s="9" t="str">
        <x:v>QA03 요청 평균에 사전 시간 가산하지 않음</x:v>
      </x:c>
      <x:c r="E15" s="9" t="str">
        <x:v>QA05에는 전부 포함. 요청과 경합하지 않는 준비 여유를 가정하므로 부하 우위 주장 불가</x:v>
      </x:c>
    </x:row>
    <x:row r="16" ht="80" customHeight="1">
      <x:c r="A16" s="9" t="str">
        <x:v>QA05</x:v>
      </x:c>
      <x:c r="B16" s="9" t="str">
        <x:v>각 프로젝트 준비부터 10개 후속 요청 종료까지</x:v>
      </x:c>
      <x:c r="C16" s="9" t="str">
        <x:v>생산·갱신·미사용 관계·요청·수신자 비용 모두 포함</x:v>
      </x:c>
      <x:c r="D16" s="9" t="str">
        <x:v>합성 비용 단위 합계; A=100으로 정규화</x:v>
      </x:c>
      <x:c r="E16" s="9" t="str">
        <x:v>실제 달러·토큰·모델 가격 없음. B 사전 비용을 요청마다 중복 배분하지 않음</x:v>
      </x:c>
    </x:row>
    <x:row r="17" ht="80" customHeight="1">
      <x:c r="A17" s="9" t="str">
        <x:v>검색과 모델</x:v>
      </x:c>
      <x:c r="B17" s="9" t="str">
        <x:v>명시 ID·시간·판본·권한은 공통 코드 조회</x:v>
      </x:c>
      <x:c r="C17" s="9" t="str">
        <x:v>모호한 관계와 현재 요청 의미만 동일 모델 자원을 사용한다고 가정</x:v>
      </x:c>
      <x:c r="D17" s="9" t="str">
        <x:v>모델명·호출 횟수·token rate는 설정하지 않음</x:v>
      </x:c>
      <x:c r="E17" s="9" t="str">
        <x:v>A=1회 B=여러 회로 강제하지 않음. Embedding 도입 차이도 없음</x:v>
      </x:c>
    </x:row>
    <x:row r="18" ht="80" customHeight="1">
      <x:c r="A18" s="9" t="str">
        <x:v>공정성 가정</x:v>
      </x:c>
      <x:c r="B18" s="9" t="str">
        <x:v>원본·확정 사실·권한·접속·capability는 양안 동일</x:v>
      </x:c>
      <x:c r="C18" s="9" t="str">
        <x:v>A도 확정 사실 재사용. B는 dirty·미생산이면 원본 보완</x:v>
      </x:c>
      <x:c r="D18" s="9" t="str">
        <x:v>같은 Downstream 인계 계약과 완료 조건</x:v>
      </x:c>
      <x:c r="E18" s="9" t="str">
        <x:v>B를 유리하게 하는 안정된 과거 관계가 많은 분포를 의도적으로 선택. 실제 트래픽 대표성 없음</x:v>
      </x:c>
    </x:row>
    <x:row r="19" ht="80" customHeight="1">
      <x:c r="A19" s="9" t="str">
        <x:v>오류 배정</x:v>
      </x:c>
      <x:c r="B19" s="9" t="str">
        <x:v>A: 대상 8건 + 의미만 2건 / B: 대상 4건 + 의미만 10건</x:v>
      </x:c>
      <x:c r="C19" s="9" t="str">
        <x:v>작성자가 실패 위치와 문장을 직접 정함</x:v>
      </x:c>
      <x:c r="D19" s="9" t="str">
        <x:v>QA07 오류는 QA02 오류를 포함</x:v>
      </x:c>
      <x:c r="E19" s="9" t="str">
        <x:v>LLM 관측 오류율이 아님. 분포·모델이 바뀌면 방향도 바뀔 수 있음</x:v>
      </x:c>
    </x:row>
    <x:row r="20" ht="80" customHeight="1">
      <x:c r="A20" s="9" t="str">
        <x:v>범위</x:v>
      </x:c>
      <x:c r="B20" s="9" t="str">
        <x:v>QA01·02·03·05·새 QA07만 합성 구성</x:v>
      </x:c>
      <x:c r="C20" s="9" t="str">
        <x:v>QA04/06·새 QA07 점수와 우선순위는 만들지 않음</x:v>
      </x:c>
      <x:c r="D20" s="9" t="str">
        <x:v>기존 발표 점수·평가 계약·실측 결과를 대체하지 않음</x:v>
      </x:c>
      <x:c r="E20" s="9" t="str">
        <x:v>QA01 2.4초/1.1초는 기존 1초 목표를 모두 초과. 상대 우위가 목표 충족을 뜻하지 않음</x:v>
      </x:c>
    </x:row>
    <x:row r="21" ht="80" customHeight="1">
      <x:c r="A21" s="9" t="str">
        <x:v>사례 흐름</x:v>
      </x:c>
      <x:c r="B21" s="9" t="str">
        <x:v>프로젝트별 G01→G10 순서</x:v>
      </x:c>
      <x:c r="C21" s="9" t="str">
        <x:v>G02 이후 공통 확인 사실을 양안에 제공하고 G08에서 재사용</x:v>
      </x:c>
      <x:c r="D21" s="9" t="str">
        <x:v>G02 오답은 최초 정확도에 보존</x:v>
      </x:c>
      <x:c r="E21" s="9" t="str">
        <x:v>확인 대화의 추가 입력은 100건에 미포함. 이 합성 모집단의 한계이며 비용은 요청 비용 가정 안에 포함</x:v>
      </x:c>
    </x:row>
    <x:row r="22" ht="80" customHeight="1">
      <x:c r="A22" s="9" t="str">
        <x:v>출처</x:v>
      </x:c>
      <x:c r="B22" s="9" t="str">
        <x:v>사용자와 합의한 가상 수치 및 DP5 설계</x:v>
      </x:c>
      <x:c r="C22" s="9" t="str">
        <x:v>QA-C01-v3(2026-10-15), 14-corrected-poc-contract §3, INTENT QA02/07</x:v>
      </x:c>
      <x:c r="D22" s="9" t="str">
        <x:v>기존 계약에서 지표 의미만 참조</x:v>
      </x:c>
      <x:c r="E22" s="9" t="str">
        <x:v>기존 결과·상용 모델 성능·실제 사용자 대화를 가져온 자료가 아님</x:v>
      </x:c>
    </x:row>
    <x:row r="23">
      <x:c r="A23" s="1"/>
      <x:c r="B23" s="1"/>
      <x:c r="C23" s="1"/>
      <x:c r="D23" s="1"/>
      <x:c r="E23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3.329999923706055" hidden="0" customWidth="1"/>
    <x:col min="3" max="3" width="8.329999923706055" hidden="0" customWidth="1"/>
    <x:col min="4" max="4" width="55.560001373291016" hidden="0" customWidth="1"/>
    <x:col min="5" max="5" width="37.779998779296875" hidden="0" customWidth="1"/>
    <x:col min="6" max="6" width="40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10개 사례군과 예상 경로 (합성)</x:v>
      </x:c>
      <x:c r="B2" s="1"/>
      <x:c r="C2" s="1"/>
      <x:c r="D2" s="1"/>
      <x:c r="E2" s="1"/>
      <x:c r="F2" s="1"/>
    </x:row>
    <x:row r="3">
      <x:c r="A3" s="3" t="str">
        <x:v>설명용 합성 데이터. 목표 수치에 맞춰 작성한 사례·응답·시간·비용이며 실제 관측/LLM 실행/통계 표본이 아님.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8" customHeight="1">
      <x:c r="A5" s="7" t="str">
        <x:v>사례군</x:v>
      </x:c>
      <x:c r="B5" s="7" t="str">
        <x:v>주제</x:v>
      </x:c>
      <x:c r="C5" s="7" t="str">
        <x:v>건수</x:v>
      </x:c>
      <x:c r="D5" s="7" t="str">
        <x:v>공통 배경</x:v>
      </x:c>
      <x:c r="E5" s="7" t="str">
        <x:v>A 경로</x:v>
      </x:c>
      <x:c r="F5" s="7" t="str">
        <x:v>B 경로</x:v>
      </x:c>
    </x:row>
    <x:row r="6" ht="60" customHeight="1">
      <x:c r="A6" s="9" t="str">
        <x:v>G01</x:v>
      </x:c>
      <x:c r="B6" s="9" t="str">
        <x:v>명시적 ID 조회</x:v>
      </x:c>
      <x:c r="C6" s="9" t="n">
        <x:v>10</x:v>
      </x:c>
      <x:c r="D6" s="9" t="str">
        <x:v>정확한 자료 ID와 확정 조건. 의미 관계를 새로 해석할 필요가 적다.</x:v>
      </x:c>
      <x:c r="E6" s="9" t="str">
        <x:v>공통 사실 직접 조회</x:v>
      </x:c>
      <x:c r="F6" s="9" t="str">
        <x:v>동일 사실 조회; 관계 검사 추가 이득 없음</x:v>
      </x:c>
    </x:row>
    <x:row r="7" ht="60" customHeight="1">
      <x:c r="A7" s="9" t="str">
        <x:v>G02</x:v>
      </x:c>
      <x:c r="B7" s="9" t="str">
        <x:v>오래된 피드백 최초 재참조</x:v>
      </x:c>
      <x:c r="C7" s="9" t="n">
        <x:v>10</x:v>
      </x:c>
      <x:c r="D7" s="9" t="str">
        <x:v>고객용 구성 칭찬과 여러 결과의 연결을 처음 다시 묻는다.</x:v>
      </x:c>
      <x:c r="E7" s="9" t="str">
        <x:v>표시·피드백·자료 원본 조합</x:v>
      </x:c>
      <x:c r="F7" s="9" t="str">
        <x:v>준비된 대상·측면·상황 관계 조회</x:v>
      </x:c>
    </x:row>
    <x:row r="8" ht="60" customHeight="1">
      <x:c r="A8" s="9" t="str">
        <x:v>G03</x:v>
      </x:c>
      <x:c r="B8" s="9" t="str">
        <x:v>비슷한 자료 중 선택</x:v>
      </x:c>
      <x:c r="C8" s="9" t="n">
        <x:v>10</x:v>
      </x:c>
      <x:c r="D8" s="9" t="str">
        <x:v>고객용과 내부용 자료의 이름·내용이 비슷하지만 칭찬 대상은 하나다.</x:v>
      </x:c>
      <x:c r="E8" s="9" t="str">
        <x:v>유사한 원본 사이 관계 판단</x:v>
      </x:c>
      <x:c r="F8" s="9" t="str">
        <x:v>피드백과 판본의 연결 활용</x:v>
      </x:c>
    </x:row>
    <x:row r="9" ht="60" customHeight="1">
      <x:c r="A9" s="9" t="str">
        <x:v>G04</x:v>
      </x:c>
      <x:c r="B9" s="9" t="str">
        <x:v>실제 본 판본과 최신 판본</x:v>
      </x:c>
      <x:c r="C9" s="9" t="n">
        <x:v>10</x:v>
      </x:c>
      <x:c r="D9" s="9" t="str">
        <x:v>사용자는 D2를 본 뒤 평가했다. 뒤에 생성된 D3는 아직 보지 않았다.</x:v>
      </x:c>
      <x:c r="E9" s="9" t="str">
        <x:v>열람·생성 시각을 구분</x:v>
      </x:c>
      <x:c r="F9" s="9" t="str">
        <x:v>실제 표시 판본을 포함한 관계 사용</x:v>
      </x:c>
    </x:row>
    <x:row r="10" ht="60" customHeight="1">
      <x:c r="A10" s="9" t="str">
        <x:v>G05</x:v>
      </x:c>
      <x:c r="B10" s="9" t="str">
        <x:v>피드백 정정과 무효화</x:v>
      </x:c>
      <x:c r="C10" s="9" t="n">
        <x:v>10</x:v>
      </x:c>
      <x:c r="D10" s="9" t="str">
        <x:v>F1의 선호를 F2가 D3로 정정했다. 과거 파생 관계는 dirty다.</x:v>
      </x:c>
      <x:c r="E10" s="9" t="str">
        <x:v>정정 원문과 현재 판본 조회</x:v>
      </x:c>
      <x:c r="F10" s="9" t="str">
        <x:v>무효 관계 제외 후 원본 보완; 갱신 비용 발생</x:v>
      </x:c>
    </x:row>
    <x:row r="11" ht="60" customHeight="1">
      <x:c r="A11" s="9" t="str">
        <x:v>G06</x:v>
      </x:c>
      <x:c r="B11" s="9" t="str">
        <x:v>대상 유지·사용 목적 변경</x:v>
      </x:c>
      <x:c r="C11" s="9" t="n">
        <x:v>10</x:v>
      </x:c>
      <x:c r="D11" s="9" t="str">
        <x:v>고객용으로 좋았던 D2를 내부회의용으로 바꾸고 단점부터 보여달라 한다.</x:v>
      </x:c>
      <x:c r="E11" s="9" t="str">
        <x:v>현재 목적과 원본 관계를 함께 해석</x:v>
      </x:c>
      <x:c r="F11" s="9" t="str">
        <x:v>대상은 재사용하되 새 목적 적용에 오류 가능</x:v>
      </x:c>
    </x:row>
    <x:row r="12" ht="60" customHeight="1">
      <x:c r="A12" s="9" t="str">
        <x:v>G07</x:v>
      </x:c>
      <x:c r="B12" s="9" t="str">
        <x:v>평가 측면·선호 범위 제한</x:v>
      </x:c>
      <x:c r="C12" s="9" t="n">
        <x:v>10</x:v>
      </x:c>
      <x:c r="D12" s="9" t="str">
        <x:v>구성만 좋았고 가격·문체는 평가하지 않았다. 과거 P 위임은 이번 업무 범위다.</x:v>
      </x:c>
      <x:c r="E12" s="9" t="str">
        <x:v>범위 제한을 원문에서 판단</x:v>
      </x:c>
      <x:c r="F12" s="9" t="str">
        <x:v>관계의 측면·상황을 활용; 전체 선호로 확대 위험</x:v>
      </x:c>
    </x:row>
    <x:row r="13" ht="60" customHeight="1">
      <x:c r="A13" s="9" t="str">
        <x:v>G08</x:v>
      </x:c>
      <x:c r="B13" s="9" t="str">
        <x:v>이미 확정한 관계 재사용</x:v>
      </x:c>
      <x:c r="C13" s="9" t="n">
        <x:v>10</x:v>
      </x:c>
      <x:c r="D13" s="9" t="str">
        <x:v>G02에서 확인된 동일 관계를 다시 쓴다. A에도 확정 관계가 제공된다.</x:v>
      </x:c>
      <x:c r="E13" s="9" t="str">
        <x:v>확정 사실 재사용</x:v>
      </x:c>
      <x:c r="F13" s="9" t="str">
        <x:v>기존 관계 재사용; 큰 추가 이득 없음</x:v>
      </x:c>
    </x:row>
    <x:row r="14" ht="60" customHeight="1">
      <x:c r="A14" s="9" t="str">
        <x:v>G09</x:v>
      </x:c>
      <x:c r="B14" s="9" t="str">
        <x:v>방금 받은 사건·미생산 관계</x:v>
      </x:c>
      <x:c r="C14" s="9" t="n">
        <x:v>10</x:v>
      </x:c>
      <x:c r="D14" s="9" t="str">
        <x:v>새 피드백은 원본에 있으나 B의 처리 cursor 뒤에 있어 파생 관계가 없다.</x:v>
      </x:c>
      <x:c r="E14" s="9" t="str">
        <x:v>새 원본 해석</x:v>
      </x:c>
      <x:c r="F14" s="9" t="str">
        <x:v>미확인 범위를 검출하고 같은 원본 해석</x:v>
      </x:c>
    </x:row>
    <x:row r="15" ht="60" customHeight="1">
      <x:c r="A15" s="9" t="str">
        <x:v>G10</x:v>
      </x:c>
      <x:c r="B15" s="9" t="str">
        <x:v>형식과 내용 출처 분리</x:v>
      </x:c>
      <x:c r="C15" s="9" t="n">
        <x:v>10</x:v>
      </x:c>
      <x:c r="D15" s="9" t="str">
        <x:v>D2의 구성만 재사용하고 내용은 신규 조사 N으로 바꾸며 가격을 제외한다.</x:v>
      </x:c>
      <x:c r="E15" s="9" t="str">
        <x:v>형식·내용·제외 조건의 관계 구성</x:v>
      </x:c>
      <x:c r="F15" s="9" t="str">
        <x:v>형식 관계 재사용; 과거 내용까지 가져올 위험</x:v>
      </x:c>
    </x:row>
    <x:row r="16">
      <x:c r="A16" s="1"/>
      <x:c r="B16" s="1"/>
      <x:c r="C16" s="1"/>
      <x:c r="D16" s="1"/>
      <x:c r="E16" s="1"/>
      <x:c r="F1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219999313354492" hidden="0" customWidth="1"/>
    <x:col min="2" max="2" width="9.4399995803833" hidden="0" customWidth="1"/>
    <x:col min="3" max="3" width="9.4399995803833" hidden="0" customWidth="1"/>
    <x:col min="4" max="4" width="43.33000183105469" hidden="0" customWidth="1"/>
    <x:col min="5" max="5" width="68.88999938964844" hidden="0" customWidth="1"/>
    <x:col min="6" max="6" width="26.670000076293945" hidden="0" customWidth="1"/>
    <x:col min="7" max="7" width="26.670000076293945" hidden="0" customWidth="1"/>
    <x:col min="8" max="8" width="77.77999877929688" hidden="0" customWidth="1"/>
    <x:col min="9" max="9" width="43.33000183105469" hidden="0" customWidth="1"/>
    <x:col min="10" max="10" width="43.3300018310546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입력과 정답 기준 100건 (합성)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설명용 합성 데이터. 목표 수치에 맞춰 작성한 사례·응답·시간·비용이며 실제 관측/LLM 실행/통계 표본이 아님.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8" customHeight="1">
      <x:c r="A5" s="7" t="str">
        <x:v>사례 ID</x:v>
      </x:c>
      <x:c r="B5" s="7" t="str">
        <x:v>사례군</x:v>
      </x:c>
      <x:c r="C5" s="7" t="str">
        <x:v>프로젝트</x:v>
      </x:c>
      <x:c r="D5" s="7" t="str">
        <x:v>공통 사전 조건</x:v>
      </x:c>
      <x:c r="E5" s="7" t="str">
        <x:v>사용자 입력</x:v>
      </x:c>
      <x:c r="F5" s="7" t="str">
        <x:v>QA02 지칭 표현</x:v>
      </x:c>
      <x:c r="G5" s="7" t="str">
        <x:v>정답 대상 집합</x:v>
      </x:c>
      <x:c r="H5" s="7" t="str">
        <x:v>QA07 필수 의미</x:v>
      </x:c>
      <x:c r="I5" s="7" t="str">
        <x:v>근거 source ID</x:v>
      </x:c>
      <x:c r="J5" s="7" t="str">
        <x:v>B 관계 상태</x:v>
      </x:c>
    </x:row>
    <x:row r="6" ht="85" customHeight="1">
      <x:c r="A6" s="9" t="str">
        <x:v>SYN-G01-01</x:v>
      </x:c>
      <x:c r="B6" s="9" t="str">
        <x:v>G01</x:v>
      </x:c>
      <x:c r="C6" s="9" t="str">
        <x:v>새봄</x:v>
      </x:c>
      <x:c r="D6" s="9" t="str">
        <x:v>정확한 자료 ID와 확정 조건. 의미 관계를 새로 해석할 필요가 적다.</x:v>
      </x:c>
      <x:c r="E6" s="9" t="str">
        <x:v>새봄의 협업 도구 도입 건에서 P1-G01-D2@v1의 구성을 활용해 외부 고객용 발표자료를 발표 Agent P1에게 맡겨줘. P1-G01-N@v1를 사용하고, 신규 조사로 수치 교체; 표는 2개 이내. 기존 조사 작업은 계속해줘.</x:v>
      </x:c>
      <x:c r="F6" s="9" t="str">
        <x:v>P1-G01-D2@v1</x:v>
      </x:c>
      <x:c r="G6" s="9" t="str">
        <x:v>["P1-G01-D2@v1"]</x:v>
      </x:c>
      <x:c r="H6" s="9" t="str">
        <x:v>{"goal":"협업 도구 도입 후속 발표자료 작성","aspect":"구성","audience":"외부 고객","condition":"신규 조사로 수치 교체; 표는 2개 이내","data":"P1-G01-N@v1","agent":"발표 Agent P1","taskRelation":"별도 발표 작업 생성; 기존 조사 작업 유지"}</x:v>
      </x:c>
      <x:c r="I6" s="9" t="str">
        <x:v>P1-G01-DISPLAY, P1-G01-F1, P1-G01-EXEC</x:v>
      </x:c>
      <x:c r="J6" s="9" t="str">
        <x:v>공통 명시 사실 직접 조회</x:v>
      </x:c>
    </x:row>
    <x:row r="7" ht="85" customHeight="1">
      <x:c r="A7" s="9" t="str">
        <x:v>SYN-G01-02</x:v>
      </x:c>
      <x:c r="B7" s="9" t="str">
        <x:v>G01</x:v>
      </x:c>
      <x:c r="C7" s="9" t="str">
        <x:v>해솔</x:v>
      </x:c>
      <x:c r="D7" s="9" t="str">
        <x:v>정확한 자료 ID와 확정 조건. 의미 관계를 새로 해석할 필요가 적다.</x:v>
      </x:c>
      <x:c r="E7" s="9" t="str">
        <x:v>해솔의 고객지원 시스템 교체 건에서 P2-G01-D2@v1의 구성을 활용해 외부 고객용 발표자료를 발표 Agent P2에게 맡겨줘. P2-G01-N@v1를 사용하고, 신규 조사로 수치 교체; 표는 3개 이내. 기존 조사 작업은 계속해줘.</x:v>
      </x:c>
      <x:c r="F7" s="9" t="str">
        <x:v>P2-G01-D2@v1</x:v>
      </x:c>
      <x:c r="G7" s="9" t="str">
        <x:v>["P2-G01-D2@v1"]</x:v>
      </x:c>
      <x:c r="H7" s="9" t="str">
        <x:v>{"goal":"고객지원 시스템 교체 후속 발표자료 작성","aspect":"구성","audience":"외부 고객","condition":"신규 조사로 수치 교체; 표는 3개 이내","data":"P2-G01-N@v1","agent":"발표 Agent P2","taskRelation":"별도 발표 작업 생성; 기존 조사 작업 유지"}</x:v>
      </x:c>
      <x:c r="I7" s="9" t="str">
        <x:v>P2-G01-DISPLAY, P2-G01-F1, P2-G01-EXEC</x:v>
      </x:c>
      <x:c r="J7" s="9" t="str">
        <x:v>공통 명시 사실 직접 조회</x:v>
      </x:c>
    </x:row>
    <x:row r="8" ht="85" customHeight="1">
      <x:c r="A8" s="9" t="str">
        <x:v>SYN-G01-03</x:v>
      </x:c>
      <x:c r="B8" s="9" t="str">
        <x:v>G01</x:v>
      </x:c>
      <x:c r="C8" s="9" t="str">
        <x:v>가온</x:v>
      </x:c>
      <x:c r="D8" s="9" t="str">
        <x:v>정확한 자료 ID와 확정 조건. 의미 관계를 새로 해석할 필요가 적다.</x:v>
      </x:c>
      <x:c r="E8" s="9" t="str">
        <x:v>가온의 물류 현황 보고 건에서 P3-G01-D2@v1의 구성을 활용해 외부 고객용 발표자료를 발표 Agent P3에게 맡겨줘. P3-G01-N@v1를 사용하고, 신규 조사로 수치 교체; 표는 4개 이내. 기존 조사 작업은 계속해줘.</x:v>
      </x:c>
      <x:c r="F8" s="9" t="str">
        <x:v>P3-G01-D2@v1</x:v>
      </x:c>
      <x:c r="G8" s="9" t="str">
        <x:v>["P3-G01-D2@v1"]</x:v>
      </x:c>
      <x:c r="H8" s="9" t="str">
        <x:v>{"goal":"물류 현황 보고 후속 발표자료 작성","aspect":"구성","audience":"외부 고객","condition":"신규 조사로 수치 교체; 표는 4개 이내","data":"P3-G01-N@v1","agent":"발표 Agent P3","taskRelation":"별도 발표 작업 생성; 기존 조사 작업 유지"}</x:v>
      </x:c>
      <x:c r="I8" s="9" t="str">
        <x:v>P3-G01-DISPLAY, P3-G01-F1, P3-G01-EXEC</x:v>
      </x:c>
      <x:c r="J8" s="9" t="str">
        <x:v>공통 명시 사실 직접 조회</x:v>
      </x:c>
    </x:row>
    <x:row r="9" ht="85" customHeight="1">
      <x:c r="A9" s="9" t="str">
        <x:v>SYN-G01-04</x:v>
      </x:c>
      <x:c r="B9" s="9" t="str">
        <x:v>G01</x:v>
      </x:c>
      <x:c r="C9" s="9" t="str">
        <x:v>누리</x:v>
      </x:c>
      <x:c r="D9" s="9" t="str">
        <x:v>정확한 자료 ID와 확정 조건. 의미 관계를 새로 해석할 필요가 적다.</x:v>
      </x:c>
      <x:c r="E9" s="9" t="str">
        <x:v>누리의 매장 운영 개선 건에서 P4-G01-D2@v1의 구성을 활용해 외부 고객용 발표자료를 발표 Agent P4에게 맡겨줘. P4-G01-N@v1를 사용하고, 신규 조사로 수치 교체; 표는 5개 이내. 기존 조사 작업은 계속해줘.</x:v>
      </x:c>
      <x:c r="F9" s="9" t="str">
        <x:v>P4-G01-D2@v1</x:v>
      </x:c>
      <x:c r="G9" s="9" t="str">
        <x:v>["P4-G01-D2@v1"]</x:v>
      </x:c>
      <x:c r="H9" s="9" t="str">
        <x:v>{"goal":"매장 운영 개선 후속 발표자료 작성","aspect":"구성","audience":"외부 고객","condition":"신규 조사로 수치 교체; 표는 5개 이내","data":"P4-G01-N@v1","agent":"발표 Agent P4","taskRelation":"별도 발표 작업 생성; 기존 조사 작업 유지"}</x:v>
      </x:c>
      <x:c r="I9" s="9" t="str">
        <x:v>P4-G01-DISPLAY, P4-G01-F1, P4-G01-EXEC</x:v>
      </x:c>
      <x:c r="J9" s="9" t="str">
        <x:v>공통 명시 사실 직접 조회</x:v>
      </x:c>
    </x:row>
    <x:row r="10" ht="85" customHeight="1">
      <x:c r="A10" s="9" t="str">
        <x:v>SYN-G01-05</x:v>
      </x:c>
      <x:c r="B10" s="9" t="str">
        <x:v>G01</x:v>
      </x:c>
      <x:c r="C10" s="9" t="str">
        <x:v>다온</x:v>
      </x:c>
      <x:c r="D10" s="9" t="str">
        <x:v>정확한 자료 ID와 확정 조건. 의미 관계를 새로 해석할 필요가 적다.</x:v>
      </x:c>
      <x:c r="E10" s="9" t="str">
        <x:v>다온의 교육 과정 개편 건에서 P5-G01-D2@v1의 구성을 활용해 외부 고객용 발표자료를 발표 Agent P5에게 맡겨줘. P5-G01-N@v1를 사용하고, 신규 조사로 수치 교체; 표는 6개 이내. 기존 조사 작업은 계속해줘.</x:v>
      </x:c>
      <x:c r="F10" s="9" t="str">
        <x:v>P5-G01-D2@v1</x:v>
      </x:c>
      <x:c r="G10" s="9" t="str">
        <x:v>["P5-G01-D2@v1"]</x:v>
      </x:c>
      <x:c r="H10" s="9" t="str">
        <x:v>{"goal":"교육 과정 개편 후속 발표자료 작성","aspect":"구성","audience":"외부 고객","condition":"신규 조사로 수치 교체; 표는 6개 이내","data":"P5-G01-N@v1","agent":"발표 Agent P5","taskRelation":"별도 발표 작업 생성; 기존 조사 작업 유지"}</x:v>
      </x:c>
      <x:c r="I10" s="9" t="str">
        <x:v>P5-G01-DISPLAY, P5-G01-F1, P5-G01-EXEC</x:v>
      </x:c>
      <x:c r="J10" s="9" t="str">
        <x:v>공통 명시 사실 직접 조회</x:v>
      </x:c>
    </x:row>
    <x:row r="11" ht="85" customHeight="1">
      <x:c r="A11" s="9" t="str">
        <x:v>SYN-G01-06</x:v>
      </x:c>
      <x:c r="B11" s="9" t="str">
        <x:v>G01</x:v>
      </x:c>
      <x:c r="C11" s="9" t="str">
        <x:v>마루</x:v>
      </x:c>
      <x:c r="D11" s="9" t="str">
        <x:v>정확한 자료 ID와 확정 조건. 의미 관계를 새로 해석할 필요가 적다.</x:v>
      </x:c>
      <x:c r="E11" s="9" t="str">
        <x:v>마루의 제품 출시 계획 건에서 P6-G01-D2@v1의 구성을 활용해 외부 고객용 발표자료를 발표 Agent P6에게 맡겨줘. P6-G01-N@v1를 사용하고, 신규 조사로 수치 교체; 표는 7개 이내. 기존 조사 작업은 계속해줘.</x:v>
      </x:c>
      <x:c r="F11" s="9" t="str">
        <x:v>P6-G01-D2@v1</x:v>
      </x:c>
      <x:c r="G11" s="9" t="str">
        <x:v>["P6-G01-D2@v1"]</x:v>
      </x:c>
      <x:c r="H11" s="9" t="str">
        <x:v>{"goal":"제품 출시 계획 후속 발표자료 작성","aspect":"구성","audience":"외부 고객","condition":"신규 조사로 수치 교체; 표는 7개 이내","data":"P6-G01-N@v1","agent":"발표 Agent P6","taskRelation":"별도 발표 작업 생성; 기존 조사 작업 유지"}</x:v>
      </x:c>
      <x:c r="I11" s="9" t="str">
        <x:v>P6-G01-DISPLAY, P6-G01-F1, P6-G01-EXEC</x:v>
      </x:c>
      <x:c r="J11" s="9" t="str">
        <x:v>공통 명시 사실 직접 조회</x:v>
      </x:c>
    </x:row>
    <x:row r="12" ht="85" customHeight="1">
      <x:c r="A12" s="9" t="str">
        <x:v>SYN-G01-07</x:v>
      </x:c>
      <x:c r="B12" s="9" t="str">
        <x:v>G01</x:v>
      </x:c>
      <x:c r="C12" s="9" t="str">
        <x:v>이든</x:v>
      </x:c>
      <x:c r="D12" s="9" t="str">
        <x:v>정확한 자료 ID와 확정 조건. 의미 관계를 새로 해석할 필요가 적다.</x:v>
      </x:c>
      <x:c r="E12" s="9" t="str">
        <x:v>이든의 연구 장비 도입 건에서 P7-G01-D2@v1의 구성을 활용해 외부 고객용 발표자료를 발표 Agent P7에게 맡겨줘. P7-G01-N@v1를 사용하고, 신규 조사로 수치 교체; 표는 8개 이내. 기존 조사 작업은 계속해줘.</x:v>
      </x:c>
      <x:c r="F12" s="9" t="str">
        <x:v>P7-G01-D2@v1</x:v>
      </x:c>
      <x:c r="G12" s="9" t="str">
        <x:v>["P7-G01-D2@v1"]</x:v>
      </x:c>
      <x:c r="H12" s="9" t="str">
        <x:v>{"goal":"연구 장비 도입 후속 발표자료 작성","aspect":"구성","audience":"외부 고객","condition":"신규 조사로 수치 교체; 표는 8개 이내","data":"P7-G01-N@v1","agent":"발표 Agent P7","taskRelation":"별도 발표 작업 생성; 기존 조사 작업 유지"}</x:v>
      </x:c>
      <x:c r="I12" s="9" t="str">
        <x:v>P7-G01-DISPLAY, P7-G01-F1, P7-G01-EXEC</x:v>
      </x:c>
      <x:c r="J12" s="9" t="str">
        <x:v>공통 명시 사실 직접 조회</x:v>
      </x:c>
    </x:row>
    <x:row r="13" ht="85" customHeight="1">
      <x:c r="A13" s="9" t="str">
        <x:v>SYN-G01-08</x:v>
      </x:c>
      <x:c r="B13" s="9" t="str">
        <x:v>G01</x:v>
      </x:c>
      <x:c r="C13" s="9" t="str">
        <x:v>라온</x:v>
      </x:c>
      <x:c r="D13" s="9" t="str">
        <x:v>정확한 자료 ID와 확정 조건. 의미 관계를 새로 해석할 필요가 적다.</x:v>
      </x:c>
      <x:c r="E13" s="9" t="str">
        <x:v>라온의 사무공간 이전 건에서 P8-G01-D2@v1의 구성을 활용해 외부 고객용 발표자료를 발표 Agent P8에게 맡겨줘. P8-G01-N@v1를 사용하고, 신규 조사로 수치 교체; 표는 9개 이내. 기존 조사 작업은 계속해줘.</x:v>
      </x:c>
      <x:c r="F13" s="9" t="str">
        <x:v>P8-G01-D2@v1</x:v>
      </x:c>
      <x:c r="G13" s="9" t="str">
        <x:v>["P8-G01-D2@v1"]</x:v>
      </x:c>
      <x:c r="H13" s="9" t="str">
        <x:v>{"goal":"사무공간 이전 후속 발표자료 작성","aspect":"구성","audience":"외부 고객","condition":"신규 조사로 수치 교체; 표는 9개 이내","data":"P8-G01-N@v1","agent":"발표 Agent P8","taskRelation":"별도 발표 작업 생성; 기존 조사 작업 유지"}</x:v>
      </x:c>
      <x:c r="I13" s="9" t="str">
        <x:v>P8-G01-DISPLAY, P8-G01-F1, P8-G01-EXEC</x:v>
      </x:c>
      <x:c r="J13" s="9" t="str">
        <x:v>공통 명시 사실 직접 조회</x:v>
      </x:c>
    </x:row>
    <x:row r="14" ht="85" customHeight="1">
      <x:c r="A14" s="9" t="str">
        <x:v>SYN-G01-09</x:v>
      </x:c>
      <x:c r="B14" s="9" t="str">
        <x:v>G01</x:v>
      </x:c>
      <x:c r="C14" s="9" t="str">
        <x:v>한결</x:v>
      </x:c>
      <x:c r="D14" s="9" t="str">
        <x:v>정확한 자료 ID와 확정 조건. 의미 관계를 새로 해석할 필요가 적다.</x:v>
      </x:c>
      <x:c r="E14" s="9" t="str">
        <x:v>한결의 서비스 품질 개선 건에서 P9-G01-D2@v1의 구성을 활용해 외부 고객용 발표자료를 발표 Agent P9에게 맡겨줘. P9-G01-N@v1를 사용하고, 신규 조사로 수치 교체; 표는 10개 이내. 기존 조사 작업은 계속해줘.</x:v>
      </x:c>
      <x:c r="F14" s="9" t="str">
        <x:v>P9-G01-D2@v1</x:v>
      </x:c>
      <x:c r="G14" s="9" t="str">
        <x:v>["P9-G01-D2@v1"]</x:v>
      </x:c>
      <x:c r="H14" s="9" t="str">
        <x:v>{"goal":"서비스 품질 개선 후속 발표자료 작성","aspect":"구성","audience":"외부 고객","condition":"신규 조사로 수치 교체; 표는 10개 이내","data":"P9-G01-N@v1","agent":"발표 Agent P9","taskRelation":"별도 발표 작업 생성; 기존 조사 작업 유지"}</x:v>
      </x:c>
      <x:c r="I14" s="9" t="str">
        <x:v>P9-G01-DISPLAY, P9-G01-F1, P9-G01-EXEC</x:v>
      </x:c>
      <x:c r="J14" s="9" t="str">
        <x:v>공통 명시 사실 직접 조회</x:v>
      </x:c>
    </x:row>
    <x:row r="15" ht="85" customHeight="1">
      <x:c r="A15" s="9" t="str">
        <x:v>SYN-G01-10</x:v>
      </x:c>
      <x:c r="B15" s="9" t="str">
        <x:v>G01</x:v>
      </x:c>
      <x:c r="C15" s="9" t="str">
        <x:v>온유</x:v>
      </x:c>
      <x:c r="D15" s="9" t="str">
        <x:v>정확한 자료 ID와 확정 조건. 의미 관계를 새로 해석할 필요가 적다.</x:v>
      </x:c>
      <x:c r="E15" s="9" t="str">
        <x:v>온유의 파트너 제휴 검토 건에서 P10-G01-D2@v1의 구성을 활용해 외부 고객용 발표자료를 발표 Agent P10에게 맡겨줘. P10-G01-N@v1를 사용하고, 신규 조사로 수치 교체; 표는 11개 이내. 기존 조사 작업은 계속해줘.</x:v>
      </x:c>
      <x:c r="F15" s="9" t="str">
        <x:v>P10-G01-D2@v1</x:v>
      </x:c>
      <x:c r="G15" s="9" t="str">
        <x:v>["P10-G01-D2@v1"]</x:v>
      </x:c>
      <x:c r="H15" s="9" t="str">
        <x:v>{"goal":"파트너 제휴 검토 후속 발표자료 작성","aspect":"구성","audience":"외부 고객","condition":"신규 조사로 수치 교체; 표는 11개 이내","data":"P10-G01-N@v1","agent":"발표 Agent P10","taskRelation":"별도 발표 작업 생성; 기존 조사 작업 유지"}</x:v>
      </x:c>
      <x:c r="I15" s="9" t="str">
        <x:v>P10-G01-DISPLAY, P10-G01-F1, P10-G01-EXEC</x:v>
      </x:c>
      <x:c r="J15" s="9" t="str">
        <x:v>공통 명시 사실 직접 조회</x:v>
      </x:c>
    </x:row>
    <x:row r="16" ht="85" customHeight="1">
      <x:c r="A16" s="9" t="str">
        <x:v>SYN-G02-01</x:v>
      </x:c>
      <x:c r="B16" s="9" t="str">
        <x:v>G02</x:v>
      </x:c>
      <x:c r="C16" s="9" t="str">
        <x:v>새봄</x:v>
      </x:c>
      <x:c r="D16" s="9" t="str">
        <x:v>고객용 구성 칭찬과 여러 결과의 연결을 처음 다시 묻는다.</x:v>
      </x:c>
      <x:c r="E16" s="9" t="str">
        <x:v>새봄의 협업 도구 도입 건에서 고객용 구성이 좋다고 했던 자료의 구성을 활용해 외부 고객용 발표자료를 발표 Agent P1에게 맡겨줘. P1-G02-N@v1를 사용하고, 신규 조사로 수치 교체; 표는 2개 이내. 기존 조사 작업은 계속해줘.</x:v>
      </x:c>
      <x:c r="F16" s="9" t="str">
        <x:v>고객용 구성이 좋다고 했던 자료</x:v>
      </x:c>
      <x:c r="G16" s="9" t="str">
        <x:v>["P1-G02-D2@v1"]</x:v>
      </x:c>
      <x:c r="H16" s="9" t="str">
        <x:v>{"goal":"협업 도구 도입 후속 발표자료 작성","aspect":"구성","audience":"외부 고객","condition":"신규 조사로 수치 교체; 표는 2개 이내","data":"P1-G02-N@v1","agent":"발표 Agent P1","taskRelation":"별도 발표 작업 생성; 기존 조사 작업 유지"}</x:v>
      </x:c>
      <x:c r="I16" s="9" t="str">
        <x:v>P1-G02-DISPLAY, P1-G02-F1, P1-G02-EXEC</x:v>
      </x:c>
      <x:c r="J16" s="9" t="str">
        <x:v>valid/supported: P1-G02-D2@v1, 구성, 외부 고객, F1·DISPLAY 의존; valid는 의미 정답 보증 아님</x:v>
      </x:c>
    </x:row>
    <x:row r="17" ht="85" customHeight="1">
      <x:c r="A17" s="9" t="str">
        <x:v>SYN-G02-02</x:v>
      </x:c>
      <x:c r="B17" s="9" t="str">
        <x:v>G02</x:v>
      </x:c>
      <x:c r="C17" s="9" t="str">
        <x:v>해솔</x:v>
      </x:c>
      <x:c r="D17" s="9" t="str">
        <x:v>고객용 구성 칭찬과 여러 결과의 연결을 처음 다시 묻는다.</x:v>
      </x:c>
      <x:c r="E17" s="9" t="str">
        <x:v>해솔의 고객지원 시스템 교체 건에서 지난번 고객 설명에 쓰기 좋다고 한 구성의 자료의 구성을 활용해 외부 고객용 발표자료를 발표 Agent P2에게 맡겨줘. P2-G02-N@v1를 사용하고, 신규 조사로 수치 교체; 표는 3개 이내. 기존 조사 작업은 계속해줘.</x:v>
      </x:c>
      <x:c r="F17" s="9" t="str">
        <x:v>지난번 고객 설명에 쓰기 좋다고 한 구성의 자료</x:v>
      </x:c>
      <x:c r="G17" s="9" t="str">
        <x:v>["P2-G02-D2@v1"]</x:v>
      </x:c>
      <x:c r="H17" s="9" t="str">
        <x:v>{"goal":"고객지원 시스템 교체 후속 발표자료 작성","aspect":"구성","audience":"외부 고객","condition":"신규 조사로 수치 교체; 표는 3개 이내","data":"P2-G02-N@v1","agent":"발표 Agent P2","taskRelation":"별도 발표 작업 생성; 기존 조사 작업 유지"}</x:v>
      </x:c>
      <x:c r="I17" s="9" t="str">
        <x:v>P2-G02-DISPLAY, P2-G02-F1, P2-G02-EXEC</x:v>
      </x:c>
      <x:c r="J17" s="9" t="str">
        <x:v>valid/supported: P2-G02-D2@v1, 구성, 외부 고객, F1·DISPLAY 의존; valid는 의미 정답 보증 아님</x:v>
      </x:c>
    </x:row>
    <x:row r="18" ht="85" customHeight="1">
      <x:c r="A18" s="9" t="str">
        <x:v>SYN-G02-03</x:v>
      </x:c>
      <x:c r="B18" s="9" t="str">
        <x:v>G02</x:v>
      </x:c>
      <x:c r="C18" s="9" t="str">
        <x:v>가온</x:v>
      </x:c>
      <x:c r="D18" s="9" t="str">
        <x:v>고객용 구성 칭찬과 여러 결과의 연결을 처음 다시 묻는다.</x:v>
      </x:c>
      <x:c r="E18" s="9" t="str">
        <x:v>가온의 물류 현황 보고 건에서 고객 앞에서 보여주기 낫다고 평가했던 쪽의 구성을 활용해 외부 고객용 발표자료를 발표 Agent P3에게 맡겨줘. P3-G02-N@v1를 사용하고, 신규 조사로 수치 교체; 표는 4개 이내. 기존 조사 작업은 계속해줘.</x:v>
      </x:c>
      <x:c r="F18" s="9" t="str">
        <x:v>고객 앞에서 보여주기 낫다고 평가했던 쪽</x:v>
      </x:c>
      <x:c r="G18" s="9" t="str">
        <x:v>["P3-G02-D2@v1"]</x:v>
      </x:c>
      <x:c r="H18" s="9" t="str">
        <x:v>{"goal":"물류 현황 보고 후속 발표자료 작성","aspect":"구성","audience":"외부 고객","condition":"신규 조사로 수치 교체; 표는 4개 이내","data":"P3-G02-N@v1","agent":"발표 Agent P3","taskRelation":"별도 발표 작업 생성; 기존 조사 작업 유지"}</x:v>
      </x:c>
      <x:c r="I18" s="9" t="str">
        <x:v>P3-G02-DISPLAY, P3-G02-F1, P3-G02-EXEC</x:v>
      </x:c>
      <x:c r="J18" s="9" t="str">
        <x:v>valid/supported: P3-G02-D2@v1, 구성, 외부 고객, F1·DISPLAY 의존; valid는 의미 정답 보증 아님</x:v>
      </x:c>
    </x:row>
    <x:row r="19" ht="85" customHeight="1">
      <x:c r="A19" s="9" t="str">
        <x:v>SYN-G02-04</x:v>
      </x:c>
      <x:c r="B19" s="9" t="str">
        <x:v>G02</x:v>
      </x:c>
      <x:c r="C19" s="9" t="str">
        <x:v>누리</x:v>
      </x:c>
      <x:c r="D19" s="9" t="str">
        <x:v>고객용 구성 칭찬과 여러 결과의 연결을 처음 다시 묻는다.</x:v>
      </x:c>
      <x:c r="E19" s="9" t="str">
        <x:v>누리의 매장 운영 개선 건에서 내가 고객용 구성을 칭찬했던 자료의 구성을 활용해 외부 고객용 발표자료를 발표 Agent P4에게 맡겨줘. P4-G02-N@v1를 사용하고, 신규 조사로 수치 교체; 표는 5개 이내. 기존 조사 작업은 계속해줘.</x:v>
      </x:c>
      <x:c r="F19" s="9" t="str">
        <x:v>내가 고객용 구성을 칭찬했던 자료</x:v>
      </x:c>
      <x:c r="G19" s="9" t="str">
        <x:v>["P4-G02-D2@v1"]</x:v>
      </x:c>
      <x:c r="H19" s="9" t="str">
        <x:v>{"goal":"매장 운영 개선 후속 발표자료 작성","aspect":"구성","audience":"외부 고객","condition":"신규 조사로 수치 교체; 표는 5개 이내","data":"P4-G02-N@v1","agent":"발표 Agent P4","taskRelation":"별도 발표 작업 생성; 기존 조사 작업 유지"}</x:v>
      </x:c>
      <x:c r="I19" s="9" t="str">
        <x:v>P4-G02-DISPLAY, P4-G02-F1, P4-G02-EXEC</x:v>
      </x:c>
      <x:c r="J19" s="9" t="str">
        <x:v>valid/supported: P4-G02-D2@v1, 구성, 외부 고객, F1·DISPLAY 의존; valid는 의미 정답 보증 아님</x:v>
      </x:c>
    </x:row>
    <x:row r="20" ht="85" customHeight="1">
      <x:c r="A20" s="9" t="str">
        <x:v>SYN-G02-05</x:v>
      </x:c>
      <x:c r="B20" s="9" t="str">
        <x:v>G02</x:v>
      </x:c>
      <x:c r="C20" s="9" t="str">
        <x:v>다온</x:v>
      </x:c>
      <x:c r="D20" s="9" t="str">
        <x:v>고객용 구성 칭찬과 여러 결과의 연결을 처음 다시 묻는다.</x:v>
      </x:c>
      <x:c r="E20" s="9" t="str">
        <x:v>다온의 교육 과정 개편 건에서 고객 설명에 맞는다고 골랐던 구성의 자료의 구성을 활용해 외부 고객용 발표자료를 발표 Agent P5에게 맡겨줘. P5-G02-N@v1를 사용하고, 신규 조사로 수치 교체; 표는 6개 이내. 기존 조사 작업은 계속해줘.</x:v>
      </x:c>
      <x:c r="F20" s="9" t="str">
        <x:v>고객 설명에 맞는다고 골랐던 구성의 자료</x:v>
      </x:c>
      <x:c r="G20" s="9" t="str">
        <x:v>["P5-G02-D2@v1"]</x:v>
      </x:c>
      <x:c r="H20" s="9" t="str">
        <x:v>{"goal":"교육 과정 개편 후속 발표자료 작성","aspect":"구성","audience":"외부 고객","condition":"신규 조사로 수치 교체; 표는 6개 이내","data":"P5-G02-N@v1","agent":"발표 Agent P5","taskRelation":"별도 발표 작업 생성; 기존 조사 작업 유지"}</x:v>
      </x:c>
      <x:c r="I20" s="9" t="str">
        <x:v>P5-G02-DISPLAY, P5-G02-F1, P5-G02-EXEC</x:v>
      </x:c>
      <x:c r="J20" s="9" t="str">
        <x:v>valid/supported: P5-G02-D2@v1, 구성, 외부 고객, F1·DISPLAY 의존; valid는 의미 정답 보증 아님</x:v>
      </x:c>
    </x:row>
    <x:row r="21" ht="85" customHeight="1">
      <x:c r="A21" s="9" t="str">
        <x:v>SYN-G02-06</x:v>
      </x:c>
      <x:c r="B21" s="9" t="str">
        <x:v>G02</x:v>
      </x:c>
      <x:c r="C21" s="9" t="str">
        <x:v>마루</x:v>
      </x:c>
      <x:c r="D21" s="9" t="str">
        <x:v>고객용 구성 칭찬과 여러 결과의 연결을 처음 다시 묻는다.</x:v>
      </x:c>
      <x:c r="E21" s="9" t="str">
        <x:v>마루의 제품 출시 계획 건에서 고객에게 보여주자고 했던 구성의 자료의 구성을 활용해 외부 고객용 발표자료를 발표 Agent P6에게 맡겨줘. P6-G02-N@v1를 사용하고, 신규 조사로 수치 교체; 표는 7개 이내. 기존 조사 작업은 계속해줘.</x:v>
      </x:c>
      <x:c r="F21" s="9" t="str">
        <x:v>고객에게 보여주자고 했던 구성의 자료</x:v>
      </x:c>
      <x:c r="G21" s="9" t="str">
        <x:v>["P6-G02-D2@v1"]</x:v>
      </x:c>
      <x:c r="H21" s="9" t="str">
        <x:v>{"goal":"제품 출시 계획 후속 발표자료 작성","aspect":"구성","audience":"외부 고객","condition":"신규 조사로 수치 교체; 표는 7개 이내","data":"P6-G02-N@v1","agent":"발표 Agent P6","taskRelation":"별도 발표 작업 생성; 기존 조사 작업 유지"}</x:v>
      </x:c>
      <x:c r="I21" s="9" t="str">
        <x:v>P6-G02-DISPLAY, P6-G02-F1, P6-G02-EXEC</x:v>
      </x:c>
      <x:c r="J21" s="9" t="str">
        <x:v>valid/supported: P6-G02-D2@v1, 구성, 외부 고객, F1·DISPLAY 의존; valid는 의미 정답 보증 아님</x:v>
      </x:c>
    </x:row>
    <x:row r="22" ht="85" customHeight="1">
      <x:c r="A22" s="9" t="str">
        <x:v>SYN-G02-07</x:v>
      </x:c>
      <x:c r="B22" s="9" t="str">
        <x:v>G02</x:v>
      </x:c>
      <x:c r="C22" s="9" t="str">
        <x:v>이든</x:v>
      </x:c>
      <x:c r="D22" s="9" t="str">
        <x:v>고객용 구성 칭찬과 여러 결과의 연결을 처음 다시 묻는다.</x:v>
      </x:c>
      <x:c r="E22" s="9" t="str">
        <x:v>이든의 연구 장비 도입 건에서 고객용은 구성이 더 좋다고 했던 쪽의 구성을 활용해 외부 고객용 발표자료를 발표 Agent P7에게 맡겨줘. P7-G02-N@v1를 사용하고, 신규 조사로 수치 교체; 표는 8개 이내. 기존 조사 작업은 계속해줘.</x:v>
      </x:c>
      <x:c r="F22" s="9" t="str">
        <x:v>고객용은 구성이 더 좋다고 했던 쪽</x:v>
      </x:c>
      <x:c r="G22" s="9" t="str">
        <x:v>["P7-G02-D2@v1"]</x:v>
      </x:c>
      <x:c r="H22" s="9" t="str">
        <x:v>{"goal":"연구 장비 도입 후속 발표자료 작성","aspect":"구성","audience":"외부 고객","condition":"신규 조사로 수치 교체; 표는 8개 이내","data":"P7-G02-N@v1","agent":"발표 Agent P7","taskRelation":"별도 발표 작업 생성; 기존 조사 작업 유지"}</x:v>
      </x:c>
      <x:c r="I22" s="9" t="str">
        <x:v>P7-G02-DISPLAY, P7-G02-F1, P7-G02-EXEC</x:v>
      </x:c>
      <x:c r="J22" s="9" t="str">
        <x:v>valid/supported: P7-G02-D2@v1, 구성, 외부 고객, F1·DISPLAY 의존; valid는 의미 정답 보증 아님</x:v>
      </x:c>
    </x:row>
    <x:row r="23" ht="85" customHeight="1">
      <x:c r="A23" s="9" t="str">
        <x:v>SYN-G02-08</x:v>
      </x:c>
      <x:c r="B23" s="9" t="str">
        <x:v>G02</x:v>
      </x:c>
      <x:c r="C23" s="9" t="str">
        <x:v>라온</x:v>
      </x:c>
      <x:c r="D23" s="9" t="str">
        <x:v>고객용 구성 칭찬과 여러 결과의 연결을 처음 다시 묻는다.</x:v>
      </x:c>
      <x:c r="E23" s="9" t="str">
        <x:v>라온의 사무공간 이전 건에서 지난 피드백에서 고객용으로 선호한 구성의 자료의 구성을 활용해 외부 고객용 발표자료를 발표 Agent P8에게 맡겨줘. P8-G02-N@v1를 사용하고, 신규 조사로 수치 교체; 표는 9개 이내. 기존 조사 작업은 계속해줘.</x:v>
      </x:c>
      <x:c r="F23" s="9" t="str">
        <x:v>지난 피드백에서 고객용으로 선호한 구성의 자료</x:v>
      </x:c>
      <x:c r="G23" s="9" t="str">
        <x:v>["P8-G02-D2@v1"]</x:v>
      </x:c>
      <x:c r="H23" s="9" t="str">
        <x:v>{"goal":"사무공간 이전 후속 발표자료 작성","aspect":"구성","audience":"외부 고객","condition":"신규 조사로 수치 교체; 표는 9개 이내","data":"P8-G02-N@v1","agent":"발표 Agent P8","taskRelation":"별도 발표 작업 생성; 기존 조사 작업 유지"}</x:v>
      </x:c>
      <x:c r="I23" s="9" t="str">
        <x:v>P8-G02-DISPLAY, P8-G02-F1, P8-G02-EXEC</x:v>
      </x:c>
      <x:c r="J23" s="9" t="str">
        <x:v>valid/supported: P8-G02-D2@v1, 구성, 외부 고객, F1·DISPLAY 의존; valid는 의미 정답 보증 아님</x:v>
      </x:c>
    </x:row>
    <x:row r="24" ht="85" customHeight="1">
      <x:c r="A24" s="9" t="str">
        <x:v>SYN-G02-09</x:v>
      </x:c>
      <x:c r="B24" s="9" t="str">
        <x:v>G02</x:v>
      </x:c>
      <x:c r="C24" s="9" t="str">
        <x:v>한결</x:v>
      </x:c>
      <x:c r="D24" s="9" t="str">
        <x:v>고객용 구성 칭찬과 여러 결과의 연결을 처음 다시 묻는다.</x:v>
      </x:c>
      <x:c r="E24" s="9" t="str">
        <x:v>한결의 서비스 품질 개선 건에서 고객에게 설명하기 편하다고 했던 자료의 구성을 활용해 외부 고객용 발표자료를 발표 Agent P9에게 맡겨줘. P9-G02-N@v1를 사용하고, 신규 조사로 수치 교체; 표는 10개 이내. 기존 조사 작업은 계속해줘.</x:v>
      </x:c>
      <x:c r="F24" s="9" t="str">
        <x:v>고객에게 설명하기 편하다고 했던 자료</x:v>
      </x:c>
      <x:c r="G24" s="9" t="str">
        <x:v>["P9-G02-D2@v1"]</x:v>
      </x:c>
      <x:c r="H24" s="9" t="str">
        <x:v>{"goal":"서비스 품질 개선 후속 발표자료 작성","aspect":"구성","audience":"외부 고객","condition":"신규 조사로 수치 교체; 표는 10개 이내","data":"P9-G02-N@v1","agent":"발표 Agent P9","taskRelation":"별도 발표 작업 생성; 기존 조사 작업 유지"}</x:v>
      </x:c>
      <x:c r="I24" s="9" t="str">
        <x:v>P9-G02-DISPLAY, P9-G02-F1, P9-G02-EXEC</x:v>
      </x:c>
      <x:c r="J24" s="9" t="str">
        <x:v>valid/supported: P9-G02-D2@v1, 구성, 외부 고객, F1·DISPLAY 의존; valid는 의미 정답 보증 아님</x:v>
      </x:c>
    </x:row>
    <x:row r="25" ht="85" customHeight="1">
      <x:c r="A25" s="9" t="str">
        <x:v>SYN-G02-10</x:v>
      </x:c>
      <x:c r="B25" s="9" t="str">
        <x:v>G02</x:v>
      </x:c>
      <x:c r="C25" s="9" t="str">
        <x:v>온유</x:v>
      </x:c>
      <x:c r="D25" s="9" t="str">
        <x:v>고객용 구성 칭찬과 여러 결과의 연결을 처음 다시 묻는다.</x:v>
      </x:c>
      <x:c r="E25" s="9" t="str">
        <x:v>온유의 파트너 제휴 검토 건에서 고객용으로 채택하자고 말했던 구성의 자료의 구성을 활용해 외부 고객용 발표자료를 발표 Agent P10에게 맡겨줘. P10-G02-N@v1를 사용하고, 신규 조사로 수치 교체; 표는 11개 이내. 기존 조사 작업은 계속해줘.</x:v>
      </x:c>
      <x:c r="F25" s="9" t="str">
        <x:v>고객용으로 채택하자고 말했던 구성의 자료</x:v>
      </x:c>
      <x:c r="G25" s="9" t="str">
        <x:v>["P10-G02-D2@v1"]</x:v>
      </x:c>
      <x:c r="H25" s="9" t="str">
        <x:v>{"goal":"파트너 제휴 검토 후속 발표자료 작성","aspect":"구성","audience":"외부 고객","condition":"신규 조사로 수치 교체; 표는 11개 이내","data":"P10-G02-N@v1","agent":"발표 Agent P10","taskRelation":"별도 발표 작업 생성; 기존 조사 작업 유지"}</x:v>
      </x:c>
      <x:c r="I25" s="9" t="str">
        <x:v>P10-G02-DISPLAY, P10-G02-F1, P10-G02-EXEC</x:v>
      </x:c>
      <x:c r="J25" s="9" t="str">
        <x:v>valid/supported: P10-G02-D2@v1, 구성, 외부 고객, F1·DISPLAY 의존; valid는 의미 정답 보증 아님</x:v>
      </x:c>
    </x:row>
    <x:row r="26" ht="85" customHeight="1">
      <x:c r="A26" s="9" t="str">
        <x:v>SYN-G03-01</x:v>
      </x:c>
      <x:c r="B26" s="9" t="str">
        <x:v>G03</x:v>
      </x:c>
      <x:c r="C26" s="9" t="str">
        <x:v>새봄</x:v>
      </x:c>
      <x:c r="D26" s="9" t="str">
        <x:v>고객용과 내부용 자료의 이름·내용이 비슷하지만 칭찬 대상은 하나다.</x:v>
      </x:c>
      <x:c r="E26" s="9" t="str">
        <x:v>새봄의 협업 도구 도입 건에서 고객용 구성이 좋다고 했던 자료의 구성을 활용해 외부 고객용 발표자료를 발표 Agent P1에게 맡겨줘. P1-G03-N@v1를 사용하고, 신규 조사로 수치 교체; 표는 2개 이내. 기존 조사 작업은 계속해줘.</x:v>
      </x:c>
      <x:c r="F26" s="9" t="str">
        <x:v>고객용 구성이 좋다고 했던 자료</x:v>
      </x:c>
      <x:c r="G26" s="9" t="str">
        <x:v>["P1-G03-D2@v1"]</x:v>
      </x:c>
      <x:c r="H26" s="9" t="str">
        <x:v>{"goal":"협업 도구 도입 후속 발표자료 작성","aspect":"구성","audience":"외부 고객","condition":"신규 조사로 수치 교체; 표는 2개 이내","data":"P1-G03-N@v1","agent":"발표 Agent P1","taskRelation":"별도 발표 작업 생성; 기존 조사 작업 유지"}</x:v>
      </x:c>
      <x:c r="I26" s="9" t="str">
        <x:v>P1-G03-DISPLAY, P1-G03-F1, P1-G03-EXEC</x:v>
      </x:c>
      <x:c r="J26" s="9" t="str">
        <x:v>valid/supported: P1-G03-D2@v1, 구성, 외부 고객, F1·DISPLAY 의존; valid는 의미 정답 보증 아님</x:v>
      </x:c>
    </x:row>
    <x:row r="27" ht="85" customHeight="1">
      <x:c r="A27" s="9" t="str">
        <x:v>SYN-G03-02</x:v>
      </x:c>
      <x:c r="B27" s="9" t="str">
        <x:v>G03</x:v>
      </x:c>
      <x:c r="C27" s="9" t="str">
        <x:v>해솔</x:v>
      </x:c>
      <x:c r="D27" s="9" t="str">
        <x:v>고객용과 내부용 자료의 이름·내용이 비슷하지만 칭찬 대상은 하나다.</x:v>
      </x:c>
      <x:c r="E27" s="9" t="str">
        <x:v>해솔의 고객지원 시스템 교체 건에서 지난번 고객 설명에 쓰기 좋다고 한 구성의 자료의 구성을 활용해 외부 고객용 발표자료를 발표 Agent P2에게 맡겨줘. P2-G03-N@v1를 사용하고, 신규 조사로 수치 교체; 표는 3개 이내. 기존 조사 작업은 계속해줘.</x:v>
      </x:c>
      <x:c r="F27" s="9" t="str">
        <x:v>지난번 고객 설명에 쓰기 좋다고 한 구성의 자료</x:v>
      </x:c>
      <x:c r="G27" s="9" t="str">
        <x:v>["P2-G03-D2@v1"]</x:v>
      </x:c>
      <x:c r="H27" s="9" t="str">
        <x:v>{"goal":"고객지원 시스템 교체 후속 발표자료 작성","aspect":"구성","audience":"외부 고객","condition":"신규 조사로 수치 교체; 표는 3개 이내","data":"P2-G03-N@v1","agent":"발표 Agent P2","taskRelation":"별도 발표 작업 생성; 기존 조사 작업 유지"}</x:v>
      </x:c>
      <x:c r="I27" s="9" t="str">
        <x:v>P2-G03-DISPLAY, P2-G03-F1, P2-G03-EXEC</x:v>
      </x:c>
      <x:c r="J27" s="9" t="str">
        <x:v>valid/supported: P2-G03-D2@v1, 구성, 외부 고객, F1·DISPLAY 의존; valid는 의미 정답 보증 아님</x:v>
      </x:c>
    </x:row>
    <x:row r="28" ht="85" customHeight="1">
      <x:c r="A28" s="9" t="str">
        <x:v>SYN-G03-03</x:v>
      </x:c>
      <x:c r="B28" s="9" t="str">
        <x:v>G03</x:v>
      </x:c>
      <x:c r="C28" s="9" t="str">
        <x:v>가온</x:v>
      </x:c>
      <x:c r="D28" s="9" t="str">
        <x:v>고객용과 내부용 자료의 이름·내용이 비슷하지만 칭찬 대상은 하나다.</x:v>
      </x:c>
      <x:c r="E28" s="9" t="str">
        <x:v>가온의 물류 현황 보고 건에서 고객 앞에서 보여주기 낫다고 평가했던 쪽의 구성을 활용해 외부 고객용 발표자료를 발표 Agent P3에게 맡겨줘. P3-G03-N@v1를 사용하고, 신규 조사로 수치 교체; 표는 4개 이내. 기존 조사 작업은 계속해줘.</x:v>
      </x:c>
      <x:c r="F28" s="9" t="str">
        <x:v>고객 앞에서 보여주기 낫다고 평가했던 쪽</x:v>
      </x:c>
      <x:c r="G28" s="9" t="str">
        <x:v>["P3-G03-D2@v1"]</x:v>
      </x:c>
      <x:c r="H28" s="9" t="str">
        <x:v>{"goal":"물류 현황 보고 후속 발표자료 작성","aspect":"구성","audience":"외부 고객","condition":"신규 조사로 수치 교체; 표는 4개 이내","data":"P3-G03-N@v1","agent":"발표 Agent P3","taskRelation":"별도 발표 작업 생성; 기존 조사 작업 유지"}</x:v>
      </x:c>
      <x:c r="I28" s="9" t="str">
        <x:v>P3-G03-DISPLAY, P3-G03-F1, P3-G03-EXEC</x:v>
      </x:c>
      <x:c r="J28" s="9" t="str">
        <x:v>valid/supported: P3-G03-D2@v1, 구성, 외부 고객, F1·DISPLAY 의존; valid는 의미 정답 보증 아님</x:v>
      </x:c>
    </x:row>
    <x:row r="29" ht="85" customHeight="1">
      <x:c r="A29" s="9" t="str">
        <x:v>SYN-G03-04</x:v>
      </x:c>
      <x:c r="B29" s="9" t="str">
        <x:v>G03</x:v>
      </x:c>
      <x:c r="C29" s="9" t="str">
        <x:v>누리</x:v>
      </x:c>
      <x:c r="D29" s="9" t="str">
        <x:v>고객용과 내부용 자료의 이름·내용이 비슷하지만 칭찬 대상은 하나다.</x:v>
      </x:c>
      <x:c r="E29" s="9" t="str">
        <x:v>누리의 매장 운영 개선 건에서 내가 고객용 구성을 칭찬했던 자료의 구성을 활용해 외부 고객용 발표자료를 발표 Agent P4에게 맡겨줘. P4-G03-N@v1를 사용하고, 신규 조사로 수치 교체; 표는 5개 이내. 기존 조사 작업은 계속해줘.</x:v>
      </x:c>
      <x:c r="F29" s="9" t="str">
        <x:v>내가 고객용 구성을 칭찬했던 자료</x:v>
      </x:c>
      <x:c r="G29" s="9" t="str">
        <x:v>["P4-G03-D2@v1"]</x:v>
      </x:c>
      <x:c r="H29" s="9" t="str">
        <x:v>{"goal":"매장 운영 개선 후속 발표자료 작성","aspect":"구성","audience":"외부 고객","condition":"신규 조사로 수치 교체; 표는 5개 이내","data":"P4-G03-N@v1","agent":"발표 Agent P4","taskRelation":"별도 발표 작업 생성; 기존 조사 작업 유지"}</x:v>
      </x:c>
      <x:c r="I29" s="9" t="str">
        <x:v>P4-G03-DISPLAY, P4-G03-F1, P4-G03-EXEC</x:v>
      </x:c>
      <x:c r="J29" s="9" t="str">
        <x:v>valid/supported: P4-G03-D2@v1, 구성, 외부 고객, F1·DISPLAY 의존; valid는 의미 정답 보증 아님</x:v>
      </x:c>
    </x:row>
    <x:row r="30" ht="85" customHeight="1">
      <x:c r="A30" s="9" t="str">
        <x:v>SYN-G03-05</x:v>
      </x:c>
      <x:c r="B30" s="9" t="str">
        <x:v>G03</x:v>
      </x:c>
      <x:c r="C30" s="9" t="str">
        <x:v>다온</x:v>
      </x:c>
      <x:c r="D30" s="9" t="str">
        <x:v>고객용과 내부용 자료의 이름·내용이 비슷하지만 칭찬 대상은 하나다.</x:v>
      </x:c>
      <x:c r="E30" s="9" t="str">
        <x:v>다온의 교육 과정 개편 건에서 고객 설명에 맞는다고 골랐던 구성의 자료의 구성을 활용해 외부 고객용 발표자료를 발표 Agent P5에게 맡겨줘. P5-G03-N@v1를 사용하고, 신규 조사로 수치 교체; 표는 6개 이내. 기존 조사 작업은 계속해줘.</x:v>
      </x:c>
      <x:c r="F30" s="9" t="str">
        <x:v>고객 설명에 맞는다고 골랐던 구성의 자료</x:v>
      </x:c>
      <x:c r="G30" s="9" t="str">
        <x:v>["P5-G03-D2@v1"]</x:v>
      </x:c>
      <x:c r="H30" s="9" t="str">
        <x:v>{"goal":"교육 과정 개편 후속 발표자료 작성","aspect":"구성","audience":"외부 고객","condition":"신규 조사로 수치 교체; 표는 6개 이내","data":"P5-G03-N@v1","agent":"발표 Agent P5","taskRelation":"별도 발표 작업 생성; 기존 조사 작업 유지"}</x:v>
      </x:c>
      <x:c r="I30" s="9" t="str">
        <x:v>P5-G03-DISPLAY, P5-G03-F1, P5-G03-EXEC</x:v>
      </x:c>
      <x:c r="J30" s="9" t="str">
        <x:v>valid/supported: P5-G03-D2@v1, 구성, 외부 고객, F1·DISPLAY 의존; valid는 의미 정답 보증 아님</x:v>
      </x:c>
    </x:row>
    <x:row r="31" ht="85" customHeight="1">
      <x:c r="A31" s="9" t="str">
        <x:v>SYN-G03-06</x:v>
      </x:c>
      <x:c r="B31" s="9" t="str">
        <x:v>G03</x:v>
      </x:c>
      <x:c r="C31" s="9" t="str">
        <x:v>마루</x:v>
      </x:c>
      <x:c r="D31" s="9" t="str">
        <x:v>고객용과 내부용 자료의 이름·내용이 비슷하지만 칭찬 대상은 하나다.</x:v>
      </x:c>
      <x:c r="E31" s="9" t="str">
        <x:v>마루의 제품 출시 계획 건에서 고객에게 보여주자고 했던 구성의 자료의 구성을 활용해 외부 고객용 발표자료를 발표 Agent P6에게 맡겨줘. P6-G03-N@v1를 사용하고, 신규 조사로 수치 교체; 표는 7개 이내. 기존 조사 작업은 계속해줘.</x:v>
      </x:c>
      <x:c r="F31" s="9" t="str">
        <x:v>고객에게 보여주자고 했던 구성의 자료</x:v>
      </x:c>
      <x:c r="G31" s="9" t="str">
        <x:v>["P6-G03-D2@v1"]</x:v>
      </x:c>
      <x:c r="H31" s="9" t="str">
        <x:v>{"goal":"제품 출시 계획 후속 발표자료 작성","aspect":"구성","audience":"외부 고객","condition":"신규 조사로 수치 교체; 표는 7개 이내","data":"P6-G03-N@v1","agent":"발표 Agent P6","taskRelation":"별도 발표 작업 생성; 기존 조사 작업 유지"}</x:v>
      </x:c>
      <x:c r="I31" s="9" t="str">
        <x:v>P6-G03-DISPLAY, P6-G03-F1, P6-G03-EXEC</x:v>
      </x:c>
      <x:c r="J31" s="9" t="str">
        <x:v>valid/supported: P6-G03-D2@v1, 구성, 외부 고객, F1·DISPLAY 의존; valid는 의미 정답 보증 아님</x:v>
      </x:c>
    </x:row>
    <x:row r="32" ht="85" customHeight="1">
      <x:c r="A32" s="9" t="str">
        <x:v>SYN-G03-07</x:v>
      </x:c>
      <x:c r="B32" s="9" t="str">
        <x:v>G03</x:v>
      </x:c>
      <x:c r="C32" s="9" t="str">
        <x:v>이든</x:v>
      </x:c>
      <x:c r="D32" s="9" t="str">
        <x:v>고객용과 내부용 자료의 이름·내용이 비슷하지만 칭찬 대상은 하나다.</x:v>
      </x:c>
      <x:c r="E32" s="9" t="str">
        <x:v>이든의 연구 장비 도입 건에서 고객용은 구성이 더 좋다고 했던 쪽의 구성을 활용해 외부 고객용 발표자료를 발표 Agent P7에게 맡겨줘. P7-G03-N@v1를 사용하고, 신규 조사로 수치 교체; 표는 8개 이내. 기존 조사 작업은 계속해줘.</x:v>
      </x:c>
      <x:c r="F32" s="9" t="str">
        <x:v>고객용은 구성이 더 좋다고 했던 쪽</x:v>
      </x:c>
      <x:c r="G32" s="9" t="str">
        <x:v>["P7-G03-D2@v1"]</x:v>
      </x:c>
      <x:c r="H32" s="9" t="str">
        <x:v>{"goal":"연구 장비 도입 후속 발표자료 작성","aspect":"구성","audience":"외부 고객","condition":"신규 조사로 수치 교체; 표는 8개 이내","data":"P7-G03-N@v1","agent":"발표 Agent P7","taskRelation":"별도 발표 작업 생성; 기존 조사 작업 유지"}</x:v>
      </x:c>
      <x:c r="I32" s="9" t="str">
        <x:v>P7-G03-DISPLAY, P7-G03-F1, P7-G03-EXEC</x:v>
      </x:c>
      <x:c r="J32" s="9" t="str">
        <x:v>valid/supported: P7-G03-D2@v1, 구성, 외부 고객, F1·DISPLAY 의존; valid는 의미 정답 보증 아님</x:v>
      </x:c>
    </x:row>
    <x:row r="33" ht="85" customHeight="1">
      <x:c r="A33" s="9" t="str">
        <x:v>SYN-G03-08</x:v>
      </x:c>
      <x:c r="B33" s="9" t="str">
        <x:v>G03</x:v>
      </x:c>
      <x:c r="C33" s="9" t="str">
        <x:v>라온</x:v>
      </x:c>
      <x:c r="D33" s="9" t="str">
        <x:v>고객용과 내부용 자료의 이름·내용이 비슷하지만 칭찬 대상은 하나다.</x:v>
      </x:c>
      <x:c r="E33" s="9" t="str">
        <x:v>라온의 사무공간 이전 건에서 지난 피드백에서 고객용으로 선호한 구성의 자료의 구성을 활용해 외부 고객용 발표자료를 발표 Agent P8에게 맡겨줘. P8-G03-N@v1를 사용하고, 신규 조사로 수치 교체; 표는 9개 이내. 기존 조사 작업은 계속해줘.</x:v>
      </x:c>
      <x:c r="F33" s="9" t="str">
        <x:v>지난 피드백에서 고객용으로 선호한 구성의 자료</x:v>
      </x:c>
      <x:c r="G33" s="9" t="str">
        <x:v>["P8-G03-D2@v1"]</x:v>
      </x:c>
      <x:c r="H33" s="9" t="str">
        <x:v>{"goal":"사무공간 이전 후속 발표자료 작성","aspect":"구성","audience":"외부 고객","condition":"신규 조사로 수치 교체; 표는 9개 이내","data":"P8-G03-N@v1","agent":"발표 Agent P8","taskRelation":"별도 발표 작업 생성; 기존 조사 작업 유지"}</x:v>
      </x:c>
      <x:c r="I33" s="9" t="str">
        <x:v>P8-G03-DISPLAY, P8-G03-F1, P8-G03-EXEC</x:v>
      </x:c>
      <x:c r="J33" s="9" t="str">
        <x:v>valid/supported: P8-G03-D2@v1, 구성, 외부 고객, F1·DISPLAY 의존; valid는 의미 정답 보증 아님</x:v>
      </x:c>
    </x:row>
    <x:row r="34" ht="85" customHeight="1">
      <x:c r="A34" s="9" t="str">
        <x:v>SYN-G03-09</x:v>
      </x:c>
      <x:c r="B34" s="9" t="str">
        <x:v>G03</x:v>
      </x:c>
      <x:c r="C34" s="9" t="str">
        <x:v>한결</x:v>
      </x:c>
      <x:c r="D34" s="9" t="str">
        <x:v>고객용과 내부용 자료의 이름·내용이 비슷하지만 칭찬 대상은 하나다.</x:v>
      </x:c>
      <x:c r="E34" s="9" t="str">
        <x:v>한결의 서비스 품질 개선 건에서 고객에게 설명하기 편하다고 했던 자료의 구성을 활용해 외부 고객용 발표자료를 발표 Agent P9에게 맡겨줘. P9-G03-N@v1를 사용하고, 신규 조사로 수치 교체; 표는 10개 이내. 기존 조사 작업은 계속해줘.</x:v>
      </x:c>
      <x:c r="F34" s="9" t="str">
        <x:v>고객에게 설명하기 편하다고 했던 자료</x:v>
      </x:c>
      <x:c r="G34" s="9" t="str">
        <x:v>["P9-G03-D2@v1"]</x:v>
      </x:c>
      <x:c r="H34" s="9" t="str">
        <x:v>{"goal":"서비스 품질 개선 후속 발표자료 작성","aspect":"구성","audience":"외부 고객","condition":"신규 조사로 수치 교체; 표는 10개 이내","data":"P9-G03-N@v1","agent":"발표 Agent P9","taskRelation":"별도 발표 작업 생성; 기존 조사 작업 유지"}</x:v>
      </x:c>
      <x:c r="I34" s="9" t="str">
        <x:v>P9-G03-DISPLAY, P9-G03-F1, P9-G03-EXEC</x:v>
      </x:c>
      <x:c r="J34" s="9" t="str">
        <x:v>valid/supported: P9-G03-D3@v1, 구성, 외부 고객, F1·DISPLAY 의존; valid는 의미 정답 보증 아님</x:v>
      </x:c>
    </x:row>
    <x:row r="35" ht="85" customHeight="1">
      <x:c r="A35" s="9" t="str">
        <x:v>SYN-G03-10</x:v>
      </x:c>
      <x:c r="B35" s="9" t="str">
        <x:v>G03</x:v>
      </x:c>
      <x:c r="C35" s="9" t="str">
        <x:v>온유</x:v>
      </x:c>
      <x:c r="D35" s="9" t="str">
        <x:v>고객용과 내부용 자료의 이름·내용이 비슷하지만 칭찬 대상은 하나다.</x:v>
      </x:c>
      <x:c r="E35" s="9" t="str">
        <x:v>온유의 파트너 제휴 검토 건에서 고객용으로 채택하자고 말했던 구성의 자료의 구성을 활용해 외부 고객용 발표자료를 발표 Agent P10에게 맡겨줘. P10-G03-N@v1를 사용하고, 신규 조사로 수치 교체; 표는 11개 이내. 기존 조사 작업은 계속해줘.</x:v>
      </x:c>
      <x:c r="F35" s="9" t="str">
        <x:v>고객용으로 채택하자고 말했던 구성의 자료</x:v>
      </x:c>
      <x:c r="G35" s="9" t="str">
        <x:v>["P10-G03-D2@v1"]</x:v>
      </x:c>
      <x:c r="H35" s="9" t="str">
        <x:v>{"goal":"파트너 제휴 검토 후속 발표자료 작성","aspect":"구성","audience":"외부 고객","condition":"신규 조사로 수치 교체; 표는 11개 이내","data":"P10-G03-N@v1","agent":"발표 Agent P10","taskRelation":"별도 발표 작업 생성; 기존 조사 작업 유지"}</x:v>
      </x:c>
      <x:c r="I35" s="9" t="str">
        <x:v>P10-G03-DISPLAY, P10-G03-F1, P10-G03-EXEC</x:v>
      </x:c>
      <x:c r="J35" s="9" t="str">
        <x:v>valid/supported: P10-G03-D2@v1, 구성, 외부 고객, F1·DISPLAY 의존; valid는 의미 정답 보증 아님</x:v>
      </x:c>
    </x:row>
    <x:row r="36" ht="85" customHeight="1">
      <x:c r="A36" s="9" t="str">
        <x:v>SYN-G04-01</x:v>
      </x:c>
      <x:c r="B36" s="9" t="str">
        <x:v>G04</x:v>
      </x:c>
      <x:c r="C36" s="9" t="str">
        <x:v>새봄</x:v>
      </x:c>
      <x:c r="D36" s="9" t="str">
        <x:v>사용자는 D2를 본 뒤 평가했다. 뒤에 생성된 D3는 아직 보지 않았다.</x:v>
      </x:c>
      <x:c r="E36" s="9" t="str">
        <x:v>새봄의 협업 도구 도입 건에서 고객용 구성이 좋다고 했던 자료의 구성을 활용해 외부 고객용 발표자료를 발표 Agent P1에게 맡겨줘. P1-G04-N@v1를 사용하고, 신규 조사로 수치 교체; 표는 2개 이내. 기존 조사 작업은 계속해줘.</x:v>
      </x:c>
      <x:c r="F36" s="9" t="str">
        <x:v>고객용 구성이 좋다고 했던 자료</x:v>
      </x:c>
      <x:c r="G36" s="9" t="str">
        <x:v>["P1-G04-D2@v1"]</x:v>
      </x:c>
      <x:c r="H36" s="9" t="str">
        <x:v>{"goal":"협업 도구 도입 후속 발표자료 작성","aspect":"구성","audience":"외부 고객","condition":"신규 조사로 수치 교체; 표는 2개 이내","data":"P1-G04-N@v1","agent":"발표 Agent P1","taskRelation":"별도 발표 작업 생성; 기존 조사 작업 유지"}</x:v>
      </x:c>
      <x:c r="I36" s="9" t="str">
        <x:v>P1-G04-DISPLAY, P1-G04-F1, P1-G04-EXEC</x:v>
      </x:c>
      <x:c r="J36" s="9" t="str">
        <x:v>valid/supported: P1-G04-D2@v1, 구성, 외부 고객, F1·DISPLAY 의존; valid는 의미 정답 보증 아님</x:v>
      </x:c>
    </x:row>
    <x:row r="37" ht="85" customHeight="1">
      <x:c r="A37" s="9" t="str">
        <x:v>SYN-G04-02</x:v>
      </x:c>
      <x:c r="B37" s="9" t="str">
        <x:v>G04</x:v>
      </x:c>
      <x:c r="C37" s="9" t="str">
        <x:v>해솔</x:v>
      </x:c>
      <x:c r="D37" s="9" t="str">
        <x:v>사용자는 D2를 본 뒤 평가했다. 뒤에 생성된 D3는 아직 보지 않았다.</x:v>
      </x:c>
      <x:c r="E37" s="9" t="str">
        <x:v>해솔의 고객지원 시스템 교체 건에서 지난번 고객 설명에 쓰기 좋다고 한 구성의 자료의 구성을 활용해 외부 고객용 발표자료를 발표 Agent P2에게 맡겨줘. P2-G04-N@v1를 사용하고, 신규 조사로 수치 교체; 표는 3개 이내. 기존 조사 작업은 계속해줘.</x:v>
      </x:c>
      <x:c r="F37" s="9" t="str">
        <x:v>지난번 고객 설명에 쓰기 좋다고 한 구성의 자료</x:v>
      </x:c>
      <x:c r="G37" s="9" t="str">
        <x:v>["P2-G04-D2@v1"]</x:v>
      </x:c>
      <x:c r="H37" s="9" t="str">
        <x:v>{"goal":"고객지원 시스템 교체 후속 발표자료 작성","aspect":"구성","audience":"외부 고객","condition":"신규 조사로 수치 교체; 표는 3개 이내","data":"P2-G04-N@v1","agent":"발표 Agent P2","taskRelation":"별도 발표 작업 생성; 기존 조사 작업 유지"}</x:v>
      </x:c>
      <x:c r="I37" s="9" t="str">
        <x:v>P2-G04-DISPLAY, P2-G04-F1, P2-G04-EXEC</x:v>
      </x:c>
      <x:c r="J37" s="9" t="str">
        <x:v>valid/supported: P2-G04-D2@v1, 구성, 외부 고객, F1·DISPLAY 의존; valid는 의미 정답 보증 아님</x:v>
      </x:c>
    </x:row>
    <x:row r="38" ht="85" customHeight="1">
      <x:c r="A38" s="9" t="str">
        <x:v>SYN-G04-03</x:v>
      </x:c>
      <x:c r="B38" s="9" t="str">
        <x:v>G04</x:v>
      </x:c>
      <x:c r="C38" s="9" t="str">
        <x:v>가온</x:v>
      </x:c>
      <x:c r="D38" s="9" t="str">
        <x:v>사용자는 D2를 본 뒤 평가했다. 뒤에 생성된 D3는 아직 보지 않았다.</x:v>
      </x:c>
      <x:c r="E38" s="9" t="str">
        <x:v>가온의 물류 현황 보고 건에서 고객 앞에서 보여주기 낫다고 평가했던 쪽의 구성을 활용해 외부 고객용 발표자료를 발표 Agent P3에게 맡겨줘. P3-G04-N@v1를 사용하고, 신규 조사로 수치 교체; 표는 4개 이내. 기존 조사 작업은 계속해줘.</x:v>
      </x:c>
      <x:c r="F38" s="9" t="str">
        <x:v>고객 앞에서 보여주기 낫다고 평가했던 쪽</x:v>
      </x:c>
      <x:c r="G38" s="9" t="str">
        <x:v>["P3-G04-D2@v1"]</x:v>
      </x:c>
      <x:c r="H38" s="9" t="str">
        <x:v>{"goal":"물류 현황 보고 후속 발표자료 작성","aspect":"구성","audience":"외부 고객","condition":"신규 조사로 수치 교체; 표는 4개 이내","data":"P3-G04-N@v1","agent":"발표 Agent P3","taskRelation":"별도 발표 작업 생성; 기존 조사 작업 유지"}</x:v>
      </x:c>
      <x:c r="I38" s="9" t="str">
        <x:v>P3-G04-DISPLAY, P3-G04-F1, P3-G04-EXEC</x:v>
      </x:c>
      <x:c r="J38" s="9" t="str">
        <x:v>valid/supported: P3-G04-D2@v1, 구성, 외부 고객, F1·DISPLAY 의존; valid는 의미 정답 보증 아님</x:v>
      </x:c>
    </x:row>
    <x:row r="39" ht="85" customHeight="1">
      <x:c r="A39" s="9" t="str">
        <x:v>SYN-G04-04</x:v>
      </x:c>
      <x:c r="B39" s="9" t="str">
        <x:v>G04</x:v>
      </x:c>
      <x:c r="C39" s="9" t="str">
        <x:v>누리</x:v>
      </x:c>
      <x:c r="D39" s="9" t="str">
        <x:v>사용자는 D2를 본 뒤 평가했다. 뒤에 생성된 D3는 아직 보지 않았다.</x:v>
      </x:c>
      <x:c r="E39" s="9" t="str">
        <x:v>누리의 매장 운영 개선 건에서 내가 고객용 구성을 칭찬했던 자료의 구성을 활용해 외부 고객용 발표자료를 발표 Agent P4에게 맡겨줘. P4-G04-N@v1를 사용하고, 신규 조사로 수치 교체; 표는 5개 이내. 기존 조사 작업은 계속해줘.</x:v>
      </x:c>
      <x:c r="F39" s="9" t="str">
        <x:v>내가 고객용 구성을 칭찬했던 자료</x:v>
      </x:c>
      <x:c r="G39" s="9" t="str">
        <x:v>["P4-G04-D2@v1"]</x:v>
      </x:c>
      <x:c r="H39" s="9" t="str">
        <x:v>{"goal":"매장 운영 개선 후속 발표자료 작성","aspect":"구성","audience":"외부 고객","condition":"신규 조사로 수치 교체; 표는 5개 이내","data":"P4-G04-N@v1","agent":"발표 Agent P4","taskRelation":"별도 발표 작업 생성; 기존 조사 작업 유지"}</x:v>
      </x:c>
      <x:c r="I39" s="9" t="str">
        <x:v>P4-G04-DISPLAY, P4-G04-F1, P4-G04-EXEC</x:v>
      </x:c>
      <x:c r="J39" s="9" t="str">
        <x:v>valid/supported: P4-G04-D2@v1, 구성, 외부 고객, F1·DISPLAY 의존; valid는 의미 정답 보증 아님</x:v>
      </x:c>
    </x:row>
    <x:row r="40" ht="85" customHeight="1">
      <x:c r="A40" s="9" t="str">
        <x:v>SYN-G04-05</x:v>
      </x:c>
      <x:c r="B40" s="9" t="str">
        <x:v>G04</x:v>
      </x:c>
      <x:c r="C40" s="9" t="str">
        <x:v>다온</x:v>
      </x:c>
      <x:c r="D40" s="9" t="str">
        <x:v>사용자는 D2를 본 뒤 평가했다. 뒤에 생성된 D3는 아직 보지 않았다.</x:v>
      </x:c>
      <x:c r="E40" s="9" t="str">
        <x:v>다온의 교육 과정 개편 건에서 고객 설명에 맞는다고 골랐던 구성의 자료의 구성을 활용해 외부 고객용 발표자료를 발표 Agent P5에게 맡겨줘. P5-G04-N@v1를 사용하고, 신규 조사로 수치 교체; 표는 6개 이내. 기존 조사 작업은 계속해줘.</x:v>
      </x:c>
      <x:c r="F40" s="9" t="str">
        <x:v>고객 설명에 맞는다고 골랐던 구성의 자료</x:v>
      </x:c>
      <x:c r="G40" s="9" t="str">
        <x:v>["P5-G04-D2@v1"]</x:v>
      </x:c>
      <x:c r="H40" s="9" t="str">
        <x:v>{"goal":"교육 과정 개편 후속 발표자료 작성","aspect":"구성","audience":"외부 고객","condition":"신규 조사로 수치 교체; 표는 6개 이내","data":"P5-G04-N@v1","agent":"발표 Agent P5","taskRelation":"별도 발표 작업 생성; 기존 조사 작업 유지"}</x:v>
      </x:c>
      <x:c r="I40" s="9" t="str">
        <x:v>P5-G04-DISPLAY, P5-G04-F1, P5-G04-EXEC</x:v>
      </x:c>
      <x:c r="J40" s="9" t="str">
        <x:v>valid/supported: P5-G04-D2@v1, 구성, 외부 고객, F1·DISPLAY 의존; valid는 의미 정답 보증 아님</x:v>
      </x:c>
    </x:row>
    <x:row r="41" ht="85" customHeight="1">
      <x:c r="A41" s="9" t="str">
        <x:v>SYN-G04-06</x:v>
      </x:c>
      <x:c r="B41" s="9" t="str">
        <x:v>G04</x:v>
      </x:c>
      <x:c r="C41" s="9" t="str">
        <x:v>마루</x:v>
      </x:c>
      <x:c r="D41" s="9" t="str">
        <x:v>사용자는 D2를 본 뒤 평가했다. 뒤에 생성된 D3는 아직 보지 않았다.</x:v>
      </x:c>
      <x:c r="E41" s="9" t="str">
        <x:v>마루의 제품 출시 계획 건에서 고객에게 보여주자고 했던 구성의 자료의 구성을 활용해 외부 고객용 발표자료를 발표 Agent P6에게 맡겨줘. P6-G04-N@v1를 사용하고, 신규 조사로 수치 교체; 표는 7개 이내. 기존 조사 작업은 계속해줘.</x:v>
      </x:c>
      <x:c r="F41" s="9" t="str">
        <x:v>고객에게 보여주자고 했던 구성의 자료</x:v>
      </x:c>
      <x:c r="G41" s="9" t="str">
        <x:v>["P6-G04-D2@v1"]</x:v>
      </x:c>
      <x:c r="H41" s="9" t="str">
        <x:v>{"goal":"제품 출시 계획 후속 발표자료 작성","aspect":"구성","audience":"외부 고객","condition":"신규 조사로 수치 교체; 표는 7개 이내","data":"P6-G04-N@v1","agent":"발표 Agent P6","taskRelation":"별도 발표 작업 생성; 기존 조사 작업 유지"}</x:v>
      </x:c>
      <x:c r="I41" s="9" t="str">
        <x:v>P6-G04-DISPLAY, P6-G04-F1, P6-G04-EXEC</x:v>
      </x:c>
      <x:c r="J41" s="9" t="str">
        <x:v>valid/supported: P6-G04-D2@v1, 구성, 외부 고객, F1·DISPLAY 의존; valid는 의미 정답 보증 아님</x:v>
      </x:c>
    </x:row>
    <x:row r="42" ht="85" customHeight="1">
      <x:c r="A42" s="9" t="str">
        <x:v>SYN-G04-07</x:v>
      </x:c>
      <x:c r="B42" s="9" t="str">
        <x:v>G04</x:v>
      </x:c>
      <x:c r="C42" s="9" t="str">
        <x:v>이든</x:v>
      </x:c>
      <x:c r="D42" s="9" t="str">
        <x:v>사용자는 D2를 본 뒤 평가했다. 뒤에 생성된 D3는 아직 보지 않았다.</x:v>
      </x:c>
      <x:c r="E42" s="9" t="str">
        <x:v>이든의 연구 장비 도입 건에서 고객용은 구성이 더 좋다고 했던 쪽의 구성을 활용해 외부 고객용 발표자료를 발표 Agent P7에게 맡겨줘. P7-G04-N@v1를 사용하고, 신규 조사로 수치 교체; 표는 8개 이내. 기존 조사 작업은 계속해줘.</x:v>
      </x:c>
      <x:c r="F42" s="9" t="str">
        <x:v>고객용은 구성이 더 좋다고 했던 쪽</x:v>
      </x:c>
      <x:c r="G42" s="9" t="str">
        <x:v>["P7-G04-D2@v1"]</x:v>
      </x:c>
      <x:c r="H42" s="9" t="str">
        <x:v>{"goal":"연구 장비 도입 후속 발표자료 작성","aspect":"구성","audience":"외부 고객","condition":"신규 조사로 수치 교체; 표는 8개 이내","data":"P7-G04-N@v1","agent":"발표 Agent P7","taskRelation":"별도 발표 작업 생성; 기존 조사 작업 유지"}</x:v>
      </x:c>
      <x:c r="I42" s="9" t="str">
        <x:v>P7-G04-DISPLAY, P7-G04-F1, P7-G04-EXEC</x:v>
      </x:c>
      <x:c r="J42" s="9" t="str">
        <x:v>valid/supported: P7-G04-D2@v1, 구성, 외부 고객, F1·DISPLAY 의존; valid는 의미 정답 보증 아님</x:v>
      </x:c>
    </x:row>
    <x:row r="43" ht="85" customHeight="1">
      <x:c r="A43" s="9" t="str">
        <x:v>SYN-G04-08</x:v>
      </x:c>
      <x:c r="B43" s="9" t="str">
        <x:v>G04</x:v>
      </x:c>
      <x:c r="C43" s="9" t="str">
        <x:v>라온</x:v>
      </x:c>
      <x:c r="D43" s="9" t="str">
        <x:v>사용자는 D2를 본 뒤 평가했다. 뒤에 생성된 D3는 아직 보지 않았다.</x:v>
      </x:c>
      <x:c r="E43" s="9" t="str">
        <x:v>라온의 사무공간 이전 건에서 지난 피드백에서 고객용으로 선호한 구성의 자료의 구성을 활용해 외부 고객용 발표자료를 발표 Agent P8에게 맡겨줘. P8-G04-N@v1를 사용하고, 신규 조사로 수치 교체; 표는 9개 이내. 기존 조사 작업은 계속해줘.</x:v>
      </x:c>
      <x:c r="F43" s="9" t="str">
        <x:v>지난 피드백에서 고객용으로 선호한 구성의 자료</x:v>
      </x:c>
      <x:c r="G43" s="9" t="str">
        <x:v>["P8-G04-D2@v1"]</x:v>
      </x:c>
      <x:c r="H43" s="9" t="str">
        <x:v>{"goal":"사무공간 이전 후속 발표자료 작성","aspect":"구성","audience":"외부 고객","condition":"신규 조사로 수치 교체; 표는 9개 이내","data":"P8-G04-N@v1","agent":"발표 Agent P8","taskRelation":"별도 발표 작업 생성; 기존 조사 작업 유지"}</x:v>
      </x:c>
      <x:c r="I43" s="9" t="str">
        <x:v>P8-G04-DISPLAY, P8-G04-F1, P8-G04-EXEC</x:v>
      </x:c>
      <x:c r="J43" s="9" t="str">
        <x:v>valid/supported: P8-G04-D2@v1, 구성, 외부 고객, F1·DISPLAY 의존; valid는 의미 정답 보증 아님</x:v>
      </x:c>
    </x:row>
    <x:row r="44" ht="85" customHeight="1">
      <x:c r="A44" s="9" t="str">
        <x:v>SYN-G04-09</x:v>
      </x:c>
      <x:c r="B44" s="9" t="str">
        <x:v>G04</x:v>
      </x:c>
      <x:c r="C44" s="9" t="str">
        <x:v>한결</x:v>
      </x:c>
      <x:c r="D44" s="9" t="str">
        <x:v>사용자는 D2를 본 뒤 평가했다. 뒤에 생성된 D3는 아직 보지 않았다.</x:v>
      </x:c>
      <x:c r="E44" s="9" t="str">
        <x:v>한결의 서비스 품질 개선 건에서 고객에게 설명하기 편하다고 했던 자료의 구성을 활용해 외부 고객용 발표자료를 발표 Agent P9에게 맡겨줘. P9-G04-N@v1를 사용하고, 신규 조사로 수치 교체; 표는 10개 이내. 기존 조사 작업은 계속해줘.</x:v>
      </x:c>
      <x:c r="F44" s="9" t="str">
        <x:v>고객에게 설명하기 편하다고 했던 자료</x:v>
      </x:c>
      <x:c r="G44" s="9" t="str">
        <x:v>["P9-G04-D2@v1"]</x:v>
      </x:c>
      <x:c r="H44" s="9" t="str">
        <x:v>{"goal":"서비스 품질 개선 후속 발표자료 작성","aspect":"구성","audience":"외부 고객","condition":"신규 조사로 수치 교체; 표는 10개 이내","data":"P9-G04-N@v1","agent":"발표 Agent P9","taskRelation":"별도 발표 작업 생성; 기존 조사 작업 유지"}</x:v>
      </x:c>
      <x:c r="I44" s="9" t="str">
        <x:v>P9-G04-DISPLAY, P9-G04-F1, P9-G04-EXEC</x:v>
      </x:c>
      <x:c r="J44" s="9" t="str">
        <x:v>valid/supported: P9-G04-D2@v1, 구성, 외부 고객, F1·DISPLAY 의존; valid는 의미 정답 보증 아님</x:v>
      </x:c>
    </x:row>
    <x:row r="45" ht="85" customHeight="1">
      <x:c r="A45" s="9" t="str">
        <x:v>SYN-G04-10</x:v>
      </x:c>
      <x:c r="B45" s="9" t="str">
        <x:v>G04</x:v>
      </x:c>
      <x:c r="C45" s="9" t="str">
        <x:v>온유</x:v>
      </x:c>
      <x:c r="D45" s="9" t="str">
        <x:v>사용자는 D2를 본 뒤 평가했다. 뒤에 생성된 D3는 아직 보지 않았다.</x:v>
      </x:c>
      <x:c r="E45" s="9" t="str">
        <x:v>온유의 파트너 제휴 검토 건에서 고객용으로 채택하자고 말했던 구성의 자료의 구성을 활용해 외부 고객용 발표자료를 발표 Agent P10에게 맡겨줘. P10-G04-N@v1를 사용하고, 신규 조사로 수치 교체; 표는 11개 이내. 기존 조사 작업은 계속해줘.</x:v>
      </x:c>
      <x:c r="F45" s="9" t="str">
        <x:v>고객용으로 채택하자고 말했던 구성의 자료</x:v>
      </x:c>
      <x:c r="G45" s="9" t="str">
        <x:v>["P10-G04-D2@v1"]</x:v>
      </x:c>
      <x:c r="H45" s="9" t="str">
        <x:v>{"goal":"파트너 제휴 검토 후속 발표자료 작성","aspect":"구성","audience":"외부 고객","condition":"신규 조사로 수치 교체; 표는 11개 이내","data":"P10-G04-N@v1","agent":"발표 Agent P10","taskRelation":"별도 발표 작업 생성; 기존 조사 작업 유지"}</x:v>
      </x:c>
      <x:c r="I45" s="9" t="str">
        <x:v>P10-G04-DISPLAY, P10-G04-F1, P10-G04-EXEC</x:v>
      </x:c>
      <x:c r="J45" s="9" t="str">
        <x:v>valid/supported: P10-G04-D3@v1, 구성, 외부 고객, F1·DISPLAY 의존; valid는 의미 정답 보증 아님</x:v>
      </x:c>
    </x:row>
    <x:row r="46" ht="85" customHeight="1">
      <x:c r="A46" s="9" t="str">
        <x:v>SYN-G05-01</x:v>
      </x:c>
      <x:c r="B46" s="9" t="str">
        <x:v>G05</x:v>
      </x:c>
      <x:c r="C46" s="9" t="str">
        <x:v>새봄</x:v>
      </x:c>
      <x:c r="D46" s="9" t="str">
        <x:v>F1의 선호를 F2가 D3로 정정했다. 과거 파생 관계는 dirty다.</x:v>
      </x:c>
      <x:c r="E46" s="9" t="str">
        <x:v>새봄의 협업 도구 도입 건에서 정정해서 좋다고 한 자료의 구성을 활용해 외부 고객용 발표자료를 발표 Agent P1에게 맡겨줘. P1-G05-N@v1를 사용하고, 신규 조사로 수치 교체; 표는 2개 이내. 기존 조사 작업은 계속해줘.</x:v>
      </x:c>
      <x:c r="F46" s="9" t="str">
        <x:v>정정해서 좋다고 한 자료</x:v>
      </x:c>
      <x:c r="G46" s="9" t="str">
        <x:v>["P1-G05-D3@v1"]</x:v>
      </x:c>
      <x:c r="H46" s="9" t="str">
        <x:v>{"goal":"협업 도구 도입 후속 발표자료 작성","aspect":"구성","audience":"외부 고객","condition":"신규 조사로 수치 교체; 표는 2개 이내","data":"P1-G05-N@v1","agent":"발표 Agent P1","taskRelation":"별도 발표 작업 생성; 기존 조사 작업 유지"}</x:v>
      </x:c>
      <x:c r="I46" s="9" t="str">
        <x:v>P1-G05-DISPLAY, P1-G05-F1, P1-G05-EXEC, P1-G05-F2</x:v>
      </x:c>
      <x:c r="J46" s="9" t="str">
        <x:v>dirty: F1의 P1-G05-D2@v1 관계는 F2로 무효화. 현재 요청은 원본 보완</x:v>
      </x:c>
    </x:row>
    <x:row r="47" ht="85" customHeight="1">
      <x:c r="A47" s="9" t="str">
        <x:v>SYN-G05-02</x:v>
      </x:c>
      <x:c r="B47" s="9" t="str">
        <x:v>G05</x:v>
      </x:c>
      <x:c r="C47" s="9" t="str">
        <x:v>해솔</x:v>
      </x:c>
      <x:c r="D47" s="9" t="str">
        <x:v>F1의 선호를 F2가 D3로 정정했다. 과거 파생 관계는 dirty다.</x:v>
      </x:c>
      <x:c r="E47" s="9" t="str">
        <x:v>해솔의 고객지원 시스템 교체 건에서 정정해서 좋다고 한 자료의 구성을 활용해 외부 고객용 발표자료를 발표 Agent P2에게 맡겨줘. P2-G05-N@v1를 사용하고, 신규 조사로 수치 교체; 표는 3개 이내. 기존 조사 작업은 계속해줘.</x:v>
      </x:c>
      <x:c r="F47" s="9" t="str">
        <x:v>정정해서 좋다고 한 자료</x:v>
      </x:c>
      <x:c r="G47" s="9" t="str">
        <x:v>["P2-G05-D3@v1"]</x:v>
      </x:c>
      <x:c r="H47" s="9" t="str">
        <x:v>{"goal":"고객지원 시스템 교체 후속 발표자료 작성","aspect":"구성","audience":"외부 고객","condition":"신규 조사로 수치 교체; 표는 3개 이내","data":"P2-G05-N@v1","agent":"발표 Agent P2","taskRelation":"별도 발표 작업 생성; 기존 조사 작업 유지"}</x:v>
      </x:c>
      <x:c r="I47" s="9" t="str">
        <x:v>P2-G05-DISPLAY, P2-G05-F1, P2-G05-EXEC, P2-G05-F2</x:v>
      </x:c>
      <x:c r="J47" s="9" t="str">
        <x:v>dirty: F1의 P2-G05-D2@v1 관계는 F2로 무효화. 현재 요청은 원본 보완</x:v>
      </x:c>
    </x:row>
    <x:row r="48" ht="85" customHeight="1">
      <x:c r="A48" s="9" t="str">
        <x:v>SYN-G05-03</x:v>
      </x:c>
      <x:c r="B48" s="9" t="str">
        <x:v>G05</x:v>
      </x:c>
      <x:c r="C48" s="9" t="str">
        <x:v>가온</x:v>
      </x:c>
      <x:c r="D48" s="9" t="str">
        <x:v>F1의 선호를 F2가 D3로 정정했다. 과거 파생 관계는 dirty다.</x:v>
      </x:c>
      <x:c r="E48" s="9" t="str">
        <x:v>가온의 물류 현황 보고 건에서 정정해서 좋다고 한 자료의 구성을 활용해 외부 고객용 발표자료를 발표 Agent P3에게 맡겨줘. P3-G05-N@v1를 사용하고, 신규 조사로 수치 교체; 표는 4개 이내. 기존 조사 작업은 계속해줘.</x:v>
      </x:c>
      <x:c r="F48" s="9" t="str">
        <x:v>정정해서 좋다고 한 자료</x:v>
      </x:c>
      <x:c r="G48" s="9" t="str">
        <x:v>["P3-G05-D3@v1"]</x:v>
      </x:c>
      <x:c r="H48" s="9" t="str">
        <x:v>{"goal":"물류 현황 보고 후속 발표자료 작성","aspect":"구성","audience":"외부 고객","condition":"신규 조사로 수치 교체; 표는 4개 이내","data":"P3-G05-N@v1","agent":"발표 Agent P3","taskRelation":"별도 발표 작업 생성; 기존 조사 작업 유지"}</x:v>
      </x:c>
      <x:c r="I48" s="9" t="str">
        <x:v>P3-G05-DISPLAY, P3-G05-F1, P3-G05-EXEC, P3-G05-F2</x:v>
      </x:c>
      <x:c r="J48" s="9" t="str">
        <x:v>dirty: F1의 P3-G05-D2@v1 관계는 F2로 무효화. 현재 요청은 원본 보완</x:v>
      </x:c>
    </x:row>
    <x:row r="49" ht="85" customHeight="1">
      <x:c r="A49" s="9" t="str">
        <x:v>SYN-G05-04</x:v>
      </x:c>
      <x:c r="B49" s="9" t="str">
        <x:v>G05</x:v>
      </x:c>
      <x:c r="C49" s="9" t="str">
        <x:v>누리</x:v>
      </x:c>
      <x:c r="D49" s="9" t="str">
        <x:v>F1의 선호를 F2가 D3로 정정했다. 과거 파생 관계는 dirty다.</x:v>
      </x:c>
      <x:c r="E49" s="9" t="str">
        <x:v>누리의 매장 운영 개선 건에서 정정해서 좋다고 한 자료의 구성을 활용해 외부 고객용 발표자료를 발표 Agent P4에게 맡겨줘. P4-G05-N@v1를 사용하고, 신규 조사로 수치 교체; 표는 5개 이내. 기존 조사 작업은 계속해줘.</x:v>
      </x:c>
      <x:c r="F49" s="9" t="str">
        <x:v>정정해서 좋다고 한 자료</x:v>
      </x:c>
      <x:c r="G49" s="9" t="str">
        <x:v>["P4-G05-D3@v1"]</x:v>
      </x:c>
      <x:c r="H49" s="9" t="str">
        <x:v>{"goal":"매장 운영 개선 후속 발표자료 작성","aspect":"구성","audience":"외부 고객","condition":"신규 조사로 수치 교체; 표는 5개 이내","data":"P4-G05-N@v1","agent":"발표 Agent P4","taskRelation":"별도 발표 작업 생성; 기존 조사 작업 유지"}</x:v>
      </x:c>
      <x:c r="I49" s="9" t="str">
        <x:v>P4-G05-DISPLAY, P4-G05-F1, P4-G05-EXEC, P4-G05-F2</x:v>
      </x:c>
      <x:c r="J49" s="9" t="str">
        <x:v>dirty: F1의 P4-G05-D2@v1 관계는 F2로 무효화. 현재 요청은 원본 보완</x:v>
      </x:c>
    </x:row>
    <x:row r="50" ht="85" customHeight="1">
      <x:c r="A50" s="9" t="str">
        <x:v>SYN-G05-05</x:v>
      </x:c>
      <x:c r="B50" s="9" t="str">
        <x:v>G05</x:v>
      </x:c>
      <x:c r="C50" s="9" t="str">
        <x:v>다온</x:v>
      </x:c>
      <x:c r="D50" s="9" t="str">
        <x:v>F1의 선호를 F2가 D3로 정정했다. 과거 파생 관계는 dirty다.</x:v>
      </x:c>
      <x:c r="E50" s="9" t="str">
        <x:v>다온의 교육 과정 개편 건에서 정정해서 좋다고 한 자료의 구성을 활용해 외부 고객용 발표자료를 발표 Agent P5에게 맡겨줘. P5-G05-N@v1를 사용하고, 신규 조사로 수치 교체; 표는 6개 이내. 기존 조사 작업은 계속해줘.</x:v>
      </x:c>
      <x:c r="F50" s="9" t="str">
        <x:v>정정해서 좋다고 한 자료</x:v>
      </x:c>
      <x:c r="G50" s="9" t="str">
        <x:v>["P5-G05-D3@v1"]</x:v>
      </x:c>
      <x:c r="H50" s="9" t="str">
        <x:v>{"goal":"교육 과정 개편 후속 발표자료 작성","aspect":"구성","audience":"외부 고객","condition":"신규 조사로 수치 교체; 표는 6개 이내","data":"P5-G05-N@v1","agent":"발표 Agent P5","taskRelation":"별도 발표 작업 생성; 기존 조사 작업 유지"}</x:v>
      </x:c>
      <x:c r="I50" s="9" t="str">
        <x:v>P5-G05-DISPLAY, P5-G05-F1, P5-G05-EXEC, P5-G05-F2</x:v>
      </x:c>
      <x:c r="J50" s="9" t="str">
        <x:v>dirty: F1의 P5-G05-D2@v1 관계는 F2로 무효화. 현재 요청은 원본 보완</x:v>
      </x:c>
    </x:row>
    <x:row r="51" ht="85" customHeight="1">
      <x:c r="A51" s="9" t="str">
        <x:v>SYN-G05-06</x:v>
      </x:c>
      <x:c r="B51" s="9" t="str">
        <x:v>G05</x:v>
      </x:c>
      <x:c r="C51" s="9" t="str">
        <x:v>마루</x:v>
      </x:c>
      <x:c r="D51" s="9" t="str">
        <x:v>F1의 선호를 F2가 D3로 정정했다. 과거 파생 관계는 dirty다.</x:v>
      </x:c>
      <x:c r="E51" s="9" t="str">
        <x:v>마루의 제품 출시 계획 건에서 정정해서 좋다고 한 자료의 구성을 활용해 외부 고객용 발표자료를 발표 Agent P6에게 맡겨줘. P6-G05-N@v1를 사용하고, 신규 조사로 수치 교체; 표는 7개 이내. 기존 조사 작업은 계속해줘.</x:v>
      </x:c>
      <x:c r="F51" s="9" t="str">
        <x:v>정정해서 좋다고 한 자료</x:v>
      </x:c>
      <x:c r="G51" s="9" t="str">
        <x:v>["P6-G05-D3@v1"]</x:v>
      </x:c>
      <x:c r="H51" s="9" t="str">
        <x:v>{"goal":"제품 출시 계획 후속 발표자료 작성","aspect":"구성","audience":"외부 고객","condition":"신규 조사로 수치 교체; 표는 7개 이내","data":"P6-G05-N@v1","agent":"발표 Agent P6","taskRelation":"별도 발표 작업 생성; 기존 조사 작업 유지"}</x:v>
      </x:c>
      <x:c r="I51" s="9" t="str">
        <x:v>P6-G05-DISPLAY, P6-G05-F1, P6-G05-EXEC, P6-G05-F2</x:v>
      </x:c>
      <x:c r="J51" s="9" t="str">
        <x:v>dirty: F1의 P6-G05-D2@v1 관계는 F2로 무효화. 현재 요청은 원본 보완</x:v>
      </x:c>
    </x:row>
    <x:row r="52" ht="85" customHeight="1">
      <x:c r="A52" s="9" t="str">
        <x:v>SYN-G05-07</x:v>
      </x:c>
      <x:c r="B52" s="9" t="str">
        <x:v>G05</x:v>
      </x:c>
      <x:c r="C52" s="9" t="str">
        <x:v>이든</x:v>
      </x:c>
      <x:c r="D52" s="9" t="str">
        <x:v>F1의 선호를 F2가 D3로 정정했다. 과거 파생 관계는 dirty다.</x:v>
      </x:c>
      <x:c r="E52" s="9" t="str">
        <x:v>이든의 연구 장비 도입 건에서 정정해서 좋다고 한 자료의 구성을 활용해 외부 고객용 발표자료를 발표 Agent P7에게 맡겨줘. P7-G05-N@v1를 사용하고, 신규 조사로 수치 교체; 표는 8개 이내. 기존 조사 작업은 계속해줘.</x:v>
      </x:c>
      <x:c r="F52" s="9" t="str">
        <x:v>정정해서 좋다고 한 자료</x:v>
      </x:c>
      <x:c r="G52" s="9" t="str">
        <x:v>["P7-G05-D3@v1"]</x:v>
      </x:c>
      <x:c r="H52" s="9" t="str">
        <x:v>{"goal":"연구 장비 도입 후속 발표자료 작성","aspect":"구성","audience":"외부 고객","condition":"신규 조사로 수치 교체; 표는 8개 이내","data":"P7-G05-N@v1","agent":"발표 Agent P7","taskRelation":"별도 발표 작업 생성; 기존 조사 작업 유지"}</x:v>
      </x:c>
      <x:c r="I52" s="9" t="str">
        <x:v>P7-G05-DISPLAY, P7-G05-F1, P7-G05-EXEC, P7-G05-F2</x:v>
      </x:c>
      <x:c r="J52" s="9" t="str">
        <x:v>dirty: F1의 P7-G05-D2@v1 관계는 F2로 무효화. 현재 요청은 원본 보완</x:v>
      </x:c>
    </x:row>
    <x:row r="53" ht="85" customHeight="1">
      <x:c r="A53" s="9" t="str">
        <x:v>SYN-G05-08</x:v>
      </x:c>
      <x:c r="B53" s="9" t="str">
        <x:v>G05</x:v>
      </x:c>
      <x:c r="C53" s="9" t="str">
        <x:v>라온</x:v>
      </x:c>
      <x:c r="D53" s="9" t="str">
        <x:v>F1의 선호를 F2가 D3로 정정했다. 과거 파생 관계는 dirty다.</x:v>
      </x:c>
      <x:c r="E53" s="9" t="str">
        <x:v>라온의 사무공간 이전 건에서 정정해서 좋다고 한 자료의 구성을 활용해 외부 고객용 발표자료를 발표 Agent P8에게 맡겨줘. P8-G05-N@v1를 사용하고, 신규 조사로 수치 교체; 표는 9개 이내. 기존 조사 작업은 계속해줘.</x:v>
      </x:c>
      <x:c r="F53" s="9" t="str">
        <x:v>정정해서 좋다고 한 자료</x:v>
      </x:c>
      <x:c r="G53" s="9" t="str">
        <x:v>["P8-G05-D3@v1"]</x:v>
      </x:c>
      <x:c r="H53" s="9" t="str">
        <x:v>{"goal":"사무공간 이전 후속 발표자료 작성","aspect":"구성","audience":"외부 고객","condition":"신규 조사로 수치 교체; 표는 9개 이내","data":"P8-G05-N@v1","agent":"발표 Agent P8","taskRelation":"별도 발표 작업 생성; 기존 조사 작업 유지"}</x:v>
      </x:c>
      <x:c r="I53" s="9" t="str">
        <x:v>P8-G05-DISPLAY, P8-G05-F1, P8-G05-EXEC, P8-G05-F2</x:v>
      </x:c>
      <x:c r="J53" s="9" t="str">
        <x:v>dirty: F1의 P8-G05-D2@v1 관계는 F2로 무효화. 현재 요청은 원본 보완</x:v>
      </x:c>
    </x:row>
    <x:row r="54" ht="85" customHeight="1">
      <x:c r="A54" s="9" t="str">
        <x:v>SYN-G05-09</x:v>
      </x:c>
      <x:c r="B54" s="9" t="str">
        <x:v>G05</x:v>
      </x:c>
      <x:c r="C54" s="9" t="str">
        <x:v>한결</x:v>
      </x:c>
      <x:c r="D54" s="9" t="str">
        <x:v>F1의 선호를 F2가 D3로 정정했다. 과거 파생 관계는 dirty다.</x:v>
      </x:c>
      <x:c r="E54" s="9" t="str">
        <x:v>한결의 서비스 품질 개선 건에서 정정해서 좋다고 한 자료의 구성을 활용해 외부 고객용 발표자료를 발표 Agent P9에게 맡겨줘. P9-G05-N@v1를 사용하고, 신규 조사로 수치 교체; 표는 10개 이내. 기존 조사 작업은 계속해줘.</x:v>
      </x:c>
      <x:c r="F54" s="9" t="str">
        <x:v>정정해서 좋다고 한 자료</x:v>
      </x:c>
      <x:c r="G54" s="9" t="str">
        <x:v>["P9-G05-D3@v1"]</x:v>
      </x:c>
      <x:c r="H54" s="9" t="str">
        <x:v>{"goal":"서비스 품질 개선 후속 발표자료 작성","aspect":"구성","audience":"외부 고객","condition":"신규 조사로 수치 교체; 표는 10개 이내","data":"P9-G05-N@v1","agent":"발표 Agent P9","taskRelation":"별도 발표 작업 생성; 기존 조사 작업 유지"}</x:v>
      </x:c>
      <x:c r="I54" s="9" t="str">
        <x:v>P9-G05-DISPLAY, P9-G05-F1, P9-G05-EXEC, P9-G05-F2</x:v>
      </x:c>
      <x:c r="J54" s="9" t="str">
        <x:v>dirty: F1의 P9-G05-D2@v1 관계는 F2로 무효화. 현재 요청은 원본 보완</x:v>
      </x:c>
    </x:row>
    <x:row r="55" ht="85" customHeight="1">
      <x:c r="A55" s="9" t="str">
        <x:v>SYN-G05-10</x:v>
      </x:c>
      <x:c r="B55" s="9" t="str">
        <x:v>G05</x:v>
      </x:c>
      <x:c r="C55" s="9" t="str">
        <x:v>온유</x:v>
      </x:c>
      <x:c r="D55" s="9" t="str">
        <x:v>F1의 선호를 F2가 D3로 정정했다. 과거 파생 관계는 dirty다.</x:v>
      </x:c>
      <x:c r="E55" s="9" t="str">
        <x:v>온유의 파트너 제휴 검토 건에서 정정해서 좋다고 한 자료의 구성을 활용해 외부 고객용 발표자료를 발표 Agent P10에게 맡겨줘. P10-G05-N@v1를 사용하고, 신규 조사로 수치 교체; 표는 11개 이내. 기존 조사 작업은 계속해줘.</x:v>
      </x:c>
      <x:c r="F55" s="9" t="str">
        <x:v>정정해서 좋다고 한 자료</x:v>
      </x:c>
      <x:c r="G55" s="9" t="str">
        <x:v>["P10-G05-D3@v1"]</x:v>
      </x:c>
      <x:c r="H55" s="9" t="str">
        <x:v>{"goal":"파트너 제휴 검토 후속 발표자료 작성","aspect":"구성","audience":"외부 고객","condition":"신규 조사로 수치 교체; 표는 11개 이내","data":"P10-G05-N@v1","agent":"발표 Agent P10","taskRelation":"별도 발표 작업 생성; 기존 조사 작업 유지"}</x:v>
      </x:c>
      <x:c r="I55" s="9" t="str">
        <x:v>P10-G05-DISPLAY, P10-G05-F1, P10-G05-EXEC, P10-G05-F2</x:v>
      </x:c>
      <x:c r="J55" s="9" t="str">
        <x:v>dirty: F1의 P10-G05-D2@v1 관계는 F2로 무효화. 현재 요청은 원본 보완</x:v>
      </x:c>
    </x:row>
    <x:row r="56" ht="85" customHeight="1">
      <x:c r="A56" s="9" t="str">
        <x:v>SYN-G06-01</x:v>
      </x:c>
      <x:c r="B56" s="9" t="str">
        <x:v>G06</x:v>
      </x:c>
      <x:c r="C56" s="9" t="str">
        <x:v>새봄</x:v>
      </x:c>
      <x:c r="D56" s="9" t="str">
        <x:v>고객용으로 좋았던 D2를 내부회의용으로 바꾸고 단점부터 보여달라 한다.</x:v>
      </x:c>
      <x:c r="E56" s="9" t="str">
        <x:v>새봄의 협업 도구 도입 건에서 고객용 구성이 좋다고 했던 자료의 구성을 활용해 내부회의용 발표자료를 발표 Agent P1에게 맡겨줘. P1-G06-N@v1를 사용하고, 단점을 먼저 제시; 표는 2개 이내. 기존 조사 작업은 계속해줘.</x:v>
      </x:c>
      <x:c r="F56" s="9" t="str">
        <x:v>고객용 구성이 좋다고 했던 자료</x:v>
      </x:c>
      <x:c r="G56" s="9" t="str">
        <x:v>["P1-G06-D2@v1"]</x:v>
      </x:c>
      <x:c r="H56" s="9" t="str">
        <x:v>{"goal":"협업 도구 도입 후속 발표자료 작성","aspect":"구성","audience":"내부회의","condition":"단점을 먼저 제시; 표는 2개 이내","data":"P1-G06-N@v1","agent":"발표 Agent P1","taskRelation":"별도 발표 작업 생성; 기존 조사 작업 유지"}</x:v>
      </x:c>
      <x:c r="I56" s="9" t="str">
        <x:v>P1-G06-DISPLAY, P1-G06-F1, P1-G06-EXEC</x:v>
      </x:c>
      <x:c r="J56" s="9" t="str">
        <x:v>valid/supported: P1-G06-D2@v1, 구성, 외부 고객, F1·DISPLAY 의존; valid는 의미 정답 보증 아님</x:v>
      </x:c>
    </x:row>
    <x:row r="57" ht="85" customHeight="1">
      <x:c r="A57" s="9" t="str">
        <x:v>SYN-G06-02</x:v>
      </x:c>
      <x:c r="B57" s="9" t="str">
        <x:v>G06</x:v>
      </x:c>
      <x:c r="C57" s="9" t="str">
        <x:v>해솔</x:v>
      </x:c>
      <x:c r="D57" s="9" t="str">
        <x:v>고객용으로 좋았던 D2를 내부회의용으로 바꾸고 단점부터 보여달라 한다.</x:v>
      </x:c>
      <x:c r="E57" s="9" t="str">
        <x:v>해솔의 고객지원 시스템 교체 건에서 지난번 고객 설명에 쓰기 좋다고 한 구성의 자료의 구성을 활용해 내부회의용 발표자료를 발표 Agent P2에게 맡겨줘. P2-G06-N@v1를 사용하고, 단점을 먼저 제시; 표는 3개 이내. 기존 조사 작업은 계속해줘.</x:v>
      </x:c>
      <x:c r="F57" s="9" t="str">
        <x:v>지난번 고객 설명에 쓰기 좋다고 한 구성의 자료</x:v>
      </x:c>
      <x:c r="G57" s="9" t="str">
        <x:v>["P2-G06-D2@v1"]</x:v>
      </x:c>
      <x:c r="H57" s="9" t="str">
        <x:v>{"goal":"고객지원 시스템 교체 후속 발표자료 작성","aspect":"구성","audience":"내부회의","condition":"단점을 먼저 제시; 표는 3개 이내","data":"P2-G06-N@v1","agent":"발표 Agent P2","taskRelation":"별도 발표 작업 생성; 기존 조사 작업 유지"}</x:v>
      </x:c>
      <x:c r="I57" s="9" t="str">
        <x:v>P2-G06-DISPLAY, P2-G06-F1, P2-G06-EXEC</x:v>
      </x:c>
      <x:c r="J57" s="9" t="str">
        <x:v>valid/supported: P2-G06-D2@v1, 구성, 외부 고객, F1·DISPLAY 의존; valid는 의미 정답 보증 아님</x:v>
      </x:c>
    </x:row>
    <x:row r="58" ht="85" customHeight="1">
      <x:c r="A58" s="9" t="str">
        <x:v>SYN-G06-03</x:v>
      </x:c>
      <x:c r="B58" s="9" t="str">
        <x:v>G06</x:v>
      </x:c>
      <x:c r="C58" s="9" t="str">
        <x:v>가온</x:v>
      </x:c>
      <x:c r="D58" s="9" t="str">
        <x:v>고객용으로 좋았던 D2를 내부회의용으로 바꾸고 단점부터 보여달라 한다.</x:v>
      </x:c>
      <x:c r="E58" s="9" t="str">
        <x:v>가온의 물류 현황 보고 건에서 고객 앞에서 보여주기 낫다고 평가했던 쪽의 구성을 활용해 내부회의용 발표자료를 발표 Agent P3에게 맡겨줘. P3-G06-N@v1를 사용하고, 단점을 먼저 제시; 표는 4개 이내. 기존 조사 작업은 계속해줘.</x:v>
      </x:c>
      <x:c r="F58" s="9" t="str">
        <x:v>고객 앞에서 보여주기 낫다고 평가했던 쪽</x:v>
      </x:c>
      <x:c r="G58" s="9" t="str">
        <x:v>["P3-G06-D2@v1"]</x:v>
      </x:c>
      <x:c r="H58" s="9" t="str">
        <x:v>{"goal":"물류 현황 보고 후속 발표자료 작성","aspect":"구성","audience":"내부회의","condition":"단점을 먼저 제시; 표는 4개 이내","data":"P3-G06-N@v1","agent":"발표 Agent P3","taskRelation":"별도 발표 작업 생성; 기존 조사 작업 유지"}</x:v>
      </x:c>
      <x:c r="I58" s="9" t="str">
        <x:v>P3-G06-DISPLAY, P3-G06-F1, P3-G06-EXEC</x:v>
      </x:c>
      <x:c r="J58" s="9" t="str">
        <x:v>valid/supported: P3-G06-D2@v1, 구성, 외부 고객, F1·DISPLAY 의존; valid는 의미 정답 보증 아님</x:v>
      </x:c>
    </x:row>
    <x:row r="59" ht="85" customHeight="1">
      <x:c r="A59" s="9" t="str">
        <x:v>SYN-G06-04</x:v>
      </x:c>
      <x:c r="B59" s="9" t="str">
        <x:v>G06</x:v>
      </x:c>
      <x:c r="C59" s="9" t="str">
        <x:v>누리</x:v>
      </x:c>
      <x:c r="D59" s="9" t="str">
        <x:v>고객용으로 좋았던 D2를 내부회의용으로 바꾸고 단점부터 보여달라 한다.</x:v>
      </x:c>
      <x:c r="E59" s="9" t="str">
        <x:v>누리의 매장 운영 개선 건에서 내가 고객용 구성을 칭찬했던 자료의 구성을 활용해 내부회의용 발표자료를 발표 Agent P4에게 맡겨줘. P4-G06-N@v1를 사용하고, 단점을 먼저 제시; 표는 5개 이내. 기존 조사 작업은 계속해줘.</x:v>
      </x:c>
      <x:c r="F59" s="9" t="str">
        <x:v>내가 고객용 구성을 칭찬했던 자료</x:v>
      </x:c>
      <x:c r="G59" s="9" t="str">
        <x:v>["P4-G06-D2@v1"]</x:v>
      </x:c>
      <x:c r="H59" s="9" t="str">
        <x:v>{"goal":"매장 운영 개선 후속 발표자료 작성","aspect":"구성","audience":"내부회의","condition":"단점을 먼저 제시; 표는 5개 이내","data":"P4-G06-N@v1","agent":"발표 Agent P4","taskRelation":"별도 발표 작업 생성; 기존 조사 작업 유지"}</x:v>
      </x:c>
      <x:c r="I59" s="9" t="str">
        <x:v>P4-G06-DISPLAY, P4-G06-F1, P4-G06-EXEC</x:v>
      </x:c>
      <x:c r="J59" s="9" t="str">
        <x:v>valid/supported: P4-G06-D2@v1, 구성, 외부 고객, F1·DISPLAY 의존; valid는 의미 정답 보증 아님</x:v>
      </x:c>
    </x:row>
    <x:row r="60" ht="85" customHeight="1">
      <x:c r="A60" s="9" t="str">
        <x:v>SYN-G06-05</x:v>
      </x:c>
      <x:c r="B60" s="9" t="str">
        <x:v>G06</x:v>
      </x:c>
      <x:c r="C60" s="9" t="str">
        <x:v>다온</x:v>
      </x:c>
      <x:c r="D60" s="9" t="str">
        <x:v>고객용으로 좋았던 D2를 내부회의용으로 바꾸고 단점부터 보여달라 한다.</x:v>
      </x:c>
      <x:c r="E60" s="9" t="str">
        <x:v>다온의 교육 과정 개편 건에서 고객 설명에 맞는다고 골랐던 구성의 자료의 구성을 활용해 내부회의용 발표자료를 발표 Agent P5에게 맡겨줘. P5-G06-N@v1를 사용하고, 단점을 먼저 제시; 표는 6개 이내. 기존 조사 작업은 계속해줘.</x:v>
      </x:c>
      <x:c r="F60" s="9" t="str">
        <x:v>고객 설명에 맞는다고 골랐던 구성의 자료</x:v>
      </x:c>
      <x:c r="G60" s="9" t="str">
        <x:v>["P5-G06-D2@v1"]</x:v>
      </x:c>
      <x:c r="H60" s="9" t="str">
        <x:v>{"goal":"교육 과정 개편 후속 발표자료 작성","aspect":"구성","audience":"내부회의","condition":"단점을 먼저 제시; 표는 6개 이내","data":"P5-G06-N@v1","agent":"발표 Agent P5","taskRelation":"별도 발표 작업 생성; 기존 조사 작업 유지"}</x:v>
      </x:c>
      <x:c r="I60" s="9" t="str">
        <x:v>P5-G06-DISPLAY, P5-G06-F1, P5-G06-EXEC</x:v>
      </x:c>
      <x:c r="J60" s="9" t="str">
        <x:v>valid/supported: P5-G06-D2@v1, 구성, 외부 고객, F1·DISPLAY 의존; valid는 의미 정답 보증 아님</x:v>
      </x:c>
    </x:row>
    <x:row r="61" ht="85" customHeight="1">
      <x:c r="A61" s="9" t="str">
        <x:v>SYN-G06-06</x:v>
      </x:c>
      <x:c r="B61" s="9" t="str">
        <x:v>G06</x:v>
      </x:c>
      <x:c r="C61" s="9" t="str">
        <x:v>마루</x:v>
      </x:c>
      <x:c r="D61" s="9" t="str">
        <x:v>고객용으로 좋았던 D2를 내부회의용으로 바꾸고 단점부터 보여달라 한다.</x:v>
      </x:c>
      <x:c r="E61" s="9" t="str">
        <x:v>마루의 제품 출시 계획 건에서 고객에게 보여주자고 했던 구성의 자료의 구성을 활용해 내부회의용 발표자료를 발표 Agent P6에게 맡겨줘. P6-G06-N@v1를 사용하고, 단점을 먼저 제시; 표는 7개 이내. 기존 조사 작업은 계속해줘.</x:v>
      </x:c>
      <x:c r="F61" s="9" t="str">
        <x:v>고객에게 보여주자고 했던 구성의 자료</x:v>
      </x:c>
      <x:c r="G61" s="9" t="str">
        <x:v>["P6-G06-D2@v1"]</x:v>
      </x:c>
      <x:c r="H61" s="9" t="str">
        <x:v>{"goal":"제품 출시 계획 후속 발표자료 작성","aspect":"구성","audience":"내부회의","condition":"단점을 먼저 제시; 표는 7개 이내","data":"P6-G06-N@v1","agent":"발표 Agent P6","taskRelation":"별도 발표 작업 생성; 기존 조사 작업 유지"}</x:v>
      </x:c>
      <x:c r="I61" s="9" t="str">
        <x:v>P6-G06-DISPLAY, P6-G06-F1, P6-G06-EXEC</x:v>
      </x:c>
      <x:c r="J61" s="9" t="str">
        <x:v>valid/supported: P6-G06-D2@v1, 구성, 외부 고객, F1·DISPLAY 의존; valid는 의미 정답 보증 아님</x:v>
      </x:c>
    </x:row>
    <x:row r="62" ht="85" customHeight="1">
      <x:c r="A62" s="9" t="str">
        <x:v>SYN-G06-07</x:v>
      </x:c>
      <x:c r="B62" s="9" t="str">
        <x:v>G06</x:v>
      </x:c>
      <x:c r="C62" s="9" t="str">
        <x:v>이든</x:v>
      </x:c>
      <x:c r="D62" s="9" t="str">
        <x:v>고객용으로 좋았던 D2를 내부회의용으로 바꾸고 단점부터 보여달라 한다.</x:v>
      </x:c>
      <x:c r="E62" s="9" t="str">
        <x:v>이든의 연구 장비 도입 건에서 고객용은 구성이 더 좋다고 했던 쪽의 구성을 활용해 내부회의용 발표자료를 발표 Agent P7에게 맡겨줘. P7-G06-N@v1를 사용하고, 단점을 먼저 제시; 표는 8개 이내. 기존 조사 작업은 계속해줘.</x:v>
      </x:c>
      <x:c r="F62" s="9" t="str">
        <x:v>고객용은 구성이 더 좋다고 했던 쪽</x:v>
      </x:c>
      <x:c r="G62" s="9" t="str">
        <x:v>["P7-G06-D2@v1"]</x:v>
      </x:c>
      <x:c r="H62" s="9" t="str">
        <x:v>{"goal":"연구 장비 도입 후속 발표자료 작성","aspect":"구성","audience":"내부회의","condition":"단점을 먼저 제시; 표는 8개 이내","data":"P7-G06-N@v1","agent":"발표 Agent P7","taskRelation":"별도 발표 작업 생성; 기존 조사 작업 유지"}</x:v>
      </x:c>
      <x:c r="I62" s="9" t="str">
        <x:v>P7-G06-DISPLAY, P7-G06-F1, P7-G06-EXEC</x:v>
      </x:c>
      <x:c r="J62" s="9" t="str">
        <x:v>valid/supported: P7-G06-D2@v1, 구성, 외부 고객, F1·DISPLAY 의존; valid는 의미 정답 보증 아님</x:v>
      </x:c>
    </x:row>
    <x:row r="63" ht="85" customHeight="1">
      <x:c r="A63" s="9" t="str">
        <x:v>SYN-G06-08</x:v>
      </x:c>
      <x:c r="B63" s="9" t="str">
        <x:v>G06</x:v>
      </x:c>
      <x:c r="C63" s="9" t="str">
        <x:v>라온</x:v>
      </x:c>
      <x:c r="D63" s="9" t="str">
        <x:v>고객용으로 좋았던 D2를 내부회의용으로 바꾸고 단점부터 보여달라 한다.</x:v>
      </x:c>
      <x:c r="E63" s="9" t="str">
        <x:v>라온의 사무공간 이전 건에서 지난 피드백에서 고객용으로 선호한 구성의 자료의 구성을 활용해 내부회의용 발표자료를 발표 Agent P8에게 맡겨줘. P8-G06-N@v1를 사용하고, 단점을 먼저 제시; 표는 9개 이내. 기존 조사 작업은 계속해줘.</x:v>
      </x:c>
      <x:c r="F63" s="9" t="str">
        <x:v>지난 피드백에서 고객용으로 선호한 구성의 자료</x:v>
      </x:c>
      <x:c r="G63" s="9" t="str">
        <x:v>["P8-G06-D2@v1"]</x:v>
      </x:c>
      <x:c r="H63" s="9" t="str">
        <x:v>{"goal":"사무공간 이전 후속 발표자료 작성","aspect":"구성","audience":"내부회의","condition":"단점을 먼저 제시; 표는 9개 이내","data":"P8-G06-N@v1","agent":"발표 Agent P8","taskRelation":"별도 발표 작업 생성; 기존 조사 작업 유지"}</x:v>
      </x:c>
      <x:c r="I63" s="9" t="str">
        <x:v>P8-G06-DISPLAY, P8-G06-F1, P8-G06-EXEC</x:v>
      </x:c>
      <x:c r="J63" s="9" t="str">
        <x:v>valid/supported: P8-G06-D2@v1, 구성, 외부 고객, F1·DISPLAY 의존; valid는 의미 정답 보증 아님</x:v>
      </x:c>
    </x:row>
    <x:row r="64" ht="85" customHeight="1">
      <x:c r="A64" s="9" t="str">
        <x:v>SYN-G06-09</x:v>
      </x:c>
      <x:c r="B64" s="9" t="str">
        <x:v>G06</x:v>
      </x:c>
      <x:c r="C64" s="9" t="str">
        <x:v>한결</x:v>
      </x:c>
      <x:c r="D64" s="9" t="str">
        <x:v>고객용으로 좋았던 D2를 내부회의용으로 바꾸고 단점부터 보여달라 한다.</x:v>
      </x:c>
      <x:c r="E64" s="9" t="str">
        <x:v>한결의 서비스 품질 개선 건에서 고객에게 설명하기 편하다고 했던 자료의 구성을 활용해 내부회의용 발표자료를 발표 Agent P9에게 맡겨줘. P9-G06-N@v1를 사용하고, 단점을 먼저 제시; 표는 10개 이내. 기존 조사 작업은 계속해줘.</x:v>
      </x:c>
      <x:c r="F64" s="9" t="str">
        <x:v>고객에게 설명하기 편하다고 했던 자료</x:v>
      </x:c>
      <x:c r="G64" s="9" t="str">
        <x:v>["P9-G06-D2@v1"]</x:v>
      </x:c>
      <x:c r="H64" s="9" t="str">
        <x:v>{"goal":"서비스 품질 개선 후속 발표자료 작성","aspect":"구성","audience":"내부회의","condition":"단점을 먼저 제시; 표는 10개 이내","data":"P9-G06-N@v1","agent":"발표 Agent P9","taskRelation":"별도 발표 작업 생성; 기존 조사 작업 유지"}</x:v>
      </x:c>
      <x:c r="I64" s="9" t="str">
        <x:v>P9-G06-DISPLAY, P9-G06-F1, P9-G06-EXEC</x:v>
      </x:c>
      <x:c r="J64" s="9" t="str">
        <x:v>valid/supported: P9-G06-D2@v1, 구성, 외부 고객, F1·DISPLAY 의존; valid는 의미 정답 보증 아님</x:v>
      </x:c>
    </x:row>
    <x:row r="65" ht="85" customHeight="1">
      <x:c r="A65" s="9" t="str">
        <x:v>SYN-G06-10</x:v>
      </x:c>
      <x:c r="B65" s="9" t="str">
        <x:v>G06</x:v>
      </x:c>
      <x:c r="C65" s="9" t="str">
        <x:v>온유</x:v>
      </x:c>
      <x:c r="D65" s="9" t="str">
        <x:v>고객용으로 좋았던 D2를 내부회의용으로 바꾸고 단점부터 보여달라 한다.</x:v>
      </x:c>
      <x:c r="E65" s="9" t="str">
        <x:v>온유의 파트너 제휴 검토 건에서 고객용으로 채택하자고 말했던 구성의 자료의 구성을 활용해 내부회의용 발표자료를 발표 Agent P10에게 맡겨줘. P10-G06-N@v1를 사용하고, 단점을 먼저 제시; 표는 11개 이내. 기존 조사 작업은 계속해줘.</x:v>
      </x:c>
      <x:c r="F65" s="9" t="str">
        <x:v>고객용으로 채택하자고 말했던 구성의 자료</x:v>
      </x:c>
      <x:c r="G65" s="9" t="str">
        <x:v>["P10-G06-D2@v1"]</x:v>
      </x:c>
      <x:c r="H65" s="9" t="str">
        <x:v>{"goal":"파트너 제휴 검토 후속 발표자료 작성","aspect":"구성","audience":"내부회의","condition":"단점을 먼저 제시; 표는 11개 이내","data":"P10-G06-N@v1","agent":"발표 Agent P10","taskRelation":"별도 발표 작업 생성; 기존 조사 작업 유지"}</x:v>
      </x:c>
      <x:c r="I65" s="9" t="str">
        <x:v>P10-G06-DISPLAY, P10-G06-F1, P10-G06-EXEC</x:v>
      </x:c>
      <x:c r="J65" s="9" t="str">
        <x:v>valid/supported: P10-G06-D2@v1, 구성, 외부 고객, F1·DISPLAY 의존; valid는 의미 정답 보증 아님</x:v>
      </x:c>
    </x:row>
    <x:row r="66" ht="85" customHeight="1">
      <x:c r="A66" s="9" t="str">
        <x:v>SYN-G07-01</x:v>
      </x:c>
      <x:c r="B66" s="9" t="str">
        <x:v>G07</x:v>
      </x:c>
      <x:c r="C66" s="9" t="str">
        <x:v>새봄</x:v>
      </x:c>
      <x:c r="D66" s="9" t="str">
        <x:v>구성만 좋았고 가격·문체는 평가하지 않았다. 과거 P 위임은 이번 업무 범위다.</x:v>
      </x:c>
      <x:c r="E66" s="9" t="str">
        <x:v>새봄의 협업 도구 도입 건에서 고객용 구성이 좋다고 했던 자료의 구성을 활용해 외부 고객용 발표자료를 발표 Agent P1에게 맡겨줘. P1-G07-N@v1를 사용하고, 구성만 재사용; 가격·문체·장기 Agent 선호는 계승하지 않음; 표는 2개 이내. 기존 조사 작업은 계속해줘.</x:v>
      </x:c>
      <x:c r="F66" s="9" t="str">
        <x:v>고객용 구성이 좋다고 했던 자료</x:v>
      </x:c>
      <x:c r="G66" s="9" t="str">
        <x:v>["P1-G07-D2@v1"]</x:v>
      </x:c>
      <x:c r="H66" s="9" t="str">
        <x:v>{"goal":"협업 도구 도입 후속 발표자료 작성","aspect":"구성","audience":"외부 고객","condition":"구성만 재사용; 가격·문체·장기 Agent 선호는 계승하지 않음; 표는 2개 이내","data":"P1-G07-N@v1","agent":"발표 Agent P1","taskRelation":"별도 발표 작업 생성; 기존 조사 작업 유지"}</x:v>
      </x:c>
      <x:c r="I66" s="9" t="str">
        <x:v>P1-G07-DISPLAY, P1-G07-F1, P1-G07-EXEC</x:v>
      </x:c>
      <x:c r="J66" s="9" t="str">
        <x:v>valid/supported: P1-G07-D2@v1, 구성, 외부 고객, F1·DISPLAY 의존; valid는 의미 정답 보증 아님</x:v>
      </x:c>
    </x:row>
    <x:row r="67" ht="85" customHeight="1">
      <x:c r="A67" s="9" t="str">
        <x:v>SYN-G07-02</x:v>
      </x:c>
      <x:c r="B67" s="9" t="str">
        <x:v>G07</x:v>
      </x:c>
      <x:c r="C67" s="9" t="str">
        <x:v>해솔</x:v>
      </x:c>
      <x:c r="D67" s="9" t="str">
        <x:v>구성만 좋았고 가격·문체는 평가하지 않았다. 과거 P 위임은 이번 업무 범위다.</x:v>
      </x:c>
      <x:c r="E67" s="9" t="str">
        <x:v>해솔의 고객지원 시스템 교체 건에서 지난번 고객 설명에 쓰기 좋다고 한 구성의 자료의 구성을 활용해 외부 고객용 발표자료를 발표 Agent P2에게 맡겨줘. P2-G07-N@v1를 사용하고, 구성만 재사용; 가격·문체·장기 Agent 선호는 계승하지 않음; 표는 3개 이내. 기존 조사 작업은 계속해줘.</x:v>
      </x:c>
      <x:c r="F67" s="9" t="str">
        <x:v>지난번 고객 설명에 쓰기 좋다고 한 구성의 자료</x:v>
      </x:c>
      <x:c r="G67" s="9" t="str">
        <x:v>["P2-G07-D2@v1"]</x:v>
      </x:c>
      <x:c r="H67" s="9" t="str">
        <x:v>{"goal":"고객지원 시스템 교체 후속 발표자료 작성","aspect":"구성","audience":"외부 고객","condition":"구성만 재사용; 가격·문체·장기 Agent 선호는 계승하지 않음; 표는 3개 이내","data":"P2-G07-N@v1","agent":"발표 Agent P2","taskRelation":"별도 발표 작업 생성; 기존 조사 작업 유지"}</x:v>
      </x:c>
      <x:c r="I67" s="9" t="str">
        <x:v>P2-G07-DISPLAY, P2-G07-F1, P2-G07-EXEC</x:v>
      </x:c>
      <x:c r="J67" s="9" t="str">
        <x:v>valid/supported: P2-G07-D2@v1, 구성, 외부 고객, F1·DISPLAY 의존; valid는 의미 정답 보증 아님</x:v>
      </x:c>
    </x:row>
    <x:row r="68" ht="85" customHeight="1">
      <x:c r="A68" s="9" t="str">
        <x:v>SYN-G07-03</x:v>
      </x:c>
      <x:c r="B68" s="9" t="str">
        <x:v>G07</x:v>
      </x:c>
      <x:c r="C68" s="9" t="str">
        <x:v>가온</x:v>
      </x:c>
      <x:c r="D68" s="9" t="str">
        <x:v>구성만 좋았고 가격·문체는 평가하지 않았다. 과거 P 위임은 이번 업무 범위다.</x:v>
      </x:c>
      <x:c r="E68" s="9" t="str">
        <x:v>가온의 물류 현황 보고 건에서 고객 앞에서 보여주기 낫다고 평가했던 쪽의 구성을 활용해 외부 고객용 발표자료를 발표 Agent P3에게 맡겨줘. P3-G07-N@v1를 사용하고, 구성만 재사용; 가격·문체·장기 Agent 선호는 계승하지 않음; 표는 4개 이내. 기존 조사 작업은 계속해줘.</x:v>
      </x:c>
      <x:c r="F68" s="9" t="str">
        <x:v>고객 앞에서 보여주기 낫다고 평가했던 쪽</x:v>
      </x:c>
      <x:c r="G68" s="9" t="str">
        <x:v>["P3-G07-D2@v1"]</x:v>
      </x:c>
      <x:c r="H68" s="9" t="str">
        <x:v>{"goal":"물류 현황 보고 후속 발표자료 작성","aspect":"구성","audience":"외부 고객","condition":"구성만 재사용; 가격·문체·장기 Agent 선호는 계승하지 않음; 표는 4개 이내","data":"P3-G07-N@v1","agent":"발표 Agent P3","taskRelation":"별도 발표 작업 생성; 기존 조사 작업 유지"}</x:v>
      </x:c>
      <x:c r="I68" s="9" t="str">
        <x:v>P3-G07-DISPLAY, P3-G07-F1, P3-G07-EXEC</x:v>
      </x:c>
      <x:c r="J68" s="9" t="str">
        <x:v>valid/supported: P3-G07-D2@v1, 구성, 외부 고객, F1·DISPLAY 의존; valid는 의미 정답 보증 아님</x:v>
      </x:c>
    </x:row>
    <x:row r="69" ht="85" customHeight="1">
      <x:c r="A69" s="9" t="str">
        <x:v>SYN-G07-04</x:v>
      </x:c>
      <x:c r="B69" s="9" t="str">
        <x:v>G07</x:v>
      </x:c>
      <x:c r="C69" s="9" t="str">
        <x:v>누리</x:v>
      </x:c>
      <x:c r="D69" s="9" t="str">
        <x:v>구성만 좋았고 가격·문체는 평가하지 않았다. 과거 P 위임은 이번 업무 범위다.</x:v>
      </x:c>
      <x:c r="E69" s="9" t="str">
        <x:v>누리의 매장 운영 개선 건에서 내가 고객용 구성을 칭찬했던 자료의 구성을 활용해 외부 고객용 발표자료를 발표 Agent P4에게 맡겨줘. P4-G07-N@v1를 사용하고, 구성만 재사용; 가격·문체·장기 Agent 선호는 계승하지 않음; 표는 5개 이내. 기존 조사 작업은 계속해줘.</x:v>
      </x:c>
      <x:c r="F69" s="9" t="str">
        <x:v>내가 고객용 구성을 칭찬했던 자료</x:v>
      </x:c>
      <x:c r="G69" s="9" t="str">
        <x:v>["P4-G07-D2@v1"]</x:v>
      </x:c>
      <x:c r="H69" s="9" t="str">
        <x:v>{"goal":"매장 운영 개선 후속 발표자료 작성","aspect":"구성","audience":"외부 고객","condition":"구성만 재사용; 가격·문체·장기 Agent 선호는 계승하지 않음; 표는 5개 이내","data":"P4-G07-N@v1","agent":"발표 Agent P4","taskRelation":"별도 발표 작업 생성; 기존 조사 작업 유지"}</x:v>
      </x:c>
      <x:c r="I69" s="9" t="str">
        <x:v>P4-G07-DISPLAY, P4-G07-F1, P4-G07-EXEC</x:v>
      </x:c>
      <x:c r="J69" s="9" t="str">
        <x:v>valid/supported: P4-G07-D2@v1, 구성, 외부 고객, F1·DISPLAY 의존; valid는 의미 정답 보증 아님</x:v>
      </x:c>
    </x:row>
    <x:row r="70" ht="85" customHeight="1">
      <x:c r="A70" s="9" t="str">
        <x:v>SYN-G07-05</x:v>
      </x:c>
      <x:c r="B70" s="9" t="str">
        <x:v>G07</x:v>
      </x:c>
      <x:c r="C70" s="9" t="str">
        <x:v>다온</x:v>
      </x:c>
      <x:c r="D70" s="9" t="str">
        <x:v>구성만 좋았고 가격·문체는 평가하지 않았다. 과거 P 위임은 이번 업무 범위다.</x:v>
      </x:c>
      <x:c r="E70" s="9" t="str">
        <x:v>다온의 교육 과정 개편 건에서 고객 설명에 맞는다고 골랐던 구성의 자료의 구성을 활용해 외부 고객용 발표자료를 발표 Agent P5에게 맡겨줘. P5-G07-N@v1를 사용하고, 구성만 재사용; 가격·문체·장기 Agent 선호는 계승하지 않음; 표는 6개 이내. 기존 조사 작업은 계속해줘.</x:v>
      </x:c>
      <x:c r="F70" s="9" t="str">
        <x:v>고객 설명에 맞는다고 골랐던 구성의 자료</x:v>
      </x:c>
      <x:c r="G70" s="9" t="str">
        <x:v>["P5-G07-D2@v1"]</x:v>
      </x:c>
      <x:c r="H70" s="9" t="str">
        <x:v>{"goal":"교육 과정 개편 후속 발표자료 작성","aspect":"구성","audience":"외부 고객","condition":"구성만 재사용; 가격·문체·장기 Agent 선호는 계승하지 않음; 표는 6개 이내","data":"P5-G07-N@v1","agent":"발표 Agent P5","taskRelation":"별도 발표 작업 생성; 기존 조사 작업 유지"}</x:v>
      </x:c>
      <x:c r="I70" s="9" t="str">
        <x:v>P5-G07-DISPLAY, P5-G07-F1, P5-G07-EXEC</x:v>
      </x:c>
      <x:c r="J70" s="9" t="str">
        <x:v>valid/supported: P5-G07-D2@v1, 구성, 외부 고객, F1·DISPLAY 의존; valid는 의미 정답 보증 아님</x:v>
      </x:c>
    </x:row>
    <x:row r="71" ht="85" customHeight="1">
      <x:c r="A71" s="9" t="str">
        <x:v>SYN-G07-06</x:v>
      </x:c>
      <x:c r="B71" s="9" t="str">
        <x:v>G07</x:v>
      </x:c>
      <x:c r="C71" s="9" t="str">
        <x:v>마루</x:v>
      </x:c>
      <x:c r="D71" s="9" t="str">
        <x:v>구성만 좋았고 가격·문체는 평가하지 않았다. 과거 P 위임은 이번 업무 범위다.</x:v>
      </x:c>
      <x:c r="E71" s="9" t="str">
        <x:v>마루의 제품 출시 계획 건에서 고객에게 보여주자고 했던 구성의 자료의 구성을 활용해 외부 고객용 발표자료를 발표 Agent P6에게 맡겨줘. P6-G07-N@v1를 사용하고, 구성만 재사용; 가격·문체·장기 Agent 선호는 계승하지 않음; 표는 7개 이내. 기존 조사 작업은 계속해줘.</x:v>
      </x:c>
      <x:c r="F71" s="9" t="str">
        <x:v>고객에게 보여주자고 했던 구성의 자료</x:v>
      </x:c>
      <x:c r="G71" s="9" t="str">
        <x:v>["P6-G07-D2@v1"]</x:v>
      </x:c>
      <x:c r="H71" s="9" t="str">
        <x:v>{"goal":"제품 출시 계획 후속 발표자료 작성","aspect":"구성","audience":"외부 고객","condition":"구성만 재사용; 가격·문체·장기 Agent 선호는 계승하지 않음; 표는 7개 이내","data":"P6-G07-N@v1","agent":"발표 Agent P6","taskRelation":"별도 발표 작업 생성; 기존 조사 작업 유지"}</x:v>
      </x:c>
      <x:c r="I71" s="9" t="str">
        <x:v>P6-G07-DISPLAY, P6-G07-F1, P6-G07-EXEC</x:v>
      </x:c>
      <x:c r="J71" s="9" t="str">
        <x:v>valid/supported: P6-G07-D2@v1, 구성, 외부 고객, F1·DISPLAY 의존; valid는 의미 정답 보증 아님</x:v>
      </x:c>
    </x:row>
    <x:row r="72" ht="85" customHeight="1">
      <x:c r="A72" s="9" t="str">
        <x:v>SYN-G07-07</x:v>
      </x:c>
      <x:c r="B72" s="9" t="str">
        <x:v>G07</x:v>
      </x:c>
      <x:c r="C72" s="9" t="str">
        <x:v>이든</x:v>
      </x:c>
      <x:c r="D72" s="9" t="str">
        <x:v>구성만 좋았고 가격·문체는 평가하지 않았다. 과거 P 위임은 이번 업무 범위다.</x:v>
      </x:c>
      <x:c r="E72" s="9" t="str">
        <x:v>이든의 연구 장비 도입 건에서 고객용은 구성이 더 좋다고 했던 쪽의 구성을 활용해 외부 고객용 발표자료를 발표 Agent P7에게 맡겨줘. P7-G07-N@v1를 사용하고, 구성만 재사용; 가격·문체·장기 Agent 선호는 계승하지 않음; 표는 8개 이내. 기존 조사 작업은 계속해줘.</x:v>
      </x:c>
      <x:c r="F72" s="9" t="str">
        <x:v>고객용은 구성이 더 좋다고 했던 쪽</x:v>
      </x:c>
      <x:c r="G72" s="9" t="str">
        <x:v>["P7-G07-D2@v1"]</x:v>
      </x:c>
      <x:c r="H72" s="9" t="str">
        <x:v>{"goal":"연구 장비 도입 후속 발표자료 작성","aspect":"구성","audience":"외부 고객","condition":"구성만 재사용; 가격·문체·장기 Agent 선호는 계승하지 않음; 표는 8개 이내","data":"P7-G07-N@v1","agent":"발표 Agent P7","taskRelation":"별도 발표 작업 생성; 기존 조사 작업 유지"}</x:v>
      </x:c>
      <x:c r="I72" s="9" t="str">
        <x:v>P7-G07-DISPLAY, P7-G07-F1, P7-G07-EXEC</x:v>
      </x:c>
      <x:c r="J72" s="9" t="str">
        <x:v>valid/supported: P7-G07-D2@v1, 구성, 외부 고객, F1·DISPLAY 의존; valid는 의미 정답 보증 아님</x:v>
      </x:c>
    </x:row>
    <x:row r="73" ht="85" customHeight="1">
      <x:c r="A73" s="9" t="str">
        <x:v>SYN-G07-08</x:v>
      </x:c>
      <x:c r="B73" s="9" t="str">
        <x:v>G07</x:v>
      </x:c>
      <x:c r="C73" s="9" t="str">
        <x:v>라온</x:v>
      </x:c>
      <x:c r="D73" s="9" t="str">
        <x:v>구성만 좋았고 가격·문체는 평가하지 않았다. 과거 P 위임은 이번 업무 범위다.</x:v>
      </x:c>
      <x:c r="E73" s="9" t="str">
        <x:v>라온의 사무공간 이전 건에서 지난 피드백에서 고객용으로 선호한 구성의 자료의 구성을 활용해 외부 고객용 발표자료를 발표 Agent P8에게 맡겨줘. P8-G07-N@v1를 사용하고, 구성만 재사용; 가격·문체·장기 Agent 선호는 계승하지 않음; 표는 9개 이내. 기존 조사 작업은 계속해줘.</x:v>
      </x:c>
      <x:c r="F73" s="9" t="str">
        <x:v>지난 피드백에서 고객용으로 선호한 구성의 자료</x:v>
      </x:c>
      <x:c r="G73" s="9" t="str">
        <x:v>["P8-G07-D2@v1"]</x:v>
      </x:c>
      <x:c r="H73" s="9" t="str">
        <x:v>{"goal":"사무공간 이전 후속 발표자료 작성","aspect":"구성","audience":"외부 고객","condition":"구성만 재사용; 가격·문체·장기 Agent 선호는 계승하지 않음; 표는 9개 이내","data":"P8-G07-N@v1","agent":"발표 Agent P8","taskRelation":"별도 발표 작업 생성; 기존 조사 작업 유지"}</x:v>
      </x:c>
      <x:c r="I73" s="9" t="str">
        <x:v>P8-G07-DISPLAY, P8-G07-F1, P8-G07-EXEC</x:v>
      </x:c>
      <x:c r="J73" s="9" t="str">
        <x:v>valid/supported: P8-G07-D2@v1, 구성, 외부 고객, F1·DISPLAY 의존; valid는 의미 정답 보증 아님</x:v>
      </x:c>
    </x:row>
    <x:row r="74" ht="85" customHeight="1">
      <x:c r="A74" s="9" t="str">
        <x:v>SYN-G07-09</x:v>
      </x:c>
      <x:c r="B74" s="9" t="str">
        <x:v>G07</x:v>
      </x:c>
      <x:c r="C74" s="9" t="str">
        <x:v>한결</x:v>
      </x:c>
      <x:c r="D74" s="9" t="str">
        <x:v>구성만 좋았고 가격·문체는 평가하지 않았다. 과거 P 위임은 이번 업무 범위다.</x:v>
      </x:c>
      <x:c r="E74" s="9" t="str">
        <x:v>한결의 서비스 품질 개선 건에서 고객에게 설명하기 편하다고 했던 자료의 구성을 활용해 외부 고객용 발표자료를 발표 Agent P9에게 맡겨줘. P9-G07-N@v1를 사용하고, 구성만 재사용; 가격·문체·장기 Agent 선호는 계승하지 않음; 표는 10개 이내. 기존 조사 작업은 계속해줘.</x:v>
      </x:c>
      <x:c r="F74" s="9" t="str">
        <x:v>고객에게 설명하기 편하다고 했던 자료</x:v>
      </x:c>
      <x:c r="G74" s="9" t="str">
        <x:v>["P9-G07-D2@v1"]</x:v>
      </x:c>
      <x:c r="H74" s="9" t="str">
        <x:v>{"goal":"서비스 품질 개선 후속 발표자료 작성","aspect":"구성","audience":"외부 고객","condition":"구성만 재사용; 가격·문체·장기 Agent 선호는 계승하지 않음; 표는 10개 이내","data":"P9-G07-N@v1","agent":"발표 Agent P9","taskRelation":"별도 발표 작업 생성; 기존 조사 작업 유지"}</x:v>
      </x:c>
      <x:c r="I74" s="9" t="str">
        <x:v>P9-G07-DISPLAY, P9-G07-F1, P9-G07-EXEC</x:v>
      </x:c>
      <x:c r="J74" s="9" t="str">
        <x:v>valid/supported: P9-G07-D2@v1, 구성, 외부 고객, F1·DISPLAY 의존; valid는 의미 정답 보증 아님</x:v>
      </x:c>
    </x:row>
    <x:row r="75" ht="85" customHeight="1">
      <x:c r="A75" s="9" t="str">
        <x:v>SYN-G07-10</x:v>
      </x:c>
      <x:c r="B75" s="9" t="str">
        <x:v>G07</x:v>
      </x:c>
      <x:c r="C75" s="9" t="str">
        <x:v>온유</x:v>
      </x:c>
      <x:c r="D75" s="9" t="str">
        <x:v>구성만 좋았고 가격·문체는 평가하지 않았다. 과거 P 위임은 이번 업무 범위다.</x:v>
      </x:c>
      <x:c r="E75" s="9" t="str">
        <x:v>온유의 파트너 제휴 검토 건에서 고객용으로 채택하자고 말했던 구성의 자료의 구성을 활용해 외부 고객용 발표자료를 발표 Agent P10에게 맡겨줘. P10-G07-N@v1를 사용하고, 구성만 재사용; 가격·문체·장기 Agent 선호는 계승하지 않음; 표는 11개 이내. 기존 조사 작업은 계속해줘.</x:v>
      </x:c>
      <x:c r="F75" s="9" t="str">
        <x:v>고객용으로 채택하자고 말했던 구성의 자료</x:v>
      </x:c>
      <x:c r="G75" s="9" t="str">
        <x:v>["P10-G07-D2@v1"]</x:v>
      </x:c>
      <x:c r="H75" s="9" t="str">
        <x:v>{"goal":"파트너 제휴 검토 후속 발표자료 작성","aspect":"구성","audience":"외부 고객","condition":"구성만 재사용; 가격·문체·장기 Agent 선호는 계승하지 않음; 표는 11개 이내","data":"P10-G07-N@v1","agent":"발표 Agent P10","taskRelation":"별도 발표 작업 생성; 기존 조사 작업 유지"}</x:v>
      </x:c>
      <x:c r="I75" s="9" t="str">
        <x:v>P10-G07-DISPLAY, P10-G07-F1, P10-G07-EXEC</x:v>
      </x:c>
      <x:c r="J75" s="9" t="str">
        <x:v>valid/supported: P10-G07-D2@v1, 구성, 외부 고객, F1·DISPLAY 의존; valid는 의미 정답 보증 아님</x:v>
      </x:c>
    </x:row>
    <x:row r="76" ht="85" customHeight="1">
      <x:c r="A76" s="9" t="str">
        <x:v>SYN-G08-01</x:v>
      </x:c>
      <x:c r="B76" s="9" t="str">
        <x:v>G08</x:v>
      </x:c>
      <x:c r="C76" s="9" t="str">
        <x:v>새봄</x:v>
      </x:c>
      <x:c r="D76" s="9" t="str">
        <x:v>SYN-G02-01 후 공동 확인된 정답 관계를 동일 제공. 이전 오답은 QA02/07에 남김.</x:v>
      </x:c>
      <x:c r="E76" s="9" t="str">
        <x:v>새봄의 협업 도구 도입 건에서 앞서 확인한 자료의 구성을 활용해 외부 고객용 발표자료를 발표 Agent P1에게 맡겨줘. P1-G02-N@v1를 사용하고, 신규 조사로 수치 교체; 표는 2개 이내. 기존 조사 작업은 계속해줘.</x:v>
      </x:c>
      <x:c r="F76" s="9" t="str">
        <x:v>앞서 확인한 자료</x:v>
      </x:c>
      <x:c r="G76" s="9" t="str">
        <x:v>["P1-G02-D2@v1"]</x:v>
      </x:c>
      <x:c r="H76" s="9" t="str">
        <x:v>{"goal":"협업 도구 도입 후속 발표자료 작성","aspect":"구성","audience":"외부 고객","condition":"신규 조사로 수치 교체; 표는 2개 이내","data":"P1-G02-N@v1","agent":"발표 Agent P1","taskRelation":"별도 발표 작업 생성; 기존 조사 작업 유지"}</x:v>
      </x:c>
      <x:c r="I76" s="9" t="str">
        <x:v>P1-G02-DISPLAY, P1-G02-F1, P1-G02-EXEC, P1-G02-CONFIRM</x:v>
      </x:c>
      <x:c r="J76" s="9" t="str">
        <x:v>양안에 확정 관계 존재</x:v>
      </x:c>
    </x:row>
    <x:row r="77" ht="85" customHeight="1">
      <x:c r="A77" s="9" t="str">
        <x:v>SYN-G08-02</x:v>
      </x:c>
      <x:c r="B77" s="9" t="str">
        <x:v>G08</x:v>
      </x:c>
      <x:c r="C77" s="9" t="str">
        <x:v>해솔</x:v>
      </x:c>
      <x:c r="D77" s="9" t="str">
        <x:v>SYN-G02-02 후 공동 확인된 정답 관계를 동일 제공. 이전 오답은 QA02/07에 남김.</x:v>
      </x:c>
      <x:c r="E77" s="9" t="str">
        <x:v>해솔의 고객지원 시스템 교체 건에서 앞서 확인한 자료의 구성을 활용해 외부 고객용 발표자료를 발표 Agent P2에게 맡겨줘. P2-G02-N@v1를 사용하고, 신규 조사로 수치 교체; 표는 3개 이내. 기존 조사 작업은 계속해줘.</x:v>
      </x:c>
      <x:c r="F77" s="9" t="str">
        <x:v>앞서 확인한 자료</x:v>
      </x:c>
      <x:c r="G77" s="9" t="str">
        <x:v>["P2-G02-D2@v1"]</x:v>
      </x:c>
      <x:c r="H77" s="9" t="str">
        <x:v>{"goal":"고객지원 시스템 교체 후속 발표자료 작성","aspect":"구성","audience":"외부 고객","condition":"신규 조사로 수치 교체; 표는 3개 이내","data":"P2-G02-N@v1","agent":"발표 Agent P2","taskRelation":"별도 발표 작업 생성; 기존 조사 작업 유지"}</x:v>
      </x:c>
      <x:c r="I77" s="9" t="str">
        <x:v>P2-G02-DISPLAY, P2-G02-F1, P2-G02-EXEC, P2-G02-CONFIRM</x:v>
      </x:c>
      <x:c r="J77" s="9" t="str">
        <x:v>양안에 확정 관계 존재</x:v>
      </x:c>
    </x:row>
    <x:row r="78" ht="85" customHeight="1">
      <x:c r="A78" s="9" t="str">
        <x:v>SYN-G08-03</x:v>
      </x:c>
      <x:c r="B78" s="9" t="str">
        <x:v>G08</x:v>
      </x:c>
      <x:c r="C78" s="9" t="str">
        <x:v>가온</x:v>
      </x:c>
      <x:c r="D78" s="9" t="str">
        <x:v>SYN-G02-03 후 공동 확인된 정답 관계를 동일 제공. 이전 오답은 QA02/07에 남김.</x:v>
      </x:c>
      <x:c r="E78" s="9" t="str">
        <x:v>가온의 물류 현황 보고 건에서 앞서 확인한 자료의 구성을 활용해 외부 고객용 발표자료를 발표 Agent P3에게 맡겨줘. P3-G02-N@v1를 사용하고, 신규 조사로 수치 교체; 표는 4개 이내. 기존 조사 작업은 계속해줘.</x:v>
      </x:c>
      <x:c r="F78" s="9" t="str">
        <x:v>앞서 확인한 자료</x:v>
      </x:c>
      <x:c r="G78" s="9" t="str">
        <x:v>["P3-G02-D2@v1"]</x:v>
      </x:c>
      <x:c r="H78" s="9" t="str">
        <x:v>{"goal":"물류 현황 보고 후속 발표자료 작성","aspect":"구성","audience":"외부 고객","condition":"신규 조사로 수치 교체; 표는 4개 이내","data":"P3-G02-N@v1","agent":"발표 Agent P3","taskRelation":"별도 발표 작업 생성; 기존 조사 작업 유지"}</x:v>
      </x:c>
      <x:c r="I78" s="9" t="str">
        <x:v>P3-G02-DISPLAY, P3-G02-F1, P3-G02-EXEC, P3-G02-CONFIRM</x:v>
      </x:c>
      <x:c r="J78" s="9" t="str">
        <x:v>양안에 확정 관계 존재</x:v>
      </x:c>
    </x:row>
    <x:row r="79" ht="85" customHeight="1">
      <x:c r="A79" s="9" t="str">
        <x:v>SYN-G08-04</x:v>
      </x:c>
      <x:c r="B79" s="9" t="str">
        <x:v>G08</x:v>
      </x:c>
      <x:c r="C79" s="9" t="str">
        <x:v>누리</x:v>
      </x:c>
      <x:c r="D79" s="9" t="str">
        <x:v>SYN-G02-04 후 공동 확인된 정답 관계를 동일 제공. 이전 오답은 QA02/07에 남김.</x:v>
      </x:c>
      <x:c r="E79" s="9" t="str">
        <x:v>누리의 매장 운영 개선 건에서 앞서 확인한 자료의 구성을 활용해 외부 고객용 발표자료를 발표 Agent P4에게 맡겨줘. P4-G02-N@v1를 사용하고, 신규 조사로 수치 교체; 표는 5개 이내. 기존 조사 작업은 계속해줘.</x:v>
      </x:c>
      <x:c r="F79" s="9" t="str">
        <x:v>앞서 확인한 자료</x:v>
      </x:c>
      <x:c r="G79" s="9" t="str">
        <x:v>["P4-G02-D2@v1"]</x:v>
      </x:c>
      <x:c r="H79" s="9" t="str">
        <x:v>{"goal":"매장 운영 개선 후속 발표자료 작성","aspect":"구성","audience":"외부 고객","condition":"신규 조사로 수치 교체; 표는 5개 이내","data":"P4-G02-N@v1","agent":"발표 Agent P4","taskRelation":"별도 발표 작업 생성; 기존 조사 작업 유지"}</x:v>
      </x:c>
      <x:c r="I79" s="9" t="str">
        <x:v>P4-G02-DISPLAY, P4-G02-F1, P4-G02-EXEC, P4-G02-CONFIRM</x:v>
      </x:c>
      <x:c r="J79" s="9" t="str">
        <x:v>양안에 확정 관계 존재</x:v>
      </x:c>
    </x:row>
    <x:row r="80" ht="85" customHeight="1">
      <x:c r="A80" s="9" t="str">
        <x:v>SYN-G08-05</x:v>
      </x:c>
      <x:c r="B80" s="9" t="str">
        <x:v>G08</x:v>
      </x:c>
      <x:c r="C80" s="9" t="str">
        <x:v>다온</x:v>
      </x:c>
      <x:c r="D80" s="9" t="str">
        <x:v>SYN-G02-05 후 공동 확인된 정답 관계를 동일 제공. 이전 오답은 QA02/07에 남김.</x:v>
      </x:c>
      <x:c r="E80" s="9" t="str">
        <x:v>다온의 교육 과정 개편 건에서 앞서 확인한 자료의 구성을 활용해 외부 고객용 발표자료를 발표 Agent P5에게 맡겨줘. P5-G02-N@v1를 사용하고, 신규 조사로 수치 교체; 표는 6개 이내. 기존 조사 작업은 계속해줘.</x:v>
      </x:c>
      <x:c r="F80" s="9" t="str">
        <x:v>앞서 확인한 자료</x:v>
      </x:c>
      <x:c r="G80" s="9" t="str">
        <x:v>["P5-G02-D2@v1"]</x:v>
      </x:c>
      <x:c r="H80" s="9" t="str">
        <x:v>{"goal":"교육 과정 개편 후속 발표자료 작성","aspect":"구성","audience":"외부 고객","condition":"신규 조사로 수치 교체; 표는 6개 이내","data":"P5-G02-N@v1","agent":"발표 Agent P5","taskRelation":"별도 발표 작업 생성; 기존 조사 작업 유지"}</x:v>
      </x:c>
      <x:c r="I80" s="9" t="str">
        <x:v>P5-G02-DISPLAY, P5-G02-F1, P5-G02-EXEC, P5-G02-CONFIRM</x:v>
      </x:c>
      <x:c r="J80" s="9" t="str">
        <x:v>양안에 확정 관계 존재</x:v>
      </x:c>
    </x:row>
    <x:row r="81" ht="85" customHeight="1">
      <x:c r="A81" s="9" t="str">
        <x:v>SYN-G08-06</x:v>
      </x:c>
      <x:c r="B81" s="9" t="str">
        <x:v>G08</x:v>
      </x:c>
      <x:c r="C81" s="9" t="str">
        <x:v>마루</x:v>
      </x:c>
      <x:c r="D81" s="9" t="str">
        <x:v>SYN-G02-06 후 공동 확인된 정답 관계를 동일 제공. 이전 오답은 QA02/07에 남김.</x:v>
      </x:c>
      <x:c r="E81" s="9" t="str">
        <x:v>마루의 제품 출시 계획 건에서 앞서 확인한 자료의 구성을 활용해 외부 고객용 발표자료를 발표 Agent P6에게 맡겨줘. P6-G02-N@v1를 사용하고, 신규 조사로 수치 교체; 표는 7개 이내. 기존 조사 작업은 계속해줘.</x:v>
      </x:c>
      <x:c r="F81" s="9" t="str">
        <x:v>앞서 확인한 자료</x:v>
      </x:c>
      <x:c r="G81" s="9" t="str">
        <x:v>["P6-G02-D2@v1"]</x:v>
      </x:c>
      <x:c r="H81" s="9" t="str">
        <x:v>{"goal":"제품 출시 계획 후속 발표자료 작성","aspect":"구성","audience":"외부 고객","condition":"신규 조사로 수치 교체; 표는 7개 이내","data":"P6-G02-N@v1","agent":"발표 Agent P6","taskRelation":"별도 발표 작업 생성; 기존 조사 작업 유지"}</x:v>
      </x:c>
      <x:c r="I81" s="9" t="str">
        <x:v>P6-G02-DISPLAY, P6-G02-F1, P6-G02-EXEC, P6-G02-CONFIRM</x:v>
      </x:c>
      <x:c r="J81" s="9" t="str">
        <x:v>양안에 확정 관계 존재</x:v>
      </x:c>
    </x:row>
    <x:row r="82" ht="85" customHeight="1">
      <x:c r="A82" s="9" t="str">
        <x:v>SYN-G08-07</x:v>
      </x:c>
      <x:c r="B82" s="9" t="str">
        <x:v>G08</x:v>
      </x:c>
      <x:c r="C82" s="9" t="str">
        <x:v>이든</x:v>
      </x:c>
      <x:c r="D82" s="9" t="str">
        <x:v>SYN-G02-07 후 공동 확인된 정답 관계를 동일 제공. 이전 오답은 QA02/07에 남김.</x:v>
      </x:c>
      <x:c r="E82" s="9" t="str">
        <x:v>이든의 연구 장비 도입 건에서 앞서 확인한 자료의 구성을 활용해 외부 고객용 발표자료를 발표 Agent P7에게 맡겨줘. P7-G02-N@v1를 사용하고, 신규 조사로 수치 교체; 표는 8개 이내. 기존 조사 작업은 계속해줘.</x:v>
      </x:c>
      <x:c r="F82" s="9" t="str">
        <x:v>앞서 확인한 자료</x:v>
      </x:c>
      <x:c r="G82" s="9" t="str">
        <x:v>["P7-G02-D2@v1"]</x:v>
      </x:c>
      <x:c r="H82" s="9" t="str">
        <x:v>{"goal":"연구 장비 도입 후속 발표자료 작성","aspect":"구성","audience":"외부 고객","condition":"신규 조사로 수치 교체; 표는 8개 이내","data":"P7-G02-N@v1","agent":"발표 Agent P7","taskRelation":"별도 발표 작업 생성; 기존 조사 작업 유지"}</x:v>
      </x:c>
      <x:c r="I82" s="9" t="str">
        <x:v>P7-G02-DISPLAY, P7-G02-F1, P7-G02-EXEC, P7-G02-CONFIRM</x:v>
      </x:c>
      <x:c r="J82" s="9" t="str">
        <x:v>양안에 확정 관계 존재</x:v>
      </x:c>
    </x:row>
    <x:row r="83" ht="85" customHeight="1">
      <x:c r="A83" s="9" t="str">
        <x:v>SYN-G08-08</x:v>
      </x:c>
      <x:c r="B83" s="9" t="str">
        <x:v>G08</x:v>
      </x:c>
      <x:c r="C83" s="9" t="str">
        <x:v>라온</x:v>
      </x:c>
      <x:c r="D83" s="9" t="str">
        <x:v>SYN-G02-08 후 공동 확인된 정답 관계를 동일 제공. 이전 오답은 QA02/07에 남김.</x:v>
      </x:c>
      <x:c r="E83" s="9" t="str">
        <x:v>라온의 사무공간 이전 건에서 앞서 확인한 자료의 구성을 활용해 외부 고객용 발표자료를 발표 Agent P8에게 맡겨줘. P8-G02-N@v1를 사용하고, 신규 조사로 수치 교체; 표는 9개 이내. 기존 조사 작업은 계속해줘.</x:v>
      </x:c>
      <x:c r="F83" s="9" t="str">
        <x:v>앞서 확인한 자료</x:v>
      </x:c>
      <x:c r="G83" s="9" t="str">
        <x:v>["P8-G02-D2@v1"]</x:v>
      </x:c>
      <x:c r="H83" s="9" t="str">
        <x:v>{"goal":"사무공간 이전 후속 발표자료 작성","aspect":"구성","audience":"외부 고객","condition":"신규 조사로 수치 교체; 표는 9개 이내","data":"P8-G02-N@v1","agent":"발표 Agent P8","taskRelation":"별도 발표 작업 생성; 기존 조사 작업 유지"}</x:v>
      </x:c>
      <x:c r="I83" s="9" t="str">
        <x:v>P8-G02-DISPLAY, P8-G02-F1, P8-G02-EXEC, P8-G02-CONFIRM</x:v>
      </x:c>
      <x:c r="J83" s="9" t="str">
        <x:v>양안에 확정 관계 존재</x:v>
      </x:c>
    </x:row>
    <x:row r="84" ht="85" customHeight="1">
      <x:c r="A84" s="9" t="str">
        <x:v>SYN-G08-09</x:v>
      </x:c>
      <x:c r="B84" s="9" t="str">
        <x:v>G08</x:v>
      </x:c>
      <x:c r="C84" s="9" t="str">
        <x:v>한결</x:v>
      </x:c>
      <x:c r="D84" s="9" t="str">
        <x:v>SYN-G02-09 후 공동 확인된 정답 관계를 동일 제공. 이전 오답은 QA02/07에 남김.</x:v>
      </x:c>
      <x:c r="E84" s="9" t="str">
        <x:v>한결의 서비스 품질 개선 건에서 앞서 확인한 자료의 구성을 활용해 외부 고객용 발표자료를 발표 Agent P9에게 맡겨줘. P9-G02-N@v1를 사용하고, 신규 조사로 수치 교체; 표는 10개 이내. 기존 조사 작업은 계속해줘.</x:v>
      </x:c>
      <x:c r="F84" s="9" t="str">
        <x:v>앞서 확인한 자료</x:v>
      </x:c>
      <x:c r="G84" s="9" t="str">
        <x:v>["P9-G02-D2@v1"]</x:v>
      </x:c>
      <x:c r="H84" s="9" t="str">
        <x:v>{"goal":"서비스 품질 개선 후속 발표자료 작성","aspect":"구성","audience":"외부 고객","condition":"신규 조사로 수치 교체; 표는 10개 이내","data":"P9-G02-N@v1","agent":"발표 Agent P9","taskRelation":"별도 발표 작업 생성; 기존 조사 작업 유지"}</x:v>
      </x:c>
      <x:c r="I84" s="9" t="str">
        <x:v>P9-G02-DISPLAY, P9-G02-F1, P9-G02-EXEC, P9-G02-CONFIRM</x:v>
      </x:c>
      <x:c r="J84" s="9" t="str">
        <x:v>양안에 확정 관계 존재</x:v>
      </x:c>
    </x:row>
    <x:row r="85" ht="85" customHeight="1">
      <x:c r="A85" s="9" t="str">
        <x:v>SYN-G08-10</x:v>
      </x:c>
      <x:c r="B85" s="9" t="str">
        <x:v>G08</x:v>
      </x:c>
      <x:c r="C85" s="9" t="str">
        <x:v>온유</x:v>
      </x:c>
      <x:c r="D85" s="9" t="str">
        <x:v>SYN-G02-10 후 공동 확인된 정답 관계를 동일 제공. 이전 오답은 QA02/07에 남김.</x:v>
      </x:c>
      <x:c r="E85" s="9" t="str">
        <x:v>온유의 파트너 제휴 검토 건에서 앞서 확인한 자료의 구성을 활용해 외부 고객용 발표자료를 발표 Agent P10에게 맡겨줘. P10-G02-N@v1를 사용하고, 신규 조사로 수치 교체; 표는 11개 이내. 기존 조사 작업은 계속해줘.</x:v>
      </x:c>
      <x:c r="F85" s="9" t="str">
        <x:v>앞서 확인한 자료</x:v>
      </x:c>
      <x:c r="G85" s="9" t="str">
        <x:v>["P10-G02-D2@v1"]</x:v>
      </x:c>
      <x:c r="H85" s="9" t="str">
        <x:v>{"goal":"파트너 제휴 검토 후속 발표자료 작성","aspect":"구성","audience":"외부 고객","condition":"신규 조사로 수치 교체; 표는 11개 이내","data":"P10-G02-N@v1","agent":"발표 Agent P10","taskRelation":"별도 발표 작업 생성; 기존 조사 작업 유지"}</x:v>
      </x:c>
      <x:c r="I85" s="9" t="str">
        <x:v>P10-G02-DISPLAY, P10-G02-F1, P10-G02-EXEC, P10-G02-CONFIRM</x:v>
      </x:c>
      <x:c r="J85" s="9" t="str">
        <x:v>양안에 확정 관계 존재</x:v>
      </x:c>
    </x:row>
    <x:row r="86" ht="85" customHeight="1">
      <x:c r="A86" s="9" t="str">
        <x:v>SYN-G09-01</x:v>
      </x:c>
      <x:c r="B86" s="9" t="str">
        <x:v>G09</x:v>
      </x:c>
      <x:c r="C86" s="9" t="str">
        <x:v>새봄</x:v>
      </x:c>
      <x:c r="D86" s="9" t="str">
        <x:v>새 피드백은 원본에 있으나 B의 처리 cursor 뒤에 있어 파생 관계가 없다.</x:v>
      </x:c>
      <x:c r="E86" s="9" t="str">
        <x:v>새봄의 협업 도구 도입 건에서 고객용 구성이 좋다고 했던 자료의 구성을 활용해 외부 고객용 발표자료를 발표 Agent P1에게 맡겨줘. P1-G09-N@v1를 사용하고, 신규 조사로 수치 교체; 표는 2개 이내. 기존 조사 작업은 계속해줘.</x:v>
      </x:c>
      <x:c r="F86" s="9" t="str">
        <x:v>고객용 구성이 좋다고 했던 자료</x:v>
      </x:c>
      <x:c r="G86" s="9" t="str">
        <x:v>["P1-G09-D2@v1"]</x:v>
      </x:c>
      <x:c r="H86" s="9" t="str">
        <x:v>{"goal":"협업 도구 도입 후속 발표자료 작성","aspect":"구성","audience":"외부 고객","condition":"신규 조사로 수치 교체; 표는 2개 이내","data":"P1-G09-N@v1","agent":"발표 Agent P1","taskRelation":"별도 발표 작업 생성; 기존 조사 작업 유지"}</x:v>
      </x:c>
      <x:c r="I86" s="9" t="str">
        <x:v>P1-G09-DISPLAY, P1-G09-F1, P1-G09-EXEC</x:v>
      </x:c>
      <x:c r="J86" s="9" t="str">
        <x:v>unproduced: 새 사건은 cursor 뒤</x:v>
      </x:c>
    </x:row>
    <x:row r="87" ht="85" customHeight="1">
      <x:c r="A87" s="9" t="str">
        <x:v>SYN-G09-02</x:v>
      </x:c>
      <x:c r="B87" s="9" t="str">
        <x:v>G09</x:v>
      </x:c>
      <x:c r="C87" s="9" t="str">
        <x:v>해솔</x:v>
      </x:c>
      <x:c r="D87" s="9" t="str">
        <x:v>새 피드백은 원본에 있으나 B의 처리 cursor 뒤에 있어 파생 관계가 없다.</x:v>
      </x:c>
      <x:c r="E87" s="9" t="str">
        <x:v>해솔의 고객지원 시스템 교체 건에서 지난번 고객 설명에 쓰기 좋다고 한 구성의 자료의 구성을 활용해 외부 고객용 발표자료를 발표 Agent P2에게 맡겨줘. P2-G09-N@v1를 사용하고, 신규 조사로 수치 교체; 표는 3개 이내. 기존 조사 작업은 계속해줘.</x:v>
      </x:c>
      <x:c r="F87" s="9" t="str">
        <x:v>지난번 고객 설명에 쓰기 좋다고 한 구성의 자료</x:v>
      </x:c>
      <x:c r="G87" s="9" t="str">
        <x:v>["P2-G09-D2@v1"]</x:v>
      </x:c>
      <x:c r="H87" s="9" t="str">
        <x:v>{"goal":"고객지원 시스템 교체 후속 발표자료 작성","aspect":"구성","audience":"외부 고객","condition":"신규 조사로 수치 교체; 표는 3개 이내","data":"P2-G09-N@v1","agent":"발표 Agent P2","taskRelation":"별도 발표 작업 생성; 기존 조사 작업 유지"}</x:v>
      </x:c>
      <x:c r="I87" s="9" t="str">
        <x:v>P2-G09-DISPLAY, P2-G09-F1, P2-G09-EXEC</x:v>
      </x:c>
      <x:c r="J87" s="9" t="str">
        <x:v>unproduced: 새 사건은 cursor 뒤</x:v>
      </x:c>
    </x:row>
    <x:row r="88" ht="85" customHeight="1">
      <x:c r="A88" s="9" t="str">
        <x:v>SYN-G09-03</x:v>
      </x:c>
      <x:c r="B88" s="9" t="str">
        <x:v>G09</x:v>
      </x:c>
      <x:c r="C88" s="9" t="str">
        <x:v>가온</x:v>
      </x:c>
      <x:c r="D88" s="9" t="str">
        <x:v>새 피드백은 원본에 있으나 B의 처리 cursor 뒤에 있어 파생 관계가 없다.</x:v>
      </x:c>
      <x:c r="E88" s="9" t="str">
        <x:v>가온의 물류 현황 보고 건에서 고객 앞에서 보여주기 낫다고 평가했던 쪽의 구성을 활용해 외부 고객용 발표자료를 발표 Agent P3에게 맡겨줘. P3-G09-N@v1를 사용하고, 신규 조사로 수치 교체; 표는 4개 이내. 기존 조사 작업은 계속해줘.</x:v>
      </x:c>
      <x:c r="F88" s="9" t="str">
        <x:v>고객 앞에서 보여주기 낫다고 평가했던 쪽</x:v>
      </x:c>
      <x:c r="G88" s="9" t="str">
        <x:v>["P3-G09-D2@v1"]</x:v>
      </x:c>
      <x:c r="H88" s="9" t="str">
        <x:v>{"goal":"물류 현황 보고 후속 발표자료 작성","aspect":"구성","audience":"외부 고객","condition":"신규 조사로 수치 교체; 표는 4개 이내","data":"P3-G09-N@v1","agent":"발표 Agent P3","taskRelation":"별도 발표 작업 생성; 기존 조사 작업 유지"}</x:v>
      </x:c>
      <x:c r="I88" s="9" t="str">
        <x:v>P3-G09-DISPLAY, P3-G09-F1, P3-G09-EXEC</x:v>
      </x:c>
      <x:c r="J88" s="9" t="str">
        <x:v>unproduced: 새 사건은 cursor 뒤</x:v>
      </x:c>
    </x:row>
    <x:row r="89" ht="85" customHeight="1">
      <x:c r="A89" s="9" t="str">
        <x:v>SYN-G09-04</x:v>
      </x:c>
      <x:c r="B89" s="9" t="str">
        <x:v>G09</x:v>
      </x:c>
      <x:c r="C89" s="9" t="str">
        <x:v>누리</x:v>
      </x:c>
      <x:c r="D89" s="9" t="str">
        <x:v>새 피드백은 원본에 있으나 B의 처리 cursor 뒤에 있어 파생 관계가 없다.</x:v>
      </x:c>
      <x:c r="E89" s="9" t="str">
        <x:v>누리의 매장 운영 개선 건에서 내가 고객용 구성을 칭찬했던 자료의 구성을 활용해 외부 고객용 발표자료를 발표 Agent P4에게 맡겨줘. P4-G09-N@v1를 사용하고, 신규 조사로 수치 교체; 표는 5개 이내. 기존 조사 작업은 계속해줘.</x:v>
      </x:c>
      <x:c r="F89" s="9" t="str">
        <x:v>내가 고객용 구성을 칭찬했던 자료</x:v>
      </x:c>
      <x:c r="G89" s="9" t="str">
        <x:v>["P4-G09-D2@v1"]</x:v>
      </x:c>
      <x:c r="H89" s="9" t="str">
        <x:v>{"goal":"매장 운영 개선 후속 발표자료 작성","aspect":"구성","audience":"외부 고객","condition":"신규 조사로 수치 교체; 표는 5개 이내","data":"P4-G09-N@v1","agent":"발표 Agent P4","taskRelation":"별도 발표 작업 생성; 기존 조사 작업 유지"}</x:v>
      </x:c>
      <x:c r="I89" s="9" t="str">
        <x:v>P4-G09-DISPLAY, P4-G09-F1, P4-G09-EXEC</x:v>
      </x:c>
      <x:c r="J89" s="9" t="str">
        <x:v>unproduced: 새 사건은 cursor 뒤</x:v>
      </x:c>
    </x:row>
    <x:row r="90" ht="85" customHeight="1">
      <x:c r="A90" s="9" t="str">
        <x:v>SYN-G09-05</x:v>
      </x:c>
      <x:c r="B90" s="9" t="str">
        <x:v>G09</x:v>
      </x:c>
      <x:c r="C90" s="9" t="str">
        <x:v>다온</x:v>
      </x:c>
      <x:c r="D90" s="9" t="str">
        <x:v>새 피드백은 원본에 있으나 B의 처리 cursor 뒤에 있어 파생 관계가 없다.</x:v>
      </x:c>
      <x:c r="E90" s="9" t="str">
        <x:v>다온의 교육 과정 개편 건에서 고객 설명에 맞는다고 골랐던 구성의 자료의 구성을 활용해 외부 고객용 발표자료를 발표 Agent P5에게 맡겨줘. P5-G09-N@v1를 사용하고, 신규 조사로 수치 교체; 표는 6개 이내. 기존 조사 작업은 계속해줘.</x:v>
      </x:c>
      <x:c r="F90" s="9" t="str">
        <x:v>고객 설명에 맞는다고 골랐던 구성의 자료</x:v>
      </x:c>
      <x:c r="G90" s="9" t="str">
        <x:v>["P5-G09-D2@v1"]</x:v>
      </x:c>
      <x:c r="H90" s="9" t="str">
        <x:v>{"goal":"교육 과정 개편 후속 발표자료 작성","aspect":"구성","audience":"외부 고객","condition":"신규 조사로 수치 교체; 표는 6개 이내","data":"P5-G09-N@v1","agent":"발표 Agent P5","taskRelation":"별도 발표 작업 생성; 기존 조사 작업 유지"}</x:v>
      </x:c>
      <x:c r="I90" s="9" t="str">
        <x:v>P5-G09-DISPLAY, P5-G09-F1, P5-G09-EXEC</x:v>
      </x:c>
      <x:c r="J90" s="9" t="str">
        <x:v>unproduced: 새 사건은 cursor 뒤</x:v>
      </x:c>
    </x:row>
    <x:row r="91" ht="85" customHeight="1">
      <x:c r="A91" s="9" t="str">
        <x:v>SYN-G09-06</x:v>
      </x:c>
      <x:c r="B91" s="9" t="str">
        <x:v>G09</x:v>
      </x:c>
      <x:c r="C91" s="9" t="str">
        <x:v>마루</x:v>
      </x:c>
      <x:c r="D91" s="9" t="str">
        <x:v>새 피드백은 원본에 있으나 B의 처리 cursor 뒤에 있어 파생 관계가 없다.</x:v>
      </x:c>
      <x:c r="E91" s="9" t="str">
        <x:v>마루의 제품 출시 계획 건에서 고객에게 보여주자고 했던 구성의 자료의 구성을 활용해 외부 고객용 발표자료를 발표 Agent P6에게 맡겨줘. P6-G09-N@v1를 사용하고, 신규 조사로 수치 교체; 표는 7개 이내. 기존 조사 작업은 계속해줘.</x:v>
      </x:c>
      <x:c r="F91" s="9" t="str">
        <x:v>고객에게 보여주자고 했던 구성의 자료</x:v>
      </x:c>
      <x:c r="G91" s="9" t="str">
        <x:v>["P6-G09-D2@v1"]</x:v>
      </x:c>
      <x:c r="H91" s="9" t="str">
        <x:v>{"goal":"제품 출시 계획 후속 발표자료 작성","aspect":"구성","audience":"외부 고객","condition":"신규 조사로 수치 교체; 표는 7개 이내","data":"P6-G09-N@v1","agent":"발표 Agent P6","taskRelation":"별도 발표 작업 생성; 기존 조사 작업 유지"}</x:v>
      </x:c>
      <x:c r="I91" s="9" t="str">
        <x:v>P6-G09-DISPLAY, P6-G09-F1, P6-G09-EXEC</x:v>
      </x:c>
      <x:c r="J91" s="9" t="str">
        <x:v>unproduced: 새 사건은 cursor 뒤</x:v>
      </x:c>
    </x:row>
    <x:row r="92" ht="85" customHeight="1">
      <x:c r="A92" s="9" t="str">
        <x:v>SYN-G09-07</x:v>
      </x:c>
      <x:c r="B92" s="9" t="str">
        <x:v>G09</x:v>
      </x:c>
      <x:c r="C92" s="9" t="str">
        <x:v>이든</x:v>
      </x:c>
      <x:c r="D92" s="9" t="str">
        <x:v>새 피드백은 원본에 있으나 B의 처리 cursor 뒤에 있어 파생 관계가 없다.</x:v>
      </x:c>
      <x:c r="E92" s="9" t="str">
        <x:v>이든의 연구 장비 도입 건에서 고객용은 구성이 더 좋다고 했던 쪽의 구성을 활용해 외부 고객용 발표자료를 발표 Agent P7에게 맡겨줘. P7-G09-N@v1를 사용하고, 신규 조사로 수치 교체; 표는 8개 이내. 기존 조사 작업은 계속해줘.</x:v>
      </x:c>
      <x:c r="F92" s="9" t="str">
        <x:v>고객용은 구성이 더 좋다고 했던 쪽</x:v>
      </x:c>
      <x:c r="G92" s="9" t="str">
        <x:v>["P7-G09-D2@v1"]</x:v>
      </x:c>
      <x:c r="H92" s="9" t="str">
        <x:v>{"goal":"연구 장비 도입 후속 발표자료 작성","aspect":"구성","audience":"외부 고객","condition":"신규 조사로 수치 교체; 표는 8개 이내","data":"P7-G09-N@v1","agent":"발표 Agent P7","taskRelation":"별도 발표 작업 생성; 기존 조사 작업 유지"}</x:v>
      </x:c>
      <x:c r="I92" s="9" t="str">
        <x:v>P7-G09-DISPLAY, P7-G09-F1, P7-G09-EXEC</x:v>
      </x:c>
      <x:c r="J92" s="9" t="str">
        <x:v>unproduced: 새 사건은 cursor 뒤</x:v>
      </x:c>
    </x:row>
    <x:row r="93" ht="85" customHeight="1">
      <x:c r="A93" s="9" t="str">
        <x:v>SYN-G09-08</x:v>
      </x:c>
      <x:c r="B93" s="9" t="str">
        <x:v>G09</x:v>
      </x:c>
      <x:c r="C93" s="9" t="str">
        <x:v>라온</x:v>
      </x:c>
      <x:c r="D93" s="9" t="str">
        <x:v>새 피드백은 원본에 있으나 B의 처리 cursor 뒤에 있어 파생 관계가 없다.</x:v>
      </x:c>
      <x:c r="E93" s="9" t="str">
        <x:v>라온의 사무공간 이전 건에서 지난 피드백에서 고객용으로 선호한 구성의 자료의 구성을 활용해 외부 고객용 발표자료를 발표 Agent P8에게 맡겨줘. P8-G09-N@v1를 사용하고, 신규 조사로 수치 교체; 표는 9개 이내. 기존 조사 작업은 계속해줘.</x:v>
      </x:c>
      <x:c r="F93" s="9" t="str">
        <x:v>지난 피드백에서 고객용으로 선호한 구성의 자료</x:v>
      </x:c>
      <x:c r="G93" s="9" t="str">
        <x:v>["P8-G09-D2@v1"]</x:v>
      </x:c>
      <x:c r="H93" s="9" t="str">
        <x:v>{"goal":"사무공간 이전 후속 발표자료 작성","aspect":"구성","audience":"외부 고객","condition":"신규 조사로 수치 교체; 표는 9개 이내","data":"P8-G09-N@v1","agent":"발표 Agent P8","taskRelation":"별도 발표 작업 생성; 기존 조사 작업 유지"}</x:v>
      </x:c>
      <x:c r="I93" s="9" t="str">
        <x:v>P8-G09-DISPLAY, P8-G09-F1, P8-G09-EXEC</x:v>
      </x:c>
      <x:c r="J93" s="9" t="str">
        <x:v>unproduced: 새 사건은 cursor 뒤</x:v>
      </x:c>
    </x:row>
    <x:row r="94" ht="85" customHeight="1">
      <x:c r="A94" s="9" t="str">
        <x:v>SYN-G09-09</x:v>
      </x:c>
      <x:c r="B94" s="9" t="str">
        <x:v>G09</x:v>
      </x:c>
      <x:c r="C94" s="9" t="str">
        <x:v>한결</x:v>
      </x:c>
      <x:c r="D94" s="9" t="str">
        <x:v>새 피드백은 원본에 있으나 B의 처리 cursor 뒤에 있어 파생 관계가 없다.</x:v>
      </x:c>
      <x:c r="E94" s="9" t="str">
        <x:v>한결의 서비스 품질 개선 건에서 고객에게 설명하기 편하다고 했던 자료의 구성을 활용해 외부 고객용 발표자료를 발표 Agent P9에게 맡겨줘. P9-G09-N@v1를 사용하고, 신규 조사로 수치 교체; 표는 10개 이내. 기존 조사 작업은 계속해줘.</x:v>
      </x:c>
      <x:c r="F94" s="9" t="str">
        <x:v>고객에게 설명하기 편하다고 했던 자료</x:v>
      </x:c>
      <x:c r="G94" s="9" t="str">
        <x:v>["P9-G09-D2@v1"]</x:v>
      </x:c>
      <x:c r="H94" s="9" t="str">
        <x:v>{"goal":"서비스 품질 개선 후속 발표자료 작성","aspect":"구성","audience":"외부 고객","condition":"신규 조사로 수치 교체; 표는 10개 이내","data":"P9-G09-N@v1","agent":"발표 Agent P9","taskRelation":"별도 발표 작업 생성; 기존 조사 작업 유지"}</x:v>
      </x:c>
      <x:c r="I94" s="9" t="str">
        <x:v>P9-G09-DISPLAY, P9-G09-F1, P9-G09-EXEC</x:v>
      </x:c>
      <x:c r="J94" s="9" t="str">
        <x:v>unproduced: 새 사건은 cursor 뒤</x:v>
      </x:c>
    </x:row>
    <x:row r="95" ht="85" customHeight="1">
      <x:c r="A95" s="9" t="str">
        <x:v>SYN-G09-10</x:v>
      </x:c>
      <x:c r="B95" s="9" t="str">
        <x:v>G09</x:v>
      </x:c>
      <x:c r="C95" s="9" t="str">
        <x:v>온유</x:v>
      </x:c>
      <x:c r="D95" s="9" t="str">
        <x:v>새 피드백은 원본에 있으나 B의 처리 cursor 뒤에 있어 파생 관계가 없다.</x:v>
      </x:c>
      <x:c r="E95" s="9" t="str">
        <x:v>온유의 파트너 제휴 검토 건에서 고객용으로 채택하자고 말했던 구성의 자료의 구성을 활용해 외부 고객용 발표자료를 발표 Agent P10에게 맡겨줘. P10-G09-N@v1를 사용하고, 신규 조사로 수치 교체; 표는 11개 이내. 기존 조사 작업은 계속해줘.</x:v>
      </x:c>
      <x:c r="F95" s="9" t="str">
        <x:v>고객용으로 채택하자고 말했던 구성의 자료</x:v>
      </x:c>
      <x:c r="G95" s="9" t="str">
        <x:v>["P10-G09-D2@v1"]</x:v>
      </x:c>
      <x:c r="H95" s="9" t="str">
        <x:v>{"goal":"파트너 제휴 검토 후속 발표자료 작성","aspect":"구성","audience":"외부 고객","condition":"신규 조사로 수치 교체; 표는 11개 이내","data":"P10-G09-N@v1","agent":"발표 Agent P10","taskRelation":"별도 발표 작업 생성; 기존 조사 작업 유지"}</x:v>
      </x:c>
      <x:c r="I95" s="9" t="str">
        <x:v>P10-G09-DISPLAY, P10-G09-F1, P10-G09-EXEC</x:v>
      </x:c>
      <x:c r="J95" s="9" t="str">
        <x:v>unproduced: 새 사건은 cursor 뒤</x:v>
      </x:c>
    </x:row>
    <x:row r="96" ht="85" customHeight="1">
      <x:c r="A96" s="9" t="str">
        <x:v>SYN-G10-01</x:v>
      </x:c>
      <x:c r="B96" s="9" t="str">
        <x:v>G10</x:v>
      </x:c>
      <x:c r="C96" s="9" t="str">
        <x:v>새봄</x:v>
      </x:c>
      <x:c r="D96" s="9" t="str">
        <x:v>D2의 구성만 재사용하고 내용은 신규 조사 N으로 바꾸며 가격을 제외한다.</x:v>
      </x:c>
      <x:c r="E96" s="9" t="str">
        <x:v>새봄의 협업 도구 도입 건에서 고객용 구성이 좋다고 했던 자료의 구성을 활용해 외부 고객용 발표자료를 발표 Agent P1에게 맡겨줘. P1-G10-N@v1를 사용하고, 기존 내용 대신 신규 조사 사용; 가격 제외; 표는 2개 이내. 기존 조사 작업은 계속해줘.</x:v>
      </x:c>
      <x:c r="F96" s="9" t="str">
        <x:v>고객용 구성이 좋다고 했던 자료</x:v>
      </x:c>
      <x:c r="G96" s="9" t="str">
        <x:v>["P1-G10-D2@v1"]</x:v>
      </x:c>
      <x:c r="H96" s="9" t="str">
        <x:v>{"goal":"협업 도구 도입 후속 발표자료 작성","aspect":"구성","audience":"외부 고객","condition":"기존 내용 대신 신규 조사 사용; 가격 제외; 표는 2개 이내","data":"P1-G10-N@v1","agent":"발표 Agent P1","taskRelation":"별도 발표 작업 생성; 기존 조사 작업 유지"}</x:v>
      </x:c>
      <x:c r="I96" s="9" t="str">
        <x:v>P1-G10-DISPLAY, P1-G10-F1, P1-G10-EXEC</x:v>
      </x:c>
      <x:c r="J96" s="9" t="str">
        <x:v>valid/supported: P1-G10-D2@v1, 구성, 외부 고객, F1·DISPLAY 의존; valid는 의미 정답 보증 아님</x:v>
      </x:c>
    </x:row>
    <x:row r="97" ht="85" customHeight="1">
      <x:c r="A97" s="9" t="str">
        <x:v>SYN-G10-02</x:v>
      </x:c>
      <x:c r="B97" s="9" t="str">
        <x:v>G10</x:v>
      </x:c>
      <x:c r="C97" s="9" t="str">
        <x:v>해솔</x:v>
      </x:c>
      <x:c r="D97" s="9" t="str">
        <x:v>D2의 구성만 재사용하고 내용은 신규 조사 N으로 바꾸며 가격을 제외한다.</x:v>
      </x:c>
      <x:c r="E97" s="9" t="str">
        <x:v>해솔의 고객지원 시스템 교체 건에서 지난번 고객 설명에 쓰기 좋다고 한 구성의 자료의 구성을 활용해 외부 고객용 발표자료를 발표 Agent P2에게 맡겨줘. P2-G10-N@v1를 사용하고, 기존 내용 대신 신규 조사 사용; 가격 제외; 표는 3개 이내. 기존 조사 작업은 계속해줘.</x:v>
      </x:c>
      <x:c r="F97" s="9" t="str">
        <x:v>지난번 고객 설명에 쓰기 좋다고 한 구성의 자료</x:v>
      </x:c>
      <x:c r="G97" s="9" t="str">
        <x:v>["P2-G10-D2@v1"]</x:v>
      </x:c>
      <x:c r="H97" s="9" t="str">
        <x:v>{"goal":"고객지원 시스템 교체 후속 발표자료 작성","aspect":"구성","audience":"외부 고객","condition":"기존 내용 대신 신규 조사 사용; 가격 제외; 표는 3개 이내","data":"P2-G10-N@v1","agent":"발표 Agent P2","taskRelation":"별도 발표 작업 생성; 기존 조사 작업 유지"}</x:v>
      </x:c>
      <x:c r="I97" s="9" t="str">
        <x:v>P2-G10-DISPLAY, P2-G10-F1, P2-G10-EXEC</x:v>
      </x:c>
      <x:c r="J97" s="9" t="str">
        <x:v>valid/supported: P2-G10-D2@v1, 구성, 외부 고객, F1·DISPLAY 의존; valid는 의미 정답 보증 아님</x:v>
      </x:c>
    </x:row>
    <x:row r="98" ht="85" customHeight="1">
      <x:c r="A98" s="9" t="str">
        <x:v>SYN-G10-03</x:v>
      </x:c>
      <x:c r="B98" s="9" t="str">
        <x:v>G10</x:v>
      </x:c>
      <x:c r="C98" s="9" t="str">
        <x:v>가온</x:v>
      </x:c>
      <x:c r="D98" s="9" t="str">
        <x:v>D2의 구성만 재사용하고 내용은 신규 조사 N으로 바꾸며 가격을 제외한다.</x:v>
      </x:c>
      <x:c r="E98" s="9" t="str">
        <x:v>가온의 물류 현황 보고 건에서 고객 앞에서 보여주기 낫다고 평가했던 쪽의 구성을 활용해 외부 고객용 발표자료를 발표 Agent P3에게 맡겨줘. P3-G10-N@v1를 사용하고, 기존 내용 대신 신규 조사 사용; 가격 제외; 표는 4개 이내. 기존 조사 작업은 계속해줘.</x:v>
      </x:c>
      <x:c r="F98" s="9" t="str">
        <x:v>고객 앞에서 보여주기 낫다고 평가했던 쪽</x:v>
      </x:c>
      <x:c r="G98" s="9" t="str">
        <x:v>["P3-G10-D2@v1"]</x:v>
      </x:c>
      <x:c r="H98" s="9" t="str">
        <x:v>{"goal":"물류 현황 보고 후속 발표자료 작성","aspect":"구성","audience":"외부 고객","condition":"기존 내용 대신 신규 조사 사용; 가격 제외; 표는 4개 이내","data":"P3-G10-N@v1","agent":"발표 Agent P3","taskRelation":"별도 발표 작업 생성; 기존 조사 작업 유지"}</x:v>
      </x:c>
      <x:c r="I98" s="9" t="str">
        <x:v>P3-G10-DISPLAY, P3-G10-F1, P3-G10-EXEC</x:v>
      </x:c>
      <x:c r="J98" s="9" t="str">
        <x:v>valid/supported: P3-G10-D2@v1, 구성, 외부 고객, F1·DISPLAY 의존; valid는 의미 정답 보증 아님</x:v>
      </x:c>
    </x:row>
    <x:row r="99" ht="85" customHeight="1">
      <x:c r="A99" s="9" t="str">
        <x:v>SYN-G10-04</x:v>
      </x:c>
      <x:c r="B99" s="9" t="str">
        <x:v>G10</x:v>
      </x:c>
      <x:c r="C99" s="9" t="str">
        <x:v>누리</x:v>
      </x:c>
      <x:c r="D99" s="9" t="str">
        <x:v>D2의 구성만 재사용하고 내용은 신규 조사 N으로 바꾸며 가격을 제외한다.</x:v>
      </x:c>
      <x:c r="E99" s="9" t="str">
        <x:v>누리의 매장 운영 개선 건에서 내가 고객용 구성을 칭찬했던 자료의 구성을 활용해 외부 고객용 발표자료를 발표 Agent P4에게 맡겨줘. P4-G10-N@v1를 사용하고, 기존 내용 대신 신규 조사 사용; 가격 제외; 표는 5개 이내. 기존 조사 작업은 계속해줘.</x:v>
      </x:c>
      <x:c r="F99" s="9" t="str">
        <x:v>내가 고객용 구성을 칭찬했던 자료</x:v>
      </x:c>
      <x:c r="G99" s="9" t="str">
        <x:v>["P4-G10-D2@v1"]</x:v>
      </x:c>
      <x:c r="H99" s="9" t="str">
        <x:v>{"goal":"매장 운영 개선 후속 발표자료 작성","aspect":"구성","audience":"외부 고객","condition":"기존 내용 대신 신규 조사 사용; 가격 제외; 표는 5개 이내","data":"P4-G10-N@v1","agent":"발표 Agent P4","taskRelation":"별도 발표 작업 생성; 기존 조사 작업 유지"}</x:v>
      </x:c>
      <x:c r="I99" s="9" t="str">
        <x:v>P4-G10-DISPLAY, P4-G10-F1, P4-G10-EXEC</x:v>
      </x:c>
      <x:c r="J99" s="9" t="str">
        <x:v>valid/supported: P4-G10-D2@v1, 구성, 외부 고객, F1·DISPLAY 의존; valid는 의미 정답 보증 아님</x:v>
      </x:c>
    </x:row>
    <x:row r="100" ht="85" customHeight="1">
      <x:c r="A100" s="9" t="str">
        <x:v>SYN-G10-05</x:v>
      </x:c>
      <x:c r="B100" s="9" t="str">
        <x:v>G10</x:v>
      </x:c>
      <x:c r="C100" s="9" t="str">
        <x:v>다온</x:v>
      </x:c>
      <x:c r="D100" s="9" t="str">
        <x:v>D2의 구성만 재사용하고 내용은 신규 조사 N으로 바꾸며 가격을 제외한다.</x:v>
      </x:c>
      <x:c r="E100" s="9" t="str">
        <x:v>다온의 교육 과정 개편 건에서 고객 설명에 맞는다고 골랐던 구성의 자료의 구성을 활용해 외부 고객용 발표자료를 발표 Agent P5에게 맡겨줘. P5-G10-N@v1를 사용하고, 기존 내용 대신 신규 조사 사용; 가격 제외; 표는 6개 이내. 기존 조사 작업은 계속해줘.</x:v>
      </x:c>
      <x:c r="F100" s="9" t="str">
        <x:v>고객 설명에 맞는다고 골랐던 구성의 자료</x:v>
      </x:c>
      <x:c r="G100" s="9" t="str">
        <x:v>["P5-G10-D2@v1"]</x:v>
      </x:c>
      <x:c r="H100" s="9" t="str">
        <x:v>{"goal":"교육 과정 개편 후속 발표자료 작성","aspect":"구성","audience":"외부 고객","condition":"기존 내용 대신 신규 조사 사용; 가격 제외; 표는 6개 이내","data":"P5-G10-N@v1","agent":"발표 Agent P5","taskRelation":"별도 발표 작업 생성; 기존 조사 작업 유지"}</x:v>
      </x:c>
      <x:c r="I100" s="9" t="str">
        <x:v>P5-G10-DISPLAY, P5-G10-F1, P5-G10-EXEC</x:v>
      </x:c>
      <x:c r="J100" s="9" t="str">
        <x:v>valid/supported: P5-G10-D2@v1, 구성, 외부 고객, F1·DISPLAY 의존; valid는 의미 정답 보증 아님</x:v>
      </x:c>
    </x:row>
    <x:row r="101" ht="85" customHeight="1">
      <x:c r="A101" s="9" t="str">
        <x:v>SYN-G10-06</x:v>
      </x:c>
      <x:c r="B101" s="9" t="str">
        <x:v>G10</x:v>
      </x:c>
      <x:c r="C101" s="9" t="str">
        <x:v>마루</x:v>
      </x:c>
      <x:c r="D101" s="9" t="str">
        <x:v>D2의 구성만 재사용하고 내용은 신규 조사 N으로 바꾸며 가격을 제외한다.</x:v>
      </x:c>
      <x:c r="E101" s="9" t="str">
        <x:v>마루의 제품 출시 계획 건에서 고객에게 보여주자고 했던 구성의 자료의 구성을 활용해 외부 고객용 발표자료를 발표 Agent P6에게 맡겨줘. P6-G10-N@v1를 사용하고, 기존 내용 대신 신규 조사 사용; 가격 제외; 표는 7개 이내. 기존 조사 작업은 계속해줘.</x:v>
      </x:c>
      <x:c r="F101" s="9" t="str">
        <x:v>고객에게 보여주자고 했던 구성의 자료</x:v>
      </x:c>
      <x:c r="G101" s="9" t="str">
        <x:v>["P6-G10-D2@v1"]</x:v>
      </x:c>
      <x:c r="H101" s="9" t="str">
        <x:v>{"goal":"제품 출시 계획 후속 발표자료 작성","aspect":"구성","audience":"외부 고객","condition":"기존 내용 대신 신규 조사 사용; 가격 제외; 표는 7개 이내","data":"P6-G10-N@v1","agent":"발표 Agent P6","taskRelation":"별도 발표 작업 생성; 기존 조사 작업 유지"}</x:v>
      </x:c>
      <x:c r="I101" s="9" t="str">
        <x:v>P6-G10-DISPLAY, P6-G10-F1, P6-G10-EXEC</x:v>
      </x:c>
      <x:c r="J101" s="9" t="str">
        <x:v>valid/supported: P6-G10-D2@v1, 구성, 외부 고객, F1·DISPLAY 의존; valid는 의미 정답 보증 아님</x:v>
      </x:c>
    </x:row>
    <x:row r="102" ht="85" customHeight="1">
      <x:c r="A102" s="9" t="str">
        <x:v>SYN-G10-07</x:v>
      </x:c>
      <x:c r="B102" s="9" t="str">
        <x:v>G10</x:v>
      </x:c>
      <x:c r="C102" s="9" t="str">
        <x:v>이든</x:v>
      </x:c>
      <x:c r="D102" s="9" t="str">
        <x:v>D2의 구성만 재사용하고 내용은 신규 조사 N으로 바꾸며 가격을 제외한다.</x:v>
      </x:c>
      <x:c r="E102" s="9" t="str">
        <x:v>이든의 연구 장비 도입 건에서 고객용은 구성이 더 좋다고 했던 쪽의 구성을 활용해 외부 고객용 발표자료를 발표 Agent P7에게 맡겨줘. P7-G10-N@v1를 사용하고, 기존 내용 대신 신규 조사 사용; 가격 제외; 표는 8개 이내. 기존 조사 작업은 계속해줘.</x:v>
      </x:c>
      <x:c r="F102" s="9" t="str">
        <x:v>고객용은 구성이 더 좋다고 했던 쪽</x:v>
      </x:c>
      <x:c r="G102" s="9" t="str">
        <x:v>["P7-G10-D2@v1"]</x:v>
      </x:c>
      <x:c r="H102" s="9" t="str">
        <x:v>{"goal":"연구 장비 도입 후속 발표자료 작성","aspect":"구성","audience":"외부 고객","condition":"기존 내용 대신 신규 조사 사용; 가격 제외; 표는 8개 이내","data":"P7-G10-N@v1","agent":"발표 Agent P7","taskRelation":"별도 발표 작업 생성; 기존 조사 작업 유지"}</x:v>
      </x:c>
      <x:c r="I102" s="9" t="str">
        <x:v>P7-G10-DISPLAY, P7-G10-F1, P7-G10-EXEC</x:v>
      </x:c>
      <x:c r="J102" s="9" t="str">
        <x:v>valid/supported: P7-G10-D2@v1, 구성, 외부 고객, F1·DISPLAY 의존; valid는 의미 정답 보증 아님</x:v>
      </x:c>
    </x:row>
    <x:row r="103" ht="85" customHeight="1">
      <x:c r="A103" s="9" t="str">
        <x:v>SYN-G10-08</x:v>
      </x:c>
      <x:c r="B103" s="9" t="str">
        <x:v>G10</x:v>
      </x:c>
      <x:c r="C103" s="9" t="str">
        <x:v>라온</x:v>
      </x:c>
      <x:c r="D103" s="9" t="str">
        <x:v>D2의 구성만 재사용하고 내용은 신규 조사 N으로 바꾸며 가격을 제외한다.</x:v>
      </x:c>
      <x:c r="E103" s="9" t="str">
        <x:v>라온의 사무공간 이전 건에서 지난 피드백에서 고객용으로 선호한 구성의 자료의 구성을 활용해 외부 고객용 발표자료를 발표 Agent P8에게 맡겨줘. P8-G10-N@v1를 사용하고, 기존 내용 대신 신규 조사 사용; 가격 제외; 표는 9개 이내. 기존 조사 작업은 계속해줘.</x:v>
      </x:c>
      <x:c r="F103" s="9" t="str">
        <x:v>지난 피드백에서 고객용으로 선호한 구성의 자료</x:v>
      </x:c>
      <x:c r="G103" s="9" t="str">
        <x:v>["P8-G10-D2@v1"]</x:v>
      </x:c>
      <x:c r="H103" s="9" t="str">
        <x:v>{"goal":"사무공간 이전 후속 발표자료 작성","aspect":"구성","audience":"외부 고객","condition":"기존 내용 대신 신규 조사 사용; 가격 제외; 표는 9개 이내","data":"P8-G10-N@v1","agent":"발표 Agent P8","taskRelation":"별도 발표 작업 생성; 기존 조사 작업 유지"}</x:v>
      </x:c>
      <x:c r="I103" s="9" t="str">
        <x:v>P8-G10-DISPLAY, P8-G10-F1, P8-G10-EXEC</x:v>
      </x:c>
      <x:c r="J103" s="9" t="str">
        <x:v>valid/supported: P8-G10-D2@v1, 구성, 외부 고객, F1·DISPLAY 의존; valid는 의미 정답 보증 아님</x:v>
      </x:c>
    </x:row>
    <x:row r="104" ht="85" customHeight="1">
      <x:c r="A104" s="9" t="str">
        <x:v>SYN-G10-09</x:v>
      </x:c>
      <x:c r="B104" s="9" t="str">
        <x:v>G10</x:v>
      </x:c>
      <x:c r="C104" s="9" t="str">
        <x:v>한결</x:v>
      </x:c>
      <x:c r="D104" s="9" t="str">
        <x:v>D2의 구성만 재사용하고 내용은 신규 조사 N으로 바꾸며 가격을 제외한다.</x:v>
      </x:c>
      <x:c r="E104" s="9" t="str">
        <x:v>한결의 서비스 품질 개선 건에서 고객에게 설명하기 편하다고 했던 자료의 구성을 활용해 외부 고객용 발표자료를 발표 Agent P9에게 맡겨줘. P9-G10-N@v1를 사용하고, 기존 내용 대신 신규 조사 사용; 가격 제외; 표는 10개 이내. 기존 조사 작업은 계속해줘.</x:v>
      </x:c>
      <x:c r="F104" s="9" t="str">
        <x:v>고객에게 설명하기 편하다고 했던 자료</x:v>
      </x:c>
      <x:c r="G104" s="9" t="str">
        <x:v>["P9-G10-D2@v1"]</x:v>
      </x:c>
      <x:c r="H104" s="9" t="str">
        <x:v>{"goal":"서비스 품질 개선 후속 발표자료 작성","aspect":"구성","audience":"외부 고객","condition":"기존 내용 대신 신규 조사 사용; 가격 제외; 표는 10개 이내","data":"P9-G10-N@v1","agent":"발표 Agent P9","taskRelation":"별도 발표 작업 생성; 기존 조사 작업 유지"}</x:v>
      </x:c>
      <x:c r="I104" s="9" t="str">
        <x:v>P9-G10-DISPLAY, P9-G10-F1, P9-G10-EXEC</x:v>
      </x:c>
      <x:c r="J104" s="9" t="str">
        <x:v>valid/supported: P9-G10-D2@v1, 구성, 외부 고객, F1·DISPLAY 의존; valid는 의미 정답 보증 아님</x:v>
      </x:c>
    </x:row>
    <x:row r="105" ht="85" customHeight="1">
      <x:c r="A105" s="9" t="str">
        <x:v>SYN-G10-10</x:v>
      </x:c>
      <x:c r="B105" s="9" t="str">
        <x:v>G10</x:v>
      </x:c>
      <x:c r="C105" s="9" t="str">
        <x:v>온유</x:v>
      </x:c>
      <x:c r="D105" s="9" t="str">
        <x:v>D2의 구성만 재사용하고 내용은 신규 조사 N으로 바꾸며 가격을 제외한다.</x:v>
      </x:c>
      <x:c r="E105" s="9" t="str">
        <x:v>온유의 파트너 제휴 검토 건에서 고객용으로 채택하자고 말했던 구성의 자료의 구성을 활용해 외부 고객용 발표자료를 발표 Agent P10에게 맡겨줘. P10-G10-N@v1를 사용하고, 기존 내용 대신 신규 조사 사용; 가격 제외; 표는 11개 이내. 기존 조사 작업은 계속해줘.</x:v>
      </x:c>
      <x:c r="F105" s="9" t="str">
        <x:v>고객용으로 채택하자고 말했던 구성의 자료</x:v>
      </x:c>
      <x:c r="G105" s="9" t="str">
        <x:v>["P10-G10-D2@v1"]</x:v>
      </x:c>
      <x:c r="H105" s="9" t="str">
        <x:v>{"goal":"파트너 제휴 검토 후속 발표자료 작성","aspect":"구성","audience":"외부 고객","condition":"기존 내용 대신 신규 조사 사용; 가격 제외; 표는 11개 이내","data":"P10-G10-N@v1","agent":"발표 Agent P10","taskRelation":"별도 발표 작업 생성; 기존 조사 작업 유지"}</x:v>
      </x:c>
      <x:c r="I105" s="9" t="str">
        <x:v>P10-G10-DISPLAY, P10-G10-F1, P10-G10-EXEC</x:v>
      </x:c>
      <x:c r="J105" s="9" t="str">
        <x:v>valid/supported: P10-G10-D2@v1, 구성, 외부 고객, F1·DISPLAY 의존; valid는 의미 정답 보증 아님</x:v>
      </x:c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.670000076293945" hidden="0" customWidth="1"/>
    <x:col min="2" max="2" width="10" hidden="0" customWidth="1"/>
    <x:col min="3" max="3" width="17.780000686645508" hidden="0" customWidth="1"/>
    <x:col min="4" max="4" width="94.44000244140625" hidden="0" customWidth="1"/>
    <x:col min="5" max="5" width="55.560001373291016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양안에 제공하는 합성 원본 (합성)</x:v>
      </x:c>
      <x:c r="B2" s="1"/>
      <x:c r="C2" s="1"/>
      <x:c r="D2" s="1"/>
      <x:c r="E2" s="1"/>
    </x:row>
    <x:row r="3">
      <x:c r="A3" s="3" t="str">
        <x:v>설명용 합성 데이터. 목표 수치에 맞춰 작성한 사례·응답·시간·비용이며 실제 관측/LLM 실행/통계 표본이 아님.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8" customHeight="1">
      <x:c r="A5" s="7" t="str">
        <x:v>Source ID</x:v>
      </x:c>
      <x:c r="B5" s="7" t="str">
        <x:v>프로젝트</x:v>
      </x:c>
      <x:c r="C5" s="7" t="str">
        <x:v>종류</x:v>
      </x:c>
      <x:c r="D5" s="7" t="str">
        <x:v>내용</x:v>
      </x:c>
      <x:c r="E5" s="7" t="str">
        <x:v>연결 자료</x:v>
      </x:c>
    </x:row>
    <x:row r="6" ht="50" customHeight="1">
      <x:c r="A6" s="9" t="str">
        <x:v>P1-G01-EXEC</x:v>
      </x:c>
      <x:c r="B6" s="9" t="str">
        <x:v>새봄</x:v>
      </x:c>
      <x:c r="C6" s="9" t="str">
        <x:v>공통 실행 사실</x:v>
      </x:c>
      <x:c r="D6" s="9" t="str">
        <x:v>조사 Agent R1가 조사 N 작성. 발표 Agent P1가 D2 작성, 수정 Agent Q1가 D3 작성. 현재 P1는 접근 가능하며 발표 작성 capability 공개.</x:v>
      </x:c>
      <x:c r="E6" s="9" t="str">
        <x:v>D2=P1-G01-D2@v1; D3=P1-G01-D3@v1; N=P1-G01-N@v1</x:v>
      </x:c>
    </x:row>
    <x:row r="7" ht="50" customHeight="1">
      <x:c r="A7" s="9" t="str">
        <x:v>P1-G01-DISPLAY</x:v>
      </x:c>
      <x:c r="B7" s="9" t="str">
        <x:v>새봄</x:v>
      </x:c>
      <x:c r="C7" s="9" t="str">
        <x:v>공통 표시 사실</x:v>
      </x:c>
      <x:c r="D7" s="9" t="str">
        <x:v>P1-G01-D2@v1와 P1-G01-D3@v1를 순서대로 실제 표시했다고 가정.</x:v>
      </x:c>
      <x:c r="E7" s="9" t="str">
        <x:v>P1-G01-D2@v1, P1-G01-D3@v1</x:v>
      </x:c>
    </x:row>
    <x:row r="8" ht="50" customHeight="1">
      <x:c r="A8" s="9" t="str">
        <x:v>P1-G01-F1</x:v>
      </x:c>
      <x:c r="B8" s="9" t="str">
        <x:v>새봄</x:v>
      </x:c>
      <x:c r="C8" s="9" t="str">
        <x:v>합성 피드백 원문</x:v>
      </x:c>
      <x:c r="D8" s="9" t="str">
        <x:v>고객에게 보여줄 구성은 먼저 보여준 쪽이 좋고 내부 검토에는 나중에 본 수정본을 쓰자.</x:v>
      </x:c>
      <x:c r="E8" s="9" t="str">
        <x:v>P1-G01-D2@v1, P1-G01-D3@v1</x:v>
      </x:c>
    </x:row>
    <x:row r="9" ht="50" customHeight="1">
      <x:c r="A9" s="9" t="str">
        <x:v>P1-G01-NEW</x:v>
      </x:c>
      <x:c r="B9" s="9" t="str">
        <x:v>새봄</x:v>
      </x:c>
      <x:c r="C9" s="9" t="str">
        <x:v>공통 신규 내용</x:v>
      </x:c>
      <x:c r="D9" s="9" t="str">
        <x:v>신규 조사 P1-G01-N@v1는 최신 수치의 출처. VIA는 공개 참조를 연결하고 내용 분석·발표 작성은 Downstream Agent에 위임.</x:v>
      </x:c>
      <x:c r="E9" s="9" t="str">
        <x:v>P1-G01-N@v1</x:v>
      </x:c>
    </x:row>
    <x:row r="10" ht="50" customHeight="1">
      <x:c r="A10" s="9" t="str">
        <x:v>P2-G01-EXEC</x:v>
      </x:c>
      <x:c r="B10" s="9" t="str">
        <x:v>해솔</x:v>
      </x:c>
      <x:c r="C10" s="9" t="str">
        <x:v>공통 실행 사실</x:v>
      </x:c>
      <x:c r="D10" s="9" t="str">
        <x:v>조사 Agent R2가 조사 N 작성. 발표 Agent P2가 D2 작성, 수정 Agent Q2가 D3 작성. 현재 P2는 접근 가능하며 발표 작성 capability 공개.</x:v>
      </x:c>
      <x:c r="E10" s="9" t="str">
        <x:v>D2=P2-G01-D2@v1; D3=P2-G01-D3@v1; N=P2-G01-N@v1</x:v>
      </x:c>
    </x:row>
    <x:row r="11" ht="50" customHeight="1">
      <x:c r="A11" s="9" t="str">
        <x:v>P2-G01-DISPLAY</x:v>
      </x:c>
      <x:c r="B11" s="9" t="str">
        <x:v>해솔</x:v>
      </x:c>
      <x:c r="C11" s="9" t="str">
        <x:v>공통 표시 사실</x:v>
      </x:c>
      <x:c r="D11" s="9" t="str">
        <x:v>P2-G01-D2@v1와 P2-G01-D3@v1를 순서대로 실제 표시했다고 가정.</x:v>
      </x:c>
      <x:c r="E11" s="9" t="str">
        <x:v>P2-G01-D2@v1, P2-G01-D3@v1</x:v>
      </x:c>
    </x:row>
    <x:row r="12" ht="50" customHeight="1">
      <x:c r="A12" s="9" t="str">
        <x:v>P2-G01-F1</x:v>
      </x:c>
      <x:c r="B12" s="9" t="str">
        <x:v>해솔</x:v>
      </x:c>
      <x:c r="C12" s="9" t="str">
        <x:v>합성 피드백 원문</x:v>
      </x:c>
      <x:c r="D12" s="9" t="str">
        <x:v>고객에게 보여줄 구성은 먼저 보여준 쪽이 좋고 내부 검토에는 나중에 본 수정본을 쓰자.</x:v>
      </x:c>
      <x:c r="E12" s="9" t="str">
        <x:v>P2-G01-D2@v1, P2-G01-D3@v1</x:v>
      </x:c>
    </x:row>
    <x:row r="13" ht="50" customHeight="1">
      <x:c r="A13" s="9" t="str">
        <x:v>P2-G01-NEW</x:v>
      </x:c>
      <x:c r="B13" s="9" t="str">
        <x:v>해솔</x:v>
      </x:c>
      <x:c r="C13" s="9" t="str">
        <x:v>공통 신규 내용</x:v>
      </x:c>
      <x:c r="D13" s="9" t="str">
        <x:v>신규 조사 P2-G01-N@v1는 최신 수치의 출처. VIA는 공개 참조를 연결하고 내용 분석·발표 작성은 Downstream Agent에 위임.</x:v>
      </x:c>
      <x:c r="E13" s="9" t="str">
        <x:v>P2-G01-N@v1</x:v>
      </x:c>
    </x:row>
    <x:row r="14" ht="50" customHeight="1">
      <x:c r="A14" s="9" t="str">
        <x:v>P3-G01-EXEC</x:v>
      </x:c>
      <x:c r="B14" s="9" t="str">
        <x:v>가온</x:v>
      </x:c>
      <x:c r="C14" s="9" t="str">
        <x:v>공통 실행 사실</x:v>
      </x:c>
      <x:c r="D14" s="9" t="str">
        <x:v>조사 Agent R3가 조사 N 작성. 발표 Agent P3가 D2 작성, 수정 Agent Q3가 D3 작성. 현재 P3는 접근 가능하며 발표 작성 capability 공개.</x:v>
      </x:c>
      <x:c r="E14" s="9" t="str">
        <x:v>D2=P3-G01-D2@v1; D3=P3-G01-D3@v1; N=P3-G01-N@v1</x:v>
      </x:c>
    </x:row>
    <x:row r="15" ht="50" customHeight="1">
      <x:c r="A15" s="9" t="str">
        <x:v>P3-G01-DISPLAY</x:v>
      </x:c>
      <x:c r="B15" s="9" t="str">
        <x:v>가온</x:v>
      </x:c>
      <x:c r="C15" s="9" t="str">
        <x:v>공통 표시 사실</x:v>
      </x:c>
      <x:c r="D15" s="9" t="str">
        <x:v>P3-G01-D2@v1와 P3-G01-D3@v1를 순서대로 실제 표시했다고 가정.</x:v>
      </x:c>
      <x:c r="E15" s="9" t="str">
        <x:v>P3-G01-D2@v1, P3-G01-D3@v1</x:v>
      </x:c>
    </x:row>
    <x:row r="16" ht="50" customHeight="1">
      <x:c r="A16" s="9" t="str">
        <x:v>P3-G01-F1</x:v>
      </x:c>
      <x:c r="B16" s="9" t="str">
        <x:v>가온</x:v>
      </x:c>
      <x:c r="C16" s="9" t="str">
        <x:v>합성 피드백 원문</x:v>
      </x:c>
      <x:c r="D16" s="9" t="str">
        <x:v>고객에게 보여줄 구성은 먼저 보여준 쪽이 좋고 내부 검토에는 나중에 본 수정본을 쓰자.</x:v>
      </x:c>
      <x:c r="E16" s="9" t="str">
        <x:v>P3-G01-D2@v1, P3-G01-D3@v1</x:v>
      </x:c>
    </x:row>
    <x:row r="17" ht="50" customHeight="1">
      <x:c r="A17" s="9" t="str">
        <x:v>P3-G01-NEW</x:v>
      </x:c>
      <x:c r="B17" s="9" t="str">
        <x:v>가온</x:v>
      </x:c>
      <x:c r="C17" s="9" t="str">
        <x:v>공통 신규 내용</x:v>
      </x:c>
      <x:c r="D17" s="9" t="str">
        <x:v>신규 조사 P3-G01-N@v1는 최신 수치의 출처. VIA는 공개 참조를 연결하고 내용 분석·발표 작성은 Downstream Agent에 위임.</x:v>
      </x:c>
      <x:c r="E17" s="9" t="str">
        <x:v>P3-G01-N@v1</x:v>
      </x:c>
    </x:row>
    <x:row r="18" ht="50" customHeight="1">
      <x:c r="A18" s="9" t="str">
        <x:v>P4-G01-EXEC</x:v>
      </x:c>
      <x:c r="B18" s="9" t="str">
        <x:v>누리</x:v>
      </x:c>
      <x:c r="C18" s="9" t="str">
        <x:v>공통 실행 사실</x:v>
      </x:c>
      <x:c r="D18" s="9" t="str">
        <x:v>조사 Agent R4가 조사 N 작성. 발표 Agent P4가 D2 작성, 수정 Agent Q4가 D3 작성. 현재 P4는 접근 가능하며 발표 작성 capability 공개.</x:v>
      </x:c>
      <x:c r="E18" s="9" t="str">
        <x:v>D2=P4-G01-D2@v1; D3=P4-G01-D3@v1; N=P4-G01-N@v1</x:v>
      </x:c>
    </x:row>
    <x:row r="19" ht="50" customHeight="1">
      <x:c r="A19" s="9" t="str">
        <x:v>P4-G01-DISPLAY</x:v>
      </x:c>
      <x:c r="B19" s="9" t="str">
        <x:v>누리</x:v>
      </x:c>
      <x:c r="C19" s="9" t="str">
        <x:v>공통 표시 사실</x:v>
      </x:c>
      <x:c r="D19" s="9" t="str">
        <x:v>P4-G01-D2@v1와 P4-G01-D3@v1를 순서대로 실제 표시했다고 가정.</x:v>
      </x:c>
      <x:c r="E19" s="9" t="str">
        <x:v>P4-G01-D2@v1, P4-G01-D3@v1</x:v>
      </x:c>
    </x:row>
    <x:row r="20" ht="50" customHeight="1">
      <x:c r="A20" s="9" t="str">
        <x:v>P4-G01-F1</x:v>
      </x:c>
      <x:c r="B20" s="9" t="str">
        <x:v>누리</x:v>
      </x:c>
      <x:c r="C20" s="9" t="str">
        <x:v>합성 피드백 원문</x:v>
      </x:c>
      <x:c r="D20" s="9" t="str">
        <x:v>고객에게 보여줄 구성은 먼저 보여준 쪽이 좋고 내부 검토에는 나중에 본 수정본을 쓰자.</x:v>
      </x:c>
      <x:c r="E20" s="9" t="str">
        <x:v>P4-G01-D2@v1, P4-G01-D3@v1</x:v>
      </x:c>
    </x:row>
    <x:row r="21" ht="50" customHeight="1">
      <x:c r="A21" s="9" t="str">
        <x:v>P4-G01-NEW</x:v>
      </x:c>
      <x:c r="B21" s="9" t="str">
        <x:v>누리</x:v>
      </x:c>
      <x:c r="C21" s="9" t="str">
        <x:v>공통 신규 내용</x:v>
      </x:c>
      <x:c r="D21" s="9" t="str">
        <x:v>신규 조사 P4-G01-N@v1는 최신 수치의 출처. VIA는 공개 참조를 연결하고 내용 분석·발표 작성은 Downstream Agent에 위임.</x:v>
      </x:c>
      <x:c r="E21" s="9" t="str">
        <x:v>P4-G01-N@v1</x:v>
      </x:c>
    </x:row>
    <x:row r="22" ht="50" customHeight="1">
      <x:c r="A22" s="9" t="str">
        <x:v>P5-G01-EXEC</x:v>
      </x:c>
      <x:c r="B22" s="9" t="str">
        <x:v>다온</x:v>
      </x:c>
      <x:c r="C22" s="9" t="str">
        <x:v>공통 실행 사실</x:v>
      </x:c>
      <x:c r="D22" s="9" t="str">
        <x:v>조사 Agent R5가 조사 N 작성. 발표 Agent P5가 D2 작성, 수정 Agent Q5가 D3 작성. 현재 P5는 접근 가능하며 발표 작성 capability 공개.</x:v>
      </x:c>
      <x:c r="E22" s="9" t="str">
        <x:v>D2=P5-G01-D2@v1; D3=P5-G01-D3@v1; N=P5-G01-N@v1</x:v>
      </x:c>
    </x:row>
    <x:row r="23" ht="50" customHeight="1">
      <x:c r="A23" s="9" t="str">
        <x:v>P5-G01-DISPLAY</x:v>
      </x:c>
      <x:c r="B23" s="9" t="str">
        <x:v>다온</x:v>
      </x:c>
      <x:c r="C23" s="9" t="str">
        <x:v>공통 표시 사실</x:v>
      </x:c>
      <x:c r="D23" s="9" t="str">
        <x:v>P5-G01-D2@v1와 P5-G01-D3@v1를 순서대로 실제 표시했다고 가정.</x:v>
      </x:c>
      <x:c r="E23" s="9" t="str">
        <x:v>P5-G01-D2@v1, P5-G01-D3@v1</x:v>
      </x:c>
    </x:row>
    <x:row r="24" ht="50" customHeight="1">
      <x:c r="A24" s="9" t="str">
        <x:v>P5-G01-F1</x:v>
      </x:c>
      <x:c r="B24" s="9" t="str">
        <x:v>다온</x:v>
      </x:c>
      <x:c r="C24" s="9" t="str">
        <x:v>합성 피드백 원문</x:v>
      </x:c>
      <x:c r="D24" s="9" t="str">
        <x:v>고객에게 보여줄 구성은 먼저 보여준 쪽이 좋고 내부 검토에는 나중에 본 수정본을 쓰자.</x:v>
      </x:c>
      <x:c r="E24" s="9" t="str">
        <x:v>P5-G01-D2@v1, P5-G01-D3@v1</x:v>
      </x:c>
    </x:row>
    <x:row r="25" ht="50" customHeight="1">
      <x:c r="A25" s="9" t="str">
        <x:v>P5-G01-NEW</x:v>
      </x:c>
      <x:c r="B25" s="9" t="str">
        <x:v>다온</x:v>
      </x:c>
      <x:c r="C25" s="9" t="str">
        <x:v>공통 신규 내용</x:v>
      </x:c>
      <x:c r="D25" s="9" t="str">
        <x:v>신규 조사 P5-G01-N@v1는 최신 수치의 출처. VIA는 공개 참조를 연결하고 내용 분석·발표 작성은 Downstream Agent에 위임.</x:v>
      </x:c>
      <x:c r="E25" s="9" t="str">
        <x:v>P5-G01-N@v1</x:v>
      </x:c>
    </x:row>
    <x:row r="26" ht="50" customHeight="1">
      <x:c r="A26" s="9" t="str">
        <x:v>P6-G01-EXEC</x:v>
      </x:c>
      <x:c r="B26" s="9" t="str">
        <x:v>마루</x:v>
      </x:c>
      <x:c r="C26" s="9" t="str">
        <x:v>공통 실행 사실</x:v>
      </x:c>
      <x:c r="D26" s="9" t="str">
        <x:v>조사 Agent R6가 조사 N 작성. 발표 Agent P6가 D2 작성, 수정 Agent Q6가 D3 작성. 현재 P6는 접근 가능하며 발표 작성 capability 공개.</x:v>
      </x:c>
      <x:c r="E26" s="9" t="str">
        <x:v>D2=P6-G01-D2@v1; D3=P6-G01-D3@v1; N=P6-G01-N@v1</x:v>
      </x:c>
    </x:row>
    <x:row r="27" ht="50" customHeight="1">
      <x:c r="A27" s="9" t="str">
        <x:v>P6-G01-DISPLAY</x:v>
      </x:c>
      <x:c r="B27" s="9" t="str">
        <x:v>마루</x:v>
      </x:c>
      <x:c r="C27" s="9" t="str">
        <x:v>공통 표시 사실</x:v>
      </x:c>
      <x:c r="D27" s="9" t="str">
        <x:v>P6-G01-D2@v1와 P6-G01-D3@v1를 순서대로 실제 표시했다고 가정.</x:v>
      </x:c>
      <x:c r="E27" s="9" t="str">
        <x:v>P6-G01-D2@v1, P6-G01-D3@v1</x:v>
      </x:c>
    </x:row>
    <x:row r="28" ht="50" customHeight="1">
      <x:c r="A28" s="9" t="str">
        <x:v>P6-G01-F1</x:v>
      </x:c>
      <x:c r="B28" s="9" t="str">
        <x:v>마루</x:v>
      </x:c>
      <x:c r="C28" s="9" t="str">
        <x:v>합성 피드백 원문</x:v>
      </x:c>
      <x:c r="D28" s="9" t="str">
        <x:v>고객에게 보여줄 구성은 먼저 보여준 쪽이 좋고 내부 검토에는 나중에 본 수정본을 쓰자.</x:v>
      </x:c>
      <x:c r="E28" s="9" t="str">
        <x:v>P6-G01-D2@v1, P6-G01-D3@v1</x:v>
      </x:c>
    </x:row>
    <x:row r="29" ht="50" customHeight="1">
      <x:c r="A29" s="9" t="str">
        <x:v>P6-G01-NEW</x:v>
      </x:c>
      <x:c r="B29" s="9" t="str">
        <x:v>마루</x:v>
      </x:c>
      <x:c r="C29" s="9" t="str">
        <x:v>공통 신규 내용</x:v>
      </x:c>
      <x:c r="D29" s="9" t="str">
        <x:v>신규 조사 P6-G01-N@v1는 최신 수치의 출처. VIA는 공개 참조를 연결하고 내용 분석·발표 작성은 Downstream Agent에 위임.</x:v>
      </x:c>
      <x:c r="E29" s="9" t="str">
        <x:v>P6-G01-N@v1</x:v>
      </x:c>
    </x:row>
    <x:row r="30" ht="50" customHeight="1">
      <x:c r="A30" s="9" t="str">
        <x:v>P7-G01-EXEC</x:v>
      </x:c>
      <x:c r="B30" s="9" t="str">
        <x:v>이든</x:v>
      </x:c>
      <x:c r="C30" s="9" t="str">
        <x:v>공통 실행 사실</x:v>
      </x:c>
      <x:c r="D30" s="9" t="str">
        <x:v>조사 Agent R7가 조사 N 작성. 발표 Agent P7가 D2 작성, 수정 Agent Q7가 D3 작성. 현재 P7는 접근 가능하며 발표 작성 capability 공개.</x:v>
      </x:c>
      <x:c r="E30" s="9" t="str">
        <x:v>D2=P7-G01-D2@v1; D3=P7-G01-D3@v1; N=P7-G01-N@v1</x:v>
      </x:c>
    </x:row>
    <x:row r="31" ht="50" customHeight="1">
      <x:c r="A31" s="9" t="str">
        <x:v>P7-G01-DISPLAY</x:v>
      </x:c>
      <x:c r="B31" s="9" t="str">
        <x:v>이든</x:v>
      </x:c>
      <x:c r="C31" s="9" t="str">
        <x:v>공통 표시 사실</x:v>
      </x:c>
      <x:c r="D31" s="9" t="str">
        <x:v>P7-G01-D2@v1와 P7-G01-D3@v1를 순서대로 실제 표시했다고 가정.</x:v>
      </x:c>
      <x:c r="E31" s="9" t="str">
        <x:v>P7-G01-D2@v1, P7-G01-D3@v1</x:v>
      </x:c>
    </x:row>
    <x:row r="32" ht="50" customHeight="1">
      <x:c r="A32" s="9" t="str">
        <x:v>P7-G01-F1</x:v>
      </x:c>
      <x:c r="B32" s="9" t="str">
        <x:v>이든</x:v>
      </x:c>
      <x:c r="C32" s="9" t="str">
        <x:v>합성 피드백 원문</x:v>
      </x:c>
      <x:c r="D32" s="9" t="str">
        <x:v>고객에게 보여줄 구성은 먼저 보여준 쪽이 좋고 내부 검토에는 나중에 본 수정본을 쓰자.</x:v>
      </x:c>
      <x:c r="E32" s="9" t="str">
        <x:v>P7-G01-D2@v1, P7-G01-D3@v1</x:v>
      </x:c>
    </x:row>
    <x:row r="33" ht="50" customHeight="1">
      <x:c r="A33" s="9" t="str">
        <x:v>P7-G01-NEW</x:v>
      </x:c>
      <x:c r="B33" s="9" t="str">
        <x:v>이든</x:v>
      </x:c>
      <x:c r="C33" s="9" t="str">
        <x:v>공통 신규 내용</x:v>
      </x:c>
      <x:c r="D33" s="9" t="str">
        <x:v>신규 조사 P7-G01-N@v1는 최신 수치의 출처. VIA는 공개 참조를 연결하고 내용 분석·발표 작성은 Downstream Agent에 위임.</x:v>
      </x:c>
      <x:c r="E33" s="9" t="str">
        <x:v>P7-G01-N@v1</x:v>
      </x:c>
    </x:row>
    <x:row r="34" ht="50" customHeight="1">
      <x:c r="A34" s="9" t="str">
        <x:v>P8-G01-EXEC</x:v>
      </x:c>
      <x:c r="B34" s="9" t="str">
        <x:v>라온</x:v>
      </x:c>
      <x:c r="C34" s="9" t="str">
        <x:v>공통 실행 사실</x:v>
      </x:c>
      <x:c r="D34" s="9" t="str">
        <x:v>조사 Agent R8가 조사 N 작성. 발표 Agent P8가 D2 작성, 수정 Agent Q8가 D3 작성. 현재 P8는 접근 가능하며 발표 작성 capability 공개.</x:v>
      </x:c>
      <x:c r="E34" s="9" t="str">
        <x:v>D2=P8-G01-D2@v1; D3=P8-G01-D3@v1; N=P8-G01-N@v1</x:v>
      </x:c>
    </x:row>
    <x:row r="35" ht="50" customHeight="1">
      <x:c r="A35" s="9" t="str">
        <x:v>P8-G01-DISPLAY</x:v>
      </x:c>
      <x:c r="B35" s="9" t="str">
        <x:v>라온</x:v>
      </x:c>
      <x:c r="C35" s="9" t="str">
        <x:v>공통 표시 사실</x:v>
      </x:c>
      <x:c r="D35" s="9" t="str">
        <x:v>P8-G01-D2@v1와 P8-G01-D3@v1를 순서대로 실제 표시했다고 가정.</x:v>
      </x:c>
      <x:c r="E35" s="9" t="str">
        <x:v>P8-G01-D2@v1, P8-G01-D3@v1</x:v>
      </x:c>
    </x:row>
    <x:row r="36" ht="50" customHeight="1">
      <x:c r="A36" s="9" t="str">
        <x:v>P8-G01-F1</x:v>
      </x:c>
      <x:c r="B36" s="9" t="str">
        <x:v>라온</x:v>
      </x:c>
      <x:c r="C36" s="9" t="str">
        <x:v>합성 피드백 원문</x:v>
      </x:c>
      <x:c r="D36" s="9" t="str">
        <x:v>고객에게 보여줄 구성은 먼저 보여준 쪽이 좋고 내부 검토에는 나중에 본 수정본을 쓰자.</x:v>
      </x:c>
      <x:c r="E36" s="9" t="str">
        <x:v>P8-G01-D2@v1, P8-G01-D3@v1</x:v>
      </x:c>
    </x:row>
    <x:row r="37" ht="50" customHeight="1">
      <x:c r="A37" s="9" t="str">
        <x:v>P8-G01-NEW</x:v>
      </x:c>
      <x:c r="B37" s="9" t="str">
        <x:v>라온</x:v>
      </x:c>
      <x:c r="C37" s="9" t="str">
        <x:v>공통 신규 내용</x:v>
      </x:c>
      <x:c r="D37" s="9" t="str">
        <x:v>신규 조사 P8-G01-N@v1는 최신 수치의 출처. VIA는 공개 참조를 연결하고 내용 분석·발표 작성은 Downstream Agent에 위임.</x:v>
      </x:c>
      <x:c r="E37" s="9" t="str">
        <x:v>P8-G01-N@v1</x:v>
      </x:c>
    </x:row>
    <x:row r="38" ht="50" customHeight="1">
      <x:c r="A38" s="9" t="str">
        <x:v>P9-G01-EXEC</x:v>
      </x:c>
      <x:c r="B38" s="9" t="str">
        <x:v>한결</x:v>
      </x:c>
      <x:c r="C38" s="9" t="str">
        <x:v>공통 실행 사실</x:v>
      </x:c>
      <x:c r="D38" s="9" t="str">
        <x:v>조사 Agent R9가 조사 N 작성. 발표 Agent P9가 D2 작성, 수정 Agent Q9가 D3 작성. 현재 P9는 접근 가능하며 발표 작성 capability 공개.</x:v>
      </x:c>
      <x:c r="E38" s="9" t="str">
        <x:v>D2=P9-G01-D2@v1; D3=P9-G01-D3@v1; N=P9-G01-N@v1</x:v>
      </x:c>
    </x:row>
    <x:row r="39" ht="50" customHeight="1">
      <x:c r="A39" s="9" t="str">
        <x:v>P9-G01-DISPLAY</x:v>
      </x:c>
      <x:c r="B39" s="9" t="str">
        <x:v>한결</x:v>
      </x:c>
      <x:c r="C39" s="9" t="str">
        <x:v>공통 표시 사실</x:v>
      </x:c>
      <x:c r="D39" s="9" t="str">
        <x:v>P9-G01-D2@v1와 P9-G01-D3@v1를 순서대로 실제 표시했다고 가정.</x:v>
      </x:c>
      <x:c r="E39" s="9" t="str">
        <x:v>P9-G01-D2@v1, P9-G01-D3@v1</x:v>
      </x:c>
    </x:row>
    <x:row r="40" ht="50" customHeight="1">
      <x:c r="A40" s="9" t="str">
        <x:v>P9-G01-F1</x:v>
      </x:c>
      <x:c r="B40" s="9" t="str">
        <x:v>한결</x:v>
      </x:c>
      <x:c r="C40" s="9" t="str">
        <x:v>합성 피드백 원문</x:v>
      </x:c>
      <x:c r="D40" s="9" t="str">
        <x:v>고객에게 보여줄 구성은 먼저 보여준 쪽이 좋고 내부 검토에는 나중에 본 수정본을 쓰자.</x:v>
      </x:c>
      <x:c r="E40" s="9" t="str">
        <x:v>P9-G01-D2@v1, P9-G01-D3@v1</x:v>
      </x:c>
    </x:row>
    <x:row r="41" ht="50" customHeight="1">
      <x:c r="A41" s="9" t="str">
        <x:v>P9-G01-NEW</x:v>
      </x:c>
      <x:c r="B41" s="9" t="str">
        <x:v>한결</x:v>
      </x:c>
      <x:c r="C41" s="9" t="str">
        <x:v>공통 신규 내용</x:v>
      </x:c>
      <x:c r="D41" s="9" t="str">
        <x:v>신규 조사 P9-G01-N@v1는 최신 수치의 출처. VIA는 공개 참조를 연결하고 내용 분석·발표 작성은 Downstream Agent에 위임.</x:v>
      </x:c>
      <x:c r="E41" s="9" t="str">
        <x:v>P9-G01-N@v1</x:v>
      </x:c>
    </x:row>
    <x:row r="42" ht="50" customHeight="1">
      <x:c r="A42" s="9" t="str">
        <x:v>P10-G01-EXEC</x:v>
      </x:c>
      <x:c r="B42" s="9" t="str">
        <x:v>온유</x:v>
      </x:c>
      <x:c r="C42" s="9" t="str">
        <x:v>공통 실행 사실</x:v>
      </x:c>
      <x:c r="D42" s="9" t="str">
        <x:v>조사 Agent R10가 조사 N 작성. 발표 Agent P10가 D2 작성, 수정 Agent Q10가 D3 작성. 현재 P10는 접근 가능하며 발표 작성 capability 공개.</x:v>
      </x:c>
      <x:c r="E42" s="9" t="str">
        <x:v>D2=P10-G01-D2@v1; D3=P10-G01-D3@v1; N=P10-G01-N@v1</x:v>
      </x:c>
    </x:row>
    <x:row r="43" ht="50" customHeight="1">
      <x:c r="A43" s="9" t="str">
        <x:v>P10-G01-DISPLAY</x:v>
      </x:c>
      <x:c r="B43" s="9" t="str">
        <x:v>온유</x:v>
      </x:c>
      <x:c r="C43" s="9" t="str">
        <x:v>공통 표시 사실</x:v>
      </x:c>
      <x:c r="D43" s="9" t="str">
        <x:v>P10-G01-D2@v1와 P10-G01-D3@v1를 순서대로 실제 표시했다고 가정.</x:v>
      </x:c>
      <x:c r="E43" s="9" t="str">
        <x:v>P10-G01-D2@v1, P10-G01-D3@v1</x:v>
      </x:c>
    </x:row>
    <x:row r="44" ht="50" customHeight="1">
      <x:c r="A44" s="9" t="str">
        <x:v>P10-G01-F1</x:v>
      </x:c>
      <x:c r="B44" s="9" t="str">
        <x:v>온유</x:v>
      </x:c>
      <x:c r="C44" s="9" t="str">
        <x:v>합성 피드백 원문</x:v>
      </x:c>
      <x:c r="D44" s="9" t="str">
        <x:v>고객에게 보여줄 구성은 먼저 보여준 쪽이 좋고 내부 검토에는 나중에 본 수정본을 쓰자.</x:v>
      </x:c>
      <x:c r="E44" s="9" t="str">
        <x:v>P10-G01-D2@v1, P10-G01-D3@v1</x:v>
      </x:c>
    </x:row>
    <x:row r="45" ht="50" customHeight="1">
      <x:c r="A45" s="9" t="str">
        <x:v>P10-G01-NEW</x:v>
      </x:c>
      <x:c r="B45" s="9" t="str">
        <x:v>온유</x:v>
      </x:c>
      <x:c r="C45" s="9" t="str">
        <x:v>공통 신규 내용</x:v>
      </x:c>
      <x:c r="D45" s="9" t="str">
        <x:v>신규 조사 P10-G01-N@v1는 최신 수치의 출처. VIA는 공개 참조를 연결하고 내용 분석·발표 작성은 Downstream Agent에 위임.</x:v>
      </x:c>
      <x:c r="E45" s="9" t="str">
        <x:v>P10-G01-N@v1</x:v>
      </x:c>
    </x:row>
    <x:row r="46" ht="50" customHeight="1">
      <x:c r="A46" s="9" t="str">
        <x:v>P1-G02-EXEC</x:v>
      </x:c>
      <x:c r="B46" s="9" t="str">
        <x:v>새봄</x:v>
      </x:c>
      <x:c r="C46" s="9" t="str">
        <x:v>공통 실행 사실</x:v>
      </x:c>
      <x:c r="D46" s="9" t="str">
        <x:v>조사 Agent R1가 조사 N 작성. 발표 Agent P1가 D2 작성, 수정 Agent Q1가 D3 작성. 현재 P1는 접근 가능하며 발표 작성 capability 공개.</x:v>
      </x:c>
      <x:c r="E46" s="9" t="str">
        <x:v>D2=P1-G02-D2@v1; D3=P1-G02-D3@v1; N=P1-G02-N@v1</x:v>
      </x:c>
    </x:row>
    <x:row r="47" ht="50" customHeight="1">
      <x:c r="A47" s="9" t="str">
        <x:v>P1-G02-DISPLAY</x:v>
      </x:c>
      <x:c r="B47" s="9" t="str">
        <x:v>새봄</x:v>
      </x:c>
      <x:c r="C47" s="9" t="str">
        <x:v>공통 표시 사실</x:v>
      </x:c>
      <x:c r="D47" s="9" t="str">
        <x:v>P1-G02-D2@v1와 P1-G02-D3@v1를 순서대로 실제 표시했다고 가정.</x:v>
      </x:c>
      <x:c r="E47" s="9" t="str">
        <x:v>P1-G02-D2@v1, P1-G02-D3@v1</x:v>
      </x:c>
    </x:row>
    <x:row r="48" ht="50" customHeight="1">
      <x:c r="A48" s="9" t="str">
        <x:v>P1-G02-F1</x:v>
      </x:c>
      <x:c r="B48" s="9" t="str">
        <x:v>새봄</x:v>
      </x:c>
      <x:c r="C48" s="9" t="str">
        <x:v>합성 피드백 원문</x:v>
      </x:c>
      <x:c r="D48" s="9" t="str">
        <x:v>고객에게 보여줄 구성은 먼저 보여준 쪽이 좋고 내부 검토에는 나중에 본 수정본을 쓰자.</x:v>
      </x:c>
      <x:c r="E48" s="9" t="str">
        <x:v>P1-G02-D2@v1, P1-G02-D3@v1</x:v>
      </x:c>
    </x:row>
    <x:row r="49" ht="50" customHeight="1">
      <x:c r="A49" s="9" t="str">
        <x:v>P1-G02-NEW</x:v>
      </x:c>
      <x:c r="B49" s="9" t="str">
        <x:v>새봄</x:v>
      </x:c>
      <x:c r="C49" s="9" t="str">
        <x:v>공통 신규 내용</x:v>
      </x:c>
      <x:c r="D49" s="9" t="str">
        <x:v>신규 조사 P1-G02-N@v1는 최신 수치의 출처. VIA는 공개 참조를 연결하고 내용 분석·발표 작성은 Downstream Agent에 위임.</x:v>
      </x:c>
      <x:c r="E49" s="9" t="str">
        <x:v>P1-G02-N@v1</x:v>
      </x:c>
    </x:row>
    <x:row r="50" ht="50" customHeight="1">
      <x:c r="A50" s="9" t="str">
        <x:v>P2-G02-EXEC</x:v>
      </x:c>
      <x:c r="B50" s="9" t="str">
        <x:v>해솔</x:v>
      </x:c>
      <x:c r="C50" s="9" t="str">
        <x:v>공통 실행 사실</x:v>
      </x:c>
      <x:c r="D50" s="9" t="str">
        <x:v>조사 Agent R2가 조사 N 작성. 발표 Agent P2가 D2 작성, 수정 Agent Q2가 D3 작성. 현재 P2는 접근 가능하며 발표 작성 capability 공개.</x:v>
      </x:c>
      <x:c r="E50" s="9" t="str">
        <x:v>D2=P2-G02-D2@v1; D3=P2-G02-D3@v1; N=P2-G02-N@v1</x:v>
      </x:c>
    </x:row>
    <x:row r="51" ht="50" customHeight="1">
      <x:c r="A51" s="9" t="str">
        <x:v>P2-G02-DISPLAY</x:v>
      </x:c>
      <x:c r="B51" s="9" t="str">
        <x:v>해솔</x:v>
      </x:c>
      <x:c r="C51" s="9" t="str">
        <x:v>공통 표시 사실</x:v>
      </x:c>
      <x:c r="D51" s="9" t="str">
        <x:v>P2-G02-D2@v1와 P2-G02-D3@v1를 순서대로 실제 표시했다고 가정.</x:v>
      </x:c>
      <x:c r="E51" s="9" t="str">
        <x:v>P2-G02-D2@v1, P2-G02-D3@v1</x:v>
      </x:c>
    </x:row>
    <x:row r="52" ht="50" customHeight="1">
      <x:c r="A52" s="9" t="str">
        <x:v>P2-G02-F1</x:v>
      </x:c>
      <x:c r="B52" s="9" t="str">
        <x:v>해솔</x:v>
      </x:c>
      <x:c r="C52" s="9" t="str">
        <x:v>합성 피드백 원문</x:v>
      </x:c>
      <x:c r="D52" s="9" t="str">
        <x:v>고객에게 보여줄 구성은 먼저 보여준 쪽이 좋고 내부 검토에는 나중에 본 수정본을 쓰자.</x:v>
      </x:c>
      <x:c r="E52" s="9" t="str">
        <x:v>P2-G02-D2@v1, P2-G02-D3@v1</x:v>
      </x:c>
    </x:row>
    <x:row r="53" ht="50" customHeight="1">
      <x:c r="A53" s="9" t="str">
        <x:v>P2-G02-NEW</x:v>
      </x:c>
      <x:c r="B53" s="9" t="str">
        <x:v>해솔</x:v>
      </x:c>
      <x:c r="C53" s="9" t="str">
        <x:v>공통 신규 내용</x:v>
      </x:c>
      <x:c r="D53" s="9" t="str">
        <x:v>신규 조사 P2-G02-N@v1는 최신 수치의 출처. VIA는 공개 참조를 연결하고 내용 분석·발표 작성은 Downstream Agent에 위임.</x:v>
      </x:c>
      <x:c r="E53" s="9" t="str">
        <x:v>P2-G02-N@v1</x:v>
      </x:c>
    </x:row>
    <x:row r="54" ht="50" customHeight="1">
      <x:c r="A54" s="9" t="str">
        <x:v>P3-G02-EXEC</x:v>
      </x:c>
      <x:c r="B54" s="9" t="str">
        <x:v>가온</x:v>
      </x:c>
      <x:c r="C54" s="9" t="str">
        <x:v>공통 실행 사실</x:v>
      </x:c>
      <x:c r="D54" s="9" t="str">
        <x:v>조사 Agent R3가 조사 N 작성. 발표 Agent P3가 D2 작성, 수정 Agent Q3가 D3 작성. 현재 P3는 접근 가능하며 발표 작성 capability 공개.</x:v>
      </x:c>
      <x:c r="E54" s="9" t="str">
        <x:v>D2=P3-G02-D2@v1; D3=P3-G02-D3@v1; N=P3-G02-N@v1</x:v>
      </x:c>
    </x:row>
    <x:row r="55" ht="50" customHeight="1">
      <x:c r="A55" s="9" t="str">
        <x:v>P3-G02-DISPLAY</x:v>
      </x:c>
      <x:c r="B55" s="9" t="str">
        <x:v>가온</x:v>
      </x:c>
      <x:c r="C55" s="9" t="str">
        <x:v>공통 표시 사실</x:v>
      </x:c>
      <x:c r="D55" s="9" t="str">
        <x:v>P3-G02-D2@v1와 P3-G02-D3@v1를 순서대로 실제 표시했다고 가정.</x:v>
      </x:c>
      <x:c r="E55" s="9" t="str">
        <x:v>P3-G02-D2@v1, P3-G02-D3@v1</x:v>
      </x:c>
    </x:row>
    <x:row r="56" ht="50" customHeight="1">
      <x:c r="A56" s="9" t="str">
        <x:v>P3-G02-F1</x:v>
      </x:c>
      <x:c r="B56" s="9" t="str">
        <x:v>가온</x:v>
      </x:c>
      <x:c r="C56" s="9" t="str">
        <x:v>합성 피드백 원문</x:v>
      </x:c>
      <x:c r="D56" s="9" t="str">
        <x:v>고객에게 보여줄 구성은 먼저 보여준 쪽이 좋고 내부 검토에는 나중에 본 수정본을 쓰자.</x:v>
      </x:c>
      <x:c r="E56" s="9" t="str">
        <x:v>P3-G02-D2@v1, P3-G02-D3@v1</x:v>
      </x:c>
    </x:row>
    <x:row r="57" ht="50" customHeight="1">
      <x:c r="A57" s="9" t="str">
        <x:v>P3-G02-NEW</x:v>
      </x:c>
      <x:c r="B57" s="9" t="str">
        <x:v>가온</x:v>
      </x:c>
      <x:c r="C57" s="9" t="str">
        <x:v>공통 신규 내용</x:v>
      </x:c>
      <x:c r="D57" s="9" t="str">
        <x:v>신규 조사 P3-G02-N@v1는 최신 수치의 출처. VIA는 공개 참조를 연결하고 내용 분석·발표 작성은 Downstream Agent에 위임.</x:v>
      </x:c>
      <x:c r="E57" s="9" t="str">
        <x:v>P3-G02-N@v1</x:v>
      </x:c>
    </x:row>
    <x:row r="58" ht="50" customHeight="1">
      <x:c r="A58" s="9" t="str">
        <x:v>P4-G02-EXEC</x:v>
      </x:c>
      <x:c r="B58" s="9" t="str">
        <x:v>누리</x:v>
      </x:c>
      <x:c r="C58" s="9" t="str">
        <x:v>공통 실행 사실</x:v>
      </x:c>
      <x:c r="D58" s="9" t="str">
        <x:v>조사 Agent R4가 조사 N 작성. 발표 Agent P4가 D2 작성, 수정 Agent Q4가 D3 작성. 현재 P4는 접근 가능하며 발표 작성 capability 공개.</x:v>
      </x:c>
      <x:c r="E58" s="9" t="str">
        <x:v>D2=P4-G02-D2@v1; D3=P4-G02-D3@v1; N=P4-G02-N@v1</x:v>
      </x:c>
    </x:row>
    <x:row r="59" ht="50" customHeight="1">
      <x:c r="A59" s="9" t="str">
        <x:v>P4-G02-DISPLAY</x:v>
      </x:c>
      <x:c r="B59" s="9" t="str">
        <x:v>누리</x:v>
      </x:c>
      <x:c r="C59" s="9" t="str">
        <x:v>공통 표시 사실</x:v>
      </x:c>
      <x:c r="D59" s="9" t="str">
        <x:v>P4-G02-D2@v1와 P4-G02-D3@v1를 순서대로 실제 표시했다고 가정.</x:v>
      </x:c>
      <x:c r="E59" s="9" t="str">
        <x:v>P4-G02-D2@v1, P4-G02-D3@v1</x:v>
      </x:c>
    </x:row>
    <x:row r="60" ht="50" customHeight="1">
      <x:c r="A60" s="9" t="str">
        <x:v>P4-G02-F1</x:v>
      </x:c>
      <x:c r="B60" s="9" t="str">
        <x:v>누리</x:v>
      </x:c>
      <x:c r="C60" s="9" t="str">
        <x:v>합성 피드백 원문</x:v>
      </x:c>
      <x:c r="D60" s="9" t="str">
        <x:v>고객에게 보여줄 구성은 먼저 보여준 쪽이 좋고 내부 검토에는 나중에 본 수정본을 쓰자.</x:v>
      </x:c>
      <x:c r="E60" s="9" t="str">
        <x:v>P4-G02-D2@v1, P4-G02-D3@v1</x:v>
      </x:c>
    </x:row>
    <x:row r="61" ht="50" customHeight="1">
      <x:c r="A61" s="9" t="str">
        <x:v>P4-G02-NEW</x:v>
      </x:c>
      <x:c r="B61" s="9" t="str">
        <x:v>누리</x:v>
      </x:c>
      <x:c r="C61" s="9" t="str">
        <x:v>공통 신규 내용</x:v>
      </x:c>
      <x:c r="D61" s="9" t="str">
        <x:v>신규 조사 P4-G02-N@v1는 최신 수치의 출처. VIA는 공개 참조를 연결하고 내용 분석·발표 작성은 Downstream Agent에 위임.</x:v>
      </x:c>
      <x:c r="E61" s="9" t="str">
        <x:v>P4-G02-N@v1</x:v>
      </x:c>
    </x:row>
    <x:row r="62" ht="50" customHeight="1">
      <x:c r="A62" s="9" t="str">
        <x:v>P5-G02-EXEC</x:v>
      </x:c>
      <x:c r="B62" s="9" t="str">
        <x:v>다온</x:v>
      </x:c>
      <x:c r="C62" s="9" t="str">
        <x:v>공통 실행 사실</x:v>
      </x:c>
      <x:c r="D62" s="9" t="str">
        <x:v>조사 Agent R5가 조사 N 작성. 발표 Agent P5가 D2 작성, 수정 Agent Q5가 D3 작성. 현재 P5는 접근 가능하며 발표 작성 capability 공개.</x:v>
      </x:c>
      <x:c r="E62" s="9" t="str">
        <x:v>D2=P5-G02-D2@v1; D3=P5-G02-D3@v1; N=P5-G02-N@v1</x:v>
      </x:c>
    </x:row>
    <x:row r="63" ht="50" customHeight="1">
      <x:c r="A63" s="9" t="str">
        <x:v>P5-G02-DISPLAY</x:v>
      </x:c>
      <x:c r="B63" s="9" t="str">
        <x:v>다온</x:v>
      </x:c>
      <x:c r="C63" s="9" t="str">
        <x:v>공통 표시 사실</x:v>
      </x:c>
      <x:c r="D63" s="9" t="str">
        <x:v>P5-G02-D2@v1와 P5-G02-D3@v1를 순서대로 실제 표시했다고 가정.</x:v>
      </x:c>
      <x:c r="E63" s="9" t="str">
        <x:v>P5-G02-D2@v1, P5-G02-D3@v1</x:v>
      </x:c>
    </x:row>
    <x:row r="64" ht="50" customHeight="1">
      <x:c r="A64" s="9" t="str">
        <x:v>P5-G02-F1</x:v>
      </x:c>
      <x:c r="B64" s="9" t="str">
        <x:v>다온</x:v>
      </x:c>
      <x:c r="C64" s="9" t="str">
        <x:v>합성 피드백 원문</x:v>
      </x:c>
      <x:c r="D64" s="9" t="str">
        <x:v>고객에게 보여줄 구성은 먼저 보여준 쪽이 좋고 내부 검토에는 나중에 본 수정본을 쓰자.</x:v>
      </x:c>
      <x:c r="E64" s="9" t="str">
        <x:v>P5-G02-D2@v1, P5-G02-D3@v1</x:v>
      </x:c>
    </x:row>
    <x:row r="65" ht="50" customHeight="1">
      <x:c r="A65" s="9" t="str">
        <x:v>P5-G02-NEW</x:v>
      </x:c>
      <x:c r="B65" s="9" t="str">
        <x:v>다온</x:v>
      </x:c>
      <x:c r="C65" s="9" t="str">
        <x:v>공통 신규 내용</x:v>
      </x:c>
      <x:c r="D65" s="9" t="str">
        <x:v>신규 조사 P5-G02-N@v1는 최신 수치의 출처. VIA는 공개 참조를 연결하고 내용 분석·발표 작성은 Downstream Agent에 위임.</x:v>
      </x:c>
      <x:c r="E65" s="9" t="str">
        <x:v>P5-G02-N@v1</x:v>
      </x:c>
    </x:row>
    <x:row r="66" ht="50" customHeight="1">
      <x:c r="A66" s="9" t="str">
        <x:v>P6-G02-EXEC</x:v>
      </x:c>
      <x:c r="B66" s="9" t="str">
        <x:v>마루</x:v>
      </x:c>
      <x:c r="C66" s="9" t="str">
        <x:v>공통 실행 사실</x:v>
      </x:c>
      <x:c r="D66" s="9" t="str">
        <x:v>조사 Agent R6가 조사 N 작성. 발표 Agent P6가 D2 작성, 수정 Agent Q6가 D3 작성. 현재 P6는 접근 가능하며 발표 작성 capability 공개.</x:v>
      </x:c>
      <x:c r="E66" s="9" t="str">
        <x:v>D2=P6-G02-D2@v1; D3=P6-G02-D3@v1; N=P6-G02-N@v1</x:v>
      </x:c>
    </x:row>
    <x:row r="67" ht="50" customHeight="1">
      <x:c r="A67" s="9" t="str">
        <x:v>P6-G02-DISPLAY</x:v>
      </x:c>
      <x:c r="B67" s="9" t="str">
        <x:v>마루</x:v>
      </x:c>
      <x:c r="C67" s="9" t="str">
        <x:v>공통 표시 사실</x:v>
      </x:c>
      <x:c r="D67" s="9" t="str">
        <x:v>P6-G02-D2@v1와 P6-G02-D3@v1를 순서대로 실제 표시했다고 가정.</x:v>
      </x:c>
      <x:c r="E67" s="9" t="str">
        <x:v>P6-G02-D2@v1, P6-G02-D3@v1</x:v>
      </x:c>
    </x:row>
    <x:row r="68" ht="50" customHeight="1">
      <x:c r="A68" s="9" t="str">
        <x:v>P6-G02-F1</x:v>
      </x:c>
      <x:c r="B68" s="9" t="str">
        <x:v>마루</x:v>
      </x:c>
      <x:c r="C68" s="9" t="str">
        <x:v>합성 피드백 원문</x:v>
      </x:c>
      <x:c r="D68" s="9" t="str">
        <x:v>고객에게 보여줄 구성은 먼저 보여준 쪽이 좋고 내부 검토에는 나중에 본 수정본을 쓰자.</x:v>
      </x:c>
      <x:c r="E68" s="9" t="str">
        <x:v>P6-G02-D2@v1, P6-G02-D3@v1</x:v>
      </x:c>
    </x:row>
    <x:row r="69" ht="50" customHeight="1">
      <x:c r="A69" s="9" t="str">
        <x:v>P6-G02-NEW</x:v>
      </x:c>
      <x:c r="B69" s="9" t="str">
        <x:v>마루</x:v>
      </x:c>
      <x:c r="C69" s="9" t="str">
        <x:v>공통 신규 내용</x:v>
      </x:c>
      <x:c r="D69" s="9" t="str">
        <x:v>신규 조사 P6-G02-N@v1는 최신 수치의 출처. VIA는 공개 참조를 연결하고 내용 분석·발표 작성은 Downstream Agent에 위임.</x:v>
      </x:c>
      <x:c r="E69" s="9" t="str">
        <x:v>P6-G02-N@v1</x:v>
      </x:c>
    </x:row>
    <x:row r="70" ht="50" customHeight="1">
      <x:c r="A70" s="9" t="str">
        <x:v>P7-G02-EXEC</x:v>
      </x:c>
      <x:c r="B70" s="9" t="str">
        <x:v>이든</x:v>
      </x:c>
      <x:c r="C70" s="9" t="str">
        <x:v>공통 실행 사실</x:v>
      </x:c>
      <x:c r="D70" s="9" t="str">
        <x:v>조사 Agent R7가 조사 N 작성. 발표 Agent P7가 D2 작성, 수정 Agent Q7가 D3 작성. 현재 P7는 접근 가능하며 발표 작성 capability 공개.</x:v>
      </x:c>
      <x:c r="E70" s="9" t="str">
        <x:v>D2=P7-G02-D2@v1; D3=P7-G02-D3@v1; N=P7-G02-N@v1</x:v>
      </x:c>
    </x:row>
    <x:row r="71" ht="50" customHeight="1">
      <x:c r="A71" s="9" t="str">
        <x:v>P7-G02-DISPLAY</x:v>
      </x:c>
      <x:c r="B71" s="9" t="str">
        <x:v>이든</x:v>
      </x:c>
      <x:c r="C71" s="9" t="str">
        <x:v>공통 표시 사실</x:v>
      </x:c>
      <x:c r="D71" s="9" t="str">
        <x:v>P7-G02-D2@v1와 P7-G02-D3@v1를 순서대로 실제 표시했다고 가정.</x:v>
      </x:c>
      <x:c r="E71" s="9" t="str">
        <x:v>P7-G02-D2@v1, P7-G02-D3@v1</x:v>
      </x:c>
    </x:row>
    <x:row r="72" ht="50" customHeight="1">
      <x:c r="A72" s="9" t="str">
        <x:v>P7-G02-F1</x:v>
      </x:c>
      <x:c r="B72" s="9" t="str">
        <x:v>이든</x:v>
      </x:c>
      <x:c r="C72" s="9" t="str">
        <x:v>합성 피드백 원문</x:v>
      </x:c>
      <x:c r="D72" s="9" t="str">
        <x:v>고객에게 보여줄 구성은 먼저 보여준 쪽이 좋고 내부 검토에는 나중에 본 수정본을 쓰자.</x:v>
      </x:c>
      <x:c r="E72" s="9" t="str">
        <x:v>P7-G02-D2@v1, P7-G02-D3@v1</x:v>
      </x:c>
    </x:row>
    <x:row r="73" ht="50" customHeight="1">
      <x:c r="A73" s="9" t="str">
        <x:v>P7-G02-NEW</x:v>
      </x:c>
      <x:c r="B73" s="9" t="str">
        <x:v>이든</x:v>
      </x:c>
      <x:c r="C73" s="9" t="str">
        <x:v>공통 신규 내용</x:v>
      </x:c>
      <x:c r="D73" s="9" t="str">
        <x:v>신규 조사 P7-G02-N@v1는 최신 수치의 출처. VIA는 공개 참조를 연결하고 내용 분석·발표 작성은 Downstream Agent에 위임.</x:v>
      </x:c>
      <x:c r="E73" s="9" t="str">
        <x:v>P7-G02-N@v1</x:v>
      </x:c>
    </x:row>
    <x:row r="74" ht="50" customHeight="1">
      <x:c r="A74" s="9" t="str">
        <x:v>P8-G02-EXEC</x:v>
      </x:c>
      <x:c r="B74" s="9" t="str">
        <x:v>라온</x:v>
      </x:c>
      <x:c r="C74" s="9" t="str">
        <x:v>공통 실행 사실</x:v>
      </x:c>
      <x:c r="D74" s="9" t="str">
        <x:v>조사 Agent R8가 조사 N 작성. 발표 Agent P8가 D2 작성, 수정 Agent Q8가 D3 작성. 현재 P8는 접근 가능하며 발표 작성 capability 공개.</x:v>
      </x:c>
      <x:c r="E74" s="9" t="str">
        <x:v>D2=P8-G02-D2@v1; D3=P8-G02-D3@v1; N=P8-G02-N@v1</x:v>
      </x:c>
    </x:row>
    <x:row r="75" ht="50" customHeight="1">
      <x:c r="A75" s="9" t="str">
        <x:v>P8-G02-DISPLAY</x:v>
      </x:c>
      <x:c r="B75" s="9" t="str">
        <x:v>라온</x:v>
      </x:c>
      <x:c r="C75" s="9" t="str">
        <x:v>공통 표시 사실</x:v>
      </x:c>
      <x:c r="D75" s="9" t="str">
        <x:v>P8-G02-D2@v1와 P8-G02-D3@v1를 순서대로 실제 표시했다고 가정.</x:v>
      </x:c>
      <x:c r="E75" s="9" t="str">
        <x:v>P8-G02-D2@v1, P8-G02-D3@v1</x:v>
      </x:c>
    </x:row>
    <x:row r="76" ht="50" customHeight="1">
      <x:c r="A76" s="9" t="str">
        <x:v>P8-G02-F1</x:v>
      </x:c>
      <x:c r="B76" s="9" t="str">
        <x:v>라온</x:v>
      </x:c>
      <x:c r="C76" s="9" t="str">
        <x:v>합성 피드백 원문</x:v>
      </x:c>
      <x:c r="D76" s="9" t="str">
        <x:v>고객에게 보여줄 구성은 먼저 보여준 쪽이 좋고 내부 검토에는 나중에 본 수정본을 쓰자.</x:v>
      </x:c>
      <x:c r="E76" s="9" t="str">
        <x:v>P8-G02-D2@v1, P8-G02-D3@v1</x:v>
      </x:c>
    </x:row>
    <x:row r="77" ht="50" customHeight="1">
      <x:c r="A77" s="9" t="str">
        <x:v>P8-G02-NEW</x:v>
      </x:c>
      <x:c r="B77" s="9" t="str">
        <x:v>라온</x:v>
      </x:c>
      <x:c r="C77" s="9" t="str">
        <x:v>공통 신규 내용</x:v>
      </x:c>
      <x:c r="D77" s="9" t="str">
        <x:v>신규 조사 P8-G02-N@v1는 최신 수치의 출처. VIA는 공개 참조를 연결하고 내용 분석·발표 작성은 Downstream Agent에 위임.</x:v>
      </x:c>
      <x:c r="E77" s="9" t="str">
        <x:v>P8-G02-N@v1</x:v>
      </x:c>
    </x:row>
    <x:row r="78" ht="50" customHeight="1">
      <x:c r="A78" s="9" t="str">
        <x:v>P9-G02-EXEC</x:v>
      </x:c>
      <x:c r="B78" s="9" t="str">
        <x:v>한결</x:v>
      </x:c>
      <x:c r="C78" s="9" t="str">
        <x:v>공통 실행 사실</x:v>
      </x:c>
      <x:c r="D78" s="9" t="str">
        <x:v>조사 Agent R9가 조사 N 작성. 발표 Agent P9가 D2 작성, 수정 Agent Q9가 D3 작성. 현재 P9는 접근 가능하며 발표 작성 capability 공개.</x:v>
      </x:c>
      <x:c r="E78" s="9" t="str">
        <x:v>D2=P9-G02-D2@v1; D3=P9-G02-D3@v1; N=P9-G02-N@v1</x:v>
      </x:c>
    </x:row>
    <x:row r="79" ht="50" customHeight="1">
      <x:c r="A79" s="9" t="str">
        <x:v>P9-G02-DISPLAY</x:v>
      </x:c>
      <x:c r="B79" s="9" t="str">
        <x:v>한결</x:v>
      </x:c>
      <x:c r="C79" s="9" t="str">
        <x:v>공통 표시 사실</x:v>
      </x:c>
      <x:c r="D79" s="9" t="str">
        <x:v>P9-G02-D2@v1와 P9-G02-D3@v1를 순서대로 실제 표시했다고 가정.</x:v>
      </x:c>
      <x:c r="E79" s="9" t="str">
        <x:v>P9-G02-D2@v1, P9-G02-D3@v1</x:v>
      </x:c>
    </x:row>
    <x:row r="80" ht="50" customHeight="1">
      <x:c r="A80" s="9" t="str">
        <x:v>P9-G02-F1</x:v>
      </x:c>
      <x:c r="B80" s="9" t="str">
        <x:v>한결</x:v>
      </x:c>
      <x:c r="C80" s="9" t="str">
        <x:v>합성 피드백 원문</x:v>
      </x:c>
      <x:c r="D80" s="9" t="str">
        <x:v>고객에게 보여줄 구성은 먼저 보여준 쪽이 좋고 내부 검토에는 나중에 본 수정본을 쓰자.</x:v>
      </x:c>
      <x:c r="E80" s="9" t="str">
        <x:v>P9-G02-D2@v1, P9-G02-D3@v1</x:v>
      </x:c>
    </x:row>
    <x:row r="81" ht="50" customHeight="1">
      <x:c r="A81" s="9" t="str">
        <x:v>P9-G02-NEW</x:v>
      </x:c>
      <x:c r="B81" s="9" t="str">
        <x:v>한결</x:v>
      </x:c>
      <x:c r="C81" s="9" t="str">
        <x:v>공통 신규 내용</x:v>
      </x:c>
      <x:c r="D81" s="9" t="str">
        <x:v>신규 조사 P9-G02-N@v1는 최신 수치의 출처. VIA는 공개 참조를 연결하고 내용 분석·발표 작성은 Downstream Agent에 위임.</x:v>
      </x:c>
      <x:c r="E81" s="9" t="str">
        <x:v>P9-G02-N@v1</x:v>
      </x:c>
    </x:row>
    <x:row r="82" ht="50" customHeight="1">
      <x:c r="A82" s="9" t="str">
        <x:v>P10-G02-EXEC</x:v>
      </x:c>
      <x:c r="B82" s="9" t="str">
        <x:v>온유</x:v>
      </x:c>
      <x:c r="C82" s="9" t="str">
        <x:v>공통 실행 사실</x:v>
      </x:c>
      <x:c r="D82" s="9" t="str">
        <x:v>조사 Agent R10가 조사 N 작성. 발표 Agent P10가 D2 작성, 수정 Agent Q10가 D3 작성. 현재 P10는 접근 가능하며 발표 작성 capability 공개.</x:v>
      </x:c>
      <x:c r="E82" s="9" t="str">
        <x:v>D2=P10-G02-D2@v1; D3=P10-G02-D3@v1; N=P10-G02-N@v1</x:v>
      </x:c>
    </x:row>
    <x:row r="83" ht="50" customHeight="1">
      <x:c r="A83" s="9" t="str">
        <x:v>P10-G02-DISPLAY</x:v>
      </x:c>
      <x:c r="B83" s="9" t="str">
        <x:v>온유</x:v>
      </x:c>
      <x:c r="C83" s="9" t="str">
        <x:v>공통 표시 사실</x:v>
      </x:c>
      <x:c r="D83" s="9" t="str">
        <x:v>P10-G02-D2@v1와 P10-G02-D3@v1를 순서대로 실제 표시했다고 가정.</x:v>
      </x:c>
      <x:c r="E83" s="9" t="str">
        <x:v>P10-G02-D2@v1, P10-G02-D3@v1</x:v>
      </x:c>
    </x:row>
    <x:row r="84" ht="50" customHeight="1">
      <x:c r="A84" s="9" t="str">
        <x:v>P10-G02-F1</x:v>
      </x:c>
      <x:c r="B84" s="9" t="str">
        <x:v>온유</x:v>
      </x:c>
      <x:c r="C84" s="9" t="str">
        <x:v>합성 피드백 원문</x:v>
      </x:c>
      <x:c r="D84" s="9" t="str">
        <x:v>고객에게 보여줄 구성은 먼저 보여준 쪽이 좋고 내부 검토에는 나중에 본 수정본을 쓰자.</x:v>
      </x:c>
      <x:c r="E84" s="9" t="str">
        <x:v>P10-G02-D2@v1, P10-G02-D3@v1</x:v>
      </x:c>
    </x:row>
    <x:row r="85" ht="50" customHeight="1">
      <x:c r="A85" s="9" t="str">
        <x:v>P10-G02-NEW</x:v>
      </x:c>
      <x:c r="B85" s="9" t="str">
        <x:v>온유</x:v>
      </x:c>
      <x:c r="C85" s="9" t="str">
        <x:v>공통 신규 내용</x:v>
      </x:c>
      <x:c r="D85" s="9" t="str">
        <x:v>신규 조사 P10-G02-N@v1는 최신 수치의 출처. VIA는 공개 참조를 연결하고 내용 분석·발표 작성은 Downstream Agent에 위임.</x:v>
      </x:c>
      <x:c r="E85" s="9" t="str">
        <x:v>P10-G02-N@v1</x:v>
      </x:c>
    </x:row>
    <x:row r="86" ht="50" customHeight="1">
      <x:c r="A86" s="9" t="str">
        <x:v>P1-G03-EXEC</x:v>
      </x:c>
      <x:c r="B86" s="9" t="str">
        <x:v>새봄</x:v>
      </x:c>
      <x:c r="C86" s="9" t="str">
        <x:v>공통 실행 사실</x:v>
      </x:c>
      <x:c r="D86" s="9" t="str">
        <x:v>조사 Agent R1가 조사 N 작성. 발표 Agent P1가 D2 작성, 수정 Agent Q1가 D3 작성. 현재 P1는 접근 가능하며 발표 작성 capability 공개.</x:v>
      </x:c>
      <x:c r="E86" s="9" t="str">
        <x:v>D2=P1-G03-D2@v1; D3=P1-G03-D3@v1; N=P1-G03-N@v1</x:v>
      </x:c>
    </x:row>
    <x:row r="87" ht="50" customHeight="1">
      <x:c r="A87" s="9" t="str">
        <x:v>P1-G03-DISPLAY</x:v>
      </x:c>
      <x:c r="B87" s="9" t="str">
        <x:v>새봄</x:v>
      </x:c>
      <x:c r="C87" s="9" t="str">
        <x:v>공통 표시 사실</x:v>
      </x:c>
      <x:c r="D87" s="9" t="str">
        <x:v>P1-G03-D2@v1와 P1-G03-D3@v1를 순서대로 실제 표시했다고 가정.</x:v>
      </x:c>
      <x:c r="E87" s="9" t="str">
        <x:v>P1-G03-D2@v1, P1-G03-D3@v1</x:v>
      </x:c>
    </x:row>
    <x:row r="88" ht="50" customHeight="1">
      <x:c r="A88" s="9" t="str">
        <x:v>P1-G03-F1</x:v>
      </x:c>
      <x:c r="B88" s="9" t="str">
        <x:v>새봄</x:v>
      </x:c>
      <x:c r="C88" s="9" t="str">
        <x:v>합성 피드백 원문</x:v>
      </x:c>
      <x:c r="D88" s="9" t="str">
        <x:v>고객에게 보여줄 구성은 먼저 보여준 쪽이 좋고 내부 검토에는 나중에 본 수정본을 쓰자.</x:v>
      </x:c>
      <x:c r="E88" s="9" t="str">
        <x:v>P1-G03-D2@v1, P1-G03-D3@v1</x:v>
      </x:c>
    </x:row>
    <x:row r="89" ht="50" customHeight="1">
      <x:c r="A89" s="9" t="str">
        <x:v>P1-G03-NEW</x:v>
      </x:c>
      <x:c r="B89" s="9" t="str">
        <x:v>새봄</x:v>
      </x:c>
      <x:c r="C89" s="9" t="str">
        <x:v>공통 신규 내용</x:v>
      </x:c>
      <x:c r="D89" s="9" t="str">
        <x:v>신규 조사 P1-G03-N@v1는 최신 수치의 출처. VIA는 공개 참조를 연결하고 내용 분석·발표 작성은 Downstream Agent에 위임.</x:v>
      </x:c>
      <x:c r="E89" s="9" t="str">
        <x:v>P1-G03-N@v1</x:v>
      </x:c>
    </x:row>
    <x:row r="90" ht="50" customHeight="1">
      <x:c r="A90" s="9" t="str">
        <x:v>P2-G03-EXEC</x:v>
      </x:c>
      <x:c r="B90" s="9" t="str">
        <x:v>해솔</x:v>
      </x:c>
      <x:c r="C90" s="9" t="str">
        <x:v>공통 실행 사실</x:v>
      </x:c>
      <x:c r="D90" s="9" t="str">
        <x:v>조사 Agent R2가 조사 N 작성. 발표 Agent P2가 D2 작성, 수정 Agent Q2가 D3 작성. 현재 P2는 접근 가능하며 발표 작성 capability 공개.</x:v>
      </x:c>
      <x:c r="E90" s="9" t="str">
        <x:v>D2=P2-G03-D2@v1; D3=P2-G03-D3@v1; N=P2-G03-N@v1</x:v>
      </x:c>
    </x:row>
    <x:row r="91" ht="50" customHeight="1">
      <x:c r="A91" s="9" t="str">
        <x:v>P2-G03-DISPLAY</x:v>
      </x:c>
      <x:c r="B91" s="9" t="str">
        <x:v>해솔</x:v>
      </x:c>
      <x:c r="C91" s="9" t="str">
        <x:v>공통 표시 사실</x:v>
      </x:c>
      <x:c r="D91" s="9" t="str">
        <x:v>P2-G03-D2@v1와 P2-G03-D3@v1를 순서대로 실제 표시했다고 가정.</x:v>
      </x:c>
      <x:c r="E91" s="9" t="str">
        <x:v>P2-G03-D2@v1, P2-G03-D3@v1</x:v>
      </x:c>
    </x:row>
    <x:row r="92" ht="50" customHeight="1">
      <x:c r="A92" s="9" t="str">
        <x:v>P2-G03-F1</x:v>
      </x:c>
      <x:c r="B92" s="9" t="str">
        <x:v>해솔</x:v>
      </x:c>
      <x:c r="C92" s="9" t="str">
        <x:v>합성 피드백 원문</x:v>
      </x:c>
      <x:c r="D92" s="9" t="str">
        <x:v>고객에게 보여줄 구성은 먼저 보여준 쪽이 좋고 내부 검토에는 나중에 본 수정본을 쓰자.</x:v>
      </x:c>
      <x:c r="E92" s="9" t="str">
        <x:v>P2-G03-D2@v1, P2-G03-D3@v1</x:v>
      </x:c>
    </x:row>
    <x:row r="93" ht="50" customHeight="1">
      <x:c r="A93" s="9" t="str">
        <x:v>P2-G03-NEW</x:v>
      </x:c>
      <x:c r="B93" s="9" t="str">
        <x:v>해솔</x:v>
      </x:c>
      <x:c r="C93" s="9" t="str">
        <x:v>공통 신규 내용</x:v>
      </x:c>
      <x:c r="D93" s="9" t="str">
        <x:v>신규 조사 P2-G03-N@v1는 최신 수치의 출처. VIA는 공개 참조를 연결하고 내용 분석·발표 작성은 Downstream Agent에 위임.</x:v>
      </x:c>
      <x:c r="E93" s="9" t="str">
        <x:v>P2-G03-N@v1</x:v>
      </x:c>
    </x:row>
    <x:row r="94" ht="50" customHeight="1">
      <x:c r="A94" s="9" t="str">
        <x:v>P3-G03-EXEC</x:v>
      </x:c>
      <x:c r="B94" s="9" t="str">
        <x:v>가온</x:v>
      </x:c>
      <x:c r="C94" s="9" t="str">
        <x:v>공통 실행 사실</x:v>
      </x:c>
      <x:c r="D94" s="9" t="str">
        <x:v>조사 Agent R3가 조사 N 작성. 발표 Agent P3가 D2 작성, 수정 Agent Q3가 D3 작성. 현재 P3는 접근 가능하며 발표 작성 capability 공개.</x:v>
      </x:c>
      <x:c r="E94" s="9" t="str">
        <x:v>D2=P3-G03-D2@v1; D3=P3-G03-D3@v1; N=P3-G03-N@v1</x:v>
      </x:c>
    </x:row>
    <x:row r="95" ht="50" customHeight="1">
      <x:c r="A95" s="9" t="str">
        <x:v>P3-G03-DISPLAY</x:v>
      </x:c>
      <x:c r="B95" s="9" t="str">
        <x:v>가온</x:v>
      </x:c>
      <x:c r="C95" s="9" t="str">
        <x:v>공통 표시 사실</x:v>
      </x:c>
      <x:c r="D95" s="9" t="str">
        <x:v>P3-G03-D2@v1와 P3-G03-D3@v1를 순서대로 실제 표시했다고 가정.</x:v>
      </x:c>
      <x:c r="E95" s="9" t="str">
        <x:v>P3-G03-D2@v1, P3-G03-D3@v1</x:v>
      </x:c>
    </x:row>
    <x:row r="96" ht="50" customHeight="1">
      <x:c r="A96" s="9" t="str">
        <x:v>P3-G03-F1</x:v>
      </x:c>
      <x:c r="B96" s="9" t="str">
        <x:v>가온</x:v>
      </x:c>
      <x:c r="C96" s="9" t="str">
        <x:v>합성 피드백 원문</x:v>
      </x:c>
      <x:c r="D96" s="9" t="str">
        <x:v>고객에게 보여줄 구성은 먼저 보여준 쪽이 좋고 내부 검토에는 나중에 본 수정본을 쓰자.</x:v>
      </x:c>
      <x:c r="E96" s="9" t="str">
        <x:v>P3-G03-D2@v1, P3-G03-D3@v1</x:v>
      </x:c>
    </x:row>
    <x:row r="97" ht="50" customHeight="1">
      <x:c r="A97" s="9" t="str">
        <x:v>P3-G03-NEW</x:v>
      </x:c>
      <x:c r="B97" s="9" t="str">
        <x:v>가온</x:v>
      </x:c>
      <x:c r="C97" s="9" t="str">
        <x:v>공통 신규 내용</x:v>
      </x:c>
      <x:c r="D97" s="9" t="str">
        <x:v>신규 조사 P3-G03-N@v1는 최신 수치의 출처. VIA는 공개 참조를 연결하고 내용 분석·발표 작성은 Downstream Agent에 위임.</x:v>
      </x:c>
      <x:c r="E97" s="9" t="str">
        <x:v>P3-G03-N@v1</x:v>
      </x:c>
    </x:row>
    <x:row r="98" ht="50" customHeight="1">
      <x:c r="A98" s="9" t="str">
        <x:v>P4-G03-EXEC</x:v>
      </x:c>
      <x:c r="B98" s="9" t="str">
        <x:v>누리</x:v>
      </x:c>
      <x:c r="C98" s="9" t="str">
        <x:v>공통 실행 사실</x:v>
      </x:c>
      <x:c r="D98" s="9" t="str">
        <x:v>조사 Agent R4가 조사 N 작성. 발표 Agent P4가 D2 작성, 수정 Agent Q4가 D3 작성. 현재 P4는 접근 가능하며 발표 작성 capability 공개.</x:v>
      </x:c>
      <x:c r="E98" s="9" t="str">
        <x:v>D2=P4-G03-D2@v1; D3=P4-G03-D3@v1; N=P4-G03-N@v1</x:v>
      </x:c>
    </x:row>
    <x:row r="99" ht="50" customHeight="1">
      <x:c r="A99" s="9" t="str">
        <x:v>P4-G03-DISPLAY</x:v>
      </x:c>
      <x:c r="B99" s="9" t="str">
        <x:v>누리</x:v>
      </x:c>
      <x:c r="C99" s="9" t="str">
        <x:v>공통 표시 사실</x:v>
      </x:c>
      <x:c r="D99" s="9" t="str">
        <x:v>P4-G03-D2@v1와 P4-G03-D3@v1를 순서대로 실제 표시했다고 가정.</x:v>
      </x:c>
      <x:c r="E99" s="9" t="str">
        <x:v>P4-G03-D2@v1, P4-G03-D3@v1</x:v>
      </x:c>
    </x:row>
    <x:row r="100" ht="50" customHeight="1">
      <x:c r="A100" s="9" t="str">
        <x:v>P4-G03-F1</x:v>
      </x:c>
      <x:c r="B100" s="9" t="str">
        <x:v>누리</x:v>
      </x:c>
      <x:c r="C100" s="9" t="str">
        <x:v>합성 피드백 원문</x:v>
      </x:c>
      <x:c r="D100" s="9" t="str">
        <x:v>고객에게 보여줄 구성은 먼저 보여준 쪽이 좋고 내부 검토에는 나중에 본 수정본을 쓰자.</x:v>
      </x:c>
      <x:c r="E100" s="9" t="str">
        <x:v>P4-G03-D2@v1, P4-G03-D3@v1</x:v>
      </x:c>
    </x:row>
    <x:row r="101" ht="50" customHeight="1">
      <x:c r="A101" s="9" t="str">
        <x:v>P4-G03-NEW</x:v>
      </x:c>
      <x:c r="B101" s="9" t="str">
        <x:v>누리</x:v>
      </x:c>
      <x:c r="C101" s="9" t="str">
        <x:v>공통 신규 내용</x:v>
      </x:c>
      <x:c r="D101" s="9" t="str">
        <x:v>신규 조사 P4-G03-N@v1는 최신 수치의 출처. VIA는 공개 참조를 연결하고 내용 분석·발표 작성은 Downstream Agent에 위임.</x:v>
      </x:c>
      <x:c r="E101" s="9" t="str">
        <x:v>P4-G03-N@v1</x:v>
      </x:c>
    </x:row>
    <x:row r="102" ht="50" customHeight="1">
      <x:c r="A102" s="9" t="str">
        <x:v>P5-G03-EXEC</x:v>
      </x:c>
      <x:c r="B102" s="9" t="str">
        <x:v>다온</x:v>
      </x:c>
      <x:c r="C102" s="9" t="str">
        <x:v>공통 실행 사실</x:v>
      </x:c>
      <x:c r="D102" s="9" t="str">
        <x:v>조사 Agent R5가 조사 N 작성. 발표 Agent P5가 D2 작성, 수정 Agent Q5가 D3 작성. 현재 P5는 접근 가능하며 발표 작성 capability 공개.</x:v>
      </x:c>
      <x:c r="E102" s="9" t="str">
        <x:v>D2=P5-G03-D2@v1; D3=P5-G03-D3@v1; N=P5-G03-N@v1</x:v>
      </x:c>
    </x:row>
    <x:row r="103" ht="50" customHeight="1">
      <x:c r="A103" s="9" t="str">
        <x:v>P5-G03-DISPLAY</x:v>
      </x:c>
      <x:c r="B103" s="9" t="str">
        <x:v>다온</x:v>
      </x:c>
      <x:c r="C103" s="9" t="str">
        <x:v>공통 표시 사실</x:v>
      </x:c>
      <x:c r="D103" s="9" t="str">
        <x:v>P5-G03-D2@v1와 P5-G03-D3@v1를 순서대로 실제 표시했다고 가정.</x:v>
      </x:c>
      <x:c r="E103" s="9" t="str">
        <x:v>P5-G03-D2@v1, P5-G03-D3@v1</x:v>
      </x:c>
    </x:row>
    <x:row r="104" ht="50" customHeight="1">
      <x:c r="A104" s="9" t="str">
        <x:v>P5-G03-F1</x:v>
      </x:c>
      <x:c r="B104" s="9" t="str">
        <x:v>다온</x:v>
      </x:c>
      <x:c r="C104" s="9" t="str">
        <x:v>합성 피드백 원문</x:v>
      </x:c>
      <x:c r="D104" s="9" t="str">
        <x:v>고객에게 보여줄 구성은 먼저 보여준 쪽이 좋고 내부 검토에는 나중에 본 수정본을 쓰자.</x:v>
      </x:c>
      <x:c r="E104" s="9" t="str">
        <x:v>P5-G03-D2@v1, P5-G03-D3@v1</x:v>
      </x:c>
    </x:row>
    <x:row r="105" ht="50" customHeight="1">
      <x:c r="A105" s="9" t="str">
        <x:v>P5-G03-NEW</x:v>
      </x:c>
      <x:c r="B105" s="9" t="str">
        <x:v>다온</x:v>
      </x:c>
      <x:c r="C105" s="9" t="str">
        <x:v>공통 신규 내용</x:v>
      </x:c>
      <x:c r="D105" s="9" t="str">
        <x:v>신규 조사 P5-G03-N@v1는 최신 수치의 출처. VIA는 공개 참조를 연결하고 내용 분석·발표 작성은 Downstream Agent에 위임.</x:v>
      </x:c>
      <x:c r="E105" s="9" t="str">
        <x:v>P5-G03-N@v1</x:v>
      </x:c>
    </x:row>
    <x:row r="106" ht="50" customHeight="1">
      <x:c r="A106" s="9" t="str">
        <x:v>P6-G03-EXEC</x:v>
      </x:c>
      <x:c r="B106" s="9" t="str">
        <x:v>마루</x:v>
      </x:c>
      <x:c r="C106" s="9" t="str">
        <x:v>공통 실행 사실</x:v>
      </x:c>
      <x:c r="D106" s="9" t="str">
        <x:v>조사 Agent R6가 조사 N 작성. 발표 Agent P6가 D2 작성, 수정 Agent Q6가 D3 작성. 현재 P6는 접근 가능하며 발표 작성 capability 공개.</x:v>
      </x:c>
      <x:c r="E106" s="9" t="str">
        <x:v>D2=P6-G03-D2@v1; D3=P6-G03-D3@v1; N=P6-G03-N@v1</x:v>
      </x:c>
    </x:row>
    <x:row r="107" ht="50" customHeight="1">
      <x:c r="A107" s="9" t="str">
        <x:v>P6-G03-DISPLAY</x:v>
      </x:c>
      <x:c r="B107" s="9" t="str">
        <x:v>마루</x:v>
      </x:c>
      <x:c r="C107" s="9" t="str">
        <x:v>공통 표시 사실</x:v>
      </x:c>
      <x:c r="D107" s="9" t="str">
        <x:v>P6-G03-D2@v1와 P6-G03-D3@v1를 순서대로 실제 표시했다고 가정.</x:v>
      </x:c>
      <x:c r="E107" s="9" t="str">
        <x:v>P6-G03-D2@v1, P6-G03-D3@v1</x:v>
      </x:c>
    </x:row>
    <x:row r="108" ht="50" customHeight="1">
      <x:c r="A108" s="9" t="str">
        <x:v>P6-G03-F1</x:v>
      </x:c>
      <x:c r="B108" s="9" t="str">
        <x:v>마루</x:v>
      </x:c>
      <x:c r="C108" s="9" t="str">
        <x:v>합성 피드백 원문</x:v>
      </x:c>
      <x:c r="D108" s="9" t="str">
        <x:v>고객에게 보여줄 구성은 먼저 보여준 쪽이 좋고 내부 검토에는 나중에 본 수정본을 쓰자.</x:v>
      </x:c>
      <x:c r="E108" s="9" t="str">
        <x:v>P6-G03-D2@v1, P6-G03-D3@v1</x:v>
      </x:c>
    </x:row>
    <x:row r="109" ht="50" customHeight="1">
      <x:c r="A109" s="9" t="str">
        <x:v>P6-G03-NEW</x:v>
      </x:c>
      <x:c r="B109" s="9" t="str">
        <x:v>마루</x:v>
      </x:c>
      <x:c r="C109" s="9" t="str">
        <x:v>공통 신규 내용</x:v>
      </x:c>
      <x:c r="D109" s="9" t="str">
        <x:v>신규 조사 P6-G03-N@v1는 최신 수치의 출처. VIA는 공개 참조를 연결하고 내용 분석·발표 작성은 Downstream Agent에 위임.</x:v>
      </x:c>
      <x:c r="E109" s="9" t="str">
        <x:v>P6-G03-N@v1</x:v>
      </x:c>
    </x:row>
    <x:row r="110" ht="50" customHeight="1">
      <x:c r="A110" s="9" t="str">
        <x:v>P7-G03-EXEC</x:v>
      </x:c>
      <x:c r="B110" s="9" t="str">
        <x:v>이든</x:v>
      </x:c>
      <x:c r="C110" s="9" t="str">
        <x:v>공통 실행 사실</x:v>
      </x:c>
      <x:c r="D110" s="9" t="str">
        <x:v>조사 Agent R7가 조사 N 작성. 발표 Agent P7가 D2 작성, 수정 Agent Q7가 D3 작성. 현재 P7는 접근 가능하며 발표 작성 capability 공개.</x:v>
      </x:c>
      <x:c r="E110" s="9" t="str">
        <x:v>D2=P7-G03-D2@v1; D3=P7-G03-D3@v1; N=P7-G03-N@v1</x:v>
      </x:c>
    </x:row>
    <x:row r="111" ht="50" customHeight="1">
      <x:c r="A111" s="9" t="str">
        <x:v>P7-G03-DISPLAY</x:v>
      </x:c>
      <x:c r="B111" s="9" t="str">
        <x:v>이든</x:v>
      </x:c>
      <x:c r="C111" s="9" t="str">
        <x:v>공통 표시 사실</x:v>
      </x:c>
      <x:c r="D111" s="9" t="str">
        <x:v>P7-G03-D2@v1와 P7-G03-D3@v1를 순서대로 실제 표시했다고 가정.</x:v>
      </x:c>
      <x:c r="E111" s="9" t="str">
        <x:v>P7-G03-D2@v1, P7-G03-D3@v1</x:v>
      </x:c>
    </x:row>
    <x:row r="112" ht="50" customHeight="1">
      <x:c r="A112" s="9" t="str">
        <x:v>P7-G03-F1</x:v>
      </x:c>
      <x:c r="B112" s="9" t="str">
        <x:v>이든</x:v>
      </x:c>
      <x:c r="C112" s="9" t="str">
        <x:v>합성 피드백 원문</x:v>
      </x:c>
      <x:c r="D112" s="9" t="str">
        <x:v>고객에게 보여줄 구성은 먼저 보여준 쪽이 좋고 내부 검토에는 나중에 본 수정본을 쓰자.</x:v>
      </x:c>
      <x:c r="E112" s="9" t="str">
        <x:v>P7-G03-D2@v1, P7-G03-D3@v1</x:v>
      </x:c>
    </x:row>
    <x:row r="113" ht="50" customHeight="1">
      <x:c r="A113" s="9" t="str">
        <x:v>P7-G03-NEW</x:v>
      </x:c>
      <x:c r="B113" s="9" t="str">
        <x:v>이든</x:v>
      </x:c>
      <x:c r="C113" s="9" t="str">
        <x:v>공통 신규 내용</x:v>
      </x:c>
      <x:c r="D113" s="9" t="str">
        <x:v>신규 조사 P7-G03-N@v1는 최신 수치의 출처. VIA는 공개 참조를 연결하고 내용 분석·발표 작성은 Downstream Agent에 위임.</x:v>
      </x:c>
      <x:c r="E113" s="9" t="str">
        <x:v>P7-G03-N@v1</x:v>
      </x:c>
    </x:row>
    <x:row r="114" ht="50" customHeight="1">
      <x:c r="A114" s="9" t="str">
        <x:v>P8-G03-EXEC</x:v>
      </x:c>
      <x:c r="B114" s="9" t="str">
        <x:v>라온</x:v>
      </x:c>
      <x:c r="C114" s="9" t="str">
        <x:v>공통 실행 사실</x:v>
      </x:c>
      <x:c r="D114" s="9" t="str">
        <x:v>조사 Agent R8가 조사 N 작성. 발표 Agent P8가 D2 작성, 수정 Agent Q8가 D3 작성. 현재 P8는 접근 가능하며 발표 작성 capability 공개.</x:v>
      </x:c>
      <x:c r="E114" s="9" t="str">
        <x:v>D2=P8-G03-D2@v1; D3=P8-G03-D3@v1; N=P8-G03-N@v1</x:v>
      </x:c>
    </x:row>
    <x:row r="115" ht="50" customHeight="1">
      <x:c r="A115" s="9" t="str">
        <x:v>P8-G03-DISPLAY</x:v>
      </x:c>
      <x:c r="B115" s="9" t="str">
        <x:v>라온</x:v>
      </x:c>
      <x:c r="C115" s="9" t="str">
        <x:v>공통 표시 사실</x:v>
      </x:c>
      <x:c r="D115" s="9" t="str">
        <x:v>P8-G03-D2@v1와 P8-G03-D3@v1를 순서대로 실제 표시했다고 가정.</x:v>
      </x:c>
      <x:c r="E115" s="9" t="str">
        <x:v>P8-G03-D2@v1, P8-G03-D3@v1</x:v>
      </x:c>
    </x:row>
    <x:row r="116" ht="50" customHeight="1">
      <x:c r="A116" s="9" t="str">
        <x:v>P8-G03-F1</x:v>
      </x:c>
      <x:c r="B116" s="9" t="str">
        <x:v>라온</x:v>
      </x:c>
      <x:c r="C116" s="9" t="str">
        <x:v>합성 피드백 원문</x:v>
      </x:c>
      <x:c r="D116" s="9" t="str">
        <x:v>고객에게 보여줄 구성은 먼저 보여준 쪽이 좋고 내부 검토에는 나중에 본 수정본을 쓰자.</x:v>
      </x:c>
      <x:c r="E116" s="9" t="str">
        <x:v>P8-G03-D2@v1, P8-G03-D3@v1</x:v>
      </x:c>
    </x:row>
    <x:row r="117" ht="50" customHeight="1">
      <x:c r="A117" s="9" t="str">
        <x:v>P8-G03-NEW</x:v>
      </x:c>
      <x:c r="B117" s="9" t="str">
        <x:v>라온</x:v>
      </x:c>
      <x:c r="C117" s="9" t="str">
        <x:v>공통 신규 내용</x:v>
      </x:c>
      <x:c r="D117" s="9" t="str">
        <x:v>신규 조사 P8-G03-N@v1는 최신 수치의 출처. VIA는 공개 참조를 연결하고 내용 분석·발표 작성은 Downstream Agent에 위임.</x:v>
      </x:c>
      <x:c r="E117" s="9" t="str">
        <x:v>P8-G03-N@v1</x:v>
      </x:c>
    </x:row>
    <x:row r="118" ht="50" customHeight="1">
      <x:c r="A118" s="9" t="str">
        <x:v>P9-G03-EXEC</x:v>
      </x:c>
      <x:c r="B118" s="9" t="str">
        <x:v>한결</x:v>
      </x:c>
      <x:c r="C118" s="9" t="str">
        <x:v>공통 실행 사실</x:v>
      </x:c>
      <x:c r="D118" s="9" t="str">
        <x:v>조사 Agent R9가 조사 N 작성. 발표 Agent P9가 D2 작성, 수정 Agent Q9가 D3 작성. 현재 P9는 접근 가능하며 발표 작성 capability 공개.</x:v>
      </x:c>
      <x:c r="E118" s="9" t="str">
        <x:v>D2=P9-G03-D2@v1; D3=P9-G03-D3@v1; N=P9-G03-N@v1</x:v>
      </x:c>
    </x:row>
    <x:row r="119" ht="50" customHeight="1">
      <x:c r="A119" s="9" t="str">
        <x:v>P9-G03-DISPLAY</x:v>
      </x:c>
      <x:c r="B119" s="9" t="str">
        <x:v>한결</x:v>
      </x:c>
      <x:c r="C119" s="9" t="str">
        <x:v>공통 표시 사실</x:v>
      </x:c>
      <x:c r="D119" s="9" t="str">
        <x:v>P9-G03-D2@v1와 P9-G03-D3@v1를 순서대로 실제 표시했다고 가정.</x:v>
      </x:c>
      <x:c r="E119" s="9" t="str">
        <x:v>P9-G03-D2@v1, P9-G03-D3@v1</x:v>
      </x:c>
    </x:row>
    <x:row r="120" ht="50" customHeight="1">
      <x:c r="A120" s="9" t="str">
        <x:v>P9-G03-F1</x:v>
      </x:c>
      <x:c r="B120" s="9" t="str">
        <x:v>한결</x:v>
      </x:c>
      <x:c r="C120" s="9" t="str">
        <x:v>합성 피드백 원문</x:v>
      </x:c>
      <x:c r="D120" s="9" t="str">
        <x:v>고객에게 보여줄 구성은 먼저 보여준 쪽이 좋고 내부 검토에는 나중에 본 수정본을 쓰자.</x:v>
      </x:c>
      <x:c r="E120" s="9" t="str">
        <x:v>P9-G03-D2@v1, P9-G03-D3@v1</x:v>
      </x:c>
    </x:row>
    <x:row r="121" ht="50" customHeight="1">
      <x:c r="A121" s="9" t="str">
        <x:v>P9-G03-NEW</x:v>
      </x:c>
      <x:c r="B121" s="9" t="str">
        <x:v>한결</x:v>
      </x:c>
      <x:c r="C121" s="9" t="str">
        <x:v>공통 신규 내용</x:v>
      </x:c>
      <x:c r="D121" s="9" t="str">
        <x:v>신규 조사 P9-G03-N@v1는 최신 수치의 출처. VIA는 공개 참조를 연결하고 내용 분석·발표 작성은 Downstream Agent에 위임.</x:v>
      </x:c>
      <x:c r="E121" s="9" t="str">
        <x:v>P9-G03-N@v1</x:v>
      </x:c>
    </x:row>
    <x:row r="122" ht="50" customHeight="1">
      <x:c r="A122" s="9" t="str">
        <x:v>P10-G03-EXEC</x:v>
      </x:c>
      <x:c r="B122" s="9" t="str">
        <x:v>온유</x:v>
      </x:c>
      <x:c r="C122" s="9" t="str">
        <x:v>공통 실행 사실</x:v>
      </x:c>
      <x:c r="D122" s="9" t="str">
        <x:v>조사 Agent R10가 조사 N 작성. 발표 Agent P10가 D2 작성, 수정 Agent Q10가 D3 작성. 현재 P10는 접근 가능하며 발표 작성 capability 공개.</x:v>
      </x:c>
      <x:c r="E122" s="9" t="str">
        <x:v>D2=P10-G03-D2@v1; D3=P10-G03-D3@v1; N=P10-G03-N@v1</x:v>
      </x:c>
    </x:row>
    <x:row r="123" ht="50" customHeight="1">
      <x:c r="A123" s="9" t="str">
        <x:v>P10-G03-DISPLAY</x:v>
      </x:c>
      <x:c r="B123" s="9" t="str">
        <x:v>온유</x:v>
      </x:c>
      <x:c r="C123" s="9" t="str">
        <x:v>공통 표시 사실</x:v>
      </x:c>
      <x:c r="D123" s="9" t="str">
        <x:v>P10-G03-D2@v1와 P10-G03-D3@v1를 순서대로 실제 표시했다고 가정.</x:v>
      </x:c>
      <x:c r="E123" s="9" t="str">
        <x:v>P10-G03-D2@v1, P10-G03-D3@v1</x:v>
      </x:c>
    </x:row>
    <x:row r="124" ht="50" customHeight="1">
      <x:c r="A124" s="9" t="str">
        <x:v>P10-G03-F1</x:v>
      </x:c>
      <x:c r="B124" s="9" t="str">
        <x:v>온유</x:v>
      </x:c>
      <x:c r="C124" s="9" t="str">
        <x:v>합성 피드백 원문</x:v>
      </x:c>
      <x:c r="D124" s="9" t="str">
        <x:v>고객에게 보여줄 구성은 먼저 보여준 쪽이 좋고 내부 검토에는 나중에 본 수정본을 쓰자.</x:v>
      </x:c>
      <x:c r="E124" s="9" t="str">
        <x:v>P10-G03-D2@v1, P10-G03-D3@v1</x:v>
      </x:c>
    </x:row>
    <x:row r="125" ht="50" customHeight="1">
      <x:c r="A125" s="9" t="str">
        <x:v>P10-G03-NEW</x:v>
      </x:c>
      <x:c r="B125" s="9" t="str">
        <x:v>온유</x:v>
      </x:c>
      <x:c r="C125" s="9" t="str">
        <x:v>공통 신규 내용</x:v>
      </x:c>
      <x:c r="D125" s="9" t="str">
        <x:v>신규 조사 P10-G03-N@v1는 최신 수치의 출처. VIA는 공개 참조를 연결하고 내용 분석·발표 작성은 Downstream Agent에 위임.</x:v>
      </x:c>
      <x:c r="E125" s="9" t="str">
        <x:v>P10-G03-N@v1</x:v>
      </x:c>
    </x:row>
    <x:row r="126" ht="50" customHeight="1">
      <x:c r="A126" s="9" t="str">
        <x:v>P1-G04-EXEC</x:v>
      </x:c>
      <x:c r="B126" s="9" t="str">
        <x:v>새봄</x:v>
      </x:c>
      <x:c r="C126" s="9" t="str">
        <x:v>공통 실행 사실</x:v>
      </x:c>
      <x:c r="D126" s="9" t="str">
        <x:v>조사 Agent R1가 조사 N 작성. 발표 Agent P1가 D2 작성, 수정 Agent Q1가 D3 작성. 현재 P1는 접근 가능하며 발표 작성 capability 공개.</x:v>
      </x:c>
      <x:c r="E126" s="9" t="str">
        <x:v>D2=P1-G04-D2@v1; D3=P1-G04-D3@v1; N=P1-G04-N@v1</x:v>
      </x:c>
    </x:row>
    <x:row r="127" ht="50" customHeight="1">
      <x:c r="A127" s="9" t="str">
        <x:v>P1-G04-DISPLAY</x:v>
      </x:c>
      <x:c r="B127" s="9" t="str">
        <x:v>새봄</x:v>
      </x:c>
      <x:c r="C127" s="9" t="str">
        <x:v>공통 표시 사실</x:v>
      </x:c>
      <x:c r="D127" s="9" t="str">
        <x:v>P1-G04-D2@v1만 표시 완료. P1-G04-D3@v1는 생성됐으나 아직 미표시.</x:v>
      </x:c>
      <x:c r="E127" s="9" t="str">
        <x:v>P1-G04-D2@v1, P1-G04-D3@v1</x:v>
      </x:c>
    </x:row>
    <x:row r="128" ht="50" customHeight="1">
      <x:c r="A128" s="9" t="str">
        <x:v>P1-G04-F1</x:v>
      </x:c>
      <x:c r="B128" s="9" t="str">
        <x:v>새봄</x:v>
      </x:c>
      <x:c r="C128" s="9" t="str">
        <x:v>합성 피드백 원문</x:v>
      </x:c>
      <x:c r="D128" s="9" t="str">
        <x:v>방금 본 쪽의 구성이 고객용으로 좋네.</x:v>
      </x:c>
      <x:c r="E128" s="9" t="str">
        <x:v>P1-G04-D2@v1, P1-G04-D3@v1</x:v>
      </x:c>
    </x:row>
    <x:row r="129" ht="50" customHeight="1">
      <x:c r="A129" s="9" t="str">
        <x:v>P1-G04-NEW</x:v>
      </x:c>
      <x:c r="B129" s="9" t="str">
        <x:v>새봄</x:v>
      </x:c>
      <x:c r="C129" s="9" t="str">
        <x:v>공통 신규 내용</x:v>
      </x:c>
      <x:c r="D129" s="9" t="str">
        <x:v>신규 조사 P1-G04-N@v1는 최신 수치의 출처. VIA는 공개 참조를 연결하고 내용 분석·발표 작성은 Downstream Agent에 위임.</x:v>
      </x:c>
      <x:c r="E129" s="9" t="str">
        <x:v>P1-G04-N@v1</x:v>
      </x:c>
    </x:row>
    <x:row r="130" ht="50" customHeight="1">
      <x:c r="A130" s="9" t="str">
        <x:v>P2-G04-EXEC</x:v>
      </x:c>
      <x:c r="B130" s="9" t="str">
        <x:v>해솔</x:v>
      </x:c>
      <x:c r="C130" s="9" t="str">
        <x:v>공통 실행 사실</x:v>
      </x:c>
      <x:c r="D130" s="9" t="str">
        <x:v>조사 Agent R2가 조사 N 작성. 발표 Agent P2가 D2 작성, 수정 Agent Q2가 D3 작성. 현재 P2는 접근 가능하며 발표 작성 capability 공개.</x:v>
      </x:c>
      <x:c r="E130" s="9" t="str">
        <x:v>D2=P2-G04-D2@v1; D3=P2-G04-D3@v1; N=P2-G04-N@v1</x:v>
      </x:c>
    </x:row>
    <x:row r="131" ht="50" customHeight="1">
      <x:c r="A131" s="9" t="str">
        <x:v>P2-G04-DISPLAY</x:v>
      </x:c>
      <x:c r="B131" s="9" t="str">
        <x:v>해솔</x:v>
      </x:c>
      <x:c r="C131" s="9" t="str">
        <x:v>공통 표시 사실</x:v>
      </x:c>
      <x:c r="D131" s="9" t="str">
        <x:v>P2-G04-D2@v1만 표시 완료. P2-G04-D3@v1는 생성됐으나 아직 미표시.</x:v>
      </x:c>
      <x:c r="E131" s="9" t="str">
        <x:v>P2-G04-D2@v1, P2-G04-D3@v1</x:v>
      </x:c>
    </x:row>
    <x:row r="132" ht="50" customHeight="1">
      <x:c r="A132" s="9" t="str">
        <x:v>P2-G04-F1</x:v>
      </x:c>
      <x:c r="B132" s="9" t="str">
        <x:v>해솔</x:v>
      </x:c>
      <x:c r="C132" s="9" t="str">
        <x:v>합성 피드백 원문</x:v>
      </x:c>
      <x:c r="D132" s="9" t="str">
        <x:v>방금 본 쪽의 구성이 고객용으로 좋네.</x:v>
      </x:c>
      <x:c r="E132" s="9" t="str">
        <x:v>P2-G04-D2@v1, P2-G04-D3@v1</x:v>
      </x:c>
    </x:row>
    <x:row r="133" ht="50" customHeight="1">
      <x:c r="A133" s="9" t="str">
        <x:v>P2-G04-NEW</x:v>
      </x:c>
      <x:c r="B133" s="9" t="str">
        <x:v>해솔</x:v>
      </x:c>
      <x:c r="C133" s="9" t="str">
        <x:v>공통 신규 내용</x:v>
      </x:c>
      <x:c r="D133" s="9" t="str">
        <x:v>신규 조사 P2-G04-N@v1는 최신 수치의 출처. VIA는 공개 참조를 연결하고 내용 분석·발표 작성은 Downstream Agent에 위임.</x:v>
      </x:c>
      <x:c r="E133" s="9" t="str">
        <x:v>P2-G04-N@v1</x:v>
      </x:c>
    </x:row>
    <x:row r="134" ht="50" customHeight="1">
      <x:c r="A134" s="9" t="str">
        <x:v>P3-G04-EXEC</x:v>
      </x:c>
      <x:c r="B134" s="9" t="str">
        <x:v>가온</x:v>
      </x:c>
      <x:c r="C134" s="9" t="str">
        <x:v>공통 실행 사실</x:v>
      </x:c>
      <x:c r="D134" s="9" t="str">
        <x:v>조사 Agent R3가 조사 N 작성. 발표 Agent P3가 D2 작성, 수정 Agent Q3가 D3 작성. 현재 P3는 접근 가능하며 발표 작성 capability 공개.</x:v>
      </x:c>
      <x:c r="E134" s="9" t="str">
        <x:v>D2=P3-G04-D2@v1; D3=P3-G04-D3@v1; N=P3-G04-N@v1</x:v>
      </x:c>
    </x:row>
    <x:row r="135" ht="50" customHeight="1">
      <x:c r="A135" s="9" t="str">
        <x:v>P3-G04-DISPLAY</x:v>
      </x:c>
      <x:c r="B135" s="9" t="str">
        <x:v>가온</x:v>
      </x:c>
      <x:c r="C135" s="9" t="str">
        <x:v>공통 표시 사실</x:v>
      </x:c>
      <x:c r="D135" s="9" t="str">
        <x:v>P3-G04-D2@v1만 표시 완료. P3-G04-D3@v1는 생성됐으나 아직 미표시.</x:v>
      </x:c>
      <x:c r="E135" s="9" t="str">
        <x:v>P3-G04-D2@v1, P3-G04-D3@v1</x:v>
      </x:c>
    </x:row>
    <x:row r="136" ht="50" customHeight="1">
      <x:c r="A136" s="9" t="str">
        <x:v>P3-G04-F1</x:v>
      </x:c>
      <x:c r="B136" s="9" t="str">
        <x:v>가온</x:v>
      </x:c>
      <x:c r="C136" s="9" t="str">
        <x:v>합성 피드백 원문</x:v>
      </x:c>
      <x:c r="D136" s="9" t="str">
        <x:v>방금 본 쪽의 구성이 고객용으로 좋네.</x:v>
      </x:c>
      <x:c r="E136" s="9" t="str">
        <x:v>P3-G04-D2@v1, P3-G04-D3@v1</x:v>
      </x:c>
    </x:row>
    <x:row r="137" ht="50" customHeight="1">
      <x:c r="A137" s="9" t="str">
        <x:v>P3-G04-NEW</x:v>
      </x:c>
      <x:c r="B137" s="9" t="str">
        <x:v>가온</x:v>
      </x:c>
      <x:c r="C137" s="9" t="str">
        <x:v>공통 신규 내용</x:v>
      </x:c>
      <x:c r="D137" s="9" t="str">
        <x:v>신규 조사 P3-G04-N@v1는 최신 수치의 출처. VIA는 공개 참조를 연결하고 내용 분석·발표 작성은 Downstream Agent에 위임.</x:v>
      </x:c>
      <x:c r="E137" s="9" t="str">
        <x:v>P3-G04-N@v1</x:v>
      </x:c>
    </x:row>
    <x:row r="138" ht="50" customHeight="1">
      <x:c r="A138" s="9" t="str">
        <x:v>P4-G04-EXEC</x:v>
      </x:c>
      <x:c r="B138" s="9" t="str">
        <x:v>누리</x:v>
      </x:c>
      <x:c r="C138" s="9" t="str">
        <x:v>공통 실행 사실</x:v>
      </x:c>
      <x:c r="D138" s="9" t="str">
        <x:v>조사 Agent R4가 조사 N 작성. 발표 Agent P4가 D2 작성, 수정 Agent Q4가 D3 작성. 현재 P4는 접근 가능하며 발표 작성 capability 공개.</x:v>
      </x:c>
      <x:c r="E138" s="9" t="str">
        <x:v>D2=P4-G04-D2@v1; D3=P4-G04-D3@v1; N=P4-G04-N@v1</x:v>
      </x:c>
    </x:row>
    <x:row r="139" ht="50" customHeight="1">
      <x:c r="A139" s="9" t="str">
        <x:v>P4-G04-DISPLAY</x:v>
      </x:c>
      <x:c r="B139" s="9" t="str">
        <x:v>누리</x:v>
      </x:c>
      <x:c r="C139" s="9" t="str">
        <x:v>공통 표시 사실</x:v>
      </x:c>
      <x:c r="D139" s="9" t="str">
        <x:v>P4-G04-D2@v1만 표시 완료. P4-G04-D3@v1는 생성됐으나 아직 미표시.</x:v>
      </x:c>
      <x:c r="E139" s="9" t="str">
        <x:v>P4-G04-D2@v1, P4-G04-D3@v1</x:v>
      </x:c>
    </x:row>
    <x:row r="140" ht="50" customHeight="1">
      <x:c r="A140" s="9" t="str">
        <x:v>P4-G04-F1</x:v>
      </x:c>
      <x:c r="B140" s="9" t="str">
        <x:v>누리</x:v>
      </x:c>
      <x:c r="C140" s="9" t="str">
        <x:v>합성 피드백 원문</x:v>
      </x:c>
      <x:c r="D140" s="9" t="str">
        <x:v>방금 본 쪽의 구성이 고객용으로 좋네.</x:v>
      </x:c>
      <x:c r="E140" s="9" t="str">
        <x:v>P4-G04-D2@v1, P4-G04-D3@v1</x:v>
      </x:c>
    </x:row>
    <x:row r="141" ht="50" customHeight="1">
      <x:c r="A141" s="9" t="str">
        <x:v>P4-G04-NEW</x:v>
      </x:c>
      <x:c r="B141" s="9" t="str">
        <x:v>누리</x:v>
      </x:c>
      <x:c r="C141" s="9" t="str">
        <x:v>공통 신규 내용</x:v>
      </x:c>
      <x:c r="D141" s="9" t="str">
        <x:v>신규 조사 P4-G04-N@v1는 최신 수치의 출처. VIA는 공개 참조를 연결하고 내용 분석·발표 작성은 Downstream Agent에 위임.</x:v>
      </x:c>
      <x:c r="E141" s="9" t="str">
        <x:v>P4-G04-N@v1</x:v>
      </x:c>
    </x:row>
    <x:row r="142" ht="50" customHeight="1">
      <x:c r="A142" s="9" t="str">
        <x:v>P5-G04-EXEC</x:v>
      </x:c>
      <x:c r="B142" s="9" t="str">
        <x:v>다온</x:v>
      </x:c>
      <x:c r="C142" s="9" t="str">
        <x:v>공통 실행 사실</x:v>
      </x:c>
      <x:c r="D142" s="9" t="str">
        <x:v>조사 Agent R5가 조사 N 작성. 발표 Agent P5가 D2 작성, 수정 Agent Q5가 D3 작성. 현재 P5는 접근 가능하며 발표 작성 capability 공개.</x:v>
      </x:c>
      <x:c r="E142" s="9" t="str">
        <x:v>D2=P5-G04-D2@v1; D3=P5-G04-D3@v1; N=P5-G04-N@v1</x:v>
      </x:c>
    </x:row>
    <x:row r="143" ht="50" customHeight="1">
      <x:c r="A143" s="9" t="str">
        <x:v>P5-G04-DISPLAY</x:v>
      </x:c>
      <x:c r="B143" s="9" t="str">
        <x:v>다온</x:v>
      </x:c>
      <x:c r="C143" s="9" t="str">
        <x:v>공통 표시 사실</x:v>
      </x:c>
      <x:c r="D143" s="9" t="str">
        <x:v>P5-G04-D2@v1만 표시 완료. P5-G04-D3@v1는 생성됐으나 아직 미표시.</x:v>
      </x:c>
      <x:c r="E143" s="9" t="str">
        <x:v>P5-G04-D2@v1, P5-G04-D3@v1</x:v>
      </x:c>
    </x:row>
    <x:row r="144" ht="50" customHeight="1">
      <x:c r="A144" s="9" t="str">
        <x:v>P5-G04-F1</x:v>
      </x:c>
      <x:c r="B144" s="9" t="str">
        <x:v>다온</x:v>
      </x:c>
      <x:c r="C144" s="9" t="str">
        <x:v>합성 피드백 원문</x:v>
      </x:c>
      <x:c r="D144" s="9" t="str">
        <x:v>방금 본 쪽의 구성이 고객용으로 좋네.</x:v>
      </x:c>
      <x:c r="E144" s="9" t="str">
        <x:v>P5-G04-D2@v1, P5-G04-D3@v1</x:v>
      </x:c>
    </x:row>
    <x:row r="145" ht="50" customHeight="1">
      <x:c r="A145" s="9" t="str">
        <x:v>P5-G04-NEW</x:v>
      </x:c>
      <x:c r="B145" s="9" t="str">
        <x:v>다온</x:v>
      </x:c>
      <x:c r="C145" s="9" t="str">
        <x:v>공통 신규 내용</x:v>
      </x:c>
      <x:c r="D145" s="9" t="str">
        <x:v>신규 조사 P5-G04-N@v1는 최신 수치의 출처. VIA는 공개 참조를 연결하고 내용 분석·발표 작성은 Downstream Agent에 위임.</x:v>
      </x:c>
      <x:c r="E145" s="9" t="str">
        <x:v>P5-G04-N@v1</x:v>
      </x:c>
    </x:row>
    <x:row r="146" ht="50" customHeight="1">
      <x:c r="A146" s="9" t="str">
        <x:v>P6-G04-EXEC</x:v>
      </x:c>
      <x:c r="B146" s="9" t="str">
        <x:v>마루</x:v>
      </x:c>
      <x:c r="C146" s="9" t="str">
        <x:v>공통 실행 사실</x:v>
      </x:c>
      <x:c r="D146" s="9" t="str">
        <x:v>조사 Agent R6가 조사 N 작성. 발표 Agent P6가 D2 작성, 수정 Agent Q6가 D3 작성. 현재 P6는 접근 가능하며 발표 작성 capability 공개.</x:v>
      </x:c>
      <x:c r="E146" s="9" t="str">
        <x:v>D2=P6-G04-D2@v1; D3=P6-G04-D3@v1; N=P6-G04-N@v1</x:v>
      </x:c>
    </x:row>
    <x:row r="147" ht="50" customHeight="1">
      <x:c r="A147" s="9" t="str">
        <x:v>P6-G04-DISPLAY</x:v>
      </x:c>
      <x:c r="B147" s="9" t="str">
        <x:v>마루</x:v>
      </x:c>
      <x:c r="C147" s="9" t="str">
        <x:v>공통 표시 사실</x:v>
      </x:c>
      <x:c r="D147" s="9" t="str">
        <x:v>P6-G04-D2@v1만 표시 완료. P6-G04-D3@v1는 생성됐으나 아직 미표시.</x:v>
      </x:c>
      <x:c r="E147" s="9" t="str">
        <x:v>P6-G04-D2@v1, P6-G04-D3@v1</x:v>
      </x:c>
    </x:row>
    <x:row r="148" ht="50" customHeight="1">
      <x:c r="A148" s="9" t="str">
        <x:v>P6-G04-F1</x:v>
      </x:c>
      <x:c r="B148" s="9" t="str">
        <x:v>마루</x:v>
      </x:c>
      <x:c r="C148" s="9" t="str">
        <x:v>합성 피드백 원문</x:v>
      </x:c>
      <x:c r="D148" s="9" t="str">
        <x:v>방금 본 쪽의 구성이 고객용으로 좋네.</x:v>
      </x:c>
      <x:c r="E148" s="9" t="str">
        <x:v>P6-G04-D2@v1, P6-G04-D3@v1</x:v>
      </x:c>
    </x:row>
    <x:row r="149" ht="50" customHeight="1">
      <x:c r="A149" s="9" t="str">
        <x:v>P6-G04-NEW</x:v>
      </x:c>
      <x:c r="B149" s="9" t="str">
        <x:v>마루</x:v>
      </x:c>
      <x:c r="C149" s="9" t="str">
        <x:v>공통 신규 내용</x:v>
      </x:c>
      <x:c r="D149" s="9" t="str">
        <x:v>신규 조사 P6-G04-N@v1는 최신 수치의 출처. VIA는 공개 참조를 연결하고 내용 분석·발표 작성은 Downstream Agent에 위임.</x:v>
      </x:c>
      <x:c r="E149" s="9" t="str">
        <x:v>P6-G04-N@v1</x:v>
      </x:c>
    </x:row>
    <x:row r="150" ht="50" customHeight="1">
      <x:c r="A150" s="9" t="str">
        <x:v>P7-G04-EXEC</x:v>
      </x:c>
      <x:c r="B150" s="9" t="str">
        <x:v>이든</x:v>
      </x:c>
      <x:c r="C150" s="9" t="str">
        <x:v>공통 실행 사실</x:v>
      </x:c>
      <x:c r="D150" s="9" t="str">
        <x:v>조사 Agent R7가 조사 N 작성. 발표 Agent P7가 D2 작성, 수정 Agent Q7가 D3 작성. 현재 P7는 접근 가능하며 발표 작성 capability 공개.</x:v>
      </x:c>
      <x:c r="E150" s="9" t="str">
        <x:v>D2=P7-G04-D2@v1; D3=P7-G04-D3@v1; N=P7-G04-N@v1</x:v>
      </x:c>
    </x:row>
    <x:row r="151" ht="50" customHeight="1">
      <x:c r="A151" s="9" t="str">
        <x:v>P7-G04-DISPLAY</x:v>
      </x:c>
      <x:c r="B151" s="9" t="str">
        <x:v>이든</x:v>
      </x:c>
      <x:c r="C151" s="9" t="str">
        <x:v>공통 표시 사실</x:v>
      </x:c>
      <x:c r="D151" s="9" t="str">
        <x:v>P7-G04-D2@v1만 표시 완료. P7-G04-D3@v1는 생성됐으나 아직 미표시.</x:v>
      </x:c>
      <x:c r="E151" s="9" t="str">
        <x:v>P7-G04-D2@v1, P7-G04-D3@v1</x:v>
      </x:c>
    </x:row>
    <x:row r="152" ht="50" customHeight="1">
      <x:c r="A152" s="9" t="str">
        <x:v>P7-G04-F1</x:v>
      </x:c>
      <x:c r="B152" s="9" t="str">
        <x:v>이든</x:v>
      </x:c>
      <x:c r="C152" s="9" t="str">
        <x:v>합성 피드백 원문</x:v>
      </x:c>
      <x:c r="D152" s="9" t="str">
        <x:v>방금 본 쪽의 구성이 고객용으로 좋네.</x:v>
      </x:c>
      <x:c r="E152" s="9" t="str">
        <x:v>P7-G04-D2@v1, P7-G04-D3@v1</x:v>
      </x:c>
    </x:row>
    <x:row r="153" ht="50" customHeight="1">
      <x:c r="A153" s="9" t="str">
        <x:v>P7-G04-NEW</x:v>
      </x:c>
      <x:c r="B153" s="9" t="str">
        <x:v>이든</x:v>
      </x:c>
      <x:c r="C153" s="9" t="str">
        <x:v>공통 신규 내용</x:v>
      </x:c>
      <x:c r="D153" s="9" t="str">
        <x:v>신규 조사 P7-G04-N@v1는 최신 수치의 출처. VIA는 공개 참조를 연결하고 내용 분석·발표 작성은 Downstream Agent에 위임.</x:v>
      </x:c>
      <x:c r="E153" s="9" t="str">
        <x:v>P7-G04-N@v1</x:v>
      </x:c>
    </x:row>
    <x:row r="154" ht="50" customHeight="1">
      <x:c r="A154" s="9" t="str">
        <x:v>P8-G04-EXEC</x:v>
      </x:c>
      <x:c r="B154" s="9" t="str">
        <x:v>라온</x:v>
      </x:c>
      <x:c r="C154" s="9" t="str">
        <x:v>공통 실행 사실</x:v>
      </x:c>
      <x:c r="D154" s="9" t="str">
        <x:v>조사 Agent R8가 조사 N 작성. 발표 Agent P8가 D2 작성, 수정 Agent Q8가 D3 작성. 현재 P8는 접근 가능하며 발표 작성 capability 공개.</x:v>
      </x:c>
      <x:c r="E154" s="9" t="str">
        <x:v>D2=P8-G04-D2@v1; D3=P8-G04-D3@v1; N=P8-G04-N@v1</x:v>
      </x:c>
    </x:row>
    <x:row r="155" ht="50" customHeight="1">
      <x:c r="A155" s="9" t="str">
        <x:v>P8-G04-DISPLAY</x:v>
      </x:c>
      <x:c r="B155" s="9" t="str">
        <x:v>라온</x:v>
      </x:c>
      <x:c r="C155" s="9" t="str">
        <x:v>공통 표시 사실</x:v>
      </x:c>
      <x:c r="D155" s="9" t="str">
        <x:v>P8-G04-D2@v1만 표시 완료. P8-G04-D3@v1는 생성됐으나 아직 미표시.</x:v>
      </x:c>
      <x:c r="E155" s="9" t="str">
        <x:v>P8-G04-D2@v1, P8-G04-D3@v1</x:v>
      </x:c>
    </x:row>
    <x:row r="156" ht="50" customHeight="1">
      <x:c r="A156" s="9" t="str">
        <x:v>P8-G04-F1</x:v>
      </x:c>
      <x:c r="B156" s="9" t="str">
        <x:v>라온</x:v>
      </x:c>
      <x:c r="C156" s="9" t="str">
        <x:v>합성 피드백 원문</x:v>
      </x:c>
      <x:c r="D156" s="9" t="str">
        <x:v>방금 본 쪽의 구성이 고객용으로 좋네.</x:v>
      </x:c>
      <x:c r="E156" s="9" t="str">
        <x:v>P8-G04-D2@v1, P8-G04-D3@v1</x:v>
      </x:c>
    </x:row>
    <x:row r="157" ht="50" customHeight="1">
      <x:c r="A157" s="9" t="str">
        <x:v>P8-G04-NEW</x:v>
      </x:c>
      <x:c r="B157" s="9" t="str">
        <x:v>라온</x:v>
      </x:c>
      <x:c r="C157" s="9" t="str">
        <x:v>공통 신규 내용</x:v>
      </x:c>
      <x:c r="D157" s="9" t="str">
        <x:v>신규 조사 P8-G04-N@v1는 최신 수치의 출처. VIA는 공개 참조를 연결하고 내용 분석·발표 작성은 Downstream Agent에 위임.</x:v>
      </x:c>
      <x:c r="E157" s="9" t="str">
        <x:v>P8-G04-N@v1</x:v>
      </x:c>
    </x:row>
    <x:row r="158" ht="50" customHeight="1">
      <x:c r="A158" s="9" t="str">
        <x:v>P9-G04-EXEC</x:v>
      </x:c>
      <x:c r="B158" s="9" t="str">
        <x:v>한결</x:v>
      </x:c>
      <x:c r="C158" s="9" t="str">
        <x:v>공통 실행 사실</x:v>
      </x:c>
      <x:c r="D158" s="9" t="str">
        <x:v>조사 Agent R9가 조사 N 작성. 발표 Agent P9가 D2 작성, 수정 Agent Q9가 D3 작성. 현재 P9는 접근 가능하며 발표 작성 capability 공개.</x:v>
      </x:c>
      <x:c r="E158" s="9" t="str">
        <x:v>D2=P9-G04-D2@v1; D3=P9-G04-D3@v1; N=P9-G04-N@v1</x:v>
      </x:c>
    </x:row>
    <x:row r="159" ht="50" customHeight="1">
      <x:c r="A159" s="9" t="str">
        <x:v>P9-G04-DISPLAY</x:v>
      </x:c>
      <x:c r="B159" s="9" t="str">
        <x:v>한결</x:v>
      </x:c>
      <x:c r="C159" s="9" t="str">
        <x:v>공통 표시 사실</x:v>
      </x:c>
      <x:c r="D159" s="9" t="str">
        <x:v>P9-G04-D2@v1만 표시 완료. P9-G04-D3@v1는 생성됐으나 아직 미표시.</x:v>
      </x:c>
      <x:c r="E159" s="9" t="str">
        <x:v>P9-G04-D2@v1, P9-G04-D3@v1</x:v>
      </x:c>
    </x:row>
    <x:row r="160" ht="50" customHeight="1">
      <x:c r="A160" s="9" t="str">
        <x:v>P9-G04-F1</x:v>
      </x:c>
      <x:c r="B160" s="9" t="str">
        <x:v>한결</x:v>
      </x:c>
      <x:c r="C160" s="9" t="str">
        <x:v>합성 피드백 원문</x:v>
      </x:c>
      <x:c r="D160" s="9" t="str">
        <x:v>방금 본 쪽의 구성이 고객용으로 좋네.</x:v>
      </x:c>
      <x:c r="E160" s="9" t="str">
        <x:v>P9-G04-D2@v1, P9-G04-D3@v1</x:v>
      </x:c>
    </x:row>
    <x:row r="161" ht="50" customHeight="1">
      <x:c r="A161" s="9" t="str">
        <x:v>P9-G04-NEW</x:v>
      </x:c>
      <x:c r="B161" s="9" t="str">
        <x:v>한결</x:v>
      </x:c>
      <x:c r="C161" s="9" t="str">
        <x:v>공통 신규 내용</x:v>
      </x:c>
      <x:c r="D161" s="9" t="str">
        <x:v>신규 조사 P9-G04-N@v1는 최신 수치의 출처. VIA는 공개 참조를 연결하고 내용 분석·발표 작성은 Downstream Agent에 위임.</x:v>
      </x:c>
      <x:c r="E161" s="9" t="str">
        <x:v>P9-G04-N@v1</x:v>
      </x:c>
    </x:row>
    <x:row r="162" ht="50" customHeight="1">
      <x:c r="A162" s="9" t="str">
        <x:v>P10-G04-EXEC</x:v>
      </x:c>
      <x:c r="B162" s="9" t="str">
        <x:v>온유</x:v>
      </x:c>
      <x:c r="C162" s="9" t="str">
        <x:v>공통 실행 사실</x:v>
      </x:c>
      <x:c r="D162" s="9" t="str">
        <x:v>조사 Agent R10가 조사 N 작성. 발표 Agent P10가 D2 작성, 수정 Agent Q10가 D3 작성. 현재 P10는 접근 가능하며 발표 작성 capability 공개.</x:v>
      </x:c>
      <x:c r="E162" s="9" t="str">
        <x:v>D2=P10-G04-D2@v1; D3=P10-G04-D3@v1; N=P10-G04-N@v1</x:v>
      </x:c>
    </x:row>
    <x:row r="163" ht="50" customHeight="1">
      <x:c r="A163" s="9" t="str">
        <x:v>P10-G04-DISPLAY</x:v>
      </x:c>
      <x:c r="B163" s="9" t="str">
        <x:v>온유</x:v>
      </x:c>
      <x:c r="C163" s="9" t="str">
        <x:v>공통 표시 사실</x:v>
      </x:c>
      <x:c r="D163" s="9" t="str">
        <x:v>P10-G04-D2@v1만 표시 완료. P10-G04-D3@v1는 생성됐으나 아직 미표시.</x:v>
      </x:c>
      <x:c r="E163" s="9" t="str">
        <x:v>P10-G04-D2@v1, P10-G04-D3@v1</x:v>
      </x:c>
    </x:row>
    <x:row r="164" ht="50" customHeight="1">
      <x:c r="A164" s="9" t="str">
        <x:v>P10-G04-F1</x:v>
      </x:c>
      <x:c r="B164" s="9" t="str">
        <x:v>온유</x:v>
      </x:c>
      <x:c r="C164" s="9" t="str">
        <x:v>합성 피드백 원문</x:v>
      </x:c>
      <x:c r="D164" s="9" t="str">
        <x:v>방금 본 쪽의 구성이 고객용으로 좋네.</x:v>
      </x:c>
      <x:c r="E164" s="9" t="str">
        <x:v>P10-G04-D2@v1, P10-G04-D3@v1</x:v>
      </x:c>
    </x:row>
    <x:row r="165" ht="50" customHeight="1">
      <x:c r="A165" s="9" t="str">
        <x:v>P10-G04-NEW</x:v>
      </x:c>
      <x:c r="B165" s="9" t="str">
        <x:v>온유</x:v>
      </x:c>
      <x:c r="C165" s="9" t="str">
        <x:v>공통 신규 내용</x:v>
      </x:c>
      <x:c r="D165" s="9" t="str">
        <x:v>신규 조사 P10-G04-N@v1는 최신 수치의 출처. VIA는 공개 참조를 연결하고 내용 분석·발표 작성은 Downstream Agent에 위임.</x:v>
      </x:c>
      <x:c r="E165" s="9" t="str">
        <x:v>P10-G04-N@v1</x:v>
      </x:c>
    </x:row>
    <x:row r="166" ht="50" customHeight="1">
      <x:c r="A166" s="9" t="str">
        <x:v>P1-G05-EXEC</x:v>
      </x:c>
      <x:c r="B166" s="9" t="str">
        <x:v>새봄</x:v>
      </x:c>
      <x:c r="C166" s="9" t="str">
        <x:v>공통 실행 사실</x:v>
      </x:c>
      <x:c r="D166" s="9" t="str">
        <x:v>조사 Agent R1가 조사 N 작성. 발표 Agent P1가 D2 작성, 수정 Agent Q1가 D3 작성. 현재 P1는 접근 가능하며 발표 작성 capability 공개.</x:v>
      </x:c>
      <x:c r="E166" s="9" t="str">
        <x:v>D2=P1-G05-D2@v1; D3=P1-G05-D3@v1; N=P1-G05-N@v1</x:v>
      </x:c>
    </x:row>
    <x:row r="167" ht="50" customHeight="1">
      <x:c r="A167" s="9" t="str">
        <x:v>P1-G05-DISPLAY</x:v>
      </x:c>
      <x:c r="B167" s="9" t="str">
        <x:v>새봄</x:v>
      </x:c>
      <x:c r="C167" s="9" t="str">
        <x:v>공통 표시 사실</x:v>
      </x:c>
      <x:c r="D167" s="9" t="str">
        <x:v>P1-G05-D2@v1와 P1-G05-D3@v1를 순서대로 실제 표시했다고 가정.</x:v>
      </x:c>
      <x:c r="E167" s="9" t="str">
        <x:v>P1-G05-D2@v1, P1-G05-D3@v1</x:v>
      </x:c>
    </x:row>
    <x:row r="168" ht="50" customHeight="1">
      <x:c r="A168" s="9" t="str">
        <x:v>P1-G05-F1</x:v>
      </x:c>
      <x:c r="B168" s="9" t="str">
        <x:v>새봄</x:v>
      </x:c>
      <x:c r="C168" s="9" t="str">
        <x:v>합성 피드백 원문</x:v>
      </x:c>
      <x:c r="D168" s="9" t="str">
        <x:v>먼저 보여준 쪽의 고객용 구성이 좋아.</x:v>
      </x:c>
      <x:c r="E168" s="9" t="str">
        <x:v>P1-G05-D2@v1, P1-G05-D3@v1</x:v>
      </x:c>
    </x:row>
    <x:row r="169" ht="50" customHeight="1">
      <x:c r="A169" s="9" t="str">
        <x:v>P1-G05-F2</x:v>
      </x:c>
      <x:c r="B169" s="9" t="str">
        <x:v>새봄</x:v>
      </x:c>
      <x:c r="C169" s="9" t="str">
        <x:v>합성 정정 원문</x:v>
      </x:c>
      <x:c r="D169" s="9" t="str">
        <x:v>처음 것이 좋다고 한 말을 정정할게. 고객용으로 쓰려던 구성은 나중에 보여준 수정본이야.</x:v>
      </x:c>
      <x:c r="E169" s="9" t="str">
        <x:v>P1-G05-D2@v1, P1-G05-D3@v1</x:v>
      </x:c>
    </x:row>
    <x:row r="170" ht="50" customHeight="1">
      <x:c r="A170" s="9" t="str">
        <x:v>P1-G05-NEW</x:v>
      </x:c>
      <x:c r="B170" s="9" t="str">
        <x:v>새봄</x:v>
      </x:c>
      <x:c r="C170" s="9" t="str">
        <x:v>공통 신규 내용</x:v>
      </x:c>
      <x:c r="D170" s="9" t="str">
        <x:v>신규 조사 P1-G05-N@v1는 최신 수치의 출처. VIA는 공개 참조를 연결하고 내용 분석·발표 작성은 Downstream Agent에 위임.</x:v>
      </x:c>
      <x:c r="E170" s="9" t="str">
        <x:v>P1-G05-N@v1</x:v>
      </x:c>
    </x:row>
    <x:row r="171" ht="50" customHeight="1">
      <x:c r="A171" s="9" t="str">
        <x:v>P2-G05-EXEC</x:v>
      </x:c>
      <x:c r="B171" s="9" t="str">
        <x:v>해솔</x:v>
      </x:c>
      <x:c r="C171" s="9" t="str">
        <x:v>공통 실행 사실</x:v>
      </x:c>
      <x:c r="D171" s="9" t="str">
        <x:v>조사 Agent R2가 조사 N 작성. 발표 Agent P2가 D2 작성, 수정 Agent Q2가 D3 작성. 현재 P2는 접근 가능하며 발표 작성 capability 공개.</x:v>
      </x:c>
      <x:c r="E171" s="9" t="str">
        <x:v>D2=P2-G05-D2@v1; D3=P2-G05-D3@v1; N=P2-G05-N@v1</x:v>
      </x:c>
    </x:row>
    <x:row r="172" ht="50" customHeight="1">
      <x:c r="A172" s="9" t="str">
        <x:v>P2-G05-DISPLAY</x:v>
      </x:c>
      <x:c r="B172" s="9" t="str">
        <x:v>해솔</x:v>
      </x:c>
      <x:c r="C172" s="9" t="str">
        <x:v>공통 표시 사실</x:v>
      </x:c>
      <x:c r="D172" s="9" t="str">
        <x:v>P2-G05-D2@v1와 P2-G05-D3@v1를 순서대로 실제 표시했다고 가정.</x:v>
      </x:c>
      <x:c r="E172" s="9" t="str">
        <x:v>P2-G05-D2@v1, P2-G05-D3@v1</x:v>
      </x:c>
    </x:row>
    <x:row r="173" ht="50" customHeight="1">
      <x:c r="A173" s="9" t="str">
        <x:v>P2-G05-F1</x:v>
      </x:c>
      <x:c r="B173" s="9" t="str">
        <x:v>해솔</x:v>
      </x:c>
      <x:c r="C173" s="9" t="str">
        <x:v>합성 피드백 원문</x:v>
      </x:c>
      <x:c r="D173" s="9" t="str">
        <x:v>먼저 보여준 쪽의 고객용 구성이 좋아.</x:v>
      </x:c>
      <x:c r="E173" s="9" t="str">
        <x:v>P2-G05-D2@v1, P2-G05-D3@v1</x:v>
      </x:c>
    </x:row>
    <x:row r="174" ht="50" customHeight="1">
      <x:c r="A174" s="9" t="str">
        <x:v>P2-G05-F2</x:v>
      </x:c>
      <x:c r="B174" s="9" t="str">
        <x:v>해솔</x:v>
      </x:c>
      <x:c r="C174" s="9" t="str">
        <x:v>합성 정정 원문</x:v>
      </x:c>
      <x:c r="D174" s="9" t="str">
        <x:v>처음 것이 좋다고 한 말을 정정할게. 고객용으로 쓰려던 구성은 나중에 보여준 수정본이야.</x:v>
      </x:c>
      <x:c r="E174" s="9" t="str">
        <x:v>P2-G05-D2@v1, P2-G05-D3@v1</x:v>
      </x:c>
    </x:row>
    <x:row r="175" ht="50" customHeight="1">
      <x:c r="A175" s="9" t="str">
        <x:v>P2-G05-NEW</x:v>
      </x:c>
      <x:c r="B175" s="9" t="str">
        <x:v>해솔</x:v>
      </x:c>
      <x:c r="C175" s="9" t="str">
        <x:v>공통 신규 내용</x:v>
      </x:c>
      <x:c r="D175" s="9" t="str">
        <x:v>신규 조사 P2-G05-N@v1는 최신 수치의 출처. VIA는 공개 참조를 연결하고 내용 분석·발표 작성은 Downstream Agent에 위임.</x:v>
      </x:c>
      <x:c r="E175" s="9" t="str">
        <x:v>P2-G05-N@v1</x:v>
      </x:c>
    </x:row>
    <x:row r="176" ht="50" customHeight="1">
      <x:c r="A176" s="9" t="str">
        <x:v>P3-G05-EXEC</x:v>
      </x:c>
      <x:c r="B176" s="9" t="str">
        <x:v>가온</x:v>
      </x:c>
      <x:c r="C176" s="9" t="str">
        <x:v>공통 실행 사실</x:v>
      </x:c>
      <x:c r="D176" s="9" t="str">
        <x:v>조사 Agent R3가 조사 N 작성. 발표 Agent P3가 D2 작성, 수정 Agent Q3가 D3 작성. 현재 P3는 접근 가능하며 발표 작성 capability 공개.</x:v>
      </x:c>
      <x:c r="E176" s="9" t="str">
        <x:v>D2=P3-G05-D2@v1; D3=P3-G05-D3@v1; N=P3-G05-N@v1</x:v>
      </x:c>
    </x:row>
    <x:row r="177" ht="50" customHeight="1">
      <x:c r="A177" s="9" t="str">
        <x:v>P3-G05-DISPLAY</x:v>
      </x:c>
      <x:c r="B177" s="9" t="str">
        <x:v>가온</x:v>
      </x:c>
      <x:c r="C177" s="9" t="str">
        <x:v>공통 표시 사실</x:v>
      </x:c>
      <x:c r="D177" s="9" t="str">
        <x:v>P3-G05-D2@v1와 P3-G05-D3@v1를 순서대로 실제 표시했다고 가정.</x:v>
      </x:c>
      <x:c r="E177" s="9" t="str">
        <x:v>P3-G05-D2@v1, P3-G05-D3@v1</x:v>
      </x:c>
    </x:row>
    <x:row r="178" ht="50" customHeight="1">
      <x:c r="A178" s="9" t="str">
        <x:v>P3-G05-F1</x:v>
      </x:c>
      <x:c r="B178" s="9" t="str">
        <x:v>가온</x:v>
      </x:c>
      <x:c r="C178" s="9" t="str">
        <x:v>합성 피드백 원문</x:v>
      </x:c>
      <x:c r="D178" s="9" t="str">
        <x:v>먼저 보여준 쪽의 고객용 구성이 좋아.</x:v>
      </x:c>
      <x:c r="E178" s="9" t="str">
        <x:v>P3-G05-D2@v1, P3-G05-D3@v1</x:v>
      </x:c>
    </x:row>
    <x:row r="179" ht="50" customHeight="1">
      <x:c r="A179" s="9" t="str">
        <x:v>P3-G05-F2</x:v>
      </x:c>
      <x:c r="B179" s="9" t="str">
        <x:v>가온</x:v>
      </x:c>
      <x:c r="C179" s="9" t="str">
        <x:v>합성 정정 원문</x:v>
      </x:c>
      <x:c r="D179" s="9" t="str">
        <x:v>처음 것이 좋다고 한 말을 정정할게. 고객용으로 쓰려던 구성은 나중에 보여준 수정본이야.</x:v>
      </x:c>
      <x:c r="E179" s="9" t="str">
        <x:v>P3-G05-D2@v1, P3-G05-D3@v1</x:v>
      </x:c>
    </x:row>
    <x:row r="180" ht="50" customHeight="1">
      <x:c r="A180" s="9" t="str">
        <x:v>P3-G05-NEW</x:v>
      </x:c>
      <x:c r="B180" s="9" t="str">
        <x:v>가온</x:v>
      </x:c>
      <x:c r="C180" s="9" t="str">
        <x:v>공통 신규 내용</x:v>
      </x:c>
      <x:c r="D180" s="9" t="str">
        <x:v>신규 조사 P3-G05-N@v1는 최신 수치의 출처. VIA는 공개 참조를 연결하고 내용 분석·발표 작성은 Downstream Agent에 위임.</x:v>
      </x:c>
      <x:c r="E180" s="9" t="str">
        <x:v>P3-G05-N@v1</x:v>
      </x:c>
    </x:row>
    <x:row r="181" ht="50" customHeight="1">
      <x:c r="A181" s="9" t="str">
        <x:v>P4-G05-EXEC</x:v>
      </x:c>
      <x:c r="B181" s="9" t="str">
        <x:v>누리</x:v>
      </x:c>
      <x:c r="C181" s="9" t="str">
        <x:v>공통 실행 사실</x:v>
      </x:c>
      <x:c r="D181" s="9" t="str">
        <x:v>조사 Agent R4가 조사 N 작성. 발표 Agent P4가 D2 작성, 수정 Agent Q4가 D3 작성. 현재 P4는 접근 가능하며 발표 작성 capability 공개.</x:v>
      </x:c>
      <x:c r="E181" s="9" t="str">
        <x:v>D2=P4-G05-D2@v1; D3=P4-G05-D3@v1; N=P4-G05-N@v1</x:v>
      </x:c>
    </x:row>
    <x:row r="182" ht="50" customHeight="1">
      <x:c r="A182" s="9" t="str">
        <x:v>P4-G05-DISPLAY</x:v>
      </x:c>
      <x:c r="B182" s="9" t="str">
        <x:v>누리</x:v>
      </x:c>
      <x:c r="C182" s="9" t="str">
        <x:v>공통 표시 사실</x:v>
      </x:c>
      <x:c r="D182" s="9" t="str">
        <x:v>P4-G05-D2@v1와 P4-G05-D3@v1를 순서대로 실제 표시했다고 가정.</x:v>
      </x:c>
      <x:c r="E182" s="9" t="str">
        <x:v>P4-G05-D2@v1, P4-G05-D3@v1</x:v>
      </x:c>
    </x:row>
    <x:row r="183" ht="50" customHeight="1">
      <x:c r="A183" s="9" t="str">
        <x:v>P4-G05-F1</x:v>
      </x:c>
      <x:c r="B183" s="9" t="str">
        <x:v>누리</x:v>
      </x:c>
      <x:c r="C183" s="9" t="str">
        <x:v>합성 피드백 원문</x:v>
      </x:c>
      <x:c r="D183" s="9" t="str">
        <x:v>먼저 보여준 쪽의 고객용 구성이 좋아.</x:v>
      </x:c>
      <x:c r="E183" s="9" t="str">
        <x:v>P4-G05-D2@v1, P4-G05-D3@v1</x:v>
      </x:c>
    </x:row>
    <x:row r="184" ht="50" customHeight="1">
      <x:c r="A184" s="9" t="str">
        <x:v>P4-G05-F2</x:v>
      </x:c>
      <x:c r="B184" s="9" t="str">
        <x:v>누리</x:v>
      </x:c>
      <x:c r="C184" s="9" t="str">
        <x:v>합성 정정 원문</x:v>
      </x:c>
      <x:c r="D184" s="9" t="str">
        <x:v>처음 것이 좋다고 한 말을 정정할게. 고객용으로 쓰려던 구성은 나중에 보여준 수정본이야.</x:v>
      </x:c>
      <x:c r="E184" s="9" t="str">
        <x:v>P4-G05-D2@v1, P4-G05-D3@v1</x:v>
      </x:c>
    </x:row>
    <x:row r="185" ht="50" customHeight="1">
      <x:c r="A185" s="9" t="str">
        <x:v>P4-G05-NEW</x:v>
      </x:c>
      <x:c r="B185" s="9" t="str">
        <x:v>누리</x:v>
      </x:c>
      <x:c r="C185" s="9" t="str">
        <x:v>공통 신규 내용</x:v>
      </x:c>
      <x:c r="D185" s="9" t="str">
        <x:v>신규 조사 P4-G05-N@v1는 최신 수치의 출처. VIA는 공개 참조를 연결하고 내용 분석·발표 작성은 Downstream Agent에 위임.</x:v>
      </x:c>
      <x:c r="E185" s="9" t="str">
        <x:v>P4-G05-N@v1</x:v>
      </x:c>
    </x:row>
    <x:row r="186" ht="50" customHeight="1">
      <x:c r="A186" s="9" t="str">
        <x:v>P5-G05-EXEC</x:v>
      </x:c>
      <x:c r="B186" s="9" t="str">
        <x:v>다온</x:v>
      </x:c>
      <x:c r="C186" s="9" t="str">
        <x:v>공통 실행 사실</x:v>
      </x:c>
      <x:c r="D186" s="9" t="str">
        <x:v>조사 Agent R5가 조사 N 작성. 발표 Agent P5가 D2 작성, 수정 Agent Q5가 D3 작성. 현재 P5는 접근 가능하며 발표 작성 capability 공개.</x:v>
      </x:c>
      <x:c r="E186" s="9" t="str">
        <x:v>D2=P5-G05-D2@v1; D3=P5-G05-D3@v1; N=P5-G05-N@v1</x:v>
      </x:c>
    </x:row>
    <x:row r="187" ht="50" customHeight="1">
      <x:c r="A187" s="9" t="str">
        <x:v>P5-G05-DISPLAY</x:v>
      </x:c>
      <x:c r="B187" s="9" t="str">
        <x:v>다온</x:v>
      </x:c>
      <x:c r="C187" s="9" t="str">
        <x:v>공통 표시 사실</x:v>
      </x:c>
      <x:c r="D187" s="9" t="str">
        <x:v>P5-G05-D2@v1와 P5-G05-D3@v1를 순서대로 실제 표시했다고 가정.</x:v>
      </x:c>
      <x:c r="E187" s="9" t="str">
        <x:v>P5-G05-D2@v1, P5-G05-D3@v1</x:v>
      </x:c>
    </x:row>
    <x:row r="188" ht="50" customHeight="1">
      <x:c r="A188" s="9" t="str">
        <x:v>P5-G05-F1</x:v>
      </x:c>
      <x:c r="B188" s="9" t="str">
        <x:v>다온</x:v>
      </x:c>
      <x:c r="C188" s="9" t="str">
        <x:v>합성 피드백 원문</x:v>
      </x:c>
      <x:c r="D188" s="9" t="str">
        <x:v>먼저 보여준 쪽의 고객용 구성이 좋아.</x:v>
      </x:c>
      <x:c r="E188" s="9" t="str">
        <x:v>P5-G05-D2@v1, P5-G05-D3@v1</x:v>
      </x:c>
    </x:row>
    <x:row r="189" ht="50" customHeight="1">
      <x:c r="A189" s="9" t="str">
        <x:v>P5-G05-F2</x:v>
      </x:c>
      <x:c r="B189" s="9" t="str">
        <x:v>다온</x:v>
      </x:c>
      <x:c r="C189" s="9" t="str">
        <x:v>합성 정정 원문</x:v>
      </x:c>
      <x:c r="D189" s="9" t="str">
        <x:v>처음 것이 좋다고 한 말을 정정할게. 고객용으로 쓰려던 구성은 나중에 보여준 수정본이야.</x:v>
      </x:c>
      <x:c r="E189" s="9" t="str">
        <x:v>P5-G05-D2@v1, P5-G05-D3@v1</x:v>
      </x:c>
    </x:row>
    <x:row r="190" ht="50" customHeight="1">
      <x:c r="A190" s="9" t="str">
        <x:v>P5-G05-NEW</x:v>
      </x:c>
      <x:c r="B190" s="9" t="str">
        <x:v>다온</x:v>
      </x:c>
      <x:c r="C190" s="9" t="str">
        <x:v>공통 신규 내용</x:v>
      </x:c>
      <x:c r="D190" s="9" t="str">
        <x:v>신규 조사 P5-G05-N@v1는 최신 수치의 출처. VIA는 공개 참조를 연결하고 내용 분석·발표 작성은 Downstream Agent에 위임.</x:v>
      </x:c>
      <x:c r="E190" s="9" t="str">
        <x:v>P5-G05-N@v1</x:v>
      </x:c>
    </x:row>
    <x:row r="191" ht="50" customHeight="1">
      <x:c r="A191" s="9" t="str">
        <x:v>P6-G05-EXEC</x:v>
      </x:c>
      <x:c r="B191" s="9" t="str">
        <x:v>마루</x:v>
      </x:c>
      <x:c r="C191" s="9" t="str">
        <x:v>공통 실행 사실</x:v>
      </x:c>
      <x:c r="D191" s="9" t="str">
        <x:v>조사 Agent R6가 조사 N 작성. 발표 Agent P6가 D2 작성, 수정 Agent Q6가 D3 작성. 현재 P6는 접근 가능하며 발표 작성 capability 공개.</x:v>
      </x:c>
      <x:c r="E191" s="9" t="str">
        <x:v>D2=P6-G05-D2@v1; D3=P6-G05-D3@v1; N=P6-G05-N@v1</x:v>
      </x:c>
    </x:row>
    <x:row r="192" ht="50" customHeight="1">
      <x:c r="A192" s="9" t="str">
        <x:v>P6-G05-DISPLAY</x:v>
      </x:c>
      <x:c r="B192" s="9" t="str">
        <x:v>마루</x:v>
      </x:c>
      <x:c r="C192" s="9" t="str">
        <x:v>공통 표시 사실</x:v>
      </x:c>
      <x:c r="D192" s="9" t="str">
        <x:v>P6-G05-D2@v1와 P6-G05-D3@v1를 순서대로 실제 표시했다고 가정.</x:v>
      </x:c>
      <x:c r="E192" s="9" t="str">
        <x:v>P6-G05-D2@v1, P6-G05-D3@v1</x:v>
      </x:c>
    </x:row>
    <x:row r="193" ht="50" customHeight="1">
      <x:c r="A193" s="9" t="str">
        <x:v>P6-G05-F1</x:v>
      </x:c>
      <x:c r="B193" s="9" t="str">
        <x:v>마루</x:v>
      </x:c>
      <x:c r="C193" s="9" t="str">
        <x:v>합성 피드백 원문</x:v>
      </x:c>
      <x:c r="D193" s="9" t="str">
        <x:v>먼저 보여준 쪽의 고객용 구성이 좋아.</x:v>
      </x:c>
      <x:c r="E193" s="9" t="str">
        <x:v>P6-G05-D2@v1, P6-G05-D3@v1</x:v>
      </x:c>
    </x:row>
    <x:row r="194" ht="50" customHeight="1">
      <x:c r="A194" s="9" t="str">
        <x:v>P6-G05-F2</x:v>
      </x:c>
      <x:c r="B194" s="9" t="str">
        <x:v>마루</x:v>
      </x:c>
      <x:c r="C194" s="9" t="str">
        <x:v>합성 정정 원문</x:v>
      </x:c>
      <x:c r="D194" s="9" t="str">
        <x:v>처음 것이 좋다고 한 말을 정정할게. 고객용으로 쓰려던 구성은 나중에 보여준 수정본이야.</x:v>
      </x:c>
      <x:c r="E194" s="9" t="str">
        <x:v>P6-G05-D2@v1, P6-G05-D3@v1</x:v>
      </x:c>
    </x:row>
    <x:row r="195" ht="50" customHeight="1">
      <x:c r="A195" s="9" t="str">
        <x:v>P6-G05-NEW</x:v>
      </x:c>
      <x:c r="B195" s="9" t="str">
        <x:v>마루</x:v>
      </x:c>
      <x:c r="C195" s="9" t="str">
        <x:v>공통 신규 내용</x:v>
      </x:c>
      <x:c r="D195" s="9" t="str">
        <x:v>신규 조사 P6-G05-N@v1는 최신 수치의 출처. VIA는 공개 참조를 연결하고 내용 분석·발표 작성은 Downstream Agent에 위임.</x:v>
      </x:c>
      <x:c r="E195" s="9" t="str">
        <x:v>P6-G05-N@v1</x:v>
      </x:c>
    </x:row>
    <x:row r="196" ht="50" customHeight="1">
      <x:c r="A196" s="9" t="str">
        <x:v>P7-G05-EXEC</x:v>
      </x:c>
      <x:c r="B196" s="9" t="str">
        <x:v>이든</x:v>
      </x:c>
      <x:c r="C196" s="9" t="str">
        <x:v>공통 실행 사실</x:v>
      </x:c>
      <x:c r="D196" s="9" t="str">
        <x:v>조사 Agent R7가 조사 N 작성. 발표 Agent P7가 D2 작성, 수정 Agent Q7가 D3 작성. 현재 P7는 접근 가능하며 발표 작성 capability 공개.</x:v>
      </x:c>
      <x:c r="E196" s="9" t="str">
        <x:v>D2=P7-G05-D2@v1; D3=P7-G05-D3@v1; N=P7-G05-N@v1</x:v>
      </x:c>
    </x:row>
    <x:row r="197" ht="50" customHeight="1">
      <x:c r="A197" s="9" t="str">
        <x:v>P7-G05-DISPLAY</x:v>
      </x:c>
      <x:c r="B197" s="9" t="str">
        <x:v>이든</x:v>
      </x:c>
      <x:c r="C197" s="9" t="str">
        <x:v>공통 표시 사실</x:v>
      </x:c>
      <x:c r="D197" s="9" t="str">
        <x:v>P7-G05-D2@v1와 P7-G05-D3@v1를 순서대로 실제 표시했다고 가정.</x:v>
      </x:c>
      <x:c r="E197" s="9" t="str">
        <x:v>P7-G05-D2@v1, P7-G05-D3@v1</x:v>
      </x:c>
    </x:row>
    <x:row r="198" ht="50" customHeight="1">
      <x:c r="A198" s="9" t="str">
        <x:v>P7-G05-F1</x:v>
      </x:c>
      <x:c r="B198" s="9" t="str">
        <x:v>이든</x:v>
      </x:c>
      <x:c r="C198" s="9" t="str">
        <x:v>합성 피드백 원문</x:v>
      </x:c>
      <x:c r="D198" s="9" t="str">
        <x:v>먼저 보여준 쪽의 고객용 구성이 좋아.</x:v>
      </x:c>
      <x:c r="E198" s="9" t="str">
        <x:v>P7-G05-D2@v1, P7-G05-D3@v1</x:v>
      </x:c>
    </x:row>
    <x:row r="199" ht="50" customHeight="1">
      <x:c r="A199" s="9" t="str">
        <x:v>P7-G05-F2</x:v>
      </x:c>
      <x:c r="B199" s="9" t="str">
        <x:v>이든</x:v>
      </x:c>
      <x:c r="C199" s="9" t="str">
        <x:v>합성 정정 원문</x:v>
      </x:c>
      <x:c r="D199" s="9" t="str">
        <x:v>처음 것이 좋다고 한 말을 정정할게. 고객용으로 쓰려던 구성은 나중에 보여준 수정본이야.</x:v>
      </x:c>
      <x:c r="E199" s="9" t="str">
        <x:v>P7-G05-D2@v1, P7-G05-D3@v1</x:v>
      </x:c>
    </x:row>
    <x:row r="200" ht="50" customHeight="1">
      <x:c r="A200" s="9" t="str">
        <x:v>P7-G05-NEW</x:v>
      </x:c>
      <x:c r="B200" s="9" t="str">
        <x:v>이든</x:v>
      </x:c>
      <x:c r="C200" s="9" t="str">
        <x:v>공통 신규 내용</x:v>
      </x:c>
      <x:c r="D200" s="9" t="str">
        <x:v>신규 조사 P7-G05-N@v1는 최신 수치의 출처. VIA는 공개 참조를 연결하고 내용 분석·발표 작성은 Downstream Agent에 위임.</x:v>
      </x:c>
      <x:c r="E200" s="9" t="str">
        <x:v>P7-G05-N@v1</x:v>
      </x:c>
    </x:row>
    <x:row r="201" ht="50" customHeight="1">
      <x:c r="A201" s="9" t="str">
        <x:v>P8-G05-EXEC</x:v>
      </x:c>
      <x:c r="B201" s="9" t="str">
        <x:v>라온</x:v>
      </x:c>
      <x:c r="C201" s="9" t="str">
        <x:v>공통 실행 사실</x:v>
      </x:c>
      <x:c r="D201" s="9" t="str">
        <x:v>조사 Agent R8가 조사 N 작성. 발표 Agent P8가 D2 작성, 수정 Agent Q8가 D3 작성. 현재 P8는 접근 가능하며 발표 작성 capability 공개.</x:v>
      </x:c>
      <x:c r="E201" s="9" t="str">
        <x:v>D2=P8-G05-D2@v1; D3=P8-G05-D3@v1; N=P8-G05-N@v1</x:v>
      </x:c>
    </x:row>
    <x:row r="202" ht="50" customHeight="1">
      <x:c r="A202" s="9" t="str">
        <x:v>P8-G05-DISPLAY</x:v>
      </x:c>
      <x:c r="B202" s="9" t="str">
        <x:v>라온</x:v>
      </x:c>
      <x:c r="C202" s="9" t="str">
        <x:v>공통 표시 사실</x:v>
      </x:c>
      <x:c r="D202" s="9" t="str">
        <x:v>P8-G05-D2@v1와 P8-G05-D3@v1를 순서대로 실제 표시했다고 가정.</x:v>
      </x:c>
      <x:c r="E202" s="9" t="str">
        <x:v>P8-G05-D2@v1, P8-G05-D3@v1</x:v>
      </x:c>
    </x:row>
    <x:row r="203" ht="50" customHeight="1">
      <x:c r="A203" s="9" t="str">
        <x:v>P8-G05-F1</x:v>
      </x:c>
      <x:c r="B203" s="9" t="str">
        <x:v>라온</x:v>
      </x:c>
      <x:c r="C203" s="9" t="str">
        <x:v>합성 피드백 원문</x:v>
      </x:c>
      <x:c r="D203" s="9" t="str">
        <x:v>먼저 보여준 쪽의 고객용 구성이 좋아.</x:v>
      </x:c>
      <x:c r="E203" s="9" t="str">
        <x:v>P8-G05-D2@v1, P8-G05-D3@v1</x:v>
      </x:c>
    </x:row>
    <x:row r="204" ht="50" customHeight="1">
      <x:c r="A204" s="9" t="str">
        <x:v>P8-G05-F2</x:v>
      </x:c>
      <x:c r="B204" s="9" t="str">
        <x:v>라온</x:v>
      </x:c>
      <x:c r="C204" s="9" t="str">
        <x:v>합성 정정 원문</x:v>
      </x:c>
      <x:c r="D204" s="9" t="str">
        <x:v>처음 것이 좋다고 한 말을 정정할게. 고객용으로 쓰려던 구성은 나중에 보여준 수정본이야.</x:v>
      </x:c>
      <x:c r="E204" s="9" t="str">
        <x:v>P8-G05-D2@v1, P8-G05-D3@v1</x:v>
      </x:c>
    </x:row>
    <x:row r="205" ht="50" customHeight="1">
      <x:c r="A205" s="9" t="str">
        <x:v>P8-G05-NEW</x:v>
      </x:c>
      <x:c r="B205" s="9" t="str">
        <x:v>라온</x:v>
      </x:c>
      <x:c r="C205" s="9" t="str">
        <x:v>공통 신규 내용</x:v>
      </x:c>
      <x:c r="D205" s="9" t="str">
        <x:v>신규 조사 P8-G05-N@v1는 최신 수치의 출처. VIA는 공개 참조를 연결하고 내용 분석·발표 작성은 Downstream Agent에 위임.</x:v>
      </x:c>
      <x:c r="E205" s="9" t="str">
        <x:v>P8-G05-N@v1</x:v>
      </x:c>
    </x:row>
    <x:row r="206" ht="50" customHeight="1">
      <x:c r="A206" s="9" t="str">
        <x:v>P9-G05-EXEC</x:v>
      </x:c>
      <x:c r="B206" s="9" t="str">
        <x:v>한결</x:v>
      </x:c>
      <x:c r="C206" s="9" t="str">
        <x:v>공통 실행 사실</x:v>
      </x:c>
      <x:c r="D206" s="9" t="str">
        <x:v>조사 Agent R9가 조사 N 작성. 발표 Agent P9가 D2 작성, 수정 Agent Q9가 D3 작성. 현재 P9는 접근 가능하며 발표 작성 capability 공개.</x:v>
      </x:c>
      <x:c r="E206" s="9" t="str">
        <x:v>D2=P9-G05-D2@v1; D3=P9-G05-D3@v1; N=P9-G05-N@v1</x:v>
      </x:c>
    </x:row>
    <x:row r="207" ht="50" customHeight="1">
      <x:c r="A207" s="9" t="str">
        <x:v>P9-G05-DISPLAY</x:v>
      </x:c>
      <x:c r="B207" s="9" t="str">
        <x:v>한결</x:v>
      </x:c>
      <x:c r="C207" s="9" t="str">
        <x:v>공통 표시 사실</x:v>
      </x:c>
      <x:c r="D207" s="9" t="str">
        <x:v>P9-G05-D2@v1와 P9-G05-D3@v1를 순서대로 실제 표시했다고 가정.</x:v>
      </x:c>
      <x:c r="E207" s="9" t="str">
        <x:v>P9-G05-D2@v1, P9-G05-D3@v1</x:v>
      </x:c>
    </x:row>
    <x:row r="208" ht="50" customHeight="1">
      <x:c r="A208" s="9" t="str">
        <x:v>P9-G05-F1</x:v>
      </x:c>
      <x:c r="B208" s="9" t="str">
        <x:v>한결</x:v>
      </x:c>
      <x:c r="C208" s="9" t="str">
        <x:v>합성 피드백 원문</x:v>
      </x:c>
      <x:c r="D208" s="9" t="str">
        <x:v>먼저 보여준 쪽의 고객용 구성이 좋아.</x:v>
      </x:c>
      <x:c r="E208" s="9" t="str">
        <x:v>P9-G05-D2@v1, P9-G05-D3@v1</x:v>
      </x:c>
    </x:row>
    <x:row r="209" ht="50" customHeight="1">
      <x:c r="A209" s="9" t="str">
        <x:v>P9-G05-F2</x:v>
      </x:c>
      <x:c r="B209" s="9" t="str">
        <x:v>한결</x:v>
      </x:c>
      <x:c r="C209" s="9" t="str">
        <x:v>합성 정정 원문</x:v>
      </x:c>
      <x:c r="D209" s="9" t="str">
        <x:v>처음 것이 좋다고 한 말을 정정할게. 고객용으로 쓰려던 구성은 나중에 보여준 수정본이야.</x:v>
      </x:c>
      <x:c r="E209" s="9" t="str">
        <x:v>P9-G05-D2@v1, P9-G05-D3@v1</x:v>
      </x:c>
    </x:row>
    <x:row r="210" ht="50" customHeight="1">
      <x:c r="A210" s="9" t="str">
        <x:v>P9-G05-NEW</x:v>
      </x:c>
      <x:c r="B210" s="9" t="str">
        <x:v>한결</x:v>
      </x:c>
      <x:c r="C210" s="9" t="str">
        <x:v>공통 신규 내용</x:v>
      </x:c>
      <x:c r="D210" s="9" t="str">
        <x:v>신규 조사 P9-G05-N@v1는 최신 수치의 출처. VIA는 공개 참조를 연결하고 내용 분석·발표 작성은 Downstream Agent에 위임.</x:v>
      </x:c>
      <x:c r="E210" s="9" t="str">
        <x:v>P9-G05-N@v1</x:v>
      </x:c>
    </x:row>
    <x:row r="211" ht="50" customHeight="1">
      <x:c r="A211" s="9" t="str">
        <x:v>P10-G05-EXEC</x:v>
      </x:c>
      <x:c r="B211" s="9" t="str">
        <x:v>온유</x:v>
      </x:c>
      <x:c r="C211" s="9" t="str">
        <x:v>공통 실행 사실</x:v>
      </x:c>
      <x:c r="D211" s="9" t="str">
        <x:v>조사 Agent R10가 조사 N 작성. 발표 Agent P10가 D2 작성, 수정 Agent Q10가 D3 작성. 현재 P10는 접근 가능하며 발표 작성 capability 공개.</x:v>
      </x:c>
      <x:c r="E211" s="9" t="str">
        <x:v>D2=P10-G05-D2@v1; D3=P10-G05-D3@v1; N=P10-G05-N@v1</x:v>
      </x:c>
    </x:row>
    <x:row r="212" ht="50" customHeight="1">
      <x:c r="A212" s="9" t="str">
        <x:v>P10-G05-DISPLAY</x:v>
      </x:c>
      <x:c r="B212" s="9" t="str">
        <x:v>온유</x:v>
      </x:c>
      <x:c r="C212" s="9" t="str">
        <x:v>공통 표시 사실</x:v>
      </x:c>
      <x:c r="D212" s="9" t="str">
        <x:v>P10-G05-D2@v1와 P10-G05-D3@v1를 순서대로 실제 표시했다고 가정.</x:v>
      </x:c>
      <x:c r="E212" s="9" t="str">
        <x:v>P10-G05-D2@v1, P10-G05-D3@v1</x:v>
      </x:c>
    </x:row>
    <x:row r="213" ht="50" customHeight="1">
      <x:c r="A213" s="9" t="str">
        <x:v>P10-G05-F1</x:v>
      </x:c>
      <x:c r="B213" s="9" t="str">
        <x:v>온유</x:v>
      </x:c>
      <x:c r="C213" s="9" t="str">
        <x:v>합성 피드백 원문</x:v>
      </x:c>
      <x:c r="D213" s="9" t="str">
        <x:v>먼저 보여준 쪽의 고객용 구성이 좋아.</x:v>
      </x:c>
      <x:c r="E213" s="9" t="str">
        <x:v>P10-G05-D2@v1, P10-G05-D3@v1</x:v>
      </x:c>
    </x:row>
    <x:row r="214" ht="50" customHeight="1">
      <x:c r="A214" s="9" t="str">
        <x:v>P10-G05-F2</x:v>
      </x:c>
      <x:c r="B214" s="9" t="str">
        <x:v>온유</x:v>
      </x:c>
      <x:c r="C214" s="9" t="str">
        <x:v>합성 정정 원문</x:v>
      </x:c>
      <x:c r="D214" s="9" t="str">
        <x:v>처음 것이 좋다고 한 말을 정정할게. 고객용으로 쓰려던 구성은 나중에 보여준 수정본이야.</x:v>
      </x:c>
      <x:c r="E214" s="9" t="str">
        <x:v>P10-G05-D2@v1, P10-G05-D3@v1</x:v>
      </x:c>
    </x:row>
    <x:row r="215" ht="50" customHeight="1">
      <x:c r="A215" s="9" t="str">
        <x:v>P10-G05-NEW</x:v>
      </x:c>
      <x:c r="B215" s="9" t="str">
        <x:v>온유</x:v>
      </x:c>
      <x:c r="C215" s="9" t="str">
        <x:v>공통 신규 내용</x:v>
      </x:c>
      <x:c r="D215" s="9" t="str">
        <x:v>신규 조사 P10-G05-N@v1는 최신 수치의 출처. VIA는 공개 참조를 연결하고 내용 분석·발표 작성은 Downstream Agent에 위임.</x:v>
      </x:c>
      <x:c r="E215" s="9" t="str">
        <x:v>P10-G05-N@v1</x:v>
      </x:c>
    </x:row>
    <x:row r="216" ht="50" customHeight="1">
      <x:c r="A216" s="9" t="str">
        <x:v>P1-G06-EXEC</x:v>
      </x:c>
      <x:c r="B216" s="9" t="str">
        <x:v>새봄</x:v>
      </x:c>
      <x:c r="C216" s="9" t="str">
        <x:v>공통 실행 사실</x:v>
      </x:c>
      <x:c r="D216" s="9" t="str">
        <x:v>조사 Agent R1가 조사 N 작성. 발표 Agent P1가 D2 작성, 수정 Agent Q1가 D3 작성. 현재 P1는 접근 가능하며 발표 작성 capability 공개.</x:v>
      </x:c>
      <x:c r="E216" s="9" t="str">
        <x:v>D2=P1-G06-D2@v1; D3=P1-G06-D3@v1; N=P1-G06-N@v1</x:v>
      </x:c>
    </x:row>
    <x:row r="217" ht="50" customHeight="1">
      <x:c r="A217" s="9" t="str">
        <x:v>P1-G06-DISPLAY</x:v>
      </x:c>
      <x:c r="B217" s="9" t="str">
        <x:v>새봄</x:v>
      </x:c>
      <x:c r="C217" s="9" t="str">
        <x:v>공통 표시 사실</x:v>
      </x:c>
      <x:c r="D217" s="9" t="str">
        <x:v>P1-G06-D2@v1와 P1-G06-D3@v1를 순서대로 실제 표시했다고 가정.</x:v>
      </x:c>
      <x:c r="E217" s="9" t="str">
        <x:v>P1-G06-D2@v1, P1-G06-D3@v1</x:v>
      </x:c>
    </x:row>
    <x:row r="218" ht="50" customHeight="1">
      <x:c r="A218" s="9" t="str">
        <x:v>P1-G06-F1</x:v>
      </x:c>
      <x:c r="B218" s="9" t="str">
        <x:v>새봄</x:v>
      </x:c>
      <x:c r="C218" s="9" t="str">
        <x:v>합성 피드백 원문</x:v>
      </x:c>
      <x:c r="D218" s="9" t="str">
        <x:v>고객에게 보여줄 구성은 먼저 보여준 쪽이 좋고 내부 검토에는 나중에 본 수정본을 쓰자.</x:v>
      </x:c>
      <x:c r="E218" s="9" t="str">
        <x:v>P1-G06-D2@v1, P1-G06-D3@v1</x:v>
      </x:c>
    </x:row>
    <x:row r="219" ht="50" customHeight="1">
      <x:c r="A219" s="9" t="str">
        <x:v>P1-G06-NEW</x:v>
      </x:c>
      <x:c r="B219" s="9" t="str">
        <x:v>새봄</x:v>
      </x:c>
      <x:c r="C219" s="9" t="str">
        <x:v>공통 신규 내용</x:v>
      </x:c>
      <x:c r="D219" s="9" t="str">
        <x:v>신규 조사 P1-G06-N@v1는 최신 수치의 출처. VIA는 공개 참조를 연결하고 내용 분석·발표 작성은 Downstream Agent에 위임.</x:v>
      </x:c>
      <x:c r="E219" s="9" t="str">
        <x:v>P1-G06-N@v1</x:v>
      </x:c>
    </x:row>
    <x:row r="220" ht="50" customHeight="1">
      <x:c r="A220" s="9" t="str">
        <x:v>P2-G06-EXEC</x:v>
      </x:c>
      <x:c r="B220" s="9" t="str">
        <x:v>해솔</x:v>
      </x:c>
      <x:c r="C220" s="9" t="str">
        <x:v>공통 실행 사실</x:v>
      </x:c>
      <x:c r="D220" s="9" t="str">
        <x:v>조사 Agent R2가 조사 N 작성. 발표 Agent P2가 D2 작성, 수정 Agent Q2가 D3 작성. 현재 P2는 접근 가능하며 발표 작성 capability 공개.</x:v>
      </x:c>
      <x:c r="E220" s="9" t="str">
        <x:v>D2=P2-G06-D2@v1; D3=P2-G06-D3@v1; N=P2-G06-N@v1</x:v>
      </x:c>
    </x:row>
    <x:row r="221" ht="50" customHeight="1">
      <x:c r="A221" s="9" t="str">
        <x:v>P2-G06-DISPLAY</x:v>
      </x:c>
      <x:c r="B221" s="9" t="str">
        <x:v>해솔</x:v>
      </x:c>
      <x:c r="C221" s="9" t="str">
        <x:v>공통 표시 사실</x:v>
      </x:c>
      <x:c r="D221" s="9" t="str">
        <x:v>P2-G06-D2@v1와 P2-G06-D3@v1를 순서대로 실제 표시했다고 가정.</x:v>
      </x:c>
      <x:c r="E221" s="9" t="str">
        <x:v>P2-G06-D2@v1, P2-G06-D3@v1</x:v>
      </x:c>
    </x:row>
    <x:row r="222" ht="50" customHeight="1">
      <x:c r="A222" s="9" t="str">
        <x:v>P2-G06-F1</x:v>
      </x:c>
      <x:c r="B222" s="9" t="str">
        <x:v>해솔</x:v>
      </x:c>
      <x:c r="C222" s="9" t="str">
        <x:v>합성 피드백 원문</x:v>
      </x:c>
      <x:c r="D222" s="9" t="str">
        <x:v>고객에게 보여줄 구성은 먼저 보여준 쪽이 좋고 내부 검토에는 나중에 본 수정본을 쓰자.</x:v>
      </x:c>
      <x:c r="E222" s="9" t="str">
        <x:v>P2-G06-D2@v1, P2-G06-D3@v1</x:v>
      </x:c>
    </x:row>
    <x:row r="223" ht="50" customHeight="1">
      <x:c r="A223" s="9" t="str">
        <x:v>P2-G06-NEW</x:v>
      </x:c>
      <x:c r="B223" s="9" t="str">
        <x:v>해솔</x:v>
      </x:c>
      <x:c r="C223" s="9" t="str">
        <x:v>공통 신규 내용</x:v>
      </x:c>
      <x:c r="D223" s="9" t="str">
        <x:v>신규 조사 P2-G06-N@v1는 최신 수치의 출처. VIA는 공개 참조를 연결하고 내용 분석·발표 작성은 Downstream Agent에 위임.</x:v>
      </x:c>
      <x:c r="E223" s="9" t="str">
        <x:v>P2-G06-N@v1</x:v>
      </x:c>
    </x:row>
    <x:row r="224" ht="50" customHeight="1">
      <x:c r="A224" s="9" t="str">
        <x:v>P3-G06-EXEC</x:v>
      </x:c>
      <x:c r="B224" s="9" t="str">
        <x:v>가온</x:v>
      </x:c>
      <x:c r="C224" s="9" t="str">
        <x:v>공통 실행 사실</x:v>
      </x:c>
      <x:c r="D224" s="9" t="str">
        <x:v>조사 Agent R3가 조사 N 작성. 발표 Agent P3가 D2 작성, 수정 Agent Q3가 D3 작성. 현재 P3는 접근 가능하며 발표 작성 capability 공개.</x:v>
      </x:c>
      <x:c r="E224" s="9" t="str">
        <x:v>D2=P3-G06-D2@v1; D3=P3-G06-D3@v1; N=P3-G06-N@v1</x:v>
      </x:c>
    </x:row>
    <x:row r="225" ht="50" customHeight="1">
      <x:c r="A225" s="9" t="str">
        <x:v>P3-G06-DISPLAY</x:v>
      </x:c>
      <x:c r="B225" s="9" t="str">
        <x:v>가온</x:v>
      </x:c>
      <x:c r="C225" s="9" t="str">
        <x:v>공통 표시 사실</x:v>
      </x:c>
      <x:c r="D225" s="9" t="str">
        <x:v>P3-G06-D2@v1와 P3-G06-D3@v1를 순서대로 실제 표시했다고 가정.</x:v>
      </x:c>
      <x:c r="E225" s="9" t="str">
        <x:v>P3-G06-D2@v1, P3-G06-D3@v1</x:v>
      </x:c>
    </x:row>
    <x:row r="226" ht="50" customHeight="1">
      <x:c r="A226" s="9" t="str">
        <x:v>P3-G06-F1</x:v>
      </x:c>
      <x:c r="B226" s="9" t="str">
        <x:v>가온</x:v>
      </x:c>
      <x:c r="C226" s="9" t="str">
        <x:v>합성 피드백 원문</x:v>
      </x:c>
      <x:c r="D226" s="9" t="str">
        <x:v>고객에게 보여줄 구성은 먼저 보여준 쪽이 좋고 내부 검토에는 나중에 본 수정본을 쓰자.</x:v>
      </x:c>
      <x:c r="E226" s="9" t="str">
        <x:v>P3-G06-D2@v1, P3-G06-D3@v1</x:v>
      </x:c>
    </x:row>
    <x:row r="227" ht="50" customHeight="1">
      <x:c r="A227" s="9" t="str">
        <x:v>P3-G06-NEW</x:v>
      </x:c>
      <x:c r="B227" s="9" t="str">
        <x:v>가온</x:v>
      </x:c>
      <x:c r="C227" s="9" t="str">
        <x:v>공통 신규 내용</x:v>
      </x:c>
      <x:c r="D227" s="9" t="str">
        <x:v>신규 조사 P3-G06-N@v1는 최신 수치의 출처. VIA는 공개 참조를 연결하고 내용 분석·발표 작성은 Downstream Agent에 위임.</x:v>
      </x:c>
      <x:c r="E227" s="9" t="str">
        <x:v>P3-G06-N@v1</x:v>
      </x:c>
    </x:row>
    <x:row r="228" ht="50" customHeight="1">
      <x:c r="A228" s="9" t="str">
        <x:v>P4-G06-EXEC</x:v>
      </x:c>
      <x:c r="B228" s="9" t="str">
        <x:v>누리</x:v>
      </x:c>
      <x:c r="C228" s="9" t="str">
        <x:v>공통 실행 사실</x:v>
      </x:c>
      <x:c r="D228" s="9" t="str">
        <x:v>조사 Agent R4가 조사 N 작성. 발표 Agent P4가 D2 작성, 수정 Agent Q4가 D3 작성. 현재 P4는 접근 가능하며 발표 작성 capability 공개.</x:v>
      </x:c>
      <x:c r="E228" s="9" t="str">
        <x:v>D2=P4-G06-D2@v1; D3=P4-G06-D3@v1; N=P4-G06-N@v1</x:v>
      </x:c>
    </x:row>
    <x:row r="229" ht="50" customHeight="1">
      <x:c r="A229" s="9" t="str">
        <x:v>P4-G06-DISPLAY</x:v>
      </x:c>
      <x:c r="B229" s="9" t="str">
        <x:v>누리</x:v>
      </x:c>
      <x:c r="C229" s="9" t="str">
        <x:v>공통 표시 사실</x:v>
      </x:c>
      <x:c r="D229" s="9" t="str">
        <x:v>P4-G06-D2@v1와 P4-G06-D3@v1를 순서대로 실제 표시했다고 가정.</x:v>
      </x:c>
      <x:c r="E229" s="9" t="str">
        <x:v>P4-G06-D2@v1, P4-G06-D3@v1</x:v>
      </x:c>
    </x:row>
    <x:row r="230" ht="50" customHeight="1">
      <x:c r="A230" s="9" t="str">
        <x:v>P4-G06-F1</x:v>
      </x:c>
      <x:c r="B230" s="9" t="str">
        <x:v>누리</x:v>
      </x:c>
      <x:c r="C230" s="9" t="str">
        <x:v>합성 피드백 원문</x:v>
      </x:c>
      <x:c r="D230" s="9" t="str">
        <x:v>고객에게 보여줄 구성은 먼저 보여준 쪽이 좋고 내부 검토에는 나중에 본 수정본을 쓰자.</x:v>
      </x:c>
      <x:c r="E230" s="9" t="str">
        <x:v>P4-G06-D2@v1, P4-G06-D3@v1</x:v>
      </x:c>
    </x:row>
    <x:row r="231" ht="50" customHeight="1">
      <x:c r="A231" s="9" t="str">
        <x:v>P4-G06-NEW</x:v>
      </x:c>
      <x:c r="B231" s="9" t="str">
        <x:v>누리</x:v>
      </x:c>
      <x:c r="C231" s="9" t="str">
        <x:v>공통 신규 내용</x:v>
      </x:c>
      <x:c r="D231" s="9" t="str">
        <x:v>신규 조사 P4-G06-N@v1는 최신 수치의 출처. VIA는 공개 참조를 연결하고 내용 분석·발표 작성은 Downstream Agent에 위임.</x:v>
      </x:c>
      <x:c r="E231" s="9" t="str">
        <x:v>P4-G06-N@v1</x:v>
      </x:c>
    </x:row>
    <x:row r="232" ht="50" customHeight="1">
      <x:c r="A232" s="9" t="str">
        <x:v>P5-G06-EXEC</x:v>
      </x:c>
      <x:c r="B232" s="9" t="str">
        <x:v>다온</x:v>
      </x:c>
      <x:c r="C232" s="9" t="str">
        <x:v>공통 실행 사실</x:v>
      </x:c>
      <x:c r="D232" s="9" t="str">
        <x:v>조사 Agent R5가 조사 N 작성. 발표 Agent P5가 D2 작성, 수정 Agent Q5가 D3 작성. 현재 P5는 접근 가능하며 발표 작성 capability 공개.</x:v>
      </x:c>
      <x:c r="E232" s="9" t="str">
        <x:v>D2=P5-G06-D2@v1; D3=P5-G06-D3@v1; N=P5-G06-N@v1</x:v>
      </x:c>
    </x:row>
    <x:row r="233" ht="50" customHeight="1">
      <x:c r="A233" s="9" t="str">
        <x:v>P5-G06-DISPLAY</x:v>
      </x:c>
      <x:c r="B233" s="9" t="str">
        <x:v>다온</x:v>
      </x:c>
      <x:c r="C233" s="9" t="str">
        <x:v>공통 표시 사실</x:v>
      </x:c>
      <x:c r="D233" s="9" t="str">
        <x:v>P5-G06-D2@v1와 P5-G06-D3@v1를 순서대로 실제 표시했다고 가정.</x:v>
      </x:c>
      <x:c r="E233" s="9" t="str">
        <x:v>P5-G06-D2@v1, P5-G06-D3@v1</x:v>
      </x:c>
    </x:row>
    <x:row r="234" ht="50" customHeight="1">
      <x:c r="A234" s="9" t="str">
        <x:v>P5-G06-F1</x:v>
      </x:c>
      <x:c r="B234" s="9" t="str">
        <x:v>다온</x:v>
      </x:c>
      <x:c r="C234" s="9" t="str">
        <x:v>합성 피드백 원문</x:v>
      </x:c>
      <x:c r="D234" s="9" t="str">
        <x:v>고객에게 보여줄 구성은 먼저 보여준 쪽이 좋고 내부 검토에는 나중에 본 수정본을 쓰자.</x:v>
      </x:c>
      <x:c r="E234" s="9" t="str">
        <x:v>P5-G06-D2@v1, P5-G06-D3@v1</x:v>
      </x:c>
    </x:row>
    <x:row r="235" ht="50" customHeight="1">
      <x:c r="A235" s="9" t="str">
        <x:v>P5-G06-NEW</x:v>
      </x:c>
      <x:c r="B235" s="9" t="str">
        <x:v>다온</x:v>
      </x:c>
      <x:c r="C235" s="9" t="str">
        <x:v>공통 신규 내용</x:v>
      </x:c>
      <x:c r="D235" s="9" t="str">
        <x:v>신규 조사 P5-G06-N@v1는 최신 수치의 출처. VIA는 공개 참조를 연결하고 내용 분석·발표 작성은 Downstream Agent에 위임.</x:v>
      </x:c>
      <x:c r="E235" s="9" t="str">
        <x:v>P5-G06-N@v1</x:v>
      </x:c>
    </x:row>
    <x:row r="236" ht="50" customHeight="1">
      <x:c r="A236" s="9" t="str">
        <x:v>P6-G06-EXEC</x:v>
      </x:c>
      <x:c r="B236" s="9" t="str">
        <x:v>마루</x:v>
      </x:c>
      <x:c r="C236" s="9" t="str">
        <x:v>공통 실행 사실</x:v>
      </x:c>
      <x:c r="D236" s="9" t="str">
        <x:v>조사 Agent R6가 조사 N 작성. 발표 Agent P6가 D2 작성, 수정 Agent Q6가 D3 작성. 현재 P6는 접근 가능하며 발표 작성 capability 공개.</x:v>
      </x:c>
      <x:c r="E236" s="9" t="str">
        <x:v>D2=P6-G06-D2@v1; D3=P6-G06-D3@v1; N=P6-G06-N@v1</x:v>
      </x:c>
    </x:row>
    <x:row r="237" ht="50" customHeight="1">
      <x:c r="A237" s="9" t="str">
        <x:v>P6-G06-DISPLAY</x:v>
      </x:c>
      <x:c r="B237" s="9" t="str">
        <x:v>마루</x:v>
      </x:c>
      <x:c r="C237" s="9" t="str">
        <x:v>공통 표시 사실</x:v>
      </x:c>
      <x:c r="D237" s="9" t="str">
        <x:v>P6-G06-D2@v1와 P6-G06-D3@v1를 순서대로 실제 표시했다고 가정.</x:v>
      </x:c>
      <x:c r="E237" s="9" t="str">
        <x:v>P6-G06-D2@v1, P6-G06-D3@v1</x:v>
      </x:c>
    </x:row>
    <x:row r="238" ht="50" customHeight="1">
      <x:c r="A238" s="9" t="str">
        <x:v>P6-G06-F1</x:v>
      </x:c>
      <x:c r="B238" s="9" t="str">
        <x:v>마루</x:v>
      </x:c>
      <x:c r="C238" s="9" t="str">
        <x:v>합성 피드백 원문</x:v>
      </x:c>
      <x:c r="D238" s="9" t="str">
        <x:v>고객에게 보여줄 구성은 먼저 보여준 쪽이 좋고 내부 검토에는 나중에 본 수정본을 쓰자.</x:v>
      </x:c>
      <x:c r="E238" s="9" t="str">
        <x:v>P6-G06-D2@v1, P6-G06-D3@v1</x:v>
      </x:c>
    </x:row>
    <x:row r="239" ht="50" customHeight="1">
      <x:c r="A239" s="9" t="str">
        <x:v>P6-G06-NEW</x:v>
      </x:c>
      <x:c r="B239" s="9" t="str">
        <x:v>마루</x:v>
      </x:c>
      <x:c r="C239" s="9" t="str">
        <x:v>공통 신규 내용</x:v>
      </x:c>
      <x:c r="D239" s="9" t="str">
        <x:v>신규 조사 P6-G06-N@v1는 최신 수치의 출처. VIA는 공개 참조를 연결하고 내용 분석·발표 작성은 Downstream Agent에 위임.</x:v>
      </x:c>
      <x:c r="E239" s="9" t="str">
        <x:v>P6-G06-N@v1</x:v>
      </x:c>
    </x:row>
    <x:row r="240" ht="50" customHeight="1">
      <x:c r="A240" s="9" t="str">
        <x:v>P7-G06-EXEC</x:v>
      </x:c>
      <x:c r="B240" s="9" t="str">
        <x:v>이든</x:v>
      </x:c>
      <x:c r="C240" s="9" t="str">
        <x:v>공통 실행 사실</x:v>
      </x:c>
      <x:c r="D240" s="9" t="str">
        <x:v>조사 Agent R7가 조사 N 작성. 발표 Agent P7가 D2 작성, 수정 Agent Q7가 D3 작성. 현재 P7는 접근 가능하며 발표 작성 capability 공개.</x:v>
      </x:c>
      <x:c r="E240" s="9" t="str">
        <x:v>D2=P7-G06-D2@v1; D3=P7-G06-D3@v1; N=P7-G06-N@v1</x:v>
      </x:c>
    </x:row>
    <x:row r="241" ht="50" customHeight="1">
      <x:c r="A241" s="9" t="str">
        <x:v>P7-G06-DISPLAY</x:v>
      </x:c>
      <x:c r="B241" s="9" t="str">
        <x:v>이든</x:v>
      </x:c>
      <x:c r="C241" s="9" t="str">
        <x:v>공통 표시 사실</x:v>
      </x:c>
      <x:c r="D241" s="9" t="str">
        <x:v>P7-G06-D2@v1와 P7-G06-D3@v1를 순서대로 실제 표시했다고 가정.</x:v>
      </x:c>
      <x:c r="E241" s="9" t="str">
        <x:v>P7-G06-D2@v1, P7-G06-D3@v1</x:v>
      </x:c>
    </x:row>
    <x:row r="242" ht="50" customHeight="1">
      <x:c r="A242" s="9" t="str">
        <x:v>P7-G06-F1</x:v>
      </x:c>
      <x:c r="B242" s="9" t="str">
        <x:v>이든</x:v>
      </x:c>
      <x:c r="C242" s="9" t="str">
        <x:v>합성 피드백 원문</x:v>
      </x:c>
      <x:c r="D242" s="9" t="str">
        <x:v>고객에게 보여줄 구성은 먼저 보여준 쪽이 좋고 내부 검토에는 나중에 본 수정본을 쓰자.</x:v>
      </x:c>
      <x:c r="E242" s="9" t="str">
        <x:v>P7-G06-D2@v1, P7-G06-D3@v1</x:v>
      </x:c>
    </x:row>
    <x:row r="243" ht="50" customHeight="1">
      <x:c r="A243" s="9" t="str">
        <x:v>P7-G06-NEW</x:v>
      </x:c>
      <x:c r="B243" s="9" t="str">
        <x:v>이든</x:v>
      </x:c>
      <x:c r="C243" s="9" t="str">
        <x:v>공통 신규 내용</x:v>
      </x:c>
      <x:c r="D243" s="9" t="str">
        <x:v>신규 조사 P7-G06-N@v1는 최신 수치의 출처. VIA는 공개 참조를 연결하고 내용 분석·발표 작성은 Downstream Agent에 위임.</x:v>
      </x:c>
      <x:c r="E243" s="9" t="str">
        <x:v>P7-G06-N@v1</x:v>
      </x:c>
    </x:row>
    <x:row r="244" ht="50" customHeight="1">
      <x:c r="A244" s="9" t="str">
        <x:v>P8-G06-EXEC</x:v>
      </x:c>
      <x:c r="B244" s="9" t="str">
        <x:v>라온</x:v>
      </x:c>
      <x:c r="C244" s="9" t="str">
        <x:v>공통 실행 사실</x:v>
      </x:c>
      <x:c r="D244" s="9" t="str">
        <x:v>조사 Agent R8가 조사 N 작성. 발표 Agent P8가 D2 작성, 수정 Agent Q8가 D3 작성. 현재 P8는 접근 가능하며 발표 작성 capability 공개.</x:v>
      </x:c>
      <x:c r="E244" s="9" t="str">
        <x:v>D2=P8-G06-D2@v1; D3=P8-G06-D3@v1; N=P8-G06-N@v1</x:v>
      </x:c>
    </x:row>
    <x:row r="245" ht="50" customHeight="1">
      <x:c r="A245" s="9" t="str">
        <x:v>P8-G06-DISPLAY</x:v>
      </x:c>
      <x:c r="B245" s="9" t="str">
        <x:v>라온</x:v>
      </x:c>
      <x:c r="C245" s="9" t="str">
        <x:v>공통 표시 사실</x:v>
      </x:c>
      <x:c r="D245" s="9" t="str">
        <x:v>P8-G06-D2@v1와 P8-G06-D3@v1를 순서대로 실제 표시했다고 가정.</x:v>
      </x:c>
      <x:c r="E245" s="9" t="str">
        <x:v>P8-G06-D2@v1, P8-G06-D3@v1</x:v>
      </x:c>
    </x:row>
    <x:row r="246" ht="50" customHeight="1">
      <x:c r="A246" s="9" t="str">
        <x:v>P8-G06-F1</x:v>
      </x:c>
      <x:c r="B246" s="9" t="str">
        <x:v>라온</x:v>
      </x:c>
      <x:c r="C246" s="9" t="str">
        <x:v>합성 피드백 원문</x:v>
      </x:c>
      <x:c r="D246" s="9" t="str">
        <x:v>고객에게 보여줄 구성은 먼저 보여준 쪽이 좋고 내부 검토에는 나중에 본 수정본을 쓰자.</x:v>
      </x:c>
      <x:c r="E246" s="9" t="str">
        <x:v>P8-G06-D2@v1, P8-G06-D3@v1</x:v>
      </x:c>
    </x:row>
    <x:row r="247" ht="50" customHeight="1">
      <x:c r="A247" s="9" t="str">
        <x:v>P8-G06-NEW</x:v>
      </x:c>
      <x:c r="B247" s="9" t="str">
        <x:v>라온</x:v>
      </x:c>
      <x:c r="C247" s="9" t="str">
        <x:v>공통 신규 내용</x:v>
      </x:c>
      <x:c r="D247" s="9" t="str">
        <x:v>신규 조사 P8-G06-N@v1는 최신 수치의 출처. VIA는 공개 참조를 연결하고 내용 분석·발표 작성은 Downstream Agent에 위임.</x:v>
      </x:c>
      <x:c r="E247" s="9" t="str">
        <x:v>P8-G06-N@v1</x:v>
      </x:c>
    </x:row>
    <x:row r="248" ht="50" customHeight="1">
      <x:c r="A248" s="9" t="str">
        <x:v>P9-G06-EXEC</x:v>
      </x:c>
      <x:c r="B248" s="9" t="str">
        <x:v>한결</x:v>
      </x:c>
      <x:c r="C248" s="9" t="str">
        <x:v>공통 실행 사실</x:v>
      </x:c>
      <x:c r="D248" s="9" t="str">
        <x:v>조사 Agent R9가 조사 N 작성. 발표 Agent P9가 D2 작성, 수정 Agent Q9가 D3 작성. 현재 P9는 접근 가능하며 발표 작성 capability 공개.</x:v>
      </x:c>
      <x:c r="E248" s="9" t="str">
        <x:v>D2=P9-G06-D2@v1; D3=P9-G06-D3@v1; N=P9-G06-N@v1</x:v>
      </x:c>
    </x:row>
    <x:row r="249" ht="50" customHeight="1">
      <x:c r="A249" s="9" t="str">
        <x:v>P9-G06-DISPLAY</x:v>
      </x:c>
      <x:c r="B249" s="9" t="str">
        <x:v>한결</x:v>
      </x:c>
      <x:c r="C249" s="9" t="str">
        <x:v>공통 표시 사실</x:v>
      </x:c>
      <x:c r="D249" s="9" t="str">
        <x:v>P9-G06-D2@v1와 P9-G06-D3@v1를 순서대로 실제 표시했다고 가정.</x:v>
      </x:c>
      <x:c r="E249" s="9" t="str">
        <x:v>P9-G06-D2@v1, P9-G06-D3@v1</x:v>
      </x:c>
    </x:row>
    <x:row r="250" ht="50" customHeight="1">
      <x:c r="A250" s="9" t="str">
        <x:v>P9-G06-F1</x:v>
      </x:c>
      <x:c r="B250" s="9" t="str">
        <x:v>한결</x:v>
      </x:c>
      <x:c r="C250" s="9" t="str">
        <x:v>합성 피드백 원문</x:v>
      </x:c>
      <x:c r="D250" s="9" t="str">
        <x:v>고객에게 보여줄 구성은 먼저 보여준 쪽이 좋고 내부 검토에는 나중에 본 수정본을 쓰자.</x:v>
      </x:c>
      <x:c r="E250" s="9" t="str">
        <x:v>P9-G06-D2@v1, P9-G06-D3@v1</x:v>
      </x:c>
    </x:row>
    <x:row r="251" ht="50" customHeight="1">
      <x:c r="A251" s="9" t="str">
        <x:v>P9-G06-NEW</x:v>
      </x:c>
      <x:c r="B251" s="9" t="str">
        <x:v>한결</x:v>
      </x:c>
      <x:c r="C251" s="9" t="str">
        <x:v>공통 신규 내용</x:v>
      </x:c>
      <x:c r="D251" s="9" t="str">
        <x:v>신규 조사 P9-G06-N@v1는 최신 수치의 출처. VIA는 공개 참조를 연결하고 내용 분석·발표 작성은 Downstream Agent에 위임.</x:v>
      </x:c>
      <x:c r="E251" s="9" t="str">
        <x:v>P9-G06-N@v1</x:v>
      </x:c>
    </x:row>
    <x:row r="252" ht="50" customHeight="1">
      <x:c r="A252" s="9" t="str">
        <x:v>P10-G06-EXEC</x:v>
      </x:c>
      <x:c r="B252" s="9" t="str">
        <x:v>온유</x:v>
      </x:c>
      <x:c r="C252" s="9" t="str">
        <x:v>공통 실행 사실</x:v>
      </x:c>
      <x:c r="D252" s="9" t="str">
        <x:v>조사 Agent R10가 조사 N 작성. 발표 Agent P10가 D2 작성, 수정 Agent Q10가 D3 작성. 현재 P10는 접근 가능하며 발표 작성 capability 공개.</x:v>
      </x:c>
      <x:c r="E252" s="9" t="str">
        <x:v>D2=P10-G06-D2@v1; D3=P10-G06-D3@v1; N=P10-G06-N@v1</x:v>
      </x:c>
    </x:row>
    <x:row r="253" ht="50" customHeight="1">
      <x:c r="A253" s="9" t="str">
        <x:v>P10-G06-DISPLAY</x:v>
      </x:c>
      <x:c r="B253" s="9" t="str">
        <x:v>온유</x:v>
      </x:c>
      <x:c r="C253" s="9" t="str">
        <x:v>공통 표시 사실</x:v>
      </x:c>
      <x:c r="D253" s="9" t="str">
        <x:v>P10-G06-D2@v1와 P10-G06-D3@v1를 순서대로 실제 표시했다고 가정.</x:v>
      </x:c>
      <x:c r="E253" s="9" t="str">
        <x:v>P10-G06-D2@v1, P10-G06-D3@v1</x:v>
      </x:c>
    </x:row>
    <x:row r="254" ht="50" customHeight="1">
      <x:c r="A254" s="9" t="str">
        <x:v>P10-G06-F1</x:v>
      </x:c>
      <x:c r="B254" s="9" t="str">
        <x:v>온유</x:v>
      </x:c>
      <x:c r="C254" s="9" t="str">
        <x:v>합성 피드백 원문</x:v>
      </x:c>
      <x:c r="D254" s="9" t="str">
        <x:v>고객에게 보여줄 구성은 먼저 보여준 쪽이 좋고 내부 검토에는 나중에 본 수정본을 쓰자.</x:v>
      </x:c>
      <x:c r="E254" s="9" t="str">
        <x:v>P10-G06-D2@v1, P10-G06-D3@v1</x:v>
      </x:c>
    </x:row>
    <x:row r="255" ht="50" customHeight="1">
      <x:c r="A255" s="9" t="str">
        <x:v>P10-G06-NEW</x:v>
      </x:c>
      <x:c r="B255" s="9" t="str">
        <x:v>온유</x:v>
      </x:c>
      <x:c r="C255" s="9" t="str">
        <x:v>공통 신규 내용</x:v>
      </x:c>
      <x:c r="D255" s="9" t="str">
        <x:v>신규 조사 P10-G06-N@v1는 최신 수치의 출처. VIA는 공개 참조를 연결하고 내용 분석·발표 작성은 Downstream Agent에 위임.</x:v>
      </x:c>
      <x:c r="E255" s="9" t="str">
        <x:v>P10-G06-N@v1</x:v>
      </x:c>
    </x:row>
    <x:row r="256" ht="50" customHeight="1">
      <x:c r="A256" s="9" t="str">
        <x:v>P1-G07-EXEC</x:v>
      </x:c>
      <x:c r="B256" s="9" t="str">
        <x:v>새봄</x:v>
      </x:c>
      <x:c r="C256" s="9" t="str">
        <x:v>공통 실행 사실</x:v>
      </x:c>
      <x:c r="D256" s="9" t="str">
        <x:v>조사 Agent R1가 조사 N 작성. 발표 Agent P1가 D2 작성, 수정 Agent Q1가 D3 작성. 현재 P1는 접근 가능하며 발표 작성 capability 공개.</x:v>
      </x:c>
      <x:c r="E256" s="9" t="str">
        <x:v>D2=P1-G07-D2@v1; D3=P1-G07-D3@v1; N=P1-G07-N@v1</x:v>
      </x:c>
    </x:row>
    <x:row r="257" ht="50" customHeight="1">
      <x:c r="A257" s="9" t="str">
        <x:v>P1-G07-DISPLAY</x:v>
      </x:c>
      <x:c r="B257" s="9" t="str">
        <x:v>새봄</x:v>
      </x:c>
      <x:c r="C257" s="9" t="str">
        <x:v>공통 표시 사실</x:v>
      </x:c>
      <x:c r="D257" s="9" t="str">
        <x:v>P1-G07-D2@v1와 P1-G07-D3@v1를 순서대로 실제 표시했다고 가정.</x:v>
      </x:c>
      <x:c r="E257" s="9" t="str">
        <x:v>P1-G07-D2@v1, P1-G07-D3@v1</x:v>
      </x:c>
    </x:row>
    <x:row r="258" ht="50" customHeight="1">
      <x:c r="A258" s="9" t="str">
        <x:v>P1-G07-F1</x:v>
      </x:c>
      <x:c r="B258" s="9" t="str">
        <x:v>새봄</x:v>
      </x:c>
      <x:c r="C258" s="9" t="str">
        <x:v>합성 피드백 원문</x:v>
      </x:c>
      <x:c r="D258" s="9" t="str">
        <x:v>먼저 보여준 쪽은 고객용 구성만 좋아. 가격과 문체는 그대로 쓰지 말고, P1는 이번 작업에만 맡긴 거야.</x:v>
      </x:c>
      <x:c r="E258" s="9" t="str">
        <x:v>P1-G07-D2@v1, P1-G07-D3@v1</x:v>
      </x:c>
    </x:row>
    <x:row r="259" ht="50" customHeight="1">
      <x:c r="A259" s="9" t="str">
        <x:v>P1-G07-NEW</x:v>
      </x:c>
      <x:c r="B259" s="9" t="str">
        <x:v>새봄</x:v>
      </x:c>
      <x:c r="C259" s="9" t="str">
        <x:v>공통 신규 내용</x:v>
      </x:c>
      <x:c r="D259" s="9" t="str">
        <x:v>신규 조사 P1-G07-N@v1는 최신 수치의 출처. VIA는 공개 참조를 연결하고 내용 분석·발표 작성은 Downstream Agent에 위임.</x:v>
      </x:c>
      <x:c r="E259" s="9" t="str">
        <x:v>P1-G07-N@v1</x:v>
      </x:c>
    </x:row>
    <x:row r="260" ht="50" customHeight="1">
      <x:c r="A260" s="9" t="str">
        <x:v>P2-G07-EXEC</x:v>
      </x:c>
      <x:c r="B260" s="9" t="str">
        <x:v>해솔</x:v>
      </x:c>
      <x:c r="C260" s="9" t="str">
        <x:v>공통 실행 사실</x:v>
      </x:c>
      <x:c r="D260" s="9" t="str">
        <x:v>조사 Agent R2가 조사 N 작성. 발표 Agent P2가 D2 작성, 수정 Agent Q2가 D3 작성. 현재 P2는 접근 가능하며 발표 작성 capability 공개.</x:v>
      </x:c>
      <x:c r="E260" s="9" t="str">
        <x:v>D2=P2-G07-D2@v1; D3=P2-G07-D3@v1; N=P2-G07-N@v1</x:v>
      </x:c>
    </x:row>
    <x:row r="261" ht="50" customHeight="1">
      <x:c r="A261" s="9" t="str">
        <x:v>P2-G07-DISPLAY</x:v>
      </x:c>
      <x:c r="B261" s="9" t="str">
        <x:v>해솔</x:v>
      </x:c>
      <x:c r="C261" s="9" t="str">
        <x:v>공통 표시 사실</x:v>
      </x:c>
      <x:c r="D261" s="9" t="str">
        <x:v>P2-G07-D2@v1와 P2-G07-D3@v1를 순서대로 실제 표시했다고 가정.</x:v>
      </x:c>
      <x:c r="E261" s="9" t="str">
        <x:v>P2-G07-D2@v1, P2-G07-D3@v1</x:v>
      </x:c>
    </x:row>
    <x:row r="262" ht="50" customHeight="1">
      <x:c r="A262" s="9" t="str">
        <x:v>P2-G07-F1</x:v>
      </x:c>
      <x:c r="B262" s="9" t="str">
        <x:v>해솔</x:v>
      </x:c>
      <x:c r="C262" s="9" t="str">
        <x:v>합성 피드백 원문</x:v>
      </x:c>
      <x:c r="D262" s="9" t="str">
        <x:v>먼저 보여준 쪽은 고객용 구성만 좋아. 가격과 문체는 그대로 쓰지 말고, P2는 이번 작업에만 맡긴 거야.</x:v>
      </x:c>
      <x:c r="E262" s="9" t="str">
        <x:v>P2-G07-D2@v1, P2-G07-D3@v1</x:v>
      </x:c>
    </x:row>
    <x:row r="263" ht="50" customHeight="1">
      <x:c r="A263" s="9" t="str">
        <x:v>P2-G07-NEW</x:v>
      </x:c>
      <x:c r="B263" s="9" t="str">
        <x:v>해솔</x:v>
      </x:c>
      <x:c r="C263" s="9" t="str">
        <x:v>공통 신규 내용</x:v>
      </x:c>
      <x:c r="D263" s="9" t="str">
        <x:v>신규 조사 P2-G07-N@v1는 최신 수치의 출처. VIA는 공개 참조를 연결하고 내용 분석·발표 작성은 Downstream Agent에 위임.</x:v>
      </x:c>
      <x:c r="E263" s="9" t="str">
        <x:v>P2-G07-N@v1</x:v>
      </x:c>
    </x:row>
    <x:row r="264" ht="50" customHeight="1">
      <x:c r="A264" s="9" t="str">
        <x:v>P3-G07-EXEC</x:v>
      </x:c>
      <x:c r="B264" s="9" t="str">
        <x:v>가온</x:v>
      </x:c>
      <x:c r="C264" s="9" t="str">
        <x:v>공통 실행 사실</x:v>
      </x:c>
      <x:c r="D264" s="9" t="str">
        <x:v>조사 Agent R3가 조사 N 작성. 발표 Agent P3가 D2 작성, 수정 Agent Q3가 D3 작성. 현재 P3는 접근 가능하며 발표 작성 capability 공개.</x:v>
      </x:c>
      <x:c r="E264" s="9" t="str">
        <x:v>D2=P3-G07-D2@v1; D3=P3-G07-D3@v1; N=P3-G07-N@v1</x:v>
      </x:c>
    </x:row>
    <x:row r="265" ht="50" customHeight="1">
      <x:c r="A265" s="9" t="str">
        <x:v>P3-G07-DISPLAY</x:v>
      </x:c>
      <x:c r="B265" s="9" t="str">
        <x:v>가온</x:v>
      </x:c>
      <x:c r="C265" s="9" t="str">
        <x:v>공통 표시 사실</x:v>
      </x:c>
      <x:c r="D265" s="9" t="str">
        <x:v>P3-G07-D2@v1와 P3-G07-D3@v1를 순서대로 실제 표시했다고 가정.</x:v>
      </x:c>
      <x:c r="E265" s="9" t="str">
        <x:v>P3-G07-D2@v1, P3-G07-D3@v1</x:v>
      </x:c>
    </x:row>
    <x:row r="266" ht="50" customHeight="1">
      <x:c r="A266" s="9" t="str">
        <x:v>P3-G07-F1</x:v>
      </x:c>
      <x:c r="B266" s="9" t="str">
        <x:v>가온</x:v>
      </x:c>
      <x:c r="C266" s="9" t="str">
        <x:v>합성 피드백 원문</x:v>
      </x:c>
      <x:c r="D266" s="9" t="str">
        <x:v>먼저 보여준 쪽은 고객용 구성만 좋아. 가격과 문체는 그대로 쓰지 말고, P3는 이번 작업에만 맡긴 거야.</x:v>
      </x:c>
      <x:c r="E266" s="9" t="str">
        <x:v>P3-G07-D2@v1, P3-G07-D3@v1</x:v>
      </x:c>
    </x:row>
    <x:row r="267" ht="50" customHeight="1">
      <x:c r="A267" s="9" t="str">
        <x:v>P3-G07-NEW</x:v>
      </x:c>
      <x:c r="B267" s="9" t="str">
        <x:v>가온</x:v>
      </x:c>
      <x:c r="C267" s="9" t="str">
        <x:v>공통 신규 내용</x:v>
      </x:c>
      <x:c r="D267" s="9" t="str">
        <x:v>신규 조사 P3-G07-N@v1는 최신 수치의 출처. VIA는 공개 참조를 연결하고 내용 분석·발표 작성은 Downstream Agent에 위임.</x:v>
      </x:c>
      <x:c r="E267" s="9" t="str">
        <x:v>P3-G07-N@v1</x:v>
      </x:c>
    </x:row>
    <x:row r="268" ht="50" customHeight="1">
      <x:c r="A268" s="9" t="str">
        <x:v>P4-G07-EXEC</x:v>
      </x:c>
      <x:c r="B268" s="9" t="str">
        <x:v>누리</x:v>
      </x:c>
      <x:c r="C268" s="9" t="str">
        <x:v>공통 실행 사실</x:v>
      </x:c>
      <x:c r="D268" s="9" t="str">
        <x:v>조사 Agent R4가 조사 N 작성. 발표 Agent P4가 D2 작성, 수정 Agent Q4가 D3 작성. 현재 P4는 접근 가능하며 발표 작성 capability 공개.</x:v>
      </x:c>
      <x:c r="E268" s="9" t="str">
        <x:v>D2=P4-G07-D2@v1; D3=P4-G07-D3@v1; N=P4-G07-N@v1</x:v>
      </x:c>
    </x:row>
    <x:row r="269" ht="50" customHeight="1">
      <x:c r="A269" s="9" t="str">
        <x:v>P4-G07-DISPLAY</x:v>
      </x:c>
      <x:c r="B269" s="9" t="str">
        <x:v>누리</x:v>
      </x:c>
      <x:c r="C269" s="9" t="str">
        <x:v>공통 표시 사실</x:v>
      </x:c>
      <x:c r="D269" s="9" t="str">
        <x:v>P4-G07-D2@v1와 P4-G07-D3@v1를 순서대로 실제 표시했다고 가정.</x:v>
      </x:c>
      <x:c r="E269" s="9" t="str">
        <x:v>P4-G07-D2@v1, P4-G07-D3@v1</x:v>
      </x:c>
    </x:row>
    <x:row r="270" ht="50" customHeight="1">
      <x:c r="A270" s="9" t="str">
        <x:v>P4-G07-F1</x:v>
      </x:c>
      <x:c r="B270" s="9" t="str">
        <x:v>누리</x:v>
      </x:c>
      <x:c r="C270" s="9" t="str">
        <x:v>합성 피드백 원문</x:v>
      </x:c>
      <x:c r="D270" s="9" t="str">
        <x:v>먼저 보여준 쪽은 고객용 구성만 좋아. 가격과 문체는 그대로 쓰지 말고, P4는 이번 작업에만 맡긴 거야.</x:v>
      </x:c>
      <x:c r="E270" s="9" t="str">
        <x:v>P4-G07-D2@v1, P4-G07-D3@v1</x:v>
      </x:c>
    </x:row>
    <x:row r="271" ht="50" customHeight="1">
      <x:c r="A271" s="9" t="str">
        <x:v>P4-G07-NEW</x:v>
      </x:c>
      <x:c r="B271" s="9" t="str">
        <x:v>누리</x:v>
      </x:c>
      <x:c r="C271" s="9" t="str">
        <x:v>공통 신규 내용</x:v>
      </x:c>
      <x:c r="D271" s="9" t="str">
        <x:v>신규 조사 P4-G07-N@v1는 최신 수치의 출처. VIA는 공개 참조를 연결하고 내용 분석·발표 작성은 Downstream Agent에 위임.</x:v>
      </x:c>
      <x:c r="E271" s="9" t="str">
        <x:v>P4-G07-N@v1</x:v>
      </x:c>
    </x:row>
    <x:row r="272" ht="50" customHeight="1">
      <x:c r="A272" s="9" t="str">
        <x:v>P5-G07-EXEC</x:v>
      </x:c>
      <x:c r="B272" s="9" t="str">
        <x:v>다온</x:v>
      </x:c>
      <x:c r="C272" s="9" t="str">
        <x:v>공통 실행 사실</x:v>
      </x:c>
      <x:c r="D272" s="9" t="str">
        <x:v>조사 Agent R5가 조사 N 작성. 발표 Agent P5가 D2 작성, 수정 Agent Q5가 D3 작성. 현재 P5는 접근 가능하며 발표 작성 capability 공개.</x:v>
      </x:c>
      <x:c r="E272" s="9" t="str">
        <x:v>D2=P5-G07-D2@v1; D3=P5-G07-D3@v1; N=P5-G07-N@v1</x:v>
      </x:c>
    </x:row>
    <x:row r="273" ht="50" customHeight="1">
      <x:c r="A273" s="9" t="str">
        <x:v>P5-G07-DISPLAY</x:v>
      </x:c>
      <x:c r="B273" s="9" t="str">
        <x:v>다온</x:v>
      </x:c>
      <x:c r="C273" s="9" t="str">
        <x:v>공통 표시 사실</x:v>
      </x:c>
      <x:c r="D273" s="9" t="str">
        <x:v>P5-G07-D2@v1와 P5-G07-D3@v1를 순서대로 실제 표시했다고 가정.</x:v>
      </x:c>
      <x:c r="E273" s="9" t="str">
        <x:v>P5-G07-D2@v1, P5-G07-D3@v1</x:v>
      </x:c>
    </x:row>
    <x:row r="274" ht="50" customHeight="1">
      <x:c r="A274" s="9" t="str">
        <x:v>P5-G07-F1</x:v>
      </x:c>
      <x:c r="B274" s="9" t="str">
        <x:v>다온</x:v>
      </x:c>
      <x:c r="C274" s="9" t="str">
        <x:v>합성 피드백 원문</x:v>
      </x:c>
      <x:c r="D274" s="9" t="str">
        <x:v>먼저 보여준 쪽은 고객용 구성만 좋아. 가격과 문체는 그대로 쓰지 말고, P5는 이번 작업에만 맡긴 거야.</x:v>
      </x:c>
      <x:c r="E274" s="9" t="str">
        <x:v>P5-G07-D2@v1, P5-G07-D3@v1</x:v>
      </x:c>
    </x:row>
    <x:row r="275" ht="50" customHeight="1">
      <x:c r="A275" s="9" t="str">
        <x:v>P5-G07-NEW</x:v>
      </x:c>
      <x:c r="B275" s="9" t="str">
        <x:v>다온</x:v>
      </x:c>
      <x:c r="C275" s="9" t="str">
        <x:v>공통 신규 내용</x:v>
      </x:c>
      <x:c r="D275" s="9" t="str">
        <x:v>신규 조사 P5-G07-N@v1는 최신 수치의 출처. VIA는 공개 참조를 연결하고 내용 분석·발표 작성은 Downstream Agent에 위임.</x:v>
      </x:c>
      <x:c r="E275" s="9" t="str">
        <x:v>P5-G07-N@v1</x:v>
      </x:c>
    </x:row>
    <x:row r="276" ht="50" customHeight="1">
      <x:c r="A276" s="9" t="str">
        <x:v>P6-G07-EXEC</x:v>
      </x:c>
      <x:c r="B276" s="9" t="str">
        <x:v>마루</x:v>
      </x:c>
      <x:c r="C276" s="9" t="str">
        <x:v>공통 실행 사실</x:v>
      </x:c>
      <x:c r="D276" s="9" t="str">
        <x:v>조사 Agent R6가 조사 N 작성. 발표 Agent P6가 D2 작성, 수정 Agent Q6가 D3 작성. 현재 P6는 접근 가능하며 발표 작성 capability 공개.</x:v>
      </x:c>
      <x:c r="E276" s="9" t="str">
        <x:v>D2=P6-G07-D2@v1; D3=P6-G07-D3@v1; N=P6-G07-N@v1</x:v>
      </x:c>
    </x:row>
    <x:row r="277" ht="50" customHeight="1">
      <x:c r="A277" s="9" t="str">
        <x:v>P6-G07-DISPLAY</x:v>
      </x:c>
      <x:c r="B277" s="9" t="str">
        <x:v>마루</x:v>
      </x:c>
      <x:c r="C277" s="9" t="str">
        <x:v>공통 표시 사실</x:v>
      </x:c>
      <x:c r="D277" s="9" t="str">
        <x:v>P6-G07-D2@v1와 P6-G07-D3@v1를 순서대로 실제 표시했다고 가정.</x:v>
      </x:c>
      <x:c r="E277" s="9" t="str">
        <x:v>P6-G07-D2@v1, P6-G07-D3@v1</x:v>
      </x:c>
    </x:row>
    <x:row r="278" ht="50" customHeight="1">
      <x:c r="A278" s="9" t="str">
        <x:v>P6-G07-F1</x:v>
      </x:c>
      <x:c r="B278" s="9" t="str">
        <x:v>마루</x:v>
      </x:c>
      <x:c r="C278" s="9" t="str">
        <x:v>합성 피드백 원문</x:v>
      </x:c>
      <x:c r="D278" s="9" t="str">
        <x:v>먼저 보여준 쪽은 고객용 구성만 좋아. 가격과 문체는 그대로 쓰지 말고, P6는 이번 작업에만 맡긴 거야.</x:v>
      </x:c>
      <x:c r="E278" s="9" t="str">
        <x:v>P6-G07-D2@v1, P6-G07-D3@v1</x:v>
      </x:c>
    </x:row>
    <x:row r="279" ht="50" customHeight="1">
      <x:c r="A279" s="9" t="str">
        <x:v>P6-G07-NEW</x:v>
      </x:c>
      <x:c r="B279" s="9" t="str">
        <x:v>마루</x:v>
      </x:c>
      <x:c r="C279" s="9" t="str">
        <x:v>공통 신규 내용</x:v>
      </x:c>
      <x:c r="D279" s="9" t="str">
        <x:v>신규 조사 P6-G07-N@v1는 최신 수치의 출처. VIA는 공개 참조를 연결하고 내용 분석·발표 작성은 Downstream Agent에 위임.</x:v>
      </x:c>
      <x:c r="E279" s="9" t="str">
        <x:v>P6-G07-N@v1</x:v>
      </x:c>
    </x:row>
    <x:row r="280" ht="50" customHeight="1">
      <x:c r="A280" s="9" t="str">
        <x:v>P7-G07-EXEC</x:v>
      </x:c>
      <x:c r="B280" s="9" t="str">
        <x:v>이든</x:v>
      </x:c>
      <x:c r="C280" s="9" t="str">
        <x:v>공통 실행 사실</x:v>
      </x:c>
      <x:c r="D280" s="9" t="str">
        <x:v>조사 Agent R7가 조사 N 작성. 발표 Agent P7가 D2 작성, 수정 Agent Q7가 D3 작성. 현재 P7는 접근 가능하며 발표 작성 capability 공개.</x:v>
      </x:c>
      <x:c r="E280" s="9" t="str">
        <x:v>D2=P7-G07-D2@v1; D3=P7-G07-D3@v1; N=P7-G07-N@v1</x:v>
      </x:c>
    </x:row>
    <x:row r="281" ht="50" customHeight="1">
      <x:c r="A281" s="9" t="str">
        <x:v>P7-G07-DISPLAY</x:v>
      </x:c>
      <x:c r="B281" s="9" t="str">
        <x:v>이든</x:v>
      </x:c>
      <x:c r="C281" s="9" t="str">
        <x:v>공통 표시 사실</x:v>
      </x:c>
      <x:c r="D281" s="9" t="str">
        <x:v>P7-G07-D2@v1와 P7-G07-D3@v1를 순서대로 실제 표시했다고 가정.</x:v>
      </x:c>
      <x:c r="E281" s="9" t="str">
        <x:v>P7-G07-D2@v1, P7-G07-D3@v1</x:v>
      </x:c>
    </x:row>
    <x:row r="282" ht="50" customHeight="1">
      <x:c r="A282" s="9" t="str">
        <x:v>P7-G07-F1</x:v>
      </x:c>
      <x:c r="B282" s="9" t="str">
        <x:v>이든</x:v>
      </x:c>
      <x:c r="C282" s="9" t="str">
        <x:v>합성 피드백 원문</x:v>
      </x:c>
      <x:c r="D282" s="9" t="str">
        <x:v>먼저 보여준 쪽은 고객용 구성만 좋아. 가격과 문체는 그대로 쓰지 말고, P7는 이번 작업에만 맡긴 거야.</x:v>
      </x:c>
      <x:c r="E282" s="9" t="str">
        <x:v>P7-G07-D2@v1, P7-G07-D3@v1</x:v>
      </x:c>
    </x:row>
    <x:row r="283" ht="50" customHeight="1">
      <x:c r="A283" s="9" t="str">
        <x:v>P7-G07-NEW</x:v>
      </x:c>
      <x:c r="B283" s="9" t="str">
        <x:v>이든</x:v>
      </x:c>
      <x:c r="C283" s="9" t="str">
        <x:v>공통 신규 내용</x:v>
      </x:c>
      <x:c r="D283" s="9" t="str">
        <x:v>신규 조사 P7-G07-N@v1는 최신 수치의 출처. VIA는 공개 참조를 연결하고 내용 분석·발표 작성은 Downstream Agent에 위임.</x:v>
      </x:c>
      <x:c r="E283" s="9" t="str">
        <x:v>P7-G07-N@v1</x:v>
      </x:c>
    </x:row>
    <x:row r="284" ht="50" customHeight="1">
      <x:c r="A284" s="9" t="str">
        <x:v>P8-G07-EXEC</x:v>
      </x:c>
      <x:c r="B284" s="9" t="str">
        <x:v>라온</x:v>
      </x:c>
      <x:c r="C284" s="9" t="str">
        <x:v>공통 실행 사실</x:v>
      </x:c>
      <x:c r="D284" s="9" t="str">
        <x:v>조사 Agent R8가 조사 N 작성. 발표 Agent P8가 D2 작성, 수정 Agent Q8가 D3 작성. 현재 P8는 접근 가능하며 발표 작성 capability 공개.</x:v>
      </x:c>
      <x:c r="E284" s="9" t="str">
        <x:v>D2=P8-G07-D2@v1; D3=P8-G07-D3@v1; N=P8-G07-N@v1</x:v>
      </x:c>
    </x:row>
    <x:row r="285" ht="50" customHeight="1">
      <x:c r="A285" s="9" t="str">
        <x:v>P8-G07-DISPLAY</x:v>
      </x:c>
      <x:c r="B285" s="9" t="str">
        <x:v>라온</x:v>
      </x:c>
      <x:c r="C285" s="9" t="str">
        <x:v>공통 표시 사실</x:v>
      </x:c>
      <x:c r="D285" s="9" t="str">
        <x:v>P8-G07-D2@v1와 P8-G07-D3@v1를 순서대로 실제 표시했다고 가정.</x:v>
      </x:c>
      <x:c r="E285" s="9" t="str">
        <x:v>P8-G07-D2@v1, P8-G07-D3@v1</x:v>
      </x:c>
    </x:row>
    <x:row r="286" ht="50" customHeight="1">
      <x:c r="A286" s="9" t="str">
        <x:v>P8-G07-F1</x:v>
      </x:c>
      <x:c r="B286" s="9" t="str">
        <x:v>라온</x:v>
      </x:c>
      <x:c r="C286" s="9" t="str">
        <x:v>합성 피드백 원문</x:v>
      </x:c>
      <x:c r="D286" s="9" t="str">
        <x:v>먼저 보여준 쪽은 고객용 구성만 좋아. 가격과 문체는 그대로 쓰지 말고, P8는 이번 작업에만 맡긴 거야.</x:v>
      </x:c>
      <x:c r="E286" s="9" t="str">
        <x:v>P8-G07-D2@v1, P8-G07-D3@v1</x:v>
      </x:c>
    </x:row>
    <x:row r="287" ht="50" customHeight="1">
      <x:c r="A287" s="9" t="str">
        <x:v>P8-G07-NEW</x:v>
      </x:c>
      <x:c r="B287" s="9" t="str">
        <x:v>라온</x:v>
      </x:c>
      <x:c r="C287" s="9" t="str">
        <x:v>공통 신규 내용</x:v>
      </x:c>
      <x:c r="D287" s="9" t="str">
        <x:v>신규 조사 P8-G07-N@v1는 최신 수치의 출처. VIA는 공개 참조를 연결하고 내용 분석·발표 작성은 Downstream Agent에 위임.</x:v>
      </x:c>
      <x:c r="E287" s="9" t="str">
        <x:v>P8-G07-N@v1</x:v>
      </x:c>
    </x:row>
    <x:row r="288" ht="50" customHeight="1">
      <x:c r="A288" s="9" t="str">
        <x:v>P9-G07-EXEC</x:v>
      </x:c>
      <x:c r="B288" s="9" t="str">
        <x:v>한결</x:v>
      </x:c>
      <x:c r="C288" s="9" t="str">
        <x:v>공통 실행 사실</x:v>
      </x:c>
      <x:c r="D288" s="9" t="str">
        <x:v>조사 Agent R9가 조사 N 작성. 발표 Agent P9가 D2 작성, 수정 Agent Q9가 D3 작성. 현재 P9는 접근 가능하며 발표 작성 capability 공개.</x:v>
      </x:c>
      <x:c r="E288" s="9" t="str">
        <x:v>D2=P9-G07-D2@v1; D3=P9-G07-D3@v1; N=P9-G07-N@v1</x:v>
      </x:c>
    </x:row>
    <x:row r="289" ht="50" customHeight="1">
      <x:c r="A289" s="9" t="str">
        <x:v>P9-G07-DISPLAY</x:v>
      </x:c>
      <x:c r="B289" s="9" t="str">
        <x:v>한결</x:v>
      </x:c>
      <x:c r="C289" s="9" t="str">
        <x:v>공통 표시 사실</x:v>
      </x:c>
      <x:c r="D289" s="9" t="str">
        <x:v>P9-G07-D2@v1와 P9-G07-D3@v1를 순서대로 실제 표시했다고 가정.</x:v>
      </x:c>
      <x:c r="E289" s="9" t="str">
        <x:v>P9-G07-D2@v1, P9-G07-D3@v1</x:v>
      </x:c>
    </x:row>
    <x:row r="290" ht="50" customHeight="1">
      <x:c r="A290" s="9" t="str">
        <x:v>P9-G07-F1</x:v>
      </x:c>
      <x:c r="B290" s="9" t="str">
        <x:v>한결</x:v>
      </x:c>
      <x:c r="C290" s="9" t="str">
        <x:v>합성 피드백 원문</x:v>
      </x:c>
      <x:c r="D290" s="9" t="str">
        <x:v>먼저 보여준 쪽은 고객용 구성만 좋아. 가격과 문체는 그대로 쓰지 말고, P9는 이번 작업에만 맡긴 거야.</x:v>
      </x:c>
      <x:c r="E290" s="9" t="str">
        <x:v>P9-G07-D2@v1, P9-G07-D3@v1</x:v>
      </x:c>
    </x:row>
    <x:row r="291" ht="50" customHeight="1">
      <x:c r="A291" s="9" t="str">
        <x:v>P9-G07-NEW</x:v>
      </x:c>
      <x:c r="B291" s="9" t="str">
        <x:v>한결</x:v>
      </x:c>
      <x:c r="C291" s="9" t="str">
        <x:v>공통 신규 내용</x:v>
      </x:c>
      <x:c r="D291" s="9" t="str">
        <x:v>신규 조사 P9-G07-N@v1는 최신 수치의 출처. VIA는 공개 참조를 연결하고 내용 분석·발표 작성은 Downstream Agent에 위임.</x:v>
      </x:c>
      <x:c r="E291" s="9" t="str">
        <x:v>P9-G07-N@v1</x:v>
      </x:c>
    </x:row>
    <x:row r="292" ht="50" customHeight="1">
      <x:c r="A292" s="9" t="str">
        <x:v>P10-G07-EXEC</x:v>
      </x:c>
      <x:c r="B292" s="9" t="str">
        <x:v>온유</x:v>
      </x:c>
      <x:c r="C292" s="9" t="str">
        <x:v>공통 실행 사실</x:v>
      </x:c>
      <x:c r="D292" s="9" t="str">
        <x:v>조사 Agent R10가 조사 N 작성. 발표 Agent P10가 D2 작성, 수정 Agent Q10가 D3 작성. 현재 P10는 접근 가능하며 발표 작성 capability 공개.</x:v>
      </x:c>
      <x:c r="E292" s="9" t="str">
        <x:v>D2=P10-G07-D2@v1; D3=P10-G07-D3@v1; N=P10-G07-N@v1</x:v>
      </x:c>
    </x:row>
    <x:row r="293" ht="50" customHeight="1">
      <x:c r="A293" s="9" t="str">
        <x:v>P10-G07-DISPLAY</x:v>
      </x:c>
      <x:c r="B293" s="9" t="str">
        <x:v>온유</x:v>
      </x:c>
      <x:c r="C293" s="9" t="str">
        <x:v>공통 표시 사실</x:v>
      </x:c>
      <x:c r="D293" s="9" t="str">
        <x:v>P10-G07-D2@v1와 P10-G07-D3@v1를 순서대로 실제 표시했다고 가정.</x:v>
      </x:c>
      <x:c r="E293" s="9" t="str">
        <x:v>P10-G07-D2@v1, P10-G07-D3@v1</x:v>
      </x:c>
    </x:row>
    <x:row r="294" ht="50" customHeight="1">
      <x:c r="A294" s="9" t="str">
        <x:v>P10-G07-F1</x:v>
      </x:c>
      <x:c r="B294" s="9" t="str">
        <x:v>온유</x:v>
      </x:c>
      <x:c r="C294" s="9" t="str">
        <x:v>합성 피드백 원문</x:v>
      </x:c>
      <x:c r="D294" s="9" t="str">
        <x:v>먼저 보여준 쪽은 고객용 구성만 좋아. 가격과 문체는 그대로 쓰지 말고, P10는 이번 작업에만 맡긴 거야.</x:v>
      </x:c>
      <x:c r="E294" s="9" t="str">
        <x:v>P10-G07-D2@v1, P10-G07-D3@v1</x:v>
      </x:c>
    </x:row>
    <x:row r="295" ht="50" customHeight="1">
      <x:c r="A295" s="9" t="str">
        <x:v>P10-G07-NEW</x:v>
      </x:c>
      <x:c r="B295" s="9" t="str">
        <x:v>온유</x:v>
      </x:c>
      <x:c r="C295" s="9" t="str">
        <x:v>공통 신규 내용</x:v>
      </x:c>
      <x:c r="D295" s="9" t="str">
        <x:v>신규 조사 P10-G07-N@v1는 최신 수치의 출처. VIA는 공개 참조를 연결하고 내용 분석·발표 작성은 Downstream Agent에 위임.</x:v>
      </x:c>
      <x:c r="E295" s="9" t="str">
        <x:v>P10-G07-N@v1</x:v>
      </x:c>
    </x:row>
    <x:row r="296" ht="50" customHeight="1">
      <x:c r="A296" s="9" t="str">
        <x:v>P1-G02-CONFIRM</x:v>
      </x:c>
      <x:c r="B296" s="9" t="str">
        <x:v>새봄</x:v>
      </x:c>
      <x:c r="C296" s="9" t="str">
        <x:v>합성 사용자 확인</x:v>
      </x:c>
      <x:c r="D296" s="9" t="str">
        <x:v>G02 이후 사용자가 “맞아, P1-G02-D2@v1의 구성을 말한 거야”라고 확인했다고 가정. 양안의 확정 사실에 동일 저장.</x:v>
      </x:c>
      <x:c r="E296" s="9" t="str">
        <x:v>P1-G02-D2@v1</x:v>
      </x:c>
    </x:row>
    <x:row r="297" ht="50" customHeight="1">
      <x:c r="A297" s="9" t="str">
        <x:v>P2-G02-CONFIRM</x:v>
      </x:c>
      <x:c r="B297" s="9" t="str">
        <x:v>해솔</x:v>
      </x:c>
      <x:c r="C297" s="9" t="str">
        <x:v>합성 사용자 확인</x:v>
      </x:c>
      <x:c r="D297" s="9" t="str">
        <x:v>G02 이후 사용자가 “맞아, P2-G02-D2@v1의 구성을 말한 거야”라고 확인했다고 가정. 양안의 확정 사실에 동일 저장.</x:v>
      </x:c>
      <x:c r="E297" s="9" t="str">
        <x:v>P2-G02-D2@v1</x:v>
      </x:c>
    </x:row>
    <x:row r="298" ht="50" customHeight="1">
      <x:c r="A298" s="9" t="str">
        <x:v>P3-G02-CONFIRM</x:v>
      </x:c>
      <x:c r="B298" s="9" t="str">
        <x:v>가온</x:v>
      </x:c>
      <x:c r="C298" s="9" t="str">
        <x:v>합성 사용자 확인</x:v>
      </x:c>
      <x:c r="D298" s="9" t="str">
        <x:v>G02 이후 사용자가 “맞아, P3-G02-D2@v1의 구성을 말한 거야”라고 확인했다고 가정. 양안의 확정 사실에 동일 저장.</x:v>
      </x:c>
      <x:c r="E298" s="9" t="str">
        <x:v>P3-G02-D2@v1</x:v>
      </x:c>
    </x:row>
    <x:row r="299" ht="50" customHeight="1">
      <x:c r="A299" s="9" t="str">
        <x:v>P4-G02-CONFIRM</x:v>
      </x:c>
      <x:c r="B299" s="9" t="str">
        <x:v>누리</x:v>
      </x:c>
      <x:c r="C299" s="9" t="str">
        <x:v>합성 사용자 확인</x:v>
      </x:c>
      <x:c r="D299" s="9" t="str">
        <x:v>G02 이후 사용자가 “맞아, P4-G02-D2@v1의 구성을 말한 거야”라고 확인했다고 가정. 양안의 확정 사실에 동일 저장.</x:v>
      </x:c>
      <x:c r="E299" s="9" t="str">
        <x:v>P4-G02-D2@v1</x:v>
      </x:c>
    </x:row>
    <x:row r="300" ht="50" customHeight="1">
      <x:c r="A300" s="9" t="str">
        <x:v>P5-G02-CONFIRM</x:v>
      </x:c>
      <x:c r="B300" s="9" t="str">
        <x:v>다온</x:v>
      </x:c>
      <x:c r="C300" s="9" t="str">
        <x:v>합성 사용자 확인</x:v>
      </x:c>
      <x:c r="D300" s="9" t="str">
        <x:v>G02 이후 사용자가 “맞아, P5-G02-D2@v1의 구성을 말한 거야”라고 확인했다고 가정. 양안의 확정 사실에 동일 저장.</x:v>
      </x:c>
      <x:c r="E300" s="9" t="str">
        <x:v>P5-G02-D2@v1</x:v>
      </x:c>
    </x:row>
    <x:row r="301" ht="50" customHeight="1">
      <x:c r="A301" s="9" t="str">
        <x:v>P6-G02-CONFIRM</x:v>
      </x:c>
      <x:c r="B301" s="9" t="str">
        <x:v>마루</x:v>
      </x:c>
      <x:c r="C301" s="9" t="str">
        <x:v>합성 사용자 확인</x:v>
      </x:c>
      <x:c r="D301" s="9" t="str">
        <x:v>G02 이후 사용자가 “맞아, P6-G02-D2@v1의 구성을 말한 거야”라고 확인했다고 가정. 양안의 확정 사실에 동일 저장.</x:v>
      </x:c>
      <x:c r="E301" s="9" t="str">
        <x:v>P6-G02-D2@v1</x:v>
      </x:c>
    </x:row>
    <x:row r="302" ht="50" customHeight="1">
      <x:c r="A302" s="9" t="str">
        <x:v>P7-G02-CONFIRM</x:v>
      </x:c>
      <x:c r="B302" s="9" t="str">
        <x:v>이든</x:v>
      </x:c>
      <x:c r="C302" s="9" t="str">
        <x:v>합성 사용자 확인</x:v>
      </x:c>
      <x:c r="D302" s="9" t="str">
        <x:v>G02 이후 사용자가 “맞아, P7-G02-D2@v1의 구성을 말한 거야”라고 확인했다고 가정. 양안의 확정 사실에 동일 저장.</x:v>
      </x:c>
      <x:c r="E302" s="9" t="str">
        <x:v>P7-G02-D2@v1</x:v>
      </x:c>
    </x:row>
    <x:row r="303" ht="50" customHeight="1">
      <x:c r="A303" s="9" t="str">
        <x:v>P8-G02-CONFIRM</x:v>
      </x:c>
      <x:c r="B303" s="9" t="str">
        <x:v>라온</x:v>
      </x:c>
      <x:c r="C303" s="9" t="str">
        <x:v>합성 사용자 확인</x:v>
      </x:c>
      <x:c r="D303" s="9" t="str">
        <x:v>G02 이후 사용자가 “맞아, P8-G02-D2@v1의 구성을 말한 거야”라고 확인했다고 가정. 양안의 확정 사실에 동일 저장.</x:v>
      </x:c>
      <x:c r="E303" s="9" t="str">
        <x:v>P8-G02-D2@v1</x:v>
      </x:c>
    </x:row>
    <x:row r="304" ht="50" customHeight="1">
      <x:c r="A304" s="9" t="str">
        <x:v>P9-G02-CONFIRM</x:v>
      </x:c>
      <x:c r="B304" s="9" t="str">
        <x:v>한결</x:v>
      </x:c>
      <x:c r="C304" s="9" t="str">
        <x:v>합성 사용자 확인</x:v>
      </x:c>
      <x:c r="D304" s="9" t="str">
        <x:v>G02 이후 사용자가 “맞아, P9-G02-D2@v1의 구성을 말한 거야”라고 확인했다고 가정. 양안의 확정 사실에 동일 저장.</x:v>
      </x:c>
      <x:c r="E304" s="9" t="str">
        <x:v>P9-G02-D2@v1</x:v>
      </x:c>
    </x:row>
    <x:row r="305" ht="50" customHeight="1">
      <x:c r="A305" s="9" t="str">
        <x:v>P10-G02-CONFIRM</x:v>
      </x:c>
      <x:c r="B305" s="9" t="str">
        <x:v>온유</x:v>
      </x:c>
      <x:c r="C305" s="9" t="str">
        <x:v>합성 사용자 확인</x:v>
      </x:c>
      <x:c r="D305" s="9" t="str">
        <x:v>G02 이후 사용자가 “맞아, P10-G02-D2@v1의 구성을 말한 거야”라고 확인했다고 가정. 양안의 확정 사실에 동일 저장.</x:v>
      </x:c>
      <x:c r="E305" s="9" t="str">
        <x:v>P10-G02-D2@v1</x:v>
      </x:c>
    </x:row>
    <x:row r="306" ht="50" customHeight="1">
      <x:c r="A306" s="9" t="str">
        <x:v>P1-G09-EXEC</x:v>
      </x:c>
      <x:c r="B306" s="9" t="str">
        <x:v>새봄</x:v>
      </x:c>
      <x:c r="C306" s="9" t="str">
        <x:v>공통 실행 사실</x:v>
      </x:c>
      <x:c r="D306" s="9" t="str">
        <x:v>조사 Agent R1가 조사 N 작성. 발표 Agent P1가 D2 작성, 수정 Agent Q1가 D3 작성. 현재 P1는 접근 가능하며 발표 작성 capability 공개.</x:v>
      </x:c>
      <x:c r="E306" s="9" t="str">
        <x:v>D2=P1-G09-D2@v1; D3=P1-G09-D3@v1; N=P1-G09-N@v1</x:v>
      </x:c>
    </x:row>
    <x:row r="307" ht="50" customHeight="1">
      <x:c r="A307" s="9" t="str">
        <x:v>P1-G09-DISPLAY</x:v>
      </x:c>
      <x:c r="B307" s="9" t="str">
        <x:v>새봄</x:v>
      </x:c>
      <x:c r="C307" s="9" t="str">
        <x:v>공통 표시 사실</x:v>
      </x:c>
      <x:c r="D307" s="9" t="str">
        <x:v>P1-G09-D2@v1와 P1-G09-D3@v1를 순서대로 실제 표시했다고 가정.</x:v>
      </x:c>
      <x:c r="E307" s="9" t="str">
        <x:v>P1-G09-D2@v1, P1-G09-D3@v1</x:v>
      </x:c>
    </x:row>
    <x:row r="308" ht="50" customHeight="1">
      <x:c r="A308" s="9" t="str">
        <x:v>P1-G09-F1</x:v>
      </x:c>
      <x:c r="B308" s="9" t="str">
        <x:v>새봄</x:v>
      </x:c>
      <x:c r="C308" s="9" t="str">
        <x:v>합성 피드백 원문</x:v>
      </x:c>
      <x:c r="D308" s="9" t="str">
        <x:v>고객에게 보여줄 구성은 먼저 보여준 쪽이 좋고 내부 검토에는 나중에 본 수정본을 쓰자.</x:v>
      </x:c>
      <x:c r="E308" s="9" t="str">
        <x:v>P1-G09-D2@v1, P1-G09-D3@v1</x:v>
      </x:c>
    </x:row>
    <x:row r="309" ht="50" customHeight="1">
      <x:c r="A309" s="9" t="str">
        <x:v>P1-G09-NEW</x:v>
      </x:c>
      <x:c r="B309" s="9" t="str">
        <x:v>새봄</x:v>
      </x:c>
      <x:c r="C309" s="9" t="str">
        <x:v>공통 신규 내용</x:v>
      </x:c>
      <x:c r="D309" s="9" t="str">
        <x:v>신규 조사 P1-G09-N@v1는 최신 수치의 출처. VIA는 공개 참조를 연결하고 내용 분석·발표 작성은 Downstream Agent에 위임.</x:v>
      </x:c>
      <x:c r="E309" s="9" t="str">
        <x:v>P1-G09-N@v1</x:v>
      </x:c>
    </x:row>
    <x:row r="310" ht="50" customHeight="1">
      <x:c r="A310" s="9" t="str">
        <x:v>P2-G09-EXEC</x:v>
      </x:c>
      <x:c r="B310" s="9" t="str">
        <x:v>해솔</x:v>
      </x:c>
      <x:c r="C310" s="9" t="str">
        <x:v>공통 실행 사실</x:v>
      </x:c>
      <x:c r="D310" s="9" t="str">
        <x:v>조사 Agent R2가 조사 N 작성. 발표 Agent P2가 D2 작성, 수정 Agent Q2가 D3 작성. 현재 P2는 접근 가능하며 발표 작성 capability 공개.</x:v>
      </x:c>
      <x:c r="E310" s="9" t="str">
        <x:v>D2=P2-G09-D2@v1; D3=P2-G09-D3@v1; N=P2-G09-N@v1</x:v>
      </x:c>
    </x:row>
    <x:row r="311" ht="50" customHeight="1">
      <x:c r="A311" s="9" t="str">
        <x:v>P2-G09-DISPLAY</x:v>
      </x:c>
      <x:c r="B311" s="9" t="str">
        <x:v>해솔</x:v>
      </x:c>
      <x:c r="C311" s="9" t="str">
        <x:v>공통 표시 사실</x:v>
      </x:c>
      <x:c r="D311" s="9" t="str">
        <x:v>P2-G09-D2@v1와 P2-G09-D3@v1를 순서대로 실제 표시했다고 가정.</x:v>
      </x:c>
      <x:c r="E311" s="9" t="str">
        <x:v>P2-G09-D2@v1, P2-G09-D3@v1</x:v>
      </x:c>
    </x:row>
    <x:row r="312" ht="50" customHeight="1">
      <x:c r="A312" s="9" t="str">
        <x:v>P2-G09-F1</x:v>
      </x:c>
      <x:c r="B312" s="9" t="str">
        <x:v>해솔</x:v>
      </x:c>
      <x:c r="C312" s="9" t="str">
        <x:v>합성 피드백 원문</x:v>
      </x:c>
      <x:c r="D312" s="9" t="str">
        <x:v>고객에게 보여줄 구성은 먼저 보여준 쪽이 좋고 내부 검토에는 나중에 본 수정본을 쓰자.</x:v>
      </x:c>
      <x:c r="E312" s="9" t="str">
        <x:v>P2-G09-D2@v1, P2-G09-D3@v1</x:v>
      </x:c>
    </x:row>
    <x:row r="313" ht="50" customHeight="1">
      <x:c r="A313" s="9" t="str">
        <x:v>P2-G09-NEW</x:v>
      </x:c>
      <x:c r="B313" s="9" t="str">
        <x:v>해솔</x:v>
      </x:c>
      <x:c r="C313" s="9" t="str">
        <x:v>공통 신규 내용</x:v>
      </x:c>
      <x:c r="D313" s="9" t="str">
        <x:v>신규 조사 P2-G09-N@v1는 최신 수치의 출처. VIA는 공개 참조를 연결하고 내용 분석·발표 작성은 Downstream Agent에 위임.</x:v>
      </x:c>
      <x:c r="E313" s="9" t="str">
        <x:v>P2-G09-N@v1</x:v>
      </x:c>
    </x:row>
    <x:row r="314" ht="50" customHeight="1">
      <x:c r="A314" s="9" t="str">
        <x:v>P3-G09-EXEC</x:v>
      </x:c>
      <x:c r="B314" s="9" t="str">
        <x:v>가온</x:v>
      </x:c>
      <x:c r="C314" s="9" t="str">
        <x:v>공통 실행 사실</x:v>
      </x:c>
      <x:c r="D314" s="9" t="str">
        <x:v>조사 Agent R3가 조사 N 작성. 발표 Agent P3가 D2 작성, 수정 Agent Q3가 D3 작성. 현재 P3는 접근 가능하며 발표 작성 capability 공개.</x:v>
      </x:c>
      <x:c r="E314" s="9" t="str">
        <x:v>D2=P3-G09-D2@v1; D3=P3-G09-D3@v1; N=P3-G09-N@v1</x:v>
      </x:c>
    </x:row>
    <x:row r="315" ht="50" customHeight="1">
      <x:c r="A315" s="9" t="str">
        <x:v>P3-G09-DISPLAY</x:v>
      </x:c>
      <x:c r="B315" s="9" t="str">
        <x:v>가온</x:v>
      </x:c>
      <x:c r="C315" s="9" t="str">
        <x:v>공통 표시 사실</x:v>
      </x:c>
      <x:c r="D315" s="9" t="str">
        <x:v>P3-G09-D2@v1와 P3-G09-D3@v1를 순서대로 실제 표시했다고 가정.</x:v>
      </x:c>
      <x:c r="E315" s="9" t="str">
        <x:v>P3-G09-D2@v1, P3-G09-D3@v1</x:v>
      </x:c>
    </x:row>
    <x:row r="316" ht="50" customHeight="1">
      <x:c r="A316" s="9" t="str">
        <x:v>P3-G09-F1</x:v>
      </x:c>
      <x:c r="B316" s="9" t="str">
        <x:v>가온</x:v>
      </x:c>
      <x:c r="C316" s="9" t="str">
        <x:v>합성 피드백 원문</x:v>
      </x:c>
      <x:c r="D316" s="9" t="str">
        <x:v>고객에게 보여줄 구성은 먼저 보여준 쪽이 좋고 내부 검토에는 나중에 본 수정본을 쓰자.</x:v>
      </x:c>
      <x:c r="E316" s="9" t="str">
        <x:v>P3-G09-D2@v1, P3-G09-D3@v1</x:v>
      </x:c>
    </x:row>
    <x:row r="317" ht="50" customHeight="1">
      <x:c r="A317" s="9" t="str">
        <x:v>P3-G09-NEW</x:v>
      </x:c>
      <x:c r="B317" s="9" t="str">
        <x:v>가온</x:v>
      </x:c>
      <x:c r="C317" s="9" t="str">
        <x:v>공통 신규 내용</x:v>
      </x:c>
      <x:c r="D317" s="9" t="str">
        <x:v>신규 조사 P3-G09-N@v1는 최신 수치의 출처. VIA는 공개 참조를 연결하고 내용 분석·발표 작성은 Downstream Agent에 위임.</x:v>
      </x:c>
      <x:c r="E317" s="9" t="str">
        <x:v>P3-G09-N@v1</x:v>
      </x:c>
    </x:row>
    <x:row r="318" ht="50" customHeight="1">
      <x:c r="A318" s="9" t="str">
        <x:v>P4-G09-EXEC</x:v>
      </x:c>
      <x:c r="B318" s="9" t="str">
        <x:v>누리</x:v>
      </x:c>
      <x:c r="C318" s="9" t="str">
        <x:v>공통 실행 사실</x:v>
      </x:c>
      <x:c r="D318" s="9" t="str">
        <x:v>조사 Agent R4가 조사 N 작성. 발표 Agent P4가 D2 작성, 수정 Agent Q4가 D3 작성. 현재 P4는 접근 가능하며 발표 작성 capability 공개.</x:v>
      </x:c>
      <x:c r="E318" s="9" t="str">
        <x:v>D2=P4-G09-D2@v1; D3=P4-G09-D3@v1; N=P4-G09-N@v1</x:v>
      </x:c>
    </x:row>
    <x:row r="319" ht="50" customHeight="1">
      <x:c r="A319" s="9" t="str">
        <x:v>P4-G09-DISPLAY</x:v>
      </x:c>
      <x:c r="B319" s="9" t="str">
        <x:v>누리</x:v>
      </x:c>
      <x:c r="C319" s="9" t="str">
        <x:v>공통 표시 사실</x:v>
      </x:c>
      <x:c r="D319" s="9" t="str">
        <x:v>P4-G09-D2@v1와 P4-G09-D3@v1를 순서대로 실제 표시했다고 가정.</x:v>
      </x:c>
      <x:c r="E319" s="9" t="str">
        <x:v>P4-G09-D2@v1, P4-G09-D3@v1</x:v>
      </x:c>
    </x:row>
    <x:row r="320" ht="50" customHeight="1">
      <x:c r="A320" s="9" t="str">
        <x:v>P4-G09-F1</x:v>
      </x:c>
      <x:c r="B320" s="9" t="str">
        <x:v>누리</x:v>
      </x:c>
      <x:c r="C320" s="9" t="str">
        <x:v>합성 피드백 원문</x:v>
      </x:c>
      <x:c r="D320" s="9" t="str">
        <x:v>고객에게 보여줄 구성은 먼저 보여준 쪽이 좋고 내부 검토에는 나중에 본 수정본을 쓰자.</x:v>
      </x:c>
      <x:c r="E320" s="9" t="str">
        <x:v>P4-G09-D2@v1, P4-G09-D3@v1</x:v>
      </x:c>
    </x:row>
    <x:row r="321" ht="50" customHeight="1">
      <x:c r="A321" s="9" t="str">
        <x:v>P4-G09-NEW</x:v>
      </x:c>
      <x:c r="B321" s="9" t="str">
        <x:v>누리</x:v>
      </x:c>
      <x:c r="C321" s="9" t="str">
        <x:v>공통 신규 내용</x:v>
      </x:c>
      <x:c r="D321" s="9" t="str">
        <x:v>신규 조사 P4-G09-N@v1는 최신 수치의 출처. VIA는 공개 참조를 연결하고 내용 분석·발표 작성은 Downstream Agent에 위임.</x:v>
      </x:c>
      <x:c r="E321" s="9" t="str">
        <x:v>P4-G09-N@v1</x:v>
      </x:c>
    </x:row>
    <x:row r="322" ht="50" customHeight="1">
      <x:c r="A322" s="9" t="str">
        <x:v>P5-G09-EXEC</x:v>
      </x:c>
      <x:c r="B322" s="9" t="str">
        <x:v>다온</x:v>
      </x:c>
      <x:c r="C322" s="9" t="str">
        <x:v>공통 실행 사실</x:v>
      </x:c>
      <x:c r="D322" s="9" t="str">
        <x:v>조사 Agent R5가 조사 N 작성. 발표 Agent P5가 D2 작성, 수정 Agent Q5가 D3 작성. 현재 P5는 접근 가능하며 발표 작성 capability 공개.</x:v>
      </x:c>
      <x:c r="E322" s="9" t="str">
        <x:v>D2=P5-G09-D2@v1; D3=P5-G09-D3@v1; N=P5-G09-N@v1</x:v>
      </x:c>
    </x:row>
    <x:row r="323" ht="50" customHeight="1">
      <x:c r="A323" s="9" t="str">
        <x:v>P5-G09-DISPLAY</x:v>
      </x:c>
      <x:c r="B323" s="9" t="str">
        <x:v>다온</x:v>
      </x:c>
      <x:c r="C323" s="9" t="str">
        <x:v>공통 표시 사실</x:v>
      </x:c>
      <x:c r="D323" s="9" t="str">
        <x:v>P5-G09-D2@v1와 P5-G09-D3@v1를 순서대로 실제 표시했다고 가정.</x:v>
      </x:c>
      <x:c r="E323" s="9" t="str">
        <x:v>P5-G09-D2@v1, P5-G09-D3@v1</x:v>
      </x:c>
    </x:row>
    <x:row r="324" ht="50" customHeight="1">
      <x:c r="A324" s="9" t="str">
        <x:v>P5-G09-F1</x:v>
      </x:c>
      <x:c r="B324" s="9" t="str">
        <x:v>다온</x:v>
      </x:c>
      <x:c r="C324" s="9" t="str">
        <x:v>합성 피드백 원문</x:v>
      </x:c>
      <x:c r="D324" s="9" t="str">
        <x:v>고객에게 보여줄 구성은 먼저 보여준 쪽이 좋고 내부 검토에는 나중에 본 수정본을 쓰자.</x:v>
      </x:c>
      <x:c r="E324" s="9" t="str">
        <x:v>P5-G09-D2@v1, P5-G09-D3@v1</x:v>
      </x:c>
    </x:row>
    <x:row r="325" ht="50" customHeight="1">
      <x:c r="A325" s="9" t="str">
        <x:v>P5-G09-NEW</x:v>
      </x:c>
      <x:c r="B325" s="9" t="str">
        <x:v>다온</x:v>
      </x:c>
      <x:c r="C325" s="9" t="str">
        <x:v>공통 신규 내용</x:v>
      </x:c>
      <x:c r="D325" s="9" t="str">
        <x:v>신규 조사 P5-G09-N@v1는 최신 수치의 출처. VIA는 공개 참조를 연결하고 내용 분석·발표 작성은 Downstream Agent에 위임.</x:v>
      </x:c>
      <x:c r="E325" s="9" t="str">
        <x:v>P5-G09-N@v1</x:v>
      </x:c>
    </x:row>
    <x:row r="326" ht="50" customHeight="1">
      <x:c r="A326" s="9" t="str">
        <x:v>P6-G09-EXEC</x:v>
      </x:c>
      <x:c r="B326" s="9" t="str">
        <x:v>마루</x:v>
      </x:c>
      <x:c r="C326" s="9" t="str">
        <x:v>공통 실행 사실</x:v>
      </x:c>
      <x:c r="D326" s="9" t="str">
        <x:v>조사 Agent R6가 조사 N 작성. 발표 Agent P6가 D2 작성, 수정 Agent Q6가 D3 작성. 현재 P6는 접근 가능하며 발표 작성 capability 공개.</x:v>
      </x:c>
      <x:c r="E326" s="9" t="str">
        <x:v>D2=P6-G09-D2@v1; D3=P6-G09-D3@v1; N=P6-G09-N@v1</x:v>
      </x:c>
    </x:row>
    <x:row r="327" ht="50" customHeight="1">
      <x:c r="A327" s="9" t="str">
        <x:v>P6-G09-DISPLAY</x:v>
      </x:c>
      <x:c r="B327" s="9" t="str">
        <x:v>마루</x:v>
      </x:c>
      <x:c r="C327" s="9" t="str">
        <x:v>공통 표시 사실</x:v>
      </x:c>
      <x:c r="D327" s="9" t="str">
        <x:v>P6-G09-D2@v1와 P6-G09-D3@v1를 순서대로 실제 표시했다고 가정.</x:v>
      </x:c>
      <x:c r="E327" s="9" t="str">
        <x:v>P6-G09-D2@v1, P6-G09-D3@v1</x:v>
      </x:c>
    </x:row>
    <x:row r="328" ht="50" customHeight="1">
      <x:c r="A328" s="9" t="str">
        <x:v>P6-G09-F1</x:v>
      </x:c>
      <x:c r="B328" s="9" t="str">
        <x:v>마루</x:v>
      </x:c>
      <x:c r="C328" s="9" t="str">
        <x:v>합성 피드백 원문</x:v>
      </x:c>
      <x:c r="D328" s="9" t="str">
        <x:v>고객에게 보여줄 구성은 먼저 보여준 쪽이 좋고 내부 검토에는 나중에 본 수정본을 쓰자.</x:v>
      </x:c>
      <x:c r="E328" s="9" t="str">
        <x:v>P6-G09-D2@v1, P6-G09-D3@v1</x:v>
      </x:c>
    </x:row>
    <x:row r="329" ht="50" customHeight="1">
      <x:c r="A329" s="9" t="str">
        <x:v>P6-G09-NEW</x:v>
      </x:c>
      <x:c r="B329" s="9" t="str">
        <x:v>마루</x:v>
      </x:c>
      <x:c r="C329" s="9" t="str">
        <x:v>공통 신규 내용</x:v>
      </x:c>
      <x:c r="D329" s="9" t="str">
        <x:v>신규 조사 P6-G09-N@v1는 최신 수치의 출처. VIA는 공개 참조를 연결하고 내용 분석·발표 작성은 Downstream Agent에 위임.</x:v>
      </x:c>
      <x:c r="E329" s="9" t="str">
        <x:v>P6-G09-N@v1</x:v>
      </x:c>
    </x:row>
    <x:row r="330" ht="50" customHeight="1">
      <x:c r="A330" s="9" t="str">
        <x:v>P7-G09-EXEC</x:v>
      </x:c>
      <x:c r="B330" s="9" t="str">
        <x:v>이든</x:v>
      </x:c>
      <x:c r="C330" s="9" t="str">
        <x:v>공통 실행 사실</x:v>
      </x:c>
      <x:c r="D330" s="9" t="str">
        <x:v>조사 Agent R7가 조사 N 작성. 발표 Agent P7가 D2 작성, 수정 Agent Q7가 D3 작성. 현재 P7는 접근 가능하며 발표 작성 capability 공개.</x:v>
      </x:c>
      <x:c r="E330" s="9" t="str">
        <x:v>D2=P7-G09-D2@v1; D3=P7-G09-D3@v1; N=P7-G09-N@v1</x:v>
      </x:c>
    </x:row>
    <x:row r="331" ht="50" customHeight="1">
      <x:c r="A331" s="9" t="str">
        <x:v>P7-G09-DISPLAY</x:v>
      </x:c>
      <x:c r="B331" s="9" t="str">
        <x:v>이든</x:v>
      </x:c>
      <x:c r="C331" s="9" t="str">
        <x:v>공통 표시 사실</x:v>
      </x:c>
      <x:c r="D331" s="9" t="str">
        <x:v>P7-G09-D2@v1와 P7-G09-D3@v1를 순서대로 실제 표시했다고 가정.</x:v>
      </x:c>
      <x:c r="E331" s="9" t="str">
        <x:v>P7-G09-D2@v1, P7-G09-D3@v1</x:v>
      </x:c>
    </x:row>
    <x:row r="332" ht="50" customHeight="1">
      <x:c r="A332" s="9" t="str">
        <x:v>P7-G09-F1</x:v>
      </x:c>
      <x:c r="B332" s="9" t="str">
        <x:v>이든</x:v>
      </x:c>
      <x:c r="C332" s="9" t="str">
        <x:v>합성 피드백 원문</x:v>
      </x:c>
      <x:c r="D332" s="9" t="str">
        <x:v>고객에게 보여줄 구성은 먼저 보여준 쪽이 좋고 내부 검토에는 나중에 본 수정본을 쓰자.</x:v>
      </x:c>
      <x:c r="E332" s="9" t="str">
        <x:v>P7-G09-D2@v1, P7-G09-D3@v1</x:v>
      </x:c>
    </x:row>
    <x:row r="333" ht="50" customHeight="1">
      <x:c r="A333" s="9" t="str">
        <x:v>P7-G09-NEW</x:v>
      </x:c>
      <x:c r="B333" s="9" t="str">
        <x:v>이든</x:v>
      </x:c>
      <x:c r="C333" s="9" t="str">
        <x:v>공통 신규 내용</x:v>
      </x:c>
      <x:c r="D333" s="9" t="str">
        <x:v>신규 조사 P7-G09-N@v1는 최신 수치의 출처. VIA는 공개 참조를 연결하고 내용 분석·발표 작성은 Downstream Agent에 위임.</x:v>
      </x:c>
      <x:c r="E333" s="9" t="str">
        <x:v>P7-G09-N@v1</x:v>
      </x:c>
    </x:row>
    <x:row r="334" ht="50" customHeight="1">
      <x:c r="A334" s="9" t="str">
        <x:v>P8-G09-EXEC</x:v>
      </x:c>
      <x:c r="B334" s="9" t="str">
        <x:v>라온</x:v>
      </x:c>
      <x:c r="C334" s="9" t="str">
        <x:v>공통 실행 사실</x:v>
      </x:c>
      <x:c r="D334" s="9" t="str">
        <x:v>조사 Agent R8가 조사 N 작성. 발표 Agent P8가 D2 작성, 수정 Agent Q8가 D3 작성. 현재 P8는 접근 가능하며 발표 작성 capability 공개.</x:v>
      </x:c>
      <x:c r="E334" s="9" t="str">
        <x:v>D2=P8-G09-D2@v1; D3=P8-G09-D3@v1; N=P8-G09-N@v1</x:v>
      </x:c>
    </x:row>
    <x:row r="335" ht="50" customHeight="1">
      <x:c r="A335" s="9" t="str">
        <x:v>P8-G09-DISPLAY</x:v>
      </x:c>
      <x:c r="B335" s="9" t="str">
        <x:v>라온</x:v>
      </x:c>
      <x:c r="C335" s="9" t="str">
        <x:v>공통 표시 사실</x:v>
      </x:c>
      <x:c r="D335" s="9" t="str">
        <x:v>P8-G09-D2@v1와 P8-G09-D3@v1를 순서대로 실제 표시했다고 가정.</x:v>
      </x:c>
      <x:c r="E335" s="9" t="str">
        <x:v>P8-G09-D2@v1, P8-G09-D3@v1</x:v>
      </x:c>
    </x:row>
    <x:row r="336" ht="50" customHeight="1">
      <x:c r="A336" s="9" t="str">
        <x:v>P8-G09-F1</x:v>
      </x:c>
      <x:c r="B336" s="9" t="str">
        <x:v>라온</x:v>
      </x:c>
      <x:c r="C336" s="9" t="str">
        <x:v>합성 피드백 원문</x:v>
      </x:c>
      <x:c r="D336" s="9" t="str">
        <x:v>고객에게 보여줄 구성은 먼저 보여준 쪽이 좋고 내부 검토에는 나중에 본 수정본을 쓰자.</x:v>
      </x:c>
      <x:c r="E336" s="9" t="str">
        <x:v>P8-G09-D2@v1, P8-G09-D3@v1</x:v>
      </x:c>
    </x:row>
    <x:row r="337" ht="50" customHeight="1">
      <x:c r="A337" s="9" t="str">
        <x:v>P8-G09-NEW</x:v>
      </x:c>
      <x:c r="B337" s="9" t="str">
        <x:v>라온</x:v>
      </x:c>
      <x:c r="C337" s="9" t="str">
        <x:v>공통 신규 내용</x:v>
      </x:c>
      <x:c r="D337" s="9" t="str">
        <x:v>신규 조사 P8-G09-N@v1는 최신 수치의 출처. VIA는 공개 참조를 연결하고 내용 분석·발표 작성은 Downstream Agent에 위임.</x:v>
      </x:c>
      <x:c r="E337" s="9" t="str">
        <x:v>P8-G09-N@v1</x:v>
      </x:c>
    </x:row>
    <x:row r="338" ht="50" customHeight="1">
      <x:c r="A338" s="9" t="str">
        <x:v>P9-G09-EXEC</x:v>
      </x:c>
      <x:c r="B338" s="9" t="str">
        <x:v>한결</x:v>
      </x:c>
      <x:c r="C338" s="9" t="str">
        <x:v>공통 실행 사실</x:v>
      </x:c>
      <x:c r="D338" s="9" t="str">
        <x:v>조사 Agent R9가 조사 N 작성. 발표 Agent P9가 D2 작성, 수정 Agent Q9가 D3 작성. 현재 P9는 접근 가능하며 발표 작성 capability 공개.</x:v>
      </x:c>
      <x:c r="E338" s="9" t="str">
        <x:v>D2=P9-G09-D2@v1; D3=P9-G09-D3@v1; N=P9-G09-N@v1</x:v>
      </x:c>
    </x:row>
    <x:row r="339" ht="50" customHeight="1">
      <x:c r="A339" s="9" t="str">
        <x:v>P9-G09-DISPLAY</x:v>
      </x:c>
      <x:c r="B339" s="9" t="str">
        <x:v>한결</x:v>
      </x:c>
      <x:c r="C339" s="9" t="str">
        <x:v>공통 표시 사실</x:v>
      </x:c>
      <x:c r="D339" s="9" t="str">
        <x:v>P9-G09-D2@v1와 P9-G09-D3@v1를 순서대로 실제 표시했다고 가정.</x:v>
      </x:c>
      <x:c r="E339" s="9" t="str">
        <x:v>P9-G09-D2@v1, P9-G09-D3@v1</x:v>
      </x:c>
    </x:row>
    <x:row r="340" ht="50" customHeight="1">
      <x:c r="A340" s="9" t="str">
        <x:v>P9-G09-F1</x:v>
      </x:c>
      <x:c r="B340" s="9" t="str">
        <x:v>한결</x:v>
      </x:c>
      <x:c r="C340" s="9" t="str">
        <x:v>합성 피드백 원문</x:v>
      </x:c>
      <x:c r="D340" s="9" t="str">
        <x:v>고객에게 보여줄 구성은 먼저 보여준 쪽이 좋고 내부 검토에는 나중에 본 수정본을 쓰자.</x:v>
      </x:c>
      <x:c r="E340" s="9" t="str">
        <x:v>P9-G09-D2@v1, P9-G09-D3@v1</x:v>
      </x:c>
    </x:row>
    <x:row r="341" ht="50" customHeight="1">
      <x:c r="A341" s="9" t="str">
        <x:v>P9-G09-NEW</x:v>
      </x:c>
      <x:c r="B341" s="9" t="str">
        <x:v>한결</x:v>
      </x:c>
      <x:c r="C341" s="9" t="str">
        <x:v>공통 신규 내용</x:v>
      </x:c>
      <x:c r="D341" s="9" t="str">
        <x:v>신규 조사 P9-G09-N@v1는 최신 수치의 출처. VIA는 공개 참조를 연결하고 내용 분석·발표 작성은 Downstream Agent에 위임.</x:v>
      </x:c>
      <x:c r="E341" s="9" t="str">
        <x:v>P9-G09-N@v1</x:v>
      </x:c>
    </x:row>
    <x:row r="342" ht="50" customHeight="1">
      <x:c r="A342" s="9" t="str">
        <x:v>P10-G09-EXEC</x:v>
      </x:c>
      <x:c r="B342" s="9" t="str">
        <x:v>온유</x:v>
      </x:c>
      <x:c r="C342" s="9" t="str">
        <x:v>공통 실행 사실</x:v>
      </x:c>
      <x:c r="D342" s="9" t="str">
        <x:v>조사 Agent R10가 조사 N 작성. 발표 Agent P10가 D2 작성, 수정 Agent Q10가 D3 작성. 현재 P10는 접근 가능하며 발표 작성 capability 공개.</x:v>
      </x:c>
      <x:c r="E342" s="9" t="str">
        <x:v>D2=P10-G09-D2@v1; D3=P10-G09-D3@v1; N=P10-G09-N@v1</x:v>
      </x:c>
    </x:row>
    <x:row r="343" ht="50" customHeight="1">
      <x:c r="A343" s="9" t="str">
        <x:v>P10-G09-DISPLAY</x:v>
      </x:c>
      <x:c r="B343" s="9" t="str">
        <x:v>온유</x:v>
      </x:c>
      <x:c r="C343" s="9" t="str">
        <x:v>공통 표시 사실</x:v>
      </x:c>
      <x:c r="D343" s="9" t="str">
        <x:v>P10-G09-D2@v1와 P10-G09-D3@v1를 순서대로 실제 표시했다고 가정.</x:v>
      </x:c>
      <x:c r="E343" s="9" t="str">
        <x:v>P10-G09-D2@v1, P10-G09-D3@v1</x:v>
      </x:c>
    </x:row>
    <x:row r="344" ht="50" customHeight="1">
      <x:c r="A344" s="9" t="str">
        <x:v>P10-G09-F1</x:v>
      </x:c>
      <x:c r="B344" s="9" t="str">
        <x:v>온유</x:v>
      </x:c>
      <x:c r="C344" s="9" t="str">
        <x:v>합성 피드백 원문</x:v>
      </x:c>
      <x:c r="D344" s="9" t="str">
        <x:v>고객에게 보여줄 구성은 먼저 보여준 쪽이 좋고 내부 검토에는 나중에 본 수정본을 쓰자.</x:v>
      </x:c>
      <x:c r="E344" s="9" t="str">
        <x:v>P10-G09-D2@v1, P10-G09-D3@v1</x:v>
      </x:c>
    </x:row>
    <x:row r="345" ht="50" customHeight="1">
      <x:c r="A345" s="9" t="str">
        <x:v>P10-G09-NEW</x:v>
      </x:c>
      <x:c r="B345" s="9" t="str">
        <x:v>온유</x:v>
      </x:c>
      <x:c r="C345" s="9" t="str">
        <x:v>공통 신규 내용</x:v>
      </x:c>
      <x:c r="D345" s="9" t="str">
        <x:v>신규 조사 P10-G09-N@v1는 최신 수치의 출처. VIA는 공개 참조를 연결하고 내용 분석·발표 작성은 Downstream Agent에 위임.</x:v>
      </x:c>
      <x:c r="E345" s="9" t="str">
        <x:v>P10-G09-N@v1</x:v>
      </x:c>
    </x:row>
    <x:row r="346" ht="50" customHeight="1">
      <x:c r="A346" s="9" t="str">
        <x:v>P1-G10-EXEC</x:v>
      </x:c>
      <x:c r="B346" s="9" t="str">
        <x:v>새봄</x:v>
      </x:c>
      <x:c r="C346" s="9" t="str">
        <x:v>공통 실행 사실</x:v>
      </x:c>
      <x:c r="D346" s="9" t="str">
        <x:v>조사 Agent R1가 조사 N 작성. 발표 Agent P1가 D2 작성, 수정 Agent Q1가 D3 작성. 현재 P1는 접근 가능하며 발표 작성 capability 공개.</x:v>
      </x:c>
      <x:c r="E346" s="9" t="str">
        <x:v>D2=P1-G10-D2@v1; D3=P1-G10-D3@v1; N=P1-G10-N@v1</x:v>
      </x:c>
    </x:row>
    <x:row r="347" ht="50" customHeight="1">
      <x:c r="A347" s="9" t="str">
        <x:v>P1-G10-DISPLAY</x:v>
      </x:c>
      <x:c r="B347" s="9" t="str">
        <x:v>새봄</x:v>
      </x:c>
      <x:c r="C347" s="9" t="str">
        <x:v>공통 표시 사실</x:v>
      </x:c>
      <x:c r="D347" s="9" t="str">
        <x:v>P1-G10-D2@v1와 P1-G10-D3@v1를 순서대로 실제 표시했다고 가정.</x:v>
      </x:c>
      <x:c r="E347" s="9" t="str">
        <x:v>P1-G10-D2@v1, P1-G10-D3@v1</x:v>
      </x:c>
    </x:row>
    <x:row r="348" ht="50" customHeight="1">
      <x:c r="A348" s="9" t="str">
        <x:v>P1-G10-F1</x:v>
      </x:c>
      <x:c r="B348" s="9" t="str">
        <x:v>새봄</x:v>
      </x:c>
      <x:c r="C348" s="9" t="str">
        <x:v>합성 피드백 원문</x:v>
      </x:c>
      <x:c r="D348" s="9" t="str">
        <x:v>고객에게 보여줄 구성은 먼저 보여준 쪽이 좋고 내부 검토에는 나중에 본 수정본을 쓰자.</x:v>
      </x:c>
      <x:c r="E348" s="9" t="str">
        <x:v>P1-G10-D2@v1, P1-G10-D3@v1</x:v>
      </x:c>
    </x:row>
    <x:row r="349" ht="50" customHeight="1">
      <x:c r="A349" s="9" t="str">
        <x:v>P1-G10-NEW</x:v>
      </x:c>
      <x:c r="B349" s="9" t="str">
        <x:v>새봄</x:v>
      </x:c>
      <x:c r="C349" s="9" t="str">
        <x:v>공통 신규 내용</x:v>
      </x:c>
      <x:c r="D349" s="9" t="str">
        <x:v>신규 조사 P1-G10-N@v1는 최신 수치의 출처. VIA는 공개 참조를 연결하고 내용 분석·발표 작성은 Downstream Agent에 위임.</x:v>
      </x:c>
      <x:c r="E349" s="9" t="str">
        <x:v>P1-G10-N@v1</x:v>
      </x:c>
    </x:row>
    <x:row r="350" ht="50" customHeight="1">
      <x:c r="A350" s="9" t="str">
        <x:v>P2-G10-EXEC</x:v>
      </x:c>
      <x:c r="B350" s="9" t="str">
        <x:v>해솔</x:v>
      </x:c>
      <x:c r="C350" s="9" t="str">
        <x:v>공통 실행 사실</x:v>
      </x:c>
      <x:c r="D350" s="9" t="str">
        <x:v>조사 Agent R2가 조사 N 작성. 발표 Agent P2가 D2 작성, 수정 Agent Q2가 D3 작성. 현재 P2는 접근 가능하며 발표 작성 capability 공개.</x:v>
      </x:c>
      <x:c r="E350" s="9" t="str">
        <x:v>D2=P2-G10-D2@v1; D3=P2-G10-D3@v1; N=P2-G10-N@v1</x:v>
      </x:c>
    </x:row>
    <x:row r="351" ht="50" customHeight="1">
      <x:c r="A351" s="9" t="str">
        <x:v>P2-G10-DISPLAY</x:v>
      </x:c>
      <x:c r="B351" s="9" t="str">
        <x:v>해솔</x:v>
      </x:c>
      <x:c r="C351" s="9" t="str">
        <x:v>공통 표시 사실</x:v>
      </x:c>
      <x:c r="D351" s="9" t="str">
        <x:v>P2-G10-D2@v1와 P2-G10-D3@v1를 순서대로 실제 표시했다고 가정.</x:v>
      </x:c>
      <x:c r="E351" s="9" t="str">
        <x:v>P2-G10-D2@v1, P2-G10-D3@v1</x:v>
      </x:c>
    </x:row>
    <x:row r="352" ht="50" customHeight="1">
      <x:c r="A352" s="9" t="str">
        <x:v>P2-G10-F1</x:v>
      </x:c>
      <x:c r="B352" s="9" t="str">
        <x:v>해솔</x:v>
      </x:c>
      <x:c r="C352" s="9" t="str">
        <x:v>합성 피드백 원문</x:v>
      </x:c>
      <x:c r="D352" s="9" t="str">
        <x:v>고객에게 보여줄 구성은 먼저 보여준 쪽이 좋고 내부 검토에는 나중에 본 수정본을 쓰자.</x:v>
      </x:c>
      <x:c r="E352" s="9" t="str">
        <x:v>P2-G10-D2@v1, P2-G10-D3@v1</x:v>
      </x:c>
    </x:row>
    <x:row r="353" ht="50" customHeight="1">
      <x:c r="A353" s="9" t="str">
        <x:v>P2-G10-NEW</x:v>
      </x:c>
      <x:c r="B353" s="9" t="str">
        <x:v>해솔</x:v>
      </x:c>
      <x:c r="C353" s="9" t="str">
        <x:v>공통 신규 내용</x:v>
      </x:c>
      <x:c r="D353" s="9" t="str">
        <x:v>신규 조사 P2-G10-N@v1는 최신 수치의 출처. VIA는 공개 참조를 연결하고 내용 분석·발표 작성은 Downstream Agent에 위임.</x:v>
      </x:c>
      <x:c r="E353" s="9" t="str">
        <x:v>P2-G10-N@v1</x:v>
      </x:c>
    </x:row>
    <x:row r="354" ht="50" customHeight="1">
      <x:c r="A354" s="9" t="str">
        <x:v>P3-G10-EXEC</x:v>
      </x:c>
      <x:c r="B354" s="9" t="str">
        <x:v>가온</x:v>
      </x:c>
      <x:c r="C354" s="9" t="str">
        <x:v>공통 실행 사실</x:v>
      </x:c>
      <x:c r="D354" s="9" t="str">
        <x:v>조사 Agent R3가 조사 N 작성. 발표 Agent P3가 D2 작성, 수정 Agent Q3가 D3 작성. 현재 P3는 접근 가능하며 발표 작성 capability 공개.</x:v>
      </x:c>
      <x:c r="E354" s="9" t="str">
        <x:v>D2=P3-G10-D2@v1; D3=P3-G10-D3@v1; N=P3-G10-N@v1</x:v>
      </x:c>
    </x:row>
    <x:row r="355" ht="50" customHeight="1">
      <x:c r="A355" s="9" t="str">
        <x:v>P3-G10-DISPLAY</x:v>
      </x:c>
      <x:c r="B355" s="9" t="str">
        <x:v>가온</x:v>
      </x:c>
      <x:c r="C355" s="9" t="str">
        <x:v>공통 표시 사실</x:v>
      </x:c>
      <x:c r="D355" s="9" t="str">
        <x:v>P3-G10-D2@v1와 P3-G10-D3@v1를 순서대로 실제 표시했다고 가정.</x:v>
      </x:c>
      <x:c r="E355" s="9" t="str">
        <x:v>P3-G10-D2@v1, P3-G10-D3@v1</x:v>
      </x:c>
    </x:row>
    <x:row r="356" ht="50" customHeight="1">
      <x:c r="A356" s="9" t="str">
        <x:v>P3-G10-F1</x:v>
      </x:c>
      <x:c r="B356" s="9" t="str">
        <x:v>가온</x:v>
      </x:c>
      <x:c r="C356" s="9" t="str">
        <x:v>합성 피드백 원문</x:v>
      </x:c>
      <x:c r="D356" s="9" t="str">
        <x:v>고객에게 보여줄 구성은 먼저 보여준 쪽이 좋고 내부 검토에는 나중에 본 수정본을 쓰자.</x:v>
      </x:c>
      <x:c r="E356" s="9" t="str">
        <x:v>P3-G10-D2@v1, P3-G10-D3@v1</x:v>
      </x:c>
    </x:row>
    <x:row r="357" ht="50" customHeight="1">
      <x:c r="A357" s="9" t="str">
        <x:v>P3-G10-NEW</x:v>
      </x:c>
      <x:c r="B357" s="9" t="str">
        <x:v>가온</x:v>
      </x:c>
      <x:c r="C357" s="9" t="str">
        <x:v>공통 신규 내용</x:v>
      </x:c>
      <x:c r="D357" s="9" t="str">
        <x:v>신규 조사 P3-G10-N@v1는 최신 수치의 출처. VIA는 공개 참조를 연결하고 내용 분석·발표 작성은 Downstream Agent에 위임.</x:v>
      </x:c>
      <x:c r="E357" s="9" t="str">
        <x:v>P3-G10-N@v1</x:v>
      </x:c>
    </x:row>
    <x:row r="358" ht="50" customHeight="1">
      <x:c r="A358" s="9" t="str">
        <x:v>P4-G10-EXEC</x:v>
      </x:c>
      <x:c r="B358" s="9" t="str">
        <x:v>누리</x:v>
      </x:c>
      <x:c r="C358" s="9" t="str">
        <x:v>공통 실행 사실</x:v>
      </x:c>
      <x:c r="D358" s="9" t="str">
        <x:v>조사 Agent R4가 조사 N 작성. 발표 Agent P4가 D2 작성, 수정 Agent Q4가 D3 작성. 현재 P4는 접근 가능하며 발표 작성 capability 공개.</x:v>
      </x:c>
      <x:c r="E358" s="9" t="str">
        <x:v>D2=P4-G10-D2@v1; D3=P4-G10-D3@v1; N=P4-G10-N@v1</x:v>
      </x:c>
    </x:row>
    <x:row r="359" ht="50" customHeight="1">
      <x:c r="A359" s="9" t="str">
        <x:v>P4-G10-DISPLAY</x:v>
      </x:c>
      <x:c r="B359" s="9" t="str">
        <x:v>누리</x:v>
      </x:c>
      <x:c r="C359" s="9" t="str">
        <x:v>공통 표시 사실</x:v>
      </x:c>
      <x:c r="D359" s="9" t="str">
        <x:v>P4-G10-D2@v1와 P4-G10-D3@v1를 순서대로 실제 표시했다고 가정.</x:v>
      </x:c>
      <x:c r="E359" s="9" t="str">
        <x:v>P4-G10-D2@v1, P4-G10-D3@v1</x:v>
      </x:c>
    </x:row>
    <x:row r="360" ht="50" customHeight="1">
      <x:c r="A360" s="9" t="str">
        <x:v>P4-G10-F1</x:v>
      </x:c>
      <x:c r="B360" s="9" t="str">
        <x:v>누리</x:v>
      </x:c>
      <x:c r="C360" s="9" t="str">
        <x:v>합성 피드백 원문</x:v>
      </x:c>
      <x:c r="D360" s="9" t="str">
        <x:v>고객에게 보여줄 구성은 먼저 보여준 쪽이 좋고 내부 검토에는 나중에 본 수정본을 쓰자.</x:v>
      </x:c>
      <x:c r="E360" s="9" t="str">
        <x:v>P4-G10-D2@v1, P4-G10-D3@v1</x:v>
      </x:c>
    </x:row>
    <x:row r="361" ht="50" customHeight="1">
      <x:c r="A361" s="9" t="str">
        <x:v>P4-G10-NEW</x:v>
      </x:c>
      <x:c r="B361" s="9" t="str">
        <x:v>누리</x:v>
      </x:c>
      <x:c r="C361" s="9" t="str">
        <x:v>공통 신규 내용</x:v>
      </x:c>
      <x:c r="D361" s="9" t="str">
        <x:v>신규 조사 P4-G10-N@v1는 최신 수치의 출처. VIA는 공개 참조를 연결하고 내용 분석·발표 작성은 Downstream Agent에 위임.</x:v>
      </x:c>
      <x:c r="E361" s="9" t="str">
        <x:v>P4-G10-N@v1</x:v>
      </x:c>
    </x:row>
    <x:row r="362" ht="50" customHeight="1">
      <x:c r="A362" s="9" t="str">
        <x:v>P5-G10-EXEC</x:v>
      </x:c>
      <x:c r="B362" s="9" t="str">
        <x:v>다온</x:v>
      </x:c>
      <x:c r="C362" s="9" t="str">
        <x:v>공통 실행 사실</x:v>
      </x:c>
      <x:c r="D362" s="9" t="str">
        <x:v>조사 Agent R5가 조사 N 작성. 발표 Agent P5가 D2 작성, 수정 Agent Q5가 D3 작성. 현재 P5는 접근 가능하며 발표 작성 capability 공개.</x:v>
      </x:c>
      <x:c r="E362" s="9" t="str">
        <x:v>D2=P5-G10-D2@v1; D3=P5-G10-D3@v1; N=P5-G10-N@v1</x:v>
      </x:c>
    </x:row>
    <x:row r="363" ht="50" customHeight="1">
      <x:c r="A363" s="9" t="str">
        <x:v>P5-G10-DISPLAY</x:v>
      </x:c>
      <x:c r="B363" s="9" t="str">
        <x:v>다온</x:v>
      </x:c>
      <x:c r="C363" s="9" t="str">
        <x:v>공통 표시 사실</x:v>
      </x:c>
      <x:c r="D363" s="9" t="str">
        <x:v>P5-G10-D2@v1와 P5-G10-D3@v1를 순서대로 실제 표시했다고 가정.</x:v>
      </x:c>
      <x:c r="E363" s="9" t="str">
        <x:v>P5-G10-D2@v1, P5-G10-D3@v1</x:v>
      </x:c>
    </x:row>
    <x:row r="364" ht="50" customHeight="1">
      <x:c r="A364" s="9" t="str">
        <x:v>P5-G10-F1</x:v>
      </x:c>
      <x:c r="B364" s="9" t="str">
        <x:v>다온</x:v>
      </x:c>
      <x:c r="C364" s="9" t="str">
        <x:v>합성 피드백 원문</x:v>
      </x:c>
      <x:c r="D364" s="9" t="str">
        <x:v>고객에게 보여줄 구성은 먼저 보여준 쪽이 좋고 내부 검토에는 나중에 본 수정본을 쓰자.</x:v>
      </x:c>
      <x:c r="E364" s="9" t="str">
        <x:v>P5-G10-D2@v1, P5-G10-D3@v1</x:v>
      </x:c>
    </x:row>
    <x:row r="365" ht="50" customHeight="1">
      <x:c r="A365" s="9" t="str">
        <x:v>P5-G10-NEW</x:v>
      </x:c>
      <x:c r="B365" s="9" t="str">
        <x:v>다온</x:v>
      </x:c>
      <x:c r="C365" s="9" t="str">
        <x:v>공통 신규 내용</x:v>
      </x:c>
      <x:c r="D365" s="9" t="str">
        <x:v>신규 조사 P5-G10-N@v1는 최신 수치의 출처. VIA는 공개 참조를 연결하고 내용 분석·발표 작성은 Downstream Agent에 위임.</x:v>
      </x:c>
      <x:c r="E365" s="9" t="str">
        <x:v>P5-G10-N@v1</x:v>
      </x:c>
    </x:row>
    <x:row r="366" ht="50" customHeight="1">
      <x:c r="A366" s="9" t="str">
        <x:v>P6-G10-EXEC</x:v>
      </x:c>
      <x:c r="B366" s="9" t="str">
        <x:v>마루</x:v>
      </x:c>
      <x:c r="C366" s="9" t="str">
        <x:v>공통 실행 사실</x:v>
      </x:c>
      <x:c r="D366" s="9" t="str">
        <x:v>조사 Agent R6가 조사 N 작성. 발표 Agent P6가 D2 작성, 수정 Agent Q6가 D3 작성. 현재 P6는 접근 가능하며 발표 작성 capability 공개.</x:v>
      </x:c>
      <x:c r="E366" s="9" t="str">
        <x:v>D2=P6-G10-D2@v1; D3=P6-G10-D3@v1; N=P6-G10-N@v1</x:v>
      </x:c>
    </x:row>
    <x:row r="367" ht="50" customHeight="1">
      <x:c r="A367" s="9" t="str">
        <x:v>P6-G10-DISPLAY</x:v>
      </x:c>
      <x:c r="B367" s="9" t="str">
        <x:v>마루</x:v>
      </x:c>
      <x:c r="C367" s="9" t="str">
        <x:v>공통 표시 사실</x:v>
      </x:c>
      <x:c r="D367" s="9" t="str">
        <x:v>P6-G10-D2@v1와 P6-G10-D3@v1를 순서대로 실제 표시했다고 가정.</x:v>
      </x:c>
      <x:c r="E367" s="9" t="str">
        <x:v>P6-G10-D2@v1, P6-G10-D3@v1</x:v>
      </x:c>
    </x:row>
    <x:row r="368" ht="50" customHeight="1">
      <x:c r="A368" s="9" t="str">
        <x:v>P6-G10-F1</x:v>
      </x:c>
      <x:c r="B368" s="9" t="str">
        <x:v>마루</x:v>
      </x:c>
      <x:c r="C368" s="9" t="str">
        <x:v>합성 피드백 원문</x:v>
      </x:c>
      <x:c r="D368" s="9" t="str">
        <x:v>고객에게 보여줄 구성은 먼저 보여준 쪽이 좋고 내부 검토에는 나중에 본 수정본을 쓰자.</x:v>
      </x:c>
      <x:c r="E368" s="9" t="str">
        <x:v>P6-G10-D2@v1, P6-G10-D3@v1</x:v>
      </x:c>
    </x:row>
    <x:row r="369" ht="50" customHeight="1">
      <x:c r="A369" s="9" t="str">
        <x:v>P6-G10-NEW</x:v>
      </x:c>
      <x:c r="B369" s="9" t="str">
        <x:v>마루</x:v>
      </x:c>
      <x:c r="C369" s="9" t="str">
        <x:v>공통 신규 내용</x:v>
      </x:c>
      <x:c r="D369" s="9" t="str">
        <x:v>신규 조사 P6-G10-N@v1는 최신 수치의 출처. VIA는 공개 참조를 연결하고 내용 분석·발표 작성은 Downstream Agent에 위임.</x:v>
      </x:c>
      <x:c r="E369" s="9" t="str">
        <x:v>P6-G10-N@v1</x:v>
      </x:c>
    </x:row>
    <x:row r="370" ht="50" customHeight="1">
      <x:c r="A370" s="9" t="str">
        <x:v>P7-G10-EXEC</x:v>
      </x:c>
      <x:c r="B370" s="9" t="str">
        <x:v>이든</x:v>
      </x:c>
      <x:c r="C370" s="9" t="str">
        <x:v>공통 실행 사실</x:v>
      </x:c>
      <x:c r="D370" s="9" t="str">
        <x:v>조사 Agent R7가 조사 N 작성. 발표 Agent P7가 D2 작성, 수정 Agent Q7가 D3 작성. 현재 P7는 접근 가능하며 발표 작성 capability 공개.</x:v>
      </x:c>
      <x:c r="E370" s="9" t="str">
        <x:v>D2=P7-G10-D2@v1; D3=P7-G10-D3@v1; N=P7-G10-N@v1</x:v>
      </x:c>
    </x:row>
    <x:row r="371" ht="50" customHeight="1">
      <x:c r="A371" s="9" t="str">
        <x:v>P7-G10-DISPLAY</x:v>
      </x:c>
      <x:c r="B371" s="9" t="str">
        <x:v>이든</x:v>
      </x:c>
      <x:c r="C371" s="9" t="str">
        <x:v>공통 표시 사실</x:v>
      </x:c>
      <x:c r="D371" s="9" t="str">
        <x:v>P7-G10-D2@v1와 P7-G10-D3@v1를 순서대로 실제 표시했다고 가정.</x:v>
      </x:c>
      <x:c r="E371" s="9" t="str">
        <x:v>P7-G10-D2@v1, P7-G10-D3@v1</x:v>
      </x:c>
    </x:row>
    <x:row r="372" ht="50" customHeight="1">
      <x:c r="A372" s="9" t="str">
        <x:v>P7-G10-F1</x:v>
      </x:c>
      <x:c r="B372" s="9" t="str">
        <x:v>이든</x:v>
      </x:c>
      <x:c r="C372" s="9" t="str">
        <x:v>합성 피드백 원문</x:v>
      </x:c>
      <x:c r="D372" s="9" t="str">
        <x:v>고객에게 보여줄 구성은 먼저 보여준 쪽이 좋고 내부 검토에는 나중에 본 수정본을 쓰자.</x:v>
      </x:c>
      <x:c r="E372" s="9" t="str">
        <x:v>P7-G10-D2@v1, P7-G10-D3@v1</x:v>
      </x:c>
    </x:row>
    <x:row r="373" ht="50" customHeight="1">
      <x:c r="A373" s="9" t="str">
        <x:v>P7-G10-NEW</x:v>
      </x:c>
      <x:c r="B373" s="9" t="str">
        <x:v>이든</x:v>
      </x:c>
      <x:c r="C373" s="9" t="str">
        <x:v>공통 신규 내용</x:v>
      </x:c>
      <x:c r="D373" s="9" t="str">
        <x:v>신규 조사 P7-G10-N@v1는 최신 수치의 출처. VIA는 공개 참조를 연결하고 내용 분석·발표 작성은 Downstream Agent에 위임.</x:v>
      </x:c>
      <x:c r="E373" s="9" t="str">
        <x:v>P7-G10-N@v1</x:v>
      </x:c>
    </x:row>
    <x:row r="374" ht="50" customHeight="1">
      <x:c r="A374" s="9" t="str">
        <x:v>P8-G10-EXEC</x:v>
      </x:c>
      <x:c r="B374" s="9" t="str">
        <x:v>라온</x:v>
      </x:c>
      <x:c r="C374" s="9" t="str">
        <x:v>공통 실행 사실</x:v>
      </x:c>
      <x:c r="D374" s="9" t="str">
        <x:v>조사 Agent R8가 조사 N 작성. 발표 Agent P8가 D2 작성, 수정 Agent Q8가 D3 작성. 현재 P8는 접근 가능하며 발표 작성 capability 공개.</x:v>
      </x:c>
      <x:c r="E374" s="9" t="str">
        <x:v>D2=P8-G10-D2@v1; D3=P8-G10-D3@v1; N=P8-G10-N@v1</x:v>
      </x:c>
    </x:row>
    <x:row r="375" ht="50" customHeight="1">
      <x:c r="A375" s="9" t="str">
        <x:v>P8-G10-DISPLAY</x:v>
      </x:c>
      <x:c r="B375" s="9" t="str">
        <x:v>라온</x:v>
      </x:c>
      <x:c r="C375" s="9" t="str">
        <x:v>공통 표시 사실</x:v>
      </x:c>
      <x:c r="D375" s="9" t="str">
        <x:v>P8-G10-D2@v1와 P8-G10-D3@v1를 순서대로 실제 표시했다고 가정.</x:v>
      </x:c>
      <x:c r="E375" s="9" t="str">
        <x:v>P8-G10-D2@v1, P8-G10-D3@v1</x:v>
      </x:c>
    </x:row>
    <x:row r="376" ht="50" customHeight="1">
      <x:c r="A376" s="9" t="str">
        <x:v>P8-G10-F1</x:v>
      </x:c>
      <x:c r="B376" s="9" t="str">
        <x:v>라온</x:v>
      </x:c>
      <x:c r="C376" s="9" t="str">
        <x:v>합성 피드백 원문</x:v>
      </x:c>
      <x:c r="D376" s="9" t="str">
        <x:v>고객에게 보여줄 구성은 먼저 보여준 쪽이 좋고 내부 검토에는 나중에 본 수정본을 쓰자.</x:v>
      </x:c>
      <x:c r="E376" s="9" t="str">
        <x:v>P8-G10-D2@v1, P8-G10-D3@v1</x:v>
      </x:c>
    </x:row>
    <x:row r="377" ht="50" customHeight="1">
      <x:c r="A377" s="9" t="str">
        <x:v>P8-G10-NEW</x:v>
      </x:c>
      <x:c r="B377" s="9" t="str">
        <x:v>라온</x:v>
      </x:c>
      <x:c r="C377" s="9" t="str">
        <x:v>공통 신규 내용</x:v>
      </x:c>
      <x:c r="D377" s="9" t="str">
        <x:v>신규 조사 P8-G10-N@v1는 최신 수치의 출처. VIA는 공개 참조를 연결하고 내용 분석·발표 작성은 Downstream Agent에 위임.</x:v>
      </x:c>
      <x:c r="E377" s="9" t="str">
        <x:v>P8-G10-N@v1</x:v>
      </x:c>
    </x:row>
    <x:row r="378" ht="50" customHeight="1">
      <x:c r="A378" s="9" t="str">
        <x:v>P9-G10-EXEC</x:v>
      </x:c>
      <x:c r="B378" s="9" t="str">
        <x:v>한결</x:v>
      </x:c>
      <x:c r="C378" s="9" t="str">
        <x:v>공통 실행 사실</x:v>
      </x:c>
      <x:c r="D378" s="9" t="str">
        <x:v>조사 Agent R9가 조사 N 작성. 발표 Agent P9가 D2 작성, 수정 Agent Q9가 D3 작성. 현재 P9는 접근 가능하며 발표 작성 capability 공개.</x:v>
      </x:c>
      <x:c r="E378" s="9" t="str">
        <x:v>D2=P9-G10-D2@v1; D3=P9-G10-D3@v1; N=P9-G10-N@v1</x:v>
      </x:c>
    </x:row>
    <x:row r="379" ht="50" customHeight="1">
      <x:c r="A379" s="9" t="str">
        <x:v>P9-G10-DISPLAY</x:v>
      </x:c>
      <x:c r="B379" s="9" t="str">
        <x:v>한결</x:v>
      </x:c>
      <x:c r="C379" s="9" t="str">
        <x:v>공통 표시 사실</x:v>
      </x:c>
      <x:c r="D379" s="9" t="str">
        <x:v>P9-G10-D2@v1와 P9-G10-D3@v1를 순서대로 실제 표시했다고 가정.</x:v>
      </x:c>
      <x:c r="E379" s="9" t="str">
        <x:v>P9-G10-D2@v1, P9-G10-D3@v1</x:v>
      </x:c>
    </x:row>
    <x:row r="380" ht="50" customHeight="1">
      <x:c r="A380" s="9" t="str">
        <x:v>P9-G10-F1</x:v>
      </x:c>
      <x:c r="B380" s="9" t="str">
        <x:v>한결</x:v>
      </x:c>
      <x:c r="C380" s="9" t="str">
        <x:v>합성 피드백 원문</x:v>
      </x:c>
      <x:c r="D380" s="9" t="str">
        <x:v>고객에게 보여줄 구성은 먼저 보여준 쪽이 좋고 내부 검토에는 나중에 본 수정본을 쓰자.</x:v>
      </x:c>
      <x:c r="E380" s="9" t="str">
        <x:v>P9-G10-D2@v1, P9-G10-D3@v1</x:v>
      </x:c>
    </x:row>
    <x:row r="381" ht="50" customHeight="1">
      <x:c r="A381" s="9" t="str">
        <x:v>P9-G10-NEW</x:v>
      </x:c>
      <x:c r="B381" s="9" t="str">
        <x:v>한결</x:v>
      </x:c>
      <x:c r="C381" s="9" t="str">
        <x:v>공통 신규 내용</x:v>
      </x:c>
      <x:c r="D381" s="9" t="str">
        <x:v>신규 조사 P9-G10-N@v1는 최신 수치의 출처. VIA는 공개 참조를 연결하고 내용 분석·발표 작성은 Downstream Agent에 위임.</x:v>
      </x:c>
      <x:c r="E381" s="9" t="str">
        <x:v>P9-G10-N@v1</x:v>
      </x:c>
    </x:row>
    <x:row r="382" ht="50" customHeight="1">
      <x:c r="A382" s="9" t="str">
        <x:v>P10-G10-EXEC</x:v>
      </x:c>
      <x:c r="B382" s="9" t="str">
        <x:v>온유</x:v>
      </x:c>
      <x:c r="C382" s="9" t="str">
        <x:v>공통 실행 사실</x:v>
      </x:c>
      <x:c r="D382" s="9" t="str">
        <x:v>조사 Agent R10가 조사 N 작성. 발표 Agent P10가 D2 작성, 수정 Agent Q10가 D3 작성. 현재 P10는 접근 가능하며 발표 작성 capability 공개.</x:v>
      </x:c>
      <x:c r="E382" s="9" t="str">
        <x:v>D2=P10-G10-D2@v1; D3=P10-G10-D3@v1; N=P10-G10-N@v1</x:v>
      </x:c>
    </x:row>
    <x:row r="383" ht="50" customHeight="1">
      <x:c r="A383" s="9" t="str">
        <x:v>P10-G10-DISPLAY</x:v>
      </x:c>
      <x:c r="B383" s="9" t="str">
        <x:v>온유</x:v>
      </x:c>
      <x:c r="C383" s="9" t="str">
        <x:v>공통 표시 사실</x:v>
      </x:c>
      <x:c r="D383" s="9" t="str">
        <x:v>P10-G10-D2@v1와 P10-G10-D3@v1를 순서대로 실제 표시했다고 가정.</x:v>
      </x:c>
      <x:c r="E383" s="9" t="str">
        <x:v>P10-G10-D2@v1, P10-G10-D3@v1</x:v>
      </x:c>
    </x:row>
    <x:row r="384" ht="50" customHeight="1">
      <x:c r="A384" s="9" t="str">
        <x:v>P10-G10-F1</x:v>
      </x:c>
      <x:c r="B384" s="9" t="str">
        <x:v>온유</x:v>
      </x:c>
      <x:c r="C384" s="9" t="str">
        <x:v>합성 피드백 원문</x:v>
      </x:c>
      <x:c r="D384" s="9" t="str">
        <x:v>고객에게 보여줄 구성은 먼저 보여준 쪽이 좋고 내부 검토에는 나중에 본 수정본을 쓰자.</x:v>
      </x:c>
      <x:c r="E384" s="9" t="str">
        <x:v>P10-G10-D2@v1, P10-G10-D3@v1</x:v>
      </x:c>
    </x:row>
    <x:row r="385" ht="50" customHeight="1">
      <x:c r="A385" s="9" t="str">
        <x:v>P10-G10-NEW</x:v>
      </x:c>
      <x:c r="B385" s="9" t="str">
        <x:v>온유</x:v>
      </x:c>
      <x:c r="C385" s="9" t="str">
        <x:v>공통 신규 내용</x:v>
      </x:c>
      <x:c r="D385" s="9" t="str">
        <x:v>신규 조사 P10-G10-N@v1는 최신 수치의 출처. VIA는 공개 참조를 연결하고 내용 분석·발표 작성은 Downstream Agent에 위임.</x:v>
      </x:c>
      <x:c r="E385" s="9" t="str">
        <x:v>P10-G10-N@v1</x:v>
      </x:c>
    </x:row>
    <x:row r="386">
      <x:c r="A386" s="1"/>
      <x:c r="B386" s="1"/>
      <x:c r="C386" s="1"/>
      <x:c r="D386" s="1"/>
      <x:c r="E386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219999313354492" hidden="0" customWidth="1"/>
    <x:col min="2" max="2" width="7.78000020980835" hidden="0" customWidth="1"/>
    <x:col min="3" max="3" width="26.670000076293945" hidden="0" customWidth="1"/>
    <x:col min="4" max="4" width="26.670000076293945" hidden="0" customWidth="1"/>
    <x:col min="5" max="5" width="12.220000267028809" hidden="0" customWidth="1"/>
    <x:col min="6" max="6" width="77.77999877929688" hidden="0" customWidth="1"/>
    <x:col min="7" max="7" width="77.77999877929688" hidden="0" customWidth="1"/>
    <x:col min="8" max="8" width="12.220000267028809" hidden="0" customWidth="1"/>
    <x:col min="9" max="9" width="16.670000076293945" hidden="0" customWidth="1"/>
    <x:col min="10" max="10" width="68.88999938964844" hidden="0" customWidth="1"/>
    <x:col min="11" max="11" width="100" hidden="0" customWidth="1"/>
    <x:col min="12" max="12" width="42.2200012207031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가상 최초 응답과 정확도 (합성)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설명용 합성 데이터. 목표 수치에 맞춰 작성한 사례·응답·시간·비용이며 실제 관측/LLM 실행/통계 표본이 아님.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7" t="str">
        <x:v>사례 ID</x:v>
      </x:c>
      <x:c r="B5" s="7" t="str">
        <x:v>방안</x:v>
      </x:c>
      <x:c r="C5" s="7" t="str">
        <x:v>정답 대상 집합</x:v>
      </x:c>
      <x:c r="D5" s="7" t="str">
        <x:v>최초 대상 집합</x:v>
      </x:c>
      <x:c r="E5" s="7" t="str">
        <x:v>QA02 성공</x:v>
      </x:c>
      <x:c r="F5" s="7" t="str">
        <x:v>정답 필수 의미</x:v>
      </x:c>
      <x:c r="G5" s="7" t="str">
        <x:v>최초 채택 의미</x:v>
      </x:c>
      <x:c r="H5" s="7" t="str">
        <x:v>QA07 성공</x:v>
      </x:c>
      <x:c r="I5" s="7" t="str">
        <x:v>오류 분류</x:v>
      </x:c>
      <x:c r="J5" s="7" t="str">
        <x:v>QA01 종료 문장(합성)</x:v>
      </x:c>
      <x:c r="K5" s="7" t="str">
        <x:v>이어지는 본문 포함 응답(합성)</x:v>
      </x:c>
      <x:c r="L5" s="7" t="str">
        <x:v>합성 오류 원인</x:v>
      </x:c>
    </x:row>
    <x:row r="6" ht="95" customHeight="1">
      <x:c r="A6" s="9" t="str">
        <x:v>SYN-G01-01</x:v>
      </x:c>
      <x:c r="B6" s="9" t="str">
        <x:v>A</x:v>
      </x:c>
      <x:c r="C6" s="9" t="str">
        <x:v>["P1-G01-D2@v1"]</x:v>
      </x:c>
      <x:c r="D6" s="9" t="str">
        <x:v>["P1-G01-D2@v1"]</x:v>
      </x:c>
      <x:c r="E6" s="9" t="n">
        <x:f>IF(C6=D6,1,0)</x:f>
        <x:v>1</x:v>
      </x:c>
      <x:c r="F6" s="9" t="str">
        <x:v>{"goal":"협업 도구 도입 후속 발표자료 작성","aspect":"구성","audience":"외부 고객","condition":"신규 조사로 수치 교체; 표는 2개 이내","data":"P1-G01-N@v1","agent":"발표 Agent P1","taskRelation":"별도 발표 작업 생성; 기존 조사 작업 유지"}</x:v>
      </x:c>
      <x:c r="G6" s="9" t="str">
        <x:v>{"goal":"협업 도구 도입 후속 발표자료 작성","aspect":"구성","audience":"외부 고객","condition":"신규 조사로 수치 교체; 표는 2개 이내","data":"P1-G01-N@v1","agent":"발표 Agent P1","taskRelation":"별도 발표 작업 생성; 기존 조사 작업 유지"}</x:v>
      </x:c>
      <x:c r="H6" s="9" t="n">
        <x:f>IF(AND(E6=1,F6=G6),1,0)</x:f>
        <x:v>1</x:v>
      </x:c>
      <x:c r="I6" s="9" t="str">
        <x:v>NONE</x:v>
      </x:c>
      <x:c r="J6" s="9" t="str">
        <x:v>새봄 협업 도구 도입 고객 제안서(P1-G01-D2@v1)의 구성을 활용해 외부 고객용 발표자료 작성을 발표 Agent P1에게 맡기겠습니다.</x:v>
      </x:c>
      <x:c r="K6" s="9" t="str">
        <x:v>새봄 협업 도구 도입 고객 제안서(P1-G01-D2@v1)의 구성을 활용해 외부 고객용 발표자료 작성을 발표 Agent P1에게 맡기겠습니다. 내용은 P1-G01-N@v1를 사용하고, 신규 조사로 수치 교체; 표는 2개 이내. 별도 발표 작업 생성; 기존 조사 작업 유지.</x:v>
      </x:c>
      <x:c r="L6" s="9" t="str">
        <x:v>필수 의미와 지칭 집합 모두 일치</x:v>
      </x:c>
    </x:row>
    <x:row r="7" ht="95" customHeight="1">
      <x:c r="A7" s="9" t="str">
        <x:v>SYN-G01-01</x:v>
      </x:c>
      <x:c r="B7" s="9" t="str">
        <x:v>B</x:v>
      </x:c>
      <x:c r="C7" s="9" t="str">
        <x:v>["P1-G01-D2@v1"]</x:v>
      </x:c>
      <x:c r="D7" s="9" t="str">
        <x:v>["P1-G01-D2@v1"]</x:v>
      </x:c>
      <x:c r="E7" s="9" t="n">
        <x:f>IF(C7=D7,1,0)</x:f>
        <x:v>1</x:v>
      </x:c>
      <x:c r="F7" s="9" t="str">
        <x:v>{"goal":"협업 도구 도입 후속 발표자료 작성","aspect":"구성","audience":"외부 고객","condition":"신규 조사로 수치 교체; 표는 2개 이내","data":"P1-G01-N@v1","agent":"발표 Agent P1","taskRelation":"별도 발표 작업 생성; 기존 조사 작업 유지"}</x:v>
      </x:c>
      <x:c r="G7" s="9" t="str">
        <x:v>{"goal":"협업 도구 도입 후속 발표자료 작성","aspect":"구성","audience":"외부 고객","condition":"신규 조사로 수치 교체; 표는 2개 이내","data":"P1-G01-N@v1","agent":"발표 Agent P1","taskRelation":"별도 발표 작업 생성; 기존 조사 작업 유지"}</x:v>
      </x:c>
      <x:c r="H7" s="9" t="n">
        <x:f>IF(AND(E7=1,F7=G7),1,0)</x:f>
        <x:v>1</x:v>
      </x:c>
      <x:c r="I7" s="9" t="str">
        <x:v>NONE</x:v>
      </x:c>
      <x:c r="J7" s="9" t="str">
        <x:v>새봄 협업 도구 도입 고객 제안서(P1-G01-D2@v1)의 구성을 활용해 외부 고객용 발표자료 작성을 발표 Agent P1에게 맡기겠습니다.</x:v>
      </x:c>
      <x:c r="K7" s="9" t="str">
        <x:v>새봄 협업 도구 도입 고객 제안서(P1-G01-D2@v1)의 구성을 활용해 외부 고객용 발표자료 작성을 발표 Agent P1에게 맡기겠습니다. 내용은 P1-G01-N@v1를 사용하고, 신규 조사로 수치 교체; 표는 2개 이내. 별도 발표 작업 생성; 기존 조사 작업 유지.</x:v>
      </x:c>
      <x:c r="L7" s="9" t="str">
        <x:v>필수 의미와 지칭 집합 모두 일치</x:v>
      </x:c>
    </x:row>
    <x:row r="8" ht="95" customHeight="1">
      <x:c r="A8" s="9" t="str">
        <x:v>SYN-G01-02</x:v>
      </x:c>
      <x:c r="B8" s="9" t="str">
        <x:v>A</x:v>
      </x:c>
      <x:c r="C8" s="9" t="str">
        <x:v>["P2-G01-D2@v1"]</x:v>
      </x:c>
      <x:c r="D8" s="9" t="str">
        <x:v>["P2-G01-D2@v1"]</x:v>
      </x:c>
      <x:c r="E8" s="9" t="n">
        <x:f>IF(C8=D8,1,0)</x:f>
        <x:v>1</x:v>
      </x:c>
      <x:c r="F8" s="9" t="str">
        <x:v>{"goal":"고객지원 시스템 교체 후속 발표자료 작성","aspect":"구성","audience":"외부 고객","condition":"신규 조사로 수치 교체; 표는 3개 이내","data":"P2-G01-N@v1","agent":"발표 Agent P2","taskRelation":"별도 발표 작업 생성; 기존 조사 작업 유지"}</x:v>
      </x:c>
      <x:c r="G8" s="9" t="str">
        <x:v>{"goal":"고객지원 시스템 교체 후속 발표자료 작성","aspect":"구성","audience":"외부 고객","condition":"신규 조사로 수치 교체; 표는 3개 이내","data":"P2-G01-N@v1","agent":"발표 Agent P2","taskRelation":"별도 발표 작업 생성; 기존 조사 작업 유지"}</x:v>
      </x:c>
      <x:c r="H8" s="9" t="n">
        <x:f>IF(AND(E8=1,F8=G8),1,0)</x:f>
        <x:v>1</x:v>
      </x:c>
      <x:c r="I8" s="9" t="str">
        <x:v>NONE</x:v>
      </x:c>
      <x:c r="J8" s="9" t="str">
        <x:v>해솔 고객지원 시스템 교체 고객 제안서(P2-G01-D2@v1)의 구성을 활용해 외부 고객용 발표자료 작성을 발표 Agent P2에게 맡기겠습니다.</x:v>
      </x:c>
      <x:c r="K8" s="9" t="str">
        <x:v>해솔 고객지원 시스템 교체 고객 제안서(P2-G01-D2@v1)의 구성을 활용해 외부 고객용 발표자료 작성을 발표 Agent P2에게 맡기겠습니다. 내용은 P2-G01-N@v1를 사용하고, 신규 조사로 수치 교체; 표는 3개 이내. 별도 발표 작업 생성; 기존 조사 작업 유지.</x:v>
      </x:c>
      <x:c r="L8" s="9" t="str">
        <x:v>필수 의미와 지칭 집합 모두 일치</x:v>
      </x:c>
    </x:row>
    <x:row r="9" ht="95" customHeight="1">
      <x:c r="A9" s="9" t="str">
        <x:v>SYN-G01-02</x:v>
      </x:c>
      <x:c r="B9" s="9" t="str">
        <x:v>B</x:v>
      </x:c>
      <x:c r="C9" s="9" t="str">
        <x:v>["P2-G01-D2@v1"]</x:v>
      </x:c>
      <x:c r="D9" s="9" t="str">
        <x:v>["P2-G01-D2@v1"]</x:v>
      </x:c>
      <x:c r="E9" s="9" t="n">
        <x:f>IF(C9=D9,1,0)</x:f>
        <x:v>1</x:v>
      </x:c>
      <x:c r="F9" s="9" t="str">
        <x:v>{"goal":"고객지원 시스템 교체 후속 발표자료 작성","aspect":"구성","audience":"외부 고객","condition":"신규 조사로 수치 교체; 표는 3개 이내","data":"P2-G01-N@v1","agent":"발표 Agent P2","taskRelation":"별도 발표 작업 생성; 기존 조사 작업 유지"}</x:v>
      </x:c>
      <x:c r="G9" s="9" t="str">
        <x:v>{"goal":"고객지원 시스템 교체 후속 발표자료 작성","aspect":"구성","audience":"외부 고객","condition":"신규 조사로 수치 교체; 표는 3개 이내","data":"P2-G01-N@v1","agent":"발표 Agent P2","taskRelation":"별도 발표 작업 생성; 기존 조사 작업 유지"}</x:v>
      </x:c>
      <x:c r="H9" s="9" t="n">
        <x:f>IF(AND(E9=1,F9=G9),1,0)</x:f>
        <x:v>1</x:v>
      </x:c>
      <x:c r="I9" s="9" t="str">
        <x:v>NONE</x:v>
      </x:c>
      <x:c r="J9" s="9" t="str">
        <x:v>해솔 고객지원 시스템 교체 고객 제안서(P2-G01-D2@v1)의 구성을 활용해 외부 고객용 발표자료 작성을 발표 Agent P2에게 맡기겠습니다.</x:v>
      </x:c>
      <x:c r="K9" s="9" t="str">
        <x:v>해솔 고객지원 시스템 교체 고객 제안서(P2-G01-D2@v1)의 구성을 활용해 외부 고객용 발표자료 작성을 발표 Agent P2에게 맡기겠습니다. 내용은 P2-G01-N@v1를 사용하고, 신규 조사로 수치 교체; 표는 3개 이내. 별도 발표 작업 생성; 기존 조사 작업 유지.</x:v>
      </x:c>
      <x:c r="L9" s="9" t="str">
        <x:v>필수 의미와 지칭 집합 모두 일치</x:v>
      </x:c>
    </x:row>
    <x:row r="10" ht="95" customHeight="1">
      <x:c r="A10" s="9" t="str">
        <x:v>SYN-G01-03</x:v>
      </x:c>
      <x:c r="B10" s="9" t="str">
        <x:v>A</x:v>
      </x:c>
      <x:c r="C10" s="9" t="str">
        <x:v>["P3-G01-D2@v1"]</x:v>
      </x:c>
      <x:c r="D10" s="9" t="str">
        <x:v>["P3-G01-D2@v1"]</x:v>
      </x:c>
      <x:c r="E10" s="9" t="n">
        <x:f>IF(C10=D10,1,0)</x:f>
        <x:v>1</x:v>
      </x:c>
      <x:c r="F10" s="9" t="str">
        <x:v>{"goal":"물류 현황 보고 후속 발표자료 작성","aspect":"구성","audience":"외부 고객","condition":"신규 조사로 수치 교체; 표는 4개 이내","data":"P3-G01-N@v1","agent":"발표 Agent P3","taskRelation":"별도 발표 작업 생성; 기존 조사 작업 유지"}</x:v>
      </x:c>
      <x:c r="G10" s="9" t="str">
        <x:v>{"goal":"물류 현황 보고 후속 발표자료 작성","aspect":"구성","audience":"외부 고객","condition":"신규 조사로 수치 교체; 표는 4개 이내","data":"P3-G01-N@v1","agent":"발표 Agent P3","taskRelation":"별도 발표 작업 생성; 기존 조사 작업 유지"}</x:v>
      </x:c>
      <x:c r="H10" s="9" t="n">
        <x:f>IF(AND(E10=1,F10=G10),1,0)</x:f>
        <x:v>1</x:v>
      </x:c>
      <x:c r="I10" s="9" t="str">
        <x:v>NONE</x:v>
      </x:c>
      <x:c r="J10" s="9" t="str">
        <x:v>가온 물류 현황 보고 고객 제안서(P3-G01-D2@v1)의 구성을 활용해 외부 고객용 발표자료 작성을 발표 Agent P3에게 맡기겠습니다.</x:v>
      </x:c>
      <x:c r="K10" s="9" t="str">
        <x:v>가온 물류 현황 보고 고객 제안서(P3-G01-D2@v1)의 구성을 활용해 외부 고객용 발표자료 작성을 발표 Agent P3에게 맡기겠습니다. 내용은 P3-G01-N@v1를 사용하고, 신규 조사로 수치 교체; 표는 4개 이내. 별도 발표 작업 생성; 기존 조사 작업 유지.</x:v>
      </x:c>
      <x:c r="L10" s="9" t="str">
        <x:v>필수 의미와 지칭 집합 모두 일치</x:v>
      </x:c>
    </x:row>
    <x:row r="11" ht="95" customHeight="1">
      <x:c r="A11" s="9" t="str">
        <x:v>SYN-G01-03</x:v>
      </x:c>
      <x:c r="B11" s="9" t="str">
        <x:v>B</x:v>
      </x:c>
      <x:c r="C11" s="9" t="str">
        <x:v>["P3-G01-D2@v1"]</x:v>
      </x:c>
      <x:c r="D11" s="9" t="str">
        <x:v>["P3-G01-D2@v1"]</x:v>
      </x:c>
      <x:c r="E11" s="9" t="n">
        <x:f>IF(C11=D11,1,0)</x:f>
        <x:v>1</x:v>
      </x:c>
      <x:c r="F11" s="9" t="str">
        <x:v>{"goal":"물류 현황 보고 후속 발표자료 작성","aspect":"구성","audience":"외부 고객","condition":"신규 조사로 수치 교체; 표는 4개 이내","data":"P3-G01-N@v1","agent":"발표 Agent P3","taskRelation":"별도 발표 작업 생성; 기존 조사 작업 유지"}</x:v>
      </x:c>
      <x:c r="G11" s="9" t="str">
        <x:v>{"goal":"물류 현황 보고 후속 발표자료 작성","aspect":"구성","audience":"외부 고객","condition":"신규 조사로 수치 교체; 표는 4개 이내","data":"P3-G01-N@v1","agent":"발표 Agent P3","taskRelation":"별도 발표 작업 생성; 기존 조사 작업 유지"}</x:v>
      </x:c>
      <x:c r="H11" s="9" t="n">
        <x:f>IF(AND(E11=1,F11=G11),1,0)</x:f>
        <x:v>1</x:v>
      </x:c>
      <x:c r="I11" s="9" t="str">
        <x:v>NONE</x:v>
      </x:c>
      <x:c r="J11" s="9" t="str">
        <x:v>가온 물류 현황 보고 고객 제안서(P3-G01-D2@v1)의 구성을 활용해 외부 고객용 발표자료 작성을 발표 Agent P3에게 맡기겠습니다.</x:v>
      </x:c>
      <x:c r="K11" s="9" t="str">
        <x:v>가온 물류 현황 보고 고객 제안서(P3-G01-D2@v1)의 구성을 활용해 외부 고객용 발표자료 작성을 발표 Agent P3에게 맡기겠습니다. 내용은 P3-G01-N@v1를 사용하고, 신규 조사로 수치 교체; 표는 4개 이내. 별도 발표 작업 생성; 기존 조사 작업 유지.</x:v>
      </x:c>
      <x:c r="L11" s="9" t="str">
        <x:v>필수 의미와 지칭 집합 모두 일치</x:v>
      </x:c>
    </x:row>
    <x:row r="12" ht="95" customHeight="1">
      <x:c r="A12" s="9" t="str">
        <x:v>SYN-G01-04</x:v>
      </x:c>
      <x:c r="B12" s="9" t="str">
        <x:v>A</x:v>
      </x:c>
      <x:c r="C12" s="9" t="str">
        <x:v>["P4-G01-D2@v1"]</x:v>
      </x:c>
      <x:c r="D12" s="9" t="str">
        <x:v>["P4-G01-D2@v1"]</x:v>
      </x:c>
      <x:c r="E12" s="9" t="n">
        <x:f>IF(C12=D12,1,0)</x:f>
        <x:v>1</x:v>
      </x:c>
      <x:c r="F12" s="9" t="str">
        <x:v>{"goal":"매장 운영 개선 후속 발표자료 작성","aspect":"구성","audience":"외부 고객","condition":"신규 조사로 수치 교체; 표는 5개 이내","data":"P4-G01-N@v1","agent":"발표 Agent P4","taskRelation":"별도 발표 작업 생성; 기존 조사 작업 유지"}</x:v>
      </x:c>
      <x:c r="G12" s="9" t="str">
        <x:v>{"goal":"매장 운영 개선 후속 발표자료 작성","aspect":"구성","audience":"외부 고객","condition":"신규 조사로 수치 교체; 표는 5개 이내","data":"P4-G01-N@v1","agent":"발표 Agent P4","taskRelation":"별도 발표 작업 생성; 기존 조사 작업 유지"}</x:v>
      </x:c>
      <x:c r="H12" s="9" t="n">
        <x:f>IF(AND(E12=1,F12=G12),1,0)</x:f>
        <x:v>1</x:v>
      </x:c>
      <x:c r="I12" s="9" t="str">
        <x:v>NONE</x:v>
      </x:c>
      <x:c r="J12" s="9" t="str">
        <x:v>누리 매장 운영 개선 고객 제안서(P4-G01-D2@v1)의 구성을 활용해 외부 고객용 발표자료 작성을 발표 Agent P4에게 맡기겠습니다.</x:v>
      </x:c>
      <x:c r="K12" s="9" t="str">
        <x:v>누리 매장 운영 개선 고객 제안서(P4-G01-D2@v1)의 구성을 활용해 외부 고객용 발표자료 작성을 발표 Agent P4에게 맡기겠습니다. 내용은 P4-G01-N@v1를 사용하고, 신규 조사로 수치 교체; 표는 5개 이내. 별도 발표 작업 생성; 기존 조사 작업 유지.</x:v>
      </x:c>
      <x:c r="L12" s="9" t="str">
        <x:v>필수 의미와 지칭 집합 모두 일치</x:v>
      </x:c>
    </x:row>
    <x:row r="13" ht="95" customHeight="1">
      <x:c r="A13" s="9" t="str">
        <x:v>SYN-G01-04</x:v>
      </x:c>
      <x:c r="B13" s="9" t="str">
        <x:v>B</x:v>
      </x:c>
      <x:c r="C13" s="9" t="str">
        <x:v>["P4-G01-D2@v1"]</x:v>
      </x:c>
      <x:c r="D13" s="9" t="str">
        <x:v>["P4-G01-D2@v1"]</x:v>
      </x:c>
      <x:c r="E13" s="9" t="n">
        <x:f>IF(C13=D13,1,0)</x:f>
        <x:v>1</x:v>
      </x:c>
      <x:c r="F13" s="9" t="str">
        <x:v>{"goal":"매장 운영 개선 후속 발표자료 작성","aspect":"구성","audience":"외부 고객","condition":"신규 조사로 수치 교체; 표는 5개 이내","data":"P4-G01-N@v1","agent":"발표 Agent P4","taskRelation":"별도 발표 작업 생성; 기존 조사 작업 유지"}</x:v>
      </x:c>
      <x:c r="G13" s="9" t="str">
        <x:v>{"goal":"매장 운영 개선 후속 발표자료 작성","aspect":"구성","audience":"외부 고객","condition":"신규 조사로 수치 교체; 표는 5개 이내","data":"P4-G01-N@v1","agent":"발표 Agent P4","taskRelation":"별도 발표 작업 생성; 기존 조사 작업 유지"}</x:v>
      </x:c>
      <x:c r="H13" s="9" t="n">
        <x:f>IF(AND(E13=1,F13=G13),1,0)</x:f>
        <x:v>1</x:v>
      </x:c>
      <x:c r="I13" s="9" t="str">
        <x:v>NONE</x:v>
      </x:c>
      <x:c r="J13" s="9" t="str">
        <x:v>누리 매장 운영 개선 고객 제안서(P4-G01-D2@v1)의 구성을 활용해 외부 고객용 발표자료 작성을 발표 Agent P4에게 맡기겠습니다.</x:v>
      </x:c>
      <x:c r="K13" s="9" t="str">
        <x:v>누리 매장 운영 개선 고객 제안서(P4-G01-D2@v1)의 구성을 활용해 외부 고객용 발표자료 작성을 발표 Agent P4에게 맡기겠습니다. 내용은 P4-G01-N@v1를 사용하고, 신규 조사로 수치 교체; 표는 5개 이내. 별도 발표 작업 생성; 기존 조사 작업 유지.</x:v>
      </x:c>
      <x:c r="L13" s="9" t="str">
        <x:v>필수 의미와 지칭 집합 모두 일치</x:v>
      </x:c>
    </x:row>
    <x:row r="14" ht="95" customHeight="1">
      <x:c r="A14" s="9" t="str">
        <x:v>SYN-G01-05</x:v>
      </x:c>
      <x:c r="B14" s="9" t="str">
        <x:v>A</x:v>
      </x:c>
      <x:c r="C14" s="9" t="str">
        <x:v>["P5-G01-D2@v1"]</x:v>
      </x:c>
      <x:c r="D14" s="9" t="str">
        <x:v>["P5-G01-D2@v1"]</x:v>
      </x:c>
      <x:c r="E14" s="9" t="n">
        <x:f>IF(C14=D14,1,0)</x:f>
        <x:v>1</x:v>
      </x:c>
      <x:c r="F14" s="9" t="str">
        <x:v>{"goal":"교육 과정 개편 후속 발표자료 작성","aspect":"구성","audience":"외부 고객","condition":"신규 조사로 수치 교체; 표는 6개 이내","data":"P5-G01-N@v1","agent":"발표 Agent P5","taskRelation":"별도 발표 작업 생성; 기존 조사 작업 유지"}</x:v>
      </x:c>
      <x:c r="G14" s="9" t="str">
        <x:v>{"goal":"교육 과정 개편 후속 발표자료 작성","aspect":"구성","audience":"외부 고객","condition":"신규 조사로 수치 교체; 표는 6개 이내","data":"P5-G01-N@v1","agent":"발표 Agent P5","taskRelation":"별도 발표 작업 생성; 기존 조사 작업 유지"}</x:v>
      </x:c>
      <x:c r="H14" s="9" t="n">
        <x:f>IF(AND(E14=1,F14=G14),1,0)</x:f>
        <x:v>1</x:v>
      </x:c>
      <x:c r="I14" s="9" t="str">
        <x:v>NONE</x:v>
      </x:c>
      <x:c r="J14" s="9" t="str">
        <x:v>다온 교육 과정 개편 고객 제안서(P5-G01-D2@v1)의 구성을 활용해 외부 고객용 발표자료 작성을 발표 Agent P5에게 맡기겠습니다.</x:v>
      </x:c>
      <x:c r="K14" s="9" t="str">
        <x:v>다온 교육 과정 개편 고객 제안서(P5-G01-D2@v1)의 구성을 활용해 외부 고객용 발표자료 작성을 발표 Agent P5에게 맡기겠습니다. 내용은 P5-G01-N@v1를 사용하고, 신규 조사로 수치 교체; 표는 6개 이내. 별도 발표 작업 생성; 기존 조사 작업 유지.</x:v>
      </x:c>
      <x:c r="L14" s="9" t="str">
        <x:v>필수 의미와 지칭 집합 모두 일치</x:v>
      </x:c>
    </x:row>
    <x:row r="15" ht="95" customHeight="1">
      <x:c r="A15" s="9" t="str">
        <x:v>SYN-G01-05</x:v>
      </x:c>
      <x:c r="B15" s="9" t="str">
        <x:v>B</x:v>
      </x:c>
      <x:c r="C15" s="9" t="str">
        <x:v>["P5-G01-D2@v1"]</x:v>
      </x:c>
      <x:c r="D15" s="9" t="str">
        <x:v>["P5-G01-D2@v1"]</x:v>
      </x:c>
      <x:c r="E15" s="9" t="n">
        <x:f>IF(C15=D15,1,0)</x:f>
        <x:v>1</x:v>
      </x:c>
      <x:c r="F15" s="9" t="str">
        <x:v>{"goal":"교육 과정 개편 후속 발표자료 작성","aspect":"구성","audience":"외부 고객","condition":"신규 조사로 수치 교체; 표는 6개 이내","data":"P5-G01-N@v1","agent":"발표 Agent P5","taskRelation":"별도 발표 작업 생성; 기존 조사 작업 유지"}</x:v>
      </x:c>
      <x:c r="G15" s="9" t="str">
        <x:v>{"goal":"교육 과정 개편 후속 발표자료 작성","aspect":"구성","audience":"외부 고객","condition":"신규 조사로 수치 교체; 표는 6개 이내","data":"P5-G01-N@v1","agent":"발표 Agent P5","taskRelation":"별도 발표 작업 생성; 기존 조사 작업 유지"}</x:v>
      </x:c>
      <x:c r="H15" s="9" t="n">
        <x:f>IF(AND(E15=1,F15=G15),1,0)</x:f>
        <x:v>1</x:v>
      </x:c>
      <x:c r="I15" s="9" t="str">
        <x:v>NONE</x:v>
      </x:c>
      <x:c r="J15" s="9" t="str">
        <x:v>다온 교육 과정 개편 고객 제안서(P5-G01-D2@v1)의 구성을 활용해 외부 고객용 발표자료 작성을 발표 Agent P5에게 맡기겠습니다.</x:v>
      </x:c>
      <x:c r="K15" s="9" t="str">
        <x:v>다온 교육 과정 개편 고객 제안서(P5-G01-D2@v1)의 구성을 활용해 외부 고객용 발표자료 작성을 발표 Agent P5에게 맡기겠습니다. 내용은 P5-G01-N@v1를 사용하고, 신규 조사로 수치 교체; 표는 6개 이내. 별도 발표 작업 생성; 기존 조사 작업 유지.</x:v>
      </x:c>
      <x:c r="L15" s="9" t="str">
        <x:v>필수 의미와 지칭 집합 모두 일치</x:v>
      </x:c>
    </x:row>
    <x:row r="16" ht="95" customHeight="1">
      <x:c r="A16" s="9" t="str">
        <x:v>SYN-G01-06</x:v>
      </x:c>
      <x:c r="B16" s="9" t="str">
        <x:v>A</x:v>
      </x:c>
      <x:c r="C16" s="9" t="str">
        <x:v>["P6-G01-D2@v1"]</x:v>
      </x:c>
      <x:c r="D16" s="9" t="str">
        <x:v>["P6-G01-D2@v1"]</x:v>
      </x:c>
      <x:c r="E16" s="9" t="n">
        <x:f>IF(C16=D16,1,0)</x:f>
        <x:v>1</x:v>
      </x:c>
      <x:c r="F16" s="9" t="str">
        <x:v>{"goal":"제품 출시 계획 후속 발표자료 작성","aspect":"구성","audience":"외부 고객","condition":"신규 조사로 수치 교체; 표는 7개 이내","data":"P6-G01-N@v1","agent":"발표 Agent P6","taskRelation":"별도 발표 작업 생성; 기존 조사 작업 유지"}</x:v>
      </x:c>
      <x:c r="G16" s="9" t="str">
        <x:v>{"goal":"제품 출시 계획 후속 발표자료 작성","aspect":"구성","audience":"외부 고객","condition":"신규 조사로 수치 교체; 표는 7개 이내","data":"P6-G01-N@v1","agent":"발표 Agent P6","taskRelation":"별도 발표 작업 생성; 기존 조사 작업 유지"}</x:v>
      </x:c>
      <x:c r="H16" s="9" t="n">
        <x:f>IF(AND(E16=1,F16=G16),1,0)</x:f>
        <x:v>1</x:v>
      </x:c>
      <x:c r="I16" s="9" t="str">
        <x:v>NONE</x:v>
      </x:c>
      <x:c r="J16" s="9" t="str">
        <x:v>마루 제품 출시 계획 고객 제안서(P6-G01-D2@v1)의 구성을 활용해 외부 고객용 발표자료 작성을 발표 Agent P6에게 맡기겠습니다.</x:v>
      </x:c>
      <x:c r="K16" s="9" t="str">
        <x:v>마루 제품 출시 계획 고객 제안서(P6-G01-D2@v1)의 구성을 활용해 외부 고객용 발표자료 작성을 발표 Agent P6에게 맡기겠습니다. 내용은 P6-G01-N@v1를 사용하고, 신규 조사로 수치 교체; 표는 7개 이내. 별도 발표 작업 생성; 기존 조사 작업 유지.</x:v>
      </x:c>
      <x:c r="L16" s="9" t="str">
        <x:v>필수 의미와 지칭 집합 모두 일치</x:v>
      </x:c>
    </x:row>
    <x:row r="17" ht="95" customHeight="1">
      <x:c r="A17" s="9" t="str">
        <x:v>SYN-G01-06</x:v>
      </x:c>
      <x:c r="B17" s="9" t="str">
        <x:v>B</x:v>
      </x:c>
      <x:c r="C17" s="9" t="str">
        <x:v>["P6-G01-D2@v1"]</x:v>
      </x:c>
      <x:c r="D17" s="9" t="str">
        <x:v>["P6-G01-D2@v1"]</x:v>
      </x:c>
      <x:c r="E17" s="9" t="n">
        <x:f>IF(C17=D17,1,0)</x:f>
        <x:v>1</x:v>
      </x:c>
      <x:c r="F17" s="9" t="str">
        <x:v>{"goal":"제품 출시 계획 후속 발표자료 작성","aspect":"구성","audience":"외부 고객","condition":"신규 조사로 수치 교체; 표는 7개 이내","data":"P6-G01-N@v1","agent":"발표 Agent P6","taskRelation":"별도 발표 작업 생성; 기존 조사 작업 유지"}</x:v>
      </x:c>
      <x:c r="G17" s="9" t="str">
        <x:v>{"goal":"제품 출시 계획 후속 발표자료 작성","aspect":"구성","audience":"외부 고객","condition":"신규 조사로 수치 교체; 표는 7개 이내","data":"P6-G01-N@v1","agent":"발표 Agent P6","taskRelation":"별도 발표 작업 생성; 기존 조사 작업 유지"}</x:v>
      </x:c>
      <x:c r="H17" s="9" t="n">
        <x:f>IF(AND(E17=1,F17=G17),1,0)</x:f>
        <x:v>1</x:v>
      </x:c>
      <x:c r="I17" s="9" t="str">
        <x:v>NONE</x:v>
      </x:c>
      <x:c r="J17" s="9" t="str">
        <x:v>마루 제품 출시 계획 고객 제안서(P6-G01-D2@v1)의 구성을 활용해 외부 고객용 발표자료 작성을 발표 Agent P6에게 맡기겠습니다.</x:v>
      </x:c>
      <x:c r="K17" s="9" t="str">
        <x:v>마루 제품 출시 계획 고객 제안서(P6-G01-D2@v1)의 구성을 활용해 외부 고객용 발표자료 작성을 발표 Agent P6에게 맡기겠습니다. 내용은 P6-G01-N@v1를 사용하고, 신규 조사로 수치 교체; 표는 7개 이내. 별도 발표 작업 생성; 기존 조사 작업 유지.</x:v>
      </x:c>
      <x:c r="L17" s="9" t="str">
        <x:v>필수 의미와 지칭 집합 모두 일치</x:v>
      </x:c>
    </x:row>
    <x:row r="18" ht="95" customHeight="1">
      <x:c r="A18" s="9" t="str">
        <x:v>SYN-G01-07</x:v>
      </x:c>
      <x:c r="B18" s="9" t="str">
        <x:v>A</x:v>
      </x:c>
      <x:c r="C18" s="9" t="str">
        <x:v>["P7-G01-D2@v1"]</x:v>
      </x:c>
      <x:c r="D18" s="9" t="str">
        <x:v>["P7-G01-D2@v1"]</x:v>
      </x:c>
      <x:c r="E18" s="9" t="n">
        <x:f>IF(C18=D18,1,0)</x:f>
        <x:v>1</x:v>
      </x:c>
      <x:c r="F18" s="9" t="str">
        <x:v>{"goal":"연구 장비 도입 후속 발표자료 작성","aspect":"구성","audience":"외부 고객","condition":"신규 조사로 수치 교체; 표는 8개 이내","data":"P7-G01-N@v1","agent":"발표 Agent P7","taskRelation":"별도 발표 작업 생성; 기존 조사 작업 유지"}</x:v>
      </x:c>
      <x:c r="G18" s="9" t="str">
        <x:v>{"goal":"연구 장비 도입 후속 발표자료 작성","aspect":"구성","audience":"외부 고객","condition":"신규 조사로 수치 교체; 표는 8개 이내","data":"P7-G01-N@v1","agent":"발표 Agent P7","taskRelation":"별도 발표 작업 생성; 기존 조사 작업 유지"}</x:v>
      </x:c>
      <x:c r="H18" s="9" t="n">
        <x:f>IF(AND(E18=1,F18=G18),1,0)</x:f>
        <x:v>1</x:v>
      </x:c>
      <x:c r="I18" s="9" t="str">
        <x:v>NONE</x:v>
      </x:c>
      <x:c r="J18" s="9" t="str">
        <x:v>이든 연구 장비 도입 고객 제안서(P7-G01-D2@v1)의 구성을 활용해 외부 고객용 발표자료 작성을 발표 Agent P7에게 맡기겠습니다.</x:v>
      </x:c>
      <x:c r="K18" s="9" t="str">
        <x:v>이든 연구 장비 도입 고객 제안서(P7-G01-D2@v1)의 구성을 활용해 외부 고객용 발표자료 작성을 발표 Agent P7에게 맡기겠습니다. 내용은 P7-G01-N@v1를 사용하고, 신규 조사로 수치 교체; 표는 8개 이내. 별도 발표 작업 생성; 기존 조사 작업 유지.</x:v>
      </x:c>
      <x:c r="L18" s="9" t="str">
        <x:v>필수 의미와 지칭 집합 모두 일치</x:v>
      </x:c>
    </x:row>
    <x:row r="19" ht="95" customHeight="1">
      <x:c r="A19" s="9" t="str">
        <x:v>SYN-G01-07</x:v>
      </x:c>
      <x:c r="B19" s="9" t="str">
        <x:v>B</x:v>
      </x:c>
      <x:c r="C19" s="9" t="str">
        <x:v>["P7-G01-D2@v1"]</x:v>
      </x:c>
      <x:c r="D19" s="9" t="str">
        <x:v>["P7-G01-D2@v1"]</x:v>
      </x:c>
      <x:c r="E19" s="9" t="n">
        <x:f>IF(C19=D19,1,0)</x:f>
        <x:v>1</x:v>
      </x:c>
      <x:c r="F19" s="9" t="str">
        <x:v>{"goal":"연구 장비 도입 후속 발표자료 작성","aspect":"구성","audience":"외부 고객","condition":"신규 조사로 수치 교체; 표는 8개 이내","data":"P7-G01-N@v1","agent":"발표 Agent P7","taskRelation":"별도 발표 작업 생성; 기존 조사 작업 유지"}</x:v>
      </x:c>
      <x:c r="G19" s="9" t="str">
        <x:v>{"goal":"연구 장비 도입 후속 발표자료 작성","aspect":"구성","audience":"외부 고객","condition":"신규 조사로 수치 교체; 표는 8개 이내","data":"P7-G01-N@v1","agent":"발표 Agent P7","taskRelation":"별도 발표 작업 생성; 기존 조사 작업 유지"}</x:v>
      </x:c>
      <x:c r="H19" s="9" t="n">
        <x:f>IF(AND(E19=1,F19=G19),1,0)</x:f>
        <x:v>1</x:v>
      </x:c>
      <x:c r="I19" s="9" t="str">
        <x:v>NONE</x:v>
      </x:c>
      <x:c r="J19" s="9" t="str">
        <x:v>이든 연구 장비 도입 고객 제안서(P7-G01-D2@v1)의 구성을 활용해 외부 고객용 발표자료 작성을 발표 Agent P7에게 맡기겠습니다.</x:v>
      </x:c>
      <x:c r="K19" s="9" t="str">
        <x:v>이든 연구 장비 도입 고객 제안서(P7-G01-D2@v1)의 구성을 활용해 외부 고객용 발표자료 작성을 발표 Agent P7에게 맡기겠습니다. 내용은 P7-G01-N@v1를 사용하고, 신규 조사로 수치 교체; 표는 8개 이내. 별도 발표 작업 생성; 기존 조사 작업 유지.</x:v>
      </x:c>
      <x:c r="L19" s="9" t="str">
        <x:v>필수 의미와 지칭 집합 모두 일치</x:v>
      </x:c>
    </x:row>
    <x:row r="20" ht="95" customHeight="1">
      <x:c r="A20" s="9" t="str">
        <x:v>SYN-G01-08</x:v>
      </x:c>
      <x:c r="B20" s="9" t="str">
        <x:v>A</x:v>
      </x:c>
      <x:c r="C20" s="9" t="str">
        <x:v>["P8-G01-D2@v1"]</x:v>
      </x:c>
      <x:c r="D20" s="9" t="str">
        <x:v>["P8-G01-D2@v1"]</x:v>
      </x:c>
      <x:c r="E20" s="9" t="n">
        <x:f>IF(C20=D20,1,0)</x:f>
        <x:v>1</x:v>
      </x:c>
      <x:c r="F20" s="9" t="str">
        <x:v>{"goal":"사무공간 이전 후속 발표자료 작성","aspect":"구성","audience":"외부 고객","condition":"신규 조사로 수치 교체; 표는 9개 이내","data":"P8-G01-N@v1","agent":"발표 Agent P8","taskRelation":"별도 발표 작업 생성; 기존 조사 작업 유지"}</x:v>
      </x:c>
      <x:c r="G20" s="9" t="str">
        <x:v>{"goal":"사무공간 이전 후속 발표자료 작성","aspect":"구성","audience":"외부 고객","condition":"신규 조사로 수치 교체; 표는 9개 이내","data":"P8-G01-N@v1","agent":"발표 Agent P8","taskRelation":"별도 발표 작업 생성; 기존 조사 작업 유지"}</x:v>
      </x:c>
      <x:c r="H20" s="9" t="n">
        <x:f>IF(AND(E20=1,F20=G20),1,0)</x:f>
        <x:v>1</x:v>
      </x:c>
      <x:c r="I20" s="9" t="str">
        <x:v>NONE</x:v>
      </x:c>
      <x:c r="J20" s="9" t="str">
        <x:v>라온 사무공간 이전 고객 제안서(P8-G01-D2@v1)의 구성을 활용해 외부 고객용 발표자료 작성을 발표 Agent P8에게 맡기겠습니다.</x:v>
      </x:c>
      <x:c r="K20" s="9" t="str">
        <x:v>라온 사무공간 이전 고객 제안서(P8-G01-D2@v1)의 구성을 활용해 외부 고객용 발표자료 작성을 발표 Agent P8에게 맡기겠습니다. 내용은 P8-G01-N@v1를 사용하고, 신규 조사로 수치 교체; 표는 9개 이내. 별도 발표 작업 생성; 기존 조사 작업 유지.</x:v>
      </x:c>
      <x:c r="L20" s="9" t="str">
        <x:v>필수 의미와 지칭 집합 모두 일치</x:v>
      </x:c>
    </x:row>
    <x:row r="21" ht="95" customHeight="1">
      <x:c r="A21" s="9" t="str">
        <x:v>SYN-G01-08</x:v>
      </x:c>
      <x:c r="B21" s="9" t="str">
        <x:v>B</x:v>
      </x:c>
      <x:c r="C21" s="9" t="str">
        <x:v>["P8-G01-D2@v1"]</x:v>
      </x:c>
      <x:c r="D21" s="9" t="str">
        <x:v>["P8-G01-D2@v1"]</x:v>
      </x:c>
      <x:c r="E21" s="9" t="n">
        <x:f>IF(C21=D21,1,0)</x:f>
        <x:v>1</x:v>
      </x:c>
      <x:c r="F21" s="9" t="str">
        <x:v>{"goal":"사무공간 이전 후속 발표자료 작성","aspect":"구성","audience":"외부 고객","condition":"신규 조사로 수치 교체; 표는 9개 이내","data":"P8-G01-N@v1","agent":"발표 Agent P8","taskRelation":"별도 발표 작업 생성; 기존 조사 작업 유지"}</x:v>
      </x:c>
      <x:c r="G21" s="9" t="str">
        <x:v>{"goal":"사무공간 이전 후속 발표자료 작성","aspect":"구성","audience":"외부 고객","condition":"신규 조사로 수치 교체; 표는 9개 이내","data":"P8-G01-N@v1","agent":"발표 Agent P8","taskRelation":"별도 발표 작업 생성; 기존 조사 작업 유지"}</x:v>
      </x:c>
      <x:c r="H21" s="9" t="n">
        <x:f>IF(AND(E21=1,F21=G21),1,0)</x:f>
        <x:v>1</x:v>
      </x:c>
      <x:c r="I21" s="9" t="str">
        <x:v>NONE</x:v>
      </x:c>
      <x:c r="J21" s="9" t="str">
        <x:v>라온 사무공간 이전 고객 제안서(P8-G01-D2@v1)의 구성을 활용해 외부 고객용 발표자료 작성을 발표 Agent P8에게 맡기겠습니다.</x:v>
      </x:c>
      <x:c r="K21" s="9" t="str">
        <x:v>라온 사무공간 이전 고객 제안서(P8-G01-D2@v1)의 구성을 활용해 외부 고객용 발표자료 작성을 발표 Agent P8에게 맡기겠습니다. 내용은 P8-G01-N@v1를 사용하고, 신규 조사로 수치 교체; 표는 9개 이내. 별도 발표 작업 생성; 기존 조사 작업 유지.</x:v>
      </x:c>
      <x:c r="L21" s="9" t="str">
        <x:v>필수 의미와 지칭 집합 모두 일치</x:v>
      </x:c>
    </x:row>
    <x:row r="22" ht="95" customHeight="1">
      <x:c r="A22" s="9" t="str">
        <x:v>SYN-G01-09</x:v>
      </x:c>
      <x:c r="B22" s="9" t="str">
        <x:v>A</x:v>
      </x:c>
      <x:c r="C22" s="9" t="str">
        <x:v>["P9-G01-D2@v1"]</x:v>
      </x:c>
      <x:c r="D22" s="9" t="str">
        <x:v>["P9-G01-D2@v1"]</x:v>
      </x:c>
      <x:c r="E22" s="9" t="n">
        <x:f>IF(C22=D22,1,0)</x:f>
        <x:v>1</x:v>
      </x:c>
      <x:c r="F22" s="9" t="str">
        <x:v>{"goal":"서비스 품질 개선 후속 발표자료 작성","aspect":"구성","audience":"외부 고객","condition":"신규 조사로 수치 교체; 표는 10개 이내","data":"P9-G01-N@v1","agent":"발표 Agent P9","taskRelation":"별도 발표 작업 생성; 기존 조사 작업 유지"}</x:v>
      </x:c>
      <x:c r="G22" s="9" t="str">
        <x:v>{"goal":"서비스 품질 개선 후속 발표자료 작성","aspect":"구성","audience":"외부 고객","condition":"신규 조사로 수치 교체; 표는 10개 이내","data":"P9-G01-N@v1","agent":"발표 Agent P9","taskRelation":"별도 발표 작업 생성; 기존 조사 작업 유지"}</x:v>
      </x:c>
      <x:c r="H22" s="9" t="n">
        <x:f>IF(AND(E22=1,F22=G22),1,0)</x:f>
        <x:v>1</x:v>
      </x:c>
      <x:c r="I22" s="9" t="str">
        <x:v>NONE</x:v>
      </x:c>
      <x:c r="J22" s="9" t="str">
        <x:v>한결 서비스 품질 개선 고객 제안서(P9-G01-D2@v1)의 구성을 활용해 외부 고객용 발표자료 작성을 발표 Agent P9에게 맡기겠습니다.</x:v>
      </x:c>
      <x:c r="K22" s="9" t="str">
        <x:v>한결 서비스 품질 개선 고객 제안서(P9-G01-D2@v1)의 구성을 활용해 외부 고객용 발표자료 작성을 발표 Agent P9에게 맡기겠습니다. 내용은 P9-G01-N@v1를 사용하고, 신규 조사로 수치 교체; 표는 10개 이내. 별도 발표 작업 생성; 기존 조사 작업 유지.</x:v>
      </x:c>
      <x:c r="L22" s="9" t="str">
        <x:v>필수 의미와 지칭 집합 모두 일치</x:v>
      </x:c>
    </x:row>
    <x:row r="23" ht="95" customHeight="1">
      <x:c r="A23" s="9" t="str">
        <x:v>SYN-G01-09</x:v>
      </x:c>
      <x:c r="B23" s="9" t="str">
        <x:v>B</x:v>
      </x:c>
      <x:c r="C23" s="9" t="str">
        <x:v>["P9-G01-D2@v1"]</x:v>
      </x:c>
      <x:c r="D23" s="9" t="str">
        <x:v>["P9-G01-D2@v1"]</x:v>
      </x:c>
      <x:c r="E23" s="9" t="n">
        <x:f>IF(C23=D23,1,0)</x:f>
        <x:v>1</x:v>
      </x:c>
      <x:c r="F23" s="9" t="str">
        <x:v>{"goal":"서비스 품질 개선 후속 발표자료 작성","aspect":"구성","audience":"외부 고객","condition":"신규 조사로 수치 교체; 표는 10개 이내","data":"P9-G01-N@v1","agent":"발표 Agent P9","taskRelation":"별도 발표 작업 생성; 기존 조사 작업 유지"}</x:v>
      </x:c>
      <x:c r="G23" s="9" t="str">
        <x:v>{"goal":"서비스 품질 개선 후속 발표자료 작성","aspect":"구성","audience":"외부 고객","condition":"신규 조사로 수치 교체; 표는 10개 이내","data":"P9-G01-N@v1","agent":"발표 Agent P9","taskRelation":"별도 발표 작업 생성; 기존 조사 작업 유지"}</x:v>
      </x:c>
      <x:c r="H23" s="9" t="n">
        <x:f>IF(AND(E23=1,F23=G23),1,0)</x:f>
        <x:v>1</x:v>
      </x:c>
      <x:c r="I23" s="9" t="str">
        <x:v>NONE</x:v>
      </x:c>
      <x:c r="J23" s="9" t="str">
        <x:v>한결 서비스 품질 개선 고객 제안서(P9-G01-D2@v1)의 구성을 활용해 외부 고객용 발표자료 작성을 발표 Agent P9에게 맡기겠습니다.</x:v>
      </x:c>
      <x:c r="K23" s="9" t="str">
        <x:v>한결 서비스 품질 개선 고객 제안서(P9-G01-D2@v1)의 구성을 활용해 외부 고객용 발표자료 작성을 발표 Agent P9에게 맡기겠습니다. 내용은 P9-G01-N@v1를 사용하고, 신규 조사로 수치 교체; 표는 10개 이내. 별도 발표 작업 생성; 기존 조사 작업 유지.</x:v>
      </x:c>
      <x:c r="L23" s="9" t="str">
        <x:v>필수 의미와 지칭 집합 모두 일치</x:v>
      </x:c>
    </x:row>
    <x:row r="24" ht="95" customHeight="1">
      <x:c r="A24" s="9" t="str">
        <x:v>SYN-G01-10</x:v>
      </x:c>
      <x:c r="B24" s="9" t="str">
        <x:v>A</x:v>
      </x:c>
      <x:c r="C24" s="9" t="str">
        <x:v>["P10-G01-D2@v1"]</x:v>
      </x:c>
      <x:c r="D24" s="9" t="str">
        <x:v>["P10-G01-D2@v1"]</x:v>
      </x:c>
      <x:c r="E24" s="9" t="n">
        <x:f>IF(C24=D24,1,0)</x:f>
        <x:v>1</x:v>
      </x:c>
      <x:c r="F24" s="9" t="str">
        <x:v>{"goal":"파트너 제휴 검토 후속 발표자료 작성","aspect":"구성","audience":"외부 고객","condition":"신규 조사로 수치 교체; 표는 11개 이내","data":"P10-G01-N@v1","agent":"발표 Agent P10","taskRelation":"별도 발표 작업 생성; 기존 조사 작업 유지"}</x:v>
      </x:c>
      <x:c r="G24" s="9" t="str">
        <x:v>{"goal":"파트너 제휴 검토 후속 발표자료 작성","aspect":"구성","audience":"외부 고객","condition":"신규 조사로 수치 교체; 표는 11개 이내","data":"P10-G01-N@v1","agent":"발표 Agent P10","taskRelation":"별도 발표 작업 생성; 기존 조사 작업 유지"}</x:v>
      </x:c>
      <x:c r="H24" s="9" t="n">
        <x:f>IF(AND(E24=1,F24=G24),1,0)</x:f>
        <x:v>1</x:v>
      </x:c>
      <x:c r="I24" s="9" t="str">
        <x:v>NONE</x:v>
      </x:c>
      <x:c r="J24" s="9" t="str">
        <x:v>온유 파트너 제휴 검토 고객 제안서(P10-G01-D2@v1)의 구성을 활용해 외부 고객용 발표자료 작성을 발표 Agent P10에게 맡기겠습니다.</x:v>
      </x:c>
      <x:c r="K24" s="9" t="str">
        <x:v>온유 파트너 제휴 검토 고객 제안서(P10-G01-D2@v1)의 구성을 활용해 외부 고객용 발표자료 작성을 발표 Agent P10에게 맡기겠습니다. 내용은 P10-G01-N@v1를 사용하고, 신규 조사로 수치 교체; 표는 11개 이내. 별도 발표 작업 생성; 기존 조사 작업 유지.</x:v>
      </x:c>
      <x:c r="L24" s="9" t="str">
        <x:v>필수 의미와 지칭 집합 모두 일치</x:v>
      </x:c>
    </x:row>
    <x:row r="25" ht="95" customHeight="1">
      <x:c r="A25" s="9" t="str">
        <x:v>SYN-G01-10</x:v>
      </x:c>
      <x:c r="B25" s="9" t="str">
        <x:v>B</x:v>
      </x:c>
      <x:c r="C25" s="9" t="str">
        <x:v>["P10-G01-D2@v1"]</x:v>
      </x:c>
      <x:c r="D25" s="9" t="str">
        <x:v>["P10-G01-D2@v1"]</x:v>
      </x:c>
      <x:c r="E25" s="9" t="n">
        <x:f>IF(C25=D25,1,0)</x:f>
        <x:v>1</x:v>
      </x:c>
      <x:c r="F25" s="9" t="str">
        <x:v>{"goal":"파트너 제휴 검토 후속 발표자료 작성","aspect":"구성","audience":"외부 고객","condition":"신규 조사로 수치 교체; 표는 11개 이내","data":"P10-G01-N@v1","agent":"발표 Agent P10","taskRelation":"별도 발표 작업 생성; 기존 조사 작업 유지"}</x:v>
      </x:c>
      <x:c r="G25" s="9" t="str">
        <x:v>{"goal":"파트너 제휴 검토 후속 발표자료 작성","aspect":"구성","audience":"외부 고객","condition":"신규 조사로 수치 교체; 표는 11개 이내","data":"P10-G01-N@v1","agent":"발표 Agent P10","taskRelation":"별도 발표 작업 생성; 기존 조사 작업 유지"}</x:v>
      </x:c>
      <x:c r="H25" s="9" t="n">
        <x:f>IF(AND(E25=1,F25=G25),1,0)</x:f>
        <x:v>1</x:v>
      </x:c>
      <x:c r="I25" s="9" t="str">
        <x:v>NONE</x:v>
      </x:c>
      <x:c r="J25" s="9" t="str">
        <x:v>온유 파트너 제휴 검토 고객 제안서(P10-G01-D2@v1)의 구성을 활용해 외부 고객용 발표자료 작성을 발표 Agent P10에게 맡기겠습니다.</x:v>
      </x:c>
      <x:c r="K25" s="9" t="str">
        <x:v>온유 파트너 제휴 검토 고객 제안서(P10-G01-D2@v1)의 구성을 활용해 외부 고객용 발표자료 작성을 발표 Agent P10에게 맡기겠습니다. 내용은 P10-G01-N@v1를 사용하고, 신규 조사로 수치 교체; 표는 11개 이내. 별도 발표 작업 생성; 기존 조사 작업 유지.</x:v>
      </x:c>
      <x:c r="L25" s="9" t="str">
        <x:v>필수 의미와 지칭 집합 모두 일치</x:v>
      </x:c>
    </x:row>
    <x:row r="26" ht="95" customHeight="1">
      <x:c r="A26" s="9" t="str">
        <x:v>SYN-G02-01</x:v>
      </x:c>
      <x:c r="B26" s="9" t="str">
        <x:v>A</x:v>
      </x:c>
      <x:c r="C26" s="9" t="str">
        <x:v>["P1-G02-D2@v1"]</x:v>
      </x:c>
      <x:c r="D26" s="9" t="str">
        <x:v>["P1-G02-D2@v1"]</x:v>
      </x:c>
      <x:c r="E26" s="9" t="n">
        <x:f>IF(C26=D26,1,0)</x:f>
        <x:v>1</x:v>
      </x:c>
      <x:c r="F26" s="9" t="str">
        <x:v>{"goal":"협업 도구 도입 후속 발표자료 작성","aspect":"구성","audience":"외부 고객","condition":"신규 조사로 수치 교체; 표는 2개 이내","data":"P1-G02-N@v1","agent":"발표 Agent P1","taskRelation":"별도 발표 작업 생성; 기존 조사 작업 유지"}</x:v>
      </x:c>
      <x:c r="G26" s="9" t="str">
        <x:v>{"goal":"협업 도구 도입 후속 발표자료 작성","aspect":"구성","audience":"외부 고객","condition":"신규 조사로 수치 교체; 표는 2개 이내","data":"P1-G02-N@v1","agent":"발표 Agent P1","taskRelation":"별도 발표 작업 생성; 기존 조사 작업 유지"}</x:v>
      </x:c>
      <x:c r="H26" s="9" t="n">
        <x:f>IF(AND(E26=1,F26=G26),1,0)</x:f>
        <x:v>1</x:v>
      </x:c>
      <x:c r="I26" s="9" t="str">
        <x:v>NONE</x:v>
      </x:c>
      <x:c r="J26" s="9" t="str">
        <x:v>새봄 협업 도구 도입 고객 제안서(P1-G02-D2@v1)의 구성을 활용해 외부 고객용 발표자료 작성을 발표 Agent P1에게 맡기겠습니다.</x:v>
      </x:c>
      <x:c r="K26" s="9" t="str">
        <x:v>새봄 협업 도구 도입 고객 제안서(P1-G02-D2@v1)의 구성을 활용해 외부 고객용 발표자료 작성을 발표 Agent P1에게 맡기겠습니다. 내용은 P1-G02-N@v1를 사용하고, 신규 조사로 수치 교체; 표는 2개 이내. 별도 발표 작업 생성; 기존 조사 작업 유지.</x:v>
      </x:c>
      <x:c r="L26" s="9" t="str">
        <x:v>필수 의미와 지칭 집합 모두 일치</x:v>
      </x:c>
    </x:row>
    <x:row r="27" ht="95" customHeight="1">
      <x:c r="A27" s="9" t="str">
        <x:v>SYN-G02-01</x:v>
      </x:c>
      <x:c r="B27" s="9" t="str">
        <x:v>B</x:v>
      </x:c>
      <x:c r="C27" s="9" t="str">
        <x:v>["P1-G02-D2@v1"]</x:v>
      </x:c>
      <x:c r="D27" s="9" t="str">
        <x:v>["P1-G02-D2@v1"]</x:v>
      </x:c>
      <x:c r="E27" s="9" t="n">
        <x:f>IF(C27=D27,1,0)</x:f>
        <x:v>1</x:v>
      </x:c>
      <x:c r="F27" s="9" t="str">
        <x:v>{"goal":"협업 도구 도입 후속 발표자료 작성","aspect":"구성","audience":"외부 고객","condition":"신규 조사로 수치 교체; 표는 2개 이내","data":"P1-G02-N@v1","agent":"발표 Agent P1","taskRelation":"별도 발표 작업 생성; 기존 조사 작업 유지"}</x:v>
      </x:c>
      <x:c r="G27" s="9" t="str">
        <x:v>{"goal":"협업 도구 도입 후속 발표자료 작성","aspect":"구성","audience":"외부 고객","condition":"신규 조사로 수치 교체; 표는 2개 이내","data":"P1-G02-N@v1","agent":"발표 Agent P1","taskRelation":"별도 발표 작업 생성; 기존 조사 작업 유지"}</x:v>
      </x:c>
      <x:c r="H27" s="9" t="n">
        <x:f>IF(AND(E27=1,F27=G27),1,0)</x:f>
        <x:v>1</x:v>
      </x:c>
      <x:c r="I27" s="9" t="str">
        <x:v>NONE</x:v>
      </x:c>
      <x:c r="J27" s="9" t="str">
        <x:v>새봄 협업 도구 도입 고객 제안서(P1-G02-D2@v1)의 구성을 활용해 외부 고객용 발표자료 작성을 발표 Agent P1에게 맡기겠습니다.</x:v>
      </x:c>
      <x:c r="K27" s="9" t="str">
        <x:v>새봄 협업 도구 도입 고객 제안서(P1-G02-D2@v1)의 구성을 활용해 외부 고객용 발표자료 작성을 발표 Agent P1에게 맡기겠습니다. 내용은 P1-G02-N@v1를 사용하고, 신규 조사로 수치 교체; 표는 2개 이내. 별도 발표 작업 생성; 기존 조사 작업 유지.</x:v>
      </x:c>
      <x:c r="L27" s="9" t="str">
        <x:v>필수 의미와 지칭 집합 모두 일치</x:v>
      </x:c>
    </x:row>
    <x:row r="28" ht="95" customHeight="1">
      <x:c r="A28" s="9" t="str">
        <x:v>SYN-G02-02</x:v>
      </x:c>
      <x:c r="B28" s="9" t="str">
        <x:v>A</x:v>
      </x:c>
      <x:c r="C28" s="9" t="str">
        <x:v>["P2-G02-D2@v1"]</x:v>
      </x:c>
      <x:c r="D28" s="9" t="str">
        <x:v>["P2-G02-D3@v1"]</x:v>
      </x:c>
      <x:c r="E28" s="9" t="n">
        <x:f>IF(C28=D28,1,0)</x:f>
        <x:v>0</x:v>
      </x:c>
      <x:c r="F28" s="9" t="str">
        <x:v>{"goal":"고객지원 시스템 교체 후속 발표자료 작성","aspect":"구성","audience":"외부 고객","condition":"신규 조사로 수치 교체; 표는 3개 이내","data":"P2-G02-N@v1","agent":"발표 Agent P2","taskRelation":"별도 발표 작업 생성; 기존 조사 작업 유지"}</x:v>
      </x:c>
      <x:c r="G28" s="9" t="str">
        <x:v>{"goal":"고객지원 시스템 교체 후속 발표자료 작성","aspect":"구성","audience":"외부 고객","condition":"신규 조사로 수치 교체; 표는 3개 이내","data":"P2-G02-N@v1","agent":"발표 Agent P2","taskRelation":"별도 발표 작업 생성; 기존 조사 작업 유지"}</x:v>
      </x:c>
      <x:c r="H28" s="9" t="n">
        <x:f>IF(AND(E28=1,F28=G28),1,0)</x:f>
        <x:v>0</x:v>
      </x:c>
      <x:c r="I28" s="9" t="str">
        <x:v>TARGET</x:v>
      </x:c>
      <x:c r="J28" s="9" t="str">
        <x:v>해솔 고객지원 시스템 교체 내부 검토본(P2-G02-D3@v1)의 구성을 활용해 외부 고객용 발표자료 작성을 발표 Agent P2에게 맡기겠습니다.</x:v>
      </x:c>
      <x:c r="K28" s="9" t="str">
        <x:v>해솔 고객지원 시스템 교체 내부 검토본(P2-G02-D3@v1)의 구성을 활용해 외부 고객용 발표자료 작성을 발표 Agent P2에게 맡기겠습니다. 내용은 P2-G02-N@v1를 사용하고, 신규 조사로 수치 교체; 표는 3개 이내. 별도 발표 작업 생성; 기존 조사 작업 유지.</x:v>
      </x:c>
      <x:c r="L28" s="9" t="str">
        <x:v>원본의 표시·피드백 연결을 놓쳐 대안 판본 채택</x:v>
      </x:c>
    </x:row>
    <x:row r="29" ht="95" customHeight="1">
      <x:c r="A29" s="9" t="str">
        <x:v>SYN-G02-02</x:v>
      </x:c>
      <x:c r="B29" s="9" t="str">
        <x:v>B</x:v>
      </x:c>
      <x:c r="C29" s="9" t="str">
        <x:v>["P2-G02-D2@v1"]</x:v>
      </x:c>
      <x:c r="D29" s="9" t="str">
        <x:v>["P2-G02-D2@v1"]</x:v>
      </x:c>
      <x:c r="E29" s="9" t="n">
        <x:f>IF(C29=D29,1,0)</x:f>
        <x:v>1</x:v>
      </x:c>
      <x:c r="F29" s="9" t="str">
        <x:v>{"goal":"고객지원 시스템 교체 후속 발표자료 작성","aspect":"구성","audience":"외부 고객","condition":"신규 조사로 수치 교체; 표는 3개 이내","data":"P2-G02-N@v1","agent":"발표 Agent P2","taskRelation":"별도 발표 작업 생성; 기존 조사 작업 유지"}</x:v>
      </x:c>
      <x:c r="G29" s="9" t="str">
        <x:v>{"goal":"고객지원 시스템 교체 후속 발표자료 작성","aspect":"구성","audience":"외부 고객","condition":"신규 조사로 수치 교체; 표는 3개 이내","data":"P2-G02-N@v1","agent":"발표 Agent P2","taskRelation":"별도 발표 작업 생성; 기존 조사 작업 유지"}</x:v>
      </x:c>
      <x:c r="H29" s="9" t="n">
        <x:f>IF(AND(E29=1,F29=G29),1,0)</x:f>
        <x:v>1</x:v>
      </x:c>
      <x:c r="I29" s="9" t="str">
        <x:v>NONE</x:v>
      </x:c>
      <x:c r="J29" s="9" t="str">
        <x:v>해솔 고객지원 시스템 교체 고객 제안서(P2-G02-D2@v1)의 구성을 활용해 외부 고객용 발표자료 작성을 발표 Agent P2에게 맡기겠습니다.</x:v>
      </x:c>
      <x:c r="K29" s="9" t="str">
        <x:v>해솔 고객지원 시스템 교체 고객 제안서(P2-G02-D2@v1)의 구성을 활용해 외부 고객용 발표자료 작성을 발표 Agent P2에게 맡기겠습니다. 내용은 P2-G02-N@v1를 사용하고, 신규 조사로 수치 교체; 표는 3개 이내. 별도 발표 작업 생성; 기존 조사 작업 유지.</x:v>
      </x:c>
      <x:c r="L29" s="9" t="str">
        <x:v>필수 의미와 지칭 집합 모두 일치</x:v>
      </x:c>
    </x:row>
    <x:row r="30" ht="95" customHeight="1">
      <x:c r="A30" s="9" t="str">
        <x:v>SYN-G02-03</x:v>
      </x:c>
      <x:c r="B30" s="9" t="str">
        <x:v>A</x:v>
      </x:c>
      <x:c r="C30" s="9" t="str">
        <x:v>["P3-G02-D2@v1"]</x:v>
      </x:c>
      <x:c r="D30" s="9" t="str">
        <x:v>["P3-G02-D2@v1"]</x:v>
      </x:c>
      <x:c r="E30" s="9" t="n">
        <x:f>IF(C30=D30,1,0)</x:f>
        <x:v>1</x:v>
      </x:c>
      <x:c r="F30" s="9" t="str">
        <x:v>{"goal":"물류 현황 보고 후속 발표자료 작성","aspect":"구성","audience":"외부 고객","condition":"신규 조사로 수치 교체; 표는 4개 이내","data":"P3-G02-N@v1","agent":"발표 Agent P3","taskRelation":"별도 발표 작업 생성; 기존 조사 작업 유지"}</x:v>
      </x:c>
      <x:c r="G30" s="9" t="str">
        <x:v>{"goal":"물류 현황 보고 후속 발표자료 작성","aspect":"구성","audience":"외부 고객","condition":"신규 조사로 수치 교체; 표는 4개 이내","data":"P3-G02-N@v1","agent":"발표 Agent P3","taskRelation":"별도 발표 작업 생성; 기존 조사 작업 유지"}</x:v>
      </x:c>
      <x:c r="H30" s="9" t="n">
        <x:f>IF(AND(E30=1,F30=G30),1,0)</x:f>
        <x:v>1</x:v>
      </x:c>
      <x:c r="I30" s="9" t="str">
        <x:v>NONE</x:v>
      </x:c>
      <x:c r="J30" s="9" t="str">
        <x:v>가온 물류 현황 보고 고객 제안서(P3-G02-D2@v1)의 구성을 활용해 외부 고객용 발표자료 작성을 발표 Agent P3에게 맡기겠습니다.</x:v>
      </x:c>
      <x:c r="K30" s="9" t="str">
        <x:v>가온 물류 현황 보고 고객 제안서(P3-G02-D2@v1)의 구성을 활용해 외부 고객용 발표자료 작성을 발표 Agent P3에게 맡기겠습니다. 내용은 P3-G02-N@v1를 사용하고, 신규 조사로 수치 교체; 표는 4개 이내. 별도 발표 작업 생성; 기존 조사 작업 유지.</x:v>
      </x:c>
      <x:c r="L30" s="9" t="str">
        <x:v>필수 의미와 지칭 집합 모두 일치</x:v>
      </x:c>
    </x:row>
    <x:row r="31" ht="95" customHeight="1">
      <x:c r="A31" s="9" t="str">
        <x:v>SYN-G02-03</x:v>
      </x:c>
      <x:c r="B31" s="9" t="str">
        <x:v>B</x:v>
      </x:c>
      <x:c r="C31" s="9" t="str">
        <x:v>["P3-G02-D2@v1"]</x:v>
      </x:c>
      <x:c r="D31" s="9" t="str">
        <x:v>["P3-G02-D2@v1"]</x:v>
      </x:c>
      <x:c r="E31" s="9" t="n">
        <x:f>IF(C31=D31,1,0)</x:f>
        <x:v>1</x:v>
      </x:c>
      <x:c r="F31" s="9" t="str">
        <x:v>{"goal":"물류 현황 보고 후속 발표자료 작성","aspect":"구성","audience":"외부 고객","condition":"신규 조사로 수치 교체; 표는 4개 이내","data":"P3-G02-N@v1","agent":"발표 Agent P3","taskRelation":"별도 발표 작업 생성; 기존 조사 작업 유지"}</x:v>
      </x:c>
      <x:c r="G31" s="9" t="str">
        <x:v>{"goal":"물류 현황 보고 후속 발표자료 작성","aspect":"구성","audience":"외부 고객","condition":"신규 조사로 수치 교체; 표는 4개 이내","data":"P3-G02-N@v1","agent":"발표 Agent P3","taskRelation":"별도 발표 작업 생성; 기존 조사 작업 유지"}</x:v>
      </x:c>
      <x:c r="H31" s="9" t="n">
        <x:f>IF(AND(E31=1,F31=G31),1,0)</x:f>
        <x:v>1</x:v>
      </x:c>
      <x:c r="I31" s="9" t="str">
        <x:v>NONE</x:v>
      </x:c>
      <x:c r="J31" s="9" t="str">
        <x:v>가온 물류 현황 보고 고객 제안서(P3-G02-D2@v1)의 구성을 활용해 외부 고객용 발표자료 작성을 발표 Agent P3에게 맡기겠습니다.</x:v>
      </x:c>
      <x:c r="K31" s="9" t="str">
        <x:v>가온 물류 현황 보고 고객 제안서(P3-G02-D2@v1)의 구성을 활용해 외부 고객용 발표자료 작성을 발표 Agent P3에게 맡기겠습니다. 내용은 P3-G02-N@v1를 사용하고, 신규 조사로 수치 교체; 표는 4개 이내. 별도 발표 작업 생성; 기존 조사 작업 유지.</x:v>
      </x:c>
      <x:c r="L31" s="9" t="str">
        <x:v>필수 의미와 지칭 집합 모두 일치</x:v>
      </x:c>
    </x:row>
    <x:row r="32" ht="95" customHeight="1">
      <x:c r="A32" s="9" t="str">
        <x:v>SYN-G02-04</x:v>
      </x:c>
      <x:c r="B32" s="9" t="str">
        <x:v>A</x:v>
      </x:c>
      <x:c r="C32" s="9" t="str">
        <x:v>["P4-G02-D2@v1"]</x:v>
      </x:c>
      <x:c r="D32" s="9" t="str">
        <x:v>["P4-G02-D2@v1"]</x:v>
      </x:c>
      <x:c r="E32" s="9" t="n">
        <x:f>IF(C32=D32,1,0)</x:f>
        <x:v>1</x:v>
      </x:c>
      <x:c r="F32" s="9" t="str">
        <x:v>{"goal":"매장 운영 개선 후속 발표자료 작성","aspect":"구성","audience":"외부 고객","condition":"신규 조사로 수치 교체; 표는 5개 이내","data":"P4-G02-N@v1","agent":"발표 Agent P4","taskRelation":"별도 발표 작업 생성; 기존 조사 작업 유지"}</x:v>
      </x:c>
      <x:c r="G32" s="9" t="str">
        <x:v>{"goal":"매장 운영 개선 후속 발표자료 작성","aspect":"구성","audience":"외부 고객","condition":"신규 조사로 수치 교체; 표는 5개 이내","data":"P4-G02-N@v1","agent":"발표 Agent P4","taskRelation":"별도 발표 작업 생성; 기존 조사 작업 유지"}</x:v>
      </x:c>
      <x:c r="H32" s="9" t="n">
        <x:f>IF(AND(E32=1,F32=G32),1,0)</x:f>
        <x:v>1</x:v>
      </x:c>
      <x:c r="I32" s="9" t="str">
        <x:v>NONE</x:v>
      </x:c>
      <x:c r="J32" s="9" t="str">
        <x:v>누리 매장 운영 개선 고객 제안서(P4-G02-D2@v1)의 구성을 활용해 외부 고객용 발표자료 작성을 발표 Agent P4에게 맡기겠습니다.</x:v>
      </x:c>
      <x:c r="K32" s="9" t="str">
        <x:v>누리 매장 운영 개선 고객 제안서(P4-G02-D2@v1)의 구성을 활용해 외부 고객용 발표자료 작성을 발표 Agent P4에게 맡기겠습니다. 내용은 P4-G02-N@v1를 사용하고, 신규 조사로 수치 교체; 표는 5개 이내. 별도 발표 작업 생성; 기존 조사 작업 유지.</x:v>
      </x:c>
      <x:c r="L32" s="9" t="str">
        <x:v>필수 의미와 지칭 집합 모두 일치</x:v>
      </x:c>
    </x:row>
    <x:row r="33" ht="95" customHeight="1">
      <x:c r="A33" s="9" t="str">
        <x:v>SYN-G02-04</x:v>
      </x:c>
      <x:c r="B33" s="9" t="str">
        <x:v>B</x:v>
      </x:c>
      <x:c r="C33" s="9" t="str">
        <x:v>["P4-G02-D2@v1"]</x:v>
      </x:c>
      <x:c r="D33" s="9" t="str">
        <x:v>["P4-G02-D2@v1"]</x:v>
      </x:c>
      <x:c r="E33" s="9" t="n">
        <x:f>IF(C33=D33,1,0)</x:f>
        <x:v>1</x:v>
      </x:c>
      <x:c r="F33" s="9" t="str">
        <x:v>{"goal":"매장 운영 개선 후속 발표자료 작성","aspect":"구성","audience":"외부 고객","condition":"신규 조사로 수치 교체; 표는 5개 이내","data":"P4-G02-N@v1","agent":"발표 Agent P4","taskRelation":"별도 발표 작업 생성; 기존 조사 작업 유지"}</x:v>
      </x:c>
      <x:c r="G33" s="9" t="str">
        <x:v>{"goal":"매장 운영 개선 후속 발표자료 작성","aspect":"구성","audience":"외부 고객","condition":"신규 조사로 수치 교체; 표는 5개 이내","data":"P4-G02-N@v1","agent":"발표 Agent P4","taskRelation":"별도 발표 작업 생성; 기존 조사 작업 유지"}</x:v>
      </x:c>
      <x:c r="H33" s="9" t="n">
        <x:f>IF(AND(E33=1,F33=G33),1,0)</x:f>
        <x:v>1</x:v>
      </x:c>
      <x:c r="I33" s="9" t="str">
        <x:v>NONE</x:v>
      </x:c>
      <x:c r="J33" s="9" t="str">
        <x:v>누리 매장 운영 개선 고객 제안서(P4-G02-D2@v1)의 구성을 활용해 외부 고객용 발표자료 작성을 발표 Agent P4에게 맡기겠습니다.</x:v>
      </x:c>
      <x:c r="K33" s="9" t="str">
        <x:v>누리 매장 운영 개선 고객 제안서(P4-G02-D2@v1)의 구성을 활용해 외부 고객용 발표자료 작성을 발표 Agent P4에게 맡기겠습니다. 내용은 P4-G02-N@v1를 사용하고, 신규 조사로 수치 교체; 표는 5개 이내. 별도 발표 작업 생성; 기존 조사 작업 유지.</x:v>
      </x:c>
      <x:c r="L33" s="9" t="str">
        <x:v>필수 의미와 지칭 집합 모두 일치</x:v>
      </x:c>
    </x:row>
    <x:row r="34" ht="95" customHeight="1">
      <x:c r="A34" s="9" t="str">
        <x:v>SYN-G02-05</x:v>
      </x:c>
      <x:c r="B34" s="9" t="str">
        <x:v>A</x:v>
      </x:c>
      <x:c r="C34" s="9" t="str">
        <x:v>["P5-G02-D2@v1"]</x:v>
      </x:c>
      <x:c r="D34" s="9" t="str">
        <x:v>["P5-G02-D2@v1"]</x:v>
      </x:c>
      <x:c r="E34" s="9" t="n">
        <x:f>IF(C34=D34,1,0)</x:f>
        <x:v>1</x:v>
      </x:c>
      <x:c r="F34" s="9" t="str">
        <x:v>{"goal":"교육 과정 개편 후속 발표자료 작성","aspect":"구성","audience":"외부 고객","condition":"신규 조사로 수치 교체; 표는 6개 이내","data":"P5-G02-N@v1","agent":"발표 Agent P5","taskRelation":"별도 발표 작업 생성; 기존 조사 작업 유지"}</x:v>
      </x:c>
      <x:c r="G34" s="9" t="str">
        <x:v>{"goal":"교육 과정 개편 후속 발표자료 작성","aspect":"구성","audience":"외부 고객","condition":"신규 조사로 수치 교체; 표는 6개 이내","data":"P5-G02-N@v1","agent":"발표 Agent P5","taskRelation":"별도 발표 작업 생성; 기존 조사 작업 유지"}</x:v>
      </x:c>
      <x:c r="H34" s="9" t="n">
        <x:f>IF(AND(E34=1,F34=G34),1,0)</x:f>
        <x:v>1</x:v>
      </x:c>
      <x:c r="I34" s="9" t="str">
        <x:v>NONE</x:v>
      </x:c>
      <x:c r="J34" s="9" t="str">
        <x:v>다온 교육 과정 개편 고객 제안서(P5-G02-D2@v1)의 구성을 활용해 외부 고객용 발표자료 작성을 발표 Agent P5에게 맡기겠습니다.</x:v>
      </x:c>
      <x:c r="K34" s="9" t="str">
        <x:v>다온 교육 과정 개편 고객 제안서(P5-G02-D2@v1)의 구성을 활용해 외부 고객용 발표자료 작성을 발표 Agent P5에게 맡기겠습니다. 내용은 P5-G02-N@v1를 사용하고, 신규 조사로 수치 교체; 표는 6개 이내. 별도 발표 작업 생성; 기존 조사 작업 유지.</x:v>
      </x:c>
      <x:c r="L34" s="9" t="str">
        <x:v>필수 의미와 지칭 집합 모두 일치</x:v>
      </x:c>
    </x:row>
    <x:row r="35" ht="95" customHeight="1">
      <x:c r="A35" s="9" t="str">
        <x:v>SYN-G02-05</x:v>
      </x:c>
      <x:c r="B35" s="9" t="str">
        <x:v>B</x:v>
      </x:c>
      <x:c r="C35" s="9" t="str">
        <x:v>["P5-G02-D2@v1"]</x:v>
      </x:c>
      <x:c r="D35" s="9" t="str">
        <x:v>["P5-G02-D2@v1"]</x:v>
      </x:c>
      <x:c r="E35" s="9" t="n">
        <x:f>IF(C35=D35,1,0)</x:f>
        <x:v>1</x:v>
      </x:c>
      <x:c r="F35" s="9" t="str">
        <x:v>{"goal":"교육 과정 개편 후속 발표자료 작성","aspect":"구성","audience":"외부 고객","condition":"신규 조사로 수치 교체; 표는 6개 이내","data":"P5-G02-N@v1","agent":"발표 Agent P5","taskRelation":"별도 발표 작업 생성; 기존 조사 작업 유지"}</x:v>
      </x:c>
      <x:c r="G35" s="9" t="str">
        <x:v>{"goal":"교육 과정 개편 후속 발표자료 작성","aspect":"구성","audience":"외부 고객","condition":"신규 조사로 수치 교체; 표는 6개 이내","data":"P5-G02-N@v1","agent":"발표 Agent P5","taskRelation":"별도 발표 작업 생성; 기존 조사 작업 유지"}</x:v>
      </x:c>
      <x:c r="H35" s="9" t="n">
        <x:f>IF(AND(E35=1,F35=G35),1,0)</x:f>
        <x:v>1</x:v>
      </x:c>
      <x:c r="I35" s="9" t="str">
        <x:v>NONE</x:v>
      </x:c>
      <x:c r="J35" s="9" t="str">
        <x:v>다온 교육 과정 개편 고객 제안서(P5-G02-D2@v1)의 구성을 활용해 외부 고객용 발표자료 작성을 발표 Agent P5에게 맡기겠습니다.</x:v>
      </x:c>
      <x:c r="K35" s="9" t="str">
        <x:v>다온 교육 과정 개편 고객 제안서(P5-G02-D2@v1)의 구성을 활용해 외부 고객용 발표자료 작성을 발표 Agent P5에게 맡기겠습니다. 내용은 P5-G02-N@v1를 사용하고, 신규 조사로 수치 교체; 표는 6개 이내. 별도 발표 작업 생성; 기존 조사 작업 유지.</x:v>
      </x:c>
      <x:c r="L35" s="9" t="str">
        <x:v>필수 의미와 지칭 집합 모두 일치</x:v>
      </x:c>
    </x:row>
    <x:row r="36" ht="95" customHeight="1">
      <x:c r="A36" s="9" t="str">
        <x:v>SYN-G02-06</x:v>
      </x:c>
      <x:c r="B36" s="9" t="str">
        <x:v>A</x:v>
      </x:c>
      <x:c r="C36" s="9" t="str">
        <x:v>["P6-G02-D2@v1"]</x:v>
      </x:c>
      <x:c r="D36" s="9" t="str">
        <x:v>["P6-G02-D2@v1"]</x:v>
      </x:c>
      <x:c r="E36" s="9" t="n">
        <x:f>IF(C36=D36,1,0)</x:f>
        <x:v>1</x:v>
      </x:c>
      <x:c r="F36" s="9" t="str">
        <x:v>{"goal":"제품 출시 계획 후속 발표자료 작성","aspect":"구성","audience":"외부 고객","condition":"신규 조사로 수치 교체; 표는 7개 이내","data":"P6-G02-N@v1","agent":"발표 Agent P6","taskRelation":"별도 발표 작업 생성; 기존 조사 작업 유지"}</x:v>
      </x:c>
      <x:c r="G36" s="9" t="str">
        <x:v>{"goal":"제품 출시 계획 후속 발표자료 작성","aspect":"구성","audience":"외부 고객","condition":"신규 조사로 수치 교체; 표는 7개 이내","data":"P6-G02-N@v1","agent":"발표 Agent P6","taskRelation":"별도 발표 작업 생성; 기존 조사 작업 유지"}</x:v>
      </x:c>
      <x:c r="H36" s="9" t="n">
        <x:f>IF(AND(E36=1,F36=G36),1,0)</x:f>
        <x:v>1</x:v>
      </x:c>
      <x:c r="I36" s="9" t="str">
        <x:v>NONE</x:v>
      </x:c>
      <x:c r="J36" s="9" t="str">
        <x:v>마루 제품 출시 계획 고객 제안서(P6-G02-D2@v1)의 구성을 활용해 외부 고객용 발표자료 작성을 발표 Agent P6에게 맡기겠습니다.</x:v>
      </x:c>
      <x:c r="K36" s="9" t="str">
        <x:v>마루 제품 출시 계획 고객 제안서(P6-G02-D2@v1)의 구성을 활용해 외부 고객용 발표자료 작성을 발표 Agent P6에게 맡기겠습니다. 내용은 P6-G02-N@v1를 사용하고, 신규 조사로 수치 교체; 표는 7개 이내. 별도 발표 작업 생성; 기존 조사 작업 유지.</x:v>
      </x:c>
      <x:c r="L36" s="9" t="str">
        <x:v>필수 의미와 지칭 집합 모두 일치</x:v>
      </x:c>
    </x:row>
    <x:row r="37" ht="95" customHeight="1">
      <x:c r="A37" s="9" t="str">
        <x:v>SYN-G02-06</x:v>
      </x:c>
      <x:c r="B37" s="9" t="str">
        <x:v>B</x:v>
      </x:c>
      <x:c r="C37" s="9" t="str">
        <x:v>["P6-G02-D2@v1"]</x:v>
      </x:c>
      <x:c r="D37" s="9" t="str">
        <x:v>["P6-G02-D2@v1"]</x:v>
      </x:c>
      <x:c r="E37" s="9" t="n">
        <x:f>IF(C37=D37,1,0)</x:f>
        <x:v>1</x:v>
      </x:c>
      <x:c r="F37" s="9" t="str">
        <x:v>{"goal":"제품 출시 계획 후속 발표자료 작성","aspect":"구성","audience":"외부 고객","condition":"신규 조사로 수치 교체; 표는 7개 이내","data":"P6-G02-N@v1","agent":"발표 Agent P6","taskRelation":"별도 발표 작업 생성; 기존 조사 작업 유지"}</x:v>
      </x:c>
      <x:c r="G37" s="9" t="str">
        <x:v>{"goal":"제품 출시 계획 후속 발표자료 작성","aspect":"구성","audience":"외부 고객","condition":"신규 조사로 수치 교체; 표는 7개 이내","data":"P6-G02-N@v1","agent":"발표 Agent P6","taskRelation":"별도 발표 작업 생성; 기존 조사 작업 유지"}</x:v>
      </x:c>
      <x:c r="H37" s="9" t="n">
        <x:f>IF(AND(E37=1,F37=G37),1,0)</x:f>
        <x:v>1</x:v>
      </x:c>
      <x:c r="I37" s="9" t="str">
        <x:v>NONE</x:v>
      </x:c>
      <x:c r="J37" s="9" t="str">
        <x:v>마루 제품 출시 계획 고객 제안서(P6-G02-D2@v1)의 구성을 활용해 외부 고객용 발표자료 작성을 발표 Agent P6에게 맡기겠습니다.</x:v>
      </x:c>
      <x:c r="K37" s="9" t="str">
        <x:v>마루 제품 출시 계획 고객 제안서(P6-G02-D2@v1)의 구성을 활용해 외부 고객용 발표자료 작성을 발표 Agent P6에게 맡기겠습니다. 내용은 P6-G02-N@v1를 사용하고, 신규 조사로 수치 교체; 표는 7개 이내. 별도 발표 작업 생성; 기존 조사 작업 유지.</x:v>
      </x:c>
      <x:c r="L37" s="9" t="str">
        <x:v>필수 의미와 지칭 집합 모두 일치</x:v>
      </x:c>
    </x:row>
    <x:row r="38" ht="95" customHeight="1">
      <x:c r="A38" s="9" t="str">
        <x:v>SYN-G02-07</x:v>
      </x:c>
      <x:c r="B38" s="9" t="str">
        <x:v>A</x:v>
      </x:c>
      <x:c r="C38" s="9" t="str">
        <x:v>["P7-G02-D2@v1"]</x:v>
      </x:c>
      <x:c r="D38" s="9" t="str">
        <x:v>["P7-G02-D3@v1"]</x:v>
      </x:c>
      <x:c r="E38" s="9" t="n">
        <x:f>IF(C38=D38,1,0)</x:f>
        <x:v>0</x:v>
      </x:c>
      <x:c r="F38" s="9" t="str">
        <x:v>{"goal":"연구 장비 도입 후속 발표자료 작성","aspect":"구성","audience":"외부 고객","condition":"신규 조사로 수치 교체; 표는 8개 이내","data":"P7-G02-N@v1","agent":"발표 Agent P7","taskRelation":"별도 발표 작업 생성; 기존 조사 작업 유지"}</x:v>
      </x:c>
      <x:c r="G38" s="9" t="str">
        <x:v>{"goal":"연구 장비 도입 후속 발표자료 작성","aspect":"구성","audience":"외부 고객","condition":"신규 조사로 수치 교체; 표는 8개 이내","data":"P7-G02-N@v1","agent":"발표 Agent P7","taskRelation":"별도 발표 작업 생성; 기존 조사 작업 유지"}</x:v>
      </x:c>
      <x:c r="H38" s="9" t="n">
        <x:f>IF(AND(E38=1,F38=G38),1,0)</x:f>
        <x:v>0</x:v>
      </x:c>
      <x:c r="I38" s="9" t="str">
        <x:v>TARGET</x:v>
      </x:c>
      <x:c r="J38" s="9" t="str">
        <x:v>이든 연구 장비 도입 내부 검토본(P7-G02-D3@v1)의 구성을 활용해 외부 고객용 발표자료 작성을 발표 Agent P7에게 맡기겠습니다.</x:v>
      </x:c>
      <x:c r="K38" s="9" t="str">
        <x:v>이든 연구 장비 도입 내부 검토본(P7-G02-D3@v1)의 구성을 활용해 외부 고객용 발표자료 작성을 발표 Agent P7에게 맡기겠습니다. 내용은 P7-G02-N@v1를 사용하고, 신규 조사로 수치 교체; 표는 8개 이내. 별도 발표 작업 생성; 기존 조사 작업 유지.</x:v>
      </x:c>
      <x:c r="L38" s="9" t="str">
        <x:v>원본의 표시·피드백 연결을 놓쳐 대안 판본 채택</x:v>
      </x:c>
    </x:row>
    <x:row r="39" ht="95" customHeight="1">
      <x:c r="A39" s="9" t="str">
        <x:v>SYN-G02-07</x:v>
      </x:c>
      <x:c r="B39" s="9" t="str">
        <x:v>B</x:v>
      </x:c>
      <x:c r="C39" s="9" t="str">
        <x:v>["P7-G02-D2@v1"]</x:v>
      </x:c>
      <x:c r="D39" s="9" t="str">
        <x:v>["P7-G02-D2@v1"]</x:v>
      </x:c>
      <x:c r="E39" s="9" t="n">
        <x:f>IF(C39=D39,1,0)</x:f>
        <x:v>1</x:v>
      </x:c>
      <x:c r="F39" s="9" t="str">
        <x:v>{"goal":"연구 장비 도입 후속 발표자료 작성","aspect":"구성","audience":"외부 고객","condition":"신규 조사로 수치 교체; 표는 8개 이내","data":"P7-G02-N@v1","agent":"발표 Agent P7","taskRelation":"별도 발표 작업 생성; 기존 조사 작업 유지"}</x:v>
      </x:c>
      <x:c r="G39" s="9" t="str">
        <x:v>{"goal":"연구 장비 도입 후속 발표자료 작성","aspect":"구성","audience":"외부 고객","condition":"신규 조사로 수치 교체; 표는 8개 이내","data":"P7-G02-N@v1","agent":"발표 Agent P7","taskRelation":"별도 발표 작업 생성; 기존 조사 작업 유지"}</x:v>
      </x:c>
      <x:c r="H39" s="9" t="n">
        <x:f>IF(AND(E39=1,F39=G39),1,0)</x:f>
        <x:v>1</x:v>
      </x:c>
      <x:c r="I39" s="9" t="str">
        <x:v>NONE</x:v>
      </x:c>
      <x:c r="J39" s="9" t="str">
        <x:v>이든 연구 장비 도입 고객 제안서(P7-G02-D2@v1)의 구성을 활용해 외부 고객용 발표자료 작성을 발표 Agent P7에게 맡기겠습니다.</x:v>
      </x:c>
      <x:c r="K39" s="9" t="str">
        <x:v>이든 연구 장비 도입 고객 제안서(P7-G02-D2@v1)의 구성을 활용해 외부 고객용 발표자료 작성을 발표 Agent P7에게 맡기겠습니다. 내용은 P7-G02-N@v1를 사용하고, 신규 조사로 수치 교체; 표는 8개 이내. 별도 발표 작업 생성; 기존 조사 작업 유지.</x:v>
      </x:c>
      <x:c r="L39" s="9" t="str">
        <x:v>필수 의미와 지칭 집합 모두 일치</x:v>
      </x:c>
    </x:row>
    <x:row r="40" ht="95" customHeight="1">
      <x:c r="A40" s="9" t="str">
        <x:v>SYN-G02-08</x:v>
      </x:c>
      <x:c r="B40" s="9" t="str">
        <x:v>A</x:v>
      </x:c>
      <x:c r="C40" s="9" t="str">
        <x:v>["P8-G02-D2@v1"]</x:v>
      </x:c>
      <x:c r="D40" s="9" t="str">
        <x:v>["P8-G02-D2@v1"]</x:v>
      </x:c>
      <x:c r="E40" s="9" t="n">
        <x:f>IF(C40=D40,1,0)</x:f>
        <x:v>1</x:v>
      </x:c>
      <x:c r="F40" s="9" t="str">
        <x:v>{"goal":"사무공간 이전 후속 발표자료 작성","aspect":"구성","audience":"외부 고객","condition":"신규 조사로 수치 교체; 표는 9개 이내","data":"P8-G02-N@v1","agent":"발표 Agent P8","taskRelation":"별도 발표 작업 생성; 기존 조사 작업 유지"}</x:v>
      </x:c>
      <x:c r="G40" s="9" t="str">
        <x:v>{"goal":"사무공간 이전 후속 발표자료 작성","aspect":"구성","audience":"외부 고객","condition":"신규 조사로 수치 교체; 표는 9개 이내","data":"P8-G02-N@v1","agent":"발표 Agent P8","taskRelation":"별도 발표 작업 생성; 기존 조사 작업 유지"}</x:v>
      </x:c>
      <x:c r="H40" s="9" t="n">
        <x:f>IF(AND(E40=1,F40=G40),1,0)</x:f>
        <x:v>1</x:v>
      </x:c>
      <x:c r="I40" s="9" t="str">
        <x:v>NONE</x:v>
      </x:c>
      <x:c r="J40" s="9" t="str">
        <x:v>라온 사무공간 이전 고객 제안서(P8-G02-D2@v1)의 구성을 활용해 외부 고객용 발표자료 작성을 발표 Agent P8에게 맡기겠습니다.</x:v>
      </x:c>
      <x:c r="K40" s="9" t="str">
        <x:v>라온 사무공간 이전 고객 제안서(P8-G02-D2@v1)의 구성을 활용해 외부 고객용 발표자료 작성을 발표 Agent P8에게 맡기겠습니다. 내용은 P8-G02-N@v1를 사용하고, 신규 조사로 수치 교체; 표는 9개 이내. 별도 발표 작업 생성; 기존 조사 작업 유지.</x:v>
      </x:c>
      <x:c r="L40" s="9" t="str">
        <x:v>필수 의미와 지칭 집합 모두 일치</x:v>
      </x:c>
    </x:row>
    <x:row r="41" ht="95" customHeight="1">
      <x:c r="A41" s="9" t="str">
        <x:v>SYN-G02-08</x:v>
      </x:c>
      <x:c r="B41" s="9" t="str">
        <x:v>B</x:v>
      </x:c>
      <x:c r="C41" s="9" t="str">
        <x:v>["P8-G02-D2@v1"]</x:v>
      </x:c>
      <x:c r="D41" s="9" t="str">
        <x:v>["P8-G02-D2@v1"]</x:v>
      </x:c>
      <x:c r="E41" s="9" t="n">
        <x:f>IF(C41=D41,1,0)</x:f>
        <x:v>1</x:v>
      </x:c>
      <x:c r="F41" s="9" t="str">
        <x:v>{"goal":"사무공간 이전 후속 발표자료 작성","aspect":"구성","audience":"외부 고객","condition":"신규 조사로 수치 교체; 표는 9개 이내","data":"P8-G02-N@v1","agent":"발표 Agent P8","taskRelation":"별도 발표 작업 생성; 기존 조사 작업 유지"}</x:v>
      </x:c>
      <x:c r="G41" s="9" t="str">
        <x:v>{"goal":"사무공간 이전 후속 발표자료 작성","aspect":"구성","audience":"외부 고객","condition":"신규 조사로 수치 교체; 표는 9개 이내","data":"P8-G02-N@v1","agent":"발표 Agent P8","taskRelation":"별도 발표 작업 생성; 기존 조사 작업 유지"}</x:v>
      </x:c>
      <x:c r="H41" s="9" t="n">
        <x:f>IF(AND(E41=1,F41=G41),1,0)</x:f>
        <x:v>1</x:v>
      </x:c>
      <x:c r="I41" s="9" t="str">
        <x:v>NONE</x:v>
      </x:c>
      <x:c r="J41" s="9" t="str">
        <x:v>라온 사무공간 이전 고객 제안서(P8-G02-D2@v1)의 구성을 활용해 외부 고객용 발표자료 작성을 발표 Agent P8에게 맡기겠습니다.</x:v>
      </x:c>
      <x:c r="K41" s="9" t="str">
        <x:v>라온 사무공간 이전 고객 제안서(P8-G02-D2@v1)의 구성을 활용해 외부 고객용 발표자료 작성을 발표 Agent P8에게 맡기겠습니다. 내용은 P8-G02-N@v1를 사용하고, 신규 조사로 수치 교체; 표는 9개 이내. 별도 발표 작업 생성; 기존 조사 작업 유지.</x:v>
      </x:c>
      <x:c r="L41" s="9" t="str">
        <x:v>필수 의미와 지칭 집합 모두 일치</x:v>
      </x:c>
    </x:row>
    <x:row r="42" ht="95" customHeight="1">
      <x:c r="A42" s="9" t="str">
        <x:v>SYN-G02-09</x:v>
      </x:c>
      <x:c r="B42" s="9" t="str">
        <x:v>A</x:v>
      </x:c>
      <x:c r="C42" s="9" t="str">
        <x:v>["P9-G02-D2@v1"]</x:v>
      </x:c>
      <x:c r="D42" s="9" t="str">
        <x:v>["P9-G02-D2@v1"]</x:v>
      </x:c>
      <x:c r="E42" s="9" t="n">
        <x:f>IF(C42=D42,1,0)</x:f>
        <x:v>1</x:v>
      </x:c>
      <x:c r="F42" s="9" t="str">
        <x:v>{"goal":"서비스 품질 개선 후속 발표자료 작성","aspect":"구성","audience":"외부 고객","condition":"신규 조사로 수치 교체; 표는 10개 이내","data":"P9-G02-N@v1","agent":"발표 Agent P9","taskRelation":"별도 발표 작업 생성; 기존 조사 작업 유지"}</x:v>
      </x:c>
      <x:c r="G42" s="9" t="str">
        <x:v>{"goal":"서비스 품질 개선 후속 발표자료 작성","aspect":"구성","audience":"외부 고객","condition":"신규 조사로 수치 교체; 표는 10개 이내","data":"P9-G02-N@v1","agent":"발표 Agent P9","taskRelation":"별도 발표 작업 생성; 기존 조사 작업 유지"}</x:v>
      </x:c>
      <x:c r="H42" s="9" t="n">
        <x:f>IF(AND(E42=1,F42=G42),1,0)</x:f>
        <x:v>1</x:v>
      </x:c>
      <x:c r="I42" s="9" t="str">
        <x:v>NONE</x:v>
      </x:c>
      <x:c r="J42" s="9" t="str">
        <x:v>한결 서비스 품질 개선 고객 제안서(P9-G02-D2@v1)의 구성을 활용해 외부 고객용 발표자료 작성을 발표 Agent P9에게 맡기겠습니다.</x:v>
      </x:c>
      <x:c r="K42" s="9" t="str">
        <x:v>한결 서비스 품질 개선 고객 제안서(P9-G02-D2@v1)의 구성을 활용해 외부 고객용 발표자료 작성을 발표 Agent P9에게 맡기겠습니다. 내용은 P9-G02-N@v1를 사용하고, 신규 조사로 수치 교체; 표는 10개 이내. 별도 발표 작업 생성; 기존 조사 작업 유지.</x:v>
      </x:c>
      <x:c r="L42" s="9" t="str">
        <x:v>필수 의미와 지칭 집합 모두 일치</x:v>
      </x:c>
    </x:row>
    <x:row r="43" ht="95" customHeight="1">
      <x:c r="A43" s="9" t="str">
        <x:v>SYN-G02-09</x:v>
      </x:c>
      <x:c r="B43" s="9" t="str">
        <x:v>B</x:v>
      </x:c>
      <x:c r="C43" s="9" t="str">
        <x:v>["P9-G02-D2@v1"]</x:v>
      </x:c>
      <x:c r="D43" s="9" t="str">
        <x:v>["P9-G02-D2@v1"]</x:v>
      </x:c>
      <x:c r="E43" s="9" t="n">
        <x:f>IF(C43=D43,1,0)</x:f>
        <x:v>1</x:v>
      </x:c>
      <x:c r="F43" s="9" t="str">
        <x:v>{"goal":"서비스 품질 개선 후속 발표자료 작성","aspect":"구성","audience":"외부 고객","condition":"신규 조사로 수치 교체; 표는 10개 이내","data":"P9-G02-N@v1","agent":"발표 Agent P9","taskRelation":"별도 발표 작업 생성; 기존 조사 작업 유지"}</x:v>
      </x:c>
      <x:c r="G43" s="9" t="str">
        <x:v>{"goal":"서비스 품질 개선 후속 발표자료 작성","aspect":"구성","audience":"외부 고객","condition":"신규 조사로 수치 교체; 표는 10개 이내","data":"P9-G02-N@v1","agent":"발표 Agent P9","taskRelation":"별도 발표 작업 생성; 기존 조사 작업 유지"}</x:v>
      </x:c>
      <x:c r="H43" s="9" t="n">
        <x:f>IF(AND(E43=1,F43=G43),1,0)</x:f>
        <x:v>1</x:v>
      </x:c>
      <x:c r="I43" s="9" t="str">
        <x:v>NONE</x:v>
      </x:c>
      <x:c r="J43" s="9" t="str">
        <x:v>한결 서비스 품질 개선 고객 제안서(P9-G02-D2@v1)의 구성을 활용해 외부 고객용 발표자료 작성을 발표 Agent P9에게 맡기겠습니다.</x:v>
      </x:c>
      <x:c r="K43" s="9" t="str">
        <x:v>한결 서비스 품질 개선 고객 제안서(P9-G02-D2@v1)의 구성을 활용해 외부 고객용 발표자료 작성을 발표 Agent P9에게 맡기겠습니다. 내용은 P9-G02-N@v1를 사용하고, 신규 조사로 수치 교체; 표는 10개 이내. 별도 발표 작업 생성; 기존 조사 작업 유지.</x:v>
      </x:c>
      <x:c r="L43" s="9" t="str">
        <x:v>필수 의미와 지칭 집합 모두 일치</x:v>
      </x:c>
    </x:row>
    <x:row r="44" ht="95" customHeight="1">
      <x:c r="A44" s="9" t="str">
        <x:v>SYN-G02-10</x:v>
      </x:c>
      <x:c r="B44" s="9" t="str">
        <x:v>A</x:v>
      </x:c>
      <x:c r="C44" s="9" t="str">
        <x:v>["P10-G02-D2@v1"]</x:v>
      </x:c>
      <x:c r="D44" s="9" t="str">
        <x:v>["P10-G02-D2@v1"]</x:v>
      </x:c>
      <x:c r="E44" s="9" t="n">
        <x:f>IF(C44=D44,1,0)</x:f>
        <x:v>1</x:v>
      </x:c>
      <x:c r="F44" s="9" t="str">
        <x:v>{"goal":"파트너 제휴 검토 후속 발표자료 작성","aspect":"구성","audience":"외부 고객","condition":"신규 조사로 수치 교체; 표는 11개 이내","data":"P10-G02-N@v1","agent":"발표 Agent P10","taskRelation":"별도 발표 작업 생성; 기존 조사 작업 유지"}</x:v>
      </x:c>
      <x:c r="G44" s="9" t="str">
        <x:v>{"goal":"파트너 제휴 검토 후속 발표자료 작성","aspect":"구성","audience":"외부 고객","condition":"신규 조사로 수치 교체; 표는 11개 이내","data":"P10-G02-N@v1","agent":"발표 Agent P10","taskRelation":"별도 발표 작업 생성; 기존 조사 작업 유지"}</x:v>
      </x:c>
      <x:c r="H44" s="9" t="n">
        <x:f>IF(AND(E44=1,F44=G44),1,0)</x:f>
        <x:v>1</x:v>
      </x:c>
      <x:c r="I44" s="9" t="str">
        <x:v>NONE</x:v>
      </x:c>
      <x:c r="J44" s="9" t="str">
        <x:v>온유 파트너 제휴 검토 고객 제안서(P10-G02-D2@v1)의 구성을 활용해 외부 고객용 발표자료 작성을 발표 Agent P10에게 맡기겠습니다.</x:v>
      </x:c>
      <x:c r="K44" s="9" t="str">
        <x:v>온유 파트너 제휴 검토 고객 제안서(P10-G02-D2@v1)의 구성을 활용해 외부 고객용 발표자료 작성을 발표 Agent P10에게 맡기겠습니다. 내용은 P10-G02-N@v1를 사용하고, 신규 조사로 수치 교체; 표는 11개 이내. 별도 발표 작업 생성; 기존 조사 작업 유지.</x:v>
      </x:c>
      <x:c r="L44" s="9" t="str">
        <x:v>필수 의미와 지칭 집합 모두 일치</x:v>
      </x:c>
    </x:row>
    <x:row r="45" ht="95" customHeight="1">
      <x:c r="A45" s="9" t="str">
        <x:v>SYN-G02-10</x:v>
      </x:c>
      <x:c r="B45" s="9" t="str">
        <x:v>B</x:v>
      </x:c>
      <x:c r="C45" s="9" t="str">
        <x:v>["P10-G02-D2@v1"]</x:v>
      </x:c>
      <x:c r="D45" s="9" t="str">
        <x:v>["P10-G02-D2@v1"]</x:v>
      </x:c>
      <x:c r="E45" s="9" t="n">
        <x:f>IF(C45=D45,1,0)</x:f>
        <x:v>1</x:v>
      </x:c>
      <x:c r="F45" s="9" t="str">
        <x:v>{"goal":"파트너 제휴 검토 후속 발표자료 작성","aspect":"구성","audience":"외부 고객","condition":"신규 조사로 수치 교체; 표는 11개 이내","data":"P10-G02-N@v1","agent":"발표 Agent P10","taskRelation":"별도 발표 작업 생성; 기존 조사 작업 유지"}</x:v>
      </x:c>
      <x:c r="G45" s="9" t="str">
        <x:v>{"goal":"파트너 제휴 검토 후속 발표자료 작성","aspect":"구성","audience":"외부 고객","condition":"신규 조사로 수치 교체; 표는 11개 이내","data":"P10-G02-N@v1","agent":"발표 Agent P10","taskRelation":"별도 발표 작업 생성; 기존 조사 작업 유지"}</x:v>
      </x:c>
      <x:c r="H45" s="9" t="n">
        <x:f>IF(AND(E45=1,F45=G45),1,0)</x:f>
        <x:v>1</x:v>
      </x:c>
      <x:c r="I45" s="9" t="str">
        <x:v>NONE</x:v>
      </x:c>
      <x:c r="J45" s="9" t="str">
        <x:v>온유 파트너 제휴 검토 고객 제안서(P10-G02-D2@v1)의 구성을 활용해 외부 고객용 발표자료 작성을 발표 Agent P10에게 맡기겠습니다.</x:v>
      </x:c>
      <x:c r="K45" s="9" t="str">
        <x:v>온유 파트너 제휴 검토 고객 제안서(P10-G02-D2@v1)의 구성을 활용해 외부 고객용 발표자료 작성을 발표 Agent P10에게 맡기겠습니다. 내용은 P10-G02-N@v1를 사용하고, 신규 조사로 수치 교체; 표는 11개 이내. 별도 발표 작업 생성; 기존 조사 작업 유지.</x:v>
      </x:c>
      <x:c r="L45" s="9" t="str">
        <x:v>필수 의미와 지칭 집합 모두 일치</x:v>
      </x:c>
    </x:row>
    <x:row r="46" ht="95" customHeight="1">
      <x:c r="A46" s="9" t="str">
        <x:v>SYN-G03-01</x:v>
      </x:c>
      <x:c r="B46" s="9" t="str">
        <x:v>A</x:v>
      </x:c>
      <x:c r="C46" s="9" t="str">
        <x:v>["P1-G03-D2@v1"]</x:v>
      </x:c>
      <x:c r="D46" s="9" t="str">
        <x:v>["P1-G03-D2@v1"]</x:v>
      </x:c>
      <x:c r="E46" s="9" t="n">
        <x:f>IF(C46=D46,1,0)</x:f>
        <x:v>1</x:v>
      </x:c>
      <x:c r="F46" s="9" t="str">
        <x:v>{"goal":"협업 도구 도입 후속 발표자료 작성","aspect":"구성","audience":"외부 고객","condition":"신규 조사로 수치 교체; 표는 2개 이내","data":"P1-G03-N@v1","agent":"발표 Agent P1","taskRelation":"별도 발표 작업 생성; 기존 조사 작업 유지"}</x:v>
      </x:c>
      <x:c r="G46" s="9" t="str">
        <x:v>{"goal":"협업 도구 도입 후속 발표자료 작성","aspect":"구성","audience":"외부 고객","condition":"신규 조사로 수치 교체; 표는 2개 이내","data":"P1-G03-N@v1","agent":"발표 Agent P1","taskRelation":"별도 발표 작업 생성; 기존 조사 작업 유지"}</x:v>
      </x:c>
      <x:c r="H46" s="9" t="n">
        <x:f>IF(AND(E46=1,F46=G46),1,0)</x:f>
        <x:v>1</x:v>
      </x:c>
      <x:c r="I46" s="9" t="str">
        <x:v>NONE</x:v>
      </x:c>
      <x:c r="J46" s="9" t="str">
        <x:v>새봄 협업 도구 도입 고객 제안서(P1-G03-D2@v1)의 구성을 활용해 외부 고객용 발표자료 작성을 발표 Agent P1에게 맡기겠습니다.</x:v>
      </x:c>
      <x:c r="K46" s="9" t="str">
        <x:v>새봄 협업 도구 도입 고객 제안서(P1-G03-D2@v1)의 구성을 활용해 외부 고객용 발표자료 작성을 발표 Agent P1에게 맡기겠습니다. 내용은 P1-G03-N@v1를 사용하고, 신규 조사로 수치 교체; 표는 2개 이내. 별도 발표 작업 생성; 기존 조사 작업 유지.</x:v>
      </x:c>
      <x:c r="L46" s="9" t="str">
        <x:v>필수 의미와 지칭 집합 모두 일치</x:v>
      </x:c>
    </x:row>
    <x:row r="47" ht="95" customHeight="1">
      <x:c r="A47" s="9" t="str">
        <x:v>SYN-G03-01</x:v>
      </x:c>
      <x:c r="B47" s="9" t="str">
        <x:v>B</x:v>
      </x:c>
      <x:c r="C47" s="9" t="str">
        <x:v>["P1-G03-D2@v1"]</x:v>
      </x:c>
      <x:c r="D47" s="9" t="str">
        <x:v>["P1-G03-D2@v1"]</x:v>
      </x:c>
      <x:c r="E47" s="9" t="n">
        <x:f>IF(C47=D47,1,0)</x:f>
        <x:v>1</x:v>
      </x:c>
      <x:c r="F47" s="9" t="str">
        <x:v>{"goal":"협업 도구 도입 후속 발표자료 작성","aspect":"구성","audience":"외부 고객","condition":"신규 조사로 수치 교체; 표는 2개 이내","data":"P1-G03-N@v1","agent":"발표 Agent P1","taskRelation":"별도 발표 작업 생성; 기존 조사 작업 유지"}</x:v>
      </x:c>
      <x:c r="G47" s="9" t="str">
        <x:v>{"goal":"협업 도구 도입 후속 발표자료 작성","aspect":"구성","audience":"외부 고객","condition":"신규 조사로 수치 교체; 표는 2개 이내","data":"P1-G03-N@v1","agent":"발표 Agent P1","taskRelation":"별도 발표 작업 생성; 기존 조사 작업 유지"}</x:v>
      </x:c>
      <x:c r="H47" s="9" t="n">
        <x:f>IF(AND(E47=1,F47=G47),1,0)</x:f>
        <x:v>1</x:v>
      </x:c>
      <x:c r="I47" s="9" t="str">
        <x:v>NONE</x:v>
      </x:c>
      <x:c r="J47" s="9" t="str">
        <x:v>새봄 협업 도구 도입 고객 제안서(P1-G03-D2@v1)의 구성을 활용해 외부 고객용 발표자료 작성을 발표 Agent P1에게 맡기겠습니다.</x:v>
      </x:c>
      <x:c r="K47" s="9" t="str">
        <x:v>새봄 협업 도구 도입 고객 제안서(P1-G03-D2@v1)의 구성을 활용해 외부 고객용 발표자료 작성을 발표 Agent P1에게 맡기겠습니다. 내용은 P1-G03-N@v1를 사용하고, 신규 조사로 수치 교체; 표는 2개 이내. 별도 발표 작업 생성; 기존 조사 작업 유지.</x:v>
      </x:c>
      <x:c r="L47" s="9" t="str">
        <x:v>필수 의미와 지칭 집합 모두 일치</x:v>
      </x:c>
    </x:row>
    <x:row r="48" ht="95" customHeight="1">
      <x:c r="A48" s="9" t="str">
        <x:v>SYN-G03-02</x:v>
      </x:c>
      <x:c r="B48" s="9" t="str">
        <x:v>A</x:v>
      </x:c>
      <x:c r="C48" s="9" t="str">
        <x:v>["P2-G03-D2@v1"]</x:v>
      </x:c>
      <x:c r="D48" s="9" t="str">
        <x:v>["P2-G03-D3@v1"]</x:v>
      </x:c>
      <x:c r="E48" s="9" t="n">
        <x:f>IF(C48=D48,1,0)</x:f>
        <x:v>0</x:v>
      </x:c>
      <x:c r="F48" s="9" t="str">
        <x:v>{"goal":"고객지원 시스템 교체 후속 발표자료 작성","aspect":"구성","audience":"외부 고객","condition":"신규 조사로 수치 교체; 표는 3개 이내","data":"P2-G03-N@v1","agent":"발표 Agent P2","taskRelation":"별도 발표 작업 생성; 기존 조사 작업 유지"}</x:v>
      </x:c>
      <x:c r="G48" s="9" t="str">
        <x:v>{"goal":"고객지원 시스템 교체 후속 발표자료 작성","aspect":"구성","audience":"외부 고객","condition":"신규 조사로 수치 교체; 표는 3개 이내","data":"P2-G03-N@v1","agent":"발표 Agent P2","taskRelation":"별도 발표 작업 생성; 기존 조사 작업 유지"}</x:v>
      </x:c>
      <x:c r="H48" s="9" t="n">
        <x:f>IF(AND(E48=1,F48=G48),1,0)</x:f>
        <x:v>0</x:v>
      </x:c>
      <x:c r="I48" s="9" t="str">
        <x:v>TARGET</x:v>
      </x:c>
      <x:c r="J48" s="9" t="str">
        <x:v>해솔 고객지원 시스템 교체 내부 검토본(P2-G03-D3@v1)의 구성을 활용해 외부 고객용 발표자료 작성을 발표 Agent P2에게 맡기겠습니다.</x:v>
      </x:c>
      <x:c r="K48" s="9" t="str">
        <x:v>해솔 고객지원 시스템 교체 내부 검토본(P2-G03-D3@v1)의 구성을 활용해 외부 고객용 발표자료 작성을 발표 Agent P2에게 맡기겠습니다. 내용은 P2-G03-N@v1를 사용하고, 신규 조사로 수치 교체; 표는 3개 이내. 별도 발표 작업 생성; 기존 조사 작업 유지.</x:v>
      </x:c>
      <x:c r="L48" s="9" t="str">
        <x:v>원본의 표시·피드백 연결을 놓쳐 대안 판본 채택</x:v>
      </x:c>
    </x:row>
    <x:row r="49" ht="95" customHeight="1">
      <x:c r="A49" s="9" t="str">
        <x:v>SYN-G03-02</x:v>
      </x:c>
      <x:c r="B49" s="9" t="str">
        <x:v>B</x:v>
      </x:c>
      <x:c r="C49" s="9" t="str">
        <x:v>["P2-G03-D2@v1"]</x:v>
      </x:c>
      <x:c r="D49" s="9" t="str">
        <x:v>["P2-G03-D2@v1"]</x:v>
      </x:c>
      <x:c r="E49" s="9" t="n">
        <x:f>IF(C49=D49,1,0)</x:f>
        <x:v>1</x:v>
      </x:c>
      <x:c r="F49" s="9" t="str">
        <x:v>{"goal":"고객지원 시스템 교체 후속 발표자료 작성","aspect":"구성","audience":"외부 고객","condition":"신규 조사로 수치 교체; 표는 3개 이내","data":"P2-G03-N@v1","agent":"발표 Agent P2","taskRelation":"별도 발표 작업 생성; 기존 조사 작업 유지"}</x:v>
      </x:c>
      <x:c r="G49" s="9" t="str">
        <x:v>{"goal":"고객지원 시스템 교체 후속 발표자료 작성","aspect":"구성","audience":"외부 고객","condition":"신규 조사로 수치 교체; 표는 3개 이내","data":"P2-G03-N@v1","agent":"발표 Agent P2","taskRelation":"별도 발표 작업 생성; 기존 조사 작업 유지"}</x:v>
      </x:c>
      <x:c r="H49" s="9" t="n">
        <x:f>IF(AND(E49=1,F49=G49),1,0)</x:f>
        <x:v>1</x:v>
      </x:c>
      <x:c r="I49" s="9" t="str">
        <x:v>NONE</x:v>
      </x:c>
      <x:c r="J49" s="9" t="str">
        <x:v>해솔 고객지원 시스템 교체 고객 제안서(P2-G03-D2@v1)의 구성을 활용해 외부 고객용 발표자료 작성을 발표 Agent P2에게 맡기겠습니다.</x:v>
      </x:c>
      <x:c r="K49" s="9" t="str">
        <x:v>해솔 고객지원 시스템 교체 고객 제안서(P2-G03-D2@v1)의 구성을 활용해 외부 고객용 발표자료 작성을 발표 Agent P2에게 맡기겠습니다. 내용은 P2-G03-N@v1를 사용하고, 신규 조사로 수치 교체; 표는 3개 이내. 별도 발표 작업 생성; 기존 조사 작업 유지.</x:v>
      </x:c>
      <x:c r="L49" s="9" t="str">
        <x:v>필수 의미와 지칭 집합 모두 일치</x:v>
      </x:c>
    </x:row>
    <x:row r="50" ht="95" customHeight="1">
      <x:c r="A50" s="9" t="str">
        <x:v>SYN-G03-03</x:v>
      </x:c>
      <x:c r="B50" s="9" t="str">
        <x:v>A</x:v>
      </x:c>
      <x:c r="C50" s="9" t="str">
        <x:v>["P3-G03-D2@v1"]</x:v>
      </x:c>
      <x:c r="D50" s="9" t="str">
        <x:v>["P3-G03-D2@v1"]</x:v>
      </x:c>
      <x:c r="E50" s="9" t="n">
        <x:f>IF(C50=D50,1,0)</x:f>
        <x:v>1</x:v>
      </x:c>
      <x:c r="F50" s="9" t="str">
        <x:v>{"goal":"물류 현황 보고 후속 발표자료 작성","aspect":"구성","audience":"외부 고객","condition":"신규 조사로 수치 교체; 표는 4개 이내","data":"P3-G03-N@v1","agent":"발표 Agent P3","taskRelation":"별도 발표 작업 생성; 기존 조사 작업 유지"}</x:v>
      </x:c>
      <x:c r="G50" s="9" t="str">
        <x:v>{"goal":"물류 현황 보고 후속 발표자료 작성","aspect":"구성","audience":"외부 고객","condition":"신규 조사로 수치 교체; 표는 4개 이내","data":"P3-G03-N@v1","agent":"발표 Agent P3","taskRelation":"별도 발표 작업 생성; 기존 조사 작업 유지"}</x:v>
      </x:c>
      <x:c r="H50" s="9" t="n">
        <x:f>IF(AND(E50=1,F50=G50),1,0)</x:f>
        <x:v>1</x:v>
      </x:c>
      <x:c r="I50" s="9" t="str">
        <x:v>NONE</x:v>
      </x:c>
      <x:c r="J50" s="9" t="str">
        <x:v>가온 물류 현황 보고 고객 제안서(P3-G03-D2@v1)의 구성을 활용해 외부 고객용 발표자료 작성을 발표 Agent P3에게 맡기겠습니다.</x:v>
      </x:c>
      <x:c r="K50" s="9" t="str">
        <x:v>가온 물류 현황 보고 고객 제안서(P3-G03-D2@v1)의 구성을 활용해 외부 고객용 발표자료 작성을 발표 Agent P3에게 맡기겠습니다. 내용은 P3-G03-N@v1를 사용하고, 신규 조사로 수치 교체; 표는 4개 이내. 별도 발표 작업 생성; 기존 조사 작업 유지.</x:v>
      </x:c>
      <x:c r="L50" s="9" t="str">
        <x:v>필수 의미와 지칭 집합 모두 일치</x:v>
      </x:c>
    </x:row>
    <x:row r="51" ht="95" customHeight="1">
      <x:c r="A51" s="9" t="str">
        <x:v>SYN-G03-03</x:v>
      </x:c>
      <x:c r="B51" s="9" t="str">
        <x:v>B</x:v>
      </x:c>
      <x:c r="C51" s="9" t="str">
        <x:v>["P3-G03-D2@v1"]</x:v>
      </x:c>
      <x:c r="D51" s="9" t="str">
        <x:v>["P3-G03-D2@v1"]</x:v>
      </x:c>
      <x:c r="E51" s="9" t="n">
        <x:f>IF(C51=D51,1,0)</x:f>
        <x:v>1</x:v>
      </x:c>
      <x:c r="F51" s="9" t="str">
        <x:v>{"goal":"물류 현황 보고 후속 발표자료 작성","aspect":"구성","audience":"외부 고객","condition":"신규 조사로 수치 교체; 표는 4개 이내","data":"P3-G03-N@v1","agent":"발표 Agent P3","taskRelation":"별도 발표 작업 생성; 기존 조사 작업 유지"}</x:v>
      </x:c>
      <x:c r="G51" s="9" t="str">
        <x:v>{"goal":"물류 현황 보고 후속 발표자료 작성","aspect":"구성","audience":"외부 고객","condition":"신규 조사로 수치 교체; 표는 4개 이내","data":"P3-G03-N@v1","agent":"발표 Agent P3","taskRelation":"별도 발표 작업 생성; 기존 조사 작업 유지"}</x:v>
      </x:c>
      <x:c r="H51" s="9" t="n">
        <x:f>IF(AND(E51=1,F51=G51),1,0)</x:f>
        <x:v>1</x:v>
      </x:c>
      <x:c r="I51" s="9" t="str">
        <x:v>NONE</x:v>
      </x:c>
      <x:c r="J51" s="9" t="str">
        <x:v>가온 물류 현황 보고 고객 제안서(P3-G03-D2@v1)의 구성을 활용해 외부 고객용 발표자료 작성을 발표 Agent P3에게 맡기겠습니다.</x:v>
      </x:c>
      <x:c r="K51" s="9" t="str">
        <x:v>가온 물류 현황 보고 고객 제안서(P3-G03-D2@v1)의 구성을 활용해 외부 고객용 발표자료 작성을 발표 Agent P3에게 맡기겠습니다. 내용은 P3-G03-N@v1를 사용하고, 신규 조사로 수치 교체; 표는 4개 이내. 별도 발표 작업 생성; 기존 조사 작업 유지.</x:v>
      </x:c>
      <x:c r="L51" s="9" t="str">
        <x:v>필수 의미와 지칭 집합 모두 일치</x:v>
      </x:c>
    </x:row>
    <x:row r="52" ht="95" customHeight="1">
      <x:c r="A52" s="9" t="str">
        <x:v>SYN-G03-04</x:v>
      </x:c>
      <x:c r="B52" s="9" t="str">
        <x:v>A</x:v>
      </x:c>
      <x:c r="C52" s="9" t="str">
        <x:v>["P4-G03-D2@v1"]</x:v>
      </x:c>
      <x:c r="D52" s="9" t="str">
        <x:v>["P4-G03-D2@v1"]</x:v>
      </x:c>
      <x:c r="E52" s="9" t="n">
        <x:f>IF(C52=D52,1,0)</x:f>
        <x:v>1</x:v>
      </x:c>
      <x:c r="F52" s="9" t="str">
        <x:v>{"goal":"매장 운영 개선 후속 발표자료 작성","aspect":"구성","audience":"외부 고객","condition":"신규 조사로 수치 교체; 표는 5개 이내","data":"P4-G03-N@v1","agent":"발표 Agent P4","taskRelation":"별도 발표 작업 생성; 기존 조사 작업 유지"}</x:v>
      </x:c>
      <x:c r="G52" s="9" t="str">
        <x:v>{"goal":"매장 운영 개선 후속 발표자료 작성","aspect":"구성","audience":"외부 고객","condition":"신규 조사로 수치 교체; 표는 5개 이내","data":"P4-G03-N@v1","agent":"발표 Agent P4","taskRelation":"별도 발표 작업 생성; 기존 조사 작업 유지"}</x:v>
      </x:c>
      <x:c r="H52" s="9" t="n">
        <x:f>IF(AND(E52=1,F52=G52),1,0)</x:f>
        <x:v>1</x:v>
      </x:c>
      <x:c r="I52" s="9" t="str">
        <x:v>NONE</x:v>
      </x:c>
      <x:c r="J52" s="9" t="str">
        <x:v>누리 매장 운영 개선 고객 제안서(P4-G03-D2@v1)의 구성을 활용해 외부 고객용 발표자료 작성을 발표 Agent P4에게 맡기겠습니다.</x:v>
      </x:c>
      <x:c r="K52" s="9" t="str">
        <x:v>누리 매장 운영 개선 고객 제안서(P4-G03-D2@v1)의 구성을 활용해 외부 고객용 발표자료 작성을 발표 Agent P4에게 맡기겠습니다. 내용은 P4-G03-N@v1를 사용하고, 신규 조사로 수치 교체; 표는 5개 이내. 별도 발표 작업 생성; 기존 조사 작업 유지.</x:v>
      </x:c>
      <x:c r="L52" s="9" t="str">
        <x:v>필수 의미와 지칭 집합 모두 일치</x:v>
      </x:c>
    </x:row>
    <x:row r="53" ht="95" customHeight="1">
      <x:c r="A53" s="9" t="str">
        <x:v>SYN-G03-04</x:v>
      </x:c>
      <x:c r="B53" s="9" t="str">
        <x:v>B</x:v>
      </x:c>
      <x:c r="C53" s="9" t="str">
        <x:v>["P4-G03-D2@v1"]</x:v>
      </x:c>
      <x:c r="D53" s="9" t="str">
        <x:v>["P4-G03-D2@v1"]</x:v>
      </x:c>
      <x:c r="E53" s="9" t="n">
        <x:f>IF(C53=D53,1,0)</x:f>
        <x:v>1</x:v>
      </x:c>
      <x:c r="F53" s="9" t="str">
        <x:v>{"goal":"매장 운영 개선 후속 발표자료 작성","aspect":"구성","audience":"외부 고객","condition":"신규 조사로 수치 교체; 표는 5개 이내","data":"P4-G03-N@v1","agent":"발표 Agent P4","taskRelation":"별도 발표 작업 생성; 기존 조사 작업 유지"}</x:v>
      </x:c>
      <x:c r="G53" s="9" t="str">
        <x:v>{"goal":"매장 운영 개선 후속 발표자료 작성","aspect":"구성","audience":"외부 고객","condition":"신규 조사로 수치 교체; 표는 5개 이내","data":"P4-G03-N@v1","agent":"발표 Agent P4","taskRelation":"별도 발표 작업 생성; 기존 조사 작업 유지"}</x:v>
      </x:c>
      <x:c r="H53" s="9" t="n">
        <x:f>IF(AND(E53=1,F53=G53),1,0)</x:f>
        <x:v>1</x:v>
      </x:c>
      <x:c r="I53" s="9" t="str">
        <x:v>NONE</x:v>
      </x:c>
      <x:c r="J53" s="9" t="str">
        <x:v>누리 매장 운영 개선 고객 제안서(P4-G03-D2@v1)의 구성을 활용해 외부 고객용 발표자료 작성을 발표 Agent P4에게 맡기겠습니다.</x:v>
      </x:c>
      <x:c r="K53" s="9" t="str">
        <x:v>누리 매장 운영 개선 고객 제안서(P4-G03-D2@v1)의 구성을 활용해 외부 고객용 발표자료 작성을 발표 Agent P4에게 맡기겠습니다. 내용은 P4-G03-N@v1를 사용하고, 신규 조사로 수치 교체; 표는 5개 이내. 별도 발표 작업 생성; 기존 조사 작업 유지.</x:v>
      </x:c>
      <x:c r="L53" s="9" t="str">
        <x:v>필수 의미와 지칭 집합 모두 일치</x:v>
      </x:c>
    </x:row>
    <x:row r="54" ht="95" customHeight="1">
      <x:c r="A54" s="9" t="str">
        <x:v>SYN-G03-05</x:v>
      </x:c>
      <x:c r="B54" s="9" t="str">
        <x:v>A</x:v>
      </x:c>
      <x:c r="C54" s="9" t="str">
        <x:v>["P5-G03-D2@v1"]</x:v>
      </x:c>
      <x:c r="D54" s="9" t="str">
        <x:v>["P5-G03-D2@v1"]</x:v>
      </x:c>
      <x:c r="E54" s="9" t="n">
        <x:f>IF(C54=D54,1,0)</x:f>
        <x:v>1</x:v>
      </x:c>
      <x:c r="F54" s="9" t="str">
        <x:v>{"goal":"교육 과정 개편 후속 발표자료 작성","aspect":"구성","audience":"외부 고객","condition":"신규 조사로 수치 교체; 표는 6개 이내","data":"P5-G03-N@v1","agent":"발표 Agent P5","taskRelation":"별도 발표 작업 생성; 기존 조사 작업 유지"}</x:v>
      </x:c>
      <x:c r="G54" s="9" t="str">
        <x:v>{"goal":"교육 과정 개편 후속 발표자료 작성","aspect":"구성","audience":"외부 고객","condition":"신규 조사로 수치 교체; 표는 6개 이내","data":"P5-G03-N@v1","agent":"발표 Agent P5","taskRelation":"별도 발표 작업 생성; 기존 조사 작업 유지"}</x:v>
      </x:c>
      <x:c r="H54" s="9" t="n">
        <x:f>IF(AND(E54=1,F54=G54),1,0)</x:f>
        <x:v>1</x:v>
      </x:c>
      <x:c r="I54" s="9" t="str">
        <x:v>NONE</x:v>
      </x:c>
      <x:c r="J54" s="9" t="str">
        <x:v>다온 교육 과정 개편 고객 제안서(P5-G03-D2@v1)의 구성을 활용해 외부 고객용 발표자료 작성을 발표 Agent P5에게 맡기겠습니다.</x:v>
      </x:c>
      <x:c r="K54" s="9" t="str">
        <x:v>다온 교육 과정 개편 고객 제안서(P5-G03-D2@v1)의 구성을 활용해 외부 고객용 발표자료 작성을 발표 Agent P5에게 맡기겠습니다. 내용은 P5-G03-N@v1를 사용하고, 신규 조사로 수치 교체; 표는 6개 이내. 별도 발표 작업 생성; 기존 조사 작업 유지.</x:v>
      </x:c>
      <x:c r="L54" s="9" t="str">
        <x:v>필수 의미와 지칭 집합 모두 일치</x:v>
      </x:c>
    </x:row>
    <x:row r="55" ht="95" customHeight="1">
      <x:c r="A55" s="9" t="str">
        <x:v>SYN-G03-05</x:v>
      </x:c>
      <x:c r="B55" s="9" t="str">
        <x:v>B</x:v>
      </x:c>
      <x:c r="C55" s="9" t="str">
        <x:v>["P5-G03-D2@v1"]</x:v>
      </x:c>
      <x:c r="D55" s="9" t="str">
        <x:v>["P5-G03-D2@v1"]</x:v>
      </x:c>
      <x:c r="E55" s="9" t="n">
        <x:f>IF(C55=D55,1,0)</x:f>
        <x:v>1</x:v>
      </x:c>
      <x:c r="F55" s="9" t="str">
        <x:v>{"goal":"교육 과정 개편 후속 발표자료 작성","aspect":"구성","audience":"외부 고객","condition":"신규 조사로 수치 교체; 표는 6개 이내","data":"P5-G03-N@v1","agent":"발표 Agent P5","taskRelation":"별도 발표 작업 생성; 기존 조사 작업 유지"}</x:v>
      </x:c>
      <x:c r="G55" s="9" t="str">
        <x:v>{"goal":"교육 과정 개편 후속 발표자료 작성","aspect":"구성","audience":"외부 고객","condition":"신규 조사로 수치 교체; 표는 6개 이내","data":"P5-G03-N@v1","agent":"발표 Agent P5","taskRelation":"별도 발표 작업 생성; 기존 조사 작업 유지"}</x:v>
      </x:c>
      <x:c r="H55" s="9" t="n">
        <x:f>IF(AND(E55=1,F55=G55),1,0)</x:f>
        <x:v>1</x:v>
      </x:c>
      <x:c r="I55" s="9" t="str">
        <x:v>NONE</x:v>
      </x:c>
      <x:c r="J55" s="9" t="str">
        <x:v>다온 교육 과정 개편 고객 제안서(P5-G03-D2@v1)의 구성을 활용해 외부 고객용 발표자료 작성을 발표 Agent P5에게 맡기겠습니다.</x:v>
      </x:c>
      <x:c r="K55" s="9" t="str">
        <x:v>다온 교육 과정 개편 고객 제안서(P5-G03-D2@v1)의 구성을 활용해 외부 고객용 발표자료 작성을 발표 Agent P5에게 맡기겠습니다. 내용은 P5-G03-N@v1를 사용하고, 신규 조사로 수치 교체; 표는 6개 이내. 별도 발표 작업 생성; 기존 조사 작업 유지.</x:v>
      </x:c>
      <x:c r="L55" s="9" t="str">
        <x:v>필수 의미와 지칭 집합 모두 일치</x:v>
      </x:c>
    </x:row>
    <x:row r="56" ht="95" customHeight="1">
      <x:c r="A56" s="9" t="str">
        <x:v>SYN-G03-06</x:v>
      </x:c>
      <x:c r="B56" s="9" t="str">
        <x:v>A</x:v>
      </x:c>
      <x:c r="C56" s="9" t="str">
        <x:v>["P6-G03-D2@v1"]</x:v>
      </x:c>
      <x:c r="D56" s="9" t="str">
        <x:v>["P6-G03-D2@v1"]</x:v>
      </x:c>
      <x:c r="E56" s="9" t="n">
        <x:f>IF(C56=D56,1,0)</x:f>
        <x:v>1</x:v>
      </x:c>
      <x:c r="F56" s="9" t="str">
        <x:v>{"goal":"제품 출시 계획 후속 발표자료 작성","aspect":"구성","audience":"외부 고객","condition":"신규 조사로 수치 교체; 표는 7개 이내","data":"P6-G03-N@v1","agent":"발표 Agent P6","taskRelation":"별도 발표 작업 생성; 기존 조사 작업 유지"}</x:v>
      </x:c>
      <x:c r="G56" s="9" t="str">
        <x:v>{"goal":"제품 출시 계획 후속 발표자료 작성","aspect":"구성","audience":"외부 고객","condition":"신규 조사로 수치 교체; 표는 7개 이내","data":"P6-G03-N@v1","agent":"발표 Agent P6","taskRelation":"별도 발표 작업 생성; 기존 조사 작업 유지"}</x:v>
      </x:c>
      <x:c r="H56" s="9" t="n">
        <x:f>IF(AND(E56=1,F56=G56),1,0)</x:f>
        <x:v>1</x:v>
      </x:c>
      <x:c r="I56" s="9" t="str">
        <x:v>NONE</x:v>
      </x:c>
      <x:c r="J56" s="9" t="str">
        <x:v>마루 제품 출시 계획 고객 제안서(P6-G03-D2@v1)의 구성을 활용해 외부 고객용 발표자료 작성을 발표 Agent P6에게 맡기겠습니다.</x:v>
      </x:c>
      <x:c r="K56" s="9" t="str">
        <x:v>마루 제품 출시 계획 고객 제안서(P6-G03-D2@v1)의 구성을 활용해 외부 고객용 발표자료 작성을 발표 Agent P6에게 맡기겠습니다. 내용은 P6-G03-N@v1를 사용하고, 신규 조사로 수치 교체; 표는 7개 이내. 별도 발표 작업 생성; 기존 조사 작업 유지.</x:v>
      </x:c>
      <x:c r="L56" s="9" t="str">
        <x:v>필수 의미와 지칭 집합 모두 일치</x:v>
      </x:c>
    </x:row>
    <x:row r="57" ht="95" customHeight="1">
      <x:c r="A57" s="9" t="str">
        <x:v>SYN-G03-06</x:v>
      </x:c>
      <x:c r="B57" s="9" t="str">
        <x:v>B</x:v>
      </x:c>
      <x:c r="C57" s="9" t="str">
        <x:v>["P6-G03-D2@v1"]</x:v>
      </x:c>
      <x:c r="D57" s="9" t="str">
        <x:v>["P6-G03-D2@v1"]</x:v>
      </x:c>
      <x:c r="E57" s="9" t="n">
        <x:f>IF(C57=D57,1,0)</x:f>
        <x:v>1</x:v>
      </x:c>
      <x:c r="F57" s="9" t="str">
        <x:v>{"goal":"제품 출시 계획 후속 발표자료 작성","aspect":"구성","audience":"외부 고객","condition":"신규 조사로 수치 교체; 표는 7개 이내","data":"P6-G03-N@v1","agent":"발표 Agent P6","taskRelation":"별도 발표 작업 생성; 기존 조사 작업 유지"}</x:v>
      </x:c>
      <x:c r="G57" s="9" t="str">
        <x:v>{"goal":"제품 출시 계획 후속 발표자료 작성","aspect":"구성","audience":"외부 고객","condition":"신규 조사로 수치 교체; 표는 7개 이내","data":"P6-G03-N@v1","agent":"발표 Agent P6","taskRelation":"별도 발표 작업 생성; 기존 조사 작업 유지"}</x:v>
      </x:c>
      <x:c r="H57" s="9" t="n">
        <x:f>IF(AND(E57=1,F57=G57),1,0)</x:f>
        <x:v>1</x:v>
      </x:c>
      <x:c r="I57" s="9" t="str">
        <x:v>NONE</x:v>
      </x:c>
      <x:c r="J57" s="9" t="str">
        <x:v>마루 제품 출시 계획 고객 제안서(P6-G03-D2@v1)의 구성을 활용해 외부 고객용 발표자료 작성을 발표 Agent P6에게 맡기겠습니다.</x:v>
      </x:c>
      <x:c r="K57" s="9" t="str">
        <x:v>마루 제품 출시 계획 고객 제안서(P6-G03-D2@v1)의 구성을 활용해 외부 고객용 발표자료 작성을 발표 Agent P6에게 맡기겠습니다. 내용은 P6-G03-N@v1를 사용하고, 신규 조사로 수치 교체; 표는 7개 이내. 별도 발표 작업 생성; 기존 조사 작업 유지.</x:v>
      </x:c>
      <x:c r="L57" s="9" t="str">
        <x:v>필수 의미와 지칭 집합 모두 일치</x:v>
      </x:c>
    </x:row>
    <x:row r="58" ht="95" customHeight="1">
      <x:c r="A58" s="9" t="str">
        <x:v>SYN-G03-07</x:v>
      </x:c>
      <x:c r="B58" s="9" t="str">
        <x:v>A</x:v>
      </x:c>
      <x:c r="C58" s="9" t="str">
        <x:v>["P7-G03-D2@v1"]</x:v>
      </x:c>
      <x:c r="D58" s="9" t="str">
        <x:v>["P7-G03-D2@v1"]</x:v>
      </x:c>
      <x:c r="E58" s="9" t="n">
        <x:f>IF(C58=D58,1,0)</x:f>
        <x:v>1</x:v>
      </x:c>
      <x:c r="F58" s="9" t="str">
        <x:v>{"goal":"연구 장비 도입 후속 발표자료 작성","aspect":"구성","audience":"외부 고객","condition":"신규 조사로 수치 교체; 표는 8개 이내","data":"P7-G03-N@v1","agent":"발표 Agent P7","taskRelation":"별도 발표 작업 생성; 기존 조사 작업 유지"}</x:v>
      </x:c>
      <x:c r="G58" s="9" t="str">
        <x:v>{"goal":"연구 장비 도입 후속 발표자료 작성","aspect":"구성","audience":"외부 고객","condition":"신규 조사로 수치 교체; 표는 8개 이내","data":"P7-G03-N@v1","agent":"발표 Agent P7","taskRelation":"별도 발표 작업 생성; 기존 조사 작업 유지"}</x:v>
      </x:c>
      <x:c r="H58" s="9" t="n">
        <x:f>IF(AND(E58=1,F58=G58),1,0)</x:f>
        <x:v>1</x:v>
      </x:c>
      <x:c r="I58" s="9" t="str">
        <x:v>NONE</x:v>
      </x:c>
      <x:c r="J58" s="9" t="str">
        <x:v>이든 연구 장비 도입 고객 제안서(P7-G03-D2@v1)의 구성을 활용해 외부 고객용 발표자료 작성을 발표 Agent P7에게 맡기겠습니다.</x:v>
      </x:c>
      <x:c r="K58" s="9" t="str">
        <x:v>이든 연구 장비 도입 고객 제안서(P7-G03-D2@v1)의 구성을 활용해 외부 고객용 발표자료 작성을 발표 Agent P7에게 맡기겠습니다. 내용은 P7-G03-N@v1를 사용하고, 신규 조사로 수치 교체; 표는 8개 이내. 별도 발표 작업 생성; 기존 조사 작업 유지.</x:v>
      </x:c>
      <x:c r="L58" s="9" t="str">
        <x:v>필수 의미와 지칭 집합 모두 일치</x:v>
      </x:c>
    </x:row>
    <x:row r="59" ht="95" customHeight="1">
      <x:c r="A59" s="9" t="str">
        <x:v>SYN-G03-07</x:v>
      </x:c>
      <x:c r="B59" s="9" t="str">
        <x:v>B</x:v>
      </x:c>
      <x:c r="C59" s="9" t="str">
        <x:v>["P7-G03-D2@v1"]</x:v>
      </x:c>
      <x:c r="D59" s="9" t="str">
        <x:v>["P7-G03-D2@v1"]</x:v>
      </x:c>
      <x:c r="E59" s="9" t="n">
        <x:f>IF(C59=D59,1,0)</x:f>
        <x:v>1</x:v>
      </x:c>
      <x:c r="F59" s="9" t="str">
        <x:v>{"goal":"연구 장비 도입 후속 발표자료 작성","aspect":"구성","audience":"외부 고객","condition":"신규 조사로 수치 교체; 표는 8개 이내","data":"P7-G03-N@v1","agent":"발표 Agent P7","taskRelation":"별도 발표 작업 생성; 기존 조사 작업 유지"}</x:v>
      </x:c>
      <x:c r="G59" s="9" t="str">
        <x:v>{"goal":"연구 장비 도입 후속 발표자료 작성","aspect":"구성","audience":"외부 고객","condition":"신규 조사로 수치 교체; 표는 8개 이내","data":"P7-G03-N@v1","agent":"발표 Agent P7","taskRelation":"별도 발표 작업 생성; 기존 조사 작업 유지"}</x:v>
      </x:c>
      <x:c r="H59" s="9" t="n">
        <x:f>IF(AND(E59=1,F59=G59),1,0)</x:f>
        <x:v>1</x:v>
      </x:c>
      <x:c r="I59" s="9" t="str">
        <x:v>NONE</x:v>
      </x:c>
      <x:c r="J59" s="9" t="str">
        <x:v>이든 연구 장비 도입 고객 제안서(P7-G03-D2@v1)의 구성을 활용해 외부 고객용 발표자료 작성을 발표 Agent P7에게 맡기겠습니다.</x:v>
      </x:c>
      <x:c r="K59" s="9" t="str">
        <x:v>이든 연구 장비 도입 고객 제안서(P7-G03-D2@v1)의 구성을 활용해 외부 고객용 발표자료 작성을 발표 Agent P7에게 맡기겠습니다. 내용은 P7-G03-N@v1를 사용하고, 신규 조사로 수치 교체; 표는 8개 이내. 별도 발표 작업 생성; 기존 조사 작업 유지.</x:v>
      </x:c>
      <x:c r="L59" s="9" t="str">
        <x:v>필수 의미와 지칭 집합 모두 일치</x:v>
      </x:c>
    </x:row>
    <x:row r="60" ht="95" customHeight="1">
      <x:c r="A60" s="9" t="str">
        <x:v>SYN-G03-08</x:v>
      </x:c>
      <x:c r="B60" s="9" t="str">
        <x:v>A</x:v>
      </x:c>
      <x:c r="C60" s="9" t="str">
        <x:v>["P8-G03-D2@v1"]</x:v>
      </x:c>
      <x:c r="D60" s="9" t="str">
        <x:v>["P8-G03-D2@v1"]</x:v>
      </x:c>
      <x:c r="E60" s="9" t="n">
        <x:f>IF(C60=D60,1,0)</x:f>
        <x:v>1</x:v>
      </x:c>
      <x:c r="F60" s="9" t="str">
        <x:v>{"goal":"사무공간 이전 후속 발표자료 작성","aspect":"구성","audience":"외부 고객","condition":"신규 조사로 수치 교체; 표는 9개 이내","data":"P8-G03-N@v1","agent":"발표 Agent P8","taskRelation":"별도 발표 작업 생성; 기존 조사 작업 유지"}</x:v>
      </x:c>
      <x:c r="G60" s="9" t="str">
        <x:v>{"goal":"사무공간 이전 후속 발표자료 작성","aspect":"구성","audience":"외부 고객","condition":"신규 조사로 수치 교체; 표는 9개 이내","data":"P8-G03-N@v1","agent":"발표 Agent P8","taskRelation":"별도 발표 작업 생성; 기존 조사 작업 유지"}</x:v>
      </x:c>
      <x:c r="H60" s="9" t="n">
        <x:f>IF(AND(E60=1,F60=G60),1,0)</x:f>
        <x:v>1</x:v>
      </x:c>
      <x:c r="I60" s="9" t="str">
        <x:v>NONE</x:v>
      </x:c>
      <x:c r="J60" s="9" t="str">
        <x:v>라온 사무공간 이전 고객 제안서(P8-G03-D2@v1)의 구성을 활용해 외부 고객용 발표자료 작성을 발표 Agent P8에게 맡기겠습니다.</x:v>
      </x:c>
      <x:c r="K60" s="9" t="str">
        <x:v>라온 사무공간 이전 고객 제안서(P8-G03-D2@v1)의 구성을 활용해 외부 고객용 발표자료 작성을 발표 Agent P8에게 맡기겠습니다. 내용은 P8-G03-N@v1를 사용하고, 신규 조사로 수치 교체; 표는 9개 이내. 별도 발표 작업 생성; 기존 조사 작업 유지.</x:v>
      </x:c>
      <x:c r="L60" s="9" t="str">
        <x:v>필수 의미와 지칭 집합 모두 일치</x:v>
      </x:c>
    </x:row>
    <x:row r="61" ht="95" customHeight="1">
      <x:c r="A61" s="9" t="str">
        <x:v>SYN-G03-08</x:v>
      </x:c>
      <x:c r="B61" s="9" t="str">
        <x:v>B</x:v>
      </x:c>
      <x:c r="C61" s="9" t="str">
        <x:v>["P8-G03-D2@v1"]</x:v>
      </x:c>
      <x:c r="D61" s="9" t="str">
        <x:v>["P8-G03-D2@v1"]</x:v>
      </x:c>
      <x:c r="E61" s="9" t="n">
        <x:f>IF(C61=D61,1,0)</x:f>
        <x:v>1</x:v>
      </x:c>
      <x:c r="F61" s="9" t="str">
        <x:v>{"goal":"사무공간 이전 후속 발표자료 작성","aspect":"구성","audience":"외부 고객","condition":"신규 조사로 수치 교체; 표는 9개 이내","data":"P8-G03-N@v1","agent":"발표 Agent P8","taskRelation":"별도 발표 작업 생성; 기존 조사 작업 유지"}</x:v>
      </x:c>
      <x:c r="G61" s="9" t="str">
        <x:v>{"goal":"사무공간 이전 후속 발표자료 작성","aspect":"구성","audience":"외부 고객","condition":"신규 조사로 수치 교체; 표는 9개 이내","data":"P8-G03-N@v1","agent":"발표 Agent P8","taskRelation":"별도 발표 작업 생성; 기존 조사 작업 유지"}</x:v>
      </x:c>
      <x:c r="H61" s="9" t="n">
        <x:f>IF(AND(E61=1,F61=G61),1,0)</x:f>
        <x:v>1</x:v>
      </x:c>
      <x:c r="I61" s="9" t="str">
        <x:v>NONE</x:v>
      </x:c>
      <x:c r="J61" s="9" t="str">
        <x:v>라온 사무공간 이전 고객 제안서(P8-G03-D2@v1)의 구성을 활용해 외부 고객용 발표자료 작성을 발표 Agent P8에게 맡기겠습니다.</x:v>
      </x:c>
      <x:c r="K61" s="9" t="str">
        <x:v>라온 사무공간 이전 고객 제안서(P8-G03-D2@v1)의 구성을 활용해 외부 고객용 발표자료 작성을 발표 Agent P8에게 맡기겠습니다. 내용은 P8-G03-N@v1를 사용하고, 신규 조사로 수치 교체; 표는 9개 이내. 별도 발표 작업 생성; 기존 조사 작업 유지.</x:v>
      </x:c>
      <x:c r="L61" s="9" t="str">
        <x:v>필수 의미와 지칭 집합 모두 일치</x:v>
      </x:c>
    </x:row>
    <x:row r="62" ht="95" customHeight="1">
      <x:c r="A62" s="9" t="str">
        <x:v>SYN-G03-09</x:v>
      </x:c>
      <x:c r="B62" s="9" t="str">
        <x:v>A</x:v>
      </x:c>
      <x:c r="C62" s="9" t="str">
        <x:v>["P9-G03-D2@v1"]</x:v>
      </x:c>
      <x:c r="D62" s="9" t="str">
        <x:v>["P9-G03-D3@v1"]</x:v>
      </x:c>
      <x:c r="E62" s="9" t="n">
        <x:f>IF(C62=D62,1,0)</x:f>
        <x:v>0</x:v>
      </x:c>
      <x:c r="F62" s="9" t="str">
        <x:v>{"goal":"서비스 품질 개선 후속 발표자료 작성","aspect":"구성","audience":"외부 고객","condition":"신규 조사로 수치 교체; 표는 10개 이내","data":"P9-G03-N@v1","agent":"발표 Agent P9","taskRelation":"별도 발표 작업 생성; 기존 조사 작업 유지"}</x:v>
      </x:c>
      <x:c r="G62" s="9" t="str">
        <x:v>{"goal":"서비스 품질 개선 후속 발표자료 작성","aspect":"구성","audience":"외부 고객","condition":"신규 조사로 수치 교체; 표는 10개 이내","data":"P9-G03-N@v1","agent":"발표 Agent P9","taskRelation":"별도 발표 작업 생성; 기존 조사 작업 유지"}</x:v>
      </x:c>
      <x:c r="H62" s="9" t="n">
        <x:f>IF(AND(E62=1,F62=G62),1,0)</x:f>
        <x:v>0</x:v>
      </x:c>
      <x:c r="I62" s="9" t="str">
        <x:v>TARGET</x:v>
      </x:c>
      <x:c r="J62" s="9" t="str">
        <x:v>한결 서비스 품질 개선 내부 검토본(P9-G03-D3@v1)의 구성을 활용해 외부 고객용 발표자료 작성을 발표 Agent P9에게 맡기겠습니다.</x:v>
      </x:c>
      <x:c r="K62" s="9" t="str">
        <x:v>한결 서비스 품질 개선 내부 검토본(P9-G03-D3@v1)의 구성을 활용해 외부 고객용 발표자료 작성을 발표 Agent P9에게 맡기겠습니다. 내용은 P9-G03-N@v1를 사용하고, 신규 조사로 수치 교체; 표는 10개 이내. 별도 발표 작업 생성; 기존 조사 작업 유지.</x:v>
      </x:c>
      <x:c r="L62" s="9" t="str">
        <x:v>원본의 표시·피드백 연결을 놓쳐 대안 판본 채택</x:v>
      </x:c>
    </x:row>
    <x:row r="63" ht="95" customHeight="1">
      <x:c r="A63" s="9" t="str">
        <x:v>SYN-G03-09</x:v>
      </x:c>
      <x:c r="B63" s="9" t="str">
        <x:v>B</x:v>
      </x:c>
      <x:c r="C63" s="9" t="str">
        <x:v>["P9-G03-D2@v1"]</x:v>
      </x:c>
      <x:c r="D63" s="9" t="str">
        <x:v>["P9-G03-D3@v1"]</x:v>
      </x:c>
      <x:c r="E63" s="9" t="n">
        <x:f>IF(C63=D63,1,0)</x:f>
        <x:v>0</x:v>
      </x:c>
      <x:c r="F63" s="9" t="str">
        <x:v>{"goal":"서비스 품질 개선 후속 발표자료 작성","aspect":"구성","audience":"외부 고객","condition":"신규 조사로 수치 교체; 표는 10개 이내","data":"P9-G03-N@v1","agent":"발표 Agent P9","taskRelation":"별도 발표 작업 생성; 기존 조사 작업 유지"}</x:v>
      </x:c>
      <x:c r="G63" s="9" t="str">
        <x:v>{"goal":"서비스 품질 개선 후속 발표자료 작성","aspect":"구성","audience":"외부 고객","condition":"신규 조사로 수치 교체; 표는 10개 이내","data":"P9-G03-N@v1","agent":"발표 Agent P9","taskRelation":"별도 발표 작업 생성; 기존 조사 작업 유지"}</x:v>
      </x:c>
      <x:c r="H63" s="9" t="n">
        <x:f>IF(AND(E63=1,F63=G63),1,0)</x:f>
        <x:v>0</x:v>
      </x:c>
      <x:c r="I63" s="9" t="str">
        <x:v>TARGET</x:v>
      </x:c>
      <x:c r="J63" s="9" t="str">
        <x:v>한결 서비스 품질 개선 내부 검토본(P9-G03-D3@v1)의 구성을 활용해 외부 고객용 발표자료 작성을 발표 Agent P9에게 맡기겠습니다.</x:v>
      </x:c>
      <x:c r="K63" s="9" t="str">
        <x:v>한결 서비스 품질 개선 내부 검토본(P9-G03-D3@v1)의 구성을 활용해 외부 고객용 발표자료 작성을 발표 Agent P9에게 맡기겠습니다. 내용은 P9-G03-N@v1를 사용하고, 신규 조사로 수치 교체; 표는 10개 이내. 별도 발표 작업 생성; 기존 조사 작업 유지.</x:v>
      </x:c>
      <x:c r="L63" s="9" t="str">
        <x:v>파생 관계의 잘못된 대상 연결을 채택</x:v>
      </x:c>
    </x:row>
    <x:row r="64" ht="95" customHeight="1">
      <x:c r="A64" s="9" t="str">
        <x:v>SYN-G03-10</x:v>
      </x:c>
      <x:c r="B64" s="9" t="str">
        <x:v>A</x:v>
      </x:c>
      <x:c r="C64" s="9" t="str">
        <x:v>["P10-G03-D2@v1"]</x:v>
      </x:c>
      <x:c r="D64" s="9" t="str">
        <x:v>["P10-G03-D2@v1"]</x:v>
      </x:c>
      <x:c r="E64" s="9" t="n">
        <x:f>IF(C64=D64,1,0)</x:f>
        <x:v>1</x:v>
      </x:c>
      <x:c r="F64" s="9" t="str">
        <x:v>{"goal":"파트너 제휴 검토 후속 발표자료 작성","aspect":"구성","audience":"외부 고객","condition":"신규 조사로 수치 교체; 표는 11개 이내","data":"P10-G03-N@v1","agent":"발표 Agent P10","taskRelation":"별도 발표 작업 생성; 기존 조사 작업 유지"}</x:v>
      </x:c>
      <x:c r="G64" s="9" t="str">
        <x:v>{"goal":"파트너 제휴 검토 후속 발표자료 작성","aspect":"구성","audience":"외부 고객","condition":"신규 조사로 수치 교체; 표는 11개 이내","data":"P10-G03-N@v1","agent":"발표 Agent P10","taskRelation":"별도 발표 작업 생성; 기존 조사 작업 유지"}</x:v>
      </x:c>
      <x:c r="H64" s="9" t="n">
        <x:f>IF(AND(E64=1,F64=G64),1,0)</x:f>
        <x:v>1</x:v>
      </x:c>
      <x:c r="I64" s="9" t="str">
        <x:v>NONE</x:v>
      </x:c>
      <x:c r="J64" s="9" t="str">
        <x:v>온유 파트너 제휴 검토 고객 제안서(P10-G03-D2@v1)의 구성을 활용해 외부 고객용 발표자료 작성을 발표 Agent P10에게 맡기겠습니다.</x:v>
      </x:c>
      <x:c r="K64" s="9" t="str">
        <x:v>온유 파트너 제휴 검토 고객 제안서(P10-G03-D2@v1)의 구성을 활용해 외부 고객용 발표자료 작성을 발표 Agent P10에게 맡기겠습니다. 내용은 P10-G03-N@v1를 사용하고, 신규 조사로 수치 교체; 표는 11개 이내. 별도 발표 작업 생성; 기존 조사 작업 유지.</x:v>
      </x:c>
      <x:c r="L64" s="9" t="str">
        <x:v>필수 의미와 지칭 집합 모두 일치</x:v>
      </x:c>
    </x:row>
    <x:row r="65" ht="95" customHeight="1">
      <x:c r="A65" s="9" t="str">
        <x:v>SYN-G03-10</x:v>
      </x:c>
      <x:c r="B65" s="9" t="str">
        <x:v>B</x:v>
      </x:c>
      <x:c r="C65" s="9" t="str">
        <x:v>["P10-G03-D2@v1"]</x:v>
      </x:c>
      <x:c r="D65" s="9" t="str">
        <x:v>["P10-G03-D2@v1"]</x:v>
      </x:c>
      <x:c r="E65" s="9" t="n">
        <x:f>IF(C65=D65,1,0)</x:f>
        <x:v>1</x:v>
      </x:c>
      <x:c r="F65" s="9" t="str">
        <x:v>{"goal":"파트너 제휴 검토 후속 발표자료 작성","aspect":"구성","audience":"외부 고객","condition":"신규 조사로 수치 교체; 표는 11개 이내","data":"P10-G03-N@v1","agent":"발표 Agent P10","taskRelation":"별도 발표 작업 생성; 기존 조사 작업 유지"}</x:v>
      </x:c>
      <x:c r="G65" s="9" t="str">
        <x:v>{"goal":"파트너 제휴 검토 후속 발표자료 작성","aspect":"구성","audience":"외부 고객","condition":"신규 조사로 수치 교체; 표는 11개 이내","data":"P10-G03-N@v1","agent":"발표 Agent P10","taskRelation":"별도 발표 작업 생성; 기존 조사 작업 유지"}</x:v>
      </x:c>
      <x:c r="H65" s="9" t="n">
        <x:f>IF(AND(E65=1,F65=G65),1,0)</x:f>
        <x:v>1</x:v>
      </x:c>
      <x:c r="I65" s="9" t="str">
        <x:v>NONE</x:v>
      </x:c>
      <x:c r="J65" s="9" t="str">
        <x:v>온유 파트너 제휴 검토 고객 제안서(P10-G03-D2@v1)의 구성을 활용해 외부 고객용 발표자료 작성을 발표 Agent P10에게 맡기겠습니다.</x:v>
      </x:c>
      <x:c r="K65" s="9" t="str">
        <x:v>온유 파트너 제휴 검토 고객 제안서(P10-G03-D2@v1)의 구성을 활용해 외부 고객용 발표자료 작성을 발표 Agent P10에게 맡기겠습니다. 내용은 P10-G03-N@v1를 사용하고, 신규 조사로 수치 교체; 표는 11개 이내. 별도 발표 작업 생성; 기존 조사 작업 유지.</x:v>
      </x:c>
      <x:c r="L65" s="9" t="str">
        <x:v>필수 의미와 지칭 집합 모두 일치</x:v>
      </x:c>
    </x:row>
    <x:row r="66" ht="95" customHeight="1">
      <x:c r="A66" s="9" t="str">
        <x:v>SYN-G04-01</x:v>
      </x:c>
      <x:c r="B66" s="9" t="str">
        <x:v>A</x:v>
      </x:c>
      <x:c r="C66" s="9" t="str">
        <x:v>["P1-G04-D2@v1"]</x:v>
      </x:c>
      <x:c r="D66" s="9" t="str">
        <x:v>["P1-G04-D2@v1"]</x:v>
      </x:c>
      <x:c r="E66" s="9" t="n">
        <x:f>IF(C66=D66,1,0)</x:f>
        <x:v>1</x:v>
      </x:c>
      <x:c r="F66" s="9" t="str">
        <x:v>{"goal":"협업 도구 도입 후속 발표자료 작성","aspect":"구성","audience":"외부 고객","condition":"신규 조사로 수치 교체; 표는 2개 이내","data":"P1-G04-N@v1","agent":"발표 Agent P1","taskRelation":"별도 발표 작업 생성; 기존 조사 작업 유지"}</x:v>
      </x:c>
      <x:c r="G66" s="9" t="str">
        <x:v>{"goal":"협업 도구 도입 후속 발표자료 작성","aspect":"구성","audience":"외부 고객","condition":"신규 조사로 수치 교체; 표는 2개 이내","data":"P1-G04-N@v1","agent":"발표 Agent P1","taskRelation":"별도 발표 작업 생성; 기존 조사 작업 유지"}</x:v>
      </x:c>
      <x:c r="H66" s="9" t="n">
        <x:f>IF(AND(E66=1,F66=G66),1,0)</x:f>
        <x:v>1</x:v>
      </x:c>
      <x:c r="I66" s="9" t="str">
        <x:v>NONE</x:v>
      </x:c>
      <x:c r="J66" s="9" t="str">
        <x:v>새봄 협업 도구 도입 고객 제안서(P1-G04-D2@v1)의 구성을 활용해 외부 고객용 발표자료 작성을 발표 Agent P1에게 맡기겠습니다.</x:v>
      </x:c>
      <x:c r="K66" s="9" t="str">
        <x:v>새봄 협업 도구 도입 고객 제안서(P1-G04-D2@v1)의 구성을 활용해 외부 고객용 발표자료 작성을 발표 Agent P1에게 맡기겠습니다. 내용은 P1-G04-N@v1를 사용하고, 신규 조사로 수치 교체; 표는 2개 이내. 별도 발표 작업 생성; 기존 조사 작업 유지.</x:v>
      </x:c>
      <x:c r="L66" s="9" t="str">
        <x:v>필수 의미와 지칭 집합 모두 일치</x:v>
      </x:c>
    </x:row>
    <x:row r="67" ht="95" customHeight="1">
      <x:c r="A67" s="9" t="str">
        <x:v>SYN-G04-01</x:v>
      </x:c>
      <x:c r="B67" s="9" t="str">
        <x:v>B</x:v>
      </x:c>
      <x:c r="C67" s="9" t="str">
        <x:v>["P1-G04-D2@v1"]</x:v>
      </x:c>
      <x:c r="D67" s="9" t="str">
        <x:v>["P1-G04-D2@v1"]</x:v>
      </x:c>
      <x:c r="E67" s="9" t="n">
        <x:f>IF(C67=D67,1,0)</x:f>
        <x:v>1</x:v>
      </x:c>
      <x:c r="F67" s="9" t="str">
        <x:v>{"goal":"협업 도구 도입 후속 발표자료 작성","aspect":"구성","audience":"외부 고객","condition":"신규 조사로 수치 교체; 표는 2개 이내","data":"P1-G04-N@v1","agent":"발표 Agent P1","taskRelation":"별도 발표 작업 생성; 기존 조사 작업 유지"}</x:v>
      </x:c>
      <x:c r="G67" s="9" t="str">
        <x:v>{"goal":"협업 도구 도입 후속 발표자료 작성","aspect":"구성","audience":"외부 고객","condition":"신규 조사로 수치 교체; 표는 2개 이내","data":"P1-G04-N@v1","agent":"발표 Agent P1","taskRelation":"별도 발표 작업 생성; 기존 조사 작업 유지"}</x:v>
      </x:c>
      <x:c r="H67" s="9" t="n">
        <x:f>IF(AND(E67=1,F67=G67),1,0)</x:f>
        <x:v>1</x:v>
      </x:c>
      <x:c r="I67" s="9" t="str">
        <x:v>NONE</x:v>
      </x:c>
      <x:c r="J67" s="9" t="str">
        <x:v>새봄 협업 도구 도입 고객 제안서(P1-G04-D2@v1)의 구성을 활용해 외부 고객용 발표자료 작성을 발표 Agent P1에게 맡기겠습니다.</x:v>
      </x:c>
      <x:c r="K67" s="9" t="str">
        <x:v>새봄 협업 도구 도입 고객 제안서(P1-G04-D2@v1)의 구성을 활용해 외부 고객용 발표자료 작성을 발표 Agent P1에게 맡기겠습니다. 내용은 P1-G04-N@v1를 사용하고, 신규 조사로 수치 교체; 표는 2개 이내. 별도 발표 작업 생성; 기존 조사 작업 유지.</x:v>
      </x:c>
      <x:c r="L67" s="9" t="str">
        <x:v>필수 의미와 지칭 집합 모두 일치</x:v>
      </x:c>
    </x:row>
    <x:row r="68" ht="95" customHeight="1">
      <x:c r="A68" s="9" t="str">
        <x:v>SYN-G04-02</x:v>
      </x:c>
      <x:c r="B68" s="9" t="str">
        <x:v>A</x:v>
      </x:c>
      <x:c r="C68" s="9" t="str">
        <x:v>["P2-G04-D2@v1"]</x:v>
      </x:c>
      <x:c r="D68" s="9" t="str">
        <x:v>["P2-G04-D2@v1"]</x:v>
      </x:c>
      <x:c r="E68" s="9" t="n">
        <x:f>IF(C68=D68,1,0)</x:f>
        <x:v>1</x:v>
      </x:c>
      <x:c r="F68" s="9" t="str">
        <x:v>{"goal":"고객지원 시스템 교체 후속 발표자료 작성","aspect":"구성","audience":"외부 고객","condition":"신규 조사로 수치 교체; 표는 3개 이내","data":"P2-G04-N@v1","agent":"발표 Agent P2","taskRelation":"별도 발표 작업 생성; 기존 조사 작업 유지"}</x:v>
      </x:c>
      <x:c r="G68" s="9" t="str">
        <x:v>{"goal":"고객지원 시스템 교체 후속 발표자료 작성","aspect":"구성","audience":"외부 고객","condition":"신규 조사로 수치 교체; 표는 3개 이내","data":"P2-G04-N@v1","agent":"발표 Agent P2","taskRelation":"별도 발표 작업 생성; 기존 조사 작업 유지"}</x:v>
      </x:c>
      <x:c r="H68" s="9" t="n">
        <x:f>IF(AND(E68=1,F68=G68),1,0)</x:f>
        <x:v>1</x:v>
      </x:c>
      <x:c r="I68" s="9" t="str">
        <x:v>NONE</x:v>
      </x:c>
      <x:c r="J68" s="9" t="str">
        <x:v>해솔 고객지원 시스템 교체 고객 제안서(P2-G04-D2@v1)의 구성을 활용해 외부 고객용 발표자료 작성을 발표 Agent P2에게 맡기겠습니다.</x:v>
      </x:c>
      <x:c r="K68" s="9" t="str">
        <x:v>해솔 고객지원 시스템 교체 고객 제안서(P2-G04-D2@v1)의 구성을 활용해 외부 고객용 발표자료 작성을 발표 Agent P2에게 맡기겠습니다. 내용은 P2-G04-N@v1를 사용하고, 신규 조사로 수치 교체; 표는 3개 이내. 별도 발표 작업 생성; 기존 조사 작업 유지.</x:v>
      </x:c>
      <x:c r="L68" s="9" t="str">
        <x:v>필수 의미와 지칭 집합 모두 일치</x:v>
      </x:c>
    </x:row>
    <x:row r="69" ht="95" customHeight="1">
      <x:c r="A69" s="9" t="str">
        <x:v>SYN-G04-02</x:v>
      </x:c>
      <x:c r="B69" s="9" t="str">
        <x:v>B</x:v>
      </x:c>
      <x:c r="C69" s="9" t="str">
        <x:v>["P2-G04-D2@v1"]</x:v>
      </x:c>
      <x:c r="D69" s="9" t="str">
        <x:v>["P2-G04-D2@v1"]</x:v>
      </x:c>
      <x:c r="E69" s="9" t="n">
        <x:f>IF(C69=D69,1,0)</x:f>
        <x:v>1</x:v>
      </x:c>
      <x:c r="F69" s="9" t="str">
        <x:v>{"goal":"고객지원 시스템 교체 후속 발표자료 작성","aspect":"구성","audience":"외부 고객","condition":"신규 조사로 수치 교체; 표는 3개 이내","data":"P2-G04-N@v1","agent":"발표 Agent P2","taskRelation":"별도 발표 작업 생성; 기존 조사 작업 유지"}</x:v>
      </x:c>
      <x:c r="G69" s="9" t="str">
        <x:v>{"goal":"고객지원 시스템 교체 후속 발표자료 작성","aspect":"구성","audience":"외부 고객","condition":"신규 조사로 수치 교체; 표는 3개 이내","data":"P2-G04-N@v1","agent":"발표 Agent P2","taskRelation":"별도 발표 작업 생성; 기존 조사 작업 유지"}</x:v>
      </x:c>
      <x:c r="H69" s="9" t="n">
        <x:f>IF(AND(E69=1,F69=G69),1,0)</x:f>
        <x:v>1</x:v>
      </x:c>
      <x:c r="I69" s="9" t="str">
        <x:v>NONE</x:v>
      </x:c>
      <x:c r="J69" s="9" t="str">
        <x:v>해솔 고객지원 시스템 교체 고객 제안서(P2-G04-D2@v1)의 구성을 활용해 외부 고객용 발표자료 작성을 발표 Agent P2에게 맡기겠습니다.</x:v>
      </x:c>
      <x:c r="K69" s="9" t="str">
        <x:v>해솔 고객지원 시스템 교체 고객 제안서(P2-G04-D2@v1)의 구성을 활용해 외부 고객용 발표자료 작성을 발표 Agent P2에게 맡기겠습니다. 내용은 P2-G04-N@v1를 사용하고, 신규 조사로 수치 교체; 표는 3개 이내. 별도 발표 작업 생성; 기존 조사 작업 유지.</x:v>
      </x:c>
      <x:c r="L69" s="9" t="str">
        <x:v>필수 의미와 지칭 집합 모두 일치</x:v>
      </x:c>
    </x:row>
    <x:row r="70" ht="95" customHeight="1">
      <x:c r="A70" s="9" t="str">
        <x:v>SYN-G04-03</x:v>
      </x:c>
      <x:c r="B70" s="9" t="str">
        <x:v>A</x:v>
      </x:c>
      <x:c r="C70" s="9" t="str">
        <x:v>["P3-G04-D2@v1"]</x:v>
      </x:c>
      <x:c r="D70" s="9" t="str">
        <x:v>["P3-G04-D3@v1"]</x:v>
      </x:c>
      <x:c r="E70" s="9" t="n">
        <x:f>IF(C70=D70,1,0)</x:f>
        <x:v>0</x:v>
      </x:c>
      <x:c r="F70" s="9" t="str">
        <x:v>{"goal":"물류 현황 보고 후속 발표자료 작성","aspect":"구성","audience":"외부 고객","condition":"신규 조사로 수치 교체; 표는 4개 이내","data":"P3-G04-N@v1","agent":"발표 Agent P3","taskRelation":"별도 발표 작업 생성; 기존 조사 작업 유지"}</x:v>
      </x:c>
      <x:c r="G70" s="9" t="str">
        <x:v>{"goal":"물류 현황 보고 후속 발표자료 작성","aspect":"구성","audience":"외부 고객","condition":"신규 조사로 수치 교체; 표는 4개 이내","data":"P3-G04-N@v1","agent":"발표 Agent P3","taskRelation":"별도 발표 작업 생성; 기존 조사 작업 유지"}</x:v>
      </x:c>
      <x:c r="H70" s="9" t="n">
        <x:f>IF(AND(E70=1,F70=G70),1,0)</x:f>
        <x:v>0</x:v>
      </x:c>
      <x:c r="I70" s="9" t="str">
        <x:v>TARGET</x:v>
      </x:c>
      <x:c r="J70" s="9" t="str">
        <x:v>가온 물류 현황 보고 내부 검토본(P3-G04-D3@v1)의 구성을 활용해 외부 고객용 발표자료 작성을 발표 Agent P3에게 맡기겠습니다.</x:v>
      </x:c>
      <x:c r="K70" s="9" t="str">
        <x:v>가온 물류 현황 보고 내부 검토본(P3-G04-D3@v1)의 구성을 활용해 외부 고객용 발표자료 작성을 발표 Agent P3에게 맡기겠습니다. 내용은 P3-G04-N@v1를 사용하고, 신규 조사로 수치 교체; 표는 4개 이내. 별도 발표 작업 생성; 기존 조사 작업 유지.</x:v>
      </x:c>
      <x:c r="L70" s="9" t="str">
        <x:v>원본의 표시·피드백 연결을 놓쳐 대안 판본 채택</x:v>
      </x:c>
    </x:row>
    <x:row r="71" ht="95" customHeight="1">
      <x:c r="A71" s="9" t="str">
        <x:v>SYN-G04-03</x:v>
      </x:c>
      <x:c r="B71" s="9" t="str">
        <x:v>B</x:v>
      </x:c>
      <x:c r="C71" s="9" t="str">
        <x:v>["P3-G04-D2@v1"]</x:v>
      </x:c>
      <x:c r="D71" s="9" t="str">
        <x:v>["P3-G04-D2@v1"]</x:v>
      </x:c>
      <x:c r="E71" s="9" t="n">
        <x:f>IF(C71=D71,1,0)</x:f>
        <x:v>1</x:v>
      </x:c>
      <x:c r="F71" s="9" t="str">
        <x:v>{"goal":"물류 현황 보고 후속 발표자료 작성","aspect":"구성","audience":"외부 고객","condition":"신규 조사로 수치 교체; 표는 4개 이내","data":"P3-G04-N@v1","agent":"발표 Agent P3","taskRelation":"별도 발표 작업 생성; 기존 조사 작업 유지"}</x:v>
      </x:c>
      <x:c r="G71" s="9" t="str">
        <x:v>{"goal":"물류 현황 보고 후속 발표자료 작성","aspect":"구성","audience":"외부 고객","condition":"신규 조사로 수치 교체; 표는 4개 이내","data":"P3-G04-N@v1","agent":"발표 Agent P3","taskRelation":"별도 발표 작업 생성; 기존 조사 작업 유지"}</x:v>
      </x:c>
      <x:c r="H71" s="9" t="n">
        <x:f>IF(AND(E71=1,F71=G71),1,0)</x:f>
        <x:v>1</x:v>
      </x:c>
      <x:c r="I71" s="9" t="str">
        <x:v>NONE</x:v>
      </x:c>
      <x:c r="J71" s="9" t="str">
        <x:v>가온 물류 현황 보고 고객 제안서(P3-G04-D2@v1)의 구성을 활용해 외부 고객용 발표자료 작성을 발표 Agent P3에게 맡기겠습니다.</x:v>
      </x:c>
      <x:c r="K71" s="9" t="str">
        <x:v>가온 물류 현황 보고 고객 제안서(P3-G04-D2@v1)의 구성을 활용해 외부 고객용 발표자료 작성을 발표 Agent P3에게 맡기겠습니다. 내용은 P3-G04-N@v1를 사용하고, 신규 조사로 수치 교체; 표는 4개 이내. 별도 발표 작업 생성; 기존 조사 작업 유지.</x:v>
      </x:c>
      <x:c r="L71" s="9" t="str">
        <x:v>필수 의미와 지칭 집합 모두 일치</x:v>
      </x:c>
    </x:row>
    <x:row r="72" ht="95" customHeight="1">
      <x:c r="A72" s="9" t="str">
        <x:v>SYN-G04-04</x:v>
      </x:c>
      <x:c r="B72" s="9" t="str">
        <x:v>A</x:v>
      </x:c>
      <x:c r="C72" s="9" t="str">
        <x:v>["P4-G04-D2@v1"]</x:v>
      </x:c>
      <x:c r="D72" s="9" t="str">
        <x:v>["P4-G04-D2@v1"]</x:v>
      </x:c>
      <x:c r="E72" s="9" t="n">
        <x:f>IF(C72=D72,1,0)</x:f>
        <x:v>1</x:v>
      </x:c>
      <x:c r="F72" s="9" t="str">
        <x:v>{"goal":"매장 운영 개선 후속 발표자료 작성","aspect":"구성","audience":"외부 고객","condition":"신규 조사로 수치 교체; 표는 5개 이내","data":"P4-G04-N@v1","agent":"발표 Agent P4","taskRelation":"별도 발표 작업 생성; 기존 조사 작업 유지"}</x:v>
      </x:c>
      <x:c r="G72" s="9" t="str">
        <x:v>{"goal":"매장 운영 개선 후속 발표자료 작성","aspect":"구성","audience":"외부 고객","condition":"신규 조사로 수치 교체; 표는 5개 이내","data":"P4-G04-N@v1","agent":"발표 Agent P4","taskRelation":"별도 발표 작업 생성; 기존 조사 작업 유지"}</x:v>
      </x:c>
      <x:c r="H72" s="9" t="n">
        <x:f>IF(AND(E72=1,F72=G72),1,0)</x:f>
        <x:v>1</x:v>
      </x:c>
      <x:c r="I72" s="9" t="str">
        <x:v>NONE</x:v>
      </x:c>
      <x:c r="J72" s="9" t="str">
        <x:v>누리 매장 운영 개선 고객 제안서(P4-G04-D2@v1)의 구성을 활용해 외부 고객용 발표자료 작성을 발표 Agent P4에게 맡기겠습니다.</x:v>
      </x:c>
      <x:c r="K72" s="9" t="str">
        <x:v>누리 매장 운영 개선 고객 제안서(P4-G04-D2@v1)의 구성을 활용해 외부 고객용 발표자료 작성을 발표 Agent P4에게 맡기겠습니다. 내용은 P4-G04-N@v1를 사용하고, 신규 조사로 수치 교체; 표는 5개 이내. 별도 발표 작업 생성; 기존 조사 작업 유지.</x:v>
      </x:c>
      <x:c r="L72" s="9" t="str">
        <x:v>필수 의미와 지칭 집합 모두 일치</x:v>
      </x:c>
    </x:row>
    <x:row r="73" ht="95" customHeight="1">
      <x:c r="A73" s="9" t="str">
        <x:v>SYN-G04-04</x:v>
      </x:c>
      <x:c r="B73" s="9" t="str">
        <x:v>B</x:v>
      </x:c>
      <x:c r="C73" s="9" t="str">
        <x:v>["P4-G04-D2@v1"]</x:v>
      </x:c>
      <x:c r="D73" s="9" t="str">
        <x:v>["P4-G04-D2@v1"]</x:v>
      </x:c>
      <x:c r="E73" s="9" t="n">
        <x:f>IF(C73=D73,1,0)</x:f>
        <x:v>1</x:v>
      </x:c>
      <x:c r="F73" s="9" t="str">
        <x:v>{"goal":"매장 운영 개선 후속 발표자료 작성","aspect":"구성","audience":"외부 고객","condition":"신규 조사로 수치 교체; 표는 5개 이내","data":"P4-G04-N@v1","agent":"발표 Agent P4","taskRelation":"별도 발표 작업 생성; 기존 조사 작업 유지"}</x:v>
      </x:c>
      <x:c r="G73" s="9" t="str">
        <x:v>{"goal":"매장 운영 개선 후속 발표자료 작성","aspect":"구성","audience":"외부 고객","condition":"신규 조사로 수치 교체; 표는 5개 이내","data":"P4-G04-N@v1","agent":"발표 Agent P4","taskRelation":"별도 발표 작업 생성; 기존 조사 작업 유지"}</x:v>
      </x:c>
      <x:c r="H73" s="9" t="n">
        <x:f>IF(AND(E73=1,F73=G73),1,0)</x:f>
        <x:v>1</x:v>
      </x:c>
      <x:c r="I73" s="9" t="str">
        <x:v>NONE</x:v>
      </x:c>
      <x:c r="J73" s="9" t="str">
        <x:v>누리 매장 운영 개선 고객 제안서(P4-G04-D2@v1)의 구성을 활용해 외부 고객용 발표자료 작성을 발표 Agent P4에게 맡기겠습니다.</x:v>
      </x:c>
      <x:c r="K73" s="9" t="str">
        <x:v>누리 매장 운영 개선 고객 제안서(P4-G04-D2@v1)의 구성을 활용해 외부 고객용 발표자료 작성을 발표 Agent P4에게 맡기겠습니다. 내용은 P4-G04-N@v1를 사용하고, 신규 조사로 수치 교체; 표는 5개 이내. 별도 발표 작업 생성; 기존 조사 작업 유지.</x:v>
      </x:c>
      <x:c r="L73" s="9" t="str">
        <x:v>필수 의미와 지칭 집합 모두 일치</x:v>
      </x:c>
    </x:row>
    <x:row r="74" ht="95" customHeight="1">
      <x:c r="A74" s="9" t="str">
        <x:v>SYN-G04-05</x:v>
      </x:c>
      <x:c r="B74" s="9" t="str">
        <x:v>A</x:v>
      </x:c>
      <x:c r="C74" s="9" t="str">
        <x:v>["P5-G04-D2@v1"]</x:v>
      </x:c>
      <x:c r="D74" s="9" t="str">
        <x:v>["P5-G04-D2@v1"]</x:v>
      </x:c>
      <x:c r="E74" s="9" t="n">
        <x:f>IF(C74=D74,1,0)</x:f>
        <x:v>1</x:v>
      </x:c>
      <x:c r="F74" s="9" t="str">
        <x:v>{"goal":"교육 과정 개편 후속 발표자료 작성","aspect":"구성","audience":"외부 고객","condition":"신규 조사로 수치 교체; 표는 6개 이내","data":"P5-G04-N@v1","agent":"발표 Agent P5","taskRelation":"별도 발표 작업 생성; 기존 조사 작업 유지"}</x:v>
      </x:c>
      <x:c r="G74" s="9" t="str">
        <x:v>{"goal":"교육 과정 개편 후속 발표자료 작성","aspect":"구성","audience":"외부 고객","condition":"신규 조사로 수치 교체; 표는 6개 이내","data":"P5-G04-N@v1","agent":"발표 Agent P5","taskRelation":"별도 발표 작업 생성; 기존 조사 작업 유지"}</x:v>
      </x:c>
      <x:c r="H74" s="9" t="n">
        <x:f>IF(AND(E74=1,F74=G74),1,0)</x:f>
        <x:v>1</x:v>
      </x:c>
      <x:c r="I74" s="9" t="str">
        <x:v>NONE</x:v>
      </x:c>
      <x:c r="J74" s="9" t="str">
        <x:v>다온 교육 과정 개편 고객 제안서(P5-G04-D2@v1)의 구성을 활용해 외부 고객용 발표자료 작성을 발표 Agent P5에게 맡기겠습니다.</x:v>
      </x:c>
      <x:c r="K74" s="9" t="str">
        <x:v>다온 교육 과정 개편 고객 제안서(P5-G04-D2@v1)의 구성을 활용해 외부 고객용 발표자료 작성을 발표 Agent P5에게 맡기겠습니다. 내용은 P5-G04-N@v1를 사용하고, 신규 조사로 수치 교체; 표는 6개 이내. 별도 발표 작업 생성; 기존 조사 작업 유지.</x:v>
      </x:c>
      <x:c r="L74" s="9" t="str">
        <x:v>필수 의미와 지칭 집합 모두 일치</x:v>
      </x:c>
    </x:row>
    <x:row r="75" ht="95" customHeight="1">
      <x:c r="A75" s="9" t="str">
        <x:v>SYN-G04-05</x:v>
      </x:c>
      <x:c r="B75" s="9" t="str">
        <x:v>B</x:v>
      </x:c>
      <x:c r="C75" s="9" t="str">
        <x:v>["P5-G04-D2@v1"]</x:v>
      </x:c>
      <x:c r="D75" s="9" t="str">
        <x:v>["P5-G04-D2@v1"]</x:v>
      </x:c>
      <x:c r="E75" s="9" t="n">
        <x:f>IF(C75=D75,1,0)</x:f>
        <x:v>1</x:v>
      </x:c>
      <x:c r="F75" s="9" t="str">
        <x:v>{"goal":"교육 과정 개편 후속 발표자료 작성","aspect":"구성","audience":"외부 고객","condition":"신규 조사로 수치 교체; 표는 6개 이내","data":"P5-G04-N@v1","agent":"발표 Agent P5","taskRelation":"별도 발표 작업 생성; 기존 조사 작업 유지"}</x:v>
      </x:c>
      <x:c r="G75" s="9" t="str">
        <x:v>{"goal":"교육 과정 개편 후속 발표자료 작성","aspect":"구성","audience":"외부 고객","condition":"신규 조사로 수치 교체; 표는 6개 이내","data":"P5-G04-N@v1","agent":"발표 Agent P5","taskRelation":"별도 발표 작업 생성; 기존 조사 작업 유지"}</x:v>
      </x:c>
      <x:c r="H75" s="9" t="n">
        <x:f>IF(AND(E75=1,F75=G75),1,0)</x:f>
        <x:v>1</x:v>
      </x:c>
      <x:c r="I75" s="9" t="str">
        <x:v>NONE</x:v>
      </x:c>
      <x:c r="J75" s="9" t="str">
        <x:v>다온 교육 과정 개편 고객 제안서(P5-G04-D2@v1)의 구성을 활용해 외부 고객용 발표자료 작성을 발표 Agent P5에게 맡기겠습니다.</x:v>
      </x:c>
      <x:c r="K75" s="9" t="str">
        <x:v>다온 교육 과정 개편 고객 제안서(P5-G04-D2@v1)의 구성을 활용해 외부 고객용 발표자료 작성을 발표 Agent P5에게 맡기겠습니다. 내용은 P5-G04-N@v1를 사용하고, 신규 조사로 수치 교체; 표는 6개 이내. 별도 발표 작업 생성; 기존 조사 작업 유지.</x:v>
      </x:c>
      <x:c r="L75" s="9" t="str">
        <x:v>필수 의미와 지칭 집합 모두 일치</x:v>
      </x:c>
    </x:row>
    <x:row r="76" ht="95" customHeight="1">
      <x:c r="A76" s="9" t="str">
        <x:v>SYN-G04-06</x:v>
      </x:c>
      <x:c r="B76" s="9" t="str">
        <x:v>A</x:v>
      </x:c>
      <x:c r="C76" s="9" t="str">
        <x:v>["P6-G04-D2@v1"]</x:v>
      </x:c>
      <x:c r="D76" s="9" t="str">
        <x:v>["P6-G04-D2@v1"]</x:v>
      </x:c>
      <x:c r="E76" s="9" t="n">
        <x:f>IF(C76=D76,1,0)</x:f>
        <x:v>1</x:v>
      </x:c>
      <x:c r="F76" s="9" t="str">
        <x:v>{"goal":"제품 출시 계획 후속 발표자료 작성","aspect":"구성","audience":"외부 고객","condition":"신규 조사로 수치 교체; 표는 7개 이내","data":"P6-G04-N@v1","agent":"발표 Agent P6","taskRelation":"별도 발표 작업 생성; 기존 조사 작업 유지"}</x:v>
      </x:c>
      <x:c r="G76" s="9" t="str">
        <x:v>{"goal":"제품 출시 계획 후속 발표자료 작성","aspect":"구성","audience":"외부 고객","condition":"신규 조사로 수치 교체; 표는 7개 이내","data":"P6-G04-N@v1","agent":"발표 Agent P6","taskRelation":"별도 발표 작업 생성; 기존 조사 작업 유지"}</x:v>
      </x:c>
      <x:c r="H76" s="9" t="n">
        <x:f>IF(AND(E76=1,F76=G76),1,0)</x:f>
        <x:v>1</x:v>
      </x:c>
      <x:c r="I76" s="9" t="str">
        <x:v>NONE</x:v>
      </x:c>
      <x:c r="J76" s="9" t="str">
        <x:v>마루 제품 출시 계획 고객 제안서(P6-G04-D2@v1)의 구성을 활용해 외부 고객용 발표자료 작성을 발표 Agent P6에게 맡기겠습니다.</x:v>
      </x:c>
      <x:c r="K76" s="9" t="str">
        <x:v>마루 제품 출시 계획 고객 제안서(P6-G04-D2@v1)의 구성을 활용해 외부 고객용 발표자료 작성을 발표 Agent P6에게 맡기겠습니다. 내용은 P6-G04-N@v1를 사용하고, 신규 조사로 수치 교체; 표는 7개 이내. 별도 발표 작업 생성; 기존 조사 작업 유지.</x:v>
      </x:c>
      <x:c r="L76" s="9" t="str">
        <x:v>필수 의미와 지칭 집합 모두 일치</x:v>
      </x:c>
    </x:row>
    <x:row r="77" ht="95" customHeight="1">
      <x:c r="A77" s="9" t="str">
        <x:v>SYN-G04-06</x:v>
      </x:c>
      <x:c r="B77" s="9" t="str">
        <x:v>B</x:v>
      </x:c>
      <x:c r="C77" s="9" t="str">
        <x:v>["P6-G04-D2@v1"]</x:v>
      </x:c>
      <x:c r="D77" s="9" t="str">
        <x:v>["P6-G04-D2@v1"]</x:v>
      </x:c>
      <x:c r="E77" s="9" t="n">
        <x:f>IF(C77=D77,1,0)</x:f>
        <x:v>1</x:v>
      </x:c>
      <x:c r="F77" s="9" t="str">
        <x:v>{"goal":"제품 출시 계획 후속 발표자료 작성","aspect":"구성","audience":"외부 고객","condition":"신규 조사로 수치 교체; 표는 7개 이내","data":"P6-G04-N@v1","agent":"발표 Agent P6","taskRelation":"별도 발표 작업 생성; 기존 조사 작업 유지"}</x:v>
      </x:c>
      <x:c r="G77" s="9" t="str">
        <x:v>{"goal":"제품 출시 계획 후속 발표자료 작성","aspect":"구성","audience":"외부 고객","condition":"신규 조사로 수치 교체; 표는 7개 이내","data":"P6-G04-N@v1","agent":"발표 Agent P6","taskRelation":"별도 발표 작업 생성; 기존 조사 작업 유지"}</x:v>
      </x:c>
      <x:c r="H77" s="9" t="n">
        <x:f>IF(AND(E77=1,F77=G77),1,0)</x:f>
        <x:v>1</x:v>
      </x:c>
      <x:c r="I77" s="9" t="str">
        <x:v>NONE</x:v>
      </x:c>
      <x:c r="J77" s="9" t="str">
        <x:v>마루 제품 출시 계획 고객 제안서(P6-G04-D2@v1)의 구성을 활용해 외부 고객용 발표자료 작성을 발표 Agent P6에게 맡기겠습니다.</x:v>
      </x:c>
      <x:c r="K77" s="9" t="str">
        <x:v>마루 제품 출시 계획 고객 제안서(P6-G04-D2@v1)의 구성을 활용해 외부 고객용 발표자료 작성을 발표 Agent P6에게 맡기겠습니다. 내용은 P6-G04-N@v1를 사용하고, 신규 조사로 수치 교체; 표는 7개 이내. 별도 발표 작업 생성; 기존 조사 작업 유지.</x:v>
      </x:c>
      <x:c r="L77" s="9" t="str">
        <x:v>필수 의미와 지칭 집합 모두 일치</x:v>
      </x:c>
    </x:row>
    <x:row r="78" ht="95" customHeight="1">
      <x:c r="A78" s="9" t="str">
        <x:v>SYN-G04-07</x:v>
      </x:c>
      <x:c r="B78" s="9" t="str">
        <x:v>A</x:v>
      </x:c>
      <x:c r="C78" s="9" t="str">
        <x:v>["P7-G04-D2@v1"]</x:v>
      </x:c>
      <x:c r="D78" s="9" t="str">
        <x:v>["P7-G04-D2@v1"]</x:v>
      </x:c>
      <x:c r="E78" s="9" t="n">
        <x:f>IF(C78=D78,1,0)</x:f>
        <x:v>1</x:v>
      </x:c>
      <x:c r="F78" s="9" t="str">
        <x:v>{"goal":"연구 장비 도입 후속 발표자료 작성","aspect":"구성","audience":"외부 고객","condition":"신규 조사로 수치 교체; 표는 8개 이내","data":"P7-G04-N@v1","agent":"발표 Agent P7","taskRelation":"별도 발표 작업 생성; 기존 조사 작업 유지"}</x:v>
      </x:c>
      <x:c r="G78" s="9" t="str">
        <x:v>{"goal":"연구 장비 도입 후속 발표자료 작성","aspect":"구성","audience":"외부 고객","condition":"신규 조사로 수치 교체; 표는 8개 이내","data":"P7-G04-N@v1","agent":"발표 Agent P7","taskRelation":"별도 발표 작업 생성; 기존 조사 작업 유지"}</x:v>
      </x:c>
      <x:c r="H78" s="9" t="n">
        <x:f>IF(AND(E78=1,F78=G78),1,0)</x:f>
        <x:v>1</x:v>
      </x:c>
      <x:c r="I78" s="9" t="str">
        <x:v>NONE</x:v>
      </x:c>
      <x:c r="J78" s="9" t="str">
        <x:v>이든 연구 장비 도입 고객 제안서(P7-G04-D2@v1)의 구성을 활용해 외부 고객용 발표자료 작성을 발표 Agent P7에게 맡기겠습니다.</x:v>
      </x:c>
      <x:c r="K78" s="9" t="str">
        <x:v>이든 연구 장비 도입 고객 제안서(P7-G04-D2@v1)의 구성을 활용해 외부 고객용 발표자료 작성을 발표 Agent P7에게 맡기겠습니다. 내용은 P7-G04-N@v1를 사용하고, 신규 조사로 수치 교체; 표는 8개 이내. 별도 발표 작업 생성; 기존 조사 작업 유지.</x:v>
      </x:c>
      <x:c r="L78" s="9" t="str">
        <x:v>필수 의미와 지칭 집합 모두 일치</x:v>
      </x:c>
    </x:row>
    <x:row r="79" ht="95" customHeight="1">
      <x:c r="A79" s="9" t="str">
        <x:v>SYN-G04-07</x:v>
      </x:c>
      <x:c r="B79" s="9" t="str">
        <x:v>B</x:v>
      </x:c>
      <x:c r="C79" s="9" t="str">
        <x:v>["P7-G04-D2@v1"]</x:v>
      </x:c>
      <x:c r="D79" s="9" t="str">
        <x:v>["P7-G04-D2@v1"]</x:v>
      </x:c>
      <x:c r="E79" s="9" t="n">
        <x:f>IF(C79=D79,1,0)</x:f>
        <x:v>1</x:v>
      </x:c>
      <x:c r="F79" s="9" t="str">
        <x:v>{"goal":"연구 장비 도입 후속 발표자료 작성","aspect":"구성","audience":"외부 고객","condition":"신규 조사로 수치 교체; 표는 8개 이내","data":"P7-G04-N@v1","agent":"발표 Agent P7","taskRelation":"별도 발표 작업 생성; 기존 조사 작업 유지"}</x:v>
      </x:c>
      <x:c r="G79" s="9" t="str">
        <x:v>{"goal":"연구 장비 도입 후속 발표자료 작성","aspect":"구성","audience":"외부 고객","condition":"신규 조사로 수치 교체; 표는 8개 이내","data":"P7-G04-N@v1","agent":"발표 Agent P7","taskRelation":"별도 발표 작업 생성; 기존 조사 작업 유지"}</x:v>
      </x:c>
      <x:c r="H79" s="9" t="n">
        <x:f>IF(AND(E79=1,F79=G79),1,0)</x:f>
        <x:v>1</x:v>
      </x:c>
      <x:c r="I79" s="9" t="str">
        <x:v>NONE</x:v>
      </x:c>
      <x:c r="J79" s="9" t="str">
        <x:v>이든 연구 장비 도입 고객 제안서(P7-G04-D2@v1)의 구성을 활용해 외부 고객용 발표자료 작성을 발표 Agent P7에게 맡기겠습니다.</x:v>
      </x:c>
      <x:c r="K79" s="9" t="str">
        <x:v>이든 연구 장비 도입 고객 제안서(P7-G04-D2@v1)의 구성을 활용해 외부 고객용 발표자료 작성을 발표 Agent P7에게 맡기겠습니다. 내용은 P7-G04-N@v1를 사용하고, 신규 조사로 수치 교체; 표는 8개 이내. 별도 발표 작업 생성; 기존 조사 작업 유지.</x:v>
      </x:c>
      <x:c r="L79" s="9" t="str">
        <x:v>필수 의미와 지칭 집합 모두 일치</x:v>
      </x:c>
    </x:row>
    <x:row r="80" ht="95" customHeight="1">
      <x:c r="A80" s="9" t="str">
        <x:v>SYN-G04-08</x:v>
      </x:c>
      <x:c r="B80" s="9" t="str">
        <x:v>A</x:v>
      </x:c>
      <x:c r="C80" s="9" t="str">
        <x:v>["P8-G04-D2@v1"]</x:v>
      </x:c>
      <x:c r="D80" s="9" t="str">
        <x:v>["P8-G04-D2@v1"]</x:v>
      </x:c>
      <x:c r="E80" s="9" t="n">
        <x:f>IF(C80=D80,1,0)</x:f>
        <x:v>1</x:v>
      </x:c>
      <x:c r="F80" s="9" t="str">
        <x:v>{"goal":"사무공간 이전 후속 발표자료 작성","aspect":"구성","audience":"외부 고객","condition":"신규 조사로 수치 교체; 표는 9개 이내","data":"P8-G04-N@v1","agent":"발표 Agent P8","taskRelation":"별도 발표 작업 생성; 기존 조사 작업 유지"}</x:v>
      </x:c>
      <x:c r="G80" s="9" t="str">
        <x:v>{"goal":"사무공간 이전 후속 발표자료 작성","aspect":"구성","audience":"외부 고객","condition":"신규 조사로 수치 교체; 표는 9개 이내","data":"P8-G04-N@v1","agent":"발표 Agent P8","taskRelation":"별도 발표 작업 생성; 기존 조사 작업 유지"}</x:v>
      </x:c>
      <x:c r="H80" s="9" t="n">
        <x:f>IF(AND(E80=1,F80=G80),1,0)</x:f>
        <x:v>1</x:v>
      </x:c>
      <x:c r="I80" s="9" t="str">
        <x:v>NONE</x:v>
      </x:c>
      <x:c r="J80" s="9" t="str">
        <x:v>라온 사무공간 이전 고객 제안서(P8-G04-D2@v1)의 구성을 활용해 외부 고객용 발표자료 작성을 발표 Agent P8에게 맡기겠습니다.</x:v>
      </x:c>
      <x:c r="K80" s="9" t="str">
        <x:v>라온 사무공간 이전 고객 제안서(P8-G04-D2@v1)의 구성을 활용해 외부 고객용 발표자료 작성을 발표 Agent P8에게 맡기겠습니다. 내용은 P8-G04-N@v1를 사용하고, 신규 조사로 수치 교체; 표는 9개 이내. 별도 발표 작업 생성; 기존 조사 작업 유지.</x:v>
      </x:c>
      <x:c r="L80" s="9" t="str">
        <x:v>필수 의미와 지칭 집합 모두 일치</x:v>
      </x:c>
    </x:row>
    <x:row r="81" ht="95" customHeight="1">
      <x:c r="A81" s="9" t="str">
        <x:v>SYN-G04-08</x:v>
      </x:c>
      <x:c r="B81" s="9" t="str">
        <x:v>B</x:v>
      </x:c>
      <x:c r="C81" s="9" t="str">
        <x:v>["P8-G04-D2@v1"]</x:v>
      </x:c>
      <x:c r="D81" s="9" t="str">
        <x:v>["P8-G04-D2@v1"]</x:v>
      </x:c>
      <x:c r="E81" s="9" t="n">
        <x:f>IF(C81=D81,1,0)</x:f>
        <x:v>1</x:v>
      </x:c>
      <x:c r="F81" s="9" t="str">
        <x:v>{"goal":"사무공간 이전 후속 발표자료 작성","aspect":"구성","audience":"외부 고객","condition":"신규 조사로 수치 교체; 표는 9개 이내","data":"P8-G04-N@v1","agent":"발표 Agent P8","taskRelation":"별도 발표 작업 생성; 기존 조사 작업 유지"}</x:v>
      </x:c>
      <x:c r="G81" s="9" t="str">
        <x:v>{"goal":"사무공간 이전 후속 발표자료 작성","aspect":"구성","audience":"외부 고객","condition":"신규 조사로 수치 교체; 표는 9개 이내","data":"P8-G04-N@v1","agent":"발표 Agent P8","taskRelation":"별도 발표 작업 생성; 기존 조사 작업 유지"}</x:v>
      </x:c>
      <x:c r="H81" s="9" t="n">
        <x:f>IF(AND(E81=1,F81=G81),1,0)</x:f>
        <x:v>1</x:v>
      </x:c>
      <x:c r="I81" s="9" t="str">
        <x:v>NONE</x:v>
      </x:c>
      <x:c r="J81" s="9" t="str">
        <x:v>라온 사무공간 이전 고객 제안서(P8-G04-D2@v1)의 구성을 활용해 외부 고객용 발표자료 작성을 발표 Agent P8에게 맡기겠습니다.</x:v>
      </x:c>
      <x:c r="K81" s="9" t="str">
        <x:v>라온 사무공간 이전 고객 제안서(P8-G04-D2@v1)의 구성을 활용해 외부 고객용 발표자료 작성을 발표 Agent P8에게 맡기겠습니다. 내용은 P8-G04-N@v1를 사용하고, 신규 조사로 수치 교체; 표는 9개 이내. 별도 발표 작업 생성; 기존 조사 작업 유지.</x:v>
      </x:c>
      <x:c r="L81" s="9" t="str">
        <x:v>필수 의미와 지칭 집합 모두 일치</x:v>
      </x:c>
    </x:row>
    <x:row r="82" ht="95" customHeight="1">
      <x:c r="A82" s="9" t="str">
        <x:v>SYN-G04-09</x:v>
      </x:c>
      <x:c r="B82" s="9" t="str">
        <x:v>A</x:v>
      </x:c>
      <x:c r="C82" s="9" t="str">
        <x:v>["P9-G04-D2@v1"]</x:v>
      </x:c>
      <x:c r="D82" s="9" t="str">
        <x:v>["P9-G04-D2@v1"]</x:v>
      </x:c>
      <x:c r="E82" s="9" t="n">
        <x:f>IF(C82=D82,1,0)</x:f>
        <x:v>1</x:v>
      </x:c>
      <x:c r="F82" s="9" t="str">
        <x:v>{"goal":"서비스 품질 개선 후속 발표자료 작성","aspect":"구성","audience":"외부 고객","condition":"신규 조사로 수치 교체; 표는 10개 이내","data":"P9-G04-N@v1","agent":"발표 Agent P9","taskRelation":"별도 발표 작업 생성; 기존 조사 작업 유지"}</x:v>
      </x:c>
      <x:c r="G82" s="9" t="str">
        <x:v>{"goal":"서비스 품질 개선 후속 발표자료 작성","aspect":"구성","audience":"외부 고객","condition":"신규 조사로 수치 교체; 표는 10개 이내","data":"P9-G04-N@v1","agent":"발표 Agent P9","taskRelation":"별도 발표 작업 생성; 기존 조사 작업 유지"}</x:v>
      </x:c>
      <x:c r="H82" s="9" t="n">
        <x:f>IF(AND(E82=1,F82=G82),1,0)</x:f>
        <x:v>1</x:v>
      </x:c>
      <x:c r="I82" s="9" t="str">
        <x:v>NONE</x:v>
      </x:c>
      <x:c r="J82" s="9" t="str">
        <x:v>한결 서비스 품질 개선 고객 제안서(P9-G04-D2@v1)의 구성을 활용해 외부 고객용 발표자료 작성을 발표 Agent P9에게 맡기겠습니다.</x:v>
      </x:c>
      <x:c r="K82" s="9" t="str">
        <x:v>한결 서비스 품질 개선 고객 제안서(P9-G04-D2@v1)의 구성을 활용해 외부 고객용 발표자료 작성을 발표 Agent P9에게 맡기겠습니다. 내용은 P9-G04-N@v1를 사용하고, 신규 조사로 수치 교체; 표는 10개 이내. 별도 발표 작업 생성; 기존 조사 작업 유지.</x:v>
      </x:c>
      <x:c r="L82" s="9" t="str">
        <x:v>필수 의미와 지칭 집합 모두 일치</x:v>
      </x:c>
    </x:row>
    <x:row r="83" ht="95" customHeight="1">
      <x:c r="A83" s="9" t="str">
        <x:v>SYN-G04-09</x:v>
      </x:c>
      <x:c r="B83" s="9" t="str">
        <x:v>B</x:v>
      </x:c>
      <x:c r="C83" s="9" t="str">
        <x:v>["P9-G04-D2@v1"]</x:v>
      </x:c>
      <x:c r="D83" s="9" t="str">
        <x:v>["P9-G04-D2@v1"]</x:v>
      </x:c>
      <x:c r="E83" s="9" t="n">
        <x:f>IF(C83=D83,1,0)</x:f>
        <x:v>1</x:v>
      </x:c>
      <x:c r="F83" s="9" t="str">
        <x:v>{"goal":"서비스 품질 개선 후속 발표자료 작성","aspect":"구성","audience":"외부 고객","condition":"신규 조사로 수치 교체; 표는 10개 이내","data":"P9-G04-N@v1","agent":"발표 Agent P9","taskRelation":"별도 발표 작업 생성; 기존 조사 작업 유지"}</x:v>
      </x:c>
      <x:c r="G83" s="9" t="str">
        <x:v>{"goal":"서비스 품질 개선 후속 발표자료 작성","aspect":"구성","audience":"외부 고객","condition":"신규 조사로 수치 교체; 표는 10개 이내","data":"P9-G04-N@v1","agent":"발표 Agent P9","taskRelation":"별도 발표 작업 생성; 기존 조사 작업 유지"}</x:v>
      </x:c>
      <x:c r="H83" s="9" t="n">
        <x:f>IF(AND(E83=1,F83=G83),1,0)</x:f>
        <x:v>1</x:v>
      </x:c>
      <x:c r="I83" s="9" t="str">
        <x:v>NONE</x:v>
      </x:c>
      <x:c r="J83" s="9" t="str">
        <x:v>한결 서비스 품질 개선 고객 제안서(P9-G04-D2@v1)의 구성을 활용해 외부 고객용 발표자료 작성을 발표 Agent P9에게 맡기겠습니다.</x:v>
      </x:c>
      <x:c r="K83" s="9" t="str">
        <x:v>한결 서비스 품질 개선 고객 제안서(P9-G04-D2@v1)의 구성을 활용해 외부 고객용 발표자료 작성을 발표 Agent P9에게 맡기겠습니다. 내용은 P9-G04-N@v1를 사용하고, 신규 조사로 수치 교체; 표는 10개 이내. 별도 발표 작업 생성; 기존 조사 작업 유지.</x:v>
      </x:c>
      <x:c r="L83" s="9" t="str">
        <x:v>필수 의미와 지칭 집합 모두 일치</x:v>
      </x:c>
    </x:row>
    <x:row r="84" ht="95" customHeight="1">
      <x:c r="A84" s="9" t="str">
        <x:v>SYN-G04-10</x:v>
      </x:c>
      <x:c r="B84" s="9" t="str">
        <x:v>A</x:v>
      </x:c>
      <x:c r="C84" s="9" t="str">
        <x:v>["P10-G04-D2@v1"]</x:v>
      </x:c>
      <x:c r="D84" s="9" t="str">
        <x:v>["P10-G04-D3@v1"]</x:v>
      </x:c>
      <x:c r="E84" s="9" t="n">
        <x:f>IF(C84=D84,1,0)</x:f>
        <x:v>0</x:v>
      </x:c>
      <x:c r="F84" s="9" t="str">
        <x:v>{"goal":"파트너 제휴 검토 후속 발표자료 작성","aspect":"구성","audience":"외부 고객","condition":"신규 조사로 수치 교체; 표는 11개 이내","data":"P10-G04-N@v1","agent":"발표 Agent P10","taskRelation":"별도 발표 작업 생성; 기존 조사 작업 유지"}</x:v>
      </x:c>
      <x:c r="G84" s="9" t="str">
        <x:v>{"goal":"파트너 제휴 검토 후속 발표자료 작성","aspect":"구성","audience":"외부 고객","condition":"신규 조사로 수치 교체; 표는 11개 이내","data":"P10-G04-N@v1","agent":"발표 Agent P10","taskRelation":"별도 발표 작업 생성; 기존 조사 작업 유지"}</x:v>
      </x:c>
      <x:c r="H84" s="9" t="n">
        <x:f>IF(AND(E84=1,F84=G84),1,0)</x:f>
        <x:v>0</x:v>
      </x:c>
      <x:c r="I84" s="9" t="str">
        <x:v>TARGET</x:v>
      </x:c>
      <x:c r="J84" s="9" t="str">
        <x:v>온유 파트너 제휴 검토 내부 검토본(P10-G04-D3@v1)의 구성을 활용해 외부 고객용 발표자료 작성을 발표 Agent P10에게 맡기겠습니다.</x:v>
      </x:c>
      <x:c r="K84" s="9" t="str">
        <x:v>온유 파트너 제휴 검토 내부 검토본(P10-G04-D3@v1)의 구성을 활용해 외부 고객용 발표자료 작성을 발표 Agent P10에게 맡기겠습니다. 내용은 P10-G04-N@v1를 사용하고, 신규 조사로 수치 교체; 표는 11개 이내. 별도 발표 작업 생성; 기존 조사 작업 유지.</x:v>
      </x:c>
      <x:c r="L84" s="9" t="str">
        <x:v>원본의 표시·피드백 연결을 놓쳐 대안 판본 채택</x:v>
      </x:c>
    </x:row>
    <x:row r="85" ht="95" customHeight="1">
      <x:c r="A85" s="9" t="str">
        <x:v>SYN-G04-10</x:v>
      </x:c>
      <x:c r="B85" s="9" t="str">
        <x:v>B</x:v>
      </x:c>
      <x:c r="C85" s="9" t="str">
        <x:v>["P10-G04-D2@v1"]</x:v>
      </x:c>
      <x:c r="D85" s="9" t="str">
        <x:v>["P10-G04-D3@v1"]</x:v>
      </x:c>
      <x:c r="E85" s="9" t="n">
        <x:f>IF(C85=D85,1,0)</x:f>
        <x:v>0</x:v>
      </x:c>
      <x:c r="F85" s="9" t="str">
        <x:v>{"goal":"파트너 제휴 검토 후속 발표자료 작성","aspect":"구성","audience":"외부 고객","condition":"신규 조사로 수치 교체; 표는 11개 이내","data":"P10-G04-N@v1","agent":"발표 Agent P10","taskRelation":"별도 발표 작업 생성; 기존 조사 작업 유지"}</x:v>
      </x:c>
      <x:c r="G85" s="9" t="str">
        <x:v>{"goal":"파트너 제휴 검토 후속 발표자료 작성","aspect":"구성","audience":"외부 고객","condition":"신규 조사로 수치 교체; 표는 11개 이내","data":"P10-G04-N@v1","agent":"발표 Agent P10","taskRelation":"별도 발표 작업 생성; 기존 조사 작업 유지"}</x:v>
      </x:c>
      <x:c r="H85" s="9" t="n">
        <x:f>IF(AND(E85=1,F85=G85),1,0)</x:f>
        <x:v>0</x:v>
      </x:c>
      <x:c r="I85" s="9" t="str">
        <x:v>TARGET</x:v>
      </x:c>
      <x:c r="J85" s="9" t="str">
        <x:v>온유 파트너 제휴 검토 내부 검토본(P10-G04-D3@v1)의 구성을 활용해 외부 고객용 발표자료 작성을 발표 Agent P10에게 맡기겠습니다.</x:v>
      </x:c>
      <x:c r="K85" s="9" t="str">
        <x:v>온유 파트너 제휴 검토 내부 검토본(P10-G04-D3@v1)의 구성을 활용해 외부 고객용 발표자료 작성을 발표 Agent P10에게 맡기겠습니다. 내용은 P10-G04-N@v1를 사용하고, 신규 조사로 수치 교체; 표는 11개 이내. 별도 발표 작업 생성; 기존 조사 작업 유지.</x:v>
      </x:c>
      <x:c r="L85" s="9" t="str">
        <x:v>파생 관계의 잘못된 대상 연결을 채택</x:v>
      </x:c>
    </x:row>
    <x:row r="86" ht="95" customHeight="1">
      <x:c r="A86" s="9" t="str">
        <x:v>SYN-G05-01</x:v>
      </x:c>
      <x:c r="B86" s="9" t="str">
        <x:v>A</x:v>
      </x:c>
      <x:c r="C86" s="9" t="str">
        <x:v>["P1-G05-D3@v1"]</x:v>
      </x:c>
      <x:c r="D86" s="9" t="str">
        <x:v>["P1-G05-D3@v1"]</x:v>
      </x:c>
      <x:c r="E86" s="9" t="n">
        <x:f>IF(C86=D86,1,0)</x:f>
        <x:v>1</x:v>
      </x:c>
      <x:c r="F86" s="9" t="str">
        <x:v>{"goal":"협업 도구 도입 후속 발표자료 작성","aspect":"구성","audience":"외부 고객","condition":"신규 조사로 수치 교체; 표는 2개 이내","data":"P1-G05-N@v1","agent":"발표 Agent P1","taskRelation":"별도 발표 작업 생성; 기존 조사 작업 유지"}</x:v>
      </x:c>
      <x:c r="G86" s="9" t="str">
        <x:v>{"goal":"협업 도구 도입 후속 발표자료 작성","aspect":"구성","audience":"외부 고객","condition":"신규 조사로 수치 교체; 표는 2개 이내","data":"P1-G05-N@v1","agent":"발표 Agent P1","taskRelation":"별도 발표 작업 생성; 기존 조사 작업 유지"}</x:v>
      </x:c>
      <x:c r="H86" s="9" t="n">
        <x:f>IF(AND(E86=1,F86=G86),1,0)</x:f>
        <x:v>1</x:v>
      </x:c>
      <x:c r="I86" s="9" t="str">
        <x:v>NONE</x:v>
      </x:c>
      <x:c r="J86" s="9" t="str">
        <x:v>새봄 협업 도구 도입 내부 검토본(P1-G05-D3@v1)의 구성을 활용해 외부 고객용 발표자료 작성을 발표 Agent P1에게 맡기겠습니다.</x:v>
      </x:c>
      <x:c r="K86" s="9" t="str">
        <x:v>새봄 협업 도구 도입 내부 검토본(P1-G05-D3@v1)의 구성을 활용해 외부 고객용 발표자료 작성을 발표 Agent P1에게 맡기겠습니다. 내용은 P1-G05-N@v1를 사용하고, 신규 조사로 수치 교체; 표는 2개 이내. 별도 발표 작업 생성; 기존 조사 작업 유지.</x:v>
      </x:c>
      <x:c r="L86" s="9" t="str">
        <x:v>필수 의미와 지칭 집합 모두 일치</x:v>
      </x:c>
    </x:row>
    <x:row r="87" ht="95" customHeight="1">
      <x:c r="A87" s="9" t="str">
        <x:v>SYN-G05-01</x:v>
      </x:c>
      <x:c r="B87" s="9" t="str">
        <x:v>B</x:v>
      </x:c>
      <x:c r="C87" s="9" t="str">
        <x:v>["P1-G05-D3@v1"]</x:v>
      </x:c>
      <x:c r="D87" s="9" t="str">
        <x:v>["P1-G05-D3@v1"]</x:v>
      </x:c>
      <x:c r="E87" s="9" t="n">
        <x:f>IF(C87=D87,1,0)</x:f>
        <x:v>1</x:v>
      </x:c>
      <x:c r="F87" s="9" t="str">
        <x:v>{"goal":"협업 도구 도입 후속 발표자료 작성","aspect":"구성","audience":"외부 고객","condition":"신규 조사로 수치 교체; 표는 2개 이내","data":"P1-G05-N@v1","agent":"발표 Agent P1","taskRelation":"별도 발표 작업 생성; 기존 조사 작업 유지"}</x:v>
      </x:c>
      <x:c r="G87" s="9" t="str">
        <x:v>{"goal":"협업 도구 도입 후속 발표자료 작성","aspect":"구성","audience":"외부 고객","condition":"신규 조사로 수치 교체; 표는 2개 이내","data":"P1-G05-N@v1","agent":"발표 Agent P1","taskRelation":"별도 발표 작업 생성; 기존 조사 작업 유지"}</x:v>
      </x:c>
      <x:c r="H87" s="9" t="n">
        <x:f>IF(AND(E87=1,F87=G87),1,0)</x:f>
        <x:v>1</x:v>
      </x:c>
      <x:c r="I87" s="9" t="str">
        <x:v>NONE</x:v>
      </x:c>
      <x:c r="J87" s="9" t="str">
        <x:v>새봄 협업 도구 도입 내부 검토본(P1-G05-D3@v1)의 구성을 활용해 외부 고객용 발표자료 작성을 발표 Agent P1에게 맡기겠습니다.</x:v>
      </x:c>
      <x:c r="K87" s="9" t="str">
        <x:v>새봄 협업 도구 도입 내부 검토본(P1-G05-D3@v1)의 구성을 활용해 외부 고객용 발표자료 작성을 발표 Agent P1에게 맡기겠습니다. 내용은 P1-G05-N@v1를 사용하고, 신규 조사로 수치 교체; 표는 2개 이내. 별도 발표 작업 생성; 기존 조사 작업 유지.</x:v>
      </x:c>
      <x:c r="L87" s="9" t="str">
        <x:v>필수 의미와 지칭 집합 모두 일치</x:v>
      </x:c>
    </x:row>
    <x:row r="88" ht="95" customHeight="1">
      <x:c r="A88" s="9" t="str">
        <x:v>SYN-G05-02</x:v>
      </x:c>
      <x:c r="B88" s="9" t="str">
        <x:v>A</x:v>
      </x:c>
      <x:c r="C88" s="9" t="str">
        <x:v>["P2-G05-D3@v1"]</x:v>
      </x:c>
      <x:c r="D88" s="9" t="str">
        <x:v>["P2-G05-D3@v1"]</x:v>
      </x:c>
      <x:c r="E88" s="9" t="n">
        <x:f>IF(C88=D88,1,0)</x:f>
        <x:v>1</x:v>
      </x:c>
      <x:c r="F88" s="9" t="str">
        <x:v>{"goal":"고객지원 시스템 교체 후속 발표자료 작성","aspect":"구성","audience":"외부 고객","condition":"신규 조사로 수치 교체; 표는 3개 이내","data":"P2-G05-N@v1","agent":"발표 Agent P2","taskRelation":"별도 발표 작업 생성; 기존 조사 작업 유지"}</x:v>
      </x:c>
      <x:c r="G88" s="9" t="str">
        <x:v>{"goal":"고객지원 시스템 교체 후속 발표자료 작성","aspect":"구성","audience":"외부 고객","condition":"신규 조사로 수치 교체; 표는 3개 이내","data":"P2-G05-N@v1","agent":"발표 Agent P2","taskRelation":"별도 발표 작업 생성; 기존 조사 작업 유지"}</x:v>
      </x:c>
      <x:c r="H88" s="9" t="n">
        <x:f>IF(AND(E88=1,F88=G88),1,0)</x:f>
        <x:v>1</x:v>
      </x:c>
      <x:c r="I88" s="9" t="str">
        <x:v>NONE</x:v>
      </x:c>
      <x:c r="J88" s="9" t="str">
        <x:v>해솔 고객지원 시스템 교체 내부 검토본(P2-G05-D3@v1)의 구성을 활용해 외부 고객용 발표자료 작성을 발표 Agent P2에게 맡기겠습니다.</x:v>
      </x:c>
      <x:c r="K88" s="9" t="str">
        <x:v>해솔 고객지원 시스템 교체 내부 검토본(P2-G05-D3@v1)의 구성을 활용해 외부 고객용 발표자료 작성을 발표 Agent P2에게 맡기겠습니다. 내용은 P2-G05-N@v1를 사용하고, 신규 조사로 수치 교체; 표는 3개 이내. 별도 발표 작업 생성; 기존 조사 작업 유지.</x:v>
      </x:c>
      <x:c r="L88" s="9" t="str">
        <x:v>필수 의미와 지칭 집합 모두 일치</x:v>
      </x:c>
    </x:row>
    <x:row r="89" ht="95" customHeight="1">
      <x:c r="A89" s="9" t="str">
        <x:v>SYN-G05-02</x:v>
      </x:c>
      <x:c r="B89" s="9" t="str">
        <x:v>B</x:v>
      </x:c>
      <x:c r="C89" s="9" t="str">
        <x:v>["P2-G05-D3@v1"]</x:v>
      </x:c>
      <x:c r="D89" s="9" t="str">
        <x:v>["P2-G05-D3@v1"]</x:v>
      </x:c>
      <x:c r="E89" s="9" t="n">
        <x:f>IF(C89=D89,1,0)</x:f>
        <x:v>1</x:v>
      </x:c>
      <x:c r="F89" s="9" t="str">
        <x:v>{"goal":"고객지원 시스템 교체 후속 발표자료 작성","aspect":"구성","audience":"외부 고객","condition":"신규 조사로 수치 교체; 표는 3개 이내","data":"P2-G05-N@v1","agent":"발표 Agent P2","taskRelation":"별도 발표 작업 생성; 기존 조사 작업 유지"}</x:v>
      </x:c>
      <x:c r="G89" s="9" t="str">
        <x:v>{"goal":"고객지원 시스템 교체 후속 발표자료 작성","aspect":"구성","audience":"외부 고객","condition":"신규 조사로 수치 교체; 표는 3개 이내","data":"P2-G05-N@v1","agent":"발표 Agent P2","taskRelation":"별도 발표 작업 생성; 기존 조사 작업 유지"}</x:v>
      </x:c>
      <x:c r="H89" s="9" t="n">
        <x:f>IF(AND(E89=1,F89=G89),1,0)</x:f>
        <x:v>1</x:v>
      </x:c>
      <x:c r="I89" s="9" t="str">
        <x:v>NONE</x:v>
      </x:c>
      <x:c r="J89" s="9" t="str">
        <x:v>해솔 고객지원 시스템 교체 내부 검토본(P2-G05-D3@v1)의 구성을 활용해 외부 고객용 발표자료 작성을 발표 Agent P2에게 맡기겠습니다.</x:v>
      </x:c>
      <x:c r="K89" s="9" t="str">
        <x:v>해솔 고객지원 시스템 교체 내부 검토본(P2-G05-D3@v1)의 구성을 활용해 외부 고객용 발표자료 작성을 발표 Agent P2에게 맡기겠습니다. 내용은 P2-G05-N@v1를 사용하고, 신규 조사로 수치 교체; 표는 3개 이내. 별도 발표 작업 생성; 기존 조사 작업 유지.</x:v>
      </x:c>
      <x:c r="L89" s="9" t="str">
        <x:v>필수 의미와 지칭 집합 모두 일치</x:v>
      </x:c>
    </x:row>
    <x:row r="90" ht="95" customHeight="1">
      <x:c r="A90" s="9" t="str">
        <x:v>SYN-G05-03</x:v>
      </x:c>
      <x:c r="B90" s="9" t="str">
        <x:v>A</x:v>
      </x:c>
      <x:c r="C90" s="9" t="str">
        <x:v>["P3-G05-D3@v1"]</x:v>
      </x:c>
      <x:c r="D90" s="9" t="str">
        <x:v>["P3-G05-D3@v1"]</x:v>
      </x:c>
      <x:c r="E90" s="9" t="n">
        <x:f>IF(C90=D90,1,0)</x:f>
        <x:v>1</x:v>
      </x:c>
      <x:c r="F90" s="9" t="str">
        <x:v>{"goal":"물류 현황 보고 후속 발표자료 작성","aspect":"구성","audience":"외부 고객","condition":"신규 조사로 수치 교체; 표는 4개 이내","data":"P3-G05-N@v1","agent":"발표 Agent P3","taskRelation":"별도 발표 작업 생성; 기존 조사 작업 유지"}</x:v>
      </x:c>
      <x:c r="G90" s="9" t="str">
        <x:v>{"goal":"물류 현황 보고 후속 발표자료 작성","aspect":"구성","audience":"외부 고객","condition":"신규 조사로 수치 교체; 표는 4개 이내","data":"P3-G05-N@v1","agent":"발표 Agent P3","taskRelation":"별도 발표 작업 생성; 기존 조사 작업 유지"}</x:v>
      </x:c>
      <x:c r="H90" s="9" t="n">
        <x:f>IF(AND(E90=1,F90=G90),1,0)</x:f>
        <x:v>1</x:v>
      </x:c>
      <x:c r="I90" s="9" t="str">
        <x:v>NONE</x:v>
      </x:c>
      <x:c r="J90" s="9" t="str">
        <x:v>가온 물류 현황 보고 내부 검토본(P3-G05-D3@v1)의 구성을 활용해 외부 고객용 발표자료 작성을 발표 Agent P3에게 맡기겠습니다.</x:v>
      </x:c>
      <x:c r="K90" s="9" t="str">
        <x:v>가온 물류 현황 보고 내부 검토본(P3-G05-D3@v1)의 구성을 활용해 외부 고객용 발표자료 작성을 발표 Agent P3에게 맡기겠습니다. 내용은 P3-G05-N@v1를 사용하고, 신규 조사로 수치 교체; 표는 4개 이내. 별도 발표 작업 생성; 기존 조사 작업 유지.</x:v>
      </x:c>
      <x:c r="L90" s="9" t="str">
        <x:v>필수 의미와 지칭 집합 모두 일치</x:v>
      </x:c>
    </x:row>
    <x:row r="91" ht="95" customHeight="1">
      <x:c r="A91" s="9" t="str">
        <x:v>SYN-G05-03</x:v>
      </x:c>
      <x:c r="B91" s="9" t="str">
        <x:v>B</x:v>
      </x:c>
      <x:c r="C91" s="9" t="str">
        <x:v>["P3-G05-D3@v1"]</x:v>
      </x:c>
      <x:c r="D91" s="9" t="str">
        <x:v>["P3-G05-D3@v1"]</x:v>
      </x:c>
      <x:c r="E91" s="9" t="n">
        <x:f>IF(C91=D91,1,0)</x:f>
        <x:v>1</x:v>
      </x:c>
      <x:c r="F91" s="9" t="str">
        <x:v>{"goal":"물류 현황 보고 후속 발표자료 작성","aspect":"구성","audience":"외부 고객","condition":"신규 조사로 수치 교체; 표는 4개 이내","data":"P3-G05-N@v1","agent":"발표 Agent P3","taskRelation":"별도 발표 작업 생성; 기존 조사 작업 유지"}</x:v>
      </x:c>
      <x:c r="G91" s="9" t="str">
        <x:v>{"goal":"물류 현황 보고 후속 발표자료 작성","aspect":"구성","audience":"외부 고객","condition":"신규 조사로 수치 교체; 표는 4개 이내","data":"P3-G05-N@v1","agent":"발표 Agent P3","taskRelation":"별도 발표 작업 생성; 기존 조사 작업 유지"}</x:v>
      </x:c>
      <x:c r="H91" s="9" t="n">
        <x:f>IF(AND(E91=1,F91=G91),1,0)</x:f>
        <x:v>1</x:v>
      </x:c>
      <x:c r="I91" s="9" t="str">
        <x:v>NONE</x:v>
      </x:c>
      <x:c r="J91" s="9" t="str">
        <x:v>가온 물류 현황 보고 내부 검토본(P3-G05-D3@v1)의 구성을 활용해 외부 고객용 발표자료 작성을 발표 Agent P3에게 맡기겠습니다.</x:v>
      </x:c>
      <x:c r="K91" s="9" t="str">
        <x:v>가온 물류 현황 보고 내부 검토본(P3-G05-D3@v1)의 구성을 활용해 외부 고객용 발표자료 작성을 발표 Agent P3에게 맡기겠습니다. 내용은 P3-G05-N@v1를 사용하고, 신규 조사로 수치 교체; 표는 4개 이내. 별도 발표 작업 생성; 기존 조사 작업 유지.</x:v>
      </x:c>
      <x:c r="L91" s="9" t="str">
        <x:v>필수 의미와 지칭 집합 모두 일치</x:v>
      </x:c>
    </x:row>
    <x:row r="92" ht="95" customHeight="1">
      <x:c r="A92" s="9" t="str">
        <x:v>SYN-G05-04</x:v>
      </x:c>
      <x:c r="B92" s="9" t="str">
        <x:v>A</x:v>
      </x:c>
      <x:c r="C92" s="9" t="str">
        <x:v>["P4-G05-D3@v1"]</x:v>
      </x:c>
      <x:c r="D92" s="9" t="str">
        <x:v>["P4-G05-D2@v1"]</x:v>
      </x:c>
      <x:c r="E92" s="9" t="n">
        <x:f>IF(C92=D92,1,0)</x:f>
        <x:v>0</x:v>
      </x:c>
      <x:c r="F92" s="9" t="str">
        <x:v>{"goal":"매장 운영 개선 후속 발표자료 작성","aspect":"구성","audience":"외부 고객","condition":"신규 조사로 수치 교체; 표는 5개 이내","data":"P4-G05-N@v1","agent":"발표 Agent P4","taskRelation":"별도 발표 작업 생성; 기존 조사 작업 유지"}</x:v>
      </x:c>
      <x:c r="G92" s="9" t="str">
        <x:v>{"goal":"매장 운영 개선 후속 발표자료 작성","aspect":"구성","audience":"외부 고객","condition":"신규 조사로 수치 교체; 표는 5개 이내","data":"P4-G05-N@v1","agent":"발표 Agent P4","taskRelation":"별도 발표 작업 생성; 기존 조사 작업 유지"}</x:v>
      </x:c>
      <x:c r="H92" s="9" t="n">
        <x:f>IF(AND(E92=1,F92=G92),1,0)</x:f>
        <x:v>0</x:v>
      </x:c>
      <x:c r="I92" s="9" t="str">
        <x:v>TARGET</x:v>
      </x:c>
      <x:c r="J92" s="9" t="str">
        <x:v>누리 매장 운영 개선 고객 제안서(P4-G05-D2@v1)의 구성을 활용해 외부 고객용 발표자료 작성을 발표 Agent P4에게 맡기겠습니다.</x:v>
      </x:c>
      <x:c r="K92" s="9" t="str">
        <x:v>누리 매장 운영 개선 고객 제안서(P4-G05-D2@v1)의 구성을 활용해 외부 고객용 발표자료 작성을 발표 Agent P4에게 맡기겠습니다. 내용은 P4-G05-N@v1를 사용하고, 신규 조사로 수치 교체; 표는 5개 이내. 별도 발표 작업 생성; 기존 조사 작업 유지.</x:v>
      </x:c>
      <x:c r="L92" s="9" t="str">
        <x:v>원본의 표시·피드백 연결을 놓쳐 대안 판본 채택</x:v>
      </x:c>
    </x:row>
    <x:row r="93" ht="95" customHeight="1">
      <x:c r="A93" s="9" t="str">
        <x:v>SYN-G05-04</x:v>
      </x:c>
      <x:c r="B93" s="9" t="str">
        <x:v>B</x:v>
      </x:c>
      <x:c r="C93" s="9" t="str">
        <x:v>["P4-G05-D3@v1"]</x:v>
      </x:c>
      <x:c r="D93" s="9" t="str">
        <x:v>["P4-G05-D2@v1"]</x:v>
      </x:c>
      <x:c r="E93" s="9" t="n">
        <x:f>IF(C93=D93,1,0)</x:f>
        <x:v>0</x:v>
      </x:c>
      <x:c r="F93" s="9" t="str">
        <x:v>{"goal":"매장 운영 개선 후속 발표자료 작성","aspect":"구성","audience":"외부 고객","condition":"신규 조사로 수치 교체; 표는 5개 이내","data":"P4-G05-N@v1","agent":"발표 Agent P4","taskRelation":"별도 발표 작업 생성; 기존 조사 작업 유지"}</x:v>
      </x:c>
      <x:c r="G93" s="9" t="str">
        <x:v>{"goal":"매장 운영 개선 후속 발표자료 작성","aspect":"구성","audience":"외부 고객","condition":"신규 조사로 수치 교체; 표는 5개 이내","data":"P4-G05-N@v1","agent":"발표 Agent P4","taskRelation":"별도 발표 작업 생성; 기존 조사 작업 유지"}</x:v>
      </x:c>
      <x:c r="H93" s="9" t="n">
        <x:f>IF(AND(E93=1,F93=G93),1,0)</x:f>
        <x:v>0</x:v>
      </x:c>
      <x:c r="I93" s="9" t="str">
        <x:v>TARGET</x:v>
      </x:c>
      <x:c r="J93" s="9" t="str">
        <x:v>누리 매장 운영 개선 고객 제안서(P4-G05-D2@v1)의 구성을 활용해 외부 고객용 발표자료 작성을 발표 Agent P4에게 맡기겠습니다.</x:v>
      </x:c>
      <x:c r="K93" s="9" t="str">
        <x:v>누리 매장 운영 개선 고객 제안서(P4-G05-D2@v1)의 구성을 활용해 외부 고객용 발표자료 작성을 발표 Agent P4에게 맡기겠습니다. 내용은 P4-G05-N@v1를 사용하고, 신규 조사로 수치 교체; 표는 5개 이내. 별도 발표 작업 생성; 기존 조사 작업 유지.</x:v>
      </x:c>
      <x:c r="L93" s="9" t="str">
        <x:v>원본 보완 중 대상 연결 오류</x:v>
      </x:c>
    </x:row>
    <x:row r="94" ht="95" customHeight="1">
      <x:c r="A94" s="9" t="str">
        <x:v>SYN-G05-05</x:v>
      </x:c>
      <x:c r="B94" s="9" t="str">
        <x:v>A</x:v>
      </x:c>
      <x:c r="C94" s="9" t="str">
        <x:v>["P5-G05-D3@v1"]</x:v>
      </x:c>
      <x:c r="D94" s="9" t="str">
        <x:v>["P5-G05-D3@v1"]</x:v>
      </x:c>
      <x:c r="E94" s="9" t="n">
        <x:f>IF(C94=D94,1,0)</x:f>
        <x:v>1</x:v>
      </x:c>
      <x:c r="F94" s="9" t="str">
        <x:v>{"goal":"교육 과정 개편 후속 발표자료 작성","aspect":"구성","audience":"외부 고객","condition":"신규 조사로 수치 교체; 표는 6개 이내","data":"P5-G05-N@v1","agent":"발표 Agent P5","taskRelation":"별도 발표 작업 생성; 기존 조사 작업 유지"}</x:v>
      </x:c>
      <x:c r="G94" s="9" t="str">
        <x:v>{"goal":"교육 과정 개편 후속 발표자료 작성","aspect":"구성","audience":"외부 고객","condition":"신규 조사로 수치 교체; 표는 6개 이내","data":"P5-G05-N@v1","agent":"발표 Agent P5","taskRelation":"별도 발표 작업 생성; 기존 조사 작업 유지"}</x:v>
      </x:c>
      <x:c r="H94" s="9" t="n">
        <x:f>IF(AND(E94=1,F94=G94),1,0)</x:f>
        <x:v>1</x:v>
      </x:c>
      <x:c r="I94" s="9" t="str">
        <x:v>NONE</x:v>
      </x:c>
      <x:c r="J94" s="9" t="str">
        <x:v>다온 교육 과정 개편 내부 검토본(P5-G05-D3@v1)의 구성을 활용해 외부 고객용 발표자료 작성을 발표 Agent P5에게 맡기겠습니다.</x:v>
      </x:c>
      <x:c r="K94" s="9" t="str">
        <x:v>다온 교육 과정 개편 내부 검토본(P5-G05-D3@v1)의 구성을 활용해 외부 고객용 발표자료 작성을 발표 Agent P5에게 맡기겠습니다. 내용은 P5-G05-N@v1를 사용하고, 신규 조사로 수치 교체; 표는 6개 이내. 별도 발표 작업 생성; 기존 조사 작업 유지.</x:v>
      </x:c>
      <x:c r="L94" s="9" t="str">
        <x:v>필수 의미와 지칭 집합 모두 일치</x:v>
      </x:c>
    </x:row>
    <x:row r="95" ht="95" customHeight="1">
      <x:c r="A95" s="9" t="str">
        <x:v>SYN-G05-05</x:v>
      </x:c>
      <x:c r="B95" s="9" t="str">
        <x:v>B</x:v>
      </x:c>
      <x:c r="C95" s="9" t="str">
        <x:v>["P5-G05-D3@v1"]</x:v>
      </x:c>
      <x:c r="D95" s="9" t="str">
        <x:v>["P5-G05-D3@v1"]</x:v>
      </x:c>
      <x:c r="E95" s="9" t="n">
        <x:f>IF(C95=D95,1,0)</x:f>
        <x:v>1</x:v>
      </x:c>
      <x:c r="F95" s="9" t="str">
        <x:v>{"goal":"교육 과정 개편 후속 발표자료 작성","aspect":"구성","audience":"외부 고객","condition":"신규 조사로 수치 교체; 표는 6개 이내","data":"P5-G05-N@v1","agent":"발표 Agent P5","taskRelation":"별도 발표 작업 생성; 기존 조사 작업 유지"}</x:v>
      </x:c>
      <x:c r="G95" s="9" t="str">
        <x:v>{"goal":"교육 과정 개편 후속 발표자료 작성","aspect":"구성","audience":"외부 고객","condition":"신규 조사로 수치 교체; 표는 6개 이내","data":"P5-G05-N@v1","agent":"발표 Agent P5","taskRelation":"별도 발표 작업 생성; 기존 조사 작업 유지"}</x:v>
      </x:c>
      <x:c r="H95" s="9" t="n">
        <x:f>IF(AND(E95=1,F95=G95),1,0)</x:f>
        <x:v>1</x:v>
      </x:c>
      <x:c r="I95" s="9" t="str">
        <x:v>NONE</x:v>
      </x:c>
      <x:c r="J95" s="9" t="str">
        <x:v>다온 교육 과정 개편 내부 검토본(P5-G05-D3@v1)의 구성을 활용해 외부 고객용 발표자료 작성을 발표 Agent P5에게 맡기겠습니다.</x:v>
      </x:c>
      <x:c r="K95" s="9" t="str">
        <x:v>다온 교육 과정 개편 내부 검토본(P5-G05-D3@v1)의 구성을 활용해 외부 고객용 발표자료 작성을 발표 Agent P5에게 맡기겠습니다. 내용은 P5-G05-N@v1를 사용하고, 신규 조사로 수치 교체; 표는 6개 이내. 별도 발표 작업 생성; 기존 조사 작업 유지.</x:v>
      </x:c>
      <x:c r="L95" s="9" t="str">
        <x:v>필수 의미와 지칭 집합 모두 일치</x:v>
      </x:c>
    </x:row>
    <x:row r="96" ht="95" customHeight="1">
      <x:c r="A96" s="9" t="str">
        <x:v>SYN-G05-06</x:v>
      </x:c>
      <x:c r="B96" s="9" t="str">
        <x:v>A</x:v>
      </x:c>
      <x:c r="C96" s="9" t="str">
        <x:v>["P6-G05-D3@v1"]</x:v>
      </x:c>
      <x:c r="D96" s="9" t="str">
        <x:v>["P6-G05-D3@v1"]</x:v>
      </x:c>
      <x:c r="E96" s="9" t="n">
        <x:f>IF(C96=D96,1,0)</x:f>
        <x:v>1</x:v>
      </x:c>
      <x:c r="F96" s="9" t="str">
        <x:v>{"goal":"제품 출시 계획 후속 발표자료 작성","aspect":"구성","audience":"외부 고객","condition":"신규 조사로 수치 교체; 표는 7개 이내","data":"P6-G05-N@v1","agent":"발표 Agent P6","taskRelation":"별도 발표 작업 생성; 기존 조사 작업 유지"}</x:v>
      </x:c>
      <x:c r="G96" s="9" t="str">
        <x:v>{"goal":"제품 출시 계획 후속 발표자료 작성","aspect":"구성","audience":"외부 고객","condition":"신규 조사로 수치 교체; 표는 7개 이내","data":"P6-G05-N@v1","agent":"발표 Agent P6","taskRelation":"별도 발표 작업 생성; 기존 조사 작업 유지"}</x:v>
      </x:c>
      <x:c r="H96" s="9" t="n">
        <x:f>IF(AND(E96=1,F96=G96),1,0)</x:f>
        <x:v>1</x:v>
      </x:c>
      <x:c r="I96" s="9" t="str">
        <x:v>NONE</x:v>
      </x:c>
      <x:c r="J96" s="9" t="str">
        <x:v>마루 제품 출시 계획 내부 검토본(P6-G05-D3@v1)의 구성을 활용해 외부 고객용 발표자료 작성을 발표 Agent P6에게 맡기겠습니다.</x:v>
      </x:c>
      <x:c r="K96" s="9" t="str">
        <x:v>마루 제품 출시 계획 내부 검토본(P6-G05-D3@v1)의 구성을 활용해 외부 고객용 발표자료 작성을 발표 Agent P6에게 맡기겠습니다. 내용은 P6-G05-N@v1를 사용하고, 신규 조사로 수치 교체; 표는 7개 이내. 별도 발표 작업 생성; 기존 조사 작업 유지.</x:v>
      </x:c>
      <x:c r="L96" s="9" t="str">
        <x:v>필수 의미와 지칭 집합 모두 일치</x:v>
      </x:c>
    </x:row>
    <x:row r="97" ht="95" customHeight="1">
      <x:c r="A97" s="9" t="str">
        <x:v>SYN-G05-06</x:v>
      </x:c>
      <x:c r="B97" s="9" t="str">
        <x:v>B</x:v>
      </x:c>
      <x:c r="C97" s="9" t="str">
        <x:v>["P6-G05-D3@v1"]</x:v>
      </x:c>
      <x:c r="D97" s="9" t="str">
        <x:v>["P6-G05-D3@v1"]</x:v>
      </x:c>
      <x:c r="E97" s="9" t="n">
        <x:f>IF(C97=D97,1,0)</x:f>
        <x:v>1</x:v>
      </x:c>
      <x:c r="F97" s="9" t="str">
        <x:v>{"goal":"제품 출시 계획 후속 발표자료 작성","aspect":"구성","audience":"외부 고객","condition":"신규 조사로 수치 교체; 표는 7개 이내","data":"P6-G05-N@v1","agent":"발표 Agent P6","taskRelation":"별도 발표 작업 생성; 기존 조사 작업 유지"}</x:v>
      </x:c>
      <x:c r="G97" s="9" t="str">
        <x:v>{"goal":"제품 출시 계획 후속 발표자료 작성","aspect":"구성","audience":"외부 고객","condition":"신규 조사로 수치 교체; 표는 7개 이내","data":"P6-G05-N@v1","agent":"발표 Agent P6","taskRelation":"별도 발표 작업 생성; 기존 조사 작업 유지"}</x:v>
      </x:c>
      <x:c r="H97" s="9" t="n">
        <x:f>IF(AND(E97=1,F97=G97),1,0)</x:f>
        <x:v>1</x:v>
      </x:c>
      <x:c r="I97" s="9" t="str">
        <x:v>NONE</x:v>
      </x:c>
      <x:c r="J97" s="9" t="str">
        <x:v>마루 제품 출시 계획 내부 검토본(P6-G05-D3@v1)의 구성을 활용해 외부 고객용 발표자료 작성을 발표 Agent P6에게 맡기겠습니다.</x:v>
      </x:c>
      <x:c r="K97" s="9" t="str">
        <x:v>마루 제품 출시 계획 내부 검토본(P6-G05-D3@v1)의 구성을 활용해 외부 고객용 발표자료 작성을 발표 Agent P6에게 맡기겠습니다. 내용은 P6-G05-N@v1를 사용하고, 신규 조사로 수치 교체; 표는 7개 이내. 별도 발표 작업 생성; 기존 조사 작업 유지.</x:v>
      </x:c>
      <x:c r="L97" s="9" t="str">
        <x:v>필수 의미와 지칭 집합 모두 일치</x:v>
      </x:c>
    </x:row>
    <x:row r="98" ht="95" customHeight="1">
      <x:c r="A98" s="9" t="str">
        <x:v>SYN-G05-07</x:v>
      </x:c>
      <x:c r="B98" s="9" t="str">
        <x:v>A</x:v>
      </x:c>
      <x:c r="C98" s="9" t="str">
        <x:v>["P7-G05-D3@v1"]</x:v>
      </x:c>
      <x:c r="D98" s="9" t="str">
        <x:v>["P7-G05-D3@v1"]</x:v>
      </x:c>
      <x:c r="E98" s="9" t="n">
        <x:f>IF(C98=D98,1,0)</x:f>
        <x:v>1</x:v>
      </x:c>
      <x:c r="F98" s="9" t="str">
        <x:v>{"goal":"연구 장비 도입 후속 발표자료 작성","aspect":"구성","audience":"외부 고객","condition":"신규 조사로 수치 교체; 표는 8개 이내","data":"P7-G05-N@v1","agent":"발표 Agent P7","taskRelation":"별도 발표 작업 생성; 기존 조사 작업 유지"}</x:v>
      </x:c>
      <x:c r="G98" s="9" t="str">
        <x:v>{"goal":"연구 장비 도입 후속 발표자료 작성","aspect":"구성","audience":"외부 고객","condition":"신규 조사로 수치 교체; 표는 8개 이내","data":"P7-G05-N@v1","agent":"발표 Agent P7","taskRelation":"별도 발표 작업 생성; 기존 조사 작업 유지"}</x:v>
      </x:c>
      <x:c r="H98" s="9" t="n">
        <x:f>IF(AND(E98=1,F98=G98),1,0)</x:f>
        <x:v>1</x:v>
      </x:c>
      <x:c r="I98" s="9" t="str">
        <x:v>NONE</x:v>
      </x:c>
      <x:c r="J98" s="9" t="str">
        <x:v>이든 연구 장비 도입 내부 검토본(P7-G05-D3@v1)의 구성을 활용해 외부 고객용 발표자료 작성을 발표 Agent P7에게 맡기겠습니다.</x:v>
      </x:c>
      <x:c r="K98" s="9" t="str">
        <x:v>이든 연구 장비 도입 내부 검토본(P7-G05-D3@v1)의 구성을 활용해 외부 고객용 발표자료 작성을 발표 Agent P7에게 맡기겠습니다. 내용은 P7-G05-N@v1를 사용하고, 신규 조사로 수치 교체; 표는 8개 이내. 별도 발표 작업 생성; 기존 조사 작업 유지.</x:v>
      </x:c>
      <x:c r="L98" s="9" t="str">
        <x:v>필수 의미와 지칭 집합 모두 일치</x:v>
      </x:c>
    </x:row>
    <x:row r="99" ht="95" customHeight="1">
      <x:c r="A99" s="9" t="str">
        <x:v>SYN-G05-07</x:v>
      </x:c>
      <x:c r="B99" s="9" t="str">
        <x:v>B</x:v>
      </x:c>
      <x:c r="C99" s="9" t="str">
        <x:v>["P7-G05-D3@v1"]</x:v>
      </x:c>
      <x:c r="D99" s="9" t="str">
        <x:v>["P7-G05-D3@v1"]</x:v>
      </x:c>
      <x:c r="E99" s="9" t="n">
        <x:f>IF(C99=D99,1,0)</x:f>
        <x:v>1</x:v>
      </x:c>
      <x:c r="F99" s="9" t="str">
        <x:v>{"goal":"연구 장비 도입 후속 발표자료 작성","aspect":"구성","audience":"외부 고객","condition":"신규 조사로 수치 교체; 표는 8개 이내","data":"P7-G05-N@v1","agent":"발표 Agent P7","taskRelation":"별도 발표 작업 생성; 기존 조사 작업 유지"}</x:v>
      </x:c>
      <x:c r="G99" s="9" t="str">
        <x:v>{"goal":"연구 장비 도입 후속 발표자료 작성","aspect":"구성","audience":"외부 고객","condition":"신규 조사로 수치 교체; 표는 8개 이내","data":"P7-G05-N@v1","agent":"발표 Agent P7","taskRelation":"별도 발표 작업 생성; 기존 조사 작업 유지"}</x:v>
      </x:c>
      <x:c r="H99" s="9" t="n">
        <x:f>IF(AND(E99=1,F99=G99),1,0)</x:f>
        <x:v>1</x:v>
      </x:c>
      <x:c r="I99" s="9" t="str">
        <x:v>NONE</x:v>
      </x:c>
      <x:c r="J99" s="9" t="str">
        <x:v>이든 연구 장비 도입 내부 검토본(P7-G05-D3@v1)의 구성을 활용해 외부 고객용 발표자료 작성을 발표 Agent P7에게 맡기겠습니다.</x:v>
      </x:c>
      <x:c r="K99" s="9" t="str">
        <x:v>이든 연구 장비 도입 내부 검토본(P7-G05-D3@v1)의 구성을 활용해 외부 고객용 발표자료 작성을 발표 Agent P7에게 맡기겠습니다. 내용은 P7-G05-N@v1를 사용하고, 신규 조사로 수치 교체; 표는 8개 이내. 별도 발표 작업 생성; 기존 조사 작업 유지.</x:v>
      </x:c>
      <x:c r="L99" s="9" t="str">
        <x:v>필수 의미와 지칭 집합 모두 일치</x:v>
      </x:c>
    </x:row>
    <x:row r="100" ht="95" customHeight="1">
      <x:c r="A100" s="9" t="str">
        <x:v>SYN-G05-08</x:v>
      </x:c>
      <x:c r="B100" s="9" t="str">
        <x:v>A</x:v>
      </x:c>
      <x:c r="C100" s="9" t="str">
        <x:v>["P8-G05-D3@v1"]</x:v>
      </x:c>
      <x:c r="D100" s="9" t="str">
        <x:v>["P8-G05-D3@v1"]</x:v>
      </x:c>
      <x:c r="E100" s="9" t="n">
        <x:f>IF(C100=D100,1,0)</x:f>
        <x:v>1</x:v>
      </x:c>
      <x:c r="F100" s="9" t="str">
        <x:v>{"goal":"사무공간 이전 후속 발표자료 작성","aspect":"구성","audience":"외부 고객","condition":"신규 조사로 수치 교체; 표는 9개 이내","data":"P8-G05-N@v1","agent":"발표 Agent P8","taskRelation":"별도 발표 작업 생성; 기존 조사 작업 유지"}</x:v>
      </x:c>
      <x:c r="G100" s="9" t="str">
        <x:v>{"goal":"사무공간 이전 후속 발표자료 작성","aspect":"구성","audience":"외부 고객","condition":"신규 조사로 수치 교체; 표는 9개 이내","data":"P8-G05-N@v1","agent":"발표 Agent P8","taskRelation":"별도 발표 작업 생성; 기존 조사 작업 유지"}</x:v>
      </x:c>
      <x:c r="H100" s="9" t="n">
        <x:f>IF(AND(E100=1,F100=G100),1,0)</x:f>
        <x:v>1</x:v>
      </x:c>
      <x:c r="I100" s="9" t="str">
        <x:v>NONE</x:v>
      </x:c>
      <x:c r="J100" s="9" t="str">
        <x:v>라온 사무공간 이전 내부 검토본(P8-G05-D3@v1)의 구성을 활용해 외부 고객용 발표자료 작성을 발표 Agent P8에게 맡기겠습니다.</x:v>
      </x:c>
      <x:c r="K100" s="9" t="str">
        <x:v>라온 사무공간 이전 내부 검토본(P8-G05-D3@v1)의 구성을 활용해 외부 고객용 발표자료 작성을 발표 Agent P8에게 맡기겠습니다. 내용은 P8-G05-N@v1를 사용하고, 신규 조사로 수치 교체; 표는 9개 이내. 별도 발표 작업 생성; 기존 조사 작업 유지.</x:v>
      </x:c>
      <x:c r="L100" s="9" t="str">
        <x:v>필수 의미와 지칭 집합 모두 일치</x:v>
      </x:c>
    </x:row>
    <x:row r="101" ht="95" customHeight="1">
      <x:c r="A101" s="9" t="str">
        <x:v>SYN-G05-08</x:v>
      </x:c>
      <x:c r="B101" s="9" t="str">
        <x:v>B</x:v>
      </x:c>
      <x:c r="C101" s="9" t="str">
        <x:v>["P8-G05-D3@v1"]</x:v>
      </x:c>
      <x:c r="D101" s="9" t="str">
        <x:v>["P8-G05-D3@v1"]</x:v>
      </x:c>
      <x:c r="E101" s="9" t="n">
        <x:f>IF(C101=D101,1,0)</x:f>
        <x:v>1</x:v>
      </x:c>
      <x:c r="F101" s="9" t="str">
        <x:v>{"goal":"사무공간 이전 후속 발표자료 작성","aspect":"구성","audience":"외부 고객","condition":"신규 조사로 수치 교체; 표는 9개 이내","data":"P8-G05-N@v1","agent":"발표 Agent P8","taskRelation":"별도 발표 작업 생성; 기존 조사 작업 유지"}</x:v>
      </x:c>
      <x:c r="G101" s="9" t="str">
        <x:v>{"goal":"사무공간 이전 후속 발표자료 작성","aspect":"구성","audience":"외부 고객","condition":"신규 조사로 수치 교체; 표는 9개 이내","data":"P8-G05-N@v1","agent":"발표 Agent P8","taskRelation":"기존 조사 작업 중단"}</x:v>
      </x:c>
      <x:c r="H101" s="9" t="n">
        <x:f>IF(AND(E101=1,F101=G101),1,0)</x:f>
        <x:v>0</x:v>
      </x:c>
      <x:c r="I101" s="9" t="str">
        <x:v>MEANING_ONLY</x:v>
      </x:c>
      <x:c r="J101" s="9" t="str">
        <x:v>라온 사무공간 이전 내부 검토본(P8-G05-D3@v1)의 구성을 활용해 외부 고객용 발표자료 작성을 발표 Agent P8에게 맡기겠습니다.</x:v>
      </x:c>
      <x:c r="K101" s="9" t="str">
        <x:v>라온 사무공간 이전 내부 검토본(P8-G05-D3@v1)의 구성을 활용해 외부 고객용 발표자료 작성을 발표 Agent P8에게 맡기겠습니다. 내용은 P8-G05-N@v1를 사용하고, 신규 조사로 수치 교체; 표는 9개 이내. 기존 조사 작업 중단.</x:v>
      </x:c>
      <x:c r="L101" s="9" t="str">
        <x:v>과거 적용 범위 재사용 또는 현재 조건 연결 누락</x:v>
      </x:c>
    </x:row>
    <x:row r="102" ht="95" customHeight="1">
      <x:c r="A102" s="9" t="str">
        <x:v>SYN-G05-09</x:v>
      </x:c>
      <x:c r="B102" s="9" t="str">
        <x:v>A</x:v>
      </x:c>
      <x:c r="C102" s="9" t="str">
        <x:v>["P9-G05-D3@v1"]</x:v>
      </x:c>
      <x:c r="D102" s="9" t="str">
        <x:v>["P9-G05-D3@v1"]</x:v>
      </x:c>
      <x:c r="E102" s="9" t="n">
        <x:f>IF(C102=D102,1,0)</x:f>
        <x:v>1</x:v>
      </x:c>
      <x:c r="F102" s="9" t="str">
        <x:v>{"goal":"서비스 품질 개선 후속 발표자료 작성","aspect":"구성","audience":"외부 고객","condition":"신규 조사로 수치 교체; 표는 10개 이내","data":"P9-G05-N@v1","agent":"발표 Agent P9","taskRelation":"별도 발표 작업 생성; 기존 조사 작업 유지"}</x:v>
      </x:c>
      <x:c r="G102" s="9" t="str">
        <x:v>{"goal":"서비스 품질 개선 후속 발표자료 작성","aspect":"구성","audience":"외부 고객","condition":"신규 조사로 수치 교체; 표는 10개 이내","data":"P9-G05-N@v1","agent":"발표 Agent P9","taskRelation":"기존 조사 작업 중단"}</x:v>
      </x:c>
      <x:c r="H102" s="9" t="n">
        <x:f>IF(AND(E102=1,F102=G102),1,0)</x:f>
        <x:v>0</x:v>
      </x:c>
      <x:c r="I102" s="9" t="str">
        <x:v>MEANING_ONLY</x:v>
      </x:c>
      <x:c r="J102" s="9" t="str">
        <x:v>한결 서비스 품질 개선 내부 검토본(P9-G05-D3@v1)의 구성을 활용해 외부 고객용 발표자료 작성을 발표 Agent P9에게 맡기겠습니다.</x:v>
      </x:c>
      <x:c r="K102" s="9" t="str">
        <x:v>한결 서비스 품질 개선 내부 검토본(P9-G05-D3@v1)의 구성을 활용해 외부 고객용 발표자료 작성을 발표 Agent P9에게 맡기겠습니다. 내용은 P9-G05-N@v1를 사용하고, 신규 조사로 수치 교체; 표는 10개 이내. 기존 조사 작업 중단.</x:v>
      </x:c>
      <x:c r="L102" s="9" t="str">
        <x:v>현재 조건 중 일부를 해석에서 누락</x:v>
      </x:c>
    </x:row>
    <x:row r="103" ht="95" customHeight="1">
      <x:c r="A103" s="9" t="str">
        <x:v>SYN-G05-09</x:v>
      </x:c>
      <x:c r="B103" s="9" t="str">
        <x:v>B</x:v>
      </x:c>
      <x:c r="C103" s="9" t="str">
        <x:v>["P9-G05-D3@v1"]</x:v>
      </x:c>
      <x:c r="D103" s="9" t="str">
        <x:v>["P9-G05-D3@v1"]</x:v>
      </x:c>
      <x:c r="E103" s="9" t="n">
        <x:f>IF(C103=D103,1,0)</x:f>
        <x:v>1</x:v>
      </x:c>
      <x:c r="F103" s="9" t="str">
        <x:v>{"goal":"서비스 품질 개선 후속 발표자료 작성","aspect":"구성","audience":"외부 고객","condition":"신규 조사로 수치 교체; 표는 10개 이내","data":"P9-G05-N@v1","agent":"발표 Agent P9","taskRelation":"별도 발표 작업 생성; 기존 조사 작업 유지"}</x:v>
      </x:c>
      <x:c r="G103" s="9" t="str">
        <x:v>{"goal":"서비스 품질 개선 후속 발표자료 작성","aspect":"구성","audience":"외부 고객","condition":"신규 조사로 수치 교체; 표는 10개 이내","data":"P9-G05-N@v1","agent":"발표 Agent P9","taskRelation":"별도 발표 작업 생성; 기존 조사 작업 유지"}</x:v>
      </x:c>
      <x:c r="H103" s="9" t="n">
        <x:f>IF(AND(E103=1,F103=G103),1,0)</x:f>
        <x:v>1</x:v>
      </x:c>
      <x:c r="I103" s="9" t="str">
        <x:v>NONE</x:v>
      </x:c>
      <x:c r="J103" s="9" t="str">
        <x:v>한결 서비스 품질 개선 내부 검토본(P9-G05-D3@v1)의 구성을 활용해 외부 고객용 발표자료 작성을 발표 Agent P9에게 맡기겠습니다.</x:v>
      </x:c>
      <x:c r="K103" s="9" t="str">
        <x:v>한결 서비스 품질 개선 내부 검토본(P9-G05-D3@v1)의 구성을 활용해 외부 고객용 발표자료 작성을 발표 Agent P9에게 맡기겠습니다. 내용은 P9-G05-N@v1를 사용하고, 신규 조사로 수치 교체; 표는 10개 이내. 별도 발표 작업 생성; 기존 조사 작업 유지.</x:v>
      </x:c>
      <x:c r="L103" s="9" t="str">
        <x:v>필수 의미와 지칭 집합 모두 일치</x:v>
      </x:c>
    </x:row>
    <x:row r="104" ht="95" customHeight="1">
      <x:c r="A104" s="9" t="str">
        <x:v>SYN-G05-10</x:v>
      </x:c>
      <x:c r="B104" s="9" t="str">
        <x:v>A</x:v>
      </x:c>
      <x:c r="C104" s="9" t="str">
        <x:v>["P10-G05-D3@v1"]</x:v>
      </x:c>
      <x:c r="D104" s="9" t="str">
        <x:v>["P10-G05-D3@v1"]</x:v>
      </x:c>
      <x:c r="E104" s="9" t="n">
        <x:f>IF(C104=D104,1,0)</x:f>
        <x:v>1</x:v>
      </x:c>
      <x:c r="F104" s="9" t="str">
        <x:v>{"goal":"파트너 제휴 검토 후속 발표자료 작성","aspect":"구성","audience":"외부 고객","condition":"신규 조사로 수치 교체; 표는 11개 이내","data":"P10-G05-N@v1","agent":"발표 Agent P10","taskRelation":"별도 발표 작업 생성; 기존 조사 작업 유지"}</x:v>
      </x:c>
      <x:c r="G104" s="9" t="str">
        <x:v>{"goal":"파트너 제휴 검토 후속 발표자료 작성","aspect":"구성","audience":"외부 고객","condition":"신규 조사로 수치 교체; 표는 11개 이내","data":"P10-G05-N@v1","agent":"발표 Agent P10","taskRelation":"별도 발표 작업 생성; 기존 조사 작업 유지"}</x:v>
      </x:c>
      <x:c r="H104" s="9" t="n">
        <x:f>IF(AND(E104=1,F104=G104),1,0)</x:f>
        <x:v>1</x:v>
      </x:c>
      <x:c r="I104" s="9" t="str">
        <x:v>NONE</x:v>
      </x:c>
      <x:c r="J104" s="9" t="str">
        <x:v>온유 파트너 제휴 검토 내부 검토본(P10-G05-D3@v1)의 구성을 활용해 외부 고객용 발표자료 작성을 발표 Agent P10에게 맡기겠습니다.</x:v>
      </x:c>
      <x:c r="K104" s="9" t="str">
        <x:v>온유 파트너 제휴 검토 내부 검토본(P10-G05-D3@v1)의 구성을 활용해 외부 고객용 발표자료 작성을 발표 Agent P10에게 맡기겠습니다. 내용은 P10-G05-N@v1를 사용하고, 신규 조사로 수치 교체; 표는 11개 이내. 별도 발표 작업 생성; 기존 조사 작업 유지.</x:v>
      </x:c>
      <x:c r="L104" s="9" t="str">
        <x:v>필수 의미와 지칭 집합 모두 일치</x:v>
      </x:c>
    </x:row>
    <x:row r="105" ht="95" customHeight="1">
      <x:c r="A105" s="9" t="str">
        <x:v>SYN-G05-10</x:v>
      </x:c>
      <x:c r="B105" s="9" t="str">
        <x:v>B</x:v>
      </x:c>
      <x:c r="C105" s="9" t="str">
        <x:v>["P10-G05-D3@v1"]</x:v>
      </x:c>
      <x:c r="D105" s="9" t="str">
        <x:v>["P10-G05-D3@v1"]</x:v>
      </x:c>
      <x:c r="E105" s="9" t="n">
        <x:f>IF(C105=D105,1,0)</x:f>
        <x:v>1</x:v>
      </x:c>
      <x:c r="F105" s="9" t="str">
        <x:v>{"goal":"파트너 제휴 검토 후속 발표자료 작성","aspect":"구성","audience":"외부 고객","condition":"신규 조사로 수치 교체; 표는 11개 이내","data":"P10-G05-N@v1","agent":"발표 Agent P10","taskRelation":"별도 발표 작업 생성; 기존 조사 작업 유지"}</x:v>
      </x:c>
      <x:c r="G105" s="9" t="str">
        <x:v>{"goal":"파트너 제휴 검토 후속 발표자료 작성","aspect":"구성","audience":"외부 고객","condition":"신규 조사로 수치 교체; 표는 11개 이내","data":"P10-G05-N@v1","agent":"발표 Agent P10","taskRelation":"별도 발표 작업 생성; 기존 조사 작업 유지"}</x:v>
      </x:c>
      <x:c r="H105" s="9" t="n">
        <x:f>IF(AND(E105=1,F105=G105),1,0)</x:f>
        <x:v>1</x:v>
      </x:c>
      <x:c r="I105" s="9" t="str">
        <x:v>NONE</x:v>
      </x:c>
      <x:c r="J105" s="9" t="str">
        <x:v>온유 파트너 제휴 검토 내부 검토본(P10-G05-D3@v1)의 구성을 활용해 외부 고객용 발표자료 작성을 발표 Agent P10에게 맡기겠습니다.</x:v>
      </x:c>
      <x:c r="K105" s="9" t="str">
        <x:v>온유 파트너 제휴 검토 내부 검토본(P10-G05-D3@v1)의 구성을 활용해 외부 고객용 발표자료 작성을 발표 Agent P10에게 맡기겠습니다. 내용은 P10-G05-N@v1를 사용하고, 신규 조사로 수치 교체; 표는 11개 이내. 별도 발표 작업 생성; 기존 조사 작업 유지.</x:v>
      </x:c>
      <x:c r="L105" s="9" t="str">
        <x:v>필수 의미와 지칭 집합 모두 일치</x:v>
      </x:c>
    </x:row>
    <x:row r="106" ht="95" customHeight="1">
      <x:c r="A106" s="9" t="str">
        <x:v>SYN-G06-01</x:v>
      </x:c>
      <x:c r="B106" s="9" t="str">
        <x:v>A</x:v>
      </x:c>
      <x:c r="C106" s="9" t="str">
        <x:v>["P1-G06-D2@v1"]</x:v>
      </x:c>
      <x:c r="D106" s="9" t="str">
        <x:v>["P1-G06-D2@v1"]</x:v>
      </x:c>
      <x:c r="E106" s="9" t="n">
        <x:f>IF(C106=D106,1,0)</x:f>
        <x:v>1</x:v>
      </x:c>
      <x:c r="F106" s="9" t="str">
        <x:v>{"goal":"협업 도구 도입 후속 발표자료 작성","aspect":"구성","audience":"내부회의","condition":"단점을 먼저 제시; 표는 2개 이내","data":"P1-G06-N@v1","agent":"발표 Agent P1","taskRelation":"별도 발표 작업 생성; 기존 조사 작업 유지"}</x:v>
      </x:c>
      <x:c r="G106" s="9" t="str">
        <x:v>{"goal":"협업 도구 도입 후속 발표자료 작성","aspect":"구성","audience":"내부회의","condition":"단점을 먼저 제시; 표는 2개 이내","data":"P1-G06-N@v1","agent":"발표 Agent P1","taskRelation":"별도 발표 작업 생성; 기존 조사 작업 유지"}</x:v>
      </x:c>
      <x:c r="H106" s="9" t="n">
        <x:f>IF(AND(E106=1,F106=G106),1,0)</x:f>
        <x:v>1</x:v>
      </x:c>
      <x:c r="I106" s="9" t="str">
        <x:v>NONE</x:v>
      </x:c>
      <x:c r="J106" s="9" t="str">
        <x:v>새봄 협업 도구 도입 고객 제안서(P1-G06-D2@v1)의 구성을 활용해 내부회의용 발표자료 작성을 발표 Agent P1에게 맡기겠습니다.</x:v>
      </x:c>
      <x:c r="K106" s="9" t="str">
        <x:v>새봄 협업 도구 도입 고객 제안서(P1-G06-D2@v1)의 구성을 활용해 내부회의용 발표자료 작성을 발표 Agent P1에게 맡기겠습니다. 내용은 P1-G06-N@v1를 사용하고, 단점을 먼저 제시; 표는 2개 이내. 별도 발표 작업 생성; 기존 조사 작업 유지.</x:v>
      </x:c>
      <x:c r="L106" s="9" t="str">
        <x:v>필수 의미와 지칭 집합 모두 일치</x:v>
      </x:c>
    </x:row>
    <x:row r="107" ht="95" customHeight="1">
      <x:c r="A107" s="9" t="str">
        <x:v>SYN-G06-01</x:v>
      </x:c>
      <x:c r="B107" s="9" t="str">
        <x:v>B</x:v>
      </x:c>
      <x:c r="C107" s="9" t="str">
        <x:v>["P1-G06-D2@v1"]</x:v>
      </x:c>
      <x:c r="D107" s="9" t="str">
        <x:v>["P1-G06-D2@v1"]</x:v>
      </x:c>
      <x:c r="E107" s="9" t="n">
        <x:f>IF(C107=D107,1,0)</x:f>
        <x:v>1</x:v>
      </x:c>
      <x:c r="F107" s="9" t="str">
        <x:v>{"goal":"협업 도구 도입 후속 발표자료 작성","aspect":"구성","audience":"내부회의","condition":"단점을 먼저 제시; 표는 2개 이내","data":"P1-G06-N@v1","agent":"발표 Agent P1","taskRelation":"별도 발표 작업 생성; 기존 조사 작업 유지"}</x:v>
      </x:c>
      <x:c r="G107" s="9" t="str">
        <x:v>{"goal":"협업 도구 도입 후속 발표자료 작성","aspect":"구성","audience":"외부 고객","condition":"장점을 먼저 제시","data":"P1-G06-N@v1","agent":"발표 Agent P1","taskRelation":"별도 발표 작업 생성; 기존 조사 작업 유지"}</x:v>
      </x:c>
      <x:c r="H107" s="9" t="n">
        <x:f>IF(AND(E107=1,F107=G107),1,0)</x:f>
        <x:v>0</x:v>
      </x:c>
      <x:c r="I107" s="9" t="str">
        <x:v>MEANING_ONLY</x:v>
      </x:c>
      <x:c r="J107" s="9" t="str">
        <x:v>새봄 협업 도구 도입 고객 제안서(P1-G06-D2@v1)의 구성을 활용해 외부 고객용 발표자료 작성을 발표 Agent P1에게 맡기겠습니다.</x:v>
      </x:c>
      <x:c r="K107" s="9" t="str">
        <x:v>새봄 협업 도구 도입 고객 제안서(P1-G06-D2@v1)의 구성을 활용해 외부 고객용 발표자료 작성을 발표 Agent P1에게 맡기겠습니다. 내용은 P1-G06-N@v1를 사용하고, 장점을 먼저 제시. 별도 발표 작업 생성; 기존 조사 작업 유지.</x:v>
      </x:c>
      <x:c r="L107" s="9" t="str">
        <x:v>과거 적용 범위 재사용 또는 현재 조건 연결 누락</x:v>
      </x:c>
    </x:row>
    <x:row r="108" ht="95" customHeight="1">
      <x:c r="A108" s="9" t="str">
        <x:v>SYN-G06-02</x:v>
      </x:c>
      <x:c r="B108" s="9" t="str">
        <x:v>A</x:v>
      </x:c>
      <x:c r="C108" s="9" t="str">
        <x:v>["P2-G06-D2@v1"]</x:v>
      </x:c>
      <x:c r="D108" s="9" t="str">
        <x:v>["P2-G06-D2@v1"]</x:v>
      </x:c>
      <x:c r="E108" s="9" t="n">
        <x:f>IF(C108=D108,1,0)</x:f>
        <x:v>1</x:v>
      </x:c>
      <x:c r="F108" s="9" t="str">
        <x:v>{"goal":"고객지원 시스템 교체 후속 발표자료 작성","aspect":"구성","audience":"내부회의","condition":"단점을 먼저 제시; 표는 3개 이내","data":"P2-G06-N@v1","agent":"발표 Agent P2","taskRelation":"별도 발표 작업 생성; 기존 조사 작업 유지"}</x:v>
      </x:c>
      <x:c r="G108" s="9" t="str">
        <x:v>{"goal":"고객지원 시스템 교체 후속 발표자료 작성","aspect":"구성","audience":"내부회의","condition":"단점을 먼저 제시; 표는 3개 이내","data":"P2-G06-N@v1","agent":"발표 Agent P2","taskRelation":"별도 발표 작업 생성; 기존 조사 작업 유지"}</x:v>
      </x:c>
      <x:c r="H108" s="9" t="n">
        <x:f>IF(AND(E108=1,F108=G108),1,0)</x:f>
        <x:v>1</x:v>
      </x:c>
      <x:c r="I108" s="9" t="str">
        <x:v>NONE</x:v>
      </x:c>
      <x:c r="J108" s="9" t="str">
        <x:v>해솔 고객지원 시스템 교체 고객 제안서(P2-G06-D2@v1)의 구성을 활용해 내부회의용 발표자료 작성을 발표 Agent P2에게 맡기겠습니다.</x:v>
      </x:c>
      <x:c r="K108" s="9" t="str">
        <x:v>해솔 고객지원 시스템 교체 고객 제안서(P2-G06-D2@v1)의 구성을 활용해 내부회의용 발표자료 작성을 발표 Agent P2에게 맡기겠습니다. 내용은 P2-G06-N@v1를 사용하고, 단점을 먼저 제시; 표는 3개 이내. 별도 발표 작업 생성; 기존 조사 작업 유지.</x:v>
      </x:c>
      <x:c r="L108" s="9" t="str">
        <x:v>필수 의미와 지칭 집합 모두 일치</x:v>
      </x:c>
    </x:row>
    <x:row r="109" ht="95" customHeight="1">
      <x:c r="A109" s="9" t="str">
        <x:v>SYN-G06-02</x:v>
      </x:c>
      <x:c r="B109" s="9" t="str">
        <x:v>B</x:v>
      </x:c>
      <x:c r="C109" s="9" t="str">
        <x:v>["P2-G06-D2@v1"]</x:v>
      </x:c>
      <x:c r="D109" s="9" t="str">
        <x:v>["P2-G06-D2@v1"]</x:v>
      </x:c>
      <x:c r="E109" s="9" t="n">
        <x:f>IF(C109=D109,1,0)</x:f>
        <x:v>1</x:v>
      </x:c>
      <x:c r="F109" s="9" t="str">
        <x:v>{"goal":"고객지원 시스템 교체 후속 발표자료 작성","aspect":"구성","audience":"내부회의","condition":"단점을 먼저 제시; 표는 3개 이내","data":"P2-G06-N@v1","agent":"발표 Agent P2","taskRelation":"별도 발표 작업 생성; 기존 조사 작업 유지"}</x:v>
      </x:c>
      <x:c r="G109" s="9" t="str">
        <x:v>{"goal":"고객지원 시스템 교체 후속 발표자료 작성","aspect":"구성","audience":"내부회의","condition":"단점을 먼저 제시; 표는 3개 이내","data":"P2-G06-N@v1","agent":"발표 Agent P2","taskRelation":"별도 발표 작업 생성; 기존 조사 작업 유지"}</x:v>
      </x:c>
      <x:c r="H109" s="9" t="n">
        <x:f>IF(AND(E109=1,F109=G109),1,0)</x:f>
        <x:v>1</x:v>
      </x:c>
      <x:c r="I109" s="9" t="str">
        <x:v>NONE</x:v>
      </x:c>
      <x:c r="J109" s="9" t="str">
        <x:v>해솔 고객지원 시스템 교체 고객 제안서(P2-G06-D2@v1)의 구성을 활용해 내부회의용 발표자료 작성을 발표 Agent P2에게 맡기겠습니다.</x:v>
      </x:c>
      <x:c r="K109" s="9" t="str">
        <x:v>해솔 고객지원 시스템 교체 고객 제안서(P2-G06-D2@v1)의 구성을 활용해 내부회의용 발표자료 작성을 발표 Agent P2에게 맡기겠습니다. 내용은 P2-G06-N@v1를 사용하고, 단점을 먼저 제시; 표는 3개 이내. 별도 발표 작업 생성; 기존 조사 작업 유지.</x:v>
      </x:c>
      <x:c r="L109" s="9" t="str">
        <x:v>필수 의미와 지칭 집합 모두 일치</x:v>
      </x:c>
    </x:row>
    <x:row r="110" ht="95" customHeight="1">
      <x:c r="A110" s="9" t="str">
        <x:v>SYN-G06-03</x:v>
      </x:c>
      <x:c r="B110" s="9" t="str">
        <x:v>A</x:v>
      </x:c>
      <x:c r="C110" s="9" t="str">
        <x:v>["P3-G06-D2@v1"]</x:v>
      </x:c>
      <x:c r="D110" s="9" t="str">
        <x:v>["P3-G06-D2@v1"]</x:v>
      </x:c>
      <x:c r="E110" s="9" t="n">
        <x:f>IF(C110=D110,1,0)</x:f>
        <x:v>1</x:v>
      </x:c>
      <x:c r="F110" s="9" t="str">
        <x:v>{"goal":"물류 현황 보고 후속 발표자료 작성","aspect":"구성","audience":"내부회의","condition":"단점을 먼저 제시; 표는 4개 이내","data":"P3-G06-N@v1","agent":"발표 Agent P3","taskRelation":"별도 발표 작업 생성; 기존 조사 작업 유지"}</x:v>
      </x:c>
      <x:c r="G110" s="9" t="str">
        <x:v>{"goal":"물류 현황 보고 후속 발표자료 작성","aspect":"구성","audience":"내부회의","condition":"단점을 먼저 제시; 표는 4개 이내","data":"P3-G06-N@v1","agent":"발표 Agent P3","taskRelation":"별도 발표 작업 생성; 기존 조사 작업 유지"}</x:v>
      </x:c>
      <x:c r="H110" s="9" t="n">
        <x:f>IF(AND(E110=1,F110=G110),1,0)</x:f>
        <x:v>1</x:v>
      </x:c>
      <x:c r="I110" s="9" t="str">
        <x:v>NONE</x:v>
      </x:c>
      <x:c r="J110" s="9" t="str">
        <x:v>가온 물류 현황 보고 고객 제안서(P3-G06-D2@v1)의 구성을 활용해 내부회의용 발표자료 작성을 발표 Agent P3에게 맡기겠습니다.</x:v>
      </x:c>
      <x:c r="K110" s="9" t="str">
        <x:v>가온 물류 현황 보고 고객 제안서(P3-G06-D2@v1)의 구성을 활용해 내부회의용 발표자료 작성을 발표 Agent P3에게 맡기겠습니다. 내용은 P3-G06-N@v1를 사용하고, 단점을 먼저 제시; 표는 4개 이내. 별도 발표 작업 생성; 기존 조사 작업 유지.</x:v>
      </x:c>
      <x:c r="L110" s="9" t="str">
        <x:v>필수 의미와 지칭 집합 모두 일치</x:v>
      </x:c>
    </x:row>
    <x:row r="111" ht="95" customHeight="1">
      <x:c r="A111" s="9" t="str">
        <x:v>SYN-G06-03</x:v>
      </x:c>
      <x:c r="B111" s="9" t="str">
        <x:v>B</x:v>
      </x:c>
      <x:c r="C111" s="9" t="str">
        <x:v>["P3-G06-D2@v1"]</x:v>
      </x:c>
      <x:c r="D111" s="9" t="str">
        <x:v>["P3-G06-D2@v1"]</x:v>
      </x:c>
      <x:c r="E111" s="9" t="n">
        <x:f>IF(C111=D111,1,0)</x:f>
        <x:v>1</x:v>
      </x:c>
      <x:c r="F111" s="9" t="str">
        <x:v>{"goal":"물류 현황 보고 후속 발표자료 작성","aspect":"구성","audience":"내부회의","condition":"단점을 먼저 제시; 표는 4개 이내","data":"P3-G06-N@v1","agent":"발표 Agent P3","taskRelation":"별도 발표 작업 생성; 기존 조사 작업 유지"}</x:v>
      </x:c>
      <x:c r="G111" s="9" t="str">
        <x:v>{"goal":"물류 현황 보고 후속 발표자료 작성","aspect":"구성","audience":"내부회의","condition":"단점을 먼저 제시; 표는 4개 이내","data":"P3-G06-N@v1","agent":"발표 Agent P3","taskRelation":"별도 발표 작업 생성; 기존 조사 작업 유지"}</x:v>
      </x:c>
      <x:c r="H111" s="9" t="n">
        <x:f>IF(AND(E111=1,F111=G111),1,0)</x:f>
        <x:v>1</x:v>
      </x:c>
      <x:c r="I111" s="9" t="str">
        <x:v>NONE</x:v>
      </x:c>
      <x:c r="J111" s="9" t="str">
        <x:v>가온 물류 현황 보고 고객 제안서(P3-G06-D2@v1)의 구성을 활용해 내부회의용 발표자료 작성을 발표 Agent P3에게 맡기겠습니다.</x:v>
      </x:c>
      <x:c r="K111" s="9" t="str">
        <x:v>가온 물류 현황 보고 고객 제안서(P3-G06-D2@v1)의 구성을 활용해 내부회의용 발표자료 작성을 발표 Agent P3에게 맡기겠습니다. 내용은 P3-G06-N@v1를 사용하고, 단점을 먼저 제시; 표는 4개 이내. 별도 발표 작업 생성; 기존 조사 작업 유지.</x:v>
      </x:c>
      <x:c r="L111" s="9" t="str">
        <x:v>필수 의미와 지칭 집합 모두 일치</x:v>
      </x:c>
    </x:row>
    <x:row r="112" ht="95" customHeight="1">
      <x:c r="A112" s="9" t="str">
        <x:v>SYN-G06-04</x:v>
      </x:c>
      <x:c r="B112" s="9" t="str">
        <x:v>A</x:v>
      </x:c>
      <x:c r="C112" s="9" t="str">
        <x:v>["P4-G06-D2@v1"]</x:v>
      </x:c>
      <x:c r="D112" s="9" t="str">
        <x:v>["P4-G06-D2@v1"]</x:v>
      </x:c>
      <x:c r="E112" s="9" t="n">
        <x:f>IF(C112=D112,1,0)</x:f>
        <x:v>1</x:v>
      </x:c>
      <x:c r="F112" s="9" t="str">
        <x:v>{"goal":"매장 운영 개선 후속 발표자료 작성","aspect":"구성","audience":"내부회의","condition":"단점을 먼저 제시; 표는 5개 이내","data":"P4-G06-N@v1","agent":"발표 Agent P4","taskRelation":"별도 발표 작업 생성; 기존 조사 작업 유지"}</x:v>
      </x:c>
      <x:c r="G112" s="9" t="str">
        <x:v>{"goal":"매장 운영 개선 후속 발표자료 작성","aspect":"구성","audience":"내부회의","condition":"단점을 먼저 제시; 표는 5개 이내","data":"P4-G06-N@v1","agent":"발표 Agent P4","taskRelation":"별도 발표 작업 생성; 기존 조사 작업 유지"}</x:v>
      </x:c>
      <x:c r="H112" s="9" t="n">
        <x:f>IF(AND(E112=1,F112=G112),1,0)</x:f>
        <x:v>1</x:v>
      </x:c>
      <x:c r="I112" s="9" t="str">
        <x:v>NONE</x:v>
      </x:c>
      <x:c r="J112" s="9" t="str">
        <x:v>누리 매장 운영 개선 고객 제안서(P4-G06-D2@v1)의 구성을 활용해 내부회의용 발표자료 작성을 발표 Agent P4에게 맡기겠습니다.</x:v>
      </x:c>
      <x:c r="K112" s="9" t="str">
        <x:v>누리 매장 운영 개선 고객 제안서(P4-G06-D2@v1)의 구성을 활용해 내부회의용 발표자료 작성을 발표 Agent P4에게 맡기겠습니다. 내용은 P4-G06-N@v1를 사용하고, 단점을 먼저 제시; 표는 5개 이내. 별도 발표 작업 생성; 기존 조사 작업 유지.</x:v>
      </x:c>
      <x:c r="L112" s="9" t="str">
        <x:v>필수 의미와 지칭 집합 모두 일치</x:v>
      </x:c>
    </x:row>
    <x:row r="113" ht="95" customHeight="1">
      <x:c r="A113" s="9" t="str">
        <x:v>SYN-G06-04</x:v>
      </x:c>
      <x:c r="B113" s="9" t="str">
        <x:v>B</x:v>
      </x:c>
      <x:c r="C113" s="9" t="str">
        <x:v>["P4-G06-D2@v1"]</x:v>
      </x:c>
      <x:c r="D113" s="9" t="str">
        <x:v>["P4-G06-D2@v1"]</x:v>
      </x:c>
      <x:c r="E113" s="9" t="n">
        <x:f>IF(C113=D113,1,0)</x:f>
        <x:v>1</x:v>
      </x:c>
      <x:c r="F113" s="9" t="str">
        <x:v>{"goal":"매장 운영 개선 후속 발표자료 작성","aspect":"구성","audience":"내부회의","condition":"단점을 먼저 제시; 표는 5개 이내","data":"P4-G06-N@v1","agent":"발표 Agent P4","taskRelation":"별도 발표 작업 생성; 기존 조사 작업 유지"}</x:v>
      </x:c>
      <x:c r="G113" s="9" t="str">
        <x:v>{"goal":"매장 운영 개선 후속 발표자료 작성","aspect":"구성","audience":"외부 고객","condition":"장점을 먼저 제시","data":"P4-G06-N@v1","agent":"발표 Agent P4","taskRelation":"별도 발표 작업 생성; 기존 조사 작업 유지"}</x:v>
      </x:c>
      <x:c r="H113" s="9" t="n">
        <x:f>IF(AND(E113=1,F113=G113),1,0)</x:f>
        <x:v>0</x:v>
      </x:c>
      <x:c r="I113" s="9" t="str">
        <x:v>MEANING_ONLY</x:v>
      </x:c>
      <x:c r="J113" s="9" t="str">
        <x:v>누리 매장 운영 개선 고객 제안서(P4-G06-D2@v1)의 구성을 활용해 외부 고객용 발표자료 작성을 발표 Agent P4에게 맡기겠습니다.</x:v>
      </x:c>
      <x:c r="K113" s="9" t="str">
        <x:v>누리 매장 운영 개선 고객 제안서(P4-G06-D2@v1)의 구성을 활용해 외부 고객용 발표자료 작성을 발표 Agent P4에게 맡기겠습니다. 내용은 P4-G06-N@v1를 사용하고, 장점을 먼저 제시. 별도 발표 작업 생성; 기존 조사 작업 유지.</x:v>
      </x:c>
      <x:c r="L113" s="9" t="str">
        <x:v>과거 적용 범위 재사용 또는 현재 조건 연결 누락</x:v>
      </x:c>
    </x:row>
    <x:row r="114" ht="95" customHeight="1">
      <x:c r="A114" s="9" t="str">
        <x:v>SYN-G06-05</x:v>
      </x:c>
      <x:c r="B114" s="9" t="str">
        <x:v>A</x:v>
      </x:c>
      <x:c r="C114" s="9" t="str">
        <x:v>["P5-G06-D2@v1"]</x:v>
      </x:c>
      <x:c r="D114" s="9" t="str">
        <x:v>["P5-G06-D2@v1"]</x:v>
      </x:c>
      <x:c r="E114" s="9" t="n">
        <x:f>IF(C114=D114,1,0)</x:f>
        <x:v>1</x:v>
      </x:c>
      <x:c r="F114" s="9" t="str">
        <x:v>{"goal":"교육 과정 개편 후속 발표자료 작성","aspect":"구성","audience":"내부회의","condition":"단점을 먼저 제시; 표는 6개 이내","data":"P5-G06-N@v1","agent":"발표 Agent P5","taskRelation":"별도 발표 작업 생성; 기존 조사 작업 유지"}</x:v>
      </x:c>
      <x:c r="G114" s="9" t="str">
        <x:v>{"goal":"교육 과정 개편 후속 발표자료 작성","aspect":"구성","audience":"내부회의","condition":"단점을 먼저 제시; 표는 6개 이내","data":"P5-G06-N@v1","agent":"발표 Agent P5","taskRelation":"별도 발표 작업 생성; 기존 조사 작업 유지"}</x:v>
      </x:c>
      <x:c r="H114" s="9" t="n">
        <x:f>IF(AND(E114=1,F114=G114),1,0)</x:f>
        <x:v>1</x:v>
      </x:c>
      <x:c r="I114" s="9" t="str">
        <x:v>NONE</x:v>
      </x:c>
      <x:c r="J114" s="9" t="str">
        <x:v>다온 교육 과정 개편 고객 제안서(P5-G06-D2@v1)의 구성을 활용해 내부회의용 발표자료 작성을 발표 Agent P5에게 맡기겠습니다.</x:v>
      </x:c>
      <x:c r="K114" s="9" t="str">
        <x:v>다온 교육 과정 개편 고객 제안서(P5-G06-D2@v1)의 구성을 활용해 내부회의용 발표자료 작성을 발표 Agent P5에게 맡기겠습니다. 내용은 P5-G06-N@v1를 사용하고, 단점을 먼저 제시; 표는 6개 이내. 별도 발표 작업 생성; 기존 조사 작업 유지.</x:v>
      </x:c>
      <x:c r="L114" s="9" t="str">
        <x:v>필수 의미와 지칭 집합 모두 일치</x:v>
      </x:c>
    </x:row>
    <x:row r="115" ht="95" customHeight="1">
      <x:c r="A115" s="9" t="str">
        <x:v>SYN-G06-05</x:v>
      </x:c>
      <x:c r="B115" s="9" t="str">
        <x:v>B</x:v>
      </x:c>
      <x:c r="C115" s="9" t="str">
        <x:v>["P5-G06-D2@v1"]</x:v>
      </x:c>
      <x:c r="D115" s="9" t="str">
        <x:v>["P5-G06-D2@v1"]</x:v>
      </x:c>
      <x:c r="E115" s="9" t="n">
        <x:f>IF(C115=D115,1,0)</x:f>
        <x:v>1</x:v>
      </x:c>
      <x:c r="F115" s="9" t="str">
        <x:v>{"goal":"교육 과정 개편 후속 발표자료 작성","aspect":"구성","audience":"내부회의","condition":"단점을 먼저 제시; 표는 6개 이내","data":"P5-G06-N@v1","agent":"발표 Agent P5","taskRelation":"별도 발표 작업 생성; 기존 조사 작업 유지"}</x:v>
      </x:c>
      <x:c r="G115" s="9" t="str">
        <x:v>{"goal":"교육 과정 개편 후속 발표자료 작성","aspect":"구성","audience":"내부회의","condition":"단점을 먼저 제시; 표는 6개 이내","data":"P5-G06-N@v1","agent":"발표 Agent P5","taskRelation":"별도 발표 작업 생성; 기존 조사 작업 유지"}</x:v>
      </x:c>
      <x:c r="H115" s="9" t="n">
        <x:f>IF(AND(E115=1,F115=G115),1,0)</x:f>
        <x:v>1</x:v>
      </x:c>
      <x:c r="I115" s="9" t="str">
        <x:v>NONE</x:v>
      </x:c>
      <x:c r="J115" s="9" t="str">
        <x:v>다온 교육 과정 개편 고객 제안서(P5-G06-D2@v1)의 구성을 활용해 내부회의용 발표자료 작성을 발표 Agent P5에게 맡기겠습니다.</x:v>
      </x:c>
      <x:c r="K115" s="9" t="str">
        <x:v>다온 교육 과정 개편 고객 제안서(P5-G06-D2@v1)의 구성을 활용해 내부회의용 발표자료 작성을 발표 Agent P5에게 맡기겠습니다. 내용은 P5-G06-N@v1를 사용하고, 단점을 먼저 제시; 표는 6개 이내. 별도 발표 작업 생성; 기존 조사 작업 유지.</x:v>
      </x:c>
      <x:c r="L115" s="9" t="str">
        <x:v>필수 의미와 지칭 집합 모두 일치</x:v>
      </x:c>
    </x:row>
    <x:row r="116" ht="95" customHeight="1">
      <x:c r="A116" s="9" t="str">
        <x:v>SYN-G06-06</x:v>
      </x:c>
      <x:c r="B116" s="9" t="str">
        <x:v>A</x:v>
      </x:c>
      <x:c r="C116" s="9" t="str">
        <x:v>["P6-G06-D2@v1"]</x:v>
      </x:c>
      <x:c r="D116" s="9" t="str">
        <x:v>["P6-G06-D2@v1"]</x:v>
      </x:c>
      <x:c r="E116" s="9" t="n">
        <x:f>IF(C116=D116,1,0)</x:f>
        <x:v>1</x:v>
      </x:c>
      <x:c r="F116" s="9" t="str">
        <x:v>{"goal":"제품 출시 계획 후속 발표자료 작성","aspect":"구성","audience":"내부회의","condition":"단점을 먼저 제시; 표는 7개 이내","data":"P6-G06-N@v1","agent":"발표 Agent P6","taskRelation":"별도 발표 작업 생성; 기존 조사 작업 유지"}</x:v>
      </x:c>
      <x:c r="G116" s="9" t="str">
        <x:v>{"goal":"제품 출시 계획 후속 발표자료 작성","aspect":"구성","audience":"내부회의","condition":"단점을 먼저 제시; 표는 7개 이내","data":"P6-G06-N@v1","agent":"발표 Agent P6","taskRelation":"별도 발표 작업 생성; 기존 조사 작업 유지"}</x:v>
      </x:c>
      <x:c r="H116" s="9" t="n">
        <x:f>IF(AND(E116=1,F116=G116),1,0)</x:f>
        <x:v>1</x:v>
      </x:c>
      <x:c r="I116" s="9" t="str">
        <x:v>NONE</x:v>
      </x:c>
      <x:c r="J116" s="9" t="str">
        <x:v>마루 제품 출시 계획 고객 제안서(P6-G06-D2@v1)의 구성을 활용해 내부회의용 발표자료 작성을 발표 Agent P6에게 맡기겠습니다.</x:v>
      </x:c>
      <x:c r="K116" s="9" t="str">
        <x:v>마루 제품 출시 계획 고객 제안서(P6-G06-D2@v1)의 구성을 활용해 내부회의용 발표자료 작성을 발표 Agent P6에게 맡기겠습니다. 내용은 P6-G06-N@v1를 사용하고, 단점을 먼저 제시; 표는 7개 이내. 별도 발표 작업 생성; 기존 조사 작업 유지.</x:v>
      </x:c>
      <x:c r="L116" s="9" t="str">
        <x:v>필수 의미와 지칭 집합 모두 일치</x:v>
      </x:c>
    </x:row>
    <x:row r="117" ht="95" customHeight="1">
      <x:c r="A117" s="9" t="str">
        <x:v>SYN-G06-06</x:v>
      </x:c>
      <x:c r="B117" s="9" t="str">
        <x:v>B</x:v>
      </x:c>
      <x:c r="C117" s="9" t="str">
        <x:v>["P6-G06-D2@v1"]</x:v>
      </x:c>
      <x:c r="D117" s="9" t="str">
        <x:v>["P6-G06-D2@v1"]</x:v>
      </x:c>
      <x:c r="E117" s="9" t="n">
        <x:f>IF(C117=D117,1,0)</x:f>
        <x:v>1</x:v>
      </x:c>
      <x:c r="F117" s="9" t="str">
        <x:v>{"goal":"제품 출시 계획 후속 발표자료 작성","aspect":"구성","audience":"내부회의","condition":"단점을 먼저 제시; 표는 7개 이내","data":"P6-G06-N@v1","agent":"발표 Agent P6","taskRelation":"별도 발표 작업 생성; 기존 조사 작업 유지"}</x:v>
      </x:c>
      <x:c r="G117" s="9" t="str">
        <x:v>{"goal":"제품 출시 계획 후속 발표자료 작성","aspect":"구성","audience":"내부회의","condition":"단점을 먼저 제시; 표는 7개 이내","data":"P6-G06-N@v1","agent":"발표 Agent P6","taskRelation":"별도 발표 작업 생성; 기존 조사 작업 유지"}</x:v>
      </x:c>
      <x:c r="H117" s="9" t="n">
        <x:f>IF(AND(E117=1,F117=G117),1,0)</x:f>
        <x:v>1</x:v>
      </x:c>
      <x:c r="I117" s="9" t="str">
        <x:v>NONE</x:v>
      </x:c>
      <x:c r="J117" s="9" t="str">
        <x:v>마루 제품 출시 계획 고객 제안서(P6-G06-D2@v1)의 구성을 활용해 내부회의용 발표자료 작성을 발표 Agent P6에게 맡기겠습니다.</x:v>
      </x:c>
      <x:c r="K117" s="9" t="str">
        <x:v>마루 제품 출시 계획 고객 제안서(P6-G06-D2@v1)의 구성을 활용해 내부회의용 발표자료 작성을 발표 Agent P6에게 맡기겠습니다. 내용은 P6-G06-N@v1를 사용하고, 단점을 먼저 제시; 표는 7개 이내. 별도 발표 작업 생성; 기존 조사 작업 유지.</x:v>
      </x:c>
      <x:c r="L117" s="9" t="str">
        <x:v>필수 의미와 지칭 집합 모두 일치</x:v>
      </x:c>
    </x:row>
    <x:row r="118" ht="95" customHeight="1">
      <x:c r="A118" s="9" t="str">
        <x:v>SYN-G06-07</x:v>
      </x:c>
      <x:c r="B118" s="9" t="str">
        <x:v>A</x:v>
      </x:c>
      <x:c r="C118" s="9" t="str">
        <x:v>["P7-G06-D2@v1"]</x:v>
      </x:c>
      <x:c r="D118" s="9" t="str">
        <x:v>["P7-G06-D2@v1"]</x:v>
      </x:c>
      <x:c r="E118" s="9" t="n">
        <x:f>IF(C118=D118,1,0)</x:f>
        <x:v>1</x:v>
      </x:c>
      <x:c r="F118" s="9" t="str">
        <x:v>{"goal":"연구 장비 도입 후속 발표자료 작성","aspect":"구성","audience":"내부회의","condition":"단점을 먼저 제시; 표는 8개 이내","data":"P7-G06-N@v1","agent":"발표 Agent P7","taskRelation":"별도 발표 작업 생성; 기존 조사 작업 유지"}</x:v>
      </x:c>
      <x:c r="G118" s="9" t="str">
        <x:v>{"goal":"연구 장비 도입 후속 발표자료 작성","aspect":"구성","audience":"내부회의","condition":"단점을 먼저 제시; 표는 8개 이내","data":"P7-G06-N@v1","agent":"발표 Agent P7","taskRelation":"별도 발표 작업 생성; 기존 조사 작업 유지"}</x:v>
      </x:c>
      <x:c r="H118" s="9" t="n">
        <x:f>IF(AND(E118=1,F118=G118),1,0)</x:f>
        <x:v>1</x:v>
      </x:c>
      <x:c r="I118" s="9" t="str">
        <x:v>NONE</x:v>
      </x:c>
      <x:c r="J118" s="9" t="str">
        <x:v>이든 연구 장비 도입 고객 제안서(P7-G06-D2@v1)의 구성을 활용해 내부회의용 발표자료 작성을 발표 Agent P7에게 맡기겠습니다.</x:v>
      </x:c>
      <x:c r="K118" s="9" t="str">
        <x:v>이든 연구 장비 도입 고객 제안서(P7-G06-D2@v1)의 구성을 활용해 내부회의용 발표자료 작성을 발표 Agent P7에게 맡기겠습니다. 내용은 P7-G06-N@v1를 사용하고, 단점을 먼저 제시; 표는 8개 이내. 별도 발표 작업 생성; 기존 조사 작업 유지.</x:v>
      </x:c>
      <x:c r="L118" s="9" t="str">
        <x:v>필수 의미와 지칭 집합 모두 일치</x:v>
      </x:c>
    </x:row>
    <x:row r="119" ht="95" customHeight="1">
      <x:c r="A119" s="9" t="str">
        <x:v>SYN-G06-07</x:v>
      </x:c>
      <x:c r="B119" s="9" t="str">
        <x:v>B</x:v>
      </x:c>
      <x:c r="C119" s="9" t="str">
        <x:v>["P7-G06-D2@v1"]</x:v>
      </x:c>
      <x:c r="D119" s="9" t="str">
        <x:v>["P7-G06-D2@v1"]</x:v>
      </x:c>
      <x:c r="E119" s="9" t="n">
        <x:f>IF(C119=D119,1,0)</x:f>
        <x:v>1</x:v>
      </x:c>
      <x:c r="F119" s="9" t="str">
        <x:v>{"goal":"연구 장비 도입 후속 발표자료 작성","aspect":"구성","audience":"내부회의","condition":"단점을 먼저 제시; 표는 8개 이내","data":"P7-G06-N@v1","agent":"발표 Agent P7","taskRelation":"별도 발표 작업 생성; 기존 조사 작업 유지"}</x:v>
      </x:c>
      <x:c r="G119" s="9" t="str">
        <x:v>{"goal":"연구 장비 도입 후속 발표자료 작성","aspect":"구성","audience":"외부 고객","condition":"장점을 먼저 제시","data":"P7-G06-N@v1","agent":"발표 Agent P7","taskRelation":"별도 발표 작업 생성; 기존 조사 작업 유지"}</x:v>
      </x:c>
      <x:c r="H119" s="9" t="n">
        <x:f>IF(AND(E119=1,F119=G119),1,0)</x:f>
        <x:v>0</x:v>
      </x:c>
      <x:c r="I119" s="9" t="str">
        <x:v>MEANING_ONLY</x:v>
      </x:c>
      <x:c r="J119" s="9" t="str">
        <x:v>이든 연구 장비 도입 고객 제안서(P7-G06-D2@v1)의 구성을 활용해 외부 고객용 발표자료 작성을 발표 Agent P7에게 맡기겠습니다.</x:v>
      </x:c>
      <x:c r="K119" s="9" t="str">
        <x:v>이든 연구 장비 도입 고객 제안서(P7-G06-D2@v1)의 구성을 활용해 외부 고객용 발표자료 작성을 발표 Agent P7에게 맡기겠습니다. 내용은 P7-G06-N@v1를 사용하고, 장점을 먼저 제시. 별도 발표 작업 생성; 기존 조사 작업 유지.</x:v>
      </x:c>
      <x:c r="L119" s="9" t="str">
        <x:v>과거 적용 범위 재사용 또는 현재 조건 연결 누락</x:v>
      </x:c>
    </x:row>
    <x:row r="120" ht="95" customHeight="1">
      <x:c r="A120" s="9" t="str">
        <x:v>SYN-G06-08</x:v>
      </x:c>
      <x:c r="B120" s="9" t="str">
        <x:v>A</x:v>
      </x:c>
      <x:c r="C120" s="9" t="str">
        <x:v>["P8-G06-D2@v1"]</x:v>
      </x:c>
      <x:c r="D120" s="9" t="str">
        <x:v>["P8-G06-D2@v1"]</x:v>
      </x:c>
      <x:c r="E120" s="9" t="n">
        <x:f>IF(C120=D120,1,0)</x:f>
        <x:v>1</x:v>
      </x:c>
      <x:c r="F120" s="9" t="str">
        <x:v>{"goal":"사무공간 이전 후속 발표자료 작성","aspect":"구성","audience":"내부회의","condition":"단점을 먼저 제시; 표는 9개 이내","data":"P8-G06-N@v1","agent":"발표 Agent P8","taskRelation":"별도 발표 작업 생성; 기존 조사 작업 유지"}</x:v>
      </x:c>
      <x:c r="G120" s="9" t="str">
        <x:v>{"goal":"사무공간 이전 후속 발표자료 작성","aspect":"구성","audience":"내부회의","condition":"단점을 먼저 제시; 표는 9개 이내","data":"P8-G06-N@v1","agent":"발표 Agent P8","taskRelation":"별도 발표 작업 생성; 기존 조사 작업 유지"}</x:v>
      </x:c>
      <x:c r="H120" s="9" t="n">
        <x:f>IF(AND(E120=1,F120=G120),1,0)</x:f>
        <x:v>1</x:v>
      </x:c>
      <x:c r="I120" s="9" t="str">
        <x:v>NONE</x:v>
      </x:c>
      <x:c r="J120" s="9" t="str">
        <x:v>라온 사무공간 이전 고객 제안서(P8-G06-D2@v1)의 구성을 활용해 내부회의용 발표자료 작성을 발표 Agent P8에게 맡기겠습니다.</x:v>
      </x:c>
      <x:c r="K120" s="9" t="str">
        <x:v>라온 사무공간 이전 고객 제안서(P8-G06-D2@v1)의 구성을 활용해 내부회의용 발표자료 작성을 발표 Agent P8에게 맡기겠습니다. 내용은 P8-G06-N@v1를 사용하고, 단점을 먼저 제시; 표는 9개 이내. 별도 발표 작업 생성; 기존 조사 작업 유지.</x:v>
      </x:c>
      <x:c r="L120" s="9" t="str">
        <x:v>필수 의미와 지칭 집합 모두 일치</x:v>
      </x:c>
    </x:row>
    <x:row r="121" ht="95" customHeight="1">
      <x:c r="A121" s="9" t="str">
        <x:v>SYN-G06-08</x:v>
      </x:c>
      <x:c r="B121" s="9" t="str">
        <x:v>B</x:v>
      </x:c>
      <x:c r="C121" s="9" t="str">
        <x:v>["P8-G06-D2@v1"]</x:v>
      </x:c>
      <x:c r="D121" s="9" t="str">
        <x:v>["P8-G06-D2@v1"]</x:v>
      </x:c>
      <x:c r="E121" s="9" t="n">
        <x:f>IF(C121=D121,1,0)</x:f>
        <x:v>1</x:v>
      </x:c>
      <x:c r="F121" s="9" t="str">
        <x:v>{"goal":"사무공간 이전 후속 발표자료 작성","aspect":"구성","audience":"내부회의","condition":"단점을 먼저 제시; 표는 9개 이내","data":"P8-G06-N@v1","agent":"발표 Agent P8","taskRelation":"별도 발표 작업 생성; 기존 조사 작업 유지"}</x:v>
      </x:c>
      <x:c r="G121" s="9" t="str">
        <x:v>{"goal":"사무공간 이전 후속 발표자료 작성","aspect":"구성","audience":"내부회의","condition":"단점을 먼저 제시; 표는 9개 이내","data":"P8-G06-N@v1","agent":"발표 Agent P8","taskRelation":"별도 발표 작업 생성; 기존 조사 작업 유지"}</x:v>
      </x:c>
      <x:c r="H121" s="9" t="n">
        <x:f>IF(AND(E121=1,F121=G121),1,0)</x:f>
        <x:v>1</x:v>
      </x:c>
      <x:c r="I121" s="9" t="str">
        <x:v>NONE</x:v>
      </x:c>
      <x:c r="J121" s="9" t="str">
        <x:v>라온 사무공간 이전 고객 제안서(P8-G06-D2@v1)의 구성을 활용해 내부회의용 발표자료 작성을 발표 Agent P8에게 맡기겠습니다.</x:v>
      </x:c>
      <x:c r="K121" s="9" t="str">
        <x:v>라온 사무공간 이전 고객 제안서(P8-G06-D2@v1)의 구성을 활용해 내부회의용 발표자료 작성을 발표 Agent P8에게 맡기겠습니다. 내용은 P8-G06-N@v1를 사용하고, 단점을 먼저 제시; 표는 9개 이내. 별도 발표 작업 생성; 기존 조사 작업 유지.</x:v>
      </x:c>
      <x:c r="L121" s="9" t="str">
        <x:v>필수 의미와 지칭 집합 모두 일치</x:v>
      </x:c>
    </x:row>
    <x:row r="122" ht="95" customHeight="1">
      <x:c r="A122" s="9" t="str">
        <x:v>SYN-G06-09</x:v>
      </x:c>
      <x:c r="B122" s="9" t="str">
        <x:v>A</x:v>
      </x:c>
      <x:c r="C122" s="9" t="str">
        <x:v>["P9-G06-D2@v1"]</x:v>
      </x:c>
      <x:c r="D122" s="9" t="str">
        <x:v>["P9-G06-D2@v1"]</x:v>
      </x:c>
      <x:c r="E122" s="9" t="n">
        <x:f>IF(C122=D122,1,0)</x:f>
        <x:v>1</x:v>
      </x:c>
      <x:c r="F122" s="9" t="str">
        <x:v>{"goal":"서비스 품질 개선 후속 발표자료 작성","aspect":"구성","audience":"내부회의","condition":"단점을 먼저 제시; 표는 10개 이내","data":"P9-G06-N@v1","agent":"발표 Agent P9","taskRelation":"별도 발표 작업 생성; 기존 조사 작업 유지"}</x:v>
      </x:c>
      <x:c r="G122" s="9" t="str">
        <x:v>{"goal":"서비스 품질 개선 후속 발표자료 작성","aspect":"구성","audience":"내부회의","condition":"단점을 먼저 제시; 표는 10개 이내","data":"P9-G06-N@v1","agent":"발표 Agent P9","taskRelation":"별도 발표 작업 생성; 기존 조사 작업 유지"}</x:v>
      </x:c>
      <x:c r="H122" s="9" t="n">
        <x:f>IF(AND(E122=1,F122=G122),1,0)</x:f>
        <x:v>1</x:v>
      </x:c>
      <x:c r="I122" s="9" t="str">
        <x:v>NONE</x:v>
      </x:c>
      <x:c r="J122" s="9" t="str">
        <x:v>한결 서비스 품질 개선 고객 제안서(P9-G06-D2@v1)의 구성을 활용해 내부회의용 발표자료 작성을 발표 Agent P9에게 맡기겠습니다.</x:v>
      </x:c>
      <x:c r="K122" s="9" t="str">
        <x:v>한결 서비스 품질 개선 고객 제안서(P9-G06-D2@v1)의 구성을 활용해 내부회의용 발표자료 작성을 발표 Agent P9에게 맡기겠습니다. 내용은 P9-G06-N@v1를 사용하고, 단점을 먼저 제시; 표는 10개 이내. 별도 발표 작업 생성; 기존 조사 작업 유지.</x:v>
      </x:c>
      <x:c r="L122" s="9" t="str">
        <x:v>필수 의미와 지칭 집합 모두 일치</x:v>
      </x:c>
    </x:row>
    <x:row r="123" ht="95" customHeight="1">
      <x:c r="A123" s="9" t="str">
        <x:v>SYN-G06-09</x:v>
      </x:c>
      <x:c r="B123" s="9" t="str">
        <x:v>B</x:v>
      </x:c>
      <x:c r="C123" s="9" t="str">
        <x:v>["P9-G06-D2@v1"]</x:v>
      </x:c>
      <x:c r="D123" s="9" t="str">
        <x:v>["P9-G06-D2@v1"]</x:v>
      </x:c>
      <x:c r="E123" s="9" t="n">
        <x:f>IF(C123=D123,1,0)</x:f>
        <x:v>1</x:v>
      </x:c>
      <x:c r="F123" s="9" t="str">
        <x:v>{"goal":"서비스 품질 개선 후속 발표자료 작성","aspect":"구성","audience":"내부회의","condition":"단점을 먼저 제시; 표는 10개 이내","data":"P9-G06-N@v1","agent":"발표 Agent P9","taskRelation":"별도 발표 작업 생성; 기존 조사 작업 유지"}</x:v>
      </x:c>
      <x:c r="G123" s="9" t="str">
        <x:v>{"goal":"서비스 품질 개선 후속 발표자료 작성","aspect":"구성","audience":"내부회의","condition":"단점을 먼저 제시; 표는 10개 이내","data":"P9-G06-N@v1","agent":"발표 Agent P9","taskRelation":"별도 발표 작업 생성; 기존 조사 작업 유지"}</x:v>
      </x:c>
      <x:c r="H123" s="9" t="n">
        <x:f>IF(AND(E123=1,F123=G123),1,0)</x:f>
        <x:v>1</x:v>
      </x:c>
      <x:c r="I123" s="9" t="str">
        <x:v>NONE</x:v>
      </x:c>
      <x:c r="J123" s="9" t="str">
        <x:v>한결 서비스 품질 개선 고객 제안서(P9-G06-D2@v1)의 구성을 활용해 내부회의용 발표자료 작성을 발표 Agent P9에게 맡기겠습니다.</x:v>
      </x:c>
      <x:c r="K123" s="9" t="str">
        <x:v>한결 서비스 품질 개선 고객 제안서(P9-G06-D2@v1)의 구성을 활용해 내부회의용 발표자료 작성을 발표 Agent P9에게 맡기겠습니다. 내용은 P9-G06-N@v1를 사용하고, 단점을 먼저 제시; 표는 10개 이내. 별도 발표 작업 생성; 기존 조사 작업 유지.</x:v>
      </x:c>
      <x:c r="L123" s="9" t="str">
        <x:v>필수 의미와 지칭 집합 모두 일치</x:v>
      </x:c>
    </x:row>
    <x:row r="124" ht="95" customHeight="1">
      <x:c r="A124" s="9" t="str">
        <x:v>SYN-G06-10</x:v>
      </x:c>
      <x:c r="B124" s="9" t="str">
        <x:v>A</x:v>
      </x:c>
      <x:c r="C124" s="9" t="str">
        <x:v>["P10-G06-D2@v1"]</x:v>
      </x:c>
      <x:c r="D124" s="9" t="str">
        <x:v>["P10-G06-D2@v1"]</x:v>
      </x:c>
      <x:c r="E124" s="9" t="n">
        <x:f>IF(C124=D124,1,0)</x:f>
        <x:v>1</x:v>
      </x:c>
      <x:c r="F124" s="9" t="str">
        <x:v>{"goal":"파트너 제휴 검토 후속 발표자료 작성","aspect":"구성","audience":"내부회의","condition":"단점을 먼저 제시; 표는 11개 이내","data":"P10-G06-N@v1","agent":"발표 Agent P10","taskRelation":"별도 발표 작업 생성; 기존 조사 작업 유지"}</x:v>
      </x:c>
      <x:c r="G124" s="9" t="str">
        <x:v>{"goal":"파트너 제휴 검토 후속 발표자료 작성","aspect":"구성","audience":"내부회의","condition":"단점을 먼저 제시; 표는 11개 이내","data":"P10-G06-N@v1","agent":"발표 Agent P10","taskRelation":"별도 발표 작업 생성; 기존 조사 작업 유지"}</x:v>
      </x:c>
      <x:c r="H124" s="9" t="n">
        <x:f>IF(AND(E124=1,F124=G124),1,0)</x:f>
        <x:v>1</x:v>
      </x:c>
      <x:c r="I124" s="9" t="str">
        <x:v>NONE</x:v>
      </x:c>
      <x:c r="J124" s="9" t="str">
        <x:v>온유 파트너 제휴 검토 고객 제안서(P10-G06-D2@v1)의 구성을 활용해 내부회의용 발표자료 작성을 발표 Agent P10에게 맡기겠습니다.</x:v>
      </x:c>
      <x:c r="K124" s="9" t="str">
        <x:v>온유 파트너 제휴 검토 고객 제안서(P10-G06-D2@v1)의 구성을 활용해 내부회의용 발표자료 작성을 발표 Agent P10에게 맡기겠습니다. 내용은 P10-G06-N@v1를 사용하고, 단점을 먼저 제시; 표는 11개 이내. 별도 발표 작업 생성; 기존 조사 작업 유지.</x:v>
      </x:c>
      <x:c r="L124" s="9" t="str">
        <x:v>필수 의미와 지칭 집합 모두 일치</x:v>
      </x:c>
    </x:row>
    <x:row r="125" ht="95" customHeight="1">
      <x:c r="A125" s="9" t="str">
        <x:v>SYN-G06-10</x:v>
      </x:c>
      <x:c r="B125" s="9" t="str">
        <x:v>B</x:v>
      </x:c>
      <x:c r="C125" s="9" t="str">
        <x:v>["P10-G06-D2@v1"]</x:v>
      </x:c>
      <x:c r="D125" s="9" t="str">
        <x:v>["P10-G06-D2@v1"]</x:v>
      </x:c>
      <x:c r="E125" s="9" t="n">
        <x:f>IF(C125=D125,1,0)</x:f>
        <x:v>1</x:v>
      </x:c>
      <x:c r="F125" s="9" t="str">
        <x:v>{"goal":"파트너 제휴 검토 후속 발표자료 작성","aspect":"구성","audience":"내부회의","condition":"단점을 먼저 제시; 표는 11개 이내","data":"P10-G06-N@v1","agent":"발표 Agent P10","taskRelation":"별도 발표 작업 생성; 기존 조사 작업 유지"}</x:v>
      </x:c>
      <x:c r="G125" s="9" t="str">
        <x:v>{"goal":"파트너 제휴 검토 후속 발표자료 작성","aspect":"구성","audience":"외부 고객","condition":"장점을 먼저 제시","data":"P10-G06-N@v1","agent":"발표 Agent P10","taskRelation":"별도 발표 작업 생성; 기존 조사 작업 유지"}</x:v>
      </x:c>
      <x:c r="H125" s="9" t="n">
        <x:f>IF(AND(E125=1,F125=G125),1,0)</x:f>
        <x:v>0</x:v>
      </x:c>
      <x:c r="I125" s="9" t="str">
        <x:v>MEANING_ONLY</x:v>
      </x:c>
      <x:c r="J125" s="9" t="str">
        <x:v>온유 파트너 제휴 검토 고객 제안서(P10-G06-D2@v1)의 구성을 활용해 외부 고객용 발표자료 작성을 발표 Agent P10에게 맡기겠습니다.</x:v>
      </x:c>
      <x:c r="K125" s="9" t="str">
        <x:v>온유 파트너 제휴 검토 고객 제안서(P10-G06-D2@v1)의 구성을 활용해 외부 고객용 발표자료 작성을 발표 Agent P10에게 맡기겠습니다. 내용은 P10-G06-N@v1를 사용하고, 장점을 먼저 제시. 별도 발표 작업 생성; 기존 조사 작업 유지.</x:v>
      </x:c>
      <x:c r="L125" s="9" t="str">
        <x:v>과거 적용 범위 재사용 또는 현재 조건 연결 누락</x:v>
      </x:c>
    </x:row>
    <x:row r="126" ht="95" customHeight="1">
      <x:c r="A126" s="9" t="str">
        <x:v>SYN-G07-01</x:v>
      </x:c>
      <x:c r="B126" s="9" t="str">
        <x:v>A</x:v>
      </x:c>
      <x:c r="C126" s="9" t="str">
        <x:v>["P1-G07-D2@v1"]</x:v>
      </x:c>
      <x:c r="D126" s="9" t="str">
        <x:v>["P1-G07-D2@v1"]</x:v>
      </x:c>
      <x:c r="E126" s="9" t="n">
        <x:f>IF(C126=D126,1,0)</x:f>
        <x:v>1</x:v>
      </x:c>
      <x:c r="F126" s="9" t="str">
        <x:v>{"goal":"협업 도구 도입 후속 발표자료 작성","aspect":"구성","audience":"외부 고객","condition":"구성만 재사용; 가격·문체·장기 Agent 선호는 계승하지 않음; 표는 2개 이내","data":"P1-G07-N@v1","agent":"발표 Agent P1","taskRelation":"별도 발표 작업 생성; 기존 조사 작업 유지"}</x:v>
      </x:c>
      <x:c r="G126" s="9" t="str">
        <x:v>{"goal":"협업 도구 도입 후속 발표자료 작성","aspect":"구성","audience":"외부 고객","condition":"구성만 재사용; 가격·문체·장기 Agent 선호는 계승하지 않음; 표는 2개 이내","data":"P1-G07-N@v1","agent":"발표 Agent P1","taskRelation":"별도 발표 작업 생성; 기존 조사 작업 유지"}</x:v>
      </x:c>
      <x:c r="H126" s="9" t="n">
        <x:f>IF(AND(E126=1,F126=G126),1,0)</x:f>
        <x:v>1</x:v>
      </x:c>
      <x:c r="I126" s="9" t="str">
        <x:v>NONE</x:v>
      </x:c>
      <x:c r="J126" s="9" t="str">
        <x:v>새봄 협업 도구 도입 고객 제안서(P1-G07-D2@v1)의 구성을 활용해 외부 고객용 발표자료 작성을 발표 Agent P1에게 맡기겠습니다.</x:v>
      </x:c>
      <x:c r="K126" s="9" t="str">
        <x:v>새봄 협업 도구 도입 고객 제안서(P1-G07-D2@v1)의 구성을 활용해 외부 고객용 발표자료 작성을 발표 Agent P1에게 맡기겠습니다. 내용은 P1-G07-N@v1를 사용하고, 구성만 재사용; 가격·문체·장기 Agent 선호는 계승하지 않음; 표는 2개 이내. 별도 발표 작업 생성; 기존 조사 작업 유지.</x:v>
      </x:c>
      <x:c r="L126" s="9" t="str">
        <x:v>필수 의미와 지칭 집합 모두 일치</x:v>
      </x:c>
    </x:row>
    <x:row r="127" ht="95" customHeight="1">
      <x:c r="A127" s="9" t="str">
        <x:v>SYN-G07-01</x:v>
      </x:c>
      <x:c r="B127" s="9" t="str">
        <x:v>B</x:v>
      </x:c>
      <x:c r="C127" s="9" t="str">
        <x:v>["P1-G07-D2@v1"]</x:v>
      </x:c>
      <x:c r="D127" s="9" t="str">
        <x:v>["P1-G07-D2@v1"]</x:v>
      </x:c>
      <x:c r="E127" s="9" t="n">
        <x:f>IF(C127=D127,1,0)</x:f>
        <x:v>1</x:v>
      </x:c>
      <x:c r="F127" s="9" t="str">
        <x:v>{"goal":"협업 도구 도입 후속 발표자료 작성","aspect":"구성","audience":"외부 고객","condition":"구성만 재사용; 가격·문체·장기 Agent 선호는 계승하지 않음; 표는 2개 이내","data":"P1-G07-N@v1","agent":"발표 Agent P1","taskRelation":"별도 발표 작업 생성; 기존 조사 작업 유지"}</x:v>
      </x:c>
      <x:c r="G127" s="9" t="str">
        <x:v>{"goal":"협업 도구 도입 후속 발표자료 작성","aspect":"구성","audience":"외부 고객","condition":"구성만 재사용; 가격·문체·장기 Agent 선호는 계승하지 않음; 표는 2개 이내","data":"P1-G07-N@v1","agent":"발표 Agent P1","taskRelation":"별도 발표 작업 생성; 기존 조사 작업 유지"}</x:v>
      </x:c>
      <x:c r="H127" s="9" t="n">
        <x:f>IF(AND(E127=1,F127=G127),1,0)</x:f>
        <x:v>1</x:v>
      </x:c>
      <x:c r="I127" s="9" t="str">
        <x:v>NONE</x:v>
      </x:c>
      <x:c r="J127" s="9" t="str">
        <x:v>새봄 협업 도구 도입 고객 제안서(P1-G07-D2@v1)의 구성을 활용해 외부 고객용 발표자료 작성을 발표 Agent P1에게 맡기겠습니다.</x:v>
      </x:c>
      <x:c r="K127" s="9" t="str">
        <x:v>새봄 협업 도구 도입 고객 제안서(P1-G07-D2@v1)의 구성을 활용해 외부 고객용 발표자료 작성을 발표 Agent P1에게 맡기겠습니다. 내용은 P1-G07-N@v1를 사용하고, 구성만 재사용; 가격·문체·장기 Agent 선호는 계승하지 않음; 표는 2개 이내. 별도 발표 작업 생성; 기존 조사 작업 유지.</x:v>
      </x:c>
      <x:c r="L127" s="9" t="str">
        <x:v>필수 의미와 지칭 집합 모두 일치</x:v>
      </x:c>
    </x:row>
    <x:row r="128" ht="95" customHeight="1">
      <x:c r="A128" s="9" t="str">
        <x:v>SYN-G07-02</x:v>
      </x:c>
      <x:c r="B128" s="9" t="str">
        <x:v>A</x:v>
      </x:c>
      <x:c r="C128" s="9" t="str">
        <x:v>["P2-G07-D2@v1"]</x:v>
      </x:c>
      <x:c r="D128" s="9" t="str">
        <x:v>["P2-G07-D2@v1"]</x:v>
      </x:c>
      <x:c r="E128" s="9" t="n">
        <x:f>IF(C128=D128,1,0)</x:f>
        <x:v>1</x:v>
      </x:c>
      <x:c r="F128" s="9" t="str">
        <x:v>{"goal":"고객지원 시스템 교체 후속 발표자료 작성","aspect":"구성","audience":"외부 고객","condition":"구성만 재사용; 가격·문체·장기 Agent 선호는 계승하지 않음; 표는 3개 이내","data":"P2-G07-N@v1","agent":"발표 Agent P2","taskRelation":"별도 발표 작업 생성; 기존 조사 작업 유지"}</x:v>
      </x:c>
      <x:c r="G128" s="9" t="str">
        <x:v>{"goal":"고객지원 시스템 교체 후속 발표자료 작성","aspect":"구성","audience":"외부 고객","condition":"구성만 재사용; 가격·문체·장기 Agent 선호는 계승하지 않음; 표는 3개 이내","data":"P2-G07-N@v1","agent":"발표 Agent P2","taskRelation":"별도 발표 작업 생성; 기존 조사 작업 유지"}</x:v>
      </x:c>
      <x:c r="H128" s="9" t="n">
        <x:f>IF(AND(E128=1,F128=G128),1,0)</x:f>
        <x:v>1</x:v>
      </x:c>
      <x:c r="I128" s="9" t="str">
        <x:v>NONE</x:v>
      </x:c>
      <x:c r="J128" s="9" t="str">
        <x:v>해솔 고객지원 시스템 교체 고객 제안서(P2-G07-D2@v1)의 구성을 활용해 외부 고객용 발표자료 작성을 발표 Agent P2에게 맡기겠습니다.</x:v>
      </x:c>
      <x:c r="K128" s="9" t="str">
        <x:v>해솔 고객지원 시스템 교체 고객 제안서(P2-G07-D2@v1)의 구성을 활용해 외부 고객용 발표자료 작성을 발표 Agent P2에게 맡기겠습니다. 내용은 P2-G07-N@v1를 사용하고, 구성만 재사용; 가격·문체·장기 Agent 선호는 계승하지 않음; 표는 3개 이내. 별도 발표 작업 생성; 기존 조사 작업 유지.</x:v>
      </x:c>
      <x:c r="L128" s="9" t="str">
        <x:v>필수 의미와 지칭 집합 모두 일치</x:v>
      </x:c>
    </x:row>
    <x:row r="129" ht="95" customHeight="1">
      <x:c r="A129" s="9" t="str">
        <x:v>SYN-G07-02</x:v>
      </x:c>
      <x:c r="B129" s="9" t="str">
        <x:v>B</x:v>
      </x:c>
      <x:c r="C129" s="9" t="str">
        <x:v>["P2-G07-D2@v1"]</x:v>
      </x:c>
      <x:c r="D129" s="9" t="str">
        <x:v>["P2-G07-D2@v1"]</x:v>
      </x:c>
      <x:c r="E129" s="9" t="n">
        <x:f>IF(C129=D129,1,0)</x:f>
        <x:v>1</x:v>
      </x:c>
      <x:c r="F129" s="9" t="str">
        <x:v>{"goal":"고객지원 시스템 교체 후속 발표자료 작성","aspect":"구성","audience":"외부 고객","condition":"구성만 재사용; 가격·문체·장기 Agent 선호는 계승하지 않음; 표는 3개 이내","data":"P2-G07-N@v1","agent":"발표 Agent P2","taskRelation":"별도 발표 작업 생성; 기존 조사 작업 유지"}</x:v>
      </x:c>
      <x:c r="G129" s="9" t="str">
        <x:v>{"goal":"고객지원 시스템 교체 후속 발표자료 작성","aspect":"구성","audience":"외부 고객","condition":"가격·문체도 그대로 계승; 향후 모든 업무에서 P 우선","data":"P2-G07-N@v1","agent":"발표 Agent P2","taskRelation":"별도 발표 작업 생성; 기존 조사 작업 유지"}</x:v>
      </x:c>
      <x:c r="H129" s="9" t="n">
        <x:f>IF(AND(E129=1,F129=G129),1,0)</x:f>
        <x:v>0</x:v>
      </x:c>
      <x:c r="I129" s="9" t="str">
        <x:v>MEANING_ONLY</x:v>
      </x:c>
      <x:c r="J129" s="9" t="str">
        <x:v>해솔 고객지원 시스템 교체 고객 제안서(P2-G07-D2@v1)의 구성을 활용해 외부 고객용 발표자료 작성을 발표 Agent P2에게 맡기겠습니다.</x:v>
      </x:c>
      <x:c r="K129" s="9" t="str">
        <x:v>해솔 고객지원 시스템 교체 고객 제안서(P2-G07-D2@v1)의 구성을 활용해 외부 고객용 발표자료 작성을 발표 Agent P2에게 맡기겠습니다. 내용은 P2-G07-N@v1를 사용하고, 가격·문체도 그대로 계승; 향후 모든 업무에서 P 우선. 별도 발표 작업 생성; 기존 조사 작업 유지.</x:v>
      </x:c>
      <x:c r="L129" s="9" t="str">
        <x:v>과거 적용 범위 재사용 또는 현재 조건 연결 누락</x:v>
      </x:c>
    </x:row>
    <x:row r="130" ht="95" customHeight="1">
      <x:c r="A130" s="9" t="str">
        <x:v>SYN-G07-03</x:v>
      </x:c>
      <x:c r="B130" s="9" t="str">
        <x:v>A</x:v>
      </x:c>
      <x:c r="C130" s="9" t="str">
        <x:v>["P3-G07-D2@v1"]</x:v>
      </x:c>
      <x:c r="D130" s="9" t="str">
        <x:v>["P3-G07-D3@v1"]</x:v>
      </x:c>
      <x:c r="E130" s="9" t="n">
        <x:f>IF(C130=D130,1,0)</x:f>
        <x:v>0</x:v>
      </x:c>
      <x:c r="F130" s="9" t="str">
        <x:v>{"goal":"물류 현황 보고 후속 발표자료 작성","aspect":"구성","audience":"외부 고객","condition":"구성만 재사용; 가격·문체·장기 Agent 선호는 계승하지 않음; 표는 4개 이내","data":"P3-G07-N@v1","agent":"발표 Agent P3","taskRelation":"별도 발표 작업 생성; 기존 조사 작업 유지"}</x:v>
      </x:c>
      <x:c r="G130" s="9" t="str">
        <x:v>{"goal":"물류 현황 보고 후속 발표자료 작성","aspect":"구성","audience":"외부 고객","condition":"구성만 재사용; 가격·문체·장기 Agent 선호는 계승하지 않음; 표는 4개 이내","data":"P3-G07-N@v1","agent":"발표 Agent P3","taskRelation":"별도 발표 작업 생성; 기존 조사 작업 유지"}</x:v>
      </x:c>
      <x:c r="H130" s="9" t="n">
        <x:f>IF(AND(E130=1,F130=G130),1,0)</x:f>
        <x:v>0</x:v>
      </x:c>
      <x:c r="I130" s="9" t="str">
        <x:v>TARGET</x:v>
      </x:c>
      <x:c r="J130" s="9" t="str">
        <x:v>가온 물류 현황 보고 내부 검토본(P3-G07-D3@v1)의 구성을 활용해 외부 고객용 발표자료 작성을 발표 Agent P3에게 맡기겠습니다.</x:v>
      </x:c>
      <x:c r="K130" s="9" t="str">
        <x:v>가온 물류 현황 보고 내부 검토본(P3-G07-D3@v1)의 구성을 활용해 외부 고객용 발표자료 작성을 발표 Agent P3에게 맡기겠습니다. 내용은 P3-G07-N@v1를 사용하고, 구성만 재사용; 가격·문체·장기 Agent 선호는 계승하지 않음; 표는 4개 이내. 별도 발표 작업 생성; 기존 조사 작업 유지.</x:v>
      </x:c>
      <x:c r="L130" s="9" t="str">
        <x:v>원본의 표시·피드백 연결을 놓쳐 대안 판본 채택</x:v>
      </x:c>
    </x:row>
    <x:row r="131" ht="95" customHeight="1">
      <x:c r="A131" s="9" t="str">
        <x:v>SYN-G07-03</x:v>
      </x:c>
      <x:c r="B131" s="9" t="str">
        <x:v>B</x:v>
      </x:c>
      <x:c r="C131" s="9" t="str">
        <x:v>["P3-G07-D2@v1"]</x:v>
      </x:c>
      <x:c r="D131" s="9" t="str">
        <x:v>["P3-G07-D2@v1"]</x:v>
      </x:c>
      <x:c r="E131" s="9" t="n">
        <x:f>IF(C131=D131,1,0)</x:f>
        <x:v>1</x:v>
      </x:c>
      <x:c r="F131" s="9" t="str">
        <x:v>{"goal":"물류 현황 보고 후속 발표자료 작성","aspect":"구성","audience":"외부 고객","condition":"구성만 재사용; 가격·문체·장기 Agent 선호는 계승하지 않음; 표는 4개 이내","data":"P3-G07-N@v1","agent":"발표 Agent P3","taskRelation":"별도 발표 작업 생성; 기존 조사 작업 유지"}</x:v>
      </x:c>
      <x:c r="G131" s="9" t="str">
        <x:v>{"goal":"물류 현황 보고 후속 발표자료 작성","aspect":"구성","audience":"외부 고객","condition":"구성만 재사용; 가격·문체·장기 Agent 선호는 계승하지 않음; 표는 4개 이내","data":"P3-G07-N@v1","agent":"발표 Agent P3","taskRelation":"별도 발표 작업 생성; 기존 조사 작업 유지"}</x:v>
      </x:c>
      <x:c r="H131" s="9" t="n">
        <x:f>IF(AND(E131=1,F131=G131),1,0)</x:f>
        <x:v>1</x:v>
      </x:c>
      <x:c r="I131" s="9" t="str">
        <x:v>NONE</x:v>
      </x:c>
      <x:c r="J131" s="9" t="str">
        <x:v>가온 물류 현황 보고 고객 제안서(P3-G07-D2@v1)의 구성을 활용해 외부 고객용 발표자료 작성을 발표 Agent P3에게 맡기겠습니다.</x:v>
      </x:c>
      <x:c r="K131" s="9" t="str">
        <x:v>가온 물류 현황 보고 고객 제안서(P3-G07-D2@v1)의 구성을 활용해 외부 고객용 발표자료 작성을 발표 Agent P3에게 맡기겠습니다. 내용은 P3-G07-N@v1를 사용하고, 구성만 재사용; 가격·문체·장기 Agent 선호는 계승하지 않음; 표는 4개 이내. 별도 발표 작업 생성; 기존 조사 작업 유지.</x:v>
      </x:c>
      <x:c r="L131" s="9" t="str">
        <x:v>필수 의미와 지칭 집합 모두 일치</x:v>
      </x:c>
    </x:row>
    <x:row r="132" ht="95" customHeight="1">
      <x:c r="A132" s="9" t="str">
        <x:v>SYN-G07-04</x:v>
      </x:c>
      <x:c r="B132" s="9" t="str">
        <x:v>A</x:v>
      </x:c>
      <x:c r="C132" s="9" t="str">
        <x:v>["P4-G07-D2@v1"]</x:v>
      </x:c>
      <x:c r="D132" s="9" t="str">
        <x:v>["P4-G07-D2@v1"]</x:v>
      </x:c>
      <x:c r="E132" s="9" t="n">
        <x:f>IF(C132=D132,1,0)</x:f>
        <x:v>1</x:v>
      </x:c>
      <x:c r="F132" s="9" t="str">
        <x:v>{"goal":"매장 운영 개선 후속 발표자료 작성","aspect":"구성","audience":"외부 고객","condition":"구성만 재사용; 가격·문체·장기 Agent 선호는 계승하지 않음; 표는 5개 이내","data":"P4-G07-N@v1","agent":"발표 Agent P4","taskRelation":"별도 발표 작업 생성; 기존 조사 작업 유지"}</x:v>
      </x:c>
      <x:c r="G132" s="9" t="str">
        <x:v>{"goal":"매장 운영 개선 후속 발표자료 작성","aspect":"구성","audience":"외부 고객","condition":"구성만 재사용; 가격·문체·장기 Agent 선호는 계승하지 않음; 표는 5개 이내","data":"P4-G07-N@v1","agent":"발표 Agent P4","taskRelation":"별도 발표 작업 생성; 기존 조사 작업 유지"}</x:v>
      </x:c>
      <x:c r="H132" s="9" t="n">
        <x:f>IF(AND(E132=1,F132=G132),1,0)</x:f>
        <x:v>1</x:v>
      </x:c>
      <x:c r="I132" s="9" t="str">
        <x:v>NONE</x:v>
      </x:c>
      <x:c r="J132" s="9" t="str">
        <x:v>누리 매장 운영 개선 고객 제안서(P4-G07-D2@v1)의 구성을 활용해 외부 고객용 발표자료 작성을 발표 Agent P4에게 맡기겠습니다.</x:v>
      </x:c>
      <x:c r="K132" s="9" t="str">
        <x:v>누리 매장 운영 개선 고객 제안서(P4-G07-D2@v1)의 구성을 활용해 외부 고객용 발표자료 작성을 발표 Agent P4에게 맡기겠습니다. 내용은 P4-G07-N@v1를 사용하고, 구성만 재사용; 가격·문체·장기 Agent 선호는 계승하지 않음; 표는 5개 이내. 별도 발표 작업 생성; 기존 조사 작업 유지.</x:v>
      </x:c>
      <x:c r="L132" s="9" t="str">
        <x:v>필수 의미와 지칭 집합 모두 일치</x:v>
      </x:c>
    </x:row>
    <x:row r="133" ht="95" customHeight="1">
      <x:c r="A133" s="9" t="str">
        <x:v>SYN-G07-04</x:v>
      </x:c>
      <x:c r="B133" s="9" t="str">
        <x:v>B</x:v>
      </x:c>
      <x:c r="C133" s="9" t="str">
        <x:v>["P4-G07-D2@v1"]</x:v>
      </x:c>
      <x:c r="D133" s="9" t="str">
        <x:v>["P4-G07-D2@v1"]</x:v>
      </x:c>
      <x:c r="E133" s="9" t="n">
        <x:f>IF(C133=D133,1,0)</x:f>
        <x:v>1</x:v>
      </x:c>
      <x:c r="F133" s="9" t="str">
        <x:v>{"goal":"매장 운영 개선 후속 발표자료 작성","aspect":"구성","audience":"외부 고객","condition":"구성만 재사용; 가격·문체·장기 Agent 선호는 계승하지 않음; 표는 5개 이내","data":"P4-G07-N@v1","agent":"발표 Agent P4","taskRelation":"별도 발표 작업 생성; 기존 조사 작업 유지"}</x:v>
      </x:c>
      <x:c r="G133" s="9" t="str">
        <x:v>{"goal":"매장 운영 개선 후속 발표자료 작성","aspect":"구성","audience":"외부 고객","condition":"구성만 재사용; 가격·문체·장기 Agent 선호는 계승하지 않음; 표는 5개 이내","data":"P4-G07-N@v1","agent":"발표 Agent P4","taskRelation":"별도 발표 작업 생성; 기존 조사 작업 유지"}</x:v>
      </x:c>
      <x:c r="H133" s="9" t="n">
        <x:f>IF(AND(E133=1,F133=G133),1,0)</x:f>
        <x:v>1</x:v>
      </x:c>
      <x:c r="I133" s="9" t="str">
        <x:v>NONE</x:v>
      </x:c>
      <x:c r="J133" s="9" t="str">
        <x:v>누리 매장 운영 개선 고객 제안서(P4-G07-D2@v1)의 구성을 활용해 외부 고객용 발표자료 작성을 발표 Agent P4에게 맡기겠습니다.</x:v>
      </x:c>
      <x:c r="K133" s="9" t="str">
        <x:v>누리 매장 운영 개선 고객 제안서(P4-G07-D2@v1)의 구성을 활용해 외부 고객용 발표자료 작성을 발표 Agent P4에게 맡기겠습니다. 내용은 P4-G07-N@v1를 사용하고, 구성만 재사용; 가격·문체·장기 Agent 선호는 계승하지 않음; 표는 5개 이내. 별도 발표 작업 생성; 기존 조사 작업 유지.</x:v>
      </x:c>
      <x:c r="L133" s="9" t="str">
        <x:v>필수 의미와 지칭 집합 모두 일치</x:v>
      </x:c>
    </x:row>
    <x:row r="134" ht="95" customHeight="1">
      <x:c r="A134" s="9" t="str">
        <x:v>SYN-G07-05</x:v>
      </x:c>
      <x:c r="B134" s="9" t="str">
        <x:v>A</x:v>
      </x:c>
      <x:c r="C134" s="9" t="str">
        <x:v>["P5-G07-D2@v1"]</x:v>
      </x:c>
      <x:c r="D134" s="9" t="str">
        <x:v>["P5-G07-D2@v1"]</x:v>
      </x:c>
      <x:c r="E134" s="9" t="n">
        <x:f>IF(C134=D134,1,0)</x:f>
        <x:v>1</x:v>
      </x:c>
      <x:c r="F134" s="9" t="str">
        <x:v>{"goal":"교육 과정 개편 후속 발표자료 작성","aspect":"구성","audience":"외부 고객","condition":"구성만 재사용; 가격·문체·장기 Agent 선호는 계승하지 않음; 표는 6개 이내","data":"P5-G07-N@v1","agent":"발표 Agent P5","taskRelation":"별도 발표 작업 생성; 기존 조사 작업 유지"}</x:v>
      </x:c>
      <x:c r="G134" s="9" t="str">
        <x:v>{"goal":"교육 과정 개편 후속 발표자료 작성","aspect":"구성","audience":"외부 고객","condition":"구성만 재사용; 가격·문체·장기 Agent 선호는 계승하지 않음; 표는 6개 이내","data":"P5-G07-N@v1","agent":"발표 Agent P5","taskRelation":"별도 발표 작업 생성; 기존 조사 작업 유지"}</x:v>
      </x:c>
      <x:c r="H134" s="9" t="n">
        <x:f>IF(AND(E134=1,F134=G134),1,0)</x:f>
        <x:v>1</x:v>
      </x:c>
      <x:c r="I134" s="9" t="str">
        <x:v>NONE</x:v>
      </x:c>
      <x:c r="J134" s="9" t="str">
        <x:v>다온 교육 과정 개편 고객 제안서(P5-G07-D2@v1)의 구성을 활용해 외부 고객용 발표자료 작성을 발표 Agent P5에게 맡기겠습니다.</x:v>
      </x:c>
      <x:c r="K134" s="9" t="str">
        <x:v>다온 교육 과정 개편 고객 제안서(P5-G07-D2@v1)의 구성을 활용해 외부 고객용 발표자료 작성을 발표 Agent P5에게 맡기겠습니다. 내용은 P5-G07-N@v1를 사용하고, 구성만 재사용; 가격·문체·장기 Agent 선호는 계승하지 않음; 표는 6개 이내. 별도 발표 작업 생성; 기존 조사 작업 유지.</x:v>
      </x:c>
      <x:c r="L134" s="9" t="str">
        <x:v>필수 의미와 지칭 집합 모두 일치</x:v>
      </x:c>
    </x:row>
    <x:row r="135" ht="95" customHeight="1">
      <x:c r="A135" s="9" t="str">
        <x:v>SYN-G07-05</x:v>
      </x:c>
      <x:c r="B135" s="9" t="str">
        <x:v>B</x:v>
      </x:c>
      <x:c r="C135" s="9" t="str">
        <x:v>["P5-G07-D2@v1"]</x:v>
      </x:c>
      <x:c r="D135" s="9" t="str">
        <x:v>["P5-G07-D2@v1"]</x:v>
      </x:c>
      <x:c r="E135" s="9" t="n">
        <x:f>IF(C135=D135,1,0)</x:f>
        <x:v>1</x:v>
      </x:c>
      <x:c r="F135" s="9" t="str">
        <x:v>{"goal":"교육 과정 개편 후속 발표자료 작성","aspect":"구성","audience":"외부 고객","condition":"구성만 재사용; 가격·문체·장기 Agent 선호는 계승하지 않음; 표는 6개 이내","data":"P5-G07-N@v1","agent":"발표 Agent P5","taskRelation":"별도 발표 작업 생성; 기존 조사 작업 유지"}</x:v>
      </x:c>
      <x:c r="G135" s="9" t="str">
        <x:v>{"goal":"교육 과정 개편 후속 발표자료 작성","aspect":"구성","audience":"외부 고객","condition":"가격·문체도 그대로 계승; 향후 모든 업무에서 P 우선","data":"P5-G07-N@v1","agent":"발표 Agent P5","taskRelation":"별도 발표 작업 생성; 기존 조사 작업 유지"}</x:v>
      </x:c>
      <x:c r="H135" s="9" t="n">
        <x:f>IF(AND(E135=1,F135=G135),1,0)</x:f>
        <x:v>0</x:v>
      </x:c>
      <x:c r="I135" s="9" t="str">
        <x:v>MEANING_ONLY</x:v>
      </x:c>
      <x:c r="J135" s="9" t="str">
        <x:v>다온 교육 과정 개편 고객 제안서(P5-G07-D2@v1)의 구성을 활용해 외부 고객용 발표자료 작성을 발표 Agent P5에게 맡기겠습니다.</x:v>
      </x:c>
      <x:c r="K135" s="9" t="str">
        <x:v>다온 교육 과정 개편 고객 제안서(P5-G07-D2@v1)의 구성을 활용해 외부 고객용 발표자료 작성을 발표 Agent P5에게 맡기겠습니다. 내용은 P5-G07-N@v1를 사용하고, 가격·문체도 그대로 계승; 향후 모든 업무에서 P 우선. 별도 발표 작업 생성; 기존 조사 작업 유지.</x:v>
      </x:c>
      <x:c r="L135" s="9" t="str">
        <x:v>과거 적용 범위 재사용 또는 현재 조건 연결 누락</x:v>
      </x:c>
    </x:row>
    <x:row r="136" ht="95" customHeight="1">
      <x:c r="A136" s="9" t="str">
        <x:v>SYN-G07-06</x:v>
      </x:c>
      <x:c r="B136" s="9" t="str">
        <x:v>A</x:v>
      </x:c>
      <x:c r="C136" s="9" t="str">
        <x:v>["P6-G07-D2@v1"]</x:v>
      </x:c>
      <x:c r="D136" s="9" t="str">
        <x:v>["P6-G07-D2@v1"]</x:v>
      </x:c>
      <x:c r="E136" s="9" t="n">
        <x:f>IF(C136=D136,1,0)</x:f>
        <x:v>1</x:v>
      </x:c>
      <x:c r="F136" s="9" t="str">
        <x:v>{"goal":"제품 출시 계획 후속 발표자료 작성","aspect":"구성","audience":"외부 고객","condition":"구성만 재사용; 가격·문체·장기 Agent 선호는 계승하지 않음; 표는 7개 이내","data":"P6-G07-N@v1","agent":"발표 Agent P6","taskRelation":"별도 발표 작업 생성; 기존 조사 작업 유지"}</x:v>
      </x:c>
      <x:c r="G136" s="9" t="str">
        <x:v>{"goal":"제품 출시 계획 후속 발표자료 작성","aspect":"구성","audience":"외부 고객","condition":"구성만 재사용; 가격·문체·장기 Agent 선호는 계승하지 않음; 표는 7개 이내","data":"P6-G07-N@v1","agent":"발표 Agent P6","taskRelation":"별도 발표 작업 생성; 기존 조사 작업 유지"}</x:v>
      </x:c>
      <x:c r="H136" s="9" t="n">
        <x:f>IF(AND(E136=1,F136=G136),1,0)</x:f>
        <x:v>1</x:v>
      </x:c>
      <x:c r="I136" s="9" t="str">
        <x:v>NONE</x:v>
      </x:c>
      <x:c r="J136" s="9" t="str">
        <x:v>마루 제품 출시 계획 고객 제안서(P6-G07-D2@v1)의 구성을 활용해 외부 고객용 발표자료 작성을 발표 Agent P6에게 맡기겠습니다.</x:v>
      </x:c>
      <x:c r="K136" s="9" t="str">
        <x:v>마루 제품 출시 계획 고객 제안서(P6-G07-D2@v1)의 구성을 활용해 외부 고객용 발표자료 작성을 발표 Agent P6에게 맡기겠습니다. 내용은 P6-G07-N@v1를 사용하고, 구성만 재사용; 가격·문체·장기 Agent 선호는 계승하지 않음; 표는 7개 이내. 별도 발표 작업 생성; 기존 조사 작업 유지.</x:v>
      </x:c>
      <x:c r="L136" s="9" t="str">
        <x:v>필수 의미와 지칭 집합 모두 일치</x:v>
      </x:c>
    </x:row>
    <x:row r="137" ht="95" customHeight="1">
      <x:c r="A137" s="9" t="str">
        <x:v>SYN-G07-06</x:v>
      </x:c>
      <x:c r="B137" s="9" t="str">
        <x:v>B</x:v>
      </x:c>
      <x:c r="C137" s="9" t="str">
        <x:v>["P6-G07-D2@v1"]</x:v>
      </x:c>
      <x:c r="D137" s="9" t="str">
        <x:v>["P6-G07-D2@v1"]</x:v>
      </x:c>
      <x:c r="E137" s="9" t="n">
        <x:f>IF(C137=D137,1,0)</x:f>
        <x:v>1</x:v>
      </x:c>
      <x:c r="F137" s="9" t="str">
        <x:v>{"goal":"제품 출시 계획 후속 발표자료 작성","aspect":"구성","audience":"외부 고객","condition":"구성만 재사용; 가격·문체·장기 Agent 선호는 계승하지 않음; 표는 7개 이내","data":"P6-G07-N@v1","agent":"발표 Agent P6","taskRelation":"별도 발표 작업 생성; 기존 조사 작업 유지"}</x:v>
      </x:c>
      <x:c r="G137" s="9" t="str">
        <x:v>{"goal":"제품 출시 계획 후속 발표자료 작성","aspect":"구성","audience":"외부 고객","condition":"구성만 재사용; 가격·문체·장기 Agent 선호는 계승하지 않음; 표는 7개 이내","data":"P6-G07-N@v1","agent":"발표 Agent P6","taskRelation":"별도 발표 작업 생성; 기존 조사 작업 유지"}</x:v>
      </x:c>
      <x:c r="H137" s="9" t="n">
        <x:f>IF(AND(E137=1,F137=G137),1,0)</x:f>
        <x:v>1</x:v>
      </x:c>
      <x:c r="I137" s="9" t="str">
        <x:v>NONE</x:v>
      </x:c>
      <x:c r="J137" s="9" t="str">
        <x:v>마루 제품 출시 계획 고객 제안서(P6-G07-D2@v1)의 구성을 활용해 외부 고객용 발표자료 작성을 발표 Agent P6에게 맡기겠습니다.</x:v>
      </x:c>
      <x:c r="K137" s="9" t="str">
        <x:v>마루 제품 출시 계획 고객 제안서(P6-G07-D2@v1)의 구성을 활용해 외부 고객용 발표자료 작성을 발표 Agent P6에게 맡기겠습니다. 내용은 P6-G07-N@v1를 사용하고, 구성만 재사용; 가격·문체·장기 Agent 선호는 계승하지 않음; 표는 7개 이내. 별도 발표 작업 생성; 기존 조사 작업 유지.</x:v>
      </x:c>
      <x:c r="L137" s="9" t="str">
        <x:v>필수 의미와 지칭 집합 모두 일치</x:v>
      </x:c>
    </x:row>
    <x:row r="138" ht="95" customHeight="1">
      <x:c r="A138" s="9" t="str">
        <x:v>SYN-G07-07</x:v>
      </x:c>
      <x:c r="B138" s="9" t="str">
        <x:v>A</x:v>
      </x:c>
      <x:c r="C138" s="9" t="str">
        <x:v>["P7-G07-D2@v1"]</x:v>
      </x:c>
      <x:c r="D138" s="9" t="str">
        <x:v>["P7-G07-D2@v1"]</x:v>
      </x:c>
      <x:c r="E138" s="9" t="n">
        <x:f>IF(C138=D138,1,0)</x:f>
        <x:v>1</x:v>
      </x:c>
      <x:c r="F138" s="9" t="str">
        <x:v>{"goal":"연구 장비 도입 후속 발표자료 작성","aspect":"구성","audience":"외부 고객","condition":"구성만 재사용; 가격·문체·장기 Agent 선호는 계승하지 않음; 표는 8개 이내","data":"P7-G07-N@v1","agent":"발표 Agent P7","taskRelation":"별도 발표 작업 생성; 기존 조사 작업 유지"}</x:v>
      </x:c>
      <x:c r="G138" s="9" t="str">
        <x:v>{"goal":"연구 장비 도입 후속 발표자료 작성","aspect":"구성","audience":"외부 고객","condition":"구성만 재사용; 가격·문체·장기 Agent 선호는 계승하지 않음; 표는 8개 이내","data":"P7-G07-N@v1","agent":"발표 Agent P7","taskRelation":"별도 발표 작업 생성; 기존 조사 작업 유지"}</x:v>
      </x:c>
      <x:c r="H138" s="9" t="n">
        <x:f>IF(AND(E138=1,F138=G138),1,0)</x:f>
        <x:v>1</x:v>
      </x:c>
      <x:c r="I138" s="9" t="str">
        <x:v>NONE</x:v>
      </x:c>
      <x:c r="J138" s="9" t="str">
        <x:v>이든 연구 장비 도입 고객 제안서(P7-G07-D2@v1)의 구성을 활용해 외부 고객용 발표자료 작성을 발표 Agent P7에게 맡기겠습니다.</x:v>
      </x:c>
      <x:c r="K138" s="9" t="str">
        <x:v>이든 연구 장비 도입 고객 제안서(P7-G07-D2@v1)의 구성을 활용해 외부 고객용 발표자료 작성을 발표 Agent P7에게 맡기겠습니다. 내용은 P7-G07-N@v1를 사용하고, 구성만 재사용; 가격·문체·장기 Agent 선호는 계승하지 않음; 표는 8개 이내. 별도 발표 작업 생성; 기존 조사 작업 유지.</x:v>
      </x:c>
      <x:c r="L138" s="9" t="str">
        <x:v>필수 의미와 지칭 집합 모두 일치</x:v>
      </x:c>
    </x:row>
    <x:row r="139" ht="95" customHeight="1">
      <x:c r="A139" s="9" t="str">
        <x:v>SYN-G07-07</x:v>
      </x:c>
      <x:c r="B139" s="9" t="str">
        <x:v>B</x:v>
      </x:c>
      <x:c r="C139" s="9" t="str">
        <x:v>["P7-G07-D2@v1"]</x:v>
      </x:c>
      <x:c r="D139" s="9" t="str">
        <x:v>["P7-G07-D2@v1"]</x:v>
      </x:c>
      <x:c r="E139" s="9" t="n">
        <x:f>IF(C139=D139,1,0)</x:f>
        <x:v>1</x:v>
      </x:c>
      <x:c r="F139" s="9" t="str">
        <x:v>{"goal":"연구 장비 도입 후속 발표자료 작성","aspect":"구성","audience":"외부 고객","condition":"구성만 재사용; 가격·문체·장기 Agent 선호는 계승하지 않음; 표는 8개 이내","data":"P7-G07-N@v1","agent":"발표 Agent P7","taskRelation":"별도 발표 작업 생성; 기존 조사 작업 유지"}</x:v>
      </x:c>
      <x:c r="G139" s="9" t="str">
        <x:v>{"goal":"연구 장비 도입 후속 발표자료 작성","aspect":"구성","audience":"외부 고객","condition":"구성만 재사용; 가격·문체·장기 Agent 선호는 계승하지 않음; 표는 8개 이내","data":"P7-G07-N@v1","agent":"발표 Agent P7","taskRelation":"별도 발표 작업 생성; 기존 조사 작업 유지"}</x:v>
      </x:c>
      <x:c r="H139" s="9" t="n">
        <x:f>IF(AND(E139=1,F139=G139),1,0)</x:f>
        <x:v>1</x:v>
      </x:c>
      <x:c r="I139" s="9" t="str">
        <x:v>NONE</x:v>
      </x:c>
      <x:c r="J139" s="9" t="str">
        <x:v>이든 연구 장비 도입 고객 제안서(P7-G07-D2@v1)의 구성을 활용해 외부 고객용 발표자료 작성을 발표 Agent P7에게 맡기겠습니다.</x:v>
      </x:c>
      <x:c r="K139" s="9" t="str">
        <x:v>이든 연구 장비 도입 고객 제안서(P7-G07-D2@v1)의 구성을 활용해 외부 고객용 발표자료 작성을 발표 Agent P7에게 맡기겠습니다. 내용은 P7-G07-N@v1를 사용하고, 구성만 재사용; 가격·문체·장기 Agent 선호는 계승하지 않음; 표는 8개 이내. 별도 발표 작업 생성; 기존 조사 작업 유지.</x:v>
      </x:c>
      <x:c r="L139" s="9" t="str">
        <x:v>필수 의미와 지칭 집합 모두 일치</x:v>
      </x:c>
    </x:row>
    <x:row r="140" ht="95" customHeight="1">
      <x:c r="A140" s="9" t="str">
        <x:v>SYN-G07-08</x:v>
      </x:c>
      <x:c r="B140" s="9" t="str">
        <x:v>A</x:v>
      </x:c>
      <x:c r="C140" s="9" t="str">
        <x:v>["P8-G07-D2@v1"]</x:v>
      </x:c>
      <x:c r="D140" s="9" t="str">
        <x:v>["P8-G07-D2@v1"]</x:v>
      </x:c>
      <x:c r="E140" s="9" t="n">
        <x:f>IF(C140=D140,1,0)</x:f>
        <x:v>1</x:v>
      </x:c>
      <x:c r="F140" s="9" t="str">
        <x:v>{"goal":"사무공간 이전 후속 발표자료 작성","aspect":"구성","audience":"외부 고객","condition":"구성만 재사용; 가격·문체·장기 Agent 선호는 계승하지 않음; 표는 9개 이내","data":"P8-G07-N@v1","agent":"발표 Agent P8","taskRelation":"별도 발표 작업 생성; 기존 조사 작업 유지"}</x:v>
      </x:c>
      <x:c r="G140" s="9" t="str">
        <x:v>{"goal":"사무공간 이전 후속 발표자료 작성","aspect":"구성","audience":"외부 고객","condition":"구성만 재사용; 가격·문체·장기 Agent 선호는 계승하지 않음; 표는 9개 이내","data":"P8-G07-N@v1","agent":"발표 Agent P8","taskRelation":"별도 발표 작업 생성; 기존 조사 작업 유지"}</x:v>
      </x:c>
      <x:c r="H140" s="9" t="n">
        <x:f>IF(AND(E140=1,F140=G140),1,0)</x:f>
        <x:v>1</x:v>
      </x:c>
      <x:c r="I140" s="9" t="str">
        <x:v>NONE</x:v>
      </x:c>
      <x:c r="J140" s="9" t="str">
        <x:v>라온 사무공간 이전 고객 제안서(P8-G07-D2@v1)의 구성을 활용해 외부 고객용 발표자료 작성을 발표 Agent P8에게 맡기겠습니다.</x:v>
      </x:c>
      <x:c r="K140" s="9" t="str">
        <x:v>라온 사무공간 이전 고객 제안서(P8-G07-D2@v1)의 구성을 활용해 외부 고객용 발표자료 작성을 발표 Agent P8에게 맡기겠습니다. 내용은 P8-G07-N@v1를 사용하고, 구성만 재사용; 가격·문체·장기 Agent 선호는 계승하지 않음; 표는 9개 이내. 별도 발표 작업 생성; 기존 조사 작업 유지.</x:v>
      </x:c>
      <x:c r="L140" s="9" t="str">
        <x:v>필수 의미와 지칭 집합 모두 일치</x:v>
      </x:c>
    </x:row>
    <x:row r="141" ht="95" customHeight="1">
      <x:c r="A141" s="9" t="str">
        <x:v>SYN-G07-08</x:v>
      </x:c>
      <x:c r="B141" s="9" t="str">
        <x:v>B</x:v>
      </x:c>
      <x:c r="C141" s="9" t="str">
        <x:v>["P8-G07-D2@v1"]</x:v>
      </x:c>
      <x:c r="D141" s="9" t="str">
        <x:v>["P8-G07-D2@v1"]</x:v>
      </x:c>
      <x:c r="E141" s="9" t="n">
        <x:f>IF(C141=D141,1,0)</x:f>
        <x:v>1</x:v>
      </x:c>
      <x:c r="F141" s="9" t="str">
        <x:v>{"goal":"사무공간 이전 후속 발표자료 작성","aspect":"구성","audience":"외부 고객","condition":"구성만 재사용; 가격·문체·장기 Agent 선호는 계승하지 않음; 표는 9개 이내","data":"P8-G07-N@v1","agent":"발표 Agent P8","taskRelation":"별도 발표 작업 생성; 기존 조사 작업 유지"}</x:v>
      </x:c>
      <x:c r="G141" s="9" t="str">
        <x:v>{"goal":"사무공간 이전 후속 발표자료 작성","aspect":"구성","audience":"외부 고객","condition":"가격·문체도 그대로 계승; 향후 모든 업무에서 P 우선","data":"P8-G07-N@v1","agent":"발표 Agent P8","taskRelation":"별도 발표 작업 생성; 기존 조사 작업 유지"}</x:v>
      </x:c>
      <x:c r="H141" s="9" t="n">
        <x:f>IF(AND(E141=1,F141=G141),1,0)</x:f>
        <x:v>0</x:v>
      </x:c>
      <x:c r="I141" s="9" t="str">
        <x:v>MEANING_ONLY</x:v>
      </x:c>
      <x:c r="J141" s="9" t="str">
        <x:v>라온 사무공간 이전 고객 제안서(P8-G07-D2@v1)의 구성을 활용해 외부 고객용 발표자료 작성을 발표 Agent P8에게 맡기겠습니다.</x:v>
      </x:c>
      <x:c r="K141" s="9" t="str">
        <x:v>라온 사무공간 이전 고객 제안서(P8-G07-D2@v1)의 구성을 활용해 외부 고객용 발표자료 작성을 발표 Agent P8에게 맡기겠습니다. 내용은 P8-G07-N@v1를 사용하고, 가격·문체도 그대로 계승; 향후 모든 업무에서 P 우선. 별도 발표 작업 생성; 기존 조사 작업 유지.</x:v>
      </x:c>
      <x:c r="L141" s="9" t="str">
        <x:v>과거 적용 범위 재사용 또는 현재 조건 연결 누락</x:v>
      </x:c>
    </x:row>
    <x:row r="142" ht="95" customHeight="1">
      <x:c r="A142" s="9" t="str">
        <x:v>SYN-G07-09</x:v>
      </x:c>
      <x:c r="B142" s="9" t="str">
        <x:v>A</x:v>
      </x:c>
      <x:c r="C142" s="9" t="str">
        <x:v>["P9-G07-D2@v1"]</x:v>
      </x:c>
      <x:c r="D142" s="9" t="str">
        <x:v>["P9-G07-D2@v1"]</x:v>
      </x:c>
      <x:c r="E142" s="9" t="n">
        <x:f>IF(C142=D142,1,0)</x:f>
        <x:v>1</x:v>
      </x:c>
      <x:c r="F142" s="9" t="str">
        <x:v>{"goal":"서비스 품질 개선 후속 발표자료 작성","aspect":"구성","audience":"외부 고객","condition":"구성만 재사용; 가격·문체·장기 Agent 선호는 계승하지 않음; 표는 10개 이내","data":"P9-G07-N@v1","agent":"발표 Agent P9","taskRelation":"별도 발표 작업 생성; 기존 조사 작업 유지"}</x:v>
      </x:c>
      <x:c r="G142" s="9" t="str">
        <x:v>{"goal":"서비스 품질 개선 후속 발표자료 작성","aspect":"구성","audience":"외부 고객","condition":"가격·문체도 그대로 계승; 향후 모든 업무에서 P 우선","data":"P9-G07-N@v1","agent":"발표 Agent P9","taskRelation":"별도 발표 작업 생성; 기존 조사 작업 유지"}</x:v>
      </x:c>
      <x:c r="H142" s="9" t="n">
        <x:f>IF(AND(E142=1,F142=G142),1,0)</x:f>
        <x:v>0</x:v>
      </x:c>
      <x:c r="I142" s="9" t="str">
        <x:v>MEANING_ONLY</x:v>
      </x:c>
      <x:c r="J142" s="9" t="str">
        <x:v>한결 서비스 품질 개선 고객 제안서(P9-G07-D2@v1)의 구성을 활용해 외부 고객용 발표자료 작성을 발표 Agent P9에게 맡기겠습니다.</x:v>
      </x:c>
      <x:c r="K142" s="9" t="str">
        <x:v>한결 서비스 품질 개선 고객 제안서(P9-G07-D2@v1)의 구성을 활용해 외부 고객용 발표자료 작성을 발표 Agent P9에게 맡기겠습니다. 내용은 P9-G07-N@v1를 사용하고, 가격·문체도 그대로 계승; 향후 모든 업무에서 P 우선. 별도 발표 작업 생성; 기존 조사 작업 유지.</x:v>
      </x:c>
      <x:c r="L142" s="9" t="str">
        <x:v>현재 조건 중 일부를 해석에서 누락</x:v>
      </x:c>
    </x:row>
    <x:row r="143" ht="95" customHeight="1">
      <x:c r="A143" s="9" t="str">
        <x:v>SYN-G07-09</x:v>
      </x:c>
      <x:c r="B143" s="9" t="str">
        <x:v>B</x:v>
      </x:c>
      <x:c r="C143" s="9" t="str">
        <x:v>["P9-G07-D2@v1"]</x:v>
      </x:c>
      <x:c r="D143" s="9" t="str">
        <x:v>["P9-G07-D2@v1"]</x:v>
      </x:c>
      <x:c r="E143" s="9" t="n">
        <x:f>IF(C143=D143,1,0)</x:f>
        <x:v>1</x:v>
      </x:c>
      <x:c r="F143" s="9" t="str">
        <x:v>{"goal":"서비스 품질 개선 후속 발표자료 작성","aspect":"구성","audience":"외부 고객","condition":"구성만 재사용; 가격·문체·장기 Agent 선호는 계승하지 않음; 표는 10개 이내","data":"P9-G07-N@v1","agent":"발표 Agent P9","taskRelation":"별도 발표 작업 생성; 기존 조사 작업 유지"}</x:v>
      </x:c>
      <x:c r="G143" s="9" t="str">
        <x:v>{"goal":"서비스 품질 개선 후속 발표자료 작성","aspect":"구성","audience":"외부 고객","condition":"구성만 재사용; 가격·문체·장기 Agent 선호는 계승하지 않음; 표는 10개 이내","data":"P9-G07-N@v1","agent":"발표 Agent P9","taskRelation":"별도 발표 작업 생성; 기존 조사 작업 유지"}</x:v>
      </x:c>
      <x:c r="H143" s="9" t="n">
        <x:f>IF(AND(E143=1,F143=G143),1,0)</x:f>
        <x:v>1</x:v>
      </x:c>
      <x:c r="I143" s="9" t="str">
        <x:v>NONE</x:v>
      </x:c>
      <x:c r="J143" s="9" t="str">
        <x:v>한결 서비스 품질 개선 고객 제안서(P9-G07-D2@v1)의 구성을 활용해 외부 고객용 발표자료 작성을 발표 Agent P9에게 맡기겠습니다.</x:v>
      </x:c>
      <x:c r="K143" s="9" t="str">
        <x:v>한결 서비스 품질 개선 고객 제안서(P9-G07-D2@v1)의 구성을 활용해 외부 고객용 발표자료 작성을 발표 Agent P9에게 맡기겠습니다. 내용은 P9-G07-N@v1를 사용하고, 구성만 재사용; 가격·문체·장기 Agent 선호는 계승하지 않음; 표는 10개 이내. 별도 발표 작업 생성; 기존 조사 작업 유지.</x:v>
      </x:c>
      <x:c r="L143" s="9" t="str">
        <x:v>필수 의미와 지칭 집합 모두 일치</x:v>
      </x:c>
    </x:row>
    <x:row r="144" ht="95" customHeight="1">
      <x:c r="A144" s="9" t="str">
        <x:v>SYN-G07-10</x:v>
      </x:c>
      <x:c r="B144" s="9" t="str">
        <x:v>A</x:v>
      </x:c>
      <x:c r="C144" s="9" t="str">
        <x:v>["P10-G07-D2@v1"]</x:v>
      </x:c>
      <x:c r="D144" s="9" t="str">
        <x:v>["P10-G07-D2@v1"]</x:v>
      </x:c>
      <x:c r="E144" s="9" t="n">
        <x:f>IF(C144=D144,1,0)</x:f>
        <x:v>1</x:v>
      </x:c>
      <x:c r="F144" s="9" t="str">
        <x:v>{"goal":"파트너 제휴 검토 후속 발표자료 작성","aspect":"구성","audience":"외부 고객","condition":"구성만 재사용; 가격·문체·장기 Agent 선호는 계승하지 않음; 표는 11개 이내","data":"P10-G07-N@v1","agent":"발표 Agent P10","taskRelation":"별도 발표 작업 생성; 기존 조사 작업 유지"}</x:v>
      </x:c>
      <x:c r="G144" s="9" t="str">
        <x:v>{"goal":"파트너 제휴 검토 후속 발표자료 작성","aspect":"구성","audience":"외부 고객","condition":"구성만 재사용; 가격·문체·장기 Agent 선호는 계승하지 않음; 표는 11개 이내","data":"P10-G07-N@v1","agent":"발표 Agent P10","taskRelation":"별도 발표 작업 생성; 기존 조사 작업 유지"}</x:v>
      </x:c>
      <x:c r="H144" s="9" t="n">
        <x:f>IF(AND(E144=1,F144=G144),1,0)</x:f>
        <x:v>1</x:v>
      </x:c>
      <x:c r="I144" s="9" t="str">
        <x:v>NONE</x:v>
      </x:c>
      <x:c r="J144" s="9" t="str">
        <x:v>온유 파트너 제휴 검토 고객 제안서(P10-G07-D2@v1)의 구성을 활용해 외부 고객용 발표자료 작성을 발표 Agent P10에게 맡기겠습니다.</x:v>
      </x:c>
      <x:c r="K144" s="9" t="str">
        <x:v>온유 파트너 제휴 검토 고객 제안서(P10-G07-D2@v1)의 구성을 활용해 외부 고객용 발표자료 작성을 발표 Agent P10에게 맡기겠습니다. 내용은 P10-G07-N@v1를 사용하고, 구성만 재사용; 가격·문체·장기 Agent 선호는 계승하지 않음; 표는 11개 이내. 별도 발표 작업 생성; 기존 조사 작업 유지.</x:v>
      </x:c>
      <x:c r="L144" s="9" t="str">
        <x:v>필수 의미와 지칭 집합 모두 일치</x:v>
      </x:c>
    </x:row>
    <x:row r="145" ht="95" customHeight="1">
      <x:c r="A145" s="9" t="str">
        <x:v>SYN-G07-10</x:v>
      </x:c>
      <x:c r="B145" s="9" t="str">
        <x:v>B</x:v>
      </x:c>
      <x:c r="C145" s="9" t="str">
        <x:v>["P10-G07-D2@v1"]</x:v>
      </x:c>
      <x:c r="D145" s="9" t="str">
        <x:v>["P10-G07-D2@v1"]</x:v>
      </x:c>
      <x:c r="E145" s="9" t="n">
        <x:f>IF(C145=D145,1,0)</x:f>
        <x:v>1</x:v>
      </x:c>
      <x:c r="F145" s="9" t="str">
        <x:v>{"goal":"파트너 제휴 검토 후속 발표자료 작성","aspect":"구성","audience":"외부 고객","condition":"구성만 재사용; 가격·문체·장기 Agent 선호는 계승하지 않음; 표는 11개 이내","data":"P10-G07-N@v1","agent":"발표 Agent P10","taskRelation":"별도 발표 작업 생성; 기존 조사 작업 유지"}</x:v>
      </x:c>
      <x:c r="G145" s="9" t="str">
        <x:v>{"goal":"파트너 제휴 검토 후속 발표자료 작성","aspect":"구성","audience":"외부 고객","condition":"구성만 재사용; 가격·문체·장기 Agent 선호는 계승하지 않음; 표는 11개 이내","data":"P10-G07-N@v1","agent":"발표 Agent P10","taskRelation":"별도 발표 작업 생성; 기존 조사 작업 유지"}</x:v>
      </x:c>
      <x:c r="H145" s="9" t="n">
        <x:f>IF(AND(E145=1,F145=G145),1,0)</x:f>
        <x:v>1</x:v>
      </x:c>
      <x:c r="I145" s="9" t="str">
        <x:v>NONE</x:v>
      </x:c>
      <x:c r="J145" s="9" t="str">
        <x:v>온유 파트너 제휴 검토 고객 제안서(P10-G07-D2@v1)의 구성을 활용해 외부 고객용 발표자료 작성을 발표 Agent P10에게 맡기겠습니다.</x:v>
      </x:c>
      <x:c r="K145" s="9" t="str">
        <x:v>온유 파트너 제휴 검토 고객 제안서(P10-G07-D2@v1)의 구성을 활용해 외부 고객용 발표자료 작성을 발표 Agent P10에게 맡기겠습니다. 내용은 P10-G07-N@v1를 사용하고, 구성만 재사용; 가격·문체·장기 Agent 선호는 계승하지 않음; 표는 11개 이내. 별도 발표 작업 생성; 기존 조사 작업 유지.</x:v>
      </x:c>
      <x:c r="L145" s="9" t="str">
        <x:v>필수 의미와 지칭 집합 모두 일치</x:v>
      </x:c>
    </x:row>
    <x:row r="146" ht="95" customHeight="1">
      <x:c r="A146" s="9" t="str">
        <x:v>SYN-G08-01</x:v>
      </x:c>
      <x:c r="B146" s="9" t="str">
        <x:v>A</x:v>
      </x:c>
      <x:c r="C146" s="9" t="str">
        <x:v>["P1-G02-D2@v1"]</x:v>
      </x:c>
      <x:c r="D146" s="9" t="str">
        <x:v>["P1-G02-D2@v1"]</x:v>
      </x:c>
      <x:c r="E146" s="9" t="n">
        <x:f>IF(C146=D146,1,0)</x:f>
        <x:v>1</x:v>
      </x:c>
      <x:c r="F146" s="9" t="str">
        <x:v>{"goal":"협업 도구 도입 후속 발표자료 작성","aspect":"구성","audience":"외부 고객","condition":"신규 조사로 수치 교체; 표는 2개 이내","data":"P1-G02-N@v1","agent":"발표 Agent P1","taskRelation":"별도 발표 작업 생성; 기존 조사 작업 유지"}</x:v>
      </x:c>
      <x:c r="G146" s="9" t="str">
        <x:v>{"goal":"협업 도구 도입 후속 발표자료 작성","aspect":"구성","audience":"외부 고객","condition":"신규 조사로 수치 교체; 표는 2개 이내","data":"P1-G02-N@v1","agent":"발표 Agent P1","taskRelation":"별도 발표 작업 생성; 기존 조사 작업 유지"}</x:v>
      </x:c>
      <x:c r="H146" s="9" t="n">
        <x:f>IF(AND(E146=1,F146=G146),1,0)</x:f>
        <x:v>1</x:v>
      </x:c>
      <x:c r="I146" s="9" t="str">
        <x:v>NONE</x:v>
      </x:c>
      <x:c r="J146" s="9" t="str">
        <x:v>새봄 협업 도구 도입 고객 제안서(P1-G02-D2@v1)의 구성을 활용해 외부 고객용 발표자료 작성을 발표 Agent P1에게 맡기겠습니다.</x:v>
      </x:c>
      <x:c r="K146" s="9" t="str">
        <x:v>새봄 협업 도구 도입 고객 제안서(P1-G02-D2@v1)의 구성을 활용해 외부 고객용 발표자료 작성을 발표 Agent P1에게 맡기겠습니다. 내용은 P1-G02-N@v1를 사용하고, 신규 조사로 수치 교체; 표는 2개 이내. 별도 발표 작업 생성; 기존 조사 작업 유지.</x:v>
      </x:c>
      <x:c r="L146" s="9" t="str">
        <x:v>필수 의미와 지칭 집합 모두 일치</x:v>
      </x:c>
    </x:row>
    <x:row r="147" ht="95" customHeight="1">
      <x:c r="A147" s="9" t="str">
        <x:v>SYN-G08-01</x:v>
      </x:c>
      <x:c r="B147" s="9" t="str">
        <x:v>B</x:v>
      </x:c>
      <x:c r="C147" s="9" t="str">
        <x:v>["P1-G02-D2@v1"]</x:v>
      </x:c>
      <x:c r="D147" s="9" t="str">
        <x:v>["P1-G02-D2@v1"]</x:v>
      </x:c>
      <x:c r="E147" s="9" t="n">
        <x:f>IF(C147=D147,1,0)</x:f>
        <x:v>1</x:v>
      </x:c>
      <x:c r="F147" s="9" t="str">
        <x:v>{"goal":"협업 도구 도입 후속 발표자료 작성","aspect":"구성","audience":"외부 고객","condition":"신규 조사로 수치 교체; 표는 2개 이내","data":"P1-G02-N@v1","agent":"발표 Agent P1","taskRelation":"별도 발표 작업 생성; 기존 조사 작업 유지"}</x:v>
      </x:c>
      <x:c r="G147" s="9" t="str">
        <x:v>{"goal":"협업 도구 도입 후속 발표자료 작성","aspect":"구성","audience":"외부 고객","condition":"신규 조사로 수치 교체; 표는 2개 이내","data":"P1-G02-N@v1","agent":"발표 Agent P1","taskRelation":"별도 발표 작업 생성; 기존 조사 작업 유지"}</x:v>
      </x:c>
      <x:c r="H147" s="9" t="n">
        <x:f>IF(AND(E147=1,F147=G147),1,0)</x:f>
        <x:v>1</x:v>
      </x:c>
      <x:c r="I147" s="9" t="str">
        <x:v>NONE</x:v>
      </x:c>
      <x:c r="J147" s="9" t="str">
        <x:v>새봄 협업 도구 도입 고객 제안서(P1-G02-D2@v1)의 구성을 활용해 외부 고객용 발표자료 작성을 발표 Agent P1에게 맡기겠습니다.</x:v>
      </x:c>
      <x:c r="K147" s="9" t="str">
        <x:v>새봄 협업 도구 도입 고객 제안서(P1-G02-D2@v1)의 구성을 활용해 외부 고객용 발표자료 작성을 발표 Agent P1에게 맡기겠습니다. 내용은 P1-G02-N@v1를 사용하고, 신규 조사로 수치 교체; 표는 2개 이내. 별도 발표 작업 생성; 기존 조사 작업 유지.</x:v>
      </x:c>
      <x:c r="L147" s="9" t="str">
        <x:v>필수 의미와 지칭 집합 모두 일치</x:v>
      </x:c>
    </x:row>
    <x:row r="148" ht="95" customHeight="1">
      <x:c r="A148" s="9" t="str">
        <x:v>SYN-G08-02</x:v>
      </x:c>
      <x:c r="B148" s="9" t="str">
        <x:v>A</x:v>
      </x:c>
      <x:c r="C148" s="9" t="str">
        <x:v>["P2-G02-D2@v1"]</x:v>
      </x:c>
      <x:c r="D148" s="9" t="str">
        <x:v>["P2-G02-D2@v1"]</x:v>
      </x:c>
      <x:c r="E148" s="9" t="n">
        <x:f>IF(C148=D148,1,0)</x:f>
        <x:v>1</x:v>
      </x:c>
      <x:c r="F148" s="9" t="str">
        <x:v>{"goal":"고객지원 시스템 교체 후속 발표자료 작성","aspect":"구성","audience":"외부 고객","condition":"신규 조사로 수치 교체; 표는 3개 이내","data":"P2-G02-N@v1","agent":"발표 Agent P2","taskRelation":"별도 발표 작업 생성; 기존 조사 작업 유지"}</x:v>
      </x:c>
      <x:c r="G148" s="9" t="str">
        <x:v>{"goal":"고객지원 시스템 교체 후속 발표자료 작성","aspect":"구성","audience":"외부 고객","condition":"신규 조사로 수치 교체; 표는 3개 이내","data":"P2-G02-N@v1","agent":"발표 Agent P2","taskRelation":"별도 발표 작업 생성; 기존 조사 작업 유지"}</x:v>
      </x:c>
      <x:c r="H148" s="9" t="n">
        <x:f>IF(AND(E148=1,F148=G148),1,0)</x:f>
        <x:v>1</x:v>
      </x:c>
      <x:c r="I148" s="9" t="str">
        <x:v>NONE</x:v>
      </x:c>
      <x:c r="J148" s="9" t="str">
        <x:v>해솔 고객지원 시스템 교체 고객 제안서(P2-G02-D2@v1)의 구성을 활용해 외부 고객용 발표자료 작성을 발표 Agent P2에게 맡기겠습니다.</x:v>
      </x:c>
      <x:c r="K148" s="9" t="str">
        <x:v>해솔 고객지원 시스템 교체 고객 제안서(P2-G02-D2@v1)의 구성을 활용해 외부 고객용 발표자료 작성을 발표 Agent P2에게 맡기겠습니다. 내용은 P2-G02-N@v1를 사용하고, 신규 조사로 수치 교체; 표는 3개 이내. 별도 발표 작업 생성; 기존 조사 작업 유지.</x:v>
      </x:c>
      <x:c r="L148" s="9" t="str">
        <x:v>필수 의미와 지칭 집합 모두 일치</x:v>
      </x:c>
    </x:row>
    <x:row r="149" ht="95" customHeight="1">
      <x:c r="A149" s="9" t="str">
        <x:v>SYN-G08-02</x:v>
      </x:c>
      <x:c r="B149" s="9" t="str">
        <x:v>B</x:v>
      </x:c>
      <x:c r="C149" s="9" t="str">
        <x:v>["P2-G02-D2@v1"]</x:v>
      </x:c>
      <x:c r="D149" s="9" t="str">
        <x:v>["P2-G02-D2@v1"]</x:v>
      </x:c>
      <x:c r="E149" s="9" t="n">
        <x:f>IF(C149=D149,1,0)</x:f>
        <x:v>1</x:v>
      </x:c>
      <x:c r="F149" s="9" t="str">
        <x:v>{"goal":"고객지원 시스템 교체 후속 발표자료 작성","aspect":"구성","audience":"외부 고객","condition":"신규 조사로 수치 교체; 표는 3개 이내","data":"P2-G02-N@v1","agent":"발표 Agent P2","taskRelation":"별도 발표 작업 생성; 기존 조사 작업 유지"}</x:v>
      </x:c>
      <x:c r="G149" s="9" t="str">
        <x:v>{"goal":"고객지원 시스템 교체 후속 발표자료 작성","aspect":"구성","audience":"외부 고객","condition":"신규 조사로 수치 교체; 표는 3개 이내","data":"P2-G02-N@v1","agent":"발표 Agent P2","taskRelation":"별도 발표 작업 생성; 기존 조사 작업 유지"}</x:v>
      </x:c>
      <x:c r="H149" s="9" t="n">
        <x:f>IF(AND(E149=1,F149=G149),1,0)</x:f>
        <x:v>1</x:v>
      </x:c>
      <x:c r="I149" s="9" t="str">
        <x:v>NONE</x:v>
      </x:c>
      <x:c r="J149" s="9" t="str">
        <x:v>해솔 고객지원 시스템 교체 고객 제안서(P2-G02-D2@v1)의 구성을 활용해 외부 고객용 발표자료 작성을 발표 Agent P2에게 맡기겠습니다.</x:v>
      </x:c>
      <x:c r="K149" s="9" t="str">
        <x:v>해솔 고객지원 시스템 교체 고객 제안서(P2-G02-D2@v1)의 구성을 활용해 외부 고객용 발표자료 작성을 발표 Agent P2에게 맡기겠습니다. 내용은 P2-G02-N@v1를 사용하고, 신규 조사로 수치 교체; 표는 3개 이내. 별도 발표 작업 생성; 기존 조사 작업 유지.</x:v>
      </x:c>
      <x:c r="L149" s="9" t="str">
        <x:v>필수 의미와 지칭 집합 모두 일치</x:v>
      </x:c>
    </x:row>
    <x:row r="150" ht="95" customHeight="1">
      <x:c r="A150" s="9" t="str">
        <x:v>SYN-G08-03</x:v>
      </x:c>
      <x:c r="B150" s="9" t="str">
        <x:v>A</x:v>
      </x:c>
      <x:c r="C150" s="9" t="str">
        <x:v>["P3-G02-D2@v1"]</x:v>
      </x:c>
      <x:c r="D150" s="9" t="str">
        <x:v>["P3-G02-D2@v1"]</x:v>
      </x:c>
      <x:c r="E150" s="9" t="n">
        <x:f>IF(C150=D150,1,0)</x:f>
        <x:v>1</x:v>
      </x:c>
      <x:c r="F150" s="9" t="str">
        <x:v>{"goal":"물류 현황 보고 후속 발표자료 작성","aspect":"구성","audience":"외부 고객","condition":"신규 조사로 수치 교체; 표는 4개 이내","data":"P3-G02-N@v1","agent":"발표 Agent P3","taskRelation":"별도 발표 작업 생성; 기존 조사 작업 유지"}</x:v>
      </x:c>
      <x:c r="G150" s="9" t="str">
        <x:v>{"goal":"물류 현황 보고 후속 발표자료 작성","aspect":"구성","audience":"외부 고객","condition":"신규 조사로 수치 교체; 표는 4개 이내","data":"P3-G02-N@v1","agent":"발표 Agent P3","taskRelation":"별도 발표 작업 생성; 기존 조사 작업 유지"}</x:v>
      </x:c>
      <x:c r="H150" s="9" t="n">
        <x:f>IF(AND(E150=1,F150=G150),1,0)</x:f>
        <x:v>1</x:v>
      </x:c>
      <x:c r="I150" s="9" t="str">
        <x:v>NONE</x:v>
      </x:c>
      <x:c r="J150" s="9" t="str">
        <x:v>가온 물류 현황 보고 고객 제안서(P3-G02-D2@v1)의 구성을 활용해 외부 고객용 발표자료 작성을 발표 Agent P3에게 맡기겠습니다.</x:v>
      </x:c>
      <x:c r="K150" s="9" t="str">
        <x:v>가온 물류 현황 보고 고객 제안서(P3-G02-D2@v1)의 구성을 활용해 외부 고객용 발표자료 작성을 발표 Agent P3에게 맡기겠습니다. 내용은 P3-G02-N@v1를 사용하고, 신규 조사로 수치 교체; 표는 4개 이내. 별도 발표 작업 생성; 기존 조사 작업 유지.</x:v>
      </x:c>
      <x:c r="L150" s="9" t="str">
        <x:v>필수 의미와 지칭 집합 모두 일치</x:v>
      </x:c>
    </x:row>
    <x:row r="151" ht="95" customHeight="1">
      <x:c r="A151" s="9" t="str">
        <x:v>SYN-G08-03</x:v>
      </x:c>
      <x:c r="B151" s="9" t="str">
        <x:v>B</x:v>
      </x:c>
      <x:c r="C151" s="9" t="str">
        <x:v>["P3-G02-D2@v1"]</x:v>
      </x:c>
      <x:c r="D151" s="9" t="str">
        <x:v>["P3-G02-D2@v1"]</x:v>
      </x:c>
      <x:c r="E151" s="9" t="n">
        <x:f>IF(C151=D151,1,0)</x:f>
        <x:v>1</x:v>
      </x:c>
      <x:c r="F151" s="9" t="str">
        <x:v>{"goal":"물류 현황 보고 후속 발표자료 작성","aspect":"구성","audience":"외부 고객","condition":"신규 조사로 수치 교체; 표는 4개 이내","data":"P3-G02-N@v1","agent":"발표 Agent P3","taskRelation":"별도 발표 작업 생성; 기존 조사 작업 유지"}</x:v>
      </x:c>
      <x:c r="G151" s="9" t="str">
        <x:v>{"goal":"물류 현황 보고 후속 발표자료 작성","aspect":"구성","audience":"외부 고객","condition":"신규 조사로 수치 교체; 표는 4개 이내","data":"P3-G02-N@v1","agent":"발표 Agent P3","taskRelation":"별도 발표 작업 생성; 기존 조사 작업 유지"}</x:v>
      </x:c>
      <x:c r="H151" s="9" t="n">
        <x:f>IF(AND(E151=1,F151=G151),1,0)</x:f>
        <x:v>1</x:v>
      </x:c>
      <x:c r="I151" s="9" t="str">
        <x:v>NONE</x:v>
      </x:c>
      <x:c r="J151" s="9" t="str">
        <x:v>가온 물류 현황 보고 고객 제안서(P3-G02-D2@v1)의 구성을 활용해 외부 고객용 발표자료 작성을 발표 Agent P3에게 맡기겠습니다.</x:v>
      </x:c>
      <x:c r="K151" s="9" t="str">
        <x:v>가온 물류 현황 보고 고객 제안서(P3-G02-D2@v1)의 구성을 활용해 외부 고객용 발표자료 작성을 발표 Agent P3에게 맡기겠습니다. 내용은 P3-G02-N@v1를 사용하고, 신규 조사로 수치 교체; 표는 4개 이내. 별도 발표 작업 생성; 기존 조사 작업 유지.</x:v>
      </x:c>
      <x:c r="L151" s="9" t="str">
        <x:v>필수 의미와 지칭 집합 모두 일치</x:v>
      </x:c>
    </x:row>
    <x:row r="152" ht="95" customHeight="1">
      <x:c r="A152" s="9" t="str">
        <x:v>SYN-G08-04</x:v>
      </x:c>
      <x:c r="B152" s="9" t="str">
        <x:v>A</x:v>
      </x:c>
      <x:c r="C152" s="9" t="str">
        <x:v>["P4-G02-D2@v1"]</x:v>
      </x:c>
      <x:c r="D152" s="9" t="str">
        <x:v>["P4-G02-D2@v1"]</x:v>
      </x:c>
      <x:c r="E152" s="9" t="n">
        <x:f>IF(C152=D152,1,0)</x:f>
        <x:v>1</x:v>
      </x:c>
      <x:c r="F152" s="9" t="str">
        <x:v>{"goal":"매장 운영 개선 후속 발표자료 작성","aspect":"구성","audience":"외부 고객","condition":"신규 조사로 수치 교체; 표는 5개 이내","data":"P4-G02-N@v1","agent":"발표 Agent P4","taskRelation":"별도 발표 작업 생성; 기존 조사 작업 유지"}</x:v>
      </x:c>
      <x:c r="G152" s="9" t="str">
        <x:v>{"goal":"매장 운영 개선 후속 발표자료 작성","aspect":"구성","audience":"외부 고객","condition":"신규 조사로 수치 교체; 표는 5개 이내","data":"P4-G02-N@v1","agent":"발표 Agent P4","taskRelation":"별도 발표 작업 생성; 기존 조사 작업 유지"}</x:v>
      </x:c>
      <x:c r="H152" s="9" t="n">
        <x:f>IF(AND(E152=1,F152=G152),1,0)</x:f>
        <x:v>1</x:v>
      </x:c>
      <x:c r="I152" s="9" t="str">
        <x:v>NONE</x:v>
      </x:c>
      <x:c r="J152" s="9" t="str">
        <x:v>누리 매장 운영 개선 고객 제안서(P4-G02-D2@v1)의 구성을 활용해 외부 고객용 발표자료 작성을 발표 Agent P4에게 맡기겠습니다.</x:v>
      </x:c>
      <x:c r="K152" s="9" t="str">
        <x:v>누리 매장 운영 개선 고객 제안서(P4-G02-D2@v1)의 구성을 활용해 외부 고객용 발표자료 작성을 발표 Agent P4에게 맡기겠습니다. 내용은 P4-G02-N@v1를 사용하고, 신규 조사로 수치 교체; 표는 5개 이내. 별도 발표 작업 생성; 기존 조사 작업 유지.</x:v>
      </x:c>
      <x:c r="L152" s="9" t="str">
        <x:v>필수 의미와 지칭 집합 모두 일치</x:v>
      </x:c>
    </x:row>
    <x:row r="153" ht="95" customHeight="1">
      <x:c r="A153" s="9" t="str">
        <x:v>SYN-G08-04</x:v>
      </x:c>
      <x:c r="B153" s="9" t="str">
        <x:v>B</x:v>
      </x:c>
      <x:c r="C153" s="9" t="str">
        <x:v>["P4-G02-D2@v1"]</x:v>
      </x:c>
      <x:c r="D153" s="9" t="str">
        <x:v>["P4-G02-D2@v1"]</x:v>
      </x:c>
      <x:c r="E153" s="9" t="n">
        <x:f>IF(C153=D153,1,0)</x:f>
        <x:v>1</x:v>
      </x:c>
      <x:c r="F153" s="9" t="str">
        <x:v>{"goal":"매장 운영 개선 후속 발표자료 작성","aspect":"구성","audience":"외부 고객","condition":"신규 조사로 수치 교체; 표는 5개 이내","data":"P4-G02-N@v1","agent":"발표 Agent P4","taskRelation":"별도 발표 작업 생성; 기존 조사 작업 유지"}</x:v>
      </x:c>
      <x:c r="G153" s="9" t="str">
        <x:v>{"goal":"매장 운영 개선 후속 발표자료 작성","aspect":"구성","audience":"외부 고객","condition":"신규 조사로 수치 교체; 표는 5개 이내","data":"P4-G02-N@v1","agent":"발표 Agent P4","taskRelation":"별도 발표 작업 생성; 기존 조사 작업 유지"}</x:v>
      </x:c>
      <x:c r="H153" s="9" t="n">
        <x:f>IF(AND(E153=1,F153=G153),1,0)</x:f>
        <x:v>1</x:v>
      </x:c>
      <x:c r="I153" s="9" t="str">
        <x:v>NONE</x:v>
      </x:c>
      <x:c r="J153" s="9" t="str">
        <x:v>누리 매장 운영 개선 고객 제안서(P4-G02-D2@v1)의 구성을 활용해 외부 고객용 발표자료 작성을 발표 Agent P4에게 맡기겠습니다.</x:v>
      </x:c>
      <x:c r="K153" s="9" t="str">
        <x:v>누리 매장 운영 개선 고객 제안서(P4-G02-D2@v1)의 구성을 활용해 외부 고객용 발표자료 작성을 발표 Agent P4에게 맡기겠습니다. 내용은 P4-G02-N@v1를 사용하고, 신규 조사로 수치 교체; 표는 5개 이내. 별도 발표 작업 생성; 기존 조사 작업 유지.</x:v>
      </x:c>
      <x:c r="L153" s="9" t="str">
        <x:v>필수 의미와 지칭 집합 모두 일치</x:v>
      </x:c>
    </x:row>
    <x:row r="154" ht="95" customHeight="1">
      <x:c r="A154" s="9" t="str">
        <x:v>SYN-G08-05</x:v>
      </x:c>
      <x:c r="B154" s="9" t="str">
        <x:v>A</x:v>
      </x:c>
      <x:c r="C154" s="9" t="str">
        <x:v>["P5-G02-D2@v1"]</x:v>
      </x:c>
      <x:c r="D154" s="9" t="str">
        <x:v>["P5-G02-D2@v1"]</x:v>
      </x:c>
      <x:c r="E154" s="9" t="n">
        <x:f>IF(C154=D154,1,0)</x:f>
        <x:v>1</x:v>
      </x:c>
      <x:c r="F154" s="9" t="str">
        <x:v>{"goal":"교육 과정 개편 후속 발표자료 작성","aspect":"구성","audience":"외부 고객","condition":"신규 조사로 수치 교체; 표는 6개 이내","data":"P5-G02-N@v1","agent":"발표 Agent P5","taskRelation":"별도 발표 작업 생성; 기존 조사 작업 유지"}</x:v>
      </x:c>
      <x:c r="G154" s="9" t="str">
        <x:v>{"goal":"교육 과정 개편 후속 발표자료 작성","aspect":"구성","audience":"외부 고객","condition":"신규 조사로 수치 교체; 표는 6개 이내","data":"P5-G02-N@v1","agent":"발표 Agent P5","taskRelation":"별도 발표 작업 생성; 기존 조사 작업 유지"}</x:v>
      </x:c>
      <x:c r="H154" s="9" t="n">
        <x:f>IF(AND(E154=1,F154=G154),1,0)</x:f>
        <x:v>1</x:v>
      </x:c>
      <x:c r="I154" s="9" t="str">
        <x:v>NONE</x:v>
      </x:c>
      <x:c r="J154" s="9" t="str">
        <x:v>다온 교육 과정 개편 고객 제안서(P5-G02-D2@v1)의 구성을 활용해 외부 고객용 발표자료 작성을 발표 Agent P5에게 맡기겠습니다.</x:v>
      </x:c>
      <x:c r="K154" s="9" t="str">
        <x:v>다온 교육 과정 개편 고객 제안서(P5-G02-D2@v1)의 구성을 활용해 외부 고객용 발표자료 작성을 발표 Agent P5에게 맡기겠습니다. 내용은 P5-G02-N@v1를 사용하고, 신규 조사로 수치 교체; 표는 6개 이내. 별도 발표 작업 생성; 기존 조사 작업 유지.</x:v>
      </x:c>
      <x:c r="L154" s="9" t="str">
        <x:v>필수 의미와 지칭 집합 모두 일치</x:v>
      </x:c>
    </x:row>
    <x:row r="155" ht="95" customHeight="1">
      <x:c r="A155" s="9" t="str">
        <x:v>SYN-G08-05</x:v>
      </x:c>
      <x:c r="B155" s="9" t="str">
        <x:v>B</x:v>
      </x:c>
      <x:c r="C155" s="9" t="str">
        <x:v>["P5-G02-D2@v1"]</x:v>
      </x:c>
      <x:c r="D155" s="9" t="str">
        <x:v>["P5-G02-D2@v1"]</x:v>
      </x:c>
      <x:c r="E155" s="9" t="n">
        <x:f>IF(C155=D155,1,0)</x:f>
        <x:v>1</x:v>
      </x:c>
      <x:c r="F155" s="9" t="str">
        <x:v>{"goal":"교육 과정 개편 후속 발표자료 작성","aspect":"구성","audience":"외부 고객","condition":"신규 조사로 수치 교체; 표는 6개 이내","data":"P5-G02-N@v1","agent":"발표 Agent P5","taskRelation":"별도 발표 작업 생성; 기존 조사 작업 유지"}</x:v>
      </x:c>
      <x:c r="G155" s="9" t="str">
        <x:v>{"goal":"교육 과정 개편 후속 발표자료 작성","aspect":"구성","audience":"외부 고객","condition":"신규 조사로 수치 교체; 표는 6개 이내","data":"P5-G02-N@v1","agent":"발표 Agent P5","taskRelation":"별도 발표 작업 생성; 기존 조사 작업 유지"}</x:v>
      </x:c>
      <x:c r="H155" s="9" t="n">
        <x:f>IF(AND(E155=1,F155=G155),1,0)</x:f>
        <x:v>1</x:v>
      </x:c>
      <x:c r="I155" s="9" t="str">
        <x:v>NONE</x:v>
      </x:c>
      <x:c r="J155" s="9" t="str">
        <x:v>다온 교육 과정 개편 고객 제안서(P5-G02-D2@v1)의 구성을 활용해 외부 고객용 발표자료 작성을 발표 Agent P5에게 맡기겠습니다.</x:v>
      </x:c>
      <x:c r="K155" s="9" t="str">
        <x:v>다온 교육 과정 개편 고객 제안서(P5-G02-D2@v1)의 구성을 활용해 외부 고객용 발표자료 작성을 발표 Agent P5에게 맡기겠습니다. 내용은 P5-G02-N@v1를 사용하고, 신규 조사로 수치 교체; 표는 6개 이내. 별도 발표 작업 생성; 기존 조사 작업 유지.</x:v>
      </x:c>
      <x:c r="L155" s="9" t="str">
        <x:v>필수 의미와 지칭 집합 모두 일치</x:v>
      </x:c>
    </x:row>
    <x:row r="156" ht="95" customHeight="1">
      <x:c r="A156" s="9" t="str">
        <x:v>SYN-G08-06</x:v>
      </x:c>
      <x:c r="B156" s="9" t="str">
        <x:v>A</x:v>
      </x:c>
      <x:c r="C156" s="9" t="str">
        <x:v>["P6-G02-D2@v1"]</x:v>
      </x:c>
      <x:c r="D156" s="9" t="str">
        <x:v>["P6-G02-D2@v1"]</x:v>
      </x:c>
      <x:c r="E156" s="9" t="n">
        <x:f>IF(C156=D156,1,0)</x:f>
        <x:v>1</x:v>
      </x:c>
      <x:c r="F156" s="9" t="str">
        <x:v>{"goal":"제품 출시 계획 후속 발표자료 작성","aspect":"구성","audience":"외부 고객","condition":"신규 조사로 수치 교체; 표는 7개 이내","data":"P6-G02-N@v1","agent":"발표 Agent P6","taskRelation":"별도 발표 작업 생성; 기존 조사 작업 유지"}</x:v>
      </x:c>
      <x:c r="G156" s="9" t="str">
        <x:v>{"goal":"제품 출시 계획 후속 발표자료 작성","aspect":"구성","audience":"외부 고객","condition":"신규 조사로 수치 교체; 표는 7개 이내","data":"P6-G02-N@v1","agent":"발표 Agent P6","taskRelation":"별도 발표 작업 생성; 기존 조사 작업 유지"}</x:v>
      </x:c>
      <x:c r="H156" s="9" t="n">
        <x:f>IF(AND(E156=1,F156=G156),1,0)</x:f>
        <x:v>1</x:v>
      </x:c>
      <x:c r="I156" s="9" t="str">
        <x:v>NONE</x:v>
      </x:c>
      <x:c r="J156" s="9" t="str">
        <x:v>마루 제품 출시 계획 고객 제안서(P6-G02-D2@v1)의 구성을 활용해 외부 고객용 발표자료 작성을 발표 Agent P6에게 맡기겠습니다.</x:v>
      </x:c>
      <x:c r="K156" s="9" t="str">
        <x:v>마루 제품 출시 계획 고객 제안서(P6-G02-D2@v1)의 구성을 활용해 외부 고객용 발표자료 작성을 발표 Agent P6에게 맡기겠습니다. 내용은 P6-G02-N@v1를 사용하고, 신규 조사로 수치 교체; 표는 7개 이내. 별도 발표 작업 생성; 기존 조사 작업 유지.</x:v>
      </x:c>
      <x:c r="L156" s="9" t="str">
        <x:v>필수 의미와 지칭 집합 모두 일치</x:v>
      </x:c>
    </x:row>
    <x:row r="157" ht="95" customHeight="1">
      <x:c r="A157" s="9" t="str">
        <x:v>SYN-G08-06</x:v>
      </x:c>
      <x:c r="B157" s="9" t="str">
        <x:v>B</x:v>
      </x:c>
      <x:c r="C157" s="9" t="str">
        <x:v>["P6-G02-D2@v1"]</x:v>
      </x:c>
      <x:c r="D157" s="9" t="str">
        <x:v>["P6-G02-D2@v1"]</x:v>
      </x:c>
      <x:c r="E157" s="9" t="n">
        <x:f>IF(C157=D157,1,0)</x:f>
        <x:v>1</x:v>
      </x:c>
      <x:c r="F157" s="9" t="str">
        <x:v>{"goal":"제품 출시 계획 후속 발표자료 작성","aspect":"구성","audience":"외부 고객","condition":"신규 조사로 수치 교체; 표는 7개 이내","data":"P6-G02-N@v1","agent":"발표 Agent P6","taskRelation":"별도 발표 작업 생성; 기존 조사 작업 유지"}</x:v>
      </x:c>
      <x:c r="G157" s="9" t="str">
        <x:v>{"goal":"제품 출시 계획 후속 발표자료 작성","aspect":"구성","audience":"외부 고객","condition":"신규 조사로 수치 교체; 표는 7개 이내","data":"P6-G02-N@v1","agent":"발표 Agent P6","taskRelation":"별도 발표 작업 생성; 기존 조사 작업 유지"}</x:v>
      </x:c>
      <x:c r="H157" s="9" t="n">
        <x:f>IF(AND(E157=1,F157=G157),1,0)</x:f>
        <x:v>1</x:v>
      </x:c>
      <x:c r="I157" s="9" t="str">
        <x:v>NONE</x:v>
      </x:c>
      <x:c r="J157" s="9" t="str">
        <x:v>마루 제품 출시 계획 고객 제안서(P6-G02-D2@v1)의 구성을 활용해 외부 고객용 발표자료 작성을 발표 Agent P6에게 맡기겠습니다.</x:v>
      </x:c>
      <x:c r="K157" s="9" t="str">
        <x:v>마루 제품 출시 계획 고객 제안서(P6-G02-D2@v1)의 구성을 활용해 외부 고객용 발표자료 작성을 발표 Agent P6에게 맡기겠습니다. 내용은 P6-G02-N@v1를 사용하고, 신규 조사로 수치 교체; 표는 7개 이내. 별도 발표 작업 생성; 기존 조사 작업 유지.</x:v>
      </x:c>
      <x:c r="L157" s="9" t="str">
        <x:v>필수 의미와 지칭 집합 모두 일치</x:v>
      </x:c>
    </x:row>
    <x:row r="158" ht="95" customHeight="1">
      <x:c r="A158" s="9" t="str">
        <x:v>SYN-G08-07</x:v>
      </x:c>
      <x:c r="B158" s="9" t="str">
        <x:v>A</x:v>
      </x:c>
      <x:c r="C158" s="9" t="str">
        <x:v>["P7-G02-D2@v1"]</x:v>
      </x:c>
      <x:c r="D158" s="9" t="str">
        <x:v>["P7-G02-D2@v1"]</x:v>
      </x:c>
      <x:c r="E158" s="9" t="n">
        <x:f>IF(C158=D158,1,0)</x:f>
        <x:v>1</x:v>
      </x:c>
      <x:c r="F158" s="9" t="str">
        <x:v>{"goal":"연구 장비 도입 후속 발표자료 작성","aspect":"구성","audience":"외부 고객","condition":"신규 조사로 수치 교체; 표는 8개 이내","data":"P7-G02-N@v1","agent":"발표 Agent P7","taskRelation":"별도 발표 작업 생성; 기존 조사 작업 유지"}</x:v>
      </x:c>
      <x:c r="G158" s="9" t="str">
        <x:v>{"goal":"연구 장비 도입 후속 발표자료 작성","aspect":"구성","audience":"외부 고객","condition":"신규 조사로 수치 교체; 표는 8개 이내","data":"P7-G02-N@v1","agent":"발표 Agent P7","taskRelation":"별도 발표 작업 생성; 기존 조사 작업 유지"}</x:v>
      </x:c>
      <x:c r="H158" s="9" t="n">
        <x:f>IF(AND(E158=1,F158=G158),1,0)</x:f>
        <x:v>1</x:v>
      </x:c>
      <x:c r="I158" s="9" t="str">
        <x:v>NONE</x:v>
      </x:c>
      <x:c r="J158" s="9" t="str">
        <x:v>이든 연구 장비 도입 고객 제안서(P7-G02-D2@v1)의 구성을 활용해 외부 고객용 발표자료 작성을 발표 Agent P7에게 맡기겠습니다.</x:v>
      </x:c>
      <x:c r="K158" s="9" t="str">
        <x:v>이든 연구 장비 도입 고객 제안서(P7-G02-D2@v1)의 구성을 활용해 외부 고객용 발표자료 작성을 발표 Agent P7에게 맡기겠습니다. 내용은 P7-G02-N@v1를 사용하고, 신규 조사로 수치 교체; 표는 8개 이내. 별도 발표 작업 생성; 기존 조사 작업 유지.</x:v>
      </x:c>
      <x:c r="L158" s="9" t="str">
        <x:v>필수 의미와 지칭 집합 모두 일치</x:v>
      </x:c>
    </x:row>
    <x:row r="159" ht="95" customHeight="1">
      <x:c r="A159" s="9" t="str">
        <x:v>SYN-G08-07</x:v>
      </x:c>
      <x:c r="B159" s="9" t="str">
        <x:v>B</x:v>
      </x:c>
      <x:c r="C159" s="9" t="str">
        <x:v>["P7-G02-D2@v1"]</x:v>
      </x:c>
      <x:c r="D159" s="9" t="str">
        <x:v>["P7-G02-D2@v1"]</x:v>
      </x:c>
      <x:c r="E159" s="9" t="n">
        <x:f>IF(C159=D159,1,0)</x:f>
        <x:v>1</x:v>
      </x:c>
      <x:c r="F159" s="9" t="str">
        <x:v>{"goal":"연구 장비 도입 후속 발표자료 작성","aspect":"구성","audience":"외부 고객","condition":"신규 조사로 수치 교체; 표는 8개 이내","data":"P7-G02-N@v1","agent":"발표 Agent P7","taskRelation":"별도 발표 작업 생성; 기존 조사 작업 유지"}</x:v>
      </x:c>
      <x:c r="G159" s="9" t="str">
        <x:v>{"goal":"연구 장비 도입 후속 발표자료 작성","aspect":"구성","audience":"외부 고객","condition":"신규 조사로 수치 교체; 표는 8개 이내","data":"P7-G02-N@v1","agent":"발표 Agent P7","taskRelation":"별도 발표 작업 생성; 기존 조사 작업 유지"}</x:v>
      </x:c>
      <x:c r="H159" s="9" t="n">
        <x:f>IF(AND(E159=1,F159=G159),1,0)</x:f>
        <x:v>1</x:v>
      </x:c>
      <x:c r="I159" s="9" t="str">
        <x:v>NONE</x:v>
      </x:c>
      <x:c r="J159" s="9" t="str">
        <x:v>이든 연구 장비 도입 고객 제안서(P7-G02-D2@v1)의 구성을 활용해 외부 고객용 발표자료 작성을 발표 Agent P7에게 맡기겠습니다.</x:v>
      </x:c>
      <x:c r="K159" s="9" t="str">
        <x:v>이든 연구 장비 도입 고객 제안서(P7-G02-D2@v1)의 구성을 활용해 외부 고객용 발표자료 작성을 발표 Agent P7에게 맡기겠습니다. 내용은 P7-G02-N@v1를 사용하고, 신규 조사로 수치 교체; 표는 8개 이내. 별도 발표 작업 생성; 기존 조사 작업 유지.</x:v>
      </x:c>
      <x:c r="L159" s="9" t="str">
        <x:v>필수 의미와 지칭 집합 모두 일치</x:v>
      </x:c>
    </x:row>
    <x:row r="160" ht="95" customHeight="1">
      <x:c r="A160" s="9" t="str">
        <x:v>SYN-G08-08</x:v>
      </x:c>
      <x:c r="B160" s="9" t="str">
        <x:v>A</x:v>
      </x:c>
      <x:c r="C160" s="9" t="str">
        <x:v>["P8-G02-D2@v1"]</x:v>
      </x:c>
      <x:c r="D160" s="9" t="str">
        <x:v>["P8-G02-D2@v1"]</x:v>
      </x:c>
      <x:c r="E160" s="9" t="n">
        <x:f>IF(C160=D160,1,0)</x:f>
        <x:v>1</x:v>
      </x:c>
      <x:c r="F160" s="9" t="str">
        <x:v>{"goal":"사무공간 이전 후속 발표자료 작성","aspect":"구성","audience":"외부 고객","condition":"신규 조사로 수치 교체; 표는 9개 이내","data":"P8-G02-N@v1","agent":"발표 Agent P8","taskRelation":"별도 발표 작업 생성; 기존 조사 작업 유지"}</x:v>
      </x:c>
      <x:c r="G160" s="9" t="str">
        <x:v>{"goal":"사무공간 이전 후속 발표자료 작성","aspect":"구성","audience":"외부 고객","condition":"신규 조사로 수치 교체; 표는 9개 이내","data":"P8-G02-N@v1","agent":"발표 Agent P8","taskRelation":"별도 발표 작업 생성; 기존 조사 작업 유지"}</x:v>
      </x:c>
      <x:c r="H160" s="9" t="n">
        <x:f>IF(AND(E160=1,F160=G160),1,0)</x:f>
        <x:v>1</x:v>
      </x:c>
      <x:c r="I160" s="9" t="str">
        <x:v>NONE</x:v>
      </x:c>
      <x:c r="J160" s="9" t="str">
        <x:v>라온 사무공간 이전 고객 제안서(P8-G02-D2@v1)의 구성을 활용해 외부 고객용 발표자료 작성을 발표 Agent P8에게 맡기겠습니다.</x:v>
      </x:c>
      <x:c r="K160" s="9" t="str">
        <x:v>라온 사무공간 이전 고객 제안서(P8-G02-D2@v1)의 구성을 활용해 외부 고객용 발표자료 작성을 발표 Agent P8에게 맡기겠습니다. 내용은 P8-G02-N@v1를 사용하고, 신규 조사로 수치 교체; 표는 9개 이내. 별도 발표 작업 생성; 기존 조사 작업 유지.</x:v>
      </x:c>
      <x:c r="L160" s="9" t="str">
        <x:v>필수 의미와 지칭 집합 모두 일치</x:v>
      </x:c>
    </x:row>
    <x:row r="161" ht="95" customHeight="1">
      <x:c r="A161" s="9" t="str">
        <x:v>SYN-G08-08</x:v>
      </x:c>
      <x:c r="B161" s="9" t="str">
        <x:v>B</x:v>
      </x:c>
      <x:c r="C161" s="9" t="str">
        <x:v>["P8-G02-D2@v1"]</x:v>
      </x:c>
      <x:c r="D161" s="9" t="str">
        <x:v>["P8-G02-D2@v1"]</x:v>
      </x:c>
      <x:c r="E161" s="9" t="n">
        <x:f>IF(C161=D161,1,0)</x:f>
        <x:v>1</x:v>
      </x:c>
      <x:c r="F161" s="9" t="str">
        <x:v>{"goal":"사무공간 이전 후속 발표자료 작성","aspect":"구성","audience":"외부 고객","condition":"신규 조사로 수치 교체; 표는 9개 이내","data":"P8-G02-N@v1","agent":"발표 Agent P8","taskRelation":"별도 발표 작업 생성; 기존 조사 작업 유지"}</x:v>
      </x:c>
      <x:c r="G161" s="9" t="str">
        <x:v>{"goal":"사무공간 이전 후속 발표자료 작성","aspect":"구성","audience":"외부 고객","condition":"신규 조사로 수치 교체; 표는 9개 이내","data":"P8-G02-N@v1","agent":"발표 Agent P8","taskRelation":"별도 발표 작업 생성; 기존 조사 작업 유지"}</x:v>
      </x:c>
      <x:c r="H161" s="9" t="n">
        <x:f>IF(AND(E161=1,F161=G161),1,0)</x:f>
        <x:v>1</x:v>
      </x:c>
      <x:c r="I161" s="9" t="str">
        <x:v>NONE</x:v>
      </x:c>
      <x:c r="J161" s="9" t="str">
        <x:v>라온 사무공간 이전 고객 제안서(P8-G02-D2@v1)의 구성을 활용해 외부 고객용 발표자료 작성을 발표 Agent P8에게 맡기겠습니다.</x:v>
      </x:c>
      <x:c r="K161" s="9" t="str">
        <x:v>라온 사무공간 이전 고객 제안서(P8-G02-D2@v1)의 구성을 활용해 외부 고객용 발표자료 작성을 발표 Agent P8에게 맡기겠습니다. 내용은 P8-G02-N@v1를 사용하고, 신규 조사로 수치 교체; 표는 9개 이내. 별도 발표 작업 생성; 기존 조사 작업 유지.</x:v>
      </x:c>
      <x:c r="L161" s="9" t="str">
        <x:v>필수 의미와 지칭 집합 모두 일치</x:v>
      </x:c>
    </x:row>
    <x:row r="162" ht="95" customHeight="1">
      <x:c r="A162" s="9" t="str">
        <x:v>SYN-G08-09</x:v>
      </x:c>
      <x:c r="B162" s="9" t="str">
        <x:v>A</x:v>
      </x:c>
      <x:c r="C162" s="9" t="str">
        <x:v>["P9-G02-D2@v1"]</x:v>
      </x:c>
      <x:c r="D162" s="9" t="str">
        <x:v>["P9-G02-D2@v1"]</x:v>
      </x:c>
      <x:c r="E162" s="9" t="n">
        <x:f>IF(C162=D162,1,0)</x:f>
        <x:v>1</x:v>
      </x:c>
      <x:c r="F162" s="9" t="str">
        <x:v>{"goal":"서비스 품질 개선 후속 발표자료 작성","aspect":"구성","audience":"외부 고객","condition":"신규 조사로 수치 교체; 표는 10개 이내","data":"P9-G02-N@v1","agent":"발표 Agent P9","taskRelation":"별도 발표 작업 생성; 기존 조사 작업 유지"}</x:v>
      </x:c>
      <x:c r="G162" s="9" t="str">
        <x:v>{"goal":"서비스 품질 개선 후속 발표자료 작성","aspect":"구성","audience":"외부 고객","condition":"신규 조사로 수치 교체; 표는 10개 이내","data":"P9-G02-N@v1","agent":"발표 Agent P9","taskRelation":"별도 발표 작업 생성; 기존 조사 작업 유지"}</x:v>
      </x:c>
      <x:c r="H162" s="9" t="n">
        <x:f>IF(AND(E162=1,F162=G162),1,0)</x:f>
        <x:v>1</x:v>
      </x:c>
      <x:c r="I162" s="9" t="str">
        <x:v>NONE</x:v>
      </x:c>
      <x:c r="J162" s="9" t="str">
        <x:v>한결 서비스 품질 개선 고객 제안서(P9-G02-D2@v1)의 구성을 활용해 외부 고객용 발표자료 작성을 발표 Agent P9에게 맡기겠습니다.</x:v>
      </x:c>
      <x:c r="K162" s="9" t="str">
        <x:v>한결 서비스 품질 개선 고객 제안서(P9-G02-D2@v1)의 구성을 활용해 외부 고객용 발표자료 작성을 발표 Agent P9에게 맡기겠습니다. 내용은 P9-G02-N@v1를 사용하고, 신규 조사로 수치 교체; 표는 10개 이내. 별도 발표 작업 생성; 기존 조사 작업 유지.</x:v>
      </x:c>
      <x:c r="L162" s="9" t="str">
        <x:v>필수 의미와 지칭 집합 모두 일치</x:v>
      </x:c>
    </x:row>
    <x:row r="163" ht="95" customHeight="1">
      <x:c r="A163" s="9" t="str">
        <x:v>SYN-G08-09</x:v>
      </x:c>
      <x:c r="B163" s="9" t="str">
        <x:v>B</x:v>
      </x:c>
      <x:c r="C163" s="9" t="str">
        <x:v>["P9-G02-D2@v1"]</x:v>
      </x:c>
      <x:c r="D163" s="9" t="str">
        <x:v>["P9-G02-D2@v1"]</x:v>
      </x:c>
      <x:c r="E163" s="9" t="n">
        <x:f>IF(C163=D163,1,0)</x:f>
        <x:v>1</x:v>
      </x:c>
      <x:c r="F163" s="9" t="str">
        <x:v>{"goal":"서비스 품질 개선 후속 발표자료 작성","aspect":"구성","audience":"외부 고객","condition":"신규 조사로 수치 교체; 표는 10개 이내","data":"P9-G02-N@v1","agent":"발표 Agent P9","taskRelation":"별도 발표 작업 생성; 기존 조사 작업 유지"}</x:v>
      </x:c>
      <x:c r="G163" s="9" t="str">
        <x:v>{"goal":"서비스 품질 개선 후속 발표자료 작성","aspect":"구성","audience":"외부 고객","condition":"신규 조사로 수치 교체; 표는 10개 이내","data":"P9-G02-N@v1","agent":"발표 Agent P9","taskRelation":"별도 발표 작업 생성; 기존 조사 작업 유지"}</x:v>
      </x:c>
      <x:c r="H163" s="9" t="n">
        <x:f>IF(AND(E163=1,F163=G163),1,0)</x:f>
        <x:v>1</x:v>
      </x:c>
      <x:c r="I163" s="9" t="str">
        <x:v>NONE</x:v>
      </x:c>
      <x:c r="J163" s="9" t="str">
        <x:v>한결 서비스 품질 개선 고객 제안서(P9-G02-D2@v1)의 구성을 활용해 외부 고객용 발표자료 작성을 발표 Agent P9에게 맡기겠습니다.</x:v>
      </x:c>
      <x:c r="K163" s="9" t="str">
        <x:v>한결 서비스 품질 개선 고객 제안서(P9-G02-D2@v1)의 구성을 활용해 외부 고객용 발표자료 작성을 발표 Agent P9에게 맡기겠습니다. 내용은 P9-G02-N@v1를 사용하고, 신규 조사로 수치 교체; 표는 10개 이내. 별도 발표 작업 생성; 기존 조사 작업 유지.</x:v>
      </x:c>
      <x:c r="L163" s="9" t="str">
        <x:v>필수 의미와 지칭 집합 모두 일치</x:v>
      </x:c>
    </x:row>
    <x:row r="164" ht="95" customHeight="1">
      <x:c r="A164" s="9" t="str">
        <x:v>SYN-G08-10</x:v>
      </x:c>
      <x:c r="B164" s="9" t="str">
        <x:v>A</x:v>
      </x:c>
      <x:c r="C164" s="9" t="str">
        <x:v>["P10-G02-D2@v1"]</x:v>
      </x:c>
      <x:c r="D164" s="9" t="str">
        <x:v>["P10-G02-D2@v1"]</x:v>
      </x:c>
      <x:c r="E164" s="9" t="n">
        <x:f>IF(C164=D164,1,0)</x:f>
        <x:v>1</x:v>
      </x:c>
      <x:c r="F164" s="9" t="str">
        <x:v>{"goal":"파트너 제휴 검토 후속 발표자료 작성","aspect":"구성","audience":"외부 고객","condition":"신규 조사로 수치 교체; 표는 11개 이내","data":"P10-G02-N@v1","agent":"발표 Agent P10","taskRelation":"별도 발표 작업 생성; 기존 조사 작업 유지"}</x:v>
      </x:c>
      <x:c r="G164" s="9" t="str">
        <x:v>{"goal":"파트너 제휴 검토 후속 발표자료 작성","aspect":"구성","audience":"외부 고객","condition":"신규 조사로 수치 교체; 표는 11개 이내","data":"P10-G02-N@v1","agent":"발표 Agent P10","taskRelation":"별도 발표 작업 생성; 기존 조사 작업 유지"}</x:v>
      </x:c>
      <x:c r="H164" s="9" t="n">
        <x:f>IF(AND(E164=1,F164=G164),1,0)</x:f>
        <x:v>1</x:v>
      </x:c>
      <x:c r="I164" s="9" t="str">
        <x:v>NONE</x:v>
      </x:c>
      <x:c r="J164" s="9" t="str">
        <x:v>온유 파트너 제휴 검토 고객 제안서(P10-G02-D2@v1)의 구성을 활용해 외부 고객용 발표자료 작성을 발표 Agent P10에게 맡기겠습니다.</x:v>
      </x:c>
      <x:c r="K164" s="9" t="str">
        <x:v>온유 파트너 제휴 검토 고객 제안서(P10-G02-D2@v1)의 구성을 활용해 외부 고객용 발표자료 작성을 발표 Agent P10에게 맡기겠습니다. 내용은 P10-G02-N@v1를 사용하고, 신규 조사로 수치 교체; 표는 11개 이내. 별도 발표 작업 생성; 기존 조사 작업 유지.</x:v>
      </x:c>
      <x:c r="L164" s="9" t="str">
        <x:v>필수 의미와 지칭 집합 모두 일치</x:v>
      </x:c>
    </x:row>
    <x:row r="165" ht="95" customHeight="1">
      <x:c r="A165" s="9" t="str">
        <x:v>SYN-G08-10</x:v>
      </x:c>
      <x:c r="B165" s="9" t="str">
        <x:v>B</x:v>
      </x:c>
      <x:c r="C165" s="9" t="str">
        <x:v>["P10-G02-D2@v1"]</x:v>
      </x:c>
      <x:c r="D165" s="9" t="str">
        <x:v>["P10-G02-D2@v1"]</x:v>
      </x:c>
      <x:c r="E165" s="9" t="n">
        <x:f>IF(C165=D165,1,0)</x:f>
        <x:v>1</x:v>
      </x:c>
      <x:c r="F165" s="9" t="str">
        <x:v>{"goal":"파트너 제휴 검토 후속 발표자료 작성","aspect":"구성","audience":"외부 고객","condition":"신규 조사로 수치 교체; 표는 11개 이내","data":"P10-G02-N@v1","agent":"발표 Agent P10","taskRelation":"별도 발표 작업 생성; 기존 조사 작업 유지"}</x:v>
      </x:c>
      <x:c r="G165" s="9" t="str">
        <x:v>{"goal":"파트너 제휴 검토 후속 발표자료 작성","aspect":"구성","audience":"외부 고객","condition":"신규 조사로 수치 교체; 표는 11개 이내","data":"P10-G02-N@v1","agent":"발표 Agent P10","taskRelation":"별도 발표 작업 생성; 기존 조사 작업 유지"}</x:v>
      </x:c>
      <x:c r="H165" s="9" t="n">
        <x:f>IF(AND(E165=1,F165=G165),1,0)</x:f>
        <x:v>1</x:v>
      </x:c>
      <x:c r="I165" s="9" t="str">
        <x:v>NONE</x:v>
      </x:c>
      <x:c r="J165" s="9" t="str">
        <x:v>온유 파트너 제휴 검토 고객 제안서(P10-G02-D2@v1)의 구성을 활용해 외부 고객용 발표자료 작성을 발표 Agent P10에게 맡기겠습니다.</x:v>
      </x:c>
      <x:c r="K165" s="9" t="str">
        <x:v>온유 파트너 제휴 검토 고객 제안서(P10-G02-D2@v1)의 구성을 활용해 외부 고객용 발표자료 작성을 발표 Agent P10에게 맡기겠습니다. 내용은 P10-G02-N@v1를 사용하고, 신규 조사로 수치 교체; 표는 11개 이내. 별도 발표 작업 생성; 기존 조사 작업 유지.</x:v>
      </x:c>
      <x:c r="L165" s="9" t="str">
        <x:v>필수 의미와 지칭 집합 모두 일치</x:v>
      </x:c>
    </x:row>
    <x:row r="166" ht="95" customHeight="1">
      <x:c r="A166" s="9" t="str">
        <x:v>SYN-G09-01</x:v>
      </x:c>
      <x:c r="B166" s="9" t="str">
        <x:v>A</x:v>
      </x:c>
      <x:c r="C166" s="9" t="str">
        <x:v>["P1-G09-D2@v1"]</x:v>
      </x:c>
      <x:c r="D166" s="9" t="str">
        <x:v>["P1-G09-D2@v1"]</x:v>
      </x:c>
      <x:c r="E166" s="9" t="n">
        <x:f>IF(C166=D166,1,0)</x:f>
        <x:v>1</x:v>
      </x:c>
      <x:c r="F166" s="9" t="str">
        <x:v>{"goal":"협업 도구 도입 후속 발표자료 작성","aspect":"구성","audience":"외부 고객","condition":"신규 조사로 수치 교체; 표는 2개 이내","data":"P1-G09-N@v1","agent":"발표 Agent P1","taskRelation":"별도 발표 작업 생성; 기존 조사 작업 유지"}</x:v>
      </x:c>
      <x:c r="G166" s="9" t="str">
        <x:v>{"goal":"협업 도구 도입 후속 발표자료 작성","aspect":"구성","audience":"외부 고객","condition":"신규 조사로 수치 교체; 표는 2개 이내","data":"P1-G09-N@v1","agent":"발표 Agent P1","taskRelation":"별도 발표 작업 생성; 기존 조사 작업 유지"}</x:v>
      </x:c>
      <x:c r="H166" s="9" t="n">
        <x:f>IF(AND(E166=1,F166=G166),1,0)</x:f>
        <x:v>1</x:v>
      </x:c>
      <x:c r="I166" s="9" t="str">
        <x:v>NONE</x:v>
      </x:c>
      <x:c r="J166" s="9" t="str">
        <x:v>새봄 협업 도구 도입 고객 제안서(P1-G09-D2@v1)의 구성을 활용해 외부 고객용 발표자료 작성을 발표 Agent P1에게 맡기겠습니다.</x:v>
      </x:c>
      <x:c r="K166" s="9" t="str">
        <x:v>새봄 협업 도구 도입 고객 제안서(P1-G09-D2@v1)의 구성을 활용해 외부 고객용 발표자료 작성을 발표 Agent P1에게 맡기겠습니다. 내용은 P1-G09-N@v1를 사용하고, 신규 조사로 수치 교체; 표는 2개 이내. 별도 발표 작업 생성; 기존 조사 작업 유지.</x:v>
      </x:c>
      <x:c r="L166" s="9" t="str">
        <x:v>필수 의미와 지칭 집합 모두 일치</x:v>
      </x:c>
    </x:row>
    <x:row r="167" ht="95" customHeight="1">
      <x:c r="A167" s="9" t="str">
        <x:v>SYN-G09-01</x:v>
      </x:c>
      <x:c r="B167" s="9" t="str">
        <x:v>B</x:v>
      </x:c>
      <x:c r="C167" s="9" t="str">
        <x:v>["P1-G09-D2@v1"]</x:v>
      </x:c>
      <x:c r="D167" s="9" t="str">
        <x:v>["P1-G09-D2@v1"]</x:v>
      </x:c>
      <x:c r="E167" s="9" t="n">
        <x:f>IF(C167=D167,1,0)</x:f>
        <x:v>1</x:v>
      </x:c>
      <x:c r="F167" s="9" t="str">
        <x:v>{"goal":"협업 도구 도입 후속 발표자료 작성","aspect":"구성","audience":"외부 고객","condition":"신규 조사로 수치 교체; 표는 2개 이내","data":"P1-G09-N@v1","agent":"발표 Agent P1","taskRelation":"별도 발표 작업 생성; 기존 조사 작업 유지"}</x:v>
      </x:c>
      <x:c r="G167" s="9" t="str">
        <x:v>{"goal":"협업 도구 도입 후속 발표자료 작성","aspect":"구성","audience":"외부 고객","condition":"신규 조사로 수치 교체; 표는 2개 이내","data":"P1-G09-N@v1","agent":"발표 Agent P1","taskRelation":"별도 발표 작업 생성; 기존 조사 작업 유지"}</x:v>
      </x:c>
      <x:c r="H167" s="9" t="n">
        <x:f>IF(AND(E167=1,F167=G167),1,0)</x:f>
        <x:v>1</x:v>
      </x:c>
      <x:c r="I167" s="9" t="str">
        <x:v>NONE</x:v>
      </x:c>
      <x:c r="J167" s="9" t="str">
        <x:v>새봄 협업 도구 도입 고객 제안서(P1-G09-D2@v1)의 구성을 활용해 외부 고객용 발표자료 작성을 발표 Agent P1에게 맡기겠습니다.</x:v>
      </x:c>
      <x:c r="K167" s="9" t="str">
        <x:v>새봄 협업 도구 도입 고객 제안서(P1-G09-D2@v1)의 구성을 활용해 외부 고객용 발표자료 작성을 발표 Agent P1에게 맡기겠습니다. 내용은 P1-G09-N@v1를 사용하고, 신규 조사로 수치 교체; 표는 2개 이내. 별도 발표 작업 생성; 기존 조사 작업 유지.</x:v>
      </x:c>
      <x:c r="L167" s="9" t="str">
        <x:v>필수 의미와 지칭 집합 모두 일치</x:v>
      </x:c>
    </x:row>
    <x:row r="168" ht="95" customHeight="1">
      <x:c r="A168" s="9" t="str">
        <x:v>SYN-G09-02</x:v>
      </x:c>
      <x:c r="B168" s="9" t="str">
        <x:v>A</x:v>
      </x:c>
      <x:c r="C168" s="9" t="str">
        <x:v>["P2-G09-D2@v1"]</x:v>
      </x:c>
      <x:c r="D168" s="9" t="str">
        <x:v>["P2-G09-D2@v1"]</x:v>
      </x:c>
      <x:c r="E168" s="9" t="n">
        <x:f>IF(C168=D168,1,0)</x:f>
        <x:v>1</x:v>
      </x:c>
      <x:c r="F168" s="9" t="str">
        <x:v>{"goal":"고객지원 시스템 교체 후속 발표자료 작성","aspect":"구성","audience":"외부 고객","condition":"신규 조사로 수치 교체; 표는 3개 이내","data":"P2-G09-N@v1","agent":"발표 Agent P2","taskRelation":"별도 발표 작업 생성; 기존 조사 작업 유지"}</x:v>
      </x:c>
      <x:c r="G168" s="9" t="str">
        <x:v>{"goal":"고객지원 시스템 교체 후속 발표자료 작성","aspect":"구성","audience":"외부 고객","condition":"신규 조사로 수치 교체; 표는 3개 이내","data":"P2-G09-N@v1","agent":"발표 Agent P2","taskRelation":"별도 발표 작업 생성; 기존 조사 작업 유지"}</x:v>
      </x:c>
      <x:c r="H168" s="9" t="n">
        <x:f>IF(AND(E168=1,F168=G168),1,0)</x:f>
        <x:v>1</x:v>
      </x:c>
      <x:c r="I168" s="9" t="str">
        <x:v>NONE</x:v>
      </x:c>
      <x:c r="J168" s="9" t="str">
        <x:v>해솔 고객지원 시스템 교체 고객 제안서(P2-G09-D2@v1)의 구성을 활용해 외부 고객용 발표자료 작성을 발표 Agent P2에게 맡기겠습니다.</x:v>
      </x:c>
      <x:c r="K168" s="9" t="str">
        <x:v>해솔 고객지원 시스템 교체 고객 제안서(P2-G09-D2@v1)의 구성을 활용해 외부 고객용 발표자료 작성을 발표 Agent P2에게 맡기겠습니다. 내용은 P2-G09-N@v1를 사용하고, 신규 조사로 수치 교체; 표는 3개 이내. 별도 발표 작업 생성; 기존 조사 작업 유지.</x:v>
      </x:c>
      <x:c r="L168" s="9" t="str">
        <x:v>필수 의미와 지칭 집합 모두 일치</x:v>
      </x:c>
    </x:row>
    <x:row r="169" ht="95" customHeight="1">
      <x:c r="A169" s="9" t="str">
        <x:v>SYN-G09-02</x:v>
      </x:c>
      <x:c r="B169" s="9" t="str">
        <x:v>B</x:v>
      </x:c>
      <x:c r="C169" s="9" t="str">
        <x:v>["P2-G09-D2@v1"]</x:v>
      </x:c>
      <x:c r="D169" s="9" t="str">
        <x:v>["P2-G09-D2@v1"]</x:v>
      </x:c>
      <x:c r="E169" s="9" t="n">
        <x:f>IF(C169=D169,1,0)</x:f>
        <x:v>1</x:v>
      </x:c>
      <x:c r="F169" s="9" t="str">
        <x:v>{"goal":"고객지원 시스템 교체 후속 발표자료 작성","aspect":"구성","audience":"외부 고객","condition":"신규 조사로 수치 교체; 표는 3개 이내","data":"P2-G09-N@v1","agent":"발표 Agent P2","taskRelation":"별도 발표 작업 생성; 기존 조사 작업 유지"}</x:v>
      </x:c>
      <x:c r="G169" s="9" t="str">
        <x:v>{"goal":"고객지원 시스템 교체 후속 발표자료 작성","aspect":"구성","audience":"외부 고객","condition":"신규 조사로 수치 교체; 표는 3개 이내","data":"P2-G09-N@v1","agent":"발표 Agent P2","taskRelation":"별도 발표 작업 생성; 기존 조사 작업 유지"}</x:v>
      </x:c>
      <x:c r="H169" s="9" t="n">
        <x:f>IF(AND(E169=1,F169=G169),1,0)</x:f>
        <x:v>1</x:v>
      </x:c>
      <x:c r="I169" s="9" t="str">
        <x:v>NONE</x:v>
      </x:c>
      <x:c r="J169" s="9" t="str">
        <x:v>해솔 고객지원 시스템 교체 고객 제안서(P2-G09-D2@v1)의 구성을 활용해 외부 고객용 발표자료 작성을 발표 Agent P2에게 맡기겠습니다.</x:v>
      </x:c>
      <x:c r="K169" s="9" t="str">
        <x:v>해솔 고객지원 시스템 교체 고객 제안서(P2-G09-D2@v1)의 구성을 활용해 외부 고객용 발표자료 작성을 발표 Agent P2에게 맡기겠습니다. 내용은 P2-G09-N@v1를 사용하고, 신규 조사로 수치 교체; 표는 3개 이내. 별도 발표 작업 생성; 기존 조사 작업 유지.</x:v>
      </x:c>
      <x:c r="L169" s="9" t="str">
        <x:v>필수 의미와 지칭 집합 모두 일치</x:v>
      </x:c>
    </x:row>
    <x:row r="170" ht="95" customHeight="1">
      <x:c r="A170" s="9" t="str">
        <x:v>SYN-G09-03</x:v>
      </x:c>
      <x:c r="B170" s="9" t="str">
        <x:v>A</x:v>
      </x:c>
      <x:c r="C170" s="9" t="str">
        <x:v>["P3-G09-D2@v1"]</x:v>
      </x:c>
      <x:c r="D170" s="9" t="str">
        <x:v>["P3-G09-D2@v1"]</x:v>
      </x:c>
      <x:c r="E170" s="9" t="n">
        <x:f>IF(C170=D170,1,0)</x:f>
        <x:v>1</x:v>
      </x:c>
      <x:c r="F170" s="9" t="str">
        <x:v>{"goal":"물류 현황 보고 후속 발표자료 작성","aspect":"구성","audience":"외부 고객","condition":"신규 조사로 수치 교체; 표는 4개 이내","data":"P3-G09-N@v1","agent":"발표 Agent P3","taskRelation":"별도 발표 작업 생성; 기존 조사 작업 유지"}</x:v>
      </x:c>
      <x:c r="G170" s="9" t="str">
        <x:v>{"goal":"물류 현황 보고 후속 발표자료 작성","aspect":"구성","audience":"외부 고객","condition":"신규 조사로 수치 교체; 표는 4개 이내","data":"P3-G09-N@v1","agent":"발표 Agent P3","taskRelation":"별도 발표 작업 생성; 기존 조사 작업 유지"}</x:v>
      </x:c>
      <x:c r="H170" s="9" t="n">
        <x:f>IF(AND(E170=1,F170=G170),1,0)</x:f>
        <x:v>1</x:v>
      </x:c>
      <x:c r="I170" s="9" t="str">
        <x:v>NONE</x:v>
      </x:c>
      <x:c r="J170" s="9" t="str">
        <x:v>가온 물류 현황 보고 고객 제안서(P3-G09-D2@v1)의 구성을 활용해 외부 고객용 발표자료 작성을 발표 Agent P3에게 맡기겠습니다.</x:v>
      </x:c>
      <x:c r="K170" s="9" t="str">
        <x:v>가온 물류 현황 보고 고객 제안서(P3-G09-D2@v1)의 구성을 활용해 외부 고객용 발표자료 작성을 발표 Agent P3에게 맡기겠습니다. 내용은 P3-G09-N@v1를 사용하고, 신규 조사로 수치 교체; 표는 4개 이내. 별도 발표 작업 생성; 기존 조사 작업 유지.</x:v>
      </x:c>
      <x:c r="L170" s="9" t="str">
        <x:v>필수 의미와 지칭 집합 모두 일치</x:v>
      </x:c>
    </x:row>
    <x:row r="171" ht="95" customHeight="1">
      <x:c r="A171" s="9" t="str">
        <x:v>SYN-G09-03</x:v>
      </x:c>
      <x:c r="B171" s="9" t="str">
        <x:v>B</x:v>
      </x:c>
      <x:c r="C171" s="9" t="str">
        <x:v>["P3-G09-D2@v1"]</x:v>
      </x:c>
      <x:c r="D171" s="9" t="str">
        <x:v>["P3-G09-D2@v1"]</x:v>
      </x:c>
      <x:c r="E171" s="9" t="n">
        <x:f>IF(C171=D171,1,0)</x:f>
        <x:v>1</x:v>
      </x:c>
      <x:c r="F171" s="9" t="str">
        <x:v>{"goal":"물류 현황 보고 후속 발표자료 작성","aspect":"구성","audience":"외부 고객","condition":"신규 조사로 수치 교체; 표는 4개 이내","data":"P3-G09-N@v1","agent":"발표 Agent P3","taskRelation":"별도 발표 작업 생성; 기존 조사 작업 유지"}</x:v>
      </x:c>
      <x:c r="G171" s="9" t="str">
        <x:v>{"goal":"물류 현황 보고 후속 발표자료 작성","aspect":"구성","audience":"외부 고객","condition":"신규 조사로 수치 교체; 표는 4개 이내","data":"P3-G09-N@v1","agent":"발표 Agent P3","taskRelation":"별도 발표 작업 생성; 기존 조사 작업 유지"}</x:v>
      </x:c>
      <x:c r="H171" s="9" t="n">
        <x:f>IF(AND(E171=1,F171=G171),1,0)</x:f>
        <x:v>1</x:v>
      </x:c>
      <x:c r="I171" s="9" t="str">
        <x:v>NONE</x:v>
      </x:c>
      <x:c r="J171" s="9" t="str">
        <x:v>가온 물류 현황 보고 고객 제안서(P3-G09-D2@v1)의 구성을 활용해 외부 고객용 발표자료 작성을 발표 Agent P3에게 맡기겠습니다.</x:v>
      </x:c>
      <x:c r="K171" s="9" t="str">
        <x:v>가온 물류 현황 보고 고객 제안서(P3-G09-D2@v1)의 구성을 활용해 외부 고객용 발표자료 작성을 발표 Agent P3에게 맡기겠습니다. 내용은 P3-G09-N@v1를 사용하고, 신규 조사로 수치 교체; 표는 4개 이내. 별도 발표 작업 생성; 기존 조사 작업 유지.</x:v>
      </x:c>
      <x:c r="L171" s="9" t="str">
        <x:v>필수 의미와 지칭 집합 모두 일치</x:v>
      </x:c>
    </x:row>
    <x:row r="172" ht="95" customHeight="1">
      <x:c r="A172" s="9" t="str">
        <x:v>SYN-G09-04</x:v>
      </x:c>
      <x:c r="B172" s="9" t="str">
        <x:v>A</x:v>
      </x:c>
      <x:c r="C172" s="9" t="str">
        <x:v>["P4-G09-D2@v1"]</x:v>
      </x:c>
      <x:c r="D172" s="9" t="str">
        <x:v>["P4-G09-D2@v1"]</x:v>
      </x:c>
      <x:c r="E172" s="9" t="n">
        <x:f>IF(C172=D172,1,0)</x:f>
        <x:v>1</x:v>
      </x:c>
      <x:c r="F172" s="9" t="str">
        <x:v>{"goal":"매장 운영 개선 후속 발표자료 작성","aspect":"구성","audience":"외부 고객","condition":"신규 조사로 수치 교체; 표는 5개 이내","data":"P4-G09-N@v1","agent":"발표 Agent P4","taskRelation":"별도 발표 작업 생성; 기존 조사 작업 유지"}</x:v>
      </x:c>
      <x:c r="G172" s="9" t="str">
        <x:v>{"goal":"매장 운영 개선 후속 발표자료 작성","aspect":"구성","audience":"외부 고객","condition":"신규 조사로 수치 교체; 표는 5개 이내","data":"P4-G09-N@v1","agent":"발표 Agent P4","taskRelation":"별도 발표 작업 생성; 기존 조사 작업 유지"}</x:v>
      </x:c>
      <x:c r="H172" s="9" t="n">
        <x:f>IF(AND(E172=1,F172=G172),1,0)</x:f>
        <x:v>1</x:v>
      </x:c>
      <x:c r="I172" s="9" t="str">
        <x:v>NONE</x:v>
      </x:c>
      <x:c r="J172" s="9" t="str">
        <x:v>누리 매장 운영 개선 고객 제안서(P4-G09-D2@v1)의 구성을 활용해 외부 고객용 발표자료 작성을 발표 Agent P4에게 맡기겠습니다.</x:v>
      </x:c>
      <x:c r="K172" s="9" t="str">
        <x:v>누리 매장 운영 개선 고객 제안서(P4-G09-D2@v1)의 구성을 활용해 외부 고객용 발표자료 작성을 발표 Agent P4에게 맡기겠습니다. 내용은 P4-G09-N@v1를 사용하고, 신규 조사로 수치 교체; 표는 5개 이내. 별도 발표 작업 생성; 기존 조사 작업 유지.</x:v>
      </x:c>
      <x:c r="L172" s="9" t="str">
        <x:v>필수 의미와 지칭 집합 모두 일치</x:v>
      </x:c>
    </x:row>
    <x:row r="173" ht="95" customHeight="1">
      <x:c r="A173" s="9" t="str">
        <x:v>SYN-G09-04</x:v>
      </x:c>
      <x:c r="B173" s="9" t="str">
        <x:v>B</x:v>
      </x:c>
      <x:c r="C173" s="9" t="str">
        <x:v>["P4-G09-D2@v1"]</x:v>
      </x:c>
      <x:c r="D173" s="9" t="str">
        <x:v>["P4-G09-D2@v1"]</x:v>
      </x:c>
      <x:c r="E173" s="9" t="n">
        <x:f>IF(C173=D173,1,0)</x:f>
        <x:v>1</x:v>
      </x:c>
      <x:c r="F173" s="9" t="str">
        <x:v>{"goal":"매장 운영 개선 후속 발표자료 작성","aspect":"구성","audience":"외부 고객","condition":"신규 조사로 수치 교체; 표는 5개 이내","data":"P4-G09-N@v1","agent":"발표 Agent P4","taskRelation":"별도 발표 작업 생성; 기존 조사 작업 유지"}</x:v>
      </x:c>
      <x:c r="G173" s="9" t="str">
        <x:v>{"goal":"매장 운영 개선 후속 발표자료 작성","aspect":"구성","audience":"외부 고객","condition":"신규 조사로 수치 교체; 표는 5개 이내","data":"P4-G09-N@v1","agent":"발표 Agent P4","taskRelation":"별도 발표 작업 생성; 기존 조사 작업 유지"}</x:v>
      </x:c>
      <x:c r="H173" s="9" t="n">
        <x:f>IF(AND(E173=1,F173=G173),1,0)</x:f>
        <x:v>1</x:v>
      </x:c>
      <x:c r="I173" s="9" t="str">
        <x:v>NONE</x:v>
      </x:c>
      <x:c r="J173" s="9" t="str">
        <x:v>누리 매장 운영 개선 고객 제안서(P4-G09-D2@v1)의 구성을 활용해 외부 고객용 발표자료 작성을 발표 Agent P4에게 맡기겠습니다.</x:v>
      </x:c>
      <x:c r="K173" s="9" t="str">
        <x:v>누리 매장 운영 개선 고객 제안서(P4-G09-D2@v1)의 구성을 활용해 외부 고객용 발표자료 작성을 발표 Agent P4에게 맡기겠습니다. 내용은 P4-G09-N@v1를 사용하고, 신규 조사로 수치 교체; 표는 5개 이내. 별도 발표 작업 생성; 기존 조사 작업 유지.</x:v>
      </x:c>
      <x:c r="L173" s="9" t="str">
        <x:v>필수 의미와 지칭 집합 모두 일치</x:v>
      </x:c>
    </x:row>
    <x:row r="174" ht="95" customHeight="1">
      <x:c r="A174" s="9" t="str">
        <x:v>SYN-G09-05</x:v>
      </x:c>
      <x:c r="B174" s="9" t="str">
        <x:v>A</x:v>
      </x:c>
      <x:c r="C174" s="9" t="str">
        <x:v>["P5-G09-D2@v1"]</x:v>
      </x:c>
      <x:c r="D174" s="9" t="str">
        <x:v>["P5-G09-D2@v1"]</x:v>
      </x:c>
      <x:c r="E174" s="9" t="n">
        <x:f>IF(C174=D174,1,0)</x:f>
        <x:v>1</x:v>
      </x:c>
      <x:c r="F174" s="9" t="str">
        <x:v>{"goal":"교육 과정 개편 후속 발표자료 작성","aspect":"구성","audience":"외부 고객","condition":"신규 조사로 수치 교체; 표는 6개 이내","data":"P5-G09-N@v1","agent":"발표 Agent P5","taskRelation":"별도 발표 작업 생성; 기존 조사 작업 유지"}</x:v>
      </x:c>
      <x:c r="G174" s="9" t="str">
        <x:v>{"goal":"교육 과정 개편 후속 발표자료 작성","aspect":"구성","audience":"외부 고객","condition":"신규 조사로 수치 교체; 표는 6개 이내","data":"P5-G09-N@v1","agent":"발표 Agent P5","taskRelation":"별도 발표 작업 생성; 기존 조사 작업 유지"}</x:v>
      </x:c>
      <x:c r="H174" s="9" t="n">
        <x:f>IF(AND(E174=1,F174=G174),1,0)</x:f>
        <x:v>1</x:v>
      </x:c>
      <x:c r="I174" s="9" t="str">
        <x:v>NONE</x:v>
      </x:c>
      <x:c r="J174" s="9" t="str">
        <x:v>다온 교육 과정 개편 고객 제안서(P5-G09-D2@v1)의 구성을 활용해 외부 고객용 발표자료 작성을 발표 Agent P5에게 맡기겠습니다.</x:v>
      </x:c>
      <x:c r="K174" s="9" t="str">
        <x:v>다온 교육 과정 개편 고객 제안서(P5-G09-D2@v1)의 구성을 활용해 외부 고객용 발표자료 작성을 발표 Agent P5에게 맡기겠습니다. 내용은 P5-G09-N@v1를 사용하고, 신규 조사로 수치 교체; 표는 6개 이내. 별도 발표 작업 생성; 기존 조사 작업 유지.</x:v>
      </x:c>
      <x:c r="L174" s="9" t="str">
        <x:v>필수 의미와 지칭 집합 모두 일치</x:v>
      </x:c>
    </x:row>
    <x:row r="175" ht="95" customHeight="1">
      <x:c r="A175" s="9" t="str">
        <x:v>SYN-G09-05</x:v>
      </x:c>
      <x:c r="B175" s="9" t="str">
        <x:v>B</x:v>
      </x:c>
      <x:c r="C175" s="9" t="str">
        <x:v>["P5-G09-D2@v1"]</x:v>
      </x:c>
      <x:c r="D175" s="9" t="str">
        <x:v>["P5-G09-D3@v1"]</x:v>
      </x:c>
      <x:c r="E175" s="9" t="n">
        <x:f>IF(C175=D175,1,0)</x:f>
        <x:v>0</x:v>
      </x:c>
      <x:c r="F175" s="9" t="str">
        <x:v>{"goal":"교육 과정 개편 후속 발표자료 작성","aspect":"구성","audience":"외부 고객","condition":"신규 조사로 수치 교체; 표는 6개 이내","data":"P5-G09-N@v1","agent":"발표 Agent P5","taskRelation":"별도 발표 작업 생성; 기존 조사 작업 유지"}</x:v>
      </x:c>
      <x:c r="G175" s="9" t="str">
        <x:v>{"goal":"교육 과정 개편 후속 발표자료 작성","aspect":"구성","audience":"외부 고객","condition":"신규 조사로 수치 교체; 표는 6개 이내","data":"P5-G09-N@v1","agent":"발표 Agent P5","taskRelation":"별도 발표 작업 생성; 기존 조사 작업 유지"}</x:v>
      </x:c>
      <x:c r="H175" s="9" t="n">
        <x:f>IF(AND(E175=1,F175=G175),1,0)</x:f>
        <x:v>0</x:v>
      </x:c>
      <x:c r="I175" s="9" t="str">
        <x:v>TARGET</x:v>
      </x:c>
      <x:c r="J175" s="9" t="str">
        <x:v>다온 교육 과정 개편 내부 검토본(P5-G09-D3@v1)의 구성을 활용해 외부 고객용 발표자료 작성을 발표 Agent P5에게 맡기겠습니다.</x:v>
      </x:c>
      <x:c r="K175" s="9" t="str">
        <x:v>다온 교육 과정 개편 내부 검토본(P5-G09-D3@v1)의 구성을 활용해 외부 고객용 발표자료 작성을 발표 Agent P5에게 맡기겠습니다. 내용은 P5-G09-N@v1를 사용하고, 신규 조사로 수치 교체; 표는 6개 이내. 별도 발표 작업 생성; 기존 조사 작업 유지.</x:v>
      </x:c>
      <x:c r="L175" s="9" t="str">
        <x:v>원본 보완 중 대상 연결 오류</x:v>
      </x:c>
    </x:row>
    <x:row r="176" ht="95" customHeight="1">
      <x:c r="A176" s="9" t="str">
        <x:v>SYN-G09-06</x:v>
      </x:c>
      <x:c r="B176" s="9" t="str">
        <x:v>A</x:v>
      </x:c>
      <x:c r="C176" s="9" t="str">
        <x:v>["P6-G09-D2@v1"]</x:v>
      </x:c>
      <x:c r="D176" s="9" t="str">
        <x:v>["P6-G09-D2@v1"]</x:v>
      </x:c>
      <x:c r="E176" s="9" t="n">
        <x:f>IF(C176=D176,1,0)</x:f>
        <x:v>1</x:v>
      </x:c>
      <x:c r="F176" s="9" t="str">
        <x:v>{"goal":"제품 출시 계획 후속 발표자료 작성","aspect":"구성","audience":"외부 고객","condition":"신규 조사로 수치 교체; 표는 7개 이내","data":"P6-G09-N@v1","agent":"발표 Agent P6","taskRelation":"별도 발표 작업 생성; 기존 조사 작업 유지"}</x:v>
      </x:c>
      <x:c r="G176" s="9" t="str">
        <x:v>{"goal":"제품 출시 계획 후속 발표자료 작성","aspect":"구성","audience":"외부 고객","condition":"신규 조사로 수치 교체; 표는 7개 이내","data":"P6-G09-N@v1","agent":"발표 Agent P6","taskRelation":"별도 발표 작업 생성; 기존 조사 작업 유지"}</x:v>
      </x:c>
      <x:c r="H176" s="9" t="n">
        <x:f>IF(AND(E176=1,F176=G176),1,0)</x:f>
        <x:v>1</x:v>
      </x:c>
      <x:c r="I176" s="9" t="str">
        <x:v>NONE</x:v>
      </x:c>
      <x:c r="J176" s="9" t="str">
        <x:v>마루 제품 출시 계획 고객 제안서(P6-G09-D2@v1)의 구성을 활용해 외부 고객용 발표자료 작성을 발표 Agent P6에게 맡기겠습니다.</x:v>
      </x:c>
      <x:c r="K176" s="9" t="str">
        <x:v>마루 제품 출시 계획 고객 제안서(P6-G09-D2@v1)의 구성을 활용해 외부 고객용 발표자료 작성을 발표 Agent P6에게 맡기겠습니다. 내용은 P6-G09-N@v1를 사용하고, 신규 조사로 수치 교체; 표는 7개 이내. 별도 발표 작업 생성; 기존 조사 작업 유지.</x:v>
      </x:c>
      <x:c r="L176" s="9" t="str">
        <x:v>필수 의미와 지칭 집합 모두 일치</x:v>
      </x:c>
    </x:row>
    <x:row r="177" ht="95" customHeight="1">
      <x:c r="A177" s="9" t="str">
        <x:v>SYN-G09-06</x:v>
      </x:c>
      <x:c r="B177" s="9" t="str">
        <x:v>B</x:v>
      </x:c>
      <x:c r="C177" s="9" t="str">
        <x:v>["P6-G09-D2@v1"]</x:v>
      </x:c>
      <x:c r="D177" s="9" t="str">
        <x:v>["P6-G09-D2@v1"]</x:v>
      </x:c>
      <x:c r="E177" s="9" t="n">
        <x:f>IF(C177=D177,1,0)</x:f>
        <x:v>1</x:v>
      </x:c>
      <x:c r="F177" s="9" t="str">
        <x:v>{"goal":"제품 출시 계획 후속 발표자료 작성","aspect":"구성","audience":"외부 고객","condition":"신규 조사로 수치 교체; 표는 7개 이내","data":"P6-G09-N@v1","agent":"발표 Agent P6","taskRelation":"별도 발표 작업 생성; 기존 조사 작업 유지"}</x:v>
      </x:c>
      <x:c r="G177" s="9" t="str">
        <x:v>{"goal":"제품 출시 계획 후속 발표자료 작성","aspect":"구성","audience":"외부 고객","condition":"신규 조사로 수치 교체; 표는 7개 이내","data":"P6-G09-N@v1","agent":"발표 Agent P6","taskRelation":"별도 발표 작업 생성; 기존 조사 작업 유지"}</x:v>
      </x:c>
      <x:c r="H177" s="9" t="n">
        <x:f>IF(AND(E177=1,F177=G177),1,0)</x:f>
        <x:v>1</x:v>
      </x:c>
      <x:c r="I177" s="9" t="str">
        <x:v>NONE</x:v>
      </x:c>
      <x:c r="J177" s="9" t="str">
        <x:v>마루 제품 출시 계획 고객 제안서(P6-G09-D2@v1)의 구성을 활용해 외부 고객용 발표자료 작성을 발표 Agent P6에게 맡기겠습니다.</x:v>
      </x:c>
      <x:c r="K177" s="9" t="str">
        <x:v>마루 제품 출시 계획 고객 제안서(P6-G09-D2@v1)의 구성을 활용해 외부 고객용 발표자료 작성을 발표 Agent P6에게 맡기겠습니다. 내용은 P6-G09-N@v1를 사용하고, 신규 조사로 수치 교체; 표는 7개 이내. 별도 발표 작업 생성; 기존 조사 작업 유지.</x:v>
      </x:c>
      <x:c r="L177" s="9" t="str">
        <x:v>필수 의미와 지칭 집합 모두 일치</x:v>
      </x:c>
    </x:row>
    <x:row r="178" ht="95" customHeight="1">
      <x:c r="A178" s="9" t="str">
        <x:v>SYN-G09-07</x:v>
      </x:c>
      <x:c r="B178" s="9" t="str">
        <x:v>A</x:v>
      </x:c>
      <x:c r="C178" s="9" t="str">
        <x:v>["P7-G09-D2@v1"]</x:v>
      </x:c>
      <x:c r="D178" s="9" t="str">
        <x:v>["P7-G09-D2@v1"]</x:v>
      </x:c>
      <x:c r="E178" s="9" t="n">
        <x:f>IF(C178=D178,1,0)</x:f>
        <x:v>1</x:v>
      </x:c>
      <x:c r="F178" s="9" t="str">
        <x:v>{"goal":"연구 장비 도입 후속 발표자료 작성","aspect":"구성","audience":"외부 고객","condition":"신규 조사로 수치 교체; 표는 8개 이내","data":"P7-G09-N@v1","agent":"발표 Agent P7","taskRelation":"별도 발표 작업 생성; 기존 조사 작업 유지"}</x:v>
      </x:c>
      <x:c r="G178" s="9" t="str">
        <x:v>{"goal":"연구 장비 도입 후속 발표자료 작성","aspect":"구성","audience":"외부 고객","condition":"신규 조사로 수치 교체; 표는 8개 이내","data":"P7-G09-N@v1","agent":"발표 Agent P7","taskRelation":"별도 발표 작업 생성; 기존 조사 작업 유지"}</x:v>
      </x:c>
      <x:c r="H178" s="9" t="n">
        <x:f>IF(AND(E178=1,F178=G178),1,0)</x:f>
        <x:v>1</x:v>
      </x:c>
      <x:c r="I178" s="9" t="str">
        <x:v>NONE</x:v>
      </x:c>
      <x:c r="J178" s="9" t="str">
        <x:v>이든 연구 장비 도입 고객 제안서(P7-G09-D2@v1)의 구성을 활용해 외부 고객용 발표자료 작성을 발표 Agent P7에게 맡기겠습니다.</x:v>
      </x:c>
      <x:c r="K178" s="9" t="str">
        <x:v>이든 연구 장비 도입 고객 제안서(P7-G09-D2@v1)의 구성을 활용해 외부 고객용 발표자료 작성을 발표 Agent P7에게 맡기겠습니다. 내용은 P7-G09-N@v1를 사용하고, 신규 조사로 수치 교체; 표는 8개 이내. 별도 발표 작업 생성; 기존 조사 작업 유지.</x:v>
      </x:c>
      <x:c r="L178" s="9" t="str">
        <x:v>필수 의미와 지칭 집합 모두 일치</x:v>
      </x:c>
    </x:row>
    <x:row r="179" ht="95" customHeight="1">
      <x:c r="A179" s="9" t="str">
        <x:v>SYN-G09-07</x:v>
      </x:c>
      <x:c r="B179" s="9" t="str">
        <x:v>B</x:v>
      </x:c>
      <x:c r="C179" s="9" t="str">
        <x:v>["P7-G09-D2@v1"]</x:v>
      </x:c>
      <x:c r="D179" s="9" t="str">
        <x:v>["P7-G09-D2@v1"]</x:v>
      </x:c>
      <x:c r="E179" s="9" t="n">
        <x:f>IF(C179=D179,1,0)</x:f>
        <x:v>1</x:v>
      </x:c>
      <x:c r="F179" s="9" t="str">
        <x:v>{"goal":"연구 장비 도입 후속 발표자료 작성","aspect":"구성","audience":"외부 고객","condition":"신규 조사로 수치 교체; 표는 8개 이내","data":"P7-G09-N@v1","agent":"발표 Agent P7","taskRelation":"별도 발표 작업 생성; 기존 조사 작업 유지"}</x:v>
      </x:c>
      <x:c r="G179" s="9" t="str">
        <x:v>{"goal":"연구 장비 도입 후속 발표자료 작성","aspect":"구성","audience":"외부 고객","condition":"신규 조사로 수치 교체; 표는 8개 이내","data":"P7-G09-N@v1","agent":"발표 Agent P7","taskRelation":"별도 발표 작업 생성; 기존 조사 작업 유지"}</x:v>
      </x:c>
      <x:c r="H179" s="9" t="n">
        <x:f>IF(AND(E179=1,F179=G179),1,0)</x:f>
        <x:v>1</x:v>
      </x:c>
      <x:c r="I179" s="9" t="str">
        <x:v>NONE</x:v>
      </x:c>
      <x:c r="J179" s="9" t="str">
        <x:v>이든 연구 장비 도입 고객 제안서(P7-G09-D2@v1)의 구성을 활용해 외부 고객용 발표자료 작성을 발표 Agent P7에게 맡기겠습니다.</x:v>
      </x:c>
      <x:c r="K179" s="9" t="str">
        <x:v>이든 연구 장비 도입 고객 제안서(P7-G09-D2@v1)의 구성을 활용해 외부 고객용 발표자료 작성을 발표 Agent P7에게 맡기겠습니다. 내용은 P7-G09-N@v1를 사용하고, 신규 조사로 수치 교체; 표는 8개 이내. 별도 발표 작업 생성; 기존 조사 작업 유지.</x:v>
      </x:c>
      <x:c r="L179" s="9" t="str">
        <x:v>필수 의미와 지칭 집합 모두 일치</x:v>
      </x:c>
    </x:row>
    <x:row r="180" ht="95" customHeight="1">
      <x:c r="A180" s="9" t="str">
        <x:v>SYN-G09-08</x:v>
      </x:c>
      <x:c r="B180" s="9" t="str">
        <x:v>A</x:v>
      </x:c>
      <x:c r="C180" s="9" t="str">
        <x:v>["P8-G09-D2@v1"]</x:v>
      </x:c>
      <x:c r="D180" s="9" t="str">
        <x:v>["P8-G09-D2@v1"]</x:v>
      </x:c>
      <x:c r="E180" s="9" t="n">
        <x:f>IF(C180=D180,1,0)</x:f>
        <x:v>1</x:v>
      </x:c>
      <x:c r="F180" s="9" t="str">
        <x:v>{"goal":"사무공간 이전 후속 발표자료 작성","aspect":"구성","audience":"외부 고객","condition":"신규 조사로 수치 교체; 표는 9개 이내","data":"P8-G09-N@v1","agent":"발표 Agent P8","taskRelation":"별도 발표 작업 생성; 기존 조사 작업 유지"}</x:v>
      </x:c>
      <x:c r="G180" s="9" t="str">
        <x:v>{"goal":"사무공간 이전 후속 발표자료 작성","aspect":"구성","audience":"외부 고객","condition":"신규 조사로 수치 교체; 표는 9개 이내","data":"P8-G09-N@v1","agent":"발표 Agent P8","taskRelation":"별도 발표 작업 생성; 기존 조사 작업 유지"}</x:v>
      </x:c>
      <x:c r="H180" s="9" t="n">
        <x:f>IF(AND(E180=1,F180=G180),1,0)</x:f>
        <x:v>1</x:v>
      </x:c>
      <x:c r="I180" s="9" t="str">
        <x:v>NONE</x:v>
      </x:c>
      <x:c r="J180" s="9" t="str">
        <x:v>라온 사무공간 이전 고객 제안서(P8-G09-D2@v1)의 구성을 활용해 외부 고객용 발표자료 작성을 발표 Agent P8에게 맡기겠습니다.</x:v>
      </x:c>
      <x:c r="K180" s="9" t="str">
        <x:v>라온 사무공간 이전 고객 제안서(P8-G09-D2@v1)의 구성을 활용해 외부 고객용 발표자료 작성을 발표 Agent P8에게 맡기겠습니다. 내용은 P8-G09-N@v1를 사용하고, 신규 조사로 수치 교체; 표는 9개 이내. 별도 발표 작업 생성; 기존 조사 작업 유지.</x:v>
      </x:c>
      <x:c r="L180" s="9" t="str">
        <x:v>필수 의미와 지칭 집합 모두 일치</x:v>
      </x:c>
    </x:row>
    <x:row r="181" ht="95" customHeight="1">
      <x:c r="A181" s="9" t="str">
        <x:v>SYN-G09-08</x:v>
      </x:c>
      <x:c r="B181" s="9" t="str">
        <x:v>B</x:v>
      </x:c>
      <x:c r="C181" s="9" t="str">
        <x:v>["P8-G09-D2@v1"]</x:v>
      </x:c>
      <x:c r="D181" s="9" t="str">
        <x:v>["P8-G09-D2@v1"]</x:v>
      </x:c>
      <x:c r="E181" s="9" t="n">
        <x:f>IF(C181=D181,1,0)</x:f>
        <x:v>1</x:v>
      </x:c>
      <x:c r="F181" s="9" t="str">
        <x:v>{"goal":"사무공간 이전 후속 발표자료 작성","aspect":"구성","audience":"외부 고객","condition":"신규 조사로 수치 교체; 표는 9개 이내","data":"P8-G09-N@v1","agent":"발표 Agent P8","taskRelation":"별도 발표 작업 생성; 기존 조사 작업 유지"}</x:v>
      </x:c>
      <x:c r="G181" s="9" t="str">
        <x:v>{"goal":"사무공간 이전 후속 발표자료 작성","aspect":"구성","audience":"외부 고객","condition":"신규 조사로 수치 교체; 표는 9개 이내","data":"P8-G09-N@v1","agent":"발표 Agent P8","taskRelation":"별도 발표 작업 생성; 기존 조사 작업 유지"}</x:v>
      </x:c>
      <x:c r="H181" s="9" t="n">
        <x:f>IF(AND(E181=1,F181=G181),1,0)</x:f>
        <x:v>1</x:v>
      </x:c>
      <x:c r="I181" s="9" t="str">
        <x:v>NONE</x:v>
      </x:c>
      <x:c r="J181" s="9" t="str">
        <x:v>라온 사무공간 이전 고객 제안서(P8-G09-D2@v1)의 구성을 활용해 외부 고객용 발표자료 작성을 발표 Agent P8에게 맡기겠습니다.</x:v>
      </x:c>
      <x:c r="K181" s="9" t="str">
        <x:v>라온 사무공간 이전 고객 제안서(P8-G09-D2@v1)의 구성을 활용해 외부 고객용 발표자료 작성을 발표 Agent P8에게 맡기겠습니다. 내용은 P8-G09-N@v1를 사용하고, 신규 조사로 수치 교체; 표는 9개 이내. 별도 발표 작업 생성; 기존 조사 작업 유지.</x:v>
      </x:c>
      <x:c r="L181" s="9" t="str">
        <x:v>필수 의미와 지칭 집합 모두 일치</x:v>
      </x:c>
    </x:row>
    <x:row r="182" ht="95" customHeight="1">
      <x:c r="A182" s="9" t="str">
        <x:v>SYN-G09-09</x:v>
      </x:c>
      <x:c r="B182" s="9" t="str">
        <x:v>A</x:v>
      </x:c>
      <x:c r="C182" s="9" t="str">
        <x:v>["P9-G09-D2@v1"]</x:v>
      </x:c>
      <x:c r="D182" s="9" t="str">
        <x:v>["P9-G09-D2@v1"]</x:v>
      </x:c>
      <x:c r="E182" s="9" t="n">
        <x:f>IF(C182=D182,1,0)</x:f>
        <x:v>1</x:v>
      </x:c>
      <x:c r="F182" s="9" t="str">
        <x:v>{"goal":"서비스 품질 개선 후속 발표자료 작성","aspect":"구성","audience":"외부 고객","condition":"신규 조사로 수치 교체; 표는 10개 이내","data":"P9-G09-N@v1","agent":"발표 Agent P9","taskRelation":"별도 발표 작업 생성; 기존 조사 작업 유지"}</x:v>
      </x:c>
      <x:c r="G182" s="9" t="str">
        <x:v>{"goal":"서비스 품질 개선 후속 발표자료 작성","aspect":"구성","audience":"외부 고객","condition":"신규 조사로 수치 교체; 표는 10개 이내","data":"P9-G09-N@v1","agent":"발표 Agent P9","taskRelation":"별도 발표 작업 생성; 기존 조사 작업 유지"}</x:v>
      </x:c>
      <x:c r="H182" s="9" t="n">
        <x:f>IF(AND(E182=1,F182=G182),1,0)</x:f>
        <x:v>1</x:v>
      </x:c>
      <x:c r="I182" s="9" t="str">
        <x:v>NONE</x:v>
      </x:c>
      <x:c r="J182" s="9" t="str">
        <x:v>한결 서비스 품질 개선 고객 제안서(P9-G09-D2@v1)의 구성을 활용해 외부 고객용 발표자료 작성을 발표 Agent P9에게 맡기겠습니다.</x:v>
      </x:c>
      <x:c r="K182" s="9" t="str">
        <x:v>한결 서비스 품질 개선 고객 제안서(P9-G09-D2@v1)의 구성을 활용해 외부 고객용 발표자료 작성을 발표 Agent P9에게 맡기겠습니다. 내용은 P9-G09-N@v1를 사용하고, 신규 조사로 수치 교체; 표는 10개 이내. 별도 발표 작업 생성; 기존 조사 작업 유지.</x:v>
      </x:c>
      <x:c r="L182" s="9" t="str">
        <x:v>필수 의미와 지칭 집합 모두 일치</x:v>
      </x:c>
    </x:row>
    <x:row r="183" ht="95" customHeight="1">
      <x:c r="A183" s="9" t="str">
        <x:v>SYN-G09-09</x:v>
      </x:c>
      <x:c r="B183" s="9" t="str">
        <x:v>B</x:v>
      </x:c>
      <x:c r="C183" s="9" t="str">
        <x:v>["P9-G09-D2@v1"]</x:v>
      </x:c>
      <x:c r="D183" s="9" t="str">
        <x:v>["P9-G09-D2@v1"]</x:v>
      </x:c>
      <x:c r="E183" s="9" t="n">
        <x:f>IF(C183=D183,1,0)</x:f>
        <x:v>1</x:v>
      </x:c>
      <x:c r="F183" s="9" t="str">
        <x:v>{"goal":"서비스 품질 개선 후속 발표자료 작성","aspect":"구성","audience":"외부 고객","condition":"신규 조사로 수치 교체; 표는 10개 이내","data":"P9-G09-N@v1","agent":"발표 Agent P9","taskRelation":"별도 발표 작업 생성; 기존 조사 작업 유지"}</x:v>
      </x:c>
      <x:c r="G183" s="9" t="str">
        <x:v>{"goal":"서비스 품질 개선 후속 발표자료 작성","aspect":"구성","audience":"외부 고객","condition":"신규 조사로 수치 교체; 표는 10개 이내","data":"P9-G09-N@v1","agent":"발표 Agent P9","taskRelation":"기존 조사 작업 중단"}</x:v>
      </x:c>
      <x:c r="H183" s="9" t="n">
        <x:f>IF(AND(E183=1,F183=G183),1,0)</x:f>
        <x:v>0</x:v>
      </x:c>
      <x:c r="I183" s="9" t="str">
        <x:v>MEANING_ONLY</x:v>
      </x:c>
      <x:c r="J183" s="9" t="str">
        <x:v>한결 서비스 품질 개선 고객 제안서(P9-G09-D2@v1)의 구성을 활용해 외부 고객용 발표자료 작성을 발표 Agent P9에게 맡기겠습니다.</x:v>
      </x:c>
      <x:c r="K183" s="9" t="str">
        <x:v>한결 서비스 품질 개선 고객 제안서(P9-G09-D2@v1)의 구성을 활용해 외부 고객용 발표자료 작성을 발표 Agent P9에게 맡기겠습니다. 내용은 P9-G09-N@v1를 사용하고, 신규 조사로 수치 교체; 표는 10개 이내. 기존 조사 작업 중단.</x:v>
      </x:c>
      <x:c r="L183" s="9" t="str">
        <x:v>과거 적용 범위 재사용 또는 현재 조건 연결 누락</x:v>
      </x:c>
    </x:row>
    <x:row r="184" ht="95" customHeight="1">
      <x:c r="A184" s="9" t="str">
        <x:v>SYN-G09-10</x:v>
      </x:c>
      <x:c r="B184" s="9" t="str">
        <x:v>A</x:v>
      </x:c>
      <x:c r="C184" s="9" t="str">
        <x:v>["P10-G09-D2@v1"]</x:v>
      </x:c>
      <x:c r="D184" s="9" t="str">
        <x:v>["P10-G09-D2@v1"]</x:v>
      </x:c>
      <x:c r="E184" s="9" t="n">
        <x:f>IF(C184=D184,1,0)</x:f>
        <x:v>1</x:v>
      </x:c>
      <x:c r="F184" s="9" t="str">
        <x:v>{"goal":"파트너 제휴 검토 후속 발표자료 작성","aspect":"구성","audience":"외부 고객","condition":"신규 조사로 수치 교체; 표는 11개 이내","data":"P10-G09-N@v1","agent":"발표 Agent P10","taskRelation":"별도 발표 작업 생성; 기존 조사 작업 유지"}</x:v>
      </x:c>
      <x:c r="G184" s="9" t="str">
        <x:v>{"goal":"파트너 제휴 검토 후속 발표자료 작성","aspect":"구성","audience":"외부 고객","condition":"신규 조사로 수치 교체; 표는 11개 이내","data":"P10-G09-N@v1","agent":"발표 Agent P10","taskRelation":"별도 발표 작업 생성; 기존 조사 작업 유지"}</x:v>
      </x:c>
      <x:c r="H184" s="9" t="n">
        <x:f>IF(AND(E184=1,F184=G184),1,0)</x:f>
        <x:v>1</x:v>
      </x:c>
      <x:c r="I184" s="9" t="str">
        <x:v>NONE</x:v>
      </x:c>
      <x:c r="J184" s="9" t="str">
        <x:v>온유 파트너 제휴 검토 고객 제안서(P10-G09-D2@v1)의 구성을 활용해 외부 고객용 발표자료 작성을 발표 Agent P10에게 맡기겠습니다.</x:v>
      </x:c>
      <x:c r="K184" s="9" t="str">
        <x:v>온유 파트너 제휴 검토 고객 제안서(P10-G09-D2@v1)의 구성을 활용해 외부 고객용 발표자료 작성을 발표 Agent P10에게 맡기겠습니다. 내용은 P10-G09-N@v1를 사용하고, 신규 조사로 수치 교체; 표는 11개 이내. 별도 발표 작업 생성; 기존 조사 작업 유지.</x:v>
      </x:c>
      <x:c r="L184" s="9" t="str">
        <x:v>필수 의미와 지칭 집합 모두 일치</x:v>
      </x:c>
    </x:row>
    <x:row r="185" ht="95" customHeight="1">
      <x:c r="A185" s="9" t="str">
        <x:v>SYN-G09-10</x:v>
      </x:c>
      <x:c r="B185" s="9" t="str">
        <x:v>B</x:v>
      </x:c>
      <x:c r="C185" s="9" t="str">
        <x:v>["P10-G09-D2@v1"]</x:v>
      </x:c>
      <x:c r="D185" s="9" t="str">
        <x:v>["P10-G09-D2@v1"]</x:v>
      </x:c>
      <x:c r="E185" s="9" t="n">
        <x:f>IF(C185=D185,1,0)</x:f>
        <x:v>1</x:v>
      </x:c>
      <x:c r="F185" s="9" t="str">
        <x:v>{"goal":"파트너 제휴 검토 후속 발표자료 작성","aspect":"구성","audience":"외부 고객","condition":"신규 조사로 수치 교체; 표는 11개 이내","data":"P10-G09-N@v1","agent":"발표 Agent P10","taskRelation":"별도 발표 작업 생성; 기존 조사 작업 유지"}</x:v>
      </x:c>
      <x:c r="G185" s="9" t="str">
        <x:v>{"goal":"파트너 제휴 검토 후속 발표자료 작성","aspect":"구성","audience":"외부 고객","condition":"신규 조사로 수치 교체; 표는 11개 이내","data":"P10-G09-N@v1","agent":"발표 Agent P10","taskRelation":"별도 발표 작업 생성; 기존 조사 작업 유지"}</x:v>
      </x:c>
      <x:c r="H185" s="9" t="n">
        <x:f>IF(AND(E185=1,F185=G185),1,0)</x:f>
        <x:v>1</x:v>
      </x:c>
      <x:c r="I185" s="9" t="str">
        <x:v>NONE</x:v>
      </x:c>
      <x:c r="J185" s="9" t="str">
        <x:v>온유 파트너 제휴 검토 고객 제안서(P10-G09-D2@v1)의 구성을 활용해 외부 고객용 발표자료 작성을 발표 Agent P10에게 맡기겠습니다.</x:v>
      </x:c>
      <x:c r="K185" s="9" t="str">
        <x:v>온유 파트너 제휴 검토 고객 제안서(P10-G09-D2@v1)의 구성을 활용해 외부 고객용 발표자료 작성을 발표 Agent P10에게 맡기겠습니다. 내용은 P10-G09-N@v1를 사용하고, 신규 조사로 수치 교체; 표는 11개 이내. 별도 발표 작업 생성; 기존 조사 작업 유지.</x:v>
      </x:c>
      <x:c r="L185" s="9" t="str">
        <x:v>필수 의미와 지칭 집합 모두 일치</x:v>
      </x:c>
    </x:row>
    <x:row r="186" ht="95" customHeight="1">
      <x:c r="A186" s="9" t="str">
        <x:v>SYN-G10-01</x:v>
      </x:c>
      <x:c r="B186" s="9" t="str">
        <x:v>A</x:v>
      </x:c>
      <x:c r="C186" s="9" t="str">
        <x:v>["P1-G10-D2@v1"]</x:v>
      </x:c>
      <x:c r="D186" s="9" t="str">
        <x:v>["P1-G10-D2@v1"]</x:v>
      </x:c>
      <x:c r="E186" s="9" t="n">
        <x:f>IF(C186=D186,1,0)</x:f>
        <x:v>1</x:v>
      </x:c>
      <x:c r="F186" s="9" t="str">
        <x:v>{"goal":"협업 도구 도입 후속 발표자료 작성","aspect":"구성","audience":"외부 고객","condition":"기존 내용 대신 신규 조사 사용; 가격 제외; 표는 2개 이내","data":"P1-G10-N@v1","agent":"발표 Agent P1","taskRelation":"별도 발표 작업 생성; 기존 조사 작업 유지"}</x:v>
      </x:c>
      <x:c r="G186" s="9" t="str">
        <x:v>{"goal":"협업 도구 도입 후속 발표자료 작성","aspect":"구성","audience":"외부 고객","condition":"기존 내용 대신 신규 조사 사용; 가격 제외; 표는 2개 이내","data":"P1-G10-N@v1","agent":"발표 Agent P1","taskRelation":"별도 발표 작업 생성; 기존 조사 작업 유지"}</x:v>
      </x:c>
      <x:c r="H186" s="9" t="n">
        <x:f>IF(AND(E186=1,F186=G186),1,0)</x:f>
        <x:v>1</x:v>
      </x:c>
      <x:c r="I186" s="9" t="str">
        <x:v>NONE</x:v>
      </x:c>
      <x:c r="J186" s="9" t="str">
        <x:v>새봄 협업 도구 도입 고객 제안서(P1-G10-D2@v1)의 구성을 활용해 외부 고객용 발표자료 작성을 발표 Agent P1에게 맡기겠습니다.</x:v>
      </x:c>
      <x:c r="K186" s="9" t="str">
        <x:v>새봄 협업 도구 도입 고객 제안서(P1-G10-D2@v1)의 구성을 활용해 외부 고객용 발표자료 작성을 발표 Agent P1에게 맡기겠습니다. 내용은 P1-G10-N@v1를 사용하고, 기존 내용 대신 신규 조사 사용; 가격 제외; 표는 2개 이내. 별도 발표 작업 생성; 기존 조사 작업 유지.</x:v>
      </x:c>
      <x:c r="L186" s="9" t="str">
        <x:v>필수 의미와 지칭 집합 모두 일치</x:v>
      </x:c>
    </x:row>
    <x:row r="187" ht="95" customHeight="1">
      <x:c r="A187" s="9" t="str">
        <x:v>SYN-G10-01</x:v>
      </x:c>
      <x:c r="B187" s="9" t="str">
        <x:v>B</x:v>
      </x:c>
      <x:c r="C187" s="9" t="str">
        <x:v>["P1-G10-D2@v1"]</x:v>
      </x:c>
      <x:c r="D187" s="9" t="str">
        <x:v>["P1-G10-D2@v1"]</x:v>
      </x:c>
      <x:c r="E187" s="9" t="n">
        <x:f>IF(C187=D187,1,0)</x:f>
        <x:v>1</x:v>
      </x:c>
      <x:c r="F187" s="9" t="str">
        <x:v>{"goal":"협업 도구 도입 후속 발표자료 작성","aspect":"구성","audience":"외부 고객","condition":"기존 내용 대신 신규 조사 사용; 가격 제외; 표는 2개 이내","data":"P1-G10-N@v1","agent":"발표 Agent P1","taskRelation":"별도 발표 작업 생성; 기존 조사 작업 유지"}</x:v>
      </x:c>
      <x:c r="G187" s="9" t="str">
        <x:v>{"goal":"협업 도구 도입 후속 발표자료 작성","aspect":"구성","audience":"외부 고객","condition":"기존 내용 대신 신규 조사 사용; 가격 제외; 표는 2개 이내","data":"P1-G10-N@v1","agent":"발표 Agent P1","taskRelation":"별도 발표 작업 생성; 기존 조사 작업 유지"}</x:v>
      </x:c>
      <x:c r="H187" s="9" t="n">
        <x:f>IF(AND(E187=1,F187=G187),1,0)</x:f>
        <x:v>1</x:v>
      </x:c>
      <x:c r="I187" s="9" t="str">
        <x:v>NONE</x:v>
      </x:c>
      <x:c r="J187" s="9" t="str">
        <x:v>새봄 협업 도구 도입 고객 제안서(P1-G10-D2@v1)의 구성을 활용해 외부 고객용 발표자료 작성을 발표 Agent P1에게 맡기겠습니다.</x:v>
      </x:c>
      <x:c r="K187" s="9" t="str">
        <x:v>새봄 협업 도구 도입 고객 제안서(P1-G10-D2@v1)의 구성을 활용해 외부 고객용 발표자료 작성을 발표 Agent P1에게 맡기겠습니다. 내용은 P1-G10-N@v1를 사용하고, 기존 내용 대신 신규 조사 사용; 가격 제외; 표는 2개 이내. 별도 발표 작업 생성; 기존 조사 작업 유지.</x:v>
      </x:c>
      <x:c r="L187" s="9" t="str">
        <x:v>필수 의미와 지칭 집합 모두 일치</x:v>
      </x:c>
    </x:row>
    <x:row r="188" ht="95" customHeight="1">
      <x:c r="A188" s="9" t="str">
        <x:v>SYN-G10-02</x:v>
      </x:c>
      <x:c r="B188" s="9" t="str">
        <x:v>A</x:v>
      </x:c>
      <x:c r="C188" s="9" t="str">
        <x:v>["P2-G10-D2@v1"]</x:v>
      </x:c>
      <x:c r="D188" s="9" t="str">
        <x:v>["P2-G10-D2@v1"]</x:v>
      </x:c>
      <x:c r="E188" s="9" t="n">
        <x:f>IF(C188=D188,1,0)</x:f>
        <x:v>1</x:v>
      </x:c>
      <x:c r="F188" s="9" t="str">
        <x:v>{"goal":"고객지원 시스템 교체 후속 발표자료 작성","aspect":"구성","audience":"외부 고객","condition":"기존 내용 대신 신규 조사 사용; 가격 제외; 표는 3개 이내","data":"P2-G10-N@v1","agent":"발표 Agent P2","taskRelation":"별도 발표 작업 생성; 기존 조사 작업 유지"}</x:v>
      </x:c>
      <x:c r="G188" s="9" t="str">
        <x:v>{"goal":"고객지원 시스템 교체 후속 발표자료 작성","aspect":"구성","audience":"외부 고객","condition":"기존 내용 대신 신규 조사 사용; 가격 제외; 표는 3개 이내","data":"P2-G10-N@v1","agent":"발표 Agent P2","taskRelation":"별도 발표 작업 생성; 기존 조사 작업 유지"}</x:v>
      </x:c>
      <x:c r="H188" s="9" t="n">
        <x:f>IF(AND(E188=1,F188=G188),1,0)</x:f>
        <x:v>1</x:v>
      </x:c>
      <x:c r="I188" s="9" t="str">
        <x:v>NONE</x:v>
      </x:c>
      <x:c r="J188" s="9" t="str">
        <x:v>해솔 고객지원 시스템 교체 고객 제안서(P2-G10-D2@v1)의 구성을 활용해 외부 고객용 발표자료 작성을 발표 Agent P2에게 맡기겠습니다.</x:v>
      </x:c>
      <x:c r="K188" s="9" t="str">
        <x:v>해솔 고객지원 시스템 교체 고객 제안서(P2-G10-D2@v1)의 구성을 활용해 외부 고객용 발표자료 작성을 발표 Agent P2에게 맡기겠습니다. 내용은 P2-G10-N@v1를 사용하고, 기존 내용 대신 신규 조사 사용; 가격 제외; 표는 3개 이내. 별도 발표 작업 생성; 기존 조사 작업 유지.</x:v>
      </x:c>
      <x:c r="L188" s="9" t="str">
        <x:v>필수 의미와 지칭 집합 모두 일치</x:v>
      </x:c>
    </x:row>
    <x:row r="189" ht="95" customHeight="1">
      <x:c r="A189" s="9" t="str">
        <x:v>SYN-G10-02</x:v>
      </x:c>
      <x:c r="B189" s="9" t="str">
        <x:v>B</x:v>
      </x:c>
      <x:c r="C189" s="9" t="str">
        <x:v>["P2-G10-D2@v1"]</x:v>
      </x:c>
      <x:c r="D189" s="9" t="str">
        <x:v>["P2-G10-D2@v1"]</x:v>
      </x:c>
      <x:c r="E189" s="9" t="n">
        <x:f>IF(C189=D189,1,0)</x:f>
        <x:v>1</x:v>
      </x:c>
      <x:c r="F189" s="9" t="str">
        <x:v>{"goal":"고객지원 시스템 교체 후속 발표자료 작성","aspect":"구성","audience":"외부 고객","condition":"기존 내용 대신 신규 조사 사용; 가격 제외; 표는 3개 이내","data":"P2-G10-N@v1","agent":"발표 Agent P2","taskRelation":"별도 발표 작업 생성; 기존 조사 작업 유지"}</x:v>
      </x:c>
      <x:c r="G189" s="9" t="str">
        <x:v>{"goal":"고객지원 시스템 교체 후속 발표자료 작성","aspect":"구성","audience":"외부 고객","condition":"기존 내용 대신 신규 조사 사용; 가격 제외; 표는 3개 이내","data":"P2-G10-N@v1","agent":"발표 Agent P2","taskRelation":"별도 발표 작업 생성; 기존 조사 작업 유지"}</x:v>
      </x:c>
      <x:c r="H189" s="9" t="n">
        <x:f>IF(AND(E189=1,F189=G189),1,0)</x:f>
        <x:v>1</x:v>
      </x:c>
      <x:c r="I189" s="9" t="str">
        <x:v>NONE</x:v>
      </x:c>
      <x:c r="J189" s="9" t="str">
        <x:v>해솔 고객지원 시스템 교체 고객 제안서(P2-G10-D2@v1)의 구성을 활용해 외부 고객용 발표자료 작성을 발표 Agent P2에게 맡기겠습니다.</x:v>
      </x:c>
      <x:c r="K189" s="9" t="str">
        <x:v>해솔 고객지원 시스템 교체 고객 제안서(P2-G10-D2@v1)의 구성을 활용해 외부 고객용 발표자료 작성을 발표 Agent P2에게 맡기겠습니다. 내용은 P2-G10-N@v1를 사용하고, 기존 내용 대신 신규 조사 사용; 가격 제외; 표는 3개 이내. 별도 발표 작업 생성; 기존 조사 작업 유지.</x:v>
      </x:c>
      <x:c r="L189" s="9" t="str">
        <x:v>필수 의미와 지칭 집합 모두 일치</x:v>
      </x:c>
    </x:row>
    <x:row r="190" ht="95" customHeight="1">
      <x:c r="A190" s="9" t="str">
        <x:v>SYN-G10-03</x:v>
      </x:c>
      <x:c r="B190" s="9" t="str">
        <x:v>A</x:v>
      </x:c>
      <x:c r="C190" s="9" t="str">
        <x:v>["P3-G10-D2@v1"]</x:v>
      </x:c>
      <x:c r="D190" s="9" t="str">
        <x:v>["P3-G10-D2@v1"]</x:v>
      </x:c>
      <x:c r="E190" s="9" t="n">
        <x:f>IF(C190=D190,1,0)</x:f>
        <x:v>1</x:v>
      </x:c>
      <x:c r="F190" s="9" t="str">
        <x:v>{"goal":"물류 현황 보고 후속 발표자료 작성","aspect":"구성","audience":"외부 고객","condition":"기존 내용 대신 신규 조사 사용; 가격 제외; 표는 4개 이내","data":"P3-G10-N@v1","agent":"발표 Agent P3","taskRelation":"별도 발표 작업 생성; 기존 조사 작업 유지"}</x:v>
      </x:c>
      <x:c r="G190" s="9" t="str">
        <x:v>{"goal":"물류 현황 보고 후속 발표자료 작성","aspect":"구성","audience":"외부 고객","condition":"기존 내용 대신 신규 조사 사용; 가격 제외; 표는 4개 이내","data":"P3-G10-N@v1","agent":"발표 Agent P3","taskRelation":"별도 발표 작업 생성; 기존 조사 작업 유지"}</x:v>
      </x:c>
      <x:c r="H190" s="9" t="n">
        <x:f>IF(AND(E190=1,F190=G190),1,0)</x:f>
        <x:v>1</x:v>
      </x:c>
      <x:c r="I190" s="9" t="str">
        <x:v>NONE</x:v>
      </x:c>
      <x:c r="J190" s="9" t="str">
        <x:v>가온 물류 현황 보고 고객 제안서(P3-G10-D2@v1)의 구성을 활용해 외부 고객용 발표자료 작성을 발표 Agent P3에게 맡기겠습니다.</x:v>
      </x:c>
      <x:c r="K190" s="9" t="str">
        <x:v>가온 물류 현황 보고 고객 제안서(P3-G10-D2@v1)의 구성을 활용해 외부 고객용 발표자료 작성을 발표 Agent P3에게 맡기겠습니다. 내용은 P3-G10-N@v1를 사용하고, 기존 내용 대신 신규 조사 사용; 가격 제외; 표는 4개 이내. 별도 발표 작업 생성; 기존 조사 작업 유지.</x:v>
      </x:c>
      <x:c r="L190" s="9" t="str">
        <x:v>필수 의미와 지칭 집합 모두 일치</x:v>
      </x:c>
    </x:row>
    <x:row r="191" ht="95" customHeight="1">
      <x:c r="A191" s="9" t="str">
        <x:v>SYN-G10-03</x:v>
      </x:c>
      <x:c r="B191" s="9" t="str">
        <x:v>B</x:v>
      </x:c>
      <x:c r="C191" s="9" t="str">
        <x:v>["P3-G10-D2@v1"]</x:v>
      </x:c>
      <x:c r="D191" s="9" t="str">
        <x:v>["P3-G10-D2@v1"]</x:v>
      </x:c>
      <x:c r="E191" s="9" t="n">
        <x:f>IF(C191=D191,1,0)</x:f>
        <x:v>1</x:v>
      </x:c>
      <x:c r="F191" s="9" t="str">
        <x:v>{"goal":"물류 현황 보고 후속 발표자료 작성","aspect":"구성","audience":"외부 고객","condition":"기존 내용 대신 신규 조사 사용; 가격 제외; 표는 4개 이내","data":"P3-G10-N@v1","agent":"발표 Agent P3","taskRelation":"별도 발표 작업 생성; 기존 조사 작업 유지"}</x:v>
      </x:c>
      <x:c r="G191" s="9" t="str">
        <x:v>{"goal":"물류 현황 보고 후속 발표자료 작성","aspect":"구성","audience":"외부 고객","condition":"기존 내용 대신 신규 조사 사용; 가격 제외; 표는 4개 이내","data":"P3-G10-N@v1","agent":"발표 Agent P3","taskRelation":"별도 발표 작업 생성; 기존 조사 작업 유지"}</x:v>
      </x:c>
      <x:c r="H191" s="9" t="n">
        <x:f>IF(AND(E191=1,F191=G191),1,0)</x:f>
        <x:v>1</x:v>
      </x:c>
      <x:c r="I191" s="9" t="str">
        <x:v>NONE</x:v>
      </x:c>
      <x:c r="J191" s="9" t="str">
        <x:v>가온 물류 현황 보고 고객 제안서(P3-G10-D2@v1)의 구성을 활용해 외부 고객용 발표자료 작성을 발표 Agent P3에게 맡기겠습니다.</x:v>
      </x:c>
      <x:c r="K191" s="9" t="str">
        <x:v>가온 물류 현황 보고 고객 제안서(P3-G10-D2@v1)의 구성을 활용해 외부 고객용 발표자료 작성을 발표 Agent P3에게 맡기겠습니다. 내용은 P3-G10-N@v1를 사용하고, 기존 내용 대신 신규 조사 사용; 가격 제외; 표는 4개 이내. 별도 발표 작업 생성; 기존 조사 작업 유지.</x:v>
      </x:c>
      <x:c r="L191" s="9" t="str">
        <x:v>필수 의미와 지칭 집합 모두 일치</x:v>
      </x:c>
    </x:row>
    <x:row r="192" ht="95" customHeight="1">
      <x:c r="A192" s="9" t="str">
        <x:v>SYN-G10-04</x:v>
      </x:c>
      <x:c r="B192" s="9" t="str">
        <x:v>A</x:v>
      </x:c>
      <x:c r="C192" s="9" t="str">
        <x:v>["P4-G10-D2@v1"]</x:v>
      </x:c>
      <x:c r="D192" s="9" t="str">
        <x:v>["P4-G10-D2@v1"]</x:v>
      </x:c>
      <x:c r="E192" s="9" t="n">
        <x:f>IF(C192=D192,1,0)</x:f>
        <x:v>1</x:v>
      </x:c>
      <x:c r="F192" s="9" t="str">
        <x:v>{"goal":"매장 운영 개선 후속 발표자료 작성","aspect":"구성","audience":"외부 고객","condition":"기존 내용 대신 신규 조사 사용; 가격 제외; 표는 5개 이내","data":"P4-G10-N@v1","agent":"발표 Agent P4","taskRelation":"별도 발표 작업 생성; 기존 조사 작업 유지"}</x:v>
      </x:c>
      <x:c r="G192" s="9" t="str">
        <x:v>{"goal":"매장 운영 개선 후속 발표자료 작성","aspect":"구성","audience":"외부 고객","condition":"기존 내용 대신 신규 조사 사용; 가격 제외; 표는 5개 이내","data":"P4-G10-N@v1","agent":"발표 Agent P4","taskRelation":"별도 발표 작업 생성; 기존 조사 작업 유지"}</x:v>
      </x:c>
      <x:c r="H192" s="9" t="n">
        <x:f>IF(AND(E192=1,F192=G192),1,0)</x:f>
        <x:v>1</x:v>
      </x:c>
      <x:c r="I192" s="9" t="str">
        <x:v>NONE</x:v>
      </x:c>
      <x:c r="J192" s="9" t="str">
        <x:v>누리 매장 운영 개선 고객 제안서(P4-G10-D2@v1)의 구성을 활용해 외부 고객용 발표자료 작성을 발표 Agent P4에게 맡기겠습니다.</x:v>
      </x:c>
      <x:c r="K192" s="9" t="str">
        <x:v>누리 매장 운영 개선 고객 제안서(P4-G10-D2@v1)의 구성을 활용해 외부 고객용 발표자료 작성을 발표 Agent P4에게 맡기겠습니다. 내용은 P4-G10-N@v1를 사용하고, 기존 내용 대신 신규 조사 사용; 가격 제외; 표는 5개 이내. 별도 발표 작업 생성; 기존 조사 작업 유지.</x:v>
      </x:c>
      <x:c r="L192" s="9" t="str">
        <x:v>필수 의미와 지칭 집합 모두 일치</x:v>
      </x:c>
    </x:row>
    <x:row r="193" ht="95" customHeight="1">
      <x:c r="A193" s="9" t="str">
        <x:v>SYN-G10-04</x:v>
      </x:c>
      <x:c r="B193" s="9" t="str">
        <x:v>B</x:v>
      </x:c>
      <x:c r="C193" s="9" t="str">
        <x:v>["P4-G10-D2@v1"]</x:v>
      </x:c>
      <x:c r="D193" s="9" t="str">
        <x:v>["P4-G10-D2@v1"]</x:v>
      </x:c>
      <x:c r="E193" s="9" t="n">
        <x:f>IF(C193=D193,1,0)</x:f>
        <x:v>1</x:v>
      </x:c>
      <x:c r="F193" s="9" t="str">
        <x:v>{"goal":"매장 운영 개선 후속 발표자료 작성","aspect":"구성","audience":"외부 고객","condition":"기존 내용 대신 신규 조사 사용; 가격 제외; 표는 5개 이내","data":"P4-G10-N@v1","agent":"발표 Agent P4","taskRelation":"별도 발표 작업 생성; 기존 조사 작업 유지"}</x:v>
      </x:c>
      <x:c r="G193" s="9" t="str">
        <x:v>{"goal":"매장 운영 개선 후속 발표자료 작성","aspect":"구성","audience":"외부 고객","condition":"기존 내용 대신 신규 조사 사용; 가격 제외; 표는 5개 이내","data":"P4-G10-N@v1","agent":"발표 Agent P4","taskRelation":"별도 발표 작업 생성; 기존 조사 작업 유지"}</x:v>
      </x:c>
      <x:c r="H193" s="9" t="n">
        <x:f>IF(AND(E193=1,F193=G193),1,0)</x:f>
        <x:v>1</x:v>
      </x:c>
      <x:c r="I193" s="9" t="str">
        <x:v>NONE</x:v>
      </x:c>
      <x:c r="J193" s="9" t="str">
        <x:v>누리 매장 운영 개선 고객 제안서(P4-G10-D2@v1)의 구성을 활용해 외부 고객용 발표자료 작성을 발표 Agent P4에게 맡기겠습니다.</x:v>
      </x:c>
      <x:c r="K193" s="9" t="str">
        <x:v>누리 매장 운영 개선 고객 제안서(P4-G10-D2@v1)의 구성을 활용해 외부 고객용 발표자료 작성을 발표 Agent P4에게 맡기겠습니다. 내용은 P4-G10-N@v1를 사용하고, 기존 내용 대신 신규 조사 사용; 가격 제외; 표는 5개 이내. 별도 발표 작업 생성; 기존 조사 작업 유지.</x:v>
      </x:c>
      <x:c r="L193" s="9" t="str">
        <x:v>필수 의미와 지칭 집합 모두 일치</x:v>
      </x:c>
    </x:row>
    <x:row r="194" ht="95" customHeight="1">
      <x:c r="A194" s="9" t="str">
        <x:v>SYN-G10-05</x:v>
      </x:c>
      <x:c r="B194" s="9" t="str">
        <x:v>A</x:v>
      </x:c>
      <x:c r="C194" s="9" t="str">
        <x:v>["P5-G10-D2@v1"]</x:v>
      </x:c>
      <x:c r="D194" s="9" t="str">
        <x:v>["P5-G10-D2@v1"]</x:v>
      </x:c>
      <x:c r="E194" s="9" t="n">
        <x:f>IF(C194=D194,1,0)</x:f>
        <x:v>1</x:v>
      </x:c>
      <x:c r="F194" s="9" t="str">
        <x:v>{"goal":"교육 과정 개편 후속 발표자료 작성","aspect":"구성","audience":"외부 고객","condition":"기존 내용 대신 신규 조사 사용; 가격 제외; 표는 6개 이내","data":"P5-G10-N@v1","agent":"발표 Agent P5","taskRelation":"별도 발표 작업 생성; 기존 조사 작업 유지"}</x:v>
      </x:c>
      <x:c r="G194" s="9" t="str">
        <x:v>{"goal":"교육 과정 개편 후속 발표자료 작성","aspect":"구성","audience":"외부 고객","condition":"기존 내용 대신 신규 조사 사용; 가격 제외; 표는 6개 이내","data":"P5-G10-N@v1","agent":"발표 Agent P5","taskRelation":"별도 발표 작업 생성; 기존 조사 작업 유지"}</x:v>
      </x:c>
      <x:c r="H194" s="9" t="n">
        <x:f>IF(AND(E194=1,F194=G194),1,0)</x:f>
        <x:v>1</x:v>
      </x:c>
      <x:c r="I194" s="9" t="str">
        <x:v>NONE</x:v>
      </x:c>
      <x:c r="J194" s="9" t="str">
        <x:v>다온 교육 과정 개편 고객 제안서(P5-G10-D2@v1)의 구성을 활용해 외부 고객용 발표자료 작성을 발표 Agent P5에게 맡기겠습니다.</x:v>
      </x:c>
      <x:c r="K194" s="9" t="str">
        <x:v>다온 교육 과정 개편 고객 제안서(P5-G10-D2@v1)의 구성을 활용해 외부 고객용 발표자료 작성을 발표 Agent P5에게 맡기겠습니다. 내용은 P5-G10-N@v1를 사용하고, 기존 내용 대신 신규 조사 사용; 가격 제외; 표는 6개 이내. 별도 발표 작업 생성; 기존 조사 작업 유지.</x:v>
      </x:c>
      <x:c r="L194" s="9" t="str">
        <x:v>필수 의미와 지칭 집합 모두 일치</x:v>
      </x:c>
    </x:row>
    <x:row r="195" ht="95" customHeight="1">
      <x:c r="A195" s="9" t="str">
        <x:v>SYN-G10-05</x:v>
      </x:c>
      <x:c r="B195" s="9" t="str">
        <x:v>B</x:v>
      </x:c>
      <x:c r="C195" s="9" t="str">
        <x:v>["P5-G10-D2@v1"]</x:v>
      </x:c>
      <x:c r="D195" s="9" t="str">
        <x:v>["P5-G10-D2@v1"]</x:v>
      </x:c>
      <x:c r="E195" s="9" t="n">
        <x:f>IF(C195=D195,1,0)</x:f>
        <x:v>1</x:v>
      </x:c>
      <x:c r="F195" s="9" t="str">
        <x:v>{"goal":"교육 과정 개편 후속 발표자료 작성","aspect":"구성","audience":"외부 고객","condition":"기존 내용 대신 신규 조사 사용; 가격 제외; 표는 6개 이내","data":"P5-G10-N@v1","agent":"발표 Agent P5","taskRelation":"별도 발표 작업 생성; 기존 조사 작업 유지"}</x:v>
      </x:c>
      <x:c r="G195" s="9" t="str">
        <x:v>{"goal":"교육 과정 개편 후속 발표자료 작성","aspect":"구성","audience":"외부 고객","condition":"기존 내용 대신 신규 조사 사용; 가격 제외; 표는 6개 이내","data":"P5-G10-N@v1","agent":"발표 Agent P5","taskRelation":"별도 발표 작업 생성; 기존 조사 작업 유지"}</x:v>
      </x:c>
      <x:c r="H195" s="9" t="n">
        <x:f>IF(AND(E195=1,F195=G195),1,0)</x:f>
        <x:v>1</x:v>
      </x:c>
      <x:c r="I195" s="9" t="str">
        <x:v>NONE</x:v>
      </x:c>
      <x:c r="J195" s="9" t="str">
        <x:v>다온 교육 과정 개편 고객 제안서(P5-G10-D2@v1)의 구성을 활용해 외부 고객용 발표자료 작성을 발표 Agent P5에게 맡기겠습니다.</x:v>
      </x:c>
      <x:c r="K195" s="9" t="str">
        <x:v>다온 교육 과정 개편 고객 제안서(P5-G10-D2@v1)의 구성을 활용해 외부 고객용 발표자료 작성을 발표 Agent P5에게 맡기겠습니다. 내용은 P5-G10-N@v1를 사용하고, 기존 내용 대신 신규 조사 사용; 가격 제외; 표는 6개 이내. 별도 발표 작업 생성; 기존 조사 작업 유지.</x:v>
      </x:c>
      <x:c r="L195" s="9" t="str">
        <x:v>필수 의미와 지칭 집합 모두 일치</x:v>
      </x:c>
    </x:row>
    <x:row r="196" ht="95" customHeight="1">
      <x:c r="A196" s="9" t="str">
        <x:v>SYN-G10-06</x:v>
      </x:c>
      <x:c r="B196" s="9" t="str">
        <x:v>A</x:v>
      </x:c>
      <x:c r="C196" s="9" t="str">
        <x:v>["P6-G10-D2@v1"]</x:v>
      </x:c>
      <x:c r="D196" s="9" t="str">
        <x:v>["P6-G10-D2@v1"]</x:v>
      </x:c>
      <x:c r="E196" s="9" t="n">
        <x:f>IF(C196=D196,1,0)</x:f>
        <x:v>1</x:v>
      </x:c>
      <x:c r="F196" s="9" t="str">
        <x:v>{"goal":"제품 출시 계획 후속 발표자료 작성","aspect":"구성","audience":"외부 고객","condition":"기존 내용 대신 신규 조사 사용; 가격 제외; 표는 7개 이내","data":"P6-G10-N@v1","agent":"발표 Agent P6","taskRelation":"별도 발표 작업 생성; 기존 조사 작업 유지"}</x:v>
      </x:c>
      <x:c r="G196" s="9" t="str">
        <x:v>{"goal":"제품 출시 계획 후속 발표자료 작성","aspect":"구성","audience":"외부 고객","condition":"기존 내용 대신 신규 조사 사용; 가격 제외; 표는 7개 이내","data":"P6-G10-N@v1","agent":"발표 Agent P6","taskRelation":"별도 발표 작업 생성; 기존 조사 작업 유지"}</x:v>
      </x:c>
      <x:c r="H196" s="9" t="n">
        <x:f>IF(AND(E196=1,F196=G196),1,0)</x:f>
        <x:v>1</x:v>
      </x:c>
      <x:c r="I196" s="9" t="str">
        <x:v>NONE</x:v>
      </x:c>
      <x:c r="J196" s="9" t="str">
        <x:v>마루 제품 출시 계획 고객 제안서(P6-G10-D2@v1)의 구성을 활용해 외부 고객용 발표자료 작성을 발표 Agent P6에게 맡기겠습니다.</x:v>
      </x:c>
      <x:c r="K196" s="9" t="str">
        <x:v>마루 제품 출시 계획 고객 제안서(P6-G10-D2@v1)의 구성을 활용해 외부 고객용 발표자료 작성을 발표 Agent P6에게 맡기겠습니다. 내용은 P6-G10-N@v1를 사용하고, 기존 내용 대신 신규 조사 사용; 가격 제외; 표는 7개 이내. 별도 발표 작업 생성; 기존 조사 작업 유지.</x:v>
      </x:c>
      <x:c r="L196" s="9" t="str">
        <x:v>필수 의미와 지칭 집합 모두 일치</x:v>
      </x:c>
    </x:row>
    <x:row r="197" ht="95" customHeight="1">
      <x:c r="A197" s="9" t="str">
        <x:v>SYN-G10-06</x:v>
      </x:c>
      <x:c r="B197" s="9" t="str">
        <x:v>B</x:v>
      </x:c>
      <x:c r="C197" s="9" t="str">
        <x:v>["P6-G10-D2@v1"]</x:v>
      </x:c>
      <x:c r="D197" s="9" t="str">
        <x:v>["P6-G10-D2@v1"]</x:v>
      </x:c>
      <x:c r="E197" s="9" t="n">
        <x:f>IF(C197=D197,1,0)</x:f>
        <x:v>1</x:v>
      </x:c>
      <x:c r="F197" s="9" t="str">
        <x:v>{"goal":"제품 출시 계획 후속 발표자료 작성","aspect":"구성","audience":"외부 고객","condition":"기존 내용 대신 신규 조사 사용; 가격 제외; 표는 7개 이내","data":"P6-G10-N@v1","agent":"발표 Agent P6","taskRelation":"별도 발표 작업 생성; 기존 조사 작업 유지"}</x:v>
      </x:c>
      <x:c r="G197" s="9" t="str">
        <x:v>{"goal":"제품 출시 계획 후속 발표자료 작성","aspect":"구성","audience":"외부 고객","condition":"기존 내용 대신 신규 조사 사용; 가격 제외; 표는 7개 이내","data":"P6-G10-N@v1","agent":"발표 Agent P6","taskRelation":"별도 발표 작업 생성; 기존 조사 작업 유지"}</x:v>
      </x:c>
      <x:c r="H197" s="9" t="n">
        <x:f>IF(AND(E197=1,F197=G197),1,0)</x:f>
        <x:v>1</x:v>
      </x:c>
      <x:c r="I197" s="9" t="str">
        <x:v>NONE</x:v>
      </x:c>
      <x:c r="J197" s="9" t="str">
        <x:v>마루 제품 출시 계획 고객 제안서(P6-G10-D2@v1)의 구성을 활용해 외부 고객용 발표자료 작성을 발표 Agent P6에게 맡기겠습니다.</x:v>
      </x:c>
      <x:c r="K197" s="9" t="str">
        <x:v>마루 제품 출시 계획 고객 제안서(P6-G10-D2@v1)의 구성을 활용해 외부 고객용 발표자료 작성을 발표 Agent P6에게 맡기겠습니다. 내용은 P6-G10-N@v1를 사용하고, 기존 내용 대신 신규 조사 사용; 가격 제외; 표는 7개 이내. 별도 발표 작업 생성; 기존 조사 작업 유지.</x:v>
      </x:c>
      <x:c r="L197" s="9" t="str">
        <x:v>필수 의미와 지칭 집합 모두 일치</x:v>
      </x:c>
    </x:row>
    <x:row r="198" ht="95" customHeight="1">
      <x:c r="A198" s="9" t="str">
        <x:v>SYN-G10-07</x:v>
      </x:c>
      <x:c r="B198" s="9" t="str">
        <x:v>A</x:v>
      </x:c>
      <x:c r="C198" s="9" t="str">
        <x:v>["P7-G10-D2@v1"]</x:v>
      </x:c>
      <x:c r="D198" s="9" t="str">
        <x:v>["P7-G10-D2@v1"]</x:v>
      </x:c>
      <x:c r="E198" s="9" t="n">
        <x:f>IF(C198=D198,1,0)</x:f>
        <x:v>1</x:v>
      </x:c>
      <x:c r="F198" s="9" t="str">
        <x:v>{"goal":"연구 장비 도입 후속 발표자료 작성","aspect":"구성","audience":"외부 고객","condition":"기존 내용 대신 신규 조사 사용; 가격 제외; 표는 8개 이내","data":"P7-G10-N@v1","agent":"발표 Agent P7","taskRelation":"별도 발표 작업 생성; 기존 조사 작업 유지"}</x:v>
      </x:c>
      <x:c r="G198" s="9" t="str">
        <x:v>{"goal":"연구 장비 도입 후속 발표자료 작성","aspect":"구성","audience":"외부 고객","condition":"기존 내용 대신 신규 조사 사용; 가격 제외; 표는 8개 이내","data":"P7-G10-N@v1","agent":"발표 Agent P7","taskRelation":"별도 발표 작업 생성; 기존 조사 작업 유지"}</x:v>
      </x:c>
      <x:c r="H198" s="9" t="n">
        <x:f>IF(AND(E198=1,F198=G198),1,0)</x:f>
        <x:v>1</x:v>
      </x:c>
      <x:c r="I198" s="9" t="str">
        <x:v>NONE</x:v>
      </x:c>
      <x:c r="J198" s="9" t="str">
        <x:v>이든 연구 장비 도입 고객 제안서(P7-G10-D2@v1)의 구성을 활용해 외부 고객용 발표자료 작성을 발표 Agent P7에게 맡기겠습니다.</x:v>
      </x:c>
      <x:c r="K198" s="9" t="str">
        <x:v>이든 연구 장비 도입 고객 제안서(P7-G10-D2@v1)의 구성을 활용해 외부 고객용 발표자료 작성을 발표 Agent P7에게 맡기겠습니다. 내용은 P7-G10-N@v1를 사용하고, 기존 내용 대신 신규 조사 사용; 가격 제외; 표는 8개 이내. 별도 발표 작업 생성; 기존 조사 작업 유지.</x:v>
      </x:c>
      <x:c r="L198" s="9" t="str">
        <x:v>필수 의미와 지칭 집합 모두 일치</x:v>
      </x:c>
    </x:row>
    <x:row r="199" ht="95" customHeight="1">
      <x:c r="A199" s="9" t="str">
        <x:v>SYN-G10-07</x:v>
      </x:c>
      <x:c r="B199" s="9" t="str">
        <x:v>B</x:v>
      </x:c>
      <x:c r="C199" s="9" t="str">
        <x:v>["P7-G10-D2@v1"]</x:v>
      </x:c>
      <x:c r="D199" s="9" t="str">
        <x:v>["P7-G10-D2@v1"]</x:v>
      </x:c>
      <x:c r="E199" s="9" t="n">
        <x:f>IF(C199=D199,1,0)</x:f>
        <x:v>1</x:v>
      </x:c>
      <x:c r="F199" s="9" t="str">
        <x:v>{"goal":"연구 장비 도입 후속 발표자료 작성","aspect":"구성","audience":"외부 고객","condition":"기존 내용 대신 신규 조사 사용; 가격 제외; 표는 8개 이내","data":"P7-G10-N@v1","agent":"발표 Agent P7","taskRelation":"별도 발표 작업 생성; 기존 조사 작업 유지"}</x:v>
      </x:c>
      <x:c r="G199" s="9" t="str">
        <x:v>{"goal":"연구 장비 도입 후속 발표자료 작성","aspect":"구성","audience":"외부 고객","condition":"기존 가격 포함","data":"P7-G10-D2@v1","agent":"발표 Agent P7","taskRelation":"별도 발표 작업 생성; 기존 조사 작업 유지"}</x:v>
      </x:c>
      <x:c r="H199" s="9" t="n">
        <x:f>IF(AND(E199=1,F199=G199),1,0)</x:f>
        <x:v>0</x:v>
      </x:c>
      <x:c r="I199" s="9" t="str">
        <x:v>MEANING_ONLY</x:v>
      </x:c>
      <x:c r="J199" s="9" t="str">
        <x:v>이든 연구 장비 도입 고객 제안서(P7-G10-D2@v1)의 구성을 활용해 외부 고객용 발표자료 작성을 발표 Agent P7에게 맡기겠습니다.</x:v>
      </x:c>
      <x:c r="K199" s="9" t="str">
        <x:v>이든 연구 장비 도입 고객 제안서(P7-G10-D2@v1)의 구성을 활용해 외부 고객용 발표자료 작성을 발표 Agent P7에게 맡기겠습니다. 내용은 P7-G10-D2@v1를 사용하고, 기존 가격 포함. 별도 발표 작업 생성; 기존 조사 작업 유지.</x:v>
      </x:c>
      <x:c r="L199" s="9" t="str">
        <x:v>과거 적용 범위 재사용 또는 현재 조건 연결 누락</x:v>
      </x:c>
    </x:row>
    <x:row r="200" ht="95" customHeight="1">
      <x:c r="A200" s="9" t="str">
        <x:v>SYN-G10-08</x:v>
      </x:c>
      <x:c r="B200" s="9" t="str">
        <x:v>A</x:v>
      </x:c>
      <x:c r="C200" s="9" t="str">
        <x:v>["P8-G10-D2@v1"]</x:v>
      </x:c>
      <x:c r="D200" s="9" t="str">
        <x:v>["P8-G10-D2@v1"]</x:v>
      </x:c>
      <x:c r="E200" s="9" t="n">
        <x:f>IF(C200=D200,1,0)</x:f>
        <x:v>1</x:v>
      </x:c>
      <x:c r="F200" s="9" t="str">
        <x:v>{"goal":"사무공간 이전 후속 발표자료 작성","aspect":"구성","audience":"외부 고객","condition":"기존 내용 대신 신규 조사 사용; 가격 제외; 표는 9개 이내","data":"P8-G10-N@v1","agent":"발표 Agent P8","taskRelation":"별도 발표 작업 생성; 기존 조사 작업 유지"}</x:v>
      </x:c>
      <x:c r="G200" s="9" t="str">
        <x:v>{"goal":"사무공간 이전 후속 발표자료 작성","aspect":"구성","audience":"외부 고객","condition":"기존 내용 대신 신규 조사 사용; 가격 제외; 표는 9개 이내","data":"P8-G10-N@v1","agent":"발표 Agent P8","taskRelation":"별도 발표 작업 생성; 기존 조사 작업 유지"}</x:v>
      </x:c>
      <x:c r="H200" s="9" t="n">
        <x:f>IF(AND(E200=1,F200=G200),1,0)</x:f>
        <x:v>1</x:v>
      </x:c>
      <x:c r="I200" s="9" t="str">
        <x:v>NONE</x:v>
      </x:c>
      <x:c r="J200" s="9" t="str">
        <x:v>라온 사무공간 이전 고객 제안서(P8-G10-D2@v1)의 구성을 활용해 외부 고객용 발표자료 작성을 발표 Agent P8에게 맡기겠습니다.</x:v>
      </x:c>
      <x:c r="K200" s="9" t="str">
        <x:v>라온 사무공간 이전 고객 제안서(P8-G10-D2@v1)의 구성을 활용해 외부 고객용 발표자료 작성을 발표 Agent P8에게 맡기겠습니다. 내용은 P8-G10-N@v1를 사용하고, 기존 내용 대신 신규 조사 사용; 가격 제외; 표는 9개 이내. 별도 발표 작업 생성; 기존 조사 작업 유지.</x:v>
      </x:c>
      <x:c r="L200" s="9" t="str">
        <x:v>필수 의미와 지칭 집합 모두 일치</x:v>
      </x:c>
    </x:row>
    <x:row r="201" ht="95" customHeight="1">
      <x:c r="A201" s="9" t="str">
        <x:v>SYN-G10-08</x:v>
      </x:c>
      <x:c r="B201" s="9" t="str">
        <x:v>B</x:v>
      </x:c>
      <x:c r="C201" s="9" t="str">
        <x:v>["P8-G10-D2@v1"]</x:v>
      </x:c>
      <x:c r="D201" s="9" t="str">
        <x:v>["P8-G10-D2@v1"]</x:v>
      </x:c>
      <x:c r="E201" s="9" t="n">
        <x:f>IF(C201=D201,1,0)</x:f>
        <x:v>1</x:v>
      </x:c>
      <x:c r="F201" s="9" t="str">
        <x:v>{"goal":"사무공간 이전 후속 발표자료 작성","aspect":"구성","audience":"외부 고객","condition":"기존 내용 대신 신규 조사 사용; 가격 제외; 표는 9개 이내","data":"P8-G10-N@v1","agent":"발표 Agent P8","taskRelation":"별도 발표 작업 생성; 기존 조사 작업 유지"}</x:v>
      </x:c>
      <x:c r="G201" s="9" t="str">
        <x:v>{"goal":"사무공간 이전 후속 발표자료 작성","aspect":"구성","audience":"외부 고객","condition":"기존 내용 대신 신규 조사 사용; 가격 제외; 표는 9개 이내","data":"P8-G10-N@v1","agent":"발표 Agent P8","taskRelation":"별도 발표 작업 생성; 기존 조사 작업 유지"}</x:v>
      </x:c>
      <x:c r="H201" s="9" t="n">
        <x:f>IF(AND(E201=1,F201=G201),1,0)</x:f>
        <x:v>1</x:v>
      </x:c>
      <x:c r="I201" s="9" t="str">
        <x:v>NONE</x:v>
      </x:c>
      <x:c r="J201" s="9" t="str">
        <x:v>라온 사무공간 이전 고객 제안서(P8-G10-D2@v1)의 구성을 활용해 외부 고객용 발표자료 작성을 발표 Agent P8에게 맡기겠습니다.</x:v>
      </x:c>
      <x:c r="K201" s="9" t="str">
        <x:v>라온 사무공간 이전 고객 제안서(P8-G10-D2@v1)의 구성을 활용해 외부 고객용 발표자료 작성을 발표 Agent P8에게 맡기겠습니다. 내용은 P8-G10-N@v1를 사용하고, 기존 내용 대신 신규 조사 사용; 가격 제외; 표는 9개 이내. 별도 발표 작업 생성; 기존 조사 작업 유지.</x:v>
      </x:c>
      <x:c r="L201" s="9" t="str">
        <x:v>필수 의미와 지칭 집합 모두 일치</x:v>
      </x:c>
    </x:row>
    <x:row r="202" ht="95" customHeight="1">
      <x:c r="A202" s="9" t="str">
        <x:v>SYN-G10-09</x:v>
      </x:c>
      <x:c r="B202" s="9" t="str">
        <x:v>A</x:v>
      </x:c>
      <x:c r="C202" s="9" t="str">
        <x:v>["P9-G10-D2@v1"]</x:v>
      </x:c>
      <x:c r="D202" s="9" t="str">
        <x:v>["P9-G10-D2@v1"]</x:v>
      </x:c>
      <x:c r="E202" s="9" t="n">
        <x:f>IF(C202=D202,1,0)</x:f>
        <x:v>1</x:v>
      </x:c>
      <x:c r="F202" s="9" t="str">
        <x:v>{"goal":"서비스 품질 개선 후속 발표자료 작성","aspect":"구성","audience":"외부 고객","condition":"기존 내용 대신 신규 조사 사용; 가격 제외; 표는 10개 이내","data":"P9-G10-N@v1","agent":"발표 Agent P9","taskRelation":"별도 발표 작업 생성; 기존 조사 작업 유지"}</x:v>
      </x:c>
      <x:c r="G202" s="9" t="str">
        <x:v>{"goal":"서비스 품질 개선 후속 발표자료 작성","aspect":"구성","audience":"외부 고객","condition":"기존 내용 대신 신규 조사 사용; 가격 제외; 표는 10개 이내","data":"P9-G10-N@v1","agent":"발표 Agent P9","taskRelation":"별도 발표 작업 생성; 기존 조사 작업 유지"}</x:v>
      </x:c>
      <x:c r="H202" s="9" t="n">
        <x:f>IF(AND(E202=1,F202=G202),1,0)</x:f>
        <x:v>1</x:v>
      </x:c>
      <x:c r="I202" s="9" t="str">
        <x:v>NONE</x:v>
      </x:c>
      <x:c r="J202" s="9" t="str">
        <x:v>한결 서비스 품질 개선 고객 제안서(P9-G10-D2@v1)의 구성을 활용해 외부 고객용 발표자료 작성을 발표 Agent P9에게 맡기겠습니다.</x:v>
      </x:c>
      <x:c r="K202" s="9" t="str">
        <x:v>한결 서비스 품질 개선 고객 제안서(P9-G10-D2@v1)의 구성을 활용해 외부 고객용 발표자료 작성을 발표 Agent P9에게 맡기겠습니다. 내용은 P9-G10-N@v1를 사용하고, 기존 내용 대신 신규 조사 사용; 가격 제외; 표는 10개 이내. 별도 발표 작업 생성; 기존 조사 작업 유지.</x:v>
      </x:c>
      <x:c r="L202" s="9" t="str">
        <x:v>필수 의미와 지칭 집합 모두 일치</x:v>
      </x:c>
    </x:row>
    <x:row r="203" ht="95" customHeight="1">
      <x:c r="A203" s="9" t="str">
        <x:v>SYN-G10-09</x:v>
      </x:c>
      <x:c r="B203" s="9" t="str">
        <x:v>B</x:v>
      </x:c>
      <x:c r="C203" s="9" t="str">
        <x:v>["P9-G10-D2@v1"]</x:v>
      </x:c>
      <x:c r="D203" s="9" t="str">
        <x:v>["P9-G10-D2@v1"]</x:v>
      </x:c>
      <x:c r="E203" s="9" t="n">
        <x:f>IF(C203=D203,1,0)</x:f>
        <x:v>1</x:v>
      </x:c>
      <x:c r="F203" s="9" t="str">
        <x:v>{"goal":"서비스 품질 개선 후속 발표자료 작성","aspect":"구성","audience":"외부 고객","condition":"기존 내용 대신 신규 조사 사용; 가격 제외; 표는 10개 이내","data":"P9-G10-N@v1","agent":"발표 Agent P9","taskRelation":"별도 발표 작업 생성; 기존 조사 작업 유지"}</x:v>
      </x:c>
      <x:c r="G203" s="9" t="str">
        <x:v>{"goal":"서비스 품질 개선 후속 발표자료 작성","aspect":"구성","audience":"외부 고객","condition":"기존 내용 대신 신규 조사 사용; 가격 제외; 표는 10개 이내","data":"P9-G10-N@v1","agent":"발표 Agent P9","taskRelation":"별도 발표 작업 생성; 기존 조사 작업 유지"}</x:v>
      </x:c>
      <x:c r="H203" s="9" t="n">
        <x:f>IF(AND(E203=1,F203=G203),1,0)</x:f>
        <x:v>1</x:v>
      </x:c>
      <x:c r="I203" s="9" t="str">
        <x:v>NONE</x:v>
      </x:c>
      <x:c r="J203" s="9" t="str">
        <x:v>한결 서비스 품질 개선 고객 제안서(P9-G10-D2@v1)의 구성을 활용해 외부 고객용 발표자료 작성을 발표 Agent P9에게 맡기겠습니다.</x:v>
      </x:c>
      <x:c r="K203" s="9" t="str">
        <x:v>한결 서비스 품질 개선 고객 제안서(P9-G10-D2@v1)의 구성을 활용해 외부 고객용 발표자료 작성을 발표 Agent P9에게 맡기겠습니다. 내용은 P9-G10-N@v1를 사용하고, 기존 내용 대신 신규 조사 사용; 가격 제외; 표는 10개 이내. 별도 발표 작업 생성; 기존 조사 작업 유지.</x:v>
      </x:c>
      <x:c r="L203" s="9" t="str">
        <x:v>필수 의미와 지칭 집합 모두 일치</x:v>
      </x:c>
    </x:row>
    <x:row r="204" ht="95" customHeight="1">
      <x:c r="A204" s="9" t="str">
        <x:v>SYN-G10-10</x:v>
      </x:c>
      <x:c r="B204" s="9" t="str">
        <x:v>A</x:v>
      </x:c>
      <x:c r="C204" s="9" t="str">
        <x:v>["P10-G10-D2@v1"]</x:v>
      </x:c>
      <x:c r="D204" s="9" t="str">
        <x:v>["P10-G10-D2@v1"]</x:v>
      </x:c>
      <x:c r="E204" s="9" t="n">
        <x:f>IF(C204=D204,1,0)</x:f>
        <x:v>1</x:v>
      </x:c>
      <x:c r="F204" s="9" t="str">
        <x:v>{"goal":"파트너 제휴 검토 후속 발표자료 작성","aspect":"구성","audience":"외부 고객","condition":"기존 내용 대신 신규 조사 사용; 가격 제외; 표는 11개 이내","data":"P10-G10-N@v1","agent":"발표 Agent P10","taskRelation":"별도 발표 작업 생성; 기존 조사 작업 유지"}</x:v>
      </x:c>
      <x:c r="G204" s="9" t="str">
        <x:v>{"goal":"파트너 제휴 검토 후속 발표자료 작성","aspect":"구성","audience":"외부 고객","condition":"기존 내용 대신 신규 조사 사용; 가격 제외; 표는 11개 이내","data":"P10-G10-N@v1","agent":"발표 Agent P10","taskRelation":"별도 발표 작업 생성; 기존 조사 작업 유지"}</x:v>
      </x:c>
      <x:c r="H204" s="9" t="n">
        <x:f>IF(AND(E204=1,F204=G204),1,0)</x:f>
        <x:v>1</x:v>
      </x:c>
      <x:c r="I204" s="9" t="str">
        <x:v>NONE</x:v>
      </x:c>
      <x:c r="J204" s="9" t="str">
        <x:v>온유 파트너 제휴 검토 고객 제안서(P10-G10-D2@v1)의 구성을 활용해 외부 고객용 발표자료 작성을 발표 Agent P10에게 맡기겠습니다.</x:v>
      </x:c>
      <x:c r="K204" s="9" t="str">
        <x:v>온유 파트너 제휴 검토 고객 제안서(P10-G10-D2@v1)의 구성을 활용해 외부 고객용 발표자료 작성을 발표 Agent P10에게 맡기겠습니다. 내용은 P10-G10-N@v1를 사용하고, 기존 내용 대신 신규 조사 사용; 가격 제외; 표는 11개 이내. 별도 발표 작업 생성; 기존 조사 작업 유지.</x:v>
      </x:c>
      <x:c r="L204" s="9" t="str">
        <x:v>필수 의미와 지칭 집합 모두 일치</x:v>
      </x:c>
    </x:row>
    <x:row r="205" ht="95" customHeight="1">
      <x:c r="A205" s="9" t="str">
        <x:v>SYN-G10-10</x:v>
      </x:c>
      <x:c r="B205" s="9" t="str">
        <x:v>B</x:v>
      </x:c>
      <x:c r="C205" s="9" t="str">
        <x:v>["P10-G10-D2@v1"]</x:v>
      </x:c>
      <x:c r="D205" s="9" t="str">
        <x:v>["P10-G10-D2@v1"]</x:v>
      </x:c>
      <x:c r="E205" s="9" t="n">
        <x:f>IF(C205=D205,1,0)</x:f>
        <x:v>1</x:v>
      </x:c>
      <x:c r="F205" s="9" t="str">
        <x:v>{"goal":"파트너 제휴 검토 후속 발표자료 작성","aspect":"구성","audience":"외부 고객","condition":"기존 내용 대신 신규 조사 사용; 가격 제외; 표는 11개 이내","data":"P10-G10-N@v1","agent":"발표 Agent P10","taskRelation":"별도 발표 작업 생성; 기존 조사 작업 유지"}</x:v>
      </x:c>
      <x:c r="G205" s="9" t="str">
        <x:v>{"goal":"파트너 제휴 검토 후속 발표자료 작성","aspect":"구성","audience":"외부 고객","condition":"기존 내용 대신 신규 조사 사용; 가격 제외; 표는 11개 이내","data":"P10-G10-N@v1","agent":"발표 Agent P10","taskRelation":"별도 발표 작업 생성; 기존 조사 작업 유지"}</x:v>
      </x:c>
      <x:c r="H205" s="9" t="n">
        <x:f>IF(AND(E205=1,F205=G205),1,0)</x:f>
        <x:v>1</x:v>
      </x:c>
      <x:c r="I205" s="9" t="str">
        <x:v>NONE</x:v>
      </x:c>
      <x:c r="J205" s="9" t="str">
        <x:v>온유 파트너 제휴 검토 고객 제안서(P10-G10-D2@v1)의 구성을 활용해 외부 고객용 발표자료 작성을 발표 Agent P10에게 맡기겠습니다.</x:v>
      </x:c>
      <x:c r="K205" s="9" t="str">
        <x:v>온유 파트너 제휴 검토 고객 제안서(P10-G10-D2@v1)의 구성을 활용해 외부 고객용 발표자료 작성을 발표 Agent P10에게 맡기겠습니다. 내용은 P10-G10-N@v1를 사용하고, 기존 내용 대신 신규 조사 사용; 가격 제외; 표는 11개 이내. 별도 발표 작업 생성; 기존 조사 작업 유지.</x:v>
      </x:c>
      <x:c r="L205" s="9" t="str">
        <x:v>필수 의미와 지칭 집합 모두 일치</x:v>
      </x:c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</x:sheetData>
  <x:conditionalFormatting sqref="E6:E205">
    <x:cfRule type="cellIs" dxfId="0" priority="1" operator="equal">
      <x:formula>0</x:formula>
    </x:cfRule>
  </x:conditionalFormatting>
  <x:conditionalFormatting sqref="H6:H205">
    <x:cfRule type="cellIs" dxfId="1" priority="2" operator="equal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219999313354492" hidden="0" customWidth="1"/>
    <x:col min="2" max="2" width="7.78000020980835" hidden="0" customWidth="1"/>
    <x:col min="3" max="3" width="10" hidden="0" customWidth="1"/>
    <x:col min="4" max="4" width="13.329999923706055" hidden="0" customWidth="1"/>
    <x:col min="5" max="5" width="13.329999923706055" hidden="0" customWidth="1"/>
    <x:col min="6" max="6" width="16.110000610351562" hidden="0" customWidth="1"/>
    <x:col min="7" max="7" width="15.5600004196167" hidden="0" customWidth="1"/>
    <x:col min="8" max="8" width="15.5600004196167" hidden="0" customWidth="1"/>
    <x:col min="9" max="9" width="12.779999732971191" hidden="0" customWidth="1"/>
    <x:col min="10" max="10" width="16.670000076293945" hidden="0" customWidth="1"/>
    <x:col min="11" max="11" width="13.890000343322754" hidden="0" customWidth="1"/>
    <x:col min="12" max="12" width="15.5600004196167" hidden="0" customWidth="1"/>
    <x:col min="13" max="13" width="17.219999313354492" hidden="0" customWidth="1"/>
    <x:col min="14" max="14" width="12.779999732971191" hidden="0" customWidth="1"/>
    <x:col min="15" max="15" width="16.670000076293945" hidden="0" customWidth="1"/>
    <x:col min="16" max="16" width="14.439999580383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VIA 처리시간의 단계 분해 (합성)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 t="str">
        <x:v>설명용 합성 데이터. 목표 수치에 맞춰 작성한 사례·응답·시간·비용이며 실제 관측/LLM 실행/통계 표본이 아님.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8" customHeight="1">
      <x:c r="A5" s="7" t="str">
        <x:v>사례 ID</x:v>
      </x:c>
      <x:c r="B5" s="7" t="str">
        <x:v>방안</x:v>
      </x:c>
      <x:c r="C5" s="7" t="str">
        <x:v>사례군</x:v>
      </x:c>
      <x:c r="D5" s="7" t="str">
        <x:v>입력 접수 s</x:v>
      </x:c>
      <x:c r="E5" s="7" t="str">
        <x:v>검색·조회 s</x:v>
      </x:c>
      <x:c r="F5" s="7" t="str">
        <x:v>과거 관계·보완 s</x:v>
      </x:c>
      <x:c r="G5" s="7" t="str">
        <x:v>현재 의미 해석 s</x:v>
      </x:c>
      <x:c r="H5" s="7" t="str">
        <x:v>채택·첫 표시 s</x:v>
      </x:c>
      <x:c r="I5" s="7" t="str">
        <x:v>QA01 s</x:v>
      </x:c>
      <x:c r="J5" s="7" t="str">
        <x:v>후속 근거 참조 s</x:v>
      </x:c>
      <x:c r="K5" s="7" t="str">
        <x:v>전달·접수 s</x:v>
      </x:c>
      <x:c r="L5" s="7" t="str">
        <x:v>원본 serving s</x:v>
      </x:c>
      <x:c r="M5" s="7" t="str">
        <x:v>결과 연결·표시 s</x:v>
      </x:c>
      <x:c r="N5" s="7" t="str">
        <x:v>QA03 s</x:v>
      </x:c>
      <x:c r="O5" s="7" t="str">
        <x:v>외부 처리 제외 s</x:v>
      </x:c>
      <x:c r="P5" s="7" t="str">
        <x:v>전체경과 s</x:v>
      </x:c>
    </x:row>
    <x:row r="6" ht="35" customHeight="1">
      <x:c r="A6" s="9" t="str">
        <x:v>SYN-G01-01</x:v>
      </x:c>
      <x:c r="B6" s="9" t="str">
        <x:v>A</x:v>
      </x:c>
      <x:c r="C6" s="9" t="str">
        <x:v>G01</x:v>
      </x:c>
      <x:c r="D6" s="10" t="n">
        <x:v>0.08</x:v>
      </x:c>
      <x:c r="E6" s="10" t="n">
        <x:v>0.092</x:v>
      </x:c>
      <x:c r="F6" s="10" t="n">
        <x:v>0</x:v>
      </x:c>
      <x:c r="G6" s="10" t="n">
        <x:v>0.188</x:v>
      </x:c>
      <x:c r="H6" s="10" t="n">
        <x:v>0.1</x:v>
      </x:c>
      <x:c r="I6" s="10" t="n">
        <x:f>SUM(D6:H6)</x:f>
        <x:v>0.45999999999999996</x:v>
      </x:c>
      <x:c r="J6" s="10" t="n">
        <x:v>0.155</x:v>
      </x:c>
      <x:c r="K6" s="10" t="n">
        <x:v>0.3</x:v>
      </x:c>
      <x:c r="L6" s="10" t="n">
        <x:v>0.25</x:v>
      </x:c>
      <x:c r="M6" s="10" t="n">
        <x:v>0.45</x:v>
      </x:c>
      <x:c r="N6" s="10" t="n">
        <x:f>SUM(I6:M6)</x:f>
        <x:v>1.615</x:v>
      </x:c>
      <x:c r="O6" s="10" t="n">
        <x:v>12.3</x:v>
      </x:c>
      <x:c r="P6" s="10" t="n">
        <x:f>N6+O6</x:f>
        <x:v>13.915000000000001</x:v>
      </x:c>
    </x:row>
    <x:row r="7" ht="35" customHeight="1">
      <x:c r="A7" s="9" t="str">
        <x:v>SYN-G01-01</x:v>
      </x:c>
      <x:c r="B7" s="9" t="str">
        <x:v>B</x:v>
      </x:c>
      <x:c r="C7" s="9" t="str">
        <x:v>G01</x:v>
      </x:c>
      <x:c r="D7" s="10" t="n">
        <x:v>0.08</x:v>
      </x:c>
      <x:c r="E7" s="10" t="n">
        <x:v>0.078</x:v>
      </x:c>
      <x:c r="F7" s="10" t="n">
        <x:v>0</x:v>
      </x:c>
      <x:c r="G7" s="10" t="n">
        <x:v>0.302</x:v>
      </x:c>
      <x:c r="H7" s="10" t="n">
        <x:v>0.1</x:v>
      </x:c>
      <x:c r="I7" s="10" t="n">
        <x:f>SUM(D7:H7)</x:f>
        <x:v>0.5599999999999999</x:v>
      </x:c>
      <x:c r="J7" s="10" t="n">
        <x:v>0.155</x:v>
      </x:c>
      <x:c r="K7" s="10" t="n">
        <x:v>0.3</x:v>
      </x:c>
      <x:c r="L7" s="10" t="n">
        <x:v>0.25</x:v>
      </x:c>
      <x:c r="M7" s="10" t="n">
        <x:v>0.45</x:v>
      </x:c>
      <x:c r="N7" s="10" t="n">
        <x:f>SUM(I7:M7)</x:f>
        <x:v>1.7149999999999999</x:v>
      </x:c>
      <x:c r="O7" s="10" t="n">
        <x:v>12.3</x:v>
      </x:c>
      <x:c r="P7" s="10" t="n">
        <x:f>N7+O7</x:f>
        <x:v>14.015</x:v>
      </x:c>
    </x:row>
    <x:row r="8" ht="35" customHeight="1">
      <x:c r="A8" s="9" t="str">
        <x:v>SYN-G01-02</x:v>
      </x:c>
      <x:c r="B8" s="9" t="str">
        <x:v>A</x:v>
      </x:c>
      <x:c r="C8" s="9" t="str">
        <x:v>G01</x:v>
      </x:c>
      <x:c r="D8" s="10" t="n">
        <x:v>0.08</x:v>
      </x:c>
      <x:c r="E8" s="10" t="n">
        <x:v>0.096</x:v>
      </x:c>
      <x:c r="F8" s="10" t="n">
        <x:v>0</x:v>
      </x:c>
      <x:c r="G8" s="10" t="n">
        <x:v>0.204</x:v>
      </x:c>
      <x:c r="H8" s="10" t="n">
        <x:v>0.1</x:v>
      </x:c>
      <x:c r="I8" s="10" t="n">
        <x:f>SUM(D8:H8)</x:f>
        <x:v>0.48</x:v>
      </x:c>
      <x:c r="J8" s="10" t="n">
        <x:v>0.165</x:v>
      </x:c>
      <x:c r="K8" s="10" t="n">
        <x:v>0.3</x:v>
      </x:c>
      <x:c r="L8" s="10" t="n">
        <x:v>0.25</x:v>
      </x:c>
      <x:c r="M8" s="10" t="n">
        <x:v>0.45</x:v>
      </x:c>
      <x:c r="N8" s="10" t="n">
        <x:f>SUM(I8:M8)</x:f>
        <x:v>1.645</x:v>
      </x:c>
      <x:c r="O8" s="10" t="n">
        <x:v>13.7</x:v>
      </x:c>
      <x:c r="P8" s="10" t="n">
        <x:f>N8+O8</x:f>
        <x:v>15.344999999999999</x:v>
      </x:c>
    </x:row>
    <x:row r="9" ht="35" customHeight="1">
      <x:c r="A9" s="9" t="str">
        <x:v>SYN-G01-02</x:v>
      </x:c>
      <x:c r="B9" s="9" t="str">
        <x:v>B</x:v>
      </x:c>
      <x:c r="C9" s="9" t="str">
        <x:v>G01</x:v>
      </x:c>
      <x:c r="D9" s="10" t="n">
        <x:v>0.08</x:v>
      </x:c>
      <x:c r="E9" s="10" t="n">
        <x:v>0.081</x:v>
      </x:c>
      <x:c r="F9" s="10" t="n">
        <x:v>0</x:v>
      </x:c>
      <x:c r="G9" s="10" t="n">
        <x:v>0.319</x:v>
      </x:c>
      <x:c r="H9" s="10" t="n">
        <x:v>0.1</x:v>
      </x:c>
      <x:c r="I9" s="10" t="n">
        <x:f>SUM(D9:H9)</x:f>
        <x:v>0.58</x:v>
      </x:c>
      <x:c r="J9" s="10" t="n">
        <x:v>0.165</x:v>
      </x:c>
      <x:c r="K9" s="10" t="n">
        <x:v>0.3</x:v>
      </x:c>
      <x:c r="L9" s="10" t="n">
        <x:v>0.25</x:v>
      </x:c>
      <x:c r="M9" s="10" t="n">
        <x:v>0.45</x:v>
      </x:c>
      <x:c r="N9" s="10" t="n">
        <x:f>SUM(I9:M9)</x:f>
        <x:v>1.7449999999999999</x:v>
      </x:c>
      <x:c r="O9" s="10" t="n">
        <x:v>13.7</x:v>
      </x:c>
      <x:c r="P9" s="10" t="n">
        <x:f>N9+O9</x:f>
        <x:v>15.444999999999999</x:v>
      </x:c>
    </x:row>
    <x:row r="10" ht="35" customHeight="1">
      <x:c r="A10" s="9" t="str">
        <x:v>SYN-G01-03</x:v>
      </x:c>
      <x:c r="B10" s="9" t="str">
        <x:v>A</x:v>
      </x:c>
      <x:c r="C10" s="9" t="str">
        <x:v>G01</x:v>
      </x:c>
      <x:c r="D10" s="10" t="n">
        <x:v>0.08</x:v>
      </x:c>
      <x:c r="E10" s="10" t="n">
        <x:v>0.1</x:v>
      </x:c>
      <x:c r="F10" s="10" t="n">
        <x:v>0</x:v>
      </x:c>
      <x:c r="G10" s="10" t="n">
        <x:v>0.22</x:v>
      </x:c>
      <x:c r="H10" s="10" t="n">
        <x:v>0.1</x:v>
      </x:c>
      <x:c r="I10" s="10" t="n">
        <x:f>SUM(D10:H10)</x:f>
        <x:v>0.5</x:v>
      </x:c>
      <x:c r="J10" s="10" t="n">
        <x:v>0.175</x:v>
      </x:c>
      <x:c r="K10" s="10" t="n">
        <x:v>0.3</x:v>
      </x:c>
      <x:c r="L10" s="10" t="n">
        <x:v>0.25</x:v>
      </x:c>
      <x:c r="M10" s="10" t="n">
        <x:v>0.45</x:v>
      </x:c>
      <x:c r="N10" s="10" t="n">
        <x:f>SUM(I10:M10)</x:f>
        <x:v>1.675</x:v>
      </x:c>
      <x:c r="O10" s="10" t="n">
        <x:v>15.1</x:v>
      </x:c>
      <x:c r="P10" s="10" t="n">
        <x:f>N10+O10</x:f>
        <x:v>16.775</x:v>
      </x:c>
    </x:row>
    <x:row r="11" ht="35" customHeight="1">
      <x:c r="A11" s="9" t="str">
        <x:v>SYN-G01-03</x:v>
      </x:c>
      <x:c r="B11" s="9" t="str">
        <x:v>B</x:v>
      </x:c>
      <x:c r="C11" s="9" t="str">
        <x:v>G01</x:v>
      </x:c>
      <x:c r="D11" s="10" t="n">
        <x:v>0.08</x:v>
      </x:c>
      <x:c r="E11" s="10" t="n">
        <x:v>0.084</x:v>
      </x:c>
      <x:c r="F11" s="10" t="n">
        <x:v>0</x:v>
      </x:c>
      <x:c r="G11" s="10" t="n">
        <x:v>0.336</x:v>
      </x:c>
      <x:c r="H11" s="10" t="n">
        <x:v>0.1</x:v>
      </x:c>
      <x:c r="I11" s="10" t="n">
        <x:f>SUM(D11:H11)</x:f>
        <x:v>0.6</x:v>
      </x:c>
      <x:c r="J11" s="10" t="n">
        <x:v>0.175</x:v>
      </x:c>
      <x:c r="K11" s="10" t="n">
        <x:v>0.3</x:v>
      </x:c>
      <x:c r="L11" s="10" t="n">
        <x:v>0.25</x:v>
      </x:c>
      <x:c r="M11" s="10" t="n">
        <x:v>0.45</x:v>
      </x:c>
      <x:c r="N11" s="10" t="n">
        <x:f>SUM(I11:M11)</x:f>
        <x:v>1.775</x:v>
      </x:c>
      <x:c r="O11" s="10" t="n">
        <x:v>15.1</x:v>
      </x:c>
      <x:c r="P11" s="10" t="n">
        <x:f>N11+O11</x:f>
        <x:v>16.875</x:v>
      </x:c>
    </x:row>
    <x:row r="12" ht="35" customHeight="1">
      <x:c r="A12" s="9" t="str">
        <x:v>SYN-G01-04</x:v>
      </x:c>
      <x:c r="B12" s="9" t="str">
        <x:v>A</x:v>
      </x:c>
      <x:c r="C12" s="9" t="str">
        <x:v>G01</x:v>
      </x:c>
      <x:c r="D12" s="10" t="n">
        <x:v>0.08</x:v>
      </x:c>
      <x:c r="E12" s="10" t="n">
        <x:v>0.104</x:v>
      </x:c>
      <x:c r="F12" s="10" t="n">
        <x:v>0</x:v>
      </x:c>
      <x:c r="G12" s="10" t="n">
        <x:v>0.236</x:v>
      </x:c>
      <x:c r="H12" s="10" t="n">
        <x:v>0.1</x:v>
      </x:c>
      <x:c r="I12" s="10" t="n">
        <x:f>SUM(D12:H12)</x:f>
        <x:v>0.52</x:v>
      </x:c>
      <x:c r="J12" s="10" t="n">
        <x:v>0.185</x:v>
      </x:c>
      <x:c r="K12" s="10" t="n">
        <x:v>0.3</x:v>
      </x:c>
      <x:c r="L12" s="10" t="n">
        <x:v>0.25</x:v>
      </x:c>
      <x:c r="M12" s="10" t="n">
        <x:v>0.45</x:v>
      </x:c>
      <x:c r="N12" s="10" t="n">
        <x:f>SUM(I12:M12)</x:f>
        <x:v>1.705</x:v>
      </x:c>
      <x:c r="O12" s="10" t="n">
        <x:v>16.5</x:v>
      </x:c>
      <x:c r="P12" s="10" t="n">
        <x:f>N12+O12</x:f>
        <x:v>18.205</x:v>
      </x:c>
    </x:row>
    <x:row r="13" ht="35" customHeight="1">
      <x:c r="A13" s="9" t="str">
        <x:v>SYN-G01-04</x:v>
      </x:c>
      <x:c r="B13" s="9" t="str">
        <x:v>B</x:v>
      </x:c>
      <x:c r="C13" s="9" t="str">
        <x:v>G01</x:v>
      </x:c>
      <x:c r="D13" s="10" t="n">
        <x:v>0.08</x:v>
      </x:c>
      <x:c r="E13" s="10" t="n">
        <x:v>0.087</x:v>
      </x:c>
      <x:c r="F13" s="10" t="n">
        <x:v>0</x:v>
      </x:c>
      <x:c r="G13" s="10" t="n">
        <x:v>0.353</x:v>
      </x:c>
      <x:c r="H13" s="10" t="n">
        <x:v>0.1</x:v>
      </x:c>
      <x:c r="I13" s="10" t="n">
        <x:f>SUM(D13:H13)</x:f>
        <x:v>0.62</x:v>
      </x:c>
      <x:c r="J13" s="10" t="n">
        <x:v>0.185</x:v>
      </x:c>
      <x:c r="K13" s="10" t="n">
        <x:v>0.3</x:v>
      </x:c>
      <x:c r="L13" s="10" t="n">
        <x:v>0.25</x:v>
      </x:c>
      <x:c r="M13" s="10" t="n">
        <x:v>0.45</x:v>
      </x:c>
      <x:c r="N13" s="10" t="n">
        <x:f>SUM(I13:M13)</x:f>
        <x:v>1.805</x:v>
      </x:c>
      <x:c r="O13" s="10" t="n">
        <x:v>16.5</x:v>
      </x:c>
      <x:c r="P13" s="10" t="n">
        <x:f>N13+O13</x:f>
        <x:v>18.305</x:v>
      </x:c>
    </x:row>
    <x:row r="14" ht="35" customHeight="1">
      <x:c r="A14" s="9" t="str">
        <x:v>SYN-G01-05</x:v>
      </x:c>
      <x:c r="B14" s="9" t="str">
        <x:v>A</x:v>
      </x:c>
      <x:c r="C14" s="9" t="str">
        <x:v>G01</x:v>
      </x:c>
      <x:c r="D14" s="10" t="n">
        <x:v>0.08</x:v>
      </x:c>
      <x:c r="E14" s="10" t="n">
        <x:v>0.108</x:v>
      </x:c>
      <x:c r="F14" s="10" t="n">
        <x:v>0</x:v>
      </x:c>
      <x:c r="G14" s="10" t="n">
        <x:v>0.252</x:v>
      </x:c>
      <x:c r="H14" s="10" t="n">
        <x:v>0.1</x:v>
      </x:c>
      <x:c r="I14" s="10" t="n">
        <x:f>SUM(D14:H14)</x:f>
        <x:v>0.54</x:v>
      </x:c>
      <x:c r="J14" s="10" t="n">
        <x:v>0.195</x:v>
      </x:c>
      <x:c r="K14" s="10" t="n">
        <x:v>0.3</x:v>
      </x:c>
      <x:c r="L14" s="10" t="n">
        <x:v>0.25</x:v>
      </x:c>
      <x:c r="M14" s="10" t="n">
        <x:v>0.45</x:v>
      </x:c>
      <x:c r="N14" s="10" t="n">
        <x:f>SUM(I14:M14)</x:f>
        <x:v>1.735</x:v>
      </x:c>
      <x:c r="O14" s="10" t="n">
        <x:v>17.9</x:v>
      </x:c>
      <x:c r="P14" s="10" t="n">
        <x:f>N14+O14</x:f>
        <x:v>19.634999999999998</x:v>
      </x:c>
    </x:row>
    <x:row r="15" ht="35" customHeight="1">
      <x:c r="A15" s="9" t="str">
        <x:v>SYN-G01-05</x:v>
      </x:c>
      <x:c r="B15" s="9" t="str">
        <x:v>B</x:v>
      </x:c>
      <x:c r="C15" s="9" t="str">
        <x:v>G01</x:v>
      </x:c>
      <x:c r="D15" s="10" t="n">
        <x:v>0.08</x:v>
      </x:c>
      <x:c r="E15" s="10" t="n">
        <x:v>0.09</x:v>
      </x:c>
      <x:c r="F15" s="10" t="n">
        <x:v>0</x:v>
      </x:c>
      <x:c r="G15" s="10" t="n">
        <x:v>0.37</x:v>
      </x:c>
      <x:c r="H15" s="10" t="n">
        <x:v>0.1</x:v>
      </x:c>
      <x:c r="I15" s="10" t="n">
        <x:f>SUM(D15:H15)</x:f>
        <x:v>0.64</x:v>
      </x:c>
      <x:c r="J15" s="10" t="n">
        <x:v>0.195</x:v>
      </x:c>
      <x:c r="K15" s="10" t="n">
        <x:v>0.3</x:v>
      </x:c>
      <x:c r="L15" s="10" t="n">
        <x:v>0.25</x:v>
      </x:c>
      <x:c r="M15" s="10" t="n">
        <x:v>0.45</x:v>
      </x:c>
      <x:c r="N15" s="10" t="n">
        <x:f>SUM(I15:M15)</x:f>
        <x:v>1.835</x:v>
      </x:c>
      <x:c r="O15" s="10" t="n">
        <x:v>17.9</x:v>
      </x:c>
      <x:c r="P15" s="10" t="n">
        <x:f>N15+O15</x:f>
        <x:v>19.735</x:v>
      </x:c>
    </x:row>
    <x:row r="16" ht="35" customHeight="1">
      <x:c r="A16" s="9" t="str">
        <x:v>SYN-G01-06</x:v>
      </x:c>
      <x:c r="B16" s="9" t="str">
        <x:v>A</x:v>
      </x:c>
      <x:c r="C16" s="9" t="str">
        <x:v>G01</x:v>
      </x:c>
      <x:c r="D16" s="10" t="n">
        <x:v>0.08</x:v>
      </x:c>
      <x:c r="E16" s="10" t="n">
        <x:v>0.112</x:v>
      </x:c>
      <x:c r="F16" s="10" t="n">
        <x:v>0</x:v>
      </x:c>
      <x:c r="G16" s="10" t="n">
        <x:v>0.268</x:v>
      </x:c>
      <x:c r="H16" s="10" t="n">
        <x:v>0.1</x:v>
      </x:c>
      <x:c r="I16" s="10" t="n">
        <x:f>SUM(D16:H16)</x:f>
        <x:v>0.56</x:v>
      </x:c>
      <x:c r="J16" s="10" t="n">
        <x:v>0.205</x:v>
      </x:c>
      <x:c r="K16" s="10" t="n">
        <x:v>0.3</x:v>
      </x:c>
      <x:c r="L16" s="10" t="n">
        <x:v>0.25</x:v>
      </x:c>
      <x:c r="M16" s="10" t="n">
        <x:v>0.45</x:v>
      </x:c>
      <x:c r="N16" s="10" t="n">
        <x:f>SUM(I16:M16)</x:f>
        <x:v>1.765</x:v>
      </x:c>
      <x:c r="O16" s="10" t="n">
        <x:v>19.3</x:v>
      </x:c>
      <x:c r="P16" s="10" t="n">
        <x:f>N16+O16</x:f>
        <x:v>21.065</x:v>
      </x:c>
    </x:row>
    <x:row r="17" ht="35" customHeight="1">
      <x:c r="A17" s="9" t="str">
        <x:v>SYN-G01-06</x:v>
      </x:c>
      <x:c r="B17" s="9" t="str">
        <x:v>B</x:v>
      </x:c>
      <x:c r="C17" s="9" t="str">
        <x:v>G01</x:v>
      </x:c>
      <x:c r="D17" s="10" t="n">
        <x:v>0.08</x:v>
      </x:c>
      <x:c r="E17" s="10" t="n">
        <x:v>0.092</x:v>
      </x:c>
      <x:c r="F17" s="10" t="n">
        <x:v>0</x:v>
      </x:c>
      <x:c r="G17" s="10" t="n">
        <x:v>0.388</x:v>
      </x:c>
      <x:c r="H17" s="10" t="n">
        <x:v>0.1</x:v>
      </x:c>
      <x:c r="I17" s="10" t="n">
        <x:f>SUM(D17:H17)</x:f>
        <x:v>0.66</x:v>
      </x:c>
      <x:c r="J17" s="10" t="n">
        <x:v>0.205</x:v>
      </x:c>
      <x:c r="K17" s="10" t="n">
        <x:v>0.3</x:v>
      </x:c>
      <x:c r="L17" s="10" t="n">
        <x:v>0.25</x:v>
      </x:c>
      <x:c r="M17" s="10" t="n">
        <x:v>0.45</x:v>
      </x:c>
      <x:c r="N17" s="10" t="n">
        <x:f>SUM(I17:M17)</x:f>
        <x:v>1.865</x:v>
      </x:c>
      <x:c r="O17" s="10" t="n">
        <x:v>19.3</x:v>
      </x:c>
      <x:c r="P17" s="10" t="n">
        <x:f>N17+O17</x:f>
        <x:v>21.165</x:v>
      </x:c>
    </x:row>
    <x:row r="18" ht="35" customHeight="1">
      <x:c r="A18" s="9" t="str">
        <x:v>SYN-G01-07</x:v>
      </x:c>
      <x:c r="B18" s="9" t="str">
        <x:v>A</x:v>
      </x:c>
      <x:c r="C18" s="9" t="str">
        <x:v>G01</x:v>
      </x:c>
      <x:c r="D18" s="10" t="n">
        <x:v>0.08</x:v>
      </x:c>
      <x:c r="E18" s="10" t="n">
        <x:v>0.116</x:v>
      </x:c>
      <x:c r="F18" s="10" t="n">
        <x:v>0</x:v>
      </x:c>
      <x:c r="G18" s="10" t="n">
        <x:v>0.284</x:v>
      </x:c>
      <x:c r="H18" s="10" t="n">
        <x:v>0.1</x:v>
      </x:c>
      <x:c r="I18" s="10" t="n">
        <x:f>SUM(D18:H18)</x:f>
        <x:v>0.58</x:v>
      </x:c>
      <x:c r="J18" s="10" t="n">
        <x:v>0.215</x:v>
      </x:c>
      <x:c r="K18" s="10" t="n">
        <x:v>0.3</x:v>
      </x:c>
      <x:c r="L18" s="10" t="n">
        <x:v>0.25</x:v>
      </x:c>
      <x:c r="M18" s="10" t="n">
        <x:v>0.45</x:v>
      </x:c>
      <x:c r="N18" s="10" t="n">
        <x:f>SUM(I18:M18)</x:f>
        <x:v>1.795</x:v>
      </x:c>
      <x:c r="O18" s="10" t="n">
        <x:v>20.7</x:v>
      </x:c>
      <x:c r="P18" s="10" t="n">
        <x:f>N18+O18</x:f>
        <x:v>22.494999999999997</x:v>
      </x:c>
    </x:row>
    <x:row r="19" ht="35" customHeight="1">
      <x:c r="A19" s="9" t="str">
        <x:v>SYN-G01-07</x:v>
      </x:c>
      <x:c r="B19" s="9" t="str">
        <x:v>B</x:v>
      </x:c>
      <x:c r="C19" s="9" t="str">
        <x:v>G01</x:v>
      </x:c>
      <x:c r="D19" s="10" t="n">
        <x:v>0.08</x:v>
      </x:c>
      <x:c r="E19" s="10" t="n">
        <x:v>0.095</x:v>
      </x:c>
      <x:c r="F19" s="10" t="n">
        <x:v>0</x:v>
      </x:c>
      <x:c r="G19" s="10" t="n">
        <x:v>0.405</x:v>
      </x:c>
      <x:c r="H19" s="10" t="n">
        <x:v>0.1</x:v>
      </x:c>
      <x:c r="I19" s="10" t="n">
        <x:f>SUM(D19:H19)</x:f>
        <x:v>0.68</x:v>
      </x:c>
      <x:c r="J19" s="10" t="n">
        <x:v>0.215</x:v>
      </x:c>
      <x:c r="K19" s="10" t="n">
        <x:v>0.3</x:v>
      </x:c>
      <x:c r="L19" s="10" t="n">
        <x:v>0.25</x:v>
      </x:c>
      <x:c r="M19" s="10" t="n">
        <x:v>0.45</x:v>
      </x:c>
      <x:c r="N19" s="10" t="n">
        <x:f>SUM(I19:M19)</x:f>
        <x:v>1.895</x:v>
      </x:c>
      <x:c r="O19" s="10" t="n">
        <x:v>20.7</x:v>
      </x:c>
      <x:c r="P19" s="10" t="n">
        <x:f>N19+O19</x:f>
        <x:v>22.595</x:v>
      </x:c>
    </x:row>
    <x:row r="20" ht="35" customHeight="1">
      <x:c r="A20" s="9" t="str">
        <x:v>SYN-G01-08</x:v>
      </x:c>
      <x:c r="B20" s="9" t="str">
        <x:v>A</x:v>
      </x:c>
      <x:c r="C20" s="9" t="str">
        <x:v>G01</x:v>
      </x:c>
      <x:c r="D20" s="10" t="n">
        <x:v>0.08</x:v>
      </x:c>
      <x:c r="E20" s="10" t="n">
        <x:v>0.12</x:v>
      </x:c>
      <x:c r="F20" s="10" t="n">
        <x:v>0</x:v>
      </x:c>
      <x:c r="G20" s="10" t="n">
        <x:v>0.3</x:v>
      </x:c>
      <x:c r="H20" s="10" t="n">
        <x:v>0.1</x:v>
      </x:c>
      <x:c r="I20" s="10" t="n">
        <x:f>SUM(D20:H20)</x:f>
        <x:v>0.6</x:v>
      </x:c>
      <x:c r="J20" s="10" t="n">
        <x:v>0.225</x:v>
      </x:c>
      <x:c r="K20" s="10" t="n">
        <x:v>0.3</x:v>
      </x:c>
      <x:c r="L20" s="10" t="n">
        <x:v>0.25</x:v>
      </x:c>
      <x:c r="M20" s="10" t="n">
        <x:v>0.45</x:v>
      </x:c>
      <x:c r="N20" s="10" t="n">
        <x:f>SUM(I20:M20)</x:f>
        <x:v>1.825</x:v>
      </x:c>
      <x:c r="O20" s="10" t="n">
        <x:v>22.1</x:v>
      </x:c>
      <x:c r="P20" s="10" t="n">
        <x:f>N20+O20</x:f>
        <x:v>23.925</x:v>
      </x:c>
    </x:row>
    <x:row r="21" ht="35" customHeight="1">
      <x:c r="A21" s="9" t="str">
        <x:v>SYN-G01-08</x:v>
      </x:c>
      <x:c r="B21" s="9" t="str">
        <x:v>B</x:v>
      </x:c>
      <x:c r="C21" s="9" t="str">
        <x:v>G01</x:v>
      </x:c>
      <x:c r="D21" s="10" t="n">
        <x:v>0.08</x:v>
      </x:c>
      <x:c r="E21" s="10" t="n">
        <x:v>0.098</x:v>
      </x:c>
      <x:c r="F21" s="10" t="n">
        <x:v>0</x:v>
      </x:c>
      <x:c r="G21" s="10" t="n">
        <x:v>0.422</x:v>
      </x:c>
      <x:c r="H21" s="10" t="n">
        <x:v>0.1</x:v>
      </x:c>
      <x:c r="I21" s="10" t="n">
        <x:f>SUM(D21:H21)</x:f>
        <x:v>0.7</x:v>
      </x:c>
      <x:c r="J21" s="10" t="n">
        <x:v>0.225</x:v>
      </x:c>
      <x:c r="K21" s="10" t="n">
        <x:v>0.3</x:v>
      </x:c>
      <x:c r="L21" s="10" t="n">
        <x:v>0.25</x:v>
      </x:c>
      <x:c r="M21" s="10" t="n">
        <x:v>0.45</x:v>
      </x:c>
      <x:c r="N21" s="10" t="n">
        <x:f>SUM(I21:M21)</x:f>
        <x:v>1.9249999999999998</x:v>
      </x:c>
      <x:c r="O21" s="10" t="n">
        <x:v>22.1</x:v>
      </x:c>
      <x:c r="P21" s="10" t="n">
        <x:f>N21+O21</x:f>
        <x:v>24.025000000000002</x:v>
      </x:c>
    </x:row>
    <x:row r="22" ht="35" customHeight="1">
      <x:c r="A22" s="9" t="str">
        <x:v>SYN-G01-09</x:v>
      </x:c>
      <x:c r="B22" s="9" t="str">
        <x:v>A</x:v>
      </x:c>
      <x:c r="C22" s="9" t="str">
        <x:v>G01</x:v>
      </x:c>
      <x:c r="D22" s="10" t="n">
        <x:v>0.08</x:v>
      </x:c>
      <x:c r="E22" s="10" t="n">
        <x:v>0.124</x:v>
      </x:c>
      <x:c r="F22" s="10" t="n">
        <x:v>0</x:v>
      </x:c>
      <x:c r="G22" s="10" t="n">
        <x:v>0.316</x:v>
      </x:c>
      <x:c r="H22" s="10" t="n">
        <x:v>0.1</x:v>
      </x:c>
      <x:c r="I22" s="10" t="n">
        <x:f>SUM(D22:H22)</x:f>
        <x:v>0.62</x:v>
      </x:c>
      <x:c r="J22" s="10" t="n">
        <x:v>0.235</x:v>
      </x:c>
      <x:c r="K22" s="10" t="n">
        <x:v>0.3</x:v>
      </x:c>
      <x:c r="L22" s="10" t="n">
        <x:v>0.25</x:v>
      </x:c>
      <x:c r="M22" s="10" t="n">
        <x:v>0.45</x:v>
      </x:c>
      <x:c r="N22" s="10" t="n">
        <x:f>SUM(I22:M22)</x:f>
        <x:v>1.855</x:v>
      </x:c>
      <x:c r="O22" s="10" t="n">
        <x:v>23.5</x:v>
      </x:c>
      <x:c r="P22" s="10" t="n">
        <x:f>N22+O22</x:f>
        <x:v>25.355</x:v>
      </x:c>
    </x:row>
    <x:row r="23" ht="35" customHeight="1">
      <x:c r="A23" s="9" t="str">
        <x:v>SYN-G01-09</x:v>
      </x:c>
      <x:c r="B23" s="9" t="str">
        <x:v>B</x:v>
      </x:c>
      <x:c r="C23" s="9" t="str">
        <x:v>G01</x:v>
      </x:c>
      <x:c r="D23" s="10" t="n">
        <x:v>0.08</x:v>
      </x:c>
      <x:c r="E23" s="10" t="n">
        <x:v>0.101</x:v>
      </x:c>
      <x:c r="F23" s="10" t="n">
        <x:v>0</x:v>
      </x:c>
      <x:c r="G23" s="10" t="n">
        <x:v>0.439</x:v>
      </x:c>
      <x:c r="H23" s="10" t="n">
        <x:v>0.1</x:v>
      </x:c>
      <x:c r="I23" s="10" t="n">
        <x:f>SUM(D23:H23)</x:f>
        <x:v>0.72</x:v>
      </x:c>
      <x:c r="J23" s="10" t="n">
        <x:v>0.235</x:v>
      </x:c>
      <x:c r="K23" s="10" t="n">
        <x:v>0.3</x:v>
      </x:c>
      <x:c r="L23" s="10" t="n">
        <x:v>0.25</x:v>
      </x:c>
      <x:c r="M23" s="10" t="n">
        <x:v>0.45</x:v>
      </x:c>
      <x:c r="N23" s="10" t="n">
        <x:f>SUM(I23:M23)</x:f>
        <x:v>1.9549999999999998</x:v>
      </x:c>
      <x:c r="O23" s="10" t="n">
        <x:v>23.5</x:v>
      </x:c>
      <x:c r="P23" s="10" t="n">
        <x:f>N23+O23</x:f>
        <x:v>25.455</x:v>
      </x:c>
    </x:row>
    <x:row r="24" ht="35" customHeight="1">
      <x:c r="A24" s="9" t="str">
        <x:v>SYN-G01-10</x:v>
      </x:c>
      <x:c r="B24" s="9" t="str">
        <x:v>A</x:v>
      </x:c>
      <x:c r="C24" s="9" t="str">
        <x:v>G01</x:v>
      </x:c>
      <x:c r="D24" s="10" t="n">
        <x:v>0.08</x:v>
      </x:c>
      <x:c r="E24" s="10" t="n">
        <x:v>0.128</x:v>
      </x:c>
      <x:c r="F24" s="10" t="n">
        <x:v>0</x:v>
      </x:c>
      <x:c r="G24" s="10" t="n">
        <x:v>0.332</x:v>
      </x:c>
      <x:c r="H24" s="10" t="n">
        <x:v>0.1</x:v>
      </x:c>
      <x:c r="I24" s="10" t="n">
        <x:f>SUM(D24:H24)</x:f>
        <x:v>0.64</x:v>
      </x:c>
      <x:c r="J24" s="10" t="n">
        <x:v>0.245</x:v>
      </x:c>
      <x:c r="K24" s="10" t="n">
        <x:v>0.3</x:v>
      </x:c>
      <x:c r="L24" s="10" t="n">
        <x:v>0.25</x:v>
      </x:c>
      <x:c r="M24" s="10" t="n">
        <x:v>0.45</x:v>
      </x:c>
      <x:c r="N24" s="10" t="n">
        <x:f>SUM(I24:M24)</x:f>
        <x:v>1.885</x:v>
      </x:c>
      <x:c r="O24" s="10" t="n">
        <x:v>24.9</x:v>
      </x:c>
      <x:c r="P24" s="10" t="n">
        <x:f>N24+O24</x:f>
        <x:v>26.785</x:v>
      </x:c>
    </x:row>
    <x:row r="25" ht="35" customHeight="1">
      <x:c r="A25" s="9" t="str">
        <x:v>SYN-G01-10</x:v>
      </x:c>
      <x:c r="B25" s="9" t="str">
        <x:v>B</x:v>
      </x:c>
      <x:c r="C25" s="9" t="str">
        <x:v>G01</x:v>
      </x:c>
      <x:c r="D25" s="10" t="n">
        <x:v>0.08</x:v>
      </x:c>
      <x:c r="E25" s="10" t="n">
        <x:v>0.104</x:v>
      </x:c>
      <x:c r="F25" s="10" t="n">
        <x:v>0</x:v>
      </x:c>
      <x:c r="G25" s="10" t="n">
        <x:v>0.456</x:v>
      </x:c>
      <x:c r="H25" s="10" t="n">
        <x:v>0.1</x:v>
      </x:c>
      <x:c r="I25" s="10" t="n">
        <x:f>SUM(D25:H25)</x:f>
        <x:v>0.74</x:v>
      </x:c>
      <x:c r="J25" s="10" t="n">
        <x:v>0.245</x:v>
      </x:c>
      <x:c r="K25" s="10" t="n">
        <x:v>0.3</x:v>
      </x:c>
      <x:c r="L25" s="10" t="n">
        <x:v>0.25</x:v>
      </x:c>
      <x:c r="M25" s="10" t="n">
        <x:v>0.45</x:v>
      </x:c>
      <x:c r="N25" s="10" t="n">
        <x:f>SUM(I25:M25)</x:f>
        <x:v>1.9849999999999999</x:v>
      </x:c>
      <x:c r="O25" s="10" t="n">
        <x:v>24.9</x:v>
      </x:c>
      <x:c r="P25" s="10" t="n">
        <x:f>N25+O25</x:f>
        <x:v>26.884999999999998</x:v>
      </x:c>
    </x:row>
    <x:row r="26" ht="35" customHeight="1">
      <x:c r="A26" s="9" t="str">
        <x:v>SYN-G02-01</x:v>
      </x:c>
      <x:c r="B26" s="9" t="str">
        <x:v>A</x:v>
      </x:c>
      <x:c r="C26" s="9" t="str">
        <x:v>G02</x:v>
      </x:c>
      <x:c r="D26" s="10" t="n">
        <x:v>0.08</x:v>
      </x:c>
      <x:c r="E26" s="10" t="n">
        <x:v>0.602</x:v>
      </x:c>
      <x:c r="F26" s="10" t="n">
        <x:v>1.294</x:v>
      </x:c>
      <x:c r="G26" s="10" t="n">
        <x:v>0.934</x:v>
      </x:c>
      <x:c r="H26" s="10" t="n">
        <x:v>0.1</x:v>
      </x:c>
      <x:c r="I26" s="10" t="n">
        <x:f>SUM(D26:H26)</x:f>
        <x:v>3.0100000000000002</x:v>
      </x:c>
      <x:c r="J26" s="10" t="n">
        <x:v>0.755</x:v>
      </x:c>
      <x:c r="K26" s="10" t="n">
        <x:v>0.3</x:v>
      </x:c>
      <x:c r="L26" s="10" t="n">
        <x:v>0.25</x:v>
      </x:c>
      <x:c r="M26" s="10" t="n">
        <x:v>0.45</x:v>
      </x:c>
      <x:c r="N26" s="10" t="n">
        <x:f>SUM(I26:M26)</x:f>
        <x:v>4.765000000000001</x:v>
      </x:c>
      <x:c r="O26" s="10" t="n">
        <x:v>12.6</x:v>
      </x:c>
      <x:c r="P26" s="10" t="n">
        <x:f>N26+O26</x:f>
        <x:v>17.365000000000002</x:v>
      </x:c>
    </x:row>
    <x:row r="27" ht="35" customHeight="1">
      <x:c r="A27" s="9" t="str">
        <x:v>SYN-G02-01</x:v>
      </x:c>
      <x:c r="B27" s="9" t="str">
        <x:v>B</x:v>
      </x:c>
      <x:c r="C27" s="9" t="str">
        <x:v>G02</x:v>
      </x:c>
      <x:c r="D27" s="10" t="n">
        <x:v>0.08</x:v>
      </x:c>
      <x:c r="E27" s="10" t="n">
        <x:v>0.106</x:v>
      </x:c>
      <x:c r="F27" s="10" t="n">
        <x:v>0.061</x:v>
      </x:c>
      <x:c r="G27" s="10" t="n">
        <x:v>0.413</x:v>
      </x:c>
      <x:c r="H27" s="10" t="n">
        <x:v>0.1</x:v>
      </x:c>
      <x:c r="I27" s="10" t="n">
        <x:f>SUM(D27:H27)</x:f>
        <x:v>0.7599999999999999</x:v>
      </x:c>
      <x:c r="J27" s="10" t="n">
        <x:v>0.055</x:v>
      </x:c>
      <x:c r="K27" s="10" t="n">
        <x:v>0.3</x:v>
      </x:c>
      <x:c r="L27" s="10" t="n">
        <x:v>0.25</x:v>
      </x:c>
      <x:c r="M27" s="10" t="n">
        <x:v>0.45</x:v>
      </x:c>
      <x:c r="N27" s="10" t="n">
        <x:f>SUM(I27:M27)</x:f>
        <x:v>1.815</x:v>
      </x:c>
      <x:c r="O27" s="10" t="n">
        <x:v>12.6</x:v>
      </x:c>
      <x:c r="P27" s="10" t="n">
        <x:f>N27+O27</x:f>
        <x:v>14.415</x:v>
      </x:c>
    </x:row>
    <x:row r="28" ht="35" customHeight="1">
      <x:c r="A28" s="9" t="str">
        <x:v>SYN-G02-02</x:v>
      </x:c>
      <x:c r="B28" s="9" t="str">
        <x:v>A</x:v>
      </x:c>
      <x:c r="C28" s="9" t="str">
        <x:v>G02</x:v>
      </x:c>
      <x:c r="D28" s="10" t="n">
        <x:v>0.08</x:v>
      </x:c>
      <x:c r="E28" s="10" t="n">
        <x:v>0.606</x:v>
      </x:c>
      <x:c r="F28" s="10" t="n">
        <x:v>1.303</x:v>
      </x:c>
      <x:c r="G28" s="10" t="n">
        <x:v>0.941</x:v>
      </x:c>
      <x:c r="H28" s="10" t="n">
        <x:v>0.1</x:v>
      </x:c>
      <x:c r="I28" s="10" t="n">
        <x:f>SUM(D28:H28)</x:f>
        <x:v>3.03</x:v>
      </x:c>
      <x:c r="J28" s="10" t="n">
        <x:v>0.765</x:v>
      </x:c>
      <x:c r="K28" s="10" t="n">
        <x:v>0.3</x:v>
      </x:c>
      <x:c r="L28" s="10" t="n">
        <x:v>0.25</x:v>
      </x:c>
      <x:c r="M28" s="10" t="n">
        <x:v>0.45</x:v>
      </x:c>
      <x:c r="N28" s="10" t="n">
        <x:f>SUM(I28:M28)</x:f>
        <x:v>4.795</x:v>
      </x:c>
      <x:c r="O28" s="10" t="n">
        <x:v>14</x:v>
      </x:c>
      <x:c r="P28" s="10" t="n">
        <x:f>N28+O28</x:f>
        <x:v>18.795</x:v>
      </x:c>
    </x:row>
    <x:row r="29" ht="35" customHeight="1">
      <x:c r="A29" s="9" t="str">
        <x:v>SYN-G02-02</x:v>
      </x:c>
      <x:c r="B29" s="9" t="str">
        <x:v>B</x:v>
      </x:c>
      <x:c r="C29" s="9" t="str">
        <x:v>G02</x:v>
      </x:c>
      <x:c r="D29" s="10" t="n">
        <x:v>0.08</x:v>
      </x:c>
      <x:c r="E29" s="10" t="n">
        <x:v>0.109</x:v>
      </x:c>
      <x:c r="F29" s="10" t="n">
        <x:v>0.062</x:v>
      </x:c>
      <x:c r="G29" s="10" t="n">
        <x:v>0.429</x:v>
      </x:c>
      <x:c r="H29" s="10" t="n">
        <x:v>0.1</x:v>
      </x:c>
      <x:c r="I29" s="10" t="n">
        <x:f>SUM(D29:H29)</x:f>
        <x:v>0.7799999999999999</x:v>
      </x:c>
      <x:c r="J29" s="10" t="n">
        <x:v>0.065</x:v>
      </x:c>
      <x:c r="K29" s="10" t="n">
        <x:v>0.3</x:v>
      </x:c>
      <x:c r="L29" s="10" t="n">
        <x:v>0.25</x:v>
      </x:c>
      <x:c r="M29" s="10" t="n">
        <x:v>0.45</x:v>
      </x:c>
      <x:c r="N29" s="10" t="n">
        <x:f>SUM(I29:M29)</x:f>
        <x:v>1.845</x:v>
      </x:c>
      <x:c r="O29" s="10" t="n">
        <x:v>14</x:v>
      </x:c>
      <x:c r="P29" s="10" t="n">
        <x:f>N29+O29</x:f>
        <x:v>15.845</x:v>
      </x:c>
    </x:row>
    <x:row r="30" ht="35" customHeight="1">
      <x:c r="A30" s="9" t="str">
        <x:v>SYN-G02-03</x:v>
      </x:c>
      <x:c r="B30" s="9" t="str">
        <x:v>A</x:v>
      </x:c>
      <x:c r="C30" s="9" t="str">
        <x:v>G02</x:v>
      </x:c>
      <x:c r="D30" s="10" t="n">
        <x:v>0.08</x:v>
      </x:c>
      <x:c r="E30" s="10" t="n">
        <x:v>0.61</x:v>
      </x:c>
      <x:c r="F30" s="10" t="n">
        <x:v>1.312</x:v>
      </x:c>
      <x:c r="G30" s="10" t="n">
        <x:v>0.948</x:v>
      </x:c>
      <x:c r="H30" s="10" t="n">
        <x:v>0.1</x:v>
      </x:c>
      <x:c r="I30" s="10" t="n">
        <x:f>SUM(D30:H30)</x:f>
        <x:v>3.05</x:v>
      </x:c>
      <x:c r="J30" s="10" t="n">
        <x:v>0.775</x:v>
      </x:c>
      <x:c r="K30" s="10" t="n">
        <x:v>0.3</x:v>
      </x:c>
      <x:c r="L30" s="10" t="n">
        <x:v>0.25</x:v>
      </x:c>
      <x:c r="M30" s="10" t="n">
        <x:v>0.45</x:v>
      </x:c>
      <x:c r="N30" s="10" t="n">
        <x:f>SUM(I30:M30)</x:f>
        <x:v>4.825</x:v>
      </x:c>
      <x:c r="O30" s="10" t="n">
        <x:v>15.4</x:v>
      </x:c>
      <x:c r="P30" s="10" t="n">
        <x:f>N30+O30</x:f>
        <x:v>20.225</x:v>
      </x:c>
    </x:row>
    <x:row r="31" ht="35" customHeight="1">
      <x:c r="A31" s="9" t="str">
        <x:v>SYN-G02-03</x:v>
      </x:c>
      <x:c r="B31" s="9" t="str">
        <x:v>B</x:v>
      </x:c>
      <x:c r="C31" s="9" t="str">
        <x:v>G02</x:v>
      </x:c>
      <x:c r="D31" s="10" t="n">
        <x:v>0.08</x:v>
      </x:c>
      <x:c r="E31" s="10" t="n">
        <x:v>0.112</x:v>
      </x:c>
      <x:c r="F31" s="10" t="n">
        <x:v>0.064</x:v>
      </x:c>
      <x:c r="G31" s="10" t="n">
        <x:v>0.444</x:v>
      </x:c>
      <x:c r="H31" s="10" t="n">
        <x:v>0.1</x:v>
      </x:c>
      <x:c r="I31" s="10" t="n">
        <x:f>SUM(D31:H31)</x:f>
        <x:v>0.7999999999999999</x:v>
      </x:c>
      <x:c r="J31" s="10" t="n">
        <x:v>0.075</x:v>
      </x:c>
      <x:c r="K31" s="10" t="n">
        <x:v>0.3</x:v>
      </x:c>
      <x:c r="L31" s="10" t="n">
        <x:v>0.25</x:v>
      </x:c>
      <x:c r="M31" s="10" t="n">
        <x:v>0.45</x:v>
      </x:c>
      <x:c r="N31" s="10" t="n">
        <x:f>SUM(I31:M31)</x:f>
        <x:v>1.8749999999999998</x:v>
      </x:c>
      <x:c r="O31" s="10" t="n">
        <x:v>15.4</x:v>
      </x:c>
      <x:c r="P31" s="10" t="n">
        <x:f>N31+O31</x:f>
        <x:v>17.275</x:v>
      </x:c>
    </x:row>
    <x:row r="32" ht="35" customHeight="1">
      <x:c r="A32" s="9" t="str">
        <x:v>SYN-G02-04</x:v>
      </x:c>
      <x:c r="B32" s="9" t="str">
        <x:v>A</x:v>
      </x:c>
      <x:c r="C32" s="9" t="str">
        <x:v>G02</x:v>
      </x:c>
      <x:c r="D32" s="10" t="n">
        <x:v>0.08</x:v>
      </x:c>
      <x:c r="E32" s="10" t="n">
        <x:v>0.614</x:v>
      </x:c>
      <x:c r="F32" s="10" t="n">
        <x:v>1.32</x:v>
      </x:c>
      <x:c r="G32" s="10" t="n">
        <x:v>0.956</x:v>
      </x:c>
      <x:c r="H32" s="10" t="n">
        <x:v>0.1</x:v>
      </x:c>
      <x:c r="I32" s="10" t="n">
        <x:f>SUM(D32:H32)</x:f>
        <x:v>3.0700000000000003</x:v>
      </x:c>
      <x:c r="J32" s="10" t="n">
        <x:v>0.785</x:v>
      </x:c>
      <x:c r="K32" s="10" t="n">
        <x:v>0.3</x:v>
      </x:c>
      <x:c r="L32" s="10" t="n">
        <x:v>0.25</x:v>
      </x:c>
      <x:c r="M32" s="10" t="n">
        <x:v>0.45</x:v>
      </x:c>
      <x:c r="N32" s="10" t="n">
        <x:f>SUM(I32:M32)</x:f>
        <x:v>4.855</x:v>
      </x:c>
      <x:c r="O32" s="10" t="n">
        <x:v>16.8</x:v>
      </x:c>
      <x:c r="P32" s="10" t="n">
        <x:f>N32+O32</x:f>
        <x:v>21.655</x:v>
      </x:c>
    </x:row>
    <x:row r="33" ht="35" customHeight="1">
      <x:c r="A33" s="9" t="str">
        <x:v>SYN-G02-04</x:v>
      </x:c>
      <x:c r="B33" s="9" t="str">
        <x:v>B</x:v>
      </x:c>
      <x:c r="C33" s="9" t="str">
        <x:v>G02</x:v>
      </x:c>
      <x:c r="D33" s="10" t="n">
        <x:v>0.08</x:v>
      </x:c>
      <x:c r="E33" s="10" t="n">
        <x:v>0.115</x:v>
      </x:c>
      <x:c r="F33" s="10" t="n">
        <x:v>0.066</x:v>
      </x:c>
      <x:c r="G33" s="10" t="n">
        <x:v>0.459</x:v>
      </x:c>
      <x:c r="H33" s="10" t="n">
        <x:v>0.1</x:v>
      </x:c>
      <x:c r="I33" s="10" t="n">
        <x:f>SUM(D33:H33)</x:f>
        <x:v>0.82</x:v>
      </x:c>
      <x:c r="J33" s="10" t="n">
        <x:v>0.085</x:v>
      </x:c>
      <x:c r="K33" s="10" t="n">
        <x:v>0.3</x:v>
      </x:c>
      <x:c r="L33" s="10" t="n">
        <x:v>0.25</x:v>
      </x:c>
      <x:c r="M33" s="10" t="n">
        <x:v>0.45</x:v>
      </x:c>
      <x:c r="N33" s="10" t="n">
        <x:f>SUM(I33:M33)</x:f>
        <x:v>1.9049999999999998</x:v>
      </x:c>
      <x:c r="O33" s="10" t="n">
        <x:v>16.8</x:v>
      </x:c>
      <x:c r="P33" s="10" t="n">
        <x:f>N33+O33</x:f>
        <x:v>18.705000000000002</x:v>
      </x:c>
    </x:row>
    <x:row r="34" ht="35" customHeight="1">
      <x:c r="A34" s="9" t="str">
        <x:v>SYN-G02-05</x:v>
      </x:c>
      <x:c r="B34" s="9" t="str">
        <x:v>A</x:v>
      </x:c>
      <x:c r="C34" s="9" t="str">
        <x:v>G02</x:v>
      </x:c>
      <x:c r="D34" s="10" t="n">
        <x:v>0.08</x:v>
      </x:c>
      <x:c r="E34" s="10" t="n">
        <x:v>0.618</x:v>
      </x:c>
      <x:c r="F34" s="10" t="n">
        <x:v>1.329</x:v>
      </x:c>
      <x:c r="G34" s="10" t="n">
        <x:v>0.963</x:v>
      </x:c>
      <x:c r="H34" s="10" t="n">
        <x:v>0.1</x:v>
      </x:c>
      <x:c r="I34" s="10" t="n">
        <x:f>SUM(D34:H34)</x:f>
        <x:v>3.0900000000000003</x:v>
      </x:c>
      <x:c r="J34" s="10" t="n">
        <x:v>0.795</x:v>
      </x:c>
      <x:c r="K34" s="10" t="n">
        <x:v>0.3</x:v>
      </x:c>
      <x:c r="L34" s="10" t="n">
        <x:v>0.25</x:v>
      </x:c>
      <x:c r="M34" s="10" t="n">
        <x:v>0.45</x:v>
      </x:c>
      <x:c r="N34" s="10" t="n">
        <x:f>SUM(I34:M34)</x:f>
        <x:v>4.885000000000001</x:v>
      </x:c>
      <x:c r="O34" s="10" t="n">
        <x:v>18.2</x:v>
      </x:c>
      <x:c r="P34" s="10" t="n">
        <x:f>N34+O34</x:f>
        <x:v>23.085</x:v>
      </x:c>
    </x:row>
    <x:row r="35" ht="35" customHeight="1">
      <x:c r="A35" s="9" t="str">
        <x:v>SYN-G02-05</x:v>
      </x:c>
      <x:c r="B35" s="9" t="str">
        <x:v>B</x:v>
      </x:c>
      <x:c r="C35" s="9" t="str">
        <x:v>G02</x:v>
      </x:c>
      <x:c r="D35" s="10" t="n">
        <x:v>0.08</x:v>
      </x:c>
      <x:c r="E35" s="10" t="n">
        <x:v>0.118</x:v>
      </x:c>
      <x:c r="F35" s="10" t="n">
        <x:v>0.067</x:v>
      </x:c>
      <x:c r="G35" s="10" t="n">
        <x:v>0.475</x:v>
      </x:c>
      <x:c r="H35" s="10" t="n">
        <x:v>0.1</x:v>
      </x:c>
      <x:c r="I35" s="10" t="n">
        <x:f>SUM(D35:H35)</x:f>
        <x:v>0.84</x:v>
      </x:c>
      <x:c r="J35" s="10" t="n">
        <x:v>0.095</x:v>
      </x:c>
      <x:c r="K35" s="10" t="n">
        <x:v>0.3</x:v>
      </x:c>
      <x:c r="L35" s="10" t="n">
        <x:v>0.25</x:v>
      </x:c>
      <x:c r="M35" s="10" t="n">
        <x:v>0.45</x:v>
      </x:c>
      <x:c r="N35" s="10" t="n">
        <x:f>SUM(I35:M35)</x:f>
        <x:v>1.9349999999999998</x:v>
      </x:c>
      <x:c r="O35" s="10" t="n">
        <x:v>18.2</x:v>
      </x:c>
      <x:c r="P35" s="10" t="n">
        <x:f>N35+O35</x:f>
        <x:v>20.134999999999998</x:v>
      </x:c>
    </x:row>
    <x:row r="36" ht="35" customHeight="1">
      <x:c r="A36" s="9" t="str">
        <x:v>SYN-G02-06</x:v>
      </x:c>
      <x:c r="B36" s="9" t="str">
        <x:v>A</x:v>
      </x:c>
      <x:c r="C36" s="9" t="str">
        <x:v>G02</x:v>
      </x:c>
      <x:c r="D36" s="10" t="n">
        <x:v>0.08</x:v>
      </x:c>
      <x:c r="E36" s="10" t="n">
        <x:v>0.622</x:v>
      </x:c>
      <x:c r="F36" s="10" t="n">
        <x:v>1.337</x:v>
      </x:c>
      <x:c r="G36" s="10" t="n">
        <x:v>0.971</x:v>
      </x:c>
      <x:c r="H36" s="10" t="n">
        <x:v>0.1</x:v>
      </x:c>
      <x:c r="I36" s="10" t="n">
        <x:f>SUM(D36:H36)</x:f>
        <x:v>3.11</x:v>
      </x:c>
      <x:c r="J36" s="10" t="n">
        <x:v>0.805</x:v>
      </x:c>
      <x:c r="K36" s="10" t="n">
        <x:v>0.3</x:v>
      </x:c>
      <x:c r="L36" s="10" t="n">
        <x:v>0.25</x:v>
      </x:c>
      <x:c r="M36" s="10" t="n">
        <x:v>0.45</x:v>
      </x:c>
      <x:c r="N36" s="10" t="n">
        <x:f>SUM(I36:M36)</x:f>
        <x:v>4.915</x:v>
      </x:c>
      <x:c r="O36" s="10" t="n">
        <x:v>19.6</x:v>
      </x:c>
      <x:c r="P36" s="10" t="n">
        <x:f>N36+O36</x:f>
        <x:v>24.515</x:v>
      </x:c>
    </x:row>
    <x:row r="37" ht="35" customHeight="1">
      <x:c r="A37" s="9" t="str">
        <x:v>SYN-G02-06</x:v>
      </x:c>
      <x:c r="B37" s="9" t="str">
        <x:v>B</x:v>
      </x:c>
      <x:c r="C37" s="9" t="str">
        <x:v>G02</x:v>
      </x:c>
      <x:c r="D37" s="10" t="n">
        <x:v>0.08</x:v>
      </x:c>
      <x:c r="E37" s="10" t="n">
        <x:v>0.12</x:v>
      </x:c>
      <x:c r="F37" s="10" t="n">
        <x:v>0.069</x:v>
      </x:c>
      <x:c r="G37" s="10" t="n">
        <x:v>0.491</x:v>
      </x:c>
      <x:c r="H37" s="10" t="n">
        <x:v>0.1</x:v>
      </x:c>
      <x:c r="I37" s="10" t="n">
        <x:f>SUM(D37:H37)</x:f>
        <x:v>0.86</x:v>
      </x:c>
      <x:c r="J37" s="10" t="n">
        <x:v>0.105</x:v>
      </x:c>
      <x:c r="K37" s="10" t="n">
        <x:v>0.3</x:v>
      </x:c>
      <x:c r="L37" s="10" t="n">
        <x:v>0.25</x:v>
      </x:c>
      <x:c r="M37" s="10" t="n">
        <x:v>0.45</x:v>
      </x:c>
      <x:c r="N37" s="10" t="n">
        <x:f>SUM(I37:M37)</x:f>
        <x:v>1.9649999999999999</x:v>
      </x:c>
      <x:c r="O37" s="10" t="n">
        <x:v>19.6</x:v>
      </x:c>
      <x:c r="P37" s="10" t="n">
        <x:f>N37+O37</x:f>
        <x:v>21.565</x:v>
      </x:c>
    </x:row>
    <x:row r="38" ht="35" customHeight="1">
      <x:c r="A38" s="9" t="str">
        <x:v>SYN-G02-07</x:v>
      </x:c>
      <x:c r="B38" s="9" t="str">
        <x:v>A</x:v>
      </x:c>
      <x:c r="C38" s="9" t="str">
        <x:v>G02</x:v>
      </x:c>
      <x:c r="D38" s="10" t="n">
        <x:v>0.08</x:v>
      </x:c>
      <x:c r="E38" s="10" t="n">
        <x:v>0.626</x:v>
      </x:c>
      <x:c r="F38" s="10" t="n">
        <x:v>1.346</x:v>
      </x:c>
      <x:c r="G38" s="10" t="n">
        <x:v>0.978</x:v>
      </x:c>
      <x:c r="H38" s="10" t="n">
        <x:v>0.1</x:v>
      </x:c>
      <x:c r="I38" s="10" t="n">
        <x:f>SUM(D38:H38)</x:f>
        <x:v>3.1300000000000003</x:v>
      </x:c>
      <x:c r="J38" s="10" t="n">
        <x:v>0.815</x:v>
      </x:c>
      <x:c r="K38" s="10" t="n">
        <x:v>0.3</x:v>
      </x:c>
      <x:c r="L38" s="10" t="n">
        <x:v>0.25</x:v>
      </x:c>
      <x:c r="M38" s="10" t="n">
        <x:v>0.45</x:v>
      </x:c>
      <x:c r="N38" s="10" t="n">
        <x:f>SUM(I38:M38)</x:f>
        <x:v>4.945</x:v>
      </x:c>
      <x:c r="O38" s="10" t="n">
        <x:v>21</x:v>
      </x:c>
      <x:c r="P38" s="10" t="n">
        <x:f>N38+O38</x:f>
        <x:v>25.945</x:v>
      </x:c>
    </x:row>
    <x:row r="39" ht="35" customHeight="1">
      <x:c r="A39" s="9" t="str">
        <x:v>SYN-G02-07</x:v>
      </x:c>
      <x:c r="B39" s="9" t="str">
        <x:v>B</x:v>
      </x:c>
      <x:c r="C39" s="9" t="str">
        <x:v>G02</x:v>
      </x:c>
      <x:c r="D39" s="10" t="n">
        <x:v>0.08</x:v>
      </x:c>
      <x:c r="E39" s="10" t="n">
        <x:v>0.123</x:v>
      </x:c>
      <x:c r="F39" s="10" t="n">
        <x:v>0.07</x:v>
      </x:c>
      <x:c r="G39" s="10" t="n">
        <x:v>0.507</x:v>
      </x:c>
      <x:c r="H39" s="10" t="n">
        <x:v>0.1</x:v>
      </x:c>
      <x:c r="I39" s="10" t="n">
        <x:f>SUM(D39:H39)</x:f>
        <x:v>0.88</x:v>
      </x:c>
      <x:c r="J39" s="10" t="n">
        <x:v>0.115</x:v>
      </x:c>
      <x:c r="K39" s="10" t="n">
        <x:v>0.3</x:v>
      </x:c>
      <x:c r="L39" s="10" t="n">
        <x:v>0.25</x:v>
      </x:c>
      <x:c r="M39" s="10" t="n">
        <x:v>0.45</x:v>
      </x:c>
      <x:c r="N39" s="10" t="n">
        <x:f>SUM(I39:M39)</x:f>
        <x:v>1.9949999999999999</x:v>
      </x:c>
      <x:c r="O39" s="10" t="n">
        <x:v>21</x:v>
      </x:c>
      <x:c r="P39" s="10" t="n">
        <x:f>N39+O39</x:f>
        <x:v>22.995</x:v>
      </x:c>
    </x:row>
    <x:row r="40" ht="35" customHeight="1">
      <x:c r="A40" s="9" t="str">
        <x:v>SYN-G02-08</x:v>
      </x:c>
      <x:c r="B40" s="9" t="str">
        <x:v>A</x:v>
      </x:c>
      <x:c r="C40" s="9" t="str">
        <x:v>G02</x:v>
      </x:c>
      <x:c r="D40" s="10" t="n">
        <x:v>0.08</x:v>
      </x:c>
      <x:c r="E40" s="10" t="n">
        <x:v>0.63</x:v>
      </x:c>
      <x:c r="F40" s="10" t="n">
        <x:v>1.355</x:v>
      </x:c>
      <x:c r="G40" s="10" t="n">
        <x:v>0.985</x:v>
      </x:c>
      <x:c r="H40" s="10" t="n">
        <x:v>0.1</x:v>
      </x:c>
      <x:c r="I40" s="10" t="n">
        <x:f>SUM(D40:H40)</x:f>
        <x:v>3.15</x:v>
      </x:c>
      <x:c r="J40" s="10" t="n">
        <x:v>0.825</x:v>
      </x:c>
      <x:c r="K40" s="10" t="n">
        <x:v>0.3</x:v>
      </x:c>
      <x:c r="L40" s="10" t="n">
        <x:v>0.25</x:v>
      </x:c>
      <x:c r="M40" s="10" t="n">
        <x:v>0.45</x:v>
      </x:c>
      <x:c r="N40" s="10" t="n">
        <x:f>SUM(I40:M40)</x:f>
        <x:v>4.975</x:v>
      </x:c>
      <x:c r="O40" s="10" t="n">
        <x:v>22.4</x:v>
      </x:c>
      <x:c r="P40" s="10" t="n">
        <x:f>N40+O40</x:f>
        <x:v>27.375</x:v>
      </x:c>
    </x:row>
    <x:row r="41" ht="35" customHeight="1">
      <x:c r="A41" s="9" t="str">
        <x:v>SYN-G02-08</x:v>
      </x:c>
      <x:c r="B41" s="9" t="str">
        <x:v>B</x:v>
      </x:c>
      <x:c r="C41" s="9" t="str">
        <x:v>G02</x:v>
      </x:c>
      <x:c r="D41" s="10" t="n">
        <x:v>0.08</x:v>
      </x:c>
      <x:c r="E41" s="10" t="n">
        <x:v>0.126</x:v>
      </x:c>
      <x:c r="F41" s="10" t="n">
        <x:v>0.072</x:v>
      </x:c>
      <x:c r="G41" s="10" t="n">
        <x:v>0.522</x:v>
      </x:c>
      <x:c r="H41" s="10" t="n">
        <x:v>0.1</x:v>
      </x:c>
      <x:c r="I41" s="10" t="n">
        <x:f>SUM(D41:H41)</x:f>
        <x:v>0.9</x:v>
      </x:c>
      <x:c r="J41" s="10" t="n">
        <x:v>0.125</x:v>
      </x:c>
      <x:c r="K41" s="10" t="n">
        <x:v>0.3</x:v>
      </x:c>
      <x:c r="L41" s="10" t="n">
        <x:v>0.25</x:v>
      </x:c>
      <x:c r="M41" s="10" t="n">
        <x:v>0.45</x:v>
      </x:c>
      <x:c r="N41" s="10" t="n">
        <x:f>SUM(I41:M41)</x:f>
        <x:v>2.025</x:v>
      </x:c>
      <x:c r="O41" s="10" t="n">
        <x:v>22.4</x:v>
      </x:c>
      <x:c r="P41" s="10" t="n">
        <x:f>N41+O41</x:f>
        <x:v>24.424999999999997</x:v>
      </x:c>
    </x:row>
    <x:row r="42" ht="35" customHeight="1">
      <x:c r="A42" s="9" t="str">
        <x:v>SYN-G02-09</x:v>
      </x:c>
      <x:c r="B42" s="9" t="str">
        <x:v>A</x:v>
      </x:c>
      <x:c r="C42" s="9" t="str">
        <x:v>G02</x:v>
      </x:c>
      <x:c r="D42" s="10" t="n">
        <x:v>0.08</x:v>
      </x:c>
      <x:c r="E42" s="10" t="n">
        <x:v>0.634</x:v>
      </x:c>
      <x:c r="F42" s="10" t="n">
        <x:v>1.363</x:v>
      </x:c>
      <x:c r="G42" s="10" t="n">
        <x:v>0.993</x:v>
      </x:c>
      <x:c r="H42" s="10" t="n">
        <x:v>0.1</x:v>
      </x:c>
      <x:c r="I42" s="10" t="n">
        <x:f>SUM(D42:H42)</x:f>
        <x:v>3.17</x:v>
      </x:c>
      <x:c r="J42" s="10" t="n">
        <x:v>0.835</x:v>
      </x:c>
      <x:c r="K42" s="10" t="n">
        <x:v>0.3</x:v>
      </x:c>
      <x:c r="L42" s="10" t="n">
        <x:v>0.25</x:v>
      </x:c>
      <x:c r="M42" s="10" t="n">
        <x:v>0.45</x:v>
      </x:c>
      <x:c r="N42" s="10" t="n">
        <x:f>SUM(I42:M42)</x:f>
        <x:v>5.005</x:v>
      </x:c>
      <x:c r="O42" s="10" t="n">
        <x:v>23.8</x:v>
      </x:c>
      <x:c r="P42" s="10" t="n">
        <x:f>N42+O42</x:f>
        <x:v>28.805</x:v>
      </x:c>
    </x:row>
    <x:row r="43" ht="35" customHeight="1">
      <x:c r="A43" s="9" t="str">
        <x:v>SYN-G02-09</x:v>
      </x:c>
      <x:c r="B43" s="9" t="str">
        <x:v>B</x:v>
      </x:c>
      <x:c r="C43" s="9" t="str">
        <x:v>G02</x:v>
      </x:c>
      <x:c r="D43" s="10" t="n">
        <x:v>0.08</x:v>
      </x:c>
      <x:c r="E43" s="10" t="n">
        <x:v>0.129</x:v>
      </x:c>
      <x:c r="F43" s="10" t="n">
        <x:v>0.074</x:v>
      </x:c>
      <x:c r="G43" s="10" t="n">
        <x:v>0.537</x:v>
      </x:c>
      <x:c r="H43" s="10" t="n">
        <x:v>0.1</x:v>
      </x:c>
      <x:c r="I43" s="10" t="n">
        <x:f>SUM(D43:H43)</x:f>
        <x:v>0.92</x:v>
      </x:c>
      <x:c r="J43" s="10" t="n">
        <x:v>0.135</x:v>
      </x:c>
      <x:c r="K43" s="10" t="n">
        <x:v>0.3</x:v>
      </x:c>
      <x:c r="L43" s="10" t="n">
        <x:v>0.25</x:v>
      </x:c>
      <x:c r="M43" s="10" t="n">
        <x:v>0.45</x:v>
      </x:c>
      <x:c r="N43" s="10" t="n">
        <x:f>SUM(I43:M43)</x:f>
        <x:v>2.055</x:v>
      </x:c>
      <x:c r="O43" s="10" t="n">
        <x:v>23.8</x:v>
      </x:c>
      <x:c r="P43" s="10" t="n">
        <x:f>N43+O43</x:f>
        <x:v>25.855</x:v>
      </x:c>
    </x:row>
    <x:row r="44" ht="35" customHeight="1">
      <x:c r="A44" s="9" t="str">
        <x:v>SYN-G02-10</x:v>
      </x:c>
      <x:c r="B44" s="9" t="str">
        <x:v>A</x:v>
      </x:c>
      <x:c r="C44" s="9" t="str">
        <x:v>G02</x:v>
      </x:c>
      <x:c r="D44" s="10" t="n">
        <x:v>0.08</x:v>
      </x:c>
      <x:c r="E44" s="10" t="n">
        <x:v>0.638</x:v>
      </x:c>
      <x:c r="F44" s="10" t="n">
        <x:v>1.372</x:v>
      </x:c>
      <x:c r="G44" s="10" t="n">
        <x:v>1</x:v>
      </x:c>
      <x:c r="H44" s="10" t="n">
        <x:v>0.1</x:v>
      </x:c>
      <x:c r="I44" s="10" t="n">
        <x:f>SUM(D44:H44)</x:f>
        <x:v>3.19</x:v>
      </x:c>
      <x:c r="J44" s="10" t="n">
        <x:v>0.845</x:v>
      </x:c>
      <x:c r="K44" s="10" t="n">
        <x:v>0.3</x:v>
      </x:c>
      <x:c r="L44" s="10" t="n">
        <x:v>0.25</x:v>
      </x:c>
      <x:c r="M44" s="10" t="n">
        <x:v>0.45</x:v>
      </x:c>
      <x:c r="N44" s="10" t="n">
        <x:f>SUM(I44:M44)</x:f>
        <x:v>5.035</x:v>
      </x:c>
      <x:c r="O44" s="10" t="n">
        <x:v>25.2</x:v>
      </x:c>
      <x:c r="P44" s="10" t="n">
        <x:f>N44+O44</x:f>
        <x:v>30.235</x:v>
      </x:c>
    </x:row>
    <x:row r="45" ht="35" customHeight="1">
      <x:c r="A45" s="9" t="str">
        <x:v>SYN-G02-10</x:v>
      </x:c>
      <x:c r="B45" s="9" t="str">
        <x:v>B</x:v>
      </x:c>
      <x:c r="C45" s="9" t="str">
        <x:v>G02</x:v>
      </x:c>
      <x:c r="D45" s="10" t="n">
        <x:v>0.08</x:v>
      </x:c>
      <x:c r="E45" s="10" t="n">
        <x:v>0.132</x:v>
      </x:c>
      <x:c r="F45" s="10" t="n">
        <x:v>0.075</x:v>
      </x:c>
      <x:c r="G45" s="10" t="n">
        <x:v>0.553</x:v>
      </x:c>
      <x:c r="H45" s="10" t="n">
        <x:v>0.1</x:v>
      </x:c>
      <x:c r="I45" s="10" t="n">
        <x:f>SUM(D45:H45)</x:f>
        <x:v>0.9400000000000001</x:v>
      </x:c>
      <x:c r="J45" s="10" t="n">
        <x:v>0.145</x:v>
      </x:c>
      <x:c r="K45" s="10" t="n">
        <x:v>0.3</x:v>
      </x:c>
      <x:c r="L45" s="10" t="n">
        <x:v>0.25</x:v>
      </x:c>
      <x:c r="M45" s="10" t="n">
        <x:v>0.45</x:v>
      </x:c>
      <x:c r="N45" s="10" t="n">
        <x:f>SUM(I45:M45)</x:f>
        <x:v>2.085</x:v>
      </x:c>
      <x:c r="O45" s="10" t="n">
        <x:v>25.2</x:v>
      </x:c>
      <x:c r="P45" s="10" t="n">
        <x:f>N45+O45</x:f>
        <x:v>27.285</x:v>
      </x:c>
    </x:row>
    <x:row r="46" ht="35" customHeight="1">
      <x:c r="A46" s="9" t="str">
        <x:v>SYN-G03-01</x:v>
      </x:c>
      <x:c r="B46" s="9" t="str">
        <x:v>A</x:v>
      </x:c>
      <x:c r="C46" s="9" t="str">
        <x:v>G03</x:v>
      </x:c>
      <x:c r="D46" s="10" t="n">
        <x:v>0.08</x:v>
      </x:c>
      <x:c r="E46" s="10" t="n">
        <x:v>0.722</x:v>
      </x:c>
      <x:c r="F46" s="10" t="n">
        <x:v>1.552</x:v>
      </x:c>
      <x:c r="G46" s="10" t="n">
        <x:v>1.156</x:v>
      </x:c>
      <x:c r="H46" s="10" t="n">
        <x:v>0.1</x:v>
      </x:c>
      <x:c r="I46" s="10" t="n">
        <x:f>SUM(D46:H46)</x:f>
        <x:v>3.61</x:v>
      </x:c>
      <x:c r="J46" s="10" t="n">
        <x:v>0.855</x:v>
      </x:c>
      <x:c r="K46" s="10" t="n">
        <x:v>0.3</x:v>
      </x:c>
      <x:c r="L46" s="10" t="n">
        <x:v>0.25</x:v>
      </x:c>
      <x:c r="M46" s="10" t="n">
        <x:v>0.45</x:v>
      </x:c>
      <x:c r="N46" s="10" t="n">
        <x:f>SUM(I46:M46)</x:f>
        <x:v>5.465</x:v>
      </x:c>
      <x:c r="O46" s="10" t="n">
        <x:v>12.9</x:v>
      </x:c>
      <x:c r="P46" s="10" t="n">
        <x:f>N46+O46</x:f>
        <x:v>18.365000000000002</x:v>
      </x:c>
    </x:row>
    <x:row r="47" ht="35" customHeight="1">
      <x:c r="A47" s="9" t="str">
        <x:v>SYN-G03-01</x:v>
      </x:c>
      <x:c r="B47" s="9" t="str">
        <x:v>B</x:v>
      </x:c>
      <x:c r="C47" s="9" t="str">
        <x:v>G03</x:v>
      </x:c>
      <x:c r="D47" s="10" t="n">
        <x:v>0.08</x:v>
      </x:c>
      <x:c r="E47" s="10" t="n">
        <x:v>0.134</x:v>
      </x:c>
      <x:c r="F47" s="10" t="n">
        <x:v>0.077</x:v>
      </x:c>
      <x:c r="G47" s="10" t="n">
        <x:v>0.569</x:v>
      </x:c>
      <x:c r="H47" s="10" t="n">
        <x:v>0.1</x:v>
      </x:c>
      <x:c r="I47" s="10" t="n">
        <x:f>SUM(D47:H47)</x:f>
        <x:v>0.96</x:v>
      </x:c>
      <x:c r="J47" s="10" t="n">
        <x:v>0.105</x:v>
      </x:c>
      <x:c r="K47" s="10" t="n">
        <x:v>0.3</x:v>
      </x:c>
      <x:c r="L47" s="10" t="n">
        <x:v>0.25</x:v>
      </x:c>
      <x:c r="M47" s="10" t="n">
        <x:v>0.45</x:v>
      </x:c>
      <x:c r="N47" s="10" t="n">
        <x:f>SUM(I47:M47)</x:f>
        <x:v>2.065</x:v>
      </x:c>
      <x:c r="O47" s="10" t="n">
        <x:v>12.9</x:v>
      </x:c>
      <x:c r="P47" s="10" t="n">
        <x:f>N47+O47</x:f>
        <x:v>14.965</x:v>
      </x:c>
    </x:row>
    <x:row r="48" ht="35" customHeight="1">
      <x:c r="A48" s="9" t="str">
        <x:v>SYN-G03-02</x:v>
      </x:c>
      <x:c r="B48" s="9" t="str">
        <x:v>A</x:v>
      </x:c>
      <x:c r="C48" s="9" t="str">
        <x:v>G03</x:v>
      </x:c>
      <x:c r="D48" s="10" t="n">
        <x:v>0.08</x:v>
      </x:c>
      <x:c r="E48" s="10" t="n">
        <x:v>0.726</x:v>
      </x:c>
      <x:c r="F48" s="10" t="n">
        <x:v>1.561</x:v>
      </x:c>
      <x:c r="G48" s="10" t="n">
        <x:v>1.163</x:v>
      </x:c>
      <x:c r="H48" s="10" t="n">
        <x:v>0.1</x:v>
      </x:c>
      <x:c r="I48" s="10" t="n">
        <x:f>SUM(D48:H48)</x:f>
        <x:v>3.6300000000000003</x:v>
      </x:c>
      <x:c r="J48" s="10" t="n">
        <x:v>0.865</x:v>
      </x:c>
      <x:c r="K48" s="10" t="n">
        <x:v>0.3</x:v>
      </x:c>
      <x:c r="L48" s="10" t="n">
        <x:v>0.25</x:v>
      </x:c>
      <x:c r="M48" s="10" t="n">
        <x:v>0.45</x:v>
      </x:c>
      <x:c r="N48" s="10" t="n">
        <x:f>SUM(I48:M48)</x:f>
        <x:v>5.495</x:v>
      </x:c>
      <x:c r="O48" s="10" t="n">
        <x:v>14.3</x:v>
      </x:c>
      <x:c r="P48" s="10" t="n">
        <x:f>N48+O48</x:f>
        <x:v>19.795</x:v>
      </x:c>
    </x:row>
    <x:row r="49" ht="35" customHeight="1">
      <x:c r="A49" s="9" t="str">
        <x:v>SYN-G03-02</x:v>
      </x:c>
      <x:c r="B49" s="9" t="str">
        <x:v>B</x:v>
      </x:c>
      <x:c r="C49" s="9" t="str">
        <x:v>G03</x:v>
      </x:c>
      <x:c r="D49" s="10" t="n">
        <x:v>0.08</x:v>
      </x:c>
      <x:c r="E49" s="10" t="n">
        <x:v>0.137</x:v>
      </x:c>
      <x:c r="F49" s="10" t="n">
        <x:v>0.078</x:v>
      </x:c>
      <x:c r="G49" s="10" t="n">
        <x:v>0.585</x:v>
      </x:c>
      <x:c r="H49" s="10" t="n">
        <x:v>0.1</x:v>
      </x:c>
      <x:c r="I49" s="10" t="n">
        <x:f>SUM(D49:H49)</x:f>
        <x:v>0.98</x:v>
      </x:c>
      <x:c r="J49" s="10" t="n">
        <x:v>0.115</x:v>
      </x:c>
      <x:c r="K49" s="10" t="n">
        <x:v>0.3</x:v>
      </x:c>
      <x:c r="L49" s="10" t="n">
        <x:v>0.25</x:v>
      </x:c>
      <x:c r="M49" s="10" t="n">
        <x:v>0.45</x:v>
      </x:c>
      <x:c r="N49" s="10" t="n">
        <x:f>SUM(I49:M49)</x:f>
        <x:v>2.095</x:v>
      </x:c>
      <x:c r="O49" s="10" t="n">
        <x:v>14.3</x:v>
      </x:c>
      <x:c r="P49" s="10" t="n">
        <x:f>N49+O49</x:f>
        <x:v>16.395</x:v>
      </x:c>
    </x:row>
    <x:row r="50" ht="35" customHeight="1">
      <x:c r="A50" s="9" t="str">
        <x:v>SYN-G03-03</x:v>
      </x:c>
      <x:c r="B50" s="9" t="str">
        <x:v>A</x:v>
      </x:c>
      <x:c r="C50" s="9" t="str">
        <x:v>G03</x:v>
      </x:c>
      <x:c r="D50" s="10" t="n">
        <x:v>0.08</x:v>
      </x:c>
      <x:c r="E50" s="10" t="n">
        <x:v>0.73</x:v>
      </x:c>
      <x:c r="F50" s="10" t="n">
        <x:v>1.57</x:v>
      </x:c>
      <x:c r="G50" s="10" t="n">
        <x:v>1.17</x:v>
      </x:c>
      <x:c r="H50" s="10" t="n">
        <x:v>0.1</x:v>
      </x:c>
      <x:c r="I50" s="10" t="n">
        <x:f>SUM(D50:H50)</x:f>
        <x:v>3.65</x:v>
      </x:c>
      <x:c r="J50" s="10" t="n">
        <x:v>0.875</x:v>
      </x:c>
      <x:c r="K50" s="10" t="n">
        <x:v>0.3</x:v>
      </x:c>
      <x:c r="L50" s="10" t="n">
        <x:v>0.25</x:v>
      </x:c>
      <x:c r="M50" s="10" t="n">
        <x:v>0.45</x:v>
      </x:c>
      <x:c r="N50" s="10" t="n">
        <x:f>SUM(I50:M50)</x:f>
        <x:v>5.525</x:v>
      </x:c>
      <x:c r="O50" s="10" t="n">
        <x:v>15.7</x:v>
      </x:c>
      <x:c r="P50" s="10" t="n">
        <x:f>N50+O50</x:f>
        <x:v>21.225</x:v>
      </x:c>
    </x:row>
    <x:row r="51" ht="35" customHeight="1">
      <x:c r="A51" s="9" t="str">
        <x:v>SYN-G03-03</x:v>
      </x:c>
      <x:c r="B51" s="9" t="str">
        <x:v>B</x:v>
      </x:c>
      <x:c r="C51" s="9" t="str">
        <x:v>G03</x:v>
      </x:c>
      <x:c r="D51" s="10" t="n">
        <x:v>0.08</x:v>
      </x:c>
      <x:c r="E51" s="10" t="n">
        <x:v>0.14</x:v>
      </x:c>
      <x:c r="F51" s="10" t="n">
        <x:v>0.08</x:v>
      </x:c>
      <x:c r="G51" s="10" t="n">
        <x:v>0.6</x:v>
      </x:c>
      <x:c r="H51" s="10" t="n">
        <x:v>0.1</x:v>
      </x:c>
      <x:c r="I51" s="10" t="n">
        <x:f>SUM(D51:H51)</x:f>
        <x:v>1</x:v>
      </x:c>
      <x:c r="J51" s="10" t="n">
        <x:v>0.125</x:v>
      </x:c>
      <x:c r="K51" s="10" t="n">
        <x:v>0.3</x:v>
      </x:c>
      <x:c r="L51" s="10" t="n">
        <x:v>0.25</x:v>
      </x:c>
      <x:c r="M51" s="10" t="n">
        <x:v>0.45</x:v>
      </x:c>
      <x:c r="N51" s="10" t="n">
        <x:f>SUM(I51:M51)</x:f>
        <x:v>2.125</x:v>
      </x:c>
      <x:c r="O51" s="10" t="n">
        <x:v>15.7</x:v>
      </x:c>
      <x:c r="P51" s="10" t="n">
        <x:f>N51+O51</x:f>
        <x:v>17.825</x:v>
      </x:c>
    </x:row>
    <x:row r="52" ht="35" customHeight="1">
      <x:c r="A52" s="9" t="str">
        <x:v>SYN-G03-04</x:v>
      </x:c>
      <x:c r="B52" s="9" t="str">
        <x:v>A</x:v>
      </x:c>
      <x:c r="C52" s="9" t="str">
        <x:v>G03</x:v>
      </x:c>
      <x:c r="D52" s="10" t="n">
        <x:v>0.08</x:v>
      </x:c>
      <x:c r="E52" s="10" t="n">
        <x:v>0.734</x:v>
      </x:c>
      <x:c r="F52" s="10" t="n">
        <x:v>1.578</x:v>
      </x:c>
      <x:c r="G52" s="10" t="n">
        <x:v>1.178</x:v>
      </x:c>
      <x:c r="H52" s="10" t="n">
        <x:v>0.1</x:v>
      </x:c>
      <x:c r="I52" s="10" t="n">
        <x:f>SUM(D52:H52)</x:f>
        <x:v>3.67</x:v>
      </x:c>
      <x:c r="J52" s="10" t="n">
        <x:v>0.885</x:v>
      </x:c>
      <x:c r="K52" s="10" t="n">
        <x:v>0.3</x:v>
      </x:c>
      <x:c r="L52" s="10" t="n">
        <x:v>0.25</x:v>
      </x:c>
      <x:c r="M52" s="10" t="n">
        <x:v>0.45</x:v>
      </x:c>
      <x:c r="N52" s="10" t="n">
        <x:f>SUM(I52:M52)</x:f>
        <x:v>5.555</x:v>
      </x:c>
      <x:c r="O52" s="10" t="n">
        <x:v>17.1</x:v>
      </x:c>
      <x:c r="P52" s="10" t="n">
        <x:f>N52+O52</x:f>
        <x:v>22.655</x:v>
      </x:c>
    </x:row>
    <x:row r="53" ht="35" customHeight="1">
      <x:c r="A53" s="9" t="str">
        <x:v>SYN-G03-04</x:v>
      </x:c>
      <x:c r="B53" s="9" t="str">
        <x:v>B</x:v>
      </x:c>
      <x:c r="C53" s="9" t="str">
        <x:v>G03</x:v>
      </x:c>
      <x:c r="D53" s="10" t="n">
        <x:v>0.08</x:v>
      </x:c>
      <x:c r="E53" s="10" t="n">
        <x:v>0.143</x:v>
      </x:c>
      <x:c r="F53" s="10" t="n">
        <x:v>0.082</x:v>
      </x:c>
      <x:c r="G53" s="10" t="n">
        <x:v>0.615</x:v>
      </x:c>
      <x:c r="H53" s="10" t="n">
        <x:v>0.1</x:v>
      </x:c>
      <x:c r="I53" s="10" t="n">
        <x:f>SUM(D53:H53)</x:f>
        <x:v>1.02</x:v>
      </x:c>
      <x:c r="J53" s="10" t="n">
        <x:v>0.135</x:v>
      </x:c>
      <x:c r="K53" s="10" t="n">
        <x:v>0.3</x:v>
      </x:c>
      <x:c r="L53" s="10" t="n">
        <x:v>0.25</x:v>
      </x:c>
      <x:c r="M53" s="10" t="n">
        <x:v>0.45</x:v>
      </x:c>
      <x:c r="N53" s="10" t="n">
        <x:f>SUM(I53:M53)</x:f>
        <x:v>2.1550000000000002</x:v>
      </x:c>
      <x:c r="O53" s="10" t="n">
        <x:v>17.1</x:v>
      </x:c>
      <x:c r="P53" s="10" t="n">
        <x:f>N53+O53</x:f>
        <x:v>19.255000000000003</x:v>
      </x:c>
    </x:row>
    <x:row r="54" ht="35" customHeight="1">
      <x:c r="A54" s="9" t="str">
        <x:v>SYN-G03-05</x:v>
      </x:c>
      <x:c r="B54" s="9" t="str">
        <x:v>A</x:v>
      </x:c>
      <x:c r="C54" s="9" t="str">
        <x:v>G03</x:v>
      </x:c>
      <x:c r="D54" s="10" t="n">
        <x:v>0.08</x:v>
      </x:c>
      <x:c r="E54" s="10" t="n">
        <x:v>0.738</x:v>
      </x:c>
      <x:c r="F54" s="10" t="n">
        <x:v>1.587</x:v>
      </x:c>
      <x:c r="G54" s="10" t="n">
        <x:v>1.185</x:v>
      </x:c>
      <x:c r="H54" s="10" t="n">
        <x:v>0.1</x:v>
      </x:c>
      <x:c r="I54" s="10" t="n">
        <x:f>SUM(D54:H54)</x:f>
        <x:v>3.69</x:v>
      </x:c>
      <x:c r="J54" s="10" t="n">
        <x:v>0.895</x:v>
      </x:c>
      <x:c r="K54" s="10" t="n">
        <x:v>0.3</x:v>
      </x:c>
      <x:c r="L54" s="10" t="n">
        <x:v>0.25</x:v>
      </x:c>
      <x:c r="M54" s="10" t="n">
        <x:v>0.45</x:v>
      </x:c>
      <x:c r="N54" s="10" t="n">
        <x:f>SUM(I54:M54)</x:f>
        <x:v>5.585</x:v>
      </x:c>
      <x:c r="O54" s="10" t="n">
        <x:v>18.5</x:v>
      </x:c>
      <x:c r="P54" s="10" t="n">
        <x:f>N54+O54</x:f>
        <x:v>24.085</x:v>
      </x:c>
    </x:row>
    <x:row r="55" ht="35" customHeight="1">
      <x:c r="A55" s="9" t="str">
        <x:v>SYN-G03-05</x:v>
      </x:c>
      <x:c r="B55" s="9" t="str">
        <x:v>B</x:v>
      </x:c>
      <x:c r="C55" s="9" t="str">
        <x:v>G03</x:v>
      </x:c>
      <x:c r="D55" s="10" t="n">
        <x:v>0.08</x:v>
      </x:c>
      <x:c r="E55" s="10" t="n">
        <x:v>0.146</x:v>
      </x:c>
      <x:c r="F55" s="10" t="n">
        <x:v>0.083</x:v>
      </x:c>
      <x:c r="G55" s="10" t="n">
        <x:v>0.631</x:v>
      </x:c>
      <x:c r="H55" s="10" t="n">
        <x:v>0.1</x:v>
      </x:c>
      <x:c r="I55" s="10" t="n">
        <x:f>SUM(D55:H55)</x:f>
        <x:v>1.04</x:v>
      </x:c>
      <x:c r="J55" s="10" t="n">
        <x:v>0.145</x:v>
      </x:c>
      <x:c r="K55" s="10" t="n">
        <x:v>0.3</x:v>
      </x:c>
      <x:c r="L55" s="10" t="n">
        <x:v>0.25</x:v>
      </x:c>
      <x:c r="M55" s="10" t="n">
        <x:v>0.45</x:v>
      </x:c>
      <x:c r="N55" s="10" t="n">
        <x:f>SUM(I55:M55)</x:f>
        <x:v>2.185</x:v>
      </x:c>
      <x:c r="O55" s="10" t="n">
        <x:v>18.5</x:v>
      </x:c>
      <x:c r="P55" s="10" t="n">
        <x:f>N55+O55</x:f>
        <x:v>20.685</x:v>
      </x:c>
    </x:row>
    <x:row r="56" ht="35" customHeight="1">
      <x:c r="A56" s="9" t="str">
        <x:v>SYN-G03-06</x:v>
      </x:c>
      <x:c r="B56" s="9" t="str">
        <x:v>A</x:v>
      </x:c>
      <x:c r="C56" s="9" t="str">
        <x:v>G03</x:v>
      </x:c>
      <x:c r="D56" s="10" t="n">
        <x:v>0.08</x:v>
      </x:c>
      <x:c r="E56" s="10" t="n">
        <x:v>0.742</x:v>
      </x:c>
      <x:c r="F56" s="10" t="n">
        <x:v>1.595</x:v>
      </x:c>
      <x:c r="G56" s="10" t="n">
        <x:v>1.193</x:v>
      </x:c>
      <x:c r="H56" s="10" t="n">
        <x:v>0.1</x:v>
      </x:c>
      <x:c r="I56" s="10" t="n">
        <x:f>SUM(D56:H56)</x:f>
        <x:v>3.71</x:v>
      </x:c>
      <x:c r="J56" s="10" t="n">
        <x:v>0.905</x:v>
      </x:c>
      <x:c r="K56" s="10" t="n">
        <x:v>0.3</x:v>
      </x:c>
      <x:c r="L56" s="10" t="n">
        <x:v>0.25</x:v>
      </x:c>
      <x:c r="M56" s="10" t="n">
        <x:v>0.45</x:v>
      </x:c>
      <x:c r="N56" s="10" t="n">
        <x:f>SUM(I56:M56)</x:f>
        <x:v>5.615</x:v>
      </x:c>
      <x:c r="O56" s="10" t="n">
        <x:v>19.9</x:v>
      </x:c>
      <x:c r="P56" s="10" t="n">
        <x:f>N56+O56</x:f>
        <x:v>25.515</x:v>
      </x:c>
    </x:row>
    <x:row r="57" ht="35" customHeight="1">
      <x:c r="A57" s="9" t="str">
        <x:v>SYN-G03-06</x:v>
      </x:c>
      <x:c r="B57" s="9" t="str">
        <x:v>B</x:v>
      </x:c>
      <x:c r="C57" s="9" t="str">
        <x:v>G03</x:v>
      </x:c>
      <x:c r="D57" s="10" t="n">
        <x:v>0.08</x:v>
      </x:c>
      <x:c r="E57" s="10" t="n">
        <x:v>0.148</x:v>
      </x:c>
      <x:c r="F57" s="10" t="n">
        <x:v>0.085</x:v>
      </x:c>
      <x:c r="G57" s="10" t="n">
        <x:v>0.647</x:v>
      </x:c>
      <x:c r="H57" s="10" t="n">
        <x:v>0.1</x:v>
      </x:c>
      <x:c r="I57" s="10" t="n">
        <x:f>SUM(D57:H57)</x:f>
        <x:v>1.06</x:v>
      </x:c>
      <x:c r="J57" s="10" t="n">
        <x:v>0.155</x:v>
      </x:c>
      <x:c r="K57" s="10" t="n">
        <x:v>0.3</x:v>
      </x:c>
      <x:c r="L57" s="10" t="n">
        <x:v>0.25</x:v>
      </x:c>
      <x:c r="M57" s="10" t="n">
        <x:v>0.45</x:v>
      </x:c>
      <x:c r="N57" s="10" t="n">
        <x:f>SUM(I57:M57)</x:f>
        <x:v>2.2150000000000003</x:v>
      </x:c>
      <x:c r="O57" s="10" t="n">
        <x:v>19.9</x:v>
      </x:c>
      <x:c r="P57" s="10" t="n">
        <x:f>N57+O57</x:f>
        <x:v>22.115</x:v>
      </x:c>
    </x:row>
    <x:row r="58" ht="35" customHeight="1">
      <x:c r="A58" s="9" t="str">
        <x:v>SYN-G03-07</x:v>
      </x:c>
      <x:c r="B58" s="9" t="str">
        <x:v>A</x:v>
      </x:c>
      <x:c r="C58" s="9" t="str">
        <x:v>G03</x:v>
      </x:c>
      <x:c r="D58" s="10" t="n">
        <x:v>0.08</x:v>
      </x:c>
      <x:c r="E58" s="10" t="n">
        <x:v>0.746</x:v>
      </x:c>
      <x:c r="F58" s="10" t="n">
        <x:v>1.604</x:v>
      </x:c>
      <x:c r="G58" s="10" t="n">
        <x:v>1.2</x:v>
      </x:c>
      <x:c r="H58" s="10" t="n">
        <x:v>0.1</x:v>
      </x:c>
      <x:c r="I58" s="10" t="n">
        <x:f>SUM(D58:H58)</x:f>
        <x:v>3.73</x:v>
      </x:c>
      <x:c r="J58" s="10" t="n">
        <x:v>0.915</x:v>
      </x:c>
      <x:c r="K58" s="10" t="n">
        <x:v>0.3</x:v>
      </x:c>
      <x:c r="L58" s="10" t="n">
        <x:v>0.25</x:v>
      </x:c>
      <x:c r="M58" s="10" t="n">
        <x:v>0.45</x:v>
      </x:c>
      <x:c r="N58" s="10" t="n">
        <x:f>SUM(I58:M58)</x:f>
        <x:v>5.645</x:v>
      </x:c>
      <x:c r="O58" s="10" t="n">
        <x:v>21.3</x:v>
      </x:c>
      <x:c r="P58" s="10" t="n">
        <x:f>N58+O58</x:f>
        <x:v>26.945</x:v>
      </x:c>
    </x:row>
    <x:row r="59" ht="35" customHeight="1">
      <x:c r="A59" s="9" t="str">
        <x:v>SYN-G03-07</x:v>
      </x:c>
      <x:c r="B59" s="9" t="str">
        <x:v>B</x:v>
      </x:c>
      <x:c r="C59" s="9" t="str">
        <x:v>G03</x:v>
      </x:c>
      <x:c r="D59" s="10" t="n">
        <x:v>0.08</x:v>
      </x:c>
      <x:c r="E59" s="10" t="n">
        <x:v>0.151</x:v>
      </x:c>
      <x:c r="F59" s="10" t="n">
        <x:v>0.086</x:v>
      </x:c>
      <x:c r="G59" s="10" t="n">
        <x:v>0.663</x:v>
      </x:c>
      <x:c r="H59" s="10" t="n">
        <x:v>0.1</x:v>
      </x:c>
      <x:c r="I59" s="10" t="n">
        <x:f>SUM(D59:H59)</x:f>
        <x:v>1.08</x:v>
      </x:c>
      <x:c r="J59" s="10" t="n">
        <x:v>0.165</x:v>
      </x:c>
      <x:c r="K59" s="10" t="n">
        <x:v>0.3</x:v>
      </x:c>
      <x:c r="L59" s="10" t="n">
        <x:v>0.25</x:v>
      </x:c>
      <x:c r="M59" s="10" t="n">
        <x:v>0.45</x:v>
      </x:c>
      <x:c r="N59" s="10" t="n">
        <x:f>SUM(I59:M59)</x:f>
        <x:v>2.245</x:v>
      </x:c>
      <x:c r="O59" s="10" t="n">
        <x:v>21.3</x:v>
      </x:c>
      <x:c r="P59" s="10" t="n">
        <x:f>N59+O59</x:f>
        <x:v>23.545</x:v>
      </x:c>
    </x:row>
    <x:row r="60" ht="35" customHeight="1">
      <x:c r="A60" s="9" t="str">
        <x:v>SYN-G03-08</x:v>
      </x:c>
      <x:c r="B60" s="9" t="str">
        <x:v>A</x:v>
      </x:c>
      <x:c r="C60" s="9" t="str">
        <x:v>G03</x:v>
      </x:c>
      <x:c r="D60" s="10" t="n">
        <x:v>0.08</x:v>
      </x:c>
      <x:c r="E60" s="10" t="n">
        <x:v>0.75</x:v>
      </x:c>
      <x:c r="F60" s="10" t="n">
        <x:v>1.613</x:v>
      </x:c>
      <x:c r="G60" s="10" t="n">
        <x:v>1.207</x:v>
      </x:c>
      <x:c r="H60" s="10" t="n">
        <x:v>0.1</x:v>
      </x:c>
      <x:c r="I60" s="10" t="n">
        <x:f>SUM(D60:H60)</x:f>
        <x:v>3.7500000000000004</x:v>
      </x:c>
      <x:c r="J60" s="10" t="n">
        <x:v>0.925</x:v>
      </x:c>
      <x:c r="K60" s="10" t="n">
        <x:v>0.3</x:v>
      </x:c>
      <x:c r="L60" s="10" t="n">
        <x:v>0.25</x:v>
      </x:c>
      <x:c r="M60" s="10" t="n">
        <x:v>0.45</x:v>
      </x:c>
      <x:c r="N60" s="10" t="n">
        <x:f>SUM(I60:M60)</x:f>
        <x:v>5.675000000000001</x:v>
      </x:c>
      <x:c r="O60" s="10" t="n">
        <x:v>22.7</x:v>
      </x:c>
      <x:c r="P60" s="10" t="n">
        <x:f>N60+O60</x:f>
        <x:v>28.375</x:v>
      </x:c>
    </x:row>
    <x:row r="61" ht="35" customHeight="1">
      <x:c r="A61" s="9" t="str">
        <x:v>SYN-G03-08</x:v>
      </x:c>
      <x:c r="B61" s="9" t="str">
        <x:v>B</x:v>
      </x:c>
      <x:c r="C61" s="9" t="str">
        <x:v>G03</x:v>
      </x:c>
      <x:c r="D61" s="10" t="n">
        <x:v>0.08</x:v>
      </x:c>
      <x:c r="E61" s="10" t="n">
        <x:v>0.154</x:v>
      </x:c>
      <x:c r="F61" s="10" t="n">
        <x:v>0.088</x:v>
      </x:c>
      <x:c r="G61" s="10" t="n">
        <x:v>0.678</x:v>
      </x:c>
      <x:c r="H61" s="10" t="n">
        <x:v>0.1</x:v>
      </x:c>
      <x:c r="I61" s="10" t="n">
        <x:f>SUM(D61:H61)</x:f>
        <x:v>1.1</x:v>
      </x:c>
      <x:c r="J61" s="10" t="n">
        <x:v>0.175</x:v>
      </x:c>
      <x:c r="K61" s="10" t="n">
        <x:v>0.3</x:v>
      </x:c>
      <x:c r="L61" s="10" t="n">
        <x:v>0.25</x:v>
      </x:c>
      <x:c r="M61" s="10" t="n">
        <x:v>0.45</x:v>
      </x:c>
      <x:c r="N61" s="10" t="n">
        <x:f>SUM(I61:M61)</x:f>
        <x:v>2.2750000000000004</x:v>
      </x:c>
      <x:c r="O61" s="10" t="n">
        <x:v>22.7</x:v>
      </x:c>
      <x:c r="P61" s="10" t="n">
        <x:f>N61+O61</x:f>
        <x:v>24.975</x:v>
      </x:c>
    </x:row>
    <x:row r="62" ht="35" customHeight="1">
      <x:c r="A62" s="9" t="str">
        <x:v>SYN-G03-09</x:v>
      </x:c>
      <x:c r="B62" s="9" t="str">
        <x:v>A</x:v>
      </x:c>
      <x:c r="C62" s="9" t="str">
        <x:v>G03</x:v>
      </x:c>
      <x:c r="D62" s="10" t="n">
        <x:v>0.08</x:v>
      </x:c>
      <x:c r="E62" s="10" t="n">
        <x:v>0.754</x:v>
      </x:c>
      <x:c r="F62" s="10" t="n">
        <x:v>1.621</x:v>
      </x:c>
      <x:c r="G62" s="10" t="n">
        <x:v>1.215</x:v>
      </x:c>
      <x:c r="H62" s="10" t="n">
        <x:v>0.1</x:v>
      </x:c>
      <x:c r="I62" s="10" t="n">
        <x:f>SUM(D62:H62)</x:f>
        <x:v>3.77</x:v>
      </x:c>
      <x:c r="J62" s="10" t="n">
        <x:v>0.935</x:v>
      </x:c>
      <x:c r="K62" s="10" t="n">
        <x:v>0.3</x:v>
      </x:c>
      <x:c r="L62" s="10" t="n">
        <x:v>0.25</x:v>
      </x:c>
      <x:c r="M62" s="10" t="n">
        <x:v>0.45</x:v>
      </x:c>
      <x:c r="N62" s="10" t="n">
        <x:f>SUM(I62:M62)</x:f>
        <x:v>5.705</x:v>
      </x:c>
      <x:c r="O62" s="10" t="n">
        <x:v>24.1</x:v>
      </x:c>
      <x:c r="P62" s="10" t="n">
        <x:f>N62+O62</x:f>
        <x:v>29.805</x:v>
      </x:c>
    </x:row>
    <x:row r="63" ht="35" customHeight="1">
      <x:c r="A63" s="9" t="str">
        <x:v>SYN-G03-09</x:v>
      </x:c>
      <x:c r="B63" s="9" t="str">
        <x:v>B</x:v>
      </x:c>
      <x:c r="C63" s="9" t="str">
        <x:v>G03</x:v>
      </x:c>
      <x:c r="D63" s="10" t="n">
        <x:v>0.08</x:v>
      </x:c>
      <x:c r="E63" s="10" t="n">
        <x:v>0.157</x:v>
      </x:c>
      <x:c r="F63" s="10" t="n">
        <x:v>0.09</x:v>
      </x:c>
      <x:c r="G63" s="10" t="n">
        <x:v>0.693</x:v>
      </x:c>
      <x:c r="H63" s="10" t="n">
        <x:v>0.1</x:v>
      </x:c>
      <x:c r="I63" s="10" t="n">
        <x:f>SUM(D63:H63)</x:f>
        <x:v>1.12</x:v>
      </x:c>
      <x:c r="J63" s="10" t="n">
        <x:v>0.185</x:v>
      </x:c>
      <x:c r="K63" s="10" t="n">
        <x:v>0.3</x:v>
      </x:c>
      <x:c r="L63" s="10" t="n">
        <x:v>0.25</x:v>
      </x:c>
      <x:c r="M63" s="10" t="n">
        <x:v>0.45</x:v>
      </x:c>
      <x:c r="N63" s="10" t="n">
        <x:f>SUM(I63:M63)</x:f>
        <x:v>2.305</x:v>
      </x:c>
      <x:c r="O63" s="10" t="n">
        <x:v>24.1</x:v>
      </x:c>
      <x:c r="P63" s="10" t="n">
        <x:f>N63+O63</x:f>
        <x:v>26.405</x:v>
      </x:c>
    </x:row>
    <x:row r="64" ht="35" customHeight="1">
      <x:c r="A64" s="9" t="str">
        <x:v>SYN-G03-10</x:v>
      </x:c>
      <x:c r="B64" s="9" t="str">
        <x:v>A</x:v>
      </x:c>
      <x:c r="C64" s="9" t="str">
        <x:v>G03</x:v>
      </x:c>
      <x:c r="D64" s="10" t="n">
        <x:v>0.08</x:v>
      </x:c>
      <x:c r="E64" s="10" t="n">
        <x:v>0.758</x:v>
      </x:c>
      <x:c r="F64" s="10" t="n">
        <x:v>1.63</x:v>
      </x:c>
      <x:c r="G64" s="10" t="n">
        <x:v>1.222</x:v>
      </x:c>
      <x:c r="H64" s="10" t="n">
        <x:v>0.1</x:v>
      </x:c>
      <x:c r="I64" s="10" t="n">
        <x:f>SUM(D64:H64)</x:f>
        <x:v>3.79</x:v>
      </x:c>
      <x:c r="J64" s="10" t="n">
        <x:v>0.945</x:v>
      </x:c>
      <x:c r="K64" s="10" t="n">
        <x:v>0.3</x:v>
      </x:c>
      <x:c r="L64" s="10" t="n">
        <x:v>0.25</x:v>
      </x:c>
      <x:c r="M64" s="10" t="n">
        <x:v>0.45</x:v>
      </x:c>
      <x:c r="N64" s="10" t="n">
        <x:f>SUM(I64:M64)</x:f>
        <x:v>5.735</x:v>
      </x:c>
      <x:c r="O64" s="10" t="n">
        <x:v>25.5</x:v>
      </x:c>
      <x:c r="P64" s="10" t="n">
        <x:f>N64+O64</x:f>
        <x:v>31.235</x:v>
      </x:c>
    </x:row>
    <x:row r="65" ht="35" customHeight="1">
      <x:c r="A65" s="9" t="str">
        <x:v>SYN-G03-10</x:v>
      </x:c>
      <x:c r="B65" s="9" t="str">
        <x:v>B</x:v>
      </x:c>
      <x:c r="C65" s="9" t="str">
        <x:v>G03</x:v>
      </x:c>
      <x:c r="D65" s="10" t="n">
        <x:v>0.08</x:v>
      </x:c>
      <x:c r="E65" s="10" t="n">
        <x:v>0.16</x:v>
      </x:c>
      <x:c r="F65" s="10" t="n">
        <x:v>0.091</x:v>
      </x:c>
      <x:c r="G65" s="10" t="n">
        <x:v>0.709</x:v>
      </x:c>
      <x:c r="H65" s="10" t="n">
        <x:v>0.1</x:v>
      </x:c>
      <x:c r="I65" s="10" t="n">
        <x:f>SUM(D65:H65)</x:f>
        <x:v>1.1400000000000001</x:v>
      </x:c>
      <x:c r="J65" s="10" t="n">
        <x:v>0.195</x:v>
      </x:c>
      <x:c r="K65" s="10" t="n">
        <x:v>0.3</x:v>
      </x:c>
      <x:c r="L65" s="10" t="n">
        <x:v>0.25</x:v>
      </x:c>
      <x:c r="M65" s="10" t="n">
        <x:v>0.45</x:v>
      </x:c>
      <x:c r="N65" s="10" t="n">
        <x:f>SUM(I65:M65)</x:f>
        <x:v>2.3350000000000004</x:v>
      </x:c>
      <x:c r="O65" s="10" t="n">
        <x:v>25.5</x:v>
      </x:c>
      <x:c r="P65" s="10" t="n">
        <x:f>N65+O65</x:f>
        <x:v>27.835</x:v>
      </x:c>
    </x:row>
    <x:row r="66" ht="35" customHeight="1">
      <x:c r="A66" s="9" t="str">
        <x:v>SYN-G04-01</x:v>
      </x:c>
      <x:c r="B66" s="9" t="str">
        <x:v>A</x:v>
      </x:c>
      <x:c r="C66" s="9" t="str">
        <x:v>G04</x:v>
      </x:c>
      <x:c r="D66" s="10" t="n">
        <x:v>0.08</x:v>
      </x:c>
      <x:c r="E66" s="10" t="n">
        <x:v>0.562</x:v>
      </x:c>
      <x:c r="F66" s="10" t="n">
        <x:v>1.208</x:v>
      </x:c>
      <x:c r="G66" s="10" t="n">
        <x:v>0.86</x:v>
      </x:c>
      <x:c r="H66" s="10" t="n">
        <x:v>0.1</x:v>
      </x:c>
      <x:c r="I66" s="10" t="n">
        <x:f>SUM(D66:H66)</x:f>
        <x:v>2.81</x:v>
      </x:c>
      <x:c r="J66" s="10" t="n">
        <x:v>0.755</x:v>
      </x:c>
      <x:c r="K66" s="10" t="n">
        <x:v>0.3</x:v>
      </x:c>
      <x:c r="L66" s="10" t="n">
        <x:v>0.25</x:v>
      </x:c>
      <x:c r="M66" s="10" t="n">
        <x:v>0.45</x:v>
      </x:c>
      <x:c r="N66" s="10" t="n">
        <x:f>SUM(I66:M66)</x:f>
        <x:v>4.565</x:v>
      </x:c>
      <x:c r="O66" s="10" t="n">
        <x:v>13.2</x:v>
      </x:c>
      <x:c r="P66" s="10" t="n">
        <x:f>N66+O66</x:f>
        <x:v>17.765</x:v>
      </x:c>
    </x:row>
    <x:row r="67" ht="35" customHeight="1">
      <x:c r="A67" s="9" t="str">
        <x:v>SYN-G04-01</x:v>
      </x:c>
      <x:c r="B67" s="9" t="str">
        <x:v>B</x:v>
      </x:c>
      <x:c r="C67" s="9" t="str">
        <x:v>G04</x:v>
      </x:c>
      <x:c r="D67" s="10" t="n">
        <x:v>0.08</x:v>
      </x:c>
      <x:c r="E67" s="10" t="n">
        <x:v>0.113</x:v>
      </x:c>
      <x:c r="F67" s="10" t="n">
        <x:v>0.065</x:v>
      </x:c>
      <x:c r="G67" s="10" t="n">
        <x:v>0.452</x:v>
      </x:c>
      <x:c r="H67" s="10" t="n">
        <x:v>0.1</x:v>
      </x:c>
      <x:c r="I67" s="10" t="n">
        <x:f>SUM(D67:H67)</x:f>
        <x:v>0.8099999999999999</x:v>
      </x:c>
      <x:c r="J67" s="10" t="n">
        <x:v>0.055</x:v>
      </x:c>
      <x:c r="K67" s="10" t="n">
        <x:v>0.3</x:v>
      </x:c>
      <x:c r="L67" s="10" t="n">
        <x:v>0.25</x:v>
      </x:c>
      <x:c r="M67" s="10" t="n">
        <x:v>0.45</x:v>
      </x:c>
      <x:c r="N67" s="10" t="n">
        <x:f>SUM(I67:M67)</x:f>
        <x:v>1.865</x:v>
      </x:c>
      <x:c r="O67" s="10" t="n">
        <x:v>13.2</x:v>
      </x:c>
      <x:c r="P67" s="10" t="n">
        <x:f>N67+O67</x:f>
        <x:v>15.065</x:v>
      </x:c>
    </x:row>
    <x:row r="68" ht="35" customHeight="1">
      <x:c r="A68" s="9" t="str">
        <x:v>SYN-G04-02</x:v>
      </x:c>
      <x:c r="B68" s="9" t="str">
        <x:v>A</x:v>
      </x:c>
      <x:c r="C68" s="9" t="str">
        <x:v>G04</x:v>
      </x:c>
      <x:c r="D68" s="10" t="n">
        <x:v>0.08</x:v>
      </x:c>
      <x:c r="E68" s="10" t="n">
        <x:v>0.566</x:v>
      </x:c>
      <x:c r="F68" s="10" t="n">
        <x:v>1.217</x:v>
      </x:c>
      <x:c r="G68" s="10" t="n">
        <x:v>0.867</x:v>
      </x:c>
      <x:c r="H68" s="10" t="n">
        <x:v>0.1</x:v>
      </x:c>
      <x:c r="I68" s="10" t="n">
        <x:f>SUM(D68:H68)</x:f>
        <x:v>2.83</x:v>
      </x:c>
      <x:c r="J68" s="10" t="n">
        <x:v>0.765</x:v>
      </x:c>
      <x:c r="K68" s="10" t="n">
        <x:v>0.3</x:v>
      </x:c>
      <x:c r="L68" s="10" t="n">
        <x:v>0.25</x:v>
      </x:c>
      <x:c r="M68" s="10" t="n">
        <x:v>0.45</x:v>
      </x:c>
      <x:c r="N68" s="10" t="n">
        <x:f>SUM(I68:M68)</x:f>
        <x:v>4.595</x:v>
      </x:c>
      <x:c r="O68" s="10" t="n">
        <x:v>14.6</x:v>
      </x:c>
      <x:c r="P68" s="10" t="n">
        <x:f>N68+O68</x:f>
        <x:v>19.195</x:v>
      </x:c>
    </x:row>
    <x:row r="69" ht="35" customHeight="1">
      <x:c r="A69" s="9" t="str">
        <x:v>SYN-G04-02</x:v>
      </x:c>
      <x:c r="B69" s="9" t="str">
        <x:v>B</x:v>
      </x:c>
      <x:c r="C69" s="9" t="str">
        <x:v>G04</x:v>
      </x:c>
      <x:c r="D69" s="10" t="n">
        <x:v>0.08</x:v>
      </x:c>
      <x:c r="E69" s="10" t="n">
        <x:v>0.116</x:v>
      </x:c>
      <x:c r="F69" s="10" t="n">
        <x:v>0.066</x:v>
      </x:c>
      <x:c r="G69" s="10" t="n">
        <x:v>0.468</x:v>
      </x:c>
      <x:c r="H69" s="10" t="n">
        <x:v>0.1</x:v>
      </x:c>
      <x:c r="I69" s="10" t="n">
        <x:f>SUM(D69:H69)</x:f>
        <x:v>0.83</x:v>
      </x:c>
      <x:c r="J69" s="10" t="n">
        <x:v>0.065</x:v>
      </x:c>
      <x:c r="K69" s="10" t="n">
        <x:v>0.3</x:v>
      </x:c>
      <x:c r="L69" s="10" t="n">
        <x:v>0.25</x:v>
      </x:c>
      <x:c r="M69" s="10" t="n">
        <x:v>0.45</x:v>
      </x:c>
      <x:c r="N69" s="10" t="n">
        <x:f>SUM(I69:M69)</x:f>
        <x:v>1.895</x:v>
      </x:c>
      <x:c r="O69" s="10" t="n">
        <x:v>14.6</x:v>
      </x:c>
      <x:c r="P69" s="10" t="n">
        <x:f>N69+O69</x:f>
        <x:v>16.495</x:v>
      </x:c>
    </x:row>
    <x:row r="70" ht="35" customHeight="1">
      <x:c r="A70" s="9" t="str">
        <x:v>SYN-G04-03</x:v>
      </x:c>
      <x:c r="B70" s="9" t="str">
        <x:v>A</x:v>
      </x:c>
      <x:c r="C70" s="9" t="str">
        <x:v>G04</x:v>
      </x:c>
      <x:c r="D70" s="10" t="n">
        <x:v>0.08</x:v>
      </x:c>
      <x:c r="E70" s="10" t="n">
        <x:v>0.57</x:v>
      </x:c>
      <x:c r="F70" s="10" t="n">
        <x:v>1.226</x:v>
      </x:c>
      <x:c r="G70" s="10" t="n">
        <x:v>0.874</x:v>
      </x:c>
      <x:c r="H70" s="10" t="n">
        <x:v>0.1</x:v>
      </x:c>
      <x:c r="I70" s="10" t="n">
        <x:f>SUM(D70:H70)</x:f>
        <x:v>2.85</x:v>
      </x:c>
      <x:c r="J70" s="10" t="n">
        <x:v>0.775</x:v>
      </x:c>
      <x:c r="K70" s="10" t="n">
        <x:v>0.3</x:v>
      </x:c>
      <x:c r="L70" s="10" t="n">
        <x:v>0.25</x:v>
      </x:c>
      <x:c r="M70" s="10" t="n">
        <x:v>0.45</x:v>
      </x:c>
      <x:c r="N70" s="10" t="n">
        <x:f>SUM(I70:M70)</x:f>
        <x:v>4.625</x:v>
      </x:c>
      <x:c r="O70" s="10" t="n">
        <x:v>16</x:v>
      </x:c>
      <x:c r="P70" s="10" t="n">
        <x:f>N70+O70</x:f>
        <x:v>20.625</x:v>
      </x:c>
    </x:row>
    <x:row r="71" ht="35" customHeight="1">
      <x:c r="A71" s="9" t="str">
        <x:v>SYN-G04-03</x:v>
      </x:c>
      <x:c r="B71" s="9" t="str">
        <x:v>B</x:v>
      </x:c>
      <x:c r="C71" s="9" t="str">
        <x:v>G04</x:v>
      </x:c>
      <x:c r="D71" s="10" t="n">
        <x:v>0.08</x:v>
      </x:c>
      <x:c r="E71" s="10" t="n">
        <x:v>0.119</x:v>
      </x:c>
      <x:c r="F71" s="10" t="n">
        <x:v>0.068</x:v>
      </x:c>
      <x:c r="G71" s="10" t="n">
        <x:v>0.483</x:v>
      </x:c>
      <x:c r="H71" s="10" t="n">
        <x:v>0.1</x:v>
      </x:c>
      <x:c r="I71" s="10" t="n">
        <x:f>SUM(D71:H71)</x:f>
        <x:v>0.85</x:v>
      </x:c>
      <x:c r="J71" s="10" t="n">
        <x:v>0.075</x:v>
      </x:c>
      <x:c r="K71" s="10" t="n">
        <x:v>0.3</x:v>
      </x:c>
      <x:c r="L71" s="10" t="n">
        <x:v>0.25</x:v>
      </x:c>
      <x:c r="M71" s="10" t="n">
        <x:v>0.45</x:v>
      </x:c>
      <x:c r="N71" s="10" t="n">
        <x:f>SUM(I71:M71)</x:f>
        <x:v>1.9249999999999998</x:v>
      </x:c>
      <x:c r="O71" s="10" t="n">
        <x:v>16</x:v>
      </x:c>
      <x:c r="P71" s="10" t="n">
        <x:f>N71+O71</x:f>
        <x:v>17.925</x:v>
      </x:c>
    </x:row>
    <x:row r="72" ht="35" customHeight="1">
      <x:c r="A72" s="9" t="str">
        <x:v>SYN-G04-04</x:v>
      </x:c>
      <x:c r="B72" s="9" t="str">
        <x:v>A</x:v>
      </x:c>
      <x:c r="C72" s="9" t="str">
        <x:v>G04</x:v>
      </x:c>
      <x:c r="D72" s="10" t="n">
        <x:v>0.08</x:v>
      </x:c>
      <x:c r="E72" s="10" t="n">
        <x:v>0.574</x:v>
      </x:c>
      <x:c r="F72" s="10" t="n">
        <x:v>1.234</x:v>
      </x:c>
      <x:c r="G72" s="10" t="n">
        <x:v>0.882</x:v>
      </x:c>
      <x:c r="H72" s="10" t="n">
        <x:v>0.1</x:v>
      </x:c>
      <x:c r="I72" s="10" t="n">
        <x:f>SUM(D72:H72)</x:f>
        <x:v>2.87</x:v>
      </x:c>
      <x:c r="J72" s="10" t="n">
        <x:v>0.785</x:v>
      </x:c>
      <x:c r="K72" s="10" t="n">
        <x:v>0.3</x:v>
      </x:c>
      <x:c r="L72" s="10" t="n">
        <x:v>0.25</x:v>
      </x:c>
      <x:c r="M72" s="10" t="n">
        <x:v>0.45</x:v>
      </x:c>
      <x:c r="N72" s="10" t="n">
        <x:f>SUM(I72:M72)</x:f>
        <x:v>4.655</x:v>
      </x:c>
      <x:c r="O72" s="10" t="n">
        <x:v>17.4</x:v>
      </x:c>
      <x:c r="P72" s="10" t="n">
        <x:f>N72+O72</x:f>
        <x:v>22.055</x:v>
      </x:c>
    </x:row>
    <x:row r="73" ht="35" customHeight="1">
      <x:c r="A73" s="9" t="str">
        <x:v>SYN-G04-04</x:v>
      </x:c>
      <x:c r="B73" s="9" t="str">
        <x:v>B</x:v>
      </x:c>
      <x:c r="C73" s="9" t="str">
        <x:v>G04</x:v>
      </x:c>
      <x:c r="D73" s="10" t="n">
        <x:v>0.08</x:v>
      </x:c>
      <x:c r="E73" s="10" t="n">
        <x:v>0.122</x:v>
      </x:c>
      <x:c r="F73" s="10" t="n">
        <x:v>0.07</x:v>
      </x:c>
      <x:c r="G73" s="10" t="n">
        <x:v>0.498</x:v>
      </x:c>
      <x:c r="H73" s="10" t="n">
        <x:v>0.1</x:v>
      </x:c>
      <x:c r="I73" s="10" t="n">
        <x:f>SUM(D73:H73)</x:f>
        <x:v>0.87</x:v>
      </x:c>
      <x:c r="J73" s="10" t="n">
        <x:v>0.085</x:v>
      </x:c>
      <x:c r="K73" s="10" t="n">
        <x:v>0.3</x:v>
      </x:c>
      <x:c r="L73" s="10" t="n">
        <x:v>0.25</x:v>
      </x:c>
      <x:c r="M73" s="10" t="n">
        <x:v>0.45</x:v>
      </x:c>
      <x:c r="N73" s="10" t="n">
        <x:f>SUM(I73:M73)</x:f>
        <x:v>1.9549999999999998</x:v>
      </x:c>
      <x:c r="O73" s="10" t="n">
        <x:v>17.4</x:v>
      </x:c>
      <x:c r="P73" s="10" t="n">
        <x:f>N73+O73</x:f>
        <x:v>19.354999999999997</x:v>
      </x:c>
    </x:row>
    <x:row r="74" ht="35" customHeight="1">
      <x:c r="A74" s="9" t="str">
        <x:v>SYN-G04-05</x:v>
      </x:c>
      <x:c r="B74" s="9" t="str">
        <x:v>A</x:v>
      </x:c>
      <x:c r="C74" s="9" t="str">
        <x:v>G04</x:v>
      </x:c>
      <x:c r="D74" s="10" t="n">
        <x:v>0.08</x:v>
      </x:c>
      <x:c r="E74" s="10" t="n">
        <x:v>0.578</x:v>
      </x:c>
      <x:c r="F74" s="10" t="n">
        <x:v>1.243</x:v>
      </x:c>
      <x:c r="G74" s="10" t="n">
        <x:v>0.889</x:v>
      </x:c>
      <x:c r="H74" s="10" t="n">
        <x:v>0.1</x:v>
      </x:c>
      <x:c r="I74" s="10" t="n">
        <x:f>SUM(D74:H74)</x:f>
        <x:v>2.89</x:v>
      </x:c>
      <x:c r="J74" s="10" t="n">
        <x:v>0.795</x:v>
      </x:c>
      <x:c r="K74" s="10" t="n">
        <x:v>0.3</x:v>
      </x:c>
      <x:c r="L74" s="10" t="n">
        <x:v>0.25</x:v>
      </x:c>
      <x:c r="M74" s="10" t="n">
        <x:v>0.45</x:v>
      </x:c>
      <x:c r="N74" s="10" t="n">
        <x:f>SUM(I74:M74)</x:f>
        <x:v>4.685</x:v>
      </x:c>
      <x:c r="O74" s="10" t="n">
        <x:v>18.8</x:v>
      </x:c>
      <x:c r="P74" s="10" t="n">
        <x:f>N74+O74</x:f>
        <x:v>23.485</x:v>
      </x:c>
    </x:row>
    <x:row r="75" ht="35" customHeight="1">
      <x:c r="A75" s="9" t="str">
        <x:v>SYN-G04-05</x:v>
      </x:c>
      <x:c r="B75" s="9" t="str">
        <x:v>B</x:v>
      </x:c>
      <x:c r="C75" s="9" t="str">
        <x:v>G04</x:v>
      </x:c>
      <x:c r="D75" s="10" t="n">
        <x:v>0.08</x:v>
      </x:c>
      <x:c r="E75" s="10" t="n">
        <x:v>0.125</x:v>
      </x:c>
      <x:c r="F75" s="10" t="n">
        <x:v>0.071</x:v>
      </x:c>
      <x:c r="G75" s="10" t="n">
        <x:v>0.514</x:v>
      </x:c>
      <x:c r="H75" s="10" t="n">
        <x:v>0.1</x:v>
      </x:c>
      <x:c r="I75" s="10" t="n">
        <x:f>SUM(D75:H75)</x:f>
        <x:v>0.89</x:v>
      </x:c>
      <x:c r="J75" s="10" t="n">
        <x:v>0.095</x:v>
      </x:c>
      <x:c r="K75" s="10" t="n">
        <x:v>0.3</x:v>
      </x:c>
      <x:c r="L75" s="10" t="n">
        <x:v>0.25</x:v>
      </x:c>
      <x:c r="M75" s="10" t="n">
        <x:v>0.45</x:v>
      </x:c>
      <x:c r="N75" s="10" t="n">
        <x:f>SUM(I75:M75)</x:f>
        <x:v>1.9849999999999999</x:v>
      </x:c>
      <x:c r="O75" s="10" t="n">
        <x:v>18.8</x:v>
      </x:c>
      <x:c r="P75" s="10" t="n">
        <x:f>N75+O75</x:f>
        <x:v>20.785</x:v>
      </x:c>
    </x:row>
    <x:row r="76" ht="35" customHeight="1">
      <x:c r="A76" s="9" t="str">
        <x:v>SYN-G04-06</x:v>
      </x:c>
      <x:c r="B76" s="9" t="str">
        <x:v>A</x:v>
      </x:c>
      <x:c r="C76" s="9" t="str">
        <x:v>G04</x:v>
      </x:c>
      <x:c r="D76" s="10" t="n">
        <x:v>0.08</x:v>
      </x:c>
      <x:c r="E76" s="10" t="n">
        <x:v>0.582</x:v>
      </x:c>
      <x:c r="F76" s="10" t="n">
        <x:v>1.251</x:v>
      </x:c>
      <x:c r="G76" s="10" t="n">
        <x:v>0.897</x:v>
      </x:c>
      <x:c r="H76" s="10" t="n">
        <x:v>0.1</x:v>
      </x:c>
      <x:c r="I76" s="10" t="n">
        <x:f>SUM(D76:H76)</x:f>
        <x:v>2.9099999999999997</x:v>
      </x:c>
      <x:c r="J76" s="10" t="n">
        <x:v>0.805</x:v>
      </x:c>
      <x:c r="K76" s="10" t="n">
        <x:v>0.3</x:v>
      </x:c>
      <x:c r="L76" s="10" t="n">
        <x:v>0.25</x:v>
      </x:c>
      <x:c r="M76" s="10" t="n">
        <x:v>0.45</x:v>
      </x:c>
      <x:c r="N76" s="10" t="n">
        <x:f>SUM(I76:M76)</x:f>
        <x:v>4.715</x:v>
      </x:c>
      <x:c r="O76" s="10" t="n">
        <x:v>20.2</x:v>
      </x:c>
      <x:c r="P76" s="10" t="n">
        <x:f>N76+O76</x:f>
        <x:v>24.915</x:v>
      </x:c>
    </x:row>
    <x:row r="77" ht="35" customHeight="1">
      <x:c r="A77" s="9" t="str">
        <x:v>SYN-G04-06</x:v>
      </x:c>
      <x:c r="B77" s="9" t="str">
        <x:v>B</x:v>
      </x:c>
      <x:c r="C77" s="9" t="str">
        <x:v>G04</x:v>
      </x:c>
      <x:c r="D77" s="10" t="n">
        <x:v>0.08</x:v>
      </x:c>
      <x:c r="E77" s="10" t="n">
        <x:v>0.127</x:v>
      </x:c>
      <x:c r="F77" s="10" t="n">
        <x:v>0.073</x:v>
      </x:c>
      <x:c r="G77" s="10" t="n">
        <x:v>0.53</x:v>
      </x:c>
      <x:c r="H77" s="10" t="n">
        <x:v>0.1</x:v>
      </x:c>
      <x:c r="I77" s="10" t="n">
        <x:f>SUM(D77:H77)</x:f>
        <x:v>0.91</x:v>
      </x:c>
      <x:c r="J77" s="10" t="n">
        <x:v>0.105</x:v>
      </x:c>
      <x:c r="K77" s="10" t="n">
        <x:v>0.3</x:v>
      </x:c>
      <x:c r="L77" s="10" t="n">
        <x:v>0.25</x:v>
      </x:c>
      <x:c r="M77" s="10" t="n">
        <x:v>0.45</x:v>
      </x:c>
      <x:c r="N77" s="10" t="n">
        <x:f>SUM(I77:M77)</x:f>
        <x:v>2.015</x:v>
      </x:c>
      <x:c r="O77" s="10" t="n">
        <x:v>20.2</x:v>
      </x:c>
      <x:c r="P77" s="10" t="n">
        <x:f>N77+O77</x:f>
        <x:v>22.215</x:v>
      </x:c>
    </x:row>
    <x:row r="78" ht="35" customHeight="1">
      <x:c r="A78" s="9" t="str">
        <x:v>SYN-G04-07</x:v>
      </x:c>
      <x:c r="B78" s="9" t="str">
        <x:v>A</x:v>
      </x:c>
      <x:c r="C78" s="9" t="str">
        <x:v>G04</x:v>
      </x:c>
      <x:c r="D78" s="10" t="n">
        <x:v>0.08</x:v>
      </x:c>
      <x:c r="E78" s="10" t="n">
        <x:v>0.586</x:v>
      </x:c>
      <x:c r="F78" s="10" t="n">
        <x:v>1.26</x:v>
      </x:c>
      <x:c r="G78" s="10" t="n">
        <x:v>0.904</x:v>
      </x:c>
      <x:c r="H78" s="10" t="n">
        <x:v>0.1</x:v>
      </x:c>
      <x:c r="I78" s="10" t="n">
        <x:f>SUM(D78:H78)</x:f>
        <x:v>2.93</x:v>
      </x:c>
      <x:c r="J78" s="10" t="n">
        <x:v>0.815</x:v>
      </x:c>
      <x:c r="K78" s="10" t="n">
        <x:v>0.3</x:v>
      </x:c>
      <x:c r="L78" s="10" t="n">
        <x:v>0.25</x:v>
      </x:c>
      <x:c r="M78" s="10" t="n">
        <x:v>0.45</x:v>
      </x:c>
      <x:c r="N78" s="10" t="n">
        <x:f>SUM(I78:M78)</x:f>
        <x:v>4.745</x:v>
      </x:c>
      <x:c r="O78" s="10" t="n">
        <x:v>21.6</x:v>
      </x:c>
      <x:c r="P78" s="10" t="n">
        <x:f>N78+O78</x:f>
        <x:v>26.345000000000002</x:v>
      </x:c>
    </x:row>
    <x:row r="79" ht="35" customHeight="1">
      <x:c r="A79" s="9" t="str">
        <x:v>SYN-G04-07</x:v>
      </x:c>
      <x:c r="B79" s="9" t="str">
        <x:v>B</x:v>
      </x:c>
      <x:c r="C79" s="9" t="str">
        <x:v>G04</x:v>
      </x:c>
      <x:c r="D79" s="10" t="n">
        <x:v>0.08</x:v>
      </x:c>
      <x:c r="E79" s="10" t="n">
        <x:v>0.13</x:v>
      </x:c>
      <x:c r="F79" s="10" t="n">
        <x:v>0.074</x:v>
      </x:c>
      <x:c r="G79" s="10" t="n">
        <x:v>0.546</x:v>
      </x:c>
      <x:c r="H79" s="10" t="n">
        <x:v>0.1</x:v>
      </x:c>
      <x:c r="I79" s="10" t="n">
        <x:f>SUM(D79:H79)</x:f>
        <x:v>0.93</x:v>
      </x:c>
      <x:c r="J79" s="10" t="n">
        <x:v>0.115</x:v>
      </x:c>
      <x:c r="K79" s="10" t="n">
        <x:v>0.3</x:v>
      </x:c>
      <x:c r="L79" s="10" t="n">
        <x:v>0.25</x:v>
      </x:c>
      <x:c r="M79" s="10" t="n">
        <x:v>0.45</x:v>
      </x:c>
      <x:c r="N79" s="10" t="n">
        <x:f>SUM(I79:M79)</x:f>
        <x:v>2.0450000000000004</x:v>
      </x:c>
      <x:c r="O79" s="10" t="n">
        <x:v>21.6</x:v>
      </x:c>
      <x:c r="P79" s="10" t="n">
        <x:f>N79+O79</x:f>
        <x:v>23.645000000000003</x:v>
      </x:c>
    </x:row>
    <x:row r="80" ht="35" customHeight="1">
      <x:c r="A80" s="9" t="str">
        <x:v>SYN-G04-08</x:v>
      </x:c>
      <x:c r="B80" s="9" t="str">
        <x:v>A</x:v>
      </x:c>
      <x:c r="C80" s="9" t="str">
        <x:v>G04</x:v>
      </x:c>
      <x:c r="D80" s="10" t="n">
        <x:v>0.08</x:v>
      </x:c>
      <x:c r="E80" s="10" t="n">
        <x:v>0.59</x:v>
      </x:c>
      <x:c r="F80" s="10" t="n">
        <x:v>1.269</x:v>
      </x:c>
      <x:c r="G80" s="10" t="n">
        <x:v>0.911</x:v>
      </x:c>
      <x:c r="H80" s="10" t="n">
        <x:v>0.1</x:v>
      </x:c>
      <x:c r="I80" s="10" t="n">
        <x:f>SUM(D80:H80)</x:f>
        <x:v>2.9499999999999997</x:v>
      </x:c>
      <x:c r="J80" s="10" t="n">
        <x:v>0.825</x:v>
      </x:c>
      <x:c r="K80" s="10" t="n">
        <x:v>0.3</x:v>
      </x:c>
      <x:c r="L80" s="10" t="n">
        <x:v>0.25</x:v>
      </x:c>
      <x:c r="M80" s="10" t="n">
        <x:v>0.45</x:v>
      </x:c>
      <x:c r="N80" s="10" t="n">
        <x:f>SUM(I80:M80)</x:f>
        <x:v>4.7749999999999995</x:v>
      </x:c>
      <x:c r="O80" s="10" t="n">
        <x:v>23</x:v>
      </x:c>
      <x:c r="P80" s="10" t="n">
        <x:f>N80+O80</x:f>
        <x:v>27.775</x:v>
      </x:c>
    </x:row>
    <x:row r="81" ht="35" customHeight="1">
      <x:c r="A81" s="9" t="str">
        <x:v>SYN-G04-08</x:v>
      </x:c>
      <x:c r="B81" s="9" t="str">
        <x:v>B</x:v>
      </x:c>
      <x:c r="C81" s="9" t="str">
        <x:v>G04</x:v>
      </x:c>
      <x:c r="D81" s="10" t="n">
        <x:v>0.08</x:v>
      </x:c>
      <x:c r="E81" s="10" t="n">
        <x:v>0.133</x:v>
      </x:c>
      <x:c r="F81" s="10" t="n">
        <x:v>0.076</x:v>
      </x:c>
      <x:c r="G81" s="10" t="n">
        <x:v>0.561</x:v>
      </x:c>
      <x:c r="H81" s="10" t="n">
        <x:v>0.1</x:v>
      </x:c>
      <x:c r="I81" s="10" t="n">
        <x:f>SUM(D81:H81)</x:f>
        <x:v>0.9500000000000001</x:v>
      </x:c>
      <x:c r="J81" s="10" t="n">
        <x:v>0.125</x:v>
      </x:c>
      <x:c r="K81" s="10" t="n">
        <x:v>0.3</x:v>
      </x:c>
      <x:c r="L81" s="10" t="n">
        <x:v>0.25</x:v>
      </x:c>
      <x:c r="M81" s="10" t="n">
        <x:v>0.45</x:v>
      </x:c>
      <x:c r="N81" s="10" t="n">
        <x:f>SUM(I81:M81)</x:f>
        <x:v>2.075</x:v>
      </x:c>
      <x:c r="O81" s="10" t="n">
        <x:v>23</x:v>
      </x:c>
      <x:c r="P81" s="10" t="n">
        <x:f>N81+O81</x:f>
        <x:v>25.075</x:v>
      </x:c>
    </x:row>
    <x:row r="82" ht="35" customHeight="1">
      <x:c r="A82" s="9" t="str">
        <x:v>SYN-G04-09</x:v>
      </x:c>
      <x:c r="B82" s="9" t="str">
        <x:v>A</x:v>
      </x:c>
      <x:c r="C82" s="9" t="str">
        <x:v>G04</x:v>
      </x:c>
      <x:c r="D82" s="10" t="n">
        <x:v>0.08</x:v>
      </x:c>
      <x:c r="E82" s="10" t="n">
        <x:v>0.594</x:v>
      </x:c>
      <x:c r="F82" s="10" t="n">
        <x:v>1.277</x:v>
      </x:c>
      <x:c r="G82" s="10" t="n">
        <x:v>0.919</x:v>
      </x:c>
      <x:c r="H82" s="10" t="n">
        <x:v>0.1</x:v>
      </x:c>
      <x:c r="I82" s="10" t="n">
        <x:f>SUM(D82:H82)</x:f>
        <x:v>2.97</x:v>
      </x:c>
      <x:c r="J82" s="10" t="n">
        <x:v>0.835</x:v>
      </x:c>
      <x:c r="K82" s="10" t="n">
        <x:v>0.3</x:v>
      </x:c>
      <x:c r="L82" s="10" t="n">
        <x:v>0.25</x:v>
      </x:c>
      <x:c r="M82" s="10" t="n">
        <x:v>0.45</x:v>
      </x:c>
      <x:c r="N82" s="10" t="n">
        <x:f>SUM(I82:M82)</x:f>
        <x:v>4.805000000000001</x:v>
      </x:c>
      <x:c r="O82" s="10" t="n">
        <x:v>24.4</x:v>
      </x:c>
      <x:c r="P82" s="10" t="n">
        <x:f>N82+O82</x:f>
        <x:v>29.205</x:v>
      </x:c>
    </x:row>
    <x:row r="83" ht="35" customHeight="1">
      <x:c r="A83" s="9" t="str">
        <x:v>SYN-G04-09</x:v>
      </x:c>
      <x:c r="B83" s="9" t="str">
        <x:v>B</x:v>
      </x:c>
      <x:c r="C83" s="9" t="str">
        <x:v>G04</x:v>
      </x:c>
      <x:c r="D83" s="10" t="n">
        <x:v>0.08</x:v>
      </x:c>
      <x:c r="E83" s="10" t="n">
        <x:v>0.136</x:v>
      </x:c>
      <x:c r="F83" s="10" t="n">
        <x:v>0.078</x:v>
      </x:c>
      <x:c r="G83" s="10" t="n">
        <x:v>0.576</x:v>
      </x:c>
      <x:c r="H83" s="10" t="n">
        <x:v>0.1</x:v>
      </x:c>
      <x:c r="I83" s="10" t="n">
        <x:f>SUM(D83:H83)</x:f>
        <x:v>0.97</x:v>
      </x:c>
      <x:c r="J83" s="10" t="n">
        <x:v>0.135</x:v>
      </x:c>
      <x:c r="K83" s="10" t="n">
        <x:v>0.3</x:v>
      </x:c>
      <x:c r="L83" s="10" t="n">
        <x:v>0.25</x:v>
      </x:c>
      <x:c r="M83" s="10" t="n">
        <x:v>0.45</x:v>
      </x:c>
      <x:c r="N83" s="10" t="n">
        <x:f>SUM(I83:M83)</x:f>
        <x:v>2.105</x:v>
      </x:c>
      <x:c r="O83" s="10" t="n">
        <x:v>24.4</x:v>
      </x:c>
      <x:c r="P83" s="10" t="n">
        <x:f>N83+O83</x:f>
        <x:v>26.505</x:v>
      </x:c>
    </x:row>
    <x:row r="84" ht="35" customHeight="1">
      <x:c r="A84" s="9" t="str">
        <x:v>SYN-G04-10</x:v>
      </x:c>
      <x:c r="B84" s="9" t="str">
        <x:v>A</x:v>
      </x:c>
      <x:c r="C84" s="9" t="str">
        <x:v>G04</x:v>
      </x:c>
      <x:c r="D84" s="10" t="n">
        <x:v>0.08</x:v>
      </x:c>
      <x:c r="E84" s="10" t="n">
        <x:v>0.598</x:v>
      </x:c>
      <x:c r="F84" s="10" t="n">
        <x:v>1.286</x:v>
      </x:c>
      <x:c r="G84" s="10" t="n">
        <x:v>0.926</x:v>
      </x:c>
      <x:c r="H84" s="10" t="n">
        <x:v>0.1</x:v>
      </x:c>
      <x:c r="I84" s="10" t="n">
        <x:f>SUM(D84:H84)</x:f>
        <x:v>2.99</x:v>
      </x:c>
      <x:c r="J84" s="10" t="n">
        <x:v>0.845</x:v>
      </x:c>
      <x:c r="K84" s="10" t="n">
        <x:v>0.3</x:v>
      </x:c>
      <x:c r="L84" s="10" t="n">
        <x:v>0.25</x:v>
      </x:c>
      <x:c r="M84" s="10" t="n">
        <x:v>0.45</x:v>
      </x:c>
      <x:c r="N84" s="10" t="n">
        <x:f>SUM(I84:M84)</x:f>
        <x:v>4.835</x:v>
      </x:c>
      <x:c r="O84" s="10" t="n">
        <x:v>25.8</x:v>
      </x:c>
      <x:c r="P84" s="10" t="n">
        <x:f>N84+O84</x:f>
        <x:v>30.635</x:v>
      </x:c>
    </x:row>
    <x:row r="85" ht="35" customHeight="1">
      <x:c r="A85" s="9" t="str">
        <x:v>SYN-G04-10</x:v>
      </x:c>
      <x:c r="B85" s="9" t="str">
        <x:v>B</x:v>
      </x:c>
      <x:c r="C85" s="9" t="str">
        <x:v>G04</x:v>
      </x:c>
      <x:c r="D85" s="10" t="n">
        <x:v>0.08</x:v>
      </x:c>
      <x:c r="E85" s="10" t="n">
        <x:v>0.139</x:v>
      </x:c>
      <x:c r="F85" s="10" t="n">
        <x:v>0.079</x:v>
      </x:c>
      <x:c r="G85" s="10" t="n">
        <x:v>0.592</x:v>
      </x:c>
      <x:c r="H85" s="10" t="n">
        <x:v>0.1</x:v>
      </x:c>
      <x:c r="I85" s="10" t="n">
        <x:f>SUM(D85:H85)</x:f>
        <x:v>0.99</x:v>
      </x:c>
      <x:c r="J85" s="10" t="n">
        <x:v>0.145</x:v>
      </x:c>
      <x:c r="K85" s="10" t="n">
        <x:v>0.3</x:v>
      </x:c>
      <x:c r="L85" s="10" t="n">
        <x:v>0.25</x:v>
      </x:c>
      <x:c r="M85" s="10" t="n">
        <x:v>0.45</x:v>
      </x:c>
      <x:c r="N85" s="10" t="n">
        <x:f>SUM(I85:M85)</x:f>
        <x:v>2.1350000000000002</x:v>
      </x:c>
      <x:c r="O85" s="10" t="n">
        <x:v>25.8</x:v>
      </x:c>
      <x:c r="P85" s="10" t="n">
        <x:f>N85+O85</x:f>
        <x:v>27.935000000000002</x:v>
      </x:c>
    </x:row>
    <x:row r="86" ht="35" customHeight="1">
      <x:c r="A86" s="9" t="str">
        <x:v>SYN-G05-01</x:v>
      </x:c>
      <x:c r="B86" s="9" t="str">
        <x:v>A</x:v>
      </x:c>
      <x:c r="C86" s="9" t="str">
        <x:v>G05</x:v>
      </x:c>
      <x:c r="D86" s="10" t="n">
        <x:v>0.08</x:v>
      </x:c>
      <x:c r="E86" s="10" t="n">
        <x:v>0.502</x:v>
      </x:c>
      <x:c r="F86" s="10" t="n">
        <x:v>1.079</x:v>
      </x:c>
      <x:c r="G86" s="10" t="n">
        <x:v>0.749</x:v>
      </x:c>
      <x:c r="H86" s="10" t="n">
        <x:v>0.1</x:v>
      </x:c>
      <x:c r="I86" s="10" t="n">
        <x:f>SUM(D86:H86)</x:f>
        <x:v>2.5100000000000002</x:v>
      </x:c>
      <x:c r="J86" s="10" t="n">
        <x:v>0.555</x:v>
      </x:c>
      <x:c r="K86" s="10" t="n">
        <x:v>0.3</x:v>
      </x:c>
      <x:c r="L86" s="10" t="n">
        <x:v>0.25</x:v>
      </x:c>
      <x:c r="M86" s="10" t="n">
        <x:v>0.45</x:v>
      </x:c>
      <x:c r="N86" s="10" t="n">
        <x:f>SUM(I86:M86)</x:f>
        <x:v>4.065</x:v>
      </x:c>
      <x:c r="O86" s="10" t="n">
        <x:v>13.5</x:v>
      </x:c>
      <x:c r="P86" s="10" t="n">
        <x:f>N86+O86</x:f>
        <x:v>17.565</x:v>
      </x:c>
    </x:row>
    <x:row r="87" ht="35" customHeight="1">
      <x:c r="A87" s="9" t="str">
        <x:v>SYN-G05-01</x:v>
      </x:c>
      <x:c r="B87" s="9" t="str">
        <x:v>B</x:v>
      </x:c>
      <x:c r="C87" s="9" t="str">
        <x:v>G05</x:v>
      </x:c>
      <x:c r="D87" s="10" t="n">
        <x:v>0.08</x:v>
      </x:c>
      <x:c r="E87" s="10" t="n">
        <x:v>0.218</x:v>
      </x:c>
      <x:c r="F87" s="10" t="n">
        <x:v>0.39</x:v>
      </x:c>
      <x:c r="G87" s="10" t="n">
        <x:v>0.772</x:v>
      </x:c>
      <x:c r="H87" s="10" t="n">
        <x:v>0.1</x:v>
      </x:c>
      <x:c r="I87" s="10" t="n">
        <x:f>SUM(D87:H87)</x:f>
        <x:v>1.56</x:v>
      </x:c>
      <x:c r="J87" s="10" t="n">
        <x:v>0.305</x:v>
      </x:c>
      <x:c r="K87" s="10" t="n">
        <x:v>0.3</x:v>
      </x:c>
      <x:c r="L87" s="10" t="n">
        <x:v>0.25</x:v>
      </x:c>
      <x:c r="M87" s="10" t="n">
        <x:v>0.45</x:v>
      </x:c>
      <x:c r="N87" s="10" t="n">
        <x:f>SUM(I87:M87)</x:f>
        <x:v>2.865</x:v>
      </x:c>
      <x:c r="O87" s="10" t="n">
        <x:v>13.5</x:v>
      </x:c>
      <x:c r="P87" s="10" t="n">
        <x:f>N87+O87</x:f>
        <x:v>16.365000000000002</x:v>
      </x:c>
    </x:row>
    <x:row r="88" ht="35" customHeight="1">
      <x:c r="A88" s="9" t="str">
        <x:v>SYN-G05-02</x:v>
      </x:c>
      <x:c r="B88" s="9" t="str">
        <x:v>A</x:v>
      </x:c>
      <x:c r="C88" s="9" t="str">
        <x:v>G05</x:v>
      </x:c>
      <x:c r="D88" s="10" t="n">
        <x:v>0.08</x:v>
      </x:c>
      <x:c r="E88" s="10" t="n">
        <x:v>0.506</x:v>
      </x:c>
      <x:c r="F88" s="10" t="n">
        <x:v>1.088</x:v>
      </x:c>
      <x:c r="G88" s="10" t="n">
        <x:v>0.756</x:v>
      </x:c>
      <x:c r="H88" s="10" t="n">
        <x:v>0.1</x:v>
      </x:c>
      <x:c r="I88" s="10" t="n">
        <x:f>SUM(D88:H88)</x:f>
        <x:v>2.53</x:v>
      </x:c>
      <x:c r="J88" s="10" t="n">
        <x:v>0.565</x:v>
      </x:c>
      <x:c r="K88" s="10" t="n">
        <x:v>0.3</x:v>
      </x:c>
      <x:c r="L88" s="10" t="n">
        <x:v>0.25</x:v>
      </x:c>
      <x:c r="M88" s="10" t="n">
        <x:v>0.45</x:v>
      </x:c>
      <x:c r="N88" s="10" t="n">
        <x:f>SUM(I88:M88)</x:f>
        <x:v>4.095</x:v>
      </x:c>
      <x:c r="O88" s="10" t="n">
        <x:v>14.9</x:v>
      </x:c>
      <x:c r="P88" s="10" t="n">
        <x:f>N88+O88</x:f>
        <x:v>18.995</x:v>
      </x:c>
    </x:row>
    <x:row r="89" ht="35" customHeight="1">
      <x:c r="A89" s="9" t="str">
        <x:v>SYN-G05-02</x:v>
      </x:c>
      <x:c r="B89" s="9" t="str">
        <x:v>B</x:v>
      </x:c>
      <x:c r="C89" s="9" t="str">
        <x:v>G05</x:v>
      </x:c>
      <x:c r="D89" s="10" t="n">
        <x:v>0.08</x:v>
      </x:c>
      <x:c r="E89" s="10" t="n">
        <x:v>0.221</x:v>
      </x:c>
      <x:c r="F89" s="10" t="n">
        <x:v>0.395</x:v>
      </x:c>
      <x:c r="G89" s="10" t="n">
        <x:v>0.784</x:v>
      </x:c>
      <x:c r="H89" s="10" t="n">
        <x:v>0.1</x:v>
      </x:c>
      <x:c r="I89" s="10" t="n">
        <x:f>SUM(D89:H89)</x:f>
        <x:v>1.58</x:v>
      </x:c>
      <x:c r="J89" s="10" t="n">
        <x:v>0.315</x:v>
      </x:c>
      <x:c r="K89" s="10" t="n">
        <x:v>0.3</x:v>
      </x:c>
      <x:c r="L89" s="10" t="n">
        <x:v>0.25</x:v>
      </x:c>
      <x:c r="M89" s="10" t="n">
        <x:v>0.45</x:v>
      </x:c>
      <x:c r="N89" s="10" t="n">
        <x:f>SUM(I89:M89)</x:f>
        <x:v>2.895</x:v>
      </x:c>
      <x:c r="O89" s="10" t="n">
        <x:v>14.9</x:v>
      </x:c>
      <x:c r="P89" s="10" t="n">
        <x:f>N89+O89</x:f>
        <x:v>17.795</x:v>
      </x:c>
    </x:row>
    <x:row r="90" ht="35" customHeight="1">
      <x:c r="A90" s="9" t="str">
        <x:v>SYN-G05-03</x:v>
      </x:c>
      <x:c r="B90" s="9" t="str">
        <x:v>A</x:v>
      </x:c>
      <x:c r="C90" s="9" t="str">
        <x:v>G05</x:v>
      </x:c>
      <x:c r="D90" s="10" t="n">
        <x:v>0.08</x:v>
      </x:c>
      <x:c r="E90" s="10" t="n">
        <x:v>0.51</x:v>
      </x:c>
      <x:c r="F90" s="10" t="n">
        <x:v>1.096</x:v>
      </x:c>
      <x:c r="G90" s="10" t="n">
        <x:v>0.764</x:v>
      </x:c>
      <x:c r="H90" s="10" t="n">
        <x:v>0.1</x:v>
      </x:c>
      <x:c r="I90" s="10" t="n">
        <x:f>SUM(D90:H90)</x:f>
        <x:v>2.5500000000000003</x:v>
      </x:c>
      <x:c r="J90" s="10" t="n">
        <x:v>0.575</x:v>
      </x:c>
      <x:c r="K90" s="10" t="n">
        <x:v>0.3</x:v>
      </x:c>
      <x:c r="L90" s="10" t="n">
        <x:v>0.25</x:v>
      </x:c>
      <x:c r="M90" s="10" t="n">
        <x:v>0.45</x:v>
      </x:c>
      <x:c r="N90" s="10" t="n">
        <x:f>SUM(I90:M90)</x:f>
        <x:v>4.125</x:v>
      </x:c>
      <x:c r="O90" s="10" t="n">
        <x:v>16.3</x:v>
      </x:c>
      <x:c r="P90" s="10" t="n">
        <x:f>N90+O90</x:f>
        <x:v>20.425</x:v>
      </x:c>
    </x:row>
    <x:row r="91" ht="35" customHeight="1">
      <x:c r="A91" s="9" t="str">
        <x:v>SYN-G05-03</x:v>
      </x:c>
      <x:c r="B91" s="9" t="str">
        <x:v>B</x:v>
      </x:c>
      <x:c r="C91" s="9" t="str">
        <x:v>G05</x:v>
      </x:c>
      <x:c r="D91" s="10" t="n">
        <x:v>0.08</x:v>
      </x:c>
      <x:c r="E91" s="10" t="n">
        <x:v>0.224</x:v>
      </x:c>
      <x:c r="F91" s="10" t="n">
        <x:v>0.4</x:v>
      </x:c>
      <x:c r="G91" s="10" t="n">
        <x:v>0.796</x:v>
      </x:c>
      <x:c r="H91" s="10" t="n">
        <x:v>0.1</x:v>
      </x:c>
      <x:c r="I91" s="10" t="n">
        <x:f>SUM(D91:H91)</x:f>
        <x:v>1.6</x:v>
      </x:c>
      <x:c r="J91" s="10" t="n">
        <x:v>0.325</x:v>
      </x:c>
      <x:c r="K91" s="10" t="n">
        <x:v>0.3</x:v>
      </x:c>
      <x:c r="L91" s="10" t="n">
        <x:v>0.25</x:v>
      </x:c>
      <x:c r="M91" s="10" t="n">
        <x:v>0.45</x:v>
      </x:c>
      <x:c r="N91" s="10" t="n">
        <x:f>SUM(I91:M91)</x:f>
        <x:v>2.9250000000000003</x:v>
      </x:c>
      <x:c r="O91" s="10" t="n">
        <x:v>16.3</x:v>
      </x:c>
      <x:c r="P91" s="10" t="n">
        <x:f>N91+O91</x:f>
        <x:v>19.225</x:v>
      </x:c>
    </x:row>
    <x:row r="92" ht="35" customHeight="1">
      <x:c r="A92" s="9" t="str">
        <x:v>SYN-G05-04</x:v>
      </x:c>
      <x:c r="B92" s="9" t="str">
        <x:v>A</x:v>
      </x:c>
      <x:c r="C92" s="9" t="str">
        <x:v>G05</x:v>
      </x:c>
      <x:c r="D92" s="10" t="n">
        <x:v>0.08</x:v>
      </x:c>
      <x:c r="E92" s="10" t="n">
        <x:v>0.514</x:v>
      </x:c>
      <x:c r="F92" s="10" t="n">
        <x:v>1.105</x:v>
      </x:c>
      <x:c r="G92" s="10" t="n">
        <x:v>0.771</x:v>
      </x:c>
      <x:c r="H92" s="10" t="n">
        <x:v>0.1</x:v>
      </x:c>
      <x:c r="I92" s="10" t="n">
        <x:f>SUM(D92:H92)</x:f>
        <x:v>2.57</x:v>
      </x:c>
      <x:c r="J92" s="10" t="n">
        <x:v>0.585</x:v>
      </x:c>
      <x:c r="K92" s="10" t="n">
        <x:v>0.3</x:v>
      </x:c>
      <x:c r="L92" s="10" t="n">
        <x:v>0.25</x:v>
      </x:c>
      <x:c r="M92" s="10" t="n">
        <x:v>0.45</x:v>
      </x:c>
      <x:c r="N92" s="10" t="n">
        <x:f>SUM(I92:M92)</x:f>
        <x:v>4.154999999999999</x:v>
      </x:c>
      <x:c r="O92" s="10" t="n">
        <x:v>17.7</x:v>
      </x:c>
      <x:c r="P92" s="10" t="n">
        <x:f>N92+O92</x:f>
        <x:v>21.854999999999997</x:v>
      </x:c>
    </x:row>
    <x:row r="93" ht="35" customHeight="1">
      <x:c r="A93" s="9" t="str">
        <x:v>SYN-G05-04</x:v>
      </x:c>
      <x:c r="B93" s="9" t="str">
        <x:v>B</x:v>
      </x:c>
      <x:c r="C93" s="9" t="str">
        <x:v>G05</x:v>
      </x:c>
      <x:c r="D93" s="10" t="n">
        <x:v>0.08</x:v>
      </x:c>
      <x:c r="E93" s="10" t="n">
        <x:v>0.227</x:v>
      </x:c>
      <x:c r="F93" s="10" t="n">
        <x:v>0.405</x:v>
      </x:c>
      <x:c r="G93" s="10" t="n">
        <x:v>0.808</x:v>
      </x:c>
      <x:c r="H93" s="10" t="n">
        <x:v>0.1</x:v>
      </x:c>
      <x:c r="I93" s="10" t="n">
        <x:f>SUM(D93:H93)</x:f>
        <x:v>1.62</x:v>
      </x:c>
      <x:c r="J93" s="10" t="n">
        <x:v>0.335</x:v>
      </x:c>
      <x:c r="K93" s="10" t="n">
        <x:v>0.3</x:v>
      </x:c>
      <x:c r="L93" s="10" t="n">
        <x:v>0.25</x:v>
      </x:c>
      <x:c r="M93" s="10" t="n">
        <x:v>0.45</x:v>
      </x:c>
      <x:c r="N93" s="10" t="n">
        <x:f>SUM(I93:M93)</x:f>
        <x:v>2.955</x:v>
      </x:c>
      <x:c r="O93" s="10" t="n">
        <x:v>17.7</x:v>
      </x:c>
      <x:c r="P93" s="10" t="n">
        <x:f>N93+O93</x:f>
        <x:v>20.655</x:v>
      </x:c>
    </x:row>
    <x:row r="94" ht="35" customHeight="1">
      <x:c r="A94" s="9" t="str">
        <x:v>SYN-G05-05</x:v>
      </x:c>
      <x:c r="B94" s="9" t="str">
        <x:v>A</x:v>
      </x:c>
      <x:c r="C94" s="9" t="str">
        <x:v>G05</x:v>
      </x:c>
      <x:c r="D94" s="10" t="n">
        <x:v>0.08</x:v>
      </x:c>
      <x:c r="E94" s="10" t="n">
        <x:v>0.518</x:v>
      </x:c>
      <x:c r="F94" s="10" t="n">
        <x:v>1.114</x:v>
      </x:c>
      <x:c r="G94" s="10" t="n">
        <x:v>0.778</x:v>
      </x:c>
      <x:c r="H94" s="10" t="n">
        <x:v>0.1</x:v>
      </x:c>
      <x:c r="I94" s="10" t="n">
        <x:f>SUM(D94:H94)</x:f>
        <x:v>2.5900000000000003</x:v>
      </x:c>
      <x:c r="J94" s="10" t="n">
        <x:v>0.595</x:v>
      </x:c>
      <x:c r="K94" s="10" t="n">
        <x:v>0.3</x:v>
      </x:c>
      <x:c r="L94" s="10" t="n">
        <x:v>0.25</x:v>
      </x:c>
      <x:c r="M94" s="10" t="n">
        <x:v>0.45</x:v>
      </x:c>
      <x:c r="N94" s="10" t="n">
        <x:f>SUM(I94:M94)</x:f>
        <x:v>4.1850000000000005</x:v>
      </x:c>
      <x:c r="O94" s="10" t="n">
        <x:v>19.1</x:v>
      </x:c>
      <x:c r="P94" s="10" t="n">
        <x:f>N94+O94</x:f>
        <x:v>23.285000000000004</x:v>
      </x:c>
    </x:row>
    <x:row r="95" ht="35" customHeight="1">
      <x:c r="A95" s="9" t="str">
        <x:v>SYN-G05-05</x:v>
      </x:c>
      <x:c r="B95" s="9" t="str">
        <x:v>B</x:v>
      </x:c>
      <x:c r="C95" s="9" t="str">
        <x:v>G05</x:v>
      </x:c>
      <x:c r="D95" s="10" t="n">
        <x:v>0.08</x:v>
      </x:c>
      <x:c r="E95" s="10" t="n">
        <x:v>0.23</x:v>
      </x:c>
      <x:c r="F95" s="10" t="n">
        <x:v>0.41</x:v>
      </x:c>
      <x:c r="G95" s="10" t="n">
        <x:v>0.82</x:v>
      </x:c>
      <x:c r="H95" s="10" t="n">
        <x:v>0.1</x:v>
      </x:c>
      <x:c r="I95" s="10" t="n">
        <x:f>SUM(D95:H95)</x:f>
        <x:v>1.6400000000000001</x:v>
      </x:c>
      <x:c r="J95" s="10" t="n">
        <x:v>0.345</x:v>
      </x:c>
      <x:c r="K95" s="10" t="n">
        <x:v>0.3</x:v>
      </x:c>
      <x:c r="L95" s="10" t="n">
        <x:v>0.25</x:v>
      </x:c>
      <x:c r="M95" s="10" t="n">
        <x:v>0.45</x:v>
      </x:c>
      <x:c r="N95" s="10" t="n">
        <x:f>SUM(I95:M95)</x:f>
        <x:v>2.9850000000000003</x:v>
      </x:c>
      <x:c r="O95" s="10" t="n">
        <x:v>19.1</x:v>
      </x:c>
      <x:c r="P95" s="10" t="n">
        <x:f>N95+O95</x:f>
        <x:v>22.085</x:v>
      </x:c>
    </x:row>
    <x:row r="96" ht="35" customHeight="1">
      <x:c r="A96" s="9" t="str">
        <x:v>SYN-G05-06</x:v>
      </x:c>
      <x:c r="B96" s="9" t="str">
        <x:v>A</x:v>
      </x:c>
      <x:c r="C96" s="9" t="str">
        <x:v>G05</x:v>
      </x:c>
      <x:c r="D96" s="10" t="n">
        <x:v>0.08</x:v>
      </x:c>
      <x:c r="E96" s="10" t="n">
        <x:v>0.522</x:v>
      </x:c>
      <x:c r="F96" s="10" t="n">
        <x:v>1.122</x:v>
      </x:c>
      <x:c r="G96" s="10" t="n">
        <x:v>0.786</x:v>
      </x:c>
      <x:c r="H96" s="10" t="n">
        <x:v>0.1</x:v>
      </x:c>
      <x:c r="I96" s="10" t="n">
        <x:f>SUM(D96:H96)</x:f>
        <x:v>2.6100000000000003</x:v>
      </x:c>
      <x:c r="J96" s="10" t="n">
        <x:v>0.605</x:v>
      </x:c>
      <x:c r="K96" s="10" t="n">
        <x:v>0.3</x:v>
      </x:c>
      <x:c r="L96" s="10" t="n">
        <x:v>0.25</x:v>
      </x:c>
      <x:c r="M96" s="10" t="n">
        <x:v>0.45</x:v>
      </x:c>
      <x:c r="N96" s="10" t="n">
        <x:f>SUM(I96:M96)</x:f>
        <x:v>4.215</x:v>
      </x:c>
      <x:c r="O96" s="10" t="n">
        <x:v>20.5</x:v>
      </x:c>
      <x:c r="P96" s="10" t="n">
        <x:f>N96+O96</x:f>
        <x:v>24.715</x:v>
      </x:c>
    </x:row>
    <x:row r="97" ht="35" customHeight="1">
      <x:c r="A97" s="9" t="str">
        <x:v>SYN-G05-06</x:v>
      </x:c>
      <x:c r="B97" s="9" t="str">
        <x:v>B</x:v>
      </x:c>
      <x:c r="C97" s="9" t="str">
        <x:v>G05</x:v>
      </x:c>
      <x:c r="D97" s="10" t="n">
        <x:v>0.08</x:v>
      </x:c>
      <x:c r="E97" s="10" t="n">
        <x:v>0.232</x:v>
      </x:c>
      <x:c r="F97" s="10" t="n">
        <x:v>0.415</x:v>
      </x:c>
      <x:c r="G97" s="10" t="n">
        <x:v>0.833</x:v>
      </x:c>
      <x:c r="H97" s="10" t="n">
        <x:v>0.1</x:v>
      </x:c>
      <x:c r="I97" s="10" t="n">
        <x:f>SUM(D97:H97)</x:f>
        <x:v>1.6600000000000001</x:v>
      </x:c>
      <x:c r="J97" s="10" t="n">
        <x:v>0.355</x:v>
      </x:c>
      <x:c r="K97" s="10" t="n">
        <x:v>0.3</x:v>
      </x:c>
      <x:c r="L97" s="10" t="n">
        <x:v>0.25</x:v>
      </x:c>
      <x:c r="M97" s="10" t="n">
        <x:v>0.45</x:v>
      </x:c>
      <x:c r="N97" s="10" t="n">
        <x:f>SUM(I97:M97)</x:f>
        <x:v>3.015</x:v>
      </x:c>
      <x:c r="O97" s="10" t="n">
        <x:v>20.5</x:v>
      </x:c>
      <x:c r="P97" s="10" t="n">
        <x:f>N97+O97</x:f>
        <x:v>23.515</x:v>
      </x:c>
    </x:row>
    <x:row r="98" ht="35" customHeight="1">
      <x:c r="A98" s="9" t="str">
        <x:v>SYN-G05-07</x:v>
      </x:c>
      <x:c r="B98" s="9" t="str">
        <x:v>A</x:v>
      </x:c>
      <x:c r="C98" s="9" t="str">
        <x:v>G05</x:v>
      </x:c>
      <x:c r="D98" s="10" t="n">
        <x:v>0.08</x:v>
      </x:c>
      <x:c r="E98" s="10" t="n">
        <x:v>0.526</x:v>
      </x:c>
      <x:c r="F98" s="10" t="n">
        <x:v>1.131</x:v>
      </x:c>
      <x:c r="G98" s="10" t="n">
        <x:v>0.793</x:v>
      </x:c>
      <x:c r="H98" s="10" t="n">
        <x:v>0.1</x:v>
      </x:c>
      <x:c r="I98" s="10" t="n">
        <x:f>SUM(D98:H98)</x:f>
        <x:v>2.6300000000000003</x:v>
      </x:c>
      <x:c r="J98" s="10" t="n">
        <x:v>0.615</x:v>
      </x:c>
      <x:c r="K98" s="10" t="n">
        <x:v>0.3</x:v>
      </x:c>
      <x:c r="L98" s="10" t="n">
        <x:v>0.25</x:v>
      </x:c>
      <x:c r="M98" s="10" t="n">
        <x:v>0.45</x:v>
      </x:c>
      <x:c r="N98" s="10" t="n">
        <x:f>SUM(I98:M98)</x:f>
        <x:v>4.245</x:v>
      </x:c>
      <x:c r="O98" s="10" t="n">
        <x:v>21.9</x:v>
      </x:c>
      <x:c r="P98" s="10" t="n">
        <x:f>N98+O98</x:f>
        <x:v>26.145</x:v>
      </x:c>
    </x:row>
    <x:row r="99" ht="35" customHeight="1">
      <x:c r="A99" s="9" t="str">
        <x:v>SYN-G05-07</x:v>
      </x:c>
      <x:c r="B99" s="9" t="str">
        <x:v>B</x:v>
      </x:c>
      <x:c r="C99" s="9" t="str">
        <x:v>G05</x:v>
      </x:c>
      <x:c r="D99" s="10" t="n">
        <x:v>0.08</x:v>
      </x:c>
      <x:c r="E99" s="10" t="n">
        <x:v>0.235</x:v>
      </x:c>
      <x:c r="F99" s="10" t="n">
        <x:v>0.42</x:v>
      </x:c>
      <x:c r="G99" s="10" t="n">
        <x:v>0.845</x:v>
      </x:c>
      <x:c r="H99" s="10" t="n">
        <x:v>0.1</x:v>
      </x:c>
      <x:c r="I99" s="10" t="n">
        <x:f>SUM(D99:H99)</x:f>
        <x:v>1.6800000000000002</x:v>
      </x:c>
      <x:c r="J99" s="10" t="n">
        <x:v>0.365</x:v>
      </x:c>
      <x:c r="K99" s="10" t="n">
        <x:v>0.3</x:v>
      </x:c>
      <x:c r="L99" s="10" t="n">
        <x:v>0.25</x:v>
      </x:c>
      <x:c r="M99" s="10" t="n">
        <x:v>0.45</x:v>
      </x:c>
      <x:c r="N99" s="10" t="n">
        <x:f>SUM(I99:M99)</x:f>
        <x:v>3.045</x:v>
      </x:c>
      <x:c r="O99" s="10" t="n">
        <x:v>21.9</x:v>
      </x:c>
      <x:c r="P99" s="10" t="n">
        <x:f>N99+O99</x:f>
        <x:v>24.945</x:v>
      </x:c>
    </x:row>
    <x:row r="100" ht="35" customHeight="1">
      <x:c r="A100" s="9" t="str">
        <x:v>SYN-G05-08</x:v>
      </x:c>
      <x:c r="B100" s="9" t="str">
        <x:v>A</x:v>
      </x:c>
      <x:c r="C100" s="9" t="str">
        <x:v>G05</x:v>
      </x:c>
      <x:c r="D100" s="10" t="n">
        <x:v>0.08</x:v>
      </x:c>
      <x:c r="E100" s="10" t="n">
        <x:v>0.53</x:v>
      </x:c>
      <x:c r="F100" s="10" t="n">
        <x:v>1.14</x:v>
      </x:c>
      <x:c r="G100" s="10" t="n">
        <x:v>0.8</x:v>
      </x:c>
      <x:c r="H100" s="10" t="n">
        <x:v>0.1</x:v>
      </x:c>
      <x:c r="I100" s="10" t="n">
        <x:f>SUM(D100:H100)</x:f>
        <x:v>2.65</x:v>
      </x:c>
      <x:c r="J100" s="10" t="n">
        <x:v>0.625</x:v>
      </x:c>
      <x:c r="K100" s="10" t="n">
        <x:v>0.3</x:v>
      </x:c>
      <x:c r="L100" s="10" t="n">
        <x:v>0.25</x:v>
      </x:c>
      <x:c r="M100" s="10" t="n">
        <x:v>0.45</x:v>
      </x:c>
      <x:c r="N100" s="10" t="n">
        <x:f>SUM(I100:M100)</x:f>
        <x:v>4.2749999999999995</x:v>
      </x:c>
      <x:c r="O100" s="10" t="n">
        <x:v>23.3</x:v>
      </x:c>
      <x:c r="P100" s="10" t="n">
        <x:f>N100+O100</x:f>
        <x:v>27.575</x:v>
      </x:c>
    </x:row>
    <x:row r="101" ht="35" customHeight="1">
      <x:c r="A101" s="9" t="str">
        <x:v>SYN-G05-08</x:v>
      </x:c>
      <x:c r="B101" s="9" t="str">
        <x:v>B</x:v>
      </x:c>
      <x:c r="C101" s="9" t="str">
        <x:v>G05</x:v>
      </x:c>
      <x:c r="D101" s="10" t="n">
        <x:v>0.08</x:v>
      </x:c>
      <x:c r="E101" s="10" t="n">
        <x:v>0.238</x:v>
      </x:c>
      <x:c r="F101" s="10" t="n">
        <x:v>0.425</x:v>
      </x:c>
      <x:c r="G101" s="10" t="n">
        <x:v>0.857</x:v>
      </x:c>
      <x:c r="H101" s="10" t="n">
        <x:v>0.1</x:v>
      </x:c>
      <x:c r="I101" s="10" t="n">
        <x:f>SUM(D101:H101)</x:f>
        <x:v>1.7000000000000002</x:v>
      </x:c>
      <x:c r="J101" s="10" t="n">
        <x:v>0.375</x:v>
      </x:c>
      <x:c r="K101" s="10" t="n">
        <x:v>0.3</x:v>
      </x:c>
      <x:c r="L101" s="10" t="n">
        <x:v>0.25</x:v>
      </x:c>
      <x:c r="M101" s="10" t="n">
        <x:v>0.45</x:v>
      </x:c>
      <x:c r="N101" s="10" t="n">
        <x:f>SUM(I101:M101)</x:f>
        <x:v>3.075</x:v>
      </x:c>
      <x:c r="O101" s="10" t="n">
        <x:v>23.3</x:v>
      </x:c>
      <x:c r="P101" s="10" t="n">
        <x:f>N101+O101</x:f>
        <x:v>26.375</x:v>
      </x:c>
    </x:row>
    <x:row r="102" ht="35" customHeight="1">
      <x:c r="A102" s="9" t="str">
        <x:v>SYN-G05-09</x:v>
      </x:c>
      <x:c r="B102" s="9" t="str">
        <x:v>A</x:v>
      </x:c>
      <x:c r="C102" s="9" t="str">
        <x:v>G05</x:v>
      </x:c>
      <x:c r="D102" s="10" t="n">
        <x:v>0.08</x:v>
      </x:c>
      <x:c r="E102" s="10" t="n">
        <x:v>0.534</x:v>
      </x:c>
      <x:c r="F102" s="10" t="n">
        <x:v>1.148</x:v>
      </x:c>
      <x:c r="G102" s="10" t="n">
        <x:v>0.808</x:v>
      </x:c>
      <x:c r="H102" s="10" t="n">
        <x:v>0.1</x:v>
      </x:c>
      <x:c r="I102" s="10" t="n">
        <x:f>SUM(D102:H102)</x:f>
        <x:v>2.6700000000000004</x:v>
      </x:c>
      <x:c r="J102" s="10" t="n">
        <x:v>0.635</x:v>
      </x:c>
      <x:c r="K102" s="10" t="n">
        <x:v>0.3</x:v>
      </x:c>
      <x:c r="L102" s="10" t="n">
        <x:v>0.25</x:v>
      </x:c>
      <x:c r="M102" s="10" t="n">
        <x:v>0.45</x:v>
      </x:c>
      <x:c r="N102" s="10" t="n">
        <x:f>SUM(I102:M102)</x:f>
        <x:v>4.305000000000001</x:v>
      </x:c>
      <x:c r="O102" s="10" t="n">
        <x:v>24.7</x:v>
      </x:c>
      <x:c r="P102" s="10" t="n">
        <x:f>N102+O102</x:f>
        <x:v>29.005</x:v>
      </x:c>
    </x:row>
    <x:row r="103" ht="35" customHeight="1">
      <x:c r="A103" s="9" t="str">
        <x:v>SYN-G05-09</x:v>
      </x:c>
      <x:c r="B103" s="9" t="str">
        <x:v>B</x:v>
      </x:c>
      <x:c r="C103" s="9" t="str">
        <x:v>G05</x:v>
      </x:c>
      <x:c r="D103" s="10" t="n">
        <x:v>0.08</x:v>
      </x:c>
      <x:c r="E103" s="10" t="n">
        <x:v>0.241</x:v>
      </x:c>
      <x:c r="F103" s="10" t="n">
        <x:v>0.43</x:v>
      </x:c>
      <x:c r="G103" s="10" t="n">
        <x:v>0.869</x:v>
      </x:c>
      <x:c r="H103" s="10" t="n">
        <x:v>0.1</x:v>
      </x:c>
      <x:c r="I103" s="10" t="n">
        <x:f>SUM(D103:H103)</x:f>
        <x:v>1.7200000000000002</x:v>
      </x:c>
      <x:c r="J103" s="10" t="n">
        <x:v>0.385</x:v>
      </x:c>
      <x:c r="K103" s="10" t="n">
        <x:v>0.3</x:v>
      </x:c>
      <x:c r="L103" s="10" t="n">
        <x:v>0.25</x:v>
      </x:c>
      <x:c r="M103" s="10" t="n">
        <x:v>0.45</x:v>
      </x:c>
      <x:c r="N103" s="10" t="n">
        <x:f>SUM(I103:M103)</x:f>
        <x:v>3.1050000000000004</x:v>
      </x:c>
      <x:c r="O103" s="10" t="n">
        <x:v>24.7</x:v>
      </x:c>
      <x:c r="P103" s="10" t="n">
        <x:f>N103+O103</x:f>
        <x:v>27.805</x:v>
      </x:c>
    </x:row>
    <x:row r="104" ht="35" customHeight="1">
      <x:c r="A104" s="9" t="str">
        <x:v>SYN-G05-10</x:v>
      </x:c>
      <x:c r="B104" s="9" t="str">
        <x:v>A</x:v>
      </x:c>
      <x:c r="C104" s="9" t="str">
        <x:v>G05</x:v>
      </x:c>
      <x:c r="D104" s="10" t="n">
        <x:v>0.08</x:v>
      </x:c>
      <x:c r="E104" s="10" t="n">
        <x:v>0.538</x:v>
      </x:c>
      <x:c r="F104" s="10" t="n">
        <x:v>1.157</x:v>
      </x:c>
      <x:c r="G104" s="10" t="n">
        <x:v>0.815</x:v>
      </x:c>
      <x:c r="H104" s="10" t="n">
        <x:v>0.1</x:v>
      </x:c>
      <x:c r="I104" s="10" t="n">
        <x:f>SUM(D104:H104)</x:f>
        <x:v>2.69</x:v>
      </x:c>
      <x:c r="J104" s="10" t="n">
        <x:v>0.645</x:v>
      </x:c>
      <x:c r="K104" s="10" t="n">
        <x:v>0.3</x:v>
      </x:c>
      <x:c r="L104" s="10" t="n">
        <x:v>0.25</x:v>
      </x:c>
      <x:c r="M104" s="10" t="n">
        <x:v>0.45</x:v>
      </x:c>
      <x:c r="N104" s="10" t="n">
        <x:f>SUM(I104:M104)</x:f>
        <x:v>4.335</x:v>
      </x:c>
      <x:c r="O104" s="10" t="n">
        <x:v>26.1</x:v>
      </x:c>
      <x:c r="P104" s="10" t="n">
        <x:f>N104+O104</x:f>
        <x:v>30.435000000000002</x:v>
      </x:c>
    </x:row>
    <x:row r="105" ht="35" customHeight="1">
      <x:c r="A105" s="9" t="str">
        <x:v>SYN-G05-10</x:v>
      </x:c>
      <x:c r="B105" s="9" t="str">
        <x:v>B</x:v>
      </x:c>
      <x:c r="C105" s="9" t="str">
        <x:v>G05</x:v>
      </x:c>
      <x:c r="D105" s="10" t="n">
        <x:v>0.08</x:v>
      </x:c>
      <x:c r="E105" s="10" t="n">
        <x:v>0.244</x:v>
      </x:c>
      <x:c r="F105" s="10" t="n">
        <x:v>0.435</x:v>
      </x:c>
      <x:c r="G105" s="10" t="n">
        <x:v>0.881</x:v>
      </x:c>
      <x:c r="H105" s="10" t="n">
        <x:v>0.1</x:v>
      </x:c>
      <x:c r="I105" s="10" t="n">
        <x:f>SUM(D105:H105)</x:f>
        <x:v>1.7400000000000002</x:v>
      </x:c>
      <x:c r="J105" s="10" t="n">
        <x:v>0.395</x:v>
      </x:c>
      <x:c r="K105" s="10" t="n">
        <x:v>0.3</x:v>
      </x:c>
      <x:c r="L105" s="10" t="n">
        <x:v>0.25</x:v>
      </x:c>
      <x:c r="M105" s="10" t="n">
        <x:v>0.45</x:v>
      </x:c>
      <x:c r="N105" s="10" t="n">
        <x:f>SUM(I105:M105)</x:f>
        <x:v>3.1350000000000002</x:v>
      </x:c>
      <x:c r="O105" s="10" t="n">
        <x:v>26.1</x:v>
      </x:c>
      <x:c r="P105" s="10" t="n">
        <x:f>N105+O105</x:f>
        <x:v>29.235000000000003</x:v>
      </x:c>
    </x:row>
    <x:row r="106" ht="35" customHeight="1">
      <x:c r="A106" s="9" t="str">
        <x:v>SYN-G06-01</x:v>
      </x:c>
      <x:c r="B106" s="9" t="str">
        <x:v>A</x:v>
      </x:c>
      <x:c r="C106" s="9" t="str">
        <x:v>G06</x:v>
      </x:c>
      <x:c r="D106" s="10" t="n">
        <x:v>0.08</x:v>
      </x:c>
      <x:c r="E106" s="10" t="n">
        <x:v>0.542</x:v>
      </x:c>
      <x:c r="F106" s="10" t="n">
        <x:v>1.165</x:v>
      </x:c>
      <x:c r="G106" s="10" t="n">
        <x:v>0.823</x:v>
      </x:c>
      <x:c r="H106" s="10" t="n">
        <x:v>0.1</x:v>
      </x:c>
      <x:c r="I106" s="10" t="n">
        <x:f>SUM(D106:H106)</x:f>
        <x:v>2.71</x:v>
      </x:c>
      <x:c r="J106" s="10" t="n">
        <x:v>0.655</x:v>
      </x:c>
      <x:c r="K106" s="10" t="n">
        <x:v>0.3</x:v>
      </x:c>
      <x:c r="L106" s="10" t="n">
        <x:v>0.25</x:v>
      </x:c>
      <x:c r="M106" s="10" t="n">
        <x:v>0.45</x:v>
      </x:c>
      <x:c r="N106" s="10" t="n">
        <x:f>SUM(I106:M106)</x:f>
        <x:v>4.365</x:v>
      </x:c>
      <x:c r="O106" s="10" t="n">
        <x:v>13.8</x:v>
      </x:c>
      <x:c r="P106" s="10" t="n">
        <x:f>N106+O106</x:f>
        <x:v>18.165</x:v>
      </x:c>
    </x:row>
    <x:row r="107" ht="35" customHeight="1">
      <x:c r="A107" s="9" t="str">
        <x:v>SYN-G06-01</x:v>
      </x:c>
      <x:c r="B107" s="9" t="str">
        <x:v>B</x:v>
      </x:c>
      <x:c r="C107" s="9" t="str">
        <x:v>G06</x:v>
      </x:c>
      <x:c r="D107" s="10" t="n">
        <x:v>0.08</x:v>
      </x:c>
      <x:c r="E107" s="10" t="n">
        <x:v>0.134</x:v>
      </x:c>
      <x:c r="F107" s="10" t="n">
        <x:v>0.077</x:v>
      </x:c>
      <x:c r="G107" s="10" t="n">
        <x:v>0.569</x:v>
      </x:c>
      <x:c r="H107" s="10" t="n">
        <x:v>0.1</x:v>
      </x:c>
      <x:c r="I107" s="10" t="n">
        <x:f>SUM(D107:H107)</x:f>
        <x:v>0.96</x:v>
      </x:c>
      <x:c r="J107" s="10" t="n">
        <x:v>0.105</x:v>
      </x:c>
      <x:c r="K107" s="10" t="n">
        <x:v>0.3</x:v>
      </x:c>
      <x:c r="L107" s="10" t="n">
        <x:v>0.25</x:v>
      </x:c>
      <x:c r="M107" s="10" t="n">
        <x:v>0.45</x:v>
      </x:c>
      <x:c r="N107" s="10" t="n">
        <x:f>SUM(I107:M107)</x:f>
        <x:v>2.065</x:v>
      </x:c>
      <x:c r="O107" s="10" t="n">
        <x:v>13.8</x:v>
      </x:c>
      <x:c r="P107" s="10" t="n">
        <x:f>N107+O107</x:f>
        <x:v>15.865</x:v>
      </x:c>
    </x:row>
    <x:row r="108" ht="35" customHeight="1">
      <x:c r="A108" s="9" t="str">
        <x:v>SYN-G06-02</x:v>
      </x:c>
      <x:c r="B108" s="9" t="str">
        <x:v>A</x:v>
      </x:c>
      <x:c r="C108" s="9" t="str">
        <x:v>G06</x:v>
      </x:c>
      <x:c r="D108" s="10" t="n">
        <x:v>0.08</x:v>
      </x:c>
      <x:c r="E108" s="10" t="n">
        <x:v>0.546</x:v>
      </x:c>
      <x:c r="F108" s="10" t="n">
        <x:v>1.174</x:v>
      </x:c>
      <x:c r="G108" s="10" t="n">
        <x:v>0.83</x:v>
      </x:c>
      <x:c r="H108" s="10" t="n">
        <x:v>0.1</x:v>
      </x:c>
      <x:c r="I108" s="10" t="n">
        <x:f>SUM(D108:H108)</x:f>
        <x:v>2.73</x:v>
      </x:c>
      <x:c r="J108" s="10" t="n">
        <x:v>0.665</x:v>
      </x:c>
      <x:c r="K108" s="10" t="n">
        <x:v>0.3</x:v>
      </x:c>
      <x:c r="L108" s="10" t="n">
        <x:v>0.25</x:v>
      </x:c>
      <x:c r="M108" s="10" t="n">
        <x:v>0.45</x:v>
      </x:c>
      <x:c r="N108" s="10" t="n">
        <x:f>SUM(I108:M108)</x:f>
        <x:v>4.395</x:v>
      </x:c>
      <x:c r="O108" s="10" t="n">
        <x:v>15.2</x:v>
      </x:c>
      <x:c r="P108" s="10" t="n">
        <x:f>N108+O108</x:f>
        <x:v>19.595</x:v>
      </x:c>
    </x:row>
    <x:row r="109" ht="35" customHeight="1">
      <x:c r="A109" s="9" t="str">
        <x:v>SYN-G06-02</x:v>
      </x:c>
      <x:c r="B109" s="9" t="str">
        <x:v>B</x:v>
      </x:c>
      <x:c r="C109" s="9" t="str">
        <x:v>G06</x:v>
      </x:c>
      <x:c r="D109" s="10" t="n">
        <x:v>0.08</x:v>
      </x:c>
      <x:c r="E109" s="10" t="n">
        <x:v>0.137</x:v>
      </x:c>
      <x:c r="F109" s="10" t="n">
        <x:v>0.078</x:v>
      </x:c>
      <x:c r="G109" s="10" t="n">
        <x:v>0.585</x:v>
      </x:c>
      <x:c r="H109" s="10" t="n">
        <x:v>0.1</x:v>
      </x:c>
      <x:c r="I109" s="10" t="n">
        <x:f>SUM(D109:H109)</x:f>
        <x:v>0.98</x:v>
      </x:c>
      <x:c r="J109" s="10" t="n">
        <x:v>0.115</x:v>
      </x:c>
      <x:c r="K109" s="10" t="n">
        <x:v>0.3</x:v>
      </x:c>
      <x:c r="L109" s="10" t="n">
        <x:v>0.25</x:v>
      </x:c>
      <x:c r="M109" s="10" t="n">
        <x:v>0.45</x:v>
      </x:c>
      <x:c r="N109" s="10" t="n">
        <x:f>SUM(I109:M109)</x:f>
        <x:v>2.095</x:v>
      </x:c>
      <x:c r="O109" s="10" t="n">
        <x:v>15.2</x:v>
      </x:c>
      <x:c r="P109" s="10" t="n">
        <x:f>N109+O109</x:f>
        <x:v>17.294999999999998</x:v>
      </x:c>
    </x:row>
    <x:row r="110" ht="35" customHeight="1">
      <x:c r="A110" s="9" t="str">
        <x:v>SYN-G06-03</x:v>
      </x:c>
      <x:c r="B110" s="9" t="str">
        <x:v>A</x:v>
      </x:c>
      <x:c r="C110" s="9" t="str">
        <x:v>G06</x:v>
      </x:c>
      <x:c r="D110" s="10" t="n">
        <x:v>0.08</x:v>
      </x:c>
      <x:c r="E110" s="10" t="n">
        <x:v>0.55</x:v>
      </x:c>
      <x:c r="F110" s="10" t="n">
        <x:v>1.182</x:v>
      </x:c>
      <x:c r="G110" s="10" t="n">
        <x:v>0.838</x:v>
      </x:c>
      <x:c r="H110" s="10" t="n">
        <x:v>0.1</x:v>
      </x:c>
      <x:c r="I110" s="10" t="n">
        <x:f>SUM(D110:H110)</x:f>
        <x:v>2.75</x:v>
      </x:c>
      <x:c r="J110" s="10" t="n">
        <x:v>0.675</x:v>
      </x:c>
      <x:c r="K110" s="10" t="n">
        <x:v>0.3</x:v>
      </x:c>
      <x:c r="L110" s="10" t="n">
        <x:v>0.25</x:v>
      </x:c>
      <x:c r="M110" s="10" t="n">
        <x:v>0.45</x:v>
      </x:c>
      <x:c r="N110" s="10" t="n">
        <x:f>SUM(I110:M110)</x:f>
        <x:v>4.425</x:v>
      </x:c>
      <x:c r="O110" s="10" t="n">
        <x:v>16.6</x:v>
      </x:c>
      <x:c r="P110" s="10" t="n">
        <x:f>N110+O110</x:f>
        <x:v>21.025000000000002</x:v>
      </x:c>
    </x:row>
    <x:row r="111" ht="35" customHeight="1">
      <x:c r="A111" s="9" t="str">
        <x:v>SYN-G06-03</x:v>
      </x:c>
      <x:c r="B111" s="9" t="str">
        <x:v>B</x:v>
      </x:c>
      <x:c r="C111" s="9" t="str">
        <x:v>G06</x:v>
      </x:c>
      <x:c r="D111" s="10" t="n">
        <x:v>0.08</x:v>
      </x:c>
      <x:c r="E111" s="10" t="n">
        <x:v>0.14</x:v>
      </x:c>
      <x:c r="F111" s="10" t="n">
        <x:v>0.08</x:v>
      </x:c>
      <x:c r="G111" s="10" t="n">
        <x:v>0.6</x:v>
      </x:c>
      <x:c r="H111" s="10" t="n">
        <x:v>0.1</x:v>
      </x:c>
      <x:c r="I111" s="10" t="n">
        <x:f>SUM(D111:H111)</x:f>
        <x:v>1</x:v>
      </x:c>
      <x:c r="J111" s="10" t="n">
        <x:v>0.125</x:v>
      </x:c>
      <x:c r="K111" s="10" t="n">
        <x:v>0.3</x:v>
      </x:c>
      <x:c r="L111" s="10" t="n">
        <x:v>0.25</x:v>
      </x:c>
      <x:c r="M111" s="10" t="n">
        <x:v>0.45</x:v>
      </x:c>
      <x:c r="N111" s="10" t="n">
        <x:f>SUM(I111:M111)</x:f>
        <x:v>2.125</x:v>
      </x:c>
      <x:c r="O111" s="10" t="n">
        <x:v>16.6</x:v>
      </x:c>
      <x:c r="P111" s="10" t="n">
        <x:f>N111+O111</x:f>
        <x:v>18.725</x:v>
      </x:c>
    </x:row>
    <x:row r="112" ht="35" customHeight="1">
      <x:c r="A112" s="9" t="str">
        <x:v>SYN-G06-04</x:v>
      </x:c>
      <x:c r="B112" s="9" t="str">
        <x:v>A</x:v>
      </x:c>
      <x:c r="C112" s="9" t="str">
        <x:v>G06</x:v>
      </x:c>
      <x:c r="D112" s="10" t="n">
        <x:v>0.08</x:v>
      </x:c>
      <x:c r="E112" s="10" t="n">
        <x:v>0.554</x:v>
      </x:c>
      <x:c r="F112" s="10" t="n">
        <x:v>1.191</x:v>
      </x:c>
      <x:c r="G112" s="10" t="n">
        <x:v>0.845</x:v>
      </x:c>
      <x:c r="H112" s="10" t="n">
        <x:v>0.1</x:v>
      </x:c>
      <x:c r="I112" s="10" t="n">
        <x:f>SUM(D112:H112)</x:f>
        <x:v>2.77</x:v>
      </x:c>
      <x:c r="J112" s="10" t="n">
        <x:v>0.685</x:v>
      </x:c>
      <x:c r="K112" s="10" t="n">
        <x:v>0.3</x:v>
      </x:c>
      <x:c r="L112" s="10" t="n">
        <x:v>0.25</x:v>
      </x:c>
      <x:c r="M112" s="10" t="n">
        <x:v>0.45</x:v>
      </x:c>
      <x:c r="N112" s="10" t="n">
        <x:f>SUM(I112:M112)</x:f>
        <x:v>4.455</x:v>
      </x:c>
      <x:c r="O112" s="10" t="n">
        <x:v>18</x:v>
      </x:c>
      <x:c r="P112" s="10" t="n">
        <x:f>N112+O112</x:f>
        <x:v>22.455</x:v>
      </x:c>
    </x:row>
    <x:row r="113" ht="35" customHeight="1">
      <x:c r="A113" s="9" t="str">
        <x:v>SYN-G06-04</x:v>
      </x:c>
      <x:c r="B113" s="9" t="str">
        <x:v>B</x:v>
      </x:c>
      <x:c r="C113" s="9" t="str">
        <x:v>G06</x:v>
      </x:c>
      <x:c r="D113" s="10" t="n">
        <x:v>0.08</x:v>
      </x:c>
      <x:c r="E113" s="10" t="n">
        <x:v>0.143</x:v>
      </x:c>
      <x:c r="F113" s="10" t="n">
        <x:v>0.082</x:v>
      </x:c>
      <x:c r="G113" s="10" t="n">
        <x:v>0.615</x:v>
      </x:c>
      <x:c r="H113" s="10" t="n">
        <x:v>0.1</x:v>
      </x:c>
      <x:c r="I113" s="10" t="n">
        <x:f>SUM(D113:H113)</x:f>
        <x:v>1.02</x:v>
      </x:c>
      <x:c r="J113" s="10" t="n">
        <x:v>0.135</x:v>
      </x:c>
      <x:c r="K113" s="10" t="n">
        <x:v>0.3</x:v>
      </x:c>
      <x:c r="L113" s="10" t="n">
        <x:v>0.25</x:v>
      </x:c>
      <x:c r="M113" s="10" t="n">
        <x:v>0.45</x:v>
      </x:c>
      <x:c r="N113" s="10" t="n">
        <x:f>SUM(I113:M113)</x:f>
        <x:v>2.1550000000000002</x:v>
      </x:c>
      <x:c r="O113" s="10" t="n">
        <x:v>18</x:v>
      </x:c>
      <x:c r="P113" s="10" t="n">
        <x:f>N113+O113</x:f>
        <x:v>20.155</x:v>
      </x:c>
    </x:row>
    <x:row r="114" ht="35" customHeight="1">
      <x:c r="A114" s="9" t="str">
        <x:v>SYN-G06-05</x:v>
      </x:c>
      <x:c r="B114" s="9" t="str">
        <x:v>A</x:v>
      </x:c>
      <x:c r="C114" s="9" t="str">
        <x:v>G06</x:v>
      </x:c>
      <x:c r="D114" s="10" t="n">
        <x:v>0.08</x:v>
      </x:c>
      <x:c r="E114" s="10" t="n">
        <x:v>0.558</x:v>
      </x:c>
      <x:c r="F114" s="10" t="n">
        <x:v>1.2</x:v>
      </x:c>
      <x:c r="G114" s="10" t="n">
        <x:v>0.852</x:v>
      </x:c>
      <x:c r="H114" s="10" t="n">
        <x:v>0.1</x:v>
      </x:c>
      <x:c r="I114" s="10" t="n">
        <x:f>SUM(D114:H114)</x:f>
        <x:v>2.79</x:v>
      </x:c>
      <x:c r="J114" s="10" t="n">
        <x:v>0.695</x:v>
      </x:c>
      <x:c r="K114" s="10" t="n">
        <x:v>0.3</x:v>
      </x:c>
      <x:c r="L114" s="10" t="n">
        <x:v>0.25</x:v>
      </x:c>
      <x:c r="M114" s="10" t="n">
        <x:v>0.45</x:v>
      </x:c>
      <x:c r="N114" s="10" t="n">
        <x:f>SUM(I114:M114)</x:f>
        <x:v>4.485</x:v>
      </x:c>
      <x:c r="O114" s="10" t="n">
        <x:v>19.4</x:v>
      </x:c>
      <x:c r="P114" s="10" t="n">
        <x:f>N114+O114</x:f>
        <x:v>23.884999999999998</x:v>
      </x:c>
    </x:row>
    <x:row r="115" ht="35" customHeight="1">
      <x:c r="A115" s="9" t="str">
        <x:v>SYN-G06-05</x:v>
      </x:c>
      <x:c r="B115" s="9" t="str">
        <x:v>B</x:v>
      </x:c>
      <x:c r="C115" s="9" t="str">
        <x:v>G06</x:v>
      </x:c>
      <x:c r="D115" s="10" t="n">
        <x:v>0.08</x:v>
      </x:c>
      <x:c r="E115" s="10" t="n">
        <x:v>0.146</x:v>
      </x:c>
      <x:c r="F115" s="10" t="n">
        <x:v>0.083</x:v>
      </x:c>
      <x:c r="G115" s="10" t="n">
        <x:v>0.631</x:v>
      </x:c>
      <x:c r="H115" s="10" t="n">
        <x:v>0.1</x:v>
      </x:c>
      <x:c r="I115" s="10" t="n">
        <x:f>SUM(D115:H115)</x:f>
        <x:v>1.04</x:v>
      </x:c>
      <x:c r="J115" s="10" t="n">
        <x:v>0.145</x:v>
      </x:c>
      <x:c r="K115" s="10" t="n">
        <x:v>0.3</x:v>
      </x:c>
      <x:c r="L115" s="10" t="n">
        <x:v>0.25</x:v>
      </x:c>
      <x:c r="M115" s="10" t="n">
        <x:v>0.45</x:v>
      </x:c>
      <x:c r="N115" s="10" t="n">
        <x:f>SUM(I115:M115)</x:f>
        <x:v>2.185</x:v>
      </x:c>
      <x:c r="O115" s="10" t="n">
        <x:v>19.4</x:v>
      </x:c>
      <x:c r="P115" s="10" t="n">
        <x:f>N115+O115</x:f>
        <x:v>21.584999999999997</x:v>
      </x:c>
    </x:row>
    <x:row r="116" ht="35" customHeight="1">
      <x:c r="A116" s="9" t="str">
        <x:v>SYN-G06-06</x:v>
      </x:c>
      <x:c r="B116" s="9" t="str">
        <x:v>A</x:v>
      </x:c>
      <x:c r="C116" s="9" t="str">
        <x:v>G06</x:v>
      </x:c>
      <x:c r="D116" s="10" t="n">
        <x:v>0.08</x:v>
      </x:c>
      <x:c r="E116" s="10" t="n">
        <x:v>0.562</x:v>
      </x:c>
      <x:c r="F116" s="10" t="n">
        <x:v>1.208</x:v>
      </x:c>
      <x:c r="G116" s="10" t="n">
        <x:v>0.86</x:v>
      </x:c>
      <x:c r="H116" s="10" t="n">
        <x:v>0.1</x:v>
      </x:c>
      <x:c r="I116" s="10" t="n">
        <x:f>SUM(D116:H116)</x:f>
        <x:v>2.81</x:v>
      </x:c>
      <x:c r="J116" s="10" t="n">
        <x:v>0.705</x:v>
      </x:c>
      <x:c r="K116" s="10" t="n">
        <x:v>0.3</x:v>
      </x:c>
      <x:c r="L116" s="10" t="n">
        <x:v>0.25</x:v>
      </x:c>
      <x:c r="M116" s="10" t="n">
        <x:v>0.45</x:v>
      </x:c>
      <x:c r="N116" s="10" t="n">
        <x:f>SUM(I116:M116)</x:f>
        <x:v>4.515</x:v>
      </x:c>
      <x:c r="O116" s="10" t="n">
        <x:v>20.8</x:v>
      </x:c>
      <x:c r="P116" s="10" t="n">
        <x:f>N116+O116</x:f>
        <x:v>25.315</x:v>
      </x:c>
    </x:row>
    <x:row r="117" ht="35" customHeight="1">
      <x:c r="A117" s="9" t="str">
        <x:v>SYN-G06-06</x:v>
      </x:c>
      <x:c r="B117" s="9" t="str">
        <x:v>B</x:v>
      </x:c>
      <x:c r="C117" s="9" t="str">
        <x:v>G06</x:v>
      </x:c>
      <x:c r="D117" s="10" t="n">
        <x:v>0.08</x:v>
      </x:c>
      <x:c r="E117" s="10" t="n">
        <x:v>0.148</x:v>
      </x:c>
      <x:c r="F117" s="10" t="n">
        <x:v>0.085</x:v>
      </x:c>
      <x:c r="G117" s="10" t="n">
        <x:v>0.647</x:v>
      </x:c>
      <x:c r="H117" s="10" t="n">
        <x:v>0.1</x:v>
      </x:c>
      <x:c r="I117" s="10" t="n">
        <x:f>SUM(D117:H117)</x:f>
        <x:v>1.06</x:v>
      </x:c>
      <x:c r="J117" s="10" t="n">
        <x:v>0.155</x:v>
      </x:c>
      <x:c r="K117" s="10" t="n">
        <x:v>0.3</x:v>
      </x:c>
      <x:c r="L117" s="10" t="n">
        <x:v>0.25</x:v>
      </x:c>
      <x:c r="M117" s="10" t="n">
        <x:v>0.45</x:v>
      </x:c>
      <x:c r="N117" s="10" t="n">
        <x:f>SUM(I117:M117)</x:f>
        <x:v>2.2150000000000003</x:v>
      </x:c>
      <x:c r="O117" s="10" t="n">
        <x:v>20.8</x:v>
      </x:c>
      <x:c r="P117" s="10" t="n">
        <x:f>N117+O117</x:f>
        <x:v>23.015</x:v>
      </x:c>
    </x:row>
    <x:row r="118" ht="35" customHeight="1">
      <x:c r="A118" s="9" t="str">
        <x:v>SYN-G06-07</x:v>
      </x:c>
      <x:c r="B118" s="9" t="str">
        <x:v>A</x:v>
      </x:c>
      <x:c r="C118" s="9" t="str">
        <x:v>G06</x:v>
      </x:c>
      <x:c r="D118" s="10" t="n">
        <x:v>0.08</x:v>
      </x:c>
      <x:c r="E118" s="10" t="n">
        <x:v>0.566</x:v>
      </x:c>
      <x:c r="F118" s="10" t="n">
        <x:v>1.217</x:v>
      </x:c>
      <x:c r="G118" s="10" t="n">
        <x:v>0.867</x:v>
      </x:c>
      <x:c r="H118" s="10" t="n">
        <x:v>0.1</x:v>
      </x:c>
      <x:c r="I118" s="10" t="n">
        <x:f>SUM(D118:H118)</x:f>
        <x:v>2.83</x:v>
      </x:c>
      <x:c r="J118" s="10" t="n">
        <x:v>0.715</x:v>
      </x:c>
      <x:c r="K118" s="10" t="n">
        <x:v>0.3</x:v>
      </x:c>
      <x:c r="L118" s="10" t="n">
        <x:v>0.25</x:v>
      </x:c>
      <x:c r="M118" s="10" t="n">
        <x:v>0.45</x:v>
      </x:c>
      <x:c r="N118" s="10" t="n">
        <x:f>SUM(I118:M118)</x:f>
        <x:v>4.545</x:v>
      </x:c>
      <x:c r="O118" s="10" t="n">
        <x:v>22.2</x:v>
      </x:c>
      <x:c r="P118" s="10" t="n">
        <x:f>N118+O118</x:f>
        <x:v>26.744999999999997</x:v>
      </x:c>
    </x:row>
    <x:row r="119" ht="35" customHeight="1">
      <x:c r="A119" s="9" t="str">
        <x:v>SYN-G06-07</x:v>
      </x:c>
      <x:c r="B119" s="9" t="str">
        <x:v>B</x:v>
      </x:c>
      <x:c r="C119" s="9" t="str">
        <x:v>G06</x:v>
      </x:c>
      <x:c r="D119" s="10" t="n">
        <x:v>0.08</x:v>
      </x:c>
      <x:c r="E119" s="10" t="n">
        <x:v>0.151</x:v>
      </x:c>
      <x:c r="F119" s="10" t="n">
        <x:v>0.086</x:v>
      </x:c>
      <x:c r="G119" s="10" t="n">
        <x:v>0.663</x:v>
      </x:c>
      <x:c r="H119" s="10" t="n">
        <x:v>0.1</x:v>
      </x:c>
      <x:c r="I119" s="10" t="n">
        <x:f>SUM(D119:H119)</x:f>
        <x:v>1.08</x:v>
      </x:c>
      <x:c r="J119" s="10" t="n">
        <x:v>0.165</x:v>
      </x:c>
      <x:c r="K119" s="10" t="n">
        <x:v>0.3</x:v>
      </x:c>
      <x:c r="L119" s="10" t="n">
        <x:v>0.25</x:v>
      </x:c>
      <x:c r="M119" s="10" t="n">
        <x:v>0.45</x:v>
      </x:c>
      <x:c r="N119" s="10" t="n">
        <x:f>SUM(I119:M119)</x:f>
        <x:v>2.245</x:v>
      </x:c>
      <x:c r="O119" s="10" t="n">
        <x:v>22.2</x:v>
      </x:c>
      <x:c r="P119" s="10" t="n">
        <x:f>N119+O119</x:f>
        <x:v>24.445</x:v>
      </x:c>
    </x:row>
    <x:row r="120" ht="35" customHeight="1">
      <x:c r="A120" s="9" t="str">
        <x:v>SYN-G06-08</x:v>
      </x:c>
      <x:c r="B120" s="9" t="str">
        <x:v>A</x:v>
      </x:c>
      <x:c r="C120" s="9" t="str">
        <x:v>G06</x:v>
      </x:c>
      <x:c r="D120" s="10" t="n">
        <x:v>0.08</x:v>
      </x:c>
      <x:c r="E120" s="10" t="n">
        <x:v>0.57</x:v>
      </x:c>
      <x:c r="F120" s="10" t="n">
        <x:v>1.226</x:v>
      </x:c>
      <x:c r="G120" s="10" t="n">
        <x:v>0.874</x:v>
      </x:c>
      <x:c r="H120" s="10" t="n">
        <x:v>0.1</x:v>
      </x:c>
      <x:c r="I120" s="10" t="n">
        <x:f>SUM(D120:H120)</x:f>
        <x:v>2.85</x:v>
      </x:c>
      <x:c r="J120" s="10" t="n">
        <x:v>0.725</x:v>
      </x:c>
      <x:c r="K120" s="10" t="n">
        <x:v>0.3</x:v>
      </x:c>
      <x:c r="L120" s="10" t="n">
        <x:v>0.25</x:v>
      </x:c>
      <x:c r="M120" s="10" t="n">
        <x:v>0.45</x:v>
      </x:c>
      <x:c r="N120" s="10" t="n">
        <x:f>SUM(I120:M120)</x:f>
        <x:v>4.575</x:v>
      </x:c>
      <x:c r="O120" s="10" t="n">
        <x:v>23.6</x:v>
      </x:c>
      <x:c r="P120" s="10" t="n">
        <x:f>N120+O120</x:f>
        <x:v>28.175</x:v>
      </x:c>
    </x:row>
    <x:row r="121" ht="35" customHeight="1">
      <x:c r="A121" s="9" t="str">
        <x:v>SYN-G06-08</x:v>
      </x:c>
      <x:c r="B121" s="9" t="str">
        <x:v>B</x:v>
      </x:c>
      <x:c r="C121" s="9" t="str">
        <x:v>G06</x:v>
      </x:c>
      <x:c r="D121" s="10" t="n">
        <x:v>0.08</x:v>
      </x:c>
      <x:c r="E121" s="10" t="n">
        <x:v>0.154</x:v>
      </x:c>
      <x:c r="F121" s="10" t="n">
        <x:v>0.088</x:v>
      </x:c>
      <x:c r="G121" s="10" t="n">
        <x:v>0.678</x:v>
      </x:c>
      <x:c r="H121" s="10" t="n">
        <x:v>0.1</x:v>
      </x:c>
      <x:c r="I121" s="10" t="n">
        <x:f>SUM(D121:H121)</x:f>
        <x:v>1.1</x:v>
      </x:c>
      <x:c r="J121" s="10" t="n">
        <x:v>0.175</x:v>
      </x:c>
      <x:c r="K121" s="10" t="n">
        <x:v>0.3</x:v>
      </x:c>
      <x:c r="L121" s="10" t="n">
        <x:v>0.25</x:v>
      </x:c>
      <x:c r="M121" s="10" t="n">
        <x:v>0.45</x:v>
      </x:c>
      <x:c r="N121" s="10" t="n">
        <x:f>SUM(I121:M121)</x:f>
        <x:v>2.2750000000000004</x:v>
      </x:c>
      <x:c r="O121" s="10" t="n">
        <x:v>23.6</x:v>
      </x:c>
      <x:c r="P121" s="10" t="n">
        <x:f>N121+O121</x:f>
        <x:v>25.875</x:v>
      </x:c>
    </x:row>
    <x:row r="122" ht="35" customHeight="1">
      <x:c r="A122" s="9" t="str">
        <x:v>SYN-G06-09</x:v>
      </x:c>
      <x:c r="B122" s="9" t="str">
        <x:v>A</x:v>
      </x:c>
      <x:c r="C122" s="9" t="str">
        <x:v>G06</x:v>
      </x:c>
      <x:c r="D122" s="10" t="n">
        <x:v>0.08</x:v>
      </x:c>
      <x:c r="E122" s="10" t="n">
        <x:v>0.574</x:v>
      </x:c>
      <x:c r="F122" s="10" t="n">
        <x:v>1.234</x:v>
      </x:c>
      <x:c r="G122" s="10" t="n">
        <x:v>0.882</x:v>
      </x:c>
      <x:c r="H122" s="10" t="n">
        <x:v>0.1</x:v>
      </x:c>
      <x:c r="I122" s="10" t="n">
        <x:f>SUM(D122:H122)</x:f>
        <x:v>2.87</x:v>
      </x:c>
      <x:c r="J122" s="10" t="n">
        <x:v>0.735</x:v>
      </x:c>
      <x:c r="K122" s="10" t="n">
        <x:v>0.3</x:v>
      </x:c>
      <x:c r="L122" s="10" t="n">
        <x:v>0.25</x:v>
      </x:c>
      <x:c r="M122" s="10" t="n">
        <x:v>0.45</x:v>
      </x:c>
      <x:c r="N122" s="10" t="n">
        <x:f>SUM(I122:M122)</x:f>
        <x:v>4.6049999999999995</x:v>
      </x:c>
      <x:c r="O122" s="10" t="n">
        <x:v>25</x:v>
      </x:c>
      <x:c r="P122" s="10" t="n">
        <x:f>N122+O122</x:f>
        <x:v>29.605</x:v>
      </x:c>
    </x:row>
    <x:row r="123" ht="35" customHeight="1">
      <x:c r="A123" s="9" t="str">
        <x:v>SYN-G06-09</x:v>
      </x:c>
      <x:c r="B123" s="9" t="str">
        <x:v>B</x:v>
      </x:c>
      <x:c r="C123" s="9" t="str">
        <x:v>G06</x:v>
      </x:c>
      <x:c r="D123" s="10" t="n">
        <x:v>0.08</x:v>
      </x:c>
      <x:c r="E123" s="10" t="n">
        <x:v>0.157</x:v>
      </x:c>
      <x:c r="F123" s="10" t="n">
        <x:v>0.09</x:v>
      </x:c>
      <x:c r="G123" s="10" t="n">
        <x:v>0.693</x:v>
      </x:c>
      <x:c r="H123" s="10" t="n">
        <x:v>0.1</x:v>
      </x:c>
      <x:c r="I123" s="10" t="n">
        <x:f>SUM(D123:H123)</x:f>
        <x:v>1.12</x:v>
      </x:c>
      <x:c r="J123" s="10" t="n">
        <x:v>0.185</x:v>
      </x:c>
      <x:c r="K123" s="10" t="n">
        <x:v>0.3</x:v>
      </x:c>
      <x:c r="L123" s="10" t="n">
        <x:v>0.25</x:v>
      </x:c>
      <x:c r="M123" s="10" t="n">
        <x:v>0.45</x:v>
      </x:c>
      <x:c r="N123" s="10" t="n">
        <x:f>SUM(I123:M123)</x:f>
        <x:v>2.305</x:v>
      </x:c>
      <x:c r="O123" s="10" t="n">
        <x:v>25</x:v>
      </x:c>
      <x:c r="P123" s="10" t="n">
        <x:f>N123+O123</x:f>
        <x:v>27.305</x:v>
      </x:c>
    </x:row>
    <x:row r="124" ht="35" customHeight="1">
      <x:c r="A124" s="9" t="str">
        <x:v>SYN-G06-10</x:v>
      </x:c>
      <x:c r="B124" s="9" t="str">
        <x:v>A</x:v>
      </x:c>
      <x:c r="C124" s="9" t="str">
        <x:v>G06</x:v>
      </x:c>
      <x:c r="D124" s="10" t="n">
        <x:v>0.08</x:v>
      </x:c>
      <x:c r="E124" s="10" t="n">
        <x:v>0.578</x:v>
      </x:c>
      <x:c r="F124" s="10" t="n">
        <x:v>1.243</x:v>
      </x:c>
      <x:c r="G124" s="10" t="n">
        <x:v>0.889</x:v>
      </x:c>
      <x:c r="H124" s="10" t="n">
        <x:v>0.1</x:v>
      </x:c>
      <x:c r="I124" s="10" t="n">
        <x:f>SUM(D124:H124)</x:f>
        <x:v>2.89</x:v>
      </x:c>
      <x:c r="J124" s="10" t="n">
        <x:v>0.745</x:v>
      </x:c>
      <x:c r="K124" s="10" t="n">
        <x:v>0.3</x:v>
      </x:c>
      <x:c r="L124" s="10" t="n">
        <x:v>0.25</x:v>
      </x:c>
      <x:c r="M124" s="10" t="n">
        <x:v>0.45</x:v>
      </x:c>
      <x:c r="N124" s="10" t="n">
        <x:f>SUM(I124:M124)</x:f>
        <x:v>4.635000000000001</x:v>
      </x:c>
      <x:c r="O124" s="10" t="n">
        <x:v>26.4</x:v>
      </x:c>
      <x:c r="P124" s="10" t="n">
        <x:f>N124+O124</x:f>
        <x:v>31.035</x:v>
      </x:c>
    </x:row>
    <x:row r="125" ht="35" customHeight="1">
      <x:c r="A125" s="9" t="str">
        <x:v>SYN-G06-10</x:v>
      </x:c>
      <x:c r="B125" s="9" t="str">
        <x:v>B</x:v>
      </x:c>
      <x:c r="C125" s="9" t="str">
        <x:v>G06</x:v>
      </x:c>
      <x:c r="D125" s="10" t="n">
        <x:v>0.08</x:v>
      </x:c>
      <x:c r="E125" s="10" t="n">
        <x:v>0.16</x:v>
      </x:c>
      <x:c r="F125" s="10" t="n">
        <x:v>0.091</x:v>
      </x:c>
      <x:c r="G125" s="10" t="n">
        <x:v>0.709</x:v>
      </x:c>
      <x:c r="H125" s="10" t="n">
        <x:v>0.1</x:v>
      </x:c>
      <x:c r="I125" s="10" t="n">
        <x:f>SUM(D125:H125)</x:f>
        <x:v>1.1400000000000001</x:v>
      </x:c>
      <x:c r="J125" s="10" t="n">
        <x:v>0.195</x:v>
      </x:c>
      <x:c r="K125" s="10" t="n">
        <x:v>0.3</x:v>
      </x:c>
      <x:c r="L125" s="10" t="n">
        <x:v>0.25</x:v>
      </x:c>
      <x:c r="M125" s="10" t="n">
        <x:v>0.45</x:v>
      </x:c>
      <x:c r="N125" s="10" t="n">
        <x:f>SUM(I125:M125)</x:f>
        <x:v>2.3350000000000004</x:v>
      </x:c>
      <x:c r="O125" s="10" t="n">
        <x:v>26.4</x:v>
      </x:c>
      <x:c r="P125" s="10" t="n">
        <x:f>N125+O125</x:f>
        <x:v>28.735</x:v>
      </x:c>
    </x:row>
    <x:row r="126" ht="35" customHeight="1">
      <x:c r="A126" s="9" t="str">
        <x:v>SYN-G07-01</x:v>
      </x:c>
      <x:c r="B126" s="9" t="str">
        <x:v>A</x:v>
      </x:c>
      <x:c r="C126" s="9" t="str">
        <x:v>G07</x:v>
      </x:c>
      <x:c r="D126" s="10" t="n">
        <x:v>0.08</x:v>
      </x:c>
      <x:c r="E126" s="10" t="n">
        <x:v>0.522</x:v>
      </x:c>
      <x:c r="F126" s="10" t="n">
        <x:v>1.122</x:v>
      </x:c>
      <x:c r="G126" s="10" t="n">
        <x:v>0.786</x:v>
      </x:c>
      <x:c r="H126" s="10" t="n">
        <x:v>0.1</x:v>
      </x:c>
      <x:c r="I126" s="10" t="n">
        <x:f>SUM(D126:H126)</x:f>
        <x:v>2.6100000000000003</x:v>
      </x:c>
      <x:c r="J126" s="10" t="n">
        <x:v>0.555</x:v>
      </x:c>
      <x:c r="K126" s="10" t="n">
        <x:v>0.3</x:v>
      </x:c>
      <x:c r="L126" s="10" t="n">
        <x:v>0.25</x:v>
      </x:c>
      <x:c r="M126" s="10" t="n">
        <x:v>0.45</x:v>
      </x:c>
      <x:c r="N126" s="10" t="n">
        <x:f>SUM(I126:M126)</x:f>
        <x:v>4.165</x:v>
      </x:c>
      <x:c r="O126" s="10" t="n">
        <x:v>14.1</x:v>
      </x:c>
      <x:c r="P126" s="10" t="n">
        <x:f>N126+O126</x:f>
        <x:v>18.265</x:v>
      </x:c>
    </x:row>
    <x:row r="127" ht="35" customHeight="1">
      <x:c r="A127" s="9" t="str">
        <x:v>SYN-G07-01</x:v>
      </x:c>
      <x:c r="B127" s="9" t="str">
        <x:v>B</x:v>
      </x:c>
      <x:c r="C127" s="9" t="str">
        <x:v>G07</x:v>
      </x:c>
      <x:c r="D127" s="10" t="n">
        <x:v>0.08</x:v>
      </x:c>
      <x:c r="E127" s="10" t="n">
        <x:v>0.12</x:v>
      </x:c>
      <x:c r="F127" s="10" t="n">
        <x:v>0.069</x:v>
      </x:c>
      <x:c r="G127" s="10" t="n">
        <x:v>0.491</x:v>
      </x:c>
      <x:c r="H127" s="10" t="n">
        <x:v>0.1</x:v>
      </x:c>
      <x:c r="I127" s="10" t="n">
        <x:f>SUM(D127:H127)</x:f>
        <x:v>0.86</x:v>
      </x:c>
      <x:c r="J127" s="10" t="n">
        <x:v>0.105</x:v>
      </x:c>
      <x:c r="K127" s="10" t="n">
        <x:v>0.3</x:v>
      </x:c>
      <x:c r="L127" s="10" t="n">
        <x:v>0.25</x:v>
      </x:c>
      <x:c r="M127" s="10" t="n">
        <x:v>0.45</x:v>
      </x:c>
      <x:c r="N127" s="10" t="n">
        <x:f>SUM(I127:M127)</x:f>
        <x:v>1.9649999999999999</x:v>
      </x:c>
      <x:c r="O127" s="10" t="n">
        <x:v>14.1</x:v>
      </x:c>
      <x:c r="P127" s="10" t="n">
        <x:f>N127+O127</x:f>
        <x:v>16.064999999999998</x:v>
      </x:c>
    </x:row>
    <x:row r="128" ht="35" customHeight="1">
      <x:c r="A128" s="9" t="str">
        <x:v>SYN-G07-02</x:v>
      </x:c>
      <x:c r="B128" s="9" t="str">
        <x:v>A</x:v>
      </x:c>
      <x:c r="C128" s="9" t="str">
        <x:v>G07</x:v>
      </x:c>
      <x:c r="D128" s="10" t="n">
        <x:v>0.08</x:v>
      </x:c>
      <x:c r="E128" s="10" t="n">
        <x:v>0.526</x:v>
      </x:c>
      <x:c r="F128" s="10" t="n">
        <x:v>1.131</x:v>
      </x:c>
      <x:c r="G128" s="10" t="n">
        <x:v>0.793</x:v>
      </x:c>
      <x:c r="H128" s="10" t="n">
        <x:v>0.1</x:v>
      </x:c>
      <x:c r="I128" s="10" t="n">
        <x:f>SUM(D128:H128)</x:f>
        <x:v>2.6300000000000003</x:v>
      </x:c>
      <x:c r="J128" s="10" t="n">
        <x:v>0.565</x:v>
      </x:c>
      <x:c r="K128" s="10" t="n">
        <x:v>0.3</x:v>
      </x:c>
      <x:c r="L128" s="10" t="n">
        <x:v>0.25</x:v>
      </x:c>
      <x:c r="M128" s="10" t="n">
        <x:v>0.45</x:v>
      </x:c>
      <x:c r="N128" s="10" t="n">
        <x:f>SUM(I128:M128)</x:f>
        <x:v>4.195</x:v>
      </x:c>
      <x:c r="O128" s="10" t="n">
        <x:v>15.5</x:v>
      </x:c>
      <x:c r="P128" s="10" t="n">
        <x:f>N128+O128</x:f>
        <x:v>19.695</x:v>
      </x:c>
    </x:row>
    <x:row r="129" ht="35" customHeight="1">
      <x:c r="A129" s="9" t="str">
        <x:v>SYN-G07-02</x:v>
      </x:c>
      <x:c r="B129" s="9" t="str">
        <x:v>B</x:v>
      </x:c>
      <x:c r="C129" s="9" t="str">
        <x:v>G07</x:v>
      </x:c>
      <x:c r="D129" s="10" t="n">
        <x:v>0.08</x:v>
      </x:c>
      <x:c r="E129" s="10" t="n">
        <x:v>0.123</x:v>
      </x:c>
      <x:c r="F129" s="10" t="n">
        <x:v>0.07</x:v>
      </x:c>
      <x:c r="G129" s="10" t="n">
        <x:v>0.507</x:v>
      </x:c>
      <x:c r="H129" s="10" t="n">
        <x:v>0.1</x:v>
      </x:c>
      <x:c r="I129" s="10" t="n">
        <x:f>SUM(D129:H129)</x:f>
        <x:v>0.88</x:v>
      </x:c>
      <x:c r="J129" s="10" t="n">
        <x:v>0.115</x:v>
      </x:c>
      <x:c r="K129" s="10" t="n">
        <x:v>0.3</x:v>
      </x:c>
      <x:c r="L129" s="10" t="n">
        <x:v>0.25</x:v>
      </x:c>
      <x:c r="M129" s="10" t="n">
        <x:v>0.45</x:v>
      </x:c>
      <x:c r="N129" s="10" t="n">
        <x:f>SUM(I129:M129)</x:f>
        <x:v>1.9949999999999999</x:v>
      </x:c>
      <x:c r="O129" s="10" t="n">
        <x:v>15.5</x:v>
      </x:c>
      <x:c r="P129" s="10" t="n">
        <x:f>N129+O129</x:f>
        <x:v>17.495</x:v>
      </x:c>
    </x:row>
    <x:row r="130" ht="35" customHeight="1">
      <x:c r="A130" s="9" t="str">
        <x:v>SYN-G07-03</x:v>
      </x:c>
      <x:c r="B130" s="9" t="str">
        <x:v>A</x:v>
      </x:c>
      <x:c r="C130" s="9" t="str">
        <x:v>G07</x:v>
      </x:c>
      <x:c r="D130" s="10" t="n">
        <x:v>0.08</x:v>
      </x:c>
      <x:c r="E130" s="10" t="n">
        <x:v>0.53</x:v>
      </x:c>
      <x:c r="F130" s="10" t="n">
        <x:v>1.14</x:v>
      </x:c>
      <x:c r="G130" s="10" t="n">
        <x:v>0.8</x:v>
      </x:c>
      <x:c r="H130" s="10" t="n">
        <x:v>0.1</x:v>
      </x:c>
      <x:c r="I130" s="10" t="n">
        <x:f>SUM(D130:H130)</x:f>
        <x:v>2.65</x:v>
      </x:c>
      <x:c r="J130" s="10" t="n">
        <x:v>0.575</x:v>
      </x:c>
      <x:c r="K130" s="10" t="n">
        <x:v>0.3</x:v>
      </x:c>
      <x:c r="L130" s="10" t="n">
        <x:v>0.25</x:v>
      </x:c>
      <x:c r="M130" s="10" t="n">
        <x:v>0.45</x:v>
      </x:c>
      <x:c r="N130" s="10" t="n">
        <x:f>SUM(I130:M130)</x:f>
        <x:v>4.225</x:v>
      </x:c>
      <x:c r="O130" s="10" t="n">
        <x:v>16.9</x:v>
      </x:c>
      <x:c r="P130" s="10" t="n">
        <x:f>N130+O130</x:f>
        <x:v>21.125</x:v>
      </x:c>
    </x:row>
    <x:row r="131" ht="35" customHeight="1">
      <x:c r="A131" s="9" t="str">
        <x:v>SYN-G07-03</x:v>
      </x:c>
      <x:c r="B131" s="9" t="str">
        <x:v>B</x:v>
      </x:c>
      <x:c r="C131" s="9" t="str">
        <x:v>G07</x:v>
      </x:c>
      <x:c r="D131" s="10" t="n">
        <x:v>0.08</x:v>
      </x:c>
      <x:c r="E131" s="10" t="n">
        <x:v>0.126</x:v>
      </x:c>
      <x:c r="F131" s="10" t="n">
        <x:v>0.072</x:v>
      </x:c>
      <x:c r="G131" s="10" t="n">
        <x:v>0.522</x:v>
      </x:c>
      <x:c r="H131" s="10" t="n">
        <x:v>0.1</x:v>
      </x:c>
      <x:c r="I131" s="10" t="n">
        <x:f>SUM(D131:H131)</x:f>
        <x:v>0.9</x:v>
      </x:c>
      <x:c r="J131" s="10" t="n">
        <x:v>0.125</x:v>
      </x:c>
      <x:c r="K131" s="10" t="n">
        <x:v>0.3</x:v>
      </x:c>
      <x:c r="L131" s="10" t="n">
        <x:v>0.25</x:v>
      </x:c>
      <x:c r="M131" s="10" t="n">
        <x:v>0.45</x:v>
      </x:c>
      <x:c r="N131" s="10" t="n">
        <x:f>SUM(I131:M131)</x:f>
        <x:v>2.025</x:v>
      </x:c>
      <x:c r="O131" s="10" t="n">
        <x:v>16.9</x:v>
      </x:c>
      <x:c r="P131" s="10" t="n">
        <x:f>N131+O131</x:f>
        <x:v>18.924999999999997</x:v>
      </x:c>
    </x:row>
    <x:row r="132" ht="35" customHeight="1">
      <x:c r="A132" s="9" t="str">
        <x:v>SYN-G07-04</x:v>
      </x:c>
      <x:c r="B132" s="9" t="str">
        <x:v>A</x:v>
      </x:c>
      <x:c r="C132" s="9" t="str">
        <x:v>G07</x:v>
      </x:c>
      <x:c r="D132" s="10" t="n">
        <x:v>0.08</x:v>
      </x:c>
      <x:c r="E132" s="10" t="n">
        <x:v>0.534</x:v>
      </x:c>
      <x:c r="F132" s="10" t="n">
        <x:v>1.148</x:v>
      </x:c>
      <x:c r="G132" s="10" t="n">
        <x:v>0.808</x:v>
      </x:c>
      <x:c r="H132" s="10" t="n">
        <x:v>0.1</x:v>
      </x:c>
      <x:c r="I132" s="10" t="n">
        <x:f>SUM(D132:H132)</x:f>
        <x:v>2.6700000000000004</x:v>
      </x:c>
      <x:c r="J132" s="10" t="n">
        <x:v>0.585</x:v>
      </x:c>
      <x:c r="K132" s="10" t="n">
        <x:v>0.3</x:v>
      </x:c>
      <x:c r="L132" s="10" t="n">
        <x:v>0.25</x:v>
      </x:c>
      <x:c r="M132" s="10" t="n">
        <x:v>0.45</x:v>
      </x:c>
      <x:c r="N132" s="10" t="n">
        <x:f>SUM(I132:M132)</x:f>
        <x:v>4.255</x:v>
      </x:c>
      <x:c r="O132" s="10" t="n">
        <x:v>18.3</x:v>
      </x:c>
      <x:c r="P132" s="10" t="n">
        <x:f>N132+O132</x:f>
        <x:v>22.555</x:v>
      </x:c>
    </x:row>
    <x:row r="133" ht="35" customHeight="1">
      <x:c r="A133" s="9" t="str">
        <x:v>SYN-G07-04</x:v>
      </x:c>
      <x:c r="B133" s="9" t="str">
        <x:v>B</x:v>
      </x:c>
      <x:c r="C133" s="9" t="str">
        <x:v>G07</x:v>
      </x:c>
      <x:c r="D133" s="10" t="n">
        <x:v>0.08</x:v>
      </x:c>
      <x:c r="E133" s="10" t="n">
        <x:v>0.129</x:v>
      </x:c>
      <x:c r="F133" s="10" t="n">
        <x:v>0.074</x:v>
      </x:c>
      <x:c r="G133" s="10" t="n">
        <x:v>0.537</x:v>
      </x:c>
      <x:c r="H133" s="10" t="n">
        <x:v>0.1</x:v>
      </x:c>
      <x:c r="I133" s="10" t="n">
        <x:f>SUM(D133:H133)</x:f>
        <x:v>0.92</x:v>
      </x:c>
      <x:c r="J133" s="10" t="n">
        <x:v>0.135</x:v>
      </x:c>
      <x:c r="K133" s="10" t="n">
        <x:v>0.3</x:v>
      </x:c>
      <x:c r="L133" s="10" t="n">
        <x:v>0.25</x:v>
      </x:c>
      <x:c r="M133" s="10" t="n">
        <x:v>0.45</x:v>
      </x:c>
      <x:c r="N133" s="10" t="n">
        <x:f>SUM(I133:M133)</x:f>
        <x:v>2.055</x:v>
      </x:c>
      <x:c r="O133" s="10" t="n">
        <x:v>18.3</x:v>
      </x:c>
      <x:c r="P133" s="10" t="n">
        <x:f>N133+O133</x:f>
        <x:v>20.355</x:v>
      </x:c>
    </x:row>
    <x:row r="134" ht="35" customHeight="1">
      <x:c r="A134" s="9" t="str">
        <x:v>SYN-G07-05</x:v>
      </x:c>
      <x:c r="B134" s="9" t="str">
        <x:v>A</x:v>
      </x:c>
      <x:c r="C134" s="9" t="str">
        <x:v>G07</x:v>
      </x:c>
      <x:c r="D134" s="10" t="n">
        <x:v>0.08</x:v>
      </x:c>
      <x:c r="E134" s="10" t="n">
        <x:v>0.538</x:v>
      </x:c>
      <x:c r="F134" s="10" t="n">
        <x:v>1.157</x:v>
      </x:c>
      <x:c r="G134" s="10" t="n">
        <x:v>0.815</x:v>
      </x:c>
      <x:c r="H134" s="10" t="n">
        <x:v>0.1</x:v>
      </x:c>
      <x:c r="I134" s="10" t="n">
        <x:f>SUM(D134:H134)</x:f>
        <x:v>2.69</x:v>
      </x:c>
      <x:c r="J134" s="10" t="n">
        <x:v>0.595</x:v>
      </x:c>
      <x:c r="K134" s="10" t="n">
        <x:v>0.3</x:v>
      </x:c>
      <x:c r="L134" s="10" t="n">
        <x:v>0.25</x:v>
      </x:c>
      <x:c r="M134" s="10" t="n">
        <x:v>0.45</x:v>
      </x:c>
      <x:c r="N134" s="10" t="n">
        <x:f>SUM(I134:M134)</x:f>
        <x:v>4.285</x:v>
      </x:c>
      <x:c r="O134" s="10" t="n">
        <x:v>19.7</x:v>
      </x:c>
      <x:c r="P134" s="10" t="n">
        <x:f>N134+O134</x:f>
        <x:v>23.985</x:v>
      </x:c>
    </x:row>
    <x:row r="135" ht="35" customHeight="1">
      <x:c r="A135" s="9" t="str">
        <x:v>SYN-G07-05</x:v>
      </x:c>
      <x:c r="B135" s="9" t="str">
        <x:v>B</x:v>
      </x:c>
      <x:c r="C135" s="9" t="str">
        <x:v>G07</x:v>
      </x:c>
      <x:c r="D135" s="10" t="n">
        <x:v>0.08</x:v>
      </x:c>
      <x:c r="E135" s="10" t="n">
        <x:v>0.132</x:v>
      </x:c>
      <x:c r="F135" s="10" t="n">
        <x:v>0.075</x:v>
      </x:c>
      <x:c r="G135" s="10" t="n">
        <x:v>0.553</x:v>
      </x:c>
      <x:c r="H135" s="10" t="n">
        <x:v>0.1</x:v>
      </x:c>
      <x:c r="I135" s="10" t="n">
        <x:f>SUM(D135:H135)</x:f>
        <x:v>0.9400000000000001</x:v>
      </x:c>
      <x:c r="J135" s="10" t="n">
        <x:v>0.145</x:v>
      </x:c>
      <x:c r="K135" s="10" t="n">
        <x:v>0.3</x:v>
      </x:c>
      <x:c r="L135" s="10" t="n">
        <x:v>0.25</x:v>
      </x:c>
      <x:c r="M135" s="10" t="n">
        <x:v>0.45</x:v>
      </x:c>
      <x:c r="N135" s="10" t="n">
        <x:f>SUM(I135:M135)</x:f>
        <x:v>2.085</x:v>
      </x:c>
      <x:c r="O135" s="10" t="n">
        <x:v>19.7</x:v>
      </x:c>
      <x:c r="P135" s="10" t="n">
        <x:f>N135+O135</x:f>
        <x:v>21.785</x:v>
      </x:c>
    </x:row>
    <x:row r="136" ht="35" customHeight="1">
      <x:c r="A136" s="9" t="str">
        <x:v>SYN-G07-06</x:v>
      </x:c>
      <x:c r="B136" s="9" t="str">
        <x:v>A</x:v>
      </x:c>
      <x:c r="C136" s="9" t="str">
        <x:v>G07</x:v>
      </x:c>
      <x:c r="D136" s="10" t="n">
        <x:v>0.08</x:v>
      </x:c>
      <x:c r="E136" s="10" t="n">
        <x:v>0.542</x:v>
      </x:c>
      <x:c r="F136" s="10" t="n">
        <x:v>1.165</x:v>
      </x:c>
      <x:c r="G136" s="10" t="n">
        <x:v>0.823</x:v>
      </x:c>
      <x:c r="H136" s="10" t="n">
        <x:v>0.1</x:v>
      </x:c>
      <x:c r="I136" s="10" t="n">
        <x:f>SUM(D136:H136)</x:f>
        <x:v>2.71</x:v>
      </x:c>
      <x:c r="J136" s="10" t="n">
        <x:v>0.605</x:v>
      </x:c>
      <x:c r="K136" s="10" t="n">
        <x:v>0.3</x:v>
      </x:c>
      <x:c r="L136" s="10" t="n">
        <x:v>0.25</x:v>
      </x:c>
      <x:c r="M136" s="10" t="n">
        <x:v>0.45</x:v>
      </x:c>
      <x:c r="N136" s="10" t="n">
        <x:f>SUM(I136:M136)</x:f>
        <x:v>4.3149999999999995</x:v>
      </x:c>
      <x:c r="O136" s="10" t="n">
        <x:v>21.1</x:v>
      </x:c>
      <x:c r="P136" s="10" t="n">
        <x:f>N136+O136</x:f>
        <x:v>25.415</x:v>
      </x:c>
    </x:row>
    <x:row r="137" ht="35" customHeight="1">
      <x:c r="A137" s="9" t="str">
        <x:v>SYN-G07-06</x:v>
      </x:c>
      <x:c r="B137" s="9" t="str">
        <x:v>B</x:v>
      </x:c>
      <x:c r="C137" s="9" t="str">
        <x:v>G07</x:v>
      </x:c>
      <x:c r="D137" s="10" t="n">
        <x:v>0.08</x:v>
      </x:c>
      <x:c r="E137" s="10" t="n">
        <x:v>0.134</x:v>
      </x:c>
      <x:c r="F137" s="10" t="n">
        <x:v>0.077</x:v>
      </x:c>
      <x:c r="G137" s="10" t="n">
        <x:v>0.569</x:v>
      </x:c>
      <x:c r="H137" s="10" t="n">
        <x:v>0.1</x:v>
      </x:c>
      <x:c r="I137" s="10" t="n">
        <x:f>SUM(D137:H137)</x:f>
        <x:v>0.96</x:v>
      </x:c>
      <x:c r="J137" s="10" t="n">
        <x:v>0.155</x:v>
      </x:c>
      <x:c r="K137" s="10" t="n">
        <x:v>0.3</x:v>
      </x:c>
      <x:c r="L137" s="10" t="n">
        <x:v>0.25</x:v>
      </x:c>
      <x:c r="M137" s="10" t="n">
        <x:v>0.45</x:v>
      </x:c>
      <x:c r="N137" s="10" t="n">
        <x:f>SUM(I137:M137)</x:f>
        <x:v>2.115</x:v>
      </x:c>
      <x:c r="O137" s="10" t="n">
        <x:v>21.1</x:v>
      </x:c>
      <x:c r="P137" s="10" t="n">
        <x:f>N137+O137</x:f>
        <x:v>23.215000000000003</x:v>
      </x:c>
    </x:row>
    <x:row r="138" ht="35" customHeight="1">
      <x:c r="A138" s="9" t="str">
        <x:v>SYN-G07-07</x:v>
      </x:c>
      <x:c r="B138" s="9" t="str">
        <x:v>A</x:v>
      </x:c>
      <x:c r="C138" s="9" t="str">
        <x:v>G07</x:v>
      </x:c>
      <x:c r="D138" s="10" t="n">
        <x:v>0.08</x:v>
      </x:c>
      <x:c r="E138" s="10" t="n">
        <x:v>0.546</x:v>
      </x:c>
      <x:c r="F138" s="10" t="n">
        <x:v>1.174</x:v>
      </x:c>
      <x:c r="G138" s="10" t="n">
        <x:v>0.83</x:v>
      </x:c>
      <x:c r="H138" s="10" t="n">
        <x:v>0.1</x:v>
      </x:c>
      <x:c r="I138" s="10" t="n">
        <x:f>SUM(D138:H138)</x:f>
        <x:v>2.73</x:v>
      </x:c>
      <x:c r="J138" s="10" t="n">
        <x:v>0.615</x:v>
      </x:c>
      <x:c r="K138" s="10" t="n">
        <x:v>0.3</x:v>
      </x:c>
      <x:c r="L138" s="10" t="n">
        <x:v>0.25</x:v>
      </x:c>
      <x:c r="M138" s="10" t="n">
        <x:v>0.45</x:v>
      </x:c>
      <x:c r="N138" s="10" t="n">
        <x:f>SUM(I138:M138)</x:f>
        <x:v>4.345</x:v>
      </x:c>
      <x:c r="O138" s="10" t="n">
        <x:v>22.5</x:v>
      </x:c>
      <x:c r="P138" s="10" t="n">
        <x:f>N138+O138</x:f>
        <x:v>26.845</x:v>
      </x:c>
    </x:row>
    <x:row r="139" ht="35" customHeight="1">
      <x:c r="A139" s="9" t="str">
        <x:v>SYN-G07-07</x:v>
      </x:c>
      <x:c r="B139" s="9" t="str">
        <x:v>B</x:v>
      </x:c>
      <x:c r="C139" s="9" t="str">
        <x:v>G07</x:v>
      </x:c>
      <x:c r="D139" s="10" t="n">
        <x:v>0.08</x:v>
      </x:c>
      <x:c r="E139" s="10" t="n">
        <x:v>0.137</x:v>
      </x:c>
      <x:c r="F139" s="10" t="n">
        <x:v>0.078</x:v>
      </x:c>
      <x:c r="G139" s="10" t="n">
        <x:v>0.585</x:v>
      </x:c>
      <x:c r="H139" s="10" t="n">
        <x:v>0.1</x:v>
      </x:c>
      <x:c r="I139" s="10" t="n">
        <x:f>SUM(D139:H139)</x:f>
        <x:v>0.98</x:v>
      </x:c>
      <x:c r="J139" s="10" t="n">
        <x:v>0.165</x:v>
      </x:c>
      <x:c r="K139" s="10" t="n">
        <x:v>0.3</x:v>
      </x:c>
      <x:c r="L139" s="10" t="n">
        <x:v>0.25</x:v>
      </x:c>
      <x:c r="M139" s="10" t="n">
        <x:v>0.45</x:v>
      </x:c>
      <x:c r="N139" s="10" t="n">
        <x:f>SUM(I139:M139)</x:f>
        <x:v>2.145</x:v>
      </x:c>
      <x:c r="O139" s="10" t="n">
        <x:v>22.5</x:v>
      </x:c>
      <x:c r="P139" s="10" t="n">
        <x:f>N139+O139</x:f>
        <x:v>24.645</x:v>
      </x:c>
    </x:row>
    <x:row r="140" ht="35" customHeight="1">
      <x:c r="A140" s="9" t="str">
        <x:v>SYN-G07-08</x:v>
      </x:c>
      <x:c r="B140" s="9" t="str">
        <x:v>A</x:v>
      </x:c>
      <x:c r="C140" s="9" t="str">
        <x:v>G07</x:v>
      </x:c>
      <x:c r="D140" s="10" t="n">
        <x:v>0.08</x:v>
      </x:c>
      <x:c r="E140" s="10" t="n">
        <x:v>0.55</x:v>
      </x:c>
      <x:c r="F140" s="10" t="n">
        <x:v>1.182</x:v>
      </x:c>
      <x:c r="G140" s="10" t="n">
        <x:v>0.838</x:v>
      </x:c>
      <x:c r="H140" s="10" t="n">
        <x:v>0.1</x:v>
      </x:c>
      <x:c r="I140" s="10" t="n">
        <x:f>SUM(D140:H140)</x:f>
        <x:v>2.75</x:v>
      </x:c>
      <x:c r="J140" s="10" t="n">
        <x:v>0.625</x:v>
      </x:c>
      <x:c r="K140" s="10" t="n">
        <x:v>0.3</x:v>
      </x:c>
      <x:c r="L140" s="10" t="n">
        <x:v>0.25</x:v>
      </x:c>
      <x:c r="M140" s="10" t="n">
        <x:v>0.45</x:v>
      </x:c>
      <x:c r="N140" s="10" t="n">
        <x:f>SUM(I140:M140)</x:f>
        <x:v>4.375</x:v>
      </x:c>
      <x:c r="O140" s="10" t="n">
        <x:v>23.9</x:v>
      </x:c>
      <x:c r="P140" s="10" t="n">
        <x:f>N140+O140</x:f>
        <x:v>28.275</x:v>
      </x:c>
    </x:row>
    <x:row r="141" ht="35" customHeight="1">
      <x:c r="A141" s="9" t="str">
        <x:v>SYN-G07-08</x:v>
      </x:c>
      <x:c r="B141" s="9" t="str">
        <x:v>B</x:v>
      </x:c>
      <x:c r="C141" s="9" t="str">
        <x:v>G07</x:v>
      </x:c>
      <x:c r="D141" s="10" t="n">
        <x:v>0.08</x:v>
      </x:c>
      <x:c r="E141" s="10" t="n">
        <x:v>0.14</x:v>
      </x:c>
      <x:c r="F141" s="10" t="n">
        <x:v>0.08</x:v>
      </x:c>
      <x:c r="G141" s="10" t="n">
        <x:v>0.6</x:v>
      </x:c>
      <x:c r="H141" s="10" t="n">
        <x:v>0.1</x:v>
      </x:c>
      <x:c r="I141" s="10" t="n">
        <x:f>SUM(D141:H141)</x:f>
        <x:v>1</x:v>
      </x:c>
      <x:c r="J141" s="10" t="n">
        <x:v>0.175</x:v>
      </x:c>
      <x:c r="K141" s="10" t="n">
        <x:v>0.3</x:v>
      </x:c>
      <x:c r="L141" s="10" t="n">
        <x:v>0.25</x:v>
      </x:c>
      <x:c r="M141" s="10" t="n">
        <x:v>0.45</x:v>
      </x:c>
      <x:c r="N141" s="10" t="n">
        <x:f>SUM(I141:M141)</x:f>
        <x:v>2.1750000000000003</x:v>
      </x:c>
      <x:c r="O141" s="10" t="n">
        <x:v>23.9</x:v>
      </x:c>
      <x:c r="P141" s="10" t="n">
        <x:f>N141+O141</x:f>
        <x:v>26.075</x:v>
      </x:c>
    </x:row>
    <x:row r="142" ht="35" customHeight="1">
      <x:c r="A142" s="9" t="str">
        <x:v>SYN-G07-09</x:v>
      </x:c>
      <x:c r="B142" s="9" t="str">
        <x:v>A</x:v>
      </x:c>
      <x:c r="C142" s="9" t="str">
        <x:v>G07</x:v>
      </x:c>
      <x:c r="D142" s="10" t="n">
        <x:v>0.08</x:v>
      </x:c>
      <x:c r="E142" s="10" t="n">
        <x:v>0.554</x:v>
      </x:c>
      <x:c r="F142" s="10" t="n">
        <x:v>1.191</x:v>
      </x:c>
      <x:c r="G142" s="10" t="n">
        <x:v>0.845</x:v>
      </x:c>
      <x:c r="H142" s="10" t="n">
        <x:v>0.1</x:v>
      </x:c>
      <x:c r="I142" s="10" t="n">
        <x:f>SUM(D142:H142)</x:f>
        <x:v>2.77</x:v>
      </x:c>
      <x:c r="J142" s="10" t="n">
        <x:v>0.635</x:v>
      </x:c>
      <x:c r="K142" s="10" t="n">
        <x:v>0.3</x:v>
      </x:c>
      <x:c r="L142" s="10" t="n">
        <x:v>0.25</x:v>
      </x:c>
      <x:c r="M142" s="10" t="n">
        <x:v>0.45</x:v>
      </x:c>
      <x:c r="N142" s="10" t="n">
        <x:f>SUM(I142:M142)</x:f>
        <x:v>4.405</x:v>
      </x:c>
      <x:c r="O142" s="10" t="n">
        <x:v>25.3</x:v>
      </x:c>
      <x:c r="P142" s="10" t="n">
        <x:f>N142+O142</x:f>
        <x:v>29.705000000000002</x:v>
      </x:c>
    </x:row>
    <x:row r="143" ht="35" customHeight="1">
      <x:c r="A143" s="9" t="str">
        <x:v>SYN-G07-09</x:v>
      </x:c>
      <x:c r="B143" s="9" t="str">
        <x:v>B</x:v>
      </x:c>
      <x:c r="C143" s="9" t="str">
        <x:v>G07</x:v>
      </x:c>
      <x:c r="D143" s="10" t="n">
        <x:v>0.08</x:v>
      </x:c>
      <x:c r="E143" s="10" t="n">
        <x:v>0.143</x:v>
      </x:c>
      <x:c r="F143" s="10" t="n">
        <x:v>0.082</x:v>
      </x:c>
      <x:c r="G143" s="10" t="n">
        <x:v>0.615</x:v>
      </x:c>
      <x:c r="H143" s="10" t="n">
        <x:v>0.1</x:v>
      </x:c>
      <x:c r="I143" s="10" t="n">
        <x:f>SUM(D143:H143)</x:f>
        <x:v>1.02</x:v>
      </x:c>
      <x:c r="J143" s="10" t="n">
        <x:v>0.185</x:v>
      </x:c>
      <x:c r="K143" s="10" t="n">
        <x:v>0.3</x:v>
      </x:c>
      <x:c r="L143" s="10" t="n">
        <x:v>0.25</x:v>
      </x:c>
      <x:c r="M143" s="10" t="n">
        <x:v>0.45</x:v>
      </x:c>
      <x:c r="N143" s="10" t="n">
        <x:f>SUM(I143:M143)</x:f>
        <x:v>2.205</x:v>
      </x:c>
      <x:c r="O143" s="10" t="n">
        <x:v>25.3</x:v>
      </x:c>
      <x:c r="P143" s="10" t="n">
        <x:f>N143+O143</x:f>
        <x:v>27.505000000000003</x:v>
      </x:c>
    </x:row>
    <x:row r="144" ht="35" customHeight="1">
      <x:c r="A144" s="9" t="str">
        <x:v>SYN-G07-10</x:v>
      </x:c>
      <x:c r="B144" s="9" t="str">
        <x:v>A</x:v>
      </x:c>
      <x:c r="C144" s="9" t="str">
        <x:v>G07</x:v>
      </x:c>
      <x:c r="D144" s="10" t="n">
        <x:v>0.08</x:v>
      </x:c>
      <x:c r="E144" s="10" t="n">
        <x:v>0.558</x:v>
      </x:c>
      <x:c r="F144" s="10" t="n">
        <x:v>1.2</x:v>
      </x:c>
      <x:c r="G144" s="10" t="n">
        <x:v>0.852</x:v>
      </x:c>
      <x:c r="H144" s="10" t="n">
        <x:v>0.1</x:v>
      </x:c>
      <x:c r="I144" s="10" t="n">
        <x:f>SUM(D144:H144)</x:f>
        <x:v>2.79</x:v>
      </x:c>
      <x:c r="J144" s="10" t="n">
        <x:v>0.645</x:v>
      </x:c>
      <x:c r="K144" s="10" t="n">
        <x:v>0.3</x:v>
      </x:c>
      <x:c r="L144" s="10" t="n">
        <x:v>0.25</x:v>
      </x:c>
      <x:c r="M144" s="10" t="n">
        <x:v>0.45</x:v>
      </x:c>
      <x:c r="N144" s="10" t="n">
        <x:f>SUM(I144:M144)</x:f>
        <x:v>4.435</x:v>
      </x:c>
      <x:c r="O144" s="10" t="n">
        <x:v>26.7</x:v>
      </x:c>
      <x:c r="P144" s="10" t="n">
        <x:f>N144+O144</x:f>
        <x:v>31.134999999999998</x:v>
      </x:c>
    </x:row>
    <x:row r="145" ht="35" customHeight="1">
      <x:c r="A145" s="9" t="str">
        <x:v>SYN-G07-10</x:v>
      </x:c>
      <x:c r="B145" s="9" t="str">
        <x:v>B</x:v>
      </x:c>
      <x:c r="C145" s="9" t="str">
        <x:v>G07</x:v>
      </x:c>
      <x:c r="D145" s="10" t="n">
        <x:v>0.08</x:v>
      </x:c>
      <x:c r="E145" s="10" t="n">
        <x:v>0.146</x:v>
      </x:c>
      <x:c r="F145" s="10" t="n">
        <x:v>0.083</x:v>
      </x:c>
      <x:c r="G145" s="10" t="n">
        <x:v>0.631</x:v>
      </x:c>
      <x:c r="H145" s="10" t="n">
        <x:v>0.1</x:v>
      </x:c>
      <x:c r="I145" s="10" t="n">
        <x:f>SUM(D145:H145)</x:f>
        <x:v>1.04</x:v>
      </x:c>
      <x:c r="J145" s="10" t="n">
        <x:v>0.195</x:v>
      </x:c>
      <x:c r="K145" s="10" t="n">
        <x:v>0.3</x:v>
      </x:c>
      <x:c r="L145" s="10" t="n">
        <x:v>0.25</x:v>
      </x:c>
      <x:c r="M145" s="10" t="n">
        <x:v>0.45</x:v>
      </x:c>
      <x:c r="N145" s="10" t="n">
        <x:f>SUM(I145:M145)</x:f>
        <x:v>2.2350000000000003</x:v>
      </x:c>
      <x:c r="O145" s="10" t="n">
        <x:v>26.7</x:v>
      </x:c>
      <x:c r="P145" s="10" t="n">
        <x:f>N145+O145</x:f>
        <x:v>28.935</x:v>
      </x:c>
    </x:row>
    <x:row r="146" ht="35" customHeight="1">
      <x:c r="A146" s="9" t="str">
        <x:v>SYN-G08-01</x:v>
      </x:c>
      <x:c r="B146" s="9" t="str">
        <x:v>A</x:v>
      </x:c>
      <x:c r="C146" s="9" t="str">
        <x:v>G08</x:v>
      </x:c>
      <x:c r="D146" s="10" t="n">
        <x:v>0.08</x:v>
      </x:c>
      <x:c r="E146" s="10" t="n">
        <x:v>0.122</x:v>
      </x:c>
      <x:c r="F146" s="10" t="n">
        <x:v>0</x:v>
      </x:c>
      <x:c r="G146" s="10" t="n">
        <x:v>0.308</x:v>
      </x:c>
      <x:c r="H146" s="10" t="n">
        <x:v>0.1</x:v>
      </x:c>
      <x:c r="I146" s="10" t="n">
        <x:f>SUM(D146:H146)</x:f>
        <x:v>0.61</x:v>
      </x:c>
      <x:c r="J146" s="10" t="n">
        <x:v>0.155</x:v>
      </x:c>
      <x:c r="K146" s="10" t="n">
        <x:v>0.3</x:v>
      </x:c>
      <x:c r="L146" s="10" t="n">
        <x:v>0.25</x:v>
      </x:c>
      <x:c r="M146" s="10" t="n">
        <x:v>0.45</x:v>
      </x:c>
      <x:c r="N146" s="10" t="n">
        <x:f>SUM(I146:M146)</x:f>
        <x:v>1.765</x:v>
      </x:c>
      <x:c r="O146" s="10" t="n">
        <x:v>14.4</x:v>
      </x:c>
      <x:c r="P146" s="10" t="n">
        <x:f>N146+O146</x:f>
        <x:v>16.165</x:v>
      </x:c>
    </x:row>
    <x:row r="147" ht="35" customHeight="1">
      <x:c r="A147" s="9" t="str">
        <x:v>SYN-G08-01</x:v>
      </x:c>
      <x:c r="B147" s="9" t="str">
        <x:v>B</x:v>
      </x:c>
      <x:c r="C147" s="9" t="str">
        <x:v>G08</x:v>
      </x:c>
      <x:c r="D147" s="10" t="n">
        <x:v>0.08</x:v>
      </x:c>
      <x:c r="E147" s="10" t="n">
        <x:v>0.099</x:v>
      </x:c>
      <x:c r="F147" s="10" t="n">
        <x:v>0</x:v>
      </x:c>
      <x:c r="G147" s="10" t="n">
        <x:v>0.431</x:v>
      </x:c>
      <x:c r="H147" s="10" t="n">
        <x:v>0.1</x:v>
      </x:c>
      <x:c r="I147" s="10" t="n">
        <x:f>SUM(D147:H147)</x:f>
        <x:v>0.71</x:v>
      </x:c>
      <x:c r="J147" s="10" t="n">
        <x:v>0.155</x:v>
      </x:c>
      <x:c r="K147" s="10" t="n">
        <x:v>0.3</x:v>
      </x:c>
      <x:c r="L147" s="10" t="n">
        <x:v>0.25</x:v>
      </x:c>
      <x:c r="M147" s="10" t="n">
        <x:v>0.45</x:v>
      </x:c>
      <x:c r="N147" s="10" t="n">
        <x:f>SUM(I147:M147)</x:f>
        <x:v>1.865</x:v>
      </x:c>
      <x:c r="O147" s="10" t="n">
        <x:v>14.4</x:v>
      </x:c>
      <x:c r="P147" s="10" t="n">
        <x:f>N147+O147</x:f>
        <x:v>16.265</x:v>
      </x:c>
    </x:row>
    <x:row r="148" ht="35" customHeight="1">
      <x:c r="A148" s="9" t="str">
        <x:v>SYN-G08-02</x:v>
      </x:c>
      <x:c r="B148" s="9" t="str">
        <x:v>A</x:v>
      </x:c>
      <x:c r="C148" s="9" t="str">
        <x:v>G08</x:v>
      </x:c>
      <x:c r="D148" s="10" t="n">
        <x:v>0.08</x:v>
      </x:c>
      <x:c r="E148" s="10" t="n">
        <x:v>0.126</x:v>
      </x:c>
      <x:c r="F148" s="10" t="n">
        <x:v>0</x:v>
      </x:c>
      <x:c r="G148" s="10" t="n">
        <x:v>0.324</x:v>
      </x:c>
      <x:c r="H148" s="10" t="n">
        <x:v>0.1</x:v>
      </x:c>
      <x:c r="I148" s="10" t="n">
        <x:f>SUM(D148:H148)</x:f>
        <x:v>0.63</x:v>
      </x:c>
      <x:c r="J148" s="10" t="n">
        <x:v>0.165</x:v>
      </x:c>
      <x:c r="K148" s="10" t="n">
        <x:v>0.3</x:v>
      </x:c>
      <x:c r="L148" s="10" t="n">
        <x:v>0.25</x:v>
      </x:c>
      <x:c r="M148" s="10" t="n">
        <x:v>0.45</x:v>
      </x:c>
      <x:c r="N148" s="10" t="n">
        <x:f>SUM(I148:M148)</x:f>
        <x:v>1.795</x:v>
      </x:c>
      <x:c r="O148" s="10" t="n">
        <x:v>15.8</x:v>
      </x:c>
      <x:c r="P148" s="10" t="n">
        <x:f>N148+O148</x:f>
        <x:v>17.595</x:v>
      </x:c>
    </x:row>
    <x:row r="149" ht="35" customHeight="1">
      <x:c r="A149" s="9" t="str">
        <x:v>SYN-G08-02</x:v>
      </x:c>
      <x:c r="B149" s="9" t="str">
        <x:v>B</x:v>
      </x:c>
      <x:c r="C149" s="9" t="str">
        <x:v>G08</x:v>
      </x:c>
      <x:c r="D149" s="10" t="n">
        <x:v>0.08</x:v>
      </x:c>
      <x:c r="E149" s="10" t="n">
        <x:v>0.102</x:v>
      </x:c>
      <x:c r="F149" s="10" t="n">
        <x:v>0</x:v>
      </x:c>
      <x:c r="G149" s="10" t="n">
        <x:v>0.448</x:v>
      </x:c>
      <x:c r="H149" s="10" t="n">
        <x:v>0.1</x:v>
      </x:c>
      <x:c r="I149" s="10" t="n">
        <x:f>SUM(D149:H149)</x:f>
        <x:v>0.73</x:v>
      </x:c>
      <x:c r="J149" s="10" t="n">
        <x:v>0.165</x:v>
      </x:c>
      <x:c r="K149" s="10" t="n">
        <x:v>0.3</x:v>
      </x:c>
      <x:c r="L149" s="10" t="n">
        <x:v>0.25</x:v>
      </x:c>
      <x:c r="M149" s="10" t="n">
        <x:v>0.45</x:v>
      </x:c>
      <x:c r="N149" s="10" t="n">
        <x:f>SUM(I149:M149)</x:f>
        <x:v>1.895</x:v>
      </x:c>
      <x:c r="O149" s="10" t="n">
        <x:v>15.8</x:v>
      </x:c>
      <x:c r="P149" s="10" t="n">
        <x:f>N149+O149</x:f>
        <x:v>17.695</x:v>
      </x:c>
    </x:row>
    <x:row r="150" ht="35" customHeight="1">
      <x:c r="A150" s="9" t="str">
        <x:v>SYN-G08-03</x:v>
      </x:c>
      <x:c r="B150" s="9" t="str">
        <x:v>A</x:v>
      </x:c>
      <x:c r="C150" s="9" t="str">
        <x:v>G08</x:v>
      </x:c>
      <x:c r="D150" s="10" t="n">
        <x:v>0.08</x:v>
      </x:c>
      <x:c r="E150" s="10" t="n">
        <x:v>0.13</x:v>
      </x:c>
      <x:c r="F150" s="10" t="n">
        <x:v>0</x:v>
      </x:c>
      <x:c r="G150" s="10" t="n">
        <x:v>0.34</x:v>
      </x:c>
      <x:c r="H150" s="10" t="n">
        <x:v>0.1</x:v>
      </x:c>
      <x:c r="I150" s="10" t="n">
        <x:f>SUM(D150:H150)</x:f>
        <x:v>0.65</x:v>
      </x:c>
      <x:c r="J150" s="10" t="n">
        <x:v>0.175</x:v>
      </x:c>
      <x:c r="K150" s="10" t="n">
        <x:v>0.3</x:v>
      </x:c>
      <x:c r="L150" s="10" t="n">
        <x:v>0.25</x:v>
      </x:c>
      <x:c r="M150" s="10" t="n">
        <x:v>0.45</x:v>
      </x:c>
      <x:c r="N150" s="10" t="n">
        <x:f>SUM(I150:M150)</x:f>
        <x:v>1.825</x:v>
      </x:c>
      <x:c r="O150" s="10" t="n">
        <x:v>17.2</x:v>
      </x:c>
      <x:c r="P150" s="10" t="n">
        <x:f>N150+O150</x:f>
        <x:v>19.025</x:v>
      </x:c>
    </x:row>
    <x:row r="151" ht="35" customHeight="1">
      <x:c r="A151" s="9" t="str">
        <x:v>SYN-G08-03</x:v>
      </x:c>
      <x:c r="B151" s="9" t="str">
        <x:v>B</x:v>
      </x:c>
      <x:c r="C151" s="9" t="str">
        <x:v>G08</x:v>
      </x:c>
      <x:c r="D151" s="10" t="n">
        <x:v>0.08</x:v>
      </x:c>
      <x:c r="E151" s="10" t="n">
        <x:v>0.105</x:v>
      </x:c>
      <x:c r="F151" s="10" t="n">
        <x:v>0</x:v>
      </x:c>
      <x:c r="G151" s="10" t="n">
        <x:v>0.465</x:v>
      </x:c>
      <x:c r="H151" s="10" t="n">
        <x:v>0.1</x:v>
      </x:c>
      <x:c r="I151" s="10" t="n">
        <x:f>SUM(D151:H151)</x:f>
        <x:v>0.75</x:v>
      </x:c>
      <x:c r="J151" s="10" t="n">
        <x:v>0.175</x:v>
      </x:c>
      <x:c r="K151" s="10" t="n">
        <x:v>0.3</x:v>
      </x:c>
      <x:c r="L151" s="10" t="n">
        <x:v>0.25</x:v>
      </x:c>
      <x:c r="M151" s="10" t="n">
        <x:v>0.45</x:v>
      </x:c>
      <x:c r="N151" s="10" t="n">
        <x:f>SUM(I151:M151)</x:f>
        <x:v>1.925</x:v>
      </x:c>
      <x:c r="O151" s="10" t="n">
        <x:v>17.2</x:v>
      </x:c>
      <x:c r="P151" s="10" t="n">
        <x:f>N151+O151</x:f>
        <x:v>19.125</x:v>
      </x:c>
    </x:row>
    <x:row r="152" ht="35" customHeight="1">
      <x:c r="A152" s="9" t="str">
        <x:v>SYN-G08-04</x:v>
      </x:c>
      <x:c r="B152" s="9" t="str">
        <x:v>A</x:v>
      </x:c>
      <x:c r="C152" s="9" t="str">
        <x:v>G08</x:v>
      </x:c>
      <x:c r="D152" s="10" t="n">
        <x:v>0.08</x:v>
      </x:c>
      <x:c r="E152" s="10" t="n">
        <x:v>0.134</x:v>
      </x:c>
      <x:c r="F152" s="10" t="n">
        <x:v>0</x:v>
      </x:c>
      <x:c r="G152" s="10" t="n">
        <x:v>0.356</x:v>
      </x:c>
      <x:c r="H152" s="10" t="n">
        <x:v>0.1</x:v>
      </x:c>
      <x:c r="I152" s="10" t="n">
        <x:f>SUM(D152:H152)</x:f>
        <x:v>0.67</x:v>
      </x:c>
      <x:c r="J152" s="10" t="n">
        <x:v>0.185</x:v>
      </x:c>
      <x:c r="K152" s="10" t="n">
        <x:v>0.3</x:v>
      </x:c>
      <x:c r="L152" s="10" t="n">
        <x:v>0.25</x:v>
      </x:c>
      <x:c r="M152" s="10" t="n">
        <x:v>0.45</x:v>
      </x:c>
      <x:c r="N152" s="10" t="n">
        <x:f>SUM(I152:M152)</x:f>
        <x:v>1.855</x:v>
      </x:c>
      <x:c r="O152" s="10" t="n">
        <x:v>18.6</x:v>
      </x:c>
      <x:c r="P152" s="10" t="n">
        <x:f>N152+O152</x:f>
        <x:v>20.455000000000002</x:v>
      </x:c>
    </x:row>
    <x:row r="153" ht="35" customHeight="1">
      <x:c r="A153" s="9" t="str">
        <x:v>SYN-G08-04</x:v>
      </x:c>
      <x:c r="B153" s="9" t="str">
        <x:v>B</x:v>
      </x:c>
      <x:c r="C153" s="9" t="str">
        <x:v>G08</x:v>
      </x:c>
      <x:c r="D153" s="10" t="n">
        <x:v>0.08</x:v>
      </x:c>
      <x:c r="E153" s="10" t="n">
        <x:v>0.108</x:v>
      </x:c>
      <x:c r="F153" s="10" t="n">
        <x:v>0</x:v>
      </x:c>
      <x:c r="G153" s="10" t="n">
        <x:v>0.482</x:v>
      </x:c>
      <x:c r="H153" s="10" t="n">
        <x:v>0.1</x:v>
      </x:c>
      <x:c r="I153" s="10" t="n">
        <x:f>SUM(D153:H153)</x:f>
        <x:v>0.7699999999999999</x:v>
      </x:c>
      <x:c r="J153" s="10" t="n">
        <x:v>0.185</x:v>
      </x:c>
      <x:c r="K153" s="10" t="n">
        <x:v>0.3</x:v>
      </x:c>
      <x:c r="L153" s="10" t="n">
        <x:v>0.25</x:v>
      </x:c>
      <x:c r="M153" s="10" t="n">
        <x:v>0.45</x:v>
      </x:c>
      <x:c r="N153" s="10" t="n">
        <x:f>SUM(I153:M153)</x:f>
        <x:v>1.9549999999999998</x:v>
      </x:c>
      <x:c r="O153" s="10" t="n">
        <x:v>18.6</x:v>
      </x:c>
      <x:c r="P153" s="10" t="n">
        <x:f>N153+O153</x:f>
        <x:v>20.555</x:v>
      </x:c>
    </x:row>
    <x:row r="154" ht="35" customHeight="1">
      <x:c r="A154" s="9" t="str">
        <x:v>SYN-G08-05</x:v>
      </x:c>
      <x:c r="B154" s="9" t="str">
        <x:v>A</x:v>
      </x:c>
      <x:c r="C154" s="9" t="str">
        <x:v>G08</x:v>
      </x:c>
      <x:c r="D154" s="10" t="n">
        <x:v>0.08</x:v>
      </x:c>
      <x:c r="E154" s="10" t="n">
        <x:v>0.138</x:v>
      </x:c>
      <x:c r="F154" s="10" t="n">
        <x:v>0</x:v>
      </x:c>
      <x:c r="G154" s="10" t="n">
        <x:v>0.372</x:v>
      </x:c>
      <x:c r="H154" s="10" t="n">
        <x:v>0.1</x:v>
      </x:c>
      <x:c r="I154" s="10" t="n">
        <x:f>SUM(D154:H154)</x:f>
        <x:v>0.6900000000000001</x:v>
      </x:c>
      <x:c r="J154" s="10" t="n">
        <x:v>0.195</x:v>
      </x:c>
      <x:c r="K154" s="10" t="n">
        <x:v>0.3</x:v>
      </x:c>
      <x:c r="L154" s="10" t="n">
        <x:v>0.25</x:v>
      </x:c>
      <x:c r="M154" s="10" t="n">
        <x:v>0.45</x:v>
      </x:c>
      <x:c r="N154" s="10" t="n">
        <x:f>SUM(I154:M154)</x:f>
        <x:v>1.885</x:v>
      </x:c>
      <x:c r="O154" s="10" t="n">
        <x:v>20</x:v>
      </x:c>
      <x:c r="P154" s="10" t="n">
        <x:f>N154+O154</x:f>
        <x:v>21.885</x:v>
      </x:c>
    </x:row>
    <x:row r="155" ht="35" customHeight="1">
      <x:c r="A155" s="9" t="str">
        <x:v>SYN-G08-05</x:v>
      </x:c>
      <x:c r="B155" s="9" t="str">
        <x:v>B</x:v>
      </x:c>
      <x:c r="C155" s="9" t="str">
        <x:v>G08</x:v>
      </x:c>
      <x:c r="D155" s="10" t="n">
        <x:v>0.08</x:v>
      </x:c>
      <x:c r="E155" s="10" t="n">
        <x:v>0.111</x:v>
      </x:c>
      <x:c r="F155" s="10" t="n">
        <x:v>0</x:v>
      </x:c>
      <x:c r="G155" s="10" t="n">
        <x:v>0.499</x:v>
      </x:c>
      <x:c r="H155" s="10" t="n">
        <x:v>0.1</x:v>
      </x:c>
      <x:c r="I155" s="10" t="n">
        <x:f>SUM(D155:H155)</x:f>
        <x:v>0.7899999999999999</x:v>
      </x:c>
      <x:c r="J155" s="10" t="n">
        <x:v>0.195</x:v>
      </x:c>
      <x:c r="K155" s="10" t="n">
        <x:v>0.3</x:v>
      </x:c>
      <x:c r="L155" s="10" t="n">
        <x:v>0.25</x:v>
      </x:c>
      <x:c r="M155" s="10" t="n">
        <x:v>0.45</x:v>
      </x:c>
      <x:c r="N155" s="10" t="n">
        <x:f>SUM(I155:M155)</x:f>
        <x:v>1.9849999999999999</x:v>
      </x:c>
      <x:c r="O155" s="10" t="n">
        <x:v>20</x:v>
      </x:c>
      <x:c r="P155" s="10" t="n">
        <x:f>N155+O155</x:f>
        <x:v>21.985</x:v>
      </x:c>
    </x:row>
    <x:row r="156" ht="35" customHeight="1">
      <x:c r="A156" s="9" t="str">
        <x:v>SYN-G08-06</x:v>
      </x:c>
      <x:c r="B156" s="9" t="str">
        <x:v>A</x:v>
      </x:c>
      <x:c r="C156" s="9" t="str">
        <x:v>G08</x:v>
      </x:c>
      <x:c r="D156" s="10" t="n">
        <x:v>0.08</x:v>
      </x:c>
      <x:c r="E156" s="10" t="n">
        <x:v>0.142</x:v>
      </x:c>
      <x:c r="F156" s="10" t="n">
        <x:v>0</x:v>
      </x:c>
      <x:c r="G156" s="10" t="n">
        <x:v>0.388</x:v>
      </x:c>
      <x:c r="H156" s="10" t="n">
        <x:v>0.1</x:v>
      </x:c>
      <x:c r="I156" s="10" t="n">
        <x:f>SUM(D156:H156)</x:f>
        <x:v>0.71</x:v>
      </x:c>
      <x:c r="J156" s="10" t="n">
        <x:v>0.205</x:v>
      </x:c>
      <x:c r="K156" s="10" t="n">
        <x:v>0.3</x:v>
      </x:c>
      <x:c r="L156" s="10" t="n">
        <x:v>0.25</x:v>
      </x:c>
      <x:c r="M156" s="10" t="n">
        <x:v>0.45</x:v>
      </x:c>
      <x:c r="N156" s="10" t="n">
        <x:f>SUM(I156:M156)</x:f>
        <x:v>1.9149999999999998</x:v>
      </x:c>
      <x:c r="O156" s="10" t="n">
        <x:v>21.4</x:v>
      </x:c>
      <x:c r="P156" s="10" t="n">
        <x:f>N156+O156</x:f>
        <x:v>23.314999999999998</x:v>
      </x:c>
    </x:row>
    <x:row r="157" ht="35" customHeight="1">
      <x:c r="A157" s="9" t="str">
        <x:v>SYN-G08-06</x:v>
      </x:c>
      <x:c r="B157" s="9" t="str">
        <x:v>B</x:v>
      </x:c>
      <x:c r="C157" s="9" t="str">
        <x:v>G08</x:v>
      </x:c>
      <x:c r="D157" s="10" t="n">
        <x:v>0.08</x:v>
      </x:c>
      <x:c r="E157" s="10" t="n">
        <x:v>0.113</x:v>
      </x:c>
      <x:c r="F157" s="10" t="n">
        <x:v>0</x:v>
      </x:c>
      <x:c r="G157" s="10" t="n">
        <x:v>0.517</x:v>
      </x:c>
      <x:c r="H157" s="10" t="n">
        <x:v>0.1</x:v>
      </x:c>
      <x:c r="I157" s="10" t="n">
        <x:f>SUM(D157:H157)</x:f>
        <x:v>0.8099999999999999</x:v>
      </x:c>
      <x:c r="J157" s="10" t="n">
        <x:v>0.205</x:v>
      </x:c>
      <x:c r="K157" s="10" t="n">
        <x:v>0.3</x:v>
      </x:c>
      <x:c r="L157" s="10" t="n">
        <x:v>0.25</x:v>
      </x:c>
      <x:c r="M157" s="10" t="n">
        <x:v>0.45</x:v>
      </x:c>
      <x:c r="N157" s="10" t="n">
        <x:f>SUM(I157:M157)</x:f>
        <x:v>2.015</x:v>
      </x:c>
      <x:c r="O157" s="10" t="n">
        <x:v>21.4</x:v>
      </x:c>
      <x:c r="P157" s="10" t="n">
        <x:f>N157+O157</x:f>
        <x:v>23.415</x:v>
      </x:c>
    </x:row>
    <x:row r="158" ht="35" customHeight="1">
      <x:c r="A158" s="9" t="str">
        <x:v>SYN-G08-07</x:v>
      </x:c>
      <x:c r="B158" s="9" t="str">
        <x:v>A</x:v>
      </x:c>
      <x:c r="C158" s="9" t="str">
        <x:v>G08</x:v>
      </x:c>
      <x:c r="D158" s="10" t="n">
        <x:v>0.08</x:v>
      </x:c>
      <x:c r="E158" s="10" t="n">
        <x:v>0.146</x:v>
      </x:c>
      <x:c r="F158" s="10" t="n">
        <x:v>0</x:v>
      </x:c>
      <x:c r="G158" s="10" t="n">
        <x:v>0.404</x:v>
      </x:c>
      <x:c r="H158" s="10" t="n">
        <x:v>0.1</x:v>
      </x:c>
      <x:c r="I158" s="10" t="n">
        <x:f>SUM(D158:H158)</x:f>
        <x:v>0.73</x:v>
      </x:c>
      <x:c r="J158" s="10" t="n">
        <x:v>0.215</x:v>
      </x:c>
      <x:c r="K158" s="10" t="n">
        <x:v>0.3</x:v>
      </x:c>
      <x:c r="L158" s="10" t="n">
        <x:v>0.25</x:v>
      </x:c>
      <x:c r="M158" s="10" t="n">
        <x:v>0.45</x:v>
      </x:c>
      <x:c r="N158" s="10" t="n">
        <x:f>SUM(I158:M158)</x:f>
        <x:v>1.9449999999999998</x:v>
      </x:c>
      <x:c r="O158" s="10" t="n">
        <x:v>22.8</x:v>
      </x:c>
      <x:c r="P158" s="10" t="n">
        <x:f>N158+O158</x:f>
        <x:v>24.745</x:v>
      </x:c>
    </x:row>
    <x:row r="159" ht="35" customHeight="1">
      <x:c r="A159" s="9" t="str">
        <x:v>SYN-G08-07</x:v>
      </x:c>
      <x:c r="B159" s="9" t="str">
        <x:v>B</x:v>
      </x:c>
      <x:c r="C159" s="9" t="str">
        <x:v>G08</x:v>
      </x:c>
      <x:c r="D159" s="10" t="n">
        <x:v>0.08</x:v>
      </x:c>
      <x:c r="E159" s="10" t="n">
        <x:v>0.116</x:v>
      </x:c>
      <x:c r="F159" s="10" t="n">
        <x:v>0</x:v>
      </x:c>
      <x:c r="G159" s="10" t="n">
        <x:v>0.534</x:v>
      </x:c>
      <x:c r="H159" s="10" t="n">
        <x:v>0.1</x:v>
      </x:c>
      <x:c r="I159" s="10" t="n">
        <x:f>SUM(D159:H159)</x:f>
        <x:v>0.83</x:v>
      </x:c>
      <x:c r="J159" s="10" t="n">
        <x:v>0.215</x:v>
      </x:c>
      <x:c r="K159" s="10" t="n">
        <x:v>0.3</x:v>
      </x:c>
      <x:c r="L159" s="10" t="n">
        <x:v>0.25</x:v>
      </x:c>
      <x:c r="M159" s="10" t="n">
        <x:v>0.45</x:v>
      </x:c>
      <x:c r="N159" s="10" t="n">
        <x:f>SUM(I159:M159)</x:f>
        <x:v>2.045</x:v>
      </x:c>
      <x:c r="O159" s="10" t="n">
        <x:v>22.8</x:v>
      </x:c>
      <x:c r="P159" s="10" t="n">
        <x:f>N159+O159</x:f>
        <x:v>24.845</x:v>
      </x:c>
    </x:row>
    <x:row r="160" ht="35" customHeight="1">
      <x:c r="A160" s="9" t="str">
        <x:v>SYN-G08-08</x:v>
      </x:c>
      <x:c r="B160" s="9" t="str">
        <x:v>A</x:v>
      </x:c>
      <x:c r="C160" s="9" t="str">
        <x:v>G08</x:v>
      </x:c>
      <x:c r="D160" s="10" t="n">
        <x:v>0.08</x:v>
      </x:c>
      <x:c r="E160" s="10" t="n">
        <x:v>0.15</x:v>
      </x:c>
      <x:c r="F160" s="10" t="n">
        <x:v>0</x:v>
      </x:c>
      <x:c r="G160" s="10" t="n">
        <x:v>0.42</x:v>
      </x:c>
      <x:c r="H160" s="10" t="n">
        <x:v>0.1</x:v>
      </x:c>
      <x:c r="I160" s="10" t="n">
        <x:f>SUM(D160:H160)</x:f>
        <x:v>0.7499999999999999</x:v>
      </x:c>
      <x:c r="J160" s="10" t="n">
        <x:v>0.225</x:v>
      </x:c>
      <x:c r="K160" s="10" t="n">
        <x:v>0.3</x:v>
      </x:c>
      <x:c r="L160" s="10" t="n">
        <x:v>0.25</x:v>
      </x:c>
      <x:c r="M160" s="10" t="n">
        <x:v>0.45</x:v>
      </x:c>
      <x:c r="N160" s="10" t="n">
        <x:f>SUM(I160:M160)</x:f>
        <x:v>1.9749999999999999</x:v>
      </x:c>
      <x:c r="O160" s="10" t="n">
        <x:v>24.2</x:v>
      </x:c>
      <x:c r="P160" s="10" t="n">
        <x:f>N160+O160</x:f>
        <x:v>26.175</x:v>
      </x:c>
    </x:row>
    <x:row r="161" ht="35" customHeight="1">
      <x:c r="A161" s="9" t="str">
        <x:v>SYN-G08-08</x:v>
      </x:c>
      <x:c r="B161" s="9" t="str">
        <x:v>B</x:v>
      </x:c>
      <x:c r="C161" s="9" t="str">
        <x:v>G08</x:v>
      </x:c>
      <x:c r="D161" s="10" t="n">
        <x:v>0.08</x:v>
      </x:c>
      <x:c r="E161" s="10" t="n">
        <x:v>0.119</x:v>
      </x:c>
      <x:c r="F161" s="10" t="n">
        <x:v>0</x:v>
      </x:c>
      <x:c r="G161" s="10" t="n">
        <x:v>0.551</x:v>
      </x:c>
      <x:c r="H161" s="10" t="n">
        <x:v>0.1</x:v>
      </x:c>
      <x:c r="I161" s="10" t="n">
        <x:f>SUM(D161:H161)</x:f>
        <x:v>0.85</x:v>
      </x:c>
      <x:c r="J161" s="10" t="n">
        <x:v>0.225</x:v>
      </x:c>
      <x:c r="K161" s="10" t="n">
        <x:v>0.3</x:v>
      </x:c>
      <x:c r="L161" s="10" t="n">
        <x:v>0.25</x:v>
      </x:c>
      <x:c r="M161" s="10" t="n">
        <x:v>0.45</x:v>
      </x:c>
      <x:c r="N161" s="10" t="n">
        <x:f>SUM(I161:M161)</x:f>
        <x:v>2.075</x:v>
      </x:c>
      <x:c r="O161" s="10" t="n">
        <x:v>24.2</x:v>
      </x:c>
      <x:c r="P161" s="10" t="n">
        <x:f>N161+O161</x:f>
        <x:v>26.275</x:v>
      </x:c>
    </x:row>
    <x:row r="162" ht="35" customHeight="1">
      <x:c r="A162" s="9" t="str">
        <x:v>SYN-G08-09</x:v>
      </x:c>
      <x:c r="B162" s="9" t="str">
        <x:v>A</x:v>
      </x:c>
      <x:c r="C162" s="9" t="str">
        <x:v>G08</x:v>
      </x:c>
      <x:c r="D162" s="10" t="n">
        <x:v>0.08</x:v>
      </x:c>
      <x:c r="E162" s="10" t="n">
        <x:v>0.154</x:v>
      </x:c>
      <x:c r="F162" s="10" t="n">
        <x:v>0</x:v>
      </x:c>
      <x:c r="G162" s="10" t="n">
        <x:v>0.436</x:v>
      </x:c>
      <x:c r="H162" s="10" t="n">
        <x:v>0.1</x:v>
      </x:c>
      <x:c r="I162" s="10" t="n">
        <x:f>SUM(D162:H162)</x:f>
        <x:v>0.7699999999999999</x:v>
      </x:c>
      <x:c r="J162" s="10" t="n">
        <x:v>0.235</x:v>
      </x:c>
      <x:c r="K162" s="10" t="n">
        <x:v>0.3</x:v>
      </x:c>
      <x:c r="L162" s="10" t="n">
        <x:v>0.25</x:v>
      </x:c>
      <x:c r="M162" s="10" t="n">
        <x:v>0.45</x:v>
      </x:c>
      <x:c r="N162" s="10" t="n">
        <x:f>SUM(I162:M162)</x:f>
        <x:v>2.005</x:v>
      </x:c>
      <x:c r="O162" s="10" t="n">
        <x:v>25.6</x:v>
      </x:c>
      <x:c r="P162" s="10" t="n">
        <x:f>N162+O162</x:f>
        <x:v>27.605</x:v>
      </x:c>
    </x:row>
    <x:row r="163" ht="35" customHeight="1">
      <x:c r="A163" s="9" t="str">
        <x:v>SYN-G08-09</x:v>
      </x:c>
      <x:c r="B163" s="9" t="str">
        <x:v>B</x:v>
      </x:c>
      <x:c r="C163" s="9" t="str">
        <x:v>G08</x:v>
      </x:c>
      <x:c r="D163" s="10" t="n">
        <x:v>0.08</x:v>
      </x:c>
      <x:c r="E163" s="10" t="n">
        <x:v>0.122</x:v>
      </x:c>
      <x:c r="F163" s="10" t="n">
        <x:v>0</x:v>
      </x:c>
      <x:c r="G163" s="10" t="n">
        <x:v>0.568</x:v>
      </x:c>
      <x:c r="H163" s="10" t="n">
        <x:v>0.1</x:v>
      </x:c>
      <x:c r="I163" s="10" t="n">
        <x:f>SUM(D163:H163)</x:f>
        <x:v>0.87</x:v>
      </x:c>
      <x:c r="J163" s="10" t="n">
        <x:v>0.235</x:v>
      </x:c>
      <x:c r="K163" s="10" t="n">
        <x:v>0.3</x:v>
      </x:c>
      <x:c r="L163" s="10" t="n">
        <x:v>0.25</x:v>
      </x:c>
      <x:c r="M163" s="10" t="n">
        <x:v>0.45</x:v>
      </x:c>
      <x:c r="N163" s="10" t="n">
        <x:f>SUM(I163:M163)</x:f>
        <x:v>2.105</x:v>
      </x:c>
      <x:c r="O163" s="10" t="n">
        <x:v>25.6</x:v>
      </x:c>
      <x:c r="P163" s="10" t="n">
        <x:f>N163+O163</x:f>
        <x:v>27.705000000000002</x:v>
      </x:c>
    </x:row>
    <x:row r="164" ht="35" customHeight="1">
      <x:c r="A164" s="9" t="str">
        <x:v>SYN-G08-10</x:v>
      </x:c>
      <x:c r="B164" s="9" t="str">
        <x:v>A</x:v>
      </x:c>
      <x:c r="C164" s="9" t="str">
        <x:v>G08</x:v>
      </x:c>
      <x:c r="D164" s="10" t="n">
        <x:v>0.08</x:v>
      </x:c>
      <x:c r="E164" s="10" t="n">
        <x:v>0.158</x:v>
      </x:c>
      <x:c r="F164" s="10" t="n">
        <x:v>0</x:v>
      </x:c>
      <x:c r="G164" s="10" t="n">
        <x:v>0.452</x:v>
      </x:c>
      <x:c r="H164" s="10" t="n">
        <x:v>0.1</x:v>
      </x:c>
      <x:c r="I164" s="10" t="n">
        <x:f>SUM(D164:H164)</x:f>
        <x:v>0.7899999999999999</x:v>
      </x:c>
      <x:c r="J164" s="10" t="n">
        <x:v>0.245</x:v>
      </x:c>
      <x:c r="K164" s="10" t="n">
        <x:v>0.3</x:v>
      </x:c>
      <x:c r="L164" s="10" t="n">
        <x:v>0.25</x:v>
      </x:c>
      <x:c r="M164" s="10" t="n">
        <x:v>0.45</x:v>
      </x:c>
      <x:c r="N164" s="10" t="n">
        <x:f>SUM(I164:M164)</x:f>
        <x:v>2.035</x:v>
      </x:c>
      <x:c r="O164" s="10" t="n">
        <x:v>27</x:v>
      </x:c>
      <x:c r="P164" s="10" t="n">
        <x:f>N164+O164</x:f>
        <x:v>29.035</x:v>
      </x:c>
    </x:row>
    <x:row r="165" ht="35" customHeight="1">
      <x:c r="A165" s="9" t="str">
        <x:v>SYN-G08-10</x:v>
      </x:c>
      <x:c r="B165" s="9" t="str">
        <x:v>B</x:v>
      </x:c>
      <x:c r="C165" s="9" t="str">
        <x:v>G08</x:v>
      </x:c>
      <x:c r="D165" s="10" t="n">
        <x:v>0.08</x:v>
      </x:c>
      <x:c r="E165" s="10" t="n">
        <x:v>0.125</x:v>
      </x:c>
      <x:c r="F165" s="10" t="n">
        <x:v>0</x:v>
      </x:c>
      <x:c r="G165" s="10" t="n">
        <x:v>0.585</x:v>
      </x:c>
      <x:c r="H165" s="10" t="n">
        <x:v>0.1</x:v>
      </x:c>
      <x:c r="I165" s="10" t="n">
        <x:f>SUM(D165:H165)</x:f>
        <x:v>0.89</x:v>
      </x:c>
      <x:c r="J165" s="10" t="n">
        <x:v>0.245</x:v>
      </x:c>
      <x:c r="K165" s="10" t="n">
        <x:v>0.3</x:v>
      </x:c>
      <x:c r="L165" s="10" t="n">
        <x:v>0.25</x:v>
      </x:c>
      <x:c r="M165" s="10" t="n">
        <x:v>0.45</x:v>
      </x:c>
      <x:c r="N165" s="10" t="n">
        <x:f>SUM(I165:M165)</x:f>
        <x:v>2.1350000000000002</x:v>
      </x:c>
      <x:c r="O165" s="10" t="n">
        <x:v>27</x:v>
      </x:c>
      <x:c r="P165" s="10" t="n">
        <x:f>N165+O165</x:f>
        <x:v>29.135</x:v>
      </x:c>
    </x:row>
    <x:row r="166" ht="35" customHeight="1">
      <x:c r="A166" s="9" t="str">
        <x:v>SYN-G09-01</x:v>
      </x:c>
      <x:c r="B166" s="9" t="str">
        <x:v>A</x:v>
      </x:c>
      <x:c r="C166" s="9" t="str">
        <x:v>G09</x:v>
      </x:c>
      <x:c r="D166" s="10" t="n">
        <x:v>0.08</x:v>
      </x:c>
      <x:c r="E166" s="10" t="n">
        <x:v>0.472</x:v>
      </x:c>
      <x:c r="F166" s="10" t="n">
        <x:v>1.015</x:v>
      </x:c>
      <x:c r="G166" s="10" t="n">
        <x:v>0.693</x:v>
      </x:c>
      <x:c r="H166" s="10" t="n">
        <x:v>0.1</x:v>
      </x:c>
      <x:c r="I166" s="10" t="n">
        <x:f>SUM(D166:H166)</x:f>
        <x:v>2.36</x:v>
      </x:c>
      <x:c r="J166" s="10" t="n">
        <x:v>0.555</x:v>
      </x:c>
      <x:c r="K166" s="10" t="n">
        <x:v>0.3</x:v>
      </x:c>
      <x:c r="L166" s="10" t="n">
        <x:v>0.25</x:v>
      </x:c>
      <x:c r="M166" s="10" t="n">
        <x:v>0.45</x:v>
      </x:c>
      <x:c r="N166" s="10" t="n">
        <x:f>SUM(I166:M166)</x:f>
        <x:v>3.915</x:v>
      </x:c>
      <x:c r="O166" s="10" t="n">
        <x:v>14.7</x:v>
      </x:c>
      <x:c r="P166" s="10" t="n">
        <x:f>N166+O166</x:f>
        <x:v>18.615</x:v>
      </x:c>
    </x:row>
    <x:row r="167" ht="35" customHeight="1">
      <x:c r="A167" s="9" t="str">
        <x:v>SYN-G09-01</x:v>
      </x:c>
      <x:c r="B167" s="9" t="str">
        <x:v>B</x:v>
      </x:c>
      <x:c r="C167" s="9" t="str">
        <x:v>G09</x:v>
      </x:c>
      <x:c r="D167" s="10" t="n">
        <x:v>0.08</x:v>
      </x:c>
      <x:c r="E167" s="10" t="n">
        <x:v>0.288</x:v>
      </x:c>
      <x:c r="F167" s="10" t="n">
        <x:v>0.865</x:v>
      </x:c>
      <x:c r="G167" s="10" t="n">
        <x:v>0.727</x:v>
      </x:c>
      <x:c r="H167" s="10" t="n">
        <x:v>0.1</x:v>
      </x:c>
      <x:c r="I167" s="10" t="n">
        <x:f>SUM(D167:H167)</x:f>
        <x:v>2.06</x:v>
      </x:c>
      <x:c r="J167" s="10" t="n">
        <x:v>0.455</x:v>
      </x:c>
      <x:c r="K167" s="10" t="n">
        <x:v>0.3</x:v>
      </x:c>
      <x:c r="L167" s="10" t="n">
        <x:v>0.25</x:v>
      </x:c>
      <x:c r="M167" s="10" t="n">
        <x:v>0.45</x:v>
      </x:c>
      <x:c r="N167" s="10" t="n">
        <x:f>SUM(I167:M167)</x:f>
        <x:v>3.515</x:v>
      </x:c>
      <x:c r="O167" s="10" t="n">
        <x:v>14.7</x:v>
      </x:c>
      <x:c r="P167" s="10" t="n">
        <x:f>N167+O167</x:f>
        <x:v>18.215</x:v>
      </x:c>
    </x:row>
    <x:row r="168" ht="35" customHeight="1">
      <x:c r="A168" s="9" t="str">
        <x:v>SYN-G09-02</x:v>
      </x:c>
      <x:c r="B168" s="9" t="str">
        <x:v>A</x:v>
      </x:c>
      <x:c r="C168" s="9" t="str">
        <x:v>G09</x:v>
      </x:c>
      <x:c r="D168" s="10" t="n">
        <x:v>0.08</x:v>
      </x:c>
      <x:c r="E168" s="10" t="n">
        <x:v>0.476</x:v>
      </x:c>
      <x:c r="F168" s="10" t="n">
        <x:v>1.023</x:v>
      </x:c>
      <x:c r="G168" s="10" t="n">
        <x:v>0.701</x:v>
      </x:c>
      <x:c r="H168" s="10" t="n">
        <x:v>0.1</x:v>
      </x:c>
      <x:c r="I168" s="10" t="n">
        <x:f>SUM(D168:H168)</x:f>
        <x:v>2.38</x:v>
      </x:c>
      <x:c r="J168" s="10" t="n">
        <x:v>0.565</x:v>
      </x:c>
      <x:c r="K168" s="10" t="n">
        <x:v>0.3</x:v>
      </x:c>
      <x:c r="L168" s="10" t="n">
        <x:v>0.25</x:v>
      </x:c>
      <x:c r="M168" s="10" t="n">
        <x:v>0.45</x:v>
      </x:c>
      <x:c r="N168" s="10" t="n">
        <x:f>SUM(I168:M168)</x:f>
        <x:v>3.945</x:v>
      </x:c>
      <x:c r="O168" s="10" t="n">
        <x:v>16.1</x:v>
      </x:c>
      <x:c r="P168" s="10" t="n">
        <x:f>N168+O168</x:f>
        <x:v>20.045</x:v>
      </x:c>
    </x:row>
    <x:row r="169" ht="35" customHeight="1">
      <x:c r="A169" s="9" t="str">
        <x:v>SYN-G09-02</x:v>
      </x:c>
      <x:c r="B169" s="9" t="str">
        <x:v>B</x:v>
      </x:c>
      <x:c r="C169" s="9" t="str">
        <x:v>G09</x:v>
      </x:c>
      <x:c r="D169" s="10" t="n">
        <x:v>0.08</x:v>
      </x:c>
      <x:c r="E169" s="10" t="n">
        <x:v>0.291</x:v>
      </x:c>
      <x:c r="F169" s="10" t="n">
        <x:v>0.874</x:v>
      </x:c>
      <x:c r="G169" s="10" t="n">
        <x:v>0.735</x:v>
      </x:c>
      <x:c r="H169" s="10" t="n">
        <x:v>0.1</x:v>
      </x:c>
      <x:c r="I169" s="10" t="n">
        <x:f>SUM(D169:H169)</x:f>
        <x:v>2.08</x:v>
      </x:c>
      <x:c r="J169" s="10" t="n">
        <x:v>0.465</x:v>
      </x:c>
      <x:c r="K169" s="10" t="n">
        <x:v>0.3</x:v>
      </x:c>
      <x:c r="L169" s="10" t="n">
        <x:v>0.25</x:v>
      </x:c>
      <x:c r="M169" s="10" t="n">
        <x:v>0.45</x:v>
      </x:c>
      <x:c r="N169" s="10" t="n">
        <x:f>SUM(I169:M169)</x:f>
        <x:v>3.545</x:v>
      </x:c>
      <x:c r="O169" s="10" t="n">
        <x:v>16.1</x:v>
      </x:c>
      <x:c r="P169" s="10" t="n">
        <x:f>N169+O169</x:f>
        <x:v>19.645000000000003</x:v>
      </x:c>
    </x:row>
    <x:row r="170" ht="35" customHeight="1">
      <x:c r="A170" s="9" t="str">
        <x:v>SYN-G09-03</x:v>
      </x:c>
      <x:c r="B170" s="9" t="str">
        <x:v>A</x:v>
      </x:c>
      <x:c r="C170" s="9" t="str">
        <x:v>G09</x:v>
      </x:c>
      <x:c r="D170" s="10" t="n">
        <x:v>0.08</x:v>
      </x:c>
      <x:c r="E170" s="10" t="n">
        <x:v>0.48</x:v>
      </x:c>
      <x:c r="F170" s="10" t="n">
        <x:v>1.032</x:v>
      </x:c>
      <x:c r="G170" s="10" t="n">
        <x:v>0.708</x:v>
      </x:c>
      <x:c r="H170" s="10" t="n">
        <x:v>0.1</x:v>
      </x:c>
      <x:c r="I170" s="10" t="n">
        <x:f>SUM(D170:H170)</x:f>
        <x:v>2.4</x:v>
      </x:c>
      <x:c r="J170" s="10" t="n">
        <x:v>0.575</x:v>
      </x:c>
      <x:c r="K170" s="10" t="n">
        <x:v>0.3</x:v>
      </x:c>
      <x:c r="L170" s="10" t="n">
        <x:v>0.25</x:v>
      </x:c>
      <x:c r="M170" s="10" t="n">
        <x:v>0.45</x:v>
      </x:c>
      <x:c r="N170" s="10" t="n">
        <x:f>SUM(I170:M170)</x:f>
        <x:v>3.9749999999999996</x:v>
      </x:c>
      <x:c r="O170" s="10" t="n">
        <x:v>17.5</x:v>
      </x:c>
      <x:c r="P170" s="10" t="n">
        <x:f>N170+O170</x:f>
        <x:v>21.475</x:v>
      </x:c>
    </x:row>
    <x:row r="171" ht="35" customHeight="1">
      <x:c r="A171" s="9" t="str">
        <x:v>SYN-G09-03</x:v>
      </x:c>
      <x:c r="B171" s="9" t="str">
        <x:v>B</x:v>
      </x:c>
      <x:c r="C171" s="9" t="str">
        <x:v>G09</x:v>
      </x:c>
      <x:c r="D171" s="10" t="n">
        <x:v>0.08</x:v>
      </x:c>
      <x:c r="E171" s="10" t="n">
        <x:v>0.294</x:v>
      </x:c>
      <x:c r="F171" s="10" t="n">
        <x:v>0.882</x:v>
      </x:c>
      <x:c r="G171" s="10" t="n">
        <x:v>0.744</x:v>
      </x:c>
      <x:c r="H171" s="10" t="n">
        <x:v>0.1</x:v>
      </x:c>
      <x:c r="I171" s="10" t="n">
        <x:f>SUM(D171:H171)</x:f>
        <x:v>2.1</x:v>
      </x:c>
      <x:c r="J171" s="10" t="n">
        <x:v>0.475</x:v>
      </x:c>
      <x:c r="K171" s="10" t="n">
        <x:v>0.3</x:v>
      </x:c>
      <x:c r="L171" s="10" t="n">
        <x:v>0.25</x:v>
      </x:c>
      <x:c r="M171" s="10" t="n">
        <x:v>0.45</x:v>
      </x:c>
      <x:c r="N171" s="10" t="n">
        <x:f>SUM(I171:M171)</x:f>
        <x:v>3.575</x:v>
      </x:c>
      <x:c r="O171" s="10" t="n">
        <x:v>17.5</x:v>
      </x:c>
      <x:c r="P171" s="10" t="n">
        <x:f>N171+O171</x:f>
        <x:v>21.075</x:v>
      </x:c>
    </x:row>
    <x:row r="172" ht="35" customHeight="1">
      <x:c r="A172" s="9" t="str">
        <x:v>SYN-G09-04</x:v>
      </x:c>
      <x:c r="B172" s="9" t="str">
        <x:v>A</x:v>
      </x:c>
      <x:c r="C172" s="9" t="str">
        <x:v>G09</x:v>
      </x:c>
      <x:c r="D172" s="10" t="n">
        <x:v>0.08</x:v>
      </x:c>
      <x:c r="E172" s="10" t="n">
        <x:v>0.484</x:v>
      </x:c>
      <x:c r="F172" s="10" t="n">
        <x:v>1.041</x:v>
      </x:c>
      <x:c r="G172" s="10" t="n">
        <x:v>0.715</x:v>
      </x:c>
      <x:c r="H172" s="10" t="n">
        <x:v>0.1</x:v>
      </x:c>
      <x:c r="I172" s="10" t="n">
        <x:f>SUM(D172:H172)</x:f>
        <x:v>2.42</x:v>
      </x:c>
      <x:c r="J172" s="10" t="n">
        <x:v>0.585</x:v>
      </x:c>
      <x:c r="K172" s="10" t="n">
        <x:v>0.3</x:v>
      </x:c>
      <x:c r="L172" s="10" t="n">
        <x:v>0.25</x:v>
      </x:c>
      <x:c r="M172" s="10" t="n">
        <x:v>0.45</x:v>
      </x:c>
      <x:c r="N172" s="10" t="n">
        <x:f>SUM(I172:M172)</x:f>
        <x:v>4.005</x:v>
      </x:c>
      <x:c r="O172" s="10" t="n">
        <x:v>18.9</x:v>
      </x:c>
      <x:c r="P172" s="10" t="n">
        <x:f>N172+O172</x:f>
        <x:v>22.904999999999998</x:v>
      </x:c>
    </x:row>
    <x:row r="173" ht="35" customHeight="1">
      <x:c r="A173" s="9" t="str">
        <x:v>SYN-G09-04</x:v>
      </x:c>
      <x:c r="B173" s="9" t="str">
        <x:v>B</x:v>
      </x:c>
      <x:c r="C173" s="9" t="str">
        <x:v>G09</x:v>
      </x:c>
      <x:c r="D173" s="10" t="n">
        <x:v>0.08</x:v>
      </x:c>
      <x:c r="E173" s="10" t="n">
        <x:v>0.297</x:v>
      </x:c>
      <x:c r="F173" s="10" t="n">
        <x:v>0.89</x:v>
      </x:c>
      <x:c r="G173" s="10" t="n">
        <x:v>0.753</x:v>
      </x:c>
      <x:c r="H173" s="10" t="n">
        <x:v>0.1</x:v>
      </x:c>
      <x:c r="I173" s="10" t="n">
        <x:f>SUM(D173:H173)</x:f>
        <x:v>2.12</x:v>
      </x:c>
      <x:c r="J173" s="10" t="n">
        <x:v>0.485</x:v>
      </x:c>
      <x:c r="K173" s="10" t="n">
        <x:v>0.3</x:v>
      </x:c>
      <x:c r="L173" s="10" t="n">
        <x:v>0.25</x:v>
      </x:c>
      <x:c r="M173" s="10" t="n">
        <x:v>0.45</x:v>
      </x:c>
      <x:c r="N173" s="10" t="n">
        <x:f>SUM(I173:M173)</x:f>
        <x:v>3.605</x:v>
      </x:c>
      <x:c r="O173" s="10" t="n">
        <x:v>18.9</x:v>
      </x:c>
      <x:c r="P173" s="10" t="n">
        <x:f>N173+O173</x:f>
        <x:v>22.505</x:v>
      </x:c>
    </x:row>
    <x:row r="174" ht="35" customHeight="1">
      <x:c r="A174" s="9" t="str">
        <x:v>SYN-G09-05</x:v>
      </x:c>
      <x:c r="B174" s="9" t="str">
        <x:v>A</x:v>
      </x:c>
      <x:c r="C174" s="9" t="str">
        <x:v>G09</x:v>
      </x:c>
      <x:c r="D174" s="10" t="n">
        <x:v>0.08</x:v>
      </x:c>
      <x:c r="E174" s="10" t="n">
        <x:v>0.488</x:v>
      </x:c>
      <x:c r="F174" s="10" t="n">
        <x:v>1.049</x:v>
      </x:c>
      <x:c r="G174" s="10" t="n">
        <x:v>0.723</x:v>
      </x:c>
      <x:c r="H174" s="10" t="n">
        <x:v>0.1</x:v>
      </x:c>
      <x:c r="I174" s="10" t="n">
        <x:f>SUM(D174:H174)</x:f>
        <x:v>2.44</x:v>
      </x:c>
      <x:c r="J174" s="10" t="n">
        <x:v>0.595</x:v>
      </x:c>
      <x:c r="K174" s="10" t="n">
        <x:v>0.3</x:v>
      </x:c>
      <x:c r="L174" s="10" t="n">
        <x:v>0.25</x:v>
      </x:c>
      <x:c r="M174" s="10" t="n">
        <x:v>0.45</x:v>
      </x:c>
      <x:c r="N174" s="10" t="n">
        <x:f>SUM(I174:M174)</x:f>
        <x:v>4.035</x:v>
      </x:c>
      <x:c r="O174" s="10" t="n">
        <x:v>20.3</x:v>
      </x:c>
      <x:c r="P174" s="10" t="n">
        <x:f>N174+O174</x:f>
        <x:v>24.335</x:v>
      </x:c>
    </x:row>
    <x:row r="175" ht="35" customHeight="1">
      <x:c r="A175" s="9" t="str">
        <x:v>SYN-G09-05</x:v>
      </x:c>
      <x:c r="B175" s="9" t="str">
        <x:v>B</x:v>
      </x:c>
      <x:c r="C175" s="9" t="str">
        <x:v>G09</x:v>
      </x:c>
      <x:c r="D175" s="10" t="n">
        <x:v>0.08</x:v>
      </x:c>
      <x:c r="E175" s="10" t="n">
        <x:v>0.3</x:v>
      </x:c>
      <x:c r="F175" s="10" t="n">
        <x:v>0.899</x:v>
      </x:c>
      <x:c r="G175" s="10" t="n">
        <x:v>0.761</x:v>
      </x:c>
      <x:c r="H175" s="10" t="n">
        <x:v>0.1</x:v>
      </x:c>
      <x:c r="I175" s="10" t="n">
        <x:f>SUM(D175:H175)</x:f>
        <x:v>2.14</x:v>
      </x:c>
      <x:c r="J175" s="10" t="n">
        <x:v>0.495</x:v>
      </x:c>
      <x:c r="K175" s="10" t="n">
        <x:v>0.3</x:v>
      </x:c>
      <x:c r="L175" s="10" t="n">
        <x:v>0.25</x:v>
      </x:c>
      <x:c r="M175" s="10" t="n">
        <x:v>0.45</x:v>
      </x:c>
      <x:c r="N175" s="10" t="n">
        <x:f>SUM(I175:M175)</x:f>
        <x:v>3.6350000000000002</x:v>
      </x:c>
      <x:c r="O175" s="10" t="n">
        <x:v>20.3</x:v>
      </x:c>
      <x:c r="P175" s="10" t="n">
        <x:f>N175+O175</x:f>
        <x:v>23.935000000000002</x:v>
      </x:c>
    </x:row>
    <x:row r="176" ht="35" customHeight="1">
      <x:c r="A176" s="9" t="str">
        <x:v>SYN-G09-06</x:v>
      </x:c>
      <x:c r="B176" s="9" t="str">
        <x:v>A</x:v>
      </x:c>
      <x:c r="C176" s="9" t="str">
        <x:v>G09</x:v>
      </x:c>
      <x:c r="D176" s="10" t="n">
        <x:v>0.08</x:v>
      </x:c>
      <x:c r="E176" s="10" t="n">
        <x:v>0.492</x:v>
      </x:c>
      <x:c r="F176" s="10" t="n">
        <x:v>1.058</x:v>
      </x:c>
      <x:c r="G176" s="10" t="n">
        <x:v>0.73</x:v>
      </x:c>
      <x:c r="H176" s="10" t="n">
        <x:v>0.1</x:v>
      </x:c>
      <x:c r="I176" s="10" t="n">
        <x:f>SUM(D176:H176)</x:f>
        <x:v>2.46</x:v>
      </x:c>
      <x:c r="J176" s="10" t="n">
        <x:v>0.605</x:v>
      </x:c>
      <x:c r="K176" s="10" t="n">
        <x:v>0.3</x:v>
      </x:c>
      <x:c r="L176" s="10" t="n">
        <x:v>0.25</x:v>
      </x:c>
      <x:c r="M176" s="10" t="n">
        <x:v>0.45</x:v>
      </x:c>
      <x:c r="N176" s="10" t="n">
        <x:f>SUM(I176:M176)</x:f>
        <x:v>4.0649999999999995</x:v>
      </x:c>
      <x:c r="O176" s="10" t="n">
        <x:v>21.7</x:v>
      </x:c>
      <x:c r="P176" s="10" t="n">
        <x:f>N176+O176</x:f>
        <x:v>25.765</x:v>
      </x:c>
    </x:row>
    <x:row r="177" ht="35" customHeight="1">
      <x:c r="A177" s="9" t="str">
        <x:v>SYN-G09-06</x:v>
      </x:c>
      <x:c r="B177" s="9" t="str">
        <x:v>B</x:v>
      </x:c>
      <x:c r="C177" s="9" t="str">
        <x:v>G09</x:v>
      </x:c>
      <x:c r="D177" s="10" t="n">
        <x:v>0.08</x:v>
      </x:c>
      <x:c r="E177" s="10" t="n">
        <x:v>0.302</x:v>
      </x:c>
      <x:c r="F177" s="10" t="n">
        <x:v>0.907</x:v>
      </x:c>
      <x:c r="G177" s="10" t="n">
        <x:v>0.771</x:v>
      </x:c>
      <x:c r="H177" s="10" t="n">
        <x:v>0.1</x:v>
      </x:c>
      <x:c r="I177" s="10" t="n">
        <x:f>SUM(D177:H177)</x:f>
        <x:v>2.16</x:v>
      </x:c>
      <x:c r="J177" s="10" t="n">
        <x:v>0.505</x:v>
      </x:c>
      <x:c r="K177" s="10" t="n">
        <x:v>0.3</x:v>
      </x:c>
      <x:c r="L177" s="10" t="n">
        <x:v>0.25</x:v>
      </x:c>
      <x:c r="M177" s="10" t="n">
        <x:v>0.45</x:v>
      </x:c>
      <x:c r="N177" s="10" t="n">
        <x:f>SUM(I177:M177)</x:f>
        <x:v>3.665</x:v>
      </x:c>
      <x:c r="O177" s="10" t="n">
        <x:v>21.7</x:v>
      </x:c>
      <x:c r="P177" s="10" t="n">
        <x:f>N177+O177</x:f>
        <x:v>25.365</x:v>
      </x:c>
    </x:row>
    <x:row r="178" ht="35" customHeight="1">
      <x:c r="A178" s="9" t="str">
        <x:v>SYN-G09-07</x:v>
      </x:c>
      <x:c r="B178" s="9" t="str">
        <x:v>A</x:v>
      </x:c>
      <x:c r="C178" s="9" t="str">
        <x:v>G09</x:v>
      </x:c>
      <x:c r="D178" s="10" t="n">
        <x:v>0.08</x:v>
      </x:c>
      <x:c r="E178" s="10" t="n">
        <x:v>0.496</x:v>
      </x:c>
      <x:c r="F178" s="10" t="n">
        <x:v>1.066</x:v>
      </x:c>
      <x:c r="G178" s="10" t="n">
        <x:v>0.738</x:v>
      </x:c>
      <x:c r="H178" s="10" t="n">
        <x:v>0.1</x:v>
      </x:c>
      <x:c r="I178" s="10" t="n">
        <x:f>SUM(D178:H178)</x:f>
        <x:v>2.48</x:v>
      </x:c>
      <x:c r="J178" s="10" t="n">
        <x:v>0.615</x:v>
      </x:c>
      <x:c r="K178" s="10" t="n">
        <x:v>0.3</x:v>
      </x:c>
      <x:c r="L178" s="10" t="n">
        <x:v>0.25</x:v>
      </x:c>
      <x:c r="M178" s="10" t="n">
        <x:v>0.45</x:v>
      </x:c>
      <x:c r="N178" s="10" t="n">
        <x:f>SUM(I178:M178)</x:f>
        <x:v>4.095</x:v>
      </x:c>
      <x:c r="O178" s="10" t="n">
        <x:v>23.1</x:v>
      </x:c>
      <x:c r="P178" s="10" t="n">
        <x:f>N178+O178</x:f>
        <x:v>27.195</x:v>
      </x:c>
    </x:row>
    <x:row r="179" ht="35" customHeight="1">
      <x:c r="A179" s="9" t="str">
        <x:v>SYN-G09-07</x:v>
      </x:c>
      <x:c r="B179" s="9" t="str">
        <x:v>B</x:v>
      </x:c>
      <x:c r="C179" s="9" t="str">
        <x:v>G09</x:v>
      </x:c>
      <x:c r="D179" s="10" t="n">
        <x:v>0.08</x:v>
      </x:c>
      <x:c r="E179" s="10" t="n">
        <x:v>0.305</x:v>
      </x:c>
      <x:c r="F179" s="10" t="n">
        <x:v>0.916</x:v>
      </x:c>
      <x:c r="G179" s="10" t="n">
        <x:v>0.779</x:v>
      </x:c>
      <x:c r="H179" s="10" t="n">
        <x:v>0.1</x:v>
      </x:c>
      <x:c r="I179" s="10" t="n">
        <x:f>SUM(D179:H179)</x:f>
        <x:v>2.18</x:v>
      </x:c>
      <x:c r="J179" s="10" t="n">
        <x:v>0.515</x:v>
      </x:c>
      <x:c r="K179" s="10" t="n">
        <x:v>0.3</x:v>
      </x:c>
      <x:c r="L179" s="10" t="n">
        <x:v>0.25</x:v>
      </x:c>
      <x:c r="M179" s="10" t="n">
        <x:v>0.45</x:v>
      </x:c>
      <x:c r="N179" s="10" t="n">
        <x:f>SUM(I179:M179)</x:f>
        <x:v>3.6950000000000003</x:v>
      </x:c>
      <x:c r="O179" s="10" t="n">
        <x:v>23.1</x:v>
      </x:c>
      <x:c r="P179" s="10" t="n">
        <x:f>N179+O179</x:f>
        <x:v>26.795</x:v>
      </x:c>
    </x:row>
    <x:row r="180" ht="35" customHeight="1">
      <x:c r="A180" s="9" t="str">
        <x:v>SYN-G09-08</x:v>
      </x:c>
      <x:c r="B180" s="9" t="str">
        <x:v>A</x:v>
      </x:c>
      <x:c r="C180" s="9" t="str">
        <x:v>G09</x:v>
      </x:c>
      <x:c r="D180" s="10" t="n">
        <x:v>0.08</x:v>
      </x:c>
      <x:c r="E180" s="10" t="n">
        <x:v>0.5</x:v>
      </x:c>
      <x:c r="F180" s="10" t="n">
        <x:v>1.075</x:v>
      </x:c>
      <x:c r="G180" s="10" t="n">
        <x:v>0.745</x:v>
      </x:c>
      <x:c r="H180" s="10" t="n">
        <x:v>0.1</x:v>
      </x:c>
      <x:c r="I180" s="10" t="n">
        <x:f>SUM(D180:H180)</x:f>
        <x:v>2.5</x:v>
      </x:c>
      <x:c r="J180" s="10" t="n">
        <x:v>0.625</x:v>
      </x:c>
      <x:c r="K180" s="10" t="n">
        <x:v>0.3</x:v>
      </x:c>
      <x:c r="L180" s="10" t="n">
        <x:v>0.25</x:v>
      </x:c>
      <x:c r="M180" s="10" t="n">
        <x:v>0.45</x:v>
      </x:c>
      <x:c r="N180" s="10" t="n">
        <x:f>SUM(I180:M180)</x:f>
        <x:v>4.125</x:v>
      </x:c>
      <x:c r="O180" s="10" t="n">
        <x:v>24.5</x:v>
      </x:c>
      <x:c r="P180" s="10" t="n">
        <x:f>N180+O180</x:f>
        <x:v>28.625</x:v>
      </x:c>
    </x:row>
    <x:row r="181" ht="35" customHeight="1">
      <x:c r="A181" s="9" t="str">
        <x:v>SYN-G09-08</x:v>
      </x:c>
      <x:c r="B181" s="9" t="str">
        <x:v>B</x:v>
      </x:c>
      <x:c r="C181" s="9" t="str">
        <x:v>G09</x:v>
      </x:c>
      <x:c r="D181" s="10" t="n">
        <x:v>0.08</x:v>
      </x:c>
      <x:c r="E181" s="10" t="n">
        <x:v>0.308</x:v>
      </x:c>
      <x:c r="F181" s="10" t="n">
        <x:v>0.924</x:v>
      </x:c>
      <x:c r="G181" s="10" t="n">
        <x:v>0.788</x:v>
      </x:c>
      <x:c r="H181" s="10" t="n">
        <x:v>0.1</x:v>
      </x:c>
      <x:c r="I181" s="10" t="n">
        <x:f>SUM(D181:H181)</x:f>
        <x:v>2.2</x:v>
      </x:c>
      <x:c r="J181" s="10" t="n">
        <x:v>0.525</x:v>
      </x:c>
      <x:c r="K181" s="10" t="n">
        <x:v>0.3</x:v>
      </x:c>
      <x:c r="L181" s="10" t="n">
        <x:v>0.25</x:v>
      </x:c>
      <x:c r="M181" s="10" t="n">
        <x:v>0.45</x:v>
      </x:c>
      <x:c r="N181" s="10" t="n">
        <x:f>SUM(I181:M181)</x:f>
        <x:v>3.725</x:v>
      </x:c>
      <x:c r="O181" s="10" t="n">
        <x:v>24.5</x:v>
      </x:c>
      <x:c r="P181" s="10" t="n">
        <x:f>N181+O181</x:f>
        <x:v>28.225</x:v>
      </x:c>
    </x:row>
    <x:row r="182" ht="35" customHeight="1">
      <x:c r="A182" s="9" t="str">
        <x:v>SYN-G09-09</x:v>
      </x:c>
      <x:c r="B182" s="9" t="str">
        <x:v>A</x:v>
      </x:c>
      <x:c r="C182" s="9" t="str">
        <x:v>G09</x:v>
      </x:c>
      <x:c r="D182" s="10" t="n">
        <x:v>0.08</x:v>
      </x:c>
      <x:c r="E182" s="10" t="n">
        <x:v>0.504</x:v>
      </x:c>
      <x:c r="F182" s="10" t="n">
        <x:v>1.084</x:v>
      </x:c>
      <x:c r="G182" s="10" t="n">
        <x:v>0.752</x:v>
      </x:c>
      <x:c r="H182" s="10" t="n">
        <x:v>0.1</x:v>
      </x:c>
      <x:c r="I182" s="10" t="n">
        <x:f>SUM(D182:H182)</x:f>
        <x:v>2.52</x:v>
      </x:c>
      <x:c r="J182" s="10" t="n">
        <x:v>0.635</x:v>
      </x:c>
      <x:c r="K182" s="10" t="n">
        <x:v>0.3</x:v>
      </x:c>
      <x:c r="L182" s="10" t="n">
        <x:v>0.25</x:v>
      </x:c>
      <x:c r="M182" s="10" t="n">
        <x:v>0.45</x:v>
      </x:c>
      <x:c r="N182" s="10" t="n">
        <x:f>SUM(I182:M182)</x:f>
        <x:v>4.155</x:v>
      </x:c>
      <x:c r="O182" s="10" t="n">
        <x:v>25.9</x:v>
      </x:c>
      <x:c r="P182" s="10" t="n">
        <x:f>N182+O182</x:f>
        <x:v>30.055</x:v>
      </x:c>
    </x:row>
    <x:row r="183" ht="35" customHeight="1">
      <x:c r="A183" s="9" t="str">
        <x:v>SYN-G09-09</x:v>
      </x:c>
      <x:c r="B183" s="9" t="str">
        <x:v>B</x:v>
      </x:c>
      <x:c r="C183" s="9" t="str">
        <x:v>G09</x:v>
      </x:c>
      <x:c r="D183" s="10" t="n">
        <x:v>0.08</x:v>
      </x:c>
      <x:c r="E183" s="10" t="n">
        <x:v>0.311</x:v>
      </x:c>
      <x:c r="F183" s="10" t="n">
        <x:v>0.932</x:v>
      </x:c>
      <x:c r="G183" s="10" t="n">
        <x:v>0.797</x:v>
      </x:c>
      <x:c r="H183" s="10" t="n">
        <x:v>0.1</x:v>
      </x:c>
      <x:c r="I183" s="10" t="n">
        <x:f>SUM(D183:H183)</x:f>
        <x:v>2.22</x:v>
      </x:c>
      <x:c r="J183" s="10" t="n">
        <x:v>0.535</x:v>
      </x:c>
      <x:c r="K183" s="10" t="n">
        <x:v>0.3</x:v>
      </x:c>
      <x:c r="L183" s="10" t="n">
        <x:v>0.25</x:v>
      </x:c>
      <x:c r="M183" s="10" t="n">
        <x:v>0.45</x:v>
      </x:c>
      <x:c r="N183" s="10" t="n">
        <x:f>SUM(I183:M183)</x:f>
        <x:v>3.7550000000000003</x:v>
      </x:c>
      <x:c r="O183" s="10" t="n">
        <x:v>25.9</x:v>
      </x:c>
      <x:c r="P183" s="10" t="n">
        <x:f>N183+O183</x:f>
        <x:v>29.654999999999998</x:v>
      </x:c>
    </x:row>
    <x:row r="184" ht="35" customHeight="1">
      <x:c r="A184" s="9" t="str">
        <x:v>SYN-G09-10</x:v>
      </x:c>
      <x:c r="B184" s="9" t="str">
        <x:v>A</x:v>
      </x:c>
      <x:c r="C184" s="9" t="str">
        <x:v>G09</x:v>
      </x:c>
      <x:c r="D184" s="10" t="n">
        <x:v>0.08</x:v>
      </x:c>
      <x:c r="E184" s="10" t="n">
        <x:v>0.508</x:v>
      </x:c>
      <x:c r="F184" s="10" t="n">
        <x:v>1.092</x:v>
      </x:c>
      <x:c r="G184" s="10" t="n">
        <x:v>0.76</x:v>
      </x:c>
      <x:c r="H184" s="10" t="n">
        <x:v>0.1</x:v>
      </x:c>
      <x:c r="I184" s="10" t="n">
        <x:f>SUM(D184:H184)</x:f>
        <x:v>2.5400000000000005</x:v>
      </x:c>
      <x:c r="J184" s="10" t="n">
        <x:v>0.645</x:v>
      </x:c>
      <x:c r="K184" s="10" t="n">
        <x:v>0.3</x:v>
      </x:c>
      <x:c r="L184" s="10" t="n">
        <x:v>0.25</x:v>
      </x:c>
      <x:c r="M184" s="10" t="n">
        <x:v>0.45</x:v>
      </x:c>
      <x:c r="N184" s="10" t="n">
        <x:f>SUM(I184:M184)</x:f>
        <x:v>4.1850000000000005</x:v>
      </x:c>
      <x:c r="O184" s="10" t="n">
        <x:v>27.3</x:v>
      </x:c>
      <x:c r="P184" s="10" t="n">
        <x:f>N184+O184</x:f>
        <x:v>31.485</x:v>
      </x:c>
    </x:row>
    <x:row r="185" ht="35" customHeight="1">
      <x:c r="A185" s="9" t="str">
        <x:v>SYN-G09-10</x:v>
      </x:c>
      <x:c r="B185" s="9" t="str">
        <x:v>B</x:v>
      </x:c>
      <x:c r="C185" s="9" t="str">
        <x:v>G09</x:v>
      </x:c>
      <x:c r="D185" s="10" t="n">
        <x:v>0.08</x:v>
      </x:c>
      <x:c r="E185" s="10" t="n">
        <x:v>0.314</x:v>
      </x:c>
      <x:c r="F185" s="10" t="n">
        <x:v>0.941</x:v>
      </x:c>
      <x:c r="G185" s="10" t="n">
        <x:v>0.805</x:v>
      </x:c>
      <x:c r="H185" s="10" t="n">
        <x:v>0.1</x:v>
      </x:c>
      <x:c r="I185" s="10" t="n">
        <x:f>SUM(D185:H185)</x:f>
        <x:v>2.24</x:v>
      </x:c>
      <x:c r="J185" s="10" t="n">
        <x:v>0.545</x:v>
      </x:c>
      <x:c r="K185" s="10" t="n">
        <x:v>0.3</x:v>
      </x:c>
      <x:c r="L185" s="10" t="n">
        <x:v>0.25</x:v>
      </x:c>
      <x:c r="M185" s="10" t="n">
        <x:v>0.45</x:v>
      </x:c>
      <x:c r="N185" s="10" t="n">
        <x:f>SUM(I185:M185)</x:f>
        <x:v>3.785</x:v>
      </x:c>
      <x:c r="O185" s="10" t="n">
        <x:v>27.3</x:v>
      </x:c>
      <x:c r="P185" s="10" t="n">
        <x:f>N185+O185</x:f>
        <x:v>31.085</x:v>
      </x:c>
    </x:row>
    <x:row r="186" ht="35" customHeight="1">
      <x:c r="A186" s="9" t="str">
        <x:v>SYN-G10-01</x:v>
      </x:c>
      <x:c r="B186" s="9" t="str">
        <x:v>A</x:v>
      </x:c>
      <x:c r="C186" s="9" t="str">
        <x:v>G10</x:v>
      </x:c>
      <x:c r="D186" s="10" t="n">
        <x:v>0.08</x:v>
      </x:c>
      <x:c r="E186" s="10" t="n">
        <x:v>0.482</x:v>
      </x:c>
      <x:c r="F186" s="10" t="n">
        <x:v>1.036</x:v>
      </x:c>
      <x:c r="G186" s="10" t="n">
        <x:v>0.712</x:v>
      </x:c>
      <x:c r="H186" s="10" t="n">
        <x:v>0.1</x:v>
      </x:c>
      <x:c r="I186" s="10" t="n">
        <x:f>SUM(D186:H186)</x:f>
        <x:v>2.4099999999999997</x:v>
      </x:c>
      <x:c r="J186" s="10" t="n">
        <x:v>0.555</x:v>
      </x:c>
      <x:c r="K186" s="10" t="n">
        <x:v>0.3</x:v>
      </x:c>
      <x:c r="L186" s="10" t="n">
        <x:v>0.25</x:v>
      </x:c>
      <x:c r="M186" s="10" t="n">
        <x:v>0.45</x:v>
      </x:c>
      <x:c r="N186" s="10" t="n">
        <x:f>SUM(I186:M186)</x:f>
        <x:v>3.965</x:v>
      </x:c>
      <x:c r="O186" s="10" t="n">
        <x:v>15</x:v>
      </x:c>
      <x:c r="P186" s="10" t="n">
        <x:f>N186+O186</x:f>
        <x:v>18.965</x:v>
      </x:c>
    </x:row>
    <x:row r="187" ht="35" customHeight="1">
      <x:c r="A187" s="9" t="str">
        <x:v>SYN-G10-01</x:v>
      </x:c>
      <x:c r="B187" s="9" t="str">
        <x:v>B</x:v>
      </x:c>
      <x:c r="C187" s="9" t="str">
        <x:v>G10</x:v>
      </x:c>
      <x:c r="D187" s="10" t="n">
        <x:v>0.08</x:v>
      </x:c>
      <x:c r="E187" s="10" t="n">
        <x:v>0.12</x:v>
      </x:c>
      <x:c r="F187" s="10" t="n">
        <x:v>0.069</x:v>
      </x:c>
      <x:c r="G187" s="10" t="n">
        <x:v>0.491</x:v>
      </x:c>
      <x:c r="H187" s="10" t="n">
        <x:v>0.1</x:v>
      </x:c>
      <x:c r="I187" s="10" t="n">
        <x:f>SUM(D187:H187)</x:f>
        <x:v>0.86</x:v>
      </x:c>
      <x:c r="J187" s="10" t="n">
        <x:v>0.055</x:v>
      </x:c>
      <x:c r="K187" s="10" t="n">
        <x:v>0.3</x:v>
      </x:c>
      <x:c r="L187" s="10" t="n">
        <x:v>0.25</x:v>
      </x:c>
      <x:c r="M187" s="10" t="n">
        <x:v>0.45</x:v>
      </x:c>
      <x:c r="N187" s="10" t="n">
        <x:f>SUM(I187:M187)</x:f>
        <x:v>1.915</x:v>
      </x:c>
      <x:c r="O187" s="10" t="n">
        <x:v>15</x:v>
      </x:c>
      <x:c r="P187" s="10" t="n">
        <x:f>N187+O187</x:f>
        <x:v>16.915</x:v>
      </x:c>
    </x:row>
    <x:row r="188" ht="35" customHeight="1">
      <x:c r="A188" s="9" t="str">
        <x:v>SYN-G10-02</x:v>
      </x:c>
      <x:c r="B188" s="9" t="str">
        <x:v>A</x:v>
      </x:c>
      <x:c r="C188" s="9" t="str">
        <x:v>G10</x:v>
      </x:c>
      <x:c r="D188" s="10" t="n">
        <x:v>0.08</x:v>
      </x:c>
      <x:c r="E188" s="10" t="n">
        <x:v>0.486</x:v>
      </x:c>
      <x:c r="F188" s="10" t="n">
        <x:v>1.045</x:v>
      </x:c>
      <x:c r="G188" s="10" t="n">
        <x:v>0.719</x:v>
      </x:c>
      <x:c r="H188" s="10" t="n">
        <x:v>0.1</x:v>
      </x:c>
      <x:c r="I188" s="10" t="n">
        <x:f>SUM(D188:H188)</x:f>
        <x:v>2.4299999999999997</x:v>
      </x:c>
      <x:c r="J188" s="10" t="n">
        <x:v>0.565</x:v>
      </x:c>
      <x:c r="K188" s="10" t="n">
        <x:v>0.3</x:v>
      </x:c>
      <x:c r="L188" s="10" t="n">
        <x:v>0.25</x:v>
      </x:c>
      <x:c r="M188" s="10" t="n">
        <x:v>0.45</x:v>
      </x:c>
      <x:c r="N188" s="10" t="n">
        <x:f>SUM(I188:M188)</x:f>
        <x:v>3.9949999999999997</x:v>
      </x:c>
      <x:c r="O188" s="10" t="n">
        <x:v>16.4</x:v>
      </x:c>
      <x:c r="P188" s="10" t="n">
        <x:f>N188+O188</x:f>
        <x:v>20.395</x:v>
      </x:c>
    </x:row>
    <x:row r="189" ht="35" customHeight="1">
      <x:c r="A189" s="9" t="str">
        <x:v>SYN-G10-02</x:v>
      </x:c>
      <x:c r="B189" s="9" t="str">
        <x:v>B</x:v>
      </x:c>
      <x:c r="C189" s="9" t="str">
        <x:v>G10</x:v>
      </x:c>
      <x:c r="D189" s="10" t="n">
        <x:v>0.08</x:v>
      </x:c>
      <x:c r="E189" s="10" t="n">
        <x:v>0.123</x:v>
      </x:c>
      <x:c r="F189" s="10" t="n">
        <x:v>0.07</x:v>
      </x:c>
      <x:c r="G189" s="10" t="n">
        <x:v>0.507</x:v>
      </x:c>
      <x:c r="H189" s="10" t="n">
        <x:v>0.1</x:v>
      </x:c>
      <x:c r="I189" s="10" t="n">
        <x:f>SUM(D189:H189)</x:f>
        <x:v>0.88</x:v>
      </x:c>
      <x:c r="J189" s="10" t="n">
        <x:v>0.065</x:v>
      </x:c>
      <x:c r="K189" s="10" t="n">
        <x:v>0.3</x:v>
      </x:c>
      <x:c r="L189" s="10" t="n">
        <x:v>0.25</x:v>
      </x:c>
      <x:c r="M189" s="10" t="n">
        <x:v>0.45</x:v>
      </x:c>
      <x:c r="N189" s="10" t="n">
        <x:f>SUM(I189:M189)</x:f>
        <x:v>1.945</x:v>
      </x:c>
      <x:c r="O189" s="10" t="n">
        <x:v>16.4</x:v>
      </x:c>
      <x:c r="P189" s="10" t="n">
        <x:f>N189+O189</x:f>
        <x:v>18.345</x:v>
      </x:c>
    </x:row>
    <x:row r="190" ht="35" customHeight="1">
      <x:c r="A190" s="9" t="str">
        <x:v>SYN-G10-03</x:v>
      </x:c>
      <x:c r="B190" s="9" t="str">
        <x:v>A</x:v>
      </x:c>
      <x:c r="C190" s="9" t="str">
        <x:v>G10</x:v>
      </x:c>
      <x:c r="D190" s="10" t="n">
        <x:v>0.08</x:v>
      </x:c>
      <x:c r="E190" s="10" t="n">
        <x:v>0.49</x:v>
      </x:c>
      <x:c r="F190" s="10" t="n">
        <x:v>1.054</x:v>
      </x:c>
      <x:c r="G190" s="10" t="n">
        <x:v>0.726</x:v>
      </x:c>
      <x:c r="H190" s="10" t="n">
        <x:v>0.1</x:v>
      </x:c>
      <x:c r="I190" s="10" t="n">
        <x:f>SUM(D190:H190)</x:f>
        <x:v>2.45</x:v>
      </x:c>
      <x:c r="J190" s="10" t="n">
        <x:v>0.575</x:v>
      </x:c>
      <x:c r="K190" s="10" t="n">
        <x:v>0.3</x:v>
      </x:c>
      <x:c r="L190" s="10" t="n">
        <x:v>0.25</x:v>
      </x:c>
      <x:c r="M190" s="10" t="n">
        <x:v>0.45</x:v>
      </x:c>
      <x:c r="N190" s="10" t="n">
        <x:f>SUM(I190:M190)</x:f>
        <x:v>4.025</x:v>
      </x:c>
      <x:c r="O190" s="10" t="n">
        <x:v>17.8</x:v>
      </x:c>
      <x:c r="P190" s="10" t="n">
        <x:f>N190+O190</x:f>
        <x:v>21.825000000000003</x:v>
      </x:c>
    </x:row>
    <x:row r="191" ht="35" customHeight="1">
      <x:c r="A191" s="9" t="str">
        <x:v>SYN-G10-03</x:v>
      </x:c>
      <x:c r="B191" s="9" t="str">
        <x:v>B</x:v>
      </x:c>
      <x:c r="C191" s="9" t="str">
        <x:v>G10</x:v>
      </x:c>
      <x:c r="D191" s="10" t="n">
        <x:v>0.08</x:v>
      </x:c>
      <x:c r="E191" s="10" t="n">
        <x:v>0.126</x:v>
      </x:c>
      <x:c r="F191" s="10" t="n">
        <x:v>0.072</x:v>
      </x:c>
      <x:c r="G191" s="10" t="n">
        <x:v>0.522</x:v>
      </x:c>
      <x:c r="H191" s="10" t="n">
        <x:v>0.1</x:v>
      </x:c>
      <x:c r="I191" s="10" t="n">
        <x:f>SUM(D191:H191)</x:f>
        <x:v>0.9</x:v>
      </x:c>
      <x:c r="J191" s="10" t="n">
        <x:v>0.075</x:v>
      </x:c>
      <x:c r="K191" s="10" t="n">
        <x:v>0.3</x:v>
      </x:c>
      <x:c r="L191" s="10" t="n">
        <x:v>0.25</x:v>
      </x:c>
      <x:c r="M191" s="10" t="n">
        <x:v>0.45</x:v>
      </x:c>
      <x:c r="N191" s="10" t="n">
        <x:f>SUM(I191:M191)</x:f>
        <x:v>1.9749999999999999</x:v>
      </x:c>
      <x:c r="O191" s="10" t="n">
        <x:v>17.8</x:v>
      </x:c>
      <x:c r="P191" s="10" t="n">
        <x:f>N191+O191</x:f>
        <x:v>19.775000000000002</x:v>
      </x:c>
    </x:row>
    <x:row r="192" ht="35" customHeight="1">
      <x:c r="A192" s="9" t="str">
        <x:v>SYN-G10-04</x:v>
      </x:c>
      <x:c r="B192" s="9" t="str">
        <x:v>A</x:v>
      </x:c>
      <x:c r="C192" s="9" t="str">
        <x:v>G10</x:v>
      </x:c>
      <x:c r="D192" s="10" t="n">
        <x:v>0.08</x:v>
      </x:c>
      <x:c r="E192" s="10" t="n">
        <x:v>0.494</x:v>
      </x:c>
      <x:c r="F192" s="10" t="n">
        <x:v>1.062</x:v>
      </x:c>
      <x:c r="G192" s="10" t="n">
        <x:v>0.734</x:v>
      </x:c>
      <x:c r="H192" s="10" t="n">
        <x:v>0.1</x:v>
      </x:c>
      <x:c r="I192" s="10" t="n">
        <x:f>SUM(D192:H192)</x:f>
        <x:v>2.47</x:v>
      </x:c>
      <x:c r="J192" s="10" t="n">
        <x:v>0.585</x:v>
      </x:c>
      <x:c r="K192" s="10" t="n">
        <x:v>0.3</x:v>
      </x:c>
      <x:c r="L192" s="10" t="n">
        <x:v>0.25</x:v>
      </x:c>
      <x:c r="M192" s="10" t="n">
        <x:v>0.45</x:v>
      </x:c>
      <x:c r="N192" s="10" t="n">
        <x:f>SUM(I192:M192)</x:f>
        <x:v>4.055</x:v>
      </x:c>
      <x:c r="O192" s="10" t="n">
        <x:v>19.2</x:v>
      </x:c>
      <x:c r="P192" s="10" t="n">
        <x:f>N192+O192</x:f>
        <x:v>23.255</x:v>
      </x:c>
    </x:row>
    <x:row r="193" ht="35" customHeight="1">
      <x:c r="A193" s="9" t="str">
        <x:v>SYN-G10-04</x:v>
      </x:c>
      <x:c r="B193" s="9" t="str">
        <x:v>B</x:v>
      </x:c>
      <x:c r="C193" s="9" t="str">
        <x:v>G10</x:v>
      </x:c>
      <x:c r="D193" s="10" t="n">
        <x:v>0.08</x:v>
      </x:c>
      <x:c r="E193" s="10" t="n">
        <x:v>0.129</x:v>
      </x:c>
      <x:c r="F193" s="10" t="n">
        <x:v>0.074</x:v>
      </x:c>
      <x:c r="G193" s="10" t="n">
        <x:v>0.537</x:v>
      </x:c>
      <x:c r="H193" s="10" t="n">
        <x:v>0.1</x:v>
      </x:c>
      <x:c r="I193" s="10" t="n">
        <x:f>SUM(D193:H193)</x:f>
        <x:v>0.92</x:v>
      </x:c>
      <x:c r="J193" s="10" t="n">
        <x:v>0.085</x:v>
      </x:c>
      <x:c r="K193" s="10" t="n">
        <x:v>0.3</x:v>
      </x:c>
      <x:c r="L193" s="10" t="n">
        <x:v>0.25</x:v>
      </x:c>
      <x:c r="M193" s="10" t="n">
        <x:v>0.45</x:v>
      </x:c>
      <x:c r="N193" s="10" t="n">
        <x:f>SUM(I193:M193)</x:f>
        <x:v>2.0050000000000003</x:v>
      </x:c>
      <x:c r="O193" s="10" t="n">
        <x:v>19.2</x:v>
      </x:c>
      <x:c r="P193" s="10" t="n">
        <x:f>N193+O193</x:f>
        <x:v>21.205</x:v>
      </x:c>
    </x:row>
    <x:row r="194" ht="35" customHeight="1">
      <x:c r="A194" s="9" t="str">
        <x:v>SYN-G10-05</x:v>
      </x:c>
      <x:c r="B194" s="9" t="str">
        <x:v>A</x:v>
      </x:c>
      <x:c r="C194" s="9" t="str">
        <x:v>G10</x:v>
      </x:c>
      <x:c r="D194" s="10" t="n">
        <x:v>0.08</x:v>
      </x:c>
      <x:c r="E194" s="10" t="n">
        <x:v>0.498</x:v>
      </x:c>
      <x:c r="F194" s="10" t="n">
        <x:v>1.071</x:v>
      </x:c>
      <x:c r="G194" s="10" t="n">
        <x:v>0.741</x:v>
      </x:c>
      <x:c r="H194" s="10" t="n">
        <x:v>0.1</x:v>
      </x:c>
      <x:c r="I194" s="10" t="n">
        <x:f>SUM(D194:H194)</x:f>
        <x:v>2.49</x:v>
      </x:c>
      <x:c r="J194" s="10" t="n">
        <x:v>0.595</x:v>
      </x:c>
      <x:c r="K194" s="10" t="n">
        <x:v>0.3</x:v>
      </x:c>
      <x:c r="L194" s="10" t="n">
        <x:v>0.25</x:v>
      </x:c>
      <x:c r="M194" s="10" t="n">
        <x:v>0.45</x:v>
      </x:c>
      <x:c r="N194" s="10" t="n">
        <x:f>SUM(I194:M194)</x:f>
        <x:v>4.085</x:v>
      </x:c>
      <x:c r="O194" s="10" t="n">
        <x:v>20.6</x:v>
      </x:c>
      <x:c r="P194" s="10" t="n">
        <x:f>N194+O194</x:f>
        <x:v>24.685000000000002</x:v>
      </x:c>
    </x:row>
    <x:row r="195" ht="35" customHeight="1">
      <x:c r="A195" s="9" t="str">
        <x:v>SYN-G10-05</x:v>
      </x:c>
      <x:c r="B195" s="9" t="str">
        <x:v>B</x:v>
      </x:c>
      <x:c r="C195" s="9" t="str">
        <x:v>G10</x:v>
      </x:c>
      <x:c r="D195" s="10" t="n">
        <x:v>0.08</x:v>
      </x:c>
      <x:c r="E195" s="10" t="n">
        <x:v>0.132</x:v>
      </x:c>
      <x:c r="F195" s="10" t="n">
        <x:v>0.075</x:v>
      </x:c>
      <x:c r="G195" s="10" t="n">
        <x:v>0.553</x:v>
      </x:c>
      <x:c r="H195" s="10" t="n">
        <x:v>0.1</x:v>
      </x:c>
      <x:c r="I195" s="10" t="n">
        <x:f>SUM(D195:H195)</x:f>
        <x:v>0.9400000000000001</x:v>
      </x:c>
      <x:c r="J195" s="10" t="n">
        <x:v>0.095</x:v>
      </x:c>
      <x:c r="K195" s="10" t="n">
        <x:v>0.3</x:v>
      </x:c>
      <x:c r="L195" s="10" t="n">
        <x:v>0.25</x:v>
      </x:c>
      <x:c r="M195" s="10" t="n">
        <x:v>0.45</x:v>
      </x:c>
      <x:c r="N195" s="10" t="n">
        <x:f>SUM(I195:M195)</x:f>
        <x:v>2.035</x:v>
      </x:c>
      <x:c r="O195" s="10" t="n">
        <x:v>20.6</x:v>
      </x:c>
      <x:c r="P195" s="10" t="n">
        <x:f>N195+O195</x:f>
        <x:v>22.635</x:v>
      </x:c>
    </x:row>
    <x:row r="196" ht="35" customHeight="1">
      <x:c r="A196" s="9" t="str">
        <x:v>SYN-G10-06</x:v>
      </x:c>
      <x:c r="B196" s="9" t="str">
        <x:v>A</x:v>
      </x:c>
      <x:c r="C196" s="9" t="str">
        <x:v>G10</x:v>
      </x:c>
      <x:c r="D196" s="10" t="n">
        <x:v>0.08</x:v>
      </x:c>
      <x:c r="E196" s="10" t="n">
        <x:v>0.502</x:v>
      </x:c>
      <x:c r="F196" s="10" t="n">
        <x:v>1.079</x:v>
      </x:c>
      <x:c r="G196" s="10" t="n">
        <x:v>0.749</x:v>
      </x:c>
      <x:c r="H196" s="10" t="n">
        <x:v>0.1</x:v>
      </x:c>
      <x:c r="I196" s="10" t="n">
        <x:f>SUM(D196:H196)</x:f>
        <x:v>2.5100000000000002</x:v>
      </x:c>
      <x:c r="J196" s="10" t="n">
        <x:v>0.605</x:v>
      </x:c>
      <x:c r="K196" s="10" t="n">
        <x:v>0.3</x:v>
      </x:c>
      <x:c r="L196" s="10" t="n">
        <x:v>0.25</x:v>
      </x:c>
      <x:c r="M196" s="10" t="n">
        <x:v>0.45</x:v>
      </x:c>
      <x:c r="N196" s="10" t="n">
        <x:f>SUM(I196:M196)</x:f>
        <x:v>4.115</x:v>
      </x:c>
      <x:c r="O196" s="10" t="n">
        <x:v>22</x:v>
      </x:c>
      <x:c r="P196" s="10" t="n">
        <x:f>N196+O196</x:f>
        <x:v>26.115000000000002</x:v>
      </x:c>
    </x:row>
    <x:row r="197" ht="35" customHeight="1">
      <x:c r="A197" s="9" t="str">
        <x:v>SYN-G10-06</x:v>
      </x:c>
      <x:c r="B197" s="9" t="str">
        <x:v>B</x:v>
      </x:c>
      <x:c r="C197" s="9" t="str">
        <x:v>G10</x:v>
      </x:c>
      <x:c r="D197" s="10" t="n">
        <x:v>0.08</x:v>
      </x:c>
      <x:c r="E197" s="10" t="n">
        <x:v>0.134</x:v>
      </x:c>
      <x:c r="F197" s="10" t="n">
        <x:v>0.077</x:v>
      </x:c>
      <x:c r="G197" s="10" t="n">
        <x:v>0.569</x:v>
      </x:c>
      <x:c r="H197" s="10" t="n">
        <x:v>0.1</x:v>
      </x:c>
      <x:c r="I197" s="10" t="n">
        <x:f>SUM(D197:H197)</x:f>
        <x:v>0.96</x:v>
      </x:c>
      <x:c r="J197" s="10" t="n">
        <x:v>0.105</x:v>
      </x:c>
      <x:c r="K197" s="10" t="n">
        <x:v>0.3</x:v>
      </x:c>
      <x:c r="L197" s="10" t="n">
        <x:v>0.25</x:v>
      </x:c>
      <x:c r="M197" s="10" t="n">
        <x:v>0.45</x:v>
      </x:c>
      <x:c r="N197" s="10" t="n">
        <x:f>SUM(I197:M197)</x:f>
        <x:v>2.065</x:v>
      </x:c>
      <x:c r="O197" s="10" t="n">
        <x:v>22</x:v>
      </x:c>
      <x:c r="P197" s="10" t="n">
        <x:f>N197+O197</x:f>
        <x:v>24.065</x:v>
      </x:c>
    </x:row>
    <x:row r="198" ht="35" customHeight="1">
      <x:c r="A198" s="9" t="str">
        <x:v>SYN-G10-07</x:v>
      </x:c>
      <x:c r="B198" s="9" t="str">
        <x:v>A</x:v>
      </x:c>
      <x:c r="C198" s="9" t="str">
        <x:v>G10</x:v>
      </x:c>
      <x:c r="D198" s="10" t="n">
        <x:v>0.08</x:v>
      </x:c>
      <x:c r="E198" s="10" t="n">
        <x:v>0.506</x:v>
      </x:c>
      <x:c r="F198" s="10" t="n">
        <x:v>1.088</x:v>
      </x:c>
      <x:c r="G198" s="10" t="n">
        <x:v>0.756</x:v>
      </x:c>
      <x:c r="H198" s="10" t="n">
        <x:v>0.1</x:v>
      </x:c>
      <x:c r="I198" s="10" t="n">
        <x:f>SUM(D198:H198)</x:f>
        <x:v>2.53</x:v>
      </x:c>
      <x:c r="J198" s="10" t="n">
        <x:v>0.615</x:v>
      </x:c>
      <x:c r="K198" s="10" t="n">
        <x:v>0.3</x:v>
      </x:c>
      <x:c r="L198" s="10" t="n">
        <x:v>0.25</x:v>
      </x:c>
      <x:c r="M198" s="10" t="n">
        <x:v>0.45</x:v>
      </x:c>
      <x:c r="N198" s="10" t="n">
        <x:f>SUM(I198:M198)</x:f>
        <x:v>4.145</x:v>
      </x:c>
      <x:c r="O198" s="10" t="n">
        <x:v>23.4</x:v>
      </x:c>
      <x:c r="P198" s="10" t="n">
        <x:f>N198+O198</x:f>
        <x:v>27.544999999999998</x:v>
      </x:c>
    </x:row>
    <x:row r="199" ht="35" customHeight="1">
      <x:c r="A199" s="9" t="str">
        <x:v>SYN-G10-07</x:v>
      </x:c>
      <x:c r="B199" s="9" t="str">
        <x:v>B</x:v>
      </x:c>
      <x:c r="C199" s="9" t="str">
        <x:v>G10</x:v>
      </x:c>
      <x:c r="D199" s="10" t="n">
        <x:v>0.08</x:v>
      </x:c>
      <x:c r="E199" s="10" t="n">
        <x:v>0.137</x:v>
      </x:c>
      <x:c r="F199" s="10" t="n">
        <x:v>0.078</x:v>
      </x:c>
      <x:c r="G199" s="10" t="n">
        <x:v>0.585</x:v>
      </x:c>
      <x:c r="H199" s="10" t="n">
        <x:v>0.1</x:v>
      </x:c>
      <x:c r="I199" s="10" t="n">
        <x:f>SUM(D199:H199)</x:f>
        <x:v>0.98</x:v>
      </x:c>
      <x:c r="J199" s="10" t="n">
        <x:v>0.115</x:v>
      </x:c>
      <x:c r="K199" s="10" t="n">
        <x:v>0.3</x:v>
      </x:c>
      <x:c r="L199" s="10" t="n">
        <x:v>0.25</x:v>
      </x:c>
      <x:c r="M199" s="10" t="n">
        <x:v>0.45</x:v>
      </x:c>
      <x:c r="N199" s="10" t="n">
        <x:f>SUM(I199:M199)</x:f>
        <x:v>2.095</x:v>
      </x:c>
      <x:c r="O199" s="10" t="n">
        <x:v>23.4</x:v>
      </x:c>
      <x:c r="P199" s="10" t="n">
        <x:f>N199+O199</x:f>
        <x:v>25.494999999999997</x:v>
      </x:c>
    </x:row>
    <x:row r="200" ht="35" customHeight="1">
      <x:c r="A200" s="9" t="str">
        <x:v>SYN-G10-08</x:v>
      </x:c>
      <x:c r="B200" s="9" t="str">
        <x:v>A</x:v>
      </x:c>
      <x:c r="C200" s="9" t="str">
        <x:v>G10</x:v>
      </x:c>
      <x:c r="D200" s="10" t="n">
        <x:v>0.08</x:v>
      </x:c>
      <x:c r="E200" s="10" t="n">
        <x:v>0.51</x:v>
      </x:c>
      <x:c r="F200" s="10" t="n">
        <x:v>1.096</x:v>
      </x:c>
      <x:c r="G200" s="10" t="n">
        <x:v>0.764</x:v>
      </x:c>
      <x:c r="H200" s="10" t="n">
        <x:v>0.1</x:v>
      </x:c>
      <x:c r="I200" s="10" t="n">
        <x:f>SUM(D200:H200)</x:f>
        <x:v>2.5500000000000003</x:v>
      </x:c>
      <x:c r="J200" s="10" t="n">
        <x:v>0.625</x:v>
      </x:c>
      <x:c r="K200" s="10" t="n">
        <x:v>0.3</x:v>
      </x:c>
      <x:c r="L200" s="10" t="n">
        <x:v>0.25</x:v>
      </x:c>
      <x:c r="M200" s="10" t="n">
        <x:v>0.45</x:v>
      </x:c>
      <x:c r="N200" s="10" t="n">
        <x:f>SUM(I200:M200)</x:f>
        <x:v>4.175</x:v>
      </x:c>
      <x:c r="O200" s="10" t="n">
        <x:v>24.8</x:v>
      </x:c>
      <x:c r="P200" s="10" t="n">
        <x:f>N200+O200</x:f>
        <x:v>28.975</x:v>
      </x:c>
    </x:row>
    <x:row r="201" ht="35" customHeight="1">
      <x:c r="A201" s="9" t="str">
        <x:v>SYN-G10-08</x:v>
      </x:c>
      <x:c r="B201" s="9" t="str">
        <x:v>B</x:v>
      </x:c>
      <x:c r="C201" s="9" t="str">
        <x:v>G10</x:v>
      </x:c>
      <x:c r="D201" s="10" t="n">
        <x:v>0.08</x:v>
      </x:c>
      <x:c r="E201" s="10" t="n">
        <x:v>0.14</x:v>
      </x:c>
      <x:c r="F201" s="10" t="n">
        <x:v>0.08</x:v>
      </x:c>
      <x:c r="G201" s="10" t="n">
        <x:v>0.6</x:v>
      </x:c>
      <x:c r="H201" s="10" t="n">
        <x:v>0.1</x:v>
      </x:c>
      <x:c r="I201" s="10" t="n">
        <x:f>SUM(D201:H201)</x:f>
        <x:v>1</x:v>
      </x:c>
      <x:c r="J201" s="10" t="n">
        <x:v>0.125</x:v>
      </x:c>
      <x:c r="K201" s="10" t="n">
        <x:v>0.3</x:v>
      </x:c>
      <x:c r="L201" s="10" t="n">
        <x:v>0.25</x:v>
      </x:c>
      <x:c r="M201" s="10" t="n">
        <x:v>0.45</x:v>
      </x:c>
      <x:c r="N201" s="10" t="n">
        <x:f>SUM(I201:M201)</x:f>
        <x:v>2.125</x:v>
      </x:c>
      <x:c r="O201" s="10" t="n">
        <x:v>24.8</x:v>
      </x:c>
      <x:c r="P201" s="10" t="n">
        <x:f>N201+O201</x:f>
        <x:v>26.925</x:v>
      </x:c>
    </x:row>
    <x:row r="202" ht="35" customHeight="1">
      <x:c r="A202" s="9" t="str">
        <x:v>SYN-G10-09</x:v>
      </x:c>
      <x:c r="B202" s="9" t="str">
        <x:v>A</x:v>
      </x:c>
      <x:c r="C202" s="9" t="str">
        <x:v>G10</x:v>
      </x:c>
      <x:c r="D202" s="10" t="n">
        <x:v>0.08</x:v>
      </x:c>
      <x:c r="E202" s="10" t="n">
        <x:v>0.514</x:v>
      </x:c>
      <x:c r="F202" s="10" t="n">
        <x:v>1.105</x:v>
      </x:c>
      <x:c r="G202" s="10" t="n">
        <x:v>0.771</x:v>
      </x:c>
      <x:c r="H202" s="10" t="n">
        <x:v>0.1</x:v>
      </x:c>
      <x:c r="I202" s="10" t="n">
        <x:f>SUM(D202:H202)</x:f>
        <x:v>2.57</x:v>
      </x:c>
      <x:c r="J202" s="10" t="n">
        <x:v>0.635</x:v>
      </x:c>
      <x:c r="K202" s="10" t="n">
        <x:v>0.3</x:v>
      </x:c>
      <x:c r="L202" s="10" t="n">
        <x:v>0.25</x:v>
      </x:c>
      <x:c r="M202" s="10" t="n">
        <x:v>0.45</x:v>
      </x:c>
      <x:c r="N202" s="10" t="n">
        <x:f>SUM(I202:M202)</x:f>
        <x:v>4.205</x:v>
      </x:c>
      <x:c r="O202" s="10" t="n">
        <x:v>26.2</x:v>
      </x:c>
      <x:c r="P202" s="10" t="n">
        <x:f>N202+O202</x:f>
        <x:v>30.405</x:v>
      </x:c>
    </x:row>
    <x:row r="203" ht="35" customHeight="1">
      <x:c r="A203" s="9" t="str">
        <x:v>SYN-G10-09</x:v>
      </x:c>
      <x:c r="B203" s="9" t="str">
        <x:v>B</x:v>
      </x:c>
      <x:c r="C203" s="9" t="str">
        <x:v>G10</x:v>
      </x:c>
      <x:c r="D203" s="10" t="n">
        <x:v>0.08</x:v>
      </x:c>
      <x:c r="E203" s="10" t="n">
        <x:v>0.143</x:v>
      </x:c>
      <x:c r="F203" s="10" t="n">
        <x:v>0.082</x:v>
      </x:c>
      <x:c r="G203" s="10" t="n">
        <x:v>0.615</x:v>
      </x:c>
      <x:c r="H203" s="10" t="n">
        <x:v>0.1</x:v>
      </x:c>
      <x:c r="I203" s="10" t="n">
        <x:f>SUM(D203:H203)</x:f>
        <x:v>1.02</x:v>
      </x:c>
      <x:c r="J203" s="10" t="n">
        <x:v>0.135</x:v>
      </x:c>
      <x:c r="K203" s="10" t="n">
        <x:v>0.3</x:v>
      </x:c>
      <x:c r="L203" s="10" t="n">
        <x:v>0.25</x:v>
      </x:c>
      <x:c r="M203" s="10" t="n">
        <x:v>0.45</x:v>
      </x:c>
      <x:c r="N203" s="10" t="n">
        <x:f>SUM(I203:M203)</x:f>
        <x:v>2.1550000000000002</x:v>
      </x:c>
      <x:c r="O203" s="10" t="n">
        <x:v>26.2</x:v>
      </x:c>
      <x:c r="P203" s="10" t="n">
        <x:f>N203+O203</x:f>
        <x:v>28.355</x:v>
      </x:c>
    </x:row>
    <x:row r="204" ht="35" customHeight="1">
      <x:c r="A204" s="9" t="str">
        <x:v>SYN-G10-10</x:v>
      </x:c>
      <x:c r="B204" s="9" t="str">
        <x:v>A</x:v>
      </x:c>
      <x:c r="C204" s="9" t="str">
        <x:v>G10</x:v>
      </x:c>
      <x:c r="D204" s="10" t="n">
        <x:v>0.08</x:v>
      </x:c>
      <x:c r="E204" s="10" t="n">
        <x:v>0.518</x:v>
      </x:c>
      <x:c r="F204" s="10" t="n">
        <x:v>1.114</x:v>
      </x:c>
      <x:c r="G204" s="10" t="n">
        <x:v>0.778</x:v>
      </x:c>
      <x:c r="H204" s="10" t="n">
        <x:v>0.1</x:v>
      </x:c>
      <x:c r="I204" s="10" t="n">
        <x:f>SUM(D204:H204)</x:f>
        <x:v>2.5900000000000003</x:v>
      </x:c>
      <x:c r="J204" s="10" t="n">
        <x:v>0.645</x:v>
      </x:c>
      <x:c r="K204" s="10" t="n">
        <x:v>0.3</x:v>
      </x:c>
      <x:c r="L204" s="10" t="n">
        <x:v>0.25</x:v>
      </x:c>
      <x:c r="M204" s="10" t="n">
        <x:v>0.45</x:v>
      </x:c>
      <x:c r="N204" s="10" t="n">
        <x:f>SUM(I204:M204)</x:f>
        <x:v>4.235</x:v>
      </x:c>
      <x:c r="O204" s="10" t="n">
        <x:v>27.6</x:v>
      </x:c>
      <x:c r="P204" s="10" t="n">
        <x:f>N204+O204</x:f>
        <x:v>31.835</x:v>
      </x:c>
    </x:row>
    <x:row r="205" ht="35" customHeight="1">
      <x:c r="A205" s="9" t="str">
        <x:v>SYN-G10-10</x:v>
      </x:c>
      <x:c r="B205" s="9" t="str">
        <x:v>B</x:v>
      </x:c>
      <x:c r="C205" s="9" t="str">
        <x:v>G10</x:v>
      </x:c>
      <x:c r="D205" s="10" t="n">
        <x:v>0.08</x:v>
      </x:c>
      <x:c r="E205" s="10" t="n">
        <x:v>0.146</x:v>
      </x:c>
      <x:c r="F205" s="10" t="n">
        <x:v>0.083</x:v>
      </x:c>
      <x:c r="G205" s="10" t="n">
        <x:v>0.631</x:v>
      </x:c>
      <x:c r="H205" s="10" t="n">
        <x:v>0.1</x:v>
      </x:c>
      <x:c r="I205" s="10" t="n">
        <x:f>SUM(D205:H205)</x:f>
        <x:v>1.04</x:v>
      </x:c>
      <x:c r="J205" s="10" t="n">
        <x:v>0.145</x:v>
      </x:c>
      <x:c r="K205" s="10" t="n">
        <x:v>0.3</x:v>
      </x:c>
      <x:c r="L205" s="10" t="n">
        <x:v>0.25</x:v>
      </x:c>
      <x:c r="M205" s="10" t="n">
        <x:v>0.45</x:v>
      </x:c>
      <x:c r="N205" s="10" t="n">
        <x:f>SUM(I205:M205)</x:f>
        <x:v>2.185</x:v>
      </x:c>
      <x:c r="O205" s="10" t="n">
        <x:v>27.6</x:v>
      </x:c>
      <x:c r="P205" s="10" t="n">
        <x:f>N205+O205</x:f>
        <x:v>29.785</x:v>
      </x:c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.110000610351562" hidden="0" customWidth="1"/>
    <x:col min="2" max="2" width="17.780000686645508" hidden="0" customWidth="1"/>
    <x:col min="3" max="3" width="7.78000020980835" hidden="0" customWidth="1"/>
    <x:col min="4" max="4" width="11.109999656677246" hidden="0" customWidth="1"/>
    <x:col min="5" max="5" width="17.780000686645508" hidden="0" customWidth="1"/>
    <x:col min="6" max="6" width="55.560001373291016" hidden="0" customWidth="1"/>
    <x:col min="7" max="7" width="13.890000343322754" hidden="0" customWidth="1"/>
    <x:col min="8" max="8" width="11.109999656677246" hidden="0" customWidth="1"/>
    <x:col min="9" max="9" width="55.5600013732910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전체 episode의 합성 비용 (합성)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설명용 합성 데이터. 목표 수치에 맞춰 작성한 사례·응답·시간·비용이며 실제 관측/LLM 실행/통계 표본이 아님.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8" customHeight="1">
      <x:c r="A5" s="7" t="str">
        <x:v>항목 ID</x:v>
      </x:c>
      <x:c r="B5" s="7" t="str">
        <x:v>사례·episode</x:v>
      </x:c>
      <x:c r="C5" s="7" t="str">
        <x:v>방안</x:v>
      </x:c>
      <x:c r="D5" s="7" t="str">
        <x:v>단계</x:v>
      </x:c>
      <x:c r="E5" s="7" t="str">
        <x:v>처리 주체</x:v>
      </x:c>
      <x:c r="F5" s="7" t="str">
        <x:v>내용</x:v>
      </x:c>
      <x:c r="G5" s="7" t="str">
        <x:v>비용 단위</x:v>
      </x:c>
      <x:c r="H5" s="7" t="str">
        <x:v>사용 여부</x:v>
      </x:c>
      <x:c r="I5" s="7" t="str">
        <x:v>산정 가정</x:v>
      </x:c>
    </x:row>
    <x:row r="6" ht="40" customHeight="1">
      <x:c r="A6" s="9" t="str">
        <x:v>SYN-COST-A-1</x:v>
      </x:c>
      <x:c r="B6" s="9" t="str">
        <x:v>SYN-G01-01</x:v>
      </x:c>
      <x:c r="C6" s="9" t="str">
        <x:v>A</x:v>
      </x:c>
      <x:c r="D6" s="9" t="str">
        <x:v>요청</x:v>
      </x:c>
      <x:c r="E6" s="9" t="str">
        <x:v>VIA 요청 처리</x:v>
      </x:c>
      <x:c r="F6" s="9" t="str">
        <x:v>현재 요청 해석·적용·조건부 원본 보완</x:v>
      </x:c>
      <x:c r="G6" s="10" t="n">
        <x:v>0.11</x:v>
      </x:c>
      <x:c r="H6" s="9" t="str">
        <x:v>사용</x:v>
      </x:c>
      <x:c r="I6" s="9" t="str">
        <x:v>합성 비용 단위; 호출·토큰·단가를 실제로 관측하지 않음</x:v>
      </x:c>
    </x:row>
    <x:row r="7" ht="40" customHeight="1">
      <x:c r="A7" s="9" t="str">
        <x:v>SYN-REC-A-1</x:v>
      </x:c>
      <x:c r="B7" s="9" t="str">
        <x:v>SYN-G01-01</x:v>
      </x:c>
      <x:c r="C7" s="9" t="str">
        <x:v>A</x:v>
      </x:c>
      <x:c r="D7" s="9" t="str">
        <x:v>수신자</x:v>
      </x:c>
      <x:c r="E7" s="9" t="str">
        <x:v>Downstream 처리</x:v>
      </x:c>
      <x:c r="F7" s="9" t="str">
        <x:v>공통 수신자 비용 가정</x:v>
      </x:c>
      <x:c r="G7" s="10" t="n">
        <x:v>0.25</x:v>
      </x:c>
      <x:c r="H7" s="9" t="str">
        <x:v>사용</x:v>
      </x:c>
      <x:c r="I7" s="9" t="str">
        <x:v>동일 비용 가정; 실제 업무 실행 없음</x:v>
      </x:c>
    </x:row>
    <x:row r="8" ht="40" customHeight="1">
      <x:c r="A8" s="9" t="str">
        <x:v>SYN-COST-A-2</x:v>
      </x:c>
      <x:c r="B8" s="9" t="str">
        <x:v>SYN-G01-02</x:v>
      </x:c>
      <x:c r="C8" s="9" t="str">
        <x:v>A</x:v>
      </x:c>
      <x:c r="D8" s="9" t="str">
        <x:v>요청</x:v>
      </x:c>
      <x:c r="E8" s="9" t="str">
        <x:v>VIA 요청 처리</x:v>
      </x:c>
      <x:c r="F8" s="9" t="str">
        <x:v>현재 요청 해석·적용·조건부 원본 보완</x:v>
      </x:c>
      <x:c r="G8" s="10" t="n">
        <x:v>0.118</x:v>
      </x:c>
      <x:c r="H8" s="9" t="str">
        <x:v>사용</x:v>
      </x:c>
      <x:c r="I8" s="9" t="str">
        <x:v>합성 비용 단위; 호출·토큰·단가를 실제로 관측하지 않음</x:v>
      </x:c>
    </x:row>
    <x:row r="9" ht="40" customHeight="1">
      <x:c r="A9" s="9" t="str">
        <x:v>SYN-REC-A-2</x:v>
      </x:c>
      <x:c r="B9" s="9" t="str">
        <x:v>SYN-G01-02</x:v>
      </x:c>
      <x:c r="C9" s="9" t="str">
        <x:v>A</x:v>
      </x:c>
      <x:c r="D9" s="9" t="str">
        <x:v>수신자</x:v>
      </x:c>
      <x:c r="E9" s="9" t="str">
        <x:v>Downstream 처리</x:v>
      </x:c>
      <x:c r="F9" s="9" t="str">
        <x:v>공통 수신자 비용 가정</x:v>
      </x:c>
      <x:c r="G9" s="10" t="n">
        <x:v>0.25</x:v>
      </x:c>
      <x:c r="H9" s="9" t="str">
        <x:v>사용</x:v>
      </x:c>
      <x:c r="I9" s="9" t="str">
        <x:v>동일 비용 가정; 실제 업무 실행 없음</x:v>
      </x:c>
    </x:row>
    <x:row r="10" ht="40" customHeight="1">
      <x:c r="A10" s="9" t="str">
        <x:v>SYN-COST-A-3</x:v>
      </x:c>
      <x:c r="B10" s="9" t="str">
        <x:v>SYN-G01-03</x:v>
      </x:c>
      <x:c r="C10" s="9" t="str">
        <x:v>A</x:v>
      </x:c>
      <x:c r="D10" s="9" t="str">
        <x:v>요청</x:v>
      </x:c>
      <x:c r="E10" s="9" t="str">
        <x:v>VIA 요청 처리</x:v>
      </x:c>
      <x:c r="F10" s="9" t="str">
        <x:v>현재 요청 해석·적용·조건부 원본 보완</x:v>
      </x:c>
      <x:c r="G10" s="10" t="n">
        <x:v>0.127</x:v>
      </x:c>
      <x:c r="H10" s="9" t="str">
        <x:v>사용</x:v>
      </x:c>
      <x:c r="I10" s="9" t="str">
        <x:v>합성 비용 단위; 호출·토큰·단가를 실제로 관측하지 않음</x:v>
      </x:c>
    </x:row>
    <x:row r="11" ht="40" customHeight="1">
      <x:c r="A11" s="9" t="str">
        <x:v>SYN-REC-A-3</x:v>
      </x:c>
      <x:c r="B11" s="9" t="str">
        <x:v>SYN-G01-03</x:v>
      </x:c>
      <x:c r="C11" s="9" t="str">
        <x:v>A</x:v>
      </x:c>
      <x:c r="D11" s="9" t="str">
        <x:v>수신자</x:v>
      </x:c>
      <x:c r="E11" s="9" t="str">
        <x:v>Downstream 처리</x:v>
      </x:c>
      <x:c r="F11" s="9" t="str">
        <x:v>공통 수신자 비용 가정</x:v>
      </x:c>
      <x:c r="G11" s="10" t="n">
        <x:v>0.25</x:v>
      </x:c>
      <x:c r="H11" s="9" t="str">
        <x:v>사용</x:v>
      </x:c>
      <x:c r="I11" s="9" t="str">
        <x:v>동일 비용 가정; 실제 업무 실행 없음</x:v>
      </x:c>
    </x:row>
    <x:row r="12" ht="40" customHeight="1">
      <x:c r="A12" s="9" t="str">
        <x:v>SYN-COST-A-4</x:v>
      </x:c>
      <x:c r="B12" s="9" t="str">
        <x:v>SYN-G01-04</x:v>
      </x:c>
      <x:c r="C12" s="9" t="str">
        <x:v>A</x:v>
      </x:c>
      <x:c r="D12" s="9" t="str">
        <x:v>요청</x:v>
      </x:c>
      <x:c r="E12" s="9" t="str">
        <x:v>VIA 요청 처리</x:v>
      </x:c>
      <x:c r="F12" s="9" t="str">
        <x:v>현재 요청 해석·적용·조건부 원본 보완</x:v>
      </x:c>
      <x:c r="G12" s="10" t="n">
        <x:v>0.135</x:v>
      </x:c>
      <x:c r="H12" s="9" t="str">
        <x:v>사용</x:v>
      </x:c>
      <x:c r="I12" s="9" t="str">
        <x:v>합성 비용 단위; 호출·토큰·단가를 실제로 관측하지 않음</x:v>
      </x:c>
    </x:row>
    <x:row r="13" ht="40" customHeight="1">
      <x:c r="A13" s="9" t="str">
        <x:v>SYN-REC-A-4</x:v>
      </x:c>
      <x:c r="B13" s="9" t="str">
        <x:v>SYN-G01-04</x:v>
      </x:c>
      <x:c r="C13" s="9" t="str">
        <x:v>A</x:v>
      </x:c>
      <x:c r="D13" s="9" t="str">
        <x:v>수신자</x:v>
      </x:c>
      <x:c r="E13" s="9" t="str">
        <x:v>Downstream 처리</x:v>
      </x:c>
      <x:c r="F13" s="9" t="str">
        <x:v>공통 수신자 비용 가정</x:v>
      </x:c>
      <x:c r="G13" s="10" t="n">
        <x:v>0.25</x:v>
      </x:c>
      <x:c r="H13" s="9" t="str">
        <x:v>사용</x:v>
      </x:c>
      <x:c r="I13" s="9" t="str">
        <x:v>동일 비용 가정; 실제 업무 실행 없음</x:v>
      </x:c>
    </x:row>
    <x:row r="14" ht="40" customHeight="1">
      <x:c r="A14" s="9" t="str">
        <x:v>SYN-COST-A-5</x:v>
      </x:c>
      <x:c r="B14" s="9" t="str">
        <x:v>SYN-G01-05</x:v>
      </x:c>
      <x:c r="C14" s="9" t="str">
        <x:v>A</x:v>
      </x:c>
      <x:c r="D14" s="9" t="str">
        <x:v>요청</x:v>
      </x:c>
      <x:c r="E14" s="9" t="str">
        <x:v>VIA 요청 처리</x:v>
      </x:c>
      <x:c r="F14" s="9" t="str">
        <x:v>현재 요청 해석·적용·조건부 원본 보완</x:v>
      </x:c>
      <x:c r="G14" s="10" t="n">
        <x:v>0.143</x:v>
      </x:c>
      <x:c r="H14" s="9" t="str">
        <x:v>사용</x:v>
      </x:c>
      <x:c r="I14" s="9" t="str">
        <x:v>합성 비용 단위; 호출·토큰·단가를 실제로 관측하지 않음</x:v>
      </x:c>
    </x:row>
    <x:row r="15" ht="40" customHeight="1">
      <x:c r="A15" s="9" t="str">
        <x:v>SYN-REC-A-5</x:v>
      </x:c>
      <x:c r="B15" s="9" t="str">
        <x:v>SYN-G01-05</x:v>
      </x:c>
      <x:c r="C15" s="9" t="str">
        <x:v>A</x:v>
      </x:c>
      <x:c r="D15" s="9" t="str">
        <x:v>수신자</x:v>
      </x:c>
      <x:c r="E15" s="9" t="str">
        <x:v>Downstream 처리</x:v>
      </x:c>
      <x:c r="F15" s="9" t="str">
        <x:v>공통 수신자 비용 가정</x:v>
      </x:c>
      <x:c r="G15" s="10" t="n">
        <x:v>0.25</x:v>
      </x:c>
      <x:c r="H15" s="9" t="str">
        <x:v>사용</x:v>
      </x:c>
      <x:c r="I15" s="9" t="str">
        <x:v>동일 비용 가정; 실제 업무 실행 없음</x:v>
      </x:c>
    </x:row>
    <x:row r="16" ht="40" customHeight="1">
      <x:c r="A16" s="9" t="str">
        <x:v>SYN-COST-A-6</x:v>
      </x:c>
      <x:c r="B16" s="9" t="str">
        <x:v>SYN-G01-06</x:v>
      </x:c>
      <x:c r="C16" s="9" t="str">
        <x:v>A</x:v>
      </x:c>
      <x:c r="D16" s="9" t="str">
        <x:v>요청</x:v>
      </x:c>
      <x:c r="E16" s="9" t="str">
        <x:v>VIA 요청 처리</x:v>
      </x:c>
      <x:c r="F16" s="9" t="str">
        <x:v>현재 요청 해석·적용·조건부 원본 보완</x:v>
      </x:c>
      <x:c r="G16" s="10" t="n">
        <x:v>0.152</x:v>
      </x:c>
      <x:c r="H16" s="9" t="str">
        <x:v>사용</x:v>
      </x:c>
      <x:c r="I16" s="9" t="str">
        <x:v>합성 비용 단위; 호출·토큰·단가를 실제로 관측하지 않음</x:v>
      </x:c>
    </x:row>
    <x:row r="17" ht="40" customHeight="1">
      <x:c r="A17" s="9" t="str">
        <x:v>SYN-REC-A-6</x:v>
      </x:c>
      <x:c r="B17" s="9" t="str">
        <x:v>SYN-G01-06</x:v>
      </x:c>
      <x:c r="C17" s="9" t="str">
        <x:v>A</x:v>
      </x:c>
      <x:c r="D17" s="9" t="str">
        <x:v>수신자</x:v>
      </x:c>
      <x:c r="E17" s="9" t="str">
        <x:v>Downstream 처리</x:v>
      </x:c>
      <x:c r="F17" s="9" t="str">
        <x:v>공통 수신자 비용 가정</x:v>
      </x:c>
      <x:c r="G17" s="10" t="n">
        <x:v>0.25</x:v>
      </x:c>
      <x:c r="H17" s="9" t="str">
        <x:v>사용</x:v>
      </x:c>
      <x:c r="I17" s="9" t="str">
        <x:v>동일 비용 가정; 실제 업무 실행 없음</x:v>
      </x:c>
    </x:row>
    <x:row r="18" ht="40" customHeight="1">
      <x:c r="A18" s="9" t="str">
        <x:v>SYN-COST-A-7</x:v>
      </x:c>
      <x:c r="B18" s="9" t="str">
        <x:v>SYN-G01-07</x:v>
      </x:c>
      <x:c r="C18" s="9" t="str">
        <x:v>A</x:v>
      </x:c>
      <x:c r="D18" s="9" t="str">
        <x:v>요청</x:v>
      </x:c>
      <x:c r="E18" s="9" t="str">
        <x:v>VIA 요청 처리</x:v>
      </x:c>
      <x:c r="F18" s="9" t="str">
        <x:v>현재 요청 해석·적용·조건부 원본 보완</x:v>
      </x:c>
      <x:c r="G18" s="10" t="n">
        <x:v>0.16</x:v>
      </x:c>
      <x:c r="H18" s="9" t="str">
        <x:v>사용</x:v>
      </x:c>
      <x:c r="I18" s="9" t="str">
        <x:v>합성 비용 단위; 호출·토큰·단가를 실제로 관측하지 않음</x:v>
      </x:c>
    </x:row>
    <x:row r="19" ht="40" customHeight="1">
      <x:c r="A19" s="9" t="str">
        <x:v>SYN-REC-A-7</x:v>
      </x:c>
      <x:c r="B19" s="9" t="str">
        <x:v>SYN-G01-07</x:v>
      </x:c>
      <x:c r="C19" s="9" t="str">
        <x:v>A</x:v>
      </x:c>
      <x:c r="D19" s="9" t="str">
        <x:v>수신자</x:v>
      </x:c>
      <x:c r="E19" s="9" t="str">
        <x:v>Downstream 처리</x:v>
      </x:c>
      <x:c r="F19" s="9" t="str">
        <x:v>공통 수신자 비용 가정</x:v>
      </x:c>
      <x:c r="G19" s="10" t="n">
        <x:v>0.25</x:v>
      </x:c>
      <x:c r="H19" s="9" t="str">
        <x:v>사용</x:v>
      </x:c>
      <x:c r="I19" s="9" t="str">
        <x:v>동일 비용 가정; 실제 업무 실행 없음</x:v>
      </x:c>
    </x:row>
    <x:row r="20" ht="40" customHeight="1">
      <x:c r="A20" s="9" t="str">
        <x:v>SYN-COST-A-8</x:v>
      </x:c>
      <x:c r="B20" s="9" t="str">
        <x:v>SYN-G01-08</x:v>
      </x:c>
      <x:c r="C20" s="9" t="str">
        <x:v>A</x:v>
      </x:c>
      <x:c r="D20" s="9" t="str">
        <x:v>요청</x:v>
      </x:c>
      <x:c r="E20" s="9" t="str">
        <x:v>VIA 요청 처리</x:v>
      </x:c>
      <x:c r="F20" s="9" t="str">
        <x:v>현재 요청 해석·적용·조건부 원본 보완</x:v>
      </x:c>
      <x:c r="G20" s="10" t="n">
        <x:v>0.168</x:v>
      </x:c>
      <x:c r="H20" s="9" t="str">
        <x:v>사용</x:v>
      </x:c>
      <x:c r="I20" s="9" t="str">
        <x:v>합성 비용 단위; 호출·토큰·단가를 실제로 관측하지 않음</x:v>
      </x:c>
    </x:row>
    <x:row r="21" ht="40" customHeight="1">
      <x:c r="A21" s="9" t="str">
        <x:v>SYN-REC-A-8</x:v>
      </x:c>
      <x:c r="B21" s="9" t="str">
        <x:v>SYN-G01-08</x:v>
      </x:c>
      <x:c r="C21" s="9" t="str">
        <x:v>A</x:v>
      </x:c>
      <x:c r="D21" s="9" t="str">
        <x:v>수신자</x:v>
      </x:c>
      <x:c r="E21" s="9" t="str">
        <x:v>Downstream 처리</x:v>
      </x:c>
      <x:c r="F21" s="9" t="str">
        <x:v>공통 수신자 비용 가정</x:v>
      </x:c>
      <x:c r="G21" s="10" t="n">
        <x:v>0.25</x:v>
      </x:c>
      <x:c r="H21" s="9" t="str">
        <x:v>사용</x:v>
      </x:c>
      <x:c r="I21" s="9" t="str">
        <x:v>동일 비용 가정; 실제 업무 실행 없음</x:v>
      </x:c>
    </x:row>
    <x:row r="22" ht="40" customHeight="1">
      <x:c r="A22" s="9" t="str">
        <x:v>SYN-COST-A-9</x:v>
      </x:c>
      <x:c r="B22" s="9" t="str">
        <x:v>SYN-G01-09</x:v>
      </x:c>
      <x:c r="C22" s="9" t="str">
        <x:v>A</x:v>
      </x:c>
      <x:c r="D22" s="9" t="str">
        <x:v>요청</x:v>
      </x:c>
      <x:c r="E22" s="9" t="str">
        <x:v>VIA 요청 처리</x:v>
      </x:c>
      <x:c r="F22" s="9" t="str">
        <x:v>현재 요청 해석·적용·조건부 원본 보완</x:v>
      </x:c>
      <x:c r="G22" s="10" t="n">
        <x:v>0.177</x:v>
      </x:c>
      <x:c r="H22" s="9" t="str">
        <x:v>사용</x:v>
      </x:c>
      <x:c r="I22" s="9" t="str">
        <x:v>합성 비용 단위; 호출·토큰·단가를 실제로 관측하지 않음</x:v>
      </x:c>
    </x:row>
    <x:row r="23" ht="40" customHeight="1">
      <x:c r="A23" s="9" t="str">
        <x:v>SYN-REC-A-9</x:v>
      </x:c>
      <x:c r="B23" s="9" t="str">
        <x:v>SYN-G01-09</x:v>
      </x:c>
      <x:c r="C23" s="9" t="str">
        <x:v>A</x:v>
      </x:c>
      <x:c r="D23" s="9" t="str">
        <x:v>수신자</x:v>
      </x:c>
      <x:c r="E23" s="9" t="str">
        <x:v>Downstream 처리</x:v>
      </x:c>
      <x:c r="F23" s="9" t="str">
        <x:v>공통 수신자 비용 가정</x:v>
      </x:c>
      <x:c r="G23" s="10" t="n">
        <x:v>0.25</x:v>
      </x:c>
      <x:c r="H23" s="9" t="str">
        <x:v>사용</x:v>
      </x:c>
      <x:c r="I23" s="9" t="str">
        <x:v>동일 비용 가정; 실제 업무 실행 없음</x:v>
      </x:c>
    </x:row>
    <x:row r="24" ht="40" customHeight="1">
      <x:c r="A24" s="9" t="str">
        <x:v>SYN-COST-A-10</x:v>
      </x:c>
      <x:c r="B24" s="9" t="str">
        <x:v>SYN-G01-10</x:v>
      </x:c>
      <x:c r="C24" s="9" t="str">
        <x:v>A</x:v>
      </x:c>
      <x:c r="D24" s="9" t="str">
        <x:v>요청</x:v>
      </x:c>
      <x:c r="E24" s="9" t="str">
        <x:v>VIA 요청 처리</x:v>
      </x:c>
      <x:c r="F24" s="9" t="str">
        <x:v>현재 요청 해석·적용·조건부 원본 보완</x:v>
      </x:c>
      <x:c r="G24" s="10" t="n">
        <x:v>0.185</x:v>
      </x:c>
      <x:c r="H24" s="9" t="str">
        <x:v>사용</x:v>
      </x:c>
      <x:c r="I24" s="9" t="str">
        <x:v>합성 비용 단위; 호출·토큰·단가를 실제로 관측하지 않음</x:v>
      </x:c>
    </x:row>
    <x:row r="25" ht="40" customHeight="1">
      <x:c r="A25" s="9" t="str">
        <x:v>SYN-REC-A-10</x:v>
      </x:c>
      <x:c r="B25" s="9" t="str">
        <x:v>SYN-G01-10</x:v>
      </x:c>
      <x:c r="C25" s="9" t="str">
        <x:v>A</x:v>
      </x:c>
      <x:c r="D25" s="9" t="str">
        <x:v>수신자</x:v>
      </x:c>
      <x:c r="E25" s="9" t="str">
        <x:v>Downstream 처리</x:v>
      </x:c>
      <x:c r="F25" s="9" t="str">
        <x:v>공통 수신자 비용 가정</x:v>
      </x:c>
      <x:c r="G25" s="10" t="n">
        <x:v>0.25</x:v>
      </x:c>
      <x:c r="H25" s="9" t="str">
        <x:v>사용</x:v>
      </x:c>
      <x:c r="I25" s="9" t="str">
        <x:v>동일 비용 가정; 실제 업무 실행 없음</x:v>
      </x:c>
    </x:row>
    <x:row r="26" ht="40" customHeight="1">
      <x:c r="A26" s="9" t="str">
        <x:v>SYN-COST-A-11</x:v>
      </x:c>
      <x:c r="B26" s="9" t="str">
        <x:v>SYN-G02-01</x:v>
      </x:c>
      <x:c r="C26" s="9" t="str">
        <x:v>A</x:v>
      </x:c>
      <x:c r="D26" s="9" t="str">
        <x:v>요청</x:v>
      </x:c>
      <x:c r="E26" s="9" t="str">
        <x:v>VIA 요청 처리</x:v>
      </x:c>
      <x:c r="F26" s="9" t="str">
        <x:v>현재 요청 해석·적용·조건부 원본 보완</x:v>
      </x:c>
      <x:c r="G26" s="10" t="n">
        <x:v>0.956</x:v>
      </x:c>
      <x:c r="H26" s="9" t="str">
        <x:v>사용</x:v>
      </x:c>
      <x:c r="I26" s="9" t="str">
        <x:v>합성 비용 단위; 호출·토큰·단가를 실제로 관측하지 않음</x:v>
      </x:c>
    </x:row>
    <x:row r="27" ht="40" customHeight="1">
      <x:c r="A27" s="9" t="str">
        <x:v>SYN-REC-A-11</x:v>
      </x:c>
      <x:c r="B27" s="9" t="str">
        <x:v>SYN-G02-01</x:v>
      </x:c>
      <x:c r="C27" s="9" t="str">
        <x:v>A</x:v>
      </x:c>
      <x:c r="D27" s="9" t="str">
        <x:v>수신자</x:v>
      </x:c>
      <x:c r="E27" s="9" t="str">
        <x:v>Downstream 처리</x:v>
      </x:c>
      <x:c r="F27" s="9" t="str">
        <x:v>공통 수신자 비용 가정</x:v>
      </x:c>
      <x:c r="G27" s="10" t="n">
        <x:v>0.25</x:v>
      </x:c>
      <x:c r="H27" s="9" t="str">
        <x:v>사용</x:v>
      </x:c>
      <x:c r="I27" s="9" t="str">
        <x:v>동일 비용 가정; 실제 업무 실행 없음</x:v>
      </x:c>
    </x:row>
    <x:row r="28" ht="40" customHeight="1">
      <x:c r="A28" s="9" t="str">
        <x:v>SYN-COST-A-12</x:v>
      </x:c>
      <x:c r="B28" s="9" t="str">
        <x:v>SYN-G02-02</x:v>
      </x:c>
      <x:c r="C28" s="9" t="str">
        <x:v>A</x:v>
      </x:c>
      <x:c r="D28" s="9" t="str">
        <x:v>요청</x:v>
      </x:c>
      <x:c r="E28" s="9" t="str">
        <x:v>VIA 요청 처리</x:v>
      </x:c>
      <x:c r="F28" s="9" t="str">
        <x:v>현재 요청 해석·적용·조건부 원본 보완</x:v>
      </x:c>
      <x:c r="G28" s="10" t="n">
        <x:v>0.964</x:v>
      </x:c>
      <x:c r="H28" s="9" t="str">
        <x:v>사용</x:v>
      </x:c>
      <x:c r="I28" s="9" t="str">
        <x:v>합성 비용 단위; 호출·토큰·단가를 실제로 관측하지 않음</x:v>
      </x:c>
    </x:row>
    <x:row r="29" ht="40" customHeight="1">
      <x:c r="A29" s="9" t="str">
        <x:v>SYN-REC-A-12</x:v>
      </x:c>
      <x:c r="B29" s="9" t="str">
        <x:v>SYN-G02-02</x:v>
      </x:c>
      <x:c r="C29" s="9" t="str">
        <x:v>A</x:v>
      </x:c>
      <x:c r="D29" s="9" t="str">
        <x:v>수신자</x:v>
      </x:c>
      <x:c r="E29" s="9" t="str">
        <x:v>Downstream 처리</x:v>
      </x:c>
      <x:c r="F29" s="9" t="str">
        <x:v>공통 수신자 비용 가정</x:v>
      </x:c>
      <x:c r="G29" s="10" t="n">
        <x:v>0.25</x:v>
      </x:c>
      <x:c r="H29" s="9" t="str">
        <x:v>사용</x:v>
      </x:c>
      <x:c r="I29" s="9" t="str">
        <x:v>동일 비용 가정; 실제 업무 실행 없음</x:v>
      </x:c>
    </x:row>
    <x:row r="30" ht="40" customHeight="1">
      <x:c r="A30" s="9" t="str">
        <x:v>SYN-COST-A-13</x:v>
      </x:c>
      <x:c r="B30" s="9" t="str">
        <x:v>SYN-G02-03</x:v>
      </x:c>
      <x:c r="C30" s="9" t="str">
        <x:v>A</x:v>
      </x:c>
      <x:c r="D30" s="9" t="str">
        <x:v>요청</x:v>
      </x:c>
      <x:c r="E30" s="9" t="str">
        <x:v>VIA 요청 처리</x:v>
      </x:c>
      <x:c r="F30" s="9" t="str">
        <x:v>현재 요청 해석·적용·조건부 원본 보완</x:v>
      </x:c>
      <x:c r="G30" s="10" t="n">
        <x:v>0.973</x:v>
      </x:c>
      <x:c r="H30" s="9" t="str">
        <x:v>사용</x:v>
      </x:c>
      <x:c r="I30" s="9" t="str">
        <x:v>합성 비용 단위; 호출·토큰·단가를 실제로 관측하지 않음</x:v>
      </x:c>
    </x:row>
    <x:row r="31" ht="40" customHeight="1">
      <x:c r="A31" s="9" t="str">
        <x:v>SYN-REC-A-13</x:v>
      </x:c>
      <x:c r="B31" s="9" t="str">
        <x:v>SYN-G02-03</x:v>
      </x:c>
      <x:c r="C31" s="9" t="str">
        <x:v>A</x:v>
      </x:c>
      <x:c r="D31" s="9" t="str">
        <x:v>수신자</x:v>
      </x:c>
      <x:c r="E31" s="9" t="str">
        <x:v>Downstream 처리</x:v>
      </x:c>
      <x:c r="F31" s="9" t="str">
        <x:v>공통 수신자 비용 가정</x:v>
      </x:c>
      <x:c r="G31" s="10" t="n">
        <x:v>0.25</x:v>
      </x:c>
      <x:c r="H31" s="9" t="str">
        <x:v>사용</x:v>
      </x:c>
      <x:c r="I31" s="9" t="str">
        <x:v>동일 비용 가정; 실제 업무 실행 없음</x:v>
      </x:c>
    </x:row>
    <x:row r="32" ht="40" customHeight="1">
      <x:c r="A32" s="9" t="str">
        <x:v>SYN-COST-A-14</x:v>
      </x:c>
      <x:c r="B32" s="9" t="str">
        <x:v>SYN-G02-04</x:v>
      </x:c>
      <x:c r="C32" s="9" t="str">
        <x:v>A</x:v>
      </x:c>
      <x:c r="D32" s="9" t="str">
        <x:v>요청</x:v>
      </x:c>
      <x:c r="E32" s="9" t="str">
        <x:v>VIA 요청 처리</x:v>
      </x:c>
      <x:c r="F32" s="9" t="str">
        <x:v>현재 요청 해석·적용·조건부 원본 보완</x:v>
      </x:c>
      <x:c r="G32" s="10" t="n">
        <x:v>0.981</x:v>
      </x:c>
      <x:c r="H32" s="9" t="str">
        <x:v>사용</x:v>
      </x:c>
      <x:c r="I32" s="9" t="str">
        <x:v>합성 비용 단위; 호출·토큰·단가를 실제로 관측하지 않음</x:v>
      </x:c>
    </x:row>
    <x:row r="33" ht="40" customHeight="1">
      <x:c r="A33" s="9" t="str">
        <x:v>SYN-REC-A-14</x:v>
      </x:c>
      <x:c r="B33" s="9" t="str">
        <x:v>SYN-G02-04</x:v>
      </x:c>
      <x:c r="C33" s="9" t="str">
        <x:v>A</x:v>
      </x:c>
      <x:c r="D33" s="9" t="str">
        <x:v>수신자</x:v>
      </x:c>
      <x:c r="E33" s="9" t="str">
        <x:v>Downstream 처리</x:v>
      </x:c>
      <x:c r="F33" s="9" t="str">
        <x:v>공통 수신자 비용 가정</x:v>
      </x:c>
      <x:c r="G33" s="10" t="n">
        <x:v>0.25</x:v>
      </x:c>
      <x:c r="H33" s="9" t="str">
        <x:v>사용</x:v>
      </x:c>
      <x:c r="I33" s="9" t="str">
        <x:v>동일 비용 가정; 실제 업무 실행 없음</x:v>
      </x:c>
    </x:row>
    <x:row r="34" ht="40" customHeight="1">
      <x:c r="A34" s="9" t="str">
        <x:v>SYN-COST-A-15</x:v>
      </x:c>
      <x:c r="B34" s="9" t="str">
        <x:v>SYN-G02-05</x:v>
      </x:c>
      <x:c r="C34" s="9" t="str">
        <x:v>A</x:v>
      </x:c>
      <x:c r="D34" s="9" t="str">
        <x:v>요청</x:v>
      </x:c>
      <x:c r="E34" s="9" t="str">
        <x:v>VIA 요청 처리</x:v>
      </x:c>
      <x:c r="F34" s="9" t="str">
        <x:v>현재 요청 해석·적용·조건부 원본 보완</x:v>
      </x:c>
      <x:c r="G34" s="10" t="n">
        <x:v>0.989</x:v>
      </x:c>
      <x:c r="H34" s="9" t="str">
        <x:v>사용</x:v>
      </x:c>
      <x:c r="I34" s="9" t="str">
        <x:v>합성 비용 단위; 호출·토큰·단가를 실제로 관측하지 않음</x:v>
      </x:c>
    </x:row>
    <x:row r="35" ht="40" customHeight="1">
      <x:c r="A35" s="9" t="str">
        <x:v>SYN-REC-A-15</x:v>
      </x:c>
      <x:c r="B35" s="9" t="str">
        <x:v>SYN-G02-05</x:v>
      </x:c>
      <x:c r="C35" s="9" t="str">
        <x:v>A</x:v>
      </x:c>
      <x:c r="D35" s="9" t="str">
        <x:v>수신자</x:v>
      </x:c>
      <x:c r="E35" s="9" t="str">
        <x:v>Downstream 처리</x:v>
      </x:c>
      <x:c r="F35" s="9" t="str">
        <x:v>공통 수신자 비용 가정</x:v>
      </x:c>
      <x:c r="G35" s="10" t="n">
        <x:v>0.25</x:v>
      </x:c>
      <x:c r="H35" s="9" t="str">
        <x:v>사용</x:v>
      </x:c>
      <x:c r="I35" s="9" t="str">
        <x:v>동일 비용 가정; 실제 업무 실행 없음</x:v>
      </x:c>
    </x:row>
    <x:row r="36" ht="40" customHeight="1">
      <x:c r="A36" s="9" t="str">
        <x:v>SYN-COST-A-16</x:v>
      </x:c>
      <x:c r="B36" s="9" t="str">
        <x:v>SYN-G02-06</x:v>
      </x:c>
      <x:c r="C36" s="9" t="str">
        <x:v>A</x:v>
      </x:c>
      <x:c r="D36" s="9" t="str">
        <x:v>요청</x:v>
      </x:c>
      <x:c r="E36" s="9" t="str">
        <x:v>VIA 요청 처리</x:v>
      </x:c>
      <x:c r="F36" s="9" t="str">
        <x:v>현재 요청 해석·적용·조건부 원본 보완</x:v>
      </x:c>
      <x:c r="G36" s="10" t="n">
        <x:v>0.998</x:v>
      </x:c>
      <x:c r="H36" s="9" t="str">
        <x:v>사용</x:v>
      </x:c>
      <x:c r="I36" s="9" t="str">
        <x:v>합성 비용 단위; 호출·토큰·단가를 실제로 관측하지 않음</x:v>
      </x:c>
    </x:row>
    <x:row r="37" ht="40" customHeight="1">
      <x:c r="A37" s="9" t="str">
        <x:v>SYN-REC-A-16</x:v>
      </x:c>
      <x:c r="B37" s="9" t="str">
        <x:v>SYN-G02-06</x:v>
      </x:c>
      <x:c r="C37" s="9" t="str">
        <x:v>A</x:v>
      </x:c>
      <x:c r="D37" s="9" t="str">
        <x:v>수신자</x:v>
      </x:c>
      <x:c r="E37" s="9" t="str">
        <x:v>Downstream 처리</x:v>
      </x:c>
      <x:c r="F37" s="9" t="str">
        <x:v>공통 수신자 비용 가정</x:v>
      </x:c>
      <x:c r="G37" s="10" t="n">
        <x:v>0.25</x:v>
      </x:c>
      <x:c r="H37" s="9" t="str">
        <x:v>사용</x:v>
      </x:c>
      <x:c r="I37" s="9" t="str">
        <x:v>동일 비용 가정; 실제 업무 실행 없음</x:v>
      </x:c>
    </x:row>
    <x:row r="38" ht="40" customHeight="1">
      <x:c r="A38" s="9" t="str">
        <x:v>SYN-COST-A-17</x:v>
      </x:c>
      <x:c r="B38" s="9" t="str">
        <x:v>SYN-G02-07</x:v>
      </x:c>
      <x:c r="C38" s="9" t="str">
        <x:v>A</x:v>
      </x:c>
      <x:c r="D38" s="9" t="str">
        <x:v>요청</x:v>
      </x:c>
      <x:c r="E38" s="9" t="str">
        <x:v>VIA 요청 처리</x:v>
      </x:c>
      <x:c r="F38" s="9" t="str">
        <x:v>현재 요청 해석·적용·조건부 원본 보완</x:v>
      </x:c>
      <x:c r="G38" s="10" t="n">
        <x:v>1.006</x:v>
      </x:c>
      <x:c r="H38" s="9" t="str">
        <x:v>사용</x:v>
      </x:c>
      <x:c r="I38" s="9" t="str">
        <x:v>합성 비용 단위; 호출·토큰·단가를 실제로 관측하지 않음</x:v>
      </x:c>
    </x:row>
    <x:row r="39" ht="40" customHeight="1">
      <x:c r="A39" s="9" t="str">
        <x:v>SYN-REC-A-17</x:v>
      </x:c>
      <x:c r="B39" s="9" t="str">
        <x:v>SYN-G02-07</x:v>
      </x:c>
      <x:c r="C39" s="9" t="str">
        <x:v>A</x:v>
      </x:c>
      <x:c r="D39" s="9" t="str">
        <x:v>수신자</x:v>
      </x:c>
      <x:c r="E39" s="9" t="str">
        <x:v>Downstream 처리</x:v>
      </x:c>
      <x:c r="F39" s="9" t="str">
        <x:v>공통 수신자 비용 가정</x:v>
      </x:c>
      <x:c r="G39" s="10" t="n">
        <x:v>0.25</x:v>
      </x:c>
      <x:c r="H39" s="9" t="str">
        <x:v>사용</x:v>
      </x:c>
      <x:c r="I39" s="9" t="str">
        <x:v>동일 비용 가정; 실제 업무 실행 없음</x:v>
      </x:c>
    </x:row>
    <x:row r="40" ht="40" customHeight="1">
      <x:c r="A40" s="9" t="str">
        <x:v>SYN-COST-A-18</x:v>
      </x:c>
      <x:c r="B40" s="9" t="str">
        <x:v>SYN-G02-08</x:v>
      </x:c>
      <x:c r="C40" s="9" t="str">
        <x:v>A</x:v>
      </x:c>
      <x:c r="D40" s="9" t="str">
        <x:v>요청</x:v>
      </x:c>
      <x:c r="E40" s="9" t="str">
        <x:v>VIA 요청 처리</x:v>
      </x:c>
      <x:c r="F40" s="9" t="str">
        <x:v>현재 요청 해석·적용·조건부 원본 보완</x:v>
      </x:c>
      <x:c r="G40" s="10" t="n">
        <x:v>1.014</x:v>
      </x:c>
      <x:c r="H40" s="9" t="str">
        <x:v>사용</x:v>
      </x:c>
      <x:c r="I40" s="9" t="str">
        <x:v>합성 비용 단위; 호출·토큰·단가를 실제로 관측하지 않음</x:v>
      </x:c>
    </x:row>
    <x:row r="41" ht="40" customHeight="1">
      <x:c r="A41" s="9" t="str">
        <x:v>SYN-REC-A-18</x:v>
      </x:c>
      <x:c r="B41" s="9" t="str">
        <x:v>SYN-G02-08</x:v>
      </x:c>
      <x:c r="C41" s="9" t="str">
        <x:v>A</x:v>
      </x:c>
      <x:c r="D41" s="9" t="str">
        <x:v>수신자</x:v>
      </x:c>
      <x:c r="E41" s="9" t="str">
        <x:v>Downstream 처리</x:v>
      </x:c>
      <x:c r="F41" s="9" t="str">
        <x:v>공통 수신자 비용 가정</x:v>
      </x:c>
      <x:c r="G41" s="10" t="n">
        <x:v>0.25</x:v>
      </x:c>
      <x:c r="H41" s="9" t="str">
        <x:v>사용</x:v>
      </x:c>
      <x:c r="I41" s="9" t="str">
        <x:v>동일 비용 가정; 실제 업무 실행 없음</x:v>
      </x:c>
    </x:row>
    <x:row r="42" ht="40" customHeight="1">
      <x:c r="A42" s="9" t="str">
        <x:v>SYN-COST-A-19</x:v>
      </x:c>
      <x:c r="B42" s="9" t="str">
        <x:v>SYN-G02-09</x:v>
      </x:c>
      <x:c r="C42" s="9" t="str">
        <x:v>A</x:v>
      </x:c>
      <x:c r="D42" s="9" t="str">
        <x:v>요청</x:v>
      </x:c>
      <x:c r="E42" s="9" t="str">
        <x:v>VIA 요청 처리</x:v>
      </x:c>
      <x:c r="F42" s="9" t="str">
        <x:v>현재 요청 해석·적용·조건부 원본 보완</x:v>
      </x:c>
      <x:c r="G42" s="10" t="n">
        <x:v>1.023</x:v>
      </x:c>
      <x:c r="H42" s="9" t="str">
        <x:v>사용</x:v>
      </x:c>
      <x:c r="I42" s="9" t="str">
        <x:v>합성 비용 단위; 호출·토큰·단가를 실제로 관측하지 않음</x:v>
      </x:c>
    </x:row>
    <x:row r="43" ht="40" customHeight="1">
      <x:c r="A43" s="9" t="str">
        <x:v>SYN-REC-A-19</x:v>
      </x:c>
      <x:c r="B43" s="9" t="str">
        <x:v>SYN-G02-09</x:v>
      </x:c>
      <x:c r="C43" s="9" t="str">
        <x:v>A</x:v>
      </x:c>
      <x:c r="D43" s="9" t="str">
        <x:v>수신자</x:v>
      </x:c>
      <x:c r="E43" s="9" t="str">
        <x:v>Downstream 처리</x:v>
      </x:c>
      <x:c r="F43" s="9" t="str">
        <x:v>공통 수신자 비용 가정</x:v>
      </x:c>
      <x:c r="G43" s="10" t="n">
        <x:v>0.25</x:v>
      </x:c>
      <x:c r="H43" s="9" t="str">
        <x:v>사용</x:v>
      </x:c>
      <x:c r="I43" s="9" t="str">
        <x:v>동일 비용 가정; 실제 업무 실행 없음</x:v>
      </x:c>
    </x:row>
    <x:row r="44" ht="40" customHeight="1">
      <x:c r="A44" s="9" t="str">
        <x:v>SYN-COST-A-20</x:v>
      </x:c>
      <x:c r="B44" s="9" t="str">
        <x:v>SYN-G02-10</x:v>
      </x:c>
      <x:c r="C44" s="9" t="str">
        <x:v>A</x:v>
      </x:c>
      <x:c r="D44" s="9" t="str">
        <x:v>요청</x:v>
      </x:c>
      <x:c r="E44" s="9" t="str">
        <x:v>VIA 요청 처리</x:v>
      </x:c>
      <x:c r="F44" s="9" t="str">
        <x:v>현재 요청 해석·적용·조건부 원본 보완</x:v>
      </x:c>
      <x:c r="G44" s="10" t="n">
        <x:v>1.031</x:v>
      </x:c>
      <x:c r="H44" s="9" t="str">
        <x:v>사용</x:v>
      </x:c>
      <x:c r="I44" s="9" t="str">
        <x:v>합성 비용 단위; 호출·토큰·단가를 실제로 관측하지 않음</x:v>
      </x:c>
    </x:row>
    <x:row r="45" ht="40" customHeight="1">
      <x:c r="A45" s="9" t="str">
        <x:v>SYN-REC-A-20</x:v>
      </x:c>
      <x:c r="B45" s="9" t="str">
        <x:v>SYN-G02-10</x:v>
      </x:c>
      <x:c r="C45" s="9" t="str">
        <x:v>A</x:v>
      </x:c>
      <x:c r="D45" s="9" t="str">
        <x:v>수신자</x:v>
      </x:c>
      <x:c r="E45" s="9" t="str">
        <x:v>Downstream 처리</x:v>
      </x:c>
      <x:c r="F45" s="9" t="str">
        <x:v>공통 수신자 비용 가정</x:v>
      </x:c>
      <x:c r="G45" s="10" t="n">
        <x:v>0.25</x:v>
      </x:c>
      <x:c r="H45" s="9" t="str">
        <x:v>사용</x:v>
      </x:c>
      <x:c r="I45" s="9" t="str">
        <x:v>동일 비용 가정; 실제 업무 실행 없음</x:v>
      </x:c>
    </x:row>
    <x:row r="46" ht="40" customHeight="1">
      <x:c r="A46" s="9" t="str">
        <x:v>SYN-COST-A-21</x:v>
      </x:c>
      <x:c r="B46" s="9" t="str">
        <x:v>SYN-G03-01</x:v>
      </x:c>
      <x:c r="C46" s="9" t="str">
        <x:v>A</x:v>
      </x:c>
      <x:c r="D46" s="9" t="str">
        <x:v>요청</x:v>
      </x:c>
      <x:c r="E46" s="9" t="str">
        <x:v>VIA 요청 처리</x:v>
      </x:c>
      <x:c r="F46" s="9" t="str">
        <x:v>현재 요청 해석·적용·조건부 원본 보완</x:v>
      </x:c>
      <x:c r="G46" s="10" t="n">
        <x:v>1.142</x:v>
      </x:c>
      <x:c r="H46" s="9" t="str">
        <x:v>사용</x:v>
      </x:c>
      <x:c r="I46" s="9" t="str">
        <x:v>합성 비용 단위; 호출·토큰·단가를 실제로 관측하지 않음</x:v>
      </x:c>
    </x:row>
    <x:row r="47" ht="40" customHeight="1">
      <x:c r="A47" s="9" t="str">
        <x:v>SYN-REC-A-21</x:v>
      </x:c>
      <x:c r="B47" s="9" t="str">
        <x:v>SYN-G03-01</x:v>
      </x:c>
      <x:c r="C47" s="9" t="str">
        <x:v>A</x:v>
      </x:c>
      <x:c r="D47" s="9" t="str">
        <x:v>수신자</x:v>
      </x:c>
      <x:c r="E47" s="9" t="str">
        <x:v>Downstream 처리</x:v>
      </x:c>
      <x:c r="F47" s="9" t="str">
        <x:v>공통 수신자 비용 가정</x:v>
      </x:c>
      <x:c r="G47" s="10" t="n">
        <x:v>0.25</x:v>
      </x:c>
      <x:c r="H47" s="9" t="str">
        <x:v>사용</x:v>
      </x:c>
      <x:c r="I47" s="9" t="str">
        <x:v>동일 비용 가정; 실제 업무 실행 없음</x:v>
      </x:c>
    </x:row>
    <x:row r="48" ht="40" customHeight="1">
      <x:c r="A48" s="9" t="str">
        <x:v>SYN-COST-A-22</x:v>
      </x:c>
      <x:c r="B48" s="9" t="str">
        <x:v>SYN-G03-02</x:v>
      </x:c>
      <x:c r="C48" s="9" t="str">
        <x:v>A</x:v>
      </x:c>
      <x:c r="D48" s="9" t="str">
        <x:v>요청</x:v>
      </x:c>
      <x:c r="E48" s="9" t="str">
        <x:v>VIA 요청 처리</x:v>
      </x:c>
      <x:c r="F48" s="9" t="str">
        <x:v>현재 요청 해석·적용·조건부 원본 보완</x:v>
      </x:c>
      <x:c r="G48" s="10" t="n">
        <x:v>1.15</x:v>
      </x:c>
      <x:c r="H48" s="9" t="str">
        <x:v>사용</x:v>
      </x:c>
      <x:c r="I48" s="9" t="str">
        <x:v>합성 비용 단위; 호출·토큰·단가를 실제로 관측하지 않음</x:v>
      </x:c>
    </x:row>
    <x:row r="49" ht="40" customHeight="1">
      <x:c r="A49" s="9" t="str">
        <x:v>SYN-REC-A-22</x:v>
      </x:c>
      <x:c r="B49" s="9" t="str">
        <x:v>SYN-G03-02</x:v>
      </x:c>
      <x:c r="C49" s="9" t="str">
        <x:v>A</x:v>
      </x:c>
      <x:c r="D49" s="9" t="str">
        <x:v>수신자</x:v>
      </x:c>
      <x:c r="E49" s="9" t="str">
        <x:v>Downstream 처리</x:v>
      </x:c>
      <x:c r="F49" s="9" t="str">
        <x:v>공통 수신자 비용 가정</x:v>
      </x:c>
      <x:c r="G49" s="10" t="n">
        <x:v>0.25</x:v>
      </x:c>
      <x:c r="H49" s="9" t="str">
        <x:v>사용</x:v>
      </x:c>
      <x:c r="I49" s="9" t="str">
        <x:v>동일 비용 가정; 실제 업무 실행 없음</x:v>
      </x:c>
    </x:row>
    <x:row r="50" ht="40" customHeight="1">
      <x:c r="A50" s="9" t="str">
        <x:v>SYN-COST-A-23</x:v>
      </x:c>
      <x:c r="B50" s="9" t="str">
        <x:v>SYN-G03-03</x:v>
      </x:c>
      <x:c r="C50" s="9" t="str">
        <x:v>A</x:v>
      </x:c>
      <x:c r="D50" s="9" t="str">
        <x:v>요청</x:v>
      </x:c>
      <x:c r="E50" s="9" t="str">
        <x:v>VIA 요청 처리</x:v>
      </x:c>
      <x:c r="F50" s="9" t="str">
        <x:v>현재 요청 해석·적용·조건부 원본 보완</x:v>
      </x:c>
      <x:c r="G50" s="10" t="n">
        <x:v>1.159</x:v>
      </x:c>
      <x:c r="H50" s="9" t="str">
        <x:v>사용</x:v>
      </x:c>
      <x:c r="I50" s="9" t="str">
        <x:v>합성 비용 단위; 호출·토큰·단가를 실제로 관측하지 않음</x:v>
      </x:c>
    </x:row>
    <x:row r="51" ht="40" customHeight="1">
      <x:c r="A51" s="9" t="str">
        <x:v>SYN-REC-A-23</x:v>
      </x:c>
      <x:c r="B51" s="9" t="str">
        <x:v>SYN-G03-03</x:v>
      </x:c>
      <x:c r="C51" s="9" t="str">
        <x:v>A</x:v>
      </x:c>
      <x:c r="D51" s="9" t="str">
        <x:v>수신자</x:v>
      </x:c>
      <x:c r="E51" s="9" t="str">
        <x:v>Downstream 처리</x:v>
      </x:c>
      <x:c r="F51" s="9" t="str">
        <x:v>공통 수신자 비용 가정</x:v>
      </x:c>
      <x:c r="G51" s="10" t="n">
        <x:v>0.25</x:v>
      </x:c>
      <x:c r="H51" s="9" t="str">
        <x:v>사용</x:v>
      </x:c>
      <x:c r="I51" s="9" t="str">
        <x:v>동일 비용 가정; 실제 업무 실행 없음</x:v>
      </x:c>
    </x:row>
    <x:row r="52" ht="40" customHeight="1">
      <x:c r="A52" s="9" t="str">
        <x:v>SYN-COST-A-24</x:v>
      </x:c>
      <x:c r="B52" s="9" t="str">
        <x:v>SYN-G03-04</x:v>
      </x:c>
      <x:c r="C52" s="9" t="str">
        <x:v>A</x:v>
      </x:c>
      <x:c r="D52" s="9" t="str">
        <x:v>요청</x:v>
      </x:c>
      <x:c r="E52" s="9" t="str">
        <x:v>VIA 요청 처리</x:v>
      </x:c>
      <x:c r="F52" s="9" t="str">
        <x:v>현재 요청 해석·적용·조건부 원본 보완</x:v>
      </x:c>
      <x:c r="G52" s="10" t="n">
        <x:v>1.167</x:v>
      </x:c>
      <x:c r="H52" s="9" t="str">
        <x:v>사용</x:v>
      </x:c>
      <x:c r="I52" s="9" t="str">
        <x:v>합성 비용 단위; 호출·토큰·단가를 실제로 관측하지 않음</x:v>
      </x:c>
    </x:row>
    <x:row r="53" ht="40" customHeight="1">
      <x:c r="A53" s="9" t="str">
        <x:v>SYN-REC-A-24</x:v>
      </x:c>
      <x:c r="B53" s="9" t="str">
        <x:v>SYN-G03-04</x:v>
      </x:c>
      <x:c r="C53" s="9" t="str">
        <x:v>A</x:v>
      </x:c>
      <x:c r="D53" s="9" t="str">
        <x:v>수신자</x:v>
      </x:c>
      <x:c r="E53" s="9" t="str">
        <x:v>Downstream 처리</x:v>
      </x:c>
      <x:c r="F53" s="9" t="str">
        <x:v>공통 수신자 비용 가정</x:v>
      </x:c>
      <x:c r="G53" s="10" t="n">
        <x:v>0.25</x:v>
      </x:c>
      <x:c r="H53" s="9" t="str">
        <x:v>사용</x:v>
      </x:c>
      <x:c r="I53" s="9" t="str">
        <x:v>동일 비용 가정; 실제 업무 실행 없음</x:v>
      </x:c>
    </x:row>
    <x:row r="54" ht="40" customHeight="1">
      <x:c r="A54" s="9" t="str">
        <x:v>SYN-COST-A-25</x:v>
      </x:c>
      <x:c r="B54" s="9" t="str">
        <x:v>SYN-G03-05</x:v>
      </x:c>
      <x:c r="C54" s="9" t="str">
        <x:v>A</x:v>
      </x:c>
      <x:c r="D54" s="9" t="str">
        <x:v>요청</x:v>
      </x:c>
      <x:c r="E54" s="9" t="str">
        <x:v>VIA 요청 처리</x:v>
      </x:c>
      <x:c r="F54" s="9" t="str">
        <x:v>현재 요청 해석·적용·조건부 원본 보완</x:v>
      </x:c>
      <x:c r="G54" s="10" t="n">
        <x:v>1.175</x:v>
      </x:c>
      <x:c r="H54" s="9" t="str">
        <x:v>사용</x:v>
      </x:c>
      <x:c r="I54" s="9" t="str">
        <x:v>합성 비용 단위; 호출·토큰·단가를 실제로 관측하지 않음</x:v>
      </x:c>
    </x:row>
    <x:row r="55" ht="40" customHeight="1">
      <x:c r="A55" s="9" t="str">
        <x:v>SYN-REC-A-25</x:v>
      </x:c>
      <x:c r="B55" s="9" t="str">
        <x:v>SYN-G03-05</x:v>
      </x:c>
      <x:c r="C55" s="9" t="str">
        <x:v>A</x:v>
      </x:c>
      <x:c r="D55" s="9" t="str">
        <x:v>수신자</x:v>
      </x:c>
      <x:c r="E55" s="9" t="str">
        <x:v>Downstream 처리</x:v>
      </x:c>
      <x:c r="F55" s="9" t="str">
        <x:v>공통 수신자 비용 가정</x:v>
      </x:c>
      <x:c r="G55" s="10" t="n">
        <x:v>0.25</x:v>
      </x:c>
      <x:c r="H55" s="9" t="str">
        <x:v>사용</x:v>
      </x:c>
      <x:c r="I55" s="9" t="str">
        <x:v>동일 비용 가정; 실제 업무 실행 없음</x:v>
      </x:c>
    </x:row>
    <x:row r="56" ht="40" customHeight="1">
      <x:c r="A56" s="9" t="str">
        <x:v>SYN-COST-A-26</x:v>
      </x:c>
      <x:c r="B56" s="9" t="str">
        <x:v>SYN-G03-06</x:v>
      </x:c>
      <x:c r="C56" s="9" t="str">
        <x:v>A</x:v>
      </x:c>
      <x:c r="D56" s="9" t="str">
        <x:v>요청</x:v>
      </x:c>
      <x:c r="E56" s="9" t="str">
        <x:v>VIA 요청 처리</x:v>
      </x:c>
      <x:c r="F56" s="9" t="str">
        <x:v>현재 요청 해석·적용·조건부 원본 보완</x:v>
      </x:c>
      <x:c r="G56" s="10" t="n">
        <x:v>1.184</x:v>
      </x:c>
      <x:c r="H56" s="9" t="str">
        <x:v>사용</x:v>
      </x:c>
      <x:c r="I56" s="9" t="str">
        <x:v>합성 비용 단위; 호출·토큰·단가를 실제로 관측하지 않음</x:v>
      </x:c>
    </x:row>
    <x:row r="57" ht="40" customHeight="1">
      <x:c r="A57" s="9" t="str">
        <x:v>SYN-REC-A-26</x:v>
      </x:c>
      <x:c r="B57" s="9" t="str">
        <x:v>SYN-G03-06</x:v>
      </x:c>
      <x:c r="C57" s="9" t="str">
        <x:v>A</x:v>
      </x:c>
      <x:c r="D57" s="9" t="str">
        <x:v>수신자</x:v>
      </x:c>
      <x:c r="E57" s="9" t="str">
        <x:v>Downstream 처리</x:v>
      </x:c>
      <x:c r="F57" s="9" t="str">
        <x:v>공통 수신자 비용 가정</x:v>
      </x:c>
      <x:c r="G57" s="10" t="n">
        <x:v>0.25</x:v>
      </x:c>
      <x:c r="H57" s="9" t="str">
        <x:v>사용</x:v>
      </x:c>
      <x:c r="I57" s="9" t="str">
        <x:v>동일 비용 가정; 실제 업무 실행 없음</x:v>
      </x:c>
    </x:row>
    <x:row r="58" ht="40" customHeight="1">
      <x:c r="A58" s="9" t="str">
        <x:v>SYN-COST-A-27</x:v>
      </x:c>
      <x:c r="B58" s="9" t="str">
        <x:v>SYN-G03-07</x:v>
      </x:c>
      <x:c r="C58" s="9" t="str">
        <x:v>A</x:v>
      </x:c>
      <x:c r="D58" s="9" t="str">
        <x:v>요청</x:v>
      </x:c>
      <x:c r="E58" s="9" t="str">
        <x:v>VIA 요청 처리</x:v>
      </x:c>
      <x:c r="F58" s="9" t="str">
        <x:v>현재 요청 해석·적용·조건부 원본 보완</x:v>
      </x:c>
      <x:c r="G58" s="10" t="n">
        <x:v>1.192</x:v>
      </x:c>
      <x:c r="H58" s="9" t="str">
        <x:v>사용</x:v>
      </x:c>
      <x:c r="I58" s="9" t="str">
        <x:v>합성 비용 단위; 호출·토큰·단가를 실제로 관측하지 않음</x:v>
      </x:c>
    </x:row>
    <x:row r="59" ht="40" customHeight="1">
      <x:c r="A59" s="9" t="str">
        <x:v>SYN-REC-A-27</x:v>
      </x:c>
      <x:c r="B59" s="9" t="str">
        <x:v>SYN-G03-07</x:v>
      </x:c>
      <x:c r="C59" s="9" t="str">
        <x:v>A</x:v>
      </x:c>
      <x:c r="D59" s="9" t="str">
        <x:v>수신자</x:v>
      </x:c>
      <x:c r="E59" s="9" t="str">
        <x:v>Downstream 처리</x:v>
      </x:c>
      <x:c r="F59" s="9" t="str">
        <x:v>공통 수신자 비용 가정</x:v>
      </x:c>
      <x:c r="G59" s="10" t="n">
        <x:v>0.25</x:v>
      </x:c>
      <x:c r="H59" s="9" t="str">
        <x:v>사용</x:v>
      </x:c>
      <x:c r="I59" s="9" t="str">
        <x:v>동일 비용 가정; 실제 업무 실행 없음</x:v>
      </x:c>
    </x:row>
    <x:row r="60" ht="40" customHeight="1">
      <x:c r="A60" s="9" t="str">
        <x:v>SYN-COST-A-28</x:v>
      </x:c>
      <x:c r="B60" s="9" t="str">
        <x:v>SYN-G03-08</x:v>
      </x:c>
      <x:c r="C60" s="9" t="str">
        <x:v>A</x:v>
      </x:c>
      <x:c r="D60" s="9" t="str">
        <x:v>요청</x:v>
      </x:c>
      <x:c r="E60" s="9" t="str">
        <x:v>VIA 요청 처리</x:v>
      </x:c>
      <x:c r="F60" s="9" t="str">
        <x:v>현재 요청 해석·적용·조건부 원본 보완</x:v>
      </x:c>
      <x:c r="G60" s="10" t="n">
        <x:v>1.2</x:v>
      </x:c>
      <x:c r="H60" s="9" t="str">
        <x:v>사용</x:v>
      </x:c>
      <x:c r="I60" s="9" t="str">
        <x:v>합성 비용 단위; 호출·토큰·단가를 실제로 관측하지 않음</x:v>
      </x:c>
    </x:row>
    <x:row r="61" ht="40" customHeight="1">
      <x:c r="A61" s="9" t="str">
        <x:v>SYN-REC-A-28</x:v>
      </x:c>
      <x:c r="B61" s="9" t="str">
        <x:v>SYN-G03-08</x:v>
      </x:c>
      <x:c r="C61" s="9" t="str">
        <x:v>A</x:v>
      </x:c>
      <x:c r="D61" s="9" t="str">
        <x:v>수신자</x:v>
      </x:c>
      <x:c r="E61" s="9" t="str">
        <x:v>Downstream 처리</x:v>
      </x:c>
      <x:c r="F61" s="9" t="str">
        <x:v>공통 수신자 비용 가정</x:v>
      </x:c>
      <x:c r="G61" s="10" t="n">
        <x:v>0.25</x:v>
      </x:c>
      <x:c r="H61" s="9" t="str">
        <x:v>사용</x:v>
      </x:c>
      <x:c r="I61" s="9" t="str">
        <x:v>동일 비용 가정; 실제 업무 실행 없음</x:v>
      </x:c>
    </x:row>
    <x:row r="62" ht="40" customHeight="1">
      <x:c r="A62" s="9" t="str">
        <x:v>SYN-COST-A-29</x:v>
      </x:c>
      <x:c r="B62" s="9" t="str">
        <x:v>SYN-G03-09</x:v>
      </x:c>
      <x:c r="C62" s="9" t="str">
        <x:v>A</x:v>
      </x:c>
      <x:c r="D62" s="9" t="str">
        <x:v>요청</x:v>
      </x:c>
      <x:c r="E62" s="9" t="str">
        <x:v>VIA 요청 처리</x:v>
      </x:c>
      <x:c r="F62" s="9" t="str">
        <x:v>현재 요청 해석·적용·조건부 원본 보완</x:v>
      </x:c>
      <x:c r="G62" s="10" t="n">
        <x:v>1.209</x:v>
      </x:c>
      <x:c r="H62" s="9" t="str">
        <x:v>사용</x:v>
      </x:c>
      <x:c r="I62" s="9" t="str">
        <x:v>합성 비용 단위; 호출·토큰·단가를 실제로 관측하지 않음</x:v>
      </x:c>
    </x:row>
    <x:row r="63" ht="40" customHeight="1">
      <x:c r="A63" s="9" t="str">
        <x:v>SYN-REC-A-29</x:v>
      </x:c>
      <x:c r="B63" s="9" t="str">
        <x:v>SYN-G03-09</x:v>
      </x:c>
      <x:c r="C63" s="9" t="str">
        <x:v>A</x:v>
      </x:c>
      <x:c r="D63" s="9" t="str">
        <x:v>수신자</x:v>
      </x:c>
      <x:c r="E63" s="9" t="str">
        <x:v>Downstream 처리</x:v>
      </x:c>
      <x:c r="F63" s="9" t="str">
        <x:v>공통 수신자 비용 가정</x:v>
      </x:c>
      <x:c r="G63" s="10" t="n">
        <x:v>0.25</x:v>
      </x:c>
      <x:c r="H63" s="9" t="str">
        <x:v>사용</x:v>
      </x:c>
      <x:c r="I63" s="9" t="str">
        <x:v>동일 비용 가정; 실제 업무 실행 없음</x:v>
      </x:c>
    </x:row>
    <x:row r="64" ht="40" customHeight="1">
      <x:c r="A64" s="9" t="str">
        <x:v>SYN-COST-A-30</x:v>
      </x:c>
      <x:c r="B64" s="9" t="str">
        <x:v>SYN-G03-10</x:v>
      </x:c>
      <x:c r="C64" s="9" t="str">
        <x:v>A</x:v>
      </x:c>
      <x:c r="D64" s="9" t="str">
        <x:v>요청</x:v>
      </x:c>
      <x:c r="E64" s="9" t="str">
        <x:v>VIA 요청 처리</x:v>
      </x:c>
      <x:c r="F64" s="9" t="str">
        <x:v>현재 요청 해석·적용·조건부 원본 보완</x:v>
      </x:c>
      <x:c r="G64" s="10" t="n">
        <x:v>1.217</x:v>
      </x:c>
      <x:c r="H64" s="9" t="str">
        <x:v>사용</x:v>
      </x:c>
      <x:c r="I64" s="9" t="str">
        <x:v>합성 비용 단위; 호출·토큰·단가를 실제로 관측하지 않음</x:v>
      </x:c>
    </x:row>
    <x:row r="65" ht="40" customHeight="1">
      <x:c r="A65" s="9" t="str">
        <x:v>SYN-REC-A-30</x:v>
      </x:c>
      <x:c r="B65" s="9" t="str">
        <x:v>SYN-G03-10</x:v>
      </x:c>
      <x:c r="C65" s="9" t="str">
        <x:v>A</x:v>
      </x:c>
      <x:c r="D65" s="9" t="str">
        <x:v>수신자</x:v>
      </x:c>
      <x:c r="E65" s="9" t="str">
        <x:v>Downstream 처리</x:v>
      </x:c>
      <x:c r="F65" s="9" t="str">
        <x:v>공통 수신자 비용 가정</x:v>
      </x:c>
      <x:c r="G65" s="10" t="n">
        <x:v>0.25</x:v>
      </x:c>
      <x:c r="H65" s="9" t="str">
        <x:v>사용</x:v>
      </x:c>
      <x:c r="I65" s="9" t="str">
        <x:v>동일 비용 가정; 실제 업무 실행 없음</x:v>
      </x:c>
    </x:row>
    <x:row r="66" ht="40" customHeight="1">
      <x:c r="A66" s="9" t="str">
        <x:v>SYN-COST-A-31</x:v>
      </x:c>
      <x:c r="B66" s="9" t="str">
        <x:v>SYN-G04-01</x:v>
      </x:c>
      <x:c r="C66" s="9" t="str">
        <x:v>A</x:v>
      </x:c>
      <x:c r="D66" s="9" t="str">
        <x:v>요청</x:v>
      </x:c>
      <x:c r="E66" s="9" t="str">
        <x:v>VIA 요청 처리</x:v>
      </x:c>
      <x:c r="F66" s="9" t="str">
        <x:v>현재 요청 해석·적용·조건부 원본 보완</x:v>
      </x:c>
      <x:c r="G66" s="10" t="n">
        <x:v>0.905</x:v>
      </x:c>
      <x:c r="H66" s="9" t="str">
        <x:v>사용</x:v>
      </x:c>
      <x:c r="I66" s="9" t="str">
        <x:v>합성 비용 단위; 호출·토큰·단가를 실제로 관측하지 않음</x:v>
      </x:c>
    </x:row>
    <x:row r="67" ht="40" customHeight="1">
      <x:c r="A67" s="9" t="str">
        <x:v>SYN-REC-A-31</x:v>
      </x:c>
      <x:c r="B67" s="9" t="str">
        <x:v>SYN-G04-01</x:v>
      </x:c>
      <x:c r="C67" s="9" t="str">
        <x:v>A</x:v>
      </x:c>
      <x:c r="D67" s="9" t="str">
        <x:v>수신자</x:v>
      </x:c>
      <x:c r="E67" s="9" t="str">
        <x:v>Downstream 처리</x:v>
      </x:c>
      <x:c r="F67" s="9" t="str">
        <x:v>공통 수신자 비용 가정</x:v>
      </x:c>
      <x:c r="G67" s="10" t="n">
        <x:v>0.25</x:v>
      </x:c>
      <x:c r="H67" s="9" t="str">
        <x:v>사용</x:v>
      </x:c>
      <x:c r="I67" s="9" t="str">
        <x:v>동일 비용 가정; 실제 업무 실행 없음</x:v>
      </x:c>
    </x:row>
    <x:row r="68" ht="40" customHeight="1">
      <x:c r="A68" s="9" t="str">
        <x:v>SYN-COST-A-32</x:v>
      </x:c>
      <x:c r="B68" s="9" t="str">
        <x:v>SYN-G04-02</x:v>
      </x:c>
      <x:c r="C68" s="9" t="str">
        <x:v>A</x:v>
      </x:c>
      <x:c r="D68" s="9" t="str">
        <x:v>요청</x:v>
      </x:c>
      <x:c r="E68" s="9" t="str">
        <x:v>VIA 요청 처리</x:v>
      </x:c>
      <x:c r="F68" s="9" t="str">
        <x:v>현재 요청 해석·적용·조건부 원본 보완</x:v>
      </x:c>
      <x:c r="G68" s="10" t="n">
        <x:v>0.913</x:v>
      </x:c>
      <x:c r="H68" s="9" t="str">
        <x:v>사용</x:v>
      </x:c>
      <x:c r="I68" s="9" t="str">
        <x:v>합성 비용 단위; 호출·토큰·단가를 실제로 관측하지 않음</x:v>
      </x:c>
    </x:row>
    <x:row r="69" ht="40" customHeight="1">
      <x:c r="A69" s="9" t="str">
        <x:v>SYN-REC-A-32</x:v>
      </x:c>
      <x:c r="B69" s="9" t="str">
        <x:v>SYN-G04-02</x:v>
      </x:c>
      <x:c r="C69" s="9" t="str">
        <x:v>A</x:v>
      </x:c>
      <x:c r="D69" s="9" t="str">
        <x:v>수신자</x:v>
      </x:c>
      <x:c r="E69" s="9" t="str">
        <x:v>Downstream 처리</x:v>
      </x:c>
      <x:c r="F69" s="9" t="str">
        <x:v>공통 수신자 비용 가정</x:v>
      </x:c>
      <x:c r="G69" s="10" t="n">
        <x:v>0.25</x:v>
      </x:c>
      <x:c r="H69" s="9" t="str">
        <x:v>사용</x:v>
      </x:c>
      <x:c r="I69" s="9" t="str">
        <x:v>동일 비용 가정; 실제 업무 실행 없음</x:v>
      </x:c>
    </x:row>
    <x:row r="70" ht="40" customHeight="1">
      <x:c r="A70" s="9" t="str">
        <x:v>SYN-COST-A-33</x:v>
      </x:c>
      <x:c r="B70" s="9" t="str">
        <x:v>SYN-G04-03</x:v>
      </x:c>
      <x:c r="C70" s="9" t="str">
        <x:v>A</x:v>
      </x:c>
      <x:c r="D70" s="9" t="str">
        <x:v>요청</x:v>
      </x:c>
      <x:c r="E70" s="9" t="str">
        <x:v>VIA 요청 처리</x:v>
      </x:c>
      <x:c r="F70" s="9" t="str">
        <x:v>현재 요청 해석·적용·조건부 원본 보완</x:v>
      </x:c>
      <x:c r="G70" s="10" t="n">
        <x:v>0.922</x:v>
      </x:c>
      <x:c r="H70" s="9" t="str">
        <x:v>사용</x:v>
      </x:c>
      <x:c r="I70" s="9" t="str">
        <x:v>합성 비용 단위; 호출·토큰·단가를 실제로 관측하지 않음</x:v>
      </x:c>
    </x:row>
    <x:row r="71" ht="40" customHeight="1">
      <x:c r="A71" s="9" t="str">
        <x:v>SYN-REC-A-33</x:v>
      </x:c>
      <x:c r="B71" s="9" t="str">
        <x:v>SYN-G04-03</x:v>
      </x:c>
      <x:c r="C71" s="9" t="str">
        <x:v>A</x:v>
      </x:c>
      <x:c r="D71" s="9" t="str">
        <x:v>수신자</x:v>
      </x:c>
      <x:c r="E71" s="9" t="str">
        <x:v>Downstream 처리</x:v>
      </x:c>
      <x:c r="F71" s="9" t="str">
        <x:v>공통 수신자 비용 가정</x:v>
      </x:c>
      <x:c r="G71" s="10" t="n">
        <x:v>0.25</x:v>
      </x:c>
      <x:c r="H71" s="9" t="str">
        <x:v>사용</x:v>
      </x:c>
      <x:c r="I71" s="9" t="str">
        <x:v>동일 비용 가정; 실제 업무 실행 없음</x:v>
      </x:c>
    </x:row>
    <x:row r="72" ht="40" customHeight="1">
      <x:c r="A72" s="9" t="str">
        <x:v>SYN-COST-A-34</x:v>
      </x:c>
      <x:c r="B72" s="9" t="str">
        <x:v>SYN-G04-04</x:v>
      </x:c>
      <x:c r="C72" s="9" t="str">
        <x:v>A</x:v>
      </x:c>
      <x:c r="D72" s="9" t="str">
        <x:v>요청</x:v>
      </x:c>
      <x:c r="E72" s="9" t="str">
        <x:v>VIA 요청 처리</x:v>
      </x:c>
      <x:c r="F72" s="9" t="str">
        <x:v>현재 요청 해석·적용·조건부 원본 보완</x:v>
      </x:c>
      <x:c r="G72" s="10" t="n">
        <x:v>0.93</x:v>
      </x:c>
      <x:c r="H72" s="9" t="str">
        <x:v>사용</x:v>
      </x:c>
      <x:c r="I72" s="9" t="str">
        <x:v>합성 비용 단위; 호출·토큰·단가를 실제로 관측하지 않음</x:v>
      </x:c>
    </x:row>
    <x:row r="73" ht="40" customHeight="1">
      <x:c r="A73" s="9" t="str">
        <x:v>SYN-REC-A-34</x:v>
      </x:c>
      <x:c r="B73" s="9" t="str">
        <x:v>SYN-G04-04</x:v>
      </x:c>
      <x:c r="C73" s="9" t="str">
        <x:v>A</x:v>
      </x:c>
      <x:c r="D73" s="9" t="str">
        <x:v>수신자</x:v>
      </x:c>
      <x:c r="E73" s="9" t="str">
        <x:v>Downstream 처리</x:v>
      </x:c>
      <x:c r="F73" s="9" t="str">
        <x:v>공통 수신자 비용 가정</x:v>
      </x:c>
      <x:c r="G73" s="10" t="n">
        <x:v>0.25</x:v>
      </x:c>
      <x:c r="H73" s="9" t="str">
        <x:v>사용</x:v>
      </x:c>
      <x:c r="I73" s="9" t="str">
        <x:v>동일 비용 가정; 실제 업무 실행 없음</x:v>
      </x:c>
    </x:row>
    <x:row r="74" ht="40" customHeight="1">
      <x:c r="A74" s="9" t="str">
        <x:v>SYN-COST-A-35</x:v>
      </x:c>
      <x:c r="B74" s="9" t="str">
        <x:v>SYN-G04-05</x:v>
      </x:c>
      <x:c r="C74" s="9" t="str">
        <x:v>A</x:v>
      </x:c>
      <x:c r="D74" s="9" t="str">
        <x:v>요청</x:v>
      </x:c>
      <x:c r="E74" s="9" t="str">
        <x:v>VIA 요청 처리</x:v>
      </x:c>
      <x:c r="F74" s="9" t="str">
        <x:v>현재 요청 해석·적용·조건부 원본 보완</x:v>
      </x:c>
      <x:c r="G74" s="10" t="n">
        <x:v>0.938</x:v>
      </x:c>
      <x:c r="H74" s="9" t="str">
        <x:v>사용</x:v>
      </x:c>
      <x:c r="I74" s="9" t="str">
        <x:v>합성 비용 단위; 호출·토큰·단가를 실제로 관측하지 않음</x:v>
      </x:c>
    </x:row>
    <x:row r="75" ht="40" customHeight="1">
      <x:c r="A75" s="9" t="str">
        <x:v>SYN-REC-A-35</x:v>
      </x:c>
      <x:c r="B75" s="9" t="str">
        <x:v>SYN-G04-05</x:v>
      </x:c>
      <x:c r="C75" s="9" t="str">
        <x:v>A</x:v>
      </x:c>
      <x:c r="D75" s="9" t="str">
        <x:v>수신자</x:v>
      </x:c>
      <x:c r="E75" s="9" t="str">
        <x:v>Downstream 처리</x:v>
      </x:c>
      <x:c r="F75" s="9" t="str">
        <x:v>공통 수신자 비용 가정</x:v>
      </x:c>
      <x:c r="G75" s="10" t="n">
        <x:v>0.25</x:v>
      </x:c>
      <x:c r="H75" s="9" t="str">
        <x:v>사용</x:v>
      </x:c>
      <x:c r="I75" s="9" t="str">
        <x:v>동일 비용 가정; 실제 업무 실행 없음</x:v>
      </x:c>
    </x:row>
    <x:row r="76" ht="40" customHeight="1">
      <x:c r="A76" s="9" t="str">
        <x:v>SYN-COST-A-36</x:v>
      </x:c>
      <x:c r="B76" s="9" t="str">
        <x:v>SYN-G04-06</x:v>
      </x:c>
      <x:c r="C76" s="9" t="str">
        <x:v>A</x:v>
      </x:c>
      <x:c r="D76" s="9" t="str">
        <x:v>요청</x:v>
      </x:c>
      <x:c r="E76" s="9" t="str">
        <x:v>VIA 요청 처리</x:v>
      </x:c>
      <x:c r="F76" s="9" t="str">
        <x:v>현재 요청 해석·적용·조건부 원본 보완</x:v>
      </x:c>
      <x:c r="G76" s="10" t="n">
        <x:v>0.947</x:v>
      </x:c>
      <x:c r="H76" s="9" t="str">
        <x:v>사용</x:v>
      </x:c>
      <x:c r="I76" s="9" t="str">
        <x:v>합성 비용 단위; 호출·토큰·단가를 실제로 관측하지 않음</x:v>
      </x:c>
    </x:row>
    <x:row r="77" ht="40" customHeight="1">
      <x:c r="A77" s="9" t="str">
        <x:v>SYN-REC-A-36</x:v>
      </x:c>
      <x:c r="B77" s="9" t="str">
        <x:v>SYN-G04-06</x:v>
      </x:c>
      <x:c r="C77" s="9" t="str">
        <x:v>A</x:v>
      </x:c>
      <x:c r="D77" s="9" t="str">
        <x:v>수신자</x:v>
      </x:c>
      <x:c r="E77" s="9" t="str">
        <x:v>Downstream 처리</x:v>
      </x:c>
      <x:c r="F77" s="9" t="str">
        <x:v>공통 수신자 비용 가정</x:v>
      </x:c>
      <x:c r="G77" s="10" t="n">
        <x:v>0.25</x:v>
      </x:c>
      <x:c r="H77" s="9" t="str">
        <x:v>사용</x:v>
      </x:c>
      <x:c r="I77" s="9" t="str">
        <x:v>동일 비용 가정; 실제 업무 실행 없음</x:v>
      </x:c>
    </x:row>
    <x:row r="78" ht="40" customHeight="1">
      <x:c r="A78" s="9" t="str">
        <x:v>SYN-COST-A-37</x:v>
      </x:c>
      <x:c r="B78" s="9" t="str">
        <x:v>SYN-G04-07</x:v>
      </x:c>
      <x:c r="C78" s="9" t="str">
        <x:v>A</x:v>
      </x:c>
      <x:c r="D78" s="9" t="str">
        <x:v>요청</x:v>
      </x:c>
      <x:c r="E78" s="9" t="str">
        <x:v>VIA 요청 처리</x:v>
      </x:c>
      <x:c r="F78" s="9" t="str">
        <x:v>현재 요청 해석·적용·조건부 원본 보완</x:v>
      </x:c>
      <x:c r="G78" s="10" t="n">
        <x:v>0.955</x:v>
      </x:c>
      <x:c r="H78" s="9" t="str">
        <x:v>사용</x:v>
      </x:c>
      <x:c r="I78" s="9" t="str">
        <x:v>합성 비용 단위; 호출·토큰·단가를 실제로 관측하지 않음</x:v>
      </x:c>
    </x:row>
    <x:row r="79" ht="40" customHeight="1">
      <x:c r="A79" s="9" t="str">
        <x:v>SYN-REC-A-37</x:v>
      </x:c>
      <x:c r="B79" s="9" t="str">
        <x:v>SYN-G04-07</x:v>
      </x:c>
      <x:c r="C79" s="9" t="str">
        <x:v>A</x:v>
      </x:c>
      <x:c r="D79" s="9" t="str">
        <x:v>수신자</x:v>
      </x:c>
      <x:c r="E79" s="9" t="str">
        <x:v>Downstream 처리</x:v>
      </x:c>
      <x:c r="F79" s="9" t="str">
        <x:v>공통 수신자 비용 가정</x:v>
      </x:c>
      <x:c r="G79" s="10" t="n">
        <x:v>0.25</x:v>
      </x:c>
      <x:c r="H79" s="9" t="str">
        <x:v>사용</x:v>
      </x:c>
      <x:c r="I79" s="9" t="str">
        <x:v>동일 비용 가정; 실제 업무 실행 없음</x:v>
      </x:c>
    </x:row>
    <x:row r="80" ht="40" customHeight="1">
      <x:c r="A80" s="9" t="str">
        <x:v>SYN-COST-A-38</x:v>
      </x:c>
      <x:c r="B80" s="9" t="str">
        <x:v>SYN-G04-08</x:v>
      </x:c>
      <x:c r="C80" s="9" t="str">
        <x:v>A</x:v>
      </x:c>
      <x:c r="D80" s="9" t="str">
        <x:v>요청</x:v>
      </x:c>
      <x:c r="E80" s="9" t="str">
        <x:v>VIA 요청 처리</x:v>
      </x:c>
      <x:c r="F80" s="9" t="str">
        <x:v>현재 요청 해석·적용·조건부 원본 보완</x:v>
      </x:c>
      <x:c r="G80" s="10" t="n">
        <x:v>0.963</x:v>
      </x:c>
      <x:c r="H80" s="9" t="str">
        <x:v>사용</x:v>
      </x:c>
      <x:c r="I80" s="9" t="str">
        <x:v>합성 비용 단위; 호출·토큰·단가를 실제로 관측하지 않음</x:v>
      </x:c>
    </x:row>
    <x:row r="81" ht="40" customHeight="1">
      <x:c r="A81" s="9" t="str">
        <x:v>SYN-REC-A-38</x:v>
      </x:c>
      <x:c r="B81" s="9" t="str">
        <x:v>SYN-G04-08</x:v>
      </x:c>
      <x:c r="C81" s="9" t="str">
        <x:v>A</x:v>
      </x:c>
      <x:c r="D81" s="9" t="str">
        <x:v>수신자</x:v>
      </x:c>
      <x:c r="E81" s="9" t="str">
        <x:v>Downstream 처리</x:v>
      </x:c>
      <x:c r="F81" s="9" t="str">
        <x:v>공통 수신자 비용 가정</x:v>
      </x:c>
      <x:c r="G81" s="10" t="n">
        <x:v>0.25</x:v>
      </x:c>
      <x:c r="H81" s="9" t="str">
        <x:v>사용</x:v>
      </x:c>
      <x:c r="I81" s="9" t="str">
        <x:v>동일 비용 가정; 실제 업무 실행 없음</x:v>
      </x:c>
    </x:row>
    <x:row r="82" ht="40" customHeight="1">
      <x:c r="A82" s="9" t="str">
        <x:v>SYN-COST-A-39</x:v>
      </x:c>
      <x:c r="B82" s="9" t="str">
        <x:v>SYN-G04-09</x:v>
      </x:c>
      <x:c r="C82" s="9" t="str">
        <x:v>A</x:v>
      </x:c>
      <x:c r="D82" s="9" t="str">
        <x:v>요청</x:v>
      </x:c>
      <x:c r="E82" s="9" t="str">
        <x:v>VIA 요청 처리</x:v>
      </x:c>
      <x:c r="F82" s="9" t="str">
        <x:v>현재 요청 해석·적용·조건부 원본 보완</x:v>
      </x:c>
      <x:c r="G82" s="10" t="n">
        <x:v>0.972</x:v>
      </x:c>
      <x:c r="H82" s="9" t="str">
        <x:v>사용</x:v>
      </x:c>
      <x:c r="I82" s="9" t="str">
        <x:v>합성 비용 단위; 호출·토큰·단가를 실제로 관측하지 않음</x:v>
      </x:c>
    </x:row>
    <x:row r="83" ht="40" customHeight="1">
      <x:c r="A83" s="9" t="str">
        <x:v>SYN-REC-A-39</x:v>
      </x:c>
      <x:c r="B83" s="9" t="str">
        <x:v>SYN-G04-09</x:v>
      </x:c>
      <x:c r="C83" s="9" t="str">
        <x:v>A</x:v>
      </x:c>
      <x:c r="D83" s="9" t="str">
        <x:v>수신자</x:v>
      </x:c>
      <x:c r="E83" s="9" t="str">
        <x:v>Downstream 처리</x:v>
      </x:c>
      <x:c r="F83" s="9" t="str">
        <x:v>공통 수신자 비용 가정</x:v>
      </x:c>
      <x:c r="G83" s="10" t="n">
        <x:v>0.25</x:v>
      </x:c>
      <x:c r="H83" s="9" t="str">
        <x:v>사용</x:v>
      </x:c>
      <x:c r="I83" s="9" t="str">
        <x:v>동일 비용 가정; 실제 업무 실행 없음</x:v>
      </x:c>
    </x:row>
    <x:row r="84" ht="40" customHeight="1">
      <x:c r="A84" s="9" t="str">
        <x:v>SYN-COST-A-40</x:v>
      </x:c>
      <x:c r="B84" s="9" t="str">
        <x:v>SYN-G04-10</x:v>
      </x:c>
      <x:c r="C84" s="9" t="str">
        <x:v>A</x:v>
      </x:c>
      <x:c r="D84" s="9" t="str">
        <x:v>요청</x:v>
      </x:c>
      <x:c r="E84" s="9" t="str">
        <x:v>VIA 요청 처리</x:v>
      </x:c>
      <x:c r="F84" s="9" t="str">
        <x:v>현재 요청 해석·적용·조건부 원본 보완</x:v>
      </x:c>
      <x:c r="G84" s="10" t="n">
        <x:v>0.98</x:v>
      </x:c>
      <x:c r="H84" s="9" t="str">
        <x:v>사용</x:v>
      </x:c>
      <x:c r="I84" s="9" t="str">
        <x:v>합성 비용 단위; 호출·토큰·단가를 실제로 관측하지 않음</x:v>
      </x:c>
    </x:row>
    <x:row r="85" ht="40" customHeight="1">
      <x:c r="A85" s="9" t="str">
        <x:v>SYN-REC-A-40</x:v>
      </x:c>
      <x:c r="B85" s="9" t="str">
        <x:v>SYN-G04-10</x:v>
      </x:c>
      <x:c r="C85" s="9" t="str">
        <x:v>A</x:v>
      </x:c>
      <x:c r="D85" s="9" t="str">
        <x:v>수신자</x:v>
      </x:c>
      <x:c r="E85" s="9" t="str">
        <x:v>Downstream 처리</x:v>
      </x:c>
      <x:c r="F85" s="9" t="str">
        <x:v>공통 수신자 비용 가정</x:v>
      </x:c>
      <x:c r="G85" s="10" t="n">
        <x:v>0.25</x:v>
      </x:c>
      <x:c r="H85" s="9" t="str">
        <x:v>사용</x:v>
      </x:c>
      <x:c r="I85" s="9" t="str">
        <x:v>동일 비용 가정; 실제 업무 실행 없음</x:v>
      </x:c>
    </x:row>
    <x:row r="86" ht="40" customHeight="1">
      <x:c r="A86" s="9" t="str">
        <x:v>SYN-COST-A-41</x:v>
      </x:c>
      <x:c r="B86" s="9" t="str">
        <x:v>SYN-G05-01</x:v>
      </x:c>
      <x:c r="C86" s="9" t="str">
        <x:v>A</x:v>
      </x:c>
      <x:c r="D86" s="9" t="str">
        <x:v>요청</x:v>
      </x:c>
      <x:c r="E86" s="9" t="str">
        <x:v>VIA 요청 처리</x:v>
      </x:c>
      <x:c r="F86" s="9" t="str">
        <x:v>현재 요청 해석·적용·조건부 원본 보완</x:v>
      </x:c>
      <x:c r="G86" s="10" t="n">
        <x:v>0.764</x:v>
      </x:c>
      <x:c r="H86" s="9" t="str">
        <x:v>사용</x:v>
      </x:c>
      <x:c r="I86" s="9" t="str">
        <x:v>합성 비용 단위; 호출·토큰·단가를 실제로 관측하지 않음</x:v>
      </x:c>
    </x:row>
    <x:row r="87" ht="40" customHeight="1">
      <x:c r="A87" s="9" t="str">
        <x:v>SYN-REC-A-41</x:v>
      </x:c>
      <x:c r="B87" s="9" t="str">
        <x:v>SYN-G05-01</x:v>
      </x:c>
      <x:c r="C87" s="9" t="str">
        <x:v>A</x:v>
      </x:c>
      <x:c r="D87" s="9" t="str">
        <x:v>수신자</x:v>
      </x:c>
      <x:c r="E87" s="9" t="str">
        <x:v>Downstream 처리</x:v>
      </x:c>
      <x:c r="F87" s="9" t="str">
        <x:v>공통 수신자 비용 가정</x:v>
      </x:c>
      <x:c r="G87" s="10" t="n">
        <x:v>0.25</x:v>
      </x:c>
      <x:c r="H87" s="9" t="str">
        <x:v>사용</x:v>
      </x:c>
      <x:c r="I87" s="9" t="str">
        <x:v>동일 비용 가정; 실제 업무 실행 없음</x:v>
      </x:c>
    </x:row>
    <x:row r="88" ht="40" customHeight="1">
      <x:c r="A88" s="9" t="str">
        <x:v>SYN-COST-A-42</x:v>
      </x:c>
      <x:c r="B88" s="9" t="str">
        <x:v>SYN-G05-02</x:v>
      </x:c>
      <x:c r="C88" s="9" t="str">
        <x:v>A</x:v>
      </x:c>
      <x:c r="D88" s="9" t="str">
        <x:v>요청</x:v>
      </x:c>
      <x:c r="E88" s="9" t="str">
        <x:v>VIA 요청 처리</x:v>
      </x:c>
      <x:c r="F88" s="9" t="str">
        <x:v>현재 요청 해석·적용·조건부 원본 보완</x:v>
      </x:c>
      <x:c r="G88" s="10" t="n">
        <x:v>0.772</x:v>
      </x:c>
      <x:c r="H88" s="9" t="str">
        <x:v>사용</x:v>
      </x:c>
      <x:c r="I88" s="9" t="str">
        <x:v>합성 비용 단위; 호출·토큰·단가를 실제로 관측하지 않음</x:v>
      </x:c>
    </x:row>
    <x:row r="89" ht="40" customHeight="1">
      <x:c r="A89" s="9" t="str">
        <x:v>SYN-REC-A-42</x:v>
      </x:c>
      <x:c r="B89" s="9" t="str">
        <x:v>SYN-G05-02</x:v>
      </x:c>
      <x:c r="C89" s="9" t="str">
        <x:v>A</x:v>
      </x:c>
      <x:c r="D89" s="9" t="str">
        <x:v>수신자</x:v>
      </x:c>
      <x:c r="E89" s="9" t="str">
        <x:v>Downstream 처리</x:v>
      </x:c>
      <x:c r="F89" s="9" t="str">
        <x:v>공통 수신자 비용 가정</x:v>
      </x:c>
      <x:c r="G89" s="10" t="n">
        <x:v>0.25</x:v>
      </x:c>
      <x:c r="H89" s="9" t="str">
        <x:v>사용</x:v>
      </x:c>
      <x:c r="I89" s="9" t="str">
        <x:v>동일 비용 가정; 실제 업무 실행 없음</x:v>
      </x:c>
    </x:row>
    <x:row r="90" ht="40" customHeight="1">
      <x:c r="A90" s="9" t="str">
        <x:v>SYN-COST-A-43</x:v>
      </x:c>
      <x:c r="B90" s="9" t="str">
        <x:v>SYN-G05-03</x:v>
      </x:c>
      <x:c r="C90" s="9" t="str">
        <x:v>A</x:v>
      </x:c>
      <x:c r="D90" s="9" t="str">
        <x:v>요청</x:v>
      </x:c>
      <x:c r="E90" s="9" t="str">
        <x:v>VIA 요청 처리</x:v>
      </x:c>
      <x:c r="F90" s="9" t="str">
        <x:v>현재 요청 해석·적용·조건부 원본 보완</x:v>
      </x:c>
      <x:c r="G90" s="10" t="n">
        <x:v>0.781</x:v>
      </x:c>
      <x:c r="H90" s="9" t="str">
        <x:v>사용</x:v>
      </x:c>
      <x:c r="I90" s="9" t="str">
        <x:v>합성 비용 단위; 호출·토큰·단가를 실제로 관측하지 않음</x:v>
      </x:c>
    </x:row>
    <x:row r="91" ht="40" customHeight="1">
      <x:c r="A91" s="9" t="str">
        <x:v>SYN-REC-A-43</x:v>
      </x:c>
      <x:c r="B91" s="9" t="str">
        <x:v>SYN-G05-03</x:v>
      </x:c>
      <x:c r="C91" s="9" t="str">
        <x:v>A</x:v>
      </x:c>
      <x:c r="D91" s="9" t="str">
        <x:v>수신자</x:v>
      </x:c>
      <x:c r="E91" s="9" t="str">
        <x:v>Downstream 처리</x:v>
      </x:c>
      <x:c r="F91" s="9" t="str">
        <x:v>공통 수신자 비용 가정</x:v>
      </x:c>
      <x:c r="G91" s="10" t="n">
        <x:v>0.25</x:v>
      </x:c>
      <x:c r="H91" s="9" t="str">
        <x:v>사용</x:v>
      </x:c>
      <x:c r="I91" s="9" t="str">
        <x:v>동일 비용 가정; 실제 업무 실행 없음</x:v>
      </x:c>
    </x:row>
    <x:row r="92" ht="40" customHeight="1">
      <x:c r="A92" s="9" t="str">
        <x:v>SYN-COST-A-44</x:v>
      </x:c>
      <x:c r="B92" s="9" t="str">
        <x:v>SYN-G05-04</x:v>
      </x:c>
      <x:c r="C92" s="9" t="str">
        <x:v>A</x:v>
      </x:c>
      <x:c r="D92" s="9" t="str">
        <x:v>요청</x:v>
      </x:c>
      <x:c r="E92" s="9" t="str">
        <x:v>VIA 요청 처리</x:v>
      </x:c>
      <x:c r="F92" s="9" t="str">
        <x:v>현재 요청 해석·적용·조건부 원본 보완</x:v>
      </x:c>
      <x:c r="G92" s="10" t="n">
        <x:v>0.789</x:v>
      </x:c>
      <x:c r="H92" s="9" t="str">
        <x:v>사용</x:v>
      </x:c>
      <x:c r="I92" s="9" t="str">
        <x:v>합성 비용 단위; 호출·토큰·단가를 실제로 관측하지 않음</x:v>
      </x:c>
    </x:row>
    <x:row r="93" ht="40" customHeight="1">
      <x:c r="A93" s="9" t="str">
        <x:v>SYN-REC-A-44</x:v>
      </x:c>
      <x:c r="B93" s="9" t="str">
        <x:v>SYN-G05-04</x:v>
      </x:c>
      <x:c r="C93" s="9" t="str">
        <x:v>A</x:v>
      </x:c>
      <x:c r="D93" s="9" t="str">
        <x:v>수신자</x:v>
      </x:c>
      <x:c r="E93" s="9" t="str">
        <x:v>Downstream 처리</x:v>
      </x:c>
      <x:c r="F93" s="9" t="str">
        <x:v>공통 수신자 비용 가정</x:v>
      </x:c>
      <x:c r="G93" s="10" t="n">
        <x:v>0.25</x:v>
      </x:c>
      <x:c r="H93" s="9" t="str">
        <x:v>사용</x:v>
      </x:c>
      <x:c r="I93" s="9" t="str">
        <x:v>동일 비용 가정; 실제 업무 실행 없음</x:v>
      </x:c>
    </x:row>
    <x:row r="94" ht="40" customHeight="1">
      <x:c r="A94" s="9" t="str">
        <x:v>SYN-COST-A-45</x:v>
      </x:c>
      <x:c r="B94" s="9" t="str">
        <x:v>SYN-G05-05</x:v>
      </x:c>
      <x:c r="C94" s="9" t="str">
        <x:v>A</x:v>
      </x:c>
      <x:c r="D94" s="9" t="str">
        <x:v>요청</x:v>
      </x:c>
      <x:c r="E94" s="9" t="str">
        <x:v>VIA 요청 처리</x:v>
      </x:c>
      <x:c r="F94" s="9" t="str">
        <x:v>현재 요청 해석·적용·조건부 원본 보완</x:v>
      </x:c>
      <x:c r="G94" s="10" t="n">
        <x:v>0.797</x:v>
      </x:c>
      <x:c r="H94" s="9" t="str">
        <x:v>사용</x:v>
      </x:c>
      <x:c r="I94" s="9" t="str">
        <x:v>합성 비용 단위; 호출·토큰·단가를 실제로 관측하지 않음</x:v>
      </x:c>
    </x:row>
    <x:row r="95" ht="40" customHeight="1">
      <x:c r="A95" s="9" t="str">
        <x:v>SYN-REC-A-45</x:v>
      </x:c>
      <x:c r="B95" s="9" t="str">
        <x:v>SYN-G05-05</x:v>
      </x:c>
      <x:c r="C95" s="9" t="str">
        <x:v>A</x:v>
      </x:c>
      <x:c r="D95" s="9" t="str">
        <x:v>수신자</x:v>
      </x:c>
      <x:c r="E95" s="9" t="str">
        <x:v>Downstream 처리</x:v>
      </x:c>
      <x:c r="F95" s="9" t="str">
        <x:v>공통 수신자 비용 가정</x:v>
      </x:c>
      <x:c r="G95" s="10" t="n">
        <x:v>0.25</x:v>
      </x:c>
      <x:c r="H95" s="9" t="str">
        <x:v>사용</x:v>
      </x:c>
      <x:c r="I95" s="9" t="str">
        <x:v>동일 비용 가정; 실제 업무 실행 없음</x:v>
      </x:c>
    </x:row>
    <x:row r="96" ht="40" customHeight="1">
      <x:c r="A96" s="9" t="str">
        <x:v>SYN-COST-A-46</x:v>
      </x:c>
      <x:c r="B96" s="9" t="str">
        <x:v>SYN-G05-06</x:v>
      </x:c>
      <x:c r="C96" s="9" t="str">
        <x:v>A</x:v>
      </x:c>
      <x:c r="D96" s="9" t="str">
        <x:v>요청</x:v>
      </x:c>
      <x:c r="E96" s="9" t="str">
        <x:v>VIA 요청 처리</x:v>
      </x:c>
      <x:c r="F96" s="9" t="str">
        <x:v>현재 요청 해석·적용·조건부 원본 보완</x:v>
      </x:c>
      <x:c r="G96" s="10" t="n">
        <x:v>0.805</x:v>
      </x:c>
      <x:c r="H96" s="9" t="str">
        <x:v>사용</x:v>
      </x:c>
      <x:c r="I96" s="9" t="str">
        <x:v>합성 비용 단위; 호출·토큰·단가를 실제로 관측하지 않음</x:v>
      </x:c>
    </x:row>
    <x:row r="97" ht="40" customHeight="1">
      <x:c r="A97" s="9" t="str">
        <x:v>SYN-REC-A-46</x:v>
      </x:c>
      <x:c r="B97" s="9" t="str">
        <x:v>SYN-G05-06</x:v>
      </x:c>
      <x:c r="C97" s="9" t="str">
        <x:v>A</x:v>
      </x:c>
      <x:c r="D97" s="9" t="str">
        <x:v>수신자</x:v>
      </x:c>
      <x:c r="E97" s="9" t="str">
        <x:v>Downstream 처리</x:v>
      </x:c>
      <x:c r="F97" s="9" t="str">
        <x:v>공통 수신자 비용 가정</x:v>
      </x:c>
      <x:c r="G97" s="10" t="n">
        <x:v>0.25</x:v>
      </x:c>
      <x:c r="H97" s="9" t="str">
        <x:v>사용</x:v>
      </x:c>
      <x:c r="I97" s="9" t="str">
        <x:v>동일 비용 가정; 실제 업무 실행 없음</x:v>
      </x:c>
    </x:row>
    <x:row r="98" ht="40" customHeight="1">
      <x:c r="A98" s="9" t="str">
        <x:v>SYN-COST-A-47</x:v>
      </x:c>
      <x:c r="B98" s="9" t="str">
        <x:v>SYN-G05-07</x:v>
      </x:c>
      <x:c r="C98" s="9" t="str">
        <x:v>A</x:v>
      </x:c>
      <x:c r="D98" s="9" t="str">
        <x:v>요청</x:v>
      </x:c>
      <x:c r="E98" s="9" t="str">
        <x:v>VIA 요청 처리</x:v>
      </x:c>
      <x:c r="F98" s="9" t="str">
        <x:v>현재 요청 해석·적용·조건부 원본 보완</x:v>
      </x:c>
      <x:c r="G98" s="10" t="n">
        <x:v>0.814</x:v>
      </x:c>
      <x:c r="H98" s="9" t="str">
        <x:v>사용</x:v>
      </x:c>
      <x:c r="I98" s="9" t="str">
        <x:v>합성 비용 단위; 호출·토큰·단가를 실제로 관측하지 않음</x:v>
      </x:c>
    </x:row>
    <x:row r="99" ht="40" customHeight="1">
      <x:c r="A99" s="9" t="str">
        <x:v>SYN-REC-A-47</x:v>
      </x:c>
      <x:c r="B99" s="9" t="str">
        <x:v>SYN-G05-07</x:v>
      </x:c>
      <x:c r="C99" s="9" t="str">
        <x:v>A</x:v>
      </x:c>
      <x:c r="D99" s="9" t="str">
        <x:v>수신자</x:v>
      </x:c>
      <x:c r="E99" s="9" t="str">
        <x:v>Downstream 처리</x:v>
      </x:c>
      <x:c r="F99" s="9" t="str">
        <x:v>공통 수신자 비용 가정</x:v>
      </x:c>
      <x:c r="G99" s="10" t="n">
        <x:v>0.25</x:v>
      </x:c>
      <x:c r="H99" s="9" t="str">
        <x:v>사용</x:v>
      </x:c>
      <x:c r="I99" s="9" t="str">
        <x:v>동일 비용 가정; 실제 업무 실행 없음</x:v>
      </x:c>
    </x:row>
    <x:row r="100" ht="40" customHeight="1">
      <x:c r="A100" s="9" t="str">
        <x:v>SYN-COST-A-48</x:v>
      </x:c>
      <x:c r="B100" s="9" t="str">
        <x:v>SYN-G05-08</x:v>
      </x:c>
      <x:c r="C100" s="9" t="str">
        <x:v>A</x:v>
      </x:c>
      <x:c r="D100" s="9" t="str">
        <x:v>요청</x:v>
      </x:c>
      <x:c r="E100" s="9" t="str">
        <x:v>VIA 요청 처리</x:v>
      </x:c>
      <x:c r="F100" s="9" t="str">
        <x:v>현재 요청 해석·적용·조건부 원본 보완</x:v>
      </x:c>
      <x:c r="G100" s="10" t="n">
        <x:v>0.822</x:v>
      </x:c>
      <x:c r="H100" s="9" t="str">
        <x:v>사용</x:v>
      </x:c>
      <x:c r="I100" s="9" t="str">
        <x:v>합성 비용 단위; 호출·토큰·단가를 실제로 관측하지 않음</x:v>
      </x:c>
    </x:row>
    <x:row r="101" ht="40" customHeight="1">
      <x:c r="A101" s="9" t="str">
        <x:v>SYN-REC-A-48</x:v>
      </x:c>
      <x:c r="B101" s="9" t="str">
        <x:v>SYN-G05-08</x:v>
      </x:c>
      <x:c r="C101" s="9" t="str">
        <x:v>A</x:v>
      </x:c>
      <x:c r="D101" s="9" t="str">
        <x:v>수신자</x:v>
      </x:c>
      <x:c r="E101" s="9" t="str">
        <x:v>Downstream 처리</x:v>
      </x:c>
      <x:c r="F101" s="9" t="str">
        <x:v>공통 수신자 비용 가정</x:v>
      </x:c>
      <x:c r="G101" s="10" t="n">
        <x:v>0.25</x:v>
      </x:c>
      <x:c r="H101" s="9" t="str">
        <x:v>사용</x:v>
      </x:c>
      <x:c r="I101" s="9" t="str">
        <x:v>동일 비용 가정; 실제 업무 실행 없음</x:v>
      </x:c>
    </x:row>
    <x:row r="102" ht="40" customHeight="1">
      <x:c r="A102" s="9" t="str">
        <x:v>SYN-COST-A-49</x:v>
      </x:c>
      <x:c r="B102" s="9" t="str">
        <x:v>SYN-G05-09</x:v>
      </x:c>
      <x:c r="C102" s="9" t="str">
        <x:v>A</x:v>
      </x:c>
      <x:c r="D102" s="9" t="str">
        <x:v>요청</x:v>
      </x:c>
      <x:c r="E102" s="9" t="str">
        <x:v>VIA 요청 처리</x:v>
      </x:c>
      <x:c r="F102" s="9" t="str">
        <x:v>현재 요청 해석·적용·조건부 원본 보완</x:v>
      </x:c>
      <x:c r="G102" s="10" t="n">
        <x:v>0.83</x:v>
      </x:c>
      <x:c r="H102" s="9" t="str">
        <x:v>사용</x:v>
      </x:c>
      <x:c r="I102" s="9" t="str">
        <x:v>합성 비용 단위; 호출·토큰·단가를 실제로 관측하지 않음</x:v>
      </x:c>
    </x:row>
    <x:row r="103" ht="40" customHeight="1">
      <x:c r="A103" s="9" t="str">
        <x:v>SYN-REC-A-49</x:v>
      </x:c>
      <x:c r="B103" s="9" t="str">
        <x:v>SYN-G05-09</x:v>
      </x:c>
      <x:c r="C103" s="9" t="str">
        <x:v>A</x:v>
      </x:c>
      <x:c r="D103" s="9" t="str">
        <x:v>수신자</x:v>
      </x:c>
      <x:c r="E103" s="9" t="str">
        <x:v>Downstream 처리</x:v>
      </x:c>
      <x:c r="F103" s="9" t="str">
        <x:v>공통 수신자 비용 가정</x:v>
      </x:c>
      <x:c r="G103" s="10" t="n">
        <x:v>0.25</x:v>
      </x:c>
      <x:c r="H103" s="9" t="str">
        <x:v>사용</x:v>
      </x:c>
      <x:c r="I103" s="9" t="str">
        <x:v>동일 비용 가정; 실제 업무 실행 없음</x:v>
      </x:c>
    </x:row>
    <x:row r="104" ht="40" customHeight="1">
      <x:c r="A104" s="9" t="str">
        <x:v>SYN-COST-A-50</x:v>
      </x:c>
      <x:c r="B104" s="9" t="str">
        <x:v>SYN-G05-10</x:v>
      </x:c>
      <x:c r="C104" s="9" t="str">
        <x:v>A</x:v>
      </x:c>
      <x:c r="D104" s="9" t="str">
        <x:v>요청</x:v>
      </x:c>
      <x:c r="E104" s="9" t="str">
        <x:v>VIA 요청 처리</x:v>
      </x:c>
      <x:c r="F104" s="9" t="str">
        <x:v>현재 요청 해석·적용·조건부 원본 보완</x:v>
      </x:c>
      <x:c r="G104" s="10" t="n">
        <x:v>0.839</x:v>
      </x:c>
      <x:c r="H104" s="9" t="str">
        <x:v>사용</x:v>
      </x:c>
      <x:c r="I104" s="9" t="str">
        <x:v>합성 비용 단위; 호출·토큰·단가를 실제로 관측하지 않음</x:v>
      </x:c>
    </x:row>
    <x:row r="105" ht="40" customHeight="1">
      <x:c r="A105" s="9" t="str">
        <x:v>SYN-REC-A-50</x:v>
      </x:c>
      <x:c r="B105" s="9" t="str">
        <x:v>SYN-G05-10</x:v>
      </x:c>
      <x:c r="C105" s="9" t="str">
        <x:v>A</x:v>
      </x:c>
      <x:c r="D105" s="9" t="str">
        <x:v>수신자</x:v>
      </x:c>
      <x:c r="E105" s="9" t="str">
        <x:v>Downstream 처리</x:v>
      </x:c>
      <x:c r="F105" s="9" t="str">
        <x:v>공통 수신자 비용 가정</x:v>
      </x:c>
      <x:c r="G105" s="10" t="n">
        <x:v>0.25</x:v>
      </x:c>
      <x:c r="H105" s="9" t="str">
        <x:v>사용</x:v>
      </x:c>
      <x:c r="I105" s="9" t="str">
        <x:v>동일 비용 가정; 실제 업무 실행 없음</x:v>
      </x:c>
    </x:row>
    <x:row r="106" ht="40" customHeight="1">
      <x:c r="A106" s="9" t="str">
        <x:v>SYN-COST-A-51</x:v>
      </x:c>
      <x:c r="B106" s="9" t="str">
        <x:v>SYN-G06-01</x:v>
      </x:c>
      <x:c r="C106" s="9" t="str">
        <x:v>A</x:v>
      </x:c>
      <x:c r="D106" s="9" t="str">
        <x:v>요청</x:v>
      </x:c>
      <x:c r="E106" s="9" t="str">
        <x:v>VIA 요청 처리</x:v>
      </x:c>
      <x:c r="F106" s="9" t="str">
        <x:v>현재 요청 해석·적용·조건부 원본 보완</x:v>
      </x:c>
      <x:c r="G106" s="10" t="n">
        <x:v>0.847</x:v>
      </x:c>
      <x:c r="H106" s="9" t="str">
        <x:v>사용</x:v>
      </x:c>
      <x:c r="I106" s="9" t="str">
        <x:v>합성 비용 단위; 호출·토큰·단가를 실제로 관측하지 않음</x:v>
      </x:c>
    </x:row>
    <x:row r="107" ht="40" customHeight="1">
      <x:c r="A107" s="9" t="str">
        <x:v>SYN-REC-A-51</x:v>
      </x:c>
      <x:c r="B107" s="9" t="str">
        <x:v>SYN-G06-01</x:v>
      </x:c>
      <x:c r="C107" s="9" t="str">
        <x:v>A</x:v>
      </x:c>
      <x:c r="D107" s="9" t="str">
        <x:v>수신자</x:v>
      </x:c>
      <x:c r="E107" s="9" t="str">
        <x:v>Downstream 처리</x:v>
      </x:c>
      <x:c r="F107" s="9" t="str">
        <x:v>공통 수신자 비용 가정</x:v>
      </x:c>
      <x:c r="G107" s="10" t="n">
        <x:v>0.25</x:v>
      </x:c>
      <x:c r="H107" s="9" t="str">
        <x:v>사용</x:v>
      </x:c>
      <x:c r="I107" s="9" t="str">
        <x:v>동일 비용 가정; 실제 업무 실행 없음</x:v>
      </x:c>
    </x:row>
    <x:row r="108" ht="40" customHeight="1">
      <x:c r="A108" s="9" t="str">
        <x:v>SYN-COST-A-52</x:v>
      </x:c>
      <x:c r="B108" s="9" t="str">
        <x:v>SYN-G06-02</x:v>
      </x:c>
      <x:c r="C108" s="9" t="str">
        <x:v>A</x:v>
      </x:c>
      <x:c r="D108" s="9" t="str">
        <x:v>요청</x:v>
      </x:c>
      <x:c r="E108" s="9" t="str">
        <x:v>VIA 요청 처리</x:v>
      </x:c>
      <x:c r="F108" s="9" t="str">
        <x:v>현재 요청 해석·적용·조건부 원본 보완</x:v>
      </x:c>
      <x:c r="G108" s="10" t="n">
        <x:v>0.855</x:v>
      </x:c>
      <x:c r="H108" s="9" t="str">
        <x:v>사용</x:v>
      </x:c>
      <x:c r="I108" s="9" t="str">
        <x:v>합성 비용 단위; 호출·토큰·단가를 실제로 관측하지 않음</x:v>
      </x:c>
    </x:row>
    <x:row r="109" ht="40" customHeight="1">
      <x:c r="A109" s="9" t="str">
        <x:v>SYN-REC-A-52</x:v>
      </x:c>
      <x:c r="B109" s="9" t="str">
        <x:v>SYN-G06-02</x:v>
      </x:c>
      <x:c r="C109" s="9" t="str">
        <x:v>A</x:v>
      </x:c>
      <x:c r="D109" s="9" t="str">
        <x:v>수신자</x:v>
      </x:c>
      <x:c r="E109" s="9" t="str">
        <x:v>Downstream 처리</x:v>
      </x:c>
      <x:c r="F109" s="9" t="str">
        <x:v>공통 수신자 비용 가정</x:v>
      </x:c>
      <x:c r="G109" s="10" t="n">
        <x:v>0.25</x:v>
      </x:c>
      <x:c r="H109" s="9" t="str">
        <x:v>사용</x:v>
      </x:c>
      <x:c r="I109" s="9" t="str">
        <x:v>동일 비용 가정; 실제 업무 실행 없음</x:v>
      </x:c>
    </x:row>
    <x:row r="110" ht="40" customHeight="1">
      <x:c r="A110" s="9" t="str">
        <x:v>SYN-COST-A-53</x:v>
      </x:c>
      <x:c r="B110" s="9" t="str">
        <x:v>SYN-G06-03</x:v>
      </x:c>
      <x:c r="C110" s="9" t="str">
        <x:v>A</x:v>
      </x:c>
      <x:c r="D110" s="9" t="str">
        <x:v>요청</x:v>
      </x:c>
      <x:c r="E110" s="9" t="str">
        <x:v>VIA 요청 처리</x:v>
      </x:c>
      <x:c r="F110" s="9" t="str">
        <x:v>현재 요청 해석·적용·조건부 원본 보완</x:v>
      </x:c>
      <x:c r="G110" s="10" t="n">
        <x:v>0.864</x:v>
      </x:c>
      <x:c r="H110" s="9" t="str">
        <x:v>사용</x:v>
      </x:c>
      <x:c r="I110" s="9" t="str">
        <x:v>합성 비용 단위; 호출·토큰·단가를 실제로 관측하지 않음</x:v>
      </x:c>
    </x:row>
    <x:row r="111" ht="40" customHeight="1">
      <x:c r="A111" s="9" t="str">
        <x:v>SYN-REC-A-53</x:v>
      </x:c>
      <x:c r="B111" s="9" t="str">
        <x:v>SYN-G06-03</x:v>
      </x:c>
      <x:c r="C111" s="9" t="str">
        <x:v>A</x:v>
      </x:c>
      <x:c r="D111" s="9" t="str">
        <x:v>수신자</x:v>
      </x:c>
      <x:c r="E111" s="9" t="str">
        <x:v>Downstream 처리</x:v>
      </x:c>
      <x:c r="F111" s="9" t="str">
        <x:v>공통 수신자 비용 가정</x:v>
      </x:c>
      <x:c r="G111" s="10" t="n">
        <x:v>0.25</x:v>
      </x:c>
      <x:c r="H111" s="9" t="str">
        <x:v>사용</x:v>
      </x:c>
      <x:c r="I111" s="9" t="str">
        <x:v>동일 비용 가정; 실제 업무 실행 없음</x:v>
      </x:c>
    </x:row>
    <x:row r="112" ht="40" customHeight="1">
      <x:c r="A112" s="9" t="str">
        <x:v>SYN-COST-A-54</x:v>
      </x:c>
      <x:c r="B112" s="9" t="str">
        <x:v>SYN-G06-04</x:v>
      </x:c>
      <x:c r="C112" s="9" t="str">
        <x:v>A</x:v>
      </x:c>
      <x:c r="D112" s="9" t="str">
        <x:v>요청</x:v>
      </x:c>
      <x:c r="E112" s="9" t="str">
        <x:v>VIA 요청 처리</x:v>
      </x:c>
      <x:c r="F112" s="9" t="str">
        <x:v>현재 요청 해석·적용·조건부 원본 보완</x:v>
      </x:c>
      <x:c r="G112" s="10" t="n">
        <x:v>0.872</x:v>
      </x:c>
      <x:c r="H112" s="9" t="str">
        <x:v>사용</x:v>
      </x:c>
      <x:c r="I112" s="9" t="str">
        <x:v>합성 비용 단위; 호출·토큰·단가를 실제로 관측하지 않음</x:v>
      </x:c>
    </x:row>
    <x:row r="113" ht="40" customHeight="1">
      <x:c r="A113" s="9" t="str">
        <x:v>SYN-REC-A-54</x:v>
      </x:c>
      <x:c r="B113" s="9" t="str">
        <x:v>SYN-G06-04</x:v>
      </x:c>
      <x:c r="C113" s="9" t="str">
        <x:v>A</x:v>
      </x:c>
      <x:c r="D113" s="9" t="str">
        <x:v>수신자</x:v>
      </x:c>
      <x:c r="E113" s="9" t="str">
        <x:v>Downstream 처리</x:v>
      </x:c>
      <x:c r="F113" s="9" t="str">
        <x:v>공통 수신자 비용 가정</x:v>
      </x:c>
      <x:c r="G113" s="10" t="n">
        <x:v>0.25</x:v>
      </x:c>
      <x:c r="H113" s="9" t="str">
        <x:v>사용</x:v>
      </x:c>
      <x:c r="I113" s="9" t="str">
        <x:v>동일 비용 가정; 실제 업무 실행 없음</x:v>
      </x:c>
    </x:row>
    <x:row r="114" ht="40" customHeight="1">
      <x:c r="A114" s="9" t="str">
        <x:v>SYN-COST-A-55</x:v>
      </x:c>
      <x:c r="B114" s="9" t="str">
        <x:v>SYN-G06-05</x:v>
      </x:c>
      <x:c r="C114" s="9" t="str">
        <x:v>A</x:v>
      </x:c>
      <x:c r="D114" s="9" t="str">
        <x:v>요청</x:v>
      </x:c>
      <x:c r="E114" s="9" t="str">
        <x:v>VIA 요청 처리</x:v>
      </x:c>
      <x:c r="F114" s="9" t="str">
        <x:v>현재 요청 해석·적용·조건부 원본 보완</x:v>
      </x:c>
      <x:c r="G114" s="10" t="n">
        <x:v>0.88</x:v>
      </x:c>
      <x:c r="H114" s="9" t="str">
        <x:v>사용</x:v>
      </x:c>
      <x:c r="I114" s="9" t="str">
        <x:v>합성 비용 단위; 호출·토큰·단가를 실제로 관측하지 않음</x:v>
      </x:c>
    </x:row>
    <x:row r="115" ht="40" customHeight="1">
      <x:c r="A115" s="9" t="str">
        <x:v>SYN-REC-A-55</x:v>
      </x:c>
      <x:c r="B115" s="9" t="str">
        <x:v>SYN-G06-05</x:v>
      </x:c>
      <x:c r="C115" s="9" t="str">
        <x:v>A</x:v>
      </x:c>
      <x:c r="D115" s="9" t="str">
        <x:v>수신자</x:v>
      </x:c>
      <x:c r="E115" s="9" t="str">
        <x:v>Downstream 처리</x:v>
      </x:c>
      <x:c r="F115" s="9" t="str">
        <x:v>공통 수신자 비용 가정</x:v>
      </x:c>
      <x:c r="G115" s="10" t="n">
        <x:v>0.25</x:v>
      </x:c>
      <x:c r="H115" s="9" t="str">
        <x:v>사용</x:v>
      </x:c>
      <x:c r="I115" s="9" t="str">
        <x:v>동일 비용 가정; 실제 업무 실행 없음</x:v>
      </x:c>
    </x:row>
    <x:row r="116" ht="40" customHeight="1">
      <x:c r="A116" s="9" t="str">
        <x:v>SYN-COST-A-56</x:v>
      </x:c>
      <x:c r="B116" s="9" t="str">
        <x:v>SYN-G06-06</x:v>
      </x:c>
      <x:c r="C116" s="9" t="str">
        <x:v>A</x:v>
      </x:c>
      <x:c r="D116" s="9" t="str">
        <x:v>요청</x:v>
      </x:c>
      <x:c r="E116" s="9" t="str">
        <x:v>VIA 요청 처리</x:v>
      </x:c>
      <x:c r="F116" s="9" t="str">
        <x:v>현재 요청 해석·적용·조건부 원본 보완</x:v>
      </x:c>
      <x:c r="G116" s="10" t="n">
        <x:v>0.889</x:v>
      </x:c>
      <x:c r="H116" s="9" t="str">
        <x:v>사용</x:v>
      </x:c>
      <x:c r="I116" s="9" t="str">
        <x:v>합성 비용 단위; 호출·토큰·단가를 실제로 관측하지 않음</x:v>
      </x:c>
    </x:row>
    <x:row r="117" ht="40" customHeight="1">
      <x:c r="A117" s="9" t="str">
        <x:v>SYN-REC-A-56</x:v>
      </x:c>
      <x:c r="B117" s="9" t="str">
        <x:v>SYN-G06-06</x:v>
      </x:c>
      <x:c r="C117" s="9" t="str">
        <x:v>A</x:v>
      </x:c>
      <x:c r="D117" s="9" t="str">
        <x:v>수신자</x:v>
      </x:c>
      <x:c r="E117" s="9" t="str">
        <x:v>Downstream 처리</x:v>
      </x:c>
      <x:c r="F117" s="9" t="str">
        <x:v>공통 수신자 비용 가정</x:v>
      </x:c>
      <x:c r="G117" s="10" t="n">
        <x:v>0.25</x:v>
      </x:c>
      <x:c r="H117" s="9" t="str">
        <x:v>사용</x:v>
      </x:c>
      <x:c r="I117" s="9" t="str">
        <x:v>동일 비용 가정; 실제 업무 실행 없음</x:v>
      </x:c>
    </x:row>
    <x:row r="118" ht="40" customHeight="1">
      <x:c r="A118" s="9" t="str">
        <x:v>SYN-COST-A-57</x:v>
      </x:c>
      <x:c r="B118" s="9" t="str">
        <x:v>SYN-G06-07</x:v>
      </x:c>
      <x:c r="C118" s="9" t="str">
        <x:v>A</x:v>
      </x:c>
      <x:c r="D118" s="9" t="str">
        <x:v>요청</x:v>
      </x:c>
      <x:c r="E118" s="9" t="str">
        <x:v>VIA 요청 처리</x:v>
      </x:c>
      <x:c r="F118" s="9" t="str">
        <x:v>현재 요청 해석·적용·조건부 원본 보완</x:v>
      </x:c>
      <x:c r="G118" s="10" t="n">
        <x:v>0.897</x:v>
      </x:c>
      <x:c r="H118" s="9" t="str">
        <x:v>사용</x:v>
      </x:c>
      <x:c r="I118" s="9" t="str">
        <x:v>합성 비용 단위; 호출·토큰·단가를 실제로 관측하지 않음</x:v>
      </x:c>
    </x:row>
    <x:row r="119" ht="40" customHeight="1">
      <x:c r="A119" s="9" t="str">
        <x:v>SYN-REC-A-57</x:v>
      </x:c>
      <x:c r="B119" s="9" t="str">
        <x:v>SYN-G06-07</x:v>
      </x:c>
      <x:c r="C119" s="9" t="str">
        <x:v>A</x:v>
      </x:c>
      <x:c r="D119" s="9" t="str">
        <x:v>수신자</x:v>
      </x:c>
      <x:c r="E119" s="9" t="str">
        <x:v>Downstream 처리</x:v>
      </x:c>
      <x:c r="F119" s="9" t="str">
        <x:v>공통 수신자 비용 가정</x:v>
      </x:c>
      <x:c r="G119" s="10" t="n">
        <x:v>0.25</x:v>
      </x:c>
      <x:c r="H119" s="9" t="str">
        <x:v>사용</x:v>
      </x:c>
      <x:c r="I119" s="9" t="str">
        <x:v>동일 비용 가정; 실제 업무 실행 없음</x:v>
      </x:c>
    </x:row>
    <x:row r="120" ht="40" customHeight="1">
      <x:c r="A120" s="9" t="str">
        <x:v>SYN-COST-A-58</x:v>
      </x:c>
      <x:c r="B120" s="9" t="str">
        <x:v>SYN-G06-08</x:v>
      </x:c>
      <x:c r="C120" s="9" t="str">
        <x:v>A</x:v>
      </x:c>
      <x:c r="D120" s="9" t="str">
        <x:v>요청</x:v>
      </x:c>
      <x:c r="E120" s="9" t="str">
        <x:v>VIA 요청 처리</x:v>
      </x:c>
      <x:c r="F120" s="9" t="str">
        <x:v>현재 요청 해석·적용·조건부 원본 보완</x:v>
      </x:c>
      <x:c r="G120" s="10" t="n">
        <x:v>0.905</x:v>
      </x:c>
      <x:c r="H120" s="9" t="str">
        <x:v>사용</x:v>
      </x:c>
      <x:c r="I120" s="9" t="str">
        <x:v>합성 비용 단위; 호출·토큰·단가를 실제로 관측하지 않음</x:v>
      </x:c>
    </x:row>
    <x:row r="121" ht="40" customHeight="1">
      <x:c r="A121" s="9" t="str">
        <x:v>SYN-REC-A-58</x:v>
      </x:c>
      <x:c r="B121" s="9" t="str">
        <x:v>SYN-G06-08</x:v>
      </x:c>
      <x:c r="C121" s="9" t="str">
        <x:v>A</x:v>
      </x:c>
      <x:c r="D121" s="9" t="str">
        <x:v>수신자</x:v>
      </x:c>
      <x:c r="E121" s="9" t="str">
        <x:v>Downstream 처리</x:v>
      </x:c>
      <x:c r="F121" s="9" t="str">
        <x:v>공통 수신자 비용 가정</x:v>
      </x:c>
      <x:c r="G121" s="10" t="n">
        <x:v>0.25</x:v>
      </x:c>
      <x:c r="H121" s="9" t="str">
        <x:v>사용</x:v>
      </x:c>
      <x:c r="I121" s="9" t="str">
        <x:v>동일 비용 가정; 실제 업무 실행 없음</x:v>
      </x:c>
    </x:row>
    <x:row r="122" ht="40" customHeight="1">
      <x:c r="A122" s="9" t="str">
        <x:v>SYN-COST-A-59</x:v>
      </x:c>
      <x:c r="B122" s="9" t="str">
        <x:v>SYN-G06-09</x:v>
      </x:c>
      <x:c r="C122" s="9" t="str">
        <x:v>A</x:v>
      </x:c>
      <x:c r="D122" s="9" t="str">
        <x:v>요청</x:v>
      </x:c>
      <x:c r="E122" s="9" t="str">
        <x:v>VIA 요청 처리</x:v>
      </x:c>
      <x:c r="F122" s="9" t="str">
        <x:v>현재 요청 해석·적용·조건부 원본 보완</x:v>
      </x:c>
      <x:c r="G122" s="10" t="n">
        <x:v>0.914</x:v>
      </x:c>
      <x:c r="H122" s="9" t="str">
        <x:v>사용</x:v>
      </x:c>
      <x:c r="I122" s="9" t="str">
        <x:v>합성 비용 단위; 호출·토큰·단가를 실제로 관측하지 않음</x:v>
      </x:c>
    </x:row>
    <x:row r="123" ht="40" customHeight="1">
      <x:c r="A123" s="9" t="str">
        <x:v>SYN-REC-A-59</x:v>
      </x:c>
      <x:c r="B123" s="9" t="str">
        <x:v>SYN-G06-09</x:v>
      </x:c>
      <x:c r="C123" s="9" t="str">
        <x:v>A</x:v>
      </x:c>
      <x:c r="D123" s="9" t="str">
        <x:v>수신자</x:v>
      </x:c>
      <x:c r="E123" s="9" t="str">
        <x:v>Downstream 처리</x:v>
      </x:c>
      <x:c r="F123" s="9" t="str">
        <x:v>공통 수신자 비용 가정</x:v>
      </x:c>
      <x:c r="G123" s="10" t="n">
        <x:v>0.25</x:v>
      </x:c>
      <x:c r="H123" s="9" t="str">
        <x:v>사용</x:v>
      </x:c>
      <x:c r="I123" s="9" t="str">
        <x:v>동일 비용 가정; 실제 업무 실행 없음</x:v>
      </x:c>
    </x:row>
    <x:row r="124" ht="40" customHeight="1">
      <x:c r="A124" s="9" t="str">
        <x:v>SYN-COST-A-60</x:v>
      </x:c>
      <x:c r="B124" s="9" t="str">
        <x:v>SYN-G06-10</x:v>
      </x:c>
      <x:c r="C124" s="9" t="str">
        <x:v>A</x:v>
      </x:c>
      <x:c r="D124" s="9" t="str">
        <x:v>요청</x:v>
      </x:c>
      <x:c r="E124" s="9" t="str">
        <x:v>VIA 요청 처리</x:v>
      </x:c>
      <x:c r="F124" s="9" t="str">
        <x:v>현재 요청 해석·적용·조건부 원본 보완</x:v>
      </x:c>
      <x:c r="G124" s="10" t="n">
        <x:v>0.922</x:v>
      </x:c>
      <x:c r="H124" s="9" t="str">
        <x:v>사용</x:v>
      </x:c>
      <x:c r="I124" s="9" t="str">
        <x:v>합성 비용 단위; 호출·토큰·단가를 실제로 관측하지 않음</x:v>
      </x:c>
    </x:row>
    <x:row r="125" ht="40" customHeight="1">
      <x:c r="A125" s="9" t="str">
        <x:v>SYN-REC-A-60</x:v>
      </x:c>
      <x:c r="B125" s="9" t="str">
        <x:v>SYN-G06-10</x:v>
      </x:c>
      <x:c r="C125" s="9" t="str">
        <x:v>A</x:v>
      </x:c>
      <x:c r="D125" s="9" t="str">
        <x:v>수신자</x:v>
      </x:c>
      <x:c r="E125" s="9" t="str">
        <x:v>Downstream 처리</x:v>
      </x:c>
      <x:c r="F125" s="9" t="str">
        <x:v>공통 수신자 비용 가정</x:v>
      </x:c>
      <x:c r="G125" s="10" t="n">
        <x:v>0.25</x:v>
      </x:c>
      <x:c r="H125" s="9" t="str">
        <x:v>사용</x:v>
      </x:c>
      <x:c r="I125" s="9" t="str">
        <x:v>동일 비용 가정; 실제 업무 실행 없음</x:v>
      </x:c>
    </x:row>
    <x:row r="126" ht="40" customHeight="1">
      <x:c r="A126" s="9" t="str">
        <x:v>SYN-COST-A-61</x:v>
      </x:c>
      <x:c r="B126" s="9" t="str">
        <x:v>SYN-G07-01</x:v>
      </x:c>
      <x:c r="C126" s="9" t="str">
        <x:v>A</x:v>
      </x:c>
      <x:c r="D126" s="9" t="str">
        <x:v>요청</x:v>
      </x:c>
      <x:c r="E126" s="9" t="str">
        <x:v>VIA 요청 처리</x:v>
      </x:c>
      <x:c r="F126" s="9" t="str">
        <x:v>현재 요청 해석·적용·조건부 원본 보완</x:v>
      </x:c>
      <x:c r="G126" s="10" t="n">
        <x:v>0.789</x:v>
      </x:c>
      <x:c r="H126" s="9" t="str">
        <x:v>사용</x:v>
      </x:c>
      <x:c r="I126" s="9" t="str">
        <x:v>합성 비용 단위; 호출·토큰·단가를 실제로 관측하지 않음</x:v>
      </x:c>
    </x:row>
    <x:row r="127" ht="40" customHeight="1">
      <x:c r="A127" s="9" t="str">
        <x:v>SYN-REC-A-61</x:v>
      </x:c>
      <x:c r="B127" s="9" t="str">
        <x:v>SYN-G07-01</x:v>
      </x:c>
      <x:c r="C127" s="9" t="str">
        <x:v>A</x:v>
      </x:c>
      <x:c r="D127" s="9" t="str">
        <x:v>수신자</x:v>
      </x:c>
      <x:c r="E127" s="9" t="str">
        <x:v>Downstream 처리</x:v>
      </x:c>
      <x:c r="F127" s="9" t="str">
        <x:v>공통 수신자 비용 가정</x:v>
      </x:c>
      <x:c r="G127" s="10" t="n">
        <x:v>0.25</x:v>
      </x:c>
      <x:c r="H127" s="9" t="str">
        <x:v>사용</x:v>
      </x:c>
      <x:c r="I127" s="9" t="str">
        <x:v>동일 비용 가정; 실제 업무 실행 없음</x:v>
      </x:c>
    </x:row>
    <x:row r="128" ht="40" customHeight="1">
      <x:c r="A128" s="9" t="str">
        <x:v>SYN-COST-A-62</x:v>
      </x:c>
      <x:c r="B128" s="9" t="str">
        <x:v>SYN-G07-02</x:v>
      </x:c>
      <x:c r="C128" s="9" t="str">
        <x:v>A</x:v>
      </x:c>
      <x:c r="D128" s="9" t="str">
        <x:v>요청</x:v>
      </x:c>
      <x:c r="E128" s="9" t="str">
        <x:v>VIA 요청 처리</x:v>
      </x:c>
      <x:c r="F128" s="9" t="str">
        <x:v>현재 요청 해석·적용·조건부 원본 보완</x:v>
      </x:c>
      <x:c r="G128" s="10" t="n">
        <x:v>0.798</x:v>
      </x:c>
      <x:c r="H128" s="9" t="str">
        <x:v>사용</x:v>
      </x:c>
      <x:c r="I128" s="9" t="str">
        <x:v>합성 비용 단위; 호출·토큰·단가를 실제로 관측하지 않음</x:v>
      </x:c>
    </x:row>
    <x:row r="129" ht="40" customHeight="1">
      <x:c r="A129" s="9" t="str">
        <x:v>SYN-REC-A-62</x:v>
      </x:c>
      <x:c r="B129" s="9" t="str">
        <x:v>SYN-G07-02</x:v>
      </x:c>
      <x:c r="C129" s="9" t="str">
        <x:v>A</x:v>
      </x:c>
      <x:c r="D129" s="9" t="str">
        <x:v>수신자</x:v>
      </x:c>
      <x:c r="E129" s="9" t="str">
        <x:v>Downstream 처리</x:v>
      </x:c>
      <x:c r="F129" s="9" t="str">
        <x:v>공통 수신자 비용 가정</x:v>
      </x:c>
      <x:c r="G129" s="10" t="n">
        <x:v>0.25</x:v>
      </x:c>
      <x:c r="H129" s="9" t="str">
        <x:v>사용</x:v>
      </x:c>
      <x:c r="I129" s="9" t="str">
        <x:v>동일 비용 가정; 실제 업무 실행 없음</x:v>
      </x:c>
    </x:row>
    <x:row r="130" ht="40" customHeight="1">
      <x:c r="A130" s="9" t="str">
        <x:v>SYN-COST-A-63</x:v>
      </x:c>
      <x:c r="B130" s="9" t="str">
        <x:v>SYN-G07-03</x:v>
      </x:c>
      <x:c r="C130" s="9" t="str">
        <x:v>A</x:v>
      </x:c>
      <x:c r="D130" s="9" t="str">
        <x:v>요청</x:v>
      </x:c>
      <x:c r="E130" s="9" t="str">
        <x:v>VIA 요청 처리</x:v>
      </x:c>
      <x:c r="F130" s="9" t="str">
        <x:v>현재 요청 해석·적용·조건부 원본 보완</x:v>
      </x:c>
      <x:c r="G130" s="10" t="n">
        <x:v>0.806</x:v>
      </x:c>
      <x:c r="H130" s="9" t="str">
        <x:v>사용</x:v>
      </x:c>
      <x:c r="I130" s="9" t="str">
        <x:v>합성 비용 단위; 호출·토큰·단가를 실제로 관측하지 않음</x:v>
      </x:c>
    </x:row>
    <x:row r="131" ht="40" customHeight="1">
      <x:c r="A131" s="9" t="str">
        <x:v>SYN-REC-A-63</x:v>
      </x:c>
      <x:c r="B131" s="9" t="str">
        <x:v>SYN-G07-03</x:v>
      </x:c>
      <x:c r="C131" s="9" t="str">
        <x:v>A</x:v>
      </x:c>
      <x:c r="D131" s="9" t="str">
        <x:v>수신자</x:v>
      </x:c>
      <x:c r="E131" s="9" t="str">
        <x:v>Downstream 처리</x:v>
      </x:c>
      <x:c r="F131" s="9" t="str">
        <x:v>공통 수신자 비용 가정</x:v>
      </x:c>
      <x:c r="G131" s="10" t="n">
        <x:v>0.25</x:v>
      </x:c>
      <x:c r="H131" s="9" t="str">
        <x:v>사용</x:v>
      </x:c>
      <x:c r="I131" s="9" t="str">
        <x:v>동일 비용 가정; 실제 업무 실행 없음</x:v>
      </x:c>
    </x:row>
    <x:row r="132" ht="40" customHeight="1">
      <x:c r="A132" s="9" t="str">
        <x:v>SYN-COST-A-64</x:v>
      </x:c>
      <x:c r="B132" s="9" t="str">
        <x:v>SYN-G07-04</x:v>
      </x:c>
      <x:c r="C132" s="9" t="str">
        <x:v>A</x:v>
      </x:c>
      <x:c r="D132" s="9" t="str">
        <x:v>요청</x:v>
      </x:c>
      <x:c r="E132" s="9" t="str">
        <x:v>VIA 요청 처리</x:v>
      </x:c>
      <x:c r="F132" s="9" t="str">
        <x:v>현재 요청 해석·적용·조건부 원본 보완</x:v>
      </x:c>
      <x:c r="G132" s="10" t="n">
        <x:v>0.814</x:v>
      </x:c>
      <x:c r="H132" s="9" t="str">
        <x:v>사용</x:v>
      </x:c>
      <x:c r="I132" s="9" t="str">
        <x:v>합성 비용 단위; 호출·토큰·단가를 실제로 관측하지 않음</x:v>
      </x:c>
    </x:row>
    <x:row r="133" ht="40" customHeight="1">
      <x:c r="A133" s="9" t="str">
        <x:v>SYN-REC-A-64</x:v>
      </x:c>
      <x:c r="B133" s="9" t="str">
        <x:v>SYN-G07-04</x:v>
      </x:c>
      <x:c r="C133" s="9" t="str">
        <x:v>A</x:v>
      </x:c>
      <x:c r="D133" s="9" t="str">
        <x:v>수신자</x:v>
      </x:c>
      <x:c r="E133" s="9" t="str">
        <x:v>Downstream 처리</x:v>
      </x:c>
      <x:c r="F133" s="9" t="str">
        <x:v>공통 수신자 비용 가정</x:v>
      </x:c>
      <x:c r="G133" s="10" t="n">
        <x:v>0.25</x:v>
      </x:c>
      <x:c r="H133" s="9" t="str">
        <x:v>사용</x:v>
      </x:c>
      <x:c r="I133" s="9" t="str">
        <x:v>동일 비용 가정; 실제 업무 실행 없음</x:v>
      </x:c>
    </x:row>
    <x:row r="134" ht="40" customHeight="1">
      <x:c r="A134" s="9" t="str">
        <x:v>SYN-COST-A-65</x:v>
      </x:c>
      <x:c r="B134" s="9" t="str">
        <x:v>SYN-G07-05</x:v>
      </x:c>
      <x:c r="C134" s="9" t="str">
        <x:v>A</x:v>
      </x:c>
      <x:c r="D134" s="9" t="str">
        <x:v>요청</x:v>
      </x:c>
      <x:c r="E134" s="9" t="str">
        <x:v>VIA 요청 처리</x:v>
      </x:c>
      <x:c r="F134" s="9" t="str">
        <x:v>현재 요청 해석·적용·조건부 원본 보완</x:v>
      </x:c>
      <x:c r="G134" s="10" t="n">
        <x:v>0.823</x:v>
      </x:c>
      <x:c r="H134" s="9" t="str">
        <x:v>사용</x:v>
      </x:c>
      <x:c r="I134" s="9" t="str">
        <x:v>합성 비용 단위; 호출·토큰·단가를 실제로 관측하지 않음</x:v>
      </x:c>
    </x:row>
    <x:row r="135" ht="40" customHeight="1">
      <x:c r="A135" s="9" t="str">
        <x:v>SYN-REC-A-65</x:v>
      </x:c>
      <x:c r="B135" s="9" t="str">
        <x:v>SYN-G07-05</x:v>
      </x:c>
      <x:c r="C135" s="9" t="str">
        <x:v>A</x:v>
      </x:c>
      <x:c r="D135" s="9" t="str">
        <x:v>수신자</x:v>
      </x:c>
      <x:c r="E135" s="9" t="str">
        <x:v>Downstream 처리</x:v>
      </x:c>
      <x:c r="F135" s="9" t="str">
        <x:v>공통 수신자 비용 가정</x:v>
      </x:c>
      <x:c r="G135" s="10" t="n">
        <x:v>0.25</x:v>
      </x:c>
      <x:c r="H135" s="9" t="str">
        <x:v>사용</x:v>
      </x:c>
      <x:c r="I135" s="9" t="str">
        <x:v>동일 비용 가정; 실제 업무 실행 없음</x:v>
      </x:c>
    </x:row>
    <x:row r="136" ht="40" customHeight="1">
      <x:c r="A136" s="9" t="str">
        <x:v>SYN-COST-A-66</x:v>
      </x:c>
      <x:c r="B136" s="9" t="str">
        <x:v>SYN-G07-06</x:v>
      </x:c>
      <x:c r="C136" s="9" t="str">
        <x:v>A</x:v>
      </x:c>
      <x:c r="D136" s="9" t="str">
        <x:v>요청</x:v>
      </x:c>
      <x:c r="E136" s="9" t="str">
        <x:v>VIA 요청 처리</x:v>
      </x:c>
      <x:c r="F136" s="9" t="str">
        <x:v>현재 요청 해석·적용·조건부 원본 보완</x:v>
      </x:c>
      <x:c r="G136" s="10" t="n">
        <x:v>0.831</x:v>
      </x:c>
      <x:c r="H136" s="9" t="str">
        <x:v>사용</x:v>
      </x:c>
      <x:c r="I136" s="9" t="str">
        <x:v>합성 비용 단위; 호출·토큰·단가를 실제로 관측하지 않음</x:v>
      </x:c>
    </x:row>
    <x:row r="137" ht="40" customHeight="1">
      <x:c r="A137" s="9" t="str">
        <x:v>SYN-REC-A-66</x:v>
      </x:c>
      <x:c r="B137" s="9" t="str">
        <x:v>SYN-G07-06</x:v>
      </x:c>
      <x:c r="C137" s="9" t="str">
        <x:v>A</x:v>
      </x:c>
      <x:c r="D137" s="9" t="str">
        <x:v>수신자</x:v>
      </x:c>
      <x:c r="E137" s="9" t="str">
        <x:v>Downstream 처리</x:v>
      </x:c>
      <x:c r="F137" s="9" t="str">
        <x:v>공통 수신자 비용 가정</x:v>
      </x:c>
      <x:c r="G137" s="10" t="n">
        <x:v>0.25</x:v>
      </x:c>
      <x:c r="H137" s="9" t="str">
        <x:v>사용</x:v>
      </x:c>
      <x:c r="I137" s="9" t="str">
        <x:v>동일 비용 가정; 실제 업무 실행 없음</x:v>
      </x:c>
    </x:row>
    <x:row r="138" ht="40" customHeight="1">
      <x:c r="A138" s="9" t="str">
        <x:v>SYN-COST-A-67</x:v>
      </x:c>
      <x:c r="B138" s="9" t="str">
        <x:v>SYN-G07-07</x:v>
      </x:c>
      <x:c r="C138" s="9" t="str">
        <x:v>A</x:v>
      </x:c>
      <x:c r="D138" s="9" t="str">
        <x:v>요청</x:v>
      </x:c>
      <x:c r="E138" s="9" t="str">
        <x:v>VIA 요청 처리</x:v>
      </x:c>
      <x:c r="F138" s="9" t="str">
        <x:v>현재 요청 해석·적용·조건부 원본 보완</x:v>
      </x:c>
      <x:c r="G138" s="10" t="n">
        <x:v>0.839</x:v>
      </x:c>
      <x:c r="H138" s="9" t="str">
        <x:v>사용</x:v>
      </x:c>
      <x:c r="I138" s="9" t="str">
        <x:v>합성 비용 단위; 호출·토큰·단가를 실제로 관측하지 않음</x:v>
      </x:c>
    </x:row>
    <x:row r="139" ht="40" customHeight="1">
      <x:c r="A139" s="9" t="str">
        <x:v>SYN-REC-A-67</x:v>
      </x:c>
      <x:c r="B139" s="9" t="str">
        <x:v>SYN-G07-07</x:v>
      </x:c>
      <x:c r="C139" s="9" t="str">
        <x:v>A</x:v>
      </x:c>
      <x:c r="D139" s="9" t="str">
        <x:v>수신자</x:v>
      </x:c>
      <x:c r="E139" s="9" t="str">
        <x:v>Downstream 처리</x:v>
      </x:c>
      <x:c r="F139" s="9" t="str">
        <x:v>공통 수신자 비용 가정</x:v>
      </x:c>
      <x:c r="G139" s="10" t="n">
        <x:v>0.25</x:v>
      </x:c>
      <x:c r="H139" s="9" t="str">
        <x:v>사용</x:v>
      </x:c>
      <x:c r="I139" s="9" t="str">
        <x:v>동일 비용 가정; 실제 업무 실행 없음</x:v>
      </x:c>
    </x:row>
    <x:row r="140" ht="40" customHeight="1">
      <x:c r="A140" s="9" t="str">
        <x:v>SYN-COST-A-68</x:v>
      </x:c>
      <x:c r="B140" s="9" t="str">
        <x:v>SYN-G07-08</x:v>
      </x:c>
      <x:c r="C140" s="9" t="str">
        <x:v>A</x:v>
      </x:c>
      <x:c r="D140" s="9" t="str">
        <x:v>요청</x:v>
      </x:c>
      <x:c r="E140" s="9" t="str">
        <x:v>VIA 요청 처리</x:v>
      </x:c>
      <x:c r="F140" s="9" t="str">
        <x:v>현재 요청 해석·적용·조건부 원본 보완</x:v>
      </x:c>
      <x:c r="G140" s="10" t="n">
        <x:v>0.848</x:v>
      </x:c>
      <x:c r="H140" s="9" t="str">
        <x:v>사용</x:v>
      </x:c>
      <x:c r="I140" s="9" t="str">
        <x:v>합성 비용 단위; 호출·토큰·단가를 실제로 관측하지 않음</x:v>
      </x:c>
    </x:row>
    <x:row r="141" ht="40" customHeight="1">
      <x:c r="A141" s="9" t="str">
        <x:v>SYN-REC-A-68</x:v>
      </x:c>
      <x:c r="B141" s="9" t="str">
        <x:v>SYN-G07-08</x:v>
      </x:c>
      <x:c r="C141" s="9" t="str">
        <x:v>A</x:v>
      </x:c>
      <x:c r="D141" s="9" t="str">
        <x:v>수신자</x:v>
      </x:c>
      <x:c r="E141" s="9" t="str">
        <x:v>Downstream 처리</x:v>
      </x:c>
      <x:c r="F141" s="9" t="str">
        <x:v>공통 수신자 비용 가정</x:v>
      </x:c>
      <x:c r="G141" s="10" t="n">
        <x:v>0.25</x:v>
      </x:c>
      <x:c r="H141" s="9" t="str">
        <x:v>사용</x:v>
      </x:c>
      <x:c r="I141" s="9" t="str">
        <x:v>동일 비용 가정; 실제 업무 실행 없음</x:v>
      </x:c>
    </x:row>
    <x:row r="142" ht="40" customHeight="1">
      <x:c r="A142" s="9" t="str">
        <x:v>SYN-COST-A-69</x:v>
      </x:c>
      <x:c r="B142" s="9" t="str">
        <x:v>SYN-G07-09</x:v>
      </x:c>
      <x:c r="C142" s="9" t="str">
        <x:v>A</x:v>
      </x:c>
      <x:c r="D142" s="9" t="str">
        <x:v>요청</x:v>
      </x:c>
      <x:c r="E142" s="9" t="str">
        <x:v>VIA 요청 처리</x:v>
      </x:c>
      <x:c r="F142" s="9" t="str">
        <x:v>현재 요청 해석·적용·조건부 원본 보완</x:v>
      </x:c>
      <x:c r="G142" s="10" t="n">
        <x:v>0.856</x:v>
      </x:c>
      <x:c r="H142" s="9" t="str">
        <x:v>사용</x:v>
      </x:c>
      <x:c r="I142" s="9" t="str">
        <x:v>합성 비용 단위; 호출·토큰·단가를 실제로 관측하지 않음</x:v>
      </x:c>
    </x:row>
    <x:row r="143" ht="40" customHeight="1">
      <x:c r="A143" s="9" t="str">
        <x:v>SYN-REC-A-69</x:v>
      </x:c>
      <x:c r="B143" s="9" t="str">
        <x:v>SYN-G07-09</x:v>
      </x:c>
      <x:c r="C143" s="9" t="str">
        <x:v>A</x:v>
      </x:c>
      <x:c r="D143" s="9" t="str">
        <x:v>수신자</x:v>
      </x:c>
      <x:c r="E143" s="9" t="str">
        <x:v>Downstream 처리</x:v>
      </x:c>
      <x:c r="F143" s="9" t="str">
        <x:v>공통 수신자 비용 가정</x:v>
      </x:c>
      <x:c r="G143" s="10" t="n">
        <x:v>0.25</x:v>
      </x:c>
      <x:c r="H143" s="9" t="str">
        <x:v>사용</x:v>
      </x:c>
      <x:c r="I143" s="9" t="str">
        <x:v>동일 비용 가정; 실제 업무 실행 없음</x:v>
      </x:c>
    </x:row>
    <x:row r="144" ht="40" customHeight="1">
      <x:c r="A144" s="9" t="str">
        <x:v>SYN-COST-A-70</x:v>
      </x:c>
      <x:c r="B144" s="9" t="str">
        <x:v>SYN-G07-10</x:v>
      </x:c>
      <x:c r="C144" s="9" t="str">
        <x:v>A</x:v>
      </x:c>
      <x:c r="D144" s="9" t="str">
        <x:v>요청</x:v>
      </x:c>
      <x:c r="E144" s="9" t="str">
        <x:v>VIA 요청 처리</x:v>
      </x:c>
      <x:c r="F144" s="9" t="str">
        <x:v>현재 요청 해석·적용·조건부 원본 보완</x:v>
      </x:c>
      <x:c r="G144" s="10" t="n">
        <x:v>0.864</x:v>
      </x:c>
      <x:c r="H144" s="9" t="str">
        <x:v>사용</x:v>
      </x:c>
      <x:c r="I144" s="9" t="str">
        <x:v>합성 비용 단위; 호출·토큰·단가를 실제로 관측하지 않음</x:v>
      </x:c>
    </x:row>
    <x:row r="145" ht="40" customHeight="1">
      <x:c r="A145" s="9" t="str">
        <x:v>SYN-REC-A-70</x:v>
      </x:c>
      <x:c r="B145" s="9" t="str">
        <x:v>SYN-G07-10</x:v>
      </x:c>
      <x:c r="C145" s="9" t="str">
        <x:v>A</x:v>
      </x:c>
      <x:c r="D145" s="9" t="str">
        <x:v>수신자</x:v>
      </x:c>
      <x:c r="E145" s="9" t="str">
        <x:v>Downstream 처리</x:v>
      </x:c>
      <x:c r="F145" s="9" t="str">
        <x:v>공통 수신자 비용 가정</x:v>
      </x:c>
      <x:c r="G145" s="10" t="n">
        <x:v>0.25</x:v>
      </x:c>
      <x:c r="H145" s="9" t="str">
        <x:v>사용</x:v>
      </x:c>
      <x:c r="I145" s="9" t="str">
        <x:v>동일 비용 가정; 실제 업무 실행 없음</x:v>
      </x:c>
    </x:row>
    <x:row r="146" ht="40" customHeight="1">
      <x:c r="A146" s="9" t="str">
        <x:v>SYN-COST-A-71</x:v>
      </x:c>
      <x:c r="B146" s="9" t="str">
        <x:v>SYN-G08-01</x:v>
      </x:c>
      <x:c r="C146" s="9" t="str">
        <x:v>A</x:v>
      </x:c>
      <x:c r="D146" s="9" t="str">
        <x:v>요청</x:v>
      </x:c>
      <x:c r="E146" s="9" t="str">
        <x:v>VIA 요청 처리</x:v>
      </x:c>
      <x:c r="F146" s="9" t="str">
        <x:v>현재 요청 해석·적용·조건부 원본 보완</x:v>
      </x:c>
      <x:c r="G146" s="10" t="n">
        <x:v>0.148</x:v>
      </x:c>
      <x:c r="H146" s="9" t="str">
        <x:v>사용</x:v>
      </x:c>
      <x:c r="I146" s="9" t="str">
        <x:v>합성 비용 단위; 호출·토큰·단가를 실제로 관측하지 않음</x:v>
      </x:c>
    </x:row>
    <x:row r="147" ht="40" customHeight="1">
      <x:c r="A147" s="9" t="str">
        <x:v>SYN-REC-A-71</x:v>
      </x:c>
      <x:c r="B147" s="9" t="str">
        <x:v>SYN-G08-01</x:v>
      </x:c>
      <x:c r="C147" s="9" t="str">
        <x:v>A</x:v>
      </x:c>
      <x:c r="D147" s="9" t="str">
        <x:v>수신자</x:v>
      </x:c>
      <x:c r="E147" s="9" t="str">
        <x:v>Downstream 처리</x:v>
      </x:c>
      <x:c r="F147" s="9" t="str">
        <x:v>공통 수신자 비용 가정</x:v>
      </x:c>
      <x:c r="G147" s="10" t="n">
        <x:v>0.25</x:v>
      </x:c>
      <x:c r="H147" s="9" t="str">
        <x:v>사용</x:v>
      </x:c>
      <x:c r="I147" s="9" t="str">
        <x:v>동일 비용 가정; 실제 업무 실행 없음</x:v>
      </x:c>
    </x:row>
    <x:row r="148" ht="40" customHeight="1">
      <x:c r="A148" s="9" t="str">
        <x:v>SYN-COST-A-72</x:v>
      </x:c>
      <x:c r="B148" s="9" t="str">
        <x:v>SYN-G08-02</x:v>
      </x:c>
      <x:c r="C148" s="9" t="str">
        <x:v>A</x:v>
      </x:c>
      <x:c r="D148" s="9" t="str">
        <x:v>요청</x:v>
      </x:c>
      <x:c r="E148" s="9" t="str">
        <x:v>VIA 요청 처리</x:v>
      </x:c>
      <x:c r="F148" s="9" t="str">
        <x:v>현재 요청 해석·적용·조건부 원본 보완</x:v>
      </x:c>
      <x:c r="G148" s="10" t="n">
        <x:v>0.157</x:v>
      </x:c>
      <x:c r="H148" s="9" t="str">
        <x:v>사용</x:v>
      </x:c>
      <x:c r="I148" s="9" t="str">
        <x:v>합성 비용 단위; 호출·토큰·단가를 실제로 관측하지 않음</x:v>
      </x:c>
    </x:row>
    <x:row r="149" ht="40" customHeight="1">
      <x:c r="A149" s="9" t="str">
        <x:v>SYN-REC-A-72</x:v>
      </x:c>
      <x:c r="B149" s="9" t="str">
        <x:v>SYN-G08-02</x:v>
      </x:c>
      <x:c r="C149" s="9" t="str">
        <x:v>A</x:v>
      </x:c>
      <x:c r="D149" s="9" t="str">
        <x:v>수신자</x:v>
      </x:c>
      <x:c r="E149" s="9" t="str">
        <x:v>Downstream 처리</x:v>
      </x:c>
      <x:c r="F149" s="9" t="str">
        <x:v>공통 수신자 비용 가정</x:v>
      </x:c>
      <x:c r="G149" s="10" t="n">
        <x:v>0.25</x:v>
      </x:c>
      <x:c r="H149" s="9" t="str">
        <x:v>사용</x:v>
      </x:c>
      <x:c r="I149" s="9" t="str">
        <x:v>동일 비용 가정; 실제 업무 실행 없음</x:v>
      </x:c>
    </x:row>
    <x:row r="150" ht="40" customHeight="1">
      <x:c r="A150" s="9" t="str">
        <x:v>SYN-COST-A-73</x:v>
      </x:c>
      <x:c r="B150" s="9" t="str">
        <x:v>SYN-G08-03</x:v>
      </x:c>
      <x:c r="C150" s="9" t="str">
        <x:v>A</x:v>
      </x:c>
      <x:c r="D150" s="9" t="str">
        <x:v>요청</x:v>
      </x:c>
      <x:c r="E150" s="9" t="str">
        <x:v>VIA 요청 처리</x:v>
      </x:c>
      <x:c r="F150" s="9" t="str">
        <x:v>현재 요청 해석·적용·조건부 원본 보완</x:v>
      </x:c>
      <x:c r="G150" s="10" t="n">
        <x:v>0.165</x:v>
      </x:c>
      <x:c r="H150" s="9" t="str">
        <x:v>사용</x:v>
      </x:c>
      <x:c r="I150" s="9" t="str">
        <x:v>합성 비용 단위; 호출·토큰·단가를 실제로 관측하지 않음</x:v>
      </x:c>
    </x:row>
    <x:row r="151" ht="40" customHeight="1">
      <x:c r="A151" s="9" t="str">
        <x:v>SYN-REC-A-73</x:v>
      </x:c>
      <x:c r="B151" s="9" t="str">
        <x:v>SYN-G08-03</x:v>
      </x:c>
      <x:c r="C151" s="9" t="str">
        <x:v>A</x:v>
      </x:c>
      <x:c r="D151" s="9" t="str">
        <x:v>수신자</x:v>
      </x:c>
      <x:c r="E151" s="9" t="str">
        <x:v>Downstream 처리</x:v>
      </x:c>
      <x:c r="F151" s="9" t="str">
        <x:v>공통 수신자 비용 가정</x:v>
      </x:c>
      <x:c r="G151" s="10" t="n">
        <x:v>0.25</x:v>
      </x:c>
      <x:c r="H151" s="9" t="str">
        <x:v>사용</x:v>
      </x:c>
      <x:c r="I151" s="9" t="str">
        <x:v>동일 비용 가정; 실제 업무 실행 없음</x:v>
      </x:c>
    </x:row>
    <x:row r="152" ht="40" customHeight="1">
      <x:c r="A152" s="9" t="str">
        <x:v>SYN-COST-A-74</x:v>
      </x:c>
      <x:c r="B152" s="9" t="str">
        <x:v>SYN-G08-04</x:v>
      </x:c>
      <x:c r="C152" s="9" t="str">
        <x:v>A</x:v>
      </x:c>
      <x:c r="D152" s="9" t="str">
        <x:v>요청</x:v>
      </x:c>
      <x:c r="E152" s="9" t="str">
        <x:v>VIA 요청 처리</x:v>
      </x:c>
      <x:c r="F152" s="9" t="str">
        <x:v>현재 요청 해석·적용·조건부 원본 보완</x:v>
      </x:c>
      <x:c r="G152" s="10" t="n">
        <x:v>0.173</x:v>
      </x:c>
      <x:c r="H152" s="9" t="str">
        <x:v>사용</x:v>
      </x:c>
      <x:c r="I152" s="9" t="str">
        <x:v>합성 비용 단위; 호출·토큰·단가를 실제로 관측하지 않음</x:v>
      </x:c>
    </x:row>
    <x:row r="153" ht="40" customHeight="1">
      <x:c r="A153" s="9" t="str">
        <x:v>SYN-REC-A-74</x:v>
      </x:c>
      <x:c r="B153" s="9" t="str">
        <x:v>SYN-G08-04</x:v>
      </x:c>
      <x:c r="C153" s="9" t="str">
        <x:v>A</x:v>
      </x:c>
      <x:c r="D153" s="9" t="str">
        <x:v>수신자</x:v>
      </x:c>
      <x:c r="E153" s="9" t="str">
        <x:v>Downstream 처리</x:v>
      </x:c>
      <x:c r="F153" s="9" t="str">
        <x:v>공통 수신자 비용 가정</x:v>
      </x:c>
      <x:c r="G153" s="10" t="n">
        <x:v>0.25</x:v>
      </x:c>
      <x:c r="H153" s="9" t="str">
        <x:v>사용</x:v>
      </x:c>
      <x:c r="I153" s="9" t="str">
        <x:v>동일 비용 가정; 실제 업무 실행 없음</x:v>
      </x:c>
    </x:row>
    <x:row r="154" ht="40" customHeight="1">
      <x:c r="A154" s="9" t="str">
        <x:v>SYN-COST-A-75</x:v>
      </x:c>
      <x:c r="B154" s="9" t="str">
        <x:v>SYN-G08-05</x:v>
      </x:c>
      <x:c r="C154" s="9" t="str">
        <x:v>A</x:v>
      </x:c>
      <x:c r="D154" s="9" t="str">
        <x:v>요청</x:v>
      </x:c>
      <x:c r="E154" s="9" t="str">
        <x:v>VIA 요청 처리</x:v>
      </x:c>
      <x:c r="F154" s="9" t="str">
        <x:v>현재 요청 해석·적용·조건부 원본 보완</x:v>
      </x:c>
      <x:c r="G154" s="10" t="n">
        <x:v>0.182</x:v>
      </x:c>
      <x:c r="H154" s="9" t="str">
        <x:v>사용</x:v>
      </x:c>
      <x:c r="I154" s="9" t="str">
        <x:v>합성 비용 단위; 호출·토큰·단가를 실제로 관측하지 않음</x:v>
      </x:c>
    </x:row>
    <x:row r="155" ht="40" customHeight="1">
      <x:c r="A155" s="9" t="str">
        <x:v>SYN-REC-A-75</x:v>
      </x:c>
      <x:c r="B155" s="9" t="str">
        <x:v>SYN-G08-05</x:v>
      </x:c>
      <x:c r="C155" s="9" t="str">
        <x:v>A</x:v>
      </x:c>
      <x:c r="D155" s="9" t="str">
        <x:v>수신자</x:v>
      </x:c>
      <x:c r="E155" s="9" t="str">
        <x:v>Downstream 처리</x:v>
      </x:c>
      <x:c r="F155" s="9" t="str">
        <x:v>공통 수신자 비용 가정</x:v>
      </x:c>
      <x:c r="G155" s="10" t="n">
        <x:v>0.25</x:v>
      </x:c>
      <x:c r="H155" s="9" t="str">
        <x:v>사용</x:v>
      </x:c>
      <x:c r="I155" s="9" t="str">
        <x:v>동일 비용 가정; 실제 업무 실행 없음</x:v>
      </x:c>
    </x:row>
    <x:row r="156" ht="40" customHeight="1">
      <x:c r="A156" s="9" t="str">
        <x:v>SYN-COST-A-76</x:v>
      </x:c>
      <x:c r="B156" s="9" t="str">
        <x:v>SYN-G08-06</x:v>
      </x:c>
      <x:c r="C156" s="9" t="str">
        <x:v>A</x:v>
      </x:c>
      <x:c r="D156" s="9" t="str">
        <x:v>요청</x:v>
      </x:c>
      <x:c r="E156" s="9" t="str">
        <x:v>VIA 요청 처리</x:v>
      </x:c>
      <x:c r="F156" s="9" t="str">
        <x:v>현재 요청 해석·적용·조건부 원본 보완</x:v>
      </x:c>
      <x:c r="G156" s="10" t="n">
        <x:v>0.19</x:v>
      </x:c>
      <x:c r="H156" s="9" t="str">
        <x:v>사용</x:v>
      </x:c>
      <x:c r="I156" s="9" t="str">
        <x:v>합성 비용 단위; 호출·토큰·단가를 실제로 관측하지 않음</x:v>
      </x:c>
    </x:row>
    <x:row r="157" ht="40" customHeight="1">
      <x:c r="A157" s="9" t="str">
        <x:v>SYN-REC-A-76</x:v>
      </x:c>
      <x:c r="B157" s="9" t="str">
        <x:v>SYN-G08-06</x:v>
      </x:c>
      <x:c r="C157" s="9" t="str">
        <x:v>A</x:v>
      </x:c>
      <x:c r="D157" s="9" t="str">
        <x:v>수신자</x:v>
      </x:c>
      <x:c r="E157" s="9" t="str">
        <x:v>Downstream 처리</x:v>
      </x:c>
      <x:c r="F157" s="9" t="str">
        <x:v>공통 수신자 비용 가정</x:v>
      </x:c>
      <x:c r="G157" s="10" t="n">
        <x:v>0.25</x:v>
      </x:c>
      <x:c r="H157" s="9" t="str">
        <x:v>사용</x:v>
      </x:c>
      <x:c r="I157" s="9" t="str">
        <x:v>동일 비용 가정; 실제 업무 실행 없음</x:v>
      </x:c>
    </x:row>
    <x:row r="158" ht="40" customHeight="1">
      <x:c r="A158" s="9" t="str">
        <x:v>SYN-COST-A-77</x:v>
      </x:c>
      <x:c r="B158" s="9" t="str">
        <x:v>SYN-G08-07</x:v>
      </x:c>
      <x:c r="C158" s="9" t="str">
        <x:v>A</x:v>
      </x:c>
      <x:c r="D158" s="9" t="str">
        <x:v>요청</x:v>
      </x:c>
      <x:c r="E158" s="9" t="str">
        <x:v>VIA 요청 처리</x:v>
      </x:c>
      <x:c r="F158" s="9" t="str">
        <x:v>현재 요청 해석·적용·조건부 원본 보완</x:v>
      </x:c>
      <x:c r="G158" s="10" t="n">
        <x:v>0.198</x:v>
      </x:c>
      <x:c r="H158" s="9" t="str">
        <x:v>사용</x:v>
      </x:c>
      <x:c r="I158" s="9" t="str">
        <x:v>합성 비용 단위; 호출·토큰·단가를 실제로 관측하지 않음</x:v>
      </x:c>
    </x:row>
    <x:row r="159" ht="40" customHeight="1">
      <x:c r="A159" s="9" t="str">
        <x:v>SYN-REC-A-77</x:v>
      </x:c>
      <x:c r="B159" s="9" t="str">
        <x:v>SYN-G08-07</x:v>
      </x:c>
      <x:c r="C159" s="9" t="str">
        <x:v>A</x:v>
      </x:c>
      <x:c r="D159" s="9" t="str">
        <x:v>수신자</x:v>
      </x:c>
      <x:c r="E159" s="9" t="str">
        <x:v>Downstream 처리</x:v>
      </x:c>
      <x:c r="F159" s="9" t="str">
        <x:v>공통 수신자 비용 가정</x:v>
      </x:c>
      <x:c r="G159" s="10" t="n">
        <x:v>0.25</x:v>
      </x:c>
      <x:c r="H159" s="9" t="str">
        <x:v>사용</x:v>
      </x:c>
      <x:c r="I159" s="9" t="str">
        <x:v>동일 비용 가정; 실제 업무 실행 없음</x:v>
      </x:c>
    </x:row>
    <x:row r="160" ht="40" customHeight="1">
      <x:c r="A160" s="9" t="str">
        <x:v>SYN-COST-A-78</x:v>
      </x:c>
      <x:c r="B160" s="9" t="str">
        <x:v>SYN-G08-08</x:v>
      </x:c>
      <x:c r="C160" s="9" t="str">
        <x:v>A</x:v>
      </x:c>
      <x:c r="D160" s="9" t="str">
        <x:v>요청</x:v>
      </x:c>
      <x:c r="E160" s="9" t="str">
        <x:v>VIA 요청 처리</x:v>
      </x:c>
      <x:c r="F160" s="9" t="str">
        <x:v>현재 요청 해석·적용·조건부 원본 보완</x:v>
      </x:c>
      <x:c r="G160" s="10" t="n">
        <x:v>0.207</x:v>
      </x:c>
      <x:c r="H160" s="9" t="str">
        <x:v>사용</x:v>
      </x:c>
      <x:c r="I160" s="9" t="str">
        <x:v>합성 비용 단위; 호출·토큰·단가를 실제로 관측하지 않음</x:v>
      </x:c>
    </x:row>
    <x:row r="161" ht="40" customHeight="1">
      <x:c r="A161" s="9" t="str">
        <x:v>SYN-REC-A-78</x:v>
      </x:c>
      <x:c r="B161" s="9" t="str">
        <x:v>SYN-G08-08</x:v>
      </x:c>
      <x:c r="C161" s="9" t="str">
        <x:v>A</x:v>
      </x:c>
      <x:c r="D161" s="9" t="str">
        <x:v>수신자</x:v>
      </x:c>
      <x:c r="E161" s="9" t="str">
        <x:v>Downstream 처리</x:v>
      </x:c>
      <x:c r="F161" s="9" t="str">
        <x:v>공통 수신자 비용 가정</x:v>
      </x:c>
      <x:c r="G161" s="10" t="n">
        <x:v>0.25</x:v>
      </x:c>
      <x:c r="H161" s="9" t="str">
        <x:v>사용</x:v>
      </x:c>
      <x:c r="I161" s="9" t="str">
        <x:v>동일 비용 가정; 실제 업무 실행 없음</x:v>
      </x:c>
    </x:row>
    <x:row r="162" ht="40" customHeight="1">
      <x:c r="A162" s="9" t="str">
        <x:v>SYN-COST-A-79</x:v>
      </x:c>
      <x:c r="B162" s="9" t="str">
        <x:v>SYN-G08-09</x:v>
      </x:c>
      <x:c r="C162" s="9" t="str">
        <x:v>A</x:v>
      </x:c>
      <x:c r="D162" s="9" t="str">
        <x:v>요청</x:v>
      </x:c>
      <x:c r="E162" s="9" t="str">
        <x:v>VIA 요청 처리</x:v>
      </x:c>
      <x:c r="F162" s="9" t="str">
        <x:v>현재 요청 해석·적용·조건부 원본 보완</x:v>
      </x:c>
      <x:c r="G162" s="10" t="n">
        <x:v>0.215</x:v>
      </x:c>
      <x:c r="H162" s="9" t="str">
        <x:v>사용</x:v>
      </x:c>
      <x:c r="I162" s="9" t="str">
        <x:v>합성 비용 단위; 호출·토큰·단가를 실제로 관측하지 않음</x:v>
      </x:c>
    </x:row>
    <x:row r="163" ht="40" customHeight="1">
      <x:c r="A163" s="9" t="str">
        <x:v>SYN-REC-A-79</x:v>
      </x:c>
      <x:c r="B163" s="9" t="str">
        <x:v>SYN-G08-09</x:v>
      </x:c>
      <x:c r="C163" s="9" t="str">
        <x:v>A</x:v>
      </x:c>
      <x:c r="D163" s="9" t="str">
        <x:v>수신자</x:v>
      </x:c>
      <x:c r="E163" s="9" t="str">
        <x:v>Downstream 처리</x:v>
      </x:c>
      <x:c r="F163" s="9" t="str">
        <x:v>공통 수신자 비용 가정</x:v>
      </x:c>
      <x:c r="G163" s="10" t="n">
        <x:v>0.25</x:v>
      </x:c>
      <x:c r="H163" s="9" t="str">
        <x:v>사용</x:v>
      </x:c>
      <x:c r="I163" s="9" t="str">
        <x:v>동일 비용 가정; 실제 업무 실행 없음</x:v>
      </x:c>
    </x:row>
    <x:row r="164" ht="40" customHeight="1">
      <x:c r="A164" s="9" t="str">
        <x:v>SYN-COST-A-80</x:v>
      </x:c>
      <x:c r="B164" s="9" t="str">
        <x:v>SYN-G08-10</x:v>
      </x:c>
      <x:c r="C164" s="9" t="str">
        <x:v>A</x:v>
      </x:c>
      <x:c r="D164" s="9" t="str">
        <x:v>요청</x:v>
      </x:c>
      <x:c r="E164" s="9" t="str">
        <x:v>VIA 요청 처리</x:v>
      </x:c>
      <x:c r="F164" s="9" t="str">
        <x:v>현재 요청 해석·적용·조건부 원본 보완</x:v>
      </x:c>
      <x:c r="G164" s="10" t="n">
        <x:v>0.223</x:v>
      </x:c>
      <x:c r="H164" s="9" t="str">
        <x:v>사용</x:v>
      </x:c>
      <x:c r="I164" s="9" t="str">
        <x:v>합성 비용 단위; 호출·토큰·단가를 실제로 관측하지 않음</x:v>
      </x:c>
    </x:row>
    <x:row r="165" ht="40" customHeight="1">
      <x:c r="A165" s="9" t="str">
        <x:v>SYN-REC-A-80</x:v>
      </x:c>
      <x:c r="B165" s="9" t="str">
        <x:v>SYN-G08-10</x:v>
      </x:c>
      <x:c r="C165" s="9" t="str">
        <x:v>A</x:v>
      </x:c>
      <x:c r="D165" s="9" t="str">
        <x:v>수신자</x:v>
      </x:c>
      <x:c r="E165" s="9" t="str">
        <x:v>Downstream 처리</x:v>
      </x:c>
      <x:c r="F165" s="9" t="str">
        <x:v>공통 수신자 비용 가정</x:v>
      </x:c>
      <x:c r="G165" s="10" t="n">
        <x:v>0.25</x:v>
      </x:c>
      <x:c r="H165" s="9" t="str">
        <x:v>사용</x:v>
      </x:c>
      <x:c r="I165" s="9" t="str">
        <x:v>동일 비용 가정; 실제 업무 실행 없음</x:v>
      </x:c>
    </x:row>
    <x:row r="166" ht="40" customHeight="1">
      <x:c r="A166" s="9" t="str">
        <x:v>SYN-COST-A-81</x:v>
      </x:c>
      <x:c r="B166" s="9" t="str">
        <x:v>SYN-G09-01</x:v>
      </x:c>
      <x:c r="C166" s="9" t="str">
        <x:v>A</x:v>
      </x:c>
      <x:c r="D166" s="9" t="str">
        <x:v>요청</x:v>
      </x:c>
      <x:c r="E166" s="9" t="str">
        <x:v>VIA 요청 처리</x:v>
      </x:c>
      <x:c r="F166" s="9" t="str">
        <x:v>현재 요청 해석·적용·조건부 원본 보완</x:v>
      </x:c>
      <x:c r="G166" s="10" t="n">
        <x:v>0.725</x:v>
      </x:c>
      <x:c r="H166" s="9" t="str">
        <x:v>사용</x:v>
      </x:c>
      <x:c r="I166" s="9" t="str">
        <x:v>합성 비용 단위; 호출·토큰·단가를 실제로 관측하지 않음</x:v>
      </x:c>
    </x:row>
    <x:row r="167" ht="40" customHeight="1">
      <x:c r="A167" s="9" t="str">
        <x:v>SYN-REC-A-81</x:v>
      </x:c>
      <x:c r="B167" s="9" t="str">
        <x:v>SYN-G09-01</x:v>
      </x:c>
      <x:c r="C167" s="9" t="str">
        <x:v>A</x:v>
      </x:c>
      <x:c r="D167" s="9" t="str">
        <x:v>수신자</x:v>
      </x:c>
      <x:c r="E167" s="9" t="str">
        <x:v>Downstream 처리</x:v>
      </x:c>
      <x:c r="F167" s="9" t="str">
        <x:v>공통 수신자 비용 가정</x:v>
      </x:c>
      <x:c r="G167" s="10" t="n">
        <x:v>0.25</x:v>
      </x:c>
      <x:c r="H167" s="9" t="str">
        <x:v>사용</x:v>
      </x:c>
      <x:c r="I167" s="9" t="str">
        <x:v>동일 비용 가정; 실제 업무 실행 없음</x:v>
      </x:c>
    </x:row>
    <x:row r="168" ht="40" customHeight="1">
      <x:c r="A168" s="9" t="str">
        <x:v>SYN-COST-A-82</x:v>
      </x:c>
      <x:c r="B168" s="9" t="str">
        <x:v>SYN-G09-02</x:v>
      </x:c>
      <x:c r="C168" s="9" t="str">
        <x:v>A</x:v>
      </x:c>
      <x:c r="D168" s="9" t="str">
        <x:v>요청</x:v>
      </x:c>
      <x:c r="E168" s="9" t="str">
        <x:v>VIA 요청 처리</x:v>
      </x:c>
      <x:c r="F168" s="9" t="str">
        <x:v>현재 요청 해석·적용·조건부 원본 보완</x:v>
      </x:c>
      <x:c r="G168" s="10" t="n">
        <x:v>0.734</x:v>
      </x:c>
      <x:c r="H168" s="9" t="str">
        <x:v>사용</x:v>
      </x:c>
      <x:c r="I168" s="9" t="str">
        <x:v>합성 비용 단위; 호출·토큰·단가를 실제로 관측하지 않음</x:v>
      </x:c>
    </x:row>
    <x:row r="169" ht="40" customHeight="1">
      <x:c r="A169" s="9" t="str">
        <x:v>SYN-REC-A-82</x:v>
      </x:c>
      <x:c r="B169" s="9" t="str">
        <x:v>SYN-G09-02</x:v>
      </x:c>
      <x:c r="C169" s="9" t="str">
        <x:v>A</x:v>
      </x:c>
      <x:c r="D169" s="9" t="str">
        <x:v>수신자</x:v>
      </x:c>
      <x:c r="E169" s="9" t="str">
        <x:v>Downstream 처리</x:v>
      </x:c>
      <x:c r="F169" s="9" t="str">
        <x:v>공통 수신자 비용 가정</x:v>
      </x:c>
      <x:c r="G169" s="10" t="n">
        <x:v>0.25</x:v>
      </x:c>
      <x:c r="H169" s="9" t="str">
        <x:v>사용</x:v>
      </x:c>
      <x:c r="I169" s="9" t="str">
        <x:v>동일 비용 가정; 실제 업무 실행 없음</x:v>
      </x:c>
    </x:row>
    <x:row r="170" ht="40" customHeight="1">
      <x:c r="A170" s="9" t="str">
        <x:v>SYN-COST-A-83</x:v>
      </x:c>
      <x:c r="B170" s="9" t="str">
        <x:v>SYN-G09-03</x:v>
      </x:c>
      <x:c r="C170" s="9" t="str">
        <x:v>A</x:v>
      </x:c>
      <x:c r="D170" s="9" t="str">
        <x:v>요청</x:v>
      </x:c>
      <x:c r="E170" s="9" t="str">
        <x:v>VIA 요청 처리</x:v>
      </x:c>
      <x:c r="F170" s="9" t="str">
        <x:v>현재 요청 해석·적용·조건부 원본 보완</x:v>
      </x:c>
      <x:c r="G170" s="10" t="n">
        <x:v>0.742</x:v>
      </x:c>
      <x:c r="H170" s="9" t="str">
        <x:v>사용</x:v>
      </x:c>
      <x:c r="I170" s="9" t="str">
        <x:v>합성 비용 단위; 호출·토큰·단가를 실제로 관측하지 않음</x:v>
      </x:c>
    </x:row>
    <x:row r="171" ht="40" customHeight="1">
      <x:c r="A171" s="9" t="str">
        <x:v>SYN-REC-A-83</x:v>
      </x:c>
      <x:c r="B171" s="9" t="str">
        <x:v>SYN-G09-03</x:v>
      </x:c>
      <x:c r="C171" s="9" t="str">
        <x:v>A</x:v>
      </x:c>
      <x:c r="D171" s="9" t="str">
        <x:v>수신자</x:v>
      </x:c>
      <x:c r="E171" s="9" t="str">
        <x:v>Downstream 처리</x:v>
      </x:c>
      <x:c r="F171" s="9" t="str">
        <x:v>공통 수신자 비용 가정</x:v>
      </x:c>
      <x:c r="G171" s="10" t="n">
        <x:v>0.25</x:v>
      </x:c>
      <x:c r="H171" s="9" t="str">
        <x:v>사용</x:v>
      </x:c>
      <x:c r="I171" s="9" t="str">
        <x:v>동일 비용 가정; 실제 업무 실행 없음</x:v>
      </x:c>
    </x:row>
    <x:row r="172" ht="40" customHeight="1">
      <x:c r="A172" s="9" t="str">
        <x:v>SYN-COST-A-84</x:v>
      </x:c>
      <x:c r="B172" s="9" t="str">
        <x:v>SYN-G09-04</x:v>
      </x:c>
      <x:c r="C172" s="9" t="str">
        <x:v>A</x:v>
      </x:c>
      <x:c r="D172" s="9" t="str">
        <x:v>요청</x:v>
      </x:c>
      <x:c r="E172" s="9" t="str">
        <x:v>VIA 요청 처리</x:v>
      </x:c>
      <x:c r="F172" s="9" t="str">
        <x:v>현재 요청 해석·적용·조건부 원본 보완</x:v>
      </x:c>
      <x:c r="G172" s="10" t="n">
        <x:v>0.75</x:v>
      </x:c>
      <x:c r="H172" s="9" t="str">
        <x:v>사용</x:v>
      </x:c>
      <x:c r="I172" s="9" t="str">
        <x:v>합성 비용 단위; 호출·토큰·단가를 실제로 관측하지 않음</x:v>
      </x:c>
    </x:row>
    <x:row r="173" ht="40" customHeight="1">
      <x:c r="A173" s="9" t="str">
        <x:v>SYN-REC-A-84</x:v>
      </x:c>
      <x:c r="B173" s="9" t="str">
        <x:v>SYN-G09-04</x:v>
      </x:c>
      <x:c r="C173" s="9" t="str">
        <x:v>A</x:v>
      </x:c>
      <x:c r="D173" s="9" t="str">
        <x:v>수신자</x:v>
      </x:c>
      <x:c r="E173" s="9" t="str">
        <x:v>Downstream 처리</x:v>
      </x:c>
      <x:c r="F173" s="9" t="str">
        <x:v>공통 수신자 비용 가정</x:v>
      </x:c>
      <x:c r="G173" s="10" t="n">
        <x:v>0.25</x:v>
      </x:c>
      <x:c r="H173" s="9" t="str">
        <x:v>사용</x:v>
      </x:c>
      <x:c r="I173" s="9" t="str">
        <x:v>동일 비용 가정; 실제 업무 실행 없음</x:v>
      </x:c>
    </x:row>
    <x:row r="174" ht="40" customHeight="1">
      <x:c r="A174" s="9" t="str">
        <x:v>SYN-COST-A-85</x:v>
      </x:c>
      <x:c r="B174" s="9" t="str">
        <x:v>SYN-G09-05</x:v>
      </x:c>
      <x:c r="C174" s="9" t="str">
        <x:v>A</x:v>
      </x:c>
      <x:c r="D174" s="9" t="str">
        <x:v>요청</x:v>
      </x:c>
      <x:c r="E174" s="9" t="str">
        <x:v>VIA 요청 처리</x:v>
      </x:c>
      <x:c r="F174" s="9" t="str">
        <x:v>현재 요청 해석·적용·조건부 원본 보완</x:v>
      </x:c>
      <x:c r="G174" s="10" t="n">
        <x:v>0.759</x:v>
      </x:c>
      <x:c r="H174" s="9" t="str">
        <x:v>사용</x:v>
      </x:c>
      <x:c r="I174" s="9" t="str">
        <x:v>합성 비용 단위; 호출·토큰·단가를 실제로 관측하지 않음</x:v>
      </x:c>
    </x:row>
    <x:row r="175" ht="40" customHeight="1">
      <x:c r="A175" s="9" t="str">
        <x:v>SYN-REC-A-85</x:v>
      </x:c>
      <x:c r="B175" s="9" t="str">
        <x:v>SYN-G09-05</x:v>
      </x:c>
      <x:c r="C175" s="9" t="str">
        <x:v>A</x:v>
      </x:c>
      <x:c r="D175" s="9" t="str">
        <x:v>수신자</x:v>
      </x:c>
      <x:c r="E175" s="9" t="str">
        <x:v>Downstream 처리</x:v>
      </x:c>
      <x:c r="F175" s="9" t="str">
        <x:v>공통 수신자 비용 가정</x:v>
      </x:c>
      <x:c r="G175" s="10" t="n">
        <x:v>0.25</x:v>
      </x:c>
      <x:c r="H175" s="9" t="str">
        <x:v>사용</x:v>
      </x:c>
      <x:c r="I175" s="9" t="str">
        <x:v>동일 비용 가정; 실제 업무 실행 없음</x:v>
      </x:c>
    </x:row>
    <x:row r="176" ht="40" customHeight="1">
      <x:c r="A176" s="9" t="str">
        <x:v>SYN-COST-A-86</x:v>
      </x:c>
      <x:c r="B176" s="9" t="str">
        <x:v>SYN-G09-06</x:v>
      </x:c>
      <x:c r="C176" s="9" t="str">
        <x:v>A</x:v>
      </x:c>
      <x:c r="D176" s="9" t="str">
        <x:v>요청</x:v>
      </x:c>
      <x:c r="E176" s="9" t="str">
        <x:v>VIA 요청 처리</x:v>
      </x:c>
      <x:c r="F176" s="9" t="str">
        <x:v>현재 요청 해석·적용·조건부 원본 보완</x:v>
      </x:c>
      <x:c r="G176" s="10" t="n">
        <x:v>0.767</x:v>
      </x:c>
      <x:c r="H176" s="9" t="str">
        <x:v>사용</x:v>
      </x:c>
      <x:c r="I176" s="9" t="str">
        <x:v>합성 비용 단위; 호출·토큰·단가를 실제로 관측하지 않음</x:v>
      </x:c>
    </x:row>
    <x:row r="177" ht="40" customHeight="1">
      <x:c r="A177" s="9" t="str">
        <x:v>SYN-REC-A-86</x:v>
      </x:c>
      <x:c r="B177" s="9" t="str">
        <x:v>SYN-G09-06</x:v>
      </x:c>
      <x:c r="C177" s="9" t="str">
        <x:v>A</x:v>
      </x:c>
      <x:c r="D177" s="9" t="str">
        <x:v>수신자</x:v>
      </x:c>
      <x:c r="E177" s="9" t="str">
        <x:v>Downstream 처리</x:v>
      </x:c>
      <x:c r="F177" s="9" t="str">
        <x:v>공통 수신자 비용 가정</x:v>
      </x:c>
      <x:c r="G177" s="10" t="n">
        <x:v>0.25</x:v>
      </x:c>
      <x:c r="H177" s="9" t="str">
        <x:v>사용</x:v>
      </x:c>
      <x:c r="I177" s="9" t="str">
        <x:v>동일 비용 가정; 실제 업무 실행 없음</x:v>
      </x:c>
    </x:row>
    <x:row r="178" ht="40" customHeight="1">
      <x:c r="A178" s="9" t="str">
        <x:v>SYN-COST-A-87</x:v>
      </x:c>
      <x:c r="B178" s="9" t="str">
        <x:v>SYN-G09-07</x:v>
      </x:c>
      <x:c r="C178" s="9" t="str">
        <x:v>A</x:v>
      </x:c>
      <x:c r="D178" s="9" t="str">
        <x:v>요청</x:v>
      </x:c>
      <x:c r="E178" s="9" t="str">
        <x:v>VIA 요청 처리</x:v>
      </x:c>
      <x:c r="F178" s="9" t="str">
        <x:v>현재 요청 해석·적용·조건부 원본 보완</x:v>
      </x:c>
      <x:c r="G178" s="10" t="n">
        <x:v>0.775</x:v>
      </x:c>
      <x:c r="H178" s="9" t="str">
        <x:v>사용</x:v>
      </x:c>
      <x:c r="I178" s="9" t="str">
        <x:v>합성 비용 단위; 호출·토큰·단가를 실제로 관측하지 않음</x:v>
      </x:c>
    </x:row>
    <x:row r="179" ht="40" customHeight="1">
      <x:c r="A179" s="9" t="str">
        <x:v>SYN-REC-A-87</x:v>
      </x:c>
      <x:c r="B179" s="9" t="str">
        <x:v>SYN-G09-07</x:v>
      </x:c>
      <x:c r="C179" s="9" t="str">
        <x:v>A</x:v>
      </x:c>
      <x:c r="D179" s="9" t="str">
        <x:v>수신자</x:v>
      </x:c>
      <x:c r="E179" s="9" t="str">
        <x:v>Downstream 처리</x:v>
      </x:c>
      <x:c r="F179" s="9" t="str">
        <x:v>공통 수신자 비용 가정</x:v>
      </x:c>
      <x:c r="G179" s="10" t="n">
        <x:v>0.25</x:v>
      </x:c>
      <x:c r="H179" s="9" t="str">
        <x:v>사용</x:v>
      </x:c>
      <x:c r="I179" s="9" t="str">
        <x:v>동일 비용 가정; 실제 업무 실행 없음</x:v>
      </x:c>
    </x:row>
    <x:row r="180" ht="40" customHeight="1">
      <x:c r="A180" s="9" t="str">
        <x:v>SYN-COST-A-88</x:v>
      </x:c>
      <x:c r="B180" s="9" t="str">
        <x:v>SYN-G09-08</x:v>
      </x:c>
      <x:c r="C180" s="9" t="str">
        <x:v>A</x:v>
      </x:c>
      <x:c r="D180" s="9" t="str">
        <x:v>요청</x:v>
      </x:c>
      <x:c r="E180" s="9" t="str">
        <x:v>VIA 요청 처리</x:v>
      </x:c>
      <x:c r="F180" s="9" t="str">
        <x:v>현재 요청 해석·적용·조건부 원본 보완</x:v>
      </x:c>
      <x:c r="G180" s="10" t="n">
        <x:v>0.784</x:v>
      </x:c>
      <x:c r="H180" s="9" t="str">
        <x:v>사용</x:v>
      </x:c>
      <x:c r="I180" s="9" t="str">
        <x:v>합성 비용 단위; 호출·토큰·단가를 실제로 관측하지 않음</x:v>
      </x:c>
    </x:row>
    <x:row r="181" ht="40" customHeight="1">
      <x:c r="A181" s="9" t="str">
        <x:v>SYN-REC-A-88</x:v>
      </x:c>
      <x:c r="B181" s="9" t="str">
        <x:v>SYN-G09-08</x:v>
      </x:c>
      <x:c r="C181" s="9" t="str">
        <x:v>A</x:v>
      </x:c>
      <x:c r="D181" s="9" t="str">
        <x:v>수신자</x:v>
      </x:c>
      <x:c r="E181" s="9" t="str">
        <x:v>Downstream 처리</x:v>
      </x:c>
      <x:c r="F181" s="9" t="str">
        <x:v>공통 수신자 비용 가정</x:v>
      </x:c>
      <x:c r="G181" s="10" t="n">
        <x:v>0.25</x:v>
      </x:c>
      <x:c r="H181" s="9" t="str">
        <x:v>사용</x:v>
      </x:c>
      <x:c r="I181" s="9" t="str">
        <x:v>동일 비용 가정; 실제 업무 실행 없음</x:v>
      </x:c>
    </x:row>
    <x:row r="182" ht="40" customHeight="1">
      <x:c r="A182" s="9" t="str">
        <x:v>SYN-COST-A-89</x:v>
      </x:c>
      <x:c r="B182" s="9" t="str">
        <x:v>SYN-G09-09</x:v>
      </x:c>
      <x:c r="C182" s="9" t="str">
        <x:v>A</x:v>
      </x:c>
      <x:c r="D182" s="9" t="str">
        <x:v>요청</x:v>
      </x:c>
      <x:c r="E182" s="9" t="str">
        <x:v>VIA 요청 처리</x:v>
      </x:c>
      <x:c r="F182" s="9" t="str">
        <x:v>현재 요청 해석·적용·조건부 원본 보완</x:v>
      </x:c>
      <x:c r="G182" s="10" t="n">
        <x:v>0.792</x:v>
      </x:c>
      <x:c r="H182" s="9" t="str">
        <x:v>사용</x:v>
      </x:c>
      <x:c r="I182" s="9" t="str">
        <x:v>합성 비용 단위; 호출·토큰·단가를 실제로 관측하지 않음</x:v>
      </x:c>
    </x:row>
    <x:row r="183" ht="40" customHeight="1">
      <x:c r="A183" s="9" t="str">
        <x:v>SYN-REC-A-89</x:v>
      </x:c>
      <x:c r="B183" s="9" t="str">
        <x:v>SYN-G09-09</x:v>
      </x:c>
      <x:c r="C183" s="9" t="str">
        <x:v>A</x:v>
      </x:c>
      <x:c r="D183" s="9" t="str">
        <x:v>수신자</x:v>
      </x:c>
      <x:c r="E183" s="9" t="str">
        <x:v>Downstream 처리</x:v>
      </x:c>
      <x:c r="F183" s="9" t="str">
        <x:v>공통 수신자 비용 가정</x:v>
      </x:c>
      <x:c r="G183" s="10" t="n">
        <x:v>0.25</x:v>
      </x:c>
      <x:c r="H183" s="9" t="str">
        <x:v>사용</x:v>
      </x:c>
      <x:c r="I183" s="9" t="str">
        <x:v>동일 비용 가정; 실제 업무 실행 없음</x:v>
      </x:c>
    </x:row>
    <x:row r="184" ht="40" customHeight="1">
      <x:c r="A184" s="9" t="str">
        <x:v>SYN-COST-A-90</x:v>
      </x:c>
      <x:c r="B184" s="9" t="str">
        <x:v>SYN-G09-10</x:v>
      </x:c>
      <x:c r="C184" s="9" t="str">
        <x:v>A</x:v>
      </x:c>
      <x:c r="D184" s="9" t="str">
        <x:v>요청</x:v>
      </x:c>
      <x:c r="E184" s="9" t="str">
        <x:v>VIA 요청 처리</x:v>
      </x:c>
      <x:c r="F184" s="9" t="str">
        <x:v>현재 요청 해석·적용·조건부 원본 보완</x:v>
      </x:c>
      <x:c r="G184" s="10" t="n">
        <x:v>0.8</x:v>
      </x:c>
      <x:c r="H184" s="9" t="str">
        <x:v>사용</x:v>
      </x:c>
      <x:c r="I184" s="9" t="str">
        <x:v>합성 비용 단위; 호출·토큰·단가를 실제로 관측하지 않음</x:v>
      </x:c>
    </x:row>
    <x:row r="185" ht="40" customHeight="1">
      <x:c r="A185" s="9" t="str">
        <x:v>SYN-REC-A-90</x:v>
      </x:c>
      <x:c r="B185" s="9" t="str">
        <x:v>SYN-G09-10</x:v>
      </x:c>
      <x:c r="C185" s="9" t="str">
        <x:v>A</x:v>
      </x:c>
      <x:c r="D185" s="9" t="str">
        <x:v>수신자</x:v>
      </x:c>
      <x:c r="E185" s="9" t="str">
        <x:v>Downstream 처리</x:v>
      </x:c>
      <x:c r="F185" s="9" t="str">
        <x:v>공통 수신자 비용 가정</x:v>
      </x:c>
      <x:c r="G185" s="10" t="n">
        <x:v>0.25</x:v>
      </x:c>
      <x:c r="H185" s="9" t="str">
        <x:v>사용</x:v>
      </x:c>
      <x:c r="I185" s="9" t="str">
        <x:v>동일 비용 가정; 실제 업무 실행 없음</x:v>
      </x:c>
    </x:row>
    <x:row r="186" ht="40" customHeight="1">
      <x:c r="A186" s="9" t="str">
        <x:v>SYN-COST-A-91</x:v>
      </x:c>
      <x:c r="B186" s="9" t="str">
        <x:v>SYN-G10-01</x:v>
      </x:c>
      <x:c r="C186" s="9" t="str">
        <x:v>A</x:v>
      </x:c>
      <x:c r="D186" s="9" t="str">
        <x:v>요청</x:v>
      </x:c>
      <x:c r="E186" s="9" t="str">
        <x:v>VIA 요청 처리</x:v>
      </x:c>
      <x:c r="F186" s="9" t="str">
        <x:v>현재 요청 해석·적용·조건부 원본 보완</x:v>
      </x:c>
      <x:c r="G186" s="10" t="n">
        <x:v>0.738</x:v>
      </x:c>
      <x:c r="H186" s="9" t="str">
        <x:v>사용</x:v>
      </x:c>
      <x:c r="I186" s="9" t="str">
        <x:v>합성 비용 단위; 호출·토큰·단가를 실제로 관측하지 않음</x:v>
      </x:c>
    </x:row>
    <x:row r="187" ht="40" customHeight="1">
      <x:c r="A187" s="9" t="str">
        <x:v>SYN-REC-A-91</x:v>
      </x:c>
      <x:c r="B187" s="9" t="str">
        <x:v>SYN-G10-01</x:v>
      </x:c>
      <x:c r="C187" s="9" t="str">
        <x:v>A</x:v>
      </x:c>
      <x:c r="D187" s="9" t="str">
        <x:v>수신자</x:v>
      </x:c>
      <x:c r="E187" s="9" t="str">
        <x:v>Downstream 처리</x:v>
      </x:c>
      <x:c r="F187" s="9" t="str">
        <x:v>공통 수신자 비용 가정</x:v>
      </x:c>
      <x:c r="G187" s="10" t="n">
        <x:v>0.25</x:v>
      </x:c>
      <x:c r="H187" s="9" t="str">
        <x:v>사용</x:v>
      </x:c>
      <x:c r="I187" s="9" t="str">
        <x:v>동일 비용 가정; 실제 업무 실행 없음</x:v>
      </x:c>
    </x:row>
    <x:row r="188" ht="40" customHeight="1">
      <x:c r="A188" s="9" t="str">
        <x:v>SYN-COST-A-92</x:v>
      </x:c>
      <x:c r="B188" s="9" t="str">
        <x:v>SYN-G10-02</x:v>
      </x:c>
      <x:c r="C188" s="9" t="str">
        <x:v>A</x:v>
      </x:c>
      <x:c r="D188" s="9" t="str">
        <x:v>요청</x:v>
      </x:c>
      <x:c r="E188" s="9" t="str">
        <x:v>VIA 요청 처리</x:v>
      </x:c>
      <x:c r="F188" s="9" t="str">
        <x:v>현재 요청 해석·적용·조건부 원본 보완</x:v>
      </x:c>
      <x:c r="G188" s="10" t="n">
        <x:v>0.747</x:v>
      </x:c>
      <x:c r="H188" s="9" t="str">
        <x:v>사용</x:v>
      </x:c>
      <x:c r="I188" s="9" t="str">
        <x:v>합성 비용 단위; 호출·토큰·단가를 실제로 관측하지 않음</x:v>
      </x:c>
    </x:row>
    <x:row r="189" ht="40" customHeight="1">
      <x:c r="A189" s="9" t="str">
        <x:v>SYN-REC-A-92</x:v>
      </x:c>
      <x:c r="B189" s="9" t="str">
        <x:v>SYN-G10-02</x:v>
      </x:c>
      <x:c r="C189" s="9" t="str">
        <x:v>A</x:v>
      </x:c>
      <x:c r="D189" s="9" t="str">
        <x:v>수신자</x:v>
      </x:c>
      <x:c r="E189" s="9" t="str">
        <x:v>Downstream 처리</x:v>
      </x:c>
      <x:c r="F189" s="9" t="str">
        <x:v>공통 수신자 비용 가정</x:v>
      </x:c>
      <x:c r="G189" s="10" t="n">
        <x:v>0.25</x:v>
      </x:c>
      <x:c r="H189" s="9" t="str">
        <x:v>사용</x:v>
      </x:c>
      <x:c r="I189" s="9" t="str">
        <x:v>동일 비용 가정; 실제 업무 실행 없음</x:v>
      </x:c>
    </x:row>
    <x:row r="190" ht="40" customHeight="1">
      <x:c r="A190" s="9" t="str">
        <x:v>SYN-COST-A-93</x:v>
      </x:c>
      <x:c r="B190" s="9" t="str">
        <x:v>SYN-G10-03</x:v>
      </x:c>
      <x:c r="C190" s="9" t="str">
        <x:v>A</x:v>
      </x:c>
      <x:c r="D190" s="9" t="str">
        <x:v>요청</x:v>
      </x:c>
      <x:c r="E190" s="9" t="str">
        <x:v>VIA 요청 처리</x:v>
      </x:c>
      <x:c r="F190" s="9" t="str">
        <x:v>현재 요청 해석·적용·조건부 원본 보완</x:v>
      </x:c>
      <x:c r="G190" s="10" t="n">
        <x:v>0.755</x:v>
      </x:c>
      <x:c r="H190" s="9" t="str">
        <x:v>사용</x:v>
      </x:c>
      <x:c r="I190" s="9" t="str">
        <x:v>합성 비용 단위; 호출·토큰·단가를 실제로 관측하지 않음</x:v>
      </x:c>
    </x:row>
    <x:row r="191" ht="40" customHeight="1">
      <x:c r="A191" s="9" t="str">
        <x:v>SYN-REC-A-93</x:v>
      </x:c>
      <x:c r="B191" s="9" t="str">
        <x:v>SYN-G10-03</x:v>
      </x:c>
      <x:c r="C191" s="9" t="str">
        <x:v>A</x:v>
      </x:c>
      <x:c r="D191" s="9" t="str">
        <x:v>수신자</x:v>
      </x:c>
      <x:c r="E191" s="9" t="str">
        <x:v>Downstream 처리</x:v>
      </x:c>
      <x:c r="F191" s="9" t="str">
        <x:v>공통 수신자 비용 가정</x:v>
      </x:c>
      <x:c r="G191" s="10" t="n">
        <x:v>0.25</x:v>
      </x:c>
      <x:c r="H191" s="9" t="str">
        <x:v>사용</x:v>
      </x:c>
      <x:c r="I191" s="9" t="str">
        <x:v>동일 비용 가정; 실제 업무 실행 없음</x:v>
      </x:c>
    </x:row>
    <x:row r="192" ht="40" customHeight="1">
      <x:c r="A192" s="9" t="str">
        <x:v>SYN-COST-A-94</x:v>
      </x:c>
      <x:c r="B192" s="9" t="str">
        <x:v>SYN-G10-04</x:v>
      </x:c>
      <x:c r="C192" s="9" t="str">
        <x:v>A</x:v>
      </x:c>
      <x:c r="D192" s="9" t="str">
        <x:v>요청</x:v>
      </x:c>
      <x:c r="E192" s="9" t="str">
        <x:v>VIA 요청 처리</x:v>
      </x:c>
      <x:c r="F192" s="9" t="str">
        <x:v>현재 요청 해석·적용·조건부 원본 보완</x:v>
      </x:c>
      <x:c r="G192" s="10" t="n">
        <x:v>0.763</x:v>
      </x:c>
      <x:c r="H192" s="9" t="str">
        <x:v>사용</x:v>
      </x:c>
      <x:c r="I192" s="9" t="str">
        <x:v>합성 비용 단위; 호출·토큰·단가를 실제로 관측하지 않음</x:v>
      </x:c>
    </x:row>
    <x:row r="193" ht="40" customHeight="1">
      <x:c r="A193" s="9" t="str">
        <x:v>SYN-REC-A-94</x:v>
      </x:c>
      <x:c r="B193" s="9" t="str">
        <x:v>SYN-G10-04</x:v>
      </x:c>
      <x:c r="C193" s="9" t="str">
        <x:v>A</x:v>
      </x:c>
      <x:c r="D193" s="9" t="str">
        <x:v>수신자</x:v>
      </x:c>
      <x:c r="E193" s="9" t="str">
        <x:v>Downstream 처리</x:v>
      </x:c>
      <x:c r="F193" s="9" t="str">
        <x:v>공통 수신자 비용 가정</x:v>
      </x:c>
      <x:c r="G193" s="10" t="n">
        <x:v>0.25</x:v>
      </x:c>
      <x:c r="H193" s="9" t="str">
        <x:v>사용</x:v>
      </x:c>
      <x:c r="I193" s="9" t="str">
        <x:v>동일 비용 가정; 실제 업무 실행 없음</x:v>
      </x:c>
    </x:row>
    <x:row r="194" ht="40" customHeight="1">
      <x:c r="A194" s="9" t="str">
        <x:v>SYN-COST-A-95</x:v>
      </x:c>
      <x:c r="B194" s="9" t="str">
        <x:v>SYN-G10-05</x:v>
      </x:c>
      <x:c r="C194" s="9" t="str">
        <x:v>A</x:v>
      </x:c>
      <x:c r="D194" s="9" t="str">
        <x:v>요청</x:v>
      </x:c>
      <x:c r="E194" s="9" t="str">
        <x:v>VIA 요청 처리</x:v>
      </x:c>
      <x:c r="F194" s="9" t="str">
        <x:v>현재 요청 해석·적용·조건부 원본 보완</x:v>
      </x:c>
      <x:c r="G194" s="10" t="n">
        <x:v>0.772</x:v>
      </x:c>
      <x:c r="H194" s="9" t="str">
        <x:v>사용</x:v>
      </x:c>
      <x:c r="I194" s="9" t="str">
        <x:v>합성 비용 단위; 호출·토큰·단가를 실제로 관측하지 않음</x:v>
      </x:c>
    </x:row>
    <x:row r="195" ht="40" customHeight="1">
      <x:c r="A195" s="9" t="str">
        <x:v>SYN-REC-A-95</x:v>
      </x:c>
      <x:c r="B195" s="9" t="str">
        <x:v>SYN-G10-05</x:v>
      </x:c>
      <x:c r="C195" s="9" t="str">
        <x:v>A</x:v>
      </x:c>
      <x:c r="D195" s="9" t="str">
        <x:v>수신자</x:v>
      </x:c>
      <x:c r="E195" s="9" t="str">
        <x:v>Downstream 처리</x:v>
      </x:c>
      <x:c r="F195" s="9" t="str">
        <x:v>공통 수신자 비용 가정</x:v>
      </x:c>
      <x:c r="G195" s="10" t="n">
        <x:v>0.25</x:v>
      </x:c>
      <x:c r="H195" s="9" t="str">
        <x:v>사용</x:v>
      </x:c>
      <x:c r="I195" s="9" t="str">
        <x:v>동일 비용 가정; 실제 업무 실행 없음</x:v>
      </x:c>
    </x:row>
    <x:row r="196" ht="40" customHeight="1">
      <x:c r="A196" s="9" t="str">
        <x:v>SYN-COST-A-96</x:v>
      </x:c>
      <x:c r="B196" s="9" t="str">
        <x:v>SYN-G10-06</x:v>
      </x:c>
      <x:c r="C196" s="9" t="str">
        <x:v>A</x:v>
      </x:c>
      <x:c r="D196" s="9" t="str">
        <x:v>요청</x:v>
      </x:c>
      <x:c r="E196" s="9" t="str">
        <x:v>VIA 요청 처리</x:v>
      </x:c>
      <x:c r="F196" s="9" t="str">
        <x:v>현재 요청 해석·적용·조건부 원본 보완</x:v>
      </x:c>
      <x:c r="G196" s="10" t="n">
        <x:v>0.78</x:v>
      </x:c>
      <x:c r="H196" s="9" t="str">
        <x:v>사용</x:v>
      </x:c>
      <x:c r="I196" s="9" t="str">
        <x:v>합성 비용 단위; 호출·토큰·단가를 실제로 관측하지 않음</x:v>
      </x:c>
    </x:row>
    <x:row r="197" ht="40" customHeight="1">
      <x:c r="A197" s="9" t="str">
        <x:v>SYN-REC-A-96</x:v>
      </x:c>
      <x:c r="B197" s="9" t="str">
        <x:v>SYN-G10-06</x:v>
      </x:c>
      <x:c r="C197" s="9" t="str">
        <x:v>A</x:v>
      </x:c>
      <x:c r="D197" s="9" t="str">
        <x:v>수신자</x:v>
      </x:c>
      <x:c r="E197" s="9" t="str">
        <x:v>Downstream 처리</x:v>
      </x:c>
      <x:c r="F197" s="9" t="str">
        <x:v>공통 수신자 비용 가정</x:v>
      </x:c>
      <x:c r="G197" s="10" t="n">
        <x:v>0.25</x:v>
      </x:c>
      <x:c r="H197" s="9" t="str">
        <x:v>사용</x:v>
      </x:c>
      <x:c r="I197" s="9" t="str">
        <x:v>동일 비용 가정; 실제 업무 실행 없음</x:v>
      </x:c>
    </x:row>
    <x:row r="198" ht="40" customHeight="1">
      <x:c r="A198" s="9" t="str">
        <x:v>SYN-COST-A-97</x:v>
      </x:c>
      <x:c r="B198" s="9" t="str">
        <x:v>SYN-G10-07</x:v>
      </x:c>
      <x:c r="C198" s="9" t="str">
        <x:v>A</x:v>
      </x:c>
      <x:c r="D198" s="9" t="str">
        <x:v>요청</x:v>
      </x:c>
      <x:c r="E198" s="9" t="str">
        <x:v>VIA 요청 처리</x:v>
      </x:c>
      <x:c r="F198" s="9" t="str">
        <x:v>현재 요청 해석·적용·조건부 원본 보완</x:v>
      </x:c>
      <x:c r="G198" s="10" t="n">
        <x:v>0.788</x:v>
      </x:c>
      <x:c r="H198" s="9" t="str">
        <x:v>사용</x:v>
      </x:c>
      <x:c r="I198" s="9" t="str">
        <x:v>합성 비용 단위; 호출·토큰·단가를 실제로 관측하지 않음</x:v>
      </x:c>
    </x:row>
    <x:row r="199" ht="40" customHeight="1">
      <x:c r="A199" s="9" t="str">
        <x:v>SYN-REC-A-97</x:v>
      </x:c>
      <x:c r="B199" s="9" t="str">
        <x:v>SYN-G10-07</x:v>
      </x:c>
      <x:c r="C199" s="9" t="str">
        <x:v>A</x:v>
      </x:c>
      <x:c r="D199" s="9" t="str">
        <x:v>수신자</x:v>
      </x:c>
      <x:c r="E199" s="9" t="str">
        <x:v>Downstream 처리</x:v>
      </x:c>
      <x:c r="F199" s="9" t="str">
        <x:v>공통 수신자 비용 가정</x:v>
      </x:c>
      <x:c r="G199" s="10" t="n">
        <x:v>0.25</x:v>
      </x:c>
      <x:c r="H199" s="9" t="str">
        <x:v>사용</x:v>
      </x:c>
      <x:c r="I199" s="9" t="str">
        <x:v>동일 비용 가정; 실제 업무 실행 없음</x:v>
      </x:c>
    </x:row>
    <x:row r="200" ht="40" customHeight="1">
      <x:c r="A200" s="9" t="str">
        <x:v>SYN-COST-A-98</x:v>
      </x:c>
      <x:c r="B200" s="9" t="str">
        <x:v>SYN-G10-08</x:v>
      </x:c>
      <x:c r="C200" s="9" t="str">
        <x:v>A</x:v>
      </x:c>
      <x:c r="D200" s="9" t="str">
        <x:v>요청</x:v>
      </x:c>
      <x:c r="E200" s="9" t="str">
        <x:v>VIA 요청 처리</x:v>
      </x:c>
      <x:c r="F200" s="9" t="str">
        <x:v>현재 요청 해석·적용·조건부 원본 보완</x:v>
      </x:c>
      <x:c r="G200" s="10" t="n">
        <x:v>0.797</x:v>
      </x:c>
      <x:c r="H200" s="9" t="str">
        <x:v>사용</x:v>
      </x:c>
      <x:c r="I200" s="9" t="str">
        <x:v>합성 비용 단위; 호출·토큰·단가를 실제로 관측하지 않음</x:v>
      </x:c>
    </x:row>
    <x:row r="201" ht="40" customHeight="1">
      <x:c r="A201" s="9" t="str">
        <x:v>SYN-REC-A-98</x:v>
      </x:c>
      <x:c r="B201" s="9" t="str">
        <x:v>SYN-G10-08</x:v>
      </x:c>
      <x:c r="C201" s="9" t="str">
        <x:v>A</x:v>
      </x:c>
      <x:c r="D201" s="9" t="str">
        <x:v>수신자</x:v>
      </x:c>
      <x:c r="E201" s="9" t="str">
        <x:v>Downstream 처리</x:v>
      </x:c>
      <x:c r="F201" s="9" t="str">
        <x:v>공통 수신자 비용 가정</x:v>
      </x:c>
      <x:c r="G201" s="10" t="n">
        <x:v>0.25</x:v>
      </x:c>
      <x:c r="H201" s="9" t="str">
        <x:v>사용</x:v>
      </x:c>
      <x:c r="I201" s="9" t="str">
        <x:v>동일 비용 가정; 실제 업무 실행 없음</x:v>
      </x:c>
    </x:row>
    <x:row r="202" ht="40" customHeight="1">
      <x:c r="A202" s="9" t="str">
        <x:v>SYN-COST-A-99</x:v>
      </x:c>
      <x:c r="B202" s="9" t="str">
        <x:v>SYN-G10-09</x:v>
      </x:c>
      <x:c r="C202" s="9" t="str">
        <x:v>A</x:v>
      </x:c>
      <x:c r="D202" s="9" t="str">
        <x:v>요청</x:v>
      </x:c>
      <x:c r="E202" s="9" t="str">
        <x:v>VIA 요청 처리</x:v>
      </x:c>
      <x:c r="F202" s="9" t="str">
        <x:v>현재 요청 해석·적용·조건부 원본 보완</x:v>
      </x:c>
      <x:c r="G202" s="10" t="n">
        <x:v>0.805</x:v>
      </x:c>
      <x:c r="H202" s="9" t="str">
        <x:v>사용</x:v>
      </x:c>
      <x:c r="I202" s="9" t="str">
        <x:v>합성 비용 단위; 호출·토큰·단가를 실제로 관측하지 않음</x:v>
      </x:c>
    </x:row>
    <x:row r="203" ht="40" customHeight="1">
      <x:c r="A203" s="9" t="str">
        <x:v>SYN-REC-A-99</x:v>
      </x:c>
      <x:c r="B203" s="9" t="str">
        <x:v>SYN-G10-09</x:v>
      </x:c>
      <x:c r="C203" s="9" t="str">
        <x:v>A</x:v>
      </x:c>
      <x:c r="D203" s="9" t="str">
        <x:v>수신자</x:v>
      </x:c>
      <x:c r="E203" s="9" t="str">
        <x:v>Downstream 처리</x:v>
      </x:c>
      <x:c r="F203" s="9" t="str">
        <x:v>공통 수신자 비용 가정</x:v>
      </x:c>
      <x:c r="G203" s="10" t="n">
        <x:v>0.25</x:v>
      </x:c>
      <x:c r="H203" s="9" t="str">
        <x:v>사용</x:v>
      </x:c>
      <x:c r="I203" s="9" t="str">
        <x:v>동일 비용 가정; 실제 업무 실행 없음</x:v>
      </x:c>
    </x:row>
    <x:row r="204" ht="40" customHeight="1">
      <x:c r="A204" s="9" t="str">
        <x:v>SYN-COST-A-100</x:v>
      </x:c>
      <x:c r="B204" s="9" t="str">
        <x:v>SYN-G10-10</x:v>
      </x:c>
      <x:c r="C204" s="9" t="str">
        <x:v>A</x:v>
      </x:c>
      <x:c r="D204" s="9" t="str">
        <x:v>요청</x:v>
      </x:c>
      <x:c r="E204" s="9" t="str">
        <x:v>VIA 요청 처리</x:v>
      </x:c>
      <x:c r="F204" s="9" t="str">
        <x:v>현재 요청 해석·적용·조건부 원본 보완</x:v>
      </x:c>
      <x:c r="G204" s="10" t="n">
        <x:v>0.813</x:v>
      </x:c>
      <x:c r="H204" s="9" t="str">
        <x:v>사용</x:v>
      </x:c>
      <x:c r="I204" s="9" t="str">
        <x:v>합성 비용 단위; 호출·토큰·단가를 실제로 관측하지 않음</x:v>
      </x:c>
    </x:row>
    <x:row r="205" ht="40" customHeight="1">
      <x:c r="A205" s="9" t="str">
        <x:v>SYN-REC-A-100</x:v>
      </x:c>
      <x:c r="B205" s="9" t="str">
        <x:v>SYN-G10-10</x:v>
      </x:c>
      <x:c r="C205" s="9" t="str">
        <x:v>A</x:v>
      </x:c>
      <x:c r="D205" s="9" t="str">
        <x:v>수신자</x:v>
      </x:c>
      <x:c r="E205" s="9" t="str">
        <x:v>Downstream 처리</x:v>
      </x:c>
      <x:c r="F205" s="9" t="str">
        <x:v>공통 수신자 비용 가정</x:v>
      </x:c>
      <x:c r="G205" s="10" t="n">
        <x:v>0.25</x:v>
      </x:c>
      <x:c r="H205" s="9" t="str">
        <x:v>사용</x:v>
      </x:c>
      <x:c r="I205" s="9" t="str">
        <x:v>동일 비용 가정; 실제 업무 실행 없음</x:v>
      </x:c>
    </x:row>
    <x:row r="206" ht="40" customHeight="1">
      <x:c r="A206" s="9" t="str">
        <x:v>SYN-COST-B-1</x:v>
      </x:c>
      <x:c r="B206" s="9" t="str">
        <x:v>SYN-G01-01</x:v>
      </x:c>
      <x:c r="C206" s="9" t="str">
        <x:v>B</x:v>
      </x:c>
      <x:c r="D206" s="9" t="str">
        <x:v>요청</x:v>
      </x:c>
      <x:c r="E206" s="9" t="str">
        <x:v>VIA 요청 처리</x:v>
      </x:c>
      <x:c r="F206" s="9" t="str">
        <x:v>현재 요청 해석·적용·조건부 원본 보완</x:v>
      </x:c>
      <x:c r="G206" s="10" t="n">
        <x:v>0.142</x:v>
      </x:c>
      <x:c r="H206" s="9" t="str">
        <x:v>사용</x:v>
      </x:c>
      <x:c r="I206" s="9" t="str">
        <x:v>합성 비용 단위; 호출·토큰·단가를 실제로 관측하지 않음</x:v>
      </x:c>
    </x:row>
    <x:row r="207" ht="40" customHeight="1">
      <x:c r="A207" s="9" t="str">
        <x:v>SYN-REC-B-1</x:v>
      </x:c>
      <x:c r="B207" s="9" t="str">
        <x:v>SYN-G01-01</x:v>
      </x:c>
      <x:c r="C207" s="9" t="str">
        <x:v>B</x:v>
      </x:c>
      <x:c r="D207" s="9" t="str">
        <x:v>수신자</x:v>
      </x:c>
      <x:c r="E207" s="9" t="str">
        <x:v>Downstream 처리</x:v>
      </x:c>
      <x:c r="F207" s="9" t="str">
        <x:v>공통 수신자 비용 가정</x:v>
      </x:c>
      <x:c r="G207" s="10" t="n">
        <x:v>0.25</x:v>
      </x:c>
      <x:c r="H207" s="9" t="str">
        <x:v>사용</x:v>
      </x:c>
      <x:c r="I207" s="9" t="str">
        <x:v>동일 비용 가정; 실제 업무 실행 없음</x:v>
      </x:c>
    </x:row>
    <x:row r="208" ht="40" customHeight="1">
      <x:c r="A208" s="9" t="str">
        <x:v>SYN-COST-B-2</x:v>
      </x:c>
      <x:c r="B208" s="9" t="str">
        <x:v>SYN-G01-02</x:v>
      </x:c>
      <x:c r="C208" s="9" t="str">
        <x:v>B</x:v>
      </x:c>
      <x:c r="D208" s="9" t="str">
        <x:v>요청</x:v>
      </x:c>
      <x:c r="E208" s="9" t="str">
        <x:v>VIA 요청 처리</x:v>
      </x:c>
      <x:c r="F208" s="9" t="str">
        <x:v>현재 요청 해석·적용·조건부 원본 보완</x:v>
      </x:c>
      <x:c r="G208" s="10" t="n">
        <x:v>0.15</x:v>
      </x:c>
      <x:c r="H208" s="9" t="str">
        <x:v>사용</x:v>
      </x:c>
      <x:c r="I208" s="9" t="str">
        <x:v>합성 비용 단위; 호출·토큰·단가를 실제로 관측하지 않음</x:v>
      </x:c>
    </x:row>
    <x:row r="209" ht="40" customHeight="1">
      <x:c r="A209" s="9" t="str">
        <x:v>SYN-REC-B-2</x:v>
      </x:c>
      <x:c r="B209" s="9" t="str">
        <x:v>SYN-G01-02</x:v>
      </x:c>
      <x:c r="C209" s="9" t="str">
        <x:v>B</x:v>
      </x:c>
      <x:c r="D209" s="9" t="str">
        <x:v>수신자</x:v>
      </x:c>
      <x:c r="E209" s="9" t="str">
        <x:v>Downstream 처리</x:v>
      </x:c>
      <x:c r="F209" s="9" t="str">
        <x:v>공통 수신자 비용 가정</x:v>
      </x:c>
      <x:c r="G209" s="10" t="n">
        <x:v>0.25</x:v>
      </x:c>
      <x:c r="H209" s="9" t="str">
        <x:v>사용</x:v>
      </x:c>
      <x:c r="I209" s="9" t="str">
        <x:v>동일 비용 가정; 실제 업무 실행 없음</x:v>
      </x:c>
    </x:row>
    <x:row r="210" ht="40" customHeight="1">
      <x:c r="A210" s="9" t="str">
        <x:v>SYN-COST-B-3</x:v>
      </x:c>
      <x:c r="B210" s="9" t="str">
        <x:v>SYN-G01-03</x:v>
      </x:c>
      <x:c r="C210" s="9" t="str">
        <x:v>B</x:v>
      </x:c>
      <x:c r="D210" s="9" t="str">
        <x:v>요청</x:v>
      </x:c>
      <x:c r="E210" s="9" t="str">
        <x:v>VIA 요청 처리</x:v>
      </x:c>
      <x:c r="F210" s="9" t="str">
        <x:v>현재 요청 해석·적용·조건부 원본 보완</x:v>
      </x:c>
      <x:c r="G210" s="10" t="n">
        <x:v>0.159</x:v>
      </x:c>
      <x:c r="H210" s="9" t="str">
        <x:v>사용</x:v>
      </x:c>
      <x:c r="I210" s="9" t="str">
        <x:v>합성 비용 단위; 호출·토큰·단가를 실제로 관측하지 않음</x:v>
      </x:c>
    </x:row>
    <x:row r="211" ht="40" customHeight="1">
      <x:c r="A211" s="9" t="str">
        <x:v>SYN-REC-B-3</x:v>
      </x:c>
      <x:c r="B211" s="9" t="str">
        <x:v>SYN-G01-03</x:v>
      </x:c>
      <x:c r="C211" s="9" t="str">
        <x:v>B</x:v>
      </x:c>
      <x:c r="D211" s="9" t="str">
        <x:v>수신자</x:v>
      </x:c>
      <x:c r="E211" s="9" t="str">
        <x:v>Downstream 처리</x:v>
      </x:c>
      <x:c r="F211" s="9" t="str">
        <x:v>공통 수신자 비용 가정</x:v>
      </x:c>
      <x:c r="G211" s="10" t="n">
        <x:v>0.25</x:v>
      </x:c>
      <x:c r="H211" s="9" t="str">
        <x:v>사용</x:v>
      </x:c>
      <x:c r="I211" s="9" t="str">
        <x:v>동일 비용 가정; 실제 업무 실행 없음</x:v>
      </x:c>
    </x:row>
    <x:row r="212" ht="40" customHeight="1">
      <x:c r="A212" s="9" t="str">
        <x:v>SYN-COST-B-4</x:v>
      </x:c>
      <x:c r="B212" s="9" t="str">
        <x:v>SYN-G01-04</x:v>
      </x:c>
      <x:c r="C212" s="9" t="str">
        <x:v>B</x:v>
      </x:c>
      <x:c r="D212" s="9" t="str">
        <x:v>요청</x:v>
      </x:c>
      <x:c r="E212" s="9" t="str">
        <x:v>VIA 요청 처리</x:v>
      </x:c>
      <x:c r="F212" s="9" t="str">
        <x:v>현재 요청 해석·적용·조건부 원본 보완</x:v>
      </x:c>
      <x:c r="G212" s="10" t="n">
        <x:v>0.167</x:v>
      </x:c>
      <x:c r="H212" s="9" t="str">
        <x:v>사용</x:v>
      </x:c>
      <x:c r="I212" s="9" t="str">
        <x:v>합성 비용 단위; 호출·토큰·단가를 실제로 관측하지 않음</x:v>
      </x:c>
    </x:row>
    <x:row r="213" ht="40" customHeight="1">
      <x:c r="A213" s="9" t="str">
        <x:v>SYN-REC-B-4</x:v>
      </x:c>
      <x:c r="B213" s="9" t="str">
        <x:v>SYN-G01-04</x:v>
      </x:c>
      <x:c r="C213" s="9" t="str">
        <x:v>B</x:v>
      </x:c>
      <x:c r="D213" s="9" t="str">
        <x:v>수신자</x:v>
      </x:c>
      <x:c r="E213" s="9" t="str">
        <x:v>Downstream 처리</x:v>
      </x:c>
      <x:c r="F213" s="9" t="str">
        <x:v>공통 수신자 비용 가정</x:v>
      </x:c>
      <x:c r="G213" s="10" t="n">
        <x:v>0.25</x:v>
      </x:c>
      <x:c r="H213" s="9" t="str">
        <x:v>사용</x:v>
      </x:c>
      <x:c r="I213" s="9" t="str">
        <x:v>동일 비용 가정; 실제 업무 실행 없음</x:v>
      </x:c>
    </x:row>
    <x:row r="214" ht="40" customHeight="1">
      <x:c r="A214" s="9" t="str">
        <x:v>SYN-COST-B-5</x:v>
      </x:c>
      <x:c r="B214" s="9" t="str">
        <x:v>SYN-G01-05</x:v>
      </x:c>
      <x:c r="C214" s="9" t="str">
        <x:v>B</x:v>
      </x:c>
      <x:c r="D214" s="9" t="str">
        <x:v>요청</x:v>
      </x:c>
      <x:c r="E214" s="9" t="str">
        <x:v>VIA 요청 처리</x:v>
      </x:c>
      <x:c r="F214" s="9" t="str">
        <x:v>현재 요청 해석·적용·조건부 원본 보완</x:v>
      </x:c>
      <x:c r="G214" s="10" t="n">
        <x:v>0.175</x:v>
      </x:c>
      <x:c r="H214" s="9" t="str">
        <x:v>사용</x:v>
      </x:c>
      <x:c r="I214" s="9" t="str">
        <x:v>합성 비용 단위; 호출·토큰·단가를 실제로 관측하지 않음</x:v>
      </x:c>
    </x:row>
    <x:row r="215" ht="40" customHeight="1">
      <x:c r="A215" s="9" t="str">
        <x:v>SYN-REC-B-5</x:v>
      </x:c>
      <x:c r="B215" s="9" t="str">
        <x:v>SYN-G01-05</x:v>
      </x:c>
      <x:c r="C215" s="9" t="str">
        <x:v>B</x:v>
      </x:c>
      <x:c r="D215" s="9" t="str">
        <x:v>수신자</x:v>
      </x:c>
      <x:c r="E215" s="9" t="str">
        <x:v>Downstream 처리</x:v>
      </x:c>
      <x:c r="F215" s="9" t="str">
        <x:v>공통 수신자 비용 가정</x:v>
      </x:c>
      <x:c r="G215" s="10" t="n">
        <x:v>0.25</x:v>
      </x:c>
      <x:c r="H215" s="9" t="str">
        <x:v>사용</x:v>
      </x:c>
      <x:c r="I215" s="9" t="str">
        <x:v>동일 비용 가정; 실제 업무 실행 없음</x:v>
      </x:c>
    </x:row>
    <x:row r="216" ht="40" customHeight="1">
      <x:c r="A216" s="9" t="str">
        <x:v>SYN-COST-B-6</x:v>
      </x:c>
      <x:c r="B216" s="9" t="str">
        <x:v>SYN-G01-06</x:v>
      </x:c>
      <x:c r="C216" s="9" t="str">
        <x:v>B</x:v>
      </x:c>
      <x:c r="D216" s="9" t="str">
        <x:v>요청</x:v>
      </x:c>
      <x:c r="E216" s="9" t="str">
        <x:v>VIA 요청 처리</x:v>
      </x:c>
      <x:c r="F216" s="9" t="str">
        <x:v>현재 요청 해석·적용·조건부 원본 보완</x:v>
      </x:c>
      <x:c r="G216" s="10" t="n">
        <x:v>0.184</x:v>
      </x:c>
      <x:c r="H216" s="9" t="str">
        <x:v>사용</x:v>
      </x:c>
      <x:c r="I216" s="9" t="str">
        <x:v>합성 비용 단위; 호출·토큰·단가를 실제로 관측하지 않음</x:v>
      </x:c>
    </x:row>
    <x:row r="217" ht="40" customHeight="1">
      <x:c r="A217" s="9" t="str">
        <x:v>SYN-REC-B-6</x:v>
      </x:c>
      <x:c r="B217" s="9" t="str">
        <x:v>SYN-G01-06</x:v>
      </x:c>
      <x:c r="C217" s="9" t="str">
        <x:v>B</x:v>
      </x:c>
      <x:c r="D217" s="9" t="str">
        <x:v>수신자</x:v>
      </x:c>
      <x:c r="E217" s="9" t="str">
        <x:v>Downstream 처리</x:v>
      </x:c>
      <x:c r="F217" s="9" t="str">
        <x:v>공통 수신자 비용 가정</x:v>
      </x:c>
      <x:c r="G217" s="10" t="n">
        <x:v>0.25</x:v>
      </x:c>
      <x:c r="H217" s="9" t="str">
        <x:v>사용</x:v>
      </x:c>
      <x:c r="I217" s="9" t="str">
        <x:v>동일 비용 가정; 실제 업무 실행 없음</x:v>
      </x:c>
    </x:row>
    <x:row r="218" ht="40" customHeight="1">
      <x:c r="A218" s="9" t="str">
        <x:v>SYN-COST-B-7</x:v>
      </x:c>
      <x:c r="B218" s="9" t="str">
        <x:v>SYN-G01-07</x:v>
      </x:c>
      <x:c r="C218" s="9" t="str">
        <x:v>B</x:v>
      </x:c>
      <x:c r="D218" s="9" t="str">
        <x:v>요청</x:v>
      </x:c>
      <x:c r="E218" s="9" t="str">
        <x:v>VIA 요청 처리</x:v>
      </x:c>
      <x:c r="F218" s="9" t="str">
        <x:v>현재 요청 해석·적용·조건부 원본 보완</x:v>
      </x:c>
      <x:c r="G218" s="10" t="n">
        <x:v>0.193</x:v>
      </x:c>
      <x:c r="H218" s="9" t="str">
        <x:v>사용</x:v>
      </x:c>
      <x:c r="I218" s="9" t="str">
        <x:v>합성 비용 단위; 호출·토큰·단가를 실제로 관측하지 않음</x:v>
      </x:c>
    </x:row>
    <x:row r="219" ht="40" customHeight="1">
      <x:c r="A219" s="9" t="str">
        <x:v>SYN-REC-B-7</x:v>
      </x:c>
      <x:c r="B219" s="9" t="str">
        <x:v>SYN-G01-07</x:v>
      </x:c>
      <x:c r="C219" s="9" t="str">
        <x:v>B</x:v>
      </x:c>
      <x:c r="D219" s="9" t="str">
        <x:v>수신자</x:v>
      </x:c>
      <x:c r="E219" s="9" t="str">
        <x:v>Downstream 처리</x:v>
      </x:c>
      <x:c r="F219" s="9" t="str">
        <x:v>공통 수신자 비용 가정</x:v>
      </x:c>
      <x:c r="G219" s="10" t="n">
        <x:v>0.25</x:v>
      </x:c>
      <x:c r="H219" s="9" t="str">
        <x:v>사용</x:v>
      </x:c>
      <x:c r="I219" s="9" t="str">
        <x:v>동일 비용 가정; 실제 업무 실행 없음</x:v>
      </x:c>
    </x:row>
    <x:row r="220" ht="40" customHeight="1">
      <x:c r="A220" s="9" t="str">
        <x:v>SYN-COST-B-8</x:v>
      </x:c>
      <x:c r="B220" s="9" t="str">
        <x:v>SYN-G01-08</x:v>
      </x:c>
      <x:c r="C220" s="9" t="str">
        <x:v>B</x:v>
      </x:c>
      <x:c r="D220" s="9" t="str">
        <x:v>요청</x:v>
      </x:c>
      <x:c r="E220" s="9" t="str">
        <x:v>VIA 요청 처리</x:v>
      </x:c>
      <x:c r="F220" s="9" t="str">
        <x:v>현재 요청 해석·적용·조건부 원본 보완</x:v>
      </x:c>
      <x:c r="G220" s="10" t="n">
        <x:v>0.201</x:v>
      </x:c>
      <x:c r="H220" s="9" t="str">
        <x:v>사용</x:v>
      </x:c>
      <x:c r="I220" s="9" t="str">
        <x:v>합성 비용 단위; 호출·토큰·단가를 실제로 관측하지 않음</x:v>
      </x:c>
    </x:row>
    <x:row r="221" ht="40" customHeight="1">
      <x:c r="A221" s="9" t="str">
        <x:v>SYN-REC-B-8</x:v>
      </x:c>
      <x:c r="B221" s="9" t="str">
        <x:v>SYN-G01-08</x:v>
      </x:c>
      <x:c r="C221" s="9" t="str">
        <x:v>B</x:v>
      </x:c>
      <x:c r="D221" s="9" t="str">
        <x:v>수신자</x:v>
      </x:c>
      <x:c r="E221" s="9" t="str">
        <x:v>Downstream 처리</x:v>
      </x:c>
      <x:c r="F221" s="9" t="str">
        <x:v>공통 수신자 비용 가정</x:v>
      </x:c>
      <x:c r="G221" s="10" t="n">
        <x:v>0.25</x:v>
      </x:c>
      <x:c r="H221" s="9" t="str">
        <x:v>사용</x:v>
      </x:c>
      <x:c r="I221" s="9" t="str">
        <x:v>동일 비용 가정; 실제 업무 실행 없음</x:v>
      </x:c>
    </x:row>
    <x:row r="222" ht="40" customHeight="1">
      <x:c r="A222" s="9" t="str">
        <x:v>SYN-COST-B-9</x:v>
      </x:c>
      <x:c r="B222" s="9" t="str">
        <x:v>SYN-G01-09</x:v>
      </x:c>
      <x:c r="C222" s="9" t="str">
        <x:v>B</x:v>
      </x:c>
      <x:c r="D222" s="9" t="str">
        <x:v>요청</x:v>
      </x:c>
      <x:c r="E222" s="9" t="str">
        <x:v>VIA 요청 처리</x:v>
      </x:c>
      <x:c r="F222" s="9" t="str">
        <x:v>현재 요청 해석·적용·조건부 원본 보완</x:v>
      </x:c>
      <x:c r="G222" s="10" t="n">
        <x:v>0.209</x:v>
      </x:c>
      <x:c r="H222" s="9" t="str">
        <x:v>사용</x:v>
      </x:c>
      <x:c r="I222" s="9" t="str">
        <x:v>합성 비용 단위; 호출·토큰·단가를 실제로 관측하지 않음</x:v>
      </x:c>
    </x:row>
    <x:row r="223" ht="40" customHeight="1">
      <x:c r="A223" s="9" t="str">
        <x:v>SYN-REC-B-9</x:v>
      </x:c>
      <x:c r="B223" s="9" t="str">
        <x:v>SYN-G01-09</x:v>
      </x:c>
      <x:c r="C223" s="9" t="str">
        <x:v>B</x:v>
      </x:c>
      <x:c r="D223" s="9" t="str">
        <x:v>수신자</x:v>
      </x:c>
      <x:c r="E223" s="9" t="str">
        <x:v>Downstream 처리</x:v>
      </x:c>
      <x:c r="F223" s="9" t="str">
        <x:v>공통 수신자 비용 가정</x:v>
      </x:c>
      <x:c r="G223" s="10" t="n">
        <x:v>0.25</x:v>
      </x:c>
      <x:c r="H223" s="9" t="str">
        <x:v>사용</x:v>
      </x:c>
      <x:c r="I223" s="9" t="str">
        <x:v>동일 비용 가정; 실제 업무 실행 없음</x:v>
      </x:c>
    </x:row>
    <x:row r="224" ht="40" customHeight="1">
      <x:c r="A224" s="9" t="str">
        <x:v>SYN-COST-B-10</x:v>
      </x:c>
      <x:c r="B224" s="9" t="str">
        <x:v>SYN-G01-10</x:v>
      </x:c>
      <x:c r="C224" s="9" t="str">
        <x:v>B</x:v>
      </x:c>
      <x:c r="D224" s="9" t="str">
        <x:v>요청</x:v>
      </x:c>
      <x:c r="E224" s="9" t="str">
        <x:v>VIA 요청 처리</x:v>
      </x:c>
      <x:c r="F224" s="9" t="str">
        <x:v>현재 요청 해석·적용·조건부 원본 보완</x:v>
      </x:c>
      <x:c r="G224" s="10" t="n">
        <x:v>0.218</x:v>
      </x:c>
      <x:c r="H224" s="9" t="str">
        <x:v>사용</x:v>
      </x:c>
      <x:c r="I224" s="9" t="str">
        <x:v>합성 비용 단위; 호출·토큰·단가를 실제로 관측하지 않음</x:v>
      </x:c>
    </x:row>
    <x:row r="225" ht="40" customHeight="1">
      <x:c r="A225" s="9" t="str">
        <x:v>SYN-REC-B-10</x:v>
      </x:c>
      <x:c r="B225" s="9" t="str">
        <x:v>SYN-G01-10</x:v>
      </x:c>
      <x:c r="C225" s="9" t="str">
        <x:v>B</x:v>
      </x:c>
      <x:c r="D225" s="9" t="str">
        <x:v>수신자</x:v>
      </x:c>
      <x:c r="E225" s="9" t="str">
        <x:v>Downstream 처리</x:v>
      </x:c>
      <x:c r="F225" s="9" t="str">
        <x:v>공통 수신자 비용 가정</x:v>
      </x:c>
      <x:c r="G225" s="10" t="n">
        <x:v>0.25</x:v>
      </x:c>
      <x:c r="H225" s="9" t="str">
        <x:v>사용</x:v>
      </x:c>
      <x:c r="I225" s="9" t="str">
        <x:v>동일 비용 가정; 실제 업무 실행 없음</x:v>
      </x:c>
    </x:row>
    <x:row r="226" ht="40" customHeight="1">
      <x:c r="A226" s="9" t="str">
        <x:v>SYN-COST-B-11</x:v>
      </x:c>
      <x:c r="B226" s="9" t="str">
        <x:v>SYN-G02-01</x:v>
      </x:c>
      <x:c r="C226" s="9" t="str">
        <x:v>B</x:v>
      </x:c>
      <x:c r="D226" s="9" t="str">
        <x:v>요청</x:v>
      </x:c>
      <x:c r="E226" s="9" t="str">
        <x:v>VIA 요청 처리</x:v>
      </x:c>
      <x:c r="F226" s="9" t="str">
        <x:v>현재 요청 해석·적용·조건부 원본 보완</x:v>
      </x:c>
      <x:c r="G226" s="10" t="n">
        <x:v>0.164</x:v>
      </x:c>
      <x:c r="H226" s="9" t="str">
        <x:v>사용</x:v>
      </x:c>
      <x:c r="I226" s="9" t="str">
        <x:v>합성 비용 단위; 호출·토큰·단가를 실제로 관측하지 않음</x:v>
      </x:c>
    </x:row>
    <x:row r="227" ht="40" customHeight="1">
      <x:c r="A227" s="9" t="str">
        <x:v>SYN-REC-B-11</x:v>
      </x:c>
      <x:c r="B227" s="9" t="str">
        <x:v>SYN-G02-01</x:v>
      </x:c>
      <x:c r="C227" s="9" t="str">
        <x:v>B</x:v>
      </x:c>
      <x:c r="D227" s="9" t="str">
        <x:v>수신자</x:v>
      </x:c>
      <x:c r="E227" s="9" t="str">
        <x:v>Downstream 처리</x:v>
      </x:c>
      <x:c r="F227" s="9" t="str">
        <x:v>공통 수신자 비용 가정</x:v>
      </x:c>
      <x:c r="G227" s="10" t="n">
        <x:v>0.25</x:v>
      </x:c>
      <x:c r="H227" s="9" t="str">
        <x:v>사용</x:v>
      </x:c>
      <x:c r="I227" s="9" t="str">
        <x:v>동일 비용 가정; 실제 업무 실행 없음</x:v>
      </x:c>
    </x:row>
    <x:row r="228" ht="40" customHeight="1">
      <x:c r="A228" s="9" t="str">
        <x:v>SYN-COST-B-12</x:v>
      </x:c>
      <x:c r="B228" s="9" t="str">
        <x:v>SYN-G02-02</x:v>
      </x:c>
      <x:c r="C228" s="9" t="str">
        <x:v>B</x:v>
      </x:c>
      <x:c r="D228" s="9" t="str">
        <x:v>요청</x:v>
      </x:c>
      <x:c r="E228" s="9" t="str">
        <x:v>VIA 요청 처리</x:v>
      </x:c>
      <x:c r="F228" s="9" t="str">
        <x:v>현재 요청 해석·적용·조건부 원본 보완</x:v>
      </x:c>
      <x:c r="G228" s="10" t="n">
        <x:v>0.173</x:v>
      </x:c>
      <x:c r="H228" s="9" t="str">
        <x:v>사용</x:v>
      </x:c>
      <x:c r="I228" s="9" t="str">
        <x:v>합성 비용 단위; 호출·토큰·단가를 실제로 관측하지 않음</x:v>
      </x:c>
    </x:row>
    <x:row r="229" ht="40" customHeight="1">
      <x:c r="A229" s="9" t="str">
        <x:v>SYN-REC-B-12</x:v>
      </x:c>
      <x:c r="B229" s="9" t="str">
        <x:v>SYN-G02-02</x:v>
      </x:c>
      <x:c r="C229" s="9" t="str">
        <x:v>B</x:v>
      </x:c>
      <x:c r="D229" s="9" t="str">
        <x:v>수신자</x:v>
      </x:c>
      <x:c r="E229" s="9" t="str">
        <x:v>Downstream 처리</x:v>
      </x:c>
      <x:c r="F229" s="9" t="str">
        <x:v>공통 수신자 비용 가정</x:v>
      </x:c>
      <x:c r="G229" s="10" t="n">
        <x:v>0.25</x:v>
      </x:c>
      <x:c r="H229" s="9" t="str">
        <x:v>사용</x:v>
      </x:c>
      <x:c r="I229" s="9" t="str">
        <x:v>동일 비용 가정; 실제 업무 실행 없음</x:v>
      </x:c>
    </x:row>
    <x:row r="230" ht="40" customHeight="1">
      <x:c r="A230" s="9" t="str">
        <x:v>SYN-COST-B-13</x:v>
      </x:c>
      <x:c r="B230" s="9" t="str">
        <x:v>SYN-G02-03</x:v>
      </x:c>
      <x:c r="C230" s="9" t="str">
        <x:v>B</x:v>
      </x:c>
      <x:c r="D230" s="9" t="str">
        <x:v>요청</x:v>
      </x:c>
      <x:c r="E230" s="9" t="str">
        <x:v>VIA 요청 처리</x:v>
      </x:c>
      <x:c r="F230" s="9" t="str">
        <x:v>현재 요청 해석·적용·조건부 원본 보완</x:v>
      </x:c>
      <x:c r="G230" s="10" t="n">
        <x:v>0.181</x:v>
      </x:c>
      <x:c r="H230" s="9" t="str">
        <x:v>사용</x:v>
      </x:c>
      <x:c r="I230" s="9" t="str">
        <x:v>합성 비용 단위; 호출·토큰·단가를 실제로 관측하지 않음</x:v>
      </x:c>
    </x:row>
    <x:row r="231" ht="40" customHeight="1">
      <x:c r="A231" s="9" t="str">
        <x:v>SYN-REC-B-13</x:v>
      </x:c>
      <x:c r="B231" s="9" t="str">
        <x:v>SYN-G02-03</x:v>
      </x:c>
      <x:c r="C231" s="9" t="str">
        <x:v>B</x:v>
      </x:c>
      <x:c r="D231" s="9" t="str">
        <x:v>수신자</x:v>
      </x:c>
      <x:c r="E231" s="9" t="str">
        <x:v>Downstream 처리</x:v>
      </x:c>
      <x:c r="F231" s="9" t="str">
        <x:v>공통 수신자 비용 가정</x:v>
      </x:c>
      <x:c r="G231" s="10" t="n">
        <x:v>0.25</x:v>
      </x:c>
      <x:c r="H231" s="9" t="str">
        <x:v>사용</x:v>
      </x:c>
      <x:c r="I231" s="9" t="str">
        <x:v>동일 비용 가정; 실제 업무 실행 없음</x:v>
      </x:c>
    </x:row>
    <x:row r="232" ht="40" customHeight="1">
      <x:c r="A232" s="9" t="str">
        <x:v>SYN-COST-B-14</x:v>
      </x:c>
      <x:c r="B232" s="9" t="str">
        <x:v>SYN-G02-04</x:v>
      </x:c>
      <x:c r="C232" s="9" t="str">
        <x:v>B</x:v>
      </x:c>
      <x:c r="D232" s="9" t="str">
        <x:v>요청</x:v>
      </x:c>
      <x:c r="E232" s="9" t="str">
        <x:v>VIA 요청 처리</x:v>
      </x:c>
      <x:c r="F232" s="9" t="str">
        <x:v>현재 요청 해석·적용·조건부 원본 보완</x:v>
      </x:c>
      <x:c r="G232" s="10" t="n">
        <x:v>0.189</x:v>
      </x:c>
      <x:c r="H232" s="9" t="str">
        <x:v>사용</x:v>
      </x:c>
      <x:c r="I232" s="9" t="str">
        <x:v>합성 비용 단위; 호출·토큰·단가를 실제로 관측하지 않음</x:v>
      </x:c>
    </x:row>
    <x:row r="233" ht="40" customHeight="1">
      <x:c r="A233" s="9" t="str">
        <x:v>SYN-REC-B-14</x:v>
      </x:c>
      <x:c r="B233" s="9" t="str">
        <x:v>SYN-G02-04</x:v>
      </x:c>
      <x:c r="C233" s="9" t="str">
        <x:v>B</x:v>
      </x:c>
      <x:c r="D233" s="9" t="str">
        <x:v>수신자</x:v>
      </x:c>
      <x:c r="E233" s="9" t="str">
        <x:v>Downstream 처리</x:v>
      </x:c>
      <x:c r="F233" s="9" t="str">
        <x:v>공통 수신자 비용 가정</x:v>
      </x:c>
      <x:c r="G233" s="10" t="n">
        <x:v>0.25</x:v>
      </x:c>
      <x:c r="H233" s="9" t="str">
        <x:v>사용</x:v>
      </x:c>
      <x:c r="I233" s="9" t="str">
        <x:v>동일 비용 가정; 실제 업무 실행 없음</x:v>
      </x:c>
    </x:row>
    <x:row r="234" ht="40" customHeight="1">
      <x:c r="A234" s="9" t="str">
        <x:v>SYN-COST-B-15</x:v>
      </x:c>
      <x:c r="B234" s="9" t="str">
        <x:v>SYN-G02-05</x:v>
      </x:c>
      <x:c r="C234" s="9" t="str">
        <x:v>B</x:v>
      </x:c>
      <x:c r="D234" s="9" t="str">
        <x:v>요청</x:v>
      </x:c>
      <x:c r="E234" s="9" t="str">
        <x:v>VIA 요청 처리</x:v>
      </x:c>
      <x:c r="F234" s="9" t="str">
        <x:v>현재 요청 해석·적용·조건부 원본 보완</x:v>
      </x:c>
      <x:c r="G234" s="10" t="n">
        <x:v>0.198</x:v>
      </x:c>
      <x:c r="H234" s="9" t="str">
        <x:v>사용</x:v>
      </x:c>
      <x:c r="I234" s="9" t="str">
        <x:v>합성 비용 단위; 호출·토큰·단가를 실제로 관측하지 않음</x:v>
      </x:c>
    </x:row>
    <x:row r="235" ht="40" customHeight="1">
      <x:c r="A235" s="9" t="str">
        <x:v>SYN-REC-B-15</x:v>
      </x:c>
      <x:c r="B235" s="9" t="str">
        <x:v>SYN-G02-05</x:v>
      </x:c>
      <x:c r="C235" s="9" t="str">
        <x:v>B</x:v>
      </x:c>
      <x:c r="D235" s="9" t="str">
        <x:v>수신자</x:v>
      </x:c>
      <x:c r="E235" s="9" t="str">
        <x:v>Downstream 처리</x:v>
      </x:c>
      <x:c r="F235" s="9" t="str">
        <x:v>공통 수신자 비용 가정</x:v>
      </x:c>
      <x:c r="G235" s="10" t="n">
        <x:v>0.25</x:v>
      </x:c>
      <x:c r="H235" s="9" t="str">
        <x:v>사용</x:v>
      </x:c>
      <x:c r="I235" s="9" t="str">
        <x:v>동일 비용 가정; 실제 업무 실행 없음</x:v>
      </x:c>
    </x:row>
    <x:row r="236" ht="40" customHeight="1">
      <x:c r="A236" s="9" t="str">
        <x:v>SYN-COST-B-16</x:v>
      </x:c>
      <x:c r="B236" s="9" t="str">
        <x:v>SYN-G02-06</x:v>
      </x:c>
      <x:c r="C236" s="9" t="str">
        <x:v>B</x:v>
      </x:c>
      <x:c r="D236" s="9" t="str">
        <x:v>요청</x:v>
      </x:c>
      <x:c r="E236" s="9" t="str">
        <x:v>VIA 요청 처리</x:v>
      </x:c>
      <x:c r="F236" s="9" t="str">
        <x:v>현재 요청 해석·적용·조건부 원본 보완</x:v>
      </x:c>
      <x:c r="G236" s="10" t="n">
        <x:v>0.207</x:v>
      </x:c>
      <x:c r="H236" s="9" t="str">
        <x:v>사용</x:v>
      </x:c>
      <x:c r="I236" s="9" t="str">
        <x:v>합성 비용 단위; 호출·토큰·단가를 실제로 관측하지 않음</x:v>
      </x:c>
    </x:row>
    <x:row r="237" ht="40" customHeight="1">
      <x:c r="A237" s="9" t="str">
        <x:v>SYN-REC-B-16</x:v>
      </x:c>
      <x:c r="B237" s="9" t="str">
        <x:v>SYN-G02-06</x:v>
      </x:c>
      <x:c r="C237" s="9" t="str">
        <x:v>B</x:v>
      </x:c>
      <x:c r="D237" s="9" t="str">
        <x:v>수신자</x:v>
      </x:c>
      <x:c r="E237" s="9" t="str">
        <x:v>Downstream 처리</x:v>
      </x:c>
      <x:c r="F237" s="9" t="str">
        <x:v>공통 수신자 비용 가정</x:v>
      </x:c>
      <x:c r="G237" s="10" t="n">
        <x:v>0.25</x:v>
      </x:c>
      <x:c r="H237" s="9" t="str">
        <x:v>사용</x:v>
      </x:c>
      <x:c r="I237" s="9" t="str">
        <x:v>동일 비용 가정; 실제 업무 실행 없음</x:v>
      </x:c>
    </x:row>
    <x:row r="238" ht="40" customHeight="1">
      <x:c r="A238" s="9" t="str">
        <x:v>SYN-COST-B-17</x:v>
      </x:c>
      <x:c r="B238" s="9" t="str">
        <x:v>SYN-G02-07</x:v>
      </x:c>
      <x:c r="C238" s="9" t="str">
        <x:v>B</x:v>
      </x:c>
      <x:c r="D238" s="9" t="str">
        <x:v>요청</x:v>
      </x:c>
      <x:c r="E238" s="9" t="str">
        <x:v>VIA 요청 처리</x:v>
      </x:c>
      <x:c r="F238" s="9" t="str">
        <x:v>현재 요청 해석·적용·조건부 원본 보완</x:v>
      </x:c>
      <x:c r="G238" s="10" t="n">
        <x:v>0.215</x:v>
      </x:c>
      <x:c r="H238" s="9" t="str">
        <x:v>사용</x:v>
      </x:c>
      <x:c r="I238" s="9" t="str">
        <x:v>합성 비용 단위; 호출·토큰·단가를 실제로 관측하지 않음</x:v>
      </x:c>
    </x:row>
    <x:row r="239" ht="40" customHeight="1">
      <x:c r="A239" s="9" t="str">
        <x:v>SYN-REC-B-17</x:v>
      </x:c>
      <x:c r="B239" s="9" t="str">
        <x:v>SYN-G02-07</x:v>
      </x:c>
      <x:c r="C239" s="9" t="str">
        <x:v>B</x:v>
      </x:c>
      <x:c r="D239" s="9" t="str">
        <x:v>수신자</x:v>
      </x:c>
      <x:c r="E239" s="9" t="str">
        <x:v>Downstream 처리</x:v>
      </x:c>
      <x:c r="F239" s="9" t="str">
        <x:v>공통 수신자 비용 가정</x:v>
      </x:c>
      <x:c r="G239" s="10" t="n">
        <x:v>0.25</x:v>
      </x:c>
      <x:c r="H239" s="9" t="str">
        <x:v>사용</x:v>
      </x:c>
      <x:c r="I239" s="9" t="str">
        <x:v>동일 비용 가정; 실제 업무 실행 없음</x:v>
      </x:c>
    </x:row>
    <x:row r="240" ht="40" customHeight="1">
      <x:c r="A240" s="9" t="str">
        <x:v>SYN-COST-B-18</x:v>
      </x:c>
      <x:c r="B240" s="9" t="str">
        <x:v>SYN-G02-08</x:v>
      </x:c>
      <x:c r="C240" s="9" t="str">
        <x:v>B</x:v>
      </x:c>
      <x:c r="D240" s="9" t="str">
        <x:v>요청</x:v>
      </x:c>
      <x:c r="E240" s="9" t="str">
        <x:v>VIA 요청 처리</x:v>
      </x:c>
      <x:c r="F240" s="9" t="str">
        <x:v>현재 요청 해석·적용·조건부 원본 보완</x:v>
      </x:c>
      <x:c r="G240" s="10" t="n">
        <x:v>0.223</x:v>
      </x:c>
      <x:c r="H240" s="9" t="str">
        <x:v>사용</x:v>
      </x:c>
      <x:c r="I240" s="9" t="str">
        <x:v>합성 비용 단위; 호출·토큰·단가를 실제로 관측하지 않음</x:v>
      </x:c>
    </x:row>
    <x:row r="241" ht="40" customHeight="1">
      <x:c r="A241" s="9" t="str">
        <x:v>SYN-REC-B-18</x:v>
      </x:c>
      <x:c r="B241" s="9" t="str">
        <x:v>SYN-G02-08</x:v>
      </x:c>
      <x:c r="C241" s="9" t="str">
        <x:v>B</x:v>
      </x:c>
      <x:c r="D241" s="9" t="str">
        <x:v>수신자</x:v>
      </x:c>
      <x:c r="E241" s="9" t="str">
        <x:v>Downstream 처리</x:v>
      </x:c>
      <x:c r="F241" s="9" t="str">
        <x:v>공통 수신자 비용 가정</x:v>
      </x:c>
      <x:c r="G241" s="10" t="n">
        <x:v>0.25</x:v>
      </x:c>
      <x:c r="H241" s="9" t="str">
        <x:v>사용</x:v>
      </x:c>
      <x:c r="I241" s="9" t="str">
        <x:v>동일 비용 가정; 실제 업무 실행 없음</x:v>
      </x:c>
    </x:row>
    <x:row r="242" ht="40" customHeight="1">
      <x:c r="A242" s="9" t="str">
        <x:v>SYN-COST-B-19</x:v>
      </x:c>
      <x:c r="B242" s="9" t="str">
        <x:v>SYN-G02-09</x:v>
      </x:c>
      <x:c r="C242" s="9" t="str">
        <x:v>B</x:v>
      </x:c>
      <x:c r="D242" s="9" t="str">
        <x:v>요청</x:v>
      </x:c>
      <x:c r="E242" s="9" t="str">
        <x:v>VIA 요청 처리</x:v>
      </x:c>
      <x:c r="F242" s="9" t="str">
        <x:v>현재 요청 해석·적용·조건부 원본 보완</x:v>
      </x:c>
      <x:c r="G242" s="10" t="n">
        <x:v>0.232</x:v>
      </x:c>
      <x:c r="H242" s="9" t="str">
        <x:v>사용</x:v>
      </x:c>
      <x:c r="I242" s="9" t="str">
        <x:v>합성 비용 단위; 호출·토큰·단가를 실제로 관측하지 않음</x:v>
      </x:c>
    </x:row>
    <x:row r="243" ht="40" customHeight="1">
      <x:c r="A243" s="9" t="str">
        <x:v>SYN-REC-B-19</x:v>
      </x:c>
      <x:c r="B243" s="9" t="str">
        <x:v>SYN-G02-09</x:v>
      </x:c>
      <x:c r="C243" s="9" t="str">
        <x:v>B</x:v>
      </x:c>
      <x:c r="D243" s="9" t="str">
        <x:v>수신자</x:v>
      </x:c>
      <x:c r="E243" s="9" t="str">
        <x:v>Downstream 처리</x:v>
      </x:c>
      <x:c r="F243" s="9" t="str">
        <x:v>공통 수신자 비용 가정</x:v>
      </x:c>
      <x:c r="G243" s="10" t="n">
        <x:v>0.25</x:v>
      </x:c>
      <x:c r="H243" s="9" t="str">
        <x:v>사용</x:v>
      </x:c>
      <x:c r="I243" s="9" t="str">
        <x:v>동일 비용 가정; 실제 업무 실행 없음</x:v>
      </x:c>
    </x:row>
    <x:row r="244" ht="40" customHeight="1">
      <x:c r="A244" s="9" t="str">
        <x:v>SYN-COST-B-20</x:v>
      </x:c>
      <x:c r="B244" s="9" t="str">
        <x:v>SYN-G02-10</x:v>
      </x:c>
      <x:c r="C244" s="9" t="str">
        <x:v>B</x:v>
      </x:c>
      <x:c r="D244" s="9" t="str">
        <x:v>요청</x:v>
      </x:c>
      <x:c r="E244" s="9" t="str">
        <x:v>VIA 요청 처리</x:v>
      </x:c>
      <x:c r="F244" s="9" t="str">
        <x:v>현재 요청 해석·적용·조건부 원본 보완</x:v>
      </x:c>
      <x:c r="G244" s="10" t="n">
        <x:v>0.24</x:v>
      </x:c>
      <x:c r="H244" s="9" t="str">
        <x:v>사용</x:v>
      </x:c>
      <x:c r="I244" s="9" t="str">
        <x:v>합성 비용 단위; 호출·토큰·단가를 실제로 관측하지 않음</x:v>
      </x:c>
    </x:row>
    <x:row r="245" ht="40" customHeight="1">
      <x:c r="A245" s="9" t="str">
        <x:v>SYN-REC-B-20</x:v>
      </x:c>
      <x:c r="B245" s="9" t="str">
        <x:v>SYN-G02-10</x:v>
      </x:c>
      <x:c r="C245" s="9" t="str">
        <x:v>B</x:v>
      </x:c>
      <x:c r="D245" s="9" t="str">
        <x:v>수신자</x:v>
      </x:c>
      <x:c r="E245" s="9" t="str">
        <x:v>Downstream 처리</x:v>
      </x:c>
      <x:c r="F245" s="9" t="str">
        <x:v>공통 수신자 비용 가정</x:v>
      </x:c>
      <x:c r="G245" s="10" t="n">
        <x:v>0.25</x:v>
      </x:c>
      <x:c r="H245" s="9" t="str">
        <x:v>사용</x:v>
      </x:c>
      <x:c r="I245" s="9" t="str">
        <x:v>동일 비용 가정; 실제 업무 실행 없음</x:v>
      </x:c>
    </x:row>
    <x:row r="246" ht="40" customHeight="1">
      <x:c r="A246" s="9" t="str">
        <x:v>SYN-COST-B-21</x:v>
      </x:c>
      <x:c r="B246" s="9" t="str">
        <x:v>SYN-G03-01</x:v>
      </x:c>
      <x:c r="C246" s="9" t="str">
        <x:v>B</x:v>
      </x:c>
      <x:c r="D246" s="9" t="str">
        <x:v>요청</x:v>
      </x:c>
      <x:c r="E246" s="9" t="str">
        <x:v>VIA 요청 처리</x:v>
      </x:c>
      <x:c r="F246" s="9" t="str">
        <x:v>현재 요청 해석·적용·조건부 원본 보완</x:v>
      </x:c>
      <x:c r="G246" s="10" t="n">
        <x:v>0.233</x:v>
      </x:c>
      <x:c r="H246" s="9" t="str">
        <x:v>사용</x:v>
      </x:c>
      <x:c r="I246" s="9" t="str">
        <x:v>합성 비용 단위; 호출·토큰·단가를 실제로 관측하지 않음</x:v>
      </x:c>
    </x:row>
    <x:row r="247" ht="40" customHeight="1">
      <x:c r="A247" s="9" t="str">
        <x:v>SYN-REC-B-21</x:v>
      </x:c>
      <x:c r="B247" s="9" t="str">
        <x:v>SYN-G03-01</x:v>
      </x:c>
      <x:c r="C247" s="9" t="str">
        <x:v>B</x:v>
      </x:c>
      <x:c r="D247" s="9" t="str">
        <x:v>수신자</x:v>
      </x:c>
      <x:c r="E247" s="9" t="str">
        <x:v>Downstream 처리</x:v>
      </x:c>
      <x:c r="F247" s="9" t="str">
        <x:v>공통 수신자 비용 가정</x:v>
      </x:c>
      <x:c r="G247" s="10" t="n">
        <x:v>0.25</x:v>
      </x:c>
      <x:c r="H247" s="9" t="str">
        <x:v>사용</x:v>
      </x:c>
      <x:c r="I247" s="9" t="str">
        <x:v>동일 비용 가정; 실제 업무 실행 없음</x:v>
      </x:c>
    </x:row>
    <x:row r="248" ht="40" customHeight="1">
      <x:c r="A248" s="9" t="str">
        <x:v>SYN-COST-B-22</x:v>
      </x:c>
      <x:c r="B248" s="9" t="str">
        <x:v>SYN-G03-02</x:v>
      </x:c>
      <x:c r="C248" s="9" t="str">
        <x:v>B</x:v>
      </x:c>
      <x:c r="D248" s="9" t="str">
        <x:v>요청</x:v>
      </x:c>
      <x:c r="E248" s="9" t="str">
        <x:v>VIA 요청 처리</x:v>
      </x:c>
      <x:c r="F248" s="9" t="str">
        <x:v>현재 요청 해석·적용·조건부 원본 보완</x:v>
      </x:c>
      <x:c r="G248" s="10" t="n">
        <x:v>0.242</x:v>
      </x:c>
      <x:c r="H248" s="9" t="str">
        <x:v>사용</x:v>
      </x:c>
      <x:c r="I248" s="9" t="str">
        <x:v>합성 비용 단위; 호출·토큰·단가를 실제로 관측하지 않음</x:v>
      </x:c>
    </x:row>
    <x:row r="249" ht="40" customHeight="1">
      <x:c r="A249" s="9" t="str">
        <x:v>SYN-REC-B-22</x:v>
      </x:c>
      <x:c r="B249" s="9" t="str">
        <x:v>SYN-G03-02</x:v>
      </x:c>
      <x:c r="C249" s="9" t="str">
        <x:v>B</x:v>
      </x:c>
      <x:c r="D249" s="9" t="str">
        <x:v>수신자</x:v>
      </x:c>
      <x:c r="E249" s="9" t="str">
        <x:v>Downstream 처리</x:v>
      </x:c>
      <x:c r="F249" s="9" t="str">
        <x:v>공통 수신자 비용 가정</x:v>
      </x:c>
      <x:c r="G249" s="10" t="n">
        <x:v>0.25</x:v>
      </x:c>
      <x:c r="H249" s="9" t="str">
        <x:v>사용</x:v>
      </x:c>
      <x:c r="I249" s="9" t="str">
        <x:v>동일 비용 가정; 실제 업무 실행 없음</x:v>
      </x:c>
    </x:row>
    <x:row r="250" ht="40" customHeight="1">
      <x:c r="A250" s="9" t="str">
        <x:v>SYN-COST-B-23</x:v>
      </x:c>
      <x:c r="B250" s="9" t="str">
        <x:v>SYN-G03-03</x:v>
      </x:c>
      <x:c r="C250" s="9" t="str">
        <x:v>B</x:v>
      </x:c>
      <x:c r="D250" s="9" t="str">
        <x:v>요청</x:v>
      </x:c>
      <x:c r="E250" s="9" t="str">
        <x:v>VIA 요청 처리</x:v>
      </x:c>
      <x:c r="F250" s="9" t="str">
        <x:v>현재 요청 해석·적용·조건부 원본 보완</x:v>
      </x:c>
      <x:c r="G250" s="10" t="n">
        <x:v>0.25</x:v>
      </x:c>
      <x:c r="H250" s="9" t="str">
        <x:v>사용</x:v>
      </x:c>
      <x:c r="I250" s="9" t="str">
        <x:v>합성 비용 단위; 호출·토큰·단가를 실제로 관측하지 않음</x:v>
      </x:c>
    </x:row>
    <x:row r="251" ht="40" customHeight="1">
      <x:c r="A251" s="9" t="str">
        <x:v>SYN-REC-B-23</x:v>
      </x:c>
      <x:c r="B251" s="9" t="str">
        <x:v>SYN-G03-03</x:v>
      </x:c>
      <x:c r="C251" s="9" t="str">
        <x:v>B</x:v>
      </x:c>
      <x:c r="D251" s="9" t="str">
        <x:v>수신자</x:v>
      </x:c>
      <x:c r="E251" s="9" t="str">
        <x:v>Downstream 처리</x:v>
      </x:c>
      <x:c r="F251" s="9" t="str">
        <x:v>공통 수신자 비용 가정</x:v>
      </x:c>
      <x:c r="G251" s="10" t="n">
        <x:v>0.25</x:v>
      </x:c>
      <x:c r="H251" s="9" t="str">
        <x:v>사용</x:v>
      </x:c>
      <x:c r="I251" s="9" t="str">
        <x:v>동일 비용 가정; 실제 업무 실행 없음</x:v>
      </x:c>
    </x:row>
    <x:row r="252" ht="40" customHeight="1">
      <x:c r="A252" s="9" t="str">
        <x:v>SYN-COST-B-24</x:v>
      </x:c>
      <x:c r="B252" s="9" t="str">
        <x:v>SYN-G03-04</x:v>
      </x:c>
      <x:c r="C252" s="9" t="str">
        <x:v>B</x:v>
      </x:c>
      <x:c r="D252" s="9" t="str">
        <x:v>요청</x:v>
      </x:c>
      <x:c r="E252" s="9" t="str">
        <x:v>VIA 요청 처리</x:v>
      </x:c>
      <x:c r="F252" s="9" t="str">
        <x:v>현재 요청 해석·적용·조건부 원본 보완</x:v>
      </x:c>
      <x:c r="G252" s="10" t="n">
        <x:v>0.258</x:v>
      </x:c>
      <x:c r="H252" s="9" t="str">
        <x:v>사용</x:v>
      </x:c>
      <x:c r="I252" s="9" t="str">
        <x:v>합성 비용 단위; 호출·토큰·단가를 실제로 관측하지 않음</x:v>
      </x:c>
    </x:row>
    <x:row r="253" ht="40" customHeight="1">
      <x:c r="A253" s="9" t="str">
        <x:v>SYN-REC-B-24</x:v>
      </x:c>
      <x:c r="B253" s="9" t="str">
        <x:v>SYN-G03-04</x:v>
      </x:c>
      <x:c r="C253" s="9" t="str">
        <x:v>B</x:v>
      </x:c>
      <x:c r="D253" s="9" t="str">
        <x:v>수신자</x:v>
      </x:c>
      <x:c r="E253" s="9" t="str">
        <x:v>Downstream 처리</x:v>
      </x:c>
      <x:c r="F253" s="9" t="str">
        <x:v>공통 수신자 비용 가정</x:v>
      </x:c>
      <x:c r="G253" s="10" t="n">
        <x:v>0.25</x:v>
      </x:c>
      <x:c r="H253" s="9" t="str">
        <x:v>사용</x:v>
      </x:c>
      <x:c r="I253" s="9" t="str">
        <x:v>동일 비용 가정; 실제 업무 실행 없음</x:v>
      </x:c>
    </x:row>
    <x:row r="254" ht="40" customHeight="1">
      <x:c r="A254" s="9" t="str">
        <x:v>SYN-COST-B-25</x:v>
      </x:c>
      <x:c r="B254" s="9" t="str">
        <x:v>SYN-G03-05</x:v>
      </x:c>
      <x:c r="C254" s="9" t="str">
        <x:v>B</x:v>
      </x:c>
      <x:c r="D254" s="9" t="str">
        <x:v>요청</x:v>
      </x:c>
      <x:c r="E254" s="9" t="str">
        <x:v>VIA 요청 처리</x:v>
      </x:c>
      <x:c r="F254" s="9" t="str">
        <x:v>현재 요청 해석·적용·조건부 원본 보완</x:v>
      </x:c>
      <x:c r="G254" s="10" t="n">
        <x:v>0.267</x:v>
      </x:c>
      <x:c r="H254" s="9" t="str">
        <x:v>사용</x:v>
      </x:c>
      <x:c r="I254" s="9" t="str">
        <x:v>합성 비용 단위; 호출·토큰·단가를 실제로 관측하지 않음</x:v>
      </x:c>
    </x:row>
    <x:row r="255" ht="40" customHeight="1">
      <x:c r="A255" s="9" t="str">
        <x:v>SYN-REC-B-25</x:v>
      </x:c>
      <x:c r="B255" s="9" t="str">
        <x:v>SYN-G03-05</x:v>
      </x:c>
      <x:c r="C255" s="9" t="str">
        <x:v>B</x:v>
      </x:c>
      <x:c r="D255" s="9" t="str">
        <x:v>수신자</x:v>
      </x:c>
      <x:c r="E255" s="9" t="str">
        <x:v>Downstream 처리</x:v>
      </x:c>
      <x:c r="F255" s="9" t="str">
        <x:v>공통 수신자 비용 가정</x:v>
      </x:c>
      <x:c r="G255" s="10" t="n">
        <x:v>0.25</x:v>
      </x:c>
      <x:c r="H255" s="9" t="str">
        <x:v>사용</x:v>
      </x:c>
      <x:c r="I255" s="9" t="str">
        <x:v>동일 비용 가정; 실제 업무 실행 없음</x:v>
      </x:c>
    </x:row>
    <x:row r="256" ht="40" customHeight="1">
      <x:c r="A256" s="9" t="str">
        <x:v>SYN-COST-B-26</x:v>
      </x:c>
      <x:c r="B256" s="9" t="str">
        <x:v>SYN-G03-06</x:v>
      </x:c>
      <x:c r="C256" s="9" t="str">
        <x:v>B</x:v>
      </x:c>
      <x:c r="D256" s="9" t="str">
        <x:v>요청</x:v>
      </x:c>
      <x:c r="E256" s="9" t="str">
        <x:v>VIA 요청 처리</x:v>
      </x:c>
      <x:c r="F256" s="9" t="str">
        <x:v>현재 요청 해석·적용·조건부 원본 보완</x:v>
      </x:c>
      <x:c r="G256" s="10" t="n">
        <x:v>0.275</x:v>
      </x:c>
      <x:c r="H256" s="9" t="str">
        <x:v>사용</x:v>
      </x:c>
      <x:c r="I256" s="9" t="str">
        <x:v>합성 비용 단위; 호출·토큰·단가를 실제로 관측하지 않음</x:v>
      </x:c>
    </x:row>
    <x:row r="257" ht="40" customHeight="1">
      <x:c r="A257" s="9" t="str">
        <x:v>SYN-REC-B-26</x:v>
      </x:c>
      <x:c r="B257" s="9" t="str">
        <x:v>SYN-G03-06</x:v>
      </x:c>
      <x:c r="C257" s="9" t="str">
        <x:v>B</x:v>
      </x:c>
      <x:c r="D257" s="9" t="str">
        <x:v>수신자</x:v>
      </x:c>
      <x:c r="E257" s="9" t="str">
        <x:v>Downstream 처리</x:v>
      </x:c>
      <x:c r="F257" s="9" t="str">
        <x:v>공통 수신자 비용 가정</x:v>
      </x:c>
      <x:c r="G257" s="10" t="n">
        <x:v>0.25</x:v>
      </x:c>
      <x:c r="H257" s="9" t="str">
        <x:v>사용</x:v>
      </x:c>
      <x:c r="I257" s="9" t="str">
        <x:v>동일 비용 가정; 실제 업무 실행 없음</x:v>
      </x:c>
    </x:row>
    <x:row r="258" ht="40" customHeight="1">
      <x:c r="A258" s="9" t="str">
        <x:v>SYN-COST-B-27</x:v>
      </x:c>
      <x:c r="B258" s="9" t="str">
        <x:v>SYN-G03-07</x:v>
      </x:c>
      <x:c r="C258" s="9" t="str">
        <x:v>B</x:v>
      </x:c>
      <x:c r="D258" s="9" t="str">
        <x:v>요청</x:v>
      </x:c>
      <x:c r="E258" s="9" t="str">
        <x:v>VIA 요청 처리</x:v>
      </x:c>
      <x:c r="F258" s="9" t="str">
        <x:v>현재 요청 해석·적용·조건부 원본 보완</x:v>
      </x:c>
      <x:c r="G258" s="10" t="n">
        <x:v>0.284</x:v>
      </x:c>
      <x:c r="H258" s="9" t="str">
        <x:v>사용</x:v>
      </x:c>
      <x:c r="I258" s="9" t="str">
        <x:v>합성 비용 단위; 호출·토큰·단가를 실제로 관측하지 않음</x:v>
      </x:c>
    </x:row>
    <x:row r="259" ht="40" customHeight="1">
      <x:c r="A259" s="9" t="str">
        <x:v>SYN-REC-B-27</x:v>
      </x:c>
      <x:c r="B259" s="9" t="str">
        <x:v>SYN-G03-07</x:v>
      </x:c>
      <x:c r="C259" s="9" t="str">
        <x:v>B</x:v>
      </x:c>
      <x:c r="D259" s="9" t="str">
        <x:v>수신자</x:v>
      </x:c>
      <x:c r="E259" s="9" t="str">
        <x:v>Downstream 처리</x:v>
      </x:c>
      <x:c r="F259" s="9" t="str">
        <x:v>공통 수신자 비용 가정</x:v>
      </x:c>
      <x:c r="G259" s="10" t="n">
        <x:v>0.25</x:v>
      </x:c>
      <x:c r="H259" s="9" t="str">
        <x:v>사용</x:v>
      </x:c>
      <x:c r="I259" s="9" t="str">
        <x:v>동일 비용 가정; 실제 업무 실행 없음</x:v>
      </x:c>
    </x:row>
    <x:row r="260" ht="40" customHeight="1">
      <x:c r="A260" s="9" t="str">
        <x:v>SYN-COST-B-28</x:v>
      </x:c>
      <x:c r="B260" s="9" t="str">
        <x:v>SYN-G03-08</x:v>
      </x:c>
      <x:c r="C260" s="9" t="str">
        <x:v>B</x:v>
      </x:c>
      <x:c r="D260" s="9" t="str">
        <x:v>요청</x:v>
      </x:c>
      <x:c r="E260" s="9" t="str">
        <x:v>VIA 요청 처리</x:v>
      </x:c>
      <x:c r="F260" s="9" t="str">
        <x:v>현재 요청 해석·적용·조건부 원본 보완</x:v>
      </x:c>
      <x:c r="G260" s="10" t="n">
        <x:v>0.292</x:v>
      </x:c>
      <x:c r="H260" s="9" t="str">
        <x:v>사용</x:v>
      </x:c>
      <x:c r="I260" s="9" t="str">
        <x:v>합성 비용 단위; 호출·토큰·단가를 실제로 관측하지 않음</x:v>
      </x:c>
    </x:row>
    <x:row r="261" ht="40" customHeight="1">
      <x:c r="A261" s="9" t="str">
        <x:v>SYN-REC-B-28</x:v>
      </x:c>
      <x:c r="B261" s="9" t="str">
        <x:v>SYN-G03-08</x:v>
      </x:c>
      <x:c r="C261" s="9" t="str">
        <x:v>B</x:v>
      </x:c>
      <x:c r="D261" s="9" t="str">
        <x:v>수신자</x:v>
      </x:c>
      <x:c r="E261" s="9" t="str">
        <x:v>Downstream 처리</x:v>
      </x:c>
      <x:c r="F261" s="9" t="str">
        <x:v>공통 수신자 비용 가정</x:v>
      </x:c>
      <x:c r="G261" s="10" t="n">
        <x:v>0.25</x:v>
      </x:c>
      <x:c r="H261" s="9" t="str">
        <x:v>사용</x:v>
      </x:c>
      <x:c r="I261" s="9" t="str">
        <x:v>동일 비용 가정; 실제 업무 실행 없음</x:v>
      </x:c>
    </x:row>
    <x:row r="262" ht="40" customHeight="1">
      <x:c r="A262" s="9" t="str">
        <x:v>SYN-COST-B-29</x:v>
      </x:c>
      <x:c r="B262" s="9" t="str">
        <x:v>SYN-G03-09</x:v>
      </x:c>
      <x:c r="C262" s="9" t="str">
        <x:v>B</x:v>
      </x:c>
      <x:c r="D262" s="9" t="str">
        <x:v>요청</x:v>
      </x:c>
      <x:c r="E262" s="9" t="str">
        <x:v>VIA 요청 처리</x:v>
      </x:c>
      <x:c r="F262" s="9" t="str">
        <x:v>현재 요청 해석·적용·조건부 원본 보완</x:v>
      </x:c>
      <x:c r="G262" s="10" t="n">
        <x:v>0.301</x:v>
      </x:c>
      <x:c r="H262" s="9" t="str">
        <x:v>사용</x:v>
      </x:c>
      <x:c r="I262" s="9" t="str">
        <x:v>합성 비용 단위; 호출·토큰·단가를 실제로 관측하지 않음</x:v>
      </x:c>
    </x:row>
    <x:row r="263" ht="40" customHeight="1">
      <x:c r="A263" s="9" t="str">
        <x:v>SYN-REC-B-29</x:v>
      </x:c>
      <x:c r="B263" s="9" t="str">
        <x:v>SYN-G03-09</x:v>
      </x:c>
      <x:c r="C263" s="9" t="str">
        <x:v>B</x:v>
      </x:c>
      <x:c r="D263" s="9" t="str">
        <x:v>수신자</x:v>
      </x:c>
      <x:c r="E263" s="9" t="str">
        <x:v>Downstream 처리</x:v>
      </x:c>
      <x:c r="F263" s="9" t="str">
        <x:v>공통 수신자 비용 가정</x:v>
      </x:c>
      <x:c r="G263" s="10" t="n">
        <x:v>0.25</x:v>
      </x:c>
      <x:c r="H263" s="9" t="str">
        <x:v>사용</x:v>
      </x:c>
      <x:c r="I263" s="9" t="str">
        <x:v>동일 비용 가정; 실제 업무 실행 없음</x:v>
      </x:c>
    </x:row>
    <x:row r="264" ht="40" customHeight="1">
      <x:c r="A264" s="9" t="str">
        <x:v>SYN-COST-B-30</x:v>
      </x:c>
      <x:c r="B264" s="9" t="str">
        <x:v>SYN-G03-10</x:v>
      </x:c>
      <x:c r="C264" s="9" t="str">
        <x:v>B</x:v>
      </x:c>
      <x:c r="D264" s="9" t="str">
        <x:v>요청</x:v>
      </x:c>
      <x:c r="E264" s="9" t="str">
        <x:v>VIA 요청 처리</x:v>
      </x:c>
      <x:c r="F264" s="9" t="str">
        <x:v>현재 요청 해석·적용·조건부 원본 보완</x:v>
      </x:c>
      <x:c r="G264" s="10" t="n">
        <x:v>0.309</x:v>
      </x:c>
      <x:c r="H264" s="9" t="str">
        <x:v>사용</x:v>
      </x:c>
      <x:c r="I264" s="9" t="str">
        <x:v>합성 비용 단위; 호출·토큰·단가를 실제로 관측하지 않음</x:v>
      </x:c>
    </x:row>
    <x:row r="265" ht="40" customHeight="1">
      <x:c r="A265" s="9" t="str">
        <x:v>SYN-REC-B-30</x:v>
      </x:c>
      <x:c r="B265" s="9" t="str">
        <x:v>SYN-G03-10</x:v>
      </x:c>
      <x:c r="C265" s="9" t="str">
        <x:v>B</x:v>
      </x:c>
      <x:c r="D265" s="9" t="str">
        <x:v>수신자</x:v>
      </x:c>
      <x:c r="E265" s="9" t="str">
        <x:v>Downstream 처리</x:v>
      </x:c>
      <x:c r="F265" s="9" t="str">
        <x:v>공통 수신자 비용 가정</x:v>
      </x:c>
      <x:c r="G265" s="10" t="n">
        <x:v>0.25</x:v>
      </x:c>
      <x:c r="H265" s="9" t="str">
        <x:v>사용</x:v>
      </x:c>
      <x:c r="I265" s="9" t="str">
        <x:v>동일 비용 가정; 실제 업무 실행 없음</x:v>
      </x:c>
    </x:row>
    <x:row r="266" ht="40" customHeight="1">
      <x:c r="A266" s="9" t="str">
        <x:v>SYN-COST-B-31</x:v>
      </x:c>
      <x:c r="B266" s="9" t="str">
        <x:v>SYN-G04-01</x:v>
      </x:c>
      <x:c r="C266" s="9" t="str">
        <x:v>B</x:v>
      </x:c>
      <x:c r="D266" s="9" t="str">
        <x:v>요청</x:v>
      </x:c>
      <x:c r="E266" s="9" t="str">
        <x:v>VIA 요청 처리</x:v>
      </x:c>
      <x:c r="F266" s="9" t="str">
        <x:v>현재 요청 해석·적용·조건부 원본 보완</x:v>
      </x:c>
      <x:c r="G266" s="10" t="n">
        <x:v>0.178</x:v>
      </x:c>
      <x:c r="H266" s="9" t="str">
        <x:v>사용</x:v>
      </x:c>
      <x:c r="I266" s="9" t="str">
        <x:v>합성 비용 단위; 호출·토큰·단가를 실제로 관측하지 않음</x:v>
      </x:c>
    </x:row>
    <x:row r="267" ht="40" customHeight="1">
      <x:c r="A267" s="9" t="str">
        <x:v>SYN-REC-B-31</x:v>
      </x:c>
      <x:c r="B267" s="9" t="str">
        <x:v>SYN-G04-01</x:v>
      </x:c>
      <x:c r="C267" s="9" t="str">
        <x:v>B</x:v>
      </x:c>
      <x:c r="D267" s="9" t="str">
        <x:v>수신자</x:v>
      </x:c>
      <x:c r="E267" s="9" t="str">
        <x:v>Downstream 처리</x:v>
      </x:c>
      <x:c r="F267" s="9" t="str">
        <x:v>공통 수신자 비용 가정</x:v>
      </x:c>
      <x:c r="G267" s="10" t="n">
        <x:v>0.25</x:v>
      </x:c>
      <x:c r="H267" s="9" t="str">
        <x:v>사용</x:v>
      </x:c>
      <x:c r="I267" s="9" t="str">
        <x:v>동일 비용 가정; 실제 업무 실행 없음</x:v>
      </x:c>
    </x:row>
    <x:row r="268" ht="40" customHeight="1">
      <x:c r="A268" s="9" t="str">
        <x:v>SYN-COST-B-32</x:v>
      </x:c>
      <x:c r="B268" s="9" t="str">
        <x:v>SYN-G04-02</x:v>
      </x:c>
      <x:c r="C268" s="9" t="str">
        <x:v>B</x:v>
      </x:c>
      <x:c r="D268" s="9" t="str">
        <x:v>요청</x:v>
      </x:c>
      <x:c r="E268" s="9" t="str">
        <x:v>VIA 요청 처리</x:v>
      </x:c>
      <x:c r="F268" s="9" t="str">
        <x:v>현재 요청 해석·적용·조건부 원본 보완</x:v>
      </x:c>
      <x:c r="G268" s="10" t="n">
        <x:v>0.186</x:v>
      </x:c>
      <x:c r="H268" s="9" t="str">
        <x:v>사용</x:v>
      </x:c>
      <x:c r="I268" s="9" t="str">
        <x:v>합성 비용 단위; 호출·토큰·단가를 실제로 관측하지 않음</x:v>
      </x:c>
    </x:row>
    <x:row r="269" ht="40" customHeight="1">
      <x:c r="A269" s="9" t="str">
        <x:v>SYN-REC-B-32</x:v>
      </x:c>
      <x:c r="B269" s="9" t="str">
        <x:v>SYN-G04-02</x:v>
      </x:c>
      <x:c r="C269" s="9" t="str">
        <x:v>B</x:v>
      </x:c>
      <x:c r="D269" s="9" t="str">
        <x:v>수신자</x:v>
      </x:c>
      <x:c r="E269" s="9" t="str">
        <x:v>Downstream 처리</x:v>
      </x:c>
      <x:c r="F269" s="9" t="str">
        <x:v>공통 수신자 비용 가정</x:v>
      </x:c>
      <x:c r="G269" s="10" t="n">
        <x:v>0.25</x:v>
      </x:c>
      <x:c r="H269" s="9" t="str">
        <x:v>사용</x:v>
      </x:c>
      <x:c r="I269" s="9" t="str">
        <x:v>동일 비용 가정; 실제 업무 실행 없음</x:v>
      </x:c>
    </x:row>
    <x:row r="270" ht="40" customHeight="1">
      <x:c r="A270" s="9" t="str">
        <x:v>SYN-COST-B-33</x:v>
      </x:c>
      <x:c r="B270" s="9" t="str">
        <x:v>SYN-G04-03</x:v>
      </x:c>
      <x:c r="C270" s="9" t="str">
        <x:v>B</x:v>
      </x:c>
      <x:c r="D270" s="9" t="str">
        <x:v>요청</x:v>
      </x:c>
      <x:c r="E270" s="9" t="str">
        <x:v>VIA 요청 처리</x:v>
      </x:c>
      <x:c r="F270" s="9" t="str">
        <x:v>현재 요청 해석·적용·조건부 원본 보완</x:v>
      </x:c>
      <x:c r="G270" s="10" t="n">
        <x:v>0.194</x:v>
      </x:c>
      <x:c r="H270" s="9" t="str">
        <x:v>사용</x:v>
      </x:c>
      <x:c r="I270" s="9" t="str">
        <x:v>합성 비용 단위; 호출·토큰·단가를 실제로 관측하지 않음</x:v>
      </x:c>
    </x:row>
    <x:row r="271" ht="40" customHeight="1">
      <x:c r="A271" s="9" t="str">
        <x:v>SYN-REC-B-33</x:v>
      </x:c>
      <x:c r="B271" s="9" t="str">
        <x:v>SYN-G04-03</x:v>
      </x:c>
      <x:c r="C271" s="9" t="str">
        <x:v>B</x:v>
      </x:c>
      <x:c r="D271" s="9" t="str">
        <x:v>수신자</x:v>
      </x:c>
      <x:c r="E271" s="9" t="str">
        <x:v>Downstream 처리</x:v>
      </x:c>
      <x:c r="F271" s="9" t="str">
        <x:v>공통 수신자 비용 가정</x:v>
      </x:c>
      <x:c r="G271" s="10" t="n">
        <x:v>0.25</x:v>
      </x:c>
      <x:c r="H271" s="9" t="str">
        <x:v>사용</x:v>
      </x:c>
      <x:c r="I271" s="9" t="str">
        <x:v>동일 비용 가정; 실제 업무 실행 없음</x:v>
      </x:c>
    </x:row>
    <x:row r="272" ht="40" customHeight="1">
      <x:c r="A272" s="9" t="str">
        <x:v>SYN-COST-B-34</x:v>
      </x:c>
      <x:c r="B272" s="9" t="str">
        <x:v>SYN-G04-04</x:v>
      </x:c>
      <x:c r="C272" s="9" t="str">
        <x:v>B</x:v>
      </x:c>
      <x:c r="D272" s="9" t="str">
        <x:v>요청</x:v>
      </x:c>
      <x:c r="E272" s="9" t="str">
        <x:v>VIA 요청 처리</x:v>
      </x:c>
      <x:c r="F272" s="9" t="str">
        <x:v>현재 요청 해석·적용·조건부 원본 보완</x:v>
      </x:c>
      <x:c r="G272" s="10" t="n">
        <x:v>0.203</x:v>
      </x:c>
      <x:c r="H272" s="9" t="str">
        <x:v>사용</x:v>
      </x:c>
      <x:c r="I272" s="9" t="str">
        <x:v>합성 비용 단위; 호출·토큰·단가를 실제로 관측하지 않음</x:v>
      </x:c>
    </x:row>
    <x:row r="273" ht="40" customHeight="1">
      <x:c r="A273" s="9" t="str">
        <x:v>SYN-REC-B-34</x:v>
      </x:c>
      <x:c r="B273" s="9" t="str">
        <x:v>SYN-G04-04</x:v>
      </x:c>
      <x:c r="C273" s="9" t="str">
        <x:v>B</x:v>
      </x:c>
      <x:c r="D273" s="9" t="str">
        <x:v>수신자</x:v>
      </x:c>
      <x:c r="E273" s="9" t="str">
        <x:v>Downstream 처리</x:v>
      </x:c>
      <x:c r="F273" s="9" t="str">
        <x:v>공통 수신자 비용 가정</x:v>
      </x:c>
      <x:c r="G273" s="10" t="n">
        <x:v>0.25</x:v>
      </x:c>
      <x:c r="H273" s="9" t="str">
        <x:v>사용</x:v>
      </x:c>
      <x:c r="I273" s="9" t="str">
        <x:v>동일 비용 가정; 실제 업무 실행 없음</x:v>
      </x:c>
    </x:row>
    <x:row r="274" ht="40" customHeight="1">
      <x:c r="A274" s="9" t="str">
        <x:v>SYN-COST-B-35</x:v>
      </x:c>
      <x:c r="B274" s="9" t="str">
        <x:v>SYN-G04-05</x:v>
      </x:c>
      <x:c r="C274" s="9" t="str">
        <x:v>B</x:v>
      </x:c>
      <x:c r="D274" s="9" t="str">
        <x:v>요청</x:v>
      </x:c>
      <x:c r="E274" s="9" t="str">
        <x:v>VIA 요청 처리</x:v>
      </x:c>
      <x:c r="F274" s="9" t="str">
        <x:v>현재 요청 해석·적용·조건부 원본 보완</x:v>
      </x:c>
      <x:c r="G274" s="10" t="n">
        <x:v>0.211</x:v>
      </x:c>
      <x:c r="H274" s="9" t="str">
        <x:v>사용</x:v>
      </x:c>
      <x:c r="I274" s="9" t="str">
        <x:v>합성 비용 단위; 호출·토큰·단가를 실제로 관측하지 않음</x:v>
      </x:c>
    </x:row>
    <x:row r="275" ht="40" customHeight="1">
      <x:c r="A275" s="9" t="str">
        <x:v>SYN-REC-B-35</x:v>
      </x:c>
      <x:c r="B275" s="9" t="str">
        <x:v>SYN-G04-05</x:v>
      </x:c>
      <x:c r="C275" s="9" t="str">
        <x:v>B</x:v>
      </x:c>
      <x:c r="D275" s="9" t="str">
        <x:v>수신자</x:v>
      </x:c>
      <x:c r="E275" s="9" t="str">
        <x:v>Downstream 처리</x:v>
      </x:c>
      <x:c r="F275" s="9" t="str">
        <x:v>공통 수신자 비용 가정</x:v>
      </x:c>
      <x:c r="G275" s="10" t="n">
        <x:v>0.25</x:v>
      </x:c>
      <x:c r="H275" s="9" t="str">
        <x:v>사용</x:v>
      </x:c>
      <x:c r="I275" s="9" t="str">
        <x:v>동일 비용 가정; 실제 업무 실행 없음</x:v>
      </x:c>
    </x:row>
    <x:row r="276" ht="40" customHeight="1">
      <x:c r="A276" s="9" t="str">
        <x:v>SYN-COST-B-36</x:v>
      </x:c>
      <x:c r="B276" s="9" t="str">
        <x:v>SYN-G04-06</x:v>
      </x:c>
      <x:c r="C276" s="9" t="str">
        <x:v>B</x:v>
      </x:c>
      <x:c r="D276" s="9" t="str">
        <x:v>요청</x:v>
      </x:c>
      <x:c r="E276" s="9" t="str">
        <x:v>VIA 요청 처리</x:v>
      </x:c>
      <x:c r="F276" s="9" t="str">
        <x:v>현재 요청 해석·적용·조건부 원본 보완</x:v>
      </x:c>
      <x:c r="G276" s="10" t="n">
        <x:v>0.22</x:v>
      </x:c>
      <x:c r="H276" s="9" t="str">
        <x:v>사용</x:v>
      </x:c>
      <x:c r="I276" s="9" t="str">
        <x:v>합성 비용 단위; 호출·토큰·단가를 실제로 관측하지 않음</x:v>
      </x:c>
    </x:row>
    <x:row r="277" ht="40" customHeight="1">
      <x:c r="A277" s="9" t="str">
        <x:v>SYN-REC-B-36</x:v>
      </x:c>
      <x:c r="B277" s="9" t="str">
        <x:v>SYN-G04-06</x:v>
      </x:c>
      <x:c r="C277" s="9" t="str">
        <x:v>B</x:v>
      </x:c>
      <x:c r="D277" s="9" t="str">
        <x:v>수신자</x:v>
      </x:c>
      <x:c r="E277" s="9" t="str">
        <x:v>Downstream 처리</x:v>
      </x:c>
      <x:c r="F277" s="9" t="str">
        <x:v>공통 수신자 비용 가정</x:v>
      </x:c>
      <x:c r="G277" s="10" t="n">
        <x:v>0.25</x:v>
      </x:c>
      <x:c r="H277" s="9" t="str">
        <x:v>사용</x:v>
      </x:c>
      <x:c r="I277" s="9" t="str">
        <x:v>동일 비용 가정; 실제 업무 실행 없음</x:v>
      </x:c>
    </x:row>
    <x:row r="278" ht="40" customHeight="1">
      <x:c r="A278" s="9" t="str">
        <x:v>SYN-COST-B-37</x:v>
      </x:c>
      <x:c r="B278" s="9" t="str">
        <x:v>SYN-G04-07</x:v>
      </x:c>
      <x:c r="C278" s="9" t="str">
        <x:v>B</x:v>
      </x:c>
      <x:c r="D278" s="9" t="str">
        <x:v>요청</x:v>
      </x:c>
      <x:c r="E278" s="9" t="str">
        <x:v>VIA 요청 처리</x:v>
      </x:c>
      <x:c r="F278" s="9" t="str">
        <x:v>현재 요청 해석·적용·조건부 원본 보완</x:v>
      </x:c>
      <x:c r="G278" s="10" t="n">
        <x:v>0.228</x:v>
      </x:c>
      <x:c r="H278" s="9" t="str">
        <x:v>사용</x:v>
      </x:c>
      <x:c r="I278" s="9" t="str">
        <x:v>합성 비용 단위; 호출·토큰·단가를 실제로 관측하지 않음</x:v>
      </x:c>
    </x:row>
    <x:row r="279" ht="40" customHeight="1">
      <x:c r="A279" s="9" t="str">
        <x:v>SYN-REC-B-37</x:v>
      </x:c>
      <x:c r="B279" s="9" t="str">
        <x:v>SYN-G04-07</x:v>
      </x:c>
      <x:c r="C279" s="9" t="str">
        <x:v>B</x:v>
      </x:c>
      <x:c r="D279" s="9" t="str">
        <x:v>수신자</x:v>
      </x:c>
      <x:c r="E279" s="9" t="str">
        <x:v>Downstream 처리</x:v>
      </x:c>
      <x:c r="F279" s="9" t="str">
        <x:v>공통 수신자 비용 가정</x:v>
      </x:c>
      <x:c r="G279" s="10" t="n">
        <x:v>0.25</x:v>
      </x:c>
      <x:c r="H279" s="9" t="str">
        <x:v>사용</x:v>
      </x:c>
      <x:c r="I279" s="9" t="str">
        <x:v>동일 비용 가정; 실제 업무 실행 없음</x:v>
      </x:c>
    </x:row>
    <x:row r="280" ht="40" customHeight="1">
      <x:c r="A280" s="9" t="str">
        <x:v>SYN-COST-B-38</x:v>
      </x:c>
      <x:c r="B280" s="9" t="str">
        <x:v>SYN-G04-08</x:v>
      </x:c>
      <x:c r="C280" s="9" t="str">
        <x:v>B</x:v>
      </x:c>
      <x:c r="D280" s="9" t="str">
        <x:v>요청</x:v>
      </x:c>
      <x:c r="E280" s="9" t="str">
        <x:v>VIA 요청 처리</x:v>
      </x:c>
      <x:c r="F280" s="9" t="str">
        <x:v>현재 요청 해석·적용·조건부 원본 보완</x:v>
      </x:c>
      <x:c r="G280" s="10" t="n">
        <x:v>0.237</x:v>
      </x:c>
      <x:c r="H280" s="9" t="str">
        <x:v>사용</x:v>
      </x:c>
      <x:c r="I280" s="9" t="str">
        <x:v>합성 비용 단위; 호출·토큰·단가를 실제로 관측하지 않음</x:v>
      </x:c>
    </x:row>
    <x:row r="281" ht="40" customHeight="1">
      <x:c r="A281" s="9" t="str">
        <x:v>SYN-REC-B-38</x:v>
      </x:c>
      <x:c r="B281" s="9" t="str">
        <x:v>SYN-G04-08</x:v>
      </x:c>
      <x:c r="C281" s="9" t="str">
        <x:v>B</x:v>
      </x:c>
      <x:c r="D281" s="9" t="str">
        <x:v>수신자</x:v>
      </x:c>
      <x:c r="E281" s="9" t="str">
        <x:v>Downstream 처리</x:v>
      </x:c>
      <x:c r="F281" s="9" t="str">
        <x:v>공통 수신자 비용 가정</x:v>
      </x:c>
      <x:c r="G281" s="10" t="n">
        <x:v>0.25</x:v>
      </x:c>
      <x:c r="H281" s="9" t="str">
        <x:v>사용</x:v>
      </x:c>
      <x:c r="I281" s="9" t="str">
        <x:v>동일 비용 가정; 실제 업무 실행 없음</x:v>
      </x:c>
    </x:row>
    <x:row r="282" ht="40" customHeight="1">
      <x:c r="A282" s="9" t="str">
        <x:v>SYN-COST-B-39</x:v>
      </x:c>
      <x:c r="B282" s="9" t="str">
        <x:v>SYN-G04-09</x:v>
      </x:c>
      <x:c r="C282" s="9" t="str">
        <x:v>B</x:v>
      </x:c>
      <x:c r="D282" s="9" t="str">
        <x:v>요청</x:v>
      </x:c>
      <x:c r="E282" s="9" t="str">
        <x:v>VIA 요청 처리</x:v>
      </x:c>
      <x:c r="F282" s="9" t="str">
        <x:v>현재 요청 해석·적용·조건부 원본 보완</x:v>
      </x:c>
      <x:c r="G282" s="10" t="n">
        <x:v>0.245</x:v>
      </x:c>
      <x:c r="H282" s="9" t="str">
        <x:v>사용</x:v>
      </x:c>
      <x:c r="I282" s="9" t="str">
        <x:v>합성 비용 단위; 호출·토큰·단가를 실제로 관측하지 않음</x:v>
      </x:c>
    </x:row>
    <x:row r="283" ht="40" customHeight="1">
      <x:c r="A283" s="9" t="str">
        <x:v>SYN-REC-B-39</x:v>
      </x:c>
      <x:c r="B283" s="9" t="str">
        <x:v>SYN-G04-09</x:v>
      </x:c>
      <x:c r="C283" s="9" t="str">
        <x:v>B</x:v>
      </x:c>
      <x:c r="D283" s="9" t="str">
        <x:v>수신자</x:v>
      </x:c>
      <x:c r="E283" s="9" t="str">
        <x:v>Downstream 처리</x:v>
      </x:c>
      <x:c r="F283" s="9" t="str">
        <x:v>공통 수신자 비용 가정</x:v>
      </x:c>
      <x:c r="G283" s="10" t="n">
        <x:v>0.25</x:v>
      </x:c>
      <x:c r="H283" s="9" t="str">
        <x:v>사용</x:v>
      </x:c>
      <x:c r="I283" s="9" t="str">
        <x:v>동일 비용 가정; 실제 업무 실행 없음</x:v>
      </x:c>
    </x:row>
    <x:row r="284" ht="40" customHeight="1">
      <x:c r="A284" s="9" t="str">
        <x:v>SYN-COST-B-40</x:v>
      </x:c>
      <x:c r="B284" s="9" t="str">
        <x:v>SYN-G04-10</x:v>
      </x:c>
      <x:c r="C284" s="9" t="str">
        <x:v>B</x:v>
      </x:c>
      <x:c r="D284" s="9" t="str">
        <x:v>요청</x:v>
      </x:c>
      <x:c r="E284" s="9" t="str">
        <x:v>VIA 요청 처리</x:v>
      </x:c>
      <x:c r="F284" s="9" t="str">
        <x:v>현재 요청 해석·적용·조건부 원본 보완</x:v>
      </x:c>
      <x:c r="G284" s="10" t="n">
        <x:v>0.253</x:v>
      </x:c>
      <x:c r="H284" s="9" t="str">
        <x:v>사용</x:v>
      </x:c>
      <x:c r="I284" s="9" t="str">
        <x:v>합성 비용 단위; 호출·토큰·단가를 실제로 관측하지 않음</x:v>
      </x:c>
    </x:row>
    <x:row r="285" ht="40" customHeight="1">
      <x:c r="A285" s="9" t="str">
        <x:v>SYN-REC-B-40</x:v>
      </x:c>
      <x:c r="B285" s="9" t="str">
        <x:v>SYN-G04-10</x:v>
      </x:c>
      <x:c r="C285" s="9" t="str">
        <x:v>B</x:v>
      </x:c>
      <x:c r="D285" s="9" t="str">
        <x:v>수신자</x:v>
      </x:c>
      <x:c r="E285" s="9" t="str">
        <x:v>Downstream 처리</x:v>
      </x:c>
      <x:c r="F285" s="9" t="str">
        <x:v>공통 수신자 비용 가정</x:v>
      </x:c>
      <x:c r="G285" s="10" t="n">
        <x:v>0.25</x:v>
      </x:c>
      <x:c r="H285" s="9" t="str">
        <x:v>사용</x:v>
      </x:c>
      <x:c r="I285" s="9" t="str">
        <x:v>동일 비용 가정; 실제 업무 실행 없음</x:v>
      </x:c>
    </x:row>
    <x:row r="286" ht="40" customHeight="1">
      <x:c r="A286" s="9" t="str">
        <x:v>SYN-COST-B-41</x:v>
      </x:c>
      <x:c r="B286" s="9" t="str">
        <x:v>SYN-G05-01</x:v>
      </x:c>
      <x:c r="C286" s="9" t="str">
        <x:v>B</x:v>
      </x:c>
      <x:c r="D286" s="9" t="str">
        <x:v>요청</x:v>
      </x:c>
      <x:c r="E286" s="9" t="str">
        <x:v>VIA 요청 처리</x:v>
      </x:c>
      <x:c r="F286" s="9" t="str">
        <x:v>현재 요청 해석·적용·조건부 원본 보완</x:v>
      </x:c>
      <x:c r="G286" s="10" t="n">
        <x:v>0.456</x:v>
      </x:c>
      <x:c r="H286" s="9" t="str">
        <x:v>사용</x:v>
      </x:c>
      <x:c r="I286" s="9" t="str">
        <x:v>합성 비용 단위; 호출·토큰·단가를 실제로 관측하지 않음</x:v>
      </x:c>
    </x:row>
    <x:row r="287" ht="40" customHeight="1">
      <x:c r="A287" s="9" t="str">
        <x:v>SYN-REC-B-41</x:v>
      </x:c>
      <x:c r="B287" s="9" t="str">
        <x:v>SYN-G05-01</x:v>
      </x:c>
      <x:c r="C287" s="9" t="str">
        <x:v>B</x:v>
      </x:c>
      <x:c r="D287" s="9" t="str">
        <x:v>수신자</x:v>
      </x:c>
      <x:c r="E287" s="9" t="str">
        <x:v>Downstream 처리</x:v>
      </x:c>
      <x:c r="F287" s="9" t="str">
        <x:v>공통 수신자 비용 가정</x:v>
      </x:c>
      <x:c r="G287" s="10" t="n">
        <x:v>0.25</x:v>
      </x:c>
      <x:c r="H287" s="9" t="str">
        <x:v>사용</x:v>
      </x:c>
      <x:c r="I287" s="9" t="str">
        <x:v>동일 비용 가정; 실제 업무 실행 없음</x:v>
      </x:c>
    </x:row>
    <x:row r="288" ht="40" customHeight="1">
      <x:c r="A288" s="9" t="str">
        <x:v>SYN-COST-B-42</x:v>
      </x:c>
      <x:c r="B288" s="9" t="str">
        <x:v>SYN-G05-02</x:v>
      </x:c>
      <x:c r="C288" s="9" t="str">
        <x:v>B</x:v>
      </x:c>
      <x:c r="D288" s="9" t="str">
        <x:v>요청</x:v>
      </x:c>
      <x:c r="E288" s="9" t="str">
        <x:v>VIA 요청 처리</x:v>
      </x:c>
      <x:c r="F288" s="9" t="str">
        <x:v>현재 요청 해석·적용·조건부 원본 보완</x:v>
      </x:c>
      <x:c r="G288" s="10" t="n">
        <x:v>0.464</x:v>
      </x:c>
      <x:c r="H288" s="9" t="str">
        <x:v>사용</x:v>
      </x:c>
      <x:c r="I288" s="9" t="str">
        <x:v>합성 비용 단위; 호출·토큰·단가를 실제로 관측하지 않음</x:v>
      </x:c>
    </x:row>
    <x:row r="289" ht="40" customHeight="1">
      <x:c r="A289" s="9" t="str">
        <x:v>SYN-REC-B-42</x:v>
      </x:c>
      <x:c r="B289" s="9" t="str">
        <x:v>SYN-G05-02</x:v>
      </x:c>
      <x:c r="C289" s="9" t="str">
        <x:v>B</x:v>
      </x:c>
      <x:c r="D289" s="9" t="str">
        <x:v>수신자</x:v>
      </x:c>
      <x:c r="E289" s="9" t="str">
        <x:v>Downstream 처리</x:v>
      </x:c>
      <x:c r="F289" s="9" t="str">
        <x:v>공통 수신자 비용 가정</x:v>
      </x:c>
      <x:c r="G289" s="10" t="n">
        <x:v>0.25</x:v>
      </x:c>
      <x:c r="H289" s="9" t="str">
        <x:v>사용</x:v>
      </x:c>
      <x:c r="I289" s="9" t="str">
        <x:v>동일 비용 가정; 실제 업무 실행 없음</x:v>
      </x:c>
    </x:row>
    <x:row r="290" ht="40" customHeight="1">
      <x:c r="A290" s="9" t="str">
        <x:v>SYN-COST-B-43</x:v>
      </x:c>
      <x:c r="B290" s="9" t="str">
        <x:v>SYN-G05-03</x:v>
      </x:c>
      <x:c r="C290" s="9" t="str">
        <x:v>B</x:v>
      </x:c>
      <x:c r="D290" s="9" t="str">
        <x:v>요청</x:v>
      </x:c>
      <x:c r="E290" s="9" t="str">
        <x:v>VIA 요청 처리</x:v>
      </x:c>
      <x:c r="F290" s="9" t="str">
        <x:v>현재 요청 해석·적용·조건부 원본 보완</x:v>
      </x:c>
      <x:c r="G290" s="10" t="n">
        <x:v>0.472</x:v>
      </x:c>
      <x:c r="H290" s="9" t="str">
        <x:v>사용</x:v>
      </x:c>
      <x:c r="I290" s="9" t="str">
        <x:v>합성 비용 단위; 호출·토큰·단가를 실제로 관측하지 않음</x:v>
      </x:c>
    </x:row>
    <x:row r="291" ht="40" customHeight="1">
      <x:c r="A291" s="9" t="str">
        <x:v>SYN-REC-B-43</x:v>
      </x:c>
      <x:c r="B291" s="9" t="str">
        <x:v>SYN-G05-03</x:v>
      </x:c>
      <x:c r="C291" s="9" t="str">
        <x:v>B</x:v>
      </x:c>
      <x:c r="D291" s="9" t="str">
        <x:v>수신자</x:v>
      </x:c>
      <x:c r="E291" s="9" t="str">
        <x:v>Downstream 처리</x:v>
      </x:c>
      <x:c r="F291" s="9" t="str">
        <x:v>공통 수신자 비용 가정</x:v>
      </x:c>
      <x:c r="G291" s="10" t="n">
        <x:v>0.25</x:v>
      </x:c>
      <x:c r="H291" s="9" t="str">
        <x:v>사용</x:v>
      </x:c>
      <x:c r="I291" s="9" t="str">
        <x:v>동일 비용 가정; 실제 업무 실행 없음</x:v>
      </x:c>
    </x:row>
    <x:row r="292" ht="40" customHeight="1">
      <x:c r="A292" s="9" t="str">
        <x:v>SYN-COST-B-44</x:v>
      </x:c>
      <x:c r="B292" s="9" t="str">
        <x:v>SYN-G05-04</x:v>
      </x:c>
      <x:c r="C292" s="9" t="str">
        <x:v>B</x:v>
      </x:c>
      <x:c r="D292" s="9" t="str">
        <x:v>요청</x:v>
      </x:c>
      <x:c r="E292" s="9" t="str">
        <x:v>VIA 요청 처리</x:v>
      </x:c>
      <x:c r="F292" s="9" t="str">
        <x:v>현재 요청 해석·적용·조건부 원본 보완</x:v>
      </x:c>
      <x:c r="G292" s="10" t="n">
        <x:v>0.481</x:v>
      </x:c>
      <x:c r="H292" s="9" t="str">
        <x:v>사용</x:v>
      </x:c>
      <x:c r="I292" s="9" t="str">
        <x:v>합성 비용 단위; 호출·토큰·단가를 실제로 관측하지 않음</x:v>
      </x:c>
    </x:row>
    <x:row r="293" ht="40" customHeight="1">
      <x:c r="A293" s="9" t="str">
        <x:v>SYN-REC-B-44</x:v>
      </x:c>
      <x:c r="B293" s="9" t="str">
        <x:v>SYN-G05-04</x:v>
      </x:c>
      <x:c r="C293" s="9" t="str">
        <x:v>B</x:v>
      </x:c>
      <x:c r="D293" s="9" t="str">
        <x:v>수신자</x:v>
      </x:c>
      <x:c r="E293" s="9" t="str">
        <x:v>Downstream 처리</x:v>
      </x:c>
      <x:c r="F293" s="9" t="str">
        <x:v>공통 수신자 비용 가정</x:v>
      </x:c>
      <x:c r="G293" s="10" t="n">
        <x:v>0.25</x:v>
      </x:c>
      <x:c r="H293" s="9" t="str">
        <x:v>사용</x:v>
      </x:c>
      <x:c r="I293" s="9" t="str">
        <x:v>동일 비용 가정; 실제 업무 실행 없음</x:v>
      </x:c>
    </x:row>
    <x:row r="294" ht="40" customHeight="1">
      <x:c r="A294" s="9" t="str">
        <x:v>SYN-COST-B-45</x:v>
      </x:c>
      <x:c r="B294" s="9" t="str">
        <x:v>SYN-G05-05</x:v>
      </x:c>
      <x:c r="C294" s="9" t="str">
        <x:v>B</x:v>
      </x:c>
      <x:c r="D294" s="9" t="str">
        <x:v>요청</x:v>
      </x:c>
      <x:c r="E294" s="9" t="str">
        <x:v>VIA 요청 처리</x:v>
      </x:c>
      <x:c r="F294" s="9" t="str">
        <x:v>현재 요청 해석·적용·조건부 원본 보완</x:v>
      </x:c>
      <x:c r="G294" s="10" t="n">
        <x:v>0.489</x:v>
      </x:c>
      <x:c r="H294" s="9" t="str">
        <x:v>사용</x:v>
      </x:c>
      <x:c r="I294" s="9" t="str">
        <x:v>합성 비용 단위; 호출·토큰·단가를 실제로 관측하지 않음</x:v>
      </x:c>
    </x:row>
    <x:row r="295" ht="40" customHeight="1">
      <x:c r="A295" s="9" t="str">
        <x:v>SYN-REC-B-45</x:v>
      </x:c>
      <x:c r="B295" s="9" t="str">
        <x:v>SYN-G05-05</x:v>
      </x:c>
      <x:c r="C295" s="9" t="str">
        <x:v>B</x:v>
      </x:c>
      <x:c r="D295" s="9" t="str">
        <x:v>수신자</x:v>
      </x:c>
      <x:c r="E295" s="9" t="str">
        <x:v>Downstream 처리</x:v>
      </x:c>
      <x:c r="F295" s="9" t="str">
        <x:v>공통 수신자 비용 가정</x:v>
      </x:c>
      <x:c r="G295" s="10" t="n">
        <x:v>0.25</x:v>
      </x:c>
      <x:c r="H295" s="9" t="str">
        <x:v>사용</x:v>
      </x:c>
      <x:c r="I295" s="9" t="str">
        <x:v>동일 비용 가정; 실제 업무 실행 없음</x:v>
      </x:c>
    </x:row>
    <x:row r="296" ht="40" customHeight="1">
      <x:c r="A296" s="9" t="str">
        <x:v>SYN-COST-B-46</x:v>
      </x:c>
      <x:c r="B296" s="9" t="str">
        <x:v>SYN-G05-06</x:v>
      </x:c>
      <x:c r="C296" s="9" t="str">
        <x:v>B</x:v>
      </x:c>
      <x:c r="D296" s="9" t="str">
        <x:v>요청</x:v>
      </x:c>
      <x:c r="E296" s="9" t="str">
        <x:v>VIA 요청 처리</x:v>
      </x:c>
      <x:c r="F296" s="9" t="str">
        <x:v>현재 요청 해석·적용·조건부 원본 보완</x:v>
      </x:c>
      <x:c r="G296" s="10" t="n">
        <x:v>0.498</x:v>
      </x:c>
      <x:c r="H296" s="9" t="str">
        <x:v>사용</x:v>
      </x:c>
      <x:c r="I296" s="9" t="str">
        <x:v>합성 비용 단위; 호출·토큰·단가를 실제로 관측하지 않음</x:v>
      </x:c>
    </x:row>
    <x:row r="297" ht="40" customHeight="1">
      <x:c r="A297" s="9" t="str">
        <x:v>SYN-REC-B-46</x:v>
      </x:c>
      <x:c r="B297" s="9" t="str">
        <x:v>SYN-G05-06</x:v>
      </x:c>
      <x:c r="C297" s="9" t="str">
        <x:v>B</x:v>
      </x:c>
      <x:c r="D297" s="9" t="str">
        <x:v>수신자</x:v>
      </x:c>
      <x:c r="E297" s="9" t="str">
        <x:v>Downstream 처리</x:v>
      </x:c>
      <x:c r="F297" s="9" t="str">
        <x:v>공통 수신자 비용 가정</x:v>
      </x:c>
      <x:c r="G297" s="10" t="n">
        <x:v>0.25</x:v>
      </x:c>
      <x:c r="H297" s="9" t="str">
        <x:v>사용</x:v>
      </x:c>
      <x:c r="I297" s="9" t="str">
        <x:v>동일 비용 가정; 실제 업무 실행 없음</x:v>
      </x:c>
    </x:row>
    <x:row r="298" ht="40" customHeight="1">
      <x:c r="A298" s="9" t="str">
        <x:v>SYN-COST-B-47</x:v>
      </x:c>
      <x:c r="B298" s="9" t="str">
        <x:v>SYN-G05-07</x:v>
      </x:c>
      <x:c r="C298" s="9" t="str">
        <x:v>B</x:v>
      </x:c>
      <x:c r="D298" s="9" t="str">
        <x:v>요청</x:v>
      </x:c>
      <x:c r="E298" s="9" t="str">
        <x:v>VIA 요청 처리</x:v>
      </x:c>
      <x:c r="F298" s="9" t="str">
        <x:v>현재 요청 해석·적용·조건부 원본 보완</x:v>
      </x:c>
      <x:c r="G298" s="10" t="n">
        <x:v>0.506</x:v>
      </x:c>
      <x:c r="H298" s="9" t="str">
        <x:v>사용</x:v>
      </x:c>
      <x:c r="I298" s="9" t="str">
        <x:v>합성 비용 단위; 호출·토큰·단가를 실제로 관측하지 않음</x:v>
      </x:c>
    </x:row>
    <x:row r="299" ht="40" customHeight="1">
      <x:c r="A299" s="9" t="str">
        <x:v>SYN-REC-B-47</x:v>
      </x:c>
      <x:c r="B299" s="9" t="str">
        <x:v>SYN-G05-07</x:v>
      </x:c>
      <x:c r="C299" s="9" t="str">
        <x:v>B</x:v>
      </x:c>
      <x:c r="D299" s="9" t="str">
        <x:v>수신자</x:v>
      </x:c>
      <x:c r="E299" s="9" t="str">
        <x:v>Downstream 처리</x:v>
      </x:c>
      <x:c r="F299" s="9" t="str">
        <x:v>공통 수신자 비용 가정</x:v>
      </x:c>
      <x:c r="G299" s="10" t="n">
        <x:v>0.25</x:v>
      </x:c>
      <x:c r="H299" s="9" t="str">
        <x:v>사용</x:v>
      </x:c>
      <x:c r="I299" s="9" t="str">
        <x:v>동일 비용 가정; 실제 업무 실행 없음</x:v>
      </x:c>
    </x:row>
    <x:row r="300" ht="40" customHeight="1">
      <x:c r="A300" s="9" t="str">
        <x:v>SYN-COST-B-48</x:v>
      </x:c>
      <x:c r="B300" s="9" t="str">
        <x:v>SYN-G05-08</x:v>
      </x:c>
      <x:c r="C300" s="9" t="str">
        <x:v>B</x:v>
      </x:c>
      <x:c r="D300" s="9" t="str">
        <x:v>요청</x:v>
      </x:c>
      <x:c r="E300" s="9" t="str">
        <x:v>VIA 요청 처리</x:v>
      </x:c>
      <x:c r="F300" s="9" t="str">
        <x:v>현재 요청 해석·적용·조건부 원본 보완</x:v>
      </x:c>
      <x:c r="G300" s="10" t="n">
        <x:v>0.515</x:v>
      </x:c>
      <x:c r="H300" s="9" t="str">
        <x:v>사용</x:v>
      </x:c>
      <x:c r="I300" s="9" t="str">
        <x:v>합성 비용 단위; 호출·토큰·단가를 실제로 관측하지 않음</x:v>
      </x:c>
    </x:row>
    <x:row r="301" ht="40" customHeight="1">
      <x:c r="A301" s="9" t="str">
        <x:v>SYN-REC-B-48</x:v>
      </x:c>
      <x:c r="B301" s="9" t="str">
        <x:v>SYN-G05-08</x:v>
      </x:c>
      <x:c r="C301" s="9" t="str">
        <x:v>B</x:v>
      </x:c>
      <x:c r="D301" s="9" t="str">
        <x:v>수신자</x:v>
      </x:c>
      <x:c r="E301" s="9" t="str">
        <x:v>Downstream 처리</x:v>
      </x:c>
      <x:c r="F301" s="9" t="str">
        <x:v>공통 수신자 비용 가정</x:v>
      </x:c>
      <x:c r="G301" s="10" t="n">
        <x:v>0.25</x:v>
      </x:c>
      <x:c r="H301" s="9" t="str">
        <x:v>사용</x:v>
      </x:c>
      <x:c r="I301" s="9" t="str">
        <x:v>동일 비용 가정; 실제 업무 실행 없음</x:v>
      </x:c>
    </x:row>
    <x:row r="302" ht="40" customHeight="1">
      <x:c r="A302" s="9" t="str">
        <x:v>SYN-COST-B-49</x:v>
      </x:c>
      <x:c r="B302" s="9" t="str">
        <x:v>SYN-G05-09</x:v>
      </x:c>
      <x:c r="C302" s="9" t="str">
        <x:v>B</x:v>
      </x:c>
      <x:c r="D302" s="9" t="str">
        <x:v>요청</x:v>
      </x:c>
      <x:c r="E302" s="9" t="str">
        <x:v>VIA 요청 처리</x:v>
      </x:c>
      <x:c r="F302" s="9" t="str">
        <x:v>현재 요청 해석·적용·조건부 원본 보완</x:v>
      </x:c>
      <x:c r="G302" s="10" t="n">
        <x:v>0.523</x:v>
      </x:c>
      <x:c r="H302" s="9" t="str">
        <x:v>사용</x:v>
      </x:c>
      <x:c r="I302" s="9" t="str">
        <x:v>합성 비용 단위; 호출·토큰·단가를 실제로 관측하지 않음</x:v>
      </x:c>
    </x:row>
    <x:row r="303" ht="40" customHeight="1">
      <x:c r="A303" s="9" t="str">
        <x:v>SYN-REC-B-49</x:v>
      </x:c>
      <x:c r="B303" s="9" t="str">
        <x:v>SYN-G05-09</x:v>
      </x:c>
      <x:c r="C303" s="9" t="str">
        <x:v>B</x:v>
      </x:c>
      <x:c r="D303" s="9" t="str">
        <x:v>수신자</x:v>
      </x:c>
      <x:c r="E303" s="9" t="str">
        <x:v>Downstream 처리</x:v>
      </x:c>
      <x:c r="F303" s="9" t="str">
        <x:v>공통 수신자 비용 가정</x:v>
      </x:c>
      <x:c r="G303" s="10" t="n">
        <x:v>0.25</x:v>
      </x:c>
      <x:c r="H303" s="9" t="str">
        <x:v>사용</x:v>
      </x:c>
      <x:c r="I303" s="9" t="str">
        <x:v>동일 비용 가정; 실제 업무 실행 없음</x:v>
      </x:c>
    </x:row>
    <x:row r="304" ht="40" customHeight="1">
      <x:c r="A304" s="9" t="str">
        <x:v>SYN-COST-B-50</x:v>
      </x:c>
      <x:c r="B304" s="9" t="str">
        <x:v>SYN-G05-10</x:v>
      </x:c>
      <x:c r="C304" s="9" t="str">
        <x:v>B</x:v>
      </x:c>
      <x:c r="D304" s="9" t="str">
        <x:v>요청</x:v>
      </x:c>
      <x:c r="E304" s="9" t="str">
        <x:v>VIA 요청 처리</x:v>
      </x:c>
      <x:c r="F304" s="9" t="str">
        <x:v>현재 요청 해석·적용·조건부 원본 보완</x:v>
      </x:c>
      <x:c r="G304" s="10" t="n">
        <x:v>0.531</x:v>
      </x:c>
      <x:c r="H304" s="9" t="str">
        <x:v>사용</x:v>
      </x:c>
      <x:c r="I304" s="9" t="str">
        <x:v>합성 비용 단위; 호출·토큰·단가를 실제로 관측하지 않음</x:v>
      </x:c>
    </x:row>
    <x:row r="305" ht="40" customHeight="1">
      <x:c r="A305" s="9" t="str">
        <x:v>SYN-REC-B-50</x:v>
      </x:c>
      <x:c r="B305" s="9" t="str">
        <x:v>SYN-G05-10</x:v>
      </x:c>
      <x:c r="C305" s="9" t="str">
        <x:v>B</x:v>
      </x:c>
      <x:c r="D305" s="9" t="str">
        <x:v>수신자</x:v>
      </x:c>
      <x:c r="E305" s="9" t="str">
        <x:v>Downstream 처리</x:v>
      </x:c>
      <x:c r="F305" s="9" t="str">
        <x:v>공통 수신자 비용 가정</x:v>
      </x:c>
      <x:c r="G305" s="10" t="n">
        <x:v>0.25</x:v>
      </x:c>
      <x:c r="H305" s="9" t="str">
        <x:v>사용</x:v>
      </x:c>
      <x:c r="I305" s="9" t="str">
        <x:v>동일 비용 가정; 실제 업무 실행 없음</x:v>
      </x:c>
    </x:row>
    <x:row r="306" ht="40" customHeight="1">
      <x:c r="A306" s="9" t="str">
        <x:v>SYN-COST-B-51</x:v>
      </x:c>
      <x:c r="B306" s="9" t="str">
        <x:v>SYN-G06-01</x:v>
      </x:c>
      <x:c r="C306" s="9" t="str">
        <x:v>B</x:v>
      </x:c>
      <x:c r="D306" s="9" t="str">
        <x:v>요청</x:v>
      </x:c>
      <x:c r="E306" s="9" t="str">
        <x:v>VIA 요청 처리</x:v>
      </x:c>
      <x:c r="F306" s="9" t="str">
        <x:v>현재 요청 해석·적용·조건부 원본 보완</x:v>
      </x:c>
      <x:c r="G306" s="10" t="n">
        <x:v>0.233</x:v>
      </x:c>
      <x:c r="H306" s="9" t="str">
        <x:v>사용</x:v>
      </x:c>
      <x:c r="I306" s="9" t="str">
        <x:v>합성 비용 단위; 호출·토큰·단가를 실제로 관측하지 않음</x:v>
      </x:c>
    </x:row>
    <x:row r="307" ht="40" customHeight="1">
      <x:c r="A307" s="9" t="str">
        <x:v>SYN-REC-B-51</x:v>
      </x:c>
      <x:c r="B307" s="9" t="str">
        <x:v>SYN-G06-01</x:v>
      </x:c>
      <x:c r="C307" s="9" t="str">
        <x:v>B</x:v>
      </x:c>
      <x:c r="D307" s="9" t="str">
        <x:v>수신자</x:v>
      </x:c>
      <x:c r="E307" s="9" t="str">
        <x:v>Downstream 처리</x:v>
      </x:c>
      <x:c r="F307" s="9" t="str">
        <x:v>공통 수신자 비용 가정</x:v>
      </x:c>
      <x:c r="G307" s="10" t="n">
        <x:v>0.25</x:v>
      </x:c>
      <x:c r="H307" s="9" t="str">
        <x:v>사용</x:v>
      </x:c>
      <x:c r="I307" s="9" t="str">
        <x:v>동일 비용 가정; 실제 업무 실행 없음</x:v>
      </x:c>
    </x:row>
    <x:row r="308" ht="40" customHeight="1">
      <x:c r="A308" s="9" t="str">
        <x:v>SYN-COST-B-52</x:v>
      </x:c>
      <x:c r="B308" s="9" t="str">
        <x:v>SYN-G06-02</x:v>
      </x:c>
      <x:c r="C308" s="9" t="str">
        <x:v>B</x:v>
      </x:c>
      <x:c r="D308" s="9" t="str">
        <x:v>요청</x:v>
      </x:c>
      <x:c r="E308" s="9" t="str">
        <x:v>VIA 요청 처리</x:v>
      </x:c>
      <x:c r="F308" s="9" t="str">
        <x:v>현재 요청 해석·적용·조건부 원본 보완</x:v>
      </x:c>
      <x:c r="G308" s="10" t="n">
        <x:v>0.242</x:v>
      </x:c>
      <x:c r="H308" s="9" t="str">
        <x:v>사용</x:v>
      </x:c>
      <x:c r="I308" s="9" t="str">
        <x:v>합성 비용 단위; 호출·토큰·단가를 실제로 관측하지 않음</x:v>
      </x:c>
    </x:row>
    <x:row r="309" ht="40" customHeight="1">
      <x:c r="A309" s="9" t="str">
        <x:v>SYN-REC-B-52</x:v>
      </x:c>
      <x:c r="B309" s="9" t="str">
        <x:v>SYN-G06-02</x:v>
      </x:c>
      <x:c r="C309" s="9" t="str">
        <x:v>B</x:v>
      </x:c>
      <x:c r="D309" s="9" t="str">
        <x:v>수신자</x:v>
      </x:c>
      <x:c r="E309" s="9" t="str">
        <x:v>Downstream 처리</x:v>
      </x:c>
      <x:c r="F309" s="9" t="str">
        <x:v>공통 수신자 비용 가정</x:v>
      </x:c>
      <x:c r="G309" s="10" t="n">
        <x:v>0.25</x:v>
      </x:c>
      <x:c r="H309" s="9" t="str">
        <x:v>사용</x:v>
      </x:c>
      <x:c r="I309" s="9" t="str">
        <x:v>동일 비용 가정; 실제 업무 실행 없음</x:v>
      </x:c>
    </x:row>
    <x:row r="310" ht="40" customHeight="1">
      <x:c r="A310" s="9" t="str">
        <x:v>SYN-COST-B-53</x:v>
      </x:c>
      <x:c r="B310" s="9" t="str">
        <x:v>SYN-G06-03</x:v>
      </x:c>
      <x:c r="C310" s="9" t="str">
        <x:v>B</x:v>
      </x:c>
      <x:c r="D310" s="9" t="str">
        <x:v>요청</x:v>
      </x:c>
      <x:c r="E310" s="9" t="str">
        <x:v>VIA 요청 처리</x:v>
      </x:c>
      <x:c r="F310" s="9" t="str">
        <x:v>현재 요청 해석·적용·조건부 원본 보완</x:v>
      </x:c>
      <x:c r="G310" s="10" t="n">
        <x:v>0.25</x:v>
      </x:c>
      <x:c r="H310" s="9" t="str">
        <x:v>사용</x:v>
      </x:c>
      <x:c r="I310" s="9" t="str">
        <x:v>합성 비용 단위; 호출·토큰·단가를 실제로 관측하지 않음</x:v>
      </x:c>
    </x:row>
    <x:row r="311" ht="40" customHeight="1">
      <x:c r="A311" s="9" t="str">
        <x:v>SYN-REC-B-53</x:v>
      </x:c>
      <x:c r="B311" s="9" t="str">
        <x:v>SYN-G06-03</x:v>
      </x:c>
      <x:c r="C311" s="9" t="str">
        <x:v>B</x:v>
      </x:c>
      <x:c r="D311" s="9" t="str">
        <x:v>수신자</x:v>
      </x:c>
      <x:c r="E311" s="9" t="str">
        <x:v>Downstream 처리</x:v>
      </x:c>
      <x:c r="F311" s="9" t="str">
        <x:v>공통 수신자 비용 가정</x:v>
      </x:c>
      <x:c r="G311" s="10" t="n">
        <x:v>0.25</x:v>
      </x:c>
      <x:c r="H311" s="9" t="str">
        <x:v>사용</x:v>
      </x:c>
      <x:c r="I311" s="9" t="str">
        <x:v>동일 비용 가정; 실제 업무 실행 없음</x:v>
      </x:c>
    </x:row>
    <x:row r="312" ht="40" customHeight="1">
      <x:c r="A312" s="9" t="str">
        <x:v>SYN-COST-B-54</x:v>
      </x:c>
      <x:c r="B312" s="9" t="str">
        <x:v>SYN-G06-04</x:v>
      </x:c>
      <x:c r="C312" s="9" t="str">
        <x:v>B</x:v>
      </x:c>
      <x:c r="D312" s="9" t="str">
        <x:v>요청</x:v>
      </x:c>
      <x:c r="E312" s="9" t="str">
        <x:v>VIA 요청 처리</x:v>
      </x:c>
      <x:c r="F312" s="9" t="str">
        <x:v>현재 요청 해석·적용·조건부 원본 보완</x:v>
      </x:c>
      <x:c r="G312" s="10" t="n">
        <x:v>0.258</x:v>
      </x:c>
      <x:c r="H312" s="9" t="str">
        <x:v>사용</x:v>
      </x:c>
      <x:c r="I312" s="9" t="str">
        <x:v>합성 비용 단위; 호출·토큰·단가를 실제로 관측하지 않음</x:v>
      </x:c>
    </x:row>
    <x:row r="313" ht="40" customHeight="1">
      <x:c r="A313" s="9" t="str">
        <x:v>SYN-REC-B-54</x:v>
      </x:c>
      <x:c r="B313" s="9" t="str">
        <x:v>SYN-G06-04</x:v>
      </x:c>
      <x:c r="C313" s="9" t="str">
        <x:v>B</x:v>
      </x:c>
      <x:c r="D313" s="9" t="str">
        <x:v>수신자</x:v>
      </x:c>
      <x:c r="E313" s="9" t="str">
        <x:v>Downstream 처리</x:v>
      </x:c>
      <x:c r="F313" s="9" t="str">
        <x:v>공통 수신자 비용 가정</x:v>
      </x:c>
      <x:c r="G313" s="10" t="n">
        <x:v>0.25</x:v>
      </x:c>
      <x:c r="H313" s="9" t="str">
        <x:v>사용</x:v>
      </x:c>
      <x:c r="I313" s="9" t="str">
        <x:v>동일 비용 가정; 실제 업무 실행 없음</x:v>
      </x:c>
    </x:row>
    <x:row r="314" ht="40" customHeight="1">
      <x:c r="A314" s="9" t="str">
        <x:v>SYN-COST-B-55</x:v>
      </x:c>
      <x:c r="B314" s="9" t="str">
        <x:v>SYN-G06-05</x:v>
      </x:c>
      <x:c r="C314" s="9" t="str">
        <x:v>B</x:v>
      </x:c>
      <x:c r="D314" s="9" t="str">
        <x:v>요청</x:v>
      </x:c>
      <x:c r="E314" s="9" t="str">
        <x:v>VIA 요청 처리</x:v>
      </x:c>
      <x:c r="F314" s="9" t="str">
        <x:v>현재 요청 해석·적용·조건부 원본 보완</x:v>
      </x:c>
      <x:c r="G314" s="10" t="n">
        <x:v>0.267</x:v>
      </x:c>
      <x:c r="H314" s="9" t="str">
        <x:v>사용</x:v>
      </x:c>
      <x:c r="I314" s="9" t="str">
        <x:v>합성 비용 단위; 호출·토큰·단가를 실제로 관측하지 않음</x:v>
      </x:c>
    </x:row>
    <x:row r="315" ht="40" customHeight="1">
      <x:c r="A315" s="9" t="str">
        <x:v>SYN-REC-B-55</x:v>
      </x:c>
      <x:c r="B315" s="9" t="str">
        <x:v>SYN-G06-05</x:v>
      </x:c>
      <x:c r="C315" s="9" t="str">
        <x:v>B</x:v>
      </x:c>
      <x:c r="D315" s="9" t="str">
        <x:v>수신자</x:v>
      </x:c>
      <x:c r="E315" s="9" t="str">
        <x:v>Downstream 처리</x:v>
      </x:c>
      <x:c r="F315" s="9" t="str">
        <x:v>공통 수신자 비용 가정</x:v>
      </x:c>
      <x:c r="G315" s="10" t="n">
        <x:v>0.25</x:v>
      </x:c>
      <x:c r="H315" s="9" t="str">
        <x:v>사용</x:v>
      </x:c>
      <x:c r="I315" s="9" t="str">
        <x:v>동일 비용 가정; 실제 업무 실행 없음</x:v>
      </x:c>
    </x:row>
    <x:row r="316" ht="40" customHeight="1">
      <x:c r="A316" s="9" t="str">
        <x:v>SYN-COST-B-56</x:v>
      </x:c>
      <x:c r="B316" s="9" t="str">
        <x:v>SYN-G06-06</x:v>
      </x:c>
      <x:c r="C316" s="9" t="str">
        <x:v>B</x:v>
      </x:c>
      <x:c r="D316" s="9" t="str">
        <x:v>요청</x:v>
      </x:c>
      <x:c r="E316" s="9" t="str">
        <x:v>VIA 요청 처리</x:v>
      </x:c>
      <x:c r="F316" s="9" t="str">
        <x:v>현재 요청 해석·적용·조건부 원본 보완</x:v>
      </x:c>
      <x:c r="G316" s="10" t="n">
        <x:v>0.275</x:v>
      </x:c>
      <x:c r="H316" s="9" t="str">
        <x:v>사용</x:v>
      </x:c>
      <x:c r="I316" s="9" t="str">
        <x:v>합성 비용 단위; 호출·토큰·단가를 실제로 관측하지 않음</x:v>
      </x:c>
    </x:row>
    <x:row r="317" ht="40" customHeight="1">
      <x:c r="A317" s="9" t="str">
        <x:v>SYN-REC-B-56</x:v>
      </x:c>
      <x:c r="B317" s="9" t="str">
        <x:v>SYN-G06-06</x:v>
      </x:c>
      <x:c r="C317" s="9" t="str">
        <x:v>B</x:v>
      </x:c>
      <x:c r="D317" s="9" t="str">
        <x:v>수신자</x:v>
      </x:c>
      <x:c r="E317" s="9" t="str">
        <x:v>Downstream 처리</x:v>
      </x:c>
      <x:c r="F317" s="9" t="str">
        <x:v>공통 수신자 비용 가정</x:v>
      </x:c>
      <x:c r="G317" s="10" t="n">
        <x:v>0.25</x:v>
      </x:c>
      <x:c r="H317" s="9" t="str">
        <x:v>사용</x:v>
      </x:c>
      <x:c r="I317" s="9" t="str">
        <x:v>동일 비용 가정; 실제 업무 실행 없음</x:v>
      </x:c>
    </x:row>
    <x:row r="318" ht="40" customHeight="1">
      <x:c r="A318" s="9" t="str">
        <x:v>SYN-COST-B-57</x:v>
      </x:c>
      <x:c r="B318" s="9" t="str">
        <x:v>SYN-G06-07</x:v>
      </x:c>
      <x:c r="C318" s="9" t="str">
        <x:v>B</x:v>
      </x:c>
      <x:c r="D318" s="9" t="str">
        <x:v>요청</x:v>
      </x:c>
      <x:c r="E318" s="9" t="str">
        <x:v>VIA 요청 처리</x:v>
      </x:c>
      <x:c r="F318" s="9" t="str">
        <x:v>현재 요청 해석·적용·조건부 원본 보완</x:v>
      </x:c>
      <x:c r="G318" s="10" t="n">
        <x:v>0.284</x:v>
      </x:c>
      <x:c r="H318" s="9" t="str">
        <x:v>사용</x:v>
      </x:c>
      <x:c r="I318" s="9" t="str">
        <x:v>합성 비용 단위; 호출·토큰·단가를 실제로 관측하지 않음</x:v>
      </x:c>
    </x:row>
    <x:row r="319" ht="40" customHeight="1">
      <x:c r="A319" s="9" t="str">
        <x:v>SYN-REC-B-57</x:v>
      </x:c>
      <x:c r="B319" s="9" t="str">
        <x:v>SYN-G06-07</x:v>
      </x:c>
      <x:c r="C319" s="9" t="str">
        <x:v>B</x:v>
      </x:c>
      <x:c r="D319" s="9" t="str">
        <x:v>수신자</x:v>
      </x:c>
      <x:c r="E319" s="9" t="str">
        <x:v>Downstream 처리</x:v>
      </x:c>
      <x:c r="F319" s="9" t="str">
        <x:v>공통 수신자 비용 가정</x:v>
      </x:c>
      <x:c r="G319" s="10" t="n">
        <x:v>0.25</x:v>
      </x:c>
      <x:c r="H319" s="9" t="str">
        <x:v>사용</x:v>
      </x:c>
      <x:c r="I319" s="9" t="str">
        <x:v>동일 비용 가정; 실제 업무 실행 없음</x:v>
      </x:c>
    </x:row>
    <x:row r="320" ht="40" customHeight="1">
      <x:c r="A320" s="9" t="str">
        <x:v>SYN-COST-B-58</x:v>
      </x:c>
      <x:c r="B320" s="9" t="str">
        <x:v>SYN-G06-08</x:v>
      </x:c>
      <x:c r="C320" s="9" t="str">
        <x:v>B</x:v>
      </x:c>
      <x:c r="D320" s="9" t="str">
        <x:v>요청</x:v>
      </x:c>
      <x:c r="E320" s="9" t="str">
        <x:v>VIA 요청 처리</x:v>
      </x:c>
      <x:c r="F320" s="9" t="str">
        <x:v>현재 요청 해석·적용·조건부 원본 보완</x:v>
      </x:c>
      <x:c r="G320" s="10" t="n">
        <x:v>0.292</x:v>
      </x:c>
      <x:c r="H320" s="9" t="str">
        <x:v>사용</x:v>
      </x:c>
      <x:c r="I320" s="9" t="str">
        <x:v>합성 비용 단위; 호출·토큰·단가를 실제로 관측하지 않음</x:v>
      </x:c>
    </x:row>
    <x:row r="321" ht="40" customHeight="1">
      <x:c r="A321" s="9" t="str">
        <x:v>SYN-REC-B-58</x:v>
      </x:c>
      <x:c r="B321" s="9" t="str">
        <x:v>SYN-G06-08</x:v>
      </x:c>
      <x:c r="C321" s="9" t="str">
        <x:v>B</x:v>
      </x:c>
      <x:c r="D321" s="9" t="str">
        <x:v>수신자</x:v>
      </x:c>
      <x:c r="E321" s="9" t="str">
        <x:v>Downstream 처리</x:v>
      </x:c>
      <x:c r="F321" s="9" t="str">
        <x:v>공통 수신자 비용 가정</x:v>
      </x:c>
      <x:c r="G321" s="10" t="n">
        <x:v>0.25</x:v>
      </x:c>
      <x:c r="H321" s="9" t="str">
        <x:v>사용</x:v>
      </x:c>
      <x:c r="I321" s="9" t="str">
        <x:v>동일 비용 가정; 실제 업무 실행 없음</x:v>
      </x:c>
    </x:row>
    <x:row r="322" ht="40" customHeight="1">
      <x:c r="A322" s="9" t="str">
        <x:v>SYN-COST-B-59</x:v>
      </x:c>
      <x:c r="B322" s="9" t="str">
        <x:v>SYN-G06-09</x:v>
      </x:c>
      <x:c r="C322" s="9" t="str">
        <x:v>B</x:v>
      </x:c>
      <x:c r="D322" s="9" t="str">
        <x:v>요청</x:v>
      </x:c>
      <x:c r="E322" s="9" t="str">
        <x:v>VIA 요청 처리</x:v>
      </x:c>
      <x:c r="F322" s="9" t="str">
        <x:v>현재 요청 해석·적용·조건부 원본 보완</x:v>
      </x:c>
      <x:c r="G322" s="10" t="n">
        <x:v>0.301</x:v>
      </x:c>
      <x:c r="H322" s="9" t="str">
        <x:v>사용</x:v>
      </x:c>
      <x:c r="I322" s="9" t="str">
        <x:v>합성 비용 단위; 호출·토큰·단가를 실제로 관측하지 않음</x:v>
      </x:c>
    </x:row>
    <x:row r="323" ht="40" customHeight="1">
      <x:c r="A323" s="9" t="str">
        <x:v>SYN-REC-B-59</x:v>
      </x:c>
      <x:c r="B323" s="9" t="str">
        <x:v>SYN-G06-09</x:v>
      </x:c>
      <x:c r="C323" s="9" t="str">
        <x:v>B</x:v>
      </x:c>
      <x:c r="D323" s="9" t="str">
        <x:v>수신자</x:v>
      </x:c>
      <x:c r="E323" s="9" t="str">
        <x:v>Downstream 처리</x:v>
      </x:c>
      <x:c r="F323" s="9" t="str">
        <x:v>공통 수신자 비용 가정</x:v>
      </x:c>
      <x:c r="G323" s="10" t="n">
        <x:v>0.25</x:v>
      </x:c>
      <x:c r="H323" s="9" t="str">
        <x:v>사용</x:v>
      </x:c>
      <x:c r="I323" s="9" t="str">
        <x:v>동일 비용 가정; 실제 업무 실행 없음</x:v>
      </x:c>
    </x:row>
    <x:row r="324" ht="40" customHeight="1">
      <x:c r="A324" s="9" t="str">
        <x:v>SYN-COST-B-60</x:v>
      </x:c>
      <x:c r="B324" s="9" t="str">
        <x:v>SYN-G06-10</x:v>
      </x:c>
      <x:c r="C324" s="9" t="str">
        <x:v>B</x:v>
      </x:c>
      <x:c r="D324" s="9" t="str">
        <x:v>요청</x:v>
      </x:c>
      <x:c r="E324" s="9" t="str">
        <x:v>VIA 요청 처리</x:v>
      </x:c>
      <x:c r="F324" s="9" t="str">
        <x:v>현재 요청 해석·적용·조건부 원본 보완</x:v>
      </x:c>
      <x:c r="G324" s="10" t="n">
        <x:v>0.309</x:v>
      </x:c>
      <x:c r="H324" s="9" t="str">
        <x:v>사용</x:v>
      </x:c>
      <x:c r="I324" s="9" t="str">
        <x:v>합성 비용 단위; 호출·토큰·단가를 실제로 관측하지 않음</x:v>
      </x:c>
    </x:row>
    <x:row r="325" ht="40" customHeight="1">
      <x:c r="A325" s="9" t="str">
        <x:v>SYN-REC-B-60</x:v>
      </x:c>
      <x:c r="B325" s="9" t="str">
        <x:v>SYN-G06-10</x:v>
      </x:c>
      <x:c r="C325" s="9" t="str">
        <x:v>B</x:v>
      </x:c>
      <x:c r="D325" s="9" t="str">
        <x:v>수신자</x:v>
      </x:c>
      <x:c r="E325" s="9" t="str">
        <x:v>Downstream 처리</x:v>
      </x:c>
      <x:c r="F325" s="9" t="str">
        <x:v>공통 수신자 비용 가정</x:v>
      </x:c>
      <x:c r="G325" s="10" t="n">
        <x:v>0.25</x:v>
      </x:c>
      <x:c r="H325" s="9" t="str">
        <x:v>사용</x:v>
      </x:c>
      <x:c r="I325" s="9" t="str">
        <x:v>동일 비용 가정; 실제 업무 실행 없음</x:v>
      </x:c>
    </x:row>
    <x:row r="326" ht="40" customHeight="1">
      <x:c r="A326" s="9" t="str">
        <x:v>SYN-COST-B-61</x:v>
      </x:c>
      <x:c r="B326" s="9" t="str">
        <x:v>SYN-G07-01</x:v>
      </x:c>
      <x:c r="C326" s="9" t="str">
        <x:v>B</x:v>
      </x:c>
      <x:c r="D326" s="9" t="str">
        <x:v>요청</x:v>
      </x:c>
      <x:c r="E326" s="9" t="str">
        <x:v>VIA 요청 처리</x:v>
      </x:c>
      <x:c r="F326" s="9" t="str">
        <x:v>현재 요청 해석·적용·조건부 원본 보완</x:v>
      </x:c>
      <x:c r="G326" s="10" t="n">
        <x:v>0.207</x:v>
      </x:c>
      <x:c r="H326" s="9" t="str">
        <x:v>사용</x:v>
      </x:c>
      <x:c r="I326" s="9" t="str">
        <x:v>합성 비용 단위; 호출·토큰·단가를 실제로 관측하지 않음</x:v>
      </x:c>
    </x:row>
    <x:row r="327" ht="40" customHeight="1">
      <x:c r="A327" s="9" t="str">
        <x:v>SYN-REC-B-61</x:v>
      </x:c>
      <x:c r="B327" s="9" t="str">
        <x:v>SYN-G07-01</x:v>
      </x:c>
      <x:c r="C327" s="9" t="str">
        <x:v>B</x:v>
      </x:c>
      <x:c r="D327" s="9" t="str">
        <x:v>수신자</x:v>
      </x:c>
      <x:c r="E327" s="9" t="str">
        <x:v>Downstream 처리</x:v>
      </x:c>
      <x:c r="F327" s="9" t="str">
        <x:v>공통 수신자 비용 가정</x:v>
      </x:c>
      <x:c r="G327" s="10" t="n">
        <x:v>0.25</x:v>
      </x:c>
      <x:c r="H327" s="9" t="str">
        <x:v>사용</x:v>
      </x:c>
      <x:c r="I327" s="9" t="str">
        <x:v>동일 비용 가정; 실제 업무 실행 없음</x:v>
      </x:c>
    </x:row>
    <x:row r="328" ht="40" customHeight="1">
      <x:c r="A328" s="9" t="str">
        <x:v>SYN-COST-B-62</x:v>
      </x:c>
      <x:c r="B328" s="9" t="str">
        <x:v>SYN-G07-02</x:v>
      </x:c>
      <x:c r="C328" s="9" t="str">
        <x:v>B</x:v>
      </x:c>
      <x:c r="D328" s="9" t="str">
        <x:v>요청</x:v>
      </x:c>
      <x:c r="E328" s="9" t="str">
        <x:v>VIA 요청 처리</x:v>
      </x:c>
      <x:c r="F328" s="9" t="str">
        <x:v>현재 요청 해석·적용·조건부 원본 보완</x:v>
      </x:c>
      <x:c r="G328" s="10" t="n">
        <x:v>0.215</x:v>
      </x:c>
      <x:c r="H328" s="9" t="str">
        <x:v>사용</x:v>
      </x:c>
      <x:c r="I328" s="9" t="str">
        <x:v>합성 비용 단위; 호출·토큰·단가를 실제로 관측하지 않음</x:v>
      </x:c>
    </x:row>
    <x:row r="329" ht="40" customHeight="1">
      <x:c r="A329" s="9" t="str">
        <x:v>SYN-REC-B-62</x:v>
      </x:c>
      <x:c r="B329" s="9" t="str">
        <x:v>SYN-G07-02</x:v>
      </x:c>
      <x:c r="C329" s="9" t="str">
        <x:v>B</x:v>
      </x:c>
      <x:c r="D329" s="9" t="str">
        <x:v>수신자</x:v>
      </x:c>
      <x:c r="E329" s="9" t="str">
        <x:v>Downstream 처리</x:v>
      </x:c>
      <x:c r="F329" s="9" t="str">
        <x:v>공통 수신자 비용 가정</x:v>
      </x:c>
      <x:c r="G329" s="10" t="n">
        <x:v>0.25</x:v>
      </x:c>
      <x:c r="H329" s="9" t="str">
        <x:v>사용</x:v>
      </x:c>
      <x:c r="I329" s="9" t="str">
        <x:v>동일 비용 가정; 실제 업무 실행 없음</x:v>
      </x:c>
    </x:row>
    <x:row r="330" ht="40" customHeight="1">
      <x:c r="A330" s="9" t="str">
        <x:v>SYN-COST-B-63</x:v>
      </x:c>
      <x:c r="B330" s="9" t="str">
        <x:v>SYN-G07-03</x:v>
      </x:c>
      <x:c r="C330" s="9" t="str">
        <x:v>B</x:v>
      </x:c>
      <x:c r="D330" s="9" t="str">
        <x:v>요청</x:v>
      </x:c>
      <x:c r="E330" s="9" t="str">
        <x:v>VIA 요청 처리</x:v>
      </x:c>
      <x:c r="F330" s="9" t="str">
        <x:v>현재 요청 해석·적용·조건부 원본 보완</x:v>
      </x:c>
      <x:c r="G330" s="10" t="n">
        <x:v>0.223</x:v>
      </x:c>
      <x:c r="H330" s="9" t="str">
        <x:v>사용</x:v>
      </x:c>
      <x:c r="I330" s="9" t="str">
        <x:v>합성 비용 단위; 호출·토큰·단가를 실제로 관측하지 않음</x:v>
      </x:c>
    </x:row>
    <x:row r="331" ht="40" customHeight="1">
      <x:c r="A331" s="9" t="str">
        <x:v>SYN-REC-B-63</x:v>
      </x:c>
      <x:c r="B331" s="9" t="str">
        <x:v>SYN-G07-03</x:v>
      </x:c>
      <x:c r="C331" s="9" t="str">
        <x:v>B</x:v>
      </x:c>
      <x:c r="D331" s="9" t="str">
        <x:v>수신자</x:v>
      </x:c>
      <x:c r="E331" s="9" t="str">
        <x:v>Downstream 처리</x:v>
      </x:c>
      <x:c r="F331" s="9" t="str">
        <x:v>공통 수신자 비용 가정</x:v>
      </x:c>
      <x:c r="G331" s="10" t="n">
        <x:v>0.25</x:v>
      </x:c>
      <x:c r="H331" s="9" t="str">
        <x:v>사용</x:v>
      </x:c>
      <x:c r="I331" s="9" t="str">
        <x:v>동일 비용 가정; 실제 업무 실행 없음</x:v>
      </x:c>
    </x:row>
    <x:row r="332" ht="40" customHeight="1">
      <x:c r="A332" s="9" t="str">
        <x:v>SYN-COST-B-64</x:v>
      </x:c>
      <x:c r="B332" s="9" t="str">
        <x:v>SYN-G07-04</x:v>
      </x:c>
      <x:c r="C332" s="9" t="str">
        <x:v>B</x:v>
      </x:c>
      <x:c r="D332" s="9" t="str">
        <x:v>요청</x:v>
      </x:c>
      <x:c r="E332" s="9" t="str">
        <x:v>VIA 요청 처리</x:v>
      </x:c>
      <x:c r="F332" s="9" t="str">
        <x:v>현재 요청 해석·적용·조건부 원본 보완</x:v>
      </x:c>
      <x:c r="G332" s="10" t="n">
        <x:v>0.232</x:v>
      </x:c>
      <x:c r="H332" s="9" t="str">
        <x:v>사용</x:v>
      </x:c>
      <x:c r="I332" s="9" t="str">
        <x:v>합성 비용 단위; 호출·토큰·단가를 실제로 관측하지 않음</x:v>
      </x:c>
    </x:row>
    <x:row r="333" ht="40" customHeight="1">
      <x:c r="A333" s="9" t="str">
        <x:v>SYN-REC-B-64</x:v>
      </x:c>
      <x:c r="B333" s="9" t="str">
        <x:v>SYN-G07-04</x:v>
      </x:c>
      <x:c r="C333" s="9" t="str">
        <x:v>B</x:v>
      </x:c>
      <x:c r="D333" s="9" t="str">
        <x:v>수신자</x:v>
      </x:c>
      <x:c r="E333" s="9" t="str">
        <x:v>Downstream 처리</x:v>
      </x:c>
      <x:c r="F333" s="9" t="str">
        <x:v>공통 수신자 비용 가정</x:v>
      </x:c>
      <x:c r="G333" s="10" t="n">
        <x:v>0.25</x:v>
      </x:c>
      <x:c r="H333" s="9" t="str">
        <x:v>사용</x:v>
      </x:c>
      <x:c r="I333" s="9" t="str">
        <x:v>동일 비용 가정; 실제 업무 실행 없음</x:v>
      </x:c>
    </x:row>
    <x:row r="334" ht="40" customHeight="1">
      <x:c r="A334" s="9" t="str">
        <x:v>SYN-COST-B-65</x:v>
      </x:c>
      <x:c r="B334" s="9" t="str">
        <x:v>SYN-G07-05</x:v>
      </x:c>
      <x:c r="C334" s="9" t="str">
        <x:v>B</x:v>
      </x:c>
      <x:c r="D334" s="9" t="str">
        <x:v>요청</x:v>
      </x:c>
      <x:c r="E334" s="9" t="str">
        <x:v>VIA 요청 처리</x:v>
      </x:c>
      <x:c r="F334" s="9" t="str">
        <x:v>현재 요청 해석·적용·조건부 원본 보완</x:v>
      </x:c>
      <x:c r="G334" s="10" t="n">
        <x:v>0.24</x:v>
      </x:c>
      <x:c r="H334" s="9" t="str">
        <x:v>사용</x:v>
      </x:c>
      <x:c r="I334" s="9" t="str">
        <x:v>합성 비용 단위; 호출·토큰·단가를 실제로 관측하지 않음</x:v>
      </x:c>
    </x:row>
    <x:row r="335" ht="40" customHeight="1">
      <x:c r="A335" s="9" t="str">
        <x:v>SYN-REC-B-65</x:v>
      </x:c>
      <x:c r="B335" s="9" t="str">
        <x:v>SYN-G07-05</x:v>
      </x:c>
      <x:c r="C335" s="9" t="str">
        <x:v>B</x:v>
      </x:c>
      <x:c r="D335" s="9" t="str">
        <x:v>수신자</x:v>
      </x:c>
      <x:c r="E335" s="9" t="str">
        <x:v>Downstream 처리</x:v>
      </x:c>
      <x:c r="F335" s="9" t="str">
        <x:v>공통 수신자 비용 가정</x:v>
      </x:c>
      <x:c r="G335" s="10" t="n">
        <x:v>0.25</x:v>
      </x:c>
      <x:c r="H335" s="9" t="str">
        <x:v>사용</x:v>
      </x:c>
      <x:c r="I335" s="9" t="str">
        <x:v>동일 비용 가정; 실제 업무 실행 없음</x:v>
      </x:c>
    </x:row>
    <x:row r="336" ht="40" customHeight="1">
      <x:c r="A336" s="9" t="str">
        <x:v>SYN-COST-B-66</x:v>
      </x:c>
      <x:c r="B336" s="9" t="str">
        <x:v>SYN-G07-06</x:v>
      </x:c>
      <x:c r="C336" s="9" t="str">
        <x:v>B</x:v>
      </x:c>
      <x:c r="D336" s="9" t="str">
        <x:v>요청</x:v>
      </x:c>
      <x:c r="E336" s="9" t="str">
        <x:v>VIA 요청 처리</x:v>
      </x:c>
      <x:c r="F336" s="9" t="str">
        <x:v>현재 요청 해석·적용·조건부 원본 보완</x:v>
      </x:c>
      <x:c r="G336" s="10" t="n">
        <x:v>0.249</x:v>
      </x:c>
      <x:c r="H336" s="9" t="str">
        <x:v>사용</x:v>
      </x:c>
      <x:c r="I336" s="9" t="str">
        <x:v>합성 비용 단위; 호출·토큰·단가를 실제로 관측하지 않음</x:v>
      </x:c>
    </x:row>
    <x:row r="337" ht="40" customHeight="1">
      <x:c r="A337" s="9" t="str">
        <x:v>SYN-REC-B-66</x:v>
      </x:c>
      <x:c r="B337" s="9" t="str">
        <x:v>SYN-G07-06</x:v>
      </x:c>
      <x:c r="C337" s="9" t="str">
        <x:v>B</x:v>
      </x:c>
      <x:c r="D337" s="9" t="str">
        <x:v>수신자</x:v>
      </x:c>
      <x:c r="E337" s="9" t="str">
        <x:v>Downstream 처리</x:v>
      </x:c>
      <x:c r="F337" s="9" t="str">
        <x:v>공통 수신자 비용 가정</x:v>
      </x:c>
      <x:c r="G337" s="10" t="n">
        <x:v>0.25</x:v>
      </x:c>
      <x:c r="H337" s="9" t="str">
        <x:v>사용</x:v>
      </x:c>
      <x:c r="I337" s="9" t="str">
        <x:v>동일 비용 가정; 실제 업무 실행 없음</x:v>
      </x:c>
    </x:row>
    <x:row r="338" ht="40" customHeight="1">
      <x:c r="A338" s="9" t="str">
        <x:v>SYN-COST-B-67</x:v>
      </x:c>
      <x:c r="B338" s="9" t="str">
        <x:v>SYN-G07-07</x:v>
      </x:c>
      <x:c r="C338" s="9" t="str">
        <x:v>B</x:v>
      </x:c>
      <x:c r="D338" s="9" t="str">
        <x:v>요청</x:v>
      </x:c>
      <x:c r="E338" s="9" t="str">
        <x:v>VIA 요청 처리</x:v>
      </x:c>
      <x:c r="F338" s="9" t="str">
        <x:v>현재 요청 해석·적용·조건부 원본 보완</x:v>
      </x:c>
      <x:c r="G338" s="10" t="n">
        <x:v>0.257</x:v>
      </x:c>
      <x:c r="H338" s="9" t="str">
        <x:v>사용</x:v>
      </x:c>
      <x:c r="I338" s="9" t="str">
        <x:v>합성 비용 단위; 호출·토큰·단가를 실제로 관측하지 않음</x:v>
      </x:c>
    </x:row>
    <x:row r="339" ht="40" customHeight="1">
      <x:c r="A339" s="9" t="str">
        <x:v>SYN-REC-B-67</x:v>
      </x:c>
      <x:c r="B339" s="9" t="str">
        <x:v>SYN-G07-07</x:v>
      </x:c>
      <x:c r="C339" s="9" t="str">
        <x:v>B</x:v>
      </x:c>
      <x:c r="D339" s="9" t="str">
        <x:v>수신자</x:v>
      </x:c>
      <x:c r="E339" s="9" t="str">
        <x:v>Downstream 처리</x:v>
      </x:c>
      <x:c r="F339" s="9" t="str">
        <x:v>공통 수신자 비용 가정</x:v>
      </x:c>
      <x:c r="G339" s="10" t="n">
        <x:v>0.25</x:v>
      </x:c>
      <x:c r="H339" s="9" t="str">
        <x:v>사용</x:v>
      </x:c>
      <x:c r="I339" s="9" t="str">
        <x:v>동일 비용 가정; 실제 업무 실행 없음</x:v>
      </x:c>
    </x:row>
    <x:row r="340" ht="40" customHeight="1">
      <x:c r="A340" s="9" t="str">
        <x:v>SYN-COST-B-68</x:v>
      </x:c>
      <x:c r="B340" s="9" t="str">
        <x:v>SYN-G07-08</x:v>
      </x:c>
      <x:c r="C340" s="9" t="str">
        <x:v>B</x:v>
      </x:c>
      <x:c r="D340" s="9" t="str">
        <x:v>요청</x:v>
      </x:c>
      <x:c r="E340" s="9" t="str">
        <x:v>VIA 요청 처리</x:v>
      </x:c>
      <x:c r="F340" s="9" t="str">
        <x:v>현재 요청 해석·적용·조건부 원본 보완</x:v>
      </x:c>
      <x:c r="G340" s="10" t="n">
        <x:v>0.266</x:v>
      </x:c>
      <x:c r="H340" s="9" t="str">
        <x:v>사용</x:v>
      </x:c>
      <x:c r="I340" s="9" t="str">
        <x:v>합성 비용 단위; 호출·토큰·단가를 실제로 관측하지 않음</x:v>
      </x:c>
    </x:row>
    <x:row r="341" ht="40" customHeight="1">
      <x:c r="A341" s="9" t="str">
        <x:v>SYN-REC-B-68</x:v>
      </x:c>
      <x:c r="B341" s="9" t="str">
        <x:v>SYN-G07-08</x:v>
      </x:c>
      <x:c r="C341" s="9" t="str">
        <x:v>B</x:v>
      </x:c>
      <x:c r="D341" s="9" t="str">
        <x:v>수신자</x:v>
      </x:c>
      <x:c r="E341" s="9" t="str">
        <x:v>Downstream 처리</x:v>
      </x:c>
      <x:c r="F341" s="9" t="str">
        <x:v>공통 수신자 비용 가정</x:v>
      </x:c>
      <x:c r="G341" s="10" t="n">
        <x:v>0.25</x:v>
      </x:c>
      <x:c r="H341" s="9" t="str">
        <x:v>사용</x:v>
      </x:c>
      <x:c r="I341" s="9" t="str">
        <x:v>동일 비용 가정; 실제 업무 실행 없음</x:v>
      </x:c>
    </x:row>
    <x:row r="342" ht="40" customHeight="1">
      <x:c r="A342" s="9" t="str">
        <x:v>SYN-COST-B-69</x:v>
      </x:c>
      <x:c r="B342" s="9" t="str">
        <x:v>SYN-G07-09</x:v>
      </x:c>
      <x:c r="C342" s="9" t="str">
        <x:v>B</x:v>
      </x:c>
      <x:c r="D342" s="9" t="str">
        <x:v>요청</x:v>
      </x:c>
      <x:c r="E342" s="9" t="str">
        <x:v>VIA 요청 처리</x:v>
      </x:c>
      <x:c r="F342" s="9" t="str">
        <x:v>현재 요청 해석·적용·조건부 원본 보완</x:v>
      </x:c>
      <x:c r="G342" s="10" t="n">
        <x:v>0.274</x:v>
      </x:c>
      <x:c r="H342" s="9" t="str">
        <x:v>사용</x:v>
      </x:c>
      <x:c r="I342" s="9" t="str">
        <x:v>합성 비용 단위; 호출·토큰·단가를 실제로 관측하지 않음</x:v>
      </x:c>
    </x:row>
    <x:row r="343" ht="40" customHeight="1">
      <x:c r="A343" s="9" t="str">
        <x:v>SYN-REC-B-69</x:v>
      </x:c>
      <x:c r="B343" s="9" t="str">
        <x:v>SYN-G07-09</x:v>
      </x:c>
      <x:c r="C343" s="9" t="str">
        <x:v>B</x:v>
      </x:c>
      <x:c r="D343" s="9" t="str">
        <x:v>수신자</x:v>
      </x:c>
      <x:c r="E343" s="9" t="str">
        <x:v>Downstream 처리</x:v>
      </x:c>
      <x:c r="F343" s="9" t="str">
        <x:v>공통 수신자 비용 가정</x:v>
      </x:c>
      <x:c r="G343" s="10" t="n">
        <x:v>0.25</x:v>
      </x:c>
      <x:c r="H343" s="9" t="str">
        <x:v>사용</x:v>
      </x:c>
      <x:c r="I343" s="9" t="str">
        <x:v>동일 비용 가정; 실제 업무 실행 없음</x:v>
      </x:c>
    </x:row>
    <x:row r="344" ht="40" customHeight="1">
      <x:c r="A344" s="9" t="str">
        <x:v>SYN-COST-B-70</x:v>
      </x:c>
      <x:c r="B344" s="9" t="str">
        <x:v>SYN-G07-10</x:v>
      </x:c>
      <x:c r="C344" s="9" t="str">
        <x:v>B</x:v>
      </x:c>
      <x:c r="D344" s="9" t="str">
        <x:v>요청</x:v>
      </x:c>
      <x:c r="E344" s="9" t="str">
        <x:v>VIA 요청 처리</x:v>
      </x:c>
      <x:c r="F344" s="9" t="str">
        <x:v>현재 요청 해석·적용·조건부 원본 보완</x:v>
      </x:c>
      <x:c r="G344" s="10" t="n">
        <x:v>0.282</x:v>
      </x:c>
      <x:c r="H344" s="9" t="str">
        <x:v>사용</x:v>
      </x:c>
      <x:c r="I344" s="9" t="str">
        <x:v>합성 비용 단위; 호출·토큰·단가를 실제로 관측하지 않음</x:v>
      </x:c>
    </x:row>
    <x:row r="345" ht="40" customHeight="1">
      <x:c r="A345" s="9" t="str">
        <x:v>SYN-REC-B-70</x:v>
      </x:c>
      <x:c r="B345" s="9" t="str">
        <x:v>SYN-G07-10</x:v>
      </x:c>
      <x:c r="C345" s="9" t="str">
        <x:v>B</x:v>
      </x:c>
      <x:c r="D345" s="9" t="str">
        <x:v>수신자</x:v>
      </x:c>
      <x:c r="E345" s="9" t="str">
        <x:v>Downstream 처리</x:v>
      </x:c>
      <x:c r="F345" s="9" t="str">
        <x:v>공통 수신자 비용 가정</x:v>
      </x:c>
      <x:c r="G345" s="10" t="n">
        <x:v>0.25</x:v>
      </x:c>
      <x:c r="H345" s="9" t="str">
        <x:v>사용</x:v>
      </x:c>
      <x:c r="I345" s="9" t="str">
        <x:v>동일 비용 가정; 실제 업무 실행 없음</x:v>
      </x:c>
    </x:row>
    <x:row r="346" ht="40" customHeight="1">
      <x:c r="A346" s="9" t="str">
        <x:v>SYN-COST-B-71</x:v>
      </x:c>
      <x:c r="B346" s="9" t="str">
        <x:v>SYN-G08-01</x:v>
      </x:c>
      <x:c r="C346" s="9" t="str">
        <x:v>B</x:v>
      </x:c>
      <x:c r="D346" s="9" t="str">
        <x:v>요청</x:v>
      </x:c>
      <x:c r="E346" s="9" t="str">
        <x:v>VIA 요청 처리</x:v>
      </x:c>
      <x:c r="F346" s="9" t="str">
        <x:v>현재 요청 해석·적용·조건부 원본 보완</x:v>
      </x:c>
      <x:c r="G346" s="10" t="n">
        <x:v>0.182</x:v>
      </x:c>
      <x:c r="H346" s="9" t="str">
        <x:v>사용</x:v>
      </x:c>
      <x:c r="I346" s="9" t="str">
        <x:v>합성 비용 단위; 호출·토큰·단가를 실제로 관측하지 않음</x:v>
      </x:c>
    </x:row>
    <x:row r="347" ht="40" customHeight="1">
      <x:c r="A347" s="9" t="str">
        <x:v>SYN-REC-B-71</x:v>
      </x:c>
      <x:c r="B347" s="9" t="str">
        <x:v>SYN-G08-01</x:v>
      </x:c>
      <x:c r="C347" s="9" t="str">
        <x:v>B</x:v>
      </x:c>
      <x:c r="D347" s="9" t="str">
        <x:v>수신자</x:v>
      </x:c>
      <x:c r="E347" s="9" t="str">
        <x:v>Downstream 처리</x:v>
      </x:c>
      <x:c r="F347" s="9" t="str">
        <x:v>공통 수신자 비용 가정</x:v>
      </x:c>
      <x:c r="G347" s="10" t="n">
        <x:v>0.25</x:v>
      </x:c>
      <x:c r="H347" s="9" t="str">
        <x:v>사용</x:v>
      </x:c>
      <x:c r="I347" s="9" t="str">
        <x:v>동일 비용 가정; 실제 업무 실행 없음</x:v>
      </x:c>
    </x:row>
    <x:row r="348" ht="40" customHeight="1">
      <x:c r="A348" s="9" t="str">
        <x:v>SYN-COST-B-72</x:v>
      </x:c>
      <x:c r="B348" s="9" t="str">
        <x:v>SYN-G08-02</x:v>
      </x:c>
      <x:c r="C348" s="9" t="str">
        <x:v>B</x:v>
      </x:c>
      <x:c r="D348" s="9" t="str">
        <x:v>요청</x:v>
      </x:c>
      <x:c r="E348" s="9" t="str">
        <x:v>VIA 요청 처리</x:v>
      </x:c>
      <x:c r="F348" s="9" t="str">
        <x:v>현재 요청 해석·적용·조건부 원본 보완</x:v>
      </x:c>
      <x:c r="G348" s="10" t="n">
        <x:v>0.19</x:v>
      </x:c>
      <x:c r="H348" s="9" t="str">
        <x:v>사용</x:v>
      </x:c>
      <x:c r="I348" s="9" t="str">
        <x:v>합성 비용 단위; 호출·토큰·단가를 실제로 관측하지 않음</x:v>
      </x:c>
    </x:row>
    <x:row r="349" ht="40" customHeight="1">
      <x:c r="A349" s="9" t="str">
        <x:v>SYN-REC-B-72</x:v>
      </x:c>
      <x:c r="B349" s="9" t="str">
        <x:v>SYN-G08-02</x:v>
      </x:c>
      <x:c r="C349" s="9" t="str">
        <x:v>B</x:v>
      </x:c>
      <x:c r="D349" s="9" t="str">
        <x:v>수신자</x:v>
      </x:c>
      <x:c r="E349" s="9" t="str">
        <x:v>Downstream 처리</x:v>
      </x:c>
      <x:c r="F349" s="9" t="str">
        <x:v>공통 수신자 비용 가정</x:v>
      </x:c>
      <x:c r="G349" s="10" t="n">
        <x:v>0.25</x:v>
      </x:c>
      <x:c r="H349" s="9" t="str">
        <x:v>사용</x:v>
      </x:c>
      <x:c r="I349" s="9" t="str">
        <x:v>동일 비용 가정; 실제 업무 실행 없음</x:v>
      </x:c>
    </x:row>
    <x:row r="350" ht="40" customHeight="1">
      <x:c r="A350" s="9" t="str">
        <x:v>SYN-COST-B-73</x:v>
      </x:c>
      <x:c r="B350" s="9" t="str">
        <x:v>SYN-G08-03</x:v>
      </x:c>
      <x:c r="C350" s="9" t="str">
        <x:v>B</x:v>
      </x:c>
      <x:c r="D350" s="9" t="str">
        <x:v>요청</x:v>
      </x:c>
      <x:c r="E350" s="9" t="str">
        <x:v>VIA 요청 처리</x:v>
      </x:c>
      <x:c r="F350" s="9" t="str">
        <x:v>현재 요청 해석·적용·조건부 원본 보완</x:v>
      </x:c>
      <x:c r="G350" s="10" t="n">
        <x:v>0.199</x:v>
      </x:c>
      <x:c r="H350" s="9" t="str">
        <x:v>사용</x:v>
      </x:c>
      <x:c r="I350" s="9" t="str">
        <x:v>합성 비용 단위; 호출·토큰·단가를 실제로 관측하지 않음</x:v>
      </x:c>
    </x:row>
    <x:row r="351" ht="40" customHeight="1">
      <x:c r="A351" s="9" t="str">
        <x:v>SYN-REC-B-73</x:v>
      </x:c>
      <x:c r="B351" s="9" t="str">
        <x:v>SYN-G08-03</x:v>
      </x:c>
      <x:c r="C351" s="9" t="str">
        <x:v>B</x:v>
      </x:c>
      <x:c r="D351" s="9" t="str">
        <x:v>수신자</x:v>
      </x:c>
      <x:c r="E351" s="9" t="str">
        <x:v>Downstream 처리</x:v>
      </x:c>
      <x:c r="F351" s="9" t="str">
        <x:v>공통 수신자 비용 가정</x:v>
      </x:c>
      <x:c r="G351" s="10" t="n">
        <x:v>0.25</x:v>
      </x:c>
      <x:c r="H351" s="9" t="str">
        <x:v>사용</x:v>
      </x:c>
      <x:c r="I351" s="9" t="str">
        <x:v>동일 비용 가정; 실제 업무 실행 없음</x:v>
      </x:c>
    </x:row>
    <x:row r="352" ht="40" customHeight="1">
      <x:c r="A352" s="9" t="str">
        <x:v>SYN-COST-B-74</x:v>
      </x:c>
      <x:c r="B352" s="9" t="str">
        <x:v>SYN-G08-04</x:v>
      </x:c>
      <x:c r="C352" s="9" t="str">
        <x:v>B</x:v>
      </x:c>
      <x:c r="D352" s="9" t="str">
        <x:v>요청</x:v>
      </x:c>
      <x:c r="E352" s="9" t="str">
        <x:v>VIA 요청 처리</x:v>
      </x:c>
      <x:c r="F352" s="9" t="str">
        <x:v>현재 요청 해석·적용·조건부 원본 보완</x:v>
      </x:c>
      <x:c r="G352" s="10" t="n">
        <x:v>0.207</x:v>
      </x:c>
      <x:c r="H352" s="9" t="str">
        <x:v>사용</x:v>
      </x:c>
      <x:c r="I352" s="9" t="str">
        <x:v>합성 비용 단위; 호출·토큰·단가를 실제로 관측하지 않음</x:v>
      </x:c>
    </x:row>
    <x:row r="353" ht="40" customHeight="1">
      <x:c r="A353" s="9" t="str">
        <x:v>SYN-REC-B-74</x:v>
      </x:c>
      <x:c r="B353" s="9" t="str">
        <x:v>SYN-G08-04</x:v>
      </x:c>
      <x:c r="C353" s="9" t="str">
        <x:v>B</x:v>
      </x:c>
      <x:c r="D353" s="9" t="str">
        <x:v>수신자</x:v>
      </x:c>
      <x:c r="E353" s="9" t="str">
        <x:v>Downstream 처리</x:v>
      </x:c>
      <x:c r="F353" s="9" t="str">
        <x:v>공통 수신자 비용 가정</x:v>
      </x:c>
      <x:c r="G353" s="10" t="n">
        <x:v>0.25</x:v>
      </x:c>
      <x:c r="H353" s="9" t="str">
        <x:v>사용</x:v>
      </x:c>
      <x:c r="I353" s="9" t="str">
        <x:v>동일 비용 가정; 실제 업무 실행 없음</x:v>
      </x:c>
    </x:row>
    <x:row r="354" ht="40" customHeight="1">
      <x:c r="A354" s="9" t="str">
        <x:v>SYN-COST-B-75</x:v>
      </x:c>
      <x:c r="B354" s="9" t="str">
        <x:v>SYN-G08-05</x:v>
      </x:c>
      <x:c r="C354" s="9" t="str">
        <x:v>B</x:v>
      </x:c>
      <x:c r="D354" s="9" t="str">
        <x:v>요청</x:v>
      </x:c>
      <x:c r="E354" s="9" t="str">
        <x:v>VIA 요청 처리</x:v>
      </x:c>
      <x:c r="F354" s="9" t="str">
        <x:v>현재 요청 해석·적용·조건부 원본 보완</x:v>
      </x:c>
      <x:c r="G354" s="10" t="n">
        <x:v>0.216</x:v>
      </x:c>
      <x:c r="H354" s="9" t="str">
        <x:v>사용</x:v>
      </x:c>
      <x:c r="I354" s="9" t="str">
        <x:v>합성 비용 단위; 호출·토큰·단가를 실제로 관측하지 않음</x:v>
      </x:c>
    </x:row>
    <x:row r="355" ht="40" customHeight="1">
      <x:c r="A355" s="9" t="str">
        <x:v>SYN-REC-B-75</x:v>
      </x:c>
      <x:c r="B355" s="9" t="str">
        <x:v>SYN-G08-05</x:v>
      </x:c>
      <x:c r="C355" s="9" t="str">
        <x:v>B</x:v>
      </x:c>
      <x:c r="D355" s="9" t="str">
        <x:v>수신자</x:v>
      </x:c>
      <x:c r="E355" s="9" t="str">
        <x:v>Downstream 처리</x:v>
      </x:c>
      <x:c r="F355" s="9" t="str">
        <x:v>공통 수신자 비용 가정</x:v>
      </x:c>
      <x:c r="G355" s="10" t="n">
        <x:v>0.25</x:v>
      </x:c>
      <x:c r="H355" s="9" t="str">
        <x:v>사용</x:v>
      </x:c>
      <x:c r="I355" s="9" t="str">
        <x:v>동일 비용 가정; 실제 업무 실행 없음</x:v>
      </x:c>
    </x:row>
    <x:row r="356" ht="40" customHeight="1">
      <x:c r="A356" s="9" t="str">
        <x:v>SYN-COST-B-76</x:v>
      </x:c>
      <x:c r="B356" s="9" t="str">
        <x:v>SYN-G08-06</x:v>
      </x:c>
      <x:c r="C356" s="9" t="str">
        <x:v>B</x:v>
      </x:c>
      <x:c r="D356" s="9" t="str">
        <x:v>요청</x:v>
      </x:c>
      <x:c r="E356" s="9" t="str">
        <x:v>VIA 요청 처리</x:v>
      </x:c>
      <x:c r="F356" s="9" t="str">
        <x:v>현재 요청 해석·적용·조건부 원본 보완</x:v>
      </x:c>
      <x:c r="G356" s="10" t="n">
        <x:v>0.224</x:v>
      </x:c>
      <x:c r="H356" s="9" t="str">
        <x:v>사용</x:v>
      </x:c>
      <x:c r="I356" s="9" t="str">
        <x:v>합성 비용 단위; 호출·토큰·단가를 실제로 관측하지 않음</x:v>
      </x:c>
    </x:row>
    <x:row r="357" ht="40" customHeight="1">
      <x:c r="A357" s="9" t="str">
        <x:v>SYN-REC-B-76</x:v>
      </x:c>
      <x:c r="B357" s="9" t="str">
        <x:v>SYN-G08-06</x:v>
      </x:c>
      <x:c r="C357" s="9" t="str">
        <x:v>B</x:v>
      </x:c>
      <x:c r="D357" s="9" t="str">
        <x:v>수신자</x:v>
      </x:c>
      <x:c r="E357" s="9" t="str">
        <x:v>Downstream 처리</x:v>
      </x:c>
      <x:c r="F357" s="9" t="str">
        <x:v>공통 수신자 비용 가정</x:v>
      </x:c>
      <x:c r="G357" s="10" t="n">
        <x:v>0.25</x:v>
      </x:c>
      <x:c r="H357" s="9" t="str">
        <x:v>사용</x:v>
      </x:c>
      <x:c r="I357" s="9" t="str">
        <x:v>동일 비용 가정; 실제 업무 실행 없음</x:v>
      </x:c>
    </x:row>
    <x:row r="358" ht="40" customHeight="1">
      <x:c r="A358" s="9" t="str">
        <x:v>SYN-COST-B-77</x:v>
      </x:c>
      <x:c r="B358" s="9" t="str">
        <x:v>SYN-G08-07</x:v>
      </x:c>
      <x:c r="C358" s="9" t="str">
        <x:v>B</x:v>
      </x:c>
      <x:c r="D358" s="9" t="str">
        <x:v>요청</x:v>
      </x:c>
      <x:c r="E358" s="9" t="str">
        <x:v>VIA 요청 처리</x:v>
      </x:c>
      <x:c r="F358" s="9" t="str">
        <x:v>현재 요청 해석·적용·조건부 원본 보완</x:v>
      </x:c>
      <x:c r="G358" s="10" t="n">
        <x:v>0.233</x:v>
      </x:c>
      <x:c r="H358" s="9" t="str">
        <x:v>사용</x:v>
      </x:c>
      <x:c r="I358" s="9" t="str">
        <x:v>합성 비용 단위; 호출·토큰·단가를 실제로 관측하지 않음</x:v>
      </x:c>
    </x:row>
    <x:row r="359" ht="40" customHeight="1">
      <x:c r="A359" s="9" t="str">
        <x:v>SYN-REC-B-77</x:v>
      </x:c>
      <x:c r="B359" s="9" t="str">
        <x:v>SYN-G08-07</x:v>
      </x:c>
      <x:c r="C359" s="9" t="str">
        <x:v>B</x:v>
      </x:c>
      <x:c r="D359" s="9" t="str">
        <x:v>수신자</x:v>
      </x:c>
      <x:c r="E359" s="9" t="str">
        <x:v>Downstream 처리</x:v>
      </x:c>
      <x:c r="F359" s="9" t="str">
        <x:v>공통 수신자 비용 가정</x:v>
      </x:c>
      <x:c r="G359" s="10" t="n">
        <x:v>0.25</x:v>
      </x:c>
      <x:c r="H359" s="9" t="str">
        <x:v>사용</x:v>
      </x:c>
      <x:c r="I359" s="9" t="str">
        <x:v>동일 비용 가정; 실제 업무 실행 없음</x:v>
      </x:c>
    </x:row>
    <x:row r="360" ht="40" customHeight="1">
      <x:c r="A360" s="9" t="str">
        <x:v>SYN-COST-B-78</x:v>
      </x:c>
      <x:c r="B360" s="9" t="str">
        <x:v>SYN-G08-08</x:v>
      </x:c>
      <x:c r="C360" s="9" t="str">
        <x:v>B</x:v>
      </x:c>
      <x:c r="D360" s="9" t="str">
        <x:v>요청</x:v>
      </x:c>
      <x:c r="E360" s="9" t="str">
        <x:v>VIA 요청 처리</x:v>
      </x:c>
      <x:c r="F360" s="9" t="str">
        <x:v>현재 요청 해석·적용·조건부 원본 보완</x:v>
      </x:c>
      <x:c r="G360" s="10" t="n">
        <x:v>0.241</x:v>
      </x:c>
      <x:c r="H360" s="9" t="str">
        <x:v>사용</x:v>
      </x:c>
      <x:c r="I360" s="9" t="str">
        <x:v>합성 비용 단위; 호출·토큰·단가를 실제로 관측하지 않음</x:v>
      </x:c>
    </x:row>
    <x:row r="361" ht="40" customHeight="1">
      <x:c r="A361" s="9" t="str">
        <x:v>SYN-REC-B-78</x:v>
      </x:c>
      <x:c r="B361" s="9" t="str">
        <x:v>SYN-G08-08</x:v>
      </x:c>
      <x:c r="C361" s="9" t="str">
        <x:v>B</x:v>
      </x:c>
      <x:c r="D361" s="9" t="str">
        <x:v>수신자</x:v>
      </x:c>
      <x:c r="E361" s="9" t="str">
        <x:v>Downstream 처리</x:v>
      </x:c>
      <x:c r="F361" s="9" t="str">
        <x:v>공통 수신자 비용 가정</x:v>
      </x:c>
      <x:c r="G361" s="10" t="n">
        <x:v>0.25</x:v>
      </x:c>
      <x:c r="H361" s="9" t="str">
        <x:v>사용</x:v>
      </x:c>
      <x:c r="I361" s="9" t="str">
        <x:v>동일 비용 가정; 실제 업무 실행 없음</x:v>
      </x:c>
    </x:row>
    <x:row r="362" ht="40" customHeight="1">
      <x:c r="A362" s="9" t="str">
        <x:v>SYN-COST-B-79</x:v>
      </x:c>
      <x:c r="B362" s="9" t="str">
        <x:v>SYN-G08-09</x:v>
      </x:c>
      <x:c r="C362" s="9" t="str">
        <x:v>B</x:v>
      </x:c>
      <x:c r="D362" s="9" t="str">
        <x:v>요청</x:v>
      </x:c>
      <x:c r="E362" s="9" t="str">
        <x:v>VIA 요청 처리</x:v>
      </x:c>
      <x:c r="F362" s="9" t="str">
        <x:v>현재 요청 해석·적용·조건부 원본 보완</x:v>
      </x:c>
      <x:c r="G362" s="10" t="n">
        <x:v>0.249</x:v>
      </x:c>
      <x:c r="H362" s="9" t="str">
        <x:v>사용</x:v>
      </x:c>
      <x:c r="I362" s="9" t="str">
        <x:v>합성 비용 단위; 호출·토큰·단가를 실제로 관측하지 않음</x:v>
      </x:c>
    </x:row>
    <x:row r="363" ht="40" customHeight="1">
      <x:c r="A363" s="9" t="str">
        <x:v>SYN-REC-B-79</x:v>
      </x:c>
      <x:c r="B363" s="9" t="str">
        <x:v>SYN-G08-09</x:v>
      </x:c>
      <x:c r="C363" s="9" t="str">
        <x:v>B</x:v>
      </x:c>
      <x:c r="D363" s="9" t="str">
        <x:v>수신자</x:v>
      </x:c>
      <x:c r="E363" s="9" t="str">
        <x:v>Downstream 처리</x:v>
      </x:c>
      <x:c r="F363" s="9" t="str">
        <x:v>공통 수신자 비용 가정</x:v>
      </x:c>
      <x:c r="G363" s="10" t="n">
        <x:v>0.25</x:v>
      </x:c>
      <x:c r="H363" s="9" t="str">
        <x:v>사용</x:v>
      </x:c>
      <x:c r="I363" s="9" t="str">
        <x:v>동일 비용 가정; 실제 업무 실행 없음</x:v>
      </x:c>
    </x:row>
    <x:row r="364" ht="40" customHeight="1">
      <x:c r="A364" s="9" t="str">
        <x:v>SYN-COST-B-80</x:v>
      </x:c>
      <x:c r="B364" s="9" t="str">
        <x:v>SYN-G08-10</x:v>
      </x:c>
      <x:c r="C364" s="9" t="str">
        <x:v>B</x:v>
      </x:c>
      <x:c r="D364" s="9" t="str">
        <x:v>요청</x:v>
      </x:c>
      <x:c r="E364" s="9" t="str">
        <x:v>VIA 요청 처리</x:v>
      </x:c>
      <x:c r="F364" s="9" t="str">
        <x:v>현재 요청 해석·적용·조건부 원본 보완</x:v>
      </x:c>
      <x:c r="G364" s="10" t="n">
        <x:v>0.258</x:v>
      </x:c>
      <x:c r="H364" s="9" t="str">
        <x:v>사용</x:v>
      </x:c>
      <x:c r="I364" s="9" t="str">
        <x:v>합성 비용 단위; 호출·토큰·단가를 실제로 관측하지 않음</x:v>
      </x:c>
    </x:row>
    <x:row r="365" ht="40" customHeight="1">
      <x:c r="A365" s="9" t="str">
        <x:v>SYN-REC-B-80</x:v>
      </x:c>
      <x:c r="B365" s="9" t="str">
        <x:v>SYN-G08-10</x:v>
      </x:c>
      <x:c r="C365" s="9" t="str">
        <x:v>B</x:v>
      </x:c>
      <x:c r="D365" s="9" t="str">
        <x:v>수신자</x:v>
      </x:c>
      <x:c r="E365" s="9" t="str">
        <x:v>Downstream 처리</x:v>
      </x:c>
      <x:c r="F365" s="9" t="str">
        <x:v>공통 수신자 비용 가정</x:v>
      </x:c>
      <x:c r="G365" s="10" t="n">
        <x:v>0.25</x:v>
      </x:c>
      <x:c r="H365" s="9" t="str">
        <x:v>사용</x:v>
      </x:c>
      <x:c r="I365" s="9" t="str">
        <x:v>동일 비용 가정; 실제 업무 실행 없음</x:v>
      </x:c>
    </x:row>
    <x:row r="366" ht="40" customHeight="1">
      <x:c r="A366" s="9" t="str">
        <x:v>SYN-COST-B-81</x:v>
      </x:c>
      <x:c r="B366" s="9" t="str">
        <x:v>SYN-G09-01</x:v>
      </x:c>
      <x:c r="C366" s="9" t="str">
        <x:v>B</x:v>
      </x:c>
      <x:c r="D366" s="9" t="str">
        <x:v>요청</x:v>
      </x:c>
      <x:c r="E366" s="9" t="str">
        <x:v>VIA 요청 처리</x:v>
      </x:c>
      <x:c r="F366" s="9" t="str">
        <x:v>현재 요청 해석·적용·조건부 원본 보완</x:v>
      </x:c>
      <x:c r="G366" s="10" t="n">
        <x:v>0.636</x:v>
      </x:c>
      <x:c r="H366" s="9" t="str">
        <x:v>사용</x:v>
      </x:c>
      <x:c r="I366" s="9" t="str">
        <x:v>합성 비용 단위; 호출·토큰·단가를 실제로 관측하지 않음</x:v>
      </x:c>
    </x:row>
    <x:row r="367" ht="40" customHeight="1">
      <x:c r="A367" s="9" t="str">
        <x:v>SYN-REC-B-81</x:v>
      </x:c>
      <x:c r="B367" s="9" t="str">
        <x:v>SYN-G09-01</x:v>
      </x:c>
      <x:c r="C367" s="9" t="str">
        <x:v>B</x:v>
      </x:c>
      <x:c r="D367" s="9" t="str">
        <x:v>수신자</x:v>
      </x:c>
      <x:c r="E367" s="9" t="str">
        <x:v>Downstream 처리</x:v>
      </x:c>
      <x:c r="F367" s="9" t="str">
        <x:v>공통 수신자 비용 가정</x:v>
      </x:c>
      <x:c r="G367" s="10" t="n">
        <x:v>0.25</x:v>
      </x:c>
      <x:c r="H367" s="9" t="str">
        <x:v>사용</x:v>
      </x:c>
      <x:c r="I367" s="9" t="str">
        <x:v>동일 비용 가정; 실제 업무 실행 없음</x:v>
      </x:c>
    </x:row>
    <x:row r="368" ht="40" customHeight="1">
      <x:c r="A368" s="9" t="str">
        <x:v>SYN-COST-B-82</x:v>
      </x:c>
      <x:c r="B368" s="9" t="str">
        <x:v>SYN-G09-02</x:v>
      </x:c>
      <x:c r="C368" s="9" t="str">
        <x:v>B</x:v>
      </x:c>
      <x:c r="D368" s="9" t="str">
        <x:v>요청</x:v>
      </x:c>
      <x:c r="E368" s="9" t="str">
        <x:v>VIA 요청 처리</x:v>
      </x:c>
      <x:c r="F368" s="9" t="str">
        <x:v>현재 요청 해석·적용·조건부 원본 보완</x:v>
      </x:c>
      <x:c r="G368" s="10" t="n">
        <x:v>0.644</x:v>
      </x:c>
      <x:c r="H368" s="9" t="str">
        <x:v>사용</x:v>
      </x:c>
      <x:c r="I368" s="9" t="str">
        <x:v>합성 비용 단위; 호출·토큰·단가를 실제로 관측하지 않음</x:v>
      </x:c>
    </x:row>
    <x:row r="369" ht="40" customHeight="1">
      <x:c r="A369" s="9" t="str">
        <x:v>SYN-REC-B-82</x:v>
      </x:c>
      <x:c r="B369" s="9" t="str">
        <x:v>SYN-G09-02</x:v>
      </x:c>
      <x:c r="C369" s="9" t="str">
        <x:v>B</x:v>
      </x:c>
      <x:c r="D369" s="9" t="str">
        <x:v>수신자</x:v>
      </x:c>
      <x:c r="E369" s="9" t="str">
        <x:v>Downstream 처리</x:v>
      </x:c>
      <x:c r="F369" s="9" t="str">
        <x:v>공통 수신자 비용 가정</x:v>
      </x:c>
      <x:c r="G369" s="10" t="n">
        <x:v>0.25</x:v>
      </x:c>
      <x:c r="H369" s="9" t="str">
        <x:v>사용</x:v>
      </x:c>
      <x:c r="I369" s="9" t="str">
        <x:v>동일 비용 가정; 실제 업무 실행 없음</x:v>
      </x:c>
    </x:row>
    <x:row r="370" ht="40" customHeight="1">
      <x:c r="A370" s="9" t="str">
        <x:v>SYN-COST-B-83</x:v>
      </x:c>
      <x:c r="B370" s="9" t="str">
        <x:v>SYN-G09-03</x:v>
      </x:c>
      <x:c r="C370" s="9" t="str">
        <x:v>B</x:v>
      </x:c>
      <x:c r="D370" s="9" t="str">
        <x:v>요청</x:v>
      </x:c>
      <x:c r="E370" s="9" t="str">
        <x:v>VIA 요청 처리</x:v>
      </x:c>
      <x:c r="F370" s="9" t="str">
        <x:v>현재 요청 해석·적용·조건부 원본 보완</x:v>
      </x:c>
      <x:c r="G370" s="10" t="n">
        <x:v>0.652</x:v>
      </x:c>
      <x:c r="H370" s="9" t="str">
        <x:v>사용</x:v>
      </x:c>
      <x:c r="I370" s="9" t="str">
        <x:v>합성 비용 단위; 호출·토큰·단가를 실제로 관측하지 않음</x:v>
      </x:c>
    </x:row>
    <x:row r="371" ht="40" customHeight="1">
      <x:c r="A371" s="9" t="str">
        <x:v>SYN-REC-B-83</x:v>
      </x:c>
      <x:c r="B371" s="9" t="str">
        <x:v>SYN-G09-03</x:v>
      </x:c>
      <x:c r="C371" s="9" t="str">
        <x:v>B</x:v>
      </x:c>
      <x:c r="D371" s="9" t="str">
        <x:v>수신자</x:v>
      </x:c>
      <x:c r="E371" s="9" t="str">
        <x:v>Downstream 처리</x:v>
      </x:c>
      <x:c r="F371" s="9" t="str">
        <x:v>공통 수신자 비용 가정</x:v>
      </x:c>
      <x:c r="G371" s="10" t="n">
        <x:v>0.25</x:v>
      </x:c>
      <x:c r="H371" s="9" t="str">
        <x:v>사용</x:v>
      </x:c>
      <x:c r="I371" s="9" t="str">
        <x:v>동일 비용 가정; 실제 업무 실행 없음</x:v>
      </x:c>
    </x:row>
    <x:row r="372" ht="40" customHeight="1">
      <x:c r="A372" s="9" t="str">
        <x:v>SYN-COST-B-84</x:v>
      </x:c>
      <x:c r="B372" s="9" t="str">
        <x:v>SYN-G09-04</x:v>
      </x:c>
      <x:c r="C372" s="9" t="str">
        <x:v>B</x:v>
      </x:c>
      <x:c r="D372" s="9" t="str">
        <x:v>요청</x:v>
      </x:c>
      <x:c r="E372" s="9" t="str">
        <x:v>VIA 요청 처리</x:v>
      </x:c>
      <x:c r="F372" s="9" t="str">
        <x:v>현재 요청 해석·적용·조건부 원본 보완</x:v>
      </x:c>
      <x:c r="G372" s="10" t="n">
        <x:v>0.661</x:v>
      </x:c>
      <x:c r="H372" s="9" t="str">
        <x:v>사용</x:v>
      </x:c>
      <x:c r="I372" s="9" t="str">
        <x:v>합성 비용 단위; 호출·토큰·단가를 실제로 관측하지 않음</x:v>
      </x:c>
    </x:row>
    <x:row r="373" ht="40" customHeight="1">
      <x:c r="A373" s="9" t="str">
        <x:v>SYN-REC-B-84</x:v>
      </x:c>
      <x:c r="B373" s="9" t="str">
        <x:v>SYN-G09-04</x:v>
      </x:c>
      <x:c r="C373" s="9" t="str">
        <x:v>B</x:v>
      </x:c>
      <x:c r="D373" s="9" t="str">
        <x:v>수신자</x:v>
      </x:c>
      <x:c r="E373" s="9" t="str">
        <x:v>Downstream 처리</x:v>
      </x:c>
      <x:c r="F373" s="9" t="str">
        <x:v>공통 수신자 비용 가정</x:v>
      </x:c>
      <x:c r="G373" s="10" t="n">
        <x:v>0.25</x:v>
      </x:c>
      <x:c r="H373" s="9" t="str">
        <x:v>사용</x:v>
      </x:c>
      <x:c r="I373" s="9" t="str">
        <x:v>동일 비용 가정; 실제 업무 실행 없음</x:v>
      </x:c>
    </x:row>
    <x:row r="374" ht="40" customHeight="1">
      <x:c r="A374" s="9" t="str">
        <x:v>SYN-COST-B-85</x:v>
      </x:c>
      <x:c r="B374" s="9" t="str">
        <x:v>SYN-G09-05</x:v>
      </x:c>
      <x:c r="C374" s="9" t="str">
        <x:v>B</x:v>
      </x:c>
      <x:c r="D374" s="9" t="str">
        <x:v>요청</x:v>
      </x:c>
      <x:c r="E374" s="9" t="str">
        <x:v>VIA 요청 처리</x:v>
      </x:c>
      <x:c r="F374" s="9" t="str">
        <x:v>현재 요청 해석·적용·조건부 원본 보완</x:v>
      </x:c>
      <x:c r="G374" s="10" t="n">
        <x:v>0.669</x:v>
      </x:c>
      <x:c r="H374" s="9" t="str">
        <x:v>사용</x:v>
      </x:c>
      <x:c r="I374" s="9" t="str">
        <x:v>합성 비용 단위; 호출·토큰·단가를 실제로 관측하지 않음</x:v>
      </x:c>
    </x:row>
    <x:row r="375" ht="40" customHeight="1">
      <x:c r="A375" s="9" t="str">
        <x:v>SYN-REC-B-85</x:v>
      </x:c>
      <x:c r="B375" s="9" t="str">
        <x:v>SYN-G09-05</x:v>
      </x:c>
      <x:c r="C375" s="9" t="str">
        <x:v>B</x:v>
      </x:c>
      <x:c r="D375" s="9" t="str">
        <x:v>수신자</x:v>
      </x:c>
      <x:c r="E375" s="9" t="str">
        <x:v>Downstream 처리</x:v>
      </x:c>
      <x:c r="F375" s="9" t="str">
        <x:v>공통 수신자 비용 가정</x:v>
      </x:c>
      <x:c r="G375" s="10" t="n">
        <x:v>0.25</x:v>
      </x:c>
      <x:c r="H375" s="9" t="str">
        <x:v>사용</x:v>
      </x:c>
      <x:c r="I375" s="9" t="str">
        <x:v>동일 비용 가정; 실제 업무 실행 없음</x:v>
      </x:c>
    </x:row>
    <x:row r="376" ht="40" customHeight="1">
      <x:c r="A376" s="9" t="str">
        <x:v>SYN-COST-B-86</x:v>
      </x:c>
      <x:c r="B376" s="9" t="str">
        <x:v>SYN-G09-06</x:v>
      </x:c>
      <x:c r="C376" s="9" t="str">
        <x:v>B</x:v>
      </x:c>
      <x:c r="D376" s="9" t="str">
        <x:v>요청</x:v>
      </x:c>
      <x:c r="E376" s="9" t="str">
        <x:v>VIA 요청 처리</x:v>
      </x:c>
      <x:c r="F376" s="9" t="str">
        <x:v>현재 요청 해석·적용·조건부 원본 보완</x:v>
      </x:c>
      <x:c r="G376" s="10" t="n">
        <x:v>0.678</x:v>
      </x:c>
      <x:c r="H376" s="9" t="str">
        <x:v>사용</x:v>
      </x:c>
      <x:c r="I376" s="9" t="str">
        <x:v>합성 비용 단위; 호출·토큰·단가를 실제로 관측하지 않음</x:v>
      </x:c>
    </x:row>
    <x:row r="377" ht="40" customHeight="1">
      <x:c r="A377" s="9" t="str">
        <x:v>SYN-REC-B-86</x:v>
      </x:c>
      <x:c r="B377" s="9" t="str">
        <x:v>SYN-G09-06</x:v>
      </x:c>
      <x:c r="C377" s="9" t="str">
        <x:v>B</x:v>
      </x:c>
      <x:c r="D377" s="9" t="str">
        <x:v>수신자</x:v>
      </x:c>
      <x:c r="E377" s="9" t="str">
        <x:v>Downstream 처리</x:v>
      </x:c>
      <x:c r="F377" s="9" t="str">
        <x:v>공통 수신자 비용 가정</x:v>
      </x:c>
      <x:c r="G377" s="10" t="n">
        <x:v>0.25</x:v>
      </x:c>
      <x:c r="H377" s="9" t="str">
        <x:v>사용</x:v>
      </x:c>
      <x:c r="I377" s="9" t="str">
        <x:v>동일 비용 가정; 실제 업무 실행 없음</x:v>
      </x:c>
    </x:row>
    <x:row r="378" ht="40" customHeight="1">
      <x:c r="A378" s="9" t="str">
        <x:v>SYN-COST-B-87</x:v>
      </x:c>
      <x:c r="B378" s="9" t="str">
        <x:v>SYN-G09-07</x:v>
      </x:c>
      <x:c r="C378" s="9" t="str">
        <x:v>B</x:v>
      </x:c>
      <x:c r="D378" s="9" t="str">
        <x:v>요청</x:v>
      </x:c>
      <x:c r="E378" s="9" t="str">
        <x:v>VIA 요청 처리</x:v>
      </x:c>
      <x:c r="F378" s="9" t="str">
        <x:v>현재 요청 해석·적용·조건부 원본 보완</x:v>
      </x:c>
      <x:c r="G378" s="10" t="n">
        <x:v>0.686</x:v>
      </x:c>
      <x:c r="H378" s="9" t="str">
        <x:v>사용</x:v>
      </x:c>
      <x:c r="I378" s="9" t="str">
        <x:v>합성 비용 단위; 호출·토큰·단가를 실제로 관측하지 않음</x:v>
      </x:c>
    </x:row>
    <x:row r="379" ht="40" customHeight="1">
      <x:c r="A379" s="9" t="str">
        <x:v>SYN-REC-B-87</x:v>
      </x:c>
      <x:c r="B379" s="9" t="str">
        <x:v>SYN-G09-07</x:v>
      </x:c>
      <x:c r="C379" s="9" t="str">
        <x:v>B</x:v>
      </x:c>
      <x:c r="D379" s="9" t="str">
        <x:v>수신자</x:v>
      </x:c>
      <x:c r="E379" s="9" t="str">
        <x:v>Downstream 처리</x:v>
      </x:c>
      <x:c r="F379" s="9" t="str">
        <x:v>공통 수신자 비용 가정</x:v>
      </x:c>
      <x:c r="G379" s="10" t="n">
        <x:v>0.25</x:v>
      </x:c>
      <x:c r="H379" s="9" t="str">
        <x:v>사용</x:v>
      </x:c>
      <x:c r="I379" s="9" t="str">
        <x:v>동일 비용 가정; 실제 업무 실행 없음</x:v>
      </x:c>
    </x:row>
    <x:row r="380" ht="40" customHeight="1">
      <x:c r="A380" s="9" t="str">
        <x:v>SYN-COST-B-88</x:v>
      </x:c>
      <x:c r="B380" s="9" t="str">
        <x:v>SYN-G09-08</x:v>
      </x:c>
      <x:c r="C380" s="9" t="str">
        <x:v>B</x:v>
      </x:c>
      <x:c r="D380" s="9" t="str">
        <x:v>요청</x:v>
      </x:c>
      <x:c r="E380" s="9" t="str">
        <x:v>VIA 요청 처리</x:v>
      </x:c>
      <x:c r="F380" s="9" t="str">
        <x:v>현재 요청 해석·적용·조건부 원본 보완</x:v>
      </x:c>
      <x:c r="G380" s="10" t="n">
        <x:v>0.695</x:v>
      </x:c>
      <x:c r="H380" s="9" t="str">
        <x:v>사용</x:v>
      </x:c>
      <x:c r="I380" s="9" t="str">
        <x:v>합성 비용 단위; 호출·토큰·단가를 실제로 관측하지 않음</x:v>
      </x:c>
    </x:row>
    <x:row r="381" ht="40" customHeight="1">
      <x:c r="A381" s="9" t="str">
        <x:v>SYN-REC-B-88</x:v>
      </x:c>
      <x:c r="B381" s="9" t="str">
        <x:v>SYN-G09-08</x:v>
      </x:c>
      <x:c r="C381" s="9" t="str">
        <x:v>B</x:v>
      </x:c>
      <x:c r="D381" s="9" t="str">
        <x:v>수신자</x:v>
      </x:c>
      <x:c r="E381" s="9" t="str">
        <x:v>Downstream 처리</x:v>
      </x:c>
      <x:c r="F381" s="9" t="str">
        <x:v>공통 수신자 비용 가정</x:v>
      </x:c>
      <x:c r="G381" s="10" t="n">
        <x:v>0.25</x:v>
      </x:c>
      <x:c r="H381" s="9" t="str">
        <x:v>사용</x:v>
      </x:c>
      <x:c r="I381" s="9" t="str">
        <x:v>동일 비용 가정; 실제 업무 실행 없음</x:v>
      </x:c>
    </x:row>
    <x:row r="382" ht="40" customHeight="1">
      <x:c r="A382" s="9" t="str">
        <x:v>SYN-COST-B-89</x:v>
      </x:c>
      <x:c r="B382" s="9" t="str">
        <x:v>SYN-G09-09</x:v>
      </x:c>
      <x:c r="C382" s="9" t="str">
        <x:v>B</x:v>
      </x:c>
      <x:c r="D382" s="9" t="str">
        <x:v>요청</x:v>
      </x:c>
      <x:c r="E382" s="9" t="str">
        <x:v>VIA 요청 처리</x:v>
      </x:c>
      <x:c r="F382" s="9" t="str">
        <x:v>현재 요청 해석·적용·조건부 원본 보완</x:v>
      </x:c>
      <x:c r="G382" s="10" t="n">
        <x:v>0.703</x:v>
      </x:c>
      <x:c r="H382" s="9" t="str">
        <x:v>사용</x:v>
      </x:c>
      <x:c r="I382" s="9" t="str">
        <x:v>합성 비용 단위; 호출·토큰·단가를 실제로 관측하지 않음</x:v>
      </x:c>
    </x:row>
    <x:row r="383" ht="40" customHeight="1">
      <x:c r="A383" s="9" t="str">
        <x:v>SYN-REC-B-89</x:v>
      </x:c>
      <x:c r="B383" s="9" t="str">
        <x:v>SYN-G09-09</x:v>
      </x:c>
      <x:c r="C383" s="9" t="str">
        <x:v>B</x:v>
      </x:c>
      <x:c r="D383" s="9" t="str">
        <x:v>수신자</x:v>
      </x:c>
      <x:c r="E383" s="9" t="str">
        <x:v>Downstream 처리</x:v>
      </x:c>
      <x:c r="F383" s="9" t="str">
        <x:v>공통 수신자 비용 가정</x:v>
      </x:c>
      <x:c r="G383" s="10" t="n">
        <x:v>0.25</x:v>
      </x:c>
      <x:c r="H383" s="9" t="str">
        <x:v>사용</x:v>
      </x:c>
      <x:c r="I383" s="9" t="str">
        <x:v>동일 비용 가정; 실제 업무 실행 없음</x:v>
      </x:c>
    </x:row>
    <x:row r="384" ht="40" customHeight="1">
      <x:c r="A384" s="9" t="str">
        <x:v>SYN-COST-B-90</x:v>
      </x:c>
      <x:c r="B384" s="9" t="str">
        <x:v>SYN-G09-10</x:v>
      </x:c>
      <x:c r="C384" s="9" t="str">
        <x:v>B</x:v>
      </x:c>
      <x:c r="D384" s="9" t="str">
        <x:v>요청</x:v>
      </x:c>
      <x:c r="E384" s="9" t="str">
        <x:v>VIA 요청 처리</x:v>
      </x:c>
      <x:c r="F384" s="9" t="str">
        <x:v>현재 요청 해석·적용·조건부 원본 보완</x:v>
      </x:c>
      <x:c r="G384" s="10" t="n">
        <x:v>0.711</x:v>
      </x:c>
      <x:c r="H384" s="9" t="str">
        <x:v>사용</x:v>
      </x:c>
      <x:c r="I384" s="9" t="str">
        <x:v>합성 비용 단위; 호출·토큰·단가를 실제로 관측하지 않음</x:v>
      </x:c>
    </x:row>
    <x:row r="385" ht="40" customHeight="1">
      <x:c r="A385" s="9" t="str">
        <x:v>SYN-REC-B-90</x:v>
      </x:c>
      <x:c r="B385" s="9" t="str">
        <x:v>SYN-G09-10</x:v>
      </x:c>
      <x:c r="C385" s="9" t="str">
        <x:v>B</x:v>
      </x:c>
      <x:c r="D385" s="9" t="str">
        <x:v>수신자</x:v>
      </x:c>
      <x:c r="E385" s="9" t="str">
        <x:v>Downstream 처리</x:v>
      </x:c>
      <x:c r="F385" s="9" t="str">
        <x:v>공통 수신자 비용 가정</x:v>
      </x:c>
      <x:c r="G385" s="10" t="n">
        <x:v>0.25</x:v>
      </x:c>
      <x:c r="H385" s="9" t="str">
        <x:v>사용</x:v>
      </x:c>
      <x:c r="I385" s="9" t="str">
        <x:v>동일 비용 가정; 실제 업무 실행 없음</x:v>
      </x:c>
    </x:row>
    <x:row r="386" ht="40" customHeight="1">
      <x:c r="A386" s="9" t="str">
        <x:v>SYN-COST-B-91</x:v>
      </x:c>
      <x:c r="B386" s="9" t="str">
        <x:v>SYN-G10-01</x:v>
      </x:c>
      <x:c r="C386" s="9" t="str">
        <x:v>B</x:v>
      </x:c>
      <x:c r="D386" s="9" t="str">
        <x:v>요청</x:v>
      </x:c>
      <x:c r="E386" s="9" t="str">
        <x:v>VIA 요청 처리</x:v>
      </x:c>
      <x:c r="F386" s="9" t="str">
        <x:v>현재 요청 해석·적용·조건부 원본 보완</x:v>
      </x:c>
      <x:c r="G386" s="10" t="n">
        <x:v>0.191</x:v>
      </x:c>
      <x:c r="H386" s="9" t="str">
        <x:v>사용</x:v>
      </x:c>
      <x:c r="I386" s="9" t="str">
        <x:v>합성 비용 단위; 호출·토큰·단가를 실제로 관측하지 않음</x:v>
      </x:c>
    </x:row>
    <x:row r="387" ht="40" customHeight="1">
      <x:c r="A387" s="9" t="str">
        <x:v>SYN-REC-B-91</x:v>
      </x:c>
      <x:c r="B387" s="9" t="str">
        <x:v>SYN-G10-01</x:v>
      </x:c>
      <x:c r="C387" s="9" t="str">
        <x:v>B</x:v>
      </x:c>
      <x:c r="D387" s="9" t="str">
        <x:v>수신자</x:v>
      </x:c>
      <x:c r="E387" s="9" t="str">
        <x:v>Downstream 처리</x:v>
      </x:c>
      <x:c r="F387" s="9" t="str">
        <x:v>공통 수신자 비용 가정</x:v>
      </x:c>
      <x:c r="G387" s="10" t="n">
        <x:v>0.25</x:v>
      </x:c>
      <x:c r="H387" s="9" t="str">
        <x:v>사용</x:v>
      </x:c>
      <x:c r="I387" s="9" t="str">
        <x:v>동일 비용 가정; 실제 업무 실행 없음</x:v>
      </x:c>
    </x:row>
    <x:row r="388" ht="40" customHeight="1">
      <x:c r="A388" s="9" t="str">
        <x:v>SYN-COST-B-92</x:v>
      </x:c>
      <x:c r="B388" s="9" t="str">
        <x:v>SYN-G10-02</x:v>
      </x:c>
      <x:c r="C388" s="9" t="str">
        <x:v>B</x:v>
      </x:c>
      <x:c r="D388" s="9" t="str">
        <x:v>요청</x:v>
      </x:c>
      <x:c r="E388" s="9" t="str">
        <x:v>VIA 요청 처리</x:v>
      </x:c>
      <x:c r="F388" s="9" t="str">
        <x:v>현재 요청 해석·적용·조건부 원본 보완</x:v>
      </x:c>
      <x:c r="G388" s="10" t="n">
        <x:v>0.199</x:v>
      </x:c>
      <x:c r="H388" s="9" t="str">
        <x:v>사용</x:v>
      </x:c>
      <x:c r="I388" s="9" t="str">
        <x:v>합성 비용 단위; 호출·토큰·단가를 실제로 관측하지 않음</x:v>
      </x:c>
    </x:row>
    <x:row r="389" ht="40" customHeight="1">
      <x:c r="A389" s="9" t="str">
        <x:v>SYN-REC-B-92</x:v>
      </x:c>
      <x:c r="B389" s="9" t="str">
        <x:v>SYN-G10-02</x:v>
      </x:c>
      <x:c r="C389" s="9" t="str">
        <x:v>B</x:v>
      </x:c>
      <x:c r="D389" s="9" t="str">
        <x:v>수신자</x:v>
      </x:c>
      <x:c r="E389" s="9" t="str">
        <x:v>Downstream 처리</x:v>
      </x:c>
      <x:c r="F389" s="9" t="str">
        <x:v>공통 수신자 비용 가정</x:v>
      </x:c>
      <x:c r="G389" s="10" t="n">
        <x:v>0.25</x:v>
      </x:c>
      <x:c r="H389" s="9" t="str">
        <x:v>사용</x:v>
      </x:c>
      <x:c r="I389" s="9" t="str">
        <x:v>동일 비용 가정; 실제 업무 실행 없음</x:v>
      </x:c>
    </x:row>
    <x:row r="390" ht="40" customHeight="1">
      <x:c r="A390" s="9" t="str">
        <x:v>SYN-COST-B-93</x:v>
      </x:c>
      <x:c r="B390" s="9" t="str">
        <x:v>SYN-G10-03</x:v>
      </x:c>
      <x:c r="C390" s="9" t="str">
        <x:v>B</x:v>
      </x:c>
      <x:c r="D390" s="9" t="str">
        <x:v>요청</x:v>
      </x:c>
      <x:c r="E390" s="9" t="str">
        <x:v>VIA 요청 처리</x:v>
      </x:c>
      <x:c r="F390" s="9" t="str">
        <x:v>현재 요청 해석·적용·조건부 원본 보완</x:v>
      </x:c>
      <x:c r="G390" s="10" t="n">
        <x:v>0.208</x:v>
      </x:c>
      <x:c r="H390" s="9" t="str">
        <x:v>사용</x:v>
      </x:c>
      <x:c r="I390" s="9" t="str">
        <x:v>합성 비용 단위; 호출·토큰·단가를 실제로 관측하지 않음</x:v>
      </x:c>
    </x:row>
    <x:row r="391" ht="40" customHeight="1">
      <x:c r="A391" s="9" t="str">
        <x:v>SYN-REC-B-93</x:v>
      </x:c>
      <x:c r="B391" s="9" t="str">
        <x:v>SYN-G10-03</x:v>
      </x:c>
      <x:c r="C391" s="9" t="str">
        <x:v>B</x:v>
      </x:c>
      <x:c r="D391" s="9" t="str">
        <x:v>수신자</x:v>
      </x:c>
      <x:c r="E391" s="9" t="str">
        <x:v>Downstream 처리</x:v>
      </x:c>
      <x:c r="F391" s="9" t="str">
        <x:v>공통 수신자 비용 가정</x:v>
      </x:c>
      <x:c r="G391" s="10" t="n">
        <x:v>0.25</x:v>
      </x:c>
      <x:c r="H391" s="9" t="str">
        <x:v>사용</x:v>
      </x:c>
      <x:c r="I391" s="9" t="str">
        <x:v>동일 비용 가정; 실제 업무 실행 없음</x:v>
      </x:c>
    </x:row>
    <x:row r="392" ht="40" customHeight="1">
      <x:c r="A392" s="9" t="str">
        <x:v>SYN-COST-B-94</x:v>
      </x:c>
      <x:c r="B392" s="9" t="str">
        <x:v>SYN-G10-04</x:v>
      </x:c>
      <x:c r="C392" s="9" t="str">
        <x:v>B</x:v>
      </x:c>
      <x:c r="D392" s="9" t="str">
        <x:v>요청</x:v>
      </x:c>
      <x:c r="E392" s="9" t="str">
        <x:v>VIA 요청 처리</x:v>
      </x:c>
      <x:c r="F392" s="9" t="str">
        <x:v>현재 요청 해석·적용·조건부 원본 보완</x:v>
      </x:c>
      <x:c r="G392" s="10" t="n">
        <x:v>0.216</x:v>
      </x:c>
      <x:c r="H392" s="9" t="str">
        <x:v>사용</x:v>
      </x:c>
      <x:c r="I392" s="9" t="str">
        <x:v>합성 비용 단위; 호출·토큰·단가를 실제로 관측하지 않음</x:v>
      </x:c>
    </x:row>
    <x:row r="393" ht="40" customHeight="1">
      <x:c r="A393" s="9" t="str">
        <x:v>SYN-REC-B-94</x:v>
      </x:c>
      <x:c r="B393" s="9" t="str">
        <x:v>SYN-G10-04</x:v>
      </x:c>
      <x:c r="C393" s="9" t="str">
        <x:v>B</x:v>
      </x:c>
      <x:c r="D393" s="9" t="str">
        <x:v>수신자</x:v>
      </x:c>
      <x:c r="E393" s="9" t="str">
        <x:v>Downstream 처리</x:v>
      </x:c>
      <x:c r="F393" s="9" t="str">
        <x:v>공통 수신자 비용 가정</x:v>
      </x:c>
      <x:c r="G393" s="10" t="n">
        <x:v>0.25</x:v>
      </x:c>
      <x:c r="H393" s="9" t="str">
        <x:v>사용</x:v>
      </x:c>
      <x:c r="I393" s="9" t="str">
        <x:v>동일 비용 가정; 실제 업무 실행 없음</x:v>
      </x:c>
    </x:row>
    <x:row r="394" ht="40" customHeight="1">
      <x:c r="A394" s="9" t="str">
        <x:v>SYN-COST-B-95</x:v>
      </x:c>
      <x:c r="B394" s="9" t="str">
        <x:v>SYN-G10-05</x:v>
      </x:c>
      <x:c r="C394" s="9" t="str">
        <x:v>B</x:v>
      </x:c>
      <x:c r="D394" s="9" t="str">
        <x:v>요청</x:v>
      </x:c>
      <x:c r="E394" s="9" t="str">
        <x:v>VIA 요청 처리</x:v>
      </x:c>
      <x:c r="F394" s="9" t="str">
        <x:v>현재 요청 해석·적용·조건부 원본 보완</x:v>
      </x:c>
      <x:c r="G394" s="10" t="n">
        <x:v>0.225</x:v>
      </x:c>
      <x:c r="H394" s="9" t="str">
        <x:v>사용</x:v>
      </x:c>
      <x:c r="I394" s="9" t="str">
        <x:v>합성 비용 단위; 호출·토큰·단가를 실제로 관측하지 않음</x:v>
      </x:c>
    </x:row>
    <x:row r="395" ht="40" customHeight="1">
      <x:c r="A395" s="9" t="str">
        <x:v>SYN-REC-B-95</x:v>
      </x:c>
      <x:c r="B395" s="9" t="str">
        <x:v>SYN-G10-05</x:v>
      </x:c>
      <x:c r="C395" s="9" t="str">
        <x:v>B</x:v>
      </x:c>
      <x:c r="D395" s="9" t="str">
        <x:v>수신자</x:v>
      </x:c>
      <x:c r="E395" s="9" t="str">
        <x:v>Downstream 처리</x:v>
      </x:c>
      <x:c r="F395" s="9" t="str">
        <x:v>공통 수신자 비용 가정</x:v>
      </x:c>
      <x:c r="G395" s="10" t="n">
        <x:v>0.25</x:v>
      </x:c>
      <x:c r="H395" s="9" t="str">
        <x:v>사용</x:v>
      </x:c>
      <x:c r="I395" s="9" t="str">
        <x:v>동일 비용 가정; 실제 업무 실행 없음</x:v>
      </x:c>
    </x:row>
    <x:row r="396" ht="40" customHeight="1">
      <x:c r="A396" s="9" t="str">
        <x:v>SYN-COST-B-96</x:v>
      </x:c>
      <x:c r="B396" s="9" t="str">
        <x:v>SYN-G10-06</x:v>
      </x:c>
      <x:c r="C396" s="9" t="str">
        <x:v>B</x:v>
      </x:c>
      <x:c r="D396" s="9" t="str">
        <x:v>요청</x:v>
      </x:c>
      <x:c r="E396" s="9" t="str">
        <x:v>VIA 요청 처리</x:v>
      </x:c>
      <x:c r="F396" s="9" t="str">
        <x:v>현재 요청 해석·적용·조건부 원본 보완</x:v>
      </x:c>
      <x:c r="G396" s="10" t="n">
        <x:v>0.233</x:v>
      </x:c>
      <x:c r="H396" s="9" t="str">
        <x:v>사용</x:v>
      </x:c>
      <x:c r="I396" s="9" t="str">
        <x:v>합성 비용 단위; 호출·토큰·단가를 실제로 관측하지 않음</x:v>
      </x:c>
    </x:row>
    <x:row r="397" ht="40" customHeight="1">
      <x:c r="A397" s="9" t="str">
        <x:v>SYN-REC-B-96</x:v>
      </x:c>
      <x:c r="B397" s="9" t="str">
        <x:v>SYN-G10-06</x:v>
      </x:c>
      <x:c r="C397" s="9" t="str">
        <x:v>B</x:v>
      </x:c>
      <x:c r="D397" s="9" t="str">
        <x:v>수신자</x:v>
      </x:c>
      <x:c r="E397" s="9" t="str">
        <x:v>Downstream 처리</x:v>
      </x:c>
      <x:c r="F397" s="9" t="str">
        <x:v>공통 수신자 비용 가정</x:v>
      </x:c>
      <x:c r="G397" s="10" t="n">
        <x:v>0.25</x:v>
      </x:c>
      <x:c r="H397" s="9" t="str">
        <x:v>사용</x:v>
      </x:c>
      <x:c r="I397" s="9" t="str">
        <x:v>동일 비용 가정; 실제 업무 실행 없음</x:v>
      </x:c>
    </x:row>
    <x:row r="398" ht="40" customHeight="1">
      <x:c r="A398" s="9" t="str">
        <x:v>SYN-COST-B-97</x:v>
      </x:c>
      <x:c r="B398" s="9" t="str">
        <x:v>SYN-G10-07</x:v>
      </x:c>
      <x:c r="C398" s="9" t="str">
        <x:v>B</x:v>
      </x:c>
      <x:c r="D398" s="9" t="str">
        <x:v>요청</x:v>
      </x:c>
      <x:c r="E398" s="9" t="str">
        <x:v>VIA 요청 처리</x:v>
      </x:c>
      <x:c r="F398" s="9" t="str">
        <x:v>현재 요청 해석·적용·조건부 원본 보완</x:v>
      </x:c>
      <x:c r="G398" s="10" t="n">
        <x:v>0.242</x:v>
      </x:c>
      <x:c r="H398" s="9" t="str">
        <x:v>사용</x:v>
      </x:c>
      <x:c r="I398" s="9" t="str">
        <x:v>합성 비용 단위; 호출·토큰·단가를 실제로 관측하지 않음</x:v>
      </x:c>
    </x:row>
    <x:row r="399" ht="40" customHeight="1">
      <x:c r="A399" s="9" t="str">
        <x:v>SYN-REC-B-97</x:v>
      </x:c>
      <x:c r="B399" s="9" t="str">
        <x:v>SYN-G10-07</x:v>
      </x:c>
      <x:c r="C399" s="9" t="str">
        <x:v>B</x:v>
      </x:c>
      <x:c r="D399" s="9" t="str">
        <x:v>수신자</x:v>
      </x:c>
      <x:c r="E399" s="9" t="str">
        <x:v>Downstream 처리</x:v>
      </x:c>
      <x:c r="F399" s="9" t="str">
        <x:v>공통 수신자 비용 가정</x:v>
      </x:c>
      <x:c r="G399" s="10" t="n">
        <x:v>0.25</x:v>
      </x:c>
      <x:c r="H399" s="9" t="str">
        <x:v>사용</x:v>
      </x:c>
      <x:c r="I399" s="9" t="str">
        <x:v>동일 비용 가정; 실제 업무 실행 없음</x:v>
      </x:c>
    </x:row>
    <x:row r="400" ht="40" customHeight="1">
      <x:c r="A400" s="9" t="str">
        <x:v>SYN-COST-B-98</x:v>
      </x:c>
      <x:c r="B400" s="9" t="str">
        <x:v>SYN-G10-08</x:v>
      </x:c>
      <x:c r="C400" s="9" t="str">
        <x:v>B</x:v>
      </x:c>
      <x:c r="D400" s="9" t="str">
        <x:v>요청</x:v>
      </x:c>
      <x:c r="E400" s="9" t="str">
        <x:v>VIA 요청 처리</x:v>
      </x:c>
      <x:c r="F400" s="9" t="str">
        <x:v>현재 요청 해석·적용·조건부 원본 보완</x:v>
      </x:c>
      <x:c r="G400" s="10" t="n">
        <x:v>0.25</x:v>
      </x:c>
      <x:c r="H400" s="9" t="str">
        <x:v>사용</x:v>
      </x:c>
      <x:c r="I400" s="9" t="str">
        <x:v>합성 비용 단위; 호출·토큰·단가를 실제로 관측하지 않음</x:v>
      </x:c>
    </x:row>
    <x:row r="401" ht="40" customHeight="1">
      <x:c r="A401" s="9" t="str">
        <x:v>SYN-REC-B-98</x:v>
      </x:c>
      <x:c r="B401" s="9" t="str">
        <x:v>SYN-G10-08</x:v>
      </x:c>
      <x:c r="C401" s="9" t="str">
        <x:v>B</x:v>
      </x:c>
      <x:c r="D401" s="9" t="str">
        <x:v>수신자</x:v>
      </x:c>
      <x:c r="E401" s="9" t="str">
        <x:v>Downstream 처리</x:v>
      </x:c>
      <x:c r="F401" s="9" t="str">
        <x:v>공통 수신자 비용 가정</x:v>
      </x:c>
      <x:c r="G401" s="10" t="n">
        <x:v>0.25</x:v>
      </x:c>
      <x:c r="H401" s="9" t="str">
        <x:v>사용</x:v>
      </x:c>
      <x:c r="I401" s="9" t="str">
        <x:v>동일 비용 가정; 실제 업무 실행 없음</x:v>
      </x:c>
    </x:row>
    <x:row r="402" ht="40" customHeight="1">
      <x:c r="A402" s="9" t="str">
        <x:v>SYN-COST-B-99</x:v>
      </x:c>
      <x:c r="B402" s="9" t="str">
        <x:v>SYN-G10-09</x:v>
      </x:c>
      <x:c r="C402" s="9" t="str">
        <x:v>B</x:v>
      </x:c>
      <x:c r="D402" s="9" t="str">
        <x:v>요청</x:v>
      </x:c>
      <x:c r="E402" s="9" t="str">
        <x:v>VIA 요청 처리</x:v>
      </x:c>
      <x:c r="F402" s="9" t="str">
        <x:v>현재 요청 해석·적용·조건부 원본 보완</x:v>
      </x:c>
      <x:c r="G402" s="10" t="n">
        <x:v>0.258</x:v>
      </x:c>
      <x:c r="H402" s="9" t="str">
        <x:v>사용</x:v>
      </x:c>
      <x:c r="I402" s="9" t="str">
        <x:v>합성 비용 단위; 호출·토큰·단가를 실제로 관측하지 않음</x:v>
      </x:c>
    </x:row>
    <x:row r="403" ht="40" customHeight="1">
      <x:c r="A403" s="9" t="str">
        <x:v>SYN-REC-B-99</x:v>
      </x:c>
      <x:c r="B403" s="9" t="str">
        <x:v>SYN-G10-09</x:v>
      </x:c>
      <x:c r="C403" s="9" t="str">
        <x:v>B</x:v>
      </x:c>
      <x:c r="D403" s="9" t="str">
        <x:v>수신자</x:v>
      </x:c>
      <x:c r="E403" s="9" t="str">
        <x:v>Downstream 처리</x:v>
      </x:c>
      <x:c r="F403" s="9" t="str">
        <x:v>공통 수신자 비용 가정</x:v>
      </x:c>
      <x:c r="G403" s="10" t="n">
        <x:v>0.25</x:v>
      </x:c>
      <x:c r="H403" s="9" t="str">
        <x:v>사용</x:v>
      </x:c>
      <x:c r="I403" s="9" t="str">
        <x:v>동일 비용 가정; 실제 업무 실행 없음</x:v>
      </x:c>
    </x:row>
    <x:row r="404" ht="40" customHeight="1">
      <x:c r="A404" s="9" t="str">
        <x:v>SYN-COST-B-100</x:v>
      </x:c>
      <x:c r="B404" s="9" t="str">
        <x:v>SYN-G10-10</x:v>
      </x:c>
      <x:c r="C404" s="9" t="str">
        <x:v>B</x:v>
      </x:c>
      <x:c r="D404" s="9" t="str">
        <x:v>요청</x:v>
      </x:c>
      <x:c r="E404" s="9" t="str">
        <x:v>VIA 요청 처리</x:v>
      </x:c>
      <x:c r="F404" s="9" t="str">
        <x:v>현재 요청 해석·적용·조건부 원본 보완</x:v>
      </x:c>
      <x:c r="G404" s="10" t="n">
        <x:v>0.267</x:v>
      </x:c>
      <x:c r="H404" s="9" t="str">
        <x:v>사용</x:v>
      </x:c>
      <x:c r="I404" s="9" t="str">
        <x:v>합성 비용 단위; 호출·토큰·단가를 실제로 관측하지 않음</x:v>
      </x:c>
    </x:row>
    <x:row r="405" ht="40" customHeight="1">
      <x:c r="A405" s="9" t="str">
        <x:v>SYN-REC-B-100</x:v>
      </x:c>
      <x:c r="B405" s="9" t="str">
        <x:v>SYN-G10-10</x:v>
      </x:c>
      <x:c r="C405" s="9" t="str">
        <x:v>B</x:v>
      </x:c>
      <x:c r="D405" s="9" t="str">
        <x:v>수신자</x:v>
      </x:c>
      <x:c r="E405" s="9" t="str">
        <x:v>Downstream 처리</x:v>
      </x:c>
      <x:c r="F405" s="9" t="str">
        <x:v>공통 수신자 비용 가정</x:v>
      </x:c>
      <x:c r="G405" s="10" t="n">
        <x:v>0.25</x:v>
      </x:c>
      <x:c r="H405" s="9" t="str">
        <x:v>사용</x:v>
      </x:c>
      <x:c r="I405" s="9" t="str">
        <x:v>동일 비용 가정; 실제 업무 실행 없음</x:v>
      </x:c>
    </x:row>
    <x:row r="406" ht="40" customHeight="1">
      <x:c r="A406" s="9" t="str">
        <x:v>SYN-PRE-1-생산-사용</x:v>
      </x:c>
      <x:c r="B406" s="9" t="str">
        <x:v>EP-P1</x:v>
      </x:c>
      <x:c r="C406" s="9" t="str">
        <x:v>B</x:v>
      </x:c>
      <x:c r="D406" s="9" t="str">
        <x:v>생산</x:v>
      </x:c>
      <x:c r="E406" s="9" t="str">
        <x:v>사전 관계 관리</x:v>
      </x:c>
      <x:c r="F406" s="9" t="str">
        <x:v>새봄 업무 이력의 후속 요청에서 활용한 관계</x:v>
      </x:c>
      <x:c r="G406" s="10" t="n">
        <x:v>5</x:v>
      </x:c>
      <x:c r="H406" s="9" t="str">
        <x:v>사용</x:v>
      </x:c>
      <x:c r="I406" s="9" t="str">
        <x:v>프로젝트 episode에 한 번만 배분. 요청별 재합산 금지</x:v>
      </x:c>
    </x:row>
    <x:row r="407" ht="40" customHeight="1">
      <x:c r="A407" s="9" t="str">
        <x:v>SYN-PRE-1-생산-미사용</x:v>
      </x:c>
      <x:c r="B407" s="9" t="str">
        <x:v>EP-P1</x:v>
      </x:c>
      <x:c r="C407" s="9" t="str">
        <x:v>B</x:v>
      </x:c>
      <x:c r="D407" s="9" t="str">
        <x:v>생산</x:v>
      </x:c>
      <x:c r="E407" s="9" t="str">
        <x:v>사전 관계 관리</x:v>
      </x:c>
      <x:c r="F407" s="9" t="str">
        <x:v>새봄 업무 이력의 끝내 재참조하지 않은 관계</x:v>
      </x:c>
      <x:c r="G407" s="10" t="n">
        <x:v>3.5</x:v>
      </x:c>
      <x:c r="H407" s="9" t="str">
        <x:v>미사용</x:v>
      </x:c>
      <x:c r="I407" s="9" t="str">
        <x:v>프로젝트 episode에 한 번만 배분. 요청별 재합산 금지</x:v>
      </x:c>
    </x:row>
    <x:row r="408" ht="40" customHeight="1">
      <x:c r="A408" s="9" t="str">
        <x:v>SYN-PRE-1-갱신-사용</x:v>
      </x:c>
      <x:c r="B408" s="9" t="str">
        <x:v>EP-P1</x:v>
      </x:c>
      <x:c r="C408" s="9" t="str">
        <x:v>B</x:v>
      </x:c>
      <x:c r="D408" s="9" t="str">
        <x:v>갱신</x:v>
      </x:c>
      <x:c r="E408" s="9" t="str">
        <x:v>사전 관계 관리</x:v>
      </x:c>
      <x:c r="F408" s="9" t="str">
        <x:v>새봄 업무 이력의 후속 요청에서 활용한 관계</x:v>
      </x:c>
      <x:c r="G408" s="10" t="n">
        <x:v>2</x:v>
      </x:c>
      <x:c r="H408" s="9" t="str">
        <x:v>사용</x:v>
      </x:c>
      <x:c r="I408" s="9" t="str">
        <x:v>프로젝트 episode에 한 번만 배분. 요청별 재합산 금지</x:v>
      </x:c>
    </x:row>
    <x:row r="409" ht="40" customHeight="1">
      <x:c r="A409" s="9" t="str">
        <x:v>SYN-PRE-1-갱신-미사용</x:v>
      </x:c>
      <x:c r="B409" s="9" t="str">
        <x:v>EP-P1</x:v>
      </x:c>
      <x:c r="C409" s="9" t="str">
        <x:v>B</x:v>
      </x:c>
      <x:c r="D409" s="9" t="str">
        <x:v>갱신</x:v>
      </x:c>
      <x:c r="E409" s="9" t="str">
        <x:v>사전 관계 관리</x:v>
      </x:c>
      <x:c r="F409" s="9" t="str">
        <x:v>새봄 업무 이력의 끝내 재참조하지 않은 관계</x:v>
      </x:c>
      <x:c r="G409" s="10" t="n">
        <x:v>1.5</x:v>
      </x:c>
      <x:c r="H409" s="9" t="str">
        <x:v>미사용</x:v>
      </x:c>
      <x:c r="I409" s="9" t="str">
        <x:v>프로젝트 episode에 한 번만 배분. 요청별 재합산 금지</x:v>
      </x:c>
    </x:row>
    <x:row r="410" ht="40" customHeight="1">
      <x:c r="A410" s="9" t="str">
        <x:v>SYN-PRE-2-생산-사용</x:v>
      </x:c>
      <x:c r="B410" s="9" t="str">
        <x:v>EP-P2</x:v>
      </x:c>
      <x:c r="C410" s="9" t="str">
        <x:v>B</x:v>
      </x:c>
      <x:c r="D410" s="9" t="str">
        <x:v>생산</x:v>
      </x:c>
      <x:c r="E410" s="9" t="str">
        <x:v>사전 관계 관리</x:v>
      </x:c>
      <x:c r="F410" s="9" t="str">
        <x:v>해솔 업무 이력의 후속 요청에서 활용한 관계</x:v>
      </x:c>
      <x:c r="G410" s="10" t="n">
        <x:v>5</x:v>
      </x:c>
      <x:c r="H410" s="9" t="str">
        <x:v>사용</x:v>
      </x:c>
      <x:c r="I410" s="9" t="str">
        <x:v>프로젝트 episode에 한 번만 배분. 요청별 재합산 금지</x:v>
      </x:c>
    </x:row>
    <x:row r="411" ht="40" customHeight="1">
      <x:c r="A411" s="9" t="str">
        <x:v>SYN-PRE-2-생산-미사용</x:v>
      </x:c>
      <x:c r="B411" s="9" t="str">
        <x:v>EP-P2</x:v>
      </x:c>
      <x:c r="C411" s="9" t="str">
        <x:v>B</x:v>
      </x:c>
      <x:c r="D411" s="9" t="str">
        <x:v>생산</x:v>
      </x:c>
      <x:c r="E411" s="9" t="str">
        <x:v>사전 관계 관리</x:v>
      </x:c>
      <x:c r="F411" s="9" t="str">
        <x:v>해솔 업무 이력의 끝내 재참조하지 않은 관계</x:v>
      </x:c>
      <x:c r="G411" s="10" t="n">
        <x:v>3.5</x:v>
      </x:c>
      <x:c r="H411" s="9" t="str">
        <x:v>미사용</x:v>
      </x:c>
      <x:c r="I411" s="9" t="str">
        <x:v>프로젝트 episode에 한 번만 배분. 요청별 재합산 금지</x:v>
      </x:c>
    </x:row>
    <x:row r="412" ht="40" customHeight="1">
      <x:c r="A412" s="9" t="str">
        <x:v>SYN-PRE-2-갱신-사용</x:v>
      </x:c>
      <x:c r="B412" s="9" t="str">
        <x:v>EP-P2</x:v>
      </x:c>
      <x:c r="C412" s="9" t="str">
        <x:v>B</x:v>
      </x:c>
      <x:c r="D412" s="9" t="str">
        <x:v>갱신</x:v>
      </x:c>
      <x:c r="E412" s="9" t="str">
        <x:v>사전 관계 관리</x:v>
      </x:c>
      <x:c r="F412" s="9" t="str">
        <x:v>해솔 업무 이력의 후속 요청에서 활용한 관계</x:v>
      </x:c>
      <x:c r="G412" s="10" t="n">
        <x:v>2</x:v>
      </x:c>
      <x:c r="H412" s="9" t="str">
        <x:v>사용</x:v>
      </x:c>
      <x:c r="I412" s="9" t="str">
        <x:v>프로젝트 episode에 한 번만 배분. 요청별 재합산 금지</x:v>
      </x:c>
    </x:row>
    <x:row r="413" ht="40" customHeight="1">
      <x:c r="A413" s="9" t="str">
        <x:v>SYN-PRE-2-갱신-미사용</x:v>
      </x:c>
      <x:c r="B413" s="9" t="str">
        <x:v>EP-P2</x:v>
      </x:c>
      <x:c r="C413" s="9" t="str">
        <x:v>B</x:v>
      </x:c>
      <x:c r="D413" s="9" t="str">
        <x:v>갱신</x:v>
      </x:c>
      <x:c r="E413" s="9" t="str">
        <x:v>사전 관계 관리</x:v>
      </x:c>
      <x:c r="F413" s="9" t="str">
        <x:v>해솔 업무 이력의 끝내 재참조하지 않은 관계</x:v>
      </x:c>
      <x:c r="G413" s="10" t="n">
        <x:v>1.5</x:v>
      </x:c>
      <x:c r="H413" s="9" t="str">
        <x:v>미사용</x:v>
      </x:c>
      <x:c r="I413" s="9" t="str">
        <x:v>프로젝트 episode에 한 번만 배분. 요청별 재합산 금지</x:v>
      </x:c>
    </x:row>
    <x:row r="414" ht="40" customHeight="1">
      <x:c r="A414" s="9" t="str">
        <x:v>SYN-PRE-3-생산-사용</x:v>
      </x:c>
      <x:c r="B414" s="9" t="str">
        <x:v>EP-P3</x:v>
      </x:c>
      <x:c r="C414" s="9" t="str">
        <x:v>B</x:v>
      </x:c>
      <x:c r="D414" s="9" t="str">
        <x:v>생산</x:v>
      </x:c>
      <x:c r="E414" s="9" t="str">
        <x:v>사전 관계 관리</x:v>
      </x:c>
      <x:c r="F414" s="9" t="str">
        <x:v>가온 업무 이력의 후속 요청에서 활용한 관계</x:v>
      </x:c>
      <x:c r="G414" s="10" t="n">
        <x:v>5</x:v>
      </x:c>
      <x:c r="H414" s="9" t="str">
        <x:v>사용</x:v>
      </x:c>
      <x:c r="I414" s="9" t="str">
        <x:v>프로젝트 episode에 한 번만 배분. 요청별 재합산 금지</x:v>
      </x:c>
    </x:row>
    <x:row r="415" ht="40" customHeight="1">
      <x:c r="A415" s="9" t="str">
        <x:v>SYN-PRE-3-생산-미사용</x:v>
      </x:c>
      <x:c r="B415" s="9" t="str">
        <x:v>EP-P3</x:v>
      </x:c>
      <x:c r="C415" s="9" t="str">
        <x:v>B</x:v>
      </x:c>
      <x:c r="D415" s="9" t="str">
        <x:v>생산</x:v>
      </x:c>
      <x:c r="E415" s="9" t="str">
        <x:v>사전 관계 관리</x:v>
      </x:c>
      <x:c r="F415" s="9" t="str">
        <x:v>가온 업무 이력의 끝내 재참조하지 않은 관계</x:v>
      </x:c>
      <x:c r="G415" s="10" t="n">
        <x:v>3.5</x:v>
      </x:c>
      <x:c r="H415" s="9" t="str">
        <x:v>미사용</x:v>
      </x:c>
      <x:c r="I415" s="9" t="str">
        <x:v>프로젝트 episode에 한 번만 배분. 요청별 재합산 금지</x:v>
      </x:c>
    </x:row>
    <x:row r="416" ht="40" customHeight="1">
      <x:c r="A416" s="9" t="str">
        <x:v>SYN-PRE-3-갱신-사용</x:v>
      </x:c>
      <x:c r="B416" s="9" t="str">
        <x:v>EP-P3</x:v>
      </x:c>
      <x:c r="C416" s="9" t="str">
        <x:v>B</x:v>
      </x:c>
      <x:c r="D416" s="9" t="str">
        <x:v>갱신</x:v>
      </x:c>
      <x:c r="E416" s="9" t="str">
        <x:v>사전 관계 관리</x:v>
      </x:c>
      <x:c r="F416" s="9" t="str">
        <x:v>가온 업무 이력의 후속 요청에서 활용한 관계</x:v>
      </x:c>
      <x:c r="G416" s="10" t="n">
        <x:v>2</x:v>
      </x:c>
      <x:c r="H416" s="9" t="str">
        <x:v>사용</x:v>
      </x:c>
      <x:c r="I416" s="9" t="str">
        <x:v>프로젝트 episode에 한 번만 배분. 요청별 재합산 금지</x:v>
      </x:c>
    </x:row>
    <x:row r="417" ht="40" customHeight="1">
      <x:c r="A417" s="9" t="str">
        <x:v>SYN-PRE-3-갱신-미사용</x:v>
      </x:c>
      <x:c r="B417" s="9" t="str">
        <x:v>EP-P3</x:v>
      </x:c>
      <x:c r="C417" s="9" t="str">
        <x:v>B</x:v>
      </x:c>
      <x:c r="D417" s="9" t="str">
        <x:v>갱신</x:v>
      </x:c>
      <x:c r="E417" s="9" t="str">
        <x:v>사전 관계 관리</x:v>
      </x:c>
      <x:c r="F417" s="9" t="str">
        <x:v>가온 업무 이력의 끝내 재참조하지 않은 관계</x:v>
      </x:c>
      <x:c r="G417" s="10" t="n">
        <x:v>1.5</x:v>
      </x:c>
      <x:c r="H417" s="9" t="str">
        <x:v>미사용</x:v>
      </x:c>
      <x:c r="I417" s="9" t="str">
        <x:v>프로젝트 episode에 한 번만 배분. 요청별 재합산 금지</x:v>
      </x:c>
    </x:row>
    <x:row r="418" ht="40" customHeight="1">
      <x:c r="A418" s="9" t="str">
        <x:v>SYN-PRE-4-생산-사용</x:v>
      </x:c>
      <x:c r="B418" s="9" t="str">
        <x:v>EP-P4</x:v>
      </x:c>
      <x:c r="C418" s="9" t="str">
        <x:v>B</x:v>
      </x:c>
      <x:c r="D418" s="9" t="str">
        <x:v>생산</x:v>
      </x:c>
      <x:c r="E418" s="9" t="str">
        <x:v>사전 관계 관리</x:v>
      </x:c>
      <x:c r="F418" s="9" t="str">
        <x:v>누리 업무 이력의 후속 요청에서 활용한 관계</x:v>
      </x:c>
      <x:c r="G418" s="10" t="n">
        <x:v>5</x:v>
      </x:c>
      <x:c r="H418" s="9" t="str">
        <x:v>사용</x:v>
      </x:c>
      <x:c r="I418" s="9" t="str">
        <x:v>프로젝트 episode에 한 번만 배분. 요청별 재합산 금지</x:v>
      </x:c>
    </x:row>
    <x:row r="419" ht="40" customHeight="1">
      <x:c r="A419" s="9" t="str">
        <x:v>SYN-PRE-4-생산-미사용</x:v>
      </x:c>
      <x:c r="B419" s="9" t="str">
        <x:v>EP-P4</x:v>
      </x:c>
      <x:c r="C419" s="9" t="str">
        <x:v>B</x:v>
      </x:c>
      <x:c r="D419" s="9" t="str">
        <x:v>생산</x:v>
      </x:c>
      <x:c r="E419" s="9" t="str">
        <x:v>사전 관계 관리</x:v>
      </x:c>
      <x:c r="F419" s="9" t="str">
        <x:v>누리 업무 이력의 끝내 재참조하지 않은 관계</x:v>
      </x:c>
      <x:c r="G419" s="10" t="n">
        <x:v>3.5</x:v>
      </x:c>
      <x:c r="H419" s="9" t="str">
        <x:v>미사용</x:v>
      </x:c>
      <x:c r="I419" s="9" t="str">
        <x:v>프로젝트 episode에 한 번만 배분. 요청별 재합산 금지</x:v>
      </x:c>
    </x:row>
    <x:row r="420" ht="40" customHeight="1">
      <x:c r="A420" s="9" t="str">
        <x:v>SYN-PRE-4-갱신-사용</x:v>
      </x:c>
      <x:c r="B420" s="9" t="str">
        <x:v>EP-P4</x:v>
      </x:c>
      <x:c r="C420" s="9" t="str">
        <x:v>B</x:v>
      </x:c>
      <x:c r="D420" s="9" t="str">
        <x:v>갱신</x:v>
      </x:c>
      <x:c r="E420" s="9" t="str">
        <x:v>사전 관계 관리</x:v>
      </x:c>
      <x:c r="F420" s="9" t="str">
        <x:v>누리 업무 이력의 후속 요청에서 활용한 관계</x:v>
      </x:c>
      <x:c r="G420" s="10" t="n">
        <x:v>2</x:v>
      </x:c>
      <x:c r="H420" s="9" t="str">
        <x:v>사용</x:v>
      </x:c>
      <x:c r="I420" s="9" t="str">
        <x:v>프로젝트 episode에 한 번만 배분. 요청별 재합산 금지</x:v>
      </x:c>
    </x:row>
    <x:row r="421" ht="40" customHeight="1">
      <x:c r="A421" s="9" t="str">
        <x:v>SYN-PRE-4-갱신-미사용</x:v>
      </x:c>
      <x:c r="B421" s="9" t="str">
        <x:v>EP-P4</x:v>
      </x:c>
      <x:c r="C421" s="9" t="str">
        <x:v>B</x:v>
      </x:c>
      <x:c r="D421" s="9" t="str">
        <x:v>갱신</x:v>
      </x:c>
      <x:c r="E421" s="9" t="str">
        <x:v>사전 관계 관리</x:v>
      </x:c>
      <x:c r="F421" s="9" t="str">
        <x:v>누리 업무 이력의 끝내 재참조하지 않은 관계</x:v>
      </x:c>
      <x:c r="G421" s="10" t="n">
        <x:v>1.5</x:v>
      </x:c>
      <x:c r="H421" s="9" t="str">
        <x:v>미사용</x:v>
      </x:c>
      <x:c r="I421" s="9" t="str">
        <x:v>프로젝트 episode에 한 번만 배분. 요청별 재합산 금지</x:v>
      </x:c>
    </x:row>
    <x:row r="422" ht="40" customHeight="1">
      <x:c r="A422" s="9" t="str">
        <x:v>SYN-PRE-5-생산-사용</x:v>
      </x:c>
      <x:c r="B422" s="9" t="str">
        <x:v>EP-P5</x:v>
      </x:c>
      <x:c r="C422" s="9" t="str">
        <x:v>B</x:v>
      </x:c>
      <x:c r="D422" s="9" t="str">
        <x:v>생산</x:v>
      </x:c>
      <x:c r="E422" s="9" t="str">
        <x:v>사전 관계 관리</x:v>
      </x:c>
      <x:c r="F422" s="9" t="str">
        <x:v>다온 업무 이력의 후속 요청에서 활용한 관계</x:v>
      </x:c>
      <x:c r="G422" s="10" t="n">
        <x:v>5</x:v>
      </x:c>
      <x:c r="H422" s="9" t="str">
        <x:v>사용</x:v>
      </x:c>
      <x:c r="I422" s="9" t="str">
        <x:v>프로젝트 episode에 한 번만 배분. 요청별 재합산 금지</x:v>
      </x:c>
    </x:row>
    <x:row r="423" ht="40" customHeight="1">
      <x:c r="A423" s="9" t="str">
        <x:v>SYN-PRE-5-생산-미사용</x:v>
      </x:c>
      <x:c r="B423" s="9" t="str">
        <x:v>EP-P5</x:v>
      </x:c>
      <x:c r="C423" s="9" t="str">
        <x:v>B</x:v>
      </x:c>
      <x:c r="D423" s="9" t="str">
        <x:v>생산</x:v>
      </x:c>
      <x:c r="E423" s="9" t="str">
        <x:v>사전 관계 관리</x:v>
      </x:c>
      <x:c r="F423" s="9" t="str">
        <x:v>다온 업무 이력의 끝내 재참조하지 않은 관계</x:v>
      </x:c>
      <x:c r="G423" s="10" t="n">
        <x:v>3.5</x:v>
      </x:c>
      <x:c r="H423" s="9" t="str">
        <x:v>미사용</x:v>
      </x:c>
      <x:c r="I423" s="9" t="str">
        <x:v>프로젝트 episode에 한 번만 배분. 요청별 재합산 금지</x:v>
      </x:c>
    </x:row>
    <x:row r="424" ht="40" customHeight="1">
      <x:c r="A424" s="9" t="str">
        <x:v>SYN-PRE-5-갱신-사용</x:v>
      </x:c>
      <x:c r="B424" s="9" t="str">
        <x:v>EP-P5</x:v>
      </x:c>
      <x:c r="C424" s="9" t="str">
        <x:v>B</x:v>
      </x:c>
      <x:c r="D424" s="9" t="str">
        <x:v>갱신</x:v>
      </x:c>
      <x:c r="E424" s="9" t="str">
        <x:v>사전 관계 관리</x:v>
      </x:c>
      <x:c r="F424" s="9" t="str">
        <x:v>다온 업무 이력의 후속 요청에서 활용한 관계</x:v>
      </x:c>
      <x:c r="G424" s="10" t="n">
        <x:v>2</x:v>
      </x:c>
      <x:c r="H424" s="9" t="str">
        <x:v>사용</x:v>
      </x:c>
      <x:c r="I424" s="9" t="str">
        <x:v>프로젝트 episode에 한 번만 배분. 요청별 재합산 금지</x:v>
      </x:c>
    </x:row>
    <x:row r="425" ht="40" customHeight="1">
      <x:c r="A425" s="9" t="str">
        <x:v>SYN-PRE-5-갱신-미사용</x:v>
      </x:c>
      <x:c r="B425" s="9" t="str">
        <x:v>EP-P5</x:v>
      </x:c>
      <x:c r="C425" s="9" t="str">
        <x:v>B</x:v>
      </x:c>
      <x:c r="D425" s="9" t="str">
        <x:v>갱신</x:v>
      </x:c>
      <x:c r="E425" s="9" t="str">
        <x:v>사전 관계 관리</x:v>
      </x:c>
      <x:c r="F425" s="9" t="str">
        <x:v>다온 업무 이력의 끝내 재참조하지 않은 관계</x:v>
      </x:c>
      <x:c r="G425" s="10" t="n">
        <x:v>1.5</x:v>
      </x:c>
      <x:c r="H425" s="9" t="str">
        <x:v>미사용</x:v>
      </x:c>
      <x:c r="I425" s="9" t="str">
        <x:v>프로젝트 episode에 한 번만 배분. 요청별 재합산 금지</x:v>
      </x:c>
    </x:row>
    <x:row r="426" ht="40" customHeight="1">
      <x:c r="A426" s="9" t="str">
        <x:v>SYN-PRE-6-생산-사용</x:v>
      </x:c>
      <x:c r="B426" s="9" t="str">
        <x:v>EP-P6</x:v>
      </x:c>
      <x:c r="C426" s="9" t="str">
        <x:v>B</x:v>
      </x:c>
      <x:c r="D426" s="9" t="str">
        <x:v>생산</x:v>
      </x:c>
      <x:c r="E426" s="9" t="str">
        <x:v>사전 관계 관리</x:v>
      </x:c>
      <x:c r="F426" s="9" t="str">
        <x:v>마루 업무 이력의 후속 요청에서 활용한 관계</x:v>
      </x:c>
      <x:c r="G426" s="10" t="n">
        <x:v>5</x:v>
      </x:c>
      <x:c r="H426" s="9" t="str">
        <x:v>사용</x:v>
      </x:c>
      <x:c r="I426" s="9" t="str">
        <x:v>프로젝트 episode에 한 번만 배분. 요청별 재합산 금지</x:v>
      </x:c>
    </x:row>
    <x:row r="427" ht="40" customHeight="1">
      <x:c r="A427" s="9" t="str">
        <x:v>SYN-PRE-6-생산-미사용</x:v>
      </x:c>
      <x:c r="B427" s="9" t="str">
        <x:v>EP-P6</x:v>
      </x:c>
      <x:c r="C427" s="9" t="str">
        <x:v>B</x:v>
      </x:c>
      <x:c r="D427" s="9" t="str">
        <x:v>생산</x:v>
      </x:c>
      <x:c r="E427" s="9" t="str">
        <x:v>사전 관계 관리</x:v>
      </x:c>
      <x:c r="F427" s="9" t="str">
        <x:v>마루 업무 이력의 끝내 재참조하지 않은 관계</x:v>
      </x:c>
      <x:c r="G427" s="10" t="n">
        <x:v>3.5</x:v>
      </x:c>
      <x:c r="H427" s="9" t="str">
        <x:v>미사용</x:v>
      </x:c>
      <x:c r="I427" s="9" t="str">
        <x:v>프로젝트 episode에 한 번만 배분. 요청별 재합산 금지</x:v>
      </x:c>
    </x:row>
    <x:row r="428" ht="40" customHeight="1">
      <x:c r="A428" s="9" t="str">
        <x:v>SYN-PRE-6-갱신-사용</x:v>
      </x:c>
      <x:c r="B428" s="9" t="str">
        <x:v>EP-P6</x:v>
      </x:c>
      <x:c r="C428" s="9" t="str">
        <x:v>B</x:v>
      </x:c>
      <x:c r="D428" s="9" t="str">
        <x:v>갱신</x:v>
      </x:c>
      <x:c r="E428" s="9" t="str">
        <x:v>사전 관계 관리</x:v>
      </x:c>
      <x:c r="F428" s="9" t="str">
        <x:v>마루 업무 이력의 후속 요청에서 활용한 관계</x:v>
      </x:c>
      <x:c r="G428" s="10" t="n">
        <x:v>2</x:v>
      </x:c>
      <x:c r="H428" s="9" t="str">
        <x:v>사용</x:v>
      </x:c>
      <x:c r="I428" s="9" t="str">
        <x:v>프로젝트 episode에 한 번만 배분. 요청별 재합산 금지</x:v>
      </x:c>
    </x:row>
    <x:row r="429" ht="40" customHeight="1">
      <x:c r="A429" s="9" t="str">
        <x:v>SYN-PRE-6-갱신-미사용</x:v>
      </x:c>
      <x:c r="B429" s="9" t="str">
        <x:v>EP-P6</x:v>
      </x:c>
      <x:c r="C429" s="9" t="str">
        <x:v>B</x:v>
      </x:c>
      <x:c r="D429" s="9" t="str">
        <x:v>갱신</x:v>
      </x:c>
      <x:c r="E429" s="9" t="str">
        <x:v>사전 관계 관리</x:v>
      </x:c>
      <x:c r="F429" s="9" t="str">
        <x:v>마루 업무 이력의 끝내 재참조하지 않은 관계</x:v>
      </x:c>
      <x:c r="G429" s="10" t="n">
        <x:v>1.5</x:v>
      </x:c>
      <x:c r="H429" s="9" t="str">
        <x:v>미사용</x:v>
      </x:c>
      <x:c r="I429" s="9" t="str">
        <x:v>프로젝트 episode에 한 번만 배분. 요청별 재합산 금지</x:v>
      </x:c>
    </x:row>
    <x:row r="430" ht="40" customHeight="1">
      <x:c r="A430" s="9" t="str">
        <x:v>SYN-PRE-7-생산-사용</x:v>
      </x:c>
      <x:c r="B430" s="9" t="str">
        <x:v>EP-P7</x:v>
      </x:c>
      <x:c r="C430" s="9" t="str">
        <x:v>B</x:v>
      </x:c>
      <x:c r="D430" s="9" t="str">
        <x:v>생산</x:v>
      </x:c>
      <x:c r="E430" s="9" t="str">
        <x:v>사전 관계 관리</x:v>
      </x:c>
      <x:c r="F430" s="9" t="str">
        <x:v>이든 업무 이력의 후속 요청에서 활용한 관계</x:v>
      </x:c>
      <x:c r="G430" s="10" t="n">
        <x:v>5</x:v>
      </x:c>
      <x:c r="H430" s="9" t="str">
        <x:v>사용</x:v>
      </x:c>
      <x:c r="I430" s="9" t="str">
        <x:v>프로젝트 episode에 한 번만 배분. 요청별 재합산 금지</x:v>
      </x:c>
    </x:row>
    <x:row r="431" ht="40" customHeight="1">
      <x:c r="A431" s="9" t="str">
        <x:v>SYN-PRE-7-생산-미사용</x:v>
      </x:c>
      <x:c r="B431" s="9" t="str">
        <x:v>EP-P7</x:v>
      </x:c>
      <x:c r="C431" s="9" t="str">
        <x:v>B</x:v>
      </x:c>
      <x:c r="D431" s="9" t="str">
        <x:v>생산</x:v>
      </x:c>
      <x:c r="E431" s="9" t="str">
        <x:v>사전 관계 관리</x:v>
      </x:c>
      <x:c r="F431" s="9" t="str">
        <x:v>이든 업무 이력의 끝내 재참조하지 않은 관계</x:v>
      </x:c>
      <x:c r="G431" s="10" t="n">
        <x:v>3.5</x:v>
      </x:c>
      <x:c r="H431" s="9" t="str">
        <x:v>미사용</x:v>
      </x:c>
      <x:c r="I431" s="9" t="str">
        <x:v>프로젝트 episode에 한 번만 배분. 요청별 재합산 금지</x:v>
      </x:c>
    </x:row>
    <x:row r="432" ht="40" customHeight="1">
      <x:c r="A432" s="9" t="str">
        <x:v>SYN-PRE-7-갱신-사용</x:v>
      </x:c>
      <x:c r="B432" s="9" t="str">
        <x:v>EP-P7</x:v>
      </x:c>
      <x:c r="C432" s="9" t="str">
        <x:v>B</x:v>
      </x:c>
      <x:c r="D432" s="9" t="str">
        <x:v>갱신</x:v>
      </x:c>
      <x:c r="E432" s="9" t="str">
        <x:v>사전 관계 관리</x:v>
      </x:c>
      <x:c r="F432" s="9" t="str">
        <x:v>이든 업무 이력의 후속 요청에서 활용한 관계</x:v>
      </x:c>
      <x:c r="G432" s="10" t="n">
        <x:v>2</x:v>
      </x:c>
      <x:c r="H432" s="9" t="str">
        <x:v>사용</x:v>
      </x:c>
      <x:c r="I432" s="9" t="str">
        <x:v>프로젝트 episode에 한 번만 배분. 요청별 재합산 금지</x:v>
      </x:c>
    </x:row>
    <x:row r="433" ht="40" customHeight="1">
      <x:c r="A433" s="9" t="str">
        <x:v>SYN-PRE-7-갱신-미사용</x:v>
      </x:c>
      <x:c r="B433" s="9" t="str">
        <x:v>EP-P7</x:v>
      </x:c>
      <x:c r="C433" s="9" t="str">
        <x:v>B</x:v>
      </x:c>
      <x:c r="D433" s="9" t="str">
        <x:v>갱신</x:v>
      </x:c>
      <x:c r="E433" s="9" t="str">
        <x:v>사전 관계 관리</x:v>
      </x:c>
      <x:c r="F433" s="9" t="str">
        <x:v>이든 업무 이력의 끝내 재참조하지 않은 관계</x:v>
      </x:c>
      <x:c r="G433" s="10" t="n">
        <x:v>1.5</x:v>
      </x:c>
      <x:c r="H433" s="9" t="str">
        <x:v>미사용</x:v>
      </x:c>
      <x:c r="I433" s="9" t="str">
        <x:v>프로젝트 episode에 한 번만 배분. 요청별 재합산 금지</x:v>
      </x:c>
    </x:row>
    <x:row r="434" ht="40" customHeight="1">
      <x:c r="A434" s="9" t="str">
        <x:v>SYN-PRE-8-생산-사용</x:v>
      </x:c>
      <x:c r="B434" s="9" t="str">
        <x:v>EP-P8</x:v>
      </x:c>
      <x:c r="C434" s="9" t="str">
        <x:v>B</x:v>
      </x:c>
      <x:c r="D434" s="9" t="str">
        <x:v>생산</x:v>
      </x:c>
      <x:c r="E434" s="9" t="str">
        <x:v>사전 관계 관리</x:v>
      </x:c>
      <x:c r="F434" s="9" t="str">
        <x:v>라온 업무 이력의 후속 요청에서 활용한 관계</x:v>
      </x:c>
      <x:c r="G434" s="10" t="n">
        <x:v>5</x:v>
      </x:c>
      <x:c r="H434" s="9" t="str">
        <x:v>사용</x:v>
      </x:c>
      <x:c r="I434" s="9" t="str">
        <x:v>프로젝트 episode에 한 번만 배분. 요청별 재합산 금지</x:v>
      </x:c>
    </x:row>
    <x:row r="435" ht="40" customHeight="1">
      <x:c r="A435" s="9" t="str">
        <x:v>SYN-PRE-8-생산-미사용</x:v>
      </x:c>
      <x:c r="B435" s="9" t="str">
        <x:v>EP-P8</x:v>
      </x:c>
      <x:c r="C435" s="9" t="str">
        <x:v>B</x:v>
      </x:c>
      <x:c r="D435" s="9" t="str">
        <x:v>생산</x:v>
      </x:c>
      <x:c r="E435" s="9" t="str">
        <x:v>사전 관계 관리</x:v>
      </x:c>
      <x:c r="F435" s="9" t="str">
        <x:v>라온 업무 이력의 끝내 재참조하지 않은 관계</x:v>
      </x:c>
      <x:c r="G435" s="10" t="n">
        <x:v>3.5</x:v>
      </x:c>
      <x:c r="H435" s="9" t="str">
        <x:v>미사용</x:v>
      </x:c>
      <x:c r="I435" s="9" t="str">
        <x:v>프로젝트 episode에 한 번만 배분. 요청별 재합산 금지</x:v>
      </x:c>
    </x:row>
    <x:row r="436" ht="40" customHeight="1">
      <x:c r="A436" s="9" t="str">
        <x:v>SYN-PRE-8-갱신-사용</x:v>
      </x:c>
      <x:c r="B436" s="9" t="str">
        <x:v>EP-P8</x:v>
      </x:c>
      <x:c r="C436" s="9" t="str">
        <x:v>B</x:v>
      </x:c>
      <x:c r="D436" s="9" t="str">
        <x:v>갱신</x:v>
      </x:c>
      <x:c r="E436" s="9" t="str">
        <x:v>사전 관계 관리</x:v>
      </x:c>
      <x:c r="F436" s="9" t="str">
        <x:v>라온 업무 이력의 후속 요청에서 활용한 관계</x:v>
      </x:c>
      <x:c r="G436" s="10" t="n">
        <x:v>2</x:v>
      </x:c>
      <x:c r="H436" s="9" t="str">
        <x:v>사용</x:v>
      </x:c>
      <x:c r="I436" s="9" t="str">
        <x:v>프로젝트 episode에 한 번만 배분. 요청별 재합산 금지</x:v>
      </x:c>
    </x:row>
    <x:row r="437" ht="40" customHeight="1">
      <x:c r="A437" s="9" t="str">
        <x:v>SYN-PRE-8-갱신-미사용</x:v>
      </x:c>
      <x:c r="B437" s="9" t="str">
        <x:v>EP-P8</x:v>
      </x:c>
      <x:c r="C437" s="9" t="str">
        <x:v>B</x:v>
      </x:c>
      <x:c r="D437" s="9" t="str">
        <x:v>갱신</x:v>
      </x:c>
      <x:c r="E437" s="9" t="str">
        <x:v>사전 관계 관리</x:v>
      </x:c>
      <x:c r="F437" s="9" t="str">
        <x:v>라온 업무 이력의 끝내 재참조하지 않은 관계</x:v>
      </x:c>
      <x:c r="G437" s="10" t="n">
        <x:v>1.5</x:v>
      </x:c>
      <x:c r="H437" s="9" t="str">
        <x:v>미사용</x:v>
      </x:c>
      <x:c r="I437" s="9" t="str">
        <x:v>프로젝트 episode에 한 번만 배분. 요청별 재합산 금지</x:v>
      </x:c>
    </x:row>
    <x:row r="438" ht="40" customHeight="1">
      <x:c r="A438" s="9" t="str">
        <x:v>SYN-PRE-9-생산-사용</x:v>
      </x:c>
      <x:c r="B438" s="9" t="str">
        <x:v>EP-P9</x:v>
      </x:c>
      <x:c r="C438" s="9" t="str">
        <x:v>B</x:v>
      </x:c>
      <x:c r="D438" s="9" t="str">
        <x:v>생산</x:v>
      </x:c>
      <x:c r="E438" s="9" t="str">
        <x:v>사전 관계 관리</x:v>
      </x:c>
      <x:c r="F438" s="9" t="str">
        <x:v>한결 업무 이력의 후속 요청에서 활용한 관계</x:v>
      </x:c>
      <x:c r="G438" s="10" t="n">
        <x:v>5</x:v>
      </x:c>
      <x:c r="H438" s="9" t="str">
        <x:v>사용</x:v>
      </x:c>
      <x:c r="I438" s="9" t="str">
        <x:v>프로젝트 episode에 한 번만 배분. 요청별 재합산 금지</x:v>
      </x:c>
    </x:row>
    <x:row r="439" ht="40" customHeight="1">
      <x:c r="A439" s="9" t="str">
        <x:v>SYN-PRE-9-생산-미사용</x:v>
      </x:c>
      <x:c r="B439" s="9" t="str">
        <x:v>EP-P9</x:v>
      </x:c>
      <x:c r="C439" s="9" t="str">
        <x:v>B</x:v>
      </x:c>
      <x:c r="D439" s="9" t="str">
        <x:v>생산</x:v>
      </x:c>
      <x:c r="E439" s="9" t="str">
        <x:v>사전 관계 관리</x:v>
      </x:c>
      <x:c r="F439" s="9" t="str">
        <x:v>한결 업무 이력의 끝내 재참조하지 않은 관계</x:v>
      </x:c>
      <x:c r="G439" s="10" t="n">
        <x:v>3.5</x:v>
      </x:c>
      <x:c r="H439" s="9" t="str">
        <x:v>미사용</x:v>
      </x:c>
      <x:c r="I439" s="9" t="str">
        <x:v>프로젝트 episode에 한 번만 배분. 요청별 재합산 금지</x:v>
      </x:c>
    </x:row>
    <x:row r="440" ht="40" customHeight="1">
      <x:c r="A440" s="9" t="str">
        <x:v>SYN-PRE-9-갱신-사용</x:v>
      </x:c>
      <x:c r="B440" s="9" t="str">
        <x:v>EP-P9</x:v>
      </x:c>
      <x:c r="C440" s="9" t="str">
        <x:v>B</x:v>
      </x:c>
      <x:c r="D440" s="9" t="str">
        <x:v>갱신</x:v>
      </x:c>
      <x:c r="E440" s="9" t="str">
        <x:v>사전 관계 관리</x:v>
      </x:c>
      <x:c r="F440" s="9" t="str">
        <x:v>한결 업무 이력의 후속 요청에서 활용한 관계</x:v>
      </x:c>
      <x:c r="G440" s="10" t="n">
        <x:v>2</x:v>
      </x:c>
      <x:c r="H440" s="9" t="str">
        <x:v>사용</x:v>
      </x:c>
      <x:c r="I440" s="9" t="str">
        <x:v>프로젝트 episode에 한 번만 배분. 요청별 재합산 금지</x:v>
      </x:c>
    </x:row>
    <x:row r="441" ht="40" customHeight="1">
      <x:c r="A441" s="9" t="str">
        <x:v>SYN-PRE-9-갱신-미사용</x:v>
      </x:c>
      <x:c r="B441" s="9" t="str">
        <x:v>EP-P9</x:v>
      </x:c>
      <x:c r="C441" s="9" t="str">
        <x:v>B</x:v>
      </x:c>
      <x:c r="D441" s="9" t="str">
        <x:v>갱신</x:v>
      </x:c>
      <x:c r="E441" s="9" t="str">
        <x:v>사전 관계 관리</x:v>
      </x:c>
      <x:c r="F441" s="9" t="str">
        <x:v>한결 업무 이력의 끝내 재참조하지 않은 관계</x:v>
      </x:c>
      <x:c r="G441" s="10" t="n">
        <x:v>1.5</x:v>
      </x:c>
      <x:c r="H441" s="9" t="str">
        <x:v>미사용</x:v>
      </x:c>
      <x:c r="I441" s="9" t="str">
        <x:v>프로젝트 episode에 한 번만 배분. 요청별 재합산 금지</x:v>
      </x:c>
    </x:row>
    <x:row r="442" ht="40" customHeight="1">
      <x:c r="A442" s="9" t="str">
        <x:v>SYN-PRE-10-생산-사용</x:v>
      </x:c>
      <x:c r="B442" s="9" t="str">
        <x:v>EP-P10</x:v>
      </x:c>
      <x:c r="C442" s="9" t="str">
        <x:v>B</x:v>
      </x:c>
      <x:c r="D442" s="9" t="str">
        <x:v>생산</x:v>
      </x:c>
      <x:c r="E442" s="9" t="str">
        <x:v>사전 관계 관리</x:v>
      </x:c>
      <x:c r="F442" s="9" t="str">
        <x:v>온유 업무 이력의 후속 요청에서 활용한 관계</x:v>
      </x:c>
      <x:c r="G442" s="10" t="n">
        <x:v>5</x:v>
      </x:c>
      <x:c r="H442" s="9" t="str">
        <x:v>사용</x:v>
      </x:c>
      <x:c r="I442" s="9" t="str">
        <x:v>프로젝트 episode에 한 번만 배분. 요청별 재합산 금지</x:v>
      </x:c>
    </x:row>
    <x:row r="443" ht="40" customHeight="1">
      <x:c r="A443" s="9" t="str">
        <x:v>SYN-PRE-10-생산-미사용</x:v>
      </x:c>
      <x:c r="B443" s="9" t="str">
        <x:v>EP-P10</x:v>
      </x:c>
      <x:c r="C443" s="9" t="str">
        <x:v>B</x:v>
      </x:c>
      <x:c r="D443" s="9" t="str">
        <x:v>생산</x:v>
      </x:c>
      <x:c r="E443" s="9" t="str">
        <x:v>사전 관계 관리</x:v>
      </x:c>
      <x:c r="F443" s="9" t="str">
        <x:v>온유 업무 이력의 끝내 재참조하지 않은 관계</x:v>
      </x:c>
      <x:c r="G443" s="10" t="n">
        <x:v>3.5</x:v>
      </x:c>
      <x:c r="H443" s="9" t="str">
        <x:v>미사용</x:v>
      </x:c>
      <x:c r="I443" s="9" t="str">
        <x:v>프로젝트 episode에 한 번만 배분. 요청별 재합산 금지</x:v>
      </x:c>
    </x:row>
    <x:row r="444" ht="40" customHeight="1">
      <x:c r="A444" s="9" t="str">
        <x:v>SYN-PRE-10-갱신-사용</x:v>
      </x:c>
      <x:c r="B444" s="9" t="str">
        <x:v>EP-P10</x:v>
      </x:c>
      <x:c r="C444" s="9" t="str">
        <x:v>B</x:v>
      </x:c>
      <x:c r="D444" s="9" t="str">
        <x:v>갱신</x:v>
      </x:c>
      <x:c r="E444" s="9" t="str">
        <x:v>사전 관계 관리</x:v>
      </x:c>
      <x:c r="F444" s="9" t="str">
        <x:v>온유 업무 이력의 후속 요청에서 활용한 관계</x:v>
      </x:c>
      <x:c r="G444" s="10" t="n">
        <x:v>2</x:v>
      </x:c>
      <x:c r="H444" s="9" t="str">
        <x:v>사용</x:v>
      </x:c>
      <x:c r="I444" s="9" t="str">
        <x:v>프로젝트 episode에 한 번만 배분. 요청별 재합산 금지</x:v>
      </x:c>
    </x:row>
    <x:row r="445" ht="40" customHeight="1">
      <x:c r="A445" s="9" t="str">
        <x:v>SYN-PRE-10-갱신-미사용</x:v>
      </x:c>
      <x:c r="B445" s="9" t="str">
        <x:v>EP-P10</x:v>
      </x:c>
      <x:c r="C445" s="9" t="str">
        <x:v>B</x:v>
      </x:c>
      <x:c r="D445" s="9" t="str">
        <x:v>갱신</x:v>
      </x:c>
      <x:c r="E445" s="9" t="str">
        <x:v>사전 관계 관리</x:v>
      </x:c>
      <x:c r="F445" s="9" t="str">
        <x:v>온유 업무 이력의 끝내 재참조하지 않은 관계</x:v>
      </x:c>
      <x:c r="G445" s="10" t="n">
        <x:v>1.5</x:v>
      </x:c>
      <x:c r="H445" s="9" t="str">
        <x:v>미사용</x:v>
      </x:c>
      <x:c r="I445" s="9" t="str">
        <x:v>프로젝트 episode에 한 번만 배분. 요청별 재합산 금지</x:v>
      </x:c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</x:row>
  </x:sheetData>
  <x:pageMargins left="0.7" right="0.7" top="0.75" bottom="0.75" header="0.3" footer="0.3"/>
</x:worksheet>
</file>